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load" sheetId="1" state="visible" r:id="rId1"/>
    <sheet xmlns:r="http://schemas.openxmlformats.org/officeDocument/2006/relationships" name="Log" sheetId="2" state="visible" r:id="rId2"/>
    <sheet xmlns:r="http://schemas.openxmlformats.org/officeDocument/2006/relationships" name="Staff" sheetId="3" state="visible" r:id="rId3"/>
    <sheet xmlns:r="http://schemas.openxmlformats.org/officeDocument/2006/relationships" name="How to use" sheetId="4" state="visible" r:id="rId4"/>
  </sheets>
  <definedNames>
    <definedName name="StaffList">OFFSET(Staff!$A$2,0,0,MAX(1,COUNTA(Staff!$A$2:$A$101)),1)</definedName>
    <definedName name="StatusList">Staff!$C$2:$C$5</definedName>
    <definedName name="_xlnm.Print_Titles" localSheetId="0">'Caseload'!$4:$4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7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color rgb="00595959"/>
      <sz val="8"/>
    </font>
    <font>
      <name val="Arial"/>
      <b val="1"/>
      <sz val="12"/>
    </font>
    <font>
      <name val="Arial"/>
      <b val="1"/>
      <color rgb="009C0006"/>
      <sz val="12"/>
    </font>
    <font>
      <name val="Arial"/>
      <b val="1"/>
      <color rgb="007F6000"/>
      <sz val="12"/>
    </font>
    <font>
      <name val="Arial"/>
      <b val="1"/>
      <color rgb="001F3864"/>
      <sz val="12"/>
    </font>
    <font>
      <name val="Arial"/>
      <b val="1"/>
      <sz val="9"/>
    </font>
    <font>
      <name val="Arial"/>
      <color rgb="009C0006"/>
      <sz val="8"/>
    </font>
    <font>
      <name val="Arial"/>
      <color rgb="007F6000"/>
      <sz val="8"/>
    </font>
    <font>
      <name val="Arial"/>
      <color rgb="00006100"/>
      <sz val="8"/>
    </font>
    <font>
      <name val="Arial"/>
      <color rgb="001F3864"/>
      <sz val="8"/>
    </font>
    <font>
      <name val="Arial"/>
      <color rgb="00833C0B"/>
      <sz val="8"/>
    </font>
    <font>
      <name val="Arial"/>
      <color rgb="00403151"/>
      <sz val="8"/>
    </font>
    <font>
      <name val="Arial"/>
      <b val="1"/>
      <color rgb="0040404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2"/>
    </font>
    <font>
      <name val="Arial"/>
      <i val="1"/>
      <color rgb="00595959"/>
      <sz val="9"/>
    </font>
    <font>
      <name val="Arial"/>
      <b val="1"/>
      <color rgb="001F4E79"/>
      <sz val="11"/>
    </font>
    <font>
      <name val="Arial"/>
      <color rgb="009C0006"/>
      <sz val="10"/>
    </font>
    <font>
      <name val="Arial"/>
      <color rgb="007F6000"/>
      <sz val="10"/>
    </font>
    <font>
      <name val="Arial"/>
      <color rgb="00006100"/>
      <sz val="10"/>
    </font>
    <font>
      <name val="Arial"/>
      <color rgb="00595959"/>
      <sz val="10"/>
    </font>
    <font>
      <name val="Arial"/>
      <color rgb="001F3864"/>
      <sz val="10"/>
    </font>
  </fonts>
  <fills count="1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8CBCB"/>
        <bgColor rgb="00F8CBCB"/>
      </patternFill>
    </fill>
    <fill>
      <patternFill patternType="solid">
        <fgColor rgb="00FFE699"/>
        <bgColor rgb="00FFE699"/>
      </patternFill>
    </fill>
    <fill>
      <patternFill patternType="solid">
        <fgColor rgb="00C6EFCE"/>
        <bgColor rgb="00C6EFCE"/>
      </patternFill>
    </fill>
    <fill>
      <patternFill patternType="solid">
        <fgColor rgb="00E7E6E6"/>
        <bgColor rgb="00E7E6E6"/>
      </patternFill>
    </fill>
    <fill>
      <patternFill patternType="solid">
        <fgColor rgb="00BDD7EE"/>
        <bgColor rgb="00BDD7EE"/>
      </patternFill>
    </fill>
    <fill>
      <patternFill patternType="solid">
        <fgColor rgb="00F8CBAD"/>
        <bgColor rgb="00F8CBAD"/>
      </patternFill>
    </fill>
    <fill>
      <patternFill patternType="solid">
        <fgColor rgb="00E4DFEC"/>
        <bgColor rgb="00E4DFEC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00EDEDED"/>
        <bgColor rgb="00EDEDED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0" fontId="9" fillId="0" borderId="0" pivotButton="0" quotePrefix="0" xfId="0"/>
    <xf numFmtId="0" fontId="2" fillId="0" borderId="0" applyAlignment="1" pivotButton="0" quotePrefix="0" xfId="0">
      <alignment horizontal="right"/>
    </xf>
    <xf numFmtId="164" fontId="3" fillId="2" borderId="1" pivotButton="0" quotePrefix="0" xfId="0"/>
    <xf numFmtId="164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center" vertical="center" wrapText="1"/>
    </xf>
    <xf numFmtId="0" fontId="14" fillId="8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16" fillId="10" borderId="0" pivotButton="0" quotePrefix="0" xfId="0"/>
    <xf numFmtId="0" fontId="0" fillId="10" borderId="0" pivotButton="0" quotePrefix="0" xfId="0"/>
    <xf numFmtId="0" fontId="16" fillId="12" borderId="0" pivotButton="0" quotePrefix="0" xfId="0"/>
    <xf numFmtId="0" fontId="0" fillId="12" borderId="0" pivotButton="0" quotePrefix="0" xfId="0"/>
    <xf numFmtId="0" fontId="16" fillId="13" borderId="0" pivotButton="0" quotePrefix="0" xfId="0"/>
    <xf numFmtId="0" fontId="0" fillId="13" borderId="0" pivotButton="0" quotePrefix="0" xfId="0"/>
    <xf numFmtId="0" fontId="16" fillId="14" borderId="0" pivotButton="0" quotePrefix="0" xfId="0"/>
    <xf numFmtId="0" fontId="0" fillId="14" borderId="0" pivotButton="0" quotePrefix="0" xfId="0"/>
    <xf numFmtId="0" fontId="16" fillId="2" borderId="0" pivotButton="0" quotePrefix="0" xfId="0"/>
    <xf numFmtId="0" fontId="0" fillId="2" borderId="0" pivotButton="0" quotePrefix="0" xfId="0"/>
    <xf numFmtId="0" fontId="17" fillId="11" borderId="0" applyAlignment="1" pivotButton="0" quotePrefix="0" xfId="0">
      <alignment horizontal="center" vertical="center" wrapText="1"/>
    </xf>
    <xf numFmtId="0" fontId="18" fillId="0" borderId="0" pivotButton="0" quotePrefix="0" xfId="0"/>
    <xf numFmtId="49" fontId="18" fillId="0" borderId="0" pivotButton="0" quotePrefix="0" xfId="0"/>
    <xf numFmtId="164" fontId="18" fillId="0" borderId="0" applyAlignment="1" pivotButton="0" quotePrefix="0" xfId="0">
      <alignment horizontal="center"/>
    </xf>
    <xf numFmtId="0" fontId="18" fillId="15" borderId="0" applyAlignment="1" pivotButton="0" quotePrefix="0" xfId="0">
      <alignment horizontal="center"/>
    </xf>
    <xf numFmtId="164" fontId="18" fillId="15" borderId="0" applyAlignment="1" pivotButton="0" quotePrefix="0" xfId="0">
      <alignment horizontal="center"/>
    </xf>
    <xf numFmtId="0" fontId="18" fillId="0" borderId="0" applyAlignment="1" pivotButton="0" quotePrefix="0" xfId="0">
      <alignment vertical="top" wrapText="1"/>
    </xf>
    <xf numFmtId="0" fontId="19" fillId="0" borderId="0" pivotButton="0" quotePrefix="0" xfId="0"/>
    <xf numFmtId="0" fontId="17" fillId="11" borderId="0" pivotButton="0" quotePrefix="0" xfId="0"/>
    <xf numFmtId="164" fontId="18" fillId="0" borderId="0" pivotButton="0" quotePrefix="0" xfId="0"/>
    <xf numFmtId="0" fontId="18" fillId="0" borderId="0" applyAlignment="1" pivotButton="0" quotePrefix="0" xfId="0">
      <alignment wrapText="1"/>
    </xf>
    <xf numFmtId="0" fontId="20" fillId="0" borderId="0" pivotButton="0" quotePrefix="0" xfId="0"/>
    <xf numFmtId="0" fontId="18" fillId="2" borderId="0" pivotButton="0" quotePrefix="0" xfId="0"/>
    <xf numFmtId="0" fontId="1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3" borderId="0" applyAlignment="1" pivotButton="0" quotePrefix="0" xfId="0">
      <alignment vertical="top" wrapText="1"/>
    </xf>
    <xf numFmtId="0" fontId="23" fillId="4" borderId="0" applyAlignment="1" pivotButton="0" quotePrefix="0" xfId="0">
      <alignment vertical="top" wrapText="1"/>
    </xf>
    <xf numFmtId="0" fontId="24" fillId="5" borderId="0" applyAlignment="1" pivotButton="0" quotePrefix="0" xfId="0">
      <alignment vertical="top" wrapText="1"/>
    </xf>
    <xf numFmtId="0" fontId="25" fillId="6" borderId="0" applyAlignment="1" pivotButton="0" quotePrefix="0" xfId="0">
      <alignment vertical="top" wrapText="1"/>
    </xf>
    <xf numFmtId="0" fontId="26" fillId="7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color rgb="00595959"/>
      </font>
      <fill>
        <patternFill patternType="solid">
          <fgColor rgb="00E7E6E6"/>
          <bgColor rgb="00E7E6E6"/>
        </patternFill>
      </fill>
    </dxf>
    <dxf>
      <font>
        <b val="1"/>
        <color rgb="009C0006"/>
      </font>
      <fill>
        <patternFill patternType="solid">
          <fgColor rgb="00F8CBCB"/>
          <bgColor rgb="00F8CBCB"/>
        </patternFill>
      </fill>
    </dxf>
    <dxf>
      <font>
        <color rgb="009C0006"/>
      </font>
      <fill>
        <patternFill patternType="solid">
          <fgColor rgb="00F8CBCB"/>
          <bgColor rgb="00F8CBCB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color rgb="00833C0B"/>
      </font>
      <fill>
        <patternFill patternType="solid">
          <fgColor rgb="00F8CBAD"/>
          <bgColor rgb="00F8CBAD"/>
        </patternFill>
      </fill>
    </dxf>
    <dxf>
      <font>
        <color rgb="00403151"/>
      </font>
      <fill>
        <patternFill patternType="solid">
          <fgColor rgb="00E4DFEC"/>
          <bgColor rgb="00E4DFEC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Tracker</author>
  </authors>
  <commentList>
    <comment ref="B2" authorId="0" shapeId="0">
      <text>
        <t>Type the date you last checked the sheet (Ctrl+; for today). Rows whose 'Last updated on' is on or after it turn blue, and the count appears to the right.</t>
      </text>
    </comment>
  </commentList>
</comments>
</file>

<file path=xl/tables/table1.xml><?xml version="1.0" encoding="utf-8"?>
<table xmlns="http://schemas.openxmlformats.org/spreadsheetml/2006/main" id="1" name="CaseloadTable" displayName="CaseloadTable" ref="A4:AC404" headerRowCount="1">
  <autoFilter ref="A4:AC404"/>
  <tableColumns count="29">
    <tableColumn id="1" name="Name"/>
    <tableColumn id="2" name="NHS number"/>
    <tableColumn id="3" name="DOB"/>
    <tableColumn id="4" name="Parity"/>
    <tableColumn id="5" name="MLC/CLC"/>
    <tableColumn id="6" name="EDD"/>
    <tableColumn id="7" name="Booking date"/>
    <tableColumn id="8" name="Status"/>
    <tableColumn id="9" name="Gestation today"/>
    <tableColumn id="10" name="Overdue"/>
    <tableColumn id="11" name="Due in 7 days"/>
    <tableColumn id="12" name="Next appt"/>
    <tableColumn id="13" name="Next appt due"/>
    <tableColumn id="14" name="16/40"/>
    <tableColumn id="15" name="25/40"/>
    <tableColumn id="16" name="28/40"/>
    <tableColumn id="17" name="31/40"/>
    <tableColumn id="18" name="34/40"/>
    <tableColumn id="19" name="36/40"/>
    <tableColumn id="20" name="38/40"/>
    <tableColumn id="21" name="40/40"/>
    <tableColumn id="22" name="GTT booked"/>
    <tableColumn id="23" name="Anti-D ordered"/>
    <tableColumn id="24" name="BP fortnightly"/>
    <tableColumn id="25" name="Bloods needed"/>
    <tableColumn id="26" name="IOL booked"/>
    <tableColumn id="27" name="Info"/>
    <tableColumn id="28" name="Last updated by"/>
    <tableColumn id="29" name="Last updated on"/>
  </tableColumns>
  <tableStyleInfo name="TableStyleLight1" showRowStripes="1"/>
</table>
</file>

<file path=xl/tables/table2.xml><?xml version="1.0" encoding="utf-8"?>
<table xmlns="http://schemas.openxmlformats.org/spreadsheetml/2006/main" id="2" name="UpdateLog" displayName="UpdateLog" ref="A3:E503" headerRowCount="1">
  <autoFilter ref="A3:E503"/>
  <tableColumns count="5">
    <tableColumn id="1" name="Date"/>
    <tableColumn id="2" name="Staff"/>
    <tableColumn id="3" name="Patient name"/>
    <tableColumn id="4" name="NHS number"/>
    <tableColumn id="5" name="What was done / chang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4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8" customWidth="1" min="4" max="4"/>
    <col width="9" customWidth="1" min="5" max="5"/>
    <col width="11" customWidth="1" min="6" max="6"/>
    <col width="11" customWidth="1" min="7" max="7"/>
    <col width="13" customWidth="1" min="8" max="8"/>
    <col width="10" customWidth="1" min="9" max="9"/>
    <col width="9" customWidth="1" min="10" max="10"/>
    <col width="9" customWidth="1" min="11" max="11"/>
    <col width="9" customWidth="1" min="12" max="12"/>
    <col width="11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40" customWidth="1" min="27" max="27"/>
    <col width="15" customWidth="1" min="28" max="28"/>
    <col width="12" customWidth="1" min="29" max="29"/>
  </cols>
  <sheetData>
    <row r="1">
      <c r="A1" s="1" t="inlineStr">
        <is>
          <t>Antenatal Caseload Tracker</t>
        </is>
      </c>
      <c r="C1" s="2" t="inlineStr">
        <is>
          <t>Today</t>
        </is>
      </c>
      <c r="D1" s="2" t="n"/>
      <c r="E1" s="2" t="inlineStr">
        <is>
          <t>Active</t>
        </is>
      </c>
      <c r="F1" s="2" t="inlineStr">
        <is>
          <t>Pts overdue</t>
        </is>
      </c>
      <c r="G1" s="2" t="inlineStr">
        <is>
          <t>Pts due ≤7d</t>
        </is>
      </c>
      <c r="H1" s="2" t="inlineStr">
        <is>
          <t>Updated since</t>
        </is>
      </c>
      <c r="N1" s="3" t="inlineStr">
        <is>
          <t>Key:</t>
        </is>
      </c>
    </row>
    <row r="2" ht="26" customHeight="1">
      <c r="A2" s="4" t="inlineStr">
        <is>
          <t>Highlight updates since:</t>
        </is>
      </c>
      <c r="B2" s="5" t="n"/>
      <c r="C2" s="6">
        <f>TODAY()</f>
        <v/>
      </c>
      <c r="D2" s="7" t="n"/>
      <c r="E2" s="7">
        <f>SUMPRODUCT(($A$5:$A$404&lt;&gt;"")*(($H$5:$H$404="")+($H$5:$H$404="Active")))</f>
        <v/>
      </c>
      <c r="F2" s="8">
        <f>COUNTIF($J$5:$J$404,"&gt;0")</f>
        <v/>
      </c>
      <c r="G2" s="9">
        <f>COUNTIF($K$5:$K$404,"&gt;0")</f>
        <v/>
      </c>
      <c r="H2" s="10">
        <f>IF($B$2="","-",COUNTIF($AC$5:$AC$404,"&gt;="&amp;$B$2))</f>
        <v/>
      </c>
      <c r="N2" s="11" t="inlineStr">
        <is>
          <t>Overdue / date passed</t>
        </is>
      </c>
      <c r="O2" s="12" t="inlineStr">
        <is>
          <t>Due in next 7 days</t>
        </is>
      </c>
      <c r="P2" s="13" t="inlineStr">
        <is>
          <t>Done</t>
        </is>
      </c>
      <c r="Q2" s="14" t="inlineStr">
        <is>
          <t>N/A or not active</t>
        </is>
      </c>
      <c r="R2" s="15" t="inlineStr">
        <is>
          <t>Updated since your date</t>
        </is>
      </c>
      <c r="S2" s="16" t="inlineStr">
        <is>
          <t>NHS no. invalid</t>
        </is>
      </c>
      <c r="T2" s="17" t="inlineStr">
        <is>
          <t>NHS no. duplicate</t>
        </is>
      </c>
    </row>
    <row r="3">
      <c r="A3" s="18" t="inlineStr">
        <is>
          <t>Patient</t>
        </is>
      </c>
      <c r="B3" s="19" t="n"/>
      <c r="C3" s="19" t="n"/>
      <c r="D3" s="19" t="n"/>
      <c r="E3" s="19" t="n"/>
      <c r="F3" s="19" t="n"/>
      <c r="G3" s="19" t="n"/>
      <c r="H3" s="19" t="n"/>
      <c r="I3" s="20" t="inlineStr">
        <is>
          <t>Auto (don't type)</t>
        </is>
      </c>
      <c r="J3" s="21" t="n"/>
      <c r="K3" s="21" t="n"/>
      <c r="L3" s="21" t="n"/>
      <c r="M3" s="21" t="n"/>
      <c r="N3" s="22" t="inlineStr">
        <is>
          <t>Appointments: enter date seen, DNA or N/A</t>
        </is>
      </c>
      <c r="O3" s="23" t="n"/>
      <c r="P3" s="23" t="n"/>
      <c r="Q3" s="23" t="n"/>
      <c r="R3" s="23" t="n"/>
      <c r="S3" s="23" t="n"/>
      <c r="T3" s="23" t="n"/>
      <c r="U3" s="23" t="n"/>
      <c r="V3" s="24" t="inlineStr">
        <is>
          <t>Actions: enter date booked/due, then 'Done'</t>
        </is>
      </c>
      <c r="W3" s="25" t="n"/>
      <c r="X3" s="25" t="n"/>
      <c r="Y3" s="25" t="n"/>
      <c r="Z3" s="25" t="n"/>
      <c r="AA3" s="26" t="inlineStr">
        <is>
          <t>Notes &amp; audit</t>
        </is>
      </c>
      <c r="AB3" s="27" t="n"/>
      <c r="AC3" s="27" t="n"/>
    </row>
    <row r="4" ht="30" customHeight="1">
      <c r="A4" s="28" t="inlineStr">
        <is>
          <t>Name</t>
        </is>
      </c>
      <c r="B4" s="28" t="inlineStr">
        <is>
          <t>NHS number</t>
        </is>
      </c>
      <c r="C4" s="28" t="inlineStr">
        <is>
          <t>DOB</t>
        </is>
      </c>
      <c r="D4" s="28" t="inlineStr">
        <is>
          <t>Parity</t>
        </is>
      </c>
      <c r="E4" s="28" t="inlineStr">
        <is>
          <t>MLC/CLC</t>
        </is>
      </c>
      <c r="F4" s="28" t="inlineStr">
        <is>
          <t>EDD</t>
        </is>
      </c>
      <c r="G4" s="28" t="inlineStr">
        <is>
          <t>Booking date</t>
        </is>
      </c>
      <c r="H4" s="28" t="inlineStr">
        <is>
          <t>Status</t>
        </is>
      </c>
      <c r="I4" s="28" t="inlineStr">
        <is>
          <t>Gestation today</t>
        </is>
      </c>
      <c r="J4" s="28" t="inlineStr">
        <is>
          <t>Overdue</t>
        </is>
      </c>
      <c r="K4" s="28" t="inlineStr">
        <is>
          <t>Due in 7 days</t>
        </is>
      </c>
      <c r="L4" s="28" t="inlineStr">
        <is>
          <t>Next appt</t>
        </is>
      </c>
      <c r="M4" s="28" t="inlineStr">
        <is>
          <t>Next appt due</t>
        </is>
      </c>
      <c r="N4" s="28" t="inlineStr">
        <is>
          <t>16/40</t>
        </is>
      </c>
      <c r="O4" s="28" t="inlineStr">
        <is>
          <t>25/40</t>
        </is>
      </c>
      <c r="P4" s="28" t="inlineStr">
        <is>
          <t>28/40</t>
        </is>
      </c>
      <c r="Q4" s="28" t="inlineStr">
        <is>
          <t>31/40</t>
        </is>
      </c>
      <c r="R4" s="28" t="inlineStr">
        <is>
          <t>34/40</t>
        </is>
      </c>
      <c r="S4" s="28" t="inlineStr">
        <is>
          <t>36/40</t>
        </is>
      </c>
      <c r="T4" s="28" t="inlineStr">
        <is>
          <t>38/40</t>
        </is>
      </c>
      <c r="U4" s="28" t="inlineStr">
        <is>
          <t>40/40</t>
        </is>
      </c>
      <c r="V4" s="28" t="inlineStr">
        <is>
          <t>GTT booked</t>
        </is>
      </c>
      <c r="W4" s="28" t="inlineStr">
        <is>
          <t>Anti-D ordered</t>
        </is>
      </c>
      <c r="X4" s="28" t="inlineStr">
        <is>
          <t>BP fortnightly</t>
        </is>
      </c>
      <c r="Y4" s="28" t="inlineStr">
        <is>
          <t>Bloods needed</t>
        </is>
      </c>
      <c r="Z4" s="28" t="inlineStr">
        <is>
          <t>IOL booked</t>
        </is>
      </c>
      <c r="AA4" s="28" t="inlineStr">
        <is>
          <t>Info</t>
        </is>
      </c>
      <c r="AB4" s="28" t="inlineStr">
        <is>
          <t>Last updated by</t>
        </is>
      </c>
      <c r="AC4" s="28" t="inlineStr">
        <is>
          <t>Last updated on</t>
        </is>
      </c>
    </row>
    <row r="5">
      <c r="A5" s="29" t="n"/>
      <c r="B5" s="30" t="n"/>
      <c r="C5" s="31" t="n"/>
      <c r="D5" s="29" t="n"/>
      <c r="E5" s="29" t="n"/>
      <c r="F5" s="31" t="n"/>
      <c r="G5" s="31" t="n"/>
      <c r="H5" s="29" t="n"/>
      <c r="I5" s="32">
        <f>IF(OR(NOT(AND($A5&lt;&gt;"",OR($H5="",$H5="Active"))),$F5=""),"",INT((TODAY()-$F5+280)/7)&amp;"+"&amp;MOD(TODAY()-$F5+280,7))</f>
        <v/>
      </c>
      <c r="J5" s="32">
        <f>IF(NOT(AND($A5&lt;&gt;"",OR($H5="",$H5="Active"))),"",IF($F5="",0,SUMPRODUCT(($N5:$U5="")*(($F5-(40-VALUE(LEFT($N$4:$U$4,2)))*7)&lt;TODAY())))+COUNTIF($N5:$U5,"DNA")+COUNTIF($V5:$Z5,"&lt;"&amp;TODAY()))</f>
        <v/>
      </c>
      <c r="K5" s="32">
        <f>IF(NOT(AND($A5&lt;&gt;"",OR($H5="",$H5="Active"))),"",IF($F5="",0,SUMPRODUCT(($N5:$U5="")*(($F5-(40-VALUE(LEFT($N$4:$U$4,2)))*7)&gt;=TODAY())*(($F5-(40-VALUE(LEFT($N$4:$U$4,2)))*7)&lt;=TODAY()+7)))+COUNTIFS($V5:$Z5,"&gt;="&amp;TODAY(),$V5:$Z5,"&lt;="&amp;TODAY()+7))</f>
        <v/>
      </c>
      <c r="L5" s="32">
        <f>IF(OR(NOT(AND($A5&lt;&gt;"",OR($H5="",$H5="Active"))),$F5=""),"",IF(N5="",N$4,IF(O5="",O$4,IF(P5="",P$4,IF(Q5="",Q$4,IF(R5="",R$4,IF(S5="",S$4,IF(T5="",T$4,IF(U5="",U$4,"All done")))))))))</f>
        <v/>
      </c>
      <c r="M5" s="33">
        <f>IF(OR($L5="",$L5="All done"),"",($F5-(40-VALUE(LEFT($L5,2)))*7))</f>
        <v/>
      </c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  <c r="X5" s="31" t="n"/>
      <c r="Y5" s="31" t="n"/>
      <c r="Z5" s="31" t="n"/>
      <c r="AA5" s="34" t="n"/>
      <c r="AB5" s="29" t="n"/>
      <c r="AC5" s="31" t="n"/>
    </row>
    <row r="6">
      <c r="A6" s="29" t="n"/>
      <c r="B6" s="30" t="n"/>
      <c r="C6" s="31" t="n"/>
      <c r="D6" s="29" t="n"/>
      <c r="E6" s="29" t="n"/>
      <c r="F6" s="31" t="n"/>
      <c r="G6" s="31" t="n"/>
      <c r="H6" s="29" t="n"/>
      <c r="I6" s="32">
        <f>IF(OR(NOT(AND($A6&lt;&gt;"",OR($H6="",$H6="Active"))),$F6=""),"",INT((TODAY()-$F6+280)/7)&amp;"+"&amp;MOD(TODAY()-$F6+280,7))</f>
        <v/>
      </c>
      <c r="J6" s="32">
        <f>IF(NOT(AND($A6&lt;&gt;"",OR($H6="",$H6="Active"))),"",IF($F6="",0,SUMPRODUCT(($N6:$U6="")*(($F6-(40-VALUE(LEFT($N$4:$U$4,2)))*7)&lt;TODAY())))+COUNTIF($N6:$U6,"DNA")+COUNTIF($V6:$Z6,"&lt;"&amp;TODAY()))</f>
        <v/>
      </c>
      <c r="K6" s="32">
        <f>IF(NOT(AND($A6&lt;&gt;"",OR($H6="",$H6="Active"))),"",IF($F6="",0,SUMPRODUCT(($N6:$U6="")*(($F6-(40-VALUE(LEFT($N$4:$U$4,2)))*7)&gt;=TODAY())*(($F6-(40-VALUE(LEFT($N$4:$U$4,2)))*7)&lt;=TODAY()+7)))+COUNTIFS($V6:$Z6,"&gt;="&amp;TODAY(),$V6:$Z6,"&lt;="&amp;TODAY()+7))</f>
        <v/>
      </c>
      <c r="L6" s="32">
        <f>IF(OR(NOT(AND($A6&lt;&gt;"",OR($H6="",$H6="Active"))),$F6=""),"",IF(N6="",N$4,IF(O6="",O$4,IF(P6="",P$4,IF(Q6="",Q$4,IF(R6="",R$4,IF(S6="",S$4,IF(T6="",T$4,IF(U6="",U$4,"All done")))))))))</f>
        <v/>
      </c>
      <c r="M6" s="33">
        <f>IF(OR($L6="",$L6="All done"),"",($F6-(40-VALUE(LEFT($L6,2)))*7))</f>
        <v/>
      </c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4" t="n"/>
      <c r="AB6" s="29" t="n"/>
      <c r="AC6" s="31" t="n"/>
    </row>
    <row r="7">
      <c r="A7" s="29" t="n"/>
      <c r="B7" s="30" t="n"/>
      <c r="C7" s="31" t="n"/>
      <c r="D7" s="29" t="n"/>
      <c r="E7" s="29" t="n"/>
      <c r="F7" s="31" t="n"/>
      <c r="G7" s="31" t="n"/>
      <c r="H7" s="29" t="n"/>
      <c r="I7" s="32">
        <f>IF(OR(NOT(AND($A7&lt;&gt;"",OR($H7="",$H7="Active"))),$F7=""),"",INT((TODAY()-$F7+280)/7)&amp;"+"&amp;MOD(TODAY()-$F7+280,7))</f>
        <v/>
      </c>
      <c r="J7" s="32">
        <f>IF(NOT(AND($A7&lt;&gt;"",OR($H7="",$H7="Active"))),"",IF($F7="",0,SUMPRODUCT(($N7:$U7="")*(($F7-(40-VALUE(LEFT($N$4:$U$4,2)))*7)&lt;TODAY())))+COUNTIF($N7:$U7,"DNA")+COUNTIF($V7:$Z7,"&lt;"&amp;TODAY()))</f>
        <v/>
      </c>
      <c r="K7" s="32">
        <f>IF(NOT(AND($A7&lt;&gt;"",OR($H7="",$H7="Active"))),"",IF($F7="",0,SUMPRODUCT(($N7:$U7="")*(($F7-(40-VALUE(LEFT($N$4:$U$4,2)))*7)&gt;=TODAY())*(($F7-(40-VALUE(LEFT($N$4:$U$4,2)))*7)&lt;=TODAY()+7)))+COUNTIFS($V7:$Z7,"&gt;="&amp;TODAY(),$V7:$Z7,"&lt;="&amp;TODAY()+7))</f>
        <v/>
      </c>
      <c r="L7" s="32">
        <f>IF(OR(NOT(AND($A7&lt;&gt;"",OR($H7="",$H7="Active"))),$F7=""),"",IF(N7="",N$4,IF(O7="",O$4,IF(P7="",P$4,IF(Q7="",Q$4,IF(R7="",R$4,IF(S7="",S$4,IF(T7="",T$4,IF(U7="",U$4,"All done")))))))))</f>
        <v/>
      </c>
      <c r="M7" s="33">
        <f>IF(OR($L7="",$L7="All done"),"",($F7-(40-VALUE(LEFT($L7,2)))*7))</f>
        <v/>
      </c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4" t="n"/>
      <c r="AB7" s="29" t="n"/>
      <c r="AC7" s="31" t="n"/>
    </row>
    <row r="8">
      <c r="A8" s="29" t="n"/>
      <c r="B8" s="30" t="n"/>
      <c r="C8" s="31" t="n"/>
      <c r="D8" s="29" t="n"/>
      <c r="E8" s="29" t="n"/>
      <c r="F8" s="31" t="n"/>
      <c r="G8" s="31" t="n"/>
      <c r="H8" s="29" t="n"/>
      <c r="I8" s="32">
        <f>IF(OR(NOT(AND($A8&lt;&gt;"",OR($H8="",$H8="Active"))),$F8=""),"",INT((TODAY()-$F8+280)/7)&amp;"+"&amp;MOD(TODAY()-$F8+280,7))</f>
        <v/>
      </c>
      <c r="J8" s="32">
        <f>IF(NOT(AND($A8&lt;&gt;"",OR($H8="",$H8="Active"))),"",IF($F8="",0,SUMPRODUCT(($N8:$U8="")*(($F8-(40-VALUE(LEFT($N$4:$U$4,2)))*7)&lt;TODAY())))+COUNTIF($N8:$U8,"DNA")+COUNTIF($V8:$Z8,"&lt;"&amp;TODAY()))</f>
        <v/>
      </c>
      <c r="K8" s="32">
        <f>IF(NOT(AND($A8&lt;&gt;"",OR($H8="",$H8="Active"))),"",IF($F8="",0,SUMPRODUCT(($N8:$U8="")*(($F8-(40-VALUE(LEFT($N$4:$U$4,2)))*7)&gt;=TODAY())*(($F8-(40-VALUE(LEFT($N$4:$U$4,2)))*7)&lt;=TODAY()+7)))+COUNTIFS($V8:$Z8,"&gt;="&amp;TODAY(),$V8:$Z8,"&lt;="&amp;TODAY()+7))</f>
        <v/>
      </c>
      <c r="L8" s="32">
        <f>IF(OR(NOT(AND($A8&lt;&gt;"",OR($H8="",$H8="Active"))),$F8=""),"",IF(N8="",N$4,IF(O8="",O$4,IF(P8="",P$4,IF(Q8="",Q$4,IF(R8="",R$4,IF(S8="",S$4,IF(T8="",T$4,IF(U8="",U$4,"All done")))))))))</f>
        <v/>
      </c>
      <c r="M8" s="33">
        <f>IF(OR($L8="",$L8="All done"),"",($F8-(40-VALUE(LEFT($L8,2)))*7))</f>
        <v/>
      </c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4" t="n"/>
      <c r="AB8" s="29" t="n"/>
      <c r="AC8" s="31" t="n"/>
    </row>
    <row r="9">
      <c r="A9" s="29" t="n"/>
      <c r="B9" s="30" t="n"/>
      <c r="C9" s="31" t="n"/>
      <c r="D9" s="29" t="n"/>
      <c r="E9" s="29" t="n"/>
      <c r="F9" s="31" t="n"/>
      <c r="G9" s="31" t="n"/>
      <c r="H9" s="29" t="n"/>
      <c r="I9" s="32">
        <f>IF(OR(NOT(AND($A9&lt;&gt;"",OR($H9="",$H9="Active"))),$F9=""),"",INT((TODAY()-$F9+280)/7)&amp;"+"&amp;MOD(TODAY()-$F9+280,7))</f>
        <v/>
      </c>
      <c r="J9" s="32">
        <f>IF(NOT(AND($A9&lt;&gt;"",OR($H9="",$H9="Active"))),"",IF($F9="",0,SUMPRODUCT(($N9:$U9="")*(($F9-(40-VALUE(LEFT($N$4:$U$4,2)))*7)&lt;TODAY())))+COUNTIF($N9:$U9,"DNA")+COUNTIF($V9:$Z9,"&lt;"&amp;TODAY()))</f>
        <v/>
      </c>
      <c r="K9" s="32">
        <f>IF(NOT(AND($A9&lt;&gt;"",OR($H9="",$H9="Active"))),"",IF($F9="",0,SUMPRODUCT(($N9:$U9="")*(($F9-(40-VALUE(LEFT($N$4:$U$4,2)))*7)&gt;=TODAY())*(($F9-(40-VALUE(LEFT($N$4:$U$4,2)))*7)&lt;=TODAY()+7)))+COUNTIFS($V9:$Z9,"&gt;="&amp;TODAY(),$V9:$Z9,"&lt;="&amp;TODAY()+7))</f>
        <v/>
      </c>
      <c r="L9" s="32">
        <f>IF(OR(NOT(AND($A9&lt;&gt;"",OR($H9="",$H9="Active"))),$F9=""),"",IF(N9="",N$4,IF(O9="",O$4,IF(P9="",P$4,IF(Q9="",Q$4,IF(R9="",R$4,IF(S9="",S$4,IF(T9="",T$4,IF(U9="",U$4,"All done")))))))))</f>
        <v/>
      </c>
      <c r="M9" s="33">
        <f>IF(OR($L9="",$L9="All done"),"",($F9-(40-VALUE(LEFT($L9,2)))*7))</f>
        <v/>
      </c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W9" s="31" t="n"/>
      <c r="X9" s="31" t="n"/>
      <c r="Y9" s="31" t="n"/>
      <c r="Z9" s="31" t="n"/>
      <c r="AA9" s="34" t="n"/>
      <c r="AB9" s="29" t="n"/>
      <c r="AC9" s="31" t="n"/>
    </row>
    <row r="10">
      <c r="A10" s="29" t="n"/>
      <c r="B10" s="30" t="n"/>
      <c r="C10" s="31" t="n"/>
      <c r="D10" s="29" t="n"/>
      <c r="E10" s="29" t="n"/>
      <c r="F10" s="31" t="n"/>
      <c r="G10" s="31" t="n"/>
      <c r="H10" s="29" t="n"/>
      <c r="I10" s="32">
        <f>IF(OR(NOT(AND($A10&lt;&gt;"",OR($H10="",$H10="Active"))),$F10=""),"",INT((TODAY()-$F10+280)/7)&amp;"+"&amp;MOD(TODAY()-$F10+280,7))</f>
        <v/>
      </c>
      <c r="J10" s="32">
        <f>IF(NOT(AND($A10&lt;&gt;"",OR($H10="",$H10="Active"))),"",IF($F10="",0,SUMPRODUCT(($N10:$U10="")*(($F10-(40-VALUE(LEFT($N$4:$U$4,2)))*7)&lt;TODAY())))+COUNTIF($N10:$U10,"DNA")+COUNTIF($V10:$Z10,"&lt;"&amp;TODAY()))</f>
        <v/>
      </c>
      <c r="K10" s="32">
        <f>IF(NOT(AND($A10&lt;&gt;"",OR($H10="",$H10="Active"))),"",IF($F10="",0,SUMPRODUCT(($N10:$U10="")*(($F10-(40-VALUE(LEFT($N$4:$U$4,2)))*7)&gt;=TODAY())*(($F10-(40-VALUE(LEFT($N$4:$U$4,2)))*7)&lt;=TODAY()+7)))+COUNTIFS($V10:$Z10,"&gt;="&amp;TODAY(),$V10:$Z10,"&lt;="&amp;TODAY()+7))</f>
        <v/>
      </c>
      <c r="L10" s="32">
        <f>IF(OR(NOT(AND($A10&lt;&gt;"",OR($H10="",$H10="Active"))),$F10=""),"",IF(N10="",N$4,IF(O10="",O$4,IF(P10="",P$4,IF(Q10="",Q$4,IF(R10="",R$4,IF(S10="",S$4,IF(T10="",T$4,IF(U10="",U$4,"All done")))))))))</f>
        <v/>
      </c>
      <c r="M10" s="33">
        <f>IF(OR($L10="",$L10="All done"),"",($F10-(40-VALUE(LEFT($L10,2)))*7))</f>
        <v/>
      </c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W10" s="31" t="n"/>
      <c r="X10" s="31" t="n"/>
      <c r="Y10" s="31" t="n"/>
      <c r="Z10" s="31" t="n"/>
      <c r="AA10" s="34" t="n"/>
      <c r="AB10" s="29" t="n"/>
      <c r="AC10" s="31" t="n"/>
    </row>
    <row r="11">
      <c r="A11" s="29" t="n"/>
      <c r="B11" s="30" t="n"/>
      <c r="C11" s="31" t="n"/>
      <c r="D11" s="29" t="n"/>
      <c r="E11" s="29" t="n"/>
      <c r="F11" s="31" t="n"/>
      <c r="G11" s="31" t="n"/>
      <c r="H11" s="29" t="n"/>
      <c r="I11" s="32">
        <f>IF(OR(NOT(AND($A11&lt;&gt;"",OR($H11="",$H11="Active"))),$F11=""),"",INT((TODAY()-$F11+280)/7)&amp;"+"&amp;MOD(TODAY()-$F11+280,7))</f>
        <v/>
      </c>
      <c r="J11" s="32">
        <f>IF(NOT(AND($A11&lt;&gt;"",OR($H11="",$H11="Active"))),"",IF($F11="",0,SUMPRODUCT(($N11:$U11="")*(($F11-(40-VALUE(LEFT($N$4:$U$4,2)))*7)&lt;TODAY())))+COUNTIF($N11:$U11,"DNA")+COUNTIF($V11:$Z11,"&lt;"&amp;TODAY()))</f>
        <v/>
      </c>
      <c r="K11" s="32">
        <f>IF(NOT(AND($A11&lt;&gt;"",OR($H11="",$H11="Active"))),"",IF($F11="",0,SUMPRODUCT(($N11:$U11="")*(($F11-(40-VALUE(LEFT($N$4:$U$4,2)))*7)&gt;=TODAY())*(($F11-(40-VALUE(LEFT($N$4:$U$4,2)))*7)&lt;=TODAY()+7)))+COUNTIFS($V11:$Z11,"&gt;="&amp;TODAY(),$V11:$Z11,"&lt;="&amp;TODAY()+7))</f>
        <v/>
      </c>
      <c r="L11" s="32">
        <f>IF(OR(NOT(AND($A11&lt;&gt;"",OR($H11="",$H11="Active"))),$F11=""),"",IF(N11="",N$4,IF(O11="",O$4,IF(P11="",P$4,IF(Q11="",Q$4,IF(R11="",R$4,IF(S11="",S$4,IF(T11="",T$4,IF(U11="",U$4,"All done")))))))))</f>
        <v/>
      </c>
      <c r="M11" s="33">
        <f>IF(OR($L11="",$L11="All done"),"",($F11-(40-VALUE(LEFT($L11,2)))*7))</f>
        <v/>
      </c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Z11" s="31" t="n"/>
      <c r="AA11" s="34" t="n"/>
      <c r="AB11" s="29" t="n"/>
      <c r="AC11" s="31" t="n"/>
    </row>
    <row r="12">
      <c r="A12" s="29" t="n"/>
      <c r="B12" s="30" t="n"/>
      <c r="C12" s="31" t="n"/>
      <c r="D12" s="29" t="n"/>
      <c r="E12" s="29" t="n"/>
      <c r="F12" s="31" t="n"/>
      <c r="G12" s="31" t="n"/>
      <c r="H12" s="29" t="n"/>
      <c r="I12" s="32">
        <f>IF(OR(NOT(AND($A12&lt;&gt;"",OR($H12="",$H12="Active"))),$F12=""),"",INT((TODAY()-$F12+280)/7)&amp;"+"&amp;MOD(TODAY()-$F12+280,7))</f>
        <v/>
      </c>
      <c r="J12" s="32">
        <f>IF(NOT(AND($A12&lt;&gt;"",OR($H12="",$H12="Active"))),"",IF($F12="",0,SUMPRODUCT(($N12:$U12="")*(($F12-(40-VALUE(LEFT($N$4:$U$4,2)))*7)&lt;TODAY())))+COUNTIF($N12:$U12,"DNA")+COUNTIF($V12:$Z12,"&lt;"&amp;TODAY()))</f>
        <v/>
      </c>
      <c r="K12" s="32">
        <f>IF(NOT(AND($A12&lt;&gt;"",OR($H12="",$H12="Active"))),"",IF($F12="",0,SUMPRODUCT(($N12:$U12="")*(($F12-(40-VALUE(LEFT($N$4:$U$4,2)))*7)&gt;=TODAY())*(($F12-(40-VALUE(LEFT($N$4:$U$4,2)))*7)&lt;=TODAY()+7)))+COUNTIFS($V12:$Z12,"&gt;="&amp;TODAY(),$V12:$Z12,"&lt;="&amp;TODAY()+7))</f>
        <v/>
      </c>
      <c r="L12" s="32">
        <f>IF(OR(NOT(AND($A12&lt;&gt;"",OR($H12="",$H12="Active"))),$F12=""),"",IF(N12="",N$4,IF(O12="",O$4,IF(P12="",P$4,IF(Q12="",Q$4,IF(R12="",R$4,IF(S12="",S$4,IF(T12="",T$4,IF(U12="",U$4,"All done")))))))))</f>
        <v/>
      </c>
      <c r="M12" s="33">
        <f>IF(OR($L12="",$L12="All done"),"",($F12-(40-VALUE(LEFT($L12,2)))*7))</f>
        <v/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1" t="n"/>
      <c r="AA12" s="34" t="n"/>
      <c r="AB12" s="29" t="n"/>
      <c r="AC12" s="31" t="n"/>
    </row>
    <row r="13">
      <c r="A13" s="29" t="n"/>
      <c r="B13" s="30" t="n"/>
      <c r="C13" s="31" t="n"/>
      <c r="D13" s="29" t="n"/>
      <c r="E13" s="29" t="n"/>
      <c r="F13" s="31" t="n"/>
      <c r="G13" s="31" t="n"/>
      <c r="H13" s="29" t="n"/>
      <c r="I13" s="32">
        <f>IF(OR(NOT(AND($A13&lt;&gt;"",OR($H13="",$H13="Active"))),$F13=""),"",INT((TODAY()-$F13+280)/7)&amp;"+"&amp;MOD(TODAY()-$F13+280,7))</f>
        <v/>
      </c>
      <c r="J13" s="32">
        <f>IF(NOT(AND($A13&lt;&gt;"",OR($H13="",$H13="Active"))),"",IF($F13="",0,SUMPRODUCT(($N13:$U13="")*(($F13-(40-VALUE(LEFT($N$4:$U$4,2)))*7)&lt;TODAY())))+COUNTIF($N13:$U13,"DNA")+COUNTIF($V13:$Z13,"&lt;"&amp;TODAY()))</f>
        <v/>
      </c>
      <c r="K13" s="32">
        <f>IF(NOT(AND($A13&lt;&gt;"",OR($H13="",$H13="Active"))),"",IF($F13="",0,SUMPRODUCT(($N13:$U13="")*(($F13-(40-VALUE(LEFT($N$4:$U$4,2)))*7)&gt;=TODAY())*(($F13-(40-VALUE(LEFT($N$4:$U$4,2)))*7)&lt;=TODAY()+7)))+COUNTIFS($V13:$Z13,"&gt;="&amp;TODAY(),$V13:$Z13,"&lt;="&amp;TODAY()+7))</f>
        <v/>
      </c>
      <c r="L13" s="32">
        <f>IF(OR(NOT(AND($A13&lt;&gt;"",OR($H13="",$H13="Active"))),$F13=""),"",IF(N13="",N$4,IF(O13="",O$4,IF(P13="",P$4,IF(Q13="",Q$4,IF(R13="",R$4,IF(S13="",S$4,IF(T13="",T$4,IF(U13="",U$4,"All done")))))))))</f>
        <v/>
      </c>
      <c r="M13" s="33">
        <f>IF(OR($L13="",$L13="All done"),"",($F13-(40-VALUE(LEFT($L13,2)))*7))</f>
        <v/>
      </c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W13" s="31" t="n"/>
      <c r="X13" s="31" t="n"/>
      <c r="Y13" s="31" t="n"/>
      <c r="Z13" s="31" t="n"/>
      <c r="AA13" s="34" t="n"/>
      <c r="AB13" s="29" t="n"/>
      <c r="AC13" s="31" t="n"/>
    </row>
    <row r="14">
      <c r="A14" s="29" t="n"/>
      <c r="B14" s="30" t="n"/>
      <c r="C14" s="31" t="n"/>
      <c r="D14" s="29" t="n"/>
      <c r="E14" s="29" t="n"/>
      <c r="F14" s="31" t="n"/>
      <c r="G14" s="31" t="n"/>
      <c r="H14" s="29" t="n"/>
      <c r="I14" s="32">
        <f>IF(OR(NOT(AND($A14&lt;&gt;"",OR($H14="",$H14="Active"))),$F14=""),"",INT((TODAY()-$F14+280)/7)&amp;"+"&amp;MOD(TODAY()-$F14+280,7))</f>
        <v/>
      </c>
      <c r="J14" s="32">
        <f>IF(NOT(AND($A14&lt;&gt;"",OR($H14="",$H14="Active"))),"",IF($F14="",0,SUMPRODUCT(($N14:$U14="")*(($F14-(40-VALUE(LEFT($N$4:$U$4,2)))*7)&lt;TODAY())))+COUNTIF($N14:$U14,"DNA")+COUNTIF($V14:$Z14,"&lt;"&amp;TODAY()))</f>
        <v/>
      </c>
      <c r="K14" s="32">
        <f>IF(NOT(AND($A14&lt;&gt;"",OR($H14="",$H14="Active"))),"",IF($F14="",0,SUMPRODUCT(($N14:$U14="")*(($F14-(40-VALUE(LEFT($N$4:$U$4,2)))*7)&gt;=TODAY())*(($F14-(40-VALUE(LEFT($N$4:$U$4,2)))*7)&lt;=TODAY()+7)))+COUNTIFS($V14:$Z14,"&gt;="&amp;TODAY(),$V14:$Z14,"&lt;="&amp;TODAY()+7))</f>
        <v/>
      </c>
      <c r="L14" s="32">
        <f>IF(OR(NOT(AND($A14&lt;&gt;"",OR($H14="",$H14="Active"))),$F14=""),"",IF(N14="",N$4,IF(O14="",O$4,IF(P14="",P$4,IF(Q14="",Q$4,IF(R14="",R$4,IF(S14="",S$4,IF(T14="",T$4,IF(U14="",U$4,"All done")))))))))</f>
        <v/>
      </c>
      <c r="M14" s="33">
        <f>IF(OR($L14="",$L14="All done"),"",($F14-(40-VALUE(LEFT($L14,2)))*7))</f>
        <v/>
      </c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Z14" s="31" t="n"/>
      <c r="AA14" s="34" t="n"/>
      <c r="AB14" s="29" t="n"/>
      <c r="AC14" s="31" t="n"/>
    </row>
    <row r="15">
      <c r="A15" s="29" t="n"/>
      <c r="B15" s="30" t="n"/>
      <c r="C15" s="31" t="n"/>
      <c r="D15" s="29" t="n"/>
      <c r="E15" s="29" t="n"/>
      <c r="F15" s="31" t="n"/>
      <c r="G15" s="31" t="n"/>
      <c r="H15" s="29" t="n"/>
      <c r="I15" s="32">
        <f>IF(OR(NOT(AND($A15&lt;&gt;"",OR($H15="",$H15="Active"))),$F15=""),"",INT((TODAY()-$F15+280)/7)&amp;"+"&amp;MOD(TODAY()-$F15+280,7))</f>
        <v/>
      </c>
      <c r="J15" s="32">
        <f>IF(NOT(AND($A15&lt;&gt;"",OR($H15="",$H15="Active"))),"",IF($F15="",0,SUMPRODUCT(($N15:$U15="")*(($F15-(40-VALUE(LEFT($N$4:$U$4,2)))*7)&lt;TODAY())))+COUNTIF($N15:$U15,"DNA")+COUNTIF($V15:$Z15,"&lt;"&amp;TODAY()))</f>
        <v/>
      </c>
      <c r="K15" s="32">
        <f>IF(NOT(AND($A15&lt;&gt;"",OR($H15="",$H15="Active"))),"",IF($F15="",0,SUMPRODUCT(($N15:$U15="")*(($F15-(40-VALUE(LEFT($N$4:$U$4,2)))*7)&gt;=TODAY())*(($F15-(40-VALUE(LEFT($N$4:$U$4,2)))*7)&lt;=TODAY()+7)))+COUNTIFS($V15:$Z15,"&gt;="&amp;TODAY(),$V15:$Z15,"&lt;="&amp;TODAY()+7))</f>
        <v/>
      </c>
      <c r="L15" s="32">
        <f>IF(OR(NOT(AND($A15&lt;&gt;"",OR($H15="",$H15="Active"))),$F15=""),"",IF(N15="",N$4,IF(O15="",O$4,IF(P15="",P$4,IF(Q15="",Q$4,IF(R15="",R$4,IF(S15="",S$4,IF(T15="",T$4,IF(U15="",U$4,"All done")))))))))</f>
        <v/>
      </c>
      <c r="M15" s="33">
        <f>IF(OR($L15="",$L15="All done"),"",($F15-(40-VALUE(LEFT($L15,2)))*7))</f>
        <v/>
      </c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W15" s="31" t="n"/>
      <c r="X15" s="31" t="n"/>
      <c r="Y15" s="31" t="n"/>
      <c r="Z15" s="31" t="n"/>
      <c r="AA15" s="34" t="n"/>
      <c r="AB15" s="29" t="n"/>
      <c r="AC15" s="31" t="n"/>
    </row>
    <row r="16">
      <c r="A16" s="29" t="n"/>
      <c r="B16" s="30" t="n"/>
      <c r="C16" s="31" t="n"/>
      <c r="D16" s="29" t="n"/>
      <c r="E16" s="29" t="n"/>
      <c r="F16" s="31" t="n"/>
      <c r="G16" s="31" t="n"/>
      <c r="H16" s="29" t="n"/>
      <c r="I16" s="32">
        <f>IF(OR(NOT(AND($A16&lt;&gt;"",OR($H16="",$H16="Active"))),$F16=""),"",INT((TODAY()-$F16+280)/7)&amp;"+"&amp;MOD(TODAY()-$F16+280,7))</f>
        <v/>
      </c>
      <c r="J16" s="32">
        <f>IF(NOT(AND($A16&lt;&gt;"",OR($H16="",$H16="Active"))),"",IF($F16="",0,SUMPRODUCT(($N16:$U16="")*(($F16-(40-VALUE(LEFT($N$4:$U$4,2)))*7)&lt;TODAY())))+COUNTIF($N16:$U16,"DNA")+COUNTIF($V16:$Z16,"&lt;"&amp;TODAY()))</f>
        <v/>
      </c>
      <c r="K16" s="32">
        <f>IF(NOT(AND($A16&lt;&gt;"",OR($H16="",$H16="Active"))),"",IF($F16="",0,SUMPRODUCT(($N16:$U16="")*(($F16-(40-VALUE(LEFT($N$4:$U$4,2)))*7)&gt;=TODAY())*(($F16-(40-VALUE(LEFT($N$4:$U$4,2)))*7)&lt;=TODAY()+7)))+COUNTIFS($V16:$Z16,"&gt;="&amp;TODAY(),$V16:$Z16,"&lt;="&amp;TODAY()+7))</f>
        <v/>
      </c>
      <c r="L16" s="32">
        <f>IF(OR(NOT(AND($A16&lt;&gt;"",OR($H16="",$H16="Active"))),$F16=""),"",IF(N16="",N$4,IF(O16="",O$4,IF(P16="",P$4,IF(Q16="",Q$4,IF(R16="",R$4,IF(S16="",S$4,IF(T16="",T$4,IF(U16="",U$4,"All done")))))))))</f>
        <v/>
      </c>
      <c r="M16" s="33">
        <f>IF(OR($L16="",$L16="All done"),"",($F16-(40-VALUE(LEFT($L16,2)))*7))</f>
        <v/>
      </c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Z16" s="31" t="n"/>
      <c r="AA16" s="34" t="n"/>
      <c r="AB16" s="29" t="n"/>
      <c r="AC16" s="31" t="n"/>
    </row>
    <row r="17">
      <c r="A17" s="29" t="n"/>
      <c r="B17" s="30" t="n"/>
      <c r="C17" s="31" t="n"/>
      <c r="D17" s="29" t="n"/>
      <c r="E17" s="29" t="n"/>
      <c r="F17" s="31" t="n"/>
      <c r="G17" s="31" t="n"/>
      <c r="H17" s="29" t="n"/>
      <c r="I17" s="32">
        <f>IF(OR(NOT(AND($A17&lt;&gt;"",OR($H17="",$H17="Active"))),$F17=""),"",INT((TODAY()-$F17+280)/7)&amp;"+"&amp;MOD(TODAY()-$F17+280,7))</f>
        <v/>
      </c>
      <c r="J17" s="32">
        <f>IF(NOT(AND($A17&lt;&gt;"",OR($H17="",$H17="Active"))),"",IF($F17="",0,SUMPRODUCT(($N17:$U17="")*(($F17-(40-VALUE(LEFT($N$4:$U$4,2)))*7)&lt;TODAY())))+COUNTIF($N17:$U17,"DNA")+COUNTIF($V17:$Z17,"&lt;"&amp;TODAY()))</f>
        <v/>
      </c>
      <c r="K17" s="32">
        <f>IF(NOT(AND($A17&lt;&gt;"",OR($H17="",$H17="Active"))),"",IF($F17="",0,SUMPRODUCT(($N17:$U17="")*(($F17-(40-VALUE(LEFT($N$4:$U$4,2)))*7)&gt;=TODAY())*(($F17-(40-VALUE(LEFT($N$4:$U$4,2)))*7)&lt;=TODAY()+7)))+COUNTIFS($V17:$Z17,"&gt;="&amp;TODAY(),$V17:$Z17,"&lt;="&amp;TODAY()+7))</f>
        <v/>
      </c>
      <c r="L17" s="32">
        <f>IF(OR(NOT(AND($A17&lt;&gt;"",OR($H17="",$H17="Active"))),$F17=""),"",IF(N17="",N$4,IF(O17="",O$4,IF(P17="",P$4,IF(Q17="",Q$4,IF(R17="",R$4,IF(S17="",S$4,IF(T17="",T$4,IF(U17="",U$4,"All done")))))))))</f>
        <v/>
      </c>
      <c r="M17" s="33">
        <f>IF(OR($L17="",$L17="All done"),"",($F17-(40-VALUE(LEFT($L17,2)))*7))</f>
        <v/>
      </c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W17" s="31" t="n"/>
      <c r="X17" s="31" t="n"/>
      <c r="Y17" s="31" t="n"/>
      <c r="Z17" s="31" t="n"/>
      <c r="AA17" s="34" t="n"/>
      <c r="AB17" s="29" t="n"/>
      <c r="AC17" s="31" t="n"/>
    </row>
    <row r="18">
      <c r="A18" s="29" t="n"/>
      <c r="B18" s="30" t="n"/>
      <c r="C18" s="31" t="n"/>
      <c r="D18" s="29" t="n"/>
      <c r="E18" s="29" t="n"/>
      <c r="F18" s="31" t="n"/>
      <c r="G18" s="31" t="n"/>
      <c r="H18" s="29" t="n"/>
      <c r="I18" s="32">
        <f>IF(OR(NOT(AND($A18&lt;&gt;"",OR($H18="",$H18="Active"))),$F18=""),"",INT((TODAY()-$F18+280)/7)&amp;"+"&amp;MOD(TODAY()-$F18+280,7))</f>
        <v/>
      </c>
      <c r="J18" s="32">
        <f>IF(NOT(AND($A18&lt;&gt;"",OR($H18="",$H18="Active"))),"",IF($F18="",0,SUMPRODUCT(($N18:$U18="")*(($F18-(40-VALUE(LEFT($N$4:$U$4,2)))*7)&lt;TODAY())))+COUNTIF($N18:$U18,"DNA")+COUNTIF($V18:$Z18,"&lt;"&amp;TODAY()))</f>
        <v/>
      </c>
      <c r="K18" s="32">
        <f>IF(NOT(AND($A18&lt;&gt;"",OR($H18="",$H18="Active"))),"",IF($F18="",0,SUMPRODUCT(($N18:$U18="")*(($F18-(40-VALUE(LEFT($N$4:$U$4,2)))*7)&gt;=TODAY())*(($F18-(40-VALUE(LEFT($N$4:$U$4,2)))*7)&lt;=TODAY()+7)))+COUNTIFS($V18:$Z18,"&gt;="&amp;TODAY(),$V18:$Z18,"&lt;="&amp;TODAY()+7))</f>
        <v/>
      </c>
      <c r="L18" s="32">
        <f>IF(OR(NOT(AND($A18&lt;&gt;"",OR($H18="",$H18="Active"))),$F18=""),"",IF(N18="",N$4,IF(O18="",O$4,IF(P18="",P$4,IF(Q18="",Q$4,IF(R18="",R$4,IF(S18="",S$4,IF(T18="",T$4,IF(U18="",U$4,"All done")))))))))</f>
        <v/>
      </c>
      <c r="M18" s="33">
        <f>IF(OR($L18="",$L18="All done"),"",($F18-(40-VALUE(LEFT($L18,2)))*7))</f>
        <v/>
      </c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W18" s="31" t="n"/>
      <c r="X18" s="31" t="n"/>
      <c r="Y18" s="31" t="n"/>
      <c r="Z18" s="31" t="n"/>
      <c r="AA18" s="34" t="n"/>
      <c r="AB18" s="29" t="n"/>
      <c r="AC18" s="31" t="n"/>
    </row>
    <row r="19">
      <c r="A19" s="29" t="n"/>
      <c r="B19" s="30" t="n"/>
      <c r="C19" s="31" t="n"/>
      <c r="D19" s="29" t="n"/>
      <c r="E19" s="29" t="n"/>
      <c r="F19" s="31" t="n"/>
      <c r="G19" s="31" t="n"/>
      <c r="H19" s="29" t="n"/>
      <c r="I19" s="32">
        <f>IF(OR(NOT(AND($A19&lt;&gt;"",OR($H19="",$H19="Active"))),$F19=""),"",INT((TODAY()-$F19+280)/7)&amp;"+"&amp;MOD(TODAY()-$F19+280,7))</f>
        <v/>
      </c>
      <c r="J19" s="32">
        <f>IF(NOT(AND($A19&lt;&gt;"",OR($H19="",$H19="Active"))),"",IF($F19="",0,SUMPRODUCT(($N19:$U19="")*(($F19-(40-VALUE(LEFT($N$4:$U$4,2)))*7)&lt;TODAY())))+COUNTIF($N19:$U19,"DNA")+COUNTIF($V19:$Z19,"&lt;"&amp;TODAY()))</f>
        <v/>
      </c>
      <c r="K19" s="32">
        <f>IF(NOT(AND($A19&lt;&gt;"",OR($H19="",$H19="Active"))),"",IF($F19="",0,SUMPRODUCT(($N19:$U19="")*(($F19-(40-VALUE(LEFT($N$4:$U$4,2)))*7)&gt;=TODAY())*(($F19-(40-VALUE(LEFT($N$4:$U$4,2)))*7)&lt;=TODAY()+7)))+COUNTIFS($V19:$Z19,"&gt;="&amp;TODAY(),$V19:$Z19,"&lt;="&amp;TODAY()+7))</f>
        <v/>
      </c>
      <c r="L19" s="32">
        <f>IF(OR(NOT(AND($A19&lt;&gt;"",OR($H19="",$H19="Active"))),$F19=""),"",IF(N19="",N$4,IF(O19="",O$4,IF(P19="",P$4,IF(Q19="",Q$4,IF(R19="",R$4,IF(S19="",S$4,IF(T19="",T$4,IF(U19="",U$4,"All done")))))))))</f>
        <v/>
      </c>
      <c r="M19" s="33">
        <f>IF(OR($L19="",$L19="All done"),"",($F19-(40-VALUE(LEFT($L19,2)))*7))</f>
        <v/>
      </c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1" t="n"/>
      <c r="AA19" s="34" t="n"/>
      <c r="AB19" s="29" t="n"/>
      <c r="AC19" s="31" t="n"/>
    </row>
    <row r="20">
      <c r="A20" s="29" t="n"/>
      <c r="B20" s="30" t="n"/>
      <c r="C20" s="31" t="n"/>
      <c r="D20" s="29" t="n"/>
      <c r="E20" s="29" t="n"/>
      <c r="F20" s="31" t="n"/>
      <c r="G20" s="31" t="n"/>
      <c r="H20" s="29" t="n"/>
      <c r="I20" s="32">
        <f>IF(OR(NOT(AND($A20&lt;&gt;"",OR($H20="",$H20="Active"))),$F20=""),"",INT((TODAY()-$F20+280)/7)&amp;"+"&amp;MOD(TODAY()-$F20+280,7))</f>
        <v/>
      </c>
      <c r="J20" s="32">
        <f>IF(NOT(AND($A20&lt;&gt;"",OR($H20="",$H20="Active"))),"",IF($F20="",0,SUMPRODUCT(($N20:$U20="")*(($F20-(40-VALUE(LEFT($N$4:$U$4,2)))*7)&lt;TODAY())))+COUNTIF($N20:$U20,"DNA")+COUNTIF($V20:$Z20,"&lt;"&amp;TODAY()))</f>
        <v/>
      </c>
      <c r="K20" s="32">
        <f>IF(NOT(AND($A20&lt;&gt;"",OR($H20="",$H20="Active"))),"",IF($F20="",0,SUMPRODUCT(($N20:$U20="")*(($F20-(40-VALUE(LEFT($N$4:$U$4,2)))*7)&gt;=TODAY())*(($F20-(40-VALUE(LEFT($N$4:$U$4,2)))*7)&lt;=TODAY()+7)))+COUNTIFS($V20:$Z20,"&gt;="&amp;TODAY(),$V20:$Z20,"&lt;="&amp;TODAY()+7))</f>
        <v/>
      </c>
      <c r="L20" s="32">
        <f>IF(OR(NOT(AND($A20&lt;&gt;"",OR($H20="",$H20="Active"))),$F20=""),"",IF(N20="",N$4,IF(O20="",O$4,IF(P20="",P$4,IF(Q20="",Q$4,IF(R20="",R$4,IF(S20="",S$4,IF(T20="",T$4,IF(U20="",U$4,"All done")))))))))</f>
        <v/>
      </c>
      <c r="M20" s="33">
        <f>IF(OR($L20="",$L20="All done"),"",($F20-(40-VALUE(LEFT($L20,2)))*7))</f>
        <v/>
      </c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1" t="n"/>
      <c r="AA20" s="34" t="n"/>
      <c r="AB20" s="29" t="n"/>
      <c r="AC20" s="31" t="n"/>
    </row>
    <row r="21">
      <c r="A21" s="29" t="n"/>
      <c r="B21" s="30" t="n"/>
      <c r="C21" s="31" t="n"/>
      <c r="D21" s="29" t="n"/>
      <c r="E21" s="29" t="n"/>
      <c r="F21" s="31" t="n"/>
      <c r="G21" s="31" t="n"/>
      <c r="H21" s="29" t="n"/>
      <c r="I21" s="32">
        <f>IF(OR(NOT(AND($A21&lt;&gt;"",OR($H21="",$H21="Active"))),$F21=""),"",INT((TODAY()-$F21+280)/7)&amp;"+"&amp;MOD(TODAY()-$F21+280,7))</f>
        <v/>
      </c>
      <c r="J21" s="32">
        <f>IF(NOT(AND($A21&lt;&gt;"",OR($H21="",$H21="Active"))),"",IF($F21="",0,SUMPRODUCT(($N21:$U21="")*(($F21-(40-VALUE(LEFT($N$4:$U$4,2)))*7)&lt;TODAY())))+COUNTIF($N21:$U21,"DNA")+COUNTIF($V21:$Z21,"&lt;"&amp;TODAY()))</f>
        <v/>
      </c>
      <c r="K21" s="32">
        <f>IF(NOT(AND($A21&lt;&gt;"",OR($H21="",$H21="Active"))),"",IF($F21="",0,SUMPRODUCT(($N21:$U21="")*(($F21-(40-VALUE(LEFT($N$4:$U$4,2)))*7)&gt;=TODAY())*(($F21-(40-VALUE(LEFT($N$4:$U$4,2)))*7)&lt;=TODAY()+7)))+COUNTIFS($V21:$Z21,"&gt;="&amp;TODAY(),$V21:$Z21,"&lt;="&amp;TODAY()+7))</f>
        <v/>
      </c>
      <c r="L21" s="32">
        <f>IF(OR(NOT(AND($A21&lt;&gt;"",OR($H21="",$H21="Active"))),$F21=""),"",IF(N21="",N$4,IF(O21="",O$4,IF(P21="",P$4,IF(Q21="",Q$4,IF(R21="",R$4,IF(S21="",S$4,IF(T21="",T$4,IF(U21="",U$4,"All done")))))))))</f>
        <v/>
      </c>
      <c r="M21" s="33">
        <f>IF(OR($L21="",$L21="All done"),"",($F21-(40-VALUE(LEFT($L21,2)))*7))</f>
        <v/>
      </c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W21" s="31" t="n"/>
      <c r="X21" s="31" t="n"/>
      <c r="Y21" s="31" t="n"/>
      <c r="Z21" s="31" t="n"/>
      <c r="AA21" s="34" t="n"/>
      <c r="AB21" s="29" t="n"/>
      <c r="AC21" s="31" t="n"/>
    </row>
    <row r="22">
      <c r="A22" s="29" t="n"/>
      <c r="B22" s="30" t="n"/>
      <c r="C22" s="31" t="n"/>
      <c r="D22" s="29" t="n"/>
      <c r="E22" s="29" t="n"/>
      <c r="F22" s="31" t="n"/>
      <c r="G22" s="31" t="n"/>
      <c r="H22" s="29" t="n"/>
      <c r="I22" s="32">
        <f>IF(OR(NOT(AND($A22&lt;&gt;"",OR($H22="",$H22="Active"))),$F22=""),"",INT((TODAY()-$F22+280)/7)&amp;"+"&amp;MOD(TODAY()-$F22+280,7))</f>
        <v/>
      </c>
      <c r="J22" s="32">
        <f>IF(NOT(AND($A22&lt;&gt;"",OR($H22="",$H22="Active"))),"",IF($F22="",0,SUMPRODUCT(($N22:$U22="")*(($F22-(40-VALUE(LEFT($N$4:$U$4,2)))*7)&lt;TODAY())))+COUNTIF($N22:$U22,"DNA")+COUNTIF($V22:$Z22,"&lt;"&amp;TODAY()))</f>
        <v/>
      </c>
      <c r="K22" s="32">
        <f>IF(NOT(AND($A22&lt;&gt;"",OR($H22="",$H22="Active"))),"",IF($F22="",0,SUMPRODUCT(($N22:$U22="")*(($F22-(40-VALUE(LEFT($N$4:$U$4,2)))*7)&gt;=TODAY())*(($F22-(40-VALUE(LEFT($N$4:$U$4,2)))*7)&lt;=TODAY()+7)))+COUNTIFS($V22:$Z22,"&gt;="&amp;TODAY(),$V22:$Z22,"&lt;="&amp;TODAY()+7))</f>
        <v/>
      </c>
      <c r="L22" s="32">
        <f>IF(OR(NOT(AND($A22&lt;&gt;"",OR($H22="",$H22="Active"))),$F22=""),"",IF(N22="",N$4,IF(O22="",O$4,IF(P22="",P$4,IF(Q22="",Q$4,IF(R22="",R$4,IF(S22="",S$4,IF(T22="",T$4,IF(U22="",U$4,"All done")))))))))</f>
        <v/>
      </c>
      <c r="M22" s="33">
        <f>IF(OR($L22="",$L22="All done"),"",($F22-(40-VALUE(LEFT($L22,2)))*7))</f>
        <v/>
      </c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4" t="n"/>
      <c r="AB22" s="29" t="n"/>
      <c r="AC22" s="31" t="n"/>
    </row>
    <row r="23">
      <c r="A23" s="29" t="n"/>
      <c r="B23" s="30" t="n"/>
      <c r="C23" s="31" t="n"/>
      <c r="D23" s="29" t="n"/>
      <c r="E23" s="29" t="n"/>
      <c r="F23" s="31" t="n"/>
      <c r="G23" s="31" t="n"/>
      <c r="H23" s="29" t="n"/>
      <c r="I23" s="32">
        <f>IF(OR(NOT(AND($A23&lt;&gt;"",OR($H23="",$H23="Active"))),$F23=""),"",INT((TODAY()-$F23+280)/7)&amp;"+"&amp;MOD(TODAY()-$F23+280,7))</f>
        <v/>
      </c>
      <c r="J23" s="32">
        <f>IF(NOT(AND($A23&lt;&gt;"",OR($H23="",$H23="Active"))),"",IF($F23="",0,SUMPRODUCT(($N23:$U23="")*(($F23-(40-VALUE(LEFT($N$4:$U$4,2)))*7)&lt;TODAY())))+COUNTIF($N23:$U23,"DNA")+COUNTIF($V23:$Z23,"&lt;"&amp;TODAY()))</f>
        <v/>
      </c>
      <c r="K23" s="32">
        <f>IF(NOT(AND($A23&lt;&gt;"",OR($H23="",$H23="Active"))),"",IF($F23="",0,SUMPRODUCT(($N23:$U23="")*(($F23-(40-VALUE(LEFT($N$4:$U$4,2)))*7)&gt;=TODAY())*(($F23-(40-VALUE(LEFT($N$4:$U$4,2)))*7)&lt;=TODAY()+7)))+COUNTIFS($V23:$Z23,"&gt;="&amp;TODAY(),$V23:$Z23,"&lt;="&amp;TODAY()+7))</f>
        <v/>
      </c>
      <c r="L23" s="32">
        <f>IF(OR(NOT(AND($A23&lt;&gt;"",OR($H23="",$H23="Active"))),$F23=""),"",IF(N23="",N$4,IF(O23="",O$4,IF(P23="",P$4,IF(Q23="",Q$4,IF(R23="",R$4,IF(S23="",S$4,IF(T23="",T$4,IF(U23="",U$4,"All done")))))))))</f>
        <v/>
      </c>
      <c r="M23" s="33">
        <f>IF(OR($L23="",$L23="All done"),"",($F23-(40-VALUE(LEFT($L23,2)))*7))</f>
        <v/>
      </c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1" t="n"/>
      <c r="AA23" s="34" t="n"/>
      <c r="AB23" s="29" t="n"/>
      <c r="AC23" s="31" t="n"/>
    </row>
    <row r="24">
      <c r="A24" s="29" t="n"/>
      <c r="B24" s="30" t="n"/>
      <c r="C24" s="31" t="n"/>
      <c r="D24" s="29" t="n"/>
      <c r="E24" s="29" t="n"/>
      <c r="F24" s="31" t="n"/>
      <c r="G24" s="31" t="n"/>
      <c r="H24" s="29" t="n"/>
      <c r="I24" s="32">
        <f>IF(OR(NOT(AND($A24&lt;&gt;"",OR($H24="",$H24="Active"))),$F24=""),"",INT((TODAY()-$F24+280)/7)&amp;"+"&amp;MOD(TODAY()-$F24+280,7))</f>
        <v/>
      </c>
      <c r="J24" s="32">
        <f>IF(NOT(AND($A24&lt;&gt;"",OR($H24="",$H24="Active"))),"",IF($F24="",0,SUMPRODUCT(($N24:$U24="")*(($F24-(40-VALUE(LEFT($N$4:$U$4,2)))*7)&lt;TODAY())))+COUNTIF($N24:$U24,"DNA")+COUNTIF($V24:$Z24,"&lt;"&amp;TODAY()))</f>
        <v/>
      </c>
      <c r="K24" s="32">
        <f>IF(NOT(AND($A24&lt;&gt;"",OR($H24="",$H24="Active"))),"",IF($F24="",0,SUMPRODUCT(($N24:$U24="")*(($F24-(40-VALUE(LEFT($N$4:$U$4,2)))*7)&gt;=TODAY())*(($F24-(40-VALUE(LEFT($N$4:$U$4,2)))*7)&lt;=TODAY()+7)))+COUNTIFS($V24:$Z24,"&gt;="&amp;TODAY(),$V24:$Z24,"&lt;="&amp;TODAY()+7))</f>
        <v/>
      </c>
      <c r="L24" s="32">
        <f>IF(OR(NOT(AND($A24&lt;&gt;"",OR($H24="",$H24="Active"))),$F24=""),"",IF(N24="",N$4,IF(O24="",O$4,IF(P24="",P$4,IF(Q24="",Q$4,IF(R24="",R$4,IF(S24="",S$4,IF(T24="",T$4,IF(U24="",U$4,"All done")))))))))</f>
        <v/>
      </c>
      <c r="M24" s="33">
        <f>IF(OR($L24="",$L24="All done"),"",($F24-(40-VALUE(LEFT($L24,2)))*7))</f>
        <v/>
      </c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4" t="n"/>
      <c r="AB24" s="29" t="n"/>
      <c r="AC24" s="31" t="n"/>
    </row>
    <row r="25">
      <c r="A25" s="29" t="n"/>
      <c r="B25" s="30" t="n"/>
      <c r="C25" s="31" t="n"/>
      <c r="D25" s="29" t="n"/>
      <c r="E25" s="29" t="n"/>
      <c r="F25" s="31" t="n"/>
      <c r="G25" s="31" t="n"/>
      <c r="H25" s="29" t="n"/>
      <c r="I25" s="32">
        <f>IF(OR(NOT(AND($A25&lt;&gt;"",OR($H25="",$H25="Active"))),$F25=""),"",INT((TODAY()-$F25+280)/7)&amp;"+"&amp;MOD(TODAY()-$F25+280,7))</f>
        <v/>
      </c>
      <c r="J25" s="32">
        <f>IF(NOT(AND($A25&lt;&gt;"",OR($H25="",$H25="Active"))),"",IF($F25="",0,SUMPRODUCT(($N25:$U25="")*(($F25-(40-VALUE(LEFT($N$4:$U$4,2)))*7)&lt;TODAY())))+COUNTIF($N25:$U25,"DNA")+COUNTIF($V25:$Z25,"&lt;"&amp;TODAY()))</f>
        <v/>
      </c>
      <c r="K25" s="32">
        <f>IF(NOT(AND($A25&lt;&gt;"",OR($H25="",$H25="Active"))),"",IF($F25="",0,SUMPRODUCT(($N25:$U25="")*(($F25-(40-VALUE(LEFT($N$4:$U$4,2)))*7)&gt;=TODAY())*(($F25-(40-VALUE(LEFT($N$4:$U$4,2)))*7)&lt;=TODAY()+7)))+COUNTIFS($V25:$Z25,"&gt;="&amp;TODAY(),$V25:$Z25,"&lt;="&amp;TODAY()+7))</f>
        <v/>
      </c>
      <c r="L25" s="32">
        <f>IF(OR(NOT(AND($A25&lt;&gt;"",OR($H25="",$H25="Active"))),$F25=""),"",IF(N25="",N$4,IF(O25="",O$4,IF(P25="",P$4,IF(Q25="",Q$4,IF(R25="",R$4,IF(S25="",S$4,IF(T25="",T$4,IF(U25="",U$4,"All done")))))))))</f>
        <v/>
      </c>
      <c r="M25" s="33">
        <f>IF(OR($L25="",$L25="All done"),"",($F25-(40-VALUE(LEFT($L25,2)))*7))</f>
        <v/>
      </c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4" t="n"/>
      <c r="AB25" s="29" t="n"/>
      <c r="AC25" s="31" t="n"/>
    </row>
    <row r="26">
      <c r="A26" s="29" t="n"/>
      <c r="B26" s="30" t="n"/>
      <c r="C26" s="31" t="n"/>
      <c r="D26" s="29" t="n"/>
      <c r="E26" s="29" t="n"/>
      <c r="F26" s="31" t="n"/>
      <c r="G26" s="31" t="n"/>
      <c r="H26" s="29" t="n"/>
      <c r="I26" s="32">
        <f>IF(OR(NOT(AND($A26&lt;&gt;"",OR($H26="",$H26="Active"))),$F26=""),"",INT((TODAY()-$F26+280)/7)&amp;"+"&amp;MOD(TODAY()-$F26+280,7))</f>
        <v/>
      </c>
      <c r="J26" s="32">
        <f>IF(NOT(AND($A26&lt;&gt;"",OR($H26="",$H26="Active"))),"",IF($F26="",0,SUMPRODUCT(($N26:$U26="")*(($F26-(40-VALUE(LEFT($N$4:$U$4,2)))*7)&lt;TODAY())))+COUNTIF($N26:$U26,"DNA")+COUNTIF($V26:$Z26,"&lt;"&amp;TODAY()))</f>
        <v/>
      </c>
      <c r="K26" s="32">
        <f>IF(NOT(AND($A26&lt;&gt;"",OR($H26="",$H26="Active"))),"",IF($F26="",0,SUMPRODUCT(($N26:$U26="")*(($F26-(40-VALUE(LEFT($N$4:$U$4,2)))*7)&gt;=TODAY())*(($F26-(40-VALUE(LEFT($N$4:$U$4,2)))*7)&lt;=TODAY()+7)))+COUNTIFS($V26:$Z26,"&gt;="&amp;TODAY(),$V26:$Z26,"&lt;="&amp;TODAY()+7))</f>
        <v/>
      </c>
      <c r="L26" s="32">
        <f>IF(OR(NOT(AND($A26&lt;&gt;"",OR($H26="",$H26="Active"))),$F26=""),"",IF(N26="",N$4,IF(O26="",O$4,IF(P26="",P$4,IF(Q26="",Q$4,IF(R26="",R$4,IF(S26="",S$4,IF(T26="",T$4,IF(U26="",U$4,"All done")))))))))</f>
        <v/>
      </c>
      <c r="M26" s="33">
        <f>IF(OR($L26="",$L26="All done"),"",($F26-(40-VALUE(LEFT($L26,2)))*7))</f>
        <v/>
      </c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4" t="n"/>
      <c r="AB26" s="29" t="n"/>
      <c r="AC26" s="31" t="n"/>
    </row>
    <row r="27">
      <c r="A27" s="29" t="n"/>
      <c r="B27" s="30" t="n"/>
      <c r="C27" s="31" t="n"/>
      <c r="D27" s="29" t="n"/>
      <c r="E27" s="29" t="n"/>
      <c r="F27" s="31" t="n"/>
      <c r="G27" s="31" t="n"/>
      <c r="H27" s="29" t="n"/>
      <c r="I27" s="32">
        <f>IF(OR(NOT(AND($A27&lt;&gt;"",OR($H27="",$H27="Active"))),$F27=""),"",INT((TODAY()-$F27+280)/7)&amp;"+"&amp;MOD(TODAY()-$F27+280,7))</f>
        <v/>
      </c>
      <c r="J27" s="32">
        <f>IF(NOT(AND($A27&lt;&gt;"",OR($H27="",$H27="Active"))),"",IF($F27="",0,SUMPRODUCT(($N27:$U27="")*(($F27-(40-VALUE(LEFT($N$4:$U$4,2)))*7)&lt;TODAY())))+COUNTIF($N27:$U27,"DNA")+COUNTIF($V27:$Z27,"&lt;"&amp;TODAY()))</f>
        <v/>
      </c>
      <c r="K27" s="32">
        <f>IF(NOT(AND($A27&lt;&gt;"",OR($H27="",$H27="Active"))),"",IF($F27="",0,SUMPRODUCT(($N27:$U27="")*(($F27-(40-VALUE(LEFT($N$4:$U$4,2)))*7)&gt;=TODAY())*(($F27-(40-VALUE(LEFT($N$4:$U$4,2)))*7)&lt;=TODAY()+7)))+COUNTIFS($V27:$Z27,"&gt;="&amp;TODAY(),$V27:$Z27,"&lt;="&amp;TODAY()+7))</f>
        <v/>
      </c>
      <c r="L27" s="32">
        <f>IF(OR(NOT(AND($A27&lt;&gt;"",OR($H27="",$H27="Active"))),$F27=""),"",IF(N27="",N$4,IF(O27="",O$4,IF(P27="",P$4,IF(Q27="",Q$4,IF(R27="",R$4,IF(S27="",S$4,IF(T27="",T$4,IF(U27="",U$4,"All done")))))))))</f>
        <v/>
      </c>
      <c r="M27" s="33">
        <f>IF(OR($L27="",$L27="All done"),"",($F27-(40-VALUE(LEFT($L27,2)))*7))</f>
        <v/>
      </c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4" t="n"/>
      <c r="AB27" s="29" t="n"/>
      <c r="AC27" s="31" t="n"/>
    </row>
    <row r="28">
      <c r="A28" s="29" t="n"/>
      <c r="B28" s="30" t="n"/>
      <c r="C28" s="31" t="n"/>
      <c r="D28" s="29" t="n"/>
      <c r="E28" s="29" t="n"/>
      <c r="F28" s="31" t="n"/>
      <c r="G28" s="31" t="n"/>
      <c r="H28" s="29" t="n"/>
      <c r="I28" s="32">
        <f>IF(OR(NOT(AND($A28&lt;&gt;"",OR($H28="",$H28="Active"))),$F28=""),"",INT((TODAY()-$F28+280)/7)&amp;"+"&amp;MOD(TODAY()-$F28+280,7))</f>
        <v/>
      </c>
      <c r="J28" s="32">
        <f>IF(NOT(AND($A28&lt;&gt;"",OR($H28="",$H28="Active"))),"",IF($F28="",0,SUMPRODUCT(($N28:$U28="")*(($F28-(40-VALUE(LEFT($N$4:$U$4,2)))*7)&lt;TODAY())))+COUNTIF($N28:$U28,"DNA")+COUNTIF($V28:$Z28,"&lt;"&amp;TODAY()))</f>
        <v/>
      </c>
      <c r="K28" s="32">
        <f>IF(NOT(AND($A28&lt;&gt;"",OR($H28="",$H28="Active"))),"",IF($F28="",0,SUMPRODUCT(($N28:$U28="")*(($F28-(40-VALUE(LEFT($N$4:$U$4,2)))*7)&gt;=TODAY())*(($F28-(40-VALUE(LEFT($N$4:$U$4,2)))*7)&lt;=TODAY()+7)))+COUNTIFS($V28:$Z28,"&gt;="&amp;TODAY(),$V28:$Z28,"&lt;="&amp;TODAY()+7))</f>
        <v/>
      </c>
      <c r="L28" s="32">
        <f>IF(OR(NOT(AND($A28&lt;&gt;"",OR($H28="",$H28="Active"))),$F28=""),"",IF(N28="",N$4,IF(O28="",O$4,IF(P28="",P$4,IF(Q28="",Q$4,IF(R28="",R$4,IF(S28="",S$4,IF(T28="",T$4,IF(U28="",U$4,"All done")))))))))</f>
        <v/>
      </c>
      <c r="M28" s="33">
        <f>IF(OR($L28="",$L28="All done"),"",($F28-(40-VALUE(LEFT($L28,2)))*7))</f>
        <v/>
      </c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4" t="n"/>
      <c r="AB28" s="29" t="n"/>
      <c r="AC28" s="31" t="n"/>
    </row>
    <row r="29">
      <c r="A29" s="29" t="n"/>
      <c r="B29" s="30" t="n"/>
      <c r="C29" s="31" t="n"/>
      <c r="D29" s="29" t="n"/>
      <c r="E29" s="29" t="n"/>
      <c r="F29" s="31" t="n"/>
      <c r="G29" s="31" t="n"/>
      <c r="H29" s="29" t="n"/>
      <c r="I29" s="32">
        <f>IF(OR(NOT(AND($A29&lt;&gt;"",OR($H29="",$H29="Active"))),$F29=""),"",INT((TODAY()-$F29+280)/7)&amp;"+"&amp;MOD(TODAY()-$F29+280,7))</f>
        <v/>
      </c>
      <c r="J29" s="32">
        <f>IF(NOT(AND($A29&lt;&gt;"",OR($H29="",$H29="Active"))),"",IF($F29="",0,SUMPRODUCT(($N29:$U29="")*(($F29-(40-VALUE(LEFT($N$4:$U$4,2)))*7)&lt;TODAY())))+COUNTIF($N29:$U29,"DNA")+COUNTIF($V29:$Z29,"&lt;"&amp;TODAY()))</f>
        <v/>
      </c>
      <c r="K29" s="32">
        <f>IF(NOT(AND($A29&lt;&gt;"",OR($H29="",$H29="Active"))),"",IF($F29="",0,SUMPRODUCT(($N29:$U29="")*(($F29-(40-VALUE(LEFT($N$4:$U$4,2)))*7)&gt;=TODAY())*(($F29-(40-VALUE(LEFT($N$4:$U$4,2)))*7)&lt;=TODAY()+7)))+COUNTIFS($V29:$Z29,"&gt;="&amp;TODAY(),$V29:$Z29,"&lt;="&amp;TODAY()+7))</f>
        <v/>
      </c>
      <c r="L29" s="32">
        <f>IF(OR(NOT(AND($A29&lt;&gt;"",OR($H29="",$H29="Active"))),$F29=""),"",IF(N29="",N$4,IF(O29="",O$4,IF(P29="",P$4,IF(Q29="",Q$4,IF(R29="",R$4,IF(S29="",S$4,IF(T29="",T$4,IF(U29="",U$4,"All done")))))))))</f>
        <v/>
      </c>
      <c r="M29" s="33">
        <f>IF(OR($L29="",$L29="All done"),"",($F29-(40-VALUE(LEFT($L29,2)))*7))</f>
        <v/>
      </c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4" t="n"/>
      <c r="AB29" s="29" t="n"/>
      <c r="AC29" s="31" t="n"/>
    </row>
    <row r="30">
      <c r="A30" s="29" t="n"/>
      <c r="B30" s="30" t="n"/>
      <c r="C30" s="31" t="n"/>
      <c r="D30" s="29" t="n"/>
      <c r="E30" s="29" t="n"/>
      <c r="F30" s="31" t="n"/>
      <c r="G30" s="31" t="n"/>
      <c r="H30" s="29" t="n"/>
      <c r="I30" s="32">
        <f>IF(OR(NOT(AND($A30&lt;&gt;"",OR($H30="",$H30="Active"))),$F30=""),"",INT((TODAY()-$F30+280)/7)&amp;"+"&amp;MOD(TODAY()-$F30+280,7))</f>
        <v/>
      </c>
      <c r="J30" s="32">
        <f>IF(NOT(AND($A30&lt;&gt;"",OR($H30="",$H30="Active"))),"",IF($F30="",0,SUMPRODUCT(($N30:$U30="")*(($F30-(40-VALUE(LEFT($N$4:$U$4,2)))*7)&lt;TODAY())))+COUNTIF($N30:$U30,"DNA")+COUNTIF($V30:$Z30,"&lt;"&amp;TODAY()))</f>
        <v/>
      </c>
      <c r="K30" s="32">
        <f>IF(NOT(AND($A30&lt;&gt;"",OR($H30="",$H30="Active"))),"",IF($F30="",0,SUMPRODUCT(($N30:$U30="")*(($F30-(40-VALUE(LEFT($N$4:$U$4,2)))*7)&gt;=TODAY())*(($F30-(40-VALUE(LEFT($N$4:$U$4,2)))*7)&lt;=TODAY()+7)))+COUNTIFS($V30:$Z30,"&gt;="&amp;TODAY(),$V30:$Z30,"&lt;="&amp;TODAY()+7))</f>
        <v/>
      </c>
      <c r="L30" s="32">
        <f>IF(OR(NOT(AND($A30&lt;&gt;"",OR($H30="",$H30="Active"))),$F30=""),"",IF(N30="",N$4,IF(O30="",O$4,IF(P30="",P$4,IF(Q30="",Q$4,IF(R30="",R$4,IF(S30="",S$4,IF(T30="",T$4,IF(U30="",U$4,"All done")))))))))</f>
        <v/>
      </c>
      <c r="M30" s="33">
        <f>IF(OR($L30="",$L30="All done"),"",($F30-(40-VALUE(LEFT($L30,2)))*7))</f>
        <v/>
      </c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4" t="n"/>
      <c r="AB30" s="29" t="n"/>
      <c r="AC30" s="31" t="n"/>
    </row>
    <row r="31">
      <c r="A31" s="29" t="n"/>
      <c r="B31" s="30" t="n"/>
      <c r="C31" s="31" t="n"/>
      <c r="D31" s="29" t="n"/>
      <c r="E31" s="29" t="n"/>
      <c r="F31" s="31" t="n"/>
      <c r="G31" s="31" t="n"/>
      <c r="H31" s="29" t="n"/>
      <c r="I31" s="32">
        <f>IF(OR(NOT(AND($A31&lt;&gt;"",OR($H31="",$H31="Active"))),$F31=""),"",INT((TODAY()-$F31+280)/7)&amp;"+"&amp;MOD(TODAY()-$F31+280,7))</f>
        <v/>
      </c>
      <c r="J31" s="32">
        <f>IF(NOT(AND($A31&lt;&gt;"",OR($H31="",$H31="Active"))),"",IF($F31="",0,SUMPRODUCT(($N31:$U31="")*(($F31-(40-VALUE(LEFT($N$4:$U$4,2)))*7)&lt;TODAY())))+COUNTIF($N31:$U31,"DNA")+COUNTIF($V31:$Z31,"&lt;"&amp;TODAY()))</f>
        <v/>
      </c>
      <c r="K31" s="32">
        <f>IF(NOT(AND($A31&lt;&gt;"",OR($H31="",$H31="Active"))),"",IF($F31="",0,SUMPRODUCT(($N31:$U31="")*(($F31-(40-VALUE(LEFT($N$4:$U$4,2)))*7)&gt;=TODAY())*(($F31-(40-VALUE(LEFT($N$4:$U$4,2)))*7)&lt;=TODAY()+7)))+COUNTIFS($V31:$Z31,"&gt;="&amp;TODAY(),$V31:$Z31,"&lt;="&amp;TODAY()+7))</f>
        <v/>
      </c>
      <c r="L31" s="32">
        <f>IF(OR(NOT(AND($A31&lt;&gt;"",OR($H31="",$H31="Active"))),$F31=""),"",IF(N31="",N$4,IF(O31="",O$4,IF(P31="",P$4,IF(Q31="",Q$4,IF(R31="",R$4,IF(S31="",S$4,IF(T31="",T$4,IF(U31="",U$4,"All done")))))))))</f>
        <v/>
      </c>
      <c r="M31" s="33">
        <f>IF(OR($L31="",$L31="All done"),"",($F31-(40-VALUE(LEFT($L31,2)))*7))</f>
        <v/>
      </c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4" t="n"/>
      <c r="AB31" s="29" t="n"/>
      <c r="AC31" s="31" t="n"/>
    </row>
    <row r="32">
      <c r="A32" s="29" t="n"/>
      <c r="B32" s="30" t="n"/>
      <c r="C32" s="31" t="n"/>
      <c r="D32" s="29" t="n"/>
      <c r="E32" s="29" t="n"/>
      <c r="F32" s="31" t="n"/>
      <c r="G32" s="31" t="n"/>
      <c r="H32" s="29" t="n"/>
      <c r="I32" s="32">
        <f>IF(OR(NOT(AND($A32&lt;&gt;"",OR($H32="",$H32="Active"))),$F32=""),"",INT((TODAY()-$F32+280)/7)&amp;"+"&amp;MOD(TODAY()-$F32+280,7))</f>
        <v/>
      </c>
      <c r="J32" s="32">
        <f>IF(NOT(AND($A32&lt;&gt;"",OR($H32="",$H32="Active"))),"",IF($F32="",0,SUMPRODUCT(($N32:$U32="")*(($F32-(40-VALUE(LEFT($N$4:$U$4,2)))*7)&lt;TODAY())))+COUNTIF($N32:$U32,"DNA")+COUNTIF($V32:$Z32,"&lt;"&amp;TODAY()))</f>
        <v/>
      </c>
      <c r="K32" s="32">
        <f>IF(NOT(AND($A32&lt;&gt;"",OR($H32="",$H32="Active"))),"",IF($F32="",0,SUMPRODUCT(($N32:$U32="")*(($F32-(40-VALUE(LEFT($N$4:$U$4,2)))*7)&gt;=TODAY())*(($F32-(40-VALUE(LEFT($N$4:$U$4,2)))*7)&lt;=TODAY()+7)))+COUNTIFS($V32:$Z32,"&gt;="&amp;TODAY(),$V32:$Z32,"&lt;="&amp;TODAY()+7))</f>
        <v/>
      </c>
      <c r="L32" s="32">
        <f>IF(OR(NOT(AND($A32&lt;&gt;"",OR($H32="",$H32="Active"))),$F32=""),"",IF(N32="",N$4,IF(O32="",O$4,IF(P32="",P$4,IF(Q32="",Q$4,IF(R32="",R$4,IF(S32="",S$4,IF(T32="",T$4,IF(U32="",U$4,"All done")))))))))</f>
        <v/>
      </c>
      <c r="M32" s="33">
        <f>IF(OR($L32="",$L32="All done"),"",($F32-(40-VALUE(LEFT($L32,2)))*7))</f>
        <v/>
      </c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4" t="n"/>
      <c r="AB32" s="29" t="n"/>
      <c r="AC32" s="31" t="n"/>
    </row>
    <row r="33">
      <c r="A33" s="29" t="n"/>
      <c r="B33" s="30" t="n"/>
      <c r="C33" s="31" t="n"/>
      <c r="D33" s="29" t="n"/>
      <c r="E33" s="29" t="n"/>
      <c r="F33" s="31" t="n"/>
      <c r="G33" s="31" t="n"/>
      <c r="H33" s="29" t="n"/>
      <c r="I33" s="32">
        <f>IF(OR(NOT(AND($A33&lt;&gt;"",OR($H33="",$H33="Active"))),$F33=""),"",INT((TODAY()-$F33+280)/7)&amp;"+"&amp;MOD(TODAY()-$F33+280,7))</f>
        <v/>
      </c>
      <c r="J33" s="32">
        <f>IF(NOT(AND($A33&lt;&gt;"",OR($H33="",$H33="Active"))),"",IF($F33="",0,SUMPRODUCT(($N33:$U33="")*(($F33-(40-VALUE(LEFT($N$4:$U$4,2)))*7)&lt;TODAY())))+COUNTIF($N33:$U33,"DNA")+COUNTIF($V33:$Z33,"&lt;"&amp;TODAY()))</f>
        <v/>
      </c>
      <c r="K33" s="32">
        <f>IF(NOT(AND($A33&lt;&gt;"",OR($H33="",$H33="Active"))),"",IF($F33="",0,SUMPRODUCT(($N33:$U33="")*(($F33-(40-VALUE(LEFT($N$4:$U$4,2)))*7)&gt;=TODAY())*(($F33-(40-VALUE(LEFT($N$4:$U$4,2)))*7)&lt;=TODAY()+7)))+COUNTIFS($V33:$Z33,"&gt;="&amp;TODAY(),$V33:$Z33,"&lt;="&amp;TODAY()+7))</f>
        <v/>
      </c>
      <c r="L33" s="32">
        <f>IF(OR(NOT(AND($A33&lt;&gt;"",OR($H33="",$H33="Active"))),$F33=""),"",IF(N33="",N$4,IF(O33="",O$4,IF(P33="",P$4,IF(Q33="",Q$4,IF(R33="",R$4,IF(S33="",S$4,IF(T33="",T$4,IF(U33="",U$4,"All done")))))))))</f>
        <v/>
      </c>
      <c r="M33" s="33">
        <f>IF(OR($L33="",$L33="All done"),"",($F33-(40-VALUE(LEFT($L33,2)))*7))</f>
        <v/>
      </c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4" t="n"/>
      <c r="AB33" s="29" t="n"/>
      <c r="AC33" s="31" t="n"/>
    </row>
    <row r="34">
      <c r="A34" s="29" t="n"/>
      <c r="B34" s="30" t="n"/>
      <c r="C34" s="31" t="n"/>
      <c r="D34" s="29" t="n"/>
      <c r="E34" s="29" t="n"/>
      <c r="F34" s="31" t="n"/>
      <c r="G34" s="31" t="n"/>
      <c r="H34" s="29" t="n"/>
      <c r="I34" s="32">
        <f>IF(OR(NOT(AND($A34&lt;&gt;"",OR($H34="",$H34="Active"))),$F34=""),"",INT((TODAY()-$F34+280)/7)&amp;"+"&amp;MOD(TODAY()-$F34+280,7))</f>
        <v/>
      </c>
      <c r="J34" s="32">
        <f>IF(NOT(AND($A34&lt;&gt;"",OR($H34="",$H34="Active"))),"",IF($F34="",0,SUMPRODUCT(($N34:$U34="")*(($F34-(40-VALUE(LEFT($N$4:$U$4,2)))*7)&lt;TODAY())))+COUNTIF($N34:$U34,"DNA")+COUNTIF($V34:$Z34,"&lt;"&amp;TODAY()))</f>
        <v/>
      </c>
      <c r="K34" s="32">
        <f>IF(NOT(AND($A34&lt;&gt;"",OR($H34="",$H34="Active"))),"",IF($F34="",0,SUMPRODUCT(($N34:$U34="")*(($F34-(40-VALUE(LEFT($N$4:$U$4,2)))*7)&gt;=TODAY())*(($F34-(40-VALUE(LEFT($N$4:$U$4,2)))*7)&lt;=TODAY()+7)))+COUNTIFS($V34:$Z34,"&gt;="&amp;TODAY(),$V34:$Z34,"&lt;="&amp;TODAY()+7))</f>
        <v/>
      </c>
      <c r="L34" s="32">
        <f>IF(OR(NOT(AND($A34&lt;&gt;"",OR($H34="",$H34="Active"))),$F34=""),"",IF(N34="",N$4,IF(O34="",O$4,IF(P34="",P$4,IF(Q34="",Q$4,IF(R34="",R$4,IF(S34="",S$4,IF(T34="",T$4,IF(U34="",U$4,"All done")))))))))</f>
        <v/>
      </c>
      <c r="M34" s="33">
        <f>IF(OR($L34="",$L34="All done"),"",($F34-(40-VALUE(LEFT($L34,2)))*7))</f>
        <v/>
      </c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4" t="n"/>
      <c r="AB34" s="29" t="n"/>
      <c r="AC34" s="31" t="n"/>
    </row>
    <row r="35">
      <c r="A35" s="29" t="n"/>
      <c r="B35" s="30" t="n"/>
      <c r="C35" s="31" t="n"/>
      <c r="D35" s="29" t="n"/>
      <c r="E35" s="29" t="n"/>
      <c r="F35" s="31" t="n"/>
      <c r="G35" s="31" t="n"/>
      <c r="H35" s="29" t="n"/>
      <c r="I35" s="32">
        <f>IF(OR(NOT(AND($A35&lt;&gt;"",OR($H35="",$H35="Active"))),$F35=""),"",INT((TODAY()-$F35+280)/7)&amp;"+"&amp;MOD(TODAY()-$F35+280,7))</f>
        <v/>
      </c>
      <c r="J35" s="32">
        <f>IF(NOT(AND($A35&lt;&gt;"",OR($H35="",$H35="Active"))),"",IF($F35="",0,SUMPRODUCT(($N35:$U35="")*(($F35-(40-VALUE(LEFT($N$4:$U$4,2)))*7)&lt;TODAY())))+COUNTIF($N35:$U35,"DNA")+COUNTIF($V35:$Z35,"&lt;"&amp;TODAY()))</f>
        <v/>
      </c>
      <c r="K35" s="32">
        <f>IF(NOT(AND($A35&lt;&gt;"",OR($H35="",$H35="Active"))),"",IF($F35="",0,SUMPRODUCT(($N35:$U35="")*(($F35-(40-VALUE(LEFT($N$4:$U$4,2)))*7)&gt;=TODAY())*(($F35-(40-VALUE(LEFT($N$4:$U$4,2)))*7)&lt;=TODAY()+7)))+COUNTIFS($V35:$Z35,"&gt;="&amp;TODAY(),$V35:$Z35,"&lt;="&amp;TODAY()+7))</f>
        <v/>
      </c>
      <c r="L35" s="32">
        <f>IF(OR(NOT(AND($A35&lt;&gt;"",OR($H35="",$H35="Active"))),$F35=""),"",IF(N35="",N$4,IF(O35="",O$4,IF(P35="",P$4,IF(Q35="",Q$4,IF(R35="",R$4,IF(S35="",S$4,IF(T35="",T$4,IF(U35="",U$4,"All done")))))))))</f>
        <v/>
      </c>
      <c r="M35" s="33">
        <f>IF(OR($L35="",$L35="All done"),"",($F35-(40-VALUE(LEFT($L35,2)))*7))</f>
        <v/>
      </c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4" t="n"/>
      <c r="AB35" s="29" t="n"/>
      <c r="AC35" s="31" t="n"/>
    </row>
    <row r="36">
      <c r="A36" s="29" t="n"/>
      <c r="B36" s="30" t="n"/>
      <c r="C36" s="31" t="n"/>
      <c r="D36" s="29" t="n"/>
      <c r="E36" s="29" t="n"/>
      <c r="F36" s="31" t="n"/>
      <c r="G36" s="31" t="n"/>
      <c r="H36" s="29" t="n"/>
      <c r="I36" s="32">
        <f>IF(OR(NOT(AND($A36&lt;&gt;"",OR($H36="",$H36="Active"))),$F36=""),"",INT((TODAY()-$F36+280)/7)&amp;"+"&amp;MOD(TODAY()-$F36+280,7))</f>
        <v/>
      </c>
      <c r="J36" s="32">
        <f>IF(NOT(AND($A36&lt;&gt;"",OR($H36="",$H36="Active"))),"",IF($F36="",0,SUMPRODUCT(($N36:$U36="")*(($F36-(40-VALUE(LEFT($N$4:$U$4,2)))*7)&lt;TODAY())))+COUNTIF($N36:$U36,"DNA")+COUNTIF($V36:$Z36,"&lt;"&amp;TODAY()))</f>
        <v/>
      </c>
      <c r="K36" s="32">
        <f>IF(NOT(AND($A36&lt;&gt;"",OR($H36="",$H36="Active"))),"",IF($F36="",0,SUMPRODUCT(($N36:$U36="")*(($F36-(40-VALUE(LEFT($N$4:$U$4,2)))*7)&gt;=TODAY())*(($F36-(40-VALUE(LEFT($N$4:$U$4,2)))*7)&lt;=TODAY()+7)))+COUNTIFS($V36:$Z36,"&gt;="&amp;TODAY(),$V36:$Z36,"&lt;="&amp;TODAY()+7))</f>
        <v/>
      </c>
      <c r="L36" s="32">
        <f>IF(OR(NOT(AND($A36&lt;&gt;"",OR($H36="",$H36="Active"))),$F36=""),"",IF(N36="",N$4,IF(O36="",O$4,IF(P36="",P$4,IF(Q36="",Q$4,IF(R36="",R$4,IF(S36="",S$4,IF(T36="",T$4,IF(U36="",U$4,"All done")))))))))</f>
        <v/>
      </c>
      <c r="M36" s="33">
        <f>IF(OR($L36="",$L36="All done"),"",($F36-(40-VALUE(LEFT($L36,2)))*7))</f>
        <v/>
      </c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4" t="n"/>
      <c r="AB36" s="29" t="n"/>
      <c r="AC36" s="31" t="n"/>
    </row>
    <row r="37">
      <c r="A37" s="29" t="n"/>
      <c r="B37" s="30" t="n"/>
      <c r="C37" s="31" t="n"/>
      <c r="D37" s="29" t="n"/>
      <c r="E37" s="29" t="n"/>
      <c r="F37" s="31" t="n"/>
      <c r="G37" s="31" t="n"/>
      <c r="H37" s="29" t="n"/>
      <c r="I37" s="32">
        <f>IF(OR(NOT(AND($A37&lt;&gt;"",OR($H37="",$H37="Active"))),$F37=""),"",INT((TODAY()-$F37+280)/7)&amp;"+"&amp;MOD(TODAY()-$F37+280,7))</f>
        <v/>
      </c>
      <c r="J37" s="32">
        <f>IF(NOT(AND($A37&lt;&gt;"",OR($H37="",$H37="Active"))),"",IF($F37="",0,SUMPRODUCT(($N37:$U37="")*(($F37-(40-VALUE(LEFT($N$4:$U$4,2)))*7)&lt;TODAY())))+COUNTIF($N37:$U37,"DNA")+COUNTIF($V37:$Z37,"&lt;"&amp;TODAY()))</f>
        <v/>
      </c>
      <c r="K37" s="32">
        <f>IF(NOT(AND($A37&lt;&gt;"",OR($H37="",$H37="Active"))),"",IF($F37="",0,SUMPRODUCT(($N37:$U37="")*(($F37-(40-VALUE(LEFT($N$4:$U$4,2)))*7)&gt;=TODAY())*(($F37-(40-VALUE(LEFT($N$4:$U$4,2)))*7)&lt;=TODAY()+7)))+COUNTIFS($V37:$Z37,"&gt;="&amp;TODAY(),$V37:$Z37,"&lt;="&amp;TODAY()+7))</f>
        <v/>
      </c>
      <c r="L37" s="32">
        <f>IF(OR(NOT(AND($A37&lt;&gt;"",OR($H37="",$H37="Active"))),$F37=""),"",IF(N37="",N$4,IF(O37="",O$4,IF(P37="",P$4,IF(Q37="",Q$4,IF(R37="",R$4,IF(S37="",S$4,IF(T37="",T$4,IF(U37="",U$4,"All done")))))))))</f>
        <v/>
      </c>
      <c r="M37" s="33">
        <f>IF(OR($L37="",$L37="All done"),"",($F37-(40-VALUE(LEFT($L37,2)))*7))</f>
        <v/>
      </c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4" t="n"/>
      <c r="AB37" s="29" t="n"/>
      <c r="AC37" s="31" t="n"/>
    </row>
    <row r="38">
      <c r="A38" s="29" t="n"/>
      <c r="B38" s="30" t="n"/>
      <c r="C38" s="31" t="n"/>
      <c r="D38" s="29" t="n"/>
      <c r="E38" s="29" t="n"/>
      <c r="F38" s="31" t="n"/>
      <c r="G38" s="31" t="n"/>
      <c r="H38" s="29" t="n"/>
      <c r="I38" s="32">
        <f>IF(OR(NOT(AND($A38&lt;&gt;"",OR($H38="",$H38="Active"))),$F38=""),"",INT((TODAY()-$F38+280)/7)&amp;"+"&amp;MOD(TODAY()-$F38+280,7))</f>
        <v/>
      </c>
      <c r="J38" s="32">
        <f>IF(NOT(AND($A38&lt;&gt;"",OR($H38="",$H38="Active"))),"",IF($F38="",0,SUMPRODUCT(($N38:$U38="")*(($F38-(40-VALUE(LEFT($N$4:$U$4,2)))*7)&lt;TODAY())))+COUNTIF($N38:$U38,"DNA")+COUNTIF($V38:$Z38,"&lt;"&amp;TODAY()))</f>
        <v/>
      </c>
      <c r="K38" s="32">
        <f>IF(NOT(AND($A38&lt;&gt;"",OR($H38="",$H38="Active"))),"",IF($F38="",0,SUMPRODUCT(($N38:$U38="")*(($F38-(40-VALUE(LEFT($N$4:$U$4,2)))*7)&gt;=TODAY())*(($F38-(40-VALUE(LEFT($N$4:$U$4,2)))*7)&lt;=TODAY()+7)))+COUNTIFS($V38:$Z38,"&gt;="&amp;TODAY(),$V38:$Z38,"&lt;="&amp;TODAY()+7))</f>
        <v/>
      </c>
      <c r="L38" s="32">
        <f>IF(OR(NOT(AND($A38&lt;&gt;"",OR($H38="",$H38="Active"))),$F38=""),"",IF(N38="",N$4,IF(O38="",O$4,IF(P38="",P$4,IF(Q38="",Q$4,IF(R38="",R$4,IF(S38="",S$4,IF(T38="",T$4,IF(U38="",U$4,"All done")))))))))</f>
        <v/>
      </c>
      <c r="M38" s="33">
        <f>IF(OR($L38="",$L38="All done"),"",($F38-(40-VALUE(LEFT($L38,2)))*7))</f>
        <v/>
      </c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4" t="n"/>
      <c r="AB38" s="29" t="n"/>
      <c r="AC38" s="31" t="n"/>
    </row>
    <row r="39">
      <c r="A39" s="29" t="n"/>
      <c r="B39" s="30" t="n"/>
      <c r="C39" s="31" t="n"/>
      <c r="D39" s="29" t="n"/>
      <c r="E39" s="29" t="n"/>
      <c r="F39" s="31" t="n"/>
      <c r="G39" s="31" t="n"/>
      <c r="H39" s="29" t="n"/>
      <c r="I39" s="32">
        <f>IF(OR(NOT(AND($A39&lt;&gt;"",OR($H39="",$H39="Active"))),$F39=""),"",INT((TODAY()-$F39+280)/7)&amp;"+"&amp;MOD(TODAY()-$F39+280,7))</f>
        <v/>
      </c>
      <c r="J39" s="32">
        <f>IF(NOT(AND($A39&lt;&gt;"",OR($H39="",$H39="Active"))),"",IF($F39="",0,SUMPRODUCT(($N39:$U39="")*(($F39-(40-VALUE(LEFT($N$4:$U$4,2)))*7)&lt;TODAY())))+COUNTIF($N39:$U39,"DNA")+COUNTIF($V39:$Z39,"&lt;"&amp;TODAY()))</f>
        <v/>
      </c>
      <c r="K39" s="32">
        <f>IF(NOT(AND($A39&lt;&gt;"",OR($H39="",$H39="Active"))),"",IF($F39="",0,SUMPRODUCT(($N39:$U39="")*(($F39-(40-VALUE(LEFT($N$4:$U$4,2)))*7)&gt;=TODAY())*(($F39-(40-VALUE(LEFT($N$4:$U$4,2)))*7)&lt;=TODAY()+7)))+COUNTIFS($V39:$Z39,"&gt;="&amp;TODAY(),$V39:$Z39,"&lt;="&amp;TODAY()+7))</f>
        <v/>
      </c>
      <c r="L39" s="32">
        <f>IF(OR(NOT(AND($A39&lt;&gt;"",OR($H39="",$H39="Active"))),$F39=""),"",IF(N39="",N$4,IF(O39="",O$4,IF(P39="",P$4,IF(Q39="",Q$4,IF(R39="",R$4,IF(S39="",S$4,IF(T39="",T$4,IF(U39="",U$4,"All done")))))))))</f>
        <v/>
      </c>
      <c r="M39" s="33">
        <f>IF(OR($L39="",$L39="All done"),"",($F39-(40-VALUE(LEFT($L39,2)))*7))</f>
        <v/>
      </c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4" t="n"/>
      <c r="AB39" s="29" t="n"/>
      <c r="AC39" s="31" t="n"/>
    </row>
    <row r="40">
      <c r="A40" s="29" t="n"/>
      <c r="B40" s="30" t="n"/>
      <c r="C40" s="31" t="n"/>
      <c r="D40" s="29" t="n"/>
      <c r="E40" s="29" t="n"/>
      <c r="F40" s="31" t="n"/>
      <c r="G40" s="31" t="n"/>
      <c r="H40" s="29" t="n"/>
      <c r="I40" s="32">
        <f>IF(OR(NOT(AND($A40&lt;&gt;"",OR($H40="",$H40="Active"))),$F40=""),"",INT((TODAY()-$F40+280)/7)&amp;"+"&amp;MOD(TODAY()-$F40+280,7))</f>
        <v/>
      </c>
      <c r="J40" s="32">
        <f>IF(NOT(AND($A40&lt;&gt;"",OR($H40="",$H40="Active"))),"",IF($F40="",0,SUMPRODUCT(($N40:$U40="")*(($F40-(40-VALUE(LEFT($N$4:$U$4,2)))*7)&lt;TODAY())))+COUNTIF($N40:$U40,"DNA")+COUNTIF($V40:$Z40,"&lt;"&amp;TODAY()))</f>
        <v/>
      </c>
      <c r="K40" s="32">
        <f>IF(NOT(AND($A40&lt;&gt;"",OR($H40="",$H40="Active"))),"",IF($F40="",0,SUMPRODUCT(($N40:$U40="")*(($F40-(40-VALUE(LEFT($N$4:$U$4,2)))*7)&gt;=TODAY())*(($F40-(40-VALUE(LEFT($N$4:$U$4,2)))*7)&lt;=TODAY()+7)))+COUNTIFS($V40:$Z40,"&gt;="&amp;TODAY(),$V40:$Z40,"&lt;="&amp;TODAY()+7))</f>
        <v/>
      </c>
      <c r="L40" s="32">
        <f>IF(OR(NOT(AND($A40&lt;&gt;"",OR($H40="",$H40="Active"))),$F40=""),"",IF(N40="",N$4,IF(O40="",O$4,IF(P40="",P$4,IF(Q40="",Q$4,IF(R40="",R$4,IF(S40="",S$4,IF(T40="",T$4,IF(U40="",U$4,"All done")))))))))</f>
        <v/>
      </c>
      <c r="M40" s="33">
        <f>IF(OR($L40="",$L40="All done"),"",($F40-(40-VALUE(LEFT($L40,2)))*7))</f>
        <v/>
      </c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4" t="n"/>
      <c r="AB40" s="29" t="n"/>
      <c r="AC40" s="31" t="n"/>
    </row>
    <row r="41">
      <c r="A41" s="29" t="n"/>
      <c r="B41" s="30" t="n"/>
      <c r="C41" s="31" t="n"/>
      <c r="D41" s="29" t="n"/>
      <c r="E41" s="29" t="n"/>
      <c r="F41" s="31" t="n"/>
      <c r="G41" s="31" t="n"/>
      <c r="H41" s="29" t="n"/>
      <c r="I41" s="32">
        <f>IF(OR(NOT(AND($A41&lt;&gt;"",OR($H41="",$H41="Active"))),$F41=""),"",INT((TODAY()-$F41+280)/7)&amp;"+"&amp;MOD(TODAY()-$F41+280,7))</f>
        <v/>
      </c>
      <c r="J41" s="32">
        <f>IF(NOT(AND($A41&lt;&gt;"",OR($H41="",$H41="Active"))),"",IF($F41="",0,SUMPRODUCT(($N41:$U41="")*(($F41-(40-VALUE(LEFT($N$4:$U$4,2)))*7)&lt;TODAY())))+COUNTIF($N41:$U41,"DNA")+COUNTIF($V41:$Z41,"&lt;"&amp;TODAY()))</f>
        <v/>
      </c>
      <c r="K41" s="32">
        <f>IF(NOT(AND($A41&lt;&gt;"",OR($H41="",$H41="Active"))),"",IF($F41="",0,SUMPRODUCT(($N41:$U41="")*(($F41-(40-VALUE(LEFT($N$4:$U$4,2)))*7)&gt;=TODAY())*(($F41-(40-VALUE(LEFT($N$4:$U$4,2)))*7)&lt;=TODAY()+7)))+COUNTIFS($V41:$Z41,"&gt;="&amp;TODAY(),$V41:$Z41,"&lt;="&amp;TODAY()+7))</f>
        <v/>
      </c>
      <c r="L41" s="32">
        <f>IF(OR(NOT(AND($A41&lt;&gt;"",OR($H41="",$H41="Active"))),$F41=""),"",IF(N41="",N$4,IF(O41="",O$4,IF(P41="",P$4,IF(Q41="",Q$4,IF(R41="",R$4,IF(S41="",S$4,IF(T41="",T$4,IF(U41="",U$4,"All done")))))))))</f>
        <v/>
      </c>
      <c r="M41" s="33">
        <f>IF(OR($L41="",$L41="All done"),"",($F41-(40-VALUE(LEFT($L41,2)))*7))</f>
        <v/>
      </c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4" t="n"/>
      <c r="AB41" s="29" t="n"/>
      <c r="AC41" s="31" t="n"/>
    </row>
    <row r="42">
      <c r="A42" s="29" t="n"/>
      <c r="B42" s="30" t="n"/>
      <c r="C42" s="31" t="n"/>
      <c r="D42" s="29" t="n"/>
      <c r="E42" s="29" t="n"/>
      <c r="F42" s="31" t="n"/>
      <c r="G42" s="31" t="n"/>
      <c r="H42" s="29" t="n"/>
      <c r="I42" s="32">
        <f>IF(OR(NOT(AND($A42&lt;&gt;"",OR($H42="",$H42="Active"))),$F42=""),"",INT((TODAY()-$F42+280)/7)&amp;"+"&amp;MOD(TODAY()-$F42+280,7))</f>
        <v/>
      </c>
      <c r="J42" s="32">
        <f>IF(NOT(AND($A42&lt;&gt;"",OR($H42="",$H42="Active"))),"",IF($F42="",0,SUMPRODUCT(($N42:$U42="")*(($F42-(40-VALUE(LEFT($N$4:$U$4,2)))*7)&lt;TODAY())))+COUNTIF($N42:$U42,"DNA")+COUNTIF($V42:$Z42,"&lt;"&amp;TODAY()))</f>
        <v/>
      </c>
      <c r="K42" s="32">
        <f>IF(NOT(AND($A42&lt;&gt;"",OR($H42="",$H42="Active"))),"",IF($F42="",0,SUMPRODUCT(($N42:$U42="")*(($F42-(40-VALUE(LEFT($N$4:$U$4,2)))*7)&gt;=TODAY())*(($F42-(40-VALUE(LEFT($N$4:$U$4,2)))*7)&lt;=TODAY()+7)))+COUNTIFS($V42:$Z42,"&gt;="&amp;TODAY(),$V42:$Z42,"&lt;="&amp;TODAY()+7))</f>
        <v/>
      </c>
      <c r="L42" s="32">
        <f>IF(OR(NOT(AND($A42&lt;&gt;"",OR($H42="",$H42="Active"))),$F42=""),"",IF(N42="",N$4,IF(O42="",O$4,IF(P42="",P$4,IF(Q42="",Q$4,IF(R42="",R$4,IF(S42="",S$4,IF(T42="",T$4,IF(U42="",U$4,"All done")))))))))</f>
        <v/>
      </c>
      <c r="M42" s="33">
        <f>IF(OR($L42="",$L42="All done"),"",($F42-(40-VALUE(LEFT($L42,2)))*7))</f>
        <v/>
      </c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4" t="n"/>
      <c r="AB42" s="29" t="n"/>
      <c r="AC42" s="31" t="n"/>
    </row>
    <row r="43">
      <c r="A43" s="29" t="n"/>
      <c r="B43" s="30" t="n"/>
      <c r="C43" s="31" t="n"/>
      <c r="D43" s="29" t="n"/>
      <c r="E43" s="29" t="n"/>
      <c r="F43" s="31" t="n"/>
      <c r="G43" s="31" t="n"/>
      <c r="H43" s="29" t="n"/>
      <c r="I43" s="32">
        <f>IF(OR(NOT(AND($A43&lt;&gt;"",OR($H43="",$H43="Active"))),$F43=""),"",INT((TODAY()-$F43+280)/7)&amp;"+"&amp;MOD(TODAY()-$F43+280,7))</f>
        <v/>
      </c>
      <c r="J43" s="32">
        <f>IF(NOT(AND($A43&lt;&gt;"",OR($H43="",$H43="Active"))),"",IF($F43="",0,SUMPRODUCT(($N43:$U43="")*(($F43-(40-VALUE(LEFT($N$4:$U$4,2)))*7)&lt;TODAY())))+COUNTIF($N43:$U43,"DNA")+COUNTIF($V43:$Z43,"&lt;"&amp;TODAY()))</f>
        <v/>
      </c>
      <c r="K43" s="32">
        <f>IF(NOT(AND($A43&lt;&gt;"",OR($H43="",$H43="Active"))),"",IF($F43="",0,SUMPRODUCT(($N43:$U43="")*(($F43-(40-VALUE(LEFT($N$4:$U$4,2)))*7)&gt;=TODAY())*(($F43-(40-VALUE(LEFT($N$4:$U$4,2)))*7)&lt;=TODAY()+7)))+COUNTIFS($V43:$Z43,"&gt;="&amp;TODAY(),$V43:$Z43,"&lt;="&amp;TODAY()+7))</f>
        <v/>
      </c>
      <c r="L43" s="32">
        <f>IF(OR(NOT(AND($A43&lt;&gt;"",OR($H43="",$H43="Active"))),$F43=""),"",IF(N43="",N$4,IF(O43="",O$4,IF(P43="",P$4,IF(Q43="",Q$4,IF(R43="",R$4,IF(S43="",S$4,IF(T43="",T$4,IF(U43="",U$4,"All done")))))))))</f>
        <v/>
      </c>
      <c r="M43" s="33">
        <f>IF(OR($L43="",$L43="All done"),"",($F43-(40-VALUE(LEFT($L43,2)))*7))</f>
        <v/>
      </c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4" t="n"/>
      <c r="AB43" s="29" t="n"/>
      <c r="AC43" s="31" t="n"/>
    </row>
    <row r="44">
      <c r="A44" s="29" t="n"/>
      <c r="B44" s="30" t="n"/>
      <c r="C44" s="31" t="n"/>
      <c r="D44" s="29" t="n"/>
      <c r="E44" s="29" t="n"/>
      <c r="F44" s="31" t="n"/>
      <c r="G44" s="31" t="n"/>
      <c r="H44" s="29" t="n"/>
      <c r="I44" s="32">
        <f>IF(OR(NOT(AND($A44&lt;&gt;"",OR($H44="",$H44="Active"))),$F44=""),"",INT((TODAY()-$F44+280)/7)&amp;"+"&amp;MOD(TODAY()-$F44+280,7))</f>
        <v/>
      </c>
      <c r="J44" s="32">
        <f>IF(NOT(AND($A44&lt;&gt;"",OR($H44="",$H44="Active"))),"",IF($F44="",0,SUMPRODUCT(($N44:$U44="")*(($F44-(40-VALUE(LEFT($N$4:$U$4,2)))*7)&lt;TODAY())))+COUNTIF($N44:$U44,"DNA")+COUNTIF($V44:$Z44,"&lt;"&amp;TODAY()))</f>
        <v/>
      </c>
      <c r="K44" s="32">
        <f>IF(NOT(AND($A44&lt;&gt;"",OR($H44="",$H44="Active"))),"",IF($F44="",0,SUMPRODUCT(($N44:$U44="")*(($F44-(40-VALUE(LEFT($N$4:$U$4,2)))*7)&gt;=TODAY())*(($F44-(40-VALUE(LEFT($N$4:$U$4,2)))*7)&lt;=TODAY()+7)))+COUNTIFS($V44:$Z44,"&gt;="&amp;TODAY(),$V44:$Z44,"&lt;="&amp;TODAY()+7))</f>
        <v/>
      </c>
      <c r="L44" s="32">
        <f>IF(OR(NOT(AND($A44&lt;&gt;"",OR($H44="",$H44="Active"))),$F44=""),"",IF(N44="",N$4,IF(O44="",O$4,IF(P44="",P$4,IF(Q44="",Q$4,IF(R44="",R$4,IF(S44="",S$4,IF(T44="",T$4,IF(U44="",U$4,"All done")))))))))</f>
        <v/>
      </c>
      <c r="M44" s="33">
        <f>IF(OR($L44="",$L44="All done"),"",($F44-(40-VALUE(LEFT($L44,2)))*7))</f>
        <v/>
      </c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4" t="n"/>
      <c r="AB44" s="29" t="n"/>
      <c r="AC44" s="31" t="n"/>
    </row>
    <row r="45">
      <c r="A45" s="29" t="n"/>
      <c r="B45" s="30" t="n"/>
      <c r="C45" s="31" t="n"/>
      <c r="D45" s="29" t="n"/>
      <c r="E45" s="29" t="n"/>
      <c r="F45" s="31" t="n"/>
      <c r="G45" s="31" t="n"/>
      <c r="H45" s="29" t="n"/>
      <c r="I45" s="32">
        <f>IF(OR(NOT(AND($A45&lt;&gt;"",OR($H45="",$H45="Active"))),$F45=""),"",INT((TODAY()-$F45+280)/7)&amp;"+"&amp;MOD(TODAY()-$F45+280,7))</f>
        <v/>
      </c>
      <c r="J45" s="32">
        <f>IF(NOT(AND($A45&lt;&gt;"",OR($H45="",$H45="Active"))),"",IF($F45="",0,SUMPRODUCT(($N45:$U45="")*(($F45-(40-VALUE(LEFT($N$4:$U$4,2)))*7)&lt;TODAY())))+COUNTIF($N45:$U45,"DNA")+COUNTIF($V45:$Z45,"&lt;"&amp;TODAY()))</f>
        <v/>
      </c>
      <c r="K45" s="32">
        <f>IF(NOT(AND($A45&lt;&gt;"",OR($H45="",$H45="Active"))),"",IF($F45="",0,SUMPRODUCT(($N45:$U45="")*(($F45-(40-VALUE(LEFT($N$4:$U$4,2)))*7)&gt;=TODAY())*(($F45-(40-VALUE(LEFT($N$4:$U$4,2)))*7)&lt;=TODAY()+7)))+COUNTIFS($V45:$Z45,"&gt;="&amp;TODAY(),$V45:$Z45,"&lt;="&amp;TODAY()+7))</f>
        <v/>
      </c>
      <c r="L45" s="32">
        <f>IF(OR(NOT(AND($A45&lt;&gt;"",OR($H45="",$H45="Active"))),$F45=""),"",IF(N45="",N$4,IF(O45="",O$4,IF(P45="",P$4,IF(Q45="",Q$4,IF(R45="",R$4,IF(S45="",S$4,IF(T45="",T$4,IF(U45="",U$4,"All done")))))))))</f>
        <v/>
      </c>
      <c r="M45" s="33">
        <f>IF(OR($L45="",$L45="All done"),"",($F45-(40-VALUE(LEFT($L45,2)))*7))</f>
        <v/>
      </c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4" t="n"/>
      <c r="AB45" s="29" t="n"/>
      <c r="AC45" s="31" t="n"/>
    </row>
    <row r="46">
      <c r="A46" s="29" t="n"/>
      <c r="B46" s="30" t="n"/>
      <c r="C46" s="31" t="n"/>
      <c r="D46" s="29" t="n"/>
      <c r="E46" s="29" t="n"/>
      <c r="F46" s="31" t="n"/>
      <c r="G46" s="31" t="n"/>
      <c r="H46" s="29" t="n"/>
      <c r="I46" s="32">
        <f>IF(OR(NOT(AND($A46&lt;&gt;"",OR($H46="",$H46="Active"))),$F46=""),"",INT((TODAY()-$F46+280)/7)&amp;"+"&amp;MOD(TODAY()-$F46+280,7))</f>
        <v/>
      </c>
      <c r="J46" s="32">
        <f>IF(NOT(AND($A46&lt;&gt;"",OR($H46="",$H46="Active"))),"",IF($F46="",0,SUMPRODUCT(($N46:$U46="")*(($F46-(40-VALUE(LEFT($N$4:$U$4,2)))*7)&lt;TODAY())))+COUNTIF($N46:$U46,"DNA")+COUNTIF($V46:$Z46,"&lt;"&amp;TODAY()))</f>
        <v/>
      </c>
      <c r="K46" s="32">
        <f>IF(NOT(AND($A46&lt;&gt;"",OR($H46="",$H46="Active"))),"",IF($F46="",0,SUMPRODUCT(($N46:$U46="")*(($F46-(40-VALUE(LEFT($N$4:$U$4,2)))*7)&gt;=TODAY())*(($F46-(40-VALUE(LEFT($N$4:$U$4,2)))*7)&lt;=TODAY()+7)))+COUNTIFS($V46:$Z46,"&gt;="&amp;TODAY(),$V46:$Z46,"&lt;="&amp;TODAY()+7))</f>
        <v/>
      </c>
      <c r="L46" s="32">
        <f>IF(OR(NOT(AND($A46&lt;&gt;"",OR($H46="",$H46="Active"))),$F46=""),"",IF(N46="",N$4,IF(O46="",O$4,IF(P46="",P$4,IF(Q46="",Q$4,IF(R46="",R$4,IF(S46="",S$4,IF(T46="",T$4,IF(U46="",U$4,"All done")))))))))</f>
        <v/>
      </c>
      <c r="M46" s="33">
        <f>IF(OR($L46="",$L46="All done"),"",($F46-(40-VALUE(LEFT($L46,2)))*7))</f>
        <v/>
      </c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4" t="n"/>
      <c r="AB46" s="29" t="n"/>
      <c r="AC46" s="31" t="n"/>
    </row>
    <row r="47">
      <c r="A47" s="29" t="n"/>
      <c r="B47" s="30" t="n"/>
      <c r="C47" s="31" t="n"/>
      <c r="D47" s="29" t="n"/>
      <c r="E47" s="29" t="n"/>
      <c r="F47" s="31" t="n"/>
      <c r="G47" s="31" t="n"/>
      <c r="H47" s="29" t="n"/>
      <c r="I47" s="32">
        <f>IF(OR(NOT(AND($A47&lt;&gt;"",OR($H47="",$H47="Active"))),$F47=""),"",INT((TODAY()-$F47+280)/7)&amp;"+"&amp;MOD(TODAY()-$F47+280,7))</f>
        <v/>
      </c>
      <c r="J47" s="32">
        <f>IF(NOT(AND($A47&lt;&gt;"",OR($H47="",$H47="Active"))),"",IF($F47="",0,SUMPRODUCT(($N47:$U47="")*(($F47-(40-VALUE(LEFT($N$4:$U$4,2)))*7)&lt;TODAY())))+COUNTIF($N47:$U47,"DNA")+COUNTIF($V47:$Z47,"&lt;"&amp;TODAY()))</f>
        <v/>
      </c>
      <c r="K47" s="32">
        <f>IF(NOT(AND($A47&lt;&gt;"",OR($H47="",$H47="Active"))),"",IF($F47="",0,SUMPRODUCT(($N47:$U47="")*(($F47-(40-VALUE(LEFT($N$4:$U$4,2)))*7)&gt;=TODAY())*(($F47-(40-VALUE(LEFT($N$4:$U$4,2)))*7)&lt;=TODAY()+7)))+COUNTIFS($V47:$Z47,"&gt;="&amp;TODAY(),$V47:$Z47,"&lt;="&amp;TODAY()+7))</f>
        <v/>
      </c>
      <c r="L47" s="32">
        <f>IF(OR(NOT(AND($A47&lt;&gt;"",OR($H47="",$H47="Active"))),$F47=""),"",IF(N47="",N$4,IF(O47="",O$4,IF(P47="",P$4,IF(Q47="",Q$4,IF(R47="",R$4,IF(S47="",S$4,IF(T47="",T$4,IF(U47="",U$4,"All done")))))))))</f>
        <v/>
      </c>
      <c r="M47" s="33">
        <f>IF(OR($L47="",$L47="All done"),"",($F47-(40-VALUE(LEFT($L47,2)))*7))</f>
        <v/>
      </c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1" t="n"/>
      <c r="Z47" s="31" t="n"/>
      <c r="AA47" s="34" t="n"/>
      <c r="AB47" s="29" t="n"/>
      <c r="AC47" s="31" t="n"/>
    </row>
    <row r="48">
      <c r="A48" s="29" t="n"/>
      <c r="B48" s="30" t="n"/>
      <c r="C48" s="31" t="n"/>
      <c r="D48" s="29" t="n"/>
      <c r="E48" s="29" t="n"/>
      <c r="F48" s="31" t="n"/>
      <c r="G48" s="31" t="n"/>
      <c r="H48" s="29" t="n"/>
      <c r="I48" s="32">
        <f>IF(OR(NOT(AND($A48&lt;&gt;"",OR($H48="",$H48="Active"))),$F48=""),"",INT((TODAY()-$F48+280)/7)&amp;"+"&amp;MOD(TODAY()-$F48+280,7))</f>
        <v/>
      </c>
      <c r="J48" s="32">
        <f>IF(NOT(AND($A48&lt;&gt;"",OR($H48="",$H48="Active"))),"",IF($F48="",0,SUMPRODUCT(($N48:$U48="")*(($F48-(40-VALUE(LEFT($N$4:$U$4,2)))*7)&lt;TODAY())))+COUNTIF($N48:$U48,"DNA")+COUNTIF($V48:$Z48,"&lt;"&amp;TODAY()))</f>
        <v/>
      </c>
      <c r="K48" s="32">
        <f>IF(NOT(AND($A48&lt;&gt;"",OR($H48="",$H48="Active"))),"",IF($F48="",0,SUMPRODUCT(($N48:$U48="")*(($F48-(40-VALUE(LEFT($N$4:$U$4,2)))*7)&gt;=TODAY())*(($F48-(40-VALUE(LEFT($N$4:$U$4,2)))*7)&lt;=TODAY()+7)))+COUNTIFS($V48:$Z48,"&gt;="&amp;TODAY(),$V48:$Z48,"&lt;="&amp;TODAY()+7))</f>
        <v/>
      </c>
      <c r="L48" s="32">
        <f>IF(OR(NOT(AND($A48&lt;&gt;"",OR($H48="",$H48="Active"))),$F48=""),"",IF(N48="",N$4,IF(O48="",O$4,IF(P48="",P$4,IF(Q48="",Q$4,IF(R48="",R$4,IF(S48="",S$4,IF(T48="",T$4,IF(U48="",U$4,"All done")))))))))</f>
        <v/>
      </c>
      <c r="M48" s="33">
        <f>IF(OR($L48="",$L48="All done"),"",($F48-(40-VALUE(LEFT($L48,2)))*7))</f>
        <v/>
      </c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1" t="n"/>
      <c r="Z48" s="31" t="n"/>
      <c r="AA48" s="34" t="n"/>
      <c r="AB48" s="29" t="n"/>
      <c r="AC48" s="31" t="n"/>
    </row>
    <row r="49">
      <c r="A49" s="29" t="n"/>
      <c r="B49" s="30" t="n"/>
      <c r="C49" s="31" t="n"/>
      <c r="D49" s="29" t="n"/>
      <c r="E49" s="29" t="n"/>
      <c r="F49" s="31" t="n"/>
      <c r="G49" s="31" t="n"/>
      <c r="H49" s="29" t="n"/>
      <c r="I49" s="32">
        <f>IF(OR(NOT(AND($A49&lt;&gt;"",OR($H49="",$H49="Active"))),$F49=""),"",INT((TODAY()-$F49+280)/7)&amp;"+"&amp;MOD(TODAY()-$F49+280,7))</f>
        <v/>
      </c>
      <c r="J49" s="32">
        <f>IF(NOT(AND($A49&lt;&gt;"",OR($H49="",$H49="Active"))),"",IF($F49="",0,SUMPRODUCT(($N49:$U49="")*(($F49-(40-VALUE(LEFT($N$4:$U$4,2)))*7)&lt;TODAY())))+COUNTIF($N49:$U49,"DNA")+COUNTIF($V49:$Z49,"&lt;"&amp;TODAY()))</f>
        <v/>
      </c>
      <c r="K49" s="32">
        <f>IF(NOT(AND($A49&lt;&gt;"",OR($H49="",$H49="Active"))),"",IF($F49="",0,SUMPRODUCT(($N49:$U49="")*(($F49-(40-VALUE(LEFT($N$4:$U$4,2)))*7)&gt;=TODAY())*(($F49-(40-VALUE(LEFT($N$4:$U$4,2)))*7)&lt;=TODAY()+7)))+COUNTIFS($V49:$Z49,"&gt;="&amp;TODAY(),$V49:$Z49,"&lt;="&amp;TODAY()+7))</f>
        <v/>
      </c>
      <c r="L49" s="32">
        <f>IF(OR(NOT(AND($A49&lt;&gt;"",OR($H49="",$H49="Active"))),$F49=""),"",IF(N49="",N$4,IF(O49="",O$4,IF(P49="",P$4,IF(Q49="",Q$4,IF(R49="",R$4,IF(S49="",S$4,IF(T49="",T$4,IF(U49="",U$4,"All done")))))))))</f>
        <v/>
      </c>
      <c r="M49" s="33">
        <f>IF(OR($L49="",$L49="All done"),"",($F49-(40-VALUE(LEFT($L49,2)))*7))</f>
        <v/>
      </c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31" t="n"/>
      <c r="Z49" s="31" t="n"/>
      <c r="AA49" s="34" t="n"/>
      <c r="AB49" s="29" t="n"/>
      <c r="AC49" s="31" t="n"/>
    </row>
    <row r="50">
      <c r="A50" s="29" t="n"/>
      <c r="B50" s="30" t="n"/>
      <c r="C50" s="31" t="n"/>
      <c r="D50" s="29" t="n"/>
      <c r="E50" s="29" t="n"/>
      <c r="F50" s="31" t="n"/>
      <c r="G50" s="31" t="n"/>
      <c r="H50" s="29" t="n"/>
      <c r="I50" s="32">
        <f>IF(OR(NOT(AND($A50&lt;&gt;"",OR($H50="",$H50="Active"))),$F50=""),"",INT((TODAY()-$F50+280)/7)&amp;"+"&amp;MOD(TODAY()-$F50+280,7))</f>
        <v/>
      </c>
      <c r="J50" s="32">
        <f>IF(NOT(AND($A50&lt;&gt;"",OR($H50="",$H50="Active"))),"",IF($F50="",0,SUMPRODUCT(($N50:$U50="")*(($F50-(40-VALUE(LEFT($N$4:$U$4,2)))*7)&lt;TODAY())))+COUNTIF($N50:$U50,"DNA")+COUNTIF($V50:$Z50,"&lt;"&amp;TODAY()))</f>
        <v/>
      </c>
      <c r="K50" s="32">
        <f>IF(NOT(AND($A50&lt;&gt;"",OR($H50="",$H50="Active"))),"",IF($F50="",0,SUMPRODUCT(($N50:$U50="")*(($F50-(40-VALUE(LEFT($N$4:$U$4,2)))*7)&gt;=TODAY())*(($F50-(40-VALUE(LEFT($N$4:$U$4,2)))*7)&lt;=TODAY()+7)))+COUNTIFS($V50:$Z50,"&gt;="&amp;TODAY(),$V50:$Z50,"&lt;="&amp;TODAY()+7))</f>
        <v/>
      </c>
      <c r="L50" s="32">
        <f>IF(OR(NOT(AND($A50&lt;&gt;"",OR($H50="",$H50="Active"))),$F50=""),"",IF(N50="",N$4,IF(O50="",O$4,IF(P50="",P$4,IF(Q50="",Q$4,IF(R50="",R$4,IF(S50="",S$4,IF(T50="",T$4,IF(U50="",U$4,"All done")))))))))</f>
        <v/>
      </c>
      <c r="M50" s="33">
        <f>IF(OR($L50="",$L50="All done"),"",($F50-(40-VALUE(LEFT($L50,2)))*7))</f>
        <v/>
      </c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W50" s="31" t="n"/>
      <c r="X50" s="31" t="n"/>
      <c r="Y50" s="31" t="n"/>
      <c r="Z50" s="31" t="n"/>
      <c r="AA50" s="34" t="n"/>
      <c r="AB50" s="29" t="n"/>
      <c r="AC50" s="31" t="n"/>
    </row>
    <row r="51">
      <c r="A51" s="29" t="n"/>
      <c r="B51" s="30" t="n"/>
      <c r="C51" s="31" t="n"/>
      <c r="D51" s="29" t="n"/>
      <c r="E51" s="29" t="n"/>
      <c r="F51" s="31" t="n"/>
      <c r="G51" s="31" t="n"/>
      <c r="H51" s="29" t="n"/>
      <c r="I51" s="32">
        <f>IF(OR(NOT(AND($A51&lt;&gt;"",OR($H51="",$H51="Active"))),$F51=""),"",INT((TODAY()-$F51+280)/7)&amp;"+"&amp;MOD(TODAY()-$F51+280,7))</f>
        <v/>
      </c>
      <c r="J51" s="32">
        <f>IF(NOT(AND($A51&lt;&gt;"",OR($H51="",$H51="Active"))),"",IF($F51="",0,SUMPRODUCT(($N51:$U51="")*(($F51-(40-VALUE(LEFT($N$4:$U$4,2)))*7)&lt;TODAY())))+COUNTIF($N51:$U51,"DNA")+COUNTIF($V51:$Z51,"&lt;"&amp;TODAY()))</f>
        <v/>
      </c>
      <c r="K51" s="32">
        <f>IF(NOT(AND($A51&lt;&gt;"",OR($H51="",$H51="Active"))),"",IF($F51="",0,SUMPRODUCT(($N51:$U51="")*(($F51-(40-VALUE(LEFT($N$4:$U$4,2)))*7)&gt;=TODAY())*(($F51-(40-VALUE(LEFT($N$4:$U$4,2)))*7)&lt;=TODAY()+7)))+COUNTIFS($V51:$Z51,"&gt;="&amp;TODAY(),$V51:$Z51,"&lt;="&amp;TODAY()+7))</f>
        <v/>
      </c>
      <c r="L51" s="32">
        <f>IF(OR(NOT(AND($A51&lt;&gt;"",OR($H51="",$H51="Active"))),$F51=""),"",IF(N51="",N$4,IF(O51="",O$4,IF(P51="",P$4,IF(Q51="",Q$4,IF(R51="",R$4,IF(S51="",S$4,IF(T51="",T$4,IF(U51="",U$4,"All done")))))))))</f>
        <v/>
      </c>
      <c r="M51" s="33">
        <f>IF(OR($L51="",$L51="All done"),"",($F51-(40-VALUE(LEFT($L51,2)))*7))</f>
        <v/>
      </c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W51" s="31" t="n"/>
      <c r="X51" s="31" t="n"/>
      <c r="Y51" s="31" t="n"/>
      <c r="Z51" s="31" t="n"/>
      <c r="AA51" s="34" t="n"/>
      <c r="AB51" s="29" t="n"/>
      <c r="AC51" s="31" t="n"/>
    </row>
    <row r="52">
      <c r="A52" s="29" t="n"/>
      <c r="B52" s="30" t="n"/>
      <c r="C52" s="31" t="n"/>
      <c r="D52" s="29" t="n"/>
      <c r="E52" s="29" t="n"/>
      <c r="F52" s="31" t="n"/>
      <c r="G52" s="31" t="n"/>
      <c r="H52" s="29" t="n"/>
      <c r="I52" s="32">
        <f>IF(OR(NOT(AND($A52&lt;&gt;"",OR($H52="",$H52="Active"))),$F52=""),"",INT((TODAY()-$F52+280)/7)&amp;"+"&amp;MOD(TODAY()-$F52+280,7))</f>
        <v/>
      </c>
      <c r="J52" s="32">
        <f>IF(NOT(AND($A52&lt;&gt;"",OR($H52="",$H52="Active"))),"",IF($F52="",0,SUMPRODUCT(($N52:$U52="")*(($F52-(40-VALUE(LEFT($N$4:$U$4,2)))*7)&lt;TODAY())))+COUNTIF($N52:$U52,"DNA")+COUNTIF($V52:$Z52,"&lt;"&amp;TODAY()))</f>
        <v/>
      </c>
      <c r="K52" s="32">
        <f>IF(NOT(AND($A52&lt;&gt;"",OR($H52="",$H52="Active"))),"",IF($F52="",0,SUMPRODUCT(($N52:$U52="")*(($F52-(40-VALUE(LEFT($N$4:$U$4,2)))*7)&gt;=TODAY())*(($F52-(40-VALUE(LEFT($N$4:$U$4,2)))*7)&lt;=TODAY()+7)))+COUNTIFS($V52:$Z52,"&gt;="&amp;TODAY(),$V52:$Z52,"&lt;="&amp;TODAY()+7))</f>
        <v/>
      </c>
      <c r="L52" s="32">
        <f>IF(OR(NOT(AND($A52&lt;&gt;"",OR($H52="",$H52="Active"))),$F52=""),"",IF(N52="",N$4,IF(O52="",O$4,IF(P52="",P$4,IF(Q52="",Q$4,IF(R52="",R$4,IF(S52="",S$4,IF(T52="",T$4,IF(U52="",U$4,"All done")))))))))</f>
        <v/>
      </c>
      <c r="M52" s="33">
        <f>IF(OR($L52="",$L52="All done"),"",($F52-(40-VALUE(LEFT($L52,2)))*7))</f>
        <v/>
      </c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W52" s="31" t="n"/>
      <c r="X52" s="31" t="n"/>
      <c r="Y52" s="31" t="n"/>
      <c r="Z52" s="31" t="n"/>
      <c r="AA52" s="34" t="n"/>
      <c r="AB52" s="29" t="n"/>
      <c r="AC52" s="31" t="n"/>
    </row>
    <row r="53">
      <c r="A53" s="29" t="n"/>
      <c r="B53" s="30" t="n"/>
      <c r="C53" s="31" t="n"/>
      <c r="D53" s="29" t="n"/>
      <c r="E53" s="29" t="n"/>
      <c r="F53" s="31" t="n"/>
      <c r="G53" s="31" t="n"/>
      <c r="H53" s="29" t="n"/>
      <c r="I53" s="32">
        <f>IF(OR(NOT(AND($A53&lt;&gt;"",OR($H53="",$H53="Active"))),$F53=""),"",INT((TODAY()-$F53+280)/7)&amp;"+"&amp;MOD(TODAY()-$F53+280,7))</f>
        <v/>
      </c>
      <c r="J53" s="32">
        <f>IF(NOT(AND($A53&lt;&gt;"",OR($H53="",$H53="Active"))),"",IF($F53="",0,SUMPRODUCT(($N53:$U53="")*(($F53-(40-VALUE(LEFT($N$4:$U$4,2)))*7)&lt;TODAY())))+COUNTIF($N53:$U53,"DNA")+COUNTIF($V53:$Z53,"&lt;"&amp;TODAY()))</f>
        <v/>
      </c>
      <c r="K53" s="32">
        <f>IF(NOT(AND($A53&lt;&gt;"",OR($H53="",$H53="Active"))),"",IF($F53="",0,SUMPRODUCT(($N53:$U53="")*(($F53-(40-VALUE(LEFT($N$4:$U$4,2)))*7)&gt;=TODAY())*(($F53-(40-VALUE(LEFT($N$4:$U$4,2)))*7)&lt;=TODAY()+7)))+COUNTIFS($V53:$Z53,"&gt;="&amp;TODAY(),$V53:$Z53,"&lt;="&amp;TODAY()+7))</f>
        <v/>
      </c>
      <c r="L53" s="32">
        <f>IF(OR(NOT(AND($A53&lt;&gt;"",OR($H53="",$H53="Active"))),$F53=""),"",IF(N53="",N$4,IF(O53="",O$4,IF(P53="",P$4,IF(Q53="",Q$4,IF(R53="",R$4,IF(S53="",S$4,IF(T53="",T$4,IF(U53="",U$4,"All done")))))))))</f>
        <v/>
      </c>
      <c r="M53" s="33">
        <f>IF(OR($L53="",$L53="All done"),"",($F53-(40-VALUE(LEFT($L53,2)))*7))</f>
        <v/>
      </c>
      <c r="N53" s="31" t="n"/>
      <c r="O53" s="31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4" t="n"/>
      <c r="AB53" s="29" t="n"/>
      <c r="AC53" s="31" t="n"/>
    </row>
    <row r="54">
      <c r="A54" s="29" t="n"/>
      <c r="B54" s="30" t="n"/>
      <c r="C54" s="31" t="n"/>
      <c r="D54" s="29" t="n"/>
      <c r="E54" s="29" t="n"/>
      <c r="F54" s="31" t="n"/>
      <c r="G54" s="31" t="n"/>
      <c r="H54" s="29" t="n"/>
      <c r="I54" s="32">
        <f>IF(OR(NOT(AND($A54&lt;&gt;"",OR($H54="",$H54="Active"))),$F54=""),"",INT((TODAY()-$F54+280)/7)&amp;"+"&amp;MOD(TODAY()-$F54+280,7))</f>
        <v/>
      </c>
      <c r="J54" s="32">
        <f>IF(NOT(AND($A54&lt;&gt;"",OR($H54="",$H54="Active"))),"",IF($F54="",0,SUMPRODUCT(($N54:$U54="")*(($F54-(40-VALUE(LEFT($N$4:$U$4,2)))*7)&lt;TODAY())))+COUNTIF($N54:$U54,"DNA")+COUNTIF($V54:$Z54,"&lt;"&amp;TODAY()))</f>
        <v/>
      </c>
      <c r="K54" s="32">
        <f>IF(NOT(AND($A54&lt;&gt;"",OR($H54="",$H54="Active"))),"",IF($F54="",0,SUMPRODUCT(($N54:$U54="")*(($F54-(40-VALUE(LEFT($N$4:$U$4,2)))*7)&gt;=TODAY())*(($F54-(40-VALUE(LEFT($N$4:$U$4,2)))*7)&lt;=TODAY()+7)))+COUNTIFS($V54:$Z54,"&gt;="&amp;TODAY(),$V54:$Z54,"&lt;="&amp;TODAY()+7))</f>
        <v/>
      </c>
      <c r="L54" s="32">
        <f>IF(OR(NOT(AND($A54&lt;&gt;"",OR($H54="",$H54="Active"))),$F54=""),"",IF(N54="",N$4,IF(O54="",O$4,IF(P54="",P$4,IF(Q54="",Q$4,IF(R54="",R$4,IF(S54="",S$4,IF(T54="",T$4,IF(U54="",U$4,"All done")))))))))</f>
        <v/>
      </c>
      <c r="M54" s="33">
        <f>IF(OR($L54="",$L54="All done"),"",($F54-(40-VALUE(LEFT($L54,2)))*7))</f>
        <v/>
      </c>
      <c r="N54" s="31" t="n"/>
      <c r="O54" s="31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1" t="n"/>
      <c r="Z54" s="31" t="n"/>
      <c r="AA54" s="34" t="n"/>
      <c r="AB54" s="29" t="n"/>
      <c r="AC54" s="31" t="n"/>
    </row>
    <row r="55">
      <c r="A55" s="29" t="n"/>
      <c r="B55" s="30" t="n"/>
      <c r="C55" s="31" t="n"/>
      <c r="D55" s="29" t="n"/>
      <c r="E55" s="29" t="n"/>
      <c r="F55" s="31" t="n"/>
      <c r="G55" s="31" t="n"/>
      <c r="H55" s="29" t="n"/>
      <c r="I55" s="32">
        <f>IF(OR(NOT(AND($A55&lt;&gt;"",OR($H55="",$H55="Active"))),$F55=""),"",INT((TODAY()-$F55+280)/7)&amp;"+"&amp;MOD(TODAY()-$F55+280,7))</f>
        <v/>
      </c>
      <c r="J55" s="32">
        <f>IF(NOT(AND($A55&lt;&gt;"",OR($H55="",$H55="Active"))),"",IF($F55="",0,SUMPRODUCT(($N55:$U55="")*(($F55-(40-VALUE(LEFT($N$4:$U$4,2)))*7)&lt;TODAY())))+COUNTIF($N55:$U55,"DNA")+COUNTIF($V55:$Z55,"&lt;"&amp;TODAY()))</f>
        <v/>
      </c>
      <c r="K55" s="32">
        <f>IF(NOT(AND($A55&lt;&gt;"",OR($H55="",$H55="Active"))),"",IF($F55="",0,SUMPRODUCT(($N55:$U55="")*(($F55-(40-VALUE(LEFT($N$4:$U$4,2)))*7)&gt;=TODAY())*(($F55-(40-VALUE(LEFT($N$4:$U$4,2)))*7)&lt;=TODAY()+7)))+COUNTIFS($V55:$Z55,"&gt;="&amp;TODAY(),$V55:$Z55,"&lt;="&amp;TODAY()+7))</f>
        <v/>
      </c>
      <c r="L55" s="32">
        <f>IF(OR(NOT(AND($A55&lt;&gt;"",OR($H55="",$H55="Active"))),$F55=""),"",IF(N55="",N$4,IF(O55="",O$4,IF(P55="",P$4,IF(Q55="",Q$4,IF(R55="",R$4,IF(S55="",S$4,IF(T55="",T$4,IF(U55="",U$4,"All done")))))))))</f>
        <v/>
      </c>
      <c r="M55" s="33">
        <f>IF(OR($L55="",$L55="All done"),"",($F55-(40-VALUE(LEFT($L55,2)))*7))</f>
        <v/>
      </c>
      <c r="N55" s="31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4" t="n"/>
      <c r="AB55" s="29" t="n"/>
      <c r="AC55" s="31" t="n"/>
    </row>
    <row r="56">
      <c r="A56" s="29" t="n"/>
      <c r="B56" s="30" t="n"/>
      <c r="C56" s="31" t="n"/>
      <c r="D56" s="29" t="n"/>
      <c r="E56" s="29" t="n"/>
      <c r="F56" s="31" t="n"/>
      <c r="G56" s="31" t="n"/>
      <c r="H56" s="29" t="n"/>
      <c r="I56" s="32">
        <f>IF(OR(NOT(AND($A56&lt;&gt;"",OR($H56="",$H56="Active"))),$F56=""),"",INT((TODAY()-$F56+280)/7)&amp;"+"&amp;MOD(TODAY()-$F56+280,7))</f>
        <v/>
      </c>
      <c r="J56" s="32">
        <f>IF(NOT(AND($A56&lt;&gt;"",OR($H56="",$H56="Active"))),"",IF($F56="",0,SUMPRODUCT(($N56:$U56="")*(($F56-(40-VALUE(LEFT($N$4:$U$4,2)))*7)&lt;TODAY())))+COUNTIF($N56:$U56,"DNA")+COUNTIF($V56:$Z56,"&lt;"&amp;TODAY()))</f>
        <v/>
      </c>
      <c r="K56" s="32">
        <f>IF(NOT(AND($A56&lt;&gt;"",OR($H56="",$H56="Active"))),"",IF($F56="",0,SUMPRODUCT(($N56:$U56="")*(($F56-(40-VALUE(LEFT($N$4:$U$4,2)))*7)&gt;=TODAY())*(($F56-(40-VALUE(LEFT($N$4:$U$4,2)))*7)&lt;=TODAY()+7)))+COUNTIFS($V56:$Z56,"&gt;="&amp;TODAY(),$V56:$Z56,"&lt;="&amp;TODAY()+7))</f>
        <v/>
      </c>
      <c r="L56" s="32">
        <f>IF(OR(NOT(AND($A56&lt;&gt;"",OR($H56="",$H56="Active"))),$F56=""),"",IF(N56="",N$4,IF(O56="",O$4,IF(P56="",P$4,IF(Q56="",Q$4,IF(R56="",R$4,IF(S56="",S$4,IF(T56="",T$4,IF(U56="",U$4,"All done")))))))))</f>
        <v/>
      </c>
      <c r="M56" s="33">
        <f>IF(OR($L56="",$L56="All done"),"",($F56-(40-VALUE(LEFT($L56,2)))*7))</f>
        <v/>
      </c>
      <c r="N56" s="31" t="n"/>
      <c r="O56" s="31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1" t="n"/>
      <c r="Z56" s="31" t="n"/>
      <c r="AA56" s="34" t="n"/>
      <c r="AB56" s="29" t="n"/>
      <c r="AC56" s="31" t="n"/>
    </row>
    <row r="57">
      <c r="A57" s="29" t="n"/>
      <c r="B57" s="30" t="n"/>
      <c r="C57" s="31" t="n"/>
      <c r="D57" s="29" t="n"/>
      <c r="E57" s="29" t="n"/>
      <c r="F57" s="31" t="n"/>
      <c r="G57" s="31" t="n"/>
      <c r="H57" s="29" t="n"/>
      <c r="I57" s="32">
        <f>IF(OR(NOT(AND($A57&lt;&gt;"",OR($H57="",$H57="Active"))),$F57=""),"",INT((TODAY()-$F57+280)/7)&amp;"+"&amp;MOD(TODAY()-$F57+280,7))</f>
        <v/>
      </c>
      <c r="J57" s="32">
        <f>IF(NOT(AND($A57&lt;&gt;"",OR($H57="",$H57="Active"))),"",IF($F57="",0,SUMPRODUCT(($N57:$U57="")*(($F57-(40-VALUE(LEFT($N$4:$U$4,2)))*7)&lt;TODAY())))+COUNTIF($N57:$U57,"DNA")+COUNTIF($V57:$Z57,"&lt;"&amp;TODAY()))</f>
        <v/>
      </c>
      <c r="K57" s="32">
        <f>IF(NOT(AND($A57&lt;&gt;"",OR($H57="",$H57="Active"))),"",IF($F57="",0,SUMPRODUCT(($N57:$U57="")*(($F57-(40-VALUE(LEFT($N$4:$U$4,2)))*7)&gt;=TODAY())*(($F57-(40-VALUE(LEFT($N$4:$U$4,2)))*7)&lt;=TODAY()+7)))+COUNTIFS($V57:$Z57,"&gt;="&amp;TODAY(),$V57:$Z57,"&lt;="&amp;TODAY()+7))</f>
        <v/>
      </c>
      <c r="L57" s="32">
        <f>IF(OR(NOT(AND($A57&lt;&gt;"",OR($H57="",$H57="Active"))),$F57=""),"",IF(N57="",N$4,IF(O57="",O$4,IF(P57="",P$4,IF(Q57="",Q$4,IF(R57="",R$4,IF(S57="",S$4,IF(T57="",T$4,IF(U57="",U$4,"All done")))))))))</f>
        <v/>
      </c>
      <c r="M57" s="33">
        <f>IF(OR($L57="",$L57="All done"),"",($F57-(40-VALUE(LEFT($L57,2)))*7))</f>
        <v/>
      </c>
      <c r="N57" s="31" t="n"/>
      <c r="O57" s="31" t="n"/>
      <c r="P57" s="31" t="n"/>
      <c r="Q57" s="31" t="n"/>
      <c r="R57" s="31" t="n"/>
      <c r="S57" s="31" t="n"/>
      <c r="T57" s="31" t="n"/>
      <c r="U57" s="31" t="n"/>
      <c r="V57" s="31" t="n"/>
      <c r="W57" s="31" t="n"/>
      <c r="X57" s="31" t="n"/>
      <c r="Y57" s="31" t="n"/>
      <c r="Z57" s="31" t="n"/>
      <c r="AA57" s="34" t="n"/>
      <c r="AB57" s="29" t="n"/>
      <c r="AC57" s="31" t="n"/>
    </row>
    <row r="58">
      <c r="A58" s="29" t="n"/>
      <c r="B58" s="30" t="n"/>
      <c r="C58" s="31" t="n"/>
      <c r="D58" s="29" t="n"/>
      <c r="E58" s="29" t="n"/>
      <c r="F58" s="31" t="n"/>
      <c r="G58" s="31" t="n"/>
      <c r="H58" s="29" t="n"/>
      <c r="I58" s="32">
        <f>IF(OR(NOT(AND($A58&lt;&gt;"",OR($H58="",$H58="Active"))),$F58=""),"",INT((TODAY()-$F58+280)/7)&amp;"+"&amp;MOD(TODAY()-$F58+280,7))</f>
        <v/>
      </c>
      <c r="J58" s="32">
        <f>IF(NOT(AND($A58&lt;&gt;"",OR($H58="",$H58="Active"))),"",IF($F58="",0,SUMPRODUCT(($N58:$U58="")*(($F58-(40-VALUE(LEFT($N$4:$U$4,2)))*7)&lt;TODAY())))+COUNTIF($N58:$U58,"DNA")+COUNTIF($V58:$Z58,"&lt;"&amp;TODAY()))</f>
        <v/>
      </c>
      <c r="K58" s="32">
        <f>IF(NOT(AND($A58&lt;&gt;"",OR($H58="",$H58="Active"))),"",IF($F58="",0,SUMPRODUCT(($N58:$U58="")*(($F58-(40-VALUE(LEFT($N$4:$U$4,2)))*7)&gt;=TODAY())*(($F58-(40-VALUE(LEFT($N$4:$U$4,2)))*7)&lt;=TODAY()+7)))+COUNTIFS($V58:$Z58,"&gt;="&amp;TODAY(),$V58:$Z58,"&lt;="&amp;TODAY()+7))</f>
        <v/>
      </c>
      <c r="L58" s="32">
        <f>IF(OR(NOT(AND($A58&lt;&gt;"",OR($H58="",$H58="Active"))),$F58=""),"",IF(N58="",N$4,IF(O58="",O$4,IF(P58="",P$4,IF(Q58="",Q$4,IF(R58="",R$4,IF(S58="",S$4,IF(T58="",T$4,IF(U58="",U$4,"All done")))))))))</f>
        <v/>
      </c>
      <c r="M58" s="33">
        <f>IF(OR($L58="",$L58="All done"),"",($F58-(40-VALUE(LEFT($L58,2)))*7))</f>
        <v/>
      </c>
      <c r="N58" s="31" t="n"/>
      <c r="O58" s="31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 t="n"/>
      <c r="Y58" s="31" t="n"/>
      <c r="Z58" s="31" t="n"/>
      <c r="AA58" s="34" t="n"/>
      <c r="AB58" s="29" t="n"/>
      <c r="AC58" s="31" t="n"/>
    </row>
    <row r="59">
      <c r="A59" s="29" t="n"/>
      <c r="B59" s="30" t="n"/>
      <c r="C59" s="31" t="n"/>
      <c r="D59" s="29" t="n"/>
      <c r="E59" s="29" t="n"/>
      <c r="F59" s="31" t="n"/>
      <c r="G59" s="31" t="n"/>
      <c r="H59" s="29" t="n"/>
      <c r="I59" s="32">
        <f>IF(OR(NOT(AND($A59&lt;&gt;"",OR($H59="",$H59="Active"))),$F59=""),"",INT((TODAY()-$F59+280)/7)&amp;"+"&amp;MOD(TODAY()-$F59+280,7))</f>
        <v/>
      </c>
      <c r="J59" s="32">
        <f>IF(NOT(AND($A59&lt;&gt;"",OR($H59="",$H59="Active"))),"",IF($F59="",0,SUMPRODUCT(($N59:$U59="")*(($F59-(40-VALUE(LEFT($N$4:$U$4,2)))*7)&lt;TODAY())))+COUNTIF($N59:$U59,"DNA")+COUNTIF($V59:$Z59,"&lt;"&amp;TODAY()))</f>
        <v/>
      </c>
      <c r="K59" s="32">
        <f>IF(NOT(AND($A59&lt;&gt;"",OR($H59="",$H59="Active"))),"",IF($F59="",0,SUMPRODUCT(($N59:$U59="")*(($F59-(40-VALUE(LEFT($N$4:$U$4,2)))*7)&gt;=TODAY())*(($F59-(40-VALUE(LEFT($N$4:$U$4,2)))*7)&lt;=TODAY()+7)))+COUNTIFS($V59:$Z59,"&gt;="&amp;TODAY(),$V59:$Z59,"&lt;="&amp;TODAY()+7))</f>
        <v/>
      </c>
      <c r="L59" s="32">
        <f>IF(OR(NOT(AND($A59&lt;&gt;"",OR($H59="",$H59="Active"))),$F59=""),"",IF(N59="",N$4,IF(O59="",O$4,IF(P59="",P$4,IF(Q59="",Q$4,IF(R59="",R$4,IF(S59="",S$4,IF(T59="",T$4,IF(U59="",U$4,"All done")))))))))</f>
        <v/>
      </c>
      <c r="M59" s="33">
        <f>IF(OR($L59="",$L59="All done"),"",($F59-(40-VALUE(LEFT($L59,2)))*7))</f>
        <v/>
      </c>
      <c r="N59" s="31" t="n"/>
      <c r="O59" s="31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1" t="n"/>
      <c r="Z59" s="31" t="n"/>
      <c r="AA59" s="34" t="n"/>
      <c r="AB59" s="29" t="n"/>
      <c r="AC59" s="31" t="n"/>
    </row>
    <row r="60">
      <c r="A60" s="29" t="n"/>
      <c r="B60" s="30" t="n"/>
      <c r="C60" s="31" t="n"/>
      <c r="D60" s="29" t="n"/>
      <c r="E60" s="29" t="n"/>
      <c r="F60" s="31" t="n"/>
      <c r="G60" s="31" t="n"/>
      <c r="H60" s="29" t="n"/>
      <c r="I60" s="32">
        <f>IF(OR(NOT(AND($A60&lt;&gt;"",OR($H60="",$H60="Active"))),$F60=""),"",INT((TODAY()-$F60+280)/7)&amp;"+"&amp;MOD(TODAY()-$F60+280,7))</f>
        <v/>
      </c>
      <c r="J60" s="32">
        <f>IF(NOT(AND($A60&lt;&gt;"",OR($H60="",$H60="Active"))),"",IF($F60="",0,SUMPRODUCT(($N60:$U60="")*(($F60-(40-VALUE(LEFT($N$4:$U$4,2)))*7)&lt;TODAY())))+COUNTIF($N60:$U60,"DNA")+COUNTIF($V60:$Z60,"&lt;"&amp;TODAY()))</f>
        <v/>
      </c>
      <c r="K60" s="32">
        <f>IF(NOT(AND($A60&lt;&gt;"",OR($H60="",$H60="Active"))),"",IF($F60="",0,SUMPRODUCT(($N60:$U60="")*(($F60-(40-VALUE(LEFT($N$4:$U$4,2)))*7)&gt;=TODAY())*(($F60-(40-VALUE(LEFT($N$4:$U$4,2)))*7)&lt;=TODAY()+7)))+COUNTIFS($V60:$Z60,"&gt;="&amp;TODAY(),$V60:$Z60,"&lt;="&amp;TODAY()+7))</f>
        <v/>
      </c>
      <c r="L60" s="32">
        <f>IF(OR(NOT(AND($A60&lt;&gt;"",OR($H60="",$H60="Active"))),$F60=""),"",IF(N60="",N$4,IF(O60="",O$4,IF(P60="",P$4,IF(Q60="",Q$4,IF(R60="",R$4,IF(S60="",S$4,IF(T60="",T$4,IF(U60="",U$4,"All done")))))))))</f>
        <v/>
      </c>
      <c r="M60" s="33">
        <f>IF(OR($L60="",$L60="All done"),"",($F60-(40-VALUE(LEFT($L60,2)))*7))</f>
        <v/>
      </c>
      <c r="N60" s="31" t="n"/>
      <c r="O60" s="31" t="n"/>
      <c r="P60" s="31" t="n"/>
      <c r="Q60" s="31" t="n"/>
      <c r="R60" s="31" t="n"/>
      <c r="S60" s="31" t="n"/>
      <c r="T60" s="31" t="n"/>
      <c r="U60" s="31" t="n"/>
      <c r="V60" s="31" t="n"/>
      <c r="W60" s="31" t="n"/>
      <c r="X60" s="31" t="n"/>
      <c r="Y60" s="31" t="n"/>
      <c r="Z60" s="31" t="n"/>
      <c r="AA60" s="34" t="n"/>
      <c r="AB60" s="29" t="n"/>
      <c r="AC60" s="31" t="n"/>
    </row>
    <row r="61">
      <c r="A61" s="29" t="n"/>
      <c r="B61" s="30" t="n"/>
      <c r="C61" s="31" t="n"/>
      <c r="D61" s="29" t="n"/>
      <c r="E61" s="29" t="n"/>
      <c r="F61" s="31" t="n"/>
      <c r="G61" s="31" t="n"/>
      <c r="H61" s="29" t="n"/>
      <c r="I61" s="32">
        <f>IF(OR(NOT(AND($A61&lt;&gt;"",OR($H61="",$H61="Active"))),$F61=""),"",INT((TODAY()-$F61+280)/7)&amp;"+"&amp;MOD(TODAY()-$F61+280,7))</f>
        <v/>
      </c>
      <c r="J61" s="32">
        <f>IF(NOT(AND($A61&lt;&gt;"",OR($H61="",$H61="Active"))),"",IF($F61="",0,SUMPRODUCT(($N61:$U61="")*(($F61-(40-VALUE(LEFT($N$4:$U$4,2)))*7)&lt;TODAY())))+COUNTIF($N61:$U61,"DNA")+COUNTIF($V61:$Z61,"&lt;"&amp;TODAY()))</f>
        <v/>
      </c>
      <c r="K61" s="32">
        <f>IF(NOT(AND($A61&lt;&gt;"",OR($H61="",$H61="Active"))),"",IF($F61="",0,SUMPRODUCT(($N61:$U61="")*(($F61-(40-VALUE(LEFT($N$4:$U$4,2)))*7)&gt;=TODAY())*(($F61-(40-VALUE(LEFT($N$4:$U$4,2)))*7)&lt;=TODAY()+7)))+COUNTIFS($V61:$Z61,"&gt;="&amp;TODAY(),$V61:$Z61,"&lt;="&amp;TODAY()+7))</f>
        <v/>
      </c>
      <c r="L61" s="32">
        <f>IF(OR(NOT(AND($A61&lt;&gt;"",OR($H61="",$H61="Active"))),$F61=""),"",IF(N61="",N$4,IF(O61="",O$4,IF(P61="",P$4,IF(Q61="",Q$4,IF(R61="",R$4,IF(S61="",S$4,IF(T61="",T$4,IF(U61="",U$4,"All done")))))))))</f>
        <v/>
      </c>
      <c r="M61" s="33">
        <f>IF(OR($L61="",$L61="All done"),"",($F61-(40-VALUE(LEFT($L61,2)))*7))</f>
        <v/>
      </c>
      <c r="N61" s="31" t="n"/>
      <c r="O61" s="31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 t="n"/>
      <c r="Y61" s="31" t="n"/>
      <c r="Z61" s="31" t="n"/>
      <c r="AA61" s="34" t="n"/>
      <c r="AB61" s="29" t="n"/>
      <c r="AC61" s="31" t="n"/>
    </row>
    <row r="62">
      <c r="A62" s="29" t="n"/>
      <c r="B62" s="30" t="n"/>
      <c r="C62" s="31" t="n"/>
      <c r="D62" s="29" t="n"/>
      <c r="E62" s="29" t="n"/>
      <c r="F62" s="31" t="n"/>
      <c r="G62" s="31" t="n"/>
      <c r="H62" s="29" t="n"/>
      <c r="I62" s="32">
        <f>IF(OR(NOT(AND($A62&lt;&gt;"",OR($H62="",$H62="Active"))),$F62=""),"",INT((TODAY()-$F62+280)/7)&amp;"+"&amp;MOD(TODAY()-$F62+280,7))</f>
        <v/>
      </c>
      <c r="J62" s="32">
        <f>IF(NOT(AND($A62&lt;&gt;"",OR($H62="",$H62="Active"))),"",IF($F62="",0,SUMPRODUCT(($N62:$U62="")*(($F62-(40-VALUE(LEFT($N$4:$U$4,2)))*7)&lt;TODAY())))+COUNTIF($N62:$U62,"DNA")+COUNTIF($V62:$Z62,"&lt;"&amp;TODAY()))</f>
        <v/>
      </c>
      <c r="K62" s="32">
        <f>IF(NOT(AND($A62&lt;&gt;"",OR($H62="",$H62="Active"))),"",IF($F62="",0,SUMPRODUCT(($N62:$U62="")*(($F62-(40-VALUE(LEFT($N$4:$U$4,2)))*7)&gt;=TODAY())*(($F62-(40-VALUE(LEFT($N$4:$U$4,2)))*7)&lt;=TODAY()+7)))+COUNTIFS($V62:$Z62,"&gt;="&amp;TODAY(),$V62:$Z62,"&lt;="&amp;TODAY()+7))</f>
        <v/>
      </c>
      <c r="L62" s="32">
        <f>IF(OR(NOT(AND($A62&lt;&gt;"",OR($H62="",$H62="Active"))),$F62=""),"",IF(N62="",N$4,IF(O62="",O$4,IF(P62="",P$4,IF(Q62="",Q$4,IF(R62="",R$4,IF(S62="",S$4,IF(T62="",T$4,IF(U62="",U$4,"All done")))))))))</f>
        <v/>
      </c>
      <c r="M62" s="33">
        <f>IF(OR($L62="",$L62="All done"),"",($F62-(40-VALUE(LEFT($L62,2)))*7))</f>
        <v/>
      </c>
      <c r="N62" s="31" t="n"/>
      <c r="O62" s="31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1" t="n"/>
      <c r="Z62" s="31" t="n"/>
      <c r="AA62" s="34" t="n"/>
      <c r="AB62" s="29" t="n"/>
      <c r="AC62" s="31" t="n"/>
    </row>
    <row r="63">
      <c r="A63" s="29" t="n"/>
      <c r="B63" s="30" t="n"/>
      <c r="C63" s="31" t="n"/>
      <c r="D63" s="29" t="n"/>
      <c r="E63" s="29" t="n"/>
      <c r="F63" s="31" t="n"/>
      <c r="G63" s="31" t="n"/>
      <c r="H63" s="29" t="n"/>
      <c r="I63" s="32">
        <f>IF(OR(NOT(AND($A63&lt;&gt;"",OR($H63="",$H63="Active"))),$F63=""),"",INT((TODAY()-$F63+280)/7)&amp;"+"&amp;MOD(TODAY()-$F63+280,7))</f>
        <v/>
      </c>
      <c r="J63" s="32">
        <f>IF(NOT(AND($A63&lt;&gt;"",OR($H63="",$H63="Active"))),"",IF($F63="",0,SUMPRODUCT(($N63:$U63="")*(($F63-(40-VALUE(LEFT($N$4:$U$4,2)))*7)&lt;TODAY())))+COUNTIF($N63:$U63,"DNA")+COUNTIF($V63:$Z63,"&lt;"&amp;TODAY()))</f>
        <v/>
      </c>
      <c r="K63" s="32">
        <f>IF(NOT(AND($A63&lt;&gt;"",OR($H63="",$H63="Active"))),"",IF($F63="",0,SUMPRODUCT(($N63:$U63="")*(($F63-(40-VALUE(LEFT($N$4:$U$4,2)))*7)&gt;=TODAY())*(($F63-(40-VALUE(LEFT($N$4:$U$4,2)))*7)&lt;=TODAY()+7)))+COUNTIFS($V63:$Z63,"&gt;="&amp;TODAY(),$V63:$Z63,"&lt;="&amp;TODAY()+7))</f>
        <v/>
      </c>
      <c r="L63" s="32">
        <f>IF(OR(NOT(AND($A63&lt;&gt;"",OR($H63="",$H63="Active"))),$F63=""),"",IF(N63="",N$4,IF(O63="",O$4,IF(P63="",P$4,IF(Q63="",Q$4,IF(R63="",R$4,IF(S63="",S$4,IF(T63="",T$4,IF(U63="",U$4,"All done")))))))))</f>
        <v/>
      </c>
      <c r="M63" s="33">
        <f>IF(OR($L63="",$L63="All done"),"",($F63-(40-VALUE(LEFT($L63,2)))*7))</f>
        <v/>
      </c>
      <c r="N63" s="31" t="n"/>
      <c r="O63" s="31" t="n"/>
      <c r="P63" s="31" t="n"/>
      <c r="Q63" s="31" t="n"/>
      <c r="R63" s="31" t="n"/>
      <c r="S63" s="31" t="n"/>
      <c r="T63" s="31" t="n"/>
      <c r="U63" s="31" t="n"/>
      <c r="V63" s="31" t="n"/>
      <c r="W63" s="31" t="n"/>
      <c r="X63" s="31" t="n"/>
      <c r="Y63" s="31" t="n"/>
      <c r="Z63" s="31" t="n"/>
      <c r="AA63" s="34" t="n"/>
      <c r="AB63" s="29" t="n"/>
      <c r="AC63" s="31" t="n"/>
    </row>
    <row r="64">
      <c r="A64" s="29" t="n"/>
      <c r="B64" s="30" t="n"/>
      <c r="C64" s="31" t="n"/>
      <c r="D64" s="29" t="n"/>
      <c r="E64" s="29" t="n"/>
      <c r="F64" s="31" t="n"/>
      <c r="G64" s="31" t="n"/>
      <c r="H64" s="29" t="n"/>
      <c r="I64" s="32">
        <f>IF(OR(NOT(AND($A64&lt;&gt;"",OR($H64="",$H64="Active"))),$F64=""),"",INT((TODAY()-$F64+280)/7)&amp;"+"&amp;MOD(TODAY()-$F64+280,7))</f>
        <v/>
      </c>
      <c r="J64" s="32">
        <f>IF(NOT(AND($A64&lt;&gt;"",OR($H64="",$H64="Active"))),"",IF($F64="",0,SUMPRODUCT(($N64:$U64="")*(($F64-(40-VALUE(LEFT($N$4:$U$4,2)))*7)&lt;TODAY())))+COUNTIF($N64:$U64,"DNA")+COUNTIF($V64:$Z64,"&lt;"&amp;TODAY()))</f>
        <v/>
      </c>
      <c r="K64" s="32">
        <f>IF(NOT(AND($A64&lt;&gt;"",OR($H64="",$H64="Active"))),"",IF($F64="",0,SUMPRODUCT(($N64:$U64="")*(($F64-(40-VALUE(LEFT($N$4:$U$4,2)))*7)&gt;=TODAY())*(($F64-(40-VALUE(LEFT($N$4:$U$4,2)))*7)&lt;=TODAY()+7)))+COUNTIFS($V64:$Z64,"&gt;="&amp;TODAY(),$V64:$Z64,"&lt;="&amp;TODAY()+7))</f>
        <v/>
      </c>
      <c r="L64" s="32">
        <f>IF(OR(NOT(AND($A64&lt;&gt;"",OR($H64="",$H64="Active"))),$F64=""),"",IF(N64="",N$4,IF(O64="",O$4,IF(P64="",P$4,IF(Q64="",Q$4,IF(R64="",R$4,IF(S64="",S$4,IF(T64="",T$4,IF(U64="",U$4,"All done")))))))))</f>
        <v/>
      </c>
      <c r="M64" s="33">
        <f>IF(OR($L64="",$L64="All done"),"",($F64-(40-VALUE(LEFT($L64,2)))*7))</f>
        <v/>
      </c>
      <c r="N64" s="31" t="n"/>
      <c r="O64" s="31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 t="n"/>
      <c r="Y64" s="31" t="n"/>
      <c r="Z64" s="31" t="n"/>
      <c r="AA64" s="34" t="n"/>
      <c r="AB64" s="29" t="n"/>
      <c r="AC64" s="31" t="n"/>
    </row>
    <row r="65">
      <c r="A65" s="29" t="n"/>
      <c r="B65" s="30" t="n"/>
      <c r="C65" s="31" t="n"/>
      <c r="D65" s="29" t="n"/>
      <c r="E65" s="29" t="n"/>
      <c r="F65" s="31" t="n"/>
      <c r="G65" s="31" t="n"/>
      <c r="H65" s="29" t="n"/>
      <c r="I65" s="32">
        <f>IF(OR(NOT(AND($A65&lt;&gt;"",OR($H65="",$H65="Active"))),$F65=""),"",INT((TODAY()-$F65+280)/7)&amp;"+"&amp;MOD(TODAY()-$F65+280,7))</f>
        <v/>
      </c>
      <c r="J65" s="32">
        <f>IF(NOT(AND($A65&lt;&gt;"",OR($H65="",$H65="Active"))),"",IF($F65="",0,SUMPRODUCT(($N65:$U65="")*(($F65-(40-VALUE(LEFT($N$4:$U$4,2)))*7)&lt;TODAY())))+COUNTIF($N65:$U65,"DNA")+COUNTIF($V65:$Z65,"&lt;"&amp;TODAY()))</f>
        <v/>
      </c>
      <c r="K65" s="32">
        <f>IF(NOT(AND($A65&lt;&gt;"",OR($H65="",$H65="Active"))),"",IF($F65="",0,SUMPRODUCT(($N65:$U65="")*(($F65-(40-VALUE(LEFT($N$4:$U$4,2)))*7)&gt;=TODAY())*(($F65-(40-VALUE(LEFT($N$4:$U$4,2)))*7)&lt;=TODAY()+7)))+COUNTIFS($V65:$Z65,"&gt;="&amp;TODAY(),$V65:$Z65,"&lt;="&amp;TODAY()+7))</f>
        <v/>
      </c>
      <c r="L65" s="32">
        <f>IF(OR(NOT(AND($A65&lt;&gt;"",OR($H65="",$H65="Active"))),$F65=""),"",IF(N65="",N$4,IF(O65="",O$4,IF(P65="",P$4,IF(Q65="",Q$4,IF(R65="",R$4,IF(S65="",S$4,IF(T65="",T$4,IF(U65="",U$4,"All done")))))))))</f>
        <v/>
      </c>
      <c r="M65" s="33">
        <f>IF(OR($L65="",$L65="All done"),"",($F65-(40-VALUE(LEFT($L65,2)))*7))</f>
        <v/>
      </c>
      <c r="N65" s="31" t="n"/>
      <c r="O65" s="31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1" t="n"/>
      <c r="Z65" s="31" t="n"/>
      <c r="AA65" s="34" t="n"/>
      <c r="AB65" s="29" t="n"/>
      <c r="AC65" s="31" t="n"/>
    </row>
    <row r="66">
      <c r="A66" s="29" t="n"/>
      <c r="B66" s="30" t="n"/>
      <c r="C66" s="31" t="n"/>
      <c r="D66" s="29" t="n"/>
      <c r="E66" s="29" t="n"/>
      <c r="F66" s="31" t="n"/>
      <c r="G66" s="31" t="n"/>
      <c r="H66" s="29" t="n"/>
      <c r="I66" s="32">
        <f>IF(OR(NOT(AND($A66&lt;&gt;"",OR($H66="",$H66="Active"))),$F66=""),"",INT((TODAY()-$F66+280)/7)&amp;"+"&amp;MOD(TODAY()-$F66+280,7))</f>
        <v/>
      </c>
      <c r="J66" s="32">
        <f>IF(NOT(AND($A66&lt;&gt;"",OR($H66="",$H66="Active"))),"",IF($F66="",0,SUMPRODUCT(($N66:$U66="")*(($F66-(40-VALUE(LEFT($N$4:$U$4,2)))*7)&lt;TODAY())))+COUNTIF($N66:$U66,"DNA")+COUNTIF($V66:$Z66,"&lt;"&amp;TODAY()))</f>
        <v/>
      </c>
      <c r="K66" s="32">
        <f>IF(NOT(AND($A66&lt;&gt;"",OR($H66="",$H66="Active"))),"",IF($F66="",0,SUMPRODUCT(($N66:$U66="")*(($F66-(40-VALUE(LEFT($N$4:$U$4,2)))*7)&gt;=TODAY())*(($F66-(40-VALUE(LEFT($N$4:$U$4,2)))*7)&lt;=TODAY()+7)))+COUNTIFS($V66:$Z66,"&gt;="&amp;TODAY(),$V66:$Z66,"&lt;="&amp;TODAY()+7))</f>
        <v/>
      </c>
      <c r="L66" s="32">
        <f>IF(OR(NOT(AND($A66&lt;&gt;"",OR($H66="",$H66="Active"))),$F66=""),"",IF(N66="",N$4,IF(O66="",O$4,IF(P66="",P$4,IF(Q66="",Q$4,IF(R66="",R$4,IF(S66="",S$4,IF(T66="",T$4,IF(U66="",U$4,"All done")))))))))</f>
        <v/>
      </c>
      <c r="M66" s="33">
        <f>IF(OR($L66="",$L66="All done"),"",($F66-(40-VALUE(LEFT($L66,2)))*7))</f>
        <v/>
      </c>
      <c r="N66" s="31" t="n"/>
      <c r="O66" s="31" t="n"/>
      <c r="P66" s="31" t="n"/>
      <c r="Q66" s="31" t="n"/>
      <c r="R66" s="31" t="n"/>
      <c r="S66" s="31" t="n"/>
      <c r="T66" s="31" t="n"/>
      <c r="U66" s="31" t="n"/>
      <c r="V66" s="31" t="n"/>
      <c r="W66" s="31" t="n"/>
      <c r="X66" s="31" t="n"/>
      <c r="Y66" s="31" t="n"/>
      <c r="Z66" s="31" t="n"/>
      <c r="AA66" s="34" t="n"/>
      <c r="AB66" s="29" t="n"/>
      <c r="AC66" s="31" t="n"/>
    </row>
    <row r="67">
      <c r="A67" s="29" t="n"/>
      <c r="B67" s="30" t="n"/>
      <c r="C67" s="31" t="n"/>
      <c r="D67" s="29" t="n"/>
      <c r="E67" s="29" t="n"/>
      <c r="F67" s="31" t="n"/>
      <c r="G67" s="31" t="n"/>
      <c r="H67" s="29" t="n"/>
      <c r="I67" s="32">
        <f>IF(OR(NOT(AND($A67&lt;&gt;"",OR($H67="",$H67="Active"))),$F67=""),"",INT((TODAY()-$F67+280)/7)&amp;"+"&amp;MOD(TODAY()-$F67+280,7))</f>
        <v/>
      </c>
      <c r="J67" s="32">
        <f>IF(NOT(AND($A67&lt;&gt;"",OR($H67="",$H67="Active"))),"",IF($F67="",0,SUMPRODUCT(($N67:$U67="")*(($F67-(40-VALUE(LEFT($N$4:$U$4,2)))*7)&lt;TODAY())))+COUNTIF($N67:$U67,"DNA")+COUNTIF($V67:$Z67,"&lt;"&amp;TODAY()))</f>
        <v/>
      </c>
      <c r="K67" s="32">
        <f>IF(NOT(AND($A67&lt;&gt;"",OR($H67="",$H67="Active"))),"",IF($F67="",0,SUMPRODUCT(($N67:$U67="")*(($F67-(40-VALUE(LEFT($N$4:$U$4,2)))*7)&gt;=TODAY())*(($F67-(40-VALUE(LEFT($N$4:$U$4,2)))*7)&lt;=TODAY()+7)))+COUNTIFS($V67:$Z67,"&gt;="&amp;TODAY(),$V67:$Z67,"&lt;="&amp;TODAY()+7))</f>
        <v/>
      </c>
      <c r="L67" s="32">
        <f>IF(OR(NOT(AND($A67&lt;&gt;"",OR($H67="",$H67="Active"))),$F67=""),"",IF(N67="",N$4,IF(O67="",O$4,IF(P67="",P$4,IF(Q67="",Q$4,IF(R67="",R$4,IF(S67="",S$4,IF(T67="",T$4,IF(U67="",U$4,"All done")))))))))</f>
        <v/>
      </c>
      <c r="M67" s="33">
        <f>IF(OR($L67="",$L67="All done"),"",($F67-(40-VALUE(LEFT($L67,2)))*7))</f>
        <v/>
      </c>
      <c r="N67" s="31" t="n"/>
      <c r="O67" s="31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 t="n"/>
      <c r="Y67" s="31" t="n"/>
      <c r="Z67" s="31" t="n"/>
      <c r="AA67" s="34" t="n"/>
      <c r="AB67" s="29" t="n"/>
      <c r="AC67" s="31" t="n"/>
    </row>
    <row r="68">
      <c r="A68" s="29" t="n"/>
      <c r="B68" s="30" t="n"/>
      <c r="C68" s="31" t="n"/>
      <c r="D68" s="29" t="n"/>
      <c r="E68" s="29" t="n"/>
      <c r="F68" s="31" t="n"/>
      <c r="G68" s="31" t="n"/>
      <c r="H68" s="29" t="n"/>
      <c r="I68" s="32">
        <f>IF(OR(NOT(AND($A68&lt;&gt;"",OR($H68="",$H68="Active"))),$F68=""),"",INT((TODAY()-$F68+280)/7)&amp;"+"&amp;MOD(TODAY()-$F68+280,7))</f>
        <v/>
      </c>
      <c r="J68" s="32">
        <f>IF(NOT(AND($A68&lt;&gt;"",OR($H68="",$H68="Active"))),"",IF($F68="",0,SUMPRODUCT(($N68:$U68="")*(($F68-(40-VALUE(LEFT($N$4:$U$4,2)))*7)&lt;TODAY())))+COUNTIF($N68:$U68,"DNA")+COUNTIF($V68:$Z68,"&lt;"&amp;TODAY()))</f>
        <v/>
      </c>
      <c r="K68" s="32">
        <f>IF(NOT(AND($A68&lt;&gt;"",OR($H68="",$H68="Active"))),"",IF($F68="",0,SUMPRODUCT(($N68:$U68="")*(($F68-(40-VALUE(LEFT($N$4:$U$4,2)))*7)&gt;=TODAY())*(($F68-(40-VALUE(LEFT($N$4:$U$4,2)))*7)&lt;=TODAY()+7)))+COUNTIFS($V68:$Z68,"&gt;="&amp;TODAY(),$V68:$Z68,"&lt;="&amp;TODAY()+7))</f>
        <v/>
      </c>
      <c r="L68" s="32">
        <f>IF(OR(NOT(AND($A68&lt;&gt;"",OR($H68="",$H68="Active"))),$F68=""),"",IF(N68="",N$4,IF(O68="",O$4,IF(P68="",P$4,IF(Q68="",Q$4,IF(R68="",R$4,IF(S68="",S$4,IF(T68="",T$4,IF(U68="",U$4,"All done")))))))))</f>
        <v/>
      </c>
      <c r="M68" s="33">
        <f>IF(OR($L68="",$L68="All done"),"",($F68-(40-VALUE(LEFT($L68,2)))*7))</f>
        <v/>
      </c>
      <c r="N68" s="31" t="n"/>
      <c r="O68" s="31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1" t="n"/>
      <c r="Z68" s="31" t="n"/>
      <c r="AA68" s="34" t="n"/>
      <c r="AB68" s="29" t="n"/>
      <c r="AC68" s="31" t="n"/>
    </row>
    <row r="69">
      <c r="A69" s="29" t="n"/>
      <c r="B69" s="30" t="n"/>
      <c r="C69" s="31" t="n"/>
      <c r="D69" s="29" t="n"/>
      <c r="E69" s="29" t="n"/>
      <c r="F69" s="31" t="n"/>
      <c r="G69" s="31" t="n"/>
      <c r="H69" s="29" t="n"/>
      <c r="I69" s="32">
        <f>IF(OR(NOT(AND($A69&lt;&gt;"",OR($H69="",$H69="Active"))),$F69=""),"",INT((TODAY()-$F69+280)/7)&amp;"+"&amp;MOD(TODAY()-$F69+280,7))</f>
        <v/>
      </c>
      <c r="J69" s="32">
        <f>IF(NOT(AND($A69&lt;&gt;"",OR($H69="",$H69="Active"))),"",IF($F69="",0,SUMPRODUCT(($N69:$U69="")*(($F69-(40-VALUE(LEFT($N$4:$U$4,2)))*7)&lt;TODAY())))+COUNTIF($N69:$U69,"DNA")+COUNTIF($V69:$Z69,"&lt;"&amp;TODAY()))</f>
        <v/>
      </c>
      <c r="K69" s="32">
        <f>IF(NOT(AND($A69&lt;&gt;"",OR($H69="",$H69="Active"))),"",IF($F69="",0,SUMPRODUCT(($N69:$U69="")*(($F69-(40-VALUE(LEFT($N$4:$U$4,2)))*7)&gt;=TODAY())*(($F69-(40-VALUE(LEFT($N$4:$U$4,2)))*7)&lt;=TODAY()+7)))+COUNTIFS($V69:$Z69,"&gt;="&amp;TODAY(),$V69:$Z69,"&lt;="&amp;TODAY()+7))</f>
        <v/>
      </c>
      <c r="L69" s="32">
        <f>IF(OR(NOT(AND($A69&lt;&gt;"",OR($H69="",$H69="Active"))),$F69=""),"",IF(N69="",N$4,IF(O69="",O$4,IF(P69="",P$4,IF(Q69="",Q$4,IF(R69="",R$4,IF(S69="",S$4,IF(T69="",T$4,IF(U69="",U$4,"All done")))))))))</f>
        <v/>
      </c>
      <c r="M69" s="33">
        <f>IF(OR($L69="",$L69="All done"),"",($F69-(40-VALUE(LEFT($L69,2)))*7))</f>
        <v/>
      </c>
      <c r="N69" s="31" t="n"/>
      <c r="O69" s="31" t="n"/>
      <c r="P69" s="31" t="n"/>
      <c r="Q69" s="31" t="n"/>
      <c r="R69" s="31" t="n"/>
      <c r="S69" s="31" t="n"/>
      <c r="T69" s="31" t="n"/>
      <c r="U69" s="31" t="n"/>
      <c r="V69" s="31" t="n"/>
      <c r="W69" s="31" t="n"/>
      <c r="X69" s="31" t="n"/>
      <c r="Y69" s="31" t="n"/>
      <c r="Z69" s="31" t="n"/>
      <c r="AA69" s="34" t="n"/>
      <c r="AB69" s="29" t="n"/>
      <c r="AC69" s="31" t="n"/>
    </row>
    <row r="70">
      <c r="A70" s="29" t="n"/>
      <c r="B70" s="30" t="n"/>
      <c r="C70" s="31" t="n"/>
      <c r="D70" s="29" t="n"/>
      <c r="E70" s="29" t="n"/>
      <c r="F70" s="31" t="n"/>
      <c r="G70" s="31" t="n"/>
      <c r="H70" s="29" t="n"/>
      <c r="I70" s="32">
        <f>IF(OR(NOT(AND($A70&lt;&gt;"",OR($H70="",$H70="Active"))),$F70=""),"",INT((TODAY()-$F70+280)/7)&amp;"+"&amp;MOD(TODAY()-$F70+280,7))</f>
        <v/>
      </c>
      <c r="J70" s="32">
        <f>IF(NOT(AND($A70&lt;&gt;"",OR($H70="",$H70="Active"))),"",IF($F70="",0,SUMPRODUCT(($N70:$U70="")*(($F70-(40-VALUE(LEFT($N$4:$U$4,2)))*7)&lt;TODAY())))+COUNTIF($N70:$U70,"DNA")+COUNTIF($V70:$Z70,"&lt;"&amp;TODAY()))</f>
        <v/>
      </c>
      <c r="K70" s="32">
        <f>IF(NOT(AND($A70&lt;&gt;"",OR($H70="",$H70="Active"))),"",IF($F70="",0,SUMPRODUCT(($N70:$U70="")*(($F70-(40-VALUE(LEFT($N$4:$U$4,2)))*7)&gt;=TODAY())*(($F70-(40-VALUE(LEFT($N$4:$U$4,2)))*7)&lt;=TODAY()+7)))+COUNTIFS($V70:$Z70,"&gt;="&amp;TODAY(),$V70:$Z70,"&lt;="&amp;TODAY()+7))</f>
        <v/>
      </c>
      <c r="L70" s="32">
        <f>IF(OR(NOT(AND($A70&lt;&gt;"",OR($H70="",$H70="Active"))),$F70=""),"",IF(N70="",N$4,IF(O70="",O$4,IF(P70="",P$4,IF(Q70="",Q$4,IF(R70="",R$4,IF(S70="",S$4,IF(T70="",T$4,IF(U70="",U$4,"All done")))))))))</f>
        <v/>
      </c>
      <c r="M70" s="33">
        <f>IF(OR($L70="",$L70="All done"),"",($F70-(40-VALUE(LEFT($L70,2)))*7))</f>
        <v/>
      </c>
      <c r="N70" s="31" t="n"/>
      <c r="O70" s="31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 t="n"/>
      <c r="Y70" s="31" t="n"/>
      <c r="Z70" s="31" t="n"/>
      <c r="AA70" s="34" t="n"/>
      <c r="AB70" s="29" t="n"/>
      <c r="AC70" s="31" t="n"/>
    </row>
    <row r="71">
      <c r="A71" s="29" t="n"/>
      <c r="B71" s="30" t="n"/>
      <c r="C71" s="31" t="n"/>
      <c r="D71" s="29" t="n"/>
      <c r="E71" s="29" t="n"/>
      <c r="F71" s="31" t="n"/>
      <c r="G71" s="31" t="n"/>
      <c r="H71" s="29" t="n"/>
      <c r="I71" s="32">
        <f>IF(OR(NOT(AND($A71&lt;&gt;"",OR($H71="",$H71="Active"))),$F71=""),"",INT((TODAY()-$F71+280)/7)&amp;"+"&amp;MOD(TODAY()-$F71+280,7))</f>
        <v/>
      </c>
      <c r="J71" s="32">
        <f>IF(NOT(AND($A71&lt;&gt;"",OR($H71="",$H71="Active"))),"",IF($F71="",0,SUMPRODUCT(($N71:$U71="")*(($F71-(40-VALUE(LEFT($N$4:$U$4,2)))*7)&lt;TODAY())))+COUNTIF($N71:$U71,"DNA")+COUNTIF($V71:$Z71,"&lt;"&amp;TODAY()))</f>
        <v/>
      </c>
      <c r="K71" s="32">
        <f>IF(NOT(AND($A71&lt;&gt;"",OR($H71="",$H71="Active"))),"",IF($F71="",0,SUMPRODUCT(($N71:$U71="")*(($F71-(40-VALUE(LEFT($N$4:$U$4,2)))*7)&gt;=TODAY())*(($F71-(40-VALUE(LEFT($N$4:$U$4,2)))*7)&lt;=TODAY()+7)))+COUNTIFS($V71:$Z71,"&gt;="&amp;TODAY(),$V71:$Z71,"&lt;="&amp;TODAY()+7))</f>
        <v/>
      </c>
      <c r="L71" s="32">
        <f>IF(OR(NOT(AND($A71&lt;&gt;"",OR($H71="",$H71="Active"))),$F71=""),"",IF(N71="",N$4,IF(O71="",O$4,IF(P71="",P$4,IF(Q71="",Q$4,IF(R71="",R$4,IF(S71="",S$4,IF(T71="",T$4,IF(U71="",U$4,"All done")))))))))</f>
        <v/>
      </c>
      <c r="M71" s="33">
        <f>IF(OR($L71="",$L71="All done"),"",($F71-(40-VALUE(LEFT($L71,2)))*7))</f>
        <v/>
      </c>
      <c r="N71" s="31" t="n"/>
      <c r="O71" s="31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1" t="n"/>
      <c r="Z71" s="31" t="n"/>
      <c r="AA71" s="34" t="n"/>
      <c r="AB71" s="29" t="n"/>
      <c r="AC71" s="31" t="n"/>
    </row>
    <row r="72">
      <c r="A72" s="29" t="n"/>
      <c r="B72" s="30" t="n"/>
      <c r="C72" s="31" t="n"/>
      <c r="D72" s="29" t="n"/>
      <c r="E72" s="29" t="n"/>
      <c r="F72" s="31" t="n"/>
      <c r="G72" s="31" t="n"/>
      <c r="H72" s="29" t="n"/>
      <c r="I72" s="32">
        <f>IF(OR(NOT(AND($A72&lt;&gt;"",OR($H72="",$H72="Active"))),$F72=""),"",INT((TODAY()-$F72+280)/7)&amp;"+"&amp;MOD(TODAY()-$F72+280,7))</f>
        <v/>
      </c>
      <c r="J72" s="32">
        <f>IF(NOT(AND($A72&lt;&gt;"",OR($H72="",$H72="Active"))),"",IF($F72="",0,SUMPRODUCT(($N72:$U72="")*(($F72-(40-VALUE(LEFT($N$4:$U$4,2)))*7)&lt;TODAY())))+COUNTIF($N72:$U72,"DNA")+COUNTIF($V72:$Z72,"&lt;"&amp;TODAY()))</f>
        <v/>
      </c>
      <c r="K72" s="32">
        <f>IF(NOT(AND($A72&lt;&gt;"",OR($H72="",$H72="Active"))),"",IF($F72="",0,SUMPRODUCT(($N72:$U72="")*(($F72-(40-VALUE(LEFT($N$4:$U$4,2)))*7)&gt;=TODAY())*(($F72-(40-VALUE(LEFT($N$4:$U$4,2)))*7)&lt;=TODAY()+7)))+COUNTIFS($V72:$Z72,"&gt;="&amp;TODAY(),$V72:$Z72,"&lt;="&amp;TODAY()+7))</f>
        <v/>
      </c>
      <c r="L72" s="32">
        <f>IF(OR(NOT(AND($A72&lt;&gt;"",OR($H72="",$H72="Active"))),$F72=""),"",IF(N72="",N$4,IF(O72="",O$4,IF(P72="",P$4,IF(Q72="",Q$4,IF(R72="",R$4,IF(S72="",S$4,IF(T72="",T$4,IF(U72="",U$4,"All done")))))))))</f>
        <v/>
      </c>
      <c r="M72" s="33">
        <f>IF(OR($L72="",$L72="All done"),"",($F72-(40-VALUE(LEFT($L72,2)))*7))</f>
        <v/>
      </c>
      <c r="N72" s="31" t="n"/>
      <c r="O72" s="31" t="n"/>
      <c r="P72" s="31" t="n"/>
      <c r="Q72" s="31" t="n"/>
      <c r="R72" s="31" t="n"/>
      <c r="S72" s="31" t="n"/>
      <c r="T72" s="31" t="n"/>
      <c r="U72" s="31" t="n"/>
      <c r="V72" s="31" t="n"/>
      <c r="W72" s="31" t="n"/>
      <c r="X72" s="31" t="n"/>
      <c r="Y72" s="31" t="n"/>
      <c r="Z72" s="31" t="n"/>
      <c r="AA72" s="34" t="n"/>
      <c r="AB72" s="29" t="n"/>
      <c r="AC72" s="31" t="n"/>
    </row>
    <row r="73">
      <c r="A73" s="29" t="n"/>
      <c r="B73" s="30" t="n"/>
      <c r="C73" s="31" t="n"/>
      <c r="D73" s="29" t="n"/>
      <c r="E73" s="29" t="n"/>
      <c r="F73" s="31" t="n"/>
      <c r="G73" s="31" t="n"/>
      <c r="H73" s="29" t="n"/>
      <c r="I73" s="32">
        <f>IF(OR(NOT(AND($A73&lt;&gt;"",OR($H73="",$H73="Active"))),$F73=""),"",INT((TODAY()-$F73+280)/7)&amp;"+"&amp;MOD(TODAY()-$F73+280,7))</f>
        <v/>
      </c>
      <c r="J73" s="32">
        <f>IF(NOT(AND($A73&lt;&gt;"",OR($H73="",$H73="Active"))),"",IF($F73="",0,SUMPRODUCT(($N73:$U73="")*(($F73-(40-VALUE(LEFT($N$4:$U$4,2)))*7)&lt;TODAY())))+COUNTIF($N73:$U73,"DNA")+COUNTIF($V73:$Z73,"&lt;"&amp;TODAY()))</f>
        <v/>
      </c>
      <c r="K73" s="32">
        <f>IF(NOT(AND($A73&lt;&gt;"",OR($H73="",$H73="Active"))),"",IF($F73="",0,SUMPRODUCT(($N73:$U73="")*(($F73-(40-VALUE(LEFT($N$4:$U$4,2)))*7)&gt;=TODAY())*(($F73-(40-VALUE(LEFT($N$4:$U$4,2)))*7)&lt;=TODAY()+7)))+COUNTIFS($V73:$Z73,"&gt;="&amp;TODAY(),$V73:$Z73,"&lt;="&amp;TODAY()+7))</f>
        <v/>
      </c>
      <c r="L73" s="32">
        <f>IF(OR(NOT(AND($A73&lt;&gt;"",OR($H73="",$H73="Active"))),$F73=""),"",IF(N73="",N$4,IF(O73="",O$4,IF(P73="",P$4,IF(Q73="",Q$4,IF(R73="",R$4,IF(S73="",S$4,IF(T73="",T$4,IF(U73="",U$4,"All done")))))))))</f>
        <v/>
      </c>
      <c r="M73" s="33">
        <f>IF(OR($L73="",$L73="All done"),"",($F73-(40-VALUE(LEFT($L73,2)))*7))</f>
        <v/>
      </c>
      <c r="N73" s="31" t="n"/>
      <c r="O73" s="31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 t="n"/>
      <c r="Y73" s="31" t="n"/>
      <c r="Z73" s="31" t="n"/>
      <c r="AA73" s="34" t="n"/>
      <c r="AB73" s="29" t="n"/>
      <c r="AC73" s="31" t="n"/>
    </row>
    <row r="74">
      <c r="A74" s="29" t="n"/>
      <c r="B74" s="30" t="n"/>
      <c r="C74" s="31" t="n"/>
      <c r="D74" s="29" t="n"/>
      <c r="E74" s="29" t="n"/>
      <c r="F74" s="31" t="n"/>
      <c r="G74" s="31" t="n"/>
      <c r="H74" s="29" t="n"/>
      <c r="I74" s="32">
        <f>IF(OR(NOT(AND($A74&lt;&gt;"",OR($H74="",$H74="Active"))),$F74=""),"",INT((TODAY()-$F74+280)/7)&amp;"+"&amp;MOD(TODAY()-$F74+280,7))</f>
        <v/>
      </c>
      <c r="J74" s="32">
        <f>IF(NOT(AND($A74&lt;&gt;"",OR($H74="",$H74="Active"))),"",IF($F74="",0,SUMPRODUCT(($N74:$U74="")*(($F74-(40-VALUE(LEFT($N$4:$U$4,2)))*7)&lt;TODAY())))+COUNTIF($N74:$U74,"DNA")+COUNTIF($V74:$Z74,"&lt;"&amp;TODAY()))</f>
        <v/>
      </c>
      <c r="K74" s="32">
        <f>IF(NOT(AND($A74&lt;&gt;"",OR($H74="",$H74="Active"))),"",IF($F74="",0,SUMPRODUCT(($N74:$U74="")*(($F74-(40-VALUE(LEFT($N$4:$U$4,2)))*7)&gt;=TODAY())*(($F74-(40-VALUE(LEFT($N$4:$U$4,2)))*7)&lt;=TODAY()+7)))+COUNTIFS($V74:$Z74,"&gt;="&amp;TODAY(),$V74:$Z74,"&lt;="&amp;TODAY()+7))</f>
        <v/>
      </c>
      <c r="L74" s="32">
        <f>IF(OR(NOT(AND($A74&lt;&gt;"",OR($H74="",$H74="Active"))),$F74=""),"",IF(N74="",N$4,IF(O74="",O$4,IF(P74="",P$4,IF(Q74="",Q$4,IF(R74="",R$4,IF(S74="",S$4,IF(T74="",T$4,IF(U74="",U$4,"All done")))))))))</f>
        <v/>
      </c>
      <c r="M74" s="33">
        <f>IF(OR($L74="",$L74="All done"),"",($F74-(40-VALUE(LEFT($L74,2)))*7))</f>
        <v/>
      </c>
      <c r="N74" s="31" t="n"/>
      <c r="O74" s="31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1" t="n"/>
      <c r="Z74" s="31" t="n"/>
      <c r="AA74" s="34" t="n"/>
      <c r="AB74" s="29" t="n"/>
      <c r="AC74" s="31" t="n"/>
    </row>
    <row r="75">
      <c r="A75" s="29" t="n"/>
      <c r="B75" s="30" t="n"/>
      <c r="C75" s="31" t="n"/>
      <c r="D75" s="29" t="n"/>
      <c r="E75" s="29" t="n"/>
      <c r="F75" s="31" t="n"/>
      <c r="G75" s="31" t="n"/>
      <c r="H75" s="29" t="n"/>
      <c r="I75" s="32">
        <f>IF(OR(NOT(AND($A75&lt;&gt;"",OR($H75="",$H75="Active"))),$F75=""),"",INT((TODAY()-$F75+280)/7)&amp;"+"&amp;MOD(TODAY()-$F75+280,7))</f>
        <v/>
      </c>
      <c r="J75" s="32">
        <f>IF(NOT(AND($A75&lt;&gt;"",OR($H75="",$H75="Active"))),"",IF($F75="",0,SUMPRODUCT(($N75:$U75="")*(($F75-(40-VALUE(LEFT($N$4:$U$4,2)))*7)&lt;TODAY())))+COUNTIF($N75:$U75,"DNA")+COUNTIF($V75:$Z75,"&lt;"&amp;TODAY()))</f>
        <v/>
      </c>
      <c r="K75" s="32">
        <f>IF(NOT(AND($A75&lt;&gt;"",OR($H75="",$H75="Active"))),"",IF($F75="",0,SUMPRODUCT(($N75:$U75="")*(($F75-(40-VALUE(LEFT($N$4:$U$4,2)))*7)&gt;=TODAY())*(($F75-(40-VALUE(LEFT($N$4:$U$4,2)))*7)&lt;=TODAY()+7)))+COUNTIFS($V75:$Z75,"&gt;="&amp;TODAY(),$V75:$Z75,"&lt;="&amp;TODAY()+7))</f>
        <v/>
      </c>
      <c r="L75" s="32">
        <f>IF(OR(NOT(AND($A75&lt;&gt;"",OR($H75="",$H75="Active"))),$F75=""),"",IF(N75="",N$4,IF(O75="",O$4,IF(P75="",P$4,IF(Q75="",Q$4,IF(R75="",R$4,IF(S75="",S$4,IF(T75="",T$4,IF(U75="",U$4,"All done")))))))))</f>
        <v/>
      </c>
      <c r="M75" s="33">
        <f>IF(OR($L75="",$L75="All done"),"",($F75-(40-VALUE(LEFT($L75,2)))*7))</f>
        <v/>
      </c>
      <c r="N75" s="31" t="n"/>
      <c r="O75" s="31" t="n"/>
      <c r="P75" s="31" t="n"/>
      <c r="Q75" s="31" t="n"/>
      <c r="R75" s="31" t="n"/>
      <c r="S75" s="31" t="n"/>
      <c r="T75" s="31" t="n"/>
      <c r="U75" s="31" t="n"/>
      <c r="V75" s="31" t="n"/>
      <c r="W75" s="31" t="n"/>
      <c r="X75" s="31" t="n"/>
      <c r="Y75" s="31" t="n"/>
      <c r="Z75" s="31" t="n"/>
      <c r="AA75" s="34" t="n"/>
      <c r="AB75" s="29" t="n"/>
      <c r="AC75" s="31" t="n"/>
    </row>
    <row r="76">
      <c r="A76" s="29" t="n"/>
      <c r="B76" s="30" t="n"/>
      <c r="C76" s="31" t="n"/>
      <c r="D76" s="29" t="n"/>
      <c r="E76" s="29" t="n"/>
      <c r="F76" s="31" t="n"/>
      <c r="G76" s="31" t="n"/>
      <c r="H76" s="29" t="n"/>
      <c r="I76" s="32">
        <f>IF(OR(NOT(AND($A76&lt;&gt;"",OR($H76="",$H76="Active"))),$F76=""),"",INT((TODAY()-$F76+280)/7)&amp;"+"&amp;MOD(TODAY()-$F76+280,7))</f>
        <v/>
      </c>
      <c r="J76" s="32">
        <f>IF(NOT(AND($A76&lt;&gt;"",OR($H76="",$H76="Active"))),"",IF($F76="",0,SUMPRODUCT(($N76:$U76="")*(($F76-(40-VALUE(LEFT($N$4:$U$4,2)))*7)&lt;TODAY())))+COUNTIF($N76:$U76,"DNA")+COUNTIF($V76:$Z76,"&lt;"&amp;TODAY()))</f>
        <v/>
      </c>
      <c r="K76" s="32">
        <f>IF(NOT(AND($A76&lt;&gt;"",OR($H76="",$H76="Active"))),"",IF($F76="",0,SUMPRODUCT(($N76:$U76="")*(($F76-(40-VALUE(LEFT($N$4:$U$4,2)))*7)&gt;=TODAY())*(($F76-(40-VALUE(LEFT($N$4:$U$4,2)))*7)&lt;=TODAY()+7)))+COUNTIFS($V76:$Z76,"&gt;="&amp;TODAY(),$V76:$Z76,"&lt;="&amp;TODAY()+7))</f>
        <v/>
      </c>
      <c r="L76" s="32">
        <f>IF(OR(NOT(AND($A76&lt;&gt;"",OR($H76="",$H76="Active"))),$F76=""),"",IF(N76="",N$4,IF(O76="",O$4,IF(P76="",P$4,IF(Q76="",Q$4,IF(R76="",R$4,IF(S76="",S$4,IF(T76="",T$4,IF(U76="",U$4,"All done")))))))))</f>
        <v/>
      </c>
      <c r="M76" s="33">
        <f>IF(OR($L76="",$L76="All done"),"",($F76-(40-VALUE(LEFT($L76,2)))*7))</f>
        <v/>
      </c>
      <c r="N76" s="31" t="n"/>
      <c r="O76" s="31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 t="n"/>
      <c r="Y76" s="31" t="n"/>
      <c r="Z76" s="31" t="n"/>
      <c r="AA76" s="34" t="n"/>
      <c r="AB76" s="29" t="n"/>
      <c r="AC76" s="31" t="n"/>
    </row>
    <row r="77">
      <c r="A77" s="29" t="n"/>
      <c r="B77" s="30" t="n"/>
      <c r="C77" s="31" t="n"/>
      <c r="D77" s="29" t="n"/>
      <c r="E77" s="29" t="n"/>
      <c r="F77" s="31" t="n"/>
      <c r="G77" s="31" t="n"/>
      <c r="H77" s="29" t="n"/>
      <c r="I77" s="32">
        <f>IF(OR(NOT(AND($A77&lt;&gt;"",OR($H77="",$H77="Active"))),$F77=""),"",INT((TODAY()-$F77+280)/7)&amp;"+"&amp;MOD(TODAY()-$F77+280,7))</f>
        <v/>
      </c>
      <c r="J77" s="32">
        <f>IF(NOT(AND($A77&lt;&gt;"",OR($H77="",$H77="Active"))),"",IF($F77="",0,SUMPRODUCT(($N77:$U77="")*(($F77-(40-VALUE(LEFT($N$4:$U$4,2)))*7)&lt;TODAY())))+COUNTIF($N77:$U77,"DNA")+COUNTIF($V77:$Z77,"&lt;"&amp;TODAY()))</f>
        <v/>
      </c>
      <c r="K77" s="32">
        <f>IF(NOT(AND($A77&lt;&gt;"",OR($H77="",$H77="Active"))),"",IF($F77="",0,SUMPRODUCT(($N77:$U77="")*(($F77-(40-VALUE(LEFT($N$4:$U$4,2)))*7)&gt;=TODAY())*(($F77-(40-VALUE(LEFT($N$4:$U$4,2)))*7)&lt;=TODAY()+7)))+COUNTIFS($V77:$Z77,"&gt;="&amp;TODAY(),$V77:$Z77,"&lt;="&amp;TODAY()+7))</f>
        <v/>
      </c>
      <c r="L77" s="32">
        <f>IF(OR(NOT(AND($A77&lt;&gt;"",OR($H77="",$H77="Active"))),$F77=""),"",IF(N77="",N$4,IF(O77="",O$4,IF(P77="",P$4,IF(Q77="",Q$4,IF(R77="",R$4,IF(S77="",S$4,IF(T77="",T$4,IF(U77="",U$4,"All done")))))))))</f>
        <v/>
      </c>
      <c r="M77" s="33">
        <f>IF(OR($L77="",$L77="All done"),"",($F77-(40-VALUE(LEFT($L77,2)))*7))</f>
        <v/>
      </c>
      <c r="N77" s="31" t="n"/>
      <c r="O77" s="31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1" t="n"/>
      <c r="Z77" s="31" t="n"/>
      <c r="AA77" s="34" t="n"/>
      <c r="AB77" s="29" t="n"/>
      <c r="AC77" s="31" t="n"/>
    </row>
    <row r="78">
      <c r="A78" s="29" t="n"/>
      <c r="B78" s="30" t="n"/>
      <c r="C78" s="31" t="n"/>
      <c r="D78" s="29" t="n"/>
      <c r="E78" s="29" t="n"/>
      <c r="F78" s="31" t="n"/>
      <c r="G78" s="31" t="n"/>
      <c r="H78" s="29" t="n"/>
      <c r="I78" s="32">
        <f>IF(OR(NOT(AND($A78&lt;&gt;"",OR($H78="",$H78="Active"))),$F78=""),"",INT((TODAY()-$F78+280)/7)&amp;"+"&amp;MOD(TODAY()-$F78+280,7))</f>
        <v/>
      </c>
      <c r="J78" s="32">
        <f>IF(NOT(AND($A78&lt;&gt;"",OR($H78="",$H78="Active"))),"",IF($F78="",0,SUMPRODUCT(($N78:$U78="")*(($F78-(40-VALUE(LEFT($N$4:$U$4,2)))*7)&lt;TODAY())))+COUNTIF($N78:$U78,"DNA")+COUNTIF($V78:$Z78,"&lt;"&amp;TODAY()))</f>
        <v/>
      </c>
      <c r="K78" s="32">
        <f>IF(NOT(AND($A78&lt;&gt;"",OR($H78="",$H78="Active"))),"",IF($F78="",0,SUMPRODUCT(($N78:$U78="")*(($F78-(40-VALUE(LEFT($N$4:$U$4,2)))*7)&gt;=TODAY())*(($F78-(40-VALUE(LEFT($N$4:$U$4,2)))*7)&lt;=TODAY()+7)))+COUNTIFS($V78:$Z78,"&gt;="&amp;TODAY(),$V78:$Z78,"&lt;="&amp;TODAY()+7))</f>
        <v/>
      </c>
      <c r="L78" s="32">
        <f>IF(OR(NOT(AND($A78&lt;&gt;"",OR($H78="",$H78="Active"))),$F78=""),"",IF(N78="",N$4,IF(O78="",O$4,IF(P78="",P$4,IF(Q78="",Q$4,IF(R78="",R$4,IF(S78="",S$4,IF(T78="",T$4,IF(U78="",U$4,"All done")))))))))</f>
        <v/>
      </c>
      <c r="M78" s="33">
        <f>IF(OR($L78="",$L78="All done"),"",($F78-(40-VALUE(LEFT($L78,2)))*7))</f>
        <v/>
      </c>
      <c r="N78" s="31" t="n"/>
      <c r="O78" s="31" t="n"/>
      <c r="P78" s="31" t="n"/>
      <c r="Q78" s="31" t="n"/>
      <c r="R78" s="31" t="n"/>
      <c r="S78" s="31" t="n"/>
      <c r="T78" s="31" t="n"/>
      <c r="U78" s="31" t="n"/>
      <c r="V78" s="31" t="n"/>
      <c r="W78" s="31" t="n"/>
      <c r="X78" s="31" t="n"/>
      <c r="Y78" s="31" t="n"/>
      <c r="Z78" s="31" t="n"/>
      <c r="AA78" s="34" t="n"/>
      <c r="AB78" s="29" t="n"/>
      <c r="AC78" s="31" t="n"/>
    </row>
    <row r="79">
      <c r="A79" s="29" t="n"/>
      <c r="B79" s="30" t="n"/>
      <c r="C79" s="31" t="n"/>
      <c r="D79" s="29" t="n"/>
      <c r="E79" s="29" t="n"/>
      <c r="F79" s="31" t="n"/>
      <c r="G79" s="31" t="n"/>
      <c r="H79" s="29" t="n"/>
      <c r="I79" s="32">
        <f>IF(OR(NOT(AND($A79&lt;&gt;"",OR($H79="",$H79="Active"))),$F79=""),"",INT((TODAY()-$F79+280)/7)&amp;"+"&amp;MOD(TODAY()-$F79+280,7))</f>
        <v/>
      </c>
      <c r="J79" s="32">
        <f>IF(NOT(AND($A79&lt;&gt;"",OR($H79="",$H79="Active"))),"",IF($F79="",0,SUMPRODUCT(($N79:$U79="")*(($F79-(40-VALUE(LEFT($N$4:$U$4,2)))*7)&lt;TODAY())))+COUNTIF($N79:$U79,"DNA")+COUNTIF($V79:$Z79,"&lt;"&amp;TODAY()))</f>
        <v/>
      </c>
      <c r="K79" s="32">
        <f>IF(NOT(AND($A79&lt;&gt;"",OR($H79="",$H79="Active"))),"",IF($F79="",0,SUMPRODUCT(($N79:$U79="")*(($F79-(40-VALUE(LEFT($N$4:$U$4,2)))*7)&gt;=TODAY())*(($F79-(40-VALUE(LEFT($N$4:$U$4,2)))*7)&lt;=TODAY()+7)))+COUNTIFS($V79:$Z79,"&gt;="&amp;TODAY(),$V79:$Z79,"&lt;="&amp;TODAY()+7))</f>
        <v/>
      </c>
      <c r="L79" s="32">
        <f>IF(OR(NOT(AND($A79&lt;&gt;"",OR($H79="",$H79="Active"))),$F79=""),"",IF(N79="",N$4,IF(O79="",O$4,IF(P79="",P$4,IF(Q79="",Q$4,IF(R79="",R$4,IF(S79="",S$4,IF(T79="",T$4,IF(U79="",U$4,"All done")))))))))</f>
        <v/>
      </c>
      <c r="M79" s="33">
        <f>IF(OR($L79="",$L79="All done"),"",($F79-(40-VALUE(LEFT($L79,2)))*7))</f>
        <v/>
      </c>
      <c r="N79" s="31" t="n"/>
      <c r="O79" s="31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 t="n"/>
      <c r="Y79" s="31" t="n"/>
      <c r="Z79" s="31" t="n"/>
      <c r="AA79" s="34" t="n"/>
      <c r="AB79" s="29" t="n"/>
      <c r="AC79" s="31" t="n"/>
    </row>
    <row r="80">
      <c r="A80" s="29" t="n"/>
      <c r="B80" s="30" t="n"/>
      <c r="C80" s="31" t="n"/>
      <c r="D80" s="29" t="n"/>
      <c r="E80" s="29" t="n"/>
      <c r="F80" s="31" t="n"/>
      <c r="G80" s="31" t="n"/>
      <c r="H80" s="29" t="n"/>
      <c r="I80" s="32">
        <f>IF(OR(NOT(AND($A80&lt;&gt;"",OR($H80="",$H80="Active"))),$F80=""),"",INT((TODAY()-$F80+280)/7)&amp;"+"&amp;MOD(TODAY()-$F80+280,7))</f>
        <v/>
      </c>
      <c r="J80" s="32">
        <f>IF(NOT(AND($A80&lt;&gt;"",OR($H80="",$H80="Active"))),"",IF($F80="",0,SUMPRODUCT(($N80:$U80="")*(($F80-(40-VALUE(LEFT($N$4:$U$4,2)))*7)&lt;TODAY())))+COUNTIF($N80:$U80,"DNA")+COUNTIF($V80:$Z80,"&lt;"&amp;TODAY()))</f>
        <v/>
      </c>
      <c r="K80" s="32">
        <f>IF(NOT(AND($A80&lt;&gt;"",OR($H80="",$H80="Active"))),"",IF($F80="",0,SUMPRODUCT(($N80:$U80="")*(($F80-(40-VALUE(LEFT($N$4:$U$4,2)))*7)&gt;=TODAY())*(($F80-(40-VALUE(LEFT($N$4:$U$4,2)))*7)&lt;=TODAY()+7)))+COUNTIFS($V80:$Z80,"&gt;="&amp;TODAY(),$V80:$Z80,"&lt;="&amp;TODAY()+7))</f>
        <v/>
      </c>
      <c r="L80" s="32">
        <f>IF(OR(NOT(AND($A80&lt;&gt;"",OR($H80="",$H80="Active"))),$F80=""),"",IF(N80="",N$4,IF(O80="",O$4,IF(P80="",P$4,IF(Q80="",Q$4,IF(R80="",R$4,IF(S80="",S$4,IF(T80="",T$4,IF(U80="",U$4,"All done")))))))))</f>
        <v/>
      </c>
      <c r="M80" s="33">
        <f>IF(OR($L80="",$L80="All done"),"",($F80-(40-VALUE(LEFT($L80,2)))*7))</f>
        <v/>
      </c>
      <c r="N80" s="31" t="n"/>
      <c r="O80" s="31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1" t="n"/>
      <c r="Z80" s="31" t="n"/>
      <c r="AA80" s="34" t="n"/>
      <c r="AB80" s="29" t="n"/>
      <c r="AC80" s="31" t="n"/>
    </row>
    <row r="81">
      <c r="A81" s="29" t="n"/>
      <c r="B81" s="30" t="n"/>
      <c r="C81" s="31" t="n"/>
      <c r="D81" s="29" t="n"/>
      <c r="E81" s="29" t="n"/>
      <c r="F81" s="31" t="n"/>
      <c r="G81" s="31" t="n"/>
      <c r="H81" s="29" t="n"/>
      <c r="I81" s="32">
        <f>IF(OR(NOT(AND($A81&lt;&gt;"",OR($H81="",$H81="Active"))),$F81=""),"",INT((TODAY()-$F81+280)/7)&amp;"+"&amp;MOD(TODAY()-$F81+280,7))</f>
        <v/>
      </c>
      <c r="J81" s="32">
        <f>IF(NOT(AND($A81&lt;&gt;"",OR($H81="",$H81="Active"))),"",IF($F81="",0,SUMPRODUCT(($N81:$U81="")*(($F81-(40-VALUE(LEFT($N$4:$U$4,2)))*7)&lt;TODAY())))+COUNTIF($N81:$U81,"DNA")+COUNTIF($V81:$Z81,"&lt;"&amp;TODAY()))</f>
        <v/>
      </c>
      <c r="K81" s="32">
        <f>IF(NOT(AND($A81&lt;&gt;"",OR($H81="",$H81="Active"))),"",IF($F81="",0,SUMPRODUCT(($N81:$U81="")*(($F81-(40-VALUE(LEFT($N$4:$U$4,2)))*7)&gt;=TODAY())*(($F81-(40-VALUE(LEFT($N$4:$U$4,2)))*7)&lt;=TODAY()+7)))+COUNTIFS($V81:$Z81,"&gt;="&amp;TODAY(),$V81:$Z81,"&lt;="&amp;TODAY()+7))</f>
        <v/>
      </c>
      <c r="L81" s="32">
        <f>IF(OR(NOT(AND($A81&lt;&gt;"",OR($H81="",$H81="Active"))),$F81=""),"",IF(N81="",N$4,IF(O81="",O$4,IF(P81="",P$4,IF(Q81="",Q$4,IF(R81="",R$4,IF(S81="",S$4,IF(T81="",T$4,IF(U81="",U$4,"All done")))))))))</f>
        <v/>
      </c>
      <c r="M81" s="33">
        <f>IF(OR($L81="",$L81="All done"),"",($F81-(40-VALUE(LEFT($L81,2)))*7))</f>
        <v/>
      </c>
      <c r="N81" s="31" t="n"/>
      <c r="O81" s="31" t="n"/>
      <c r="P81" s="31" t="n"/>
      <c r="Q81" s="31" t="n"/>
      <c r="R81" s="31" t="n"/>
      <c r="S81" s="31" t="n"/>
      <c r="T81" s="31" t="n"/>
      <c r="U81" s="31" t="n"/>
      <c r="V81" s="31" t="n"/>
      <c r="W81" s="31" t="n"/>
      <c r="X81" s="31" t="n"/>
      <c r="Y81" s="31" t="n"/>
      <c r="Z81" s="31" t="n"/>
      <c r="AA81" s="34" t="n"/>
      <c r="AB81" s="29" t="n"/>
      <c r="AC81" s="31" t="n"/>
    </row>
    <row r="82">
      <c r="A82" s="29" t="n"/>
      <c r="B82" s="30" t="n"/>
      <c r="C82" s="31" t="n"/>
      <c r="D82" s="29" t="n"/>
      <c r="E82" s="29" t="n"/>
      <c r="F82" s="31" t="n"/>
      <c r="G82" s="31" t="n"/>
      <c r="H82" s="29" t="n"/>
      <c r="I82" s="32">
        <f>IF(OR(NOT(AND($A82&lt;&gt;"",OR($H82="",$H82="Active"))),$F82=""),"",INT((TODAY()-$F82+280)/7)&amp;"+"&amp;MOD(TODAY()-$F82+280,7))</f>
        <v/>
      </c>
      <c r="J82" s="32">
        <f>IF(NOT(AND($A82&lt;&gt;"",OR($H82="",$H82="Active"))),"",IF($F82="",0,SUMPRODUCT(($N82:$U82="")*(($F82-(40-VALUE(LEFT($N$4:$U$4,2)))*7)&lt;TODAY())))+COUNTIF($N82:$U82,"DNA")+COUNTIF($V82:$Z82,"&lt;"&amp;TODAY()))</f>
        <v/>
      </c>
      <c r="K82" s="32">
        <f>IF(NOT(AND($A82&lt;&gt;"",OR($H82="",$H82="Active"))),"",IF($F82="",0,SUMPRODUCT(($N82:$U82="")*(($F82-(40-VALUE(LEFT($N$4:$U$4,2)))*7)&gt;=TODAY())*(($F82-(40-VALUE(LEFT($N$4:$U$4,2)))*7)&lt;=TODAY()+7)))+COUNTIFS($V82:$Z82,"&gt;="&amp;TODAY(),$V82:$Z82,"&lt;="&amp;TODAY()+7))</f>
        <v/>
      </c>
      <c r="L82" s="32">
        <f>IF(OR(NOT(AND($A82&lt;&gt;"",OR($H82="",$H82="Active"))),$F82=""),"",IF(N82="",N$4,IF(O82="",O$4,IF(P82="",P$4,IF(Q82="",Q$4,IF(R82="",R$4,IF(S82="",S$4,IF(T82="",T$4,IF(U82="",U$4,"All done")))))))))</f>
        <v/>
      </c>
      <c r="M82" s="33">
        <f>IF(OR($L82="",$L82="All done"),"",($F82-(40-VALUE(LEFT($L82,2)))*7))</f>
        <v/>
      </c>
      <c r="N82" s="31" t="n"/>
      <c r="O82" s="31" t="n"/>
      <c r="P82" s="31" t="n"/>
      <c r="Q82" s="31" t="n"/>
      <c r="R82" s="31" t="n"/>
      <c r="S82" s="31" t="n"/>
      <c r="T82" s="31" t="n"/>
      <c r="U82" s="31" t="n"/>
      <c r="V82" s="31" t="n"/>
      <c r="W82" s="31" t="n"/>
      <c r="X82" s="31" t="n"/>
      <c r="Y82" s="31" t="n"/>
      <c r="Z82" s="31" t="n"/>
      <c r="AA82" s="34" t="n"/>
      <c r="AB82" s="29" t="n"/>
      <c r="AC82" s="31" t="n"/>
    </row>
    <row r="83">
      <c r="A83" s="29" t="n"/>
      <c r="B83" s="30" t="n"/>
      <c r="C83" s="31" t="n"/>
      <c r="D83" s="29" t="n"/>
      <c r="E83" s="29" t="n"/>
      <c r="F83" s="31" t="n"/>
      <c r="G83" s="31" t="n"/>
      <c r="H83" s="29" t="n"/>
      <c r="I83" s="32">
        <f>IF(OR(NOT(AND($A83&lt;&gt;"",OR($H83="",$H83="Active"))),$F83=""),"",INT((TODAY()-$F83+280)/7)&amp;"+"&amp;MOD(TODAY()-$F83+280,7))</f>
        <v/>
      </c>
      <c r="J83" s="32">
        <f>IF(NOT(AND($A83&lt;&gt;"",OR($H83="",$H83="Active"))),"",IF($F83="",0,SUMPRODUCT(($N83:$U83="")*(($F83-(40-VALUE(LEFT($N$4:$U$4,2)))*7)&lt;TODAY())))+COUNTIF($N83:$U83,"DNA")+COUNTIF($V83:$Z83,"&lt;"&amp;TODAY()))</f>
        <v/>
      </c>
      <c r="K83" s="32">
        <f>IF(NOT(AND($A83&lt;&gt;"",OR($H83="",$H83="Active"))),"",IF($F83="",0,SUMPRODUCT(($N83:$U83="")*(($F83-(40-VALUE(LEFT($N$4:$U$4,2)))*7)&gt;=TODAY())*(($F83-(40-VALUE(LEFT($N$4:$U$4,2)))*7)&lt;=TODAY()+7)))+COUNTIFS($V83:$Z83,"&gt;="&amp;TODAY(),$V83:$Z83,"&lt;="&amp;TODAY()+7))</f>
        <v/>
      </c>
      <c r="L83" s="32">
        <f>IF(OR(NOT(AND($A83&lt;&gt;"",OR($H83="",$H83="Active"))),$F83=""),"",IF(N83="",N$4,IF(O83="",O$4,IF(P83="",P$4,IF(Q83="",Q$4,IF(R83="",R$4,IF(S83="",S$4,IF(T83="",T$4,IF(U83="",U$4,"All done")))))))))</f>
        <v/>
      </c>
      <c r="M83" s="33">
        <f>IF(OR($L83="",$L83="All done"),"",($F83-(40-VALUE(LEFT($L83,2)))*7))</f>
        <v/>
      </c>
      <c r="N83" s="31" t="n"/>
      <c r="O83" s="31" t="n"/>
      <c r="P83" s="31" t="n"/>
      <c r="Q83" s="31" t="n"/>
      <c r="R83" s="31" t="n"/>
      <c r="S83" s="31" t="n"/>
      <c r="T83" s="31" t="n"/>
      <c r="U83" s="31" t="n"/>
      <c r="V83" s="31" t="n"/>
      <c r="W83" s="31" t="n"/>
      <c r="X83" s="31" t="n"/>
      <c r="Y83" s="31" t="n"/>
      <c r="Z83" s="31" t="n"/>
      <c r="AA83" s="34" t="n"/>
      <c r="AB83" s="29" t="n"/>
      <c r="AC83" s="31" t="n"/>
    </row>
    <row r="84">
      <c r="A84" s="29" t="n"/>
      <c r="B84" s="30" t="n"/>
      <c r="C84" s="31" t="n"/>
      <c r="D84" s="29" t="n"/>
      <c r="E84" s="29" t="n"/>
      <c r="F84" s="31" t="n"/>
      <c r="G84" s="31" t="n"/>
      <c r="H84" s="29" t="n"/>
      <c r="I84" s="32">
        <f>IF(OR(NOT(AND($A84&lt;&gt;"",OR($H84="",$H84="Active"))),$F84=""),"",INT((TODAY()-$F84+280)/7)&amp;"+"&amp;MOD(TODAY()-$F84+280,7))</f>
        <v/>
      </c>
      <c r="J84" s="32">
        <f>IF(NOT(AND($A84&lt;&gt;"",OR($H84="",$H84="Active"))),"",IF($F84="",0,SUMPRODUCT(($N84:$U84="")*(($F84-(40-VALUE(LEFT($N$4:$U$4,2)))*7)&lt;TODAY())))+COUNTIF($N84:$U84,"DNA")+COUNTIF($V84:$Z84,"&lt;"&amp;TODAY()))</f>
        <v/>
      </c>
      <c r="K84" s="32">
        <f>IF(NOT(AND($A84&lt;&gt;"",OR($H84="",$H84="Active"))),"",IF($F84="",0,SUMPRODUCT(($N84:$U84="")*(($F84-(40-VALUE(LEFT($N$4:$U$4,2)))*7)&gt;=TODAY())*(($F84-(40-VALUE(LEFT($N$4:$U$4,2)))*7)&lt;=TODAY()+7)))+COUNTIFS($V84:$Z84,"&gt;="&amp;TODAY(),$V84:$Z84,"&lt;="&amp;TODAY()+7))</f>
        <v/>
      </c>
      <c r="L84" s="32">
        <f>IF(OR(NOT(AND($A84&lt;&gt;"",OR($H84="",$H84="Active"))),$F84=""),"",IF(N84="",N$4,IF(O84="",O$4,IF(P84="",P$4,IF(Q84="",Q$4,IF(R84="",R$4,IF(S84="",S$4,IF(T84="",T$4,IF(U84="",U$4,"All done")))))))))</f>
        <v/>
      </c>
      <c r="M84" s="33">
        <f>IF(OR($L84="",$L84="All done"),"",($F84-(40-VALUE(LEFT($L84,2)))*7))</f>
        <v/>
      </c>
      <c r="N84" s="31" t="n"/>
      <c r="O84" s="31" t="n"/>
      <c r="P84" s="31" t="n"/>
      <c r="Q84" s="31" t="n"/>
      <c r="R84" s="31" t="n"/>
      <c r="S84" s="31" t="n"/>
      <c r="T84" s="31" t="n"/>
      <c r="U84" s="31" t="n"/>
      <c r="V84" s="31" t="n"/>
      <c r="W84" s="31" t="n"/>
      <c r="X84" s="31" t="n"/>
      <c r="Y84" s="31" t="n"/>
      <c r="Z84" s="31" t="n"/>
      <c r="AA84" s="34" t="n"/>
      <c r="AB84" s="29" t="n"/>
      <c r="AC84" s="31" t="n"/>
    </row>
    <row r="85">
      <c r="A85" s="29" t="n"/>
      <c r="B85" s="30" t="n"/>
      <c r="C85" s="31" t="n"/>
      <c r="D85" s="29" t="n"/>
      <c r="E85" s="29" t="n"/>
      <c r="F85" s="31" t="n"/>
      <c r="G85" s="31" t="n"/>
      <c r="H85" s="29" t="n"/>
      <c r="I85" s="32">
        <f>IF(OR(NOT(AND($A85&lt;&gt;"",OR($H85="",$H85="Active"))),$F85=""),"",INT((TODAY()-$F85+280)/7)&amp;"+"&amp;MOD(TODAY()-$F85+280,7))</f>
        <v/>
      </c>
      <c r="J85" s="32">
        <f>IF(NOT(AND($A85&lt;&gt;"",OR($H85="",$H85="Active"))),"",IF($F85="",0,SUMPRODUCT(($N85:$U85="")*(($F85-(40-VALUE(LEFT($N$4:$U$4,2)))*7)&lt;TODAY())))+COUNTIF($N85:$U85,"DNA")+COUNTIF($V85:$Z85,"&lt;"&amp;TODAY()))</f>
        <v/>
      </c>
      <c r="K85" s="32">
        <f>IF(NOT(AND($A85&lt;&gt;"",OR($H85="",$H85="Active"))),"",IF($F85="",0,SUMPRODUCT(($N85:$U85="")*(($F85-(40-VALUE(LEFT($N$4:$U$4,2)))*7)&gt;=TODAY())*(($F85-(40-VALUE(LEFT($N$4:$U$4,2)))*7)&lt;=TODAY()+7)))+COUNTIFS($V85:$Z85,"&gt;="&amp;TODAY(),$V85:$Z85,"&lt;="&amp;TODAY()+7))</f>
        <v/>
      </c>
      <c r="L85" s="32">
        <f>IF(OR(NOT(AND($A85&lt;&gt;"",OR($H85="",$H85="Active"))),$F85=""),"",IF(N85="",N$4,IF(O85="",O$4,IF(P85="",P$4,IF(Q85="",Q$4,IF(R85="",R$4,IF(S85="",S$4,IF(T85="",T$4,IF(U85="",U$4,"All done")))))))))</f>
        <v/>
      </c>
      <c r="M85" s="33">
        <f>IF(OR($L85="",$L85="All done"),"",($F85-(40-VALUE(LEFT($L85,2)))*7))</f>
        <v/>
      </c>
      <c r="N85" s="31" t="n"/>
      <c r="O85" s="31" t="n"/>
      <c r="P85" s="31" t="n"/>
      <c r="Q85" s="31" t="n"/>
      <c r="R85" s="31" t="n"/>
      <c r="S85" s="31" t="n"/>
      <c r="T85" s="31" t="n"/>
      <c r="U85" s="31" t="n"/>
      <c r="V85" s="31" t="n"/>
      <c r="W85" s="31" t="n"/>
      <c r="X85" s="31" t="n"/>
      <c r="Y85" s="31" t="n"/>
      <c r="Z85" s="31" t="n"/>
      <c r="AA85" s="34" t="n"/>
      <c r="AB85" s="29" t="n"/>
      <c r="AC85" s="31" t="n"/>
    </row>
    <row r="86">
      <c r="A86" s="29" t="n"/>
      <c r="B86" s="30" t="n"/>
      <c r="C86" s="31" t="n"/>
      <c r="D86" s="29" t="n"/>
      <c r="E86" s="29" t="n"/>
      <c r="F86" s="31" t="n"/>
      <c r="G86" s="31" t="n"/>
      <c r="H86" s="29" t="n"/>
      <c r="I86" s="32">
        <f>IF(OR(NOT(AND($A86&lt;&gt;"",OR($H86="",$H86="Active"))),$F86=""),"",INT((TODAY()-$F86+280)/7)&amp;"+"&amp;MOD(TODAY()-$F86+280,7))</f>
        <v/>
      </c>
      <c r="J86" s="32">
        <f>IF(NOT(AND($A86&lt;&gt;"",OR($H86="",$H86="Active"))),"",IF($F86="",0,SUMPRODUCT(($N86:$U86="")*(($F86-(40-VALUE(LEFT($N$4:$U$4,2)))*7)&lt;TODAY())))+COUNTIF($N86:$U86,"DNA")+COUNTIF($V86:$Z86,"&lt;"&amp;TODAY()))</f>
        <v/>
      </c>
      <c r="K86" s="32">
        <f>IF(NOT(AND($A86&lt;&gt;"",OR($H86="",$H86="Active"))),"",IF($F86="",0,SUMPRODUCT(($N86:$U86="")*(($F86-(40-VALUE(LEFT($N$4:$U$4,2)))*7)&gt;=TODAY())*(($F86-(40-VALUE(LEFT($N$4:$U$4,2)))*7)&lt;=TODAY()+7)))+COUNTIFS($V86:$Z86,"&gt;="&amp;TODAY(),$V86:$Z86,"&lt;="&amp;TODAY()+7))</f>
        <v/>
      </c>
      <c r="L86" s="32">
        <f>IF(OR(NOT(AND($A86&lt;&gt;"",OR($H86="",$H86="Active"))),$F86=""),"",IF(N86="",N$4,IF(O86="",O$4,IF(P86="",P$4,IF(Q86="",Q$4,IF(R86="",R$4,IF(S86="",S$4,IF(T86="",T$4,IF(U86="",U$4,"All done")))))))))</f>
        <v/>
      </c>
      <c r="M86" s="33">
        <f>IF(OR($L86="",$L86="All done"),"",($F86-(40-VALUE(LEFT($L86,2)))*7))</f>
        <v/>
      </c>
      <c r="N86" s="31" t="n"/>
      <c r="O86" s="31" t="n"/>
      <c r="P86" s="31" t="n"/>
      <c r="Q86" s="31" t="n"/>
      <c r="R86" s="31" t="n"/>
      <c r="S86" s="31" t="n"/>
      <c r="T86" s="31" t="n"/>
      <c r="U86" s="31" t="n"/>
      <c r="V86" s="31" t="n"/>
      <c r="W86" s="31" t="n"/>
      <c r="X86" s="31" t="n"/>
      <c r="Y86" s="31" t="n"/>
      <c r="Z86" s="31" t="n"/>
      <c r="AA86" s="34" t="n"/>
      <c r="AB86" s="29" t="n"/>
      <c r="AC86" s="31" t="n"/>
    </row>
    <row r="87">
      <c r="A87" s="29" t="n"/>
      <c r="B87" s="30" t="n"/>
      <c r="C87" s="31" t="n"/>
      <c r="D87" s="29" t="n"/>
      <c r="E87" s="29" t="n"/>
      <c r="F87" s="31" t="n"/>
      <c r="G87" s="31" t="n"/>
      <c r="H87" s="29" t="n"/>
      <c r="I87" s="32">
        <f>IF(OR(NOT(AND($A87&lt;&gt;"",OR($H87="",$H87="Active"))),$F87=""),"",INT((TODAY()-$F87+280)/7)&amp;"+"&amp;MOD(TODAY()-$F87+280,7))</f>
        <v/>
      </c>
      <c r="J87" s="32">
        <f>IF(NOT(AND($A87&lt;&gt;"",OR($H87="",$H87="Active"))),"",IF($F87="",0,SUMPRODUCT(($N87:$U87="")*(($F87-(40-VALUE(LEFT($N$4:$U$4,2)))*7)&lt;TODAY())))+COUNTIF($N87:$U87,"DNA")+COUNTIF($V87:$Z87,"&lt;"&amp;TODAY()))</f>
        <v/>
      </c>
      <c r="K87" s="32">
        <f>IF(NOT(AND($A87&lt;&gt;"",OR($H87="",$H87="Active"))),"",IF($F87="",0,SUMPRODUCT(($N87:$U87="")*(($F87-(40-VALUE(LEFT($N$4:$U$4,2)))*7)&gt;=TODAY())*(($F87-(40-VALUE(LEFT($N$4:$U$4,2)))*7)&lt;=TODAY()+7)))+COUNTIFS($V87:$Z87,"&gt;="&amp;TODAY(),$V87:$Z87,"&lt;="&amp;TODAY()+7))</f>
        <v/>
      </c>
      <c r="L87" s="32">
        <f>IF(OR(NOT(AND($A87&lt;&gt;"",OR($H87="",$H87="Active"))),$F87=""),"",IF(N87="",N$4,IF(O87="",O$4,IF(P87="",P$4,IF(Q87="",Q$4,IF(R87="",R$4,IF(S87="",S$4,IF(T87="",T$4,IF(U87="",U$4,"All done")))))))))</f>
        <v/>
      </c>
      <c r="M87" s="33">
        <f>IF(OR($L87="",$L87="All done"),"",($F87-(40-VALUE(LEFT($L87,2)))*7))</f>
        <v/>
      </c>
      <c r="N87" s="31" t="n"/>
      <c r="O87" s="31" t="n"/>
      <c r="P87" s="31" t="n"/>
      <c r="Q87" s="31" t="n"/>
      <c r="R87" s="31" t="n"/>
      <c r="S87" s="31" t="n"/>
      <c r="T87" s="31" t="n"/>
      <c r="U87" s="31" t="n"/>
      <c r="V87" s="31" t="n"/>
      <c r="W87" s="31" t="n"/>
      <c r="X87" s="31" t="n"/>
      <c r="Y87" s="31" t="n"/>
      <c r="Z87" s="31" t="n"/>
      <c r="AA87" s="34" t="n"/>
      <c r="AB87" s="29" t="n"/>
      <c r="AC87" s="31" t="n"/>
    </row>
    <row r="88">
      <c r="A88" s="29" t="n"/>
      <c r="B88" s="30" t="n"/>
      <c r="C88" s="31" t="n"/>
      <c r="D88" s="29" t="n"/>
      <c r="E88" s="29" t="n"/>
      <c r="F88" s="31" t="n"/>
      <c r="G88" s="31" t="n"/>
      <c r="H88" s="29" t="n"/>
      <c r="I88" s="32">
        <f>IF(OR(NOT(AND($A88&lt;&gt;"",OR($H88="",$H88="Active"))),$F88=""),"",INT((TODAY()-$F88+280)/7)&amp;"+"&amp;MOD(TODAY()-$F88+280,7))</f>
        <v/>
      </c>
      <c r="J88" s="32">
        <f>IF(NOT(AND($A88&lt;&gt;"",OR($H88="",$H88="Active"))),"",IF($F88="",0,SUMPRODUCT(($N88:$U88="")*(($F88-(40-VALUE(LEFT($N$4:$U$4,2)))*7)&lt;TODAY())))+COUNTIF($N88:$U88,"DNA")+COUNTIF($V88:$Z88,"&lt;"&amp;TODAY()))</f>
        <v/>
      </c>
      <c r="K88" s="32">
        <f>IF(NOT(AND($A88&lt;&gt;"",OR($H88="",$H88="Active"))),"",IF($F88="",0,SUMPRODUCT(($N88:$U88="")*(($F88-(40-VALUE(LEFT($N$4:$U$4,2)))*7)&gt;=TODAY())*(($F88-(40-VALUE(LEFT($N$4:$U$4,2)))*7)&lt;=TODAY()+7)))+COUNTIFS($V88:$Z88,"&gt;="&amp;TODAY(),$V88:$Z88,"&lt;="&amp;TODAY()+7))</f>
        <v/>
      </c>
      <c r="L88" s="32">
        <f>IF(OR(NOT(AND($A88&lt;&gt;"",OR($H88="",$H88="Active"))),$F88=""),"",IF(N88="",N$4,IF(O88="",O$4,IF(P88="",P$4,IF(Q88="",Q$4,IF(R88="",R$4,IF(S88="",S$4,IF(T88="",T$4,IF(U88="",U$4,"All done")))))))))</f>
        <v/>
      </c>
      <c r="M88" s="33">
        <f>IF(OR($L88="",$L88="All done"),"",($F88-(40-VALUE(LEFT($L88,2)))*7))</f>
        <v/>
      </c>
      <c r="N88" s="31" t="n"/>
      <c r="O88" s="31" t="n"/>
      <c r="P88" s="31" t="n"/>
      <c r="Q88" s="31" t="n"/>
      <c r="R88" s="31" t="n"/>
      <c r="S88" s="31" t="n"/>
      <c r="T88" s="31" t="n"/>
      <c r="U88" s="31" t="n"/>
      <c r="V88" s="31" t="n"/>
      <c r="W88" s="31" t="n"/>
      <c r="X88" s="31" t="n"/>
      <c r="Y88" s="31" t="n"/>
      <c r="Z88" s="31" t="n"/>
      <c r="AA88" s="34" t="n"/>
      <c r="AB88" s="29" t="n"/>
      <c r="AC88" s="31" t="n"/>
    </row>
    <row r="89">
      <c r="A89" s="29" t="n"/>
      <c r="B89" s="30" t="n"/>
      <c r="C89" s="31" t="n"/>
      <c r="D89" s="29" t="n"/>
      <c r="E89" s="29" t="n"/>
      <c r="F89" s="31" t="n"/>
      <c r="G89" s="31" t="n"/>
      <c r="H89" s="29" t="n"/>
      <c r="I89" s="32">
        <f>IF(OR(NOT(AND($A89&lt;&gt;"",OR($H89="",$H89="Active"))),$F89=""),"",INT((TODAY()-$F89+280)/7)&amp;"+"&amp;MOD(TODAY()-$F89+280,7))</f>
        <v/>
      </c>
      <c r="J89" s="32">
        <f>IF(NOT(AND($A89&lt;&gt;"",OR($H89="",$H89="Active"))),"",IF($F89="",0,SUMPRODUCT(($N89:$U89="")*(($F89-(40-VALUE(LEFT($N$4:$U$4,2)))*7)&lt;TODAY())))+COUNTIF($N89:$U89,"DNA")+COUNTIF($V89:$Z89,"&lt;"&amp;TODAY()))</f>
        <v/>
      </c>
      <c r="K89" s="32">
        <f>IF(NOT(AND($A89&lt;&gt;"",OR($H89="",$H89="Active"))),"",IF($F89="",0,SUMPRODUCT(($N89:$U89="")*(($F89-(40-VALUE(LEFT($N$4:$U$4,2)))*7)&gt;=TODAY())*(($F89-(40-VALUE(LEFT($N$4:$U$4,2)))*7)&lt;=TODAY()+7)))+COUNTIFS($V89:$Z89,"&gt;="&amp;TODAY(),$V89:$Z89,"&lt;="&amp;TODAY()+7))</f>
        <v/>
      </c>
      <c r="L89" s="32">
        <f>IF(OR(NOT(AND($A89&lt;&gt;"",OR($H89="",$H89="Active"))),$F89=""),"",IF(N89="",N$4,IF(O89="",O$4,IF(P89="",P$4,IF(Q89="",Q$4,IF(R89="",R$4,IF(S89="",S$4,IF(T89="",T$4,IF(U89="",U$4,"All done")))))))))</f>
        <v/>
      </c>
      <c r="M89" s="33">
        <f>IF(OR($L89="",$L89="All done"),"",($F89-(40-VALUE(LEFT($L89,2)))*7))</f>
        <v/>
      </c>
      <c r="N89" s="31" t="n"/>
      <c r="O89" s="31" t="n"/>
      <c r="P89" s="31" t="n"/>
      <c r="Q89" s="31" t="n"/>
      <c r="R89" s="31" t="n"/>
      <c r="S89" s="31" t="n"/>
      <c r="T89" s="31" t="n"/>
      <c r="U89" s="31" t="n"/>
      <c r="V89" s="31" t="n"/>
      <c r="W89" s="31" t="n"/>
      <c r="X89" s="31" t="n"/>
      <c r="Y89" s="31" t="n"/>
      <c r="Z89" s="31" t="n"/>
      <c r="AA89" s="34" t="n"/>
      <c r="AB89" s="29" t="n"/>
      <c r="AC89" s="31" t="n"/>
    </row>
    <row r="90">
      <c r="A90" s="29" t="n"/>
      <c r="B90" s="30" t="n"/>
      <c r="C90" s="31" t="n"/>
      <c r="D90" s="29" t="n"/>
      <c r="E90" s="29" t="n"/>
      <c r="F90" s="31" t="n"/>
      <c r="G90" s="31" t="n"/>
      <c r="H90" s="29" t="n"/>
      <c r="I90" s="32">
        <f>IF(OR(NOT(AND($A90&lt;&gt;"",OR($H90="",$H90="Active"))),$F90=""),"",INT((TODAY()-$F90+280)/7)&amp;"+"&amp;MOD(TODAY()-$F90+280,7))</f>
        <v/>
      </c>
      <c r="J90" s="32">
        <f>IF(NOT(AND($A90&lt;&gt;"",OR($H90="",$H90="Active"))),"",IF($F90="",0,SUMPRODUCT(($N90:$U90="")*(($F90-(40-VALUE(LEFT($N$4:$U$4,2)))*7)&lt;TODAY())))+COUNTIF($N90:$U90,"DNA")+COUNTIF($V90:$Z90,"&lt;"&amp;TODAY()))</f>
        <v/>
      </c>
      <c r="K90" s="32">
        <f>IF(NOT(AND($A90&lt;&gt;"",OR($H90="",$H90="Active"))),"",IF($F90="",0,SUMPRODUCT(($N90:$U90="")*(($F90-(40-VALUE(LEFT($N$4:$U$4,2)))*7)&gt;=TODAY())*(($F90-(40-VALUE(LEFT($N$4:$U$4,2)))*7)&lt;=TODAY()+7)))+COUNTIFS($V90:$Z90,"&gt;="&amp;TODAY(),$V90:$Z90,"&lt;="&amp;TODAY()+7))</f>
        <v/>
      </c>
      <c r="L90" s="32">
        <f>IF(OR(NOT(AND($A90&lt;&gt;"",OR($H90="",$H90="Active"))),$F90=""),"",IF(N90="",N$4,IF(O90="",O$4,IF(P90="",P$4,IF(Q90="",Q$4,IF(R90="",R$4,IF(S90="",S$4,IF(T90="",T$4,IF(U90="",U$4,"All done")))))))))</f>
        <v/>
      </c>
      <c r="M90" s="33">
        <f>IF(OR($L90="",$L90="All done"),"",($F90-(40-VALUE(LEFT($L90,2)))*7))</f>
        <v/>
      </c>
      <c r="N90" s="31" t="n"/>
      <c r="O90" s="31" t="n"/>
      <c r="P90" s="31" t="n"/>
      <c r="Q90" s="31" t="n"/>
      <c r="R90" s="31" t="n"/>
      <c r="S90" s="31" t="n"/>
      <c r="T90" s="31" t="n"/>
      <c r="U90" s="31" t="n"/>
      <c r="V90" s="31" t="n"/>
      <c r="W90" s="31" t="n"/>
      <c r="X90" s="31" t="n"/>
      <c r="Y90" s="31" t="n"/>
      <c r="Z90" s="31" t="n"/>
      <c r="AA90" s="34" t="n"/>
      <c r="AB90" s="29" t="n"/>
      <c r="AC90" s="31" t="n"/>
    </row>
    <row r="91">
      <c r="A91" s="29" t="n"/>
      <c r="B91" s="30" t="n"/>
      <c r="C91" s="31" t="n"/>
      <c r="D91" s="29" t="n"/>
      <c r="E91" s="29" t="n"/>
      <c r="F91" s="31" t="n"/>
      <c r="G91" s="31" t="n"/>
      <c r="H91" s="29" t="n"/>
      <c r="I91" s="32">
        <f>IF(OR(NOT(AND($A91&lt;&gt;"",OR($H91="",$H91="Active"))),$F91=""),"",INT((TODAY()-$F91+280)/7)&amp;"+"&amp;MOD(TODAY()-$F91+280,7))</f>
        <v/>
      </c>
      <c r="J91" s="32">
        <f>IF(NOT(AND($A91&lt;&gt;"",OR($H91="",$H91="Active"))),"",IF($F91="",0,SUMPRODUCT(($N91:$U91="")*(($F91-(40-VALUE(LEFT($N$4:$U$4,2)))*7)&lt;TODAY())))+COUNTIF($N91:$U91,"DNA")+COUNTIF($V91:$Z91,"&lt;"&amp;TODAY()))</f>
        <v/>
      </c>
      <c r="K91" s="32">
        <f>IF(NOT(AND($A91&lt;&gt;"",OR($H91="",$H91="Active"))),"",IF($F91="",0,SUMPRODUCT(($N91:$U91="")*(($F91-(40-VALUE(LEFT($N$4:$U$4,2)))*7)&gt;=TODAY())*(($F91-(40-VALUE(LEFT($N$4:$U$4,2)))*7)&lt;=TODAY()+7)))+COUNTIFS($V91:$Z91,"&gt;="&amp;TODAY(),$V91:$Z91,"&lt;="&amp;TODAY()+7))</f>
        <v/>
      </c>
      <c r="L91" s="32">
        <f>IF(OR(NOT(AND($A91&lt;&gt;"",OR($H91="",$H91="Active"))),$F91=""),"",IF(N91="",N$4,IF(O91="",O$4,IF(P91="",P$4,IF(Q91="",Q$4,IF(R91="",R$4,IF(S91="",S$4,IF(T91="",T$4,IF(U91="",U$4,"All done")))))))))</f>
        <v/>
      </c>
      <c r="M91" s="33">
        <f>IF(OR($L91="",$L91="All done"),"",($F91-(40-VALUE(LEFT($L91,2)))*7))</f>
        <v/>
      </c>
      <c r="N91" s="31" t="n"/>
      <c r="O91" s="31" t="n"/>
      <c r="P91" s="31" t="n"/>
      <c r="Q91" s="31" t="n"/>
      <c r="R91" s="31" t="n"/>
      <c r="S91" s="31" t="n"/>
      <c r="T91" s="31" t="n"/>
      <c r="U91" s="31" t="n"/>
      <c r="V91" s="31" t="n"/>
      <c r="W91" s="31" t="n"/>
      <c r="X91" s="31" t="n"/>
      <c r="Y91" s="31" t="n"/>
      <c r="Z91" s="31" t="n"/>
      <c r="AA91" s="34" t="n"/>
      <c r="AB91" s="29" t="n"/>
      <c r="AC91" s="31" t="n"/>
    </row>
    <row r="92">
      <c r="A92" s="29" t="n"/>
      <c r="B92" s="30" t="n"/>
      <c r="C92" s="31" t="n"/>
      <c r="D92" s="29" t="n"/>
      <c r="E92" s="29" t="n"/>
      <c r="F92" s="31" t="n"/>
      <c r="G92" s="31" t="n"/>
      <c r="H92" s="29" t="n"/>
      <c r="I92" s="32">
        <f>IF(OR(NOT(AND($A92&lt;&gt;"",OR($H92="",$H92="Active"))),$F92=""),"",INT((TODAY()-$F92+280)/7)&amp;"+"&amp;MOD(TODAY()-$F92+280,7))</f>
        <v/>
      </c>
      <c r="J92" s="32">
        <f>IF(NOT(AND($A92&lt;&gt;"",OR($H92="",$H92="Active"))),"",IF($F92="",0,SUMPRODUCT(($N92:$U92="")*(($F92-(40-VALUE(LEFT($N$4:$U$4,2)))*7)&lt;TODAY())))+COUNTIF($N92:$U92,"DNA")+COUNTIF($V92:$Z92,"&lt;"&amp;TODAY()))</f>
        <v/>
      </c>
      <c r="K92" s="32">
        <f>IF(NOT(AND($A92&lt;&gt;"",OR($H92="",$H92="Active"))),"",IF($F92="",0,SUMPRODUCT(($N92:$U92="")*(($F92-(40-VALUE(LEFT($N$4:$U$4,2)))*7)&gt;=TODAY())*(($F92-(40-VALUE(LEFT($N$4:$U$4,2)))*7)&lt;=TODAY()+7)))+COUNTIFS($V92:$Z92,"&gt;="&amp;TODAY(),$V92:$Z92,"&lt;="&amp;TODAY()+7))</f>
        <v/>
      </c>
      <c r="L92" s="32">
        <f>IF(OR(NOT(AND($A92&lt;&gt;"",OR($H92="",$H92="Active"))),$F92=""),"",IF(N92="",N$4,IF(O92="",O$4,IF(P92="",P$4,IF(Q92="",Q$4,IF(R92="",R$4,IF(S92="",S$4,IF(T92="",T$4,IF(U92="",U$4,"All done")))))))))</f>
        <v/>
      </c>
      <c r="M92" s="33">
        <f>IF(OR($L92="",$L92="All done"),"",($F92-(40-VALUE(LEFT($L92,2)))*7))</f>
        <v/>
      </c>
      <c r="N92" s="31" t="n"/>
      <c r="O92" s="31" t="n"/>
      <c r="P92" s="31" t="n"/>
      <c r="Q92" s="31" t="n"/>
      <c r="R92" s="31" t="n"/>
      <c r="S92" s="31" t="n"/>
      <c r="T92" s="31" t="n"/>
      <c r="U92" s="31" t="n"/>
      <c r="V92" s="31" t="n"/>
      <c r="W92" s="31" t="n"/>
      <c r="X92" s="31" t="n"/>
      <c r="Y92" s="31" t="n"/>
      <c r="Z92" s="31" t="n"/>
      <c r="AA92" s="34" t="n"/>
      <c r="AB92" s="29" t="n"/>
      <c r="AC92" s="31" t="n"/>
    </row>
    <row r="93">
      <c r="A93" s="29" t="n"/>
      <c r="B93" s="30" t="n"/>
      <c r="C93" s="31" t="n"/>
      <c r="D93" s="29" t="n"/>
      <c r="E93" s="29" t="n"/>
      <c r="F93" s="31" t="n"/>
      <c r="G93" s="31" t="n"/>
      <c r="H93" s="29" t="n"/>
      <c r="I93" s="32">
        <f>IF(OR(NOT(AND($A93&lt;&gt;"",OR($H93="",$H93="Active"))),$F93=""),"",INT((TODAY()-$F93+280)/7)&amp;"+"&amp;MOD(TODAY()-$F93+280,7))</f>
        <v/>
      </c>
      <c r="J93" s="32">
        <f>IF(NOT(AND($A93&lt;&gt;"",OR($H93="",$H93="Active"))),"",IF($F93="",0,SUMPRODUCT(($N93:$U93="")*(($F93-(40-VALUE(LEFT($N$4:$U$4,2)))*7)&lt;TODAY())))+COUNTIF($N93:$U93,"DNA")+COUNTIF($V93:$Z93,"&lt;"&amp;TODAY()))</f>
        <v/>
      </c>
      <c r="K93" s="32">
        <f>IF(NOT(AND($A93&lt;&gt;"",OR($H93="",$H93="Active"))),"",IF($F93="",0,SUMPRODUCT(($N93:$U93="")*(($F93-(40-VALUE(LEFT($N$4:$U$4,2)))*7)&gt;=TODAY())*(($F93-(40-VALUE(LEFT($N$4:$U$4,2)))*7)&lt;=TODAY()+7)))+COUNTIFS($V93:$Z93,"&gt;="&amp;TODAY(),$V93:$Z93,"&lt;="&amp;TODAY()+7))</f>
        <v/>
      </c>
      <c r="L93" s="32">
        <f>IF(OR(NOT(AND($A93&lt;&gt;"",OR($H93="",$H93="Active"))),$F93=""),"",IF(N93="",N$4,IF(O93="",O$4,IF(P93="",P$4,IF(Q93="",Q$4,IF(R93="",R$4,IF(S93="",S$4,IF(T93="",T$4,IF(U93="",U$4,"All done")))))))))</f>
        <v/>
      </c>
      <c r="M93" s="33">
        <f>IF(OR($L93="",$L93="All done"),"",($F93-(40-VALUE(LEFT($L93,2)))*7))</f>
        <v/>
      </c>
      <c r="N93" s="31" t="n"/>
      <c r="O93" s="31" t="n"/>
      <c r="P93" s="31" t="n"/>
      <c r="Q93" s="31" t="n"/>
      <c r="R93" s="31" t="n"/>
      <c r="S93" s="31" t="n"/>
      <c r="T93" s="31" t="n"/>
      <c r="U93" s="31" t="n"/>
      <c r="V93" s="31" t="n"/>
      <c r="W93" s="31" t="n"/>
      <c r="X93" s="31" t="n"/>
      <c r="Y93" s="31" t="n"/>
      <c r="Z93" s="31" t="n"/>
      <c r="AA93" s="34" t="n"/>
      <c r="AB93" s="29" t="n"/>
      <c r="AC93" s="31" t="n"/>
    </row>
    <row r="94">
      <c r="A94" s="29" t="n"/>
      <c r="B94" s="30" t="n"/>
      <c r="C94" s="31" t="n"/>
      <c r="D94" s="29" t="n"/>
      <c r="E94" s="29" t="n"/>
      <c r="F94" s="31" t="n"/>
      <c r="G94" s="31" t="n"/>
      <c r="H94" s="29" t="n"/>
      <c r="I94" s="32">
        <f>IF(OR(NOT(AND($A94&lt;&gt;"",OR($H94="",$H94="Active"))),$F94=""),"",INT((TODAY()-$F94+280)/7)&amp;"+"&amp;MOD(TODAY()-$F94+280,7))</f>
        <v/>
      </c>
      <c r="J94" s="32">
        <f>IF(NOT(AND($A94&lt;&gt;"",OR($H94="",$H94="Active"))),"",IF($F94="",0,SUMPRODUCT(($N94:$U94="")*(($F94-(40-VALUE(LEFT($N$4:$U$4,2)))*7)&lt;TODAY())))+COUNTIF($N94:$U94,"DNA")+COUNTIF($V94:$Z94,"&lt;"&amp;TODAY()))</f>
        <v/>
      </c>
      <c r="K94" s="32">
        <f>IF(NOT(AND($A94&lt;&gt;"",OR($H94="",$H94="Active"))),"",IF($F94="",0,SUMPRODUCT(($N94:$U94="")*(($F94-(40-VALUE(LEFT($N$4:$U$4,2)))*7)&gt;=TODAY())*(($F94-(40-VALUE(LEFT($N$4:$U$4,2)))*7)&lt;=TODAY()+7)))+COUNTIFS($V94:$Z94,"&gt;="&amp;TODAY(),$V94:$Z94,"&lt;="&amp;TODAY()+7))</f>
        <v/>
      </c>
      <c r="L94" s="32">
        <f>IF(OR(NOT(AND($A94&lt;&gt;"",OR($H94="",$H94="Active"))),$F94=""),"",IF(N94="",N$4,IF(O94="",O$4,IF(P94="",P$4,IF(Q94="",Q$4,IF(R94="",R$4,IF(S94="",S$4,IF(T94="",T$4,IF(U94="",U$4,"All done")))))))))</f>
        <v/>
      </c>
      <c r="M94" s="33">
        <f>IF(OR($L94="",$L94="All done"),"",($F94-(40-VALUE(LEFT($L94,2)))*7))</f>
        <v/>
      </c>
      <c r="N94" s="31" t="n"/>
      <c r="O94" s="31" t="n"/>
      <c r="P94" s="31" t="n"/>
      <c r="Q94" s="31" t="n"/>
      <c r="R94" s="31" t="n"/>
      <c r="S94" s="31" t="n"/>
      <c r="T94" s="31" t="n"/>
      <c r="U94" s="31" t="n"/>
      <c r="V94" s="31" t="n"/>
      <c r="W94" s="31" t="n"/>
      <c r="X94" s="31" t="n"/>
      <c r="Y94" s="31" t="n"/>
      <c r="Z94" s="31" t="n"/>
      <c r="AA94" s="34" t="n"/>
      <c r="AB94" s="29" t="n"/>
      <c r="AC94" s="31" t="n"/>
    </row>
    <row r="95">
      <c r="A95" s="29" t="n"/>
      <c r="B95" s="30" t="n"/>
      <c r="C95" s="31" t="n"/>
      <c r="D95" s="29" t="n"/>
      <c r="E95" s="29" t="n"/>
      <c r="F95" s="31" t="n"/>
      <c r="G95" s="31" t="n"/>
      <c r="H95" s="29" t="n"/>
      <c r="I95" s="32">
        <f>IF(OR(NOT(AND($A95&lt;&gt;"",OR($H95="",$H95="Active"))),$F95=""),"",INT((TODAY()-$F95+280)/7)&amp;"+"&amp;MOD(TODAY()-$F95+280,7))</f>
        <v/>
      </c>
      <c r="J95" s="32">
        <f>IF(NOT(AND($A95&lt;&gt;"",OR($H95="",$H95="Active"))),"",IF($F95="",0,SUMPRODUCT(($N95:$U95="")*(($F95-(40-VALUE(LEFT($N$4:$U$4,2)))*7)&lt;TODAY())))+COUNTIF($N95:$U95,"DNA")+COUNTIF($V95:$Z95,"&lt;"&amp;TODAY()))</f>
        <v/>
      </c>
      <c r="K95" s="32">
        <f>IF(NOT(AND($A95&lt;&gt;"",OR($H95="",$H95="Active"))),"",IF($F95="",0,SUMPRODUCT(($N95:$U95="")*(($F95-(40-VALUE(LEFT($N$4:$U$4,2)))*7)&gt;=TODAY())*(($F95-(40-VALUE(LEFT($N$4:$U$4,2)))*7)&lt;=TODAY()+7)))+COUNTIFS($V95:$Z95,"&gt;="&amp;TODAY(),$V95:$Z95,"&lt;="&amp;TODAY()+7))</f>
        <v/>
      </c>
      <c r="L95" s="32">
        <f>IF(OR(NOT(AND($A95&lt;&gt;"",OR($H95="",$H95="Active"))),$F95=""),"",IF(N95="",N$4,IF(O95="",O$4,IF(P95="",P$4,IF(Q95="",Q$4,IF(R95="",R$4,IF(S95="",S$4,IF(T95="",T$4,IF(U95="",U$4,"All done")))))))))</f>
        <v/>
      </c>
      <c r="M95" s="33">
        <f>IF(OR($L95="",$L95="All done"),"",($F95-(40-VALUE(LEFT($L95,2)))*7))</f>
        <v/>
      </c>
      <c r="N95" s="31" t="n"/>
      <c r="O95" s="31" t="n"/>
      <c r="P95" s="31" t="n"/>
      <c r="Q95" s="31" t="n"/>
      <c r="R95" s="31" t="n"/>
      <c r="S95" s="31" t="n"/>
      <c r="T95" s="31" t="n"/>
      <c r="U95" s="31" t="n"/>
      <c r="V95" s="31" t="n"/>
      <c r="W95" s="31" t="n"/>
      <c r="X95" s="31" t="n"/>
      <c r="Y95" s="31" t="n"/>
      <c r="Z95" s="31" t="n"/>
      <c r="AA95" s="34" t="n"/>
      <c r="AB95" s="29" t="n"/>
      <c r="AC95" s="31" t="n"/>
    </row>
    <row r="96">
      <c r="A96" s="29" t="n"/>
      <c r="B96" s="30" t="n"/>
      <c r="C96" s="31" t="n"/>
      <c r="D96" s="29" t="n"/>
      <c r="E96" s="29" t="n"/>
      <c r="F96" s="31" t="n"/>
      <c r="G96" s="31" t="n"/>
      <c r="H96" s="29" t="n"/>
      <c r="I96" s="32">
        <f>IF(OR(NOT(AND($A96&lt;&gt;"",OR($H96="",$H96="Active"))),$F96=""),"",INT((TODAY()-$F96+280)/7)&amp;"+"&amp;MOD(TODAY()-$F96+280,7))</f>
        <v/>
      </c>
      <c r="J96" s="32">
        <f>IF(NOT(AND($A96&lt;&gt;"",OR($H96="",$H96="Active"))),"",IF($F96="",0,SUMPRODUCT(($N96:$U96="")*(($F96-(40-VALUE(LEFT($N$4:$U$4,2)))*7)&lt;TODAY())))+COUNTIF($N96:$U96,"DNA")+COUNTIF($V96:$Z96,"&lt;"&amp;TODAY()))</f>
        <v/>
      </c>
      <c r="K96" s="32">
        <f>IF(NOT(AND($A96&lt;&gt;"",OR($H96="",$H96="Active"))),"",IF($F96="",0,SUMPRODUCT(($N96:$U96="")*(($F96-(40-VALUE(LEFT($N$4:$U$4,2)))*7)&gt;=TODAY())*(($F96-(40-VALUE(LEFT($N$4:$U$4,2)))*7)&lt;=TODAY()+7)))+COUNTIFS($V96:$Z96,"&gt;="&amp;TODAY(),$V96:$Z96,"&lt;="&amp;TODAY()+7))</f>
        <v/>
      </c>
      <c r="L96" s="32">
        <f>IF(OR(NOT(AND($A96&lt;&gt;"",OR($H96="",$H96="Active"))),$F96=""),"",IF(N96="",N$4,IF(O96="",O$4,IF(P96="",P$4,IF(Q96="",Q$4,IF(R96="",R$4,IF(S96="",S$4,IF(T96="",T$4,IF(U96="",U$4,"All done")))))))))</f>
        <v/>
      </c>
      <c r="M96" s="33">
        <f>IF(OR($L96="",$L96="All done"),"",($F96-(40-VALUE(LEFT($L96,2)))*7))</f>
        <v/>
      </c>
      <c r="N96" s="31" t="n"/>
      <c r="O96" s="31" t="n"/>
      <c r="P96" s="31" t="n"/>
      <c r="Q96" s="31" t="n"/>
      <c r="R96" s="31" t="n"/>
      <c r="S96" s="31" t="n"/>
      <c r="T96" s="31" t="n"/>
      <c r="U96" s="31" t="n"/>
      <c r="V96" s="31" t="n"/>
      <c r="W96" s="31" t="n"/>
      <c r="X96" s="31" t="n"/>
      <c r="Y96" s="31" t="n"/>
      <c r="Z96" s="31" t="n"/>
      <c r="AA96" s="34" t="n"/>
      <c r="AB96" s="29" t="n"/>
      <c r="AC96" s="31" t="n"/>
    </row>
    <row r="97">
      <c r="A97" s="29" t="n"/>
      <c r="B97" s="30" t="n"/>
      <c r="C97" s="31" t="n"/>
      <c r="D97" s="29" t="n"/>
      <c r="E97" s="29" t="n"/>
      <c r="F97" s="31" t="n"/>
      <c r="G97" s="31" t="n"/>
      <c r="H97" s="29" t="n"/>
      <c r="I97" s="32">
        <f>IF(OR(NOT(AND($A97&lt;&gt;"",OR($H97="",$H97="Active"))),$F97=""),"",INT((TODAY()-$F97+280)/7)&amp;"+"&amp;MOD(TODAY()-$F97+280,7))</f>
        <v/>
      </c>
      <c r="J97" s="32">
        <f>IF(NOT(AND($A97&lt;&gt;"",OR($H97="",$H97="Active"))),"",IF($F97="",0,SUMPRODUCT(($N97:$U97="")*(($F97-(40-VALUE(LEFT($N$4:$U$4,2)))*7)&lt;TODAY())))+COUNTIF($N97:$U97,"DNA")+COUNTIF($V97:$Z97,"&lt;"&amp;TODAY()))</f>
        <v/>
      </c>
      <c r="K97" s="32">
        <f>IF(NOT(AND($A97&lt;&gt;"",OR($H97="",$H97="Active"))),"",IF($F97="",0,SUMPRODUCT(($N97:$U97="")*(($F97-(40-VALUE(LEFT($N$4:$U$4,2)))*7)&gt;=TODAY())*(($F97-(40-VALUE(LEFT($N$4:$U$4,2)))*7)&lt;=TODAY()+7)))+COUNTIFS($V97:$Z97,"&gt;="&amp;TODAY(),$V97:$Z97,"&lt;="&amp;TODAY()+7))</f>
        <v/>
      </c>
      <c r="L97" s="32">
        <f>IF(OR(NOT(AND($A97&lt;&gt;"",OR($H97="",$H97="Active"))),$F97=""),"",IF(N97="",N$4,IF(O97="",O$4,IF(P97="",P$4,IF(Q97="",Q$4,IF(R97="",R$4,IF(S97="",S$4,IF(T97="",T$4,IF(U97="",U$4,"All done")))))))))</f>
        <v/>
      </c>
      <c r="M97" s="33">
        <f>IF(OR($L97="",$L97="All done"),"",($F97-(40-VALUE(LEFT($L97,2)))*7))</f>
        <v/>
      </c>
      <c r="N97" s="31" t="n"/>
      <c r="O97" s="31" t="n"/>
      <c r="P97" s="31" t="n"/>
      <c r="Q97" s="31" t="n"/>
      <c r="R97" s="31" t="n"/>
      <c r="S97" s="31" t="n"/>
      <c r="T97" s="31" t="n"/>
      <c r="U97" s="31" t="n"/>
      <c r="V97" s="31" t="n"/>
      <c r="W97" s="31" t="n"/>
      <c r="X97" s="31" t="n"/>
      <c r="Y97" s="31" t="n"/>
      <c r="Z97" s="31" t="n"/>
      <c r="AA97" s="34" t="n"/>
      <c r="AB97" s="29" t="n"/>
      <c r="AC97" s="31" t="n"/>
    </row>
    <row r="98">
      <c r="A98" s="29" t="n"/>
      <c r="B98" s="30" t="n"/>
      <c r="C98" s="31" t="n"/>
      <c r="D98" s="29" t="n"/>
      <c r="E98" s="29" t="n"/>
      <c r="F98" s="31" t="n"/>
      <c r="G98" s="31" t="n"/>
      <c r="H98" s="29" t="n"/>
      <c r="I98" s="32">
        <f>IF(OR(NOT(AND($A98&lt;&gt;"",OR($H98="",$H98="Active"))),$F98=""),"",INT((TODAY()-$F98+280)/7)&amp;"+"&amp;MOD(TODAY()-$F98+280,7))</f>
        <v/>
      </c>
      <c r="J98" s="32">
        <f>IF(NOT(AND($A98&lt;&gt;"",OR($H98="",$H98="Active"))),"",IF($F98="",0,SUMPRODUCT(($N98:$U98="")*(($F98-(40-VALUE(LEFT($N$4:$U$4,2)))*7)&lt;TODAY())))+COUNTIF($N98:$U98,"DNA")+COUNTIF($V98:$Z98,"&lt;"&amp;TODAY()))</f>
        <v/>
      </c>
      <c r="K98" s="32">
        <f>IF(NOT(AND($A98&lt;&gt;"",OR($H98="",$H98="Active"))),"",IF($F98="",0,SUMPRODUCT(($N98:$U98="")*(($F98-(40-VALUE(LEFT($N$4:$U$4,2)))*7)&gt;=TODAY())*(($F98-(40-VALUE(LEFT($N$4:$U$4,2)))*7)&lt;=TODAY()+7)))+COUNTIFS($V98:$Z98,"&gt;="&amp;TODAY(),$V98:$Z98,"&lt;="&amp;TODAY()+7))</f>
        <v/>
      </c>
      <c r="L98" s="32">
        <f>IF(OR(NOT(AND($A98&lt;&gt;"",OR($H98="",$H98="Active"))),$F98=""),"",IF(N98="",N$4,IF(O98="",O$4,IF(P98="",P$4,IF(Q98="",Q$4,IF(R98="",R$4,IF(S98="",S$4,IF(T98="",T$4,IF(U98="",U$4,"All done")))))))))</f>
        <v/>
      </c>
      <c r="M98" s="33">
        <f>IF(OR($L98="",$L98="All done"),"",($F98-(40-VALUE(LEFT($L98,2)))*7))</f>
        <v/>
      </c>
      <c r="N98" s="31" t="n"/>
      <c r="O98" s="31" t="n"/>
      <c r="P98" s="31" t="n"/>
      <c r="Q98" s="31" t="n"/>
      <c r="R98" s="31" t="n"/>
      <c r="S98" s="31" t="n"/>
      <c r="T98" s="31" t="n"/>
      <c r="U98" s="31" t="n"/>
      <c r="V98" s="31" t="n"/>
      <c r="W98" s="31" t="n"/>
      <c r="X98" s="31" t="n"/>
      <c r="Y98" s="31" t="n"/>
      <c r="Z98" s="31" t="n"/>
      <c r="AA98" s="34" t="n"/>
      <c r="AB98" s="29" t="n"/>
      <c r="AC98" s="31" t="n"/>
    </row>
    <row r="99">
      <c r="A99" s="29" t="n"/>
      <c r="B99" s="30" t="n"/>
      <c r="C99" s="31" t="n"/>
      <c r="D99" s="29" t="n"/>
      <c r="E99" s="29" t="n"/>
      <c r="F99" s="31" t="n"/>
      <c r="G99" s="31" t="n"/>
      <c r="H99" s="29" t="n"/>
      <c r="I99" s="32">
        <f>IF(OR(NOT(AND($A99&lt;&gt;"",OR($H99="",$H99="Active"))),$F99=""),"",INT((TODAY()-$F99+280)/7)&amp;"+"&amp;MOD(TODAY()-$F99+280,7))</f>
        <v/>
      </c>
      <c r="J99" s="32">
        <f>IF(NOT(AND($A99&lt;&gt;"",OR($H99="",$H99="Active"))),"",IF($F99="",0,SUMPRODUCT(($N99:$U99="")*(($F99-(40-VALUE(LEFT($N$4:$U$4,2)))*7)&lt;TODAY())))+COUNTIF($N99:$U99,"DNA")+COUNTIF($V99:$Z99,"&lt;"&amp;TODAY()))</f>
        <v/>
      </c>
      <c r="K99" s="32">
        <f>IF(NOT(AND($A99&lt;&gt;"",OR($H99="",$H99="Active"))),"",IF($F99="",0,SUMPRODUCT(($N99:$U99="")*(($F99-(40-VALUE(LEFT($N$4:$U$4,2)))*7)&gt;=TODAY())*(($F99-(40-VALUE(LEFT($N$4:$U$4,2)))*7)&lt;=TODAY()+7)))+COUNTIFS($V99:$Z99,"&gt;="&amp;TODAY(),$V99:$Z99,"&lt;="&amp;TODAY()+7))</f>
        <v/>
      </c>
      <c r="L99" s="32">
        <f>IF(OR(NOT(AND($A99&lt;&gt;"",OR($H99="",$H99="Active"))),$F99=""),"",IF(N99="",N$4,IF(O99="",O$4,IF(P99="",P$4,IF(Q99="",Q$4,IF(R99="",R$4,IF(S99="",S$4,IF(T99="",T$4,IF(U99="",U$4,"All done")))))))))</f>
        <v/>
      </c>
      <c r="M99" s="33">
        <f>IF(OR($L99="",$L99="All done"),"",($F99-(40-VALUE(LEFT($L99,2)))*7))</f>
        <v/>
      </c>
      <c r="N99" s="31" t="n"/>
      <c r="O99" s="31" t="n"/>
      <c r="P99" s="31" t="n"/>
      <c r="Q99" s="31" t="n"/>
      <c r="R99" s="31" t="n"/>
      <c r="S99" s="31" t="n"/>
      <c r="T99" s="31" t="n"/>
      <c r="U99" s="31" t="n"/>
      <c r="V99" s="31" t="n"/>
      <c r="W99" s="31" t="n"/>
      <c r="X99" s="31" t="n"/>
      <c r="Y99" s="31" t="n"/>
      <c r="Z99" s="31" t="n"/>
      <c r="AA99" s="34" t="n"/>
      <c r="AB99" s="29" t="n"/>
      <c r="AC99" s="31" t="n"/>
    </row>
    <row r="100">
      <c r="A100" s="29" t="n"/>
      <c r="B100" s="30" t="n"/>
      <c r="C100" s="31" t="n"/>
      <c r="D100" s="29" t="n"/>
      <c r="E100" s="29" t="n"/>
      <c r="F100" s="31" t="n"/>
      <c r="G100" s="31" t="n"/>
      <c r="H100" s="29" t="n"/>
      <c r="I100" s="32">
        <f>IF(OR(NOT(AND($A100&lt;&gt;"",OR($H100="",$H100="Active"))),$F100=""),"",INT((TODAY()-$F100+280)/7)&amp;"+"&amp;MOD(TODAY()-$F100+280,7))</f>
        <v/>
      </c>
      <c r="J100" s="32">
        <f>IF(NOT(AND($A100&lt;&gt;"",OR($H100="",$H100="Active"))),"",IF($F100="",0,SUMPRODUCT(($N100:$U100="")*(($F100-(40-VALUE(LEFT($N$4:$U$4,2)))*7)&lt;TODAY())))+COUNTIF($N100:$U100,"DNA")+COUNTIF($V100:$Z100,"&lt;"&amp;TODAY()))</f>
        <v/>
      </c>
      <c r="K100" s="32">
        <f>IF(NOT(AND($A100&lt;&gt;"",OR($H100="",$H100="Active"))),"",IF($F100="",0,SUMPRODUCT(($N100:$U100="")*(($F100-(40-VALUE(LEFT($N$4:$U$4,2)))*7)&gt;=TODAY())*(($F100-(40-VALUE(LEFT($N$4:$U$4,2)))*7)&lt;=TODAY()+7)))+COUNTIFS($V100:$Z100,"&gt;="&amp;TODAY(),$V100:$Z100,"&lt;="&amp;TODAY()+7))</f>
        <v/>
      </c>
      <c r="L100" s="32">
        <f>IF(OR(NOT(AND($A100&lt;&gt;"",OR($H100="",$H100="Active"))),$F100=""),"",IF(N100="",N$4,IF(O100="",O$4,IF(P100="",P$4,IF(Q100="",Q$4,IF(R100="",R$4,IF(S100="",S$4,IF(T100="",T$4,IF(U100="",U$4,"All done")))))))))</f>
        <v/>
      </c>
      <c r="M100" s="33">
        <f>IF(OR($L100="",$L100="All done"),"",($F100-(40-VALUE(LEFT($L100,2)))*7))</f>
        <v/>
      </c>
      <c r="N100" s="31" t="n"/>
      <c r="O100" s="31" t="n"/>
      <c r="P100" s="31" t="n"/>
      <c r="Q100" s="31" t="n"/>
      <c r="R100" s="31" t="n"/>
      <c r="S100" s="31" t="n"/>
      <c r="T100" s="31" t="n"/>
      <c r="U100" s="31" t="n"/>
      <c r="V100" s="31" t="n"/>
      <c r="W100" s="31" t="n"/>
      <c r="X100" s="31" t="n"/>
      <c r="Y100" s="31" t="n"/>
      <c r="Z100" s="31" t="n"/>
      <c r="AA100" s="34" t="n"/>
      <c r="AB100" s="29" t="n"/>
      <c r="AC100" s="31" t="n"/>
    </row>
    <row r="101">
      <c r="A101" s="29" t="n"/>
      <c r="B101" s="30" t="n"/>
      <c r="C101" s="31" t="n"/>
      <c r="D101" s="29" t="n"/>
      <c r="E101" s="29" t="n"/>
      <c r="F101" s="31" t="n"/>
      <c r="G101" s="31" t="n"/>
      <c r="H101" s="29" t="n"/>
      <c r="I101" s="32">
        <f>IF(OR(NOT(AND($A101&lt;&gt;"",OR($H101="",$H101="Active"))),$F101=""),"",INT((TODAY()-$F101+280)/7)&amp;"+"&amp;MOD(TODAY()-$F101+280,7))</f>
        <v/>
      </c>
      <c r="J101" s="32">
        <f>IF(NOT(AND($A101&lt;&gt;"",OR($H101="",$H101="Active"))),"",IF($F101="",0,SUMPRODUCT(($N101:$U101="")*(($F101-(40-VALUE(LEFT($N$4:$U$4,2)))*7)&lt;TODAY())))+COUNTIF($N101:$U101,"DNA")+COUNTIF($V101:$Z101,"&lt;"&amp;TODAY()))</f>
        <v/>
      </c>
      <c r="K101" s="32">
        <f>IF(NOT(AND($A101&lt;&gt;"",OR($H101="",$H101="Active"))),"",IF($F101="",0,SUMPRODUCT(($N101:$U101="")*(($F101-(40-VALUE(LEFT($N$4:$U$4,2)))*7)&gt;=TODAY())*(($F101-(40-VALUE(LEFT($N$4:$U$4,2)))*7)&lt;=TODAY()+7)))+COUNTIFS($V101:$Z101,"&gt;="&amp;TODAY(),$V101:$Z101,"&lt;="&amp;TODAY()+7))</f>
        <v/>
      </c>
      <c r="L101" s="32">
        <f>IF(OR(NOT(AND($A101&lt;&gt;"",OR($H101="",$H101="Active"))),$F101=""),"",IF(N101="",N$4,IF(O101="",O$4,IF(P101="",P$4,IF(Q101="",Q$4,IF(R101="",R$4,IF(S101="",S$4,IF(T101="",T$4,IF(U101="",U$4,"All done")))))))))</f>
        <v/>
      </c>
      <c r="M101" s="33">
        <f>IF(OR($L101="",$L101="All done"),"",($F101-(40-VALUE(LEFT($L101,2)))*7))</f>
        <v/>
      </c>
      <c r="N101" s="31" t="n"/>
      <c r="O101" s="31" t="n"/>
      <c r="P101" s="31" t="n"/>
      <c r="Q101" s="31" t="n"/>
      <c r="R101" s="31" t="n"/>
      <c r="S101" s="31" t="n"/>
      <c r="T101" s="31" t="n"/>
      <c r="U101" s="31" t="n"/>
      <c r="V101" s="31" t="n"/>
      <c r="W101" s="31" t="n"/>
      <c r="X101" s="31" t="n"/>
      <c r="Y101" s="31" t="n"/>
      <c r="Z101" s="31" t="n"/>
      <c r="AA101" s="34" t="n"/>
      <c r="AB101" s="29" t="n"/>
      <c r="AC101" s="31" t="n"/>
    </row>
    <row r="102">
      <c r="A102" s="29" t="n"/>
      <c r="B102" s="30" t="n"/>
      <c r="C102" s="31" t="n"/>
      <c r="D102" s="29" t="n"/>
      <c r="E102" s="29" t="n"/>
      <c r="F102" s="31" t="n"/>
      <c r="G102" s="31" t="n"/>
      <c r="H102" s="29" t="n"/>
      <c r="I102" s="32">
        <f>IF(OR(NOT(AND($A102&lt;&gt;"",OR($H102="",$H102="Active"))),$F102=""),"",INT((TODAY()-$F102+280)/7)&amp;"+"&amp;MOD(TODAY()-$F102+280,7))</f>
        <v/>
      </c>
      <c r="J102" s="32">
        <f>IF(NOT(AND($A102&lt;&gt;"",OR($H102="",$H102="Active"))),"",IF($F102="",0,SUMPRODUCT(($N102:$U102="")*(($F102-(40-VALUE(LEFT($N$4:$U$4,2)))*7)&lt;TODAY())))+COUNTIF($N102:$U102,"DNA")+COUNTIF($V102:$Z102,"&lt;"&amp;TODAY()))</f>
        <v/>
      </c>
      <c r="K102" s="32">
        <f>IF(NOT(AND($A102&lt;&gt;"",OR($H102="",$H102="Active"))),"",IF($F102="",0,SUMPRODUCT(($N102:$U102="")*(($F102-(40-VALUE(LEFT($N$4:$U$4,2)))*7)&gt;=TODAY())*(($F102-(40-VALUE(LEFT($N$4:$U$4,2)))*7)&lt;=TODAY()+7)))+COUNTIFS($V102:$Z102,"&gt;="&amp;TODAY(),$V102:$Z102,"&lt;="&amp;TODAY()+7))</f>
        <v/>
      </c>
      <c r="L102" s="32">
        <f>IF(OR(NOT(AND($A102&lt;&gt;"",OR($H102="",$H102="Active"))),$F102=""),"",IF(N102="",N$4,IF(O102="",O$4,IF(P102="",P$4,IF(Q102="",Q$4,IF(R102="",R$4,IF(S102="",S$4,IF(T102="",T$4,IF(U102="",U$4,"All done")))))))))</f>
        <v/>
      </c>
      <c r="M102" s="33">
        <f>IF(OR($L102="",$L102="All done"),"",($F102-(40-VALUE(LEFT($L102,2)))*7))</f>
        <v/>
      </c>
      <c r="N102" s="31" t="n"/>
      <c r="O102" s="31" t="n"/>
      <c r="P102" s="31" t="n"/>
      <c r="Q102" s="31" t="n"/>
      <c r="R102" s="31" t="n"/>
      <c r="S102" s="31" t="n"/>
      <c r="T102" s="31" t="n"/>
      <c r="U102" s="31" t="n"/>
      <c r="V102" s="31" t="n"/>
      <c r="W102" s="31" t="n"/>
      <c r="X102" s="31" t="n"/>
      <c r="Y102" s="31" t="n"/>
      <c r="Z102" s="31" t="n"/>
      <c r="AA102" s="34" t="n"/>
      <c r="AB102" s="29" t="n"/>
      <c r="AC102" s="31" t="n"/>
    </row>
    <row r="103">
      <c r="A103" s="29" t="n"/>
      <c r="B103" s="30" t="n"/>
      <c r="C103" s="31" t="n"/>
      <c r="D103" s="29" t="n"/>
      <c r="E103" s="29" t="n"/>
      <c r="F103" s="31" t="n"/>
      <c r="G103" s="31" t="n"/>
      <c r="H103" s="29" t="n"/>
      <c r="I103" s="32">
        <f>IF(OR(NOT(AND($A103&lt;&gt;"",OR($H103="",$H103="Active"))),$F103=""),"",INT((TODAY()-$F103+280)/7)&amp;"+"&amp;MOD(TODAY()-$F103+280,7))</f>
        <v/>
      </c>
      <c r="J103" s="32">
        <f>IF(NOT(AND($A103&lt;&gt;"",OR($H103="",$H103="Active"))),"",IF($F103="",0,SUMPRODUCT(($N103:$U103="")*(($F103-(40-VALUE(LEFT($N$4:$U$4,2)))*7)&lt;TODAY())))+COUNTIF($N103:$U103,"DNA")+COUNTIF($V103:$Z103,"&lt;"&amp;TODAY()))</f>
        <v/>
      </c>
      <c r="K103" s="32">
        <f>IF(NOT(AND($A103&lt;&gt;"",OR($H103="",$H103="Active"))),"",IF($F103="",0,SUMPRODUCT(($N103:$U103="")*(($F103-(40-VALUE(LEFT($N$4:$U$4,2)))*7)&gt;=TODAY())*(($F103-(40-VALUE(LEFT($N$4:$U$4,2)))*7)&lt;=TODAY()+7)))+COUNTIFS($V103:$Z103,"&gt;="&amp;TODAY(),$V103:$Z103,"&lt;="&amp;TODAY()+7))</f>
        <v/>
      </c>
      <c r="L103" s="32">
        <f>IF(OR(NOT(AND($A103&lt;&gt;"",OR($H103="",$H103="Active"))),$F103=""),"",IF(N103="",N$4,IF(O103="",O$4,IF(P103="",P$4,IF(Q103="",Q$4,IF(R103="",R$4,IF(S103="",S$4,IF(T103="",T$4,IF(U103="",U$4,"All done")))))))))</f>
        <v/>
      </c>
      <c r="M103" s="33">
        <f>IF(OR($L103="",$L103="All done"),"",($F103-(40-VALUE(LEFT($L103,2)))*7))</f>
        <v/>
      </c>
      <c r="N103" s="31" t="n"/>
      <c r="O103" s="31" t="n"/>
      <c r="P103" s="31" t="n"/>
      <c r="Q103" s="31" t="n"/>
      <c r="R103" s="31" t="n"/>
      <c r="S103" s="31" t="n"/>
      <c r="T103" s="31" t="n"/>
      <c r="U103" s="31" t="n"/>
      <c r="V103" s="31" t="n"/>
      <c r="W103" s="31" t="n"/>
      <c r="X103" s="31" t="n"/>
      <c r="Y103" s="31" t="n"/>
      <c r="Z103" s="31" t="n"/>
      <c r="AA103" s="34" t="n"/>
      <c r="AB103" s="29" t="n"/>
      <c r="AC103" s="31" t="n"/>
    </row>
    <row r="104">
      <c r="A104" s="29" t="n"/>
      <c r="B104" s="30" t="n"/>
      <c r="C104" s="31" t="n"/>
      <c r="D104" s="29" t="n"/>
      <c r="E104" s="29" t="n"/>
      <c r="F104" s="31" t="n"/>
      <c r="G104" s="31" t="n"/>
      <c r="H104" s="29" t="n"/>
      <c r="I104" s="32">
        <f>IF(OR(NOT(AND($A104&lt;&gt;"",OR($H104="",$H104="Active"))),$F104=""),"",INT((TODAY()-$F104+280)/7)&amp;"+"&amp;MOD(TODAY()-$F104+280,7))</f>
        <v/>
      </c>
      <c r="J104" s="32">
        <f>IF(NOT(AND($A104&lt;&gt;"",OR($H104="",$H104="Active"))),"",IF($F104="",0,SUMPRODUCT(($N104:$U104="")*(($F104-(40-VALUE(LEFT($N$4:$U$4,2)))*7)&lt;TODAY())))+COUNTIF($N104:$U104,"DNA")+COUNTIF($V104:$Z104,"&lt;"&amp;TODAY()))</f>
        <v/>
      </c>
      <c r="K104" s="32">
        <f>IF(NOT(AND($A104&lt;&gt;"",OR($H104="",$H104="Active"))),"",IF($F104="",0,SUMPRODUCT(($N104:$U104="")*(($F104-(40-VALUE(LEFT($N$4:$U$4,2)))*7)&gt;=TODAY())*(($F104-(40-VALUE(LEFT($N$4:$U$4,2)))*7)&lt;=TODAY()+7)))+COUNTIFS($V104:$Z104,"&gt;="&amp;TODAY(),$V104:$Z104,"&lt;="&amp;TODAY()+7))</f>
        <v/>
      </c>
      <c r="L104" s="32">
        <f>IF(OR(NOT(AND($A104&lt;&gt;"",OR($H104="",$H104="Active"))),$F104=""),"",IF(N104="",N$4,IF(O104="",O$4,IF(P104="",P$4,IF(Q104="",Q$4,IF(R104="",R$4,IF(S104="",S$4,IF(T104="",T$4,IF(U104="",U$4,"All done")))))))))</f>
        <v/>
      </c>
      <c r="M104" s="33">
        <f>IF(OR($L104="",$L104="All done"),"",($F104-(40-VALUE(LEFT($L104,2)))*7))</f>
        <v/>
      </c>
      <c r="N104" s="31" t="n"/>
      <c r="O104" s="31" t="n"/>
      <c r="P104" s="31" t="n"/>
      <c r="Q104" s="31" t="n"/>
      <c r="R104" s="31" t="n"/>
      <c r="S104" s="31" t="n"/>
      <c r="T104" s="31" t="n"/>
      <c r="U104" s="31" t="n"/>
      <c r="V104" s="31" t="n"/>
      <c r="W104" s="31" t="n"/>
      <c r="X104" s="31" t="n"/>
      <c r="Y104" s="31" t="n"/>
      <c r="Z104" s="31" t="n"/>
      <c r="AA104" s="34" t="n"/>
      <c r="AB104" s="29" t="n"/>
      <c r="AC104" s="31" t="n"/>
    </row>
    <row r="105">
      <c r="A105" s="29" t="n"/>
      <c r="B105" s="30" t="n"/>
      <c r="C105" s="31" t="n"/>
      <c r="D105" s="29" t="n"/>
      <c r="E105" s="29" t="n"/>
      <c r="F105" s="31" t="n"/>
      <c r="G105" s="31" t="n"/>
      <c r="H105" s="29" t="n"/>
      <c r="I105" s="32">
        <f>IF(OR(NOT(AND($A105&lt;&gt;"",OR($H105="",$H105="Active"))),$F105=""),"",INT((TODAY()-$F105+280)/7)&amp;"+"&amp;MOD(TODAY()-$F105+280,7))</f>
        <v/>
      </c>
      <c r="J105" s="32">
        <f>IF(NOT(AND($A105&lt;&gt;"",OR($H105="",$H105="Active"))),"",IF($F105="",0,SUMPRODUCT(($N105:$U105="")*(($F105-(40-VALUE(LEFT($N$4:$U$4,2)))*7)&lt;TODAY())))+COUNTIF($N105:$U105,"DNA")+COUNTIF($V105:$Z105,"&lt;"&amp;TODAY()))</f>
        <v/>
      </c>
      <c r="K105" s="32">
        <f>IF(NOT(AND($A105&lt;&gt;"",OR($H105="",$H105="Active"))),"",IF($F105="",0,SUMPRODUCT(($N105:$U105="")*(($F105-(40-VALUE(LEFT($N$4:$U$4,2)))*7)&gt;=TODAY())*(($F105-(40-VALUE(LEFT($N$4:$U$4,2)))*7)&lt;=TODAY()+7)))+COUNTIFS($V105:$Z105,"&gt;="&amp;TODAY(),$V105:$Z105,"&lt;="&amp;TODAY()+7))</f>
        <v/>
      </c>
      <c r="L105" s="32">
        <f>IF(OR(NOT(AND($A105&lt;&gt;"",OR($H105="",$H105="Active"))),$F105=""),"",IF(N105="",N$4,IF(O105="",O$4,IF(P105="",P$4,IF(Q105="",Q$4,IF(R105="",R$4,IF(S105="",S$4,IF(T105="",T$4,IF(U105="",U$4,"All done")))))))))</f>
        <v/>
      </c>
      <c r="M105" s="33">
        <f>IF(OR($L105="",$L105="All done"),"",($F105-(40-VALUE(LEFT($L105,2)))*7))</f>
        <v/>
      </c>
      <c r="N105" s="31" t="n"/>
      <c r="O105" s="31" t="n"/>
      <c r="P105" s="31" t="n"/>
      <c r="Q105" s="31" t="n"/>
      <c r="R105" s="31" t="n"/>
      <c r="S105" s="31" t="n"/>
      <c r="T105" s="31" t="n"/>
      <c r="U105" s="31" t="n"/>
      <c r="V105" s="31" t="n"/>
      <c r="W105" s="31" t="n"/>
      <c r="X105" s="31" t="n"/>
      <c r="Y105" s="31" t="n"/>
      <c r="Z105" s="31" t="n"/>
      <c r="AA105" s="34" t="n"/>
      <c r="AB105" s="29" t="n"/>
      <c r="AC105" s="31" t="n"/>
    </row>
    <row r="106">
      <c r="A106" s="29" t="n"/>
      <c r="B106" s="30" t="n"/>
      <c r="C106" s="31" t="n"/>
      <c r="D106" s="29" t="n"/>
      <c r="E106" s="29" t="n"/>
      <c r="F106" s="31" t="n"/>
      <c r="G106" s="31" t="n"/>
      <c r="H106" s="29" t="n"/>
      <c r="I106" s="32">
        <f>IF(OR(NOT(AND($A106&lt;&gt;"",OR($H106="",$H106="Active"))),$F106=""),"",INT((TODAY()-$F106+280)/7)&amp;"+"&amp;MOD(TODAY()-$F106+280,7))</f>
        <v/>
      </c>
      <c r="J106" s="32">
        <f>IF(NOT(AND($A106&lt;&gt;"",OR($H106="",$H106="Active"))),"",IF($F106="",0,SUMPRODUCT(($N106:$U106="")*(($F106-(40-VALUE(LEFT($N$4:$U$4,2)))*7)&lt;TODAY())))+COUNTIF($N106:$U106,"DNA")+COUNTIF($V106:$Z106,"&lt;"&amp;TODAY()))</f>
        <v/>
      </c>
      <c r="K106" s="32">
        <f>IF(NOT(AND($A106&lt;&gt;"",OR($H106="",$H106="Active"))),"",IF($F106="",0,SUMPRODUCT(($N106:$U106="")*(($F106-(40-VALUE(LEFT($N$4:$U$4,2)))*7)&gt;=TODAY())*(($F106-(40-VALUE(LEFT($N$4:$U$4,2)))*7)&lt;=TODAY()+7)))+COUNTIFS($V106:$Z106,"&gt;="&amp;TODAY(),$V106:$Z106,"&lt;="&amp;TODAY()+7))</f>
        <v/>
      </c>
      <c r="L106" s="32">
        <f>IF(OR(NOT(AND($A106&lt;&gt;"",OR($H106="",$H106="Active"))),$F106=""),"",IF(N106="",N$4,IF(O106="",O$4,IF(P106="",P$4,IF(Q106="",Q$4,IF(R106="",R$4,IF(S106="",S$4,IF(T106="",T$4,IF(U106="",U$4,"All done")))))))))</f>
        <v/>
      </c>
      <c r="M106" s="33">
        <f>IF(OR($L106="",$L106="All done"),"",($F106-(40-VALUE(LEFT($L106,2)))*7))</f>
        <v/>
      </c>
      <c r="N106" s="31" t="n"/>
      <c r="O106" s="31" t="n"/>
      <c r="P106" s="31" t="n"/>
      <c r="Q106" s="31" t="n"/>
      <c r="R106" s="31" t="n"/>
      <c r="S106" s="31" t="n"/>
      <c r="T106" s="31" t="n"/>
      <c r="U106" s="31" t="n"/>
      <c r="V106" s="31" t="n"/>
      <c r="W106" s="31" t="n"/>
      <c r="X106" s="31" t="n"/>
      <c r="Y106" s="31" t="n"/>
      <c r="Z106" s="31" t="n"/>
      <c r="AA106" s="34" t="n"/>
      <c r="AB106" s="29" t="n"/>
      <c r="AC106" s="31" t="n"/>
    </row>
    <row r="107">
      <c r="A107" s="29" t="n"/>
      <c r="B107" s="30" t="n"/>
      <c r="C107" s="31" t="n"/>
      <c r="D107" s="29" t="n"/>
      <c r="E107" s="29" t="n"/>
      <c r="F107" s="31" t="n"/>
      <c r="G107" s="31" t="n"/>
      <c r="H107" s="29" t="n"/>
      <c r="I107" s="32">
        <f>IF(OR(NOT(AND($A107&lt;&gt;"",OR($H107="",$H107="Active"))),$F107=""),"",INT((TODAY()-$F107+280)/7)&amp;"+"&amp;MOD(TODAY()-$F107+280,7))</f>
        <v/>
      </c>
      <c r="J107" s="32">
        <f>IF(NOT(AND($A107&lt;&gt;"",OR($H107="",$H107="Active"))),"",IF($F107="",0,SUMPRODUCT(($N107:$U107="")*(($F107-(40-VALUE(LEFT($N$4:$U$4,2)))*7)&lt;TODAY())))+COUNTIF($N107:$U107,"DNA")+COUNTIF($V107:$Z107,"&lt;"&amp;TODAY()))</f>
        <v/>
      </c>
      <c r="K107" s="32">
        <f>IF(NOT(AND($A107&lt;&gt;"",OR($H107="",$H107="Active"))),"",IF($F107="",0,SUMPRODUCT(($N107:$U107="")*(($F107-(40-VALUE(LEFT($N$4:$U$4,2)))*7)&gt;=TODAY())*(($F107-(40-VALUE(LEFT($N$4:$U$4,2)))*7)&lt;=TODAY()+7)))+COUNTIFS($V107:$Z107,"&gt;="&amp;TODAY(),$V107:$Z107,"&lt;="&amp;TODAY()+7))</f>
        <v/>
      </c>
      <c r="L107" s="32">
        <f>IF(OR(NOT(AND($A107&lt;&gt;"",OR($H107="",$H107="Active"))),$F107=""),"",IF(N107="",N$4,IF(O107="",O$4,IF(P107="",P$4,IF(Q107="",Q$4,IF(R107="",R$4,IF(S107="",S$4,IF(T107="",T$4,IF(U107="",U$4,"All done")))))))))</f>
        <v/>
      </c>
      <c r="M107" s="33">
        <f>IF(OR($L107="",$L107="All done"),"",($F107-(40-VALUE(LEFT($L107,2)))*7))</f>
        <v/>
      </c>
      <c r="N107" s="31" t="n"/>
      <c r="O107" s="31" t="n"/>
      <c r="P107" s="31" t="n"/>
      <c r="Q107" s="31" t="n"/>
      <c r="R107" s="31" t="n"/>
      <c r="S107" s="31" t="n"/>
      <c r="T107" s="31" t="n"/>
      <c r="U107" s="31" t="n"/>
      <c r="V107" s="31" t="n"/>
      <c r="W107" s="31" t="n"/>
      <c r="X107" s="31" t="n"/>
      <c r="Y107" s="31" t="n"/>
      <c r="Z107" s="31" t="n"/>
      <c r="AA107" s="34" t="n"/>
      <c r="AB107" s="29" t="n"/>
      <c r="AC107" s="31" t="n"/>
    </row>
    <row r="108">
      <c r="A108" s="29" t="n"/>
      <c r="B108" s="30" t="n"/>
      <c r="C108" s="31" t="n"/>
      <c r="D108" s="29" t="n"/>
      <c r="E108" s="29" t="n"/>
      <c r="F108" s="31" t="n"/>
      <c r="G108" s="31" t="n"/>
      <c r="H108" s="29" t="n"/>
      <c r="I108" s="32">
        <f>IF(OR(NOT(AND($A108&lt;&gt;"",OR($H108="",$H108="Active"))),$F108=""),"",INT((TODAY()-$F108+280)/7)&amp;"+"&amp;MOD(TODAY()-$F108+280,7))</f>
        <v/>
      </c>
      <c r="J108" s="32">
        <f>IF(NOT(AND($A108&lt;&gt;"",OR($H108="",$H108="Active"))),"",IF($F108="",0,SUMPRODUCT(($N108:$U108="")*(($F108-(40-VALUE(LEFT($N$4:$U$4,2)))*7)&lt;TODAY())))+COUNTIF($N108:$U108,"DNA")+COUNTIF($V108:$Z108,"&lt;"&amp;TODAY()))</f>
        <v/>
      </c>
      <c r="K108" s="32">
        <f>IF(NOT(AND($A108&lt;&gt;"",OR($H108="",$H108="Active"))),"",IF($F108="",0,SUMPRODUCT(($N108:$U108="")*(($F108-(40-VALUE(LEFT($N$4:$U$4,2)))*7)&gt;=TODAY())*(($F108-(40-VALUE(LEFT($N$4:$U$4,2)))*7)&lt;=TODAY()+7)))+COUNTIFS($V108:$Z108,"&gt;="&amp;TODAY(),$V108:$Z108,"&lt;="&amp;TODAY()+7))</f>
        <v/>
      </c>
      <c r="L108" s="32">
        <f>IF(OR(NOT(AND($A108&lt;&gt;"",OR($H108="",$H108="Active"))),$F108=""),"",IF(N108="",N$4,IF(O108="",O$4,IF(P108="",P$4,IF(Q108="",Q$4,IF(R108="",R$4,IF(S108="",S$4,IF(T108="",T$4,IF(U108="",U$4,"All done")))))))))</f>
        <v/>
      </c>
      <c r="M108" s="33">
        <f>IF(OR($L108="",$L108="All done"),"",($F108-(40-VALUE(LEFT($L108,2)))*7))</f>
        <v/>
      </c>
      <c r="N108" s="31" t="n"/>
      <c r="O108" s="31" t="n"/>
      <c r="P108" s="31" t="n"/>
      <c r="Q108" s="31" t="n"/>
      <c r="R108" s="31" t="n"/>
      <c r="S108" s="31" t="n"/>
      <c r="T108" s="31" t="n"/>
      <c r="U108" s="31" t="n"/>
      <c r="V108" s="31" t="n"/>
      <c r="W108" s="31" t="n"/>
      <c r="X108" s="31" t="n"/>
      <c r="Y108" s="31" t="n"/>
      <c r="Z108" s="31" t="n"/>
      <c r="AA108" s="34" t="n"/>
      <c r="AB108" s="29" t="n"/>
      <c r="AC108" s="31" t="n"/>
    </row>
    <row r="109">
      <c r="A109" s="29" t="n"/>
      <c r="B109" s="30" t="n"/>
      <c r="C109" s="31" t="n"/>
      <c r="D109" s="29" t="n"/>
      <c r="E109" s="29" t="n"/>
      <c r="F109" s="31" t="n"/>
      <c r="G109" s="31" t="n"/>
      <c r="H109" s="29" t="n"/>
      <c r="I109" s="32">
        <f>IF(OR(NOT(AND($A109&lt;&gt;"",OR($H109="",$H109="Active"))),$F109=""),"",INT((TODAY()-$F109+280)/7)&amp;"+"&amp;MOD(TODAY()-$F109+280,7))</f>
        <v/>
      </c>
      <c r="J109" s="32">
        <f>IF(NOT(AND($A109&lt;&gt;"",OR($H109="",$H109="Active"))),"",IF($F109="",0,SUMPRODUCT(($N109:$U109="")*(($F109-(40-VALUE(LEFT($N$4:$U$4,2)))*7)&lt;TODAY())))+COUNTIF($N109:$U109,"DNA")+COUNTIF($V109:$Z109,"&lt;"&amp;TODAY()))</f>
        <v/>
      </c>
      <c r="K109" s="32">
        <f>IF(NOT(AND($A109&lt;&gt;"",OR($H109="",$H109="Active"))),"",IF($F109="",0,SUMPRODUCT(($N109:$U109="")*(($F109-(40-VALUE(LEFT($N$4:$U$4,2)))*7)&gt;=TODAY())*(($F109-(40-VALUE(LEFT($N$4:$U$4,2)))*7)&lt;=TODAY()+7)))+COUNTIFS($V109:$Z109,"&gt;="&amp;TODAY(),$V109:$Z109,"&lt;="&amp;TODAY()+7))</f>
        <v/>
      </c>
      <c r="L109" s="32">
        <f>IF(OR(NOT(AND($A109&lt;&gt;"",OR($H109="",$H109="Active"))),$F109=""),"",IF(N109="",N$4,IF(O109="",O$4,IF(P109="",P$4,IF(Q109="",Q$4,IF(R109="",R$4,IF(S109="",S$4,IF(T109="",T$4,IF(U109="",U$4,"All done")))))))))</f>
        <v/>
      </c>
      <c r="M109" s="33">
        <f>IF(OR($L109="",$L109="All done"),"",($F109-(40-VALUE(LEFT($L109,2)))*7))</f>
        <v/>
      </c>
      <c r="N109" s="31" t="n"/>
      <c r="O109" s="31" t="n"/>
      <c r="P109" s="31" t="n"/>
      <c r="Q109" s="31" t="n"/>
      <c r="R109" s="31" t="n"/>
      <c r="S109" s="31" t="n"/>
      <c r="T109" s="31" t="n"/>
      <c r="U109" s="31" t="n"/>
      <c r="V109" s="31" t="n"/>
      <c r="W109" s="31" t="n"/>
      <c r="X109" s="31" t="n"/>
      <c r="Y109" s="31" t="n"/>
      <c r="Z109" s="31" t="n"/>
      <c r="AA109" s="34" t="n"/>
      <c r="AB109" s="29" t="n"/>
      <c r="AC109" s="31" t="n"/>
    </row>
    <row r="110">
      <c r="A110" s="29" t="n"/>
      <c r="B110" s="30" t="n"/>
      <c r="C110" s="31" t="n"/>
      <c r="D110" s="29" t="n"/>
      <c r="E110" s="29" t="n"/>
      <c r="F110" s="31" t="n"/>
      <c r="G110" s="31" t="n"/>
      <c r="H110" s="29" t="n"/>
      <c r="I110" s="32">
        <f>IF(OR(NOT(AND($A110&lt;&gt;"",OR($H110="",$H110="Active"))),$F110=""),"",INT((TODAY()-$F110+280)/7)&amp;"+"&amp;MOD(TODAY()-$F110+280,7))</f>
        <v/>
      </c>
      <c r="J110" s="32">
        <f>IF(NOT(AND($A110&lt;&gt;"",OR($H110="",$H110="Active"))),"",IF($F110="",0,SUMPRODUCT(($N110:$U110="")*(($F110-(40-VALUE(LEFT($N$4:$U$4,2)))*7)&lt;TODAY())))+COUNTIF($N110:$U110,"DNA")+COUNTIF($V110:$Z110,"&lt;"&amp;TODAY()))</f>
        <v/>
      </c>
      <c r="K110" s="32">
        <f>IF(NOT(AND($A110&lt;&gt;"",OR($H110="",$H110="Active"))),"",IF($F110="",0,SUMPRODUCT(($N110:$U110="")*(($F110-(40-VALUE(LEFT($N$4:$U$4,2)))*7)&gt;=TODAY())*(($F110-(40-VALUE(LEFT($N$4:$U$4,2)))*7)&lt;=TODAY()+7)))+COUNTIFS($V110:$Z110,"&gt;="&amp;TODAY(),$V110:$Z110,"&lt;="&amp;TODAY()+7))</f>
        <v/>
      </c>
      <c r="L110" s="32">
        <f>IF(OR(NOT(AND($A110&lt;&gt;"",OR($H110="",$H110="Active"))),$F110=""),"",IF(N110="",N$4,IF(O110="",O$4,IF(P110="",P$4,IF(Q110="",Q$4,IF(R110="",R$4,IF(S110="",S$4,IF(T110="",T$4,IF(U110="",U$4,"All done")))))))))</f>
        <v/>
      </c>
      <c r="M110" s="33">
        <f>IF(OR($L110="",$L110="All done"),"",($F110-(40-VALUE(LEFT($L110,2)))*7))</f>
        <v/>
      </c>
      <c r="N110" s="31" t="n"/>
      <c r="O110" s="31" t="n"/>
      <c r="P110" s="31" t="n"/>
      <c r="Q110" s="31" t="n"/>
      <c r="R110" s="31" t="n"/>
      <c r="S110" s="31" t="n"/>
      <c r="T110" s="31" t="n"/>
      <c r="U110" s="31" t="n"/>
      <c r="V110" s="31" t="n"/>
      <c r="W110" s="31" t="n"/>
      <c r="X110" s="31" t="n"/>
      <c r="Y110" s="31" t="n"/>
      <c r="Z110" s="31" t="n"/>
      <c r="AA110" s="34" t="n"/>
      <c r="AB110" s="29" t="n"/>
      <c r="AC110" s="31" t="n"/>
    </row>
    <row r="111">
      <c r="A111" s="29" t="n"/>
      <c r="B111" s="30" t="n"/>
      <c r="C111" s="31" t="n"/>
      <c r="D111" s="29" t="n"/>
      <c r="E111" s="29" t="n"/>
      <c r="F111" s="31" t="n"/>
      <c r="G111" s="31" t="n"/>
      <c r="H111" s="29" t="n"/>
      <c r="I111" s="32">
        <f>IF(OR(NOT(AND($A111&lt;&gt;"",OR($H111="",$H111="Active"))),$F111=""),"",INT((TODAY()-$F111+280)/7)&amp;"+"&amp;MOD(TODAY()-$F111+280,7))</f>
        <v/>
      </c>
      <c r="J111" s="32">
        <f>IF(NOT(AND($A111&lt;&gt;"",OR($H111="",$H111="Active"))),"",IF($F111="",0,SUMPRODUCT(($N111:$U111="")*(($F111-(40-VALUE(LEFT($N$4:$U$4,2)))*7)&lt;TODAY())))+COUNTIF($N111:$U111,"DNA")+COUNTIF($V111:$Z111,"&lt;"&amp;TODAY()))</f>
        <v/>
      </c>
      <c r="K111" s="32">
        <f>IF(NOT(AND($A111&lt;&gt;"",OR($H111="",$H111="Active"))),"",IF($F111="",0,SUMPRODUCT(($N111:$U111="")*(($F111-(40-VALUE(LEFT($N$4:$U$4,2)))*7)&gt;=TODAY())*(($F111-(40-VALUE(LEFT($N$4:$U$4,2)))*7)&lt;=TODAY()+7)))+COUNTIFS($V111:$Z111,"&gt;="&amp;TODAY(),$V111:$Z111,"&lt;="&amp;TODAY()+7))</f>
        <v/>
      </c>
      <c r="L111" s="32">
        <f>IF(OR(NOT(AND($A111&lt;&gt;"",OR($H111="",$H111="Active"))),$F111=""),"",IF(N111="",N$4,IF(O111="",O$4,IF(P111="",P$4,IF(Q111="",Q$4,IF(R111="",R$4,IF(S111="",S$4,IF(T111="",T$4,IF(U111="",U$4,"All done")))))))))</f>
        <v/>
      </c>
      <c r="M111" s="33">
        <f>IF(OR($L111="",$L111="All done"),"",($F111-(40-VALUE(LEFT($L111,2)))*7))</f>
        <v/>
      </c>
      <c r="N111" s="31" t="n"/>
      <c r="O111" s="31" t="n"/>
      <c r="P111" s="31" t="n"/>
      <c r="Q111" s="31" t="n"/>
      <c r="R111" s="31" t="n"/>
      <c r="S111" s="31" t="n"/>
      <c r="T111" s="31" t="n"/>
      <c r="U111" s="31" t="n"/>
      <c r="V111" s="31" t="n"/>
      <c r="W111" s="31" t="n"/>
      <c r="X111" s="31" t="n"/>
      <c r="Y111" s="31" t="n"/>
      <c r="Z111" s="31" t="n"/>
      <c r="AA111" s="34" t="n"/>
      <c r="AB111" s="29" t="n"/>
      <c r="AC111" s="31" t="n"/>
    </row>
    <row r="112">
      <c r="A112" s="29" t="n"/>
      <c r="B112" s="30" t="n"/>
      <c r="C112" s="31" t="n"/>
      <c r="D112" s="29" t="n"/>
      <c r="E112" s="29" t="n"/>
      <c r="F112" s="31" t="n"/>
      <c r="G112" s="31" t="n"/>
      <c r="H112" s="29" t="n"/>
      <c r="I112" s="32">
        <f>IF(OR(NOT(AND($A112&lt;&gt;"",OR($H112="",$H112="Active"))),$F112=""),"",INT((TODAY()-$F112+280)/7)&amp;"+"&amp;MOD(TODAY()-$F112+280,7))</f>
        <v/>
      </c>
      <c r="J112" s="32">
        <f>IF(NOT(AND($A112&lt;&gt;"",OR($H112="",$H112="Active"))),"",IF($F112="",0,SUMPRODUCT(($N112:$U112="")*(($F112-(40-VALUE(LEFT($N$4:$U$4,2)))*7)&lt;TODAY())))+COUNTIF($N112:$U112,"DNA")+COUNTIF($V112:$Z112,"&lt;"&amp;TODAY()))</f>
        <v/>
      </c>
      <c r="K112" s="32">
        <f>IF(NOT(AND($A112&lt;&gt;"",OR($H112="",$H112="Active"))),"",IF($F112="",0,SUMPRODUCT(($N112:$U112="")*(($F112-(40-VALUE(LEFT($N$4:$U$4,2)))*7)&gt;=TODAY())*(($F112-(40-VALUE(LEFT($N$4:$U$4,2)))*7)&lt;=TODAY()+7)))+COUNTIFS($V112:$Z112,"&gt;="&amp;TODAY(),$V112:$Z112,"&lt;="&amp;TODAY()+7))</f>
        <v/>
      </c>
      <c r="L112" s="32">
        <f>IF(OR(NOT(AND($A112&lt;&gt;"",OR($H112="",$H112="Active"))),$F112=""),"",IF(N112="",N$4,IF(O112="",O$4,IF(P112="",P$4,IF(Q112="",Q$4,IF(R112="",R$4,IF(S112="",S$4,IF(T112="",T$4,IF(U112="",U$4,"All done")))))))))</f>
        <v/>
      </c>
      <c r="M112" s="33">
        <f>IF(OR($L112="",$L112="All done"),"",($F112-(40-VALUE(LEFT($L112,2)))*7))</f>
        <v/>
      </c>
      <c r="N112" s="31" t="n"/>
      <c r="O112" s="31" t="n"/>
      <c r="P112" s="31" t="n"/>
      <c r="Q112" s="31" t="n"/>
      <c r="R112" s="31" t="n"/>
      <c r="S112" s="31" t="n"/>
      <c r="T112" s="31" t="n"/>
      <c r="U112" s="31" t="n"/>
      <c r="V112" s="31" t="n"/>
      <c r="W112" s="31" t="n"/>
      <c r="X112" s="31" t="n"/>
      <c r="Y112" s="31" t="n"/>
      <c r="Z112" s="31" t="n"/>
      <c r="AA112" s="34" t="n"/>
      <c r="AB112" s="29" t="n"/>
      <c r="AC112" s="31" t="n"/>
    </row>
    <row r="113">
      <c r="A113" s="29" t="n"/>
      <c r="B113" s="30" t="n"/>
      <c r="C113" s="31" t="n"/>
      <c r="D113" s="29" t="n"/>
      <c r="E113" s="29" t="n"/>
      <c r="F113" s="31" t="n"/>
      <c r="G113" s="31" t="n"/>
      <c r="H113" s="29" t="n"/>
      <c r="I113" s="32">
        <f>IF(OR(NOT(AND($A113&lt;&gt;"",OR($H113="",$H113="Active"))),$F113=""),"",INT((TODAY()-$F113+280)/7)&amp;"+"&amp;MOD(TODAY()-$F113+280,7))</f>
        <v/>
      </c>
      <c r="J113" s="32">
        <f>IF(NOT(AND($A113&lt;&gt;"",OR($H113="",$H113="Active"))),"",IF($F113="",0,SUMPRODUCT(($N113:$U113="")*(($F113-(40-VALUE(LEFT($N$4:$U$4,2)))*7)&lt;TODAY())))+COUNTIF($N113:$U113,"DNA")+COUNTIF($V113:$Z113,"&lt;"&amp;TODAY()))</f>
        <v/>
      </c>
      <c r="K113" s="32">
        <f>IF(NOT(AND($A113&lt;&gt;"",OR($H113="",$H113="Active"))),"",IF($F113="",0,SUMPRODUCT(($N113:$U113="")*(($F113-(40-VALUE(LEFT($N$4:$U$4,2)))*7)&gt;=TODAY())*(($F113-(40-VALUE(LEFT($N$4:$U$4,2)))*7)&lt;=TODAY()+7)))+COUNTIFS($V113:$Z113,"&gt;="&amp;TODAY(),$V113:$Z113,"&lt;="&amp;TODAY()+7))</f>
        <v/>
      </c>
      <c r="L113" s="32">
        <f>IF(OR(NOT(AND($A113&lt;&gt;"",OR($H113="",$H113="Active"))),$F113=""),"",IF(N113="",N$4,IF(O113="",O$4,IF(P113="",P$4,IF(Q113="",Q$4,IF(R113="",R$4,IF(S113="",S$4,IF(T113="",T$4,IF(U113="",U$4,"All done")))))))))</f>
        <v/>
      </c>
      <c r="M113" s="33">
        <f>IF(OR($L113="",$L113="All done"),"",($F113-(40-VALUE(LEFT($L113,2)))*7))</f>
        <v/>
      </c>
      <c r="N113" s="31" t="n"/>
      <c r="O113" s="31" t="n"/>
      <c r="P113" s="31" t="n"/>
      <c r="Q113" s="31" t="n"/>
      <c r="R113" s="31" t="n"/>
      <c r="S113" s="31" t="n"/>
      <c r="T113" s="31" t="n"/>
      <c r="U113" s="31" t="n"/>
      <c r="V113" s="31" t="n"/>
      <c r="W113" s="31" t="n"/>
      <c r="X113" s="31" t="n"/>
      <c r="Y113" s="31" t="n"/>
      <c r="Z113" s="31" t="n"/>
      <c r="AA113" s="34" t="n"/>
      <c r="AB113" s="29" t="n"/>
      <c r="AC113" s="31" t="n"/>
    </row>
    <row r="114">
      <c r="A114" s="29" t="n"/>
      <c r="B114" s="30" t="n"/>
      <c r="C114" s="31" t="n"/>
      <c r="D114" s="29" t="n"/>
      <c r="E114" s="29" t="n"/>
      <c r="F114" s="31" t="n"/>
      <c r="G114" s="31" t="n"/>
      <c r="H114" s="29" t="n"/>
      <c r="I114" s="32">
        <f>IF(OR(NOT(AND($A114&lt;&gt;"",OR($H114="",$H114="Active"))),$F114=""),"",INT((TODAY()-$F114+280)/7)&amp;"+"&amp;MOD(TODAY()-$F114+280,7))</f>
        <v/>
      </c>
      <c r="J114" s="32">
        <f>IF(NOT(AND($A114&lt;&gt;"",OR($H114="",$H114="Active"))),"",IF($F114="",0,SUMPRODUCT(($N114:$U114="")*(($F114-(40-VALUE(LEFT($N$4:$U$4,2)))*7)&lt;TODAY())))+COUNTIF($N114:$U114,"DNA")+COUNTIF($V114:$Z114,"&lt;"&amp;TODAY()))</f>
        <v/>
      </c>
      <c r="K114" s="32">
        <f>IF(NOT(AND($A114&lt;&gt;"",OR($H114="",$H114="Active"))),"",IF($F114="",0,SUMPRODUCT(($N114:$U114="")*(($F114-(40-VALUE(LEFT($N$4:$U$4,2)))*7)&gt;=TODAY())*(($F114-(40-VALUE(LEFT($N$4:$U$4,2)))*7)&lt;=TODAY()+7)))+COUNTIFS($V114:$Z114,"&gt;="&amp;TODAY(),$V114:$Z114,"&lt;="&amp;TODAY()+7))</f>
        <v/>
      </c>
      <c r="L114" s="32">
        <f>IF(OR(NOT(AND($A114&lt;&gt;"",OR($H114="",$H114="Active"))),$F114=""),"",IF(N114="",N$4,IF(O114="",O$4,IF(P114="",P$4,IF(Q114="",Q$4,IF(R114="",R$4,IF(S114="",S$4,IF(T114="",T$4,IF(U114="",U$4,"All done")))))))))</f>
        <v/>
      </c>
      <c r="M114" s="33">
        <f>IF(OR($L114="",$L114="All done"),"",($F114-(40-VALUE(LEFT($L114,2)))*7))</f>
        <v/>
      </c>
      <c r="N114" s="31" t="n"/>
      <c r="O114" s="31" t="n"/>
      <c r="P114" s="31" t="n"/>
      <c r="Q114" s="31" t="n"/>
      <c r="R114" s="31" t="n"/>
      <c r="S114" s="31" t="n"/>
      <c r="T114" s="31" t="n"/>
      <c r="U114" s="31" t="n"/>
      <c r="V114" s="31" t="n"/>
      <c r="W114" s="31" t="n"/>
      <c r="X114" s="31" t="n"/>
      <c r="Y114" s="31" t="n"/>
      <c r="Z114" s="31" t="n"/>
      <c r="AA114" s="34" t="n"/>
      <c r="AB114" s="29" t="n"/>
      <c r="AC114" s="31" t="n"/>
    </row>
    <row r="115">
      <c r="A115" s="29" t="n"/>
      <c r="B115" s="30" t="n"/>
      <c r="C115" s="31" t="n"/>
      <c r="D115" s="29" t="n"/>
      <c r="E115" s="29" t="n"/>
      <c r="F115" s="31" t="n"/>
      <c r="G115" s="31" t="n"/>
      <c r="H115" s="29" t="n"/>
      <c r="I115" s="32">
        <f>IF(OR(NOT(AND($A115&lt;&gt;"",OR($H115="",$H115="Active"))),$F115=""),"",INT((TODAY()-$F115+280)/7)&amp;"+"&amp;MOD(TODAY()-$F115+280,7))</f>
        <v/>
      </c>
      <c r="J115" s="32">
        <f>IF(NOT(AND($A115&lt;&gt;"",OR($H115="",$H115="Active"))),"",IF($F115="",0,SUMPRODUCT(($N115:$U115="")*(($F115-(40-VALUE(LEFT($N$4:$U$4,2)))*7)&lt;TODAY())))+COUNTIF($N115:$U115,"DNA")+COUNTIF($V115:$Z115,"&lt;"&amp;TODAY()))</f>
        <v/>
      </c>
      <c r="K115" s="32">
        <f>IF(NOT(AND($A115&lt;&gt;"",OR($H115="",$H115="Active"))),"",IF($F115="",0,SUMPRODUCT(($N115:$U115="")*(($F115-(40-VALUE(LEFT($N$4:$U$4,2)))*7)&gt;=TODAY())*(($F115-(40-VALUE(LEFT($N$4:$U$4,2)))*7)&lt;=TODAY()+7)))+COUNTIFS($V115:$Z115,"&gt;="&amp;TODAY(),$V115:$Z115,"&lt;="&amp;TODAY()+7))</f>
        <v/>
      </c>
      <c r="L115" s="32">
        <f>IF(OR(NOT(AND($A115&lt;&gt;"",OR($H115="",$H115="Active"))),$F115=""),"",IF(N115="",N$4,IF(O115="",O$4,IF(P115="",P$4,IF(Q115="",Q$4,IF(R115="",R$4,IF(S115="",S$4,IF(T115="",T$4,IF(U115="",U$4,"All done")))))))))</f>
        <v/>
      </c>
      <c r="M115" s="33">
        <f>IF(OR($L115="",$L115="All done"),"",($F115-(40-VALUE(LEFT($L115,2)))*7))</f>
        <v/>
      </c>
      <c r="N115" s="31" t="n"/>
      <c r="O115" s="31" t="n"/>
      <c r="P115" s="31" t="n"/>
      <c r="Q115" s="31" t="n"/>
      <c r="R115" s="31" t="n"/>
      <c r="S115" s="31" t="n"/>
      <c r="T115" s="31" t="n"/>
      <c r="U115" s="31" t="n"/>
      <c r="V115" s="31" t="n"/>
      <c r="W115" s="31" t="n"/>
      <c r="X115" s="31" t="n"/>
      <c r="Y115" s="31" t="n"/>
      <c r="Z115" s="31" t="n"/>
      <c r="AA115" s="34" t="n"/>
      <c r="AB115" s="29" t="n"/>
      <c r="AC115" s="31" t="n"/>
    </row>
    <row r="116">
      <c r="A116" s="29" t="n"/>
      <c r="B116" s="30" t="n"/>
      <c r="C116" s="31" t="n"/>
      <c r="D116" s="29" t="n"/>
      <c r="E116" s="29" t="n"/>
      <c r="F116" s="31" t="n"/>
      <c r="G116" s="31" t="n"/>
      <c r="H116" s="29" t="n"/>
      <c r="I116" s="32">
        <f>IF(OR(NOT(AND($A116&lt;&gt;"",OR($H116="",$H116="Active"))),$F116=""),"",INT((TODAY()-$F116+280)/7)&amp;"+"&amp;MOD(TODAY()-$F116+280,7))</f>
        <v/>
      </c>
      <c r="J116" s="32">
        <f>IF(NOT(AND($A116&lt;&gt;"",OR($H116="",$H116="Active"))),"",IF($F116="",0,SUMPRODUCT(($N116:$U116="")*(($F116-(40-VALUE(LEFT($N$4:$U$4,2)))*7)&lt;TODAY())))+COUNTIF($N116:$U116,"DNA")+COUNTIF($V116:$Z116,"&lt;"&amp;TODAY()))</f>
        <v/>
      </c>
      <c r="K116" s="32">
        <f>IF(NOT(AND($A116&lt;&gt;"",OR($H116="",$H116="Active"))),"",IF($F116="",0,SUMPRODUCT(($N116:$U116="")*(($F116-(40-VALUE(LEFT($N$4:$U$4,2)))*7)&gt;=TODAY())*(($F116-(40-VALUE(LEFT($N$4:$U$4,2)))*7)&lt;=TODAY()+7)))+COUNTIFS($V116:$Z116,"&gt;="&amp;TODAY(),$V116:$Z116,"&lt;="&amp;TODAY()+7))</f>
        <v/>
      </c>
      <c r="L116" s="32">
        <f>IF(OR(NOT(AND($A116&lt;&gt;"",OR($H116="",$H116="Active"))),$F116=""),"",IF(N116="",N$4,IF(O116="",O$4,IF(P116="",P$4,IF(Q116="",Q$4,IF(R116="",R$4,IF(S116="",S$4,IF(T116="",T$4,IF(U116="",U$4,"All done")))))))))</f>
        <v/>
      </c>
      <c r="M116" s="33">
        <f>IF(OR($L116="",$L116="All done"),"",($F116-(40-VALUE(LEFT($L116,2)))*7))</f>
        <v/>
      </c>
      <c r="N116" s="31" t="n"/>
      <c r="O116" s="31" t="n"/>
      <c r="P116" s="31" t="n"/>
      <c r="Q116" s="31" t="n"/>
      <c r="R116" s="31" t="n"/>
      <c r="S116" s="31" t="n"/>
      <c r="T116" s="31" t="n"/>
      <c r="U116" s="31" t="n"/>
      <c r="V116" s="31" t="n"/>
      <c r="W116" s="31" t="n"/>
      <c r="X116" s="31" t="n"/>
      <c r="Y116" s="31" t="n"/>
      <c r="Z116" s="31" t="n"/>
      <c r="AA116" s="34" t="n"/>
      <c r="AB116" s="29" t="n"/>
      <c r="AC116" s="31" t="n"/>
    </row>
    <row r="117">
      <c r="A117" s="29" t="n"/>
      <c r="B117" s="30" t="n"/>
      <c r="C117" s="31" t="n"/>
      <c r="D117" s="29" t="n"/>
      <c r="E117" s="29" t="n"/>
      <c r="F117" s="31" t="n"/>
      <c r="G117" s="31" t="n"/>
      <c r="H117" s="29" t="n"/>
      <c r="I117" s="32">
        <f>IF(OR(NOT(AND($A117&lt;&gt;"",OR($H117="",$H117="Active"))),$F117=""),"",INT((TODAY()-$F117+280)/7)&amp;"+"&amp;MOD(TODAY()-$F117+280,7))</f>
        <v/>
      </c>
      <c r="J117" s="32">
        <f>IF(NOT(AND($A117&lt;&gt;"",OR($H117="",$H117="Active"))),"",IF($F117="",0,SUMPRODUCT(($N117:$U117="")*(($F117-(40-VALUE(LEFT($N$4:$U$4,2)))*7)&lt;TODAY())))+COUNTIF($N117:$U117,"DNA")+COUNTIF($V117:$Z117,"&lt;"&amp;TODAY()))</f>
        <v/>
      </c>
      <c r="K117" s="32">
        <f>IF(NOT(AND($A117&lt;&gt;"",OR($H117="",$H117="Active"))),"",IF($F117="",0,SUMPRODUCT(($N117:$U117="")*(($F117-(40-VALUE(LEFT($N$4:$U$4,2)))*7)&gt;=TODAY())*(($F117-(40-VALUE(LEFT($N$4:$U$4,2)))*7)&lt;=TODAY()+7)))+COUNTIFS($V117:$Z117,"&gt;="&amp;TODAY(),$V117:$Z117,"&lt;="&amp;TODAY()+7))</f>
        <v/>
      </c>
      <c r="L117" s="32">
        <f>IF(OR(NOT(AND($A117&lt;&gt;"",OR($H117="",$H117="Active"))),$F117=""),"",IF(N117="",N$4,IF(O117="",O$4,IF(P117="",P$4,IF(Q117="",Q$4,IF(R117="",R$4,IF(S117="",S$4,IF(T117="",T$4,IF(U117="",U$4,"All done")))))))))</f>
        <v/>
      </c>
      <c r="M117" s="33">
        <f>IF(OR($L117="",$L117="All done"),"",($F117-(40-VALUE(LEFT($L117,2)))*7))</f>
        <v/>
      </c>
      <c r="N117" s="31" t="n"/>
      <c r="O117" s="31" t="n"/>
      <c r="P117" s="31" t="n"/>
      <c r="Q117" s="31" t="n"/>
      <c r="R117" s="31" t="n"/>
      <c r="S117" s="31" t="n"/>
      <c r="T117" s="31" t="n"/>
      <c r="U117" s="31" t="n"/>
      <c r="V117" s="31" t="n"/>
      <c r="W117" s="31" t="n"/>
      <c r="X117" s="31" t="n"/>
      <c r="Y117" s="31" t="n"/>
      <c r="Z117" s="31" t="n"/>
      <c r="AA117" s="34" t="n"/>
      <c r="AB117" s="29" t="n"/>
      <c r="AC117" s="31" t="n"/>
    </row>
    <row r="118">
      <c r="A118" s="29" t="n"/>
      <c r="B118" s="30" t="n"/>
      <c r="C118" s="31" t="n"/>
      <c r="D118" s="29" t="n"/>
      <c r="E118" s="29" t="n"/>
      <c r="F118" s="31" t="n"/>
      <c r="G118" s="31" t="n"/>
      <c r="H118" s="29" t="n"/>
      <c r="I118" s="32">
        <f>IF(OR(NOT(AND($A118&lt;&gt;"",OR($H118="",$H118="Active"))),$F118=""),"",INT((TODAY()-$F118+280)/7)&amp;"+"&amp;MOD(TODAY()-$F118+280,7))</f>
        <v/>
      </c>
      <c r="J118" s="32">
        <f>IF(NOT(AND($A118&lt;&gt;"",OR($H118="",$H118="Active"))),"",IF($F118="",0,SUMPRODUCT(($N118:$U118="")*(($F118-(40-VALUE(LEFT($N$4:$U$4,2)))*7)&lt;TODAY())))+COUNTIF($N118:$U118,"DNA")+COUNTIF($V118:$Z118,"&lt;"&amp;TODAY()))</f>
        <v/>
      </c>
      <c r="K118" s="32">
        <f>IF(NOT(AND($A118&lt;&gt;"",OR($H118="",$H118="Active"))),"",IF($F118="",0,SUMPRODUCT(($N118:$U118="")*(($F118-(40-VALUE(LEFT($N$4:$U$4,2)))*7)&gt;=TODAY())*(($F118-(40-VALUE(LEFT($N$4:$U$4,2)))*7)&lt;=TODAY()+7)))+COUNTIFS($V118:$Z118,"&gt;="&amp;TODAY(),$V118:$Z118,"&lt;="&amp;TODAY()+7))</f>
        <v/>
      </c>
      <c r="L118" s="32">
        <f>IF(OR(NOT(AND($A118&lt;&gt;"",OR($H118="",$H118="Active"))),$F118=""),"",IF(N118="",N$4,IF(O118="",O$4,IF(P118="",P$4,IF(Q118="",Q$4,IF(R118="",R$4,IF(S118="",S$4,IF(T118="",T$4,IF(U118="",U$4,"All done")))))))))</f>
        <v/>
      </c>
      <c r="M118" s="33">
        <f>IF(OR($L118="",$L118="All done"),"",($F118-(40-VALUE(LEFT($L118,2)))*7))</f>
        <v/>
      </c>
      <c r="N118" s="31" t="n"/>
      <c r="O118" s="31" t="n"/>
      <c r="P118" s="31" t="n"/>
      <c r="Q118" s="31" t="n"/>
      <c r="R118" s="31" t="n"/>
      <c r="S118" s="31" t="n"/>
      <c r="T118" s="31" t="n"/>
      <c r="U118" s="31" t="n"/>
      <c r="V118" s="31" t="n"/>
      <c r="W118" s="31" t="n"/>
      <c r="X118" s="31" t="n"/>
      <c r="Y118" s="31" t="n"/>
      <c r="Z118" s="31" t="n"/>
      <c r="AA118" s="34" t="n"/>
      <c r="AB118" s="29" t="n"/>
      <c r="AC118" s="31" t="n"/>
    </row>
    <row r="119">
      <c r="A119" s="29" t="n"/>
      <c r="B119" s="30" t="n"/>
      <c r="C119" s="31" t="n"/>
      <c r="D119" s="29" t="n"/>
      <c r="E119" s="29" t="n"/>
      <c r="F119" s="31" t="n"/>
      <c r="G119" s="31" t="n"/>
      <c r="H119" s="29" t="n"/>
      <c r="I119" s="32">
        <f>IF(OR(NOT(AND($A119&lt;&gt;"",OR($H119="",$H119="Active"))),$F119=""),"",INT((TODAY()-$F119+280)/7)&amp;"+"&amp;MOD(TODAY()-$F119+280,7))</f>
        <v/>
      </c>
      <c r="J119" s="32">
        <f>IF(NOT(AND($A119&lt;&gt;"",OR($H119="",$H119="Active"))),"",IF($F119="",0,SUMPRODUCT(($N119:$U119="")*(($F119-(40-VALUE(LEFT($N$4:$U$4,2)))*7)&lt;TODAY())))+COUNTIF($N119:$U119,"DNA")+COUNTIF($V119:$Z119,"&lt;"&amp;TODAY()))</f>
        <v/>
      </c>
      <c r="K119" s="32">
        <f>IF(NOT(AND($A119&lt;&gt;"",OR($H119="",$H119="Active"))),"",IF($F119="",0,SUMPRODUCT(($N119:$U119="")*(($F119-(40-VALUE(LEFT($N$4:$U$4,2)))*7)&gt;=TODAY())*(($F119-(40-VALUE(LEFT($N$4:$U$4,2)))*7)&lt;=TODAY()+7)))+COUNTIFS($V119:$Z119,"&gt;="&amp;TODAY(),$V119:$Z119,"&lt;="&amp;TODAY()+7))</f>
        <v/>
      </c>
      <c r="L119" s="32">
        <f>IF(OR(NOT(AND($A119&lt;&gt;"",OR($H119="",$H119="Active"))),$F119=""),"",IF(N119="",N$4,IF(O119="",O$4,IF(P119="",P$4,IF(Q119="",Q$4,IF(R119="",R$4,IF(S119="",S$4,IF(T119="",T$4,IF(U119="",U$4,"All done")))))))))</f>
        <v/>
      </c>
      <c r="M119" s="33">
        <f>IF(OR($L119="",$L119="All done"),"",($F119-(40-VALUE(LEFT($L119,2)))*7))</f>
        <v/>
      </c>
      <c r="N119" s="31" t="n"/>
      <c r="O119" s="31" t="n"/>
      <c r="P119" s="31" t="n"/>
      <c r="Q119" s="31" t="n"/>
      <c r="R119" s="31" t="n"/>
      <c r="S119" s="31" t="n"/>
      <c r="T119" s="31" t="n"/>
      <c r="U119" s="31" t="n"/>
      <c r="V119" s="31" t="n"/>
      <c r="W119" s="31" t="n"/>
      <c r="X119" s="31" t="n"/>
      <c r="Y119" s="31" t="n"/>
      <c r="Z119" s="31" t="n"/>
      <c r="AA119" s="34" t="n"/>
      <c r="AB119" s="29" t="n"/>
      <c r="AC119" s="31" t="n"/>
    </row>
    <row r="120">
      <c r="A120" s="29" t="n"/>
      <c r="B120" s="30" t="n"/>
      <c r="C120" s="31" t="n"/>
      <c r="D120" s="29" t="n"/>
      <c r="E120" s="29" t="n"/>
      <c r="F120" s="31" t="n"/>
      <c r="G120" s="31" t="n"/>
      <c r="H120" s="29" t="n"/>
      <c r="I120" s="32">
        <f>IF(OR(NOT(AND($A120&lt;&gt;"",OR($H120="",$H120="Active"))),$F120=""),"",INT((TODAY()-$F120+280)/7)&amp;"+"&amp;MOD(TODAY()-$F120+280,7))</f>
        <v/>
      </c>
      <c r="J120" s="32">
        <f>IF(NOT(AND($A120&lt;&gt;"",OR($H120="",$H120="Active"))),"",IF($F120="",0,SUMPRODUCT(($N120:$U120="")*(($F120-(40-VALUE(LEFT($N$4:$U$4,2)))*7)&lt;TODAY())))+COUNTIF($N120:$U120,"DNA")+COUNTIF($V120:$Z120,"&lt;"&amp;TODAY()))</f>
        <v/>
      </c>
      <c r="K120" s="32">
        <f>IF(NOT(AND($A120&lt;&gt;"",OR($H120="",$H120="Active"))),"",IF($F120="",0,SUMPRODUCT(($N120:$U120="")*(($F120-(40-VALUE(LEFT($N$4:$U$4,2)))*7)&gt;=TODAY())*(($F120-(40-VALUE(LEFT($N$4:$U$4,2)))*7)&lt;=TODAY()+7)))+COUNTIFS($V120:$Z120,"&gt;="&amp;TODAY(),$V120:$Z120,"&lt;="&amp;TODAY()+7))</f>
        <v/>
      </c>
      <c r="L120" s="32">
        <f>IF(OR(NOT(AND($A120&lt;&gt;"",OR($H120="",$H120="Active"))),$F120=""),"",IF(N120="",N$4,IF(O120="",O$4,IF(P120="",P$4,IF(Q120="",Q$4,IF(R120="",R$4,IF(S120="",S$4,IF(T120="",T$4,IF(U120="",U$4,"All done")))))))))</f>
        <v/>
      </c>
      <c r="M120" s="33">
        <f>IF(OR($L120="",$L120="All done"),"",($F120-(40-VALUE(LEFT($L120,2)))*7))</f>
        <v/>
      </c>
      <c r="N120" s="31" t="n"/>
      <c r="O120" s="31" t="n"/>
      <c r="P120" s="31" t="n"/>
      <c r="Q120" s="31" t="n"/>
      <c r="R120" s="31" t="n"/>
      <c r="S120" s="31" t="n"/>
      <c r="T120" s="31" t="n"/>
      <c r="U120" s="31" t="n"/>
      <c r="V120" s="31" t="n"/>
      <c r="W120" s="31" t="n"/>
      <c r="X120" s="31" t="n"/>
      <c r="Y120" s="31" t="n"/>
      <c r="Z120" s="31" t="n"/>
      <c r="AA120" s="34" t="n"/>
      <c r="AB120" s="29" t="n"/>
      <c r="AC120" s="31" t="n"/>
    </row>
    <row r="121">
      <c r="A121" s="29" t="n"/>
      <c r="B121" s="30" t="n"/>
      <c r="C121" s="31" t="n"/>
      <c r="D121" s="29" t="n"/>
      <c r="E121" s="29" t="n"/>
      <c r="F121" s="31" t="n"/>
      <c r="G121" s="31" t="n"/>
      <c r="H121" s="29" t="n"/>
      <c r="I121" s="32">
        <f>IF(OR(NOT(AND($A121&lt;&gt;"",OR($H121="",$H121="Active"))),$F121=""),"",INT((TODAY()-$F121+280)/7)&amp;"+"&amp;MOD(TODAY()-$F121+280,7))</f>
        <v/>
      </c>
      <c r="J121" s="32">
        <f>IF(NOT(AND($A121&lt;&gt;"",OR($H121="",$H121="Active"))),"",IF($F121="",0,SUMPRODUCT(($N121:$U121="")*(($F121-(40-VALUE(LEFT($N$4:$U$4,2)))*7)&lt;TODAY())))+COUNTIF($N121:$U121,"DNA")+COUNTIF($V121:$Z121,"&lt;"&amp;TODAY()))</f>
        <v/>
      </c>
      <c r="K121" s="32">
        <f>IF(NOT(AND($A121&lt;&gt;"",OR($H121="",$H121="Active"))),"",IF($F121="",0,SUMPRODUCT(($N121:$U121="")*(($F121-(40-VALUE(LEFT($N$4:$U$4,2)))*7)&gt;=TODAY())*(($F121-(40-VALUE(LEFT($N$4:$U$4,2)))*7)&lt;=TODAY()+7)))+COUNTIFS($V121:$Z121,"&gt;="&amp;TODAY(),$V121:$Z121,"&lt;="&amp;TODAY()+7))</f>
        <v/>
      </c>
      <c r="L121" s="32">
        <f>IF(OR(NOT(AND($A121&lt;&gt;"",OR($H121="",$H121="Active"))),$F121=""),"",IF(N121="",N$4,IF(O121="",O$4,IF(P121="",P$4,IF(Q121="",Q$4,IF(R121="",R$4,IF(S121="",S$4,IF(T121="",T$4,IF(U121="",U$4,"All done")))))))))</f>
        <v/>
      </c>
      <c r="M121" s="33">
        <f>IF(OR($L121="",$L121="All done"),"",($F121-(40-VALUE(LEFT($L121,2)))*7))</f>
        <v/>
      </c>
      <c r="N121" s="31" t="n"/>
      <c r="O121" s="31" t="n"/>
      <c r="P121" s="31" t="n"/>
      <c r="Q121" s="31" t="n"/>
      <c r="R121" s="31" t="n"/>
      <c r="S121" s="31" t="n"/>
      <c r="T121" s="31" t="n"/>
      <c r="U121" s="31" t="n"/>
      <c r="V121" s="31" t="n"/>
      <c r="W121" s="31" t="n"/>
      <c r="X121" s="31" t="n"/>
      <c r="Y121" s="31" t="n"/>
      <c r="Z121" s="31" t="n"/>
      <c r="AA121" s="34" t="n"/>
      <c r="AB121" s="29" t="n"/>
      <c r="AC121" s="31" t="n"/>
    </row>
    <row r="122">
      <c r="A122" s="29" t="n"/>
      <c r="B122" s="30" t="n"/>
      <c r="C122" s="31" t="n"/>
      <c r="D122" s="29" t="n"/>
      <c r="E122" s="29" t="n"/>
      <c r="F122" s="31" t="n"/>
      <c r="G122" s="31" t="n"/>
      <c r="H122" s="29" t="n"/>
      <c r="I122" s="32">
        <f>IF(OR(NOT(AND($A122&lt;&gt;"",OR($H122="",$H122="Active"))),$F122=""),"",INT((TODAY()-$F122+280)/7)&amp;"+"&amp;MOD(TODAY()-$F122+280,7))</f>
        <v/>
      </c>
      <c r="J122" s="32">
        <f>IF(NOT(AND($A122&lt;&gt;"",OR($H122="",$H122="Active"))),"",IF($F122="",0,SUMPRODUCT(($N122:$U122="")*(($F122-(40-VALUE(LEFT($N$4:$U$4,2)))*7)&lt;TODAY())))+COUNTIF($N122:$U122,"DNA")+COUNTIF($V122:$Z122,"&lt;"&amp;TODAY()))</f>
        <v/>
      </c>
      <c r="K122" s="32">
        <f>IF(NOT(AND($A122&lt;&gt;"",OR($H122="",$H122="Active"))),"",IF($F122="",0,SUMPRODUCT(($N122:$U122="")*(($F122-(40-VALUE(LEFT($N$4:$U$4,2)))*7)&gt;=TODAY())*(($F122-(40-VALUE(LEFT($N$4:$U$4,2)))*7)&lt;=TODAY()+7)))+COUNTIFS($V122:$Z122,"&gt;="&amp;TODAY(),$V122:$Z122,"&lt;="&amp;TODAY()+7))</f>
        <v/>
      </c>
      <c r="L122" s="32">
        <f>IF(OR(NOT(AND($A122&lt;&gt;"",OR($H122="",$H122="Active"))),$F122=""),"",IF(N122="",N$4,IF(O122="",O$4,IF(P122="",P$4,IF(Q122="",Q$4,IF(R122="",R$4,IF(S122="",S$4,IF(T122="",T$4,IF(U122="",U$4,"All done")))))))))</f>
        <v/>
      </c>
      <c r="M122" s="33">
        <f>IF(OR($L122="",$L122="All done"),"",($F122-(40-VALUE(LEFT($L122,2)))*7))</f>
        <v/>
      </c>
      <c r="N122" s="31" t="n"/>
      <c r="O122" s="31" t="n"/>
      <c r="P122" s="31" t="n"/>
      <c r="Q122" s="31" t="n"/>
      <c r="R122" s="31" t="n"/>
      <c r="S122" s="31" t="n"/>
      <c r="T122" s="31" t="n"/>
      <c r="U122" s="31" t="n"/>
      <c r="V122" s="31" t="n"/>
      <c r="W122" s="31" t="n"/>
      <c r="X122" s="31" t="n"/>
      <c r="Y122" s="31" t="n"/>
      <c r="Z122" s="31" t="n"/>
      <c r="AA122" s="34" t="n"/>
      <c r="AB122" s="29" t="n"/>
      <c r="AC122" s="31" t="n"/>
    </row>
    <row r="123">
      <c r="A123" s="29" t="n"/>
      <c r="B123" s="30" t="n"/>
      <c r="C123" s="31" t="n"/>
      <c r="D123" s="29" t="n"/>
      <c r="E123" s="29" t="n"/>
      <c r="F123" s="31" t="n"/>
      <c r="G123" s="31" t="n"/>
      <c r="H123" s="29" t="n"/>
      <c r="I123" s="32">
        <f>IF(OR(NOT(AND($A123&lt;&gt;"",OR($H123="",$H123="Active"))),$F123=""),"",INT((TODAY()-$F123+280)/7)&amp;"+"&amp;MOD(TODAY()-$F123+280,7))</f>
        <v/>
      </c>
      <c r="J123" s="32">
        <f>IF(NOT(AND($A123&lt;&gt;"",OR($H123="",$H123="Active"))),"",IF($F123="",0,SUMPRODUCT(($N123:$U123="")*(($F123-(40-VALUE(LEFT($N$4:$U$4,2)))*7)&lt;TODAY())))+COUNTIF($N123:$U123,"DNA")+COUNTIF($V123:$Z123,"&lt;"&amp;TODAY()))</f>
        <v/>
      </c>
      <c r="K123" s="32">
        <f>IF(NOT(AND($A123&lt;&gt;"",OR($H123="",$H123="Active"))),"",IF($F123="",0,SUMPRODUCT(($N123:$U123="")*(($F123-(40-VALUE(LEFT($N$4:$U$4,2)))*7)&gt;=TODAY())*(($F123-(40-VALUE(LEFT($N$4:$U$4,2)))*7)&lt;=TODAY()+7)))+COUNTIFS($V123:$Z123,"&gt;="&amp;TODAY(),$V123:$Z123,"&lt;="&amp;TODAY()+7))</f>
        <v/>
      </c>
      <c r="L123" s="32">
        <f>IF(OR(NOT(AND($A123&lt;&gt;"",OR($H123="",$H123="Active"))),$F123=""),"",IF(N123="",N$4,IF(O123="",O$4,IF(P123="",P$4,IF(Q123="",Q$4,IF(R123="",R$4,IF(S123="",S$4,IF(T123="",T$4,IF(U123="",U$4,"All done")))))))))</f>
        <v/>
      </c>
      <c r="M123" s="33">
        <f>IF(OR($L123="",$L123="All done"),"",($F123-(40-VALUE(LEFT($L123,2)))*7))</f>
        <v/>
      </c>
      <c r="N123" s="31" t="n"/>
      <c r="O123" s="31" t="n"/>
      <c r="P123" s="31" t="n"/>
      <c r="Q123" s="31" t="n"/>
      <c r="R123" s="31" t="n"/>
      <c r="S123" s="31" t="n"/>
      <c r="T123" s="31" t="n"/>
      <c r="U123" s="31" t="n"/>
      <c r="V123" s="31" t="n"/>
      <c r="W123" s="31" t="n"/>
      <c r="X123" s="31" t="n"/>
      <c r="Y123" s="31" t="n"/>
      <c r="Z123" s="31" t="n"/>
      <c r="AA123" s="34" t="n"/>
      <c r="AB123" s="29" t="n"/>
      <c r="AC123" s="31" t="n"/>
    </row>
    <row r="124">
      <c r="A124" s="29" t="n"/>
      <c r="B124" s="30" t="n"/>
      <c r="C124" s="31" t="n"/>
      <c r="D124" s="29" t="n"/>
      <c r="E124" s="29" t="n"/>
      <c r="F124" s="31" t="n"/>
      <c r="G124" s="31" t="n"/>
      <c r="H124" s="29" t="n"/>
      <c r="I124" s="32">
        <f>IF(OR(NOT(AND($A124&lt;&gt;"",OR($H124="",$H124="Active"))),$F124=""),"",INT((TODAY()-$F124+280)/7)&amp;"+"&amp;MOD(TODAY()-$F124+280,7))</f>
        <v/>
      </c>
      <c r="J124" s="32">
        <f>IF(NOT(AND($A124&lt;&gt;"",OR($H124="",$H124="Active"))),"",IF($F124="",0,SUMPRODUCT(($N124:$U124="")*(($F124-(40-VALUE(LEFT($N$4:$U$4,2)))*7)&lt;TODAY())))+COUNTIF($N124:$U124,"DNA")+COUNTIF($V124:$Z124,"&lt;"&amp;TODAY()))</f>
        <v/>
      </c>
      <c r="K124" s="32">
        <f>IF(NOT(AND($A124&lt;&gt;"",OR($H124="",$H124="Active"))),"",IF($F124="",0,SUMPRODUCT(($N124:$U124="")*(($F124-(40-VALUE(LEFT($N$4:$U$4,2)))*7)&gt;=TODAY())*(($F124-(40-VALUE(LEFT($N$4:$U$4,2)))*7)&lt;=TODAY()+7)))+COUNTIFS($V124:$Z124,"&gt;="&amp;TODAY(),$V124:$Z124,"&lt;="&amp;TODAY()+7))</f>
        <v/>
      </c>
      <c r="L124" s="32">
        <f>IF(OR(NOT(AND($A124&lt;&gt;"",OR($H124="",$H124="Active"))),$F124=""),"",IF(N124="",N$4,IF(O124="",O$4,IF(P124="",P$4,IF(Q124="",Q$4,IF(R124="",R$4,IF(S124="",S$4,IF(T124="",T$4,IF(U124="",U$4,"All done")))))))))</f>
        <v/>
      </c>
      <c r="M124" s="33">
        <f>IF(OR($L124="",$L124="All done"),"",($F124-(40-VALUE(LEFT($L124,2)))*7))</f>
        <v/>
      </c>
      <c r="N124" s="31" t="n"/>
      <c r="O124" s="31" t="n"/>
      <c r="P124" s="31" t="n"/>
      <c r="Q124" s="31" t="n"/>
      <c r="R124" s="31" t="n"/>
      <c r="S124" s="31" t="n"/>
      <c r="T124" s="31" t="n"/>
      <c r="U124" s="31" t="n"/>
      <c r="V124" s="31" t="n"/>
      <c r="W124" s="31" t="n"/>
      <c r="X124" s="31" t="n"/>
      <c r="Y124" s="31" t="n"/>
      <c r="Z124" s="31" t="n"/>
      <c r="AA124" s="34" t="n"/>
      <c r="AB124" s="29" t="n"/>
      <c r="AC124" s="31" t="n"/>
    </row>
    <row r="125">
      <c r="A125" s="29" t="n"/>
      <c r="B125" s="30" t="n"/>
      <c r="C125" s="31" t="n"/>
      <c r="D125" s="29" t="n"/>
      <c r="E125" s="29" t="n"/>
      <c r="F125" s="31" t="n"/>
      <c r="G125" s="31" t="n"/>
      <c r="H125" s="29" t="n"/>
      <c r="I125" s="32">
        <f>IF(OR(NOT(AND($A125&lt;&gt;"",OR($H125="",$H125="Active"))),$F125=""),"",INT((TODAY()-$F125+280)/7)&amp;"+"&amp;MOD(TODAY()-$F125+280,7))</f>
        <v/>
      </c>
      <c r="J125" s="32">
        <f>IF(NOT(AND($A125&lt;&gt;"",OR($H125="",$H125="Active"))),"",IF($F125="",0,SUMPRODUCT(($N125:$U125="")*(($F125-(40-VALUE(LEFT($N$4:$U$4,2)))*7)&lt;TODAY())))+COUNTIF($N125:$U125,"DNA")+COUNTIF($V125:$Z125,"&lt;"&amp;TODAY()))</f>
        <v/>
      </c>
      <c r="K125" s="32">
        <f>IF(NOT(AND($A125&lt;&gt;"",OR($H125="",$H125="Active"))),"",IF($F125="",0,SUMPRODUCT(($N125:$U125="")*(($F125-(40-VALUE(LEFT($N$4:$U$4,2)))*7)&gt;=TODAY())*(($F125-(40-VALUE(LEFT($N$4:$U$4,2)))*7)&lt;=TODAY()+7)))+COUNTIFS($V125:$Z125,"&gt;="&amp;TODAY(),$V125:$Z125,"&lt;="&amp;TODAY()+7))</f>
        <v/>
      </c>
      <c r="L125" s="32">
        <f>IF(OR(NOT(AND($A125&lt;&gt;"",OR($H125="",$H125="Active"))),$F125=""),"",IF(N125="",N$4,IF(O125="",O$4,IF(P125="",P$4,IF(Q125="",Q$4,IF(R125="",R$4,IF(S125="",S$4,IF(T125="",T$4,IF(U125="",U$4,"All done")))))))))</f>
        <v/>
      </c>
      <c r="M125" s="33">
        <f>IF(OR($L125="",$L125="All done"),"",($F125-(40-VALUE(LEFT($L125,2)))*7))</f>
        <v/>
      </c>
      <c r="N125" s="31" t="n"/>
      <c r="O125" s="31" t="n"/>
      <c r="P125" s="31" t="n"/>
      <c r="Q125" s="31" t="n"/>
      <c r="R125" s="31" t="n"/>
      <c r="S125" s="31" t="n"/>
      <c r="T125" s="31" t="n"/>
      <c r="U125" s="31" t="n"/>
      <c r="V125" s="31" t="n"/>
      <c r="W125" s="31" t="n"/>
      <c r="X125" s="31" t="n"/>
      <c r="Y125" s="31" t="n"/>
      <c r="Z125" s="31" t="n"/>
      <c r="AA125" s="34" t="n"/>
      <c r="AB125" s="29" t="n"/>
      <c r="AC125" s="31" t="n"/>
    </row>
    <row r="126">
      <c r="A126" s="29" t="n"/>
      <c r="B126" s="30" t="n"/>
      <c r="C126" s="31" t="n"/>
      <c r="D126" s="29" t="n"/>
      <c r="E126" s="29" t="n"/>
      <c r="F126" s="31" t="n"/>
      <c r="G126" s="31" t="n"/>
      <c r="H126" s="29" t="n"/>
      <c r="I126" s="32">
        <f>IF(OR(NOT(AND($A126&lt;&gt;"",OR($H126="",$H126="Active"))),$F126=""),"",INT((TODAY()-$F126+280)/7)&amp;"+"&amp;MOD(TODAY()-$F126+280,7))</f>
        <v/>
      </c>
      <c r="J126" s="32">
        <f>IF(NOT(AND($A126&lt;&gt;"",OR($H126="",$H126="Active"))),"",IF($F126="",0,SUMPRODUCT(($N126:$U126="")*(($F126-(40-VALUE(LEFT($N$4:$U$4,2)))*7)&lt;TODAY())))+COUNTIF($N126:$U126,"DNA")+COUNTIF($V126:$Z126,"&lt;"&amp;TODAY()))</f>
        <v/>
      </c>
      <c r="K126" s="32">
        <f>IF(NOT(AND($A126&lt;&gt;"",OR($H126="",$H126="Active"))),"",IF($F126="",0,SUMPRODUCT(($N126:$U126="")*(($F126-(40-VALUE(LEFT($N$4:$U$4,2)))*7)&gt;=TODAY())*(($F126-(40-VALUE(LEFT($N$4:$U$4,2)))*7)&lt;=TODAY()+7)))+COUNTIFS($V126:$Z126,"&gt;="&amp;TODAY(),$V126:$Z126,"&lt;="&amp;TODAY()+7))</f>
        <v/>
      </c>
      <c r="L126" s="32">
        <f>IF(OR(NOT(AND($A126&lt;&gt;"",OR($H126="",$H126="Active"))),$F126=""),"",IF(N126="",N$4,IF(O126="",O$4,IF(P126="",P$4,IF(Q126="",Q$4,IF(R126="",R$4,IF(S126="",S$4,IF(T126="",T$4,IF(U126="",U$4,"All done")))))))))</f>
        <v/>
      </c>
      <c r="M126" s="33">
        <f>IF(OR($L126="",$L126="All done"),"",($F126-(40-VALUE(LEFT($L126,2)))*7))</f>
        <v/>
      </c>
      <c r="N126" s="31" t="n"/>
      <c r="O126" s="31" t="n"/>
      <c r="P126" s="31" t="n"/>
      <c r="Q126" s="31" t="n"/>
      <c r="R126" s="31" t="n"/>
      <c r="S126" s="31" t="n"/>
      <c r="T126" s="31" t="n"/>
      <c r="U126" s="31" t="n"/>
      <c r="V126" s="31" t="n"/>
      <c r="W126" s="31" t="n"/>
      <c r="X126" s="31" t="n"/>
      <c r="Y126" s="31" t="n"/>
      <c r="Z126" s="31" t="n"/>
      <c r="AA126" s="34" t="n"/>
      <c r="AB126" s="29" t="n"/>
      <c r="AC126" s="31" t="n"/>
    </row>
    <row r="127">
      <c r="A127" s="29" t="n"/>
      <c r="B127" s="30" t="n"/>
      <c r="C127" s="31" t="n"/>
      <c r="D127" s="29" t="n"/>
      <c r="E127" s="29" t="n"/>
      <c r="F127" s="31" t="n"/>
      <c r="G127" s="31" t="n"/>
      <c r="H127" s="29" t="n"/>
      <c r="I127" s="32">
        <f>IF(OR(NOT(AND($A127&lt;&gt;"",OR($H127="",$H127="Active"))),$F127=""),"",INT((TODAY()-$F127+280)/7)&amp;"+"&amp;MOD(TODAY()-$F127+280,7))</f>
        <v/>
      </c>
      <c r="J127" s="32">
        <f>IF(NOT(AND($A127&lt;&gt;"",OR($H127="",$H127="Active"))),"",IF($F127="",0,SUMPRODUCT(($N127:$U127="")*(($F127-(40-VALUE(LEFT($N$4:$U$4,2)))*7)&lt;TODAY())))+COUNTIF($N127:$U127,"DNA")+COUNTIF($V127:$Z127,"&lt;"&amp;TODAY()))</f>
        <v/>
      </c>
      <c r="K127" s="32">
        <f>IF(NOT(AND($A127&lt;&gt;"",OR($H127="",$H127="Active"))),"",IF($F127="",0,SUMPRODUCT(($N127:$U127="")*(($F127-(40-VALUE(LEFT($N$4:$U$4,2)))*7)&gt;=TODAY())*(($F127-(40-VALUE(LEFT($N$4:$U$4,2)))*7)&lt;=TODAY()+7)))+COUNTIFS($V127:$Z127,"&gt;="&amp;TODAY(),$V127:$Z127,"&lt;="&amp;TODAY()+7))</f>
        <v/>
      </c>
      <c r="L127" s="32">
        <f>IF(OR(NOT(AND($A127&lt;&gt;"",OR($H127="",$H127="Active"))),$F127=""),"",IF(N127="",N$4,IF(O127="",O$4,IF(P127="",P$4,IF(Q127="",Q$4,IF(R127="",R$4,IF(S127="",S$4,IF(T127="",T$4,IF(U127="",U$4,"All done")))))))))</f>
        <v/>
      </c>
      <c r="M127" s="33">
        <f>IF(OR($L127="",$L127="All done"),"",($F127-(40-VALUE(LEFT($L127,2)))*7))</f>
        <v/>
      </c>
      <c r="N127" s="31" t="n"/>
      <c r="O127" s="31" t="n"/>
      <c r="P127" s="31" t="n"/>
      <c r="Q127" s="31" t="n"/>
      <c r="R127" s="31" t="n"/>
      <c r="S127" s="31" t="n"/>
      <c r="T127" s="31" t="n"/>
      <c r="U127" s="31" t="n"/>
      <c r="V127" s="31" t="n"/>
      <c r="W127" s="31" t="n"/>
      <c r="X127" s="31" t="n"/>
      <c r="Y127" s="31" t="n"/>
      <c r="Z127" s="31" t="n"/>
      <c r="AA127" s="34" t="n"/>
      <c r="AB127" s="29" t="n"/>
      <c r="AC127" s="31" t="n"/>
    </row>
    <row r="128">
      <c r="A128" s="29" t="n"/>
      <c r="B128" s="30" t="n"/>
      <c r="C128" s="31" t="n"/>
      <c r="D128" s="29" t="n"/>
      <c r="E128" s="29" t="n"/>
      <c r="F128" s="31" t="n"/>
      <c r="G128" s="31" t="n"/>
      <c r="H128" s="29" t="n"/>
      <c r="I128" s="32">
        <f>IF(OR(NOT(AND($A128&lt;&gt;"",OR($H128="",$H128="Active"))),$F128=""),"",INT((TODAY()-$F128+280)/7)&amp;"+"&amp;MOD(TODAY()-$F128+280,7))</f>
        <v/>
      </c>
      <c r="J128" s="32">
        <f>IF(NOT(AND($A128&lt;&gt;"",OR($H128="",$H128="Active"))),"",IF($F128="",0,SUMPRODUCT(($N128:$U128="")*(($F128-(40-VALUE(LEFT($N$4:$U$4,2)))*7)&lt;TODAY())))+COUNTIF($N128:$U128,"DNA")+COUNTIF($V128:$Z128,"&lt;"&amp;TODAY()))</f>
        <v/>
      </c>
      <c r="K128" s="32">
        <f>IF(NOT(AND($A128&lt;&gt;"",OR($H128="",$H128="Active"))),"",IF($F128="",0,SUMPRODUCT(($N128:$U128="")*(($F128-(40-VALUE(LEFT($N$4:$U$4,2)))*7)&gt;=TODAY())*(($F128-(40-VALUE(LEFT($N$4:$U$4,2)))*7)&lt;=TODAY()+7)))+COUNTIFS($V128:$Z128,"&gt;="&amp;TODAY(),$V128:$Z128,"&lt;="&amp;TODAY()+7))</f>
        <v/>
      </c>
      <c r="L128" s="32">
        <f>IF(OR(NOT(AND($A128&lt;&gt;"",OR($H128="",$H128="Active"))),$F128=""),"",IF(N128="",N$4,IF(O128="",O$4,IF(P128="",P$4,IF(Q128="",Q$4,IF(R128="",R$4,IF(S128="",S$4,IF(T128="",T$4,IF(U128="",U$4,"All done")))))))))</f>
        <v/>
      </c>
      <c r="M128" s="33">
        <f>IF(OR($L128="",$L128="All done"),"",($F128-(40-VALUE(LEFT($L128,2)))*7))</f>
        <v/>
      </c>
      <c r="N128" s="31" t="n"/>
      <c r="O128" s="31" t="n"/>
      <c r="P128" s="31" t="n"/>
      <c r="Q128" s="31" t="n"/>
      <c r="R128" s="31" t="n"/>
      <c r="S128" s="31" t="n"/>
      <c r="T128" s="31" t="n"/>
      <c r="U128" s="31" t="n"/>
      <c r="V128" s="31" t="n"/>
      <c r="W128" s="31" t="n"/>
      <c r="X128" s="31" t="n"/>
      <c r="Y128" s="31" t="n"/>
      <c r="Z128" s="31" t="n"/>
      <c r="AA128" s="34" t="n"/>
      <c r="AB128" s="29" t="n"/>
      <c r="AC128" s="31" t="n"/>
    </row>
    <row r="129">
      <c r="A129" s="29" t="n"/>
      <c r="B129" s="30" t="n"/>
      <c r="C129" s="31" t="n"/>
      <c r="D129" s="29" t="n"/>
      <c r="E129" s="29" t="n"/>
      <c r="F129" s="31" t="n"/>
      <c r="G129" s="31" t="n"/>
      <c r="H129" s="29" t="n"/>
      <c r="I129" s="32">
        <f>IF(OR(NOT(AND($A129&lt;&gt;"",OR($H129="",$H129="Active"))),$F129=""),"",INT((TODAY()-$F129+280)/7)&amp;"+"&amp;MOD(TODAY()-$F129+280,7))</f>
        <v/>
      </c>
      <c r="J129" s="32">
        <f>IF(NOT(AND($A129&lt;&gt;"",OR($H129="",$H129="Active"))),"",IF($F129="",0,SUMPRODUCT(($N129:$U129="")*(($F129-(40-VALUE(LEFT($N$4:$U$4,2)))*7)&lt;TODAY())))+COUNTIF($N129:$U129,"DNA")+COUNTIF($V129:$Z129,"&lt;"&amp;TODAY()))</f>
        <v/>
      </c>
      <c r="K129" s="32">
        <f>IF(NOT(AND($A129&lt;&gt;"",OR($H129="",$H129="Active"))),"",IF($F129="",0,SUMPRODUCT(($N129:$U129="")*(($F129-(40-VALUE(LEFT($N$4:$U$4,2)))*7)&gt;=TODAY())*(($F129-(40-VALUE(LEFT($N$4:$U$4,2)))*7)&lt;=TODAY()+7)))+COUNTIFS($V129:$Z129,"&gt;="&amp;TODAY(),$V129:$Z129,"&lt;="&amp;TODAY()+7))</f>
        <v/>
      </c>
      <c r="L129" s="32">
        <f>IF(OR(NOT(AND($A129&lt;&gt;"",OR($H129="",$H129="Active"))),$F129=""),"",IF(N129="",N$4,IF(O129="",O$4,IF(P129="",P$4,IF(Q129="",Q$4,IF(R129="",R$4,IF(S129="",S$4,IF(T129="",T$4,IF(U129="",U$4,"All done")))))))))</f>
        <v/>
      </c>
      <c r="M129" s="33">
        <f>IF(OR($L129="",$L129="All done"),"",($F129-(40-VALUE(LEFT($L129,2)))*7))</f>
        <v/>
      </c>
      <c r="N129" s="31" t="n"/>
      <c r="O129" s="31" t="n"/>
      <c r="P129" s="31" t="n"/>
      <c r="Q129" s="31" t="n"/>
      <c r="R129" s="31" t="n"/>
      <c r="S129" s="31" t="n"/>
      <c r="T129" s="31" t="n"/>
      <c r="U129" s="31" t="n"/>
      <c r="V129" s="31" t="n"/>
      <c r="W129" s="31" t="n"/>
      <c r="X129" s="31" t="n"/>
      <c r="Y129" s="31" t="n"/>
      <c r="Z129" s="31" t="n"/>
      <c r="AA129" s="34" t="n"/>
      <c r="AB129" s="29" t="n"/>
      <c r="AC129" s="31" t="n"/>
    </row>
    <row r="130">
      <c r="A130" s="29" t="n"/>
      <c r="B130" s="30" t="n"/>
      <c r="C130" s="31" t="n"/>
      <c r="D130" s="29" t="n"/>
      <c r="E130" s="29" t="n"/>
      <c r="F130" s="31" t="n"/>
      <c r="G130" s="31" t="n"/>
      <c r="H130" s="29" t="n"/>
      <c r="I130" s="32">
        <f>IF(OR(NOT(AND($A130&lt;&gt;"",OR($H130="",$H130="Active"))),$F130=""),"",INT((TODAY()-$F130+280)/7)&amp;"+"&amp;MOD(TODAY()-$F130+280,7))</f>
        <v/>
      </c>
      <c r="J130" s="32">
        <f>IF(NOT(AND($A130&lt;&gt;"",OR($H130="",$H130="Active"))),"",IF($F130="",0,SUMPRODUCT(($N130:$U130="")*(($F130-(40-VALUE(LEFT($N$4:$U$4,2)))*7)&lt;TODAY())))+COUNTIF($N130:$U130,"DNA")+COUNTIF($V130:$Z130,"&lt;"&amp;TODAY()))</f>
        <v/>
      </c>
      <c r="K130" s="32">
        <f>IF(NOT(AND($A130&lt;&gt;"",OR($H130="",$H130="Active"))),"",IF($F130="",0,SUMPRODUCT(($N130:$U130="")*(($F130-(40-VALUE(LEFT($N$4:$U$4,2)))*7)&gt;=TODAY())*(($F130-(40-VALUE(LEFT($N$4:$U$4,2)))*7)&lt;=TODAY()+7)))+COUNTIFS($V130:$Z130,"&gt;="&amp;TODAY(),$V130:$Z130,"&lt;="&amp;TODAY()+7))</f>
        <v/>
      </c>
      <c r="L130" s="32">
        <f>IF(OR(NOT(AND($A130&lt;&gt;"",OR($H130="",$H130="Active"))),$F130=""),"",IF(N130="",N$4,IF(O130="",O$4,IF(P130="",P$4,IF(Q130="",Q$4,IF(R130="",R$4,IF(S130="",S$4,IF(T130="",T$4,IF(U130="",U$4,"All done")))))))))</f>
        <v/>
      </c>
      <c r="M130" s="33">
        <f>IF(OR($L130="",$L130="All done"),"",($F130-(40-VALUE(LEFT($L130,2)))*7))</f>
        <v/>
      </c>
      <c r="N130" s="31" t="n"/>
      <c r="O130" s="31" t="n"/>
      <c r="P130" s="31" t="n"/>
      <c r="Q130" s="31" t="n"/>
      <c r="R130" s="31" t="n"/>
      <c r="S130" s="31" t="n"/>
      <c r="T130" s="31" t="n"/>
      <c r="U130" s="31" t="n"/>
      <c r="V130" s="31" t="n"/>
      <c r="W130" s="31" t="n"/>
      <c r="X130" s="31" t="n"/>
      <c r="Y130" s="31" t="n"/>
      <c r="Z130" s="31" t="n"/>
      <c r="AA130" s="34" t="n"/>
      <c r="AB130" s="29" t="n"/>
      <c r="AC130" s="31" t="n"/>
    </row>
    <row r="131">
      <c r="A131" s="29" t="n"/>
      <c r="B131" s="30" t="n"/>
      <c r="C131" s="31" t="n"/>
      <c r="D131" s="29" t="n"/>
      <c r="E131" s="29" t="n"/>
      <c r="F131" s="31" t="n"/>
      <c r="G131" s="31" t="n"/>
      <c r="H131" s="29" t="n"/>
      <c r="I131" s="32">
        <f>IF(OR(NOT(AND($A131&lt;&gt;"",OR($H131="",$H131="Active"))),$F131=""),"",INT((TODAY()-$F131+280)/7)&amp;"+"&amp;MOD(TODAY()-$F131+280,7))</f>
        <v/>
      </c>
      <c r="J131" s="32">
        <f>IF(NOT(AND($A131&lt;&gt;"",OR($H131="",$H131="Active"))),"",IF($F131="",0,SUMPRODUCT(($N131:$U131="")*(($F131-(40-VALUE(LEFT($N$4:$U$4,2)))*7)&lt;TODAY())))+COUNTIF($N131:$U131,"DNA")+COUNTIF($V131:$Z131,"&lt;"&amp;TODAY()))</f>
        <v/>
      </c>
      <c r="K131" s="32">
        <f>IF(NOT(AND($A131&lt;&gt;"",OR($H131="",$H131="Active"))),"",IF($F131="",0,SUMPRODUCT(($N131:$U131="")*(($F131-(40-VALUE(LEFT($N$4:$U$4,2)))*7)&gt;=TODAY())*(($F131-(40-VALUE(LEFT($N$4:$U$4,2)))*7)&lt;=TODAY()+7)))+COUNTIFS($V131:$Z131,"&gt;="&amp;TODAY(),$V131:$Z131,"&lt;="&amp;TODAY()+7))</f>
        <v/>
      </c>
      <c r="L131" s="32">
        <f>IF(OR(NOT(AND($A131&lt;&gt;"",OR($H131="",$H131="Active"))),$F131=""),"",IF(N131="",N$4,IF(O131="",O$4,IF(P131="",P$4,IF(Q131="",Q$4,IF(R131="",R$4,IF(S131="",S$4,IF(T131="",T$4,IF(U131="",U$4,"All done")))))))))</f>
        <v/>
      </c>
      <c r="M131" s="33">
        <f>IF(OR($L131="",$L131="All done"),"",($F131-(40-VALUE(LEFT($L131,2)))*7))</f>
        <v/>
      </c>
      <c r="N131" s="31" t="n"/>
      <c r="O131" s="31" t="n"/>
      <c r="P131" s="31" t="n"/>
      <c r="Q131" s="31" t="n"/>
      <c r="R131" s="31" t="n"/>
      <c r="S131" s="31" t="n"/>
      <c r="T131" s="31" t="n"/>
      <c r="U131" s="31" t="n"/>
      <c r="V131" s="31" t="n"/>
      <c r="W131" s="31" t="n"/>
      <c r="X131" s="31" t="n"/>
      <c r="Y131" s="31" t="n"/>
      <c r="Z131" s="31" t="n"/>
      <c r="AA131" s="34" t="n"/>
      <c r="AB131" s="29" t="n"/>
      <c r="AC131" s="31" t="n"/>
    </row>
    <row r="132">
      <c r="A132" s="29" t="n"/>
      <c r="B132" s="30" t="n"/>
      <c r="C132" s="31" t="n"/>
      <c r="D132" s="29" t="n"/>
      <c r="E132" s="29" t="n"/>
      <c r="F132" s="31" t="n"/>
      <c r="G132" s="31" t="n"/>
      <c r="H132" s="29" t="n"/>
      <c r="I132" s="32">
        <f>IF(OR(NOT(AND($A132&lt;&gt;"",OR($H132="",$H132="Active"))),$F132=""),"",INT((TODAY()-$F132+280)/7)&amp;"+"&amp;MOD(TODAY()-$F132+280,7))</f>
        <v/>
      </c>
      <c r="J132" s="32">
        <f>IF(NOT(AND($A132&lt;&gt;"",OR($H132="",$H132="Active"))),"",IF($F132="",0,SUMPRODUCT(($N132:$U132="")*(($F132-(40-VALUE(LEFT($N$4:$U$4,2)))*7)&lt;TODAY())))+COUNTIF($N132:$U132,"DNA")+COUNTIF($V132:$Z132,"&lt;"&amp;TODAY()))</f>
        <v/>
      </c>
      <c r="K132" s="32">
        <f>IF(NOT(AND($A132&lt;&gt;"",OR($H132="",$H132="Active"))),"",IF($F132="",0,SUMPRODUCT(($N132:$U132="")*(($F132-(40-VALUE(LEFT($N$4:$U$4,2)))*7)&gt;=TODAY())*(($F132-(40-VALUE(LEFT($N$4:$U$4,2)))*7)&lt;=TODAY()+7)))+COUNTIFS($V132:$Z132,"&gt;="&amp;TODAY(),$V132:$Z132,"&lt;="&amp;TODAY()+7))</f>
        <v/>
      </c>
      <c r="L132" s="32">
        <f>IF(OR(NOT(AND($A132&lt;&gt;"",OR($H132="",$H132="Active"))),$F132=""),"",IF(N132="",N$4,IF(O132="",O$4,IF(P132="",P$4,IF(Q132="",Q$4,IF(R132="",R$4,IF(S132="",S$4,IF(T132="",T$4,IF(U132="",U$4,"All done")))))))))</f>
        <v/>
      </c>
      <c r="M132" s="33">
        <f>IF(OR($L132="",$L132="All done"),"",($F132-(40-VALUE(LEFT($L132,2)))*7))</f>
        <v/>
      </c>
      <c r="N132" s="31" t="n"/>
      <c r="O132" s="31" t="n"/>
      <c r="P132" s="31" t="n"/>
      <c r="Q132" s="31" t="n"/>
      <c r="R132" s="31" t="n"/>
      <c r="S132" s="31" t="n"/>
      <c r="T132" s="31" t="n"/>
      <c r="U132" s="31" t="n"/>
      <c r="V132" s="31" t="n"/>
      <c r="W132" s="31" t="n"/>
      <c r="X132" s="31" t="n"/>
      <c r="Y132" s="31" t="n"/>
      <c r="Z132" s="31" t="n"/>
      <c r="AA132" s="34" t="n"/>
      <c r="AB132" s="29" t="n"/>
      <c r="AC132" s="31" t="n"/>
    </row>
    <row r="133">
      <c r="A133" s="29" t="n"/>
      <c r="B133" s="30" t="n"/>
      <c r="C133" s="31" t="n"/>
      <c r="D133" s="29" t="n"/>
      <c r="E133" s="29" t="n"/>
      <c r="F133" s="31" t="n"/>
      <c r="G133" s="31" t="n"/>
      <c r="H133" s="29" t="n"/>
      <c r="I133" s="32">
        <f>IF(OR(NOT(AND($A133&lt;&gt;"",OR($H133="",$H133="Active"))),$F133=""),"",INT((TODAY()-$F133+280)/7)&amp;"+"&amp;MOD(TODAY()-$F133+280,7))</f>
        <v/>
      </c>
      <c r="J133" s="32">
        <f>IF(NOT(AND($A133&lt;&gt;"",OR($H133="",$H133="Active"))),"",IF($F133="",0,SUMPRODUCT(($N133:$U133="")*(($F133-(40-VALUE(LEFT($N$4:$U$4,2)))*7)&lt;TODAY())))+COUNTIF($N133:$U133,"DNA")+COUNTIF($V133:$Z133,"&lt;"&amp;TODAY()))</f>
        <v/>
      </c>
      <c r="K133" s="32">
        <f>IF(NOT(AND($A133&lt;&gt;"",OR($H133="",$H133="Active"))),"",IF($F133="",0,SUMPRODUCT(($N133:$U133="")*(($F133-(40-VALUE(LEFT($N$4:$U$4,2)))*7)&gt;=TODAY())*(($F133-(40-VALUE(LEFT($N$4:$U$4,2)))*7)&lt;=TODAY()+7)))+COUNTIFS($V133:$Z133,"&gt;="&amp;TODAY(),$V133:$Z133,"&lt;="&amp;TODAY()+7))</f>
        <v/>
      </c>
      <c r="L133" s="32">
        <f>IF(OR(NOT(AND($A133&lt;&gt;"",OR($H133="",$H133="Active"))),$F133=""),"",IF(N133="",N$4,IF(O133="",O$4,IF(P133="",P$4,IF(Q133="",Q$4,IF(R133="",R$4,IF(S133="",S$4,IF(T133="",T$4,IF(U133="",U$4,"All done")))))))))</f>
        <v/>
      </c>
      <c r="M133" s="33">
        <f>IF(OR($L133="",$L133="All done"),"",($F133-(40-VALUE(LEFT($L133,2)))*7))</f>
        <v/>
      </c>
      <c r="N133" s="31" t="n"/>
      <c r="O133" s="31" t="n"/>
      <c r="P133" s="31" t="n"/>
      <c r="Q133" s="31" t="n"/>
      <c r="R133" s="31" t="n"/>
      <c r="S133" s="31" t="n"/>
      <c r="T133" s="31" t="n"/>
      <c r="U133" s="31" t="n"/>
      <c r="V133" s="31" t="n"/>
      <c r="W133" s="31" t="n"/>
      <c r="X133" s="31" t="n"/>
      <c r="Y133" s="31" t="n"/>
      <c r="Z133" s="31" t="n"/>
      <c r="AA133" s="34" t="n"/>
      <c r="AB133" s="29" t="n"/>
      <c r="AC133" s="31" t="n"/>
    </row>
    <row r="134">
      <c r="A134" s="29" t="n"/>
      <c r="B134" s="30" t="n"/>
      <c r="C134" s="31" t="n"/>
      <c r="D134" s="29" t="n"/>
      <c r="E134" s="29" t="n"/>
      <c r="F134" s="31" t="n"/>
      <c r="G134" s="31" t="n"/>
      <c r="H134" s="29" t="n"/>
      <c r="I134" s="32">
        <f>IF(OR(NOT(AND($A134&lt;&gt;"",OR($H134="",$H134="Active"))),$F134=""),"",INT((TODAY()-$F134+280)/7)&amp;"+"&amp;MOD(TODAY()-$F134+280,7))</f>
        <v/>
      </c>
      <c r="J134" s="32">
        <f>IF(NOT(AND($A134&lt;&gt;"",OR($H134="",$H134="Active"))),"",IF($F134="",0,SUMPRODUCT(($N134:$U134="")*(($F134-(40-VALUE(LEFT($N$4:$U$4,2)))*7)&lt;TODAY())))+COUNTIF($N134:$U134,"DNA")+COUNTIF($V134:$Z134,"&lt;"&amp;TODAY()))</f>
        <v/>
      </c>
      <c r="K134" s="32">
        <f>IF(NOT(AND($A134&lt;&gt;"",OR($H134="",$H134="Active"))),"",IF($F134="",0,SUMPRODUCT(($N134:$U134="")*(($F134-(40-VALUE(LEFT($N$4:$U$4,2)))*7)&gt;=TODAY())*(($F134-(40-VALUE(LEFT($N$4:$U$4,2)))*7)&lt;=TODAY()+7)))+COUNTIFS($V134:$Z134,"&gt;="&amp;TODAY(),$V134:$Z134,"&lt;="&amp;TODAY()+7))</f>
        <v/>
      </c>
      <c r="L134" s="32">
        <f>IF(OR(NOT(AND($A134&lt;&gt;"",OR($H134="",$H134="Active"))),$F134=""),"",IF(N134="",N$4,IF(O134="",O$4,IF(P134="",P$4,IF(Q134="",Q$4,IF(R134="",R$4,IF(S134="",S$4,IF(T134="",T$4,IF(U134="",U$4,"All done")))))))))</f>
        <v/>
      </c>
      <c r="M134" s="33">
        <f>IF(OR($L134="",$L134="All done"),"",($F134-(40-VALUE(LEFT($L134,2)))*7))</f>
        <v/>
      </c>
      <c r="N134" s="31" t="n"/>
      <c r="O134" s="31" t="n"/>
      <c r="P134" s="31" t="n"/>
      <c r="Q134" s="31" t="n"/>
      <c r="R134" s="31" t="n"/>
      <c r="S134" s="31" t="n"/>
      <c r="T134" s="31" t="n"/>
      <c r="U134" s="31" t="n"/>
      <c r="V134" s="31" t="n"/>
      <c r="W134" s="31" t="n"/>
      <c r="X134" s="31" t="n"/>
      <c r="Y134" s="31" t="n"/>
      <c r="Z134" s="31" t="n"/>
      <c r="AA134" s="34" t="n"/>
      <c r="AB134" s="29" t="n"/>
      <c r="AC134" s="31" t="n"/>
    </row>
    <row r="135">
      <c r="A135" s="29" t="n"/>
      <c r="B135" s="30" t="n"/>
      <c r="C135" s="31" t="n"/>
      <c r="D135" s="29" t="n"/>
      <c r="E135" s="29" t="n"/>
      <c r="F135" s="31" t="n"/>
      <c r="G135" s="31" t="n"/>
      <c r="H135" s="29" t="n"/>
      <c r="I135" s="32">
        <f>IF(OR(NOT(AND($A135&lt;&gt;"",OR($H135="",$H135="Active"))),$F135=""),"",INT((TODAY()-$F135+280)/7)&amp;"+"&amp;MOD(TODAY()-$F135+280,7))</f>
        <v/>
      </c>
      <c r="J135" s="32">
        <f>IF(NOT(AND($A135&lt;&gt;"",OR($H135="",$H135="Active"))),"",IF($F135="",0,SUMPRODUCT(($N135:$U135="")*(($F135-(40-VALUE(LEFT($N$4:$U$4,2)))*7)&lt;TODAY())))+COUNTIF($N135:$U135,"DNA")+COUNTIF($V135:$Z135,"&lt;"&amp;TODAY()))</f>
        <v/>
      </c>
      <c r="K135" s="32">
        <f>IF(NOT(AND($A135&lt;&gt;"",OR($H135="",$H135="Active"))),"",IF($F135="",0,SUMPRODUCT(($N135:$U135="")*(($F135-(40-VALUE(LEFT($N$4:$U$4,2)))*7)&gt;=TODAY())*(($F135-(40-VALUE(LEFT($N$4:$U$4,2)))*7)&lt;=TODAY()+7)))+COUNTIFS($V135:$Z135,"&gt;="&amp;TODAY(),$V135:$Z135,"&lt;="&amp;TODAY()+7))</f>
        <v/>
      </c>
      <c r="L135" s="32">
        <f>IF(OR(NOT(AND($A135&lt;&gt;"",OR($H135="",$H135="Active"))),$F135=""),"",IF(N135="",N$4,IF(O135="",O$4,IF(P135="",P$4,IF(Q135="",Q$4,IF(R135="",R$4,IF(S135="",S$4,IF(T135="",T$4,IF(U135="",U$4,"All done")))))))))</f>
        <v/>
      </c>
      <c r="M135" s="33">
        <f>IF(OR($L135="",$L135="All done"),"",($F135-(40-VALUE(LEFT($L135,2)))*7))</f>
        <v/>
      </c>
      <c r="N135" s="31" t="n"/>
      <c r="O135" s="31" t="n"/>
      <c r="P135" s="31" t="n"/>
      <c r="Q135" s="31" t="n"/>
      <c r="R135" s="31" t="n"/>
      <c r="S135" s="31" t="n"/>
      <c r="T135" s="31" t="n"/>
      <c r="U135" s="31" t="n"/>
      <c r="V135" s="31" t="n"/>
      <c r="W135" s="31" t="n"/>
      <c r="X135" s="31" t="n"/>
      <c r="Y135" s="31" t="n"/>
      <c r="Z135" s="31" t="n"/>
      <c r="AA135" s="34" t="n"/>
      <c r="AB135" s="29" t="n"/>
      <c r="AC135" s="31" t="n"/>
    </row>
    <row r="136">
      <c r="A136" s="29" t="n"/>
      <c r="B136" s="30" t="n"/>
      <c r="C136" s="31" t="n"/>
      <c r="D136" s="29" t="n"/>
      <c r="E136" s="29" t="n"/>
      <c r="F136" s="31" t="n"/>
      <c r="G136" s="31" t="n"/>
      <c r="H136" s="29" t="n"/>
      <c r="I136" s="32">
        <f>IF(OR(NOT(AND($A136&lt;&gt;"",OR($H136="",$H136="Active"))),$F136=""),"",INT((TODAY()-$F136+280)/7)&amp;"+"&amp;MOD(TODAY()-$F136+280,7))</f>
        <v/>
      </c>
      <c r="J136" s="32">
        <f>IF(NOT(AND($A136&lt;&gt;"",OR($H136="",$H136="Active"))),"",IF($F136="",0,SUMPRODUCT(($N136:$U136="")*(($F136-(40-VALUE(LEFT($N$4:$U$4,2)))*7)&lt;TODAY())))+COUNTIF($N136:$U136,"DNA")+COUNTIF($V136:$Z136,"&lt;"&amp;TODAY()))</f>
        <v/>
      </c>
      <c r="K136" s="32">
        <f>IF(NOT(AND($A136&lt;&gt;"",OR($H136="",$H136="Active"))),"",IF($F136="",0,SUMPRODUCT(($N136:$U136="")*(($F136-(40-VALUE(LEFT($N$4:$U$4,2)))*7)&gt;=TODAY())*(($F136-(40-VALUE(LEFT($N$4:$U$4,2)))*7)&lt;=TODAY()+7)))+COUNTIFS($V136:$Z136,"&gt;="&amp;TODAY(),$V136:$Z136,"&lt;="&amp;TODAY()+7))</f>
        <v/>
      </c>
      <c r="L136" s="32">
        <f>IF(OR(NOT(AND($A136&lt;&gt;"",OR($H136="",$H136="Active"))),$F136=""),"",IF(N136="",N$4,IF(O136="",O$4,IF(P136="",P$4,IF(Q136="",Q$4,IF(R136="",R$4,IF(S136="",S$4,IF(T136="",T$4,IF(U136="",U$4,"All done")))))))))</f>
        <v/>
      </c>
      <c r="M136" s="33">
        <f>IF(OR($L136="",$L136="All done"),"",($F136-(40-VALUE(LEFT($L136,2)))*7))</f>
        <v/>
      </c>
      <c r="N136" s="31" t="n"/>
      <c r="O136" s="31" t="n"/>
      <c r="P136" s="31" t="n"/>
      <c r="Q136" s="31" t="n"/>
      <c r="R136" s="31" t="n"/>
      <c r="S136" s="31" t="n"/>
      <c r="T136" s="31" t="n"/>
      <c r="U136" s="31" t="n"/>
      <c r="V136" s="31" t="n"/>
      <c r="W136" s="31" t="n"/>
      <c r="X136" s="31" t="n"/>
      <c r="Y136" s="31" t="n"/>
      <c r="Z136" s="31" t="n"/>
      <c r="AA136" s="34" t="n"/>
      <c r="AB136" s="29" t="n"/>
      <c r="AC136" s="31" t="n"/>
    </row>
    <row r="137">
      <c r="A137" s="29" t="n"/>
      <c r="B137" s="30" t="n"/>
      <c r="C137" s="31" t="n"/>
      <c r="D137" s="29" t="n"/>
      <c r="E137" s="29" t="n"/>
      <c r="F137" s="31" t="n"/>
      <c r="G137" s="31" t="n"/>
      <c r="H137" s="29" t="n"/>
      <c r="I137" s="32">
        <f>IF(OR(NOT(AND($A137&lt;&gt;"",OR($H137="",$H137="Active"))),$F137=""),"",INT((TODAY()-$F137+280)/7)&amp;"+"&amp;MOD(TODAY()-$F137+280,7))</f>
        <v/>
      </c>
      <c r="J137" s="32">
        <f>IF(NOT(AND($A137&lt;&gt;"",OR($H137="",$H137="Active"))),"",IF($F137="",0,SUMPRODUCT(($N137:$U137="")*(($F137-(40-VALUE(LEFT($N$4:$U$4,2)))*7)&lt;TODAY())))+COUNTIF($N137:$U137,"DNA")+COUNTIF($V137:$Z137,"&lt;"&amp;TODAY()))</f>
        <v/>
      </c>
      <c r="K137" s="32">
        <f>IF(NOT(AND($A137&lt;&gt;"",OR($H137="",$H137="Active"))),"",IF($F137="",0,SUMPRODUCT(($N137:$U137="")*(($F137-(40-VALUE(LEFT($N$4:$U$4,2)))*7)&gt;=TODAY())*(($F137-(40-VALUE(LEFT($N$4:$U$4,2)))*7)&lt;=TODAY()+7)))+COUNTIFS($V137:$Z137,"&gt;="&amp;TODAY(),$V137:$Z137,"&lt;="&amp;TODAY()+7))</f>
        <v/>
      </c>
      <c r="L137" s="32">
        <f>IF(OR(NOT(AND($A137&lt;&gt;"",OR($H137="",$H137="Active"))),$F137=""),"",IF(N137="",N$4,IF(O137="",O$4,IF(P137="",P$4,IF(Q137="",Q$4,IF(R137="",R$4,IF(S137="",S$4,IF(T137="",T$4,IF(U137="",U$4,"All done")))))))))</f>
        <v/>
      </c>
      <c r="M137" s="33">
        <f>IF(OR($L137="",$L137="All done"),"",($F137-(40-VALUE(LEFT($L137,2)))*7))</f>
        <v/>
      </c>
      <c r="N137" s="31" t="n"/>
      <c r="O137" s="31" t="n"/>
      <c r="P137" s="31" t="n"/>
      <c r="Q137" s="31" t="n"/>
      <c r="R137" s="31" t="n"/>
      <c r="S137" s="31" t="n"/>
      <c r="T137" s="31" t="n"/>
      <c r="U137" s="31" t="n"/>
      <c r="V137" s="31" t="n"/>
      <c r="W137" s="31" t="n"/>
      <c r="X137" s="31" t="n"/>
      <c r="Y137" s="31" t="n"/>
      <c r="Z137" s="31" t="n"/>
      <c r="AA137" s="34" t="n"/>
      <c r="AB137" s="29" t="n"/>
      <c r="AC137" s="31" t="n"/>
    </row>
    <row r="138">
      <c r="A138" s="29" t="n"/>
      <c r="B138" s="30" t="n"/>
      <c r="C138" s="31" t="n"/>
      <c r="D138" s="29" t="n"/>
      <c r="E138" s="29" t="n"/>
      <c r="F138" s="31" t="n"/>
      <c r="G138" s="31" t="n"/>
      <c r="H138" s="29" t="n"/>
      <c r="I138" s="32">
        <f>IF(OR(NOT(AND($A138&lt;&gt;"",OR($H138="",$H138="Active"))),$F138=""),"",INT((TODAY()-$F138+280)/7)&amp;"+"&amp;MOD(TODAY()-$F138+280,7))</f>
        <v/>
      </c>
      <c r="J138" s="32">
        <f>IF(NOT(AND($A138&lt;&gt;"",OR($H138="",$H138="Active"))),"",IF($F138="",0,SUMPRODUCT(($N138:$U138="")*(($F138-(40-VALUE(LEFT($N$4:$U$4,2)))*7)&lt;TODAY())))+COUNTIF($N138:$U138,"DNA")+COUNTIF($V138:$Z138,"&lt;"&amp;TODAY()))</f>
        <v/>
      </c>
      <c r="K138" s="32">
        <f>IF(NOT(AND($A138&lt;&gt;"",OR($H138="",$H138="Active"))),"",IF($F138="",0,SUMPRODUCT(($N138:$U138="")*(($F138-(40-VALUE(LEFT($N$4:$U$4,2)))*7)&gt;=TODAY())*(($F138-(40-VALUE(LEFT($N$4:$U$4,2)))*7)&lt;=TODAY()+7)))+COUNTIFS($V138:$Z138,"&gt;="&amp;TODAY(),$V138:$Z138,"&lt;="&amp;TODAY()+7))</f>
        <v/>
      </c>
      <c r="L138" s="32">
        <f>IF(OR(NOT(AND($A138&lt;&gt;"",OR($H138="",$H138="Active"))),$F138=""),"",IF(N138="",N$4,IF(O138="",O$4,IF(P138="",P$4,IF(Q138="",Q$4,IF(R138="",R$4,IF(S138="",S$4,IF(T138="",T$4,IF(U138="",U$4,"All done")))))))))</f>
        <v/>
      </c>
      <c r="M138" s="33">
        <f>IF(OR($L138="",$L138="All done"),"",($F138-(40-VALUE(LEFT($L138,2)))*7))</f>
        <v/>
      </c>
      <c r="N138" s="31" t="n"/>
      <c r="O138" s="31" t="n"/>
      <c r="P138" s="31" t="n"/>
      <c r="Q138" s="31" t="n"/>
      <c r="R138" s="31" t="n"/>
      <c r="S138" s="31" t="n"/>
      <c r="T138" s="31" t="n"/>
      <c r="U138" s="31" t="n"/>
      <c r="V138" s="31" t="n"/>
      <c r="W138" s="31" t="n"/>
      <c r="X138" s="31" t="n"/>
      <c r="Y138" s="31" t="n"/>
      <c r="Z138" s="31" t="n"/>
      <c r="AA138" s="34" t="n"/>
      <c r="AB138" s="29" t="n"/>
      <c r="AC138" s="31" t="n"/>
    </row>
    <row r="139">
      <c r="A139" s="29" t="n"/>
      <c r="B139" s="30" t="n"/>
      <c r="C139" s="31" t="n"/>
      <c r="D139" s="29" t="n"/>
      <c r="E139" s="29" t="n"/>
      <c r="F139" s="31" t="n"/>
      <c r="G139" s="31" t="n"/>
      <c r="H139" s="29" t="n"/>
      <c r="I139" s="32">
        <f>IF(OR(NOT(AND($A139&lt;&gt;"",OR($H139="",$H139="Active"))),$F139=""),"",INT((TODAY()-$F139+280)/7)&amp;"+"&amp;MOD(TODAY()-$F139+280,7))</f>
        <v/>
      </c>
      <c r="J139" s="32">
        <f>IF(NOT(AND($A139&lt;&gt;"",OR($H139="",$H139="Active"))),"",IF($F139="",0,SUMPRODUCT(($N139:$U139="")*(($F139-(40-VALUE(LEFT($N$4:$U$4,2)))*7)&lt;TODAY())))+COUNTIF($N139:$U139,"DNA")+COUNTIF($V139:$Z139,"&lt;"&amp;TODAY()))</f>
        <v/>
      </c>
      <c r="K139" s="32">
        <f>IF(NOT(AND($A139&lt;&gt;"",OR($H139="",$H139="Active"))),"",IF($F139="",0,SUMPRODUCT(($N139:$U139="")*(($F139-(40-VALUE(LEFT($N$4:$U$4,2)))*7)&gt;=TODAY())*(($F139-(40-VALUE(LEFT($N$4:$U$4,2)))*7)&lt;=TODAY()+7)))+COUNTIFS($V139:$Z139,"&gt;="&amp;TODAY(),$V139:$Z139,"&lt;="&amp;TODAY()+7))</f>
        <v/>
      </c>
      <c r="L139" s="32">
        <f>IF(OR(NOT(AND($A139&lt;&gt;"",OR($H139="",$H139="Active"))),$F139=""),"",IF(N139="",N$4,IF(O139="",O$4,IF(P139="",P$4,IF(Q139="",Q$4,IF(R139="",R$4,IF(S139="",S$4,IF(T139="",T$4,IF(U139="",U$4,"All done")))))))))</f>
        <v/>
      </c>
      <c r="M139" s="33">
        <f>IF(OR($L139="",$L139="All done"),"",($F139-(40-VALUE(LEFT($L139,2)))*7))</f>
        <v/>
      </c>
      <c r="N139" s="31" t="n"/>
      <c r="O139" s="31" t="n"/>
      <c r="P139" s="31" t="n"/>
      <c r="Q139" s="31" t="n"/>
      <c r="R139" s="31" t="n"/>
      <c r="S139" s="31" t="n"/>
      <c r="T139" s="31" t="n"/>
      <c r="U139" s="31" t="n"/>
      <c r="V139" s="31" t="n"/>
      <c r="W139" s="31" t="n"/>
      <c r="X139" s="31" t="n"/>
      <c r="Y139" s="31" t="n"/>
      <c r="Z139" s="31" t="n"/>
      <c r="AA139" s="34" t="n"/>
      <c r="AB139" s="29" t="n"/>
      <c r="AC139" s="31" t="n"/>
    </row>
    <row r="140">
      <c r="A140" s="29" t="n"/>
      <c r="B140" s="30" t="n"/>
      <c r="C140" s="31" t="n"/>
      <c r="D140" s="29" t="n"/>
      <c r="E140" s="29" t="n"/>
      <c r="F140" s="31" t="n"/>
      <c r="G140" s="31" t="n"/>
      <c r="H140" s="29" t="n"/>
      <c r="I140" s="32">
        <f>IF(OR(NOT(AND($A140&lt;&gt;"",OR($H140="",$H140="Active"))),$F140=""),"",INT((TODAY()-$F140+280)/7)&amp;"+"&amp;MOD(TODAY()-$F140+280,7))</f>
        <v/>
      </c>
      <c r="J140" s="32">
        <f>IF(NOT(AND($A140&lt;&gt;"",OR($H140="",$H140="Active"))),"",IF($F140="",0,SUMPRODUCT(($N140:$U140="")*(($F140-(40-VALUE(LEFT($N$4:$U$4,2)))*7)&lt;TODAY())))+COUNTIF($N140:$U140,"DNA")+COUNTIF($V140:$Z140,"&lt;"&amp;TODAY()))</f>
        <v/>
      </c>
      <c r="K140" s="32">
        <f>IF(NOT(AND($A140&lt;&gt;"",OR($H140="",$H140="Active"))),"",IF($F140="",0,SUMPRODUCT(($N140:$U140="")*(($F140-(40-VALUE(LEFT($N$4:$U$4,2)))*7)&gt;=TODAY())*(($F140-(40-VALUE(LEFT($N$4:$U$4,2)))*7)&lt;=TODAY()+7)))+COUNTIFS($V140:$Z140,"&gt;="&amp;TODAY(),$V140:$Z140,"&lt;="&amp;TODAY()+7))</f>
        <v/>
      </c>
      <c r="L140" s="32">
        <f>IF(OR(NOT(AND($A140&lt;&gt;"",OR($H140="",$H140="Active"))),$F140=""),"",IF(N140="",N$4,IF(O140="",O$4,IF(P140="",P$4,IF(Q140="",Q$4,IF(R140="",R$4,IF(S140="",S$4,IF(T140="",T$4,IF(U140="",U$4,"All done")))))))))</f>
        <v/>
      </c>
      <c r="M140" s="33">
        <f>IF(OR($L140="",$L140="All done"),"",($F140-(40-VALUE(LEFT($L140,2)))*7))</f>
        <v/>
      </c>
      <c r="N140" s="31" t="n"/>
      <c r="O140" s="31" t="n"/>
      <c r="P140" s="31" t="n"/>
      <c r="Q140" s="31" t="n"/>
      <c r="R140" s="31" t="n"/>
      <c r="S140" s="31" t="n"/>
      <c r="T140" s="31" t="n"/>
      <c r="U140" s="31" t="n"/>
      <c r="V140" s="31" t="n"/>
      <c r="W140" s="31" t="n"/>
      <c r="X140" s="31" t="n"/>
      <c r="Y140" s="31" t="n"/>
      <c r="Z140" s="31" t="n"/>
      <c r="AA140" s="34" t="n"/>
      <c r="AB140" s="29" t="n"/>
      <c r="AC140" s="31" t="n"/>
    </row>
    <row r="141">
      <c r="A141" s="29" t="n"/>
      <c r="B141" s="30" t="n"/>
      <c r="C141" s="31" t="n"/>
      <c r="D141" s="29" t="n"/>
      <c r="E141" s="29" t="n"/>
      <c r="F141" s="31" t="n"/>
      <c r="G141" s="31" t="n"/>
      <c r="H141" s="29" t="n"/>
      <c r="I141" s="32">
        <f>IF(OR(NOT(AND($A141&lt;&gt;"",OR($H141="",$H141="Active"))),$F141=""),"",INT((TODAY()-$F141+280)/7)&amp;"+"&amp;MOD(TODAY()-$F141+280,7))</f>
        <v/>
      </c>
      <c r="J141" s="32">
        <f>IF(NOT(AND($A141&lt;&gt;"",OR($H141="",$H141="Active"))),"",IF($F141="",0,SUMPRODUCT(($N141:$U141="")*(($F141-(40-VALUE(LEFT($N$4:$U$4,2)))*7)&lt;TODAY())))+COUNTIF($N141:$U141,"DNA")+COUNTIF($V141:$Z141,"&lt;"&amp;TODAY()))</f>
        <v/>
      </c>
      <c r="K141" s="32">
        <f>IF(NOT(AND($A141&lt;&gt;"",OR($H141="",$H141="Active"))),"",IF($F141="",0,SUMPRODUCT(($N141:$U141="")*(($F141-(40-VALUE(LEFT($N$4:$U$4,2)))*7)&gt;=TODAY())*(($F141-(40-VALUE(LEFT($N$4:$U$4,2)))*7)&lt;=TODAY()+7)))+COUNTIFS($V141:$Z141,"&gt;="&amp;TODAY(),$V141:$Z141,"&lt;="&amp;TODAY()+7))</f>
        <v/>
      </c>
      <c r="L141" s="32">
        <f>IF(OR(NOT(AND($A141&lt;&gt;"",OR($H141="",$H141="Active"))),$F141=""),"",IF(N141="",N$4,IF(O141="",O$4,IF(P141="",P$4,IF(Q141="",Q$4,IF(R141="",R$4,IF(S141="",S$4,IF(T141="",T$4,IF(U141="",U$4,"All done")))))))))</f>
        <v/>
      </c>
      <c r="M141" s="33">
        <f>IF(OR($L141="",$L141="All done"),"",($F141-(40-VALUE(LEFT($L141,2)))*7))</f>
        <v/>
      </c>
      <c r="N141" s="31" t="n"/>
      <c r="O141" s="31" t="n"/>
      <c r="P141" s="31" t="n"/>
      <c r="Q141" s="31" t="n"/>
      <c r="R141" s="31" t="n"/>
      <c r="S141" s="31" t="n"/>
      <c r="T141" s="31" t="n"/>
      <c r="U141" s="31" t="n"/>
      <c r="V141" s="31" t="n"/>
      <c r="W141" s="31" t="n"/>
      <c r="X141" s="31" t="n"/>
      <c r="Y141" s="31" t="n"/>
      <c r="Z141" s="31" t="n"/>
      <c r="AA141" s="34" t="n"/>
      <c r="AB141" s="29" t="n"/>
      <c r="AC141" s="31" t="n"/>
    </row>
    <row r="142">
      <c r="A142" s="29" t="n"/>
      <c r="B142" s="30" t="n"/>
      <c r="C142" s="31" t="n"/>
      <c r="D142" s="29" t="n"/>
      <c r="E142" s="29" t="n"/>
      <c r="F142" s="31" t="n"/>
      <c r="G142" s="31" t="n"/>
      <c r="H142" s="29" t="n"/>
      <c r="I142" s="32">
        <f>IF(OR(NOT(AND($A142&lt;&gt;"",OR($H142="",$H142="Active"))),$F142=""),"",INT((TODAY()-$F142+280)/7)&amp;"+"&amp;MOD(TODAY()-$F142+280,7))</f>
        <v/>
      </c>
      <c r="J142" s="32">
        <f>IF(NOT(AND($A142&lt;&gt;"",OR($H142="",$H142="Active"))),"",IF($F142="",0,SUMPRODUCT(($N142:$U142="")*(($F142-(40-VALUE(LEFT($N$4:$U$4,2)))*7)&lt;TODAY())))+COUNTIF($N142:$U142,"DNA")+COUNTIF($V142:$Z142,"&lt;"&amp;TODAY()))</f>
        <v/>
      </c>
      <c r="K142" s="32">
        <f>IF(NOT(AND($A142&lt;&gt;"",OR($H142="",$H142="Active"))),"",IF($F142="",0,SUMPRODUCT(($N142:$U142="")*(($F142-(40-VALUE(LEFT($N$4:$U$4,2)))*7)&gt;=TODAY())*(($F142-(40-VALUE(LEFT($N$4:$U$4,2)))*7)&lt;=TODAY()+7)))+COUNTIFS($V142:$Z142,"&gt;="&amp;TODAY(),$V142:$Z142,"&lt;="&amp;TODAY()+7))</f>
        <v/>
      </c>
      <c r="L142" s="32">
        <f>IF(OR(NOT(AND($A142&lt;&gt;"",OR($H142="",$H142="Active"))),$F142=""),"",IF(N142="",N$4,IF(O142="",O$4,IF(P142="",P$4,IF(Q142="",Q$4,IF(R142="",R$4,IF(S142="",S$4,IF(T142="",T$4,IF(U142="",U$4,"All done")))))))))</f>
        <v/>
      </c>
      <c r="M142" s="33">
        <f>IF(OR($L142="",$L142="All done"),"",($F142-(40-VALUE(LEFT($L142,2)))*7))</f>
        <v/>
      </c>
      <c r="N142" s="31" t="n"/>
      <c r="O142" s="31" t="n"/>
      <c r="P142" s="31" t="n"/>
      <c r="Q142" s="31" t="n"/>
      <c r="R142" s="31" t="n"/>
      <c r="S142" s="31" t="n"/>
      <c r="T142" s="31" t="n"/>
      <c r="U142" s="31" t="n"/>
      <c r="V142" s="31" t="n"/>
      <c r="W142" s="31" t="n"/>
      <c r="X142" s="31" t="n"/>
      <c r="Y142" s="31" t="n"/>
      <c r="Z142" s="31" t="n"/>
      <c r="AA142" s="34" t="n"/>
      <c r="AB142" s="29" t="n"/>
      <c r="AC142" s="31" t="n"/>
    </row>
    <row r="143">
      <c r="A143" s="29" t="n"/>
      <c r="B143" s="30" t="n"/>
      <c r="C143" s="31" t="n"/>
      <c r="D143" s="29" t="n"/>
      <c r="E143" s="29" t="n"/>
      <c r="F143" s="31" t="n"/>
      <c r="G143" s="31" t="n"/>
      <c r="H143" s="29" t="n"/>
      <c r="I143" s="32">
        <f>IF(OR(NOT(AND($A143&lt;&gt;"",OR($H143="",$H143="Active"))),$F143=""),"",INT((TODAY()-$F143+280)/7)&amp;"+"&amp;MOD(TODAY()-$F143+280,7))</f>
        <v/>
      </c>
      <c r="J143" s="32">
        <f>IF(NOT(AND($A143&lt;&gt;"",OR($H143="",$H143="Active"))),"",IF($F143="",0,SUMPRODUCT(($N143:$U143="")*(($F143-(40-VALUE(LEFT($N$4:$U$4,2)))*7)&lt;TODAY())))+COUNTIF($N143:$U143,"DNA")+COUNTIF($V143:$Z143,"&lt;"&amp;TODAY()))</f>
        <v/>
      </c>
      <c r="K143" s="32">
        <f>IF(NOT(AND($A143&lt;&gt;"",OR($H143="",$H143="Active"))),"",IF($F143="",0,SUMPRODUCT(($N143:$U143="")*(($F143-(40-VALUE(LEFT($N$4:$U$4,2)))*7)&gt;=TODAY())*(($F143-(40-VALUE(LEFT($N$4:$U$4,2)))*7)&lt;=TODAY()+7)))+COUNTIFS($V143:$Z143,"&gt;="&amp;TODAY(),$V143:$Z143,"&lt;="&amp;TODAY()+7))</f>
        <v/>
      </c>
      <c r="L143" s="32">
        <f>IF(OR(NOT(AND($A143&lt;&gt;"",OR($H143="",$H143="Active"))),$F143=""),"",IF(N143="",N$4,IF(O143="",O$4,IF(P143="",P$4,IF(Q143="",Q$4,IF(R143="",R$4,IF(S143="",S$4,IF(T143="",T$4,IF(U143="",U$4,"All done")))))))))</f>
        <v/>
      </c>
      <c r="M143" s="33">
        <f>IF(OR($L143="",$L143="All done"),"",($F143-(40-VALUE(LEFT($L143,2)))*7))</f>
        <v/>
      </c>
      <c r="N143" s="31" t="n"/>
      <c r="O143" s="31" t="n"/>
      <c r="P143" s="31" t="n"/>
      <c r="Q143" s="31" t="n"/>
      <c r="R143" s="31" t="n"/>
      <c r="S143" s="31" t="n"/>
      <c r="T143" s="31" t="n"/>
      <c r="U143" s="31" t="n"/>
      <c r="V143" s="31" t="n"/>
      <c r="W143" s="31" t="n"/>
      <c r="X143" s="31" t="n"/>
      <c r="Y143" s="31" t="n"/>
      <c r="Z143" s="31" t="n"/>
      <c r="AA143" s="34" t="n"/>
      <c r="AB143" s="29" t="n"/>
      <c r="AC143" s="31" t="n"/>
    </row>
    <row r="144">
      <c r="A144" s="29" t="n"/>
      <c r="B144" s="30" t="n"/>
      <c r="C144" s="31" t="n"/>
      <c r="D144" s="29" t="n"/>
      <c r="E144" s="29" t="n"/>
      <c r="F144" s="31" t="n"/>
      <c r="G144" s="31" t="n"/>
      <c r="H144" s="29" t="n"/>
      <c r="I144" s="32">
        <f>IF(OR(NOT(AND($A144&lt;&gt;"",OR($H144="",$H144="Active"))),$F144=""),"",INT((TODAY()-$F144+280)/7)&amp;"+"&amp;MOD(TODAY()-$F144+280,7))</f>
        <v/>
      </c>
      <c r="J144" s="32">
        <f>IF(NOT(AND($A144&lt;&gt;"",OR($H144="",$H144="Active"))),"",IF($F144="",0,SUMPRODUCT(($N144:$U144="")*(($F144-(40-VALUE(LEFT($N$4:$U$4,2)))*7)&lt;TODAY())))+COUNTIF($N144:$U144,"DNA")+COUNTIF($V144:$Z144,"&lt;"&amp;TODAY()))</f>
        <v/>
      </c>
      <c r="K144" s="32">
        <f>IF(NOT(AND($A144&lt;&gt;"",OR($H144="",$H144="Active"))),"",IF($F144="",0,SUMPRODUCT(($N144:$U144="")*(($F144-(40-VALUE(LEFT($N$4:$U$4,2)))*7)&gt;=TODAY())*(($F144-(40-VALUE(LEFT($N$4:$U$4,2)))*7)&lt;=TODAY()+7)))+COUNTIFS($V144:$Z144,"&gt;="&amp;TODAY(),$V144:$Z144,"&lt;="&amp;TODAY()+7))</f>
        <v/>
      </c>
      <c r="L144" s="32">
        <f>IF(OR(NOT(AND($A144&lt;&gt;"",OR($H144="",$H144="Active"))),$F144=""),"",IF(N144="",N$4,IF(O144="",O$4,IF(P144="",P$4,IF(Q144="",Q$4,IF(R144="",R$4,IF(S144="",S$4,IF(T144="",T$4,IF(U144="",U$4,"All done")))))))))</f>
        <v/>
      </c>
      <c r="M144" s="33">
        <f>IF(OR($L144="",$L144="All done"),"",($F144-(40-VALUE(LEFT($L144,2)))*7))</f>
        <v/>
      </c>
      <c r="N144" s="31" t="n"/>
      <c r="O144" s="31" t="n"/>
      <c r="P144" s="31" t="n"/>
      <c r="Q144" s="31" t="n"/>
      <c r="R144" s="31" t="n"/>
      <c r="S144" s="31" t="n"/>
      <c r="T144" s="31" t="n"/>
      <c r="U144" s="31" t="n"/>
      <c r="V144" s="31" t="n"/>
      <c r="W144" s="31" t="n"/>
      <c r="X144" s="31" t="n"/>
      <c r="Y144" s="31" t="n"/>
      <c r="Z144" s="31" t="n"/>
      <c r="AA144" s="34" t="n"/>
      <c r="AB144" s="29" t="n"/>
      <c r="AC144" s="31" t="n"/>
    </row>
    <row r="145">
      <c r="A145" s="29" t="n"/>
      <c r="B145" s="30" t="n"/>
      <c r="C145" s="31" t="n"/>
      <c r="D145" s="29" t="n"/>
      <c r="E145" s="29" t="n"/>
      <c r="F145" s="31" t="n"/>
      <c r="G145" s="31" t="n"/>
      <c r="H145" s="29" t="n"/>
      <c r="I145" s="32">
        <f>IF(OR(NOT(AND($A145&lt;&gt;"",OR($H145="",$H145="Active"))),$F145=""),"",INT((TODAY()-$F145+280)/7)&amp;"+"&amp;MOD(TODAY()-$F145+280,7))</f>
        <v/>
      </c>
      <c r="J145" s="32">
        <f>IF(NOT(AND($A145&lt;&gt;"",OR($H145="",$H145="Active"))),"",IF($F145="",0,SUMPRODUCT(($N145:$U145="")*(($F145-(40-VALUE(LEFT($N$4:$U$4,2)))*7)&lt;TODAY())))+COUNTIF($N145:$U145,"DNA")+COUNTIF($V145:$Z145,"&lt;"&amp;TODAY()))</f>
        <v/>
      </c>
      <c r="K145" s="32">
        <f>IF(NOT(AND($A145&lt;&gt;"",OR($H145="",$H145="Active"))),"",IF($F145="",0,SUMPRODUCT(($N145:$U145="")*(($F145-(40-VALUE(LEFT($N$4:$U$4,2)))*7)&gt;=TODAY())*(($F145-(40-VALUE(LEFT($N$4:$U$4,2)))*7)&lt;=TODAY()+7)))+COUNTIFS($V145:$Z145,"&gt;="&amp;TODAY(),$V145:$Z145,"&lt;="&amp;TODAY()+7))</f>
        <v/>
      </c>
      <c r="L145" s="32">
        <f>IF(OR(NOT(AND($A145&lt;&gt;"",OR($H145="",$H145="Active"))),$F145=""),"",IF(N145="",N$4,IF(O145="",O$4,IF(P145="",P$4,IF(Q145="",Q$4,IF(R145="",R$4,IF(S145="",S$4,IF(T145="",T$4,IF(U145="",U$4,"All done")))))))))</f>
        <v/>
      </c>
      <c r="M145" s="33">
        <f>IF(OR($L145="",$L145="All done"),"",($F145-(40-VALUE(LEFT($L145,2)))*7))</f>
        <v/>
      </c>
      <c r="N145" s="31" t="n"/>
      <c r="O145" s="31" t="n"/>
      <c r="P145" s="31" t="n"/>
      <c r="Q145" s="31" t="n"/>
      <c r="R145" s="31" t="n"/>
      <c r="S145" s="31" t="n"/>
      <c r="T145" s="31" t="n"/>
      <c r="U145" s="31" t="n"/>
      <c r="V145" s="31" t="n"/>
      <c r="W145" s="31" t="n"/>
      <c r="X145" s="31" t="n"/>
      <c r="Y145" s="31" t="n"/>
      <c r="Z145" s="31" t="n"/>
      <c r="AA145" s="34" t="n"/>
      <c r="AB145" s="29" t="n"/>
      <c r="AC145" s="31" t="n"/>
    </row>
    <row r="146">
      <c r="A146" s="29" t="n"/>
      <c r="B146" s="30" t="n"/>
      <c r="C146" s="31" t="n"/>
      <c r="D146" s="29" t="n"/>
      <c r="E146" s="29" t="n"/>
      <c r="F146" s="31" t="n"/>
      <c r="G146" s="31" t="n"/>
      <c r="H146" s="29" t="n"/>
      <c r="I146" s="32">
        <f>IF(OR(NOT(AND($A146&lt;&gt;"",OR($H146="",$H146="Active"))),$F146=""),"",INT((TODAY()-$F146+280)/7)&amp;"+"&amp;MOD(TODAY()-$F146+280,7))</f>
        <v/>
      </c>
      <c r="J146" s="32">
        <f>IF(NOT(AND($A146&lt;&gt;"",OR($H146="",$H146="Active"))),"",IF($F146="",0,SUMPRODUCT(($N146:$U146="")*(($F146-(40-VALUE(LEFT($N$4:$U$4,2)))*7)&lt;TODAY())))+COUNTIF($N146:$U146,"DNA")+COUNTIF($V146:$Z146,"&lt;"&amp;TODAY()))</f>
        <v/>
      </c>
      <c r="K146" s="32">
        <f>IF(NOT(AND($A146&lt;&gt;"",OR($H146="",$H146="Active"))),"",IF($F146="",0,SUMPRODUCT(($N146:$U146="")*(($F146-(40-VALUE(LEFT($N$4:$U$4,2)))*7)&gt;=TODAY())*(($F146-(40-VALUE(LEFT($N$4:$U$4,2)))*7)&lt;=TODAY()+7)))+COUNTIFS($V146:$Z146,"&gt;="&amp;TODAY(),$V146:$Z146,"&lt;="&amp;TODAY()+7))</f>
        <v/>
      </c>
      <c r="L146" s="32">
        <f>IF(OR(NOT(AND($A146&lt;&gt;"",OR($H146="",$H146="Active"))),$F146=""),"",IF(N146="",N$4,IF(O146="",O$4,IF(P146="",P$4,IF(Q146="",Q$4,IF(R146="",R$4,IF(S146="",S$4,IF(T146="",T$4,IF(U146="",U$4,"All done")))))))))</f>
        <v/>
      </c>
      <c r="M146" s="33">
        <f>IF(OR($L146="",$L146="All done"),"",($F146-(40-VALUE(LEFT($L146,2)))*7))</f>
        <v/>
      </c>
      <c r="N146" s="31" t="n"/>
      <c r="O146" s="31" t="n"/>
      <c r="P146" s="31" t="n"/>
      <c r="Q146" s="31" t="n"/>
      <c r="R146" s="31" t="n"/>
      <c r="S146" s="31" t="n"/>
      <c r="T146" s="31" t="n"/>
      <c r="U146" s="31" t="n"/>
      <c r="V146" s="31" t="n"/>
      <c r="W146" s="31" t="n"/>
      <c r="X146" s="31" t="n"/>
      <c r="Y146" s="31" t="n"/>
      <c r="Z146" s="31" t="n"/>
      <c r="AA146" s="34" t="n"/>
      <c r="AB146" s="29" t="n"/>
      <c r="AC146" s="31" t="n"/>
    </row>
    <row r="147">
      <c r="A147" s="29" t="n"/>
      <c r="B147" s="30" t="n"/>
      <c r="C147" s="31" t="n"/>
      <c r="D147" s="29" t="n"/>
      <c r="E147" s="29" t="n"/>
      <c r="F147" s="31" t="n"/>
      <c r="G147" s="31" t="n"/>
      <c r="H147" s="29" t="n"/>
      <c r="I147" s="32">
        <f>IF(OR(NOT(AND($A147&lt;&gt;"",OR($H147="",$H147="Active"))),$F147=""),"",INT((TODAY()-$F147+280)/7)&amp;"+"&amp;MOD(TODAY()-$F147+280,7))</f>
        <v/>
      </c>
      <c r="J147" s="32">
        <f>IF(NOT(AND($A147&lt;&gt;"",OR($H147="",$H147="Active"))),"",IF($F147="",0,SUMPRODUCT(($N147:$U147="")*(($F147-(40-VALUE(LEFT($N$4:$U$4,2)))*7)&lt;TODAY())))+COUNTIF($N147:$U147,"DNA")+COUNTIF($V147:$Z147,"&lt;"&amp;TODAY()))</f>
        <v/>
      </c>
      <c r="K147" s="32">
        <f>IF(NOT(AND($A147&lt;&gt;"",OR($H147="",$H147="Active"))),"",IF($F147="",0,SUMPRODUCT(($N147:$U147="")*(($F147-(40-VALUE(LEFT($N$4:$U$4,2)))*7)&gt;=TODAY())*(($F147-(40-VALUE(LEFT($N$4:$U$4,2)))*7)&lt;=TODAY()+7)))+COUNTIFS($V147:$Z147,"&gt;="&amp;TODAY(),$V147:$Z147,"&lt;="&amp;TODAY()+7))</f>
        <v/>
      </c>
      <c r="L147" s="32">
        <f>IF(OR(NOT(AND($A147&lt;&gt;"",OR($H147="",$H147="Active"))),$F147=""),"",IF(N147="",N$4,IF(O147="",O$4,IF(P147="",P$4,IF(Q147="",Q$4,IF(R147="",R$4,IF(S147="",S$4,IF(T147="",T$4,IF(U147="",U$4,"All done")))))))))</f>
        <v/>
      </c>
      <c r="M147" s="33">
        <f>IF(OR($L147="",$L147="All done"),"",($F147-(40-VALUE(LEFT($L147,2)))*7))</f>
        <v/>
      </c>
      <c r="N147" s="31" t="n"/>
      <c r="O147" s="31" t="n"/>
      <c r="P147" s="31" t="n"/>
      <c r="Q147" s="31" t="n"/>
      <c r="R147" s="31" t="n"/>
      <c r="S147" s="31" t="n"/>
      <c r="T147" s="31" t="n"/>
      <c r="U147" s="31" t="n"/>
      <c r="V147" s="31" t="n"/>
      <c r="W147" s="31" t="n"/>
      <c r="X147" s="31" t="n"/>
      <c r="Y147" s="31" t="n"/>
      <c r="Z147" s="31" t="n"/>
      <c r="AA147" s="34" t="n"/>
      <c r="AB147" s="29" t="n"/>
      <c r="AC147" s="31" t="n"/>
    </row>
    <row r="148">
      <c r="A148" s="29" t="n"/>
      <c r="B148" s="30" t="n"/>
      <c r="C148" s="31" t="n"/>
      <c r="D148" s="29" t="n"/>
      <c r="E148" s="29" t="n"/>
      <c r="F148" s="31" t="n"/>
      <c r="G148" s="31" t="n"/>
      <c r="H148" s="29" t="n"/>
      <c r="I148" s="32">
        <f>IF(OR(NOT(AND($A148&lt;&gt;"",OR($H148="",$H148="Active"))),$F148=""),"",INT((TODAY()-$F148+280)/7)&amp;"+"&amp;MOD(TODAY()-$F148+280,7))</f>
        <v/>
      </c>
      <c r="J148" s="32">
        <f>IF(NOT(AND($A148&lt;&gt;"",OR($H148="",$H148="Active"))),"",IF($F148="",0,SUMPRODUCT(($N148:$U148="")*(($F148-(40-VALUE(LEFT($N$4:$U$4,2)))*7)&lt;TODAY())))+COUNTIF($N148:$U148,"DNA")+COUNTIF($V148:$Z148,"&lt;"&amp;TODAY()))</f>
        <v/>
      </c>
      <c r="K148" s="32">
        <f>IF(NOT(AND($A148&lt;&gt;"",OR($H148="",$H148="Active"))),"",IF($F148="",0,SUMPRODUCT(($N148:$U148="")*(($F148-(40-VALUE(LEFT($N$4:$U$4,2)))*7)&gt;=TODAY())*(($F148-(40-VALUE(LEFT($N$4:$U$4,2)))*7)&lt;=TODAY()+7)))+COUNTIFS($V148:$Z148,"&gt;="&amp;TODAY(),$V148:$Z148,"&lt;="&amp;TODAY()+7))</f>
        <v/>
      </c>
      <c r="L148" s="32">
        <f>IF(OR(NOT(AND($A148&lt;&gt;"",OR($H148="",$H148="Active"))),$F148=""),"",IF(N148="",N$4,IF(O148="",O$4,IF(P148="",P$4,IF(Q148="",Q$4,IF(R148="",R$4,IF(S148="",S$4,IF(T148="",T$4,IF(U148="",U$4,"All done")))))))))</f>
        <v/>
      </c>
      <c r="M148" s="33">
        <f>IF(OR($L148="",$L148="All done"),"",($F148-(40-VALUE(LEFT($L148,2)))*7))</f>
        <v/>
      </c>
      <c r="N148" s="31" t="n"/>
      <c r="O148" s="31" t="n"/>
      <c r="P148" s="31" t="n"/>
      <c r="Q148" s="31" t="n"/>
      <c r="R148" s="31" t="n"/>
      <c r="S148" s="31" t="n"/>
      <c r="T148" s="31" t="n"/>
      <c r="U148" s="31" t="n"/>
      <c r="V148" s="31" t="n"/>
      <c r="W148" s="31" t="n"/>
      <c r="X148" s="31" t="n"/>
      <c r="Y148" s="31" t="n"/>
      <c r="Z148" s="31" t="n"/>
      <c r="AA148" s="34" t="n"/>
      <c r="AB148" s="29" t="n"/>
      <c r="AC148" s="31" t="n"/>
    </row>
    <row r="149">
      <c r="A149" s="29" t="n"/>
      <c r="B149" s="30" t="n"/>
      <c r="C149" s="31" t="n"/>
      <c r="D149" s="29" t="n"/>
      <c r="E149" s="29" t="n"/>
      <c r="F149" s="31" t="n"/>
      <c r="G149" s="31" t="n"/>
      <c r="H149" s="29" t="n"/>
      <c r="I149" s="32">
        <f>IF(OR(NOT(AND($A149&lt;&gt;"",OR($H149="",$H149="Active"))),$F149=""),"",INT((TODAY()-$F149+280)/7)&amp;"+"&amp;MOD(TODAY()-$F149+280,7))</f>
        <v/>
      </c>
      <c r="J149" s="32">
        <f>IF(NOT(AND($A149&lt;&gt;"",OR($H149="",$H149="Active"))),"",IF($F149="",0,SUMPRODUCT(($N149:$U149="")*(($F149-(40-VALUE(LEFT($N$4:$U$4,2)))*7)&lt;TODAY())))+COUNTIF($N149:$U149,"DNA")+COUNTIF($V149:$Z149,"&lt;"&amp;TODAY()))</f>
        <v/>
      </c>
      <c r="K149" s="32">
        <f>IF(NOT(AND($A149&lt;&gt;"",OR($H149="",$H149="Active"))),"",IF($F149="",0,SUMPRODUCT(($N149:$U149="")*(($F149-(40-VALUE(LEFT($N$4:$U$4,2)))*7)&gt;=TODAY())*(($F149-(40-VALUE(LEFT($N$4:$U$4,2)))*7)&lt;=TODAY()+7)))+COUNTIFS($V149:$Z149,"&gt;="&amp;TODAY(),$V149:$Z149,"&lt;="&amp;TODAY()+7))</f>
        <v/>
      </c>
      <c r="L149" s="32">
        <f>IF(OR(NOT(AND($A149&lt;&gt;"",OR($H149="",$H149="Active"))),$F149=""),"",IF(N149="",N$4,IF(O149="",O$4,IF(P149="",P$4,IF(Q149="",Q$4,IF(R149="",R$4,IF(S149="",S$4,IF(T149="",T$4,IF(U149="",U$4,"All done")))))))))</f>
        <v/>
      </c>
      <c r="M149" s="33">
        <f>IF(OR($L149="",$L149="All done"),"",($F149-(40-VALUE(LEFT($L149,2)))*7))</f>
        <v/>
      </c>
      <c r="N149" s="31" t="n"/>
      <c r="O149" s="31" t="n"/>
      <c r="P149" s="31" t="n"/>
      <c r="Q149" s="31" t="n"/>
      <c r="R149" s="31" t="n"/>
      <c r="S149" s="31" t="n"/>
      <c r="T149" s="31" t="n"/>
      <c r="U149" s="31" t="n"/>
      <c r="V149" s="31" t="n"/>
      <c r="W149" s="31" t="n"/>
      <c r="X149" s="31" t="n"/>
      <c r="Y149" s="31" t="n"/>
      <c r="Z149" s="31" t="n"/>
      <c r="AA149" s="34" t="n"/>
      <c r="AB149" s="29" t="n"/>
      <c r="AC149" s="31" t="n"/>
    </row>
    <row r="150">
      <c r="A150" s="29" t="n"/>
      <c r="B150" s="30" t="n"/>
      <c r="C150" s="31" t="n"/>
      <c r="D150" s="29" t="n"/>
      <c r="E150" s="29" t="n"/>
      <c r="F150" s="31" t="n"/>
      <c r="G150" s="31" t="n"/>
      <c r="H150" s="29" t="n"/>
      <c r="I150" s="32">
        <f>IF(OR(NOT(AND($A150&lt;&gt;"",OR($H150="",$H150="Active"))),$F150=""),"",INT((TODAY()-$F150+280)/7)&amp;"+"&amp;MOD(TODAY()-$F150+280,7))</f>
        <v/>
      </c>
      <c r="J150" s="32">
        <f>IF(NOT(AND($A150&lt;&gt;"",OR($H150="",$H150="Active"))),"",IF($F150="",0,SUMPRODUCT(($N150:$U150="")*(($F150-(40-VALUE(LEFT($N$4:$U$4,2)))*7)&lt;TODAY())))+COUNTIF($N150:$U150,"DNA")+COUNTIF($V150:$Z150,"&lt;"&amp;TODAY()))</f>
        <v/>
      </c>
      <c r="K150" s="32">
        <f>IF(NOT(AND($A150&lt;&gt;"",OR($H150="",$H150="Active"))),"",IF($F150="",0,SUMPRODUCT(($N150:$U150="")*(($F150-(40-VALUE(LEFT($N$4:$U$4,2)))*7)&gt;=TODAY())*(($F150-(40-VALUE(LEFT($N$4:$U$4,2)))*7)&lt;=TODAY()+7)))+COUNTIFS($V150:$Z150,"&gt;="&amp;TODAY(),$V150:$Z150,"&lt;="&amp;TODAY()+7))</f>
        <v/>
      </c>
      <c r="L150" s="32">
        <f>IF(OR(NOT(AND($A150&lt;&gt;"",OR($H150="",$H150="Active"))),$F150=""),"",IF(N150="",N$4,IF(O150="",O$4,IF(P150="",P$4,IF(Q150="",Q$4,IF(R150="",R$4,IF(S150="",S$4,IF(T150="",T$4,IF(U150="",U$4,"All done")))))))))</f>
        <v/>
      </c>
      <c r="M150" s="33">
        <f>IF(OR($L150="",$L150="All done"),"",($F150-(40-VALUE(LEFT($L150,2)))*7))</f>
        <v/>
      </c>
      <c r="N150" s="31" t="n"/>
      <c r="O150" s="31" t="n"/>
      <c r="P150" s="31" t="n"/>
      <c r="Q150" s="31" t="n"/>
      <c r="R150" s="31" t="n"/>
      <c r="S150" s="31" t="n"/>
      <c r="T150" s="31" t="n"/>
      <c r="U150" s="31" t="n"/>
      <c r="V150" s="31" t="n"/>
      <c r="W150" s="31" t="n"/>
      <c r="X150" s="31" t="n"/>
      <c r="Y150" s="31" t="n"/>
      <c r="Z150" s="31" t="n"/>
      <c r="AA150" s="34" t="n"/>
      <c r="AB150" s="29" t="n"/>
      <c r="AC150" s="31" t="n"/>
    </row>
    <row r="151">
      <c r="A151" s="29" t="n"/>
      <c r="B151" s="30" t="n"/>
      <c r="C151" s="31" t="n"/>
      <c r="D151" s="29" t="n"/>
      <c r="E151" s="29" t="n"/>
      <c r="F151" s="31" t="n"/>
      <c r="G151" s="31" t="n"/>
      <c r="H151" s="29" t="n"/>
      <c r="I151" s="32">
        <f>IF(OR(NOT(AND($A151&lt;&gt;"",OR($H151="",$H151="Active"))),$F151=""),"",INT((TODAY()-$F151+280)/7)&amp;"+"&amp;MOD(TODAY()-$F151+280,7))</f>
        <v/>
      </c>
      <c r="J151" s="32">
        <f>IF(NOT(AND($A151&lt;&gt;"",OR($H151="",$H151="Active"))),"",IF($F151="",0,SUMPRODUCT(($N151:$U151="")*(($F151-(40-VALUE(LEFT($N$4:$U$4,2)))*7)&lt;TODAY())))+COUNTIF($N151:$U151,"DNA")+COUNTIF($V151:$Z151,"&lt;"&amp;TODAY()))</f>
        <v/>
      </c>
      <c r="K151" s="32">
        <f>IF(NOT(AND($A151&lt;&gt;"",OR($H151="",$H151="Active"))),"",IF($F151="",0,SUMPRODUCT(($N151:$U151="")*(($F151-(40-VALUE(LEFT($N$4:$U$4,2)))*7)&gt;=TODAY())*(($F151-(40-VALUE(LEFT($N$4:$U$4,2)))*7)&lt;=TODAY()+7)))+COUNTIFS($V151:$Z151,"&gt;="&amp;TODAY(),$V151:$Z151,"&lt;="&amp;TODAY()+7))</f>
        <v/>
      </c>
      <c r="L151" s="32">
        <f>IF(OR(NOT(AND($A151&lt;&gt;"",OR($H151="",$H151="Active"))),$F151=""),"",IF(N151="",N$4,IF(O151="",O$4,IF(P151="",P$4,IF(Q151="",Q$4,IF(R151="",R$4,IF(S151="",S$4,IF(T151="",T$4,IF(U151="",U$4,"All done")))))))))</f>
        <v/>
      </c>
      <c r="M151" s="33">
        <f>IF(OR($L151="",$L151="All done"),"",($F151-(40-VALUE(LEFT($L151,2)))*7))</f>
        <v/>
      </c>
      <c r="N151" s="31" t="n"/>
      <c r="O151" s="31" t="n"/>
      <c r="P151" s="31" t="n"/>
      <c r="Q151" s="31" t="n"/>
      <c r="R151" s="31" t="n"/>
      <c r="S151" s="31" t="n"/>
      <c r="T151" s="31" t="n"/>
      <c r="U151" s="31" t="n"/>
      <c r="V151" s="31" t="n"/>
      <c r="W151" s="31" t="n"/>
      <c r="X151" s="31" t="n"/>
      <c r="Y151" s="31" t="n"/>
      <c r="Z151" s="31" t="n"/>
      <c r="AA151" s="34" t="n"/>
      <c r="AB151" s="29" t="n"/>
      <c r="AC151" s="31" t="n"/>
    </row>
    <row r="152">
      <c r="A152" s="29" t="n"/>
      <c r="B152" s="30" t="n"/>
      <c r="C152" s="31" t="n"/>
      <c r="D152" s="29" t="n"/>
      <c r="E152" s="29" t="n"/>
      <c r="F152" s="31" t="n"/>
      <c r="G152" s="31" t="n"/>
      <c r="H152" s="29" t="n"/>
      <c r="I152" s="32">
        <f>IF(OR(NOT(AND($A152&lt;&gt;"",OR($H152="",$H152="Active"))),$F152=""),"",INT((TODAY()-$F152+280)/7)&amp;"+"&amp;MOD(TODAY()-$F152+280,7))</f>
        <v/>
      </c>
      <c r="J152" s="32">
        <f>IF(NOT(AND($A152&lt;&gt;"",OR($H152="",$H152="Active"))),"",IF($F152="",0,SUMPRODUCT(($N152:$U152="")*(($F152-(40-VALUE(LEFT($N$4:$U$4,2)))*7)&lt;TODAY())))+COUNTIF($N152:$U152,"DNA")+COUNTIF($V152:$Z152,"&lt;"&amp;TODAY()))</f>
        <v/>
      </c>
      <c r="K152" s="32">
        <f>IF(NOT(AND($A152&lt;&gt;"",OR($H152="",$H152="Active"))),"",IF($F152="",0,SUMPRODUCT(($N152:$U152="")*(($F152-(40-VALUE(LEFT($N$4:$U$4,2)))*7)&gt;=TODAY())*(($F152-(40-VALUE(LEFT($N$4:$U$4,2)))*7)&lt;=TODAY()+7)))+COUNTIFS($V152:$Z152,"&gt;="&amp;TODAY(),$V152:$Z152,"&lt;="&amp;TODAY()+7))</f>
        <v/>
      </c>
      <c r="L152" s="32">
        <f>IF(OR(NOT(AND($A152&lt;&gt;"",OR($H152="",$H152="Active"))),$F152=""),"",IF(N152="",N$4,IF(O152="",O$4,IF(P152="",P$4,IF(Q152="",Q$4,IF(R152="",R$4,IF(S152="",S$4,IF(T152="",T$4,IF(U152="",U$4,"All done")))))))))</f>
        <v/>
      </c>
      <c r="M152" s="33">
        <f>IF(OR($L152="",$L152="All done"),"",($F152-(40-VALUE(LEFT($L152,2)))*7))</f>
        <v/>
      </c>
      <c r="N152" s="31" t="n"/>
      <c r="O152" s="31" t="n"/>
      <c r="P152" s="31" t="n"/>
      <c r="Q152" s="31" t="n"/>
      <c r="R152" s="31" t="n"/>
      <c r="S152" s="31" t="n"/>
      <c r="T152" s="31" t="n"/>
      <c r="U152" s="31" t="n"/>
      <c r="V152" s="31" t="n"/>
      <c r="W152" s="31" t="n"/>
      <c r="X152" s="31" t="n"/>
      <c r="Y152" s="31" t="n"/>
      <c r="Z152" s="31" t="n"/>
      <c r="AA152" s="34" t="n"/>
      <c r="AB152" s="29" t="n"/>
      <c r="AC152" s="31" t="n"/>
    </row>
    <row r="153">
      <c r="A153" s="29" t="n"/>
      <c r="B153" s="30" t="n"/>
      <c r="C153" s="31" t="n"/>
      <c r="D153" s="29" t="n"/>
      <c r="E153" s="29" t="n"/>
      <c r="F153" s="31" t="n"/>
      <c r="G153" s="31" t="n"/>
      <c r="H153" s="29" t="n"/>
      <c r="I153" s="32">
        <f>IF(OR(NOT(AND($A153&lt;&gt;"",OR($H153="",$H153="Active"))),$F153=""),"",INT((TODAY()-$F153+280)/7)&amp;"+"&amp;MOD(TODAY()-$F153+280,7))</f>
        <v/>
      </c>
      <c r="J153" s="32">
        <f>IF(NOT(AND($A153&lt;&gt;"",OR($H153="",$H153="Active"))),"",IF($F153="",0,SUMPRODUCT(($N153:$U153="")*(($F153-(40-VALUE(LEFT($N$4:$U$4,2)))*7)&lt;TODAY())))+COUNTIF($N153:$U153,"DNA")+COUNTIF($V153:$Z153,"&lt;"&amp;TODAY()))</f>
        <v/>
      </c>
      <c r="K153" s="32">
        <f>IF(NOT(AND($A153&lt;&gt;"",OR($H153="",$H153="Active"))),"",IF($F153="",0,SUMPRODUCT(($N153:$U153="")*(($F153-(40-VALUE(LEFT($N$4:$U$4,2)))*7)&gt;=TODAY())*(($F153-(40-VALUE(LEFT($N$4:$U$4,2)))*7)&lt;=TODAY()+7)))+COUNTIFS($V153:$Z153,"&gt;="&amp;TODAY(),$V153:$Z153,"&lt;="&amp;TODAY()+7))</f>
        <v/>
      </c>
      <c r="L153" s="32">
        <f>IF(OR(NOT(AND($A153&lt;&gt;"",OR($H153="",$H153="Active"))),$F153=""),"",IF(N153="",N$4,IF(O153="",O$4,IF(P153="",P$4,IF(Q153="",Q$4,IF(R153="",R$4,IF(S153="",S$4,IF(T153="",T$4,IF(U153="",U$4,"All done")))))))))</f>
        <v/>
      </c>
      <c r="M153" s="33">
        <f>IF(OR($L153="",$L153="All done"),"",($F153-(40-VALUE(LEFT($L153,2)))*7))</f>
        <v/>
      </c>
      <c r="N153" s="31" t="n"/>
      <c r="O153" s="31" t="n"/>
      <c r="P153" s="31" t="n"/>
      <c r="Q153" s="31" t="n"/>
      <c r="R153" s="31" t="n"/>
      <c r="S153" s="31" t="n"/>
      <c r="T153" s="31" t="n"/>
      <c r="U153" s="31" t="n"/>
      <c r="V153" s="31" t="n"/>
      <c r="W153" s="31" t="n"/>
      <c r="X153" s="31" t="n"/>
      <c r="Y153" s="31" t="n"/>
      <c r="Z153" s="31" t="n"/>
      <c r="AA153" s="34" t="n"/>
      <c r="AB153" s="29" t="n"/>
      <c r="AC153" s="31" t="n"/>
    </row>
    <row r="154">
      <c r="A154" s="29" t="n"/>
      <c r="B154" s="30" t="n"/>
      <c r="C154" s="31" t="n"/>
      <c r="D154" s="29" t="n"/>
      <c r="E154" s="29" t="n"/>
      <c r="F154" s="31" t="n"/>
      <c r="G154" s="31" t="n"/>
      <c r="H154" s="29" t="n"/>
      <c r="I154" s="32">
        <f>IF(OR(NOT(AND($A154&lt;&gt;"",OR($H154="",$H154="Active"))),$F154=""),"",INT((TODAY()-$F154+280)/7)&amp;"+"&amp;MOD(TODAY()-$F154+280,7))</f>
        <v/>
      </c>
      <c r="J154" s="32">
        <f>IF(NOT(AND($A154&lt;&gt;"",OR($H154="",$H154="Active"))),"",IF($F154="",0,SUMPRODUCT(($N154:$U154="")*(($F154-(40-VALUE(LEFT($N$4:$U$4,2)))*7)&lt;TODAY())))+COUNTIF($N154:$U154,"DNA")+COUNTIF($V154:$Z154,"&lt;"&amp;TODAY()))</f>
        <v/>
      </c>
      <c r="K154" s="32">
        <f>IF(NOT(AND($A154&lt;&gt;"",OR($H154="",$H154="Active"))),"",IF($F154="",0,SUMPRODUCT(($N154:$U154="")*(($F154-(40-VALUE(LEFT($N$4:$U$4,2)))*7)&gt;=TODAY())*(($F154-(40-VALUE(LEFT($N$4:$U$4,2)))*7)&lt;=TODAY()+7)))+COUNTIFS($V154:$Z154,"&gt;="&amp;TODAY(),$V154:$Z154,"&lt;="&amp;TODAY()+7))</f>
        <v/>
      </c>
      <c r="L154" s="32">
        <f>IF(OR(NOT(AND($A154&lt;&gt;"",OR($H154="",$H154="Active"))),$F154=""),"",IF(N154="",N$4,IF(O154="",O$4,IF(P154="",P$4,IF(Q154="",Q$4,IF(R154="",R$4,IF(S154="",S$4,IF(T154="",T$4,IF(U154="",U$4,"All done")))))))))</f>
        <v/>
      </c>
      <c r="M154" s="33">
        <f>IF(OR($L154="",$L154="All done"),"",($F154-(40-VALUE(LEFT($L154,2)))*7))</f>
        <v/>
      </c>
      <c r="N154" s="31" t="n"/>
      <c r="O154" s="31" t="n"/>
      <c r="P154" s="31" t="n"/>
      <c r="Q154" s="31" t="n"/>
      <c r="R154" s="31" t="n"/>
      <c r="S154" s="31" t="n"/>
      <c r="T154" s="31" t="n"/>
      <c r="U154" s="31" t="n"/>
      <c r="V154" s="31" t="n"/>
      <c r="W154" s="31" t="n"/>
      <c r="X154" s="31" t="n"/>
      <c r="Y154" s="31" t="n"/>
      <c r="Z154" s="31" t="n"/>
      <c r="AA154" s="34" t="n"/>
      <c r="AB154" s="29" t="n"/>
      <c r="AC154" s="31" t="n"/>
    </row>
    <row r="155">
      <c r="A155" s="29" t="n"/>
      <c r="B155" s="30" t="n"/>
      <c r="C155" s="31" t="n"/>
      <c r="D155" s="29" t="n"/>
      <c r="E155" s="29" t="n"/>
      <c r="F155" s="31" t="n"/>
      <c r="G155" s="31" t="n"/>
      <c r="H155" s="29" t="n"/>
      <c r="I155" s="32">
        <f>IF(OR(NOT(AND($A155&lt;&gt;"",OR($H155="",$H155="Active"))),$F155=""),"",INT((TODAY()-$F155+280)/7)&amp;"+"&amp;MOD(TODAY()-$F155+280,7))</f>
        <v/>
      </c>
      <c r="J155" s="32">
        <f>IF(NOT(AND($A155&lt;&gt;"",OR($H155="",$H155="Active"))),"",IF($F155="",0,SUMPRODUCT(($N155:$U155="")*(($F155-(40-VALUE(LEFT($N$4:$U$4,2)))*7)&lt;TODAY())))+COUNTIF($N155:$U155,"DNA")+COUNTIF($V155:$Z155,"&lt;"&amp;TODAY()))</f>
        <v/>
      </c>
      <c r="K155" s="32">
        <f>IF(NOT(AND($A155&lt;&gt;"",OR($H155="",$H155="Active"))),"",IF($F155="",0,SUMPRODUCT(($N155:$U155="")*(($F155-(40-VALUE(LEFT($N$4:$U$4,2)))*7)&gt;=TODAY())*(($F155-(40-VALUE(LEFT($N$4:$U$4,2)))*7)&lt;=TODAY()+7)))+COUNTIFS($V155:$Z155,"&gt;="&amp;TODAY(),$V155:$Z155,"&lt;="&amp;TODAY()+7))</f>
        <v/>
      </c>
      <c r="L155" s="32">
        <f>IF(OR(NOT(AND($A155&lt;&gt;"",OR($H155="",$H155="Active"))),$F155=""),"",IF(N155="",N$4,IF(O155="",O$4,IF(P155="",P$4,IF(Q155="",Q$4,IF(R155="",R$4,IF(S155="",S$4,IF(T155="",T$4,IF(U155="",U$4,"All done")))))))))</f>
        <v/>
      </c>
      <c r="M155" s="33">
        <f>IF(OR($L155="",$L155="All done"),"",($F155-(40-VALUE(LEFT($L155,2)))*7))</f>
        <v/>
      </c>
      <c r="N155" s="31" t="n"/>
      <c r="O155" s="31" t="n"/>
      <c r="P155" s="31" t="n"/>
      <c r="Q155" s="31" t="n"/>
      <c r="R155" s="31" t="n"/>
      <c r="S155" s="31" t="n"/>
      <c r="T155" s="31" t="n"/>
      <c r="U155" s="31" t="n"/>
      <c r="V155" s="31" t="n"/>
      <c r="W155" s="31" t="n"/>
      <c r="X155" s="31" t="n"/>
      <c r="Y155" s="31" t="n"/>
      <c r="Z155" s="31" t="n"/>
      <c r="AA155" s="34" t="n"/>
      <c r="AB155" s="29" t="n"/>
      <c r="AC155" s="31" t="n"/>
    </row>
    <row r="156">
      <c r="A156" s="29" t="n"/>
      <c r="B156" s="30" t="n"/>
      <c r="C156" s="31" t="n"/>
      <c r="D156" s="29" t="n"/>
      <c r="E156" s="29" t="n"/>
      <c r="F156" s="31" t="n"/>
      <c r="G156" s="31" t="n"/>
      <c r="H156" s="29" t="n"/>
      <c r="I156" s="32">
        <f>IF(OR(NOT(AND($A156&lt;&gt;"",OR($H156="",$H156="Active"))),$F156=""),"",INT((TODAY()-$F156+280)/7)&amp;"+"&amp;MOD(TODAY()-$F156+280,7))</f>
        <v/>
      </c>
      <c r="J156" s="32">
        <f>IF(NOT(AND($A156&lt;&gt;"",OR($H156="",$H156="Active"))),"",IF($F156="",0,SUMPRODUCT(($N156:$U156="")*(($F156-(40-VALUE(LEFT($N$4:$U$4,2)))*7)&lt;TODAY())))+COUNTIF($N156:$U156,"DNA")+COUNTIF($V156:$Z156,"&lt;"&amp;TODAY()))</f>
        <v/>
      </c>
      <c r="K156" s="32">
        <f>IF(NOT(AND($A156&lt;&gt;"",OR($H156="",$H156="Active"))),"",IF($F156="",0,SUMPRODUCT(($N156:$U156="")*(($F156-(40-VALUE(LEFT($N$4:$U$4,2)))*7)&gt;=TODAY())*(($F156-(40-VALUE(LEFT($N$4:$U$4,2)))*7)&lt;=TODAY()+7)))+COUNTIFS($V156:$Z156,"&gt;="&amp;TODAY(),$V156:$Z156,"&lt;="&amp;TODAY()+7))</f>
        <v/>
      </c>
      <c r="L156" s="32">
        <f>IF(OR(NOT(AND($A156&lt;&gt;"",OR($H156="",$H156="Active"))),$F156=""),"",IF(N156="",N$4,IF(O156="",O$4,IF(P156="",P$4,IF(Q156="",Q$4,IF(R156="",R$4,IF(S156="",S$4,IF(T156="",T$4,IF(U156="",U$4,"All done")))))))))</f>
        <v/>
      </c>
      <c r="M156" s="33">
        <f>IF(OR($L156="",$L156="All done"),"",($F156-(40-VALUE(LEFT($L156,2)))*7))</f>
        <v/>
      </c>
      <c r="N156" s="31" t="n"/>
      <c r="O156" s="31" t="n"/>
      <c r="P156" s="31" t="n"/>
      <c r="Q156" s="31" t="n"/>
      <c r="R156" s="31" t="n"/>
      <c r="S156" s="31" t="n"/>
      <c r="T156" s="31" t="n"/>
      <c r="U156" s="31" t="n"/>
      <c r="V156" s="31" t="n"/>
      <c r="W156" s="31" t="n"/>
      <c r="X156" s="31" t="n"/>
      <c r="Y156" s="31" t="n"/>
      <c r="Z156" s="31" t="n"/>
      <c r="AA156" s="34" t="n"/>
      <c r="AB156" s="29" t="n"/>
      <c r="AC156" s="31" t="n"/>
    </row>
    <row r="157">
      <c r="A157" s="29" t="n"/>
      <c r="B157" s="30" t="n"/>
      <c r="C157" s="31" t="n"/>
      <c r="D157" s="29" t="n"/>
      <c r="E157" s="29" t="n"/>
      <c r="F157" s="31" t="n"/>
      <c r="G157" s="31" t="n"/>
      <c r="H157" s="29" t="n"/>
      <c r="I157" s="32">
        <f>IF(OR(NOT(AND($A157&lt;&gt;"",OR($H157="",$H157="Active"))),$F157=""),"",INT((TODAY()-$F157+280)/7)&amp;"+"&amp;MOD(TODAY()-$F157+280,7))</f>
        <v/>
      </c>
      <c r="J157" s="32">
        <f>IF(NOT(AND($A157&lt;&gt;"",OR($H157="",$H157="Active"))),"",IF($F157="",0,SUMPRODUCT(($N157:$U157="")*(($F157-(40-VALUE(LEFT($N$4:$U$4,2)))*7)&lt;TODAY())))+COUNTIF($N157:$U157,"DNA")+COUNTIF($V157:$Z157,"&lt;"&amp;TODAY()))</f>
        <v/>
      </c>
      <c r="K157" s="32">
        <f>IF(NOT(AND($A157&lt;&gt;"",OR($H157="",$H157="Active"))),"",IF($F157="",0,SUMPRODUCT(($N157:$U157="")*(($F157-(40-VALUE(LEFT($N$4:$U$4,2)))*7)&gt;=TODAY())*(($F157-(40-VALUE(LEFT($N$4:$U$4,2)))*7)&lt;=TODAY()+7)))+COUNTIFS($V157:$Z157,"&gt;="&amp;TODAY(),$V157:$Z157,"&lt;="&amp;TODAY()+7))</f>
        <v/>
      </c>
      <c r="L157" s="32">
        <f>IF(OR(NOT(AND($A157&lt;&gt;"",OR($H157="",$H157="Active"))),$F157=""),"",IF(N157="",N$4,IF(O157="",O$4,IF(P157="",P$4,IF(Q157="",Q$4,IF(R157="",R$4,IF(S157="",S$4,IF(T157="",T$4,IF(U157="",U$4,"All done")))))))))</f>
        <v/>
      </c>
      <c r="M157" s="33">
        <f>IF(OR($L157="",$L157="All done"),"",($F157-(40-VALUE(LEFT($L157,2)))*7))</f>
        <v/>
      </c>
      <c r="N157" s="31" t="n"/>
      <c r="O157" s="31" t="n"/>
      <c r="P157" s="31" t="n"/>
      <c r="Q157" s="31" t="n"/>
      <c r="R157" s="31" t="n"/>
      <c r="S157" s="31" t="n"/>
      <c r="T157" s="31" t="n"/>
      <c r="U157" s="31" t="n"/>
      <c r="V157" s="31" t="n"/>
      <c r="W157" s="31" t="n"/>
      <c r="X157" s="31" t="n"/>
      <c r="Y157" s="31" t="n"/>
      <c r="Z157" s="31" t="n"/>
      <c r="AA157" s="34" t="n"/>
      <c r="AB157" s="29" t="n"/>
      <c r="AC157" s="31" t="n"/>
    </row>
    <row r="158">
      <c r="A158" s="29" t="n"/>
      <c r="B158" s="30" t="n"/>
      <c r="C158" s="31" t="n"/>
      <c r="D158" s="29" t="n"/>
      <c r="E158" s="29" t="n"/>
      <c r="F158" s="31" t="n"/>
      <c r="G158" s="31" t="n"/>
      <c r="H158" s="29" t="n"/>
      <c r="I158" s="32">
        <f>IF(OR(NOT(AND($A158&lt;&gt;"",OR($H158="",$H158="Active"))),$F158=""),"",INT((TODAY()-$F158+280)/7)&amp;"+"&amp;MOD(TODAY()-$F158+280,7))</f>
        <v/>
      </c>
      <c r="J158" s="32">
        <f>IF(NOT(AND($A158&lt;&gt;"",OR($H158="",$H158="Active"))),"",IF($F158="",0,SUMPRODUCT(($N158:$U158="")*(($F158-(40-VALUE(LEFT($N$4:$U$4,2)))*7)&lt;TODAY())))+COUNTIF($N158:$U158,"DNA")+COUNTIF($V158:$Z158,"&lt;"&amp;TODAY()))</f>
        <v/>
      </c>
      <c r="K158" s="32">
        <f>IF(NOT(AND($A158&lt;&gt;"",OR($H158="",$H158="Active"))),"",IF($F158="",0,SUMPRODUCT(($N158:$U158="")*(($F158-(40-VALUE(LEFT($N$4:$U$4,2)))*7)&gt;=TODAY())*(($F158-(40-VALUE(LEFT($N$4:$U$4,2)))*7)&lt;=TODAY()+7)))+COUNTIFS($V158:$Z158,"&gt;="&amp;TODAY(),$V158:$Z158,"&lt;="&amp;TODAY()+7))</f>
        <v/>
      </c>
      <c r="L158" s="32">
        <f>IF(OR(NOT(AND($A158&lt;&gt;"",OR($H158="",$H158="Active"))),$F158=""),"",IF(N158="",N$4,IF(O158="",O$4,IF(P158="",P$4,IF(Q158="",Q$4,IF(R158="",R$4,IF(S158="",S$4,IF(T158="",T$4,IF(U158="",U$4,"All done")))))))))</f>
        <v/>
      </c>
      <c r="M158" s="33">
        <f>IF(OR($L158="",$L158="All done"),"",($F158-(40-VALUE(LEFT($L158,2)))*7))</f>
        <v/>
      </c>
      <c r="N158" s="31" t="n"/>
      <c r="O158" s="31" t="n"/>
      <c r="P158" s="31" t="n"/>
      <c r="Q158" s="31" t="n"/>
      <c r="R158" s="31" t="n"/>
      <c r="S158" s="31" t="n"/>
      <c r="T158" s="31" t="n"/>
      <c r="U158" s="31" t="n"/>
      <c r="V158" s="31" t="n"/>
      <c r="W158" s="31" t="n"/>
      <c r="X158" s="31" t="n"/>
      <c r="Y158" s="31" t="n"/>
      <c r="Z158" s="31" t="n"/>
      <c r="AA158" s="34" t="n"/>
      <c r="AB158" s="29" t="n"/>
      <c r="AC158" s="31" t="n"/>
    </row>
    <row r="159">
      <c r="A159" s="29" t="n"/>
      <c r="B159" s="30" t="n"/>
      <c r="C159" s="31" t="n"/>
      <c r="D159" s="29" t="n"/>
      <c r="E159" s="29" t="n"/>
      <c r="F159" s="31" t="n"/>
      <c r="G159" s="31" t="n"/>
      <c r="H159" s="29" t="n"/>
      <c r="I159" s="32">
        <f>IF(OR(NOT(AND($A159&lt;&gt;"",OR($H159="",$H159="Active"))),$F159=""),"",INT((TODAY()-$F159+280)/7)&amp;"+"&amp;MOD(TODAY()-$F159+280,7))</f>
        <v/>
      </c>
      <c r="J159" s="32">
        <f>IF(NOT(AND($A159&lt;&gt;"",OR($H159="",$H159="Active"))),"",IF($F159="",0,SUMPRODUCT(($N159:$U159="")*(($F159-(40-VALUE(LEFT($N$4:$U$4,2)))*7)&lt;TODAY())))+COUNTIF($N159:$U159,"DNA")+COUNTIF($V159:$Z159,"&lt;"&amp;TODAY()))</f>
        <v/>
      </c>
      <c r="K159" s="32">
        <f>IF(NOT(AND($A159&lt;&gt;"",OR($H159="",$H159="Active"))),"",IF($F159="",0,SUMPRODUCT(($N159:$U159="")*(($F159-(40-VALUE(LEFT($N$4:$U$4,2)))*7)&gt;=TODAY())*(($F159-(40-VALUE(LEFT($N$4:$U$4,2)))*7)&lt;=TODAY()+7)))+COUNTIFS($V159:$Z159,"&gt;="&amp;TODAY(),$V159:$Z159,"&lt;="&amp;TODAY()+7))</f>
        <v/>
      </c>
      <c r="L159" s="32">
        <f>IF(OR(NOT(AND($A159&lt;&gt;"",OR($H159="",$H159="Active"))),$F159=""),"",IF(N159="",N$4,IF(O159="",O$4,IF(P159="",P$4,IF(Q159="",Q$4,IF(R159="",R$4,IF(S159="",S$4,IF(T159="",T$4,IF(U159="",U$4,"All done")))))))))</f>
        <v/>
      </c>
      <c r="M159" s="33">
        <f>IF(OR($L159="",$L159="All done"),"",($F159-(40-VALUE(LEFT($L159,2)))*7))</f>
        <v/>
      </c>
      <c r="N159" s="31" t="n"/>
      <c r="O159" s="31" t="n"/>
      <c r="P159" s="31" t="n"/>
      <c r="Q159" s="31" t="n"/>
      <c r="R159" s="31" t="n"/>
      <c r="S159" s="31" t="n"/>
      <c r="T159" s="31" t="n"/>
      <c r="U159" s="31" t="n"/>
      <c r="V159" s="31" t="n"/>
      <c r="W159" s="31" t="n"/>
      <c r="X159" s="31" t="n"/>
      <c r="Y159" s="31" t="n"/>
      <c r="Z159" s="31" t="n"/>
      <c r="AA159" s="34" t="n"/>
      <c r="AB159" s="29" t="n"/>
      <c r="AC159" s="31" t="n"/>
    </row>
    <row r="160">
      <c r="A160" s="29" t="n"/>
      <c r="B160" s="30" t="n"/>
      <c r="C160" s="31" t="n"/>
      <c r="D160" s="29" t="n"/>
      <c r="E160" s="29" t="n"/>
      <c r="F160" s="31" t="n"/>
      <c r="G160" s="31" t="n"/>
      <c r="H160" s="29" t="n"/>
      <c r="I160" s="32">
        <f>IF(OR(NOT(AND($A160&lt;&gt;"",OR($H160="",$H160="Active"))),$F160=""),"",INT((TODAY()-$F160+280)/7)&amp;"+"&amp;MOD(TODAY()-$F160+280,7))</f>
        <v/>
      </c>
      <c r="J160" s="32">
        <f>IF(NOT(AND($A160&lt;&gt;"",OR($H160="",$H160="Active"))),"",IF($F160="",0,SUMPRODUCT(($N160:$U160="")*(($F160-(40-VALUE(LEFT($N$4:$U$4,2)))*7)&lt;TODAY())))+COUNTIF($N160:$U160,"DNA")+COUNTIF($V160:$Z160,"&lt;"&amp;TODAY()))</f>
        <v/>
      </c>
      <c r="K160" s="32">
        <f>IF(NOT(AND($A160&lt;&gt;"",OR($H160="",$H160="Active"))),"",IF($F160="",0,SUMPRODUCT(($N160:$U160="")*(($F160-(40-VALUE(LEFT($N$4:$U$4,2)))*7)&gt;=TODAY())*(($F160-(40-VALUE(LEFT($N$4:$U$4,2)))*7)&lt;=TODAY()+7)))+COUNTIFS($V160:$Z160,"&gt;="&amp;TODAY(),$V160:$Z160,"&lt;="&amp;TODAY()+7))</f>
        <v/>
      </c>
      <c r="L160" s="32">
        <f>IF(OR(NOT(AND($A160&lt;&gt;"",OR($H160="",$H160="Active"))),$F160=""),"",IF(N160="",N$4,IF(O160="",O$4,IF(P160="",P$4,IF(Q160="",Q$4,IF(R160="",R$4,IF(S160="",S$4,IF(T160="",T$4,IF(U160="",U$4,"All done")))))))))</f>
        <v/>
      </c>
      <c r="M160" s="33">
        <f>IF(OR($L160="",$L160="All done"),"",($F160-(40-VALUE(LEFT($L160,2)))*7))</f>
        <v/>
      </c>
      <c r="N160" s="31" t="n"/>
      <c r="O160" s="31" t="n"/>
      <c r="P160" s="31" t="n"/>
      <c r="Q160" s="31" t="n"/>
      <c r="R160" s="31" t="n"/>
      <c r="S160" s="31" t="n"/>
      <c r="T160" s="31" t="n"/>
      <c r="U160" s="31" t="n"/>
      <c r="V160" s="31" t="n"/>
      <c r="W160" s="31" t="n"/>
      <c r="X160" s="31" t="n"/>
      <c r="Y160" s="31" t="n"/>
      <c r="Z160" s="31" t="n"/>
      <c r="AA160" s="34" t="n"/>
      <c r="AB160" s="29" t="n"/>
      <c r="AC160" s="31" t="n"/>
    </row>
    <row r="161">
      <c r="A161" s="29" t="n"/>
      <c r="B161" s="30" t="n"/>
      <c r="C161" s="31" t="n"/>
      <c r="D161" s="29" t="n"/>
      <c r="E161" s="29" t="n"/>
      <c r="F161" s="31" t="n"/>
      <c r="G161" s="31" t="n"/>
      <c r="H161" s="29" t="n"/>
      <c r="I161" s="32">
        <f>IF(OR(NOT(AND($A161&lt;&gt;"",OR($H161="",$H161="Active"))),$F161=""),"",INT((TODAY()-$F161+280)/7)&amp;"+"&amp;MOD(TODAY()-$F161+280,7))</f>
        <v/>
      </c>
      <c r="J161" s="32">
        <f>IF(NOT(AND($A161&lt;&gt;"",OR($H161="",$H161="Active"))),"",IF($F161="",0,SUMPRODUCT(($N161:$U161="")*(($F161-(40-VALUE(LEFT($N$4:$U$4,2)))*7)&lt;TODAY())))+COUNTIF($N161:$U161,"DNA")+COUNTIF($V161:$Z161,"&lt;"&amp;TODAY()))</f>
        <v/>
      </c>
      <c r="K161" s="32">
        <f>IF(NOT(AND($A161&lt;&gt;"",OR($H161="",$H161="Active"))),"",IF($F161="",0,SUMPRODUCT(($N161:$U161="")*(($F161-(40-VALUE(LEFT($N$4:$U$4,2)))*7)&gt;=TODAY())*(($F161-(40-VALUE(LEFT($N$4:$U$4,2)))*7)&lt;=TODAY()+7)))+COUNTIFS($V161:$Z161,"&gt;="&amp;TODAY(),$V161:$Z161,"&lt;="&amp;TODAY()+7))</f>
        <v/>
      </c>
      <c r="L161" s="32">
        <f>IF(OR(NOT(AND($A161&lt;&gt;"",OR($H161="",$H161="Active"))),$F161=""),"",IF(N161="",N$4,IF(O161="",O$4,IF(P161="",P$4,IF(Q161="",Q$4,IF(R161="",R$4,IF(S161="",S$4,IF(T161="",T$4,IF(U161="",U$4,"All done")))))))))</f>
        <v/>
      </c>
      <c r="M161" s="33">
        <f>IF(OR($L161="",$L161="All done"),"",($F161-(40-VALUE(LEFT($L161,2)))*7))</f>
        <v/>
      </c>
      <c r="N161" s="31" t="n"/>
      <c r="O161" s="31" t="n"/>
      <c r="P161" s="31" t="n"/>
      <c r="Q161" s="31" t="n"/>
      <c r="R161" s="31" t="n"/>
      <c r="S161" s="31" t="n"/>
      <c r="T161" s="31" t="n"/>
      <c r="U161" s="31" t="n"/>
      <c r="V161" s="31" t="n"/>
      <c r="W161" s="31" t="n"/>
      <c r="X161" s="31" t="n"/>
      <c r="Y161" s="31" t="n"/>
      <c r="Z161" s="31" t="n"/>
      <c r="AA161" s="34" t="n"/>
      <c r="AB161" s="29" t="n"/>
      <c r="AC161" s="31" t="n"/>
    </row>
    <row r="162">
      <c r="A162" s="29" t="n"/>
      <c r="B162" s="30" t="n"/>
      <c r="C162" s="31" t="n"/>
      <c r="D162" s="29" t="n"/>
      <c r="E162" s="29" t="n"/>
      <c r="F162" s="31" t="n"/>
      <c r="G162" s="31" t="n"/>
      <c r="H162" s="29" t="n"/>
      <c r="I162" s="32">
        <f>IF(OR(NOT(AND($A162&lt;&gt;"",OR($H162="",$H162="Active"))),$F162=""),"",INT((TODAY()-$F162+280)/7)&amp;"+"&amp;MOD(TODAY()-$F162+280,7))</f>
        <v/>
      </c>
      <c r="J162" s="32">
        <f>IF(NOT(AND($A162&lt;&gt;"",OR($H162="",$H162="Active"))),"",IF($F162="",0,SUMPRODUCT(($N162:$U162="")*(($F162-(40-VALUE(LEFT($N$4:$U$4,2)))*7)&lt;TODAY())))+COUNTIF($N162:$U162,"DNA")+COUNTIF($V162:$Z162,"&lt;"&amp;TODAY()))</f>
        <v/>
      </c>
      <c r="K162" s="32">
        <f>IF(NOT(AND($A162&lt;&gt;"",OR($H162="",$H162="Active"))),"",IF($F162="",0,SUMPRODUCT(($N162:$U162="")*(($F162-(40-VALUE(LEFT($N$4:$U$4,2)))*7)&gt;=TODAY())*(($F162-(40-VALUE(LEFT($N$4:$U$4,2)))*7)&lt;=TODAY()+7)))+COUNTIFS($V162:$Z162,"&gt;="&amp;TODAY(),$V162:$Z162,"&lt;="&amp;TODAY()+7))</f>
        <v/>
      </c>
      <c r="L162" s="32">
        <f>IF(OR(NOT(AND($A162&lt;&gt;"",OR($H162="",$H162="Active"))),$F162=""),"",IF(N162="",N$4,IF(O162="",O$4,IF(P162="",P$4,IF(Q162="",Q$4,IF(R162="",R$4,IF(S162="",S$4,IF(T162="",T$4,IF(U162="",U$4,"All done")))))))))</f>
        <v/>
      </c>
      <c r="M162" s="33">
        <f>IF(OR($L162="",$L162="All done"),"",($F162-(40-VALUE(LEFT($L162,2)))*7))</f>
        <v/>
      </c>
      <c r="N162" s="31" t="n"/>
      <c r="O162" s="31" t="n"/>
      <c r="P162" s="31" t="n"/>
      <c r="Q162" s="31" t="n"/>
      <c r="R162" s="31" t="n"/>
      <c r="S162" s="31" t="n"/>
      <c r="T162" s="31" t="n"/>
      <c r="U162" s="31" t="n"/>
      <c r="V162" s="31" t="n"/>
      <c r="W162" s="31" t="n"/>
      <c r="X162" s="31" t="n"/>
      <c r="Y162" s="31" t="n"/>
      <c r="Z162" s="31" t="n"/>
      <c r="AA162" s="34" t="n"/>
      <c r="AB162" s="29" t="n"/>
      <c r="AC162" s="31" t="n"/>
    </row>
    <row r="163">
      <c r="A163" s="29" t="n"/>
      <c r="B163" s="30" t="n"/>
      <c r="C163" s="31" t="n"/>
      <c r="D163" s="29" t="n"/>
      <c r="E163" s="29" t="n"/>
      <c r="F163" s="31" t="n"/>
      <c r="G163" s="31" t="n"/>
      <c r="H163" s="29" t="n"/>
      <c r="I163" s="32">
        <f>IF(OR(NOT(AND($A163&lt;&gt;"",OR($H163="",$H163="Active"))),$F163=""),"",INT((TODAY()-$F163+280)/7)&amp;"+"&amp;MOD(TODAY()-$F163+280,7))</f>
        <v/>
      </c>
      <c r="J163" s="32">
        <f>IF(NOT(AND($A163&lt;&gt;"",OR($H163="",$H163="Active"))),"",IF($F163="",0,SUMPRODUCT(($N163:$U163="")*(($F163-(40-VALUE(LEFT($N$4:$U$4,2)))*7)&lt;TODAY())))+COUNTIF($N163:$U163,"DNA")+COUNTIF($V163:$Z163,"&lt;"&amp;TODAY()))</f>
        <v/>
      </c>
      <c r="K163" s="32">
        <f>IF(NOT(AND($A163&lt;&gt;"",OR($H163="",$H163="Active"))),"",IF($F163="",0,SUMPRODUCT(($N163:$U163="")*(($F163-(40-VALUE(LEFT($N$4:$U$4,2)))*7)&gt;=TODAY())*(($F163-(40-VALUE(LEFT($N$4:$U$4,2)))*7)&lt;=TODAY()+7)))+COUNTIFS($V163:$Z163,"&gt;="&amp;TODAY(),$V163:$Z163,"&lt;="&amp;TODAY()+7))</f>
        <v/>
      </c>
      <c r="L163" s="32">
        <f>IF(OR(NOT(AND($A163&lt;&gt;"",OR($H163="",$H163="Active"))),$F163=""),"",IF(N163="",N$4,IF(O163="",O$4,IF(P163="",P$4,IF(Q163="",Q$4,IF(R163="",R$4,IF(S163="",S$4,IF(T163="",T$4,IF(U163="",U$4,"All done")))))))))</f>
        <v/>
      </c>
      <c r="M163" s="33">
        <f>IF(OR($L163="",$L163="All done"),"",($F163-(40-VALUE(LEFT($L163,2)))*7))</f>
        <v/>
      </c>
      <c r="N163" s="31" t="n"/>
      <c r="O163" s="31" t="n"/>
      <c r="P163" s="31" t="n"/>
      <c r="Q163" s="31" t="n"/>
      <c r="R163" s="31" t="n"/>
      <c r="S163" s="31" t="n"/>
      <c r="T163" s="31" t="n"/>
      <c r="U163" s="31" t="n"/>
      <c r="V163" s="31" t="n"/>
      <c r="W163" s="31" t="n"/>
      <c r="X163" s="31" t="n"/>
      <c r="Y163" s="31" t="n"/>
      <c r="Z163" s="31" t="n"/>
      <c r="AA163" s="34" t="n"/>
      <c r="AB163" s="29" t="n"/>
      <c r="AC163" s="31" t="n"/>
    </row>
    <row r="164">
      <c r="A164" s="29" t="n"/>
      <c r="B164" s="30" t="n"/>
      <c r="C164" s="31" t="n"/>
      <c r="D164" s="29" t="n"/>
      <c r="E164" s="29" t="n"/>
      <c r="F164" s="31" t="n"/>
      <c r="G164" s="31" t="n"/>
      <c r="H164" s="29" t="n"/>
      <c r="I164" s="32">
        <f>IF(OR(NOT(AND($A164&lt;&gt;"",OR($H164="",$H164="Active"))),$F164=""),"",INT((TODAY()-$F164+280)/7)&amp;"+"&amp;MOD(TODAY()-$F164+280,7))</f>
        <v/>
      </c>
      <c r="J164" s="32">
        <f>IF(NOT(AND($A164&lt;&gt;"",OR($H164="",$H164="Active"))),"",IF($F164="",0,SUMPRODUCT(($N164:$U164="")*(($F164-(40-VALUE(LEFT($N$4:$U$4,2)))*7)&lt;TODAY())))+COUNTIF($N164:$U164,"DNA")+COUNTIF($V164:$Z164,"&lt;"&amp;TODAY()))</f>
        <v/>
      </c>
      <c r="K164" s="32">
        <f>IF(NOT(AND($A164&lt;&gt;"",OR($H164="",$H164="Active"))),"",IF($F164="",0,SUMPRODUCT(($N164:$U164="")*(($F164-(40-VALUE(LEFT($N$4:$U$4,2)))*7)&gt;=TODAY())*(($F164-(40-VALUE(LEFT($N$4:$U$4,2)))*7)&lt;=TODAY()+7)))+COUNTIFS($V164:$Z164,"&gt;="&amp;TODAY(),$V164:$Z164,"&lt;="&amp;TODAY()+7))</f>
        <v/>
      </c>
      <c r="L164" s="32">
        <f>IF(OR(NOT(AND($A164&lt;&gt;"",OR($H164="",$H164="Active"))),$F164=""),"",IF(N164="",N$4,IF(O164="",O$4,IF(P164="",P$4,IF(Q164="",Q$4,IF(R164="",R$4,IF(S164="",S$4,IF(T164="",T$4,IF(U164="",U$4,"All done")))))))))</f>
        <v/>
      </c>
      <c r="M164" s="33">
        <f>IF(OR($L164="",$L164="All done"),"",($F164-(40-VALUE(LEFT($L164,2)))*7))</f>
        <v/>
      </c>
      <c r="N164" s="31" t="n"/>
      <c r="O164" s="31" t="n"/>
      <c r="P164" s="31" t="n"/>
      <c r="Q164" s="31" t="n"/>
      <c r="R164" s="31" t="n"/>
      <c r="S164" s="31" t="n"/>
      <c r="T164" s="31" t="n"/>
      <c r="U164" s="31" t="n"/>
      <c r="V164" s="31" t="n"/>
      <c r="W164" s="31" t="n"/>
      <c r="X164" s="31" t="n"/>
      <c r="Y164" s="31" t="n"/>
      <c r="Z164" s="31" t="n"/>
      <c r="AA164" s="34" t="n"/>
      <c r="AB164" s="29" t="n"/>
      <c r="AC164" s="31" t="n"/>
    </row>
    <row r="165">
      <c r="A165" s="29" t="n"/>
      <c r="B165" s="30" t="n"/>
      <c r="C165" s="31" t="n"/>
      <c r="D165" s="29" t="n"/>
      <c r="E165" s="29" t="n"/>
      <c r="F165" s="31" t="n"/>
      <c r="G165" s="31" t="n"/>
      <c r="H165" s="29" t="n"/>
      <c r="I165" s="32">
        <f>IF(OR(NOT(AND($A165&lt;&gt;"",OR($H165="",$H165="Active"))),$F165=""),"",INT((TODAY()-$F165+280)/7)&amp;"+"&amp;MOD(TODAY()-$F165+280,7))</f>
        <v/>
      </c>
      <c r="J165" s="32">
        <f>IF(NOT(AND($A165&lt;&gt;"",OR($H165="",$H165="Active"))),"",IF($F165="",0,SUMPRODUCT(($N165:$U165="")*(($F165-(40-VALUE(LEFT($N$4:$U$4,2)))*7)&lt;TODAY())))+COUNTIF($N165:$U165,"DNA")+COUNTIF($V165:$Z165,"&lt;"&amp;TODAY()))</f>
        <v/>
      </c>
      <c r="K165" s="32">
        <f>IF(NOT(AND($A165&lt;&gt;"",OR($H165="",$H165="Active"))),"",IF($F165="",0,SUMPRODUCT(($N165:$U165="")*(($F165-(40-VALUE(LEFT($N$4:$U$4,2)))*7)&gt;=TODAY())*(($F165-(40-VALUE(LEFT($N$4:$U$4,2)))*7)&lt;=TODAY()+7)))+COUNTIFS($V165:$Z165,"&gt;="&amp;TODAY(),$V165:$Z165,"&lt;="&amp;TODAY()+7))</f>
        <v/>
      </c>
      <c r="L165" s="32">
        <f>IF(OR(NOT(AND($A165&lt;&gt;"",OR($H165="",$H165="Active"))),$F165=""),"",IF(N165="",N$4,IF(O165="",O$4,IF(P165="",P$4,IF(Q165="",Q$4,IF(R165="",R$4,IF(S165="",S$4,IF(T165="",T$4,IF(U165="",U$4,"All done")))))))))</f>
        <v/>
      </c>
      <c r="M165" s="33">
        <f>IF(OR($L165="",$L165="All done"),"",($F165-(40-VALUE(LEFT($L165,2)))*7))</f>
        <v/>
      </c>
      <c r="N165" s="31" t="n"/>
      <c r="O165" s="31" t="n"/>
      <c r="P165" s="31" t="n"/>
      <c r="Q165" s="31" t="n"/>
      <c r="R165" s="31" t="n"/>
      <c r="S165" s="31" t="n"/>
      <c r="T165" s="31" t="n"/>
      <c r="U165" s="31" t="n"/>
      <c r="V165" s="31" t="n"/>
      <c r="W165" s="31" t="n"/>
      <c r="X165" s="31" t="n"/>
      <c r="Y165" s="31" t="n"/>
      <c r="Z165" s="31" t="n"/>
      <c r="AA165" s="34" t="n"/>
      <c r="AB165" s="29" t="n"/>
      <c r="AC165" s="31" t="n"/>
    </row>
    <row r="166">
      <c r="A166" s="29" t="n"/>
      <c r="B166" s="30" t="n"/>
      <c r="C166" s="31" t="n"/>
      <c r="D166" s="29" t="n"/>
      <c r="E166" s="29" t="n"/>
      <c r="F166" s="31" t="n"/>
      <c r="G166" s="31" t="n"/>
      <c r="H166" s="29" t="n"/>
      <c r="I166" s="32">
        <f>IF(OR(NOT(AND($A166&lt;&gt;"",OR($H166="",$H166="Active"))),$F166=""),"",INT((TODAY()-$F166+280)/7)&amp;"+"&amp;MOD(TODAY()-$F166+280,7))</f>
        <v/>
      </c>
      <c r="J166" s="32">
        <f>IF(NOT(AND($A166&lt;&gt;"",OR($H166="",$H166="Active"))),"",IF($F166="",0,SUMPRODUCT(($N166:$U166="")*(($F166-(40-VALUE(LEFT($N$4:$U$4,2)))*7)&lt;TODAY())))+COUNTIF($N166:$U166,"DNA")+COUNTIF($V166:$Z166,"&lt;"&amp;TODAY()))</f>
        <v/>
      </c>
      <c r="K166" s="32">
        <f>IF(NOT(AND($A166&lt;&gt;"",OR($H166="",$H166="Active"))),"",IF($F166="",0,SUMPRODUCT(($N166:$U166="")*(($F166-(40-VALUE(LEFT($N$4:$U$4,2)))*7)&gt;=TODAY())*(($F166-(40-VALUE(LEFT($N$4:$U$4,2)))*7)&lt;=TODAY()+7)))+COUNTIFS($V166:$Z166,"&gt;="&amp;TODAY(),$V166:$Z166,"&lt;="&amp;TODAY()+7))</f>
        <v/>
      </c>
      <c r="L166" s="32">
        <f>IF(OR(NOT(AND($A166&lt;&gt;"",OR($H166="",$H166="Active"))),$F166=""),"",IF(N166="",N$4,IF(O166="",O$4,IF(P166="",P$4,IF(Q166="",Q$4,IF(R166="",R$4,IF(S166="",S$4,IF(T166="",T$4,IF(U166="",U$4,"All done")))))))))</f>
        <v/>
      </c>
      <c r="M166" s="33">
        <f>IF(OR($L166="",$L166="All done"),"",($F166-(40-VALUE(LEFT($L166,2)))*7))</f>
        <v/>
      </c>
      <c r="N166" s="31" t="n"/>
      <c r="O166" s="31" t="n"/>
      <c r="P166" s="31" t="n"/>
      <c r="Q166" s="31" t="n"/>
      <c r="R166" s="31" t="n"/>
      <c r="S166" s="31" t="n"/>
      <c r="T166" s="31" t="n"/>
      <c r="U166" s="31" t="n"/>
      <c r="V166" s="31" t="n"/>
      <c r="W166" s="31" t="n"/>
      <c r="X166" s="31" t="n"/>
      <c r="Y166" s="31" t="n"/>
      <c r="Z166" s="31" t="n"/>
      <c r="AA166" s="34" t="n"/>
      <c r="AB166" s="29" t="n"/>
      <c r="AC166" s="31" t="n"/>
    </row>
    <row r="167">
      <c r="A167" s="29" t="n"/>
      <c r="B167" s="30" t="n"/>
      <c r="C167" s="31" t="n"/>
      <c r="D167" s="29" t="n"/>
      <c r="E167" s="29" t="n"/>
      <c r="F167" s="31" t="n"/>
      <c r="G167" s="31" t="n"/>
      <c r="H167" s="29" t="n"/>
      <c r="I167" s="32">
        <f>IF(OR(NOT(AND($A167&lt;&gt;"",OR($H167="",$H167="Active"))),$F167=""),"",INT((TODAY()-$F167+280)/7)&amp;"+"&amp;MOD(TODAY()-$F167+280,7))</f>
        <v/>
      </c>
      <c r="J167" s="32">
        <f>IF(NOT(AND($A167&lt;&gt;"",OR($H167="",$H167="Active"))),"",IF($F167="",0,SUMPRODUCT(($N167:$U167="")*(($F167-(40-VALUE(LEFT($N$4:$U$4,2)))*7)&lt;TODAY())))+COUNTIF($N167:$U167,"DNA")+COUNTIF($V167:$Z167,"&lt;"&amp;TODAY()))</f>
        <v/>
      </c>
      <c r="K167" s="32">
        <f>IF(NOT(AND($A167&lt;&gt;"",OR($H167="",$H167="Active"))),"",IF($F167="",0,SUMPRODUCT(($N167:$U167="")*(($F167-(40-VALUE(LEFT($N$4:$U$4,2)))*7)&gt;=TODAY())*(($F167-(40-VALUE(LEFT($N$4:$U$4,2)))*7)&lt;=TODAY()+7)))+COUNTIFS($V167:$Z167,"&gt;="&amp;TODAY(),$V167:$Z167,"&lt;="&amp;TODAY()+7))</f>
        <v/>
      </c>
      <c r="L167" s="32">
        <f>IF(OR(NOT(AND($A167&lt;&gt;"",OR($H167="",$H167="Active"))),$F167=""),"",IF(N167="",N$4,IF(O167="",O$4,IF(P167="",P$4,IF(Q167="",Q$4,IF(R167="",R$4,IF(S167="",S$4,IF(T167="",T$4,IF(U167="",U$4,"All done")))))))))</f>
        <v/>
      </c>
      <c r="M167" s="33">
        <f>IF(OR($L167="",$L167="All done"),"",($F167-(40-VALUE(LEFT($L167,2)))*7))</f>
        <v/>
      </c>
      <c r="N167" s="31" t="n"/>
      <c r="O167" s="31" t="n"/>
      <c r="P167" s="31" t="n"/>
      <c r="Q167" s="31" t="n"/>
      <c r="R167" s="31" t="n"/>
      <c r="S167" s="31" t="n"/>
      <c r="T167" s="31" t="n"/>
      <c r="U167" s="31" t="n"/>
      <c r="V167" s="31" t="n"/>
      <c r="W167" s="31" t="n"/>
      <c r="X167" s="31" t="n"/>
      <c r="Y167" s="31" t="n"/>
      <c r="Z167" s="31" t="n"/>
      <c r="AA167" s="34" t="n"/>
      <c r="AB167" s="29" t="n"/>
      <c r="AC167" s="31" t="n"/>
    </row>
    <row r="168">
      <c r="A168" s="29" t="n"/>
      <c r="B168" s="30" t="n"/>
      <c r="C168" s="31" t="n"/>
      <c r="D168" s="29" t="n"/>
      <c r="E168" s="29" t="n"/>
      <c r="F168" s="31" t="n"/>
      <c r="G168" s="31" t="n"/>
      <c r="H168" s="29" t="n"/>
      <c r="I168" s="32">
        <f>IF(OR(NOT(AND($A168&lt;&gt;"",OR($H168="",$H168="Active"))),$F168=""),"",INT((TODAY()-$F168+280)/7)&amp;"+"&amp;MOD(TODAY()-$F168+280,7))</f>
        <v/>
      </c>
      <c r="J168" s="32">
        <f>IF(NOT(AND($A168&lt;&gt;"",OR($H168="",$H168="Active"))),"",IF($F168="",0,SUMPRODUCT(($N168:$U168="")*(($F168-(40-VALUE(LEFT($N$4:$U$4,2)))*7)&lt;TODAY())))+COUNTIF($N168:$U168,"DNA")+COUNTIF($V168:$Z168,"&lt;"&amp;TODAY()))</f>
        <v/>
      </c>
      <c r="K168" s="32">
        <f>IF(NOT(AND($A168&lt;&gt;"",OR($H168="",$H168="Active"))),"",IF($F168="",0,SUMPRODUCT(($N168:$U168="")*(($F168-(40-VALUE(LEFT($N$4:$U$4,2)))*7)&gt;=TODAY())*(($F168-(40-VALUE(LEFT($N$4:$U$4,2)))*7)&lt;=TODAY()+7)))+COUNTIFS($V168:$Z168,"&gt;="&amp;TODAY(),$V168:$Z168,"&lt;="&amp;TODAY()+7))</f>
        <v/>
      </c>
      <c r="L168" s="32">
        <f>IF(OR(NOT(AND($A168&lt;&gt;"",OR($H168="",$H168="Active"))),$F168=""),"",IF(N168="",N$4,IF(O168="",O$4,IF(P168="",P$4,IF(Q168="",Q$4,IF(R168="",R$4,IF(S168="",S$4,IF(T168="",T$4,IF(U168="",U$4,"All done")))))))))</f>
        <v/>
      </c>
      <c r="M168" s="33">
        <f>IF(OR($L168="",$L168="All done"),"",($F168-(40-VALUE(LEFT($L168,2)))*7))</f>
        <v/>
      </c>
      <c r="N168" s="31" t="n"/>
      <c r="O168" s="31" t="n"/>
      <c r="P168" s="31" t="n"/>
      <c r="Q168" s="31" t="n"/>
      <c r="R168" s="31" t="n"/>
      <c r="S168" s="31" t="n"/>
      <c r="T168" s="31" t="n"/>
      <c r="U168" s="31" t="n"/>
      <c r="V168" s="31" t="n"/>
      <c r="W168" s="31" t="n"/>
      <c r="X168" s="31" t="n"/>
      <c r="Y168" s="31" t="n"/>
      <c r="Z168" s="31" t="n"/>
      <c r="AA168" s="34" t="n"/>
      <c r="AB168" s="29" t="n"/>
      <c r="AC168" s="31" t="n"/>
    </row>
    <row r="169">
      <c r="A169" s="29" t="n"/>
      <c r="B169" s="30" t="n"/>
      <c r="C169" s="31" t="n"/>
      <c r="D169" s="29" t="n"/>
      <c r="E169" s="29" t="n"/>
      <c r="F169" s="31" t="n"/>
      <c r="G169" s="31" t="n"/>
      <c r="H169" s="29" t="n"/>
      <c r="I169" s="32">
        <f>IF(OR(NOT(AND($A169&lt;&gt;"",OR($H169="",$H169="Active"))),$F169=""),"",INT((TODAY()-$F169+280)/7)&amp;"+"&amp;MOD(TODAY()-$F169+280,7))</f>
        <v/>
      </c>
      <c r="J169" s="32">
        <f>IF(NOT(AND($A169&lt;&gt;"",OR($H169="",$H169="Active"))),"",IF($F169="",0,SUMPRODUCT(($N169:$U169="")*(($F169-(40-VALUE(LEFT($N$4:$U$4,2)))*7)&lt;TODAY())))+COUNTIF($N169:$U169,"DNA")+COUNTIF($V169:$Z169,"&lt;"&amp;TODAY()))</f>
        <v/>
      </c>
      <c r="K169" s="32">
        <f>IF(NOT(AND($A169&lt;&gt;"",OR($H169="",$H169="Active"))),"",IF($F169="",0,SUMPRODUCT(($N169:$U169="")*(($F169-(40-VALUE(LEFT($N$4:$U$4,2)))*7)&gt;=TODAY())*(($F169-(40-VALUE(LEFT($N$4:$U$4,2)))*7)&lt;=TODAY()+7)))+COUNTIFS($V169:$Z169,"&gt;="&amp;TODAY(),$V169:$Z169,"&lt;="&amp;TODAY()+7))</f>
        <v/>
      </c>
      <c r="L169" s="32">
        <f>IF(OR(NOT(AND($A169&lt;&gt;"",OR($H169="",$H169="Active"))),$F169=""),"",IF(N169="",N$4,IF(O169="",O$4,IF(P169="",P$4,IF(Q169="",Q$4,IF(R169="",R$4,IF(S169="",S$4,IF(T169="",T$4,IF(U169="",U$4,"All done")))))))))</f>
        <v/>
      </c>
      <c r="M169" s="33">
        <f>IF(OR($L169="",$L169="All done"),"",($F169-(40-VALUE(LEFT($L169,2)))*7))</f>
        <v/>
      </c>
      <c r="N169" s="31" t="n"/>
      <c r="O169" s="31" t="n"/>
      <c r="P169" s="31" t="n"/>
      <c r="Q169" s="31" t="n"/>
      <c r="R169" s="31" t="n"/>
      <c r="S169" s="31" t="n"/>
      <c r="T169" s="31" t="n"/>
      <c r="U169" s="31" t="n"/>
      <c r="V169" s="31" t="n"/>
      <c r="W169" s="31" t="n"/>
      <c r="X169" s="31" t="n"/>
      <c r="Y169" s="31" t="n"/>
      <c r="Z169" s="31" t="n"/>
      <c r="AA169" s="34" t="n"/>
      <c r="AB169" s="29" t="n"/>
      <c r="AC169" s="31" t="n"/>
    </row>
    <row r="170">
      <c r="A170" s="29" t="n"/>
      <c r="B170" s="30" t="n"/>
      <c r="C170" s="31" t="n"/>
      <c r="D170" s="29" t="n"/>
      <c r="E170" s="29" t="n"/>
      <c r="F170" s="31" t="n"/>
      <c r="G170" s="31" t="n"/>
      <c r="H170" s="29" t="n"/>
      <c r="I170" s="32">
        <f>IF(OR(NOT(AND($A170&lt;&gt;"",OR($H170="",$H170="Active"))),$F170=""),"",INT((TODAY()-$F170+280)/7)&amp;"+"&amp;MOD(TODAY()-$F170+280,7))</f>
        <v/>
      </c>
      <c r="J170" s="32">
        <f>IF(NOT(AND($A170&lt;&gt;"",OR($H170="",$H170="Active"))),"",IF($F170="",0,SUMPRODUCT(($N170:$U170="")*(($F170-(40-VALUE(LEFT($N$4:$U$4,2)))*7)&lt;TODAY())))+COUNTIF($N170:$U170,"DNA")+COUNTIF($V170:$Z170,"&lt;"&amp;TODAY()))</f>
        <v/>
      </c>
      <c r="K170" s="32">
        <f>IF(NOT(AND($A170&lt;&gt;"",OR($H170="",$H170="Active"))),"",IF($F170="",0,SUMPRODUCT(($N170:$U170="")*(($F170-(40-VALUE(LEFT($N$4:$U$4,2)))*7)&gt;=TODAY())*(($F170-(40-VALUE(LEFT($N$4:$U$4,2)))*7)&lt;=TODAY()+7)))+COUNTIFS($V170:$Z170,"&gt;="&amp;TODAY(),$V170:$Z170,"&lt;="&amp;TODAY()+7))</f>
        <v/>
      </c>
      <c r="L170" s="32">
        <f>IF(OR(NOT(AND($A170&lt;&gt;"",OR($H170="",$H170="Active"))),$F170=""),"",IF(N170="",N$4,IF(O170="",O$4,IF(P170="",P$4,IF(Q170="",Q$4,IF(R170="",R$4,IF(S170="",S$4,IF(T170="",T$4,IF(U170="",U$4,"All done")))))))))</f>
        <v/>
      </c>
      <c r="M170" s="33">
        <f>IF(OR($L170="",$L170="All done"),"",($F170-(40-VALUE(LEFT($L170,2)))*7))</f>
        <v/>
      </c>
      <c r="N170" s="31" t="n"/>
      <c r="O170" s="31" t="n"/>
      <c r="P170" s="31" t="n"/>
      <c r="Q170" s="31" t="n"/>
      <c r="R170" s="31" t="n"/>
      <c r="S170" s="31" t="n"/>
      <c r="T170" s="31" t="n"/>
      <c r="U170" s="31" t="n"/>
      <c r="V170" s="31" t="n"/>
      <c r="W170" s="31" t="n"/>
      <c r="X170" s="31" t="n"/>
      <c r="Y170" s="31" t="n"/>
      <c r="Z170" s="31" t="n"/>
      <c r="AA170" s="34" t="n"/>
      <c r="AB170" s="29" t="n"/>
      <c r="AC170" s="31" t="n"/>
    </row>
    <row r="171">
      <c r="A171" s="29" t="n"/>
      <c r="B171" s="30" t="n"/>
      <c r="C171" s="31" t="n"/>
      <c r="D171" s="29" t="n"/>
      <c r="E171" s="29" t="n"/>
      <c r="F171" s="31" t="n"/>
      <c r="G171" s="31" t="n"/>
      <c r="H171" s="29" t="n"/>
      <c r="I171" s="32">
        <f>IF(OR(NOT(AND($A171&lt;&gt;"",OR($H171="",$H171="Active"))),$F171=""),"",INT((TODAY()-$F171+280)/7)&amp;"+"&amp;MOD(TODAY()-$F171+280,7))</f>
        <v/>
      </c>
      <c r="J171" s="32">
        <f>IF(NOT(AND($A171&lt;&gt;"",OR($H171="",$H171="Active"))),"",IF($F171="",0,SUMPRODUCT(($N171:$U171="")*(($F171-(40-VALUE(LEFT($N$4:$U$4,2)))*7)&lt;TODAY())))+COUNTIF($N171:$U171,"DNA")+COUNTIF($V171:$Z171,"&lt;"&amp;TODAY()))</f>
        <v/>
      </c>
      <c r="K171" s="32">
        <f>IF(NOT(AND($A171&lt;&gt;"",OR($H171="",$H171="Active"))),"",IF($F171="",0,SUMPRODUCT(($N171:$U171="")*(($F171-(40-VALUE(LEFT($N$4:$U$4,2)))*7)&gt;=TODAY())*(($F171-(40-VALUE(LEFT($N$4:$U$4,2)))*7)&lt;=TODAY()+7)))+COUNTIFS($V171:$Z171,"&gt;="&amp;TODAY(),$V171:$Z171,"&lt;="&amp;TODAY()+7))</f>
        <v/>
      </c>
      <c r="L171" s="32">
        <f>IF(OR(NOT(AND($A171&lt;&gt;"",OR($H171="",$H171="Active"))),$F171=""),"",IF(N171="",N$4,IF(O171="",O$4,IF(P171="",P$4,IF(Q171="",Q$4,IF(R171="",R$4,IF(S171="",S$4,IF(T171="",T$4,IF(U171="",U$4,"All done")))))))))</f>
        <v/>
      </c>
      <c r="M171" s="33">
        <f>IF(OR($L171="",$L171="All done"),"",($F171-(40-VALUE(LEFT($L171,2)))*7))</f>
        <v/>
      </c>
      <c r="N171" s="31" t="n"/>
      <c r="O171" s="31" t="n"/>
      <c r="P171" s="31" t="n"/>
      <c r="Q171" s="31" t="n"/>
      <c r="R171" s="31" t="n"/>
      <c r="S171" s="31" t="n"/>
      <c r="T171" s="31" t="n"/>
      <c r="U171" s="31" t="n"/>
      <c r="V171" s="31" t="n"/>
      <c r="W171" s="31" t="n"/>
      <c r="X171" s="31" t="n"/>
      <c r="Y171" s="31" t="n"/>
      <c r="Z171" s="31" t="n"/>
      <c r="AA171" s="34" t="n"/>
      <c r="AB171" s="29" t="n"/>
      <c r="AC171" s="31" t="n"/>
    </row>
    <row r="172">
      <c r="A172" s="29" t="n"/>
      <c r="B172" s="30" t="n"/>
      <c r="C172" s="31" t="n"/>
      <c r="D172" s="29" t="n"/>
      <c r="E172" s="29" t="n"/>
      <c r="F172" s="31" t="n"/>
      <c r="G172" s="31" t="n"/>
      <c r="H172" s="29" t="n"/>
      <c r="I172" s="32">
        <f>IF(OR(NOT(AND($A172&lt;&gt;"",OR($H172="",$H172="Active"))),$F172=""),"",INT((TODAY()-$F172+280)/7)&amp;"+"&amp;MOD(TODAY()-$F172+280,7))</f>
        <v/>
      </c>
      <c r="J172" s="32">
        <f>IF(NOT(AND($A172&lt;&gt;"",OR($H172="",$H172="Active"))),"",IF($F172="",0,SUMPRODUCT(($N172:$U172="")*(($F172-(40-VALUE(LEFT($N$4:$U$4,2)))*7)&lt;TODAY())))+COUNTIF($N172:$U172,"DNA")+COUNTIF($V172:$Z172,"&lt;"&amp;TODAY()))</f>
        <v/>
      </c>
      <c r="K172" s="32">
        <f>IF(NOT(AND($A172&lt;&gt;"",OR($H172="",$H172="Active"))),"",IF($F172="",0,SUMPRODUCT(($N172:$U172="")*(($F172-(40-VALUE(LEFT($N$4:$U$4,2)))*7)&gt;=TODAY())*(($F172-(40-VALUE(LEFT($N$4:$U$4,2)))*7)&lt;=TODAY()+7)))+COUNTIFS($V172:$Z172,"&gt;="&amp;TODAY(),$V172:$Z172,"&lt;="&amp;TODAY()+7))</f>
        <v/>
      </c>
      <c r="L172" s="32">
        <f>IF(OR(NOT(AND($A172&lt;&gt;"",OR($H172="",$H172="Active"))),$F172=""),"",IF(N172="",N$4,IF(O172="",O$4,IF(P172="",P$4,IF(Q172="",Q$4,IF(R172="",R$4,IF(S172="",S$4,IF(T172="",T$4,IF(U172="",U$4,"All done")))))))))</f>
        <v/>
      </c>
      <c r="M172" s="33">
        <f>IF(OR($L172="",$L172="All done"),"",($F172-(40-VALUE(LEFT($L172,2)))*7))</f>
        <v/>
      </c>
      <c r="N172" s="31" t="n"/>
      <c r="O172" s="31" t="n"/>
      <c r="P172" s="31" t="n"/>
      <c r="Q172" s="31" t="n"/>
      <c r="R172" s="31" t="n"/>
      <c r="S172" s="31" t="n"/>
      <c r="T172" s="31" t="n"/>
      <c r="U172" s="31" t="n"/>
      <c r="V172" s="31" t="n"/>
      <c r="W172" s="31" t="n"/>
      <c r="X172" s="31" t="n"/>
      <c r="Y172" s="31" t="n"/>
      <c r="Z172" s="31" t="n"/>
      <c r="AA172" s="34" t="n"/>
      <c r="AB172" s="29" t="n"/>
      <c r="AC172" s="31" t="n"/>
    </row>
    <row r="173">
      <c r="A173" s="29" t="n"/>
      <c r="B173" s="30" t="n"/>
      <c r="C173" s="31" t="n"/>
      <c r="D173" s="29" t="n"/>
      <c r="E173" s="29" t="n"/>
      <c r="F173" s="31" t="n"/>
      <c r="G173" s="31" t="n"/>
      <c r="H173" s="29" t="n"/>
      <c r="I173" s="32">
        <f>IF(OR(NOT(AND($A173&lt;&gt;"",OR($H173="",$H173="Active"))),$F173=""),"",INT((TODAY()-$F173+280)/7)&amp;"+"&amp;MOD(TODAY()-$F173+280,7))</f>
        <v/>
      </c>
      <c r="J173" s="32">
        <f>IF(NOT(AND($A173&lt;&gt;"",OR($H173="",$H173="Active"))),"",IF($F173="",0,SUMPRODUCT(($N173:$U173="")*(($F173-(40-VALUE(LEFT($N$4:$U$4,2)))*7)&lt;TODAY())))+COUNTIF($N173:$U173,"DNA")+COUNTIF($V173:$Z173,"&lt;"&amp;TODAY()))</f>
        <v/>
      </c>
      <c r="K173" s="32">
        <f>IF(NOT(AND($A173&lt;&gt;"",OR($H173="",$H173="Active"))),"",IF($F173="",0,SUMPRODUCT(($N173:$U173="")*(($F173-(40-VALUE(LEFT($N$4:$U$4,2)))*7)&gt;=TODAY())*(($F173-(40-VALUE(LEFT($N$4:$U$4,2)))*7)&lt;=TODAY()+7)))+COUNTIFS($V173:$Z173,"&gt;="&amp;TODAY(),$V173:$Z173,"&lt;="&amp;TODAY()+7))</f>
        <v/>
      </c>
      <c r="L173" s="32">
        <f>IF(OR(NOT(AND($A173&lt;&gt;"",OR($H173="",$H173="Active"))),$F173=""),"",IF(N173="",N$4,IF(O173="",O$4,IF(P173="",P$4,IF(Q173="",Q$4,IF(R173="",R$4,IF(S173="",S$4,IF(T173="",T$4,IF(U173="",U$4,"All done")))))))))</f>
        <v/>
      </c>
      <c r="M173" s="33">
        <f>IF(OR($L173="",$L173="All done"),"",($F173-(40-VALUE(LEFT($L173,2)))*7))</f>
        <v/>
      </c>
      <c r="N173" s="31" t="n"/>
      <c r="O173" s="31" t="n"/>
      <c r="P173" s="31" t="n"/>
      <c r="Q173" s="31" t="n"/>
      <c r="R173" s="31" t="n"/>
      <c r="S173" s="31" t="n"/>
      <c r="T173" s="31" t="n"/>
      <c r="U173" s="31" t="n"/>
      <c r="V173" s="31" t="n"/>
      <c r="W173" s="31" t="n"/>
      <c r="X173" s="31" t="n"/>
      <c r="Y173" s="31" t="n"/>
      <c r="Z173" s="31" t="n"/>
      <c r="AA173" s="34" t="n"/>
      <c r="AB173" s="29" t="n"/>
      <c r="AC173" s="31" t="n"/>
    </row>
    <row r="174">
      <c r="A174" s="29" t="n"/>
      <c r="B174" s="30" t="n"/>
      <c r="C174" s="31" t="n"/>
      <c r="D174" s="29" t="n"/>
      <c r="E174" s="29" t="n"/>
      <c r="F174" s="31" t="n"/>
      <c r="G174" s="31" t="n"/>
      <c r="H174" s="29" t="n"/>
      <c r="I174" s="32">
        <f>IF(OR(NOT(AND($A174&lt;&gt;"",OR($H174="",$H174="Active"))),$F174=""),"",INT((TODAY()-$F174+280)/7)&amp;"+"&amp;MOD(TODAY()-$F174+280,7))</f>
        <v/>
      </c>
      <c r="J174" s="32">
        <f>IF(NOT(AND($A174&lt;&gt;"",OR($H174="",$H174="Active"))),"",IF($F174="",0,SUMPRODUCT(($N174:$U174="")*(($F174-(40-VALUE(LEFT($N$4:$U$4,2)))*7)&lt;TODAY())))+COUNTIF($N174:$U174,"DNA")+COUNTIF($V174:$Z174,"&lt;"&amp;TODAY()))</f>
        <v/>
      </c>
      <c r="K174" s="32">
        <f>IF(NOT(AND($A174&lt;&gt;"",OR($H174="",$H174="Active"))),"",IF($F174="",0,SUMPRODUCT(($N174:$U174="")*(($F174-(40-VALUE(LEFT($N$4:$U$4,2)))*7)&gt;=TODAY())*(($F174-(40-VALUE(LEFT($N$4:$U$4,2)))*7)&lt;=TODAY()+7)))+COUNTIFS($V174:$Z174,"&gt;="&amp;TODAY(),$V174:$Z174,"&lt;="&amp;TODAY()+7))</f>
        <v/>
      </c>
      <c r="L174" s="32">
        <f>IF(OR(NOT(AND($A174&lt;&gt;"",OR($H174="",$H174="Active"))),$F174=""),"",IF(N174="",N$4,IF(O174="",O$4,IF(P174="",P$4,IF(Q174="",Q$4,IF(R174="",R$4,IF(S174="",S$4,IF(T174="",T$4,IF(U174="",U$4,"All done")))))))))</f>
        <v/>
      </c>
      <c r="M174" s="33">
        <f>IF(OR($L174="",$L174="All done"),"",($F174-(40-VALUE(LEFT($L174,2)))*7))</f>
        <v/>
      </c>
      <c r="N174" s="31" t="n"/>
      <c r="O174" s="31" t="n"/>
      <c r="P174" s="31" t="n"/>
      <c r="Q174" s="31" t="n"/>
      <c r="R174" s="31" t="n"/>
      <c r="S174" s="31" t="n"/>
      <c r="T174" s="31" t="n"/>
      <c r="U174" s="31" t="n"/>
      <c r="V174" s="31" t="n"/>
      <c r="W174" s="31" t="n"/>
      <c r="X174" s="31" t="n"/>
      <c r="Y174" s="31" t="n"/>
      <c r="Z174" s="31" t="n"/>
      <c r="AA174" s="34" t="n"/>
      <c r="AB174" s="29" t="n"/>
      <c r="AC174" s="31" t="n"/>
    </row>
    <row r="175">
      <c r="A175" s="29" t="n"/>
      <c r="B175" s="30" t="n"/>
      <c r="C175" s="31" t="n"/>
      <c r="D175" s="29" t="n"/>
      <c r="E175" s="29" t="n"/>
      <c r="F175" s="31" t="n"/>
      <c r="G175" s="31" t="n"/>
      <c r="H175" s="29" t="n"/>
      <c r="I175" s="32">
        <f>IF(OR(NOT(AND($A175&lt;&gt;"",OR($H175="",$H175="Active"))),$F175=""),"",INT((TODAY()-$F175+280)/7)&amp;"+"&amp;MOD(TODAY()-$F175+280,7))</f>
        <v/>
      </c>
      <c r="J175" s="32">
        <f>IF(NOT(AND($A175&lt;&gt;"",OR($H175="",$H175="Active"))),"",IF($F175="",0,SUMPRODUCT(($N175:$U175="")*(($F175-(40-VALUE(LEFT($N$4:$U$4,2)))*7)&lt;TODAY())))+COUNTIF($N175:$U175,"DNA")+COUNTIF($V175:$Z175,"&lt;"&amp;TODAY()))</f>
        <v/>
      </c>
      <c r="K175" s="32">
        <f>IF(NOT(AND($A175&lt;&gt;"",OR($H175="",$H175="Active"))),"",IF($F175="",0,SUMPRODUCT(($N175:$U175="")*(($F175-(40-VALUE(LEFT($N$4:$U$4,2)))*7)&gt;=TODAY())*(($F175-(40-VALUE(LEFT($N$4:$U$4,2)))*7)&lt;=TODAY()+7)))+COUNTIFS($V175:$Z175,"&gt;="&amp;TODAY(),$V175:$Z175,"&lt;="&amp;TODAY()+7))</f>
        <v/>
      </c>
      <c r="L175" s="32">
        <f>IF(OR(NOT(AND($A175&lt;&gt;"",OR($H175="",$H175="Active"))),$F175=""),"",IF(N175="",N$4,IF(O175="",O$4,IF(P175="",P$4,IF(Q175="",Q$4,IF(R175="",R$4,IF(S175="",S$4,IF(T175="",T$4,IF(U175="",U$4,"All done")))))))))</f>
        <v/>
      </c>
      <c r="M175" s="33">
        <f>IF(OR($L175="",$L175="All done"),"",($F175-(40-VALUE(LEFT($L175,2)))*7))</f>
        <v/>
      </c>
      <c r="N175" s="31" t="n"/>
      <c r="O175" s="31" t="n"/>
      <c r="P175" s="31" t="n"/>
      <c r="Q175" s="31" t="n"/>
      <c r="R175" s="31" t="n"/>
      <c r="S175" s="31" t="n"/>
      <c r="T175" s="31" t="n"/>
      <c r="U175" s="31" t="n"/>
      <c r="V175" s="31" t="n"/>
      <c r="W175" s="31" t="n"/>
      <c r="X175" s="31" t="n"/>
      <c r="Y175" s="31" t="n"/>
      <c r="Z175" s="31" t="n"/>
      <c r="AA175" s="34" t="n"/>
      <c r="AB175" s="29" t="n"/>
      <c r="AC175" s="31" t="n"/>
    </row>
    <row r="176">
      <c r="A176" s="29" t="n"/>
      <c r="B176" s="30" t="n"/>
      <c r="C176" s="31" t="n"/>
      <c r="D176" s="29" t="n"/>
      <c r="E176" s="29" t="n"/>
      <c r="F176" s="31" t="n"/>
      <c r="G176" s="31" t="n"/>
      <c r="H176" s="29" t="n"/>
      <c r="I176" s="32">
        <f>IF(OR(NOT(AND($A176&lt;&gt;"",OR($H176="",$H176="Active"))),$F176=""),"",INT((TODAY()-$F176+280)/7)&amp;"+"&amp;MOD(TODAY()-$F176+280,7))</f>
        <v/>
      </c>
      <c r="J176" s="32">
        <f>IF(NOT(AND($A176&lt;&gt;"",OR($H176="",$H176="Active"))),"",IF($F176="",0,SUMPRODUCT(($N176:$U176="")*(($F176-(40-VALUE(LEFT($N$4:$U$4,2)))*7)&lt;TODAY())))+COUNTIF($N176:$U176,"DNA")+COUNTIF($V176:$Z176,"&lt;"&amp;TODAY()))</f>
        <v/>
      </c>
      <c r="K176" s="32">
        <f>IF(NOT(AND($A176&lt;&gt;"",OR($H176="",$H176="Active"))),"",IF($F176="",0,SUMPRODUCT(($N176:$U176="")*(($F176-(40-VALUE(LEFT($N$4:$U$4,2)))*7)&gt;=TODAY())*(($F176-(40-VALUE(LEFT($N$4:$U$4,2)))*7)&lt;=TODAY()+7)))+COUNTIFS($V176:$Z176,"&gt;="&amp;TODAY(),$V176:$Z176,"&lt;="&amp;TODAY()+7))</f>
        <v/>
      </c>
      <c r="L176" s="32">
        <f>IF(OR(NOT(AND($A176&lt;&gt;"",OR($H176="",$H176="Active"))),$F176=""),"",IF(N176="",N$4,IF(O176="",O$4,IF(P176="",P$4,IF(Q176="",Q$4,IF(R176="",R$4,IF(S176="",S$4,IF(T176="",T$4,IF(U176="",U$4,"All done")))))))))</f>
        <v/>
      </c>
      <c r="M176" s="33">
        <f>IF(OR($L176="",$L176="All done"),"",($F176-(40-VALUE(LEFT($L176,2)))*7))</f>
        <v/>
      </c>
      <c r="N176" s="31" t="n"/>
      <c r="O176" s="31" t="n"/>
      <c r="P176" s="31" t="n"/>
      <c r="Q176" s="31" t="n"/>
      <c r="R176" s="31" t="n"/>
      <c r="S176" s="31" t="n"/>
      <c r="T176" s="31" t="n"/>
      <c r="U176" s="31" t="n"/>
      <c r="V176" s="31" t="n"/>
      <c r="W176" s="31" t="n"/>
      <c r="X176" s="31" t="n"/>
      <c r="Y176" s="31" t="n"/>
      <c r="Z176" s="31" t="n"/>
      <c r="AA176" s="34" t="n"/>
      <c r="AB176" s="29" t="n"/>
      <c r="AC176" s="31" t="n"/>
    </row>
    <row r="177">
      <c r="A177" s="29" t="n"/>
      <c r="B177" s="30" t="n"/>
      <c r="C177" s="31" t="n"/>
      <c r="D177" s="29" t="n"/>
      <c r="E177" s="29" t="n"/>
      <c r="F177" s="31" t="n"/>
      <c r="G177" s="31" t="n"/>
      <c r="H177" s="29" t="n"/>
      <c r="I177" s="32">
        <f>IF(OR(NOT(AND($A177&lt;&gt;"",OR($H177="",$H177="Active"))),$F177=""),"",INT((TODAY()-$F177+280)/7)&amp;"+"&amp;MOD(TODAY()-$F177+280,7))</f>
        <v/>
      </c>
      <c r="J177" s="32">
        <f>IF(NOT(AND($A177&lt;&gt;"",OR($H177="",$H177="Active"))),"",IF($F177="",0,SUMPRODUCT(($N177:$U177="")*(($F177-(40-VALUE(LEFT($N$4:$U$4,2)))*7)&lt;TODAY())))+COUNTIF($N177:$U177,"DNA")+COUNTIF($V177:$Z177,"&lt;"&amp;TODAY()))</f>
        <v/>
      </c>
      <c r="K177" s="32">
        <f>IF(NOT(AND($A177&lt;&gt;"",OR($H177="",$H177="Active"))),"",IF($F177="",0,SUMPRODUCT(($N177:$U177="")*(($F177-(40-VALUE(LEFT($N$4:$U$4,2)))*7)&gt;=TODAY())*(($F177-(40-VALUE(LEFT($N$4:$U$4,2)))*7)&lt;=TODAY()+7)))+COUNTIFS($V177:$Z177,"&gt;="&amp;TODAY(),$V177:$Z177,"&lt;="&amp;TODAY()+7))</f>
        <v/>
      </c>
      <c r="L177" s="32">
        <f>IF(OR(NOT(AND($A177&lt;&gt;"",OR($H177="",$H177="Active"))),$F177=""),"",IF(N177="",N$4,IF(O177="",O$4,IF(P177="",P$4,IF(Q177="",Q$4,IF(R177="",R$4,IF(S177="",S$4,IF(T177="",T$4,IF(U177="",U$4,"All done")))))))))</f>
        <v/>
      </c>
      <c r="M177" s="33">
        <f>IF(OR($L177="",$L177="All done"),"",($F177-(40-VALUE(LEFT($L177,2)))*7))</f>
        <v/>
      </c>
      <c r="N177" s="31" t="n"/>
      <c r="O177" s="31" t="n"/>
      <c r="P177" s="31" t="n"/>
      <c r="Q177" s="31" t="n"/>
      <c r="R177" s="31" t="n"/>
      <c r="S177" s="31" t="n"/>
      <c r="T177" s="31" t="n"/>
      <c r="U177" s="31" t="n"/>
      <c r="V177" s="31" t="n"/>
      <c r="W177" s="31" t="n"/>
      <c r="X177" s="31" t="n"/>
      <c r="Y177" s="31" t="n"/>
      <c r="Z177" s="31" t="n"/>
      <c r="AA177" s="34" t="n"/>
      <c r="AB177" s="29" t="n"/>
      <c r="AC177" s="31" t="n"/>
    </row>
    <row r="178">
      <c r="A178" s="29" t="n"/>
      <c r="B178" s="30" t="n"/>
      <c r="C178" s="31" t="n"/>
      <c r="D178" s="29" t="n"/>
      <c r="E178" s="29" t="n"/>
      <c r="F178" s="31" t="n"/>
      <c r="G178" s="31" t="n"/>
      <c r="H178" s="29" t="n"/>
      <c r="I178" s="32">
        <f>IF(OR(NOT(AND($A178&lt;&gt;"",OR($H178="",$H178="Active"))),$F178=""),"",INT((TODAY()-$F178+280)/7)&amp;"+"&amp;MOD(TODAY()-$F178+280,7))</f>
        <v/>
      </c>
      <c r="J178" s="32">
        <f>IF(NOT(AND($A178&lt;&gt;"",OR($H178="",$H178="Active"))),"",IF($F178="",0,SUMPRODUCT(($N178:$U178="")*(($F178-(40-VALUE(LEFT($N$4:$U$4,2)))*7)&lt;TODAY())))+COUNTIF($N178:$U178,"DNA")+COUNTIF($V178:$Z178,"&lt;"&amp;TODAY()))</f>
        <v/>
      </c>
      <c r="K178" s="32">
        <f>IF(NOT(AND($A178&lt;&gt;"",OR($H178="",$H178="Active"))),"",IF($F178="",0,SUMPRODUCT(($N178:$U178="")*(($F178-(40-VALUE(LEFT($N$4:$U$4,2)))*7)&gt;=TODAY())*(($F178-(40-VALUE(LEFT($N$4:$U$4,2)))*7)&lt;=TODAY()+7)))+COUNTIFS($V178:$Z178,"&gt;="&amp;TODAY(),$V178:$Z178,"&lt;="&amp;TODAY()+7))</f>
        <v/>
      </c>
      <c r="L178" s="32">
        <f>IF(OR(NOT(AND($A178&lt;&gt;"",OR($H178="",$H178="Active"))),$F178=""),"",IF(N178="",N$4,IF(O178="",O$4,IF(P178="",P$4,IF(Q178="",Q$4,IF(R178="",R$4,IF(S178="",S$4,IF(T178="",T$4,IF(U178="",U$4,"All done")))))))))</f>
        <v/>
      </c>
      <c r="M178" s="33">
        <f>IF(OR($L178="",$L178="All done"),"",($F178-(40-VALUE(LEFT($L178,2)))*7))</f>
        <v/>
      </c>
      <c r="N178" s="31" t="n"/>
      <c r="O178" s="31" t="n"/>
      <c r="P178" s="31" t="n"/>
      <c r="Q178" s="31" t="n"/>
      <c r="R178" s="31" t="n"/>
      <c r="S178" s="31" t="n"/>
      <c r="T178" s="31" t="n"/>
      <c r="U178" s="31" t="n"/>
      <c r="V178" s="31" t="n"/>
      <c r="W178" s="31" t="n"/>
      <c r="X178" s="31" t="n"/>
      <c r="Y178" s="31" t="n"/>
      <c r="Z178" s="31" t="n"/>
      <c r="AA178" s="34" t="n"/>
      <c r="AB178" s="29" t="n"/>
      <c r="AC178" s="31" t="n"/>
    </row>
    <row r="179">
      <c r="A179" s="29" t="n"/>
      <c r="B179" s="30" t="n"/>
      <c r="C179" s="31" t="n"/>
      <c r="D179" s="29" t="n"/>
      <c r="E179" s="29" t="n"/>
      <c r="F179" s="31" t="n"/>
      <c r="G179" s="31" t="n"/>
      <c r="H179" s="29" t="n"/>
      <c r="I179" s="32">
        <f>IF(OR(NOT(AND($A179&lt;&gt;"",OR($H179="",$H179="Active"))),$F179=""),"",INT((TODAY()-$F179+280)/7)&amp;"+"&amp;MOD(TODAY()-$F179+280,7))</f>
        <v/>
      </c>
      <c r="J179" s="32">
        <f>IF(NOT(AND($A179&lt;&gt;"",OR($H179="",$H179="Active"))),"",IF($F179="",0,SUMPRODUCT(($N179:$U179="")*(($F179-(40-VALUE(LEFT($N$4:$U$4,2)))*7)&lt;TODAY())))+COUNTIF($N179:$U179,"DNA")+COUNTIF($V179:$Z179,"&lt;"&amp;TODAY()))</f>
        <v/>
      </c>
      <c r="K179" s="32">
        <f>IF(NOT(AND($A179&lt;&gt;"",OR($H179="",$H179="Active"))),"",IF($F179="",0,SUMPRODUCT(($N179:$U179="")*(($F179-(40-VALUE(LEFT($N$4:$U$4,2)))*7)&gt;=TODAY())*(($F179-(40-VALUE(LEFT($N$4:$U$4,2)))*7)&lt;=TODAY()+7)))+COUNTIFS($V179:$Z179,"&gt;="&amp;TODAY(),$V179:$Z179,"&lt;="&amp;TODAY()+7))</f>
        <v/>
      </c>
      <c r="L179" s="32">
        <f>IF(OR(NOT(AND($A179&lt;&gt;"",OR($H179="",$H179="Active"))),$F179=""),"",IF(N179="",N$4,IF(O179="",O$4,IF(P179="",P$4,IF(Q179="",Q$4,IF(R179="",R$4,IF(S179="",S$4,IF(T179="",T$4,IF(U179="",U$4,"All done")))))))))</f>
        <v/>
      </c>
      <c r="M179" s="33">
        <f>IF(OR($L179="",$L179="All done"),"",($F179-(40-VALUE(LEFT($L179,2)))*7))</f>
        <v/>
      </c>
      <c r="N179" s="31" t="n"/>
      <c r="O179" s="31" t="n"/>
      <c r="P179" s="31" t="n"/>
      <c r="Q179" s="31" t="n"/>
      <c r="R179" s="31" t="n"/>
      <c r="S179" s="31" t="n"/>
      <c r="T179" s="31" t="n"/>
      <c r="U179" s="31" t="n"/>
      <c r="V179" s="31" t="n"/>
      <c r="W179" s="31" t="n"/>
      <c r="X179" s="31" t="n"/>
      <c r="Y179" s="31" t="n"/>
      <c r="Z179" s="31" t="n"/>
      <c r="AA179" s="34" t="n"/>
      <c r="AB179" s="29" t="n"/>
      <c r="AC179" s="31" t="n"/>
    </row>
    <row r="180">
      <c r="A180" s="29" t="n"/>
      <c r="B180" s="30" t="n"/>
      <c r="C180" s="31" t="n"/>
      <c r="D180" s="29" t="n"/>
      <c r="E180" s="29" t="n"/>
      <c r="F180" s="31" t="n"/>
      <c r="G180" s="31" t="n"/>
      <c r="H180" s="29" t="n"/>
      <c r="I180" s="32">
        <f>IF(OR(NOT(AND($A180&lt;&gt;"",OR($H180="",$H180="Active"))),$F180=""),"",INT((TODAY()-$F180+280)/7)&amp;"+"&amp;MOD(TODAY()-$F180+280,7))</f>
        <v/>
      </c>
      <c r="J180" s="32">
        <f>IF(NOT(AND($A180&lt;&gt;"",OR($H180="",$H180="Active"))),"",IF($F180="",0,SUMPRODUCT(($N180:$U180="")*(($F180-(40-VALUE(LEFT($N$4:$U$4,2)))*7)&lt;TODAY())))+COUNTIF($N180:$U180,"DNA")+COUNTIF($V180:$Z180,"&lt;"&amp;TODAY()))</f>
        <v/>
      </c>
      <c r="K180" s="32">
        <f>IF(NOT(AND($A180&lt;&gt;"",OR($H180="",$H180="Active"))),"",IF($F180="",0,SUMPRODUCT(($N180:$U180="")*(($F180-(40-VALUE(LEFT($N$4:$U$4,2)))*7)&gt;=TODAY())*(($F180-(40-VALUE(LEFT($N$4:$U$4,2)))*7)&lt;=TODAY()+7)))+COUNTIFS($V180:$Z180,"&gt;="&amp;TODAY(),$V180:$Z180,"&lt;="&amp;TODAY()+7))</f>
        <v/>
      </c>
      <c r="L180" s="32">
        <f>IF(OR(NOT(AND($A180&lt;&gt;"",OR($H180="",$H180="Active"))),$F180=""),"",IF(N180="",N$4,IF(O180="",O$4,IF(P180="",P$4,IF(Q180="",Q$4,IF(R180="",R$4,IF(S180="",S$4,IF(T180="",T$4,IF(U180="",U$4,"All done")))))))))</f>
        <v/>
      </c>
      <c r="M180" s="33">
        <f>IF(OR($L180="",$L180="All done"),"",($F180-(40-VALUE(LEFT($L180,2)))*7))</f>
        <v/>
      </c>
      <c r="N180" s="31" t="n"/>
      <c r="O180" s="31" t="n"/>
      <c r="P180" s="31" t="n"/>
      <c r="Q180" s="31" t="n"/>
      <c r="R180" s="31" t="n"/>
      <c r="S180" s="31" t="n"/>
      <c r="T180" s="31" t="n"/>
      <c r="U180" s="31" t="n"/>
      <c r="V180" s="31" t="n"/>
      <c r="W180" s="31" t="n"/>
      <c r="X180" s="31" t="n"/>
      <c r="Y180" s="31" t="n"/>
      <c r="Z180" s="31" t="n"/>
      <c r="AA180" s="34" t="n"/>
      <c r="AB180" s="29" t="n"/>
      <c r="AC180" s="31" t="n"/>
    </row>
    <row r="181">
      <c r="A181" s="29" t="n"/>
      <c r="B181" s="30" t="n"/>
      <c r="C181" s="31" t="n"/>
      <c r="D181" s="29" t="n"/>
      <c r="E181" s="29" t="n"/>
      <c r="F181" s="31" t="n"/>
      <c r="G181" s="31" t="n"/>
      <c r="H181" s="29" t="n"/>
      <c r="I181" s="32">
        <f>IF(OR(NOT(AND($A181&lt;&gt;"",OR($H181="",$H181="Active"))),$F181=""),"",INT((TODAY()-$F181+280)/7)&amp;"+"&amp;MOD(TODAY()-$F181+280,7))</f>
        <v/>
      </c>
      <c r="J181" s="32">
        <f>IF(NOT(AND($A181&lt;&gt;"",OR($H181="",$H181="Active"))),"",IF($F181="",0,SUMPRODUCT(($N181:$U181="")*(($F181-(40-VALUE(LEFT($N$4:$U$4,2)))*7)&lt;TODAY())))+COUNTIF($N181:$U181,"DNA")+COUNTIF($V181:$Z181,"&lt;"&amp;TODAY()))</f>
        <v/>
      </c>
      <c r="K181" s="32">
        <f>IF(NOT(AND($A181&lt;&gt;"",OR($H181="",$H181="Active"))),"",IF($F181="",0,SUMPRODUCT(($N181:$U181="")*(($F181-(40-VALUE(LEFT($N$4:$U$4,2)))*7)&gt;=TODAY())*(($F181-(40-VALUE(LEFT($N$4:$U$4,2)))*7)&lt;=TODAY()+7)))+COUNTIFS($V181:$Z181,"&gt;="&amp;TODAY(),$V181:$Z181,"&lt;="&amp;TODAY()+7))</f>
        <v/>
      </c>
      <c r="L181" s="32">
        <f>IF(OR(NOT(AND($A181&lt;&gt;"",OR($H181="",$H181="Active"))),$F181=""),"",IF(N181="",N$4,IF(O181="",O$4,IF(P181="",P$4,IF(Q181="",Q$4,IF(R181="",R$4,IF(S181="",S$4,IF(T181="",T$4,IF(U181="",U$4,"All done")))))))))</f>
        <v/>
      </c>
      <c r="M181" s="33">
        <f>IF(OR($L181="",$L181="All done"),"",($F181-(40-VALUE(LEFT($L181,2)))*7))</f>
        <v/>
      </c>
      <c r="N181" s="31" t="n"/>
      <c r="O181" s="31" t="n"/>
      <c r="P181" s="31" t="n"/>
      <c r="Q181" s="31" t="n"/>
      <c r="R181" s="31" t="n"/>
      <c r="S181" s="31" t="n"/>
      <c r="T181" s="31" t="n"/>
      <c r="U181" s="31" t="n"/>
      <c r="V181" s="31" t="n"/>
      <c r="W181" s="31" t="n"/>
      <c r="X181" s="31" t="n"/>
      <c r="Y181" s="31" t="n"/>
      <c r="Z181" s="31" t="n"/>
      <c r="AA181" s="34" t="n"/>
      <c r="AB181" s="29" t="n"/>
      <c r="AC181" s="31" t="n"/>
    </row>
    <row r="182">
      <c r="A182" s="29" t="n"/>
      <c r="B182" s="30" t="n"/>
      <c r="C182" s="31" t="n"/>
      <c r="D182" s="29" t="n"/>
      <c r="E182" s="29" t="n"/>
      <c r="F182" s="31" t="n"/>
      <c r="G182" s="31" t="n"/>
      <c r="H182" s="29" t="n"/>
      <c r="I182" s="32">
        <f>IF(OR(NOT(AND($A182&lt;&gt;"",OR($H182="",$H182="Active"))),$F182=""),"",INT((TODAY()-$F182+280)/7)&amp;"+"&amp;MOD(TODAY()-$F182+280,7))</f>
        <v/>
      </c>
      <c r="J182" s="32">
        <f>IF(NOT(AND($A182&lt;&gt;"",OR($H182="",$H182="Active"))),"",IF($F182="",0,SUMPRODUCT(($N182:$U182="")*(($F182-(40-VALUE(LEFT($N$4:$U$4,2)))*7)&lt;TODAY())))+COUNTIF($N182:$U182,"DNA")+COUNTIF($V182:$Z182,"&lt;"&amp;TODAY()))</f>
        <v/>
      </c>
      <c r="K182" s="32">
        <f>IF(NOT(AND($A182&lt;&gt;"",OR($H182="",$H182="Active"))),"",IF($F182="",0,SUMPRODUCT(($N182:$U182="")*(($F182-(40-VALUE(LEFT($N$4:$U$4,2)))*7)&gt;=TODAY())*(($F182-(40-VALUE(LEFT($N$4:$U$4,2)))*7)&lt;=TODAY()+7)))+COUNTIFS($V182:$Z182,"&gt;="&amp;TODAY(),$V182:$Z182,"&lt;="&amp;TODAY()+7))</f>
        <v/>
      </c>
      <c r="L182" s="32">
        <f>IF(OR(NOT(AND($A182&lt;&gt;"",OR($H182="",$H182="Active"))),$F182=""),"",IF(N182="",N$4,IF(O182="",O$4,IF(P182="",P$4,IF(Q182="",Q$4,IF(R182="",R$4,IF(S182="",S$4,IF(T182="",T$4,IF(U182="",U$4,"All done")))))))))</f>
        <v/>
      </c>
      <c r="M182" s="33">
        <f>IF(OR($L182="",$L182="All done"),"",($F182-(40-VALUE(LEFT($L182,2)))*7))</f>
        <v/>
      </c>
      <c r="N182" s="31" t="n"/>
      <c r="O182" s="31" t="n"/>
      <c r="P182" s="31" t="n"/>
      <c r="Q182" s="31" t="n"/>
      <c r="R182" s="31" t="n"/>
      <c r="S182" s="31" t="n"/>
      <c r="T182" s="31" t="n"/>
      <c r="U182" s="31" t="n"/>
      <c r="V182" s="31" t="n"/>
      <c r="W182" s="31" t="n"/>
      <c r="X182" s="31" t="n"/>
      <c r="Y182" s="31" t="n"/>
      <c r="Z182" s="31" t="n"/>
      <c r="AA182" s="34" t="n"/>
      <c r="AB182" s="29" t="n"/>
      <c r="AC182" s="31" t="n"/>
    </row>
    <row r="183">
      <c r="A183" s="29" t="n"/>
      <c r="B183" s="30" t="n"/>
      <c r="C183" s="31" t="n"/>
      <c r="D183" s="29" t="n"/>
      <c r="E183" s="29" t="n"/>
      <c r="F183" s="31" t="n"/>
      <c r="G183" s="31" t="n"/>
      <c r="H183" s="29" t="n"/>
      <c r="I183" s="32">
        <f>IF(OR(NOT(AND($A183&lt;&gt;"",OR($H183="",$H183="Active"))),$F183=""),"",INT((TODAY()-$F183+280)/7)&amp;"+"&amp;MOD(TODAY()-$F183+280,7))</f>
        <v/>
      </c>
      <c r="J183" s="32">
        <f>IF(NOT(AND($A183&lt;&gt;"",OR($H183="",$H183="Active"))),"",IF($F183="",0,SUMPRODUCT(($N183:$U183="")*(($F183-(40-VALUE(LEFT($N$4:$U$4,2)))*7)&lt;TODAY())))+COUNTIF($N183:$U183,"DNA")+COUNTIF($V183:$Z183,"&lt;"&amp;TODAY()))</f>
        <v/>
      </c>
      <c r="K183" s="32">
        <f>IF(NOT(AND($A183&lt;&gt;"",OR($H183="",$H183="Active"))),"",IF($F183="",0,SUMPRODUCT(($N183:$U183="")*(($F183-(40-VALUE(LEFT($N$4:$U$4,2)))*7)&gt;=TODAY())*(($F183-(40-VALUE(LEFT($N$4:$U$4,2)))*7)&lt;=TODAY()+7)))+COUNTIFS($V183:$Z183,"&gt;="&amp;TODAY(),$V183:$Z183,"&lt;="&amp;TODAY()+7))</f>
        <v/>
      </c>
      <c r="L183" s="32">
        <f>IF(OR(NOT(AND($A183&lt;&gt;"",OR($H183="",$H183="Active"))),$F183=""),"",IF(N183="",N$4,IF(O183="",O$4,IF(P183="",P$4,IF(Q183="",Q$4,IF(R183="",R$4,IF(S183="",S$4,IF(T183="",T$4,IF(U183="",U$4,"All done")))))))))</f>
        <v/>
      </c>
      <c r="M183" s="33">
        <f>IF(OR($L183="",$L183="All done"),"",($F183-(40-VALUE(LEFT($L183,2)))*7))</f>
        <v/>
      </c>
      <c r="N183" s="31" t="n"/>
      <c r="O183" s="31" t="n"/>
      <c r="P183" s="31" t="n"/>
      <c r="Q183" s="31" t="n"/>
      <c r="R183" s="31" t="n"/>
      <c r="S183" s="31" t="n"/>
      <c r="T183" s="31" t="n"/>
      <c r="U183" s="31" t="n"/>
      <c r="V183" s="31" t="n"/>
      <c r="W183" s="31" t="n"/>
      <c r="X183" s="31" t="n"/>
      <c r="Y183" s="31" t="n"/>
      <c r="Z183" s="31" t="n"/>
      <c r="AA183" s="34" t="n"/>
      <c r="AB183" s="29" t="n"/>
      <c r="AC183" s="31" t="n"/>
    </row>
    <row r="184">
      <c r="A184" s="29" t="n"/>
      <c r="B184" s="30" t="n"/>
      <c r="C184" s="31" t="n"/>
      <c r="D184" s="29" t="n"/>
      <c r="E184" s="29" t="n"/>
      <c r="F184" s="31" t="n"/>
      <c r="G184" s="31" t="n"/>
      <c r="H184" s="29" t="n"/>
      <c r="I184" s="32">
        <f>IF(OR(NOT(AND($A184&lt;&gt;"",OR($H184="",$H184="Active"))),$F184=""),"",INT((TODAY()-$F184+280)/7)&amp;"+"&amp;MOD(TODAY()-$F184+280,7))</f>
        <v/>
      </c>
      <c r="J184" s="32">
        <f>IF(NOT(AND($A184&lt;&gt;"",OR($H184="",$H184="Active"))),"",IF($F184="",0,SUMPRODUCT(($N184:$U184="")*(($F184-(40-VALUE(LEFT($N$4:$U$4,2)))*7)&lt;TODAY())))+COUNTIF($N184:$U184,"DNA")+COUNTIF($V184:$Z184,"&lt;"&amp;TODAY()))</f>
        <v/>
      </c>
      <c r="K184" s="32">
        <f>IF(NOT(AND($A184&lt;&gt;"",OR($H184="",$H184="Active"))),"",IF($F184="",0,SUMPRODUCT(($N184:$U184="")*(($F184-(40-VALUE(LEFT($N$4:$U$4,2)))*7)&gt;=TODAY())*(($F184-(40-VALUE(LEFT($N$4:$U$4,2)))*7)&lt;=TODAY()+7)))+COUNTIFS($V184:$Z184,"&gt;="&amp;TODAY(),$V184:$Z184,"&lt;="&amp;TODAY()+7))</f>
        <v/>
      </c>
      <c r="L184" s="32">
        <f>IF(OR(NOT(AND($A184&lt;&gt;"",OR($H184="",$H184="Active"))),$F184=""),"",IF(N184="",N$4,IF(O184="",O$4,IF(P184="",P$4,IF(Q184="",Q$4,IF(R184="",R$4,IF(S184="",S$4,IF(T184="",T$4,IF(U184="",U$4,"All done")))))))))</f>
        <v/>
      </c>
      <c r="M184" s="33">
        <f>IF(OR($L184="",$L184="All done"),"",($F184-(40-VALUE(LEFT($L184,2)))*7))</f>
        <v/>
      </c>
      <c r="N184" s="31" t="n"/>
      <c r="O184" s="31" t="n"/>
      <c r="P184" s="31" t="n"/>
      <c r="Q184" s="31" t="n"/>
      <c r="R184" s="31" t="n"/>
      <c r="S184" s="31" t="n"/>
      <c r="T184" s="31" t="n"/>
      <c r="U184" s="31" t="n"/>
      <c r="V184" s="31" t="n"/>
      <c r="W184" s="31" t="n"/>
      <c r="X184" s="31" t="n"/>
      <c r="Y184" s="31" t="n"/>
      <c r="Z184" s="31" t="n"/>
      <c r="AA184" s="34" t="n"/>
      <c r="AB184" s="29" t="n"/>
      <c r="AC184" s="31" t="n"/>
    </row>
    <row r="185">
      <c r="A185" s="29" t="n"/>
      <c r="B185" s="30" t="n"/>
      <c r="C185" s="31" t="n"/>
      <c r="D185" s="29" t="n"/>
      <c r="E185" s="29" t="n"/>
      <c r="F185" s="31" t="n"/>
      <c r="G185" s="31" t="n"/>
      <c r="H185" s="29" t="n"/>
      <c r="I185" s="32">
        <f>IF(OR(NOT(AND($A185&lt;&gt;"",OR($H185="",$H185="Active"))),$F185=""),"",INT((TODAY()-$F185+280)/7)&amp;"+"&amp;MOD(TODAY()-$F185+280,7))</f>
        <v/>
      </c>
      <c r="J185" s="32">
        <f>IF(NOT(AND($A185&lt;&gt;"",OR($H185="",$H185="Active"))),"",IF($F185="",0,SUMPRODUCT(($N185:$U185="")*(($F185-(40-VALUE(LEFT($N$4:$U$4,2)))*7)&lt;TODAY())))+COUNTIF($N185:$U185,"DNA")+COUNTIF($V185:$Z185,"&lt;"&amp;TODAY()))</f>
        <v/>
      </c>
      <c r="K185" s="32">
        <f>IF(NOT(AND($A185&lt;&gt;"",OR($H185="",$H185="Active"))),"",IF($F185="",0,SUMPRODUCT(($N185:$U185="")*(($F185-(40-VALUE(LEFT($N$4:$U$4,2)))*7)&gt;=TODAY())*(($F185-(40-VALUE(LEFT($N$4:$U$4,2)))*7)&lt;=TODAY()+7)))+COUNTIFS($V185:$Z185,"&gt;="&amp;TODAY(),$V185:$Z185,"&lt;="&amp;TODAY()+7))</f>
        <v/>
      </c>
      <c r="L185" s="32">
        <f>IF(OR(NOT(AND($A185&lt;&gt;"",OR($H185="",$H185="Active"))),$F185=""),"",IF(N185="",N$4,IF(O185="",O$4,IF(P185="",P$4,IF(Q185="",Q$4,IF(R185="",R$4,IF(S185="",S$4,IF(T185="",T$4,IF(U185="",U$4,"All done")))))))))</f>
        <v/>
      </c>
      <c r="M185" s="33">
        <f>IF(OR($L185="",$L185="All done"),"",($F185-(40-VALUE(LEFT($L185,2)))*7))</f>
        <v/>
      </c>
      <c r="N185" s="31" t="n"/>
      <c r="O185" s="31" t="n"/>
      <c r="P185" s="31" t="n"/>
      <c r="Q185" s="31" t="n"/>
      <c r="R185" s="31" t="n"/>
      <c r="S185" s="31" t="n"/>
      <c r="T185" s="31" t="n"/>
      <c r="U185" s="31" t="n"/>
      <c r="V185" s="31" t="n"/>
      <c r="W185" s="31" t="n"/>
      <c r="X185" s="31" t="n"/>
      <c r="Y185" s="31" t="n"/>
      <c r="Z185" s="31" t="n"/>
      <c r="AA185" s="34" t="n"/>
      <c r="AB185" s="29" t="n"/>
      <c r="AC185" s="31" t="n"/>
    </row>
    <row r="186">
      <c r="A186" s="29" t="n"/>
      <c r="B186" s="30" t="n"/>
      <c r="C186" s="31" t="n"/>
      <c r="D186" s="29" t="n"/>
      <c r="E186" s="29" t="n"/>
      <c r="F186" s="31" t="n"/>
      <c r="G186" s="31" t="n"/>
      <c r="H186" s="29" t="n"/>
      <c r="I186" s="32">
        <f>IF(OR(NOT(AND($A186&lt;&gt;"",OR($H186="",$H186="Active"))),$F186=""),"",INT((TODAY()-$F186+280)/7)&amp;"+"&amp;MOD(TODAY()-$F186+280,7))</f>
        <v/>
      </c>
      <c r="J186" s="32">
        <f>IF(NOT(AND($A186&lt;&gt;"",OR($H186="",$H186="Active"))),"",IF($F186="",0,SUMPRODUCT(($N186:$U186="")*(($F186-(40-VALUE(LEFT($N$4:$U$4,2)))*7)&lt;TODAY())))+COUNTIF($N186:$U186,"DNA")+COUNTIF($V186:$Z186,"&lt;"&amp;TODAY()))</f>
        <v/>
      </c>
      <c r="K186" s="32">
        <f>IF(NOT(AND($A186&lt;&gt;"",OR($H186="",$H186="Active"))),"",IF($F186="",0,SUMPRODUCT(($N186:$U186="")*(($F186-(40-VALUE(LEFT($N$4:$U$4,2)))*7)&gt;=TODAY())*(($F186-(40-VALUE(LEFT($N$4:$U$4,2)))*7)&lt;=TODAY()+7)))+COUNTIFS($V186:$Z186,"&gt;="&amp;TODAY(),$V186:$Z186,"&lt;="&amp;TODAY()+7))</f>
        <v/>
      </c>
      <c r="L186" s="32">
        <f>IF(OR(NOT(AND($A186&lt;&gt;"",OR($H186="",$H186="Active"))),$F186=""),"",IF(N186="",N$4,IF(O186="",O$4,IF(P186="",P$4,IF(Q186="",Q$4,IF(R186="",R$4,IF(S186="",S$4,IF(T186="",T$4,IF(U186="",U$4,"All done")))))))))</f>
        <v/>
      </c>
      <c r="M186" s="33">
        <f>IF(OR($L186="",$L186="All done"),"",($F186-(40-VALUE(LEFT($L186,2)))*7))</f>
        <v/>
      </c>
      <c r="N186" s="31" t="n"/>
      <c r="O186" s="31" t="n"/>
      <c r="P186" s="31" t="n"/>
      <c r="Q186" s="31" t="n"/>
      <c r="R186" s="31" t="n"/>
      <c r="S186" s="31" t="n"/>
      <c r="T186" s="31" t="n"/>
      <c r="U186" s="31" t="n"/>
      <c r="V186" s="31" t="n"/>
      <c r="W186" s="31" t="n"/>
      <c r="X186" s="31" t="n"/>
      <c r="Y186" s="31" t="n"/>
      <c r="Z186" s="31" t="n"/>
      <c r="AA186" s="34" t="n"/>
      <c r="AB186" s="29" t="n"/>
      <c r="AC186" s="31" t="n"/>
    </row>
    <row r="187">
      <c r="A187" s="29" t="n"/>
      <c r="B187" s="30" t="n"/>
      <c r="C187" s="31" t="n"/>
      <c r="D187" s="29" t="n"/>
      <c r="E187" s="29" t="n"/>
      <c r="F187" s="31" t="n"/>
      <c r="G187" s="31" t="n"/>
      <c r="H187" s="29" t="n"/>
      <c r="I187" s="32">
        <f>IF(OR(NOT(AND($A187&lt;&gt;"",OR($H187="",$H187="Active"))),$F187=""),"",INT((TODAY()-$F187+280)/7)&amp;"+"&amp;MOD(TODAY()-$F187+280,7))</f>
        <v/>
      </c>
      <c r="J187" s="32">
        <f>IF(NOT(AND($A187&lt;&gt;"",OR($H187="",$H187="Active"))),"",IF($F187="",0,SUMPRODUCT(($N187:$U187="")*(($F187-(40-VALUE(LEFT($N$4:$U$4,2)))*7)&lt;TODAY())))+COUNTIF($N187:$U187,"DNA")+COUNTIF($V187:$Z187,"&lt;"&amp;TODAY()))</f>
        <v/>
      </c>
      <c r="K187" s="32">
        <f>IF(NOT(AND($A187&lt;&gt;"",OR($H187="",$H187="Active"))),"",IF($F187="",0,SUMPRODUCT(($N187:$U187="")*(($F187-(40-VALUE(LEFT($N$4:$U$4,2)))*7)&gt;=TODAY())*(($F187-(40-VALUE(LEFT($N$4:$U$4,2)))*7)&lt;=TODAY()+7)))+COUNTIFS($V187:$Z187,"&gt;="&amp;TODAY(),$V187:$Z187,"&lt;="&amp;TODAY()+7))</f>
        <v/>
      </c>
      <c r="L187" s="32">
        <f>IF(OR(NOT(AND($A187&lt;&gt;"",OR($H187="",$H187="Active"))),$F187=""),"",IF(N187="",N$4,IF(O187="",O$4,IF(P187="",P$4,IF(Q187="",Q$4,IF(R187="",R$4,IF(S187="",S$4,IF(T187="",T$4,IF(U187="",U$4,"All done")))))))))</f>
        <v/>
      </c>
      <c r="M187" s="33">
        <f>IF(OR($L187="",$L187="All done"),"",($F187-(40-VALUE(LEFT($L187,2)))*7))</f>
        <v/>
      </c>
      <c r="N187" s="31" t="n"/>
      <c r="O187" s="31" t="n"/>
      <c r="P187" s="31" t="n"/>
      <c r="Q187" s="31" t="n"/>
      <c r="R187" s="31" t="n"/>
      <c r="S187" s="31" t="n"/>
      <c r="T187" s="31" t="n"/>
      <c r="U187" s="31" t="n"/>
      <c r="V187" s="31" t="n"/>
      <c r="W187" s="31" t="n"/>
      <c r="X187" s="31" t="n"/>
      <c r="Y187" s="31" t="n"/>
      <c r="Z187" s="31" t="n"/>
      <c r="AA187" s="34" t="n"/>
      <c r="AB187" s="29" t="n"/>
      <c r="AC187" s="31" t="n"/>
    </row>
    <row r="188">
      <c r="A188" s="29" t="n"/>
      <c r="B188" s="30" t="n"/>
      <c r="C188" s="31" t="n"/>
      <c r="D188" s="29" t="n"/>
      <c r="E188" s="29" t="n"/>
      <c r="F188" s="31" t="n"/>
      <c r="G188" s="31" t="n"/>
      <c r="H188" s="29" t="n"/>
      <c r="I188" s="32">
        <f>IF(OR(NOT(AND($A188&lt;&gt;"",OR($H188="",$H188="Active"))),$F188=""),"",INT((TODAY()-$F188+280)/7)&amp;"+"&amp;MOD(TODAY()-$F188+280,7))</f>
        <v/>
      </c>
      <c r="J188" s="32">
        <f>IF(NOT(AND($A188&lt;&gt;"",OR($H188="",$H188="Active"))),"",IF($F188="",0,SUMPRODUCT(($N188:$U188="")*(($F188-(40-VALUE(LEFT($N$4:$U$4,2)))*7)&lt;TODAY())))+COUNTIF($N188:$U188,"DNA")+COUNTIF($V188:$Z188,"&lt;"&amp;TODAY()))</f>
        <v/>
      </c>
      <c r="K188" s="32">
        <f>IF(NOT(AND($A188&lt;&gt;"",OR($H188="",$H188="Active"))),"",IF($F188="",0,SUMPRODUCT(($N188:$U188="")*(($F188-(40-VALUE(LEFT($N$4:$U$4,2)))*7)&gt;=TODAY())*(($F188-(40-VALUE(LEFT($N$4:$U$4,2)))*7)&lt;=TODAY()+7)))+COUNTIFS($V188:$Z188,"&gt;="&amp;TODAY(),$V188:$Z188,"&lt;="&amp;TODAY()+7))</f>
        <v/>
      </c>
      <c r="L188" s="32">
        <f>IF(OR(NOT(AND($A188&lt;&gt;"",OR($H188="",$H188="Active"))),$F188=""),"",IF(N188="",N$4,IF(O188="",O$4,IF(P188="",P$4,IF(Q188="",Q$4,IF(R188="",R$4,IF(S188="",S$4,IF(T188="",T$4,IF(U188="",U$4,"All done")))))))))</f>
        <v/>
      </c>
      <c r="M188" s="33">
        <f>IF(OR($L188="",$L188="All done"),"",($F188-(40-VALUE(LEFT($L188,2)))*7))</f>
        <v/>
      </c>
      <c r="N188" s="31" t="n"/>
      <c r="O188" s="31" t="n"/>
      <c r="P188" s="31" t="n"/>
      <c r="Q188" s="31" t="n"/>
      <c r="R188" s="31" t="n"/>
      <c r="S188" s="31" t="n"/>
      <c r="T188" s="31" t="n"/>
      <c r="U188" s="31" t="n"/>
      <c r="V188" s="31" t="n"/>
      <c r="W188" s="31" t="n"/>
      <c r="X188" s="31" t="n"/>
      <c r="Y188" s="31" t="n"/>
      <c r="Z188" s="31" t="n"/>
      <c r="AA188" s="34" t="n"/>
      <c r="AB188" s="29" t="n"/>
      <c r="AC188" s="31" t="n"/>
    </row>
    <row r="189">
      <c r="A189" s="29" t="n"/>
      <c r="B189" s="30" t="n"/>
      <c r="C189" s="31" t="n"/>
      <c r="D189" s="29" t="n"/>
      <c r="E189" s="29" t="n"/>
      <c r="F189" s="31" t="n"/>
      <c r="G189" s="31" t="n"/>
      <c r="H189" s="29" t="n"/>
      <c r="I189" s="32">
        <f>IF(OR(NOT(AND($A189&lt;&gt;"",OR($H189="",$H189="Active"))),$F189=""),"",INT((TODAY()-$F189+280)/7)&amp;"+"&amp;MOD(TODAY()-$F189+280,7))</f>
        <v/>
      </c>
      <c r="J189" s="32">
        <f>IF(NOT(AND($A189&lt;&gt;"",OR($H189="",$H189="Active"))),"",IF($F189="",0,SUMPRODUCT(($N189:$U189="")*(($F189-(40-VALUE(LEFT($N$4:$U$4,2)))*7)&lt;TODAY())))+COUNTIF($N189:$U189,"DNA")+COUNTIF($V189:$Z189,"&lt;"&amp;TODAY()))</f>
        <v/>
      </c>
      <c r="K189" s="32">
        <f>IF(NOT(AND($A189&lt;&gt;"",OR($H189="",$H189="Active"))),"",IF($F189="",0,SUMPRODUCT(($N189:$U189="")*(($F189-(40-VALUE(LEFT($N$4:$U$4,2)))*7)&gt;=TODAY())*(($F189-(40-VALUE(LEFT($N$4:$U$4,2)))*7)&lt;=TODAY()+7)))+COUNTIFS($V189:$Z189,"&gt;="&amp;TODAY(),$V189:$Z189,"&lt;="&amp;TODAY()+7))</f>
        <v/>
      </c>
      <c r="L189" s="32">
        <f>IF(OR(NOT(AND($A189&lt;&gt;"",OR($H189="",$H189="Active"))),$F189=""),"",IF(N189="",N$4,IF(O189="",O$4,IF(P189="",P$4,IF(Q189="",Q$4,IF(R189="",R$4,IF(S189="",S$4,IF(T189="",T$4,IF(U189="",U$4,"All done")))))))))</f>
        <v/>
      </c>
      <c r="M189" s="33">
        <f>IF(OR($L189="",$L189="All done"),"",($F189-(40-VALUE(LEFT($L189,2)))*7))</f>
        <v/>
      </c>
      <c r="N189" s="31" t="n"/>
      <c r="O189" s="31" t="n"/>
      <c r="P189" s="31" t="n"/>
      <c r="Q189" s="31" t="n"/>
      <c r="R189" s="31" t="n"/>
      <c r="S189" s="31" t="n"/>
      <c r="T189" s="31" t="n"/>
      <c r="U189" s="31" t="n"/>
      <c r="V189" s="31" t="n"/>
      <c r="W189" s="31" t="n"/>
      <c r="X189" s="31" t="n"/>
      <c r="Y189" s="31" t="n"/>
      <c r="Z189" s="31" t="n"/>
      <c r="AA189" s="34" t="n"/>
      <c r="AB189" s="29" t="n"/>
      <c r="AC189" s="31" t="n"/>
    </row>
    <row r="190">
      <c r="A190" s="29" t="n"/>
      <c r="B190" s="30" t="n"/>
      <c r="C190" s="31" t="n"/>
      <c r="D190" s="29" t="n"/>
      <c r="E190" s="29" t="n"/>
      <c r="F190" s="31" t="n"/>
      <c r="G190" s="31" t="n"/>
      <c r="H190" s="29" t="n"/>
      <c r="I190" s="32">
        <f>IF(OR(NOT(AND($A190&lt;&gt;"",OR($H190="",$H190="Active"))),$F190=""),"",INT((TODAY()-$F190+280)/7)&amp;"+"&amp;MOD(TODAY()-$F190+280,7))</f>
        <v/>
      </c>
      <c r="J190" s="32">
        <f>IF(NOT(AND($A190&lt;&gt;"",OR($H190="",$H190="Active"))),"",IF($F190="",0,SUMPRODUCT(($N190:$U190="")*(($F190-(40-VALUE(LEFT($N$4:$U$4,2)))*7)&lt;TODAY())))+COUNTIF($N190:$U190,"DNA")+COUNTIF($V190:$Z190,"&lt;"&amp;TODAY()))</f>
        <v/>
      </c>
      <c r="K190" s="32">
        <f>IF(NOT(AND($A190&lt;&gt;"",OR($H190="",$H190="Active"))),"",IF($F190="",0,SUMPRODUCT(($N190:$U190="")*(($F190-(40-VALUE(LEFT($N$4:$U$4,2)))*7)&gt;=TODAY())*(($F190-(40-VALUE(LEFT($N$4:$U$4,2)))*7)&lt;=TODAY()+7)))+COUNTIFS($V190:$Z190,"&gt;="&amp;TODAY(),$V190:$Z190,"&lt;="&amp;TODAY()+7))</f>
        <v/>
      </c>
      <c r="L190" s="32">
        <f>IF(OR(NOT(AND($A190&lt;&gt;"",OR($H190="",$H190="Active"))),$F190=""),"",IF(N190="",N$4,IF(O190="",O$4,IF(P190="",P$4,IF(Q190="",Q$4,IF(R190="",R$4,IF(S190="",S$4,IF(T190="",T$4,IF(U190="",U$4,"All done")))))))))</f>
        <v/>
      </c>
      <c r="M190" s="33">
        <f>IF(OR($L190="",$L190="All done"),"",($F190-(40-VALUE(LEFT($L190,2)))*7))</f>
        <v/>
      </c>
      <c r="N190" s="31" t="n"/>
      <c r="O190" s="31" t="n"/>
      <c r="P190" s="31" t="n"/>
      <c r="Q190" s="31" t="n"/>
      <c r="R190" s="31" t="n"/>
      <c r="S190" s="31" t="n"/>
      <c r="T190" s="31" t="n"/>
      <c r="U190" s="31" t="n"/>
      <c r="V190" s="31" t="n"/>
      <c r="W190" s="31" t="n"/>
      <c r="X190" s="31" t="n"/>
      <c r="Y190" s="31" t="n"/>
      <c r="Z190" s="31" t="n"/>
      <c r="AA190" s="34" t="n"/>
      <c r="AB190" s="29" t="n"/>
      <c r="AC190" s="31" t="n"/>
    </row>
    <row r="191">
      <c r="A191" s="29" t="n"/>
      <c r="B191" s="30" t="n"/>
      <c r="C191" s="31" t="n"/>
      <c r="D191" s="29" t="n"/>
      <c r="E191" s="29" t="n"/>
      <c r="F191" s="31" t="n"/>
      <c r="G191" s="31" t="n"/>
      <c r="H191" s="29" t="n"/>
      <c r="I191" s="32">
        <f>IF(OR(NOT(AND($A191&lt;&gt;"",OR($H191="",$H191="Active"))),$F191=""),"",INT((TODAY()-$F191+280)/7)&amp;"+"&amp;MOD(TODAY()-$F191+280,7))</f>
        <v/>
      </c>
      <c r="J191" s="32">
        <f>IF(NOT(AND($A191&lt;&gt;"",OR($H191="",$H191="Active"))),"",IF($F191="",0,SUMPRODUCT(($N191:$U191="")*(($F191-(40-VALUE(LEFT($N$4:$U$4,2)))*7)&lt;TODAY())))+COUNTIF($N191:$U191,"DNA")+COUNTIF($V191:$Z191,"&lt;"&amp;TODAY()))</f>
        <v/>
      </c>
      <c r="K191" s="32">
        <f>IF(NOT(AND($A191&lt;&gt;"",OR($H191="",$H191="Active"))),"",IF($F191="",0,SUMPRODUCT(($N191:$U191="")*(($F191-(40-VALUE(LEFT($N$4:$U$4,2)))*7)&gt;=TODAY())*(($F191-(40-VALUE(LEFT($N$4:$U$4,2)))*7)&lt;=TODAY()+7)))+COUNTIFS($V191:$Z191,"&gt;="&amp;TODAY(),$V191:$Z191,"&lt;="&amp;TODAY()+7))</f>
        <v/>
      </c>
      <c r="L191" s="32">
        <f>IF(OR(NOT(AND($A191&lt;&gt;"",OR($H191="",$H191="Active"))),$F191=""),"",IF(N191="",N$4,IF(O191="",O$4,IF(P191="",P$4,IF(Q191="",Q$4,IF(R191="",R$4,IF(S191="",S$4,IF(T191="",T$4,IF(U191="",U$4,"All done")))))))))</f>
        <v/>
      </c>
      <c r="M191" s="33">
        <f>IF(OR($L191="",$L191="All done"),"",($F191-(40-VALUE(LEFT($L191,2)))*7))</f>
        <v/>
      </c>
      <c r="N191" s="31" t="n"/>
      <c r="O191" s="31" t="n"/>
      <c r="P191" s="31" t="n"/>
      <c r="Q191" s="31" t="n"/>
      <c r="R191" s="31" t="n"/>
      <c r="S191" s="31" t="n"/>
      <c r="T191" s="31" t="n"/>
      <c r="U191" s="31" t="n"/>
      <c r="V191" s="31" t="n"/>
      <c r="W191" s="31" t="n"/>
      <c r="X191" s="31" t="n"/>
      <c r="Y191" s="31" t="n"/>
      <c r="Z191" s="31" t="n"/>
      <c r="AA191" s="34" t="n"/>
      <c r="AB191" s="29" t="n"/>
      <c r="AC191" s="31" t="n"/>
    </row>
    <row r="192">
      <c r="A192" s="29" t="n"/>
      <c r="B192" s="30" t="n"/>
      <c r="C192" s="31" t="n"/>
      <c r="D192" s="29" t="n"/>
      <c r="E192" s="29" t="n"/>
      <c r="F192" s="31" t="n"/>
      <c r="G192" s="31" t="n"/>
      <c r="H192" s="29" t="n"/>
      <c r="I192" s="32">
        <f>IF(OR(NOT(AND($A192&lt;&gt;"",OR($H192="",$H192="Active"))),$F192=""),"",INT((TODAY()-$F192+280)/7)&amp;"+"&amp;MOD(TODAY()-$F192+280,7))</f>
        <v/>
      </c>
      <c r="J192" s="32">
        <f>IF(NOT(AND($A192&lt;&gt;"",OR($H192="",$H192="Active"))),"",IF($F192="",0,SUMPRODUCT(($N192:$U192="")*(($F192-(40-VALUE(LEFT($N$4:$U$4,2)))*7)&lt;TODAY())))+COUNTIF($N192:$U192,"DNA")+COUNTIF($V192:$Z192,"&lt;"&amp;TODAY()))</f>
        <v/>
      </c>
      <c r="K192" s="32">
        <f>IF(NOT(AND($A192&lt;&gt;"",OR($H192="",$H192="Active"))),"",IF($F192="",0,SUMPRODUCT(($N192:$U192="")*(($F192-(40-VALUE(LEFT($N$4:$U$4,2)))*7)&gt;=TODAY())*(($F192-(40-VALUE(LEFT($N$4:$U$4,2)))*7)&lt;=TODAY()+7)))+COUNTIFS($V192:$Z192,"&gt;="&amp;TODAY(),$V192:$Z192,"&lt;="&amp;TODAY()+7))</f>
        <v/>
      </c>
      <c r="L192" s="32">
        <f>IF(OR(NOT(AND($A192&lt;&gt;"",OR($H192="",$H192="Active"))),$F192=""),"",IF(N192="",N$4,IF(O192="",O$4,IF(P192="",P$4,IF(Q192="",Q$4,IF(R192="",R$4,IF(S192="",S$4,IF(T192="",T$4,IF(U192="",U$4,"All done")))))))))</f>
        <v/>
      </c>
      <c r="M192" s="33">
        <f>IF(OR($L192="",$L192="All done"),"",($F192-(40-VALUE(LEFT($L192,2)))*7))</f>
        <v/>
      </c>
      <c r="N192" s="31" t="n"/>
      <c r="O192" s="31" t="n"/>
      <c r="P192" s="31" t="n"/>
      <c r="Q192" s="31" t="n"/>
      <c r="R192" s="31" t="n"/>
      <c r="S192" s="31" t="n"/>
      <c r="T192" s="31" t="n"/>
      <c r="U192" s="31" t="n"/>
      <c r="V192" s="31" t="n"/>
      <c r="W192" s="31" t="n"/>
      <c r="X192" s="31" t="n"/>
      <c r="Y192" s="31" t="n"/>
      <c r="Z192" s="31" t="n"/>
      <c r="AA192" s="34" t="n"/>
      <c r="AB192" s="29" t="n"/>
      <c r="AC192" s="31" t="n"/>
    </row>
    <row r="193">
      <c r="A193" s="29" t="n"/>
      <c r="B193" s="30" t="n"/>
      <c r="C193" s="31" t="n"/>
      <c r="D193" s="29" t="n"/>
      <c r="E193" s="29" t="n"/>
      <c r="F193" s="31" t="n"/>
      <c r="G193" s="31" t="n"/>
      <c r="H193" s="29" t="n"/>
      <c r="I193" s="32">
        <f>IF(OR(NOT(AND($A193&lt;&gt;"",OR($H193="",$H193="Active"))),$F193=""),"",INT((TODAY()-$F193+280)/7)&amp;"+"&amp;MOD(TODAY()-$F193+280,7))</f>
        <v/>
      </c>
      <c r="J193" s="32">
        <f>IF(NOT(AND($A193&lt;&gt;"",OR($H193="",$H193="Active"))),"",IF($F193="",0,SUMPRODUCT(($N193:$U193="")*(($F193-(40-VALUE(LEFT($N$4:$U$4,2)))*7)&lt;TODAY())))+COUNTIF($N193:$U193,"DNA")+COUNTIF($V193:$Z193,"&lt;"&amp;TODAY()))</f>
        <v/>
      </c>
      <c r="K193" s="32">
        <f>IF(NOT(AND($A193&lt;&gt;"",OR($H193="",$H193="Active"))),"",IF($F193="",0,SUMPRODUCT(($N193:$U193="")*(($F193-(40-VALUE(LEFT($N$4:$U$4,2)))*7)&gt;=TODAY())*(($F193-(40-VALUE(LEFT($N$4:$U$4,2)))*7)&lt;=TODAY()+7)))+COUNTIFS($V193:$Z193,"&gt;="&amp;TODAY(),$V193:$Z193,"&lt;="&amp;TODAY()+7))</f>
        <v/>
      </c>
      <c r="L193" s="32">
        <f>IF(OR(NOT(AND($A193&lt;&gt;"",OR($H193="",$H193="Active"))),$F193=""),"",IF(N193="",N$4,IF(O193="",O$4,IF(P193="",P$4,IF(Q193="",Q$4,IF(R193="",R$4,IF(S193="",S$4,IF(T193="",T$4,IF(U193="",U$4,"All done")))))))))</f>
        <v/>
      </c>
      <c r="M193" s="33">
        <f>IF(OR($L193="",$L193="All done"),"",($F193-(40-VALUE(LEFT($L193,2)))*7))</f>
        <v/>
      </c>
      <c r="N193" s="31" t="n"/>
      <c r="O193" s="31" t="n"/>
      <c r="P193" s="31" t="n"/>
      <c r="Q193" s="31" t="n"/>
      <c r="R193" s="31" t="n"/>
      <c r="S193" s="31" t="n"/>
      <c r="T193" s="31" t="n"/>
      <c r="U193" s="31" t="n"/>
      <c r="V193" s="31" t="n"/>
      <c r="W193" s="31" t="n"/>
      <c r="X193" s="31" t="n"/>
      <c r="Y193" s="31" t="n"/>
      <c r="Z193" s="31" t="n"/>
      <c r="AA193" s="34" t="n"/>
      <c r="AB193" s="29" t="n"/>
      <c r="AC193" s="31" t="n"/>
    </row>
    <row r="194">
      <c r="A194" s="29" t="n"/>
      <c r="B194" s="30" t="n"/>
      <c r="C194" s="31" t="n"/>
      <c r="D194" s="29" t="n"/>
      <c r="E194" s="29" t="n"/>
      <c r="F194" s="31" t="n"/>
      <c r="G194" s="31" t="n"/>
      <c r="H194" s="29" t="n"/>
      <c r="I194" s="32">
        <f>IF(OR(NOT(AND($A194&lt;&gt;"",OR($H194="",$H194="Active"))),$F194=""),"",INT((TODAY()-$F194+280)/7)&amp;"+"&amp;MOD(TODAY()-$F194+280,7))</f>
        <v/>
      </c>
      <c r="J194" s="32">
        <f>IF(NOT(AND($A194&lt;&gt;"",OR($H194="",$H194="Active"))),"",IF($F194="",0,SUMPRODUCT(($N194:$U194="")*(($F194-(40-VALUE(LEFT($N$4:$U$4,2)))*7)&lt;TODAY())))+COUNTIF($N194:$U194,"DNA")+COUNTIF($V194:$Z194,"&lt;"&amp;TODAY()))</f>
        <v/>
      </c>
      <c r="K194" s="32">
        <f>IF(NOT(AND($A194&lt;&gt;"",OR($H194="",$H194="Active"))),"",IF($F194="",0,SUMPRODUCT(($N194:$U194="")*(($F194-(40-VALUE(LEFT($N$4:$U$4,2)))*7)&gt;=TODAY())*(($F194-(40-VALUE(LEFT($N$4:$U$4,2)))*7)&lt;=TODAY()+7)))+COUNTIFS($V194:$Z194,"&gt;="&amp;TODAY(),$V194:$Z194,"&lt;="&amp;TODAY()+7))</f>
        <v/>
      </c>
      <c r="L194" s="32">
        <f>IF(OR(NOT(AND($A194&lt;&gt;"",OR($H194="",$H194="Active"))),$F194=""),"",IF(N194="",N$4,IF(O194="",O$4,IF(P194="",P$4,IF(Q194="",Q$4,IF(R194="",R$4,IF(S194="",S$4,IF(T194="",T$4,IF(U194="",U$4,"All done")))))))))</f>
        <v/>
      </c>
      <c r="M194" s="33">
        <f>IF(OR($L194="",$L194="All done"),"",($F194-(40-VALUE(LEFT($L194,2)))*7))</f>
        <v/>
      </c>
      <c r="N194" s="31" t="n"/>
      <c r="O194" s="31" t="n"/>
      <c r="P194" s="31" t="n"/>
      <c r="Q194" s="31" t="n"/>
      <c r="R194" s="31" t="n"/>
      <c r="S194" s="31" t="n"/>
      <c r="T194" s="31" t="n"/>
      <c r="U194" s="31" t="n"/>
      <c r="V194" s="31" t="n"/>
      <c r="W194" s="31" t="n"/>
      <c r="X194" s="31" t="n"/>
      <c r="Y194" s="31" t="n"/>
      <c r="Z194" s="31" t="n"/>
      <c r="AA194" s="34" t="n"/>
      <c r="AB194" s="29" t="n"/>
      <c r="AC194" s="31" t="n"/>
    </row>
    <row r="195">
      <c r="A195" s="29" t="n"/>
      <c r="B195" s="30" t="n"/>
      <c r="C195" s="31" t="n"/>
      <c r="D195" s="29" t="n"/>
      <c r="E195" s="29" t="n"/>
      <c r="F195" s="31" t="n"/>
      <c r="G195" s="31" t="n"/>
      <c r="H195" s="29" t="n"/>
      <c r="I195" s="32">
        <f>IF(OR(NOT(AND($A195&lt;&gt;"",OR($H195="",$H195="Active"))),$F195=""),"",INT((TODAY()-$F195+280)/7)&amp;"+"&amp;MOD(TODAY()-$F195+280,7))</f>
        <v/>
      </c>
      <c r="J195" s="32">
        <f>IF(NOT(AND($A195&lt;&gt;"",OR($H195="",$H195="Active"))),"",IF($F195="",0,SUMPRODUCT(($N195:$U195="")*(($F195-(40-VALUE(LEFT($N$4:$U$4,2)))*7)&lt;TODAY())))+COUNTIF($N195:$U195,"DNA")+COUNTIF($V195:$Z195,"&lt;"&amp;TODAY()))</f>
        <v/>
      </c>
      <c r="K195" s="32">
        <f>IF(NOT(AND($A195&lt;&gt;"",OR($H195="",$H195="Active"))),"",IF($F195="",0,SUMPRODUCT(($N195:$U195="")*(($F195-(40-VALUE(LEFT($N$4:$U$4,2)))*7)&gt;=TODAY())*(($F195-(40-VALUE(LEFT($N$4:$U$4,2)))*7)&lt;=TODAY()+7)))+COUNTIFS($V195:$Z195,"&gt;="&amp;TODAY(),$V195:$Z195,"&lt;="&amp;TODAY()+7))</f>
        <v/>
      </c>
      <c r="L195" s="32">
        <f>IF(OR(NOT(AND($A195&lt;&gt;"",OR($H195="",$H195="Active"))),$F195=""),"",IF(N195="",N$4,IF(O195="",O$4,IF(P195="",P$4,IF(Q195="",Q$4,IF(R195="",R$4,IF(S195="",S$4,IF(T195="",T$4,IF(U195="",U$4,"All done")))))))))</f>
        <v/>
      </c>
      <c r="M195" s="33">
        <f>IF(OR($L195="",$L195="All done"),"",($F195-(40-VALUE(LEFT($L195,2)))*7))</f>
        <v/>
      </c>
      <c r="N195" s="31" t="n"/>
      <c r="O195" s="31" t="n"/>
      <c r="P195" s="31" t="n"/>
      <c r="Q195" s="31" t="n"/>
      <c r="R195" s="31" t="n"/>
      <c r="S195" s="31" t="n"/>
      <c r="T195" s="31" t="n"/>
      <c r="U195" s="31" t="n"/>
      <c r="V195" s="31" t="n"/>
      <c r="W195" s="31" t="n"/>
      <c r="X195" s="31" t="n"/>
      <c r="Y195" s="31" t="n"/>
      <c r="Z195" s="31" t="n"/>
      <c r="AA195" s="34" t="n"/>
      <c r="AB195" s="29" t="n"/>
      <c r="AC195" s="31" t="n"/>
    </row>
    <row r="196">
      <c r="A196" s="29" t="n"/>
      <c r="B196" s="30" t="n"/>
      <c r="C196" s="31" t="n"/>
      <c r="D196" s="29" t="n"/>
      <c r="E196" s="29" t="n"/>
      <c r="F196" s="31" t="n"/>
      <c r="G196" s="31" t="n"/>
      <c r="H196" s="29" t="n"/>
      <c r="I196" s="32">
        <f>IF(OR(NOT(AND($A196&lt;&gt;"",OR($H196="",$H196="Active"))),$F196=""),"",INT((TODAY()-$F196+280)/7)&amp;"+"&amp;MOD(TODAY()-$F196+280,7))</f>
        <v/>
      </c>
      <c r="J196" s="32">
        <f>IF(NOT(AND($A196&lt;&gt;"",OR($H196="",$H196="Active"))),"",IF($F196="",0,SUMPRODUCT(($N196:$U196="")*(($F196-(40-VALUE(LEFT($N$4:$U$4,2)))*7)&lt;TODAY())))+COUNTIF($N196:$U196,"DNA")+COUNTIF($V196:$Z196,"&lt;"&amp;TODAY()))</f>
        <v/>
      </c>
      <c r="K196" s="32">
        <f>IF(NOT(AND($A196&lt;&gt;"",OR($H196="",$H196="Active"))),"",IF($F196="",0,SUMPRODUCT(($N196:$U196="")*(($F196-(40-VALUE(LEFT($N$4:$U$4,2)))*7)&gt;=TODAY())*(($F196-(40-VALUE(LEFT($N$4:$U$4,2)))*7)&lt;=TODAY()+7)))+COUNTIFS($V196:$Z196,"&gt;="&amp;TODAY(),$V196:$Z196,"&lt;="&amp;TODAY()+7))</f>
        <v/>
      </c>
      <c r="L196" s="32">
        <f>IF(OR(NOT(AND($A196&lt;&gt;"",OR($H196="",$H196="Active"))),$F196=""),"",IF(N196="",N$4,IF(O196="",O$4,IF(P196="",P$4,IF(Q196="",Q$4,IF(R196="",R$4,IF(S196="",S$4,IF(T196="",T$4,IF(U196="",U$4,"All done")))))))))</f>
        <v/>
      </c>
      <c r="M196" s="33">
        <f>IF(OR($L196="",$L196="All done"),"",($F196-(40-VALUE(LEFT($L196,2)))*7))</f>
        <v/>
      </c>
      <c r="N196" s="31" t="n"/>
      <c r="O196" s="31" t="n"/>
      <c r="P196" s="31" t="n"/>
      <c r="Q196" s="31" t="n"/>
      <c r="R196" s="31" t="n"/>
      <c r="S196" s="31" t="n"/>
      <c r="T196" s="31" t="n"/>
      <c r="U196" s="31" t="n"/>
      <c r="V196" s="31" t="n"/>
      <c r="W196" s="31" t="n"/>
      <c r="X196" s="31" t="n"/>
      <c r="Y196" s="31" t="n"/>
      <c r="Z196" s="31" t="n"/>
      <c r="AA196" s="34" t="n"/>
      <c r="AB196" s="29" t="n"/>
      <c r="AC196" s="31" t="n"/>
    </row>
    <row r="197">
      <c r="A197" s="29" t="n"/>
      <c r="B197" s="30" t="n"/>
      <c r="C197" s="31" t="n"/>
      <c r="D197" s="29" t="n"/>
      <c r="E197" s="29" t="n"/>
      <c r="F197" s="31" t="n"/>
      <c r="G197" s="31" t="n"/>
      <c r="H197" s="29" t="n"/>
      <c r="I197" s="32">
        <f>IF(OR(NOT(AND($A197&lt;&gt;"",OR($H197="",$H197="Active"))),$F197=""),"",INT((TODAY()-$F197+280)/7)&amp;"+"&amp;MOD(TODAY()-$F197+280,7))</f>
        <v/>
      </c>
      <c r="J197" s="32">
        <f>IF(NOT(AND($A197&lt;&gt;"",OR($H197="",$H197="Active"))),"",IF($F197="",0,SUMPRODUCT(($N197:$U197="")*(($F197-(40-VALUE(LEFT($N$4:$U$4,2)))*7)&lt;TODAY())))+COUNTIF($N197:$U197,"DNA")+COUNTIF($V197:$Z197,"&lt;"&amp;TODAY()))</f>
        <v/>
      </c>
      <c r="K197" s="32">
        <f>IF(NOT(AND($A197&lt;&gt;"",OR($H197="",$H197="Active"))),"",IF($F197="",0,SUMPRODUCT(($N197:$U197="")*(($F197-(40-VALUE(LEFT($N$4:$U$4,2)))*7)&gt;=TODAY())*(($F197-(40-VALUE(LEFT($N$4:$U$4,2)))*7)&lt;=TODAY()+7)))+COUNTIFS($V197:$Z197,"&gt;="&amp;TODAY(),$V197:$Z197,"&lt;="&amp;TODAY()+7))</f>
        <v/>
      </c>
      <c r="L197" s="32">
        <f>IF(OR(NOT(AND($A197&lt;&gt;"",OR($H197="",$H197="Active"))),$F197=""),"",IF(N197="",N$4,IF(O197="",O$4,IF(P197="",P$4,IF(Q197="",Q$4,IF(R197="",R$4,IF(S197="",S$4,IF(T197="",T$4,IF(U197="",U$4,"All done")))))))))</f>
        <v/>
      </c>
      <c r="M197" s="33">
        <f>IF(OR($L197="",$L197="All done"),"",($F197-(40-VALUE(LEFT($L197,2)))*7))</f>
        <v/>
      </c>
      <c r="N197" s="31" t="n"/>
      <c r="O197" s="31" t="n"/>
      <c r="P197" s="31" t="n"/>
      <c r="Q197" s="31" t="n"/>
      <c r="R197" s="31" t="n"/>
      <c r="S197" s="31" t="n"/>
      <c r="T197" s="31" t="n"/>
      <c r="U197" s="31" t="n"/>
      <c r="V197" s="31" t="n"/>
      <c r="W197" s="31" t="n"/>
      <c r="X197" s="31" t="n"/>
      <c r="Y197" s="31" t="n"/>
      <c r="Z197" s="31" t="n"/>
      <c r="AA197" s="34" t="n"/>
      <c r="AB197" s="29" t="n"/>
      <c r="AC197" s="31" t="n"/>
    </row>
    <row r="198">
      <c r="A198" s="29" t="n"/>
      <c r="B198" s="30" t="n"/>
      <c r="C198" s="31" t="n"/>
      <c r="D198" s="29" t="n"/>
      <c r="E198" s="29" t="n"/>
      <c r="F198" s="31" t="n"/>
      <c r="G198" s="31" t="n"/>
      <c r="H198" s="29" t="n"/>
      <c r="I198" s="32">
        <f>IF(OR(NOT(AND($A198&lt;&gt;"",OR($H198="",$H198="Active"))),$F198=""),"",INT((TODAY()-$F198+280)/7)&amp;"+"&amp;MOD(TODAY()-$F198+280,7))</f>
        <v/>
      </c>
      <c r="J198" s="32">
        <f>IF(NOT(AND($A198&lt;&gt;"",OR($H198="",$H198="Active"))),"",IF($F198="",0,SUMPRODUCT(($N198:$U198="")*(($F198-(40-VALUE(LEFT($N$4:$U$4,2)))*7)&lt;TODAY())))+COUNTIF($N198:$U198,"DNA")+COUNTIF($V198:$Z198,"&lt;"&amp;TODAY()))</f>
        <v/>
      </c>
      <c r="K198" s="32">
        <f>IF(NOT(AND($A198&lt;&gt;"",OR($H198="",$H198="Active"))),"",IF($F198="",0,SUMPRODUCT(($N198:$U198="")*(($F198-(40-VALUE(LEFT($N$4:$U$4,2)))*7)&gt;=TODAY())*(($F198-(40-VALUE(LEFT($N$4:$U$4,2)))*7)&lt;=TODAY()+7)))+COUNTIFS($V198:$Z198,"&gt;="&amp;TODAY(),$V198:$Z198,"&lt;="&amp;TODAY()+7))</f>
        <v/>
      </c>
      <c r="L198" s="32">
        <f>IF(OR(NOT(AND($A198&lt;&gt;"",OR($H198="",$H198="Active"))),$F198=""),"",IF(N198="",N$4,IF(O198="",O$4,IF(P198="",P$4,IF(Q198="",Q$4,IF(R198="",R$4,IF(S198="",S$4,IF(T198="",T$4,IF(U198="",U$4,"All done")))))))))</f>
        <v/>
      </c>
      <c r="M198" s="33">
        <f>IF(OR($L198="",$L198="All done"),"",($F198-(40-VALUE(LEFT($L198,2)))*7))</f>
        <v/>
      </c>
      <c r="N198" s="31" t="n"/>
      <c r="O198" s="31" t="n"/>
      <c r="P198" s="31" t="n"/>
      <c r="Q198" s="31" t="n"/>
      <c r="R198" s="31" t="n"/>
      <c r="S198" s="31" t="n"/>
      <c r="T198" s="31" t="n"/>
      <c r="U198" s="31" t="n"/>
      <c r="V198" s="31" t="n"/>
      <c r="W198" s="31" t="n"/>
      <c r="X198" s="31" t="n"/>
      <c r="Y198" s="31" t="n"/>
      <c r="Z198" s="31" t="n"/>
      <c r="AA198" s="34" t="n"/>
      <c r="AB198" s="29" t="n"/>
      <c r="AC198" s="31" t="n"/>
    </row>
    <row r="199">
      <c r="A199" s="29" t="n"/>
      <c r="B199" s="30" t="n"/>
      <c r="C199" s="31" t="n"/>
      <c r="D199" s="29" t="n"/>
      <c r="E199" s="29" t="n"/>
      <c r="F199" s="31" t="n"/>
      <c r="G199" s="31" t="n"/>
      <c r="H199" s="29" t="n"/>
      <c r="I199" s="32">
        <f>IF(OR(NOT(AND($A199&lt;&gt;"",OR($H199="",$H199="Active"))),$F199=""),"",INT((TODAY()-$F199+280)/7)&amp;"+"&amp;MOD(TODAY()-$F199+280,7))</f>
        <v/>
      </c>
      <c r="J199" s="32">
        <f>IF(NOT(AND($A199&lt;&gt;"",OR($H199="",$H199="Active"))),"",IF($F199="",0,SUMPRODUCT(($N199:$U199="")*(($F199-(40-VALUE(LEFT($N$4:$U$4,2)))*7)&lt;TODAY())))+COUNTIF($N199:$U199,"DNA")+COUNTIF($V199:$Z199,"&lt;"&amp;TODAY()))</f>
        <v/>
      </c>
      <c r="K199" s="32">
        <f>IF(NOT(AND($A199&lt;&gt;"",OR($H199="",$H199="Active"))),"",IF($F199="",0,SUMPRODUCT(($N199:$U199="")*(($F199-(40-VALUE(LEFT($N$4:$U$4,2)))*7)&gt;=TODAY())*(($F199-(40-VALUE(LEFT($N$4:$U$4,2)))*7)&lt;=TODAY()+7)))+COUNTIFS($V199:$Z199,"&gt;="&amp;TODAY(),$V199:$Z199,"&lt;="&amp;TODAY()+7))</f>
        <v/>
      </c>
      <c r="L199" s="32">
        <f>IF(OR(NOT(AND($A199&lt;&gt;"",OR($H199="",$H199="Active"))),$F199=""),"",IF(N199="",N$4,IF(O199="",O$4,IF(P199="",P$4,IF(Q199="",Q$4,IF(R199="",R$4,IF(S199="",S$4,IF(T199="",T$4,IF(U199="",U$4,"All done")))))))))</f>
        <v/>
      </c>
      <c r="M199" s="33">
        <f>IF(OR($L199="",$L199="All done"),"",($F199-(40-VALUE(LEFT($L199,2)))*7))</f>
        <v/>
      </c>
      <c r="N199" s="31" t="n"/>
      <c r="O199" s="31" t="n"/>
      <c r="P199" s="31" t="n"/>
      <c r="Q199" s="31" t="n"/>
      <c r="R199" s="31" t="n"/>
      <c r="S199" s="31" t="n"/>
      <c r="T199" s="31" t="n"/>
      <c r="U199" s="31" t="n"/>
      <c r="V199" s="31" t="n"/>
      <c r="W199" s="31" t="n"/>
      <c r="X199" s="31" t="n"/>
      <c r="Y199" s="31" t="n"/>
      <c r="Z199" s="31" t="n"/>
      <c r="AA199" s="34" t="n"/>
      <c r="AB199" s="29" t="n"/>
      <c r="AC199" s="31" t="n"/>
    </row>
    <row r="200">
      <c r="A200" s="29" t="n"/>
      <c r="B200" s="30" t="n"/>
      <c r="C200" s="31" t="n"/>
      <c r="D200" s="29" t="n"/>
      <c r="E200" s="29" t="n"/>
      <c r="F200" s="31" t="n"/>
      <c r="G200" s="31" t="n"/>
      <c r="H200" s="29" t="n"/>
      <c r="I200" s="32">
        <f>IF(OR(NOT(AND($A200&lt;&gt;"",OR($H200="",$H200="Active"))),$F200=""),"",INT((TODAY()-$F200+280)/7)&amp;"+"&amp;MOD(TODAY()-$F200+280,7))</f>
        <v/>
      </c>
      <c r="J200" s="32">
        <f>IF(NOT(AND($A200&lt;&gt;"",OR($H200="",$H200="Active"))),"",IF($F200="",0,SUMPRODUCT(($N200:$U200="")*(($F200-(40-VALUE(LEFT($N$4:$U$4,2)))*7)&lt;TODAY())))+COUNTIF($N200:$U200,"DNA")+COUNTIF($V200:$Z200,"&lt;"&amp;TODAY()))</f>
        <v/>
      </c>
      <c r="K200" s="32">
        <f>IF(NOT(AND($A200&lt;&gt;"",OR($H200="",$H200="Active"))),"",IF($F200="",0,SUMPRODUCT(($N200:$U200="")*(($F200-(40-VALUE(LEFT($N$4:$U$4,2)))*7)&gt;=TODAY())*(($F200-(40-VALUE(LEFT($N$4:$U$4,2)))*7)&lt;=TODAY()+7)))+COUNTIFS($V200:$Z200,"&gt;="&amp;TODAY(),$V200:$Z200,"&lt;="&amp;TODAY()+7))</f>
        <v/>
      </c>
      <c r="L200" s="32">
        <f>IF(OR(NOT(AND($A200&lt;&gt;"",OR($H200="",$H200="Active"))),$F200=""),"",IF(N200="",N$4,IF(O200="",O$4,IF(P200="",P$4,IF(Q200="",Q$4,IF(R200="",R$4,IF(S200="",S$4,IF(T200="",T$4,IF(U200="",U$4,"All done")))))))))</f>
        <v/>
      </c>
      <c r="M200" s="33">
        <f>IF(OR($L200="",$L200="All done"),"",($F200-(40-VALUE(LEFT($L200,2)))*7))</f>
        <v/>
      </c>
      <c r="N200" s="31" t="n"/>
      <c r="O200" s="31" t="n"/>
      <c r="P200" s="31" t="n"/>
      <c r="Q200" s="31" t="n"/>
      <c r="R200" s="31" t="n"/>
      <c r="S200" s="31" t="n"/>
      <c r="T200" s="31" t="n"/>
      <c r="U200" s="31" t="n"/>
      <c r="V200" s="31" t="n"/>
      <c r="W200" s="31" t="n"/>
      <c r="X200" s="31" t="n"/>
      <c r="Y200" s="31" t="n"/>
      <c r="Z200" s="31" t="n"/>
      <c r="AA200" s="34" t="n"/>
      <c r="AB200" s="29" t="n"/>
      <c r="AC200" s="31" t="n"/>
    </row>
    <row r="201">
      <c r="A201" s="29" t="n"/>
      <c r="B201" s="30" t="n"/>
      <c r="C201" s="31" t="n"/>
      <c r="D201" s="29" t="n"/>
      <c r="E201" s="29" t="n"/>
      <c r="F201" s="31" t="n"/>
      <c r="G201" s="31" t="n"/>
      <c r="H201" s="29" t="n"/>
      <c r="I201" s="32">
        <f>IF(OR(NOT(AND($A201&lt;&gt;"",OR($H201="",$H201="Active"))),$F201=""),"",INT((TODAY()-$F201+280)/7)&amp;"+"&amp;MOD(TODAY()-$F201+280,7))</f>
        <v/>
      </c>
      <c r="J201" s="32">
        <f>IF(NOT(AND($A201&lt;&gt;"",OR($H201="",$H201="Active"))),"",IF($F201="",0,SUMPRODUCT(($N201:$U201="")*(($F201-(40-VALUE(LEFT($N$4:$U$4,2)))*7)&lt;TODAY())))+COUNTIF($N201:$U201,"DNA")+COUNTIF($V201:$Z201,"&lt;"&amp;TODAY()))</f>
        <v/>
      </c>
      <c r="K201" s="32">
        <f>IF(NOT(AND($A201&lt;&gt;"",OR($H201="",$H201="Active"))),"",IF($F201="",0,SUMPRODUCT(($N201:$U201="")*(($F201-(40-VALUE(LEFT($N$4:$U$4,2)))*7)&gt;=TODAY())*(($F201-(40-VALUE(LEFT($N$4:$U$4,2)))*7)&lt;=TODAY()+7)))+COUNTIFS($V201:$Z201,"&gt;="&amp;TODAY(),$V201:$Z201,"&lt;="&amp;TODAY()+7))</f>
        <v/>
      </c>
      <c r="L201" s="32">
        <f>IF(OR(NOT(AND($A201&lt;&gt;"",OR($H201="",$H201="Active"))),$F201=""),"",IF(N201="",N$4,IF(O201="",O$4,IF(P201="",P$4,IF(Q201="",Q$4,IF(R201="",R$4,IF(S201="",S$4,IF(T201="",T$4,IF(U201="",U$4,"All done")))))))))</f>
        <v/>
      </c>
      <c r="M201" s="33">
        <f>IF(OR($L201="",$L201="All done"),"",($F201-(40-VALUE(LEFT($L201,2)))*7))</f>
        <v/>
      </c>
      <c r="N201" s="31" t="n"/>
      <c r="O201" s="31" t="n"/>
      <c r="P201" s="31" t="n"/>
      <c r="Q201" s="31" t="n"/>
      <c r="R201" s="31" t="n"/>
      <c r="S201" s="31" t="n"/>
      <c r="T201" s="31" t="n"/>
      <c r="U201" s="31" t="n"/>
      <c r="V201" s="31" t="n"/>
      <c r="W201" s="31" t="n"/>
      <c r="X201" s="31" t="n"/>
      <c r="Y201" s="31" t="n"/>
      <c r="Z201" s="31" t="n"/>
      <c r="AA201" s="34" t="n"/>
      <c r="AB201" s="29" t="n"/>
      <c r="AC201" s="31" t="n"/>
    </row>
    <row r="202">
      <c r="A202" s="29" t="n"/>
      <c r="B202" s="30" t="n"/>
      <c r="C202" s="31" t="n"/>
      <c r="D202" s="29" t="n"/>
      <c r="E202" s="29" t="n"/>
      <c r="F202" s="31" t="n"/>
      <c r="G202" s="31" t="n"/>
      <c r="H202" s="29" t="n"/>
      <c r="I202" s="32">
        <f>IF(OR(NOT(AND($A202&lt;&gt;"",OR($H202="",$H202="Active"))),$F202=""),"",INT((TODAY()-$F202+280)/7)&amp;"+"&amp;MOD(TODAY()-$F202+280,7))</f>
        <v/>
      </c>
      <c r="J202" s="32">
        <f>IF(NOT(AND($A202&lt;&gt;"",OR($H202="",$H202="Active"))),"",IF($F202="",0,SUMPRODUCT(($N202:$U202="")*(($F202-(40-VALUE(LEFT($N$4:$U$4,2)))*7)&lt;TODAY())))+COUNTIF($N202:$U202,"DNA")+COUNTIF($V202:$Z202,"&lt;"&amp;TODAY()))</f>
        <v/>
      </c>
      <c r="K202" s="32">
        <f>IF(NOT(AND($A202&lt;&gt;"",OR($H202="",$H202="Active"))),"",IF($F202="",0,SUMPRODUCT(($N202:$U202="")*(($F202-(40-VALUE(LEFT($N$4:$U$4,2)))*7)&gt;=TODAY())*(($F202-(40-VALUE(LEFT($N$4:$U$4,2)))*7)&lt;=TODAY()+7)))+COUNTIFS($V202:$Z202,"&gt;="&amp;TODAY(),$V202:$Z202,"&lt;="&amp;TODAY()+7))</f>
        <v/>
      </c>
      <c r="L202" s="32">
        <f>IF(OR(NOT(AND($A202&lt;&gt;"",OR($H202="",$H202="Active"))),$F202=""),"",IF(N202="",N$4,IF(O202="",O$4,IF(P202="",P$4,IF(Q202="",Q$4,IF(R202="",R$4,IF(S202="",S$4,IF(T202="",T$4,IF(U202="",U$4,"All done")))))))))</f>
        <v/>
      </c>
      <c r="M202" s="33">
        <f>IF(OR($L202="",$L202="All done"),"",($F202-(40-VALUE(LEFT($L202,2)))*7))</f>
        <v/>
      </c>
      <c r="N202" s="31" t="n"/>
      <c r="O202" s="31" t="n"/>
      <c r="P202" s="31" t="n"/>
      <c r="Q202" s="31" t="n"/>
      <c r="R202" s="31" t="n"/>
      <c r="S202" s="31" t="n"/>
      <c r="T202" s="31" t="n"/>
      <c r="U202" s="31" t="n"/>
      <c r="V202" s="31" t="n"/>
      <c r="W202" s="31" t="n"/>
      <c r="X202" s="31" t="n"/>
      <c r="Y202" s="31" t="n"/>
      <c r="Z202" s="31" t="n"/>
      <c r="AA202" s="34" t="n"/>
      <c r="AB202" s="29" t="n"/>
      <c r="AC202" s="31" t="n"/>
    </row>
    <row r="203">
      <c r="A203" s="29" t="n"/>
      <c r="B203" s="30" t="n"/>
      <c r="C203" s="31" t="n"/>
      <c r="D203" s="29" t="n"/>
      <c r="E203" s="29" t="n"/>
      <c r="F203" s="31" t="n"/>
      <c r="G203" s="31" t="n"/>
      <c r="H203" s="29" t="n"/>
      <c r="I203" s="32">
        <f>IF(OR(NOT(AND($A203&lt;&gt;"",OR($H203="",$H203="Active"))),$F203=""),"",INT((TODAY()-$F203+280)/7)&amp;"+"&amp;MOD(TODAY()-$F203+280,7))</f>
        <v/>
      </c>
      <c r="J203" s="32">
        <f>IF(NOT(AND($A203&lt;&gt;"",OR($H203="",$H203="Active"))),"",IF($F203="",0,SUMPRODUCT(($N203:$U203="")*(($F203-(40-VALUE(LEFT($N$4:$U$4,2)))*7)&lt;TODAY())))+COUNTIF($N203:$U203,"DNA")+COUNTIF($V203:$Z203,"&lt;"&amp;TODAY()))</f>
        <v/>
      </c>
      <c r="K203" s="32">
        <f>IF(NOT(AND($A203&lt;&gt;"",OR($H203="",$H203="Active"))),"",IF($F203="",0,SUMPRODUCT(($N203:$U203="")*(($F203-(40-VALUE(LEFT($N$4:$U$4,2)))*7)&gt;=TODAY())*(($F203-(40-VALUE(LEFT($N$4:$U$4,2)))*7)&lt;=TODAY()+7)))+COUNTIFS($V203:$Z203,"&gt;="&amp;TODAY(),$V203:$Z203,"&lt;="&amp;TODAY()+7))</f>
        <v/>
      </c>
      <c r="L203" s="32">
        <f>IF(OR(NOT(AND($A203&lt;&gt;"",OR($H203="",$H203="Active"))),$F203=""),"",IF(N203="",N$4,IF(O203="",O$4,IF(P203="",P$4,IF(Q203="",Q$4,IF(R203="",R$4,IF(S203="",S$4,IF(T203="",T$4,IF(U203="",U$4,"All done")))))))))</f>
        <v/>
      </c>
      <c r="M203" s="33">
        <f>IF(OR($L203="",$L203="All done"),"",($F203-(40-VALUE(LEFT($L203,2)))*7))</f>
        <v/>
      </c>
      <c r="N203" s="31" t="n"/>
      <c r="O203" s="31" t="n"/>
      <c r="P203" s="31" t="n"/>
      <c r="Q203" s="31" t="n"/>
      <c r="R203" s="31" t="n"/>
      <c r="S203" s="31" t="n"/>
      <c r="T203" s="31" t="n"/>
      <c r="U203" s="31" t="n"/>
      <c r="V203" s="31" t="n"/>
      <c r="W203" s="31" t="n"/>
      <c r="X203" s="31" t="n"/>
      <c r="Y203" s="31" t="n"/>
      <c r="Z203" s="31" t="n"/>
      <c r="AA203" s="34" t="n"/>
      <c r="AB203" s="29" t="n"/>
      <c r="AC203" s="31" t="n"/>
    </row>
    <row r="204">
      <c r="A204" s="29" t="n"/>
      <c r="B204" s="30" t="n"/>
      <c r="C204" s="31" t="n"/>
      <c r="D204" s="29" t="n"/>
      <c r="E204" s="29" t="n"/>
      <c r="F204" s="31" t="n"/>
      <c r="G204" s="31" t="n"/>
      <c r="H204" s="29" t="n"/>
      <c r="I204" s="32">
        <f>IF(OR(NOT(AND($A204&lt;&gt;"",OR($H204="",$H204="Active"))),$F204=""),"",INT((TODAY()-$F204+280)/7)&amp;"+"&amp;MOD(TODAY()-$F204+280,7))</f>
        <v/>
      </c>
      <c r="J204" s="32">
        <f>IF(NOT(AND($A204&lt;&gt;"",OR($H204="",$H204="Active"))),"",IF($F204="",0,SUMPRODUCT(($N204:$U204="")*(($F204-(40-VALUE(LEFT($N$4:$U$4,2)))*7)&lt;TODAY())))+COUNTIF($N204:$U204,"DNA")+COUNTIF($V204:$Z204,"&lt;"&amp;TODAY()))</f>
        <v/>
      </c>
      <c r="K204" s="32">
        <f>IF(NOT(AND($A204&lt;&gt;"",OR($H204="",$H204="Active"))),"",IF($F204="",0,SUMPRODUCT(($N204:$U204="")*(($F204-(40-VALUE(LEFT($N$4:$U$4,2)))*7)&gt;=TODAY())*(($F204-(40-VALUE(LEFT($N$4:$U$4,2)))*7)&lt;=TODAY()+7)))+COUNTIFS($V204:$Z204,"&gt;="&amp;TODAY(),$V204:$Z204,"&lt;="&amp;TODAY()+7))</f>
        <v/>
      </c>
      <c r="L204" s="32">
        <f>IF(OR(NOT(AND($A204&lt;&gt;"",OR($H204="",$H204="Active"))),$F204=""),"",IF(N204="",N$4,IF(O204="",O$4,IF(P204="",P$4,IF(Q204="",Q$4,IF(R204="",R$4,IF(S204="",S$4,IF(T204="",T$4,IF(U204="",U$4,"All done")))))))))</f>
        <v/>
      </c>
      <c r="M204" s="33">
        <f>IF(OR($L204="",$L204="All done"),"",($F204-(40-VALUE(LEFT($L204,2)))*7))</f>
        <v/>
      </c>
      <c r="N204" s="31" t="n"/>
      <c r="O204" s="31" t="n"/>
      <c r="P204" s="31" t="n"/>
      <c r="Q204" s="31" t="n"/>
      <c r="R204" s="31" t="n"/>
      <c r="S204" s="31" t="n"/>
      <c r="T204" s="31" t="n"/>
      <c r="U204" s="31" t="n"/>
      <c r="V204" s="31" t="n"/>
      <c r="W204" s="31" t="n"/>
      <c r="X204" s="31" t="n"/>
      <c r="Y204" s="31" t="n"/>
      <c r="Z204" s="31" t="n"/>
      <c r="AA204" s="34" t="n"/>
      <c r="AB204" s="29" t="n"/>
      <c r="AC204" s="31" t="n"/>
    </row>
    <row r="205">
      <c r="A205" s="29" t="n"/>
      <c r="B205" s="30" t="n"/>
      <c r="C205" s="31" t="n"/>
      <c r="D205" s="29" t="n"/>
      <c r="E205" s="29" t="n"/>
      <c r="F205" s="31" t="n"/>
      <c r="G205" s="31" t="n"/>
      <c r="H205" s="29" t="n"/>
      <c r="I205" s="32">
        <f>IF(OR(NOT(AND($A205&lt;&gt;"",OR($H205="",$H205="Active"))),$F205=""),"",INT((TODAY()-$F205+280)/7)&amp;"+"&amp;MOD(TODAY()-$F205+280,7))</f>
        <v/>
      </c>
      <c r="J205" s="32">
        <f>IF(NOT(AND($A205&lt;&gt;"",OR($H205="",$H205="Active"))),"",IF($F205="",0,SUMPRODUCT(($N205:$U205="")*(($F205-(40-VALUE(LEFT($N$4:$U$4,2)))*7)&lt;TODAY())))+COUNTIF($N205:$U205,"DNA")+COUNTIF($V205:$Z205,"&lt;"&amp;TODAY()))</f>
        <v/>
      </c>
      <c r="K205" s="32">
        <f>IF(NOT(AND($A205&lt;&gt;"",OR($H205="",$H205="Active"))),"",IF($F205="",0,SUMPRODUCT(($N205:$U205="")*(($F205-(40-VALUE(LEFT($N$4:$U$4,2)))*7)&gt;=TODAY())*(($F205-(40-VALUE(LEFT($N$4:$U$4,2)))*7)&lt;=TODAY()+7)))+COUNTIFS($V205:$Z205,"&gt;="&amp;TODAY(),$V205:$Z205,"&lt;="&amp;TODAY()+7))</f>
        <v/>
      </c>
      <c r="L205" s="32">
        <f>IF(OR(NOT(AND($A205&lt;&gt;"",OR($H205="",$H205="Active"))),$F205=""),"",IF(N205="",N$4,IF(O205="",O$4,IF(P205="",P$4,IF(Q205="",Q$4,IF(R205="",R$4,IF(S205="",S$4,IF(T205="",T$4,IF(U205="",U$4,"All done")))))))))</f>
        <v/>
      </c>
      <c r="M205" s="33">
        <f>IF(OR($L205="",$L205="All done"),"",($F205-(40-VALUE(LEFT($L205,2)))*7))</f>
        <v/>
      </c>
      <c r="N205" s="31" t="n"/>
      <c r="O205" s="31" t="n"/>
      <c r="P205" s="31" t="n"/>
      <c r="Q205" s="31" t="n"/>
      <c r="R205" s="31" t="n"/>
      <c r="S205" s="31" t="n"/>
      <c r="T205" s="31" t="n"/>
      <c r="U205" s="31" t="n"/>
      <c r="V205" s="31" t="n"/>
      <c r="W205" s="31" t="n"/>
      <c r="X205" s="31" t="n"/>
      <c r="Y205" s="31" t="n"/>
      <c r="Z205" s="31" t="n"/>
      <c r="AA205" s="34" t="n"/>
      <c r="AB205" s="29" t="n"/>
      <c r="AC205" s="31" t="n"/>
    </row>
    <row r="206">
      <c r="A206" s="29" t="n"/>
      <c r="B206" s="30" t="n"/>
      <c r="C206" s="31" t="n"/>
      <c r="D206" s="29" t="n"/>
      <c r="E206" s="29" t="n"/>
      <c r="F206" s="31" t="n"/>
      <c r="G206" s="31" t="n"/>
      <c r="H206" s="29" t="n"/>
      <c r="I206" s="32">
        <f>IF(OR(NOT(AND($A206&lt;&gt;"",OR($H206="",$H206="Active"))),$F206=""),"",INT((TODAY()-$F206+280)/7)&amp;"+"&amp;MOD(TODAY()-$F206+280,7))</f>
        <v/>
      </c>
      <c r="J206" s="32">
        <f>IF(NOT(AND($A206&lt;&gt;"",OR($H206="",$H206="Active"))),"",IF($F206="",0,SUMPRODUCT(($N206:$U206="")*(($F206-(40-VALUE(LEFT($N$4:$U$4,2)))*7)&lt;TODAY())))+COUNTIF($N206:$U206,"DNA")+COUNTIF($V206:$Z206,"&lt;"&amp;TODAY()))</f>
        <v/>
      </c>
      <c r="K206" s="32">
        <f>IF(NOT(AND($A206&lt;&gt;"",OR($H206="",$H206="Active"))),"",IF($F206="",0,SUMPRODUCT(($N206:$U206="")*(($F206-(40-VALUE(LEFT($N$4:$U$4,2)))*7)&gt;=TODAY())*(($F206-(40-VALUE(LEFT($N$4:$U$4,2)))*7)&lt;=TODAY()+7)))+COUNTIFS($V206:$Z206,"&gt;="&amp;TODAY(),$V206:$Z206,"&lt;="&amp;TODAY()+7))</f>
        <v/>
      </c>
      <c r="L206" s="32">
        <f>IF(OR(NOT(AND($A206&lt;&gt;"",OR($H206="",$H206="Active"))),$F206=""),"",IF(N206="",N$4,IF(O206="",O$4,IF(P206="",P$4,IF(Q206="",Q$4,IF(R206="",R$4,IF(S206="",S$4,IF(T206="",T$4,IF(U206="",U$4,"All done")))))))))</f>
        <v/>
      </c>
      <c r="M206" s="33">
        <f>IF(OR($L206="",$L206="All done"),"",($F206-(40-VALUE(LEFT($L206,2)))*7))</f>
        <v/>
      </c>
      <c r="N206" s="31" t="n"/>
      <c r="O206" s="31" t="n"/>
      <c r="P206" s="31" t="n"/>
      <c r="Q206" s="31" t="n"/>
      <c r="R206" s="31" t="n"/>
      <c r="S206" s="31" t="n"/>
      <c r="T206" s="31" t="n"/>
      <c r="U206" s="31" t="n"/>
      <c r="V206" s="31" t="n"/>
      <c r="W206" s="31" t="n"/>
      <c r="X206" s="31" t="n"/>
      <c r="Y206" s="31" t="n"/>
      <c r="Z206" s="31" t="n"/>
      <c r="AA206" s="34" t="n"/>
      <c r="AB206" s="29" t="n"/>
      <c r="AC206" s="31" t="n"/>
    </row>
    <row r="207">
      <c r="A207" s="29" t="n"/>
      <c r="B207" s="30" t="n"/>
      <c r="C207" s="31" t="n"/>
      <c r="D207" s="29" t="n"/>
      <c r="E207" s="29" t="n"/>
      <c r="F207" s="31" t="n"/>
      <c r="G207" s="31" t="n"/>
      <c r="H207" s="29" t="n"/>
      <c r="I207" s="32">
        <f>IF(OR(NOT(AND($A207&lt;&gt;"",OR($H207="",$H207="Active"))),$F207=""),"",INT((TODAY()-$F207+280)/7)&amp;"+"&amp;MOD(TODAY()-$F207+280,7))</f>
        <v/>
      </c>
      <c r="J207" s="32">
        <f>IF(NOT(AND($A207&lt;&gt;"",OR($H207="",$H207="Active"))),"",IF($F207="",0,SUMPRODUCT(($N207:$U207="")*(($F207-(40-VALUE(LEFT($N$4:$U$4,2)))*7)&lt;TODAY())))+COUNTIF($N207:$U207,"DNA")+COUNTIF($V207:$Z207,"&lt;"&amp;TODAY()))</f>
        <v/>
      </c>
      <c r="K207" s="32">
        <f>IF(NOT(AND($A207&lt;&gt;"",OR($H207="",$H207="Active"))),"",IF($F207="",0,SUMPRODUCT(($N207:$U207="")*(($F207-(40-VALUE(LEFT($N$4:$U$4,2)))*7)&gt;=TODAY())*(($F207-(40-VALUE(LEFT($N$4:$U$4,2)))*7)&lt;=TODAY()+7)))+COUNTIFS($V207:$Z207,"&gt;="&amp;TODAY(),$V207:$Z207,"&lt;="&amp;TODAY()+7))</f>
        <v/>
      </c>
      <c r="L207" s="32">
        <f>IF(OR(NOT(AND($A207&lt;&gt;"",OR($H207="",$H207="Active"))),$F207=""),"",IF(N207="",N$4,IF(O207="",O$4,IF(P207="",P$4,IF(Q207="",Q$4,IF(R207="",R$4,IF(S207="",S$4,IF(T207="",T$4,IF(U207="",U$4,"All done")))))))))</f>
        <v/>
      </c>
      <c r="M207" s="33">
        <f>IF(OR($L207="",$L207="All done"),"",($F207-(40-VALUE(LEFT($L207,2)))*7))</f>
        <v/>
      </c>
      <c r="N207" s="31" t="n"/>
      <c r="O207" s="31" t="n"/>
      <c r="P207" s="31" t="n"/>
      <c r="Q207" s="31" t="n"/>
      <c r="R207" s="31" t="n"/>
      <c r="S207" s="31" t="n"/>
      <c r="T207" s="31" t="n"/>
      <c r="U207" s="31" t="n"/>
      <c r="V207" s="31" t="n"/>
      <c r="W207" s="31" t="n"/>
      <c r="X207" s="31" t="n"/>
      <c r="Y207" s="31" t="n"/>
      <c r="Z207" s="31" t="n"/>
      <c r="AA207" s="34" t="n"/>
      <c r="AB207" s="29" t="n"/>
      <c r="AC207" s="31" t="n"/>
    </row>
    <row r="208">
      <c r="A208" s="29" t="n"/>
      <c r="B208" s="30" t="n"/>
      <c r="C208" s="31" t="n"/>
      <c r="D208" s="29" t="n"/>
      <c r="E208" s="29" t="n"/>
      <c r="F208" s="31" t="n"/>
      <c r="G208" s="31" t="n"/>
      <c r="H208" s="29" t="n"/>
      <c r="I208" s="32">
        <f>IF(OR(NOT(AND($A208&lt;&gt;"",OR($H208="",$H208="Active"))),$F208=""),"",INT((TODAY()-$F208+280)/7)&amp;"+"&amp;MOD(TODAY()-$F208+280,7))</f>
        <v/>
      </c>
      <c r="J208" s="32">
        <f>IF(NOT(AND($A208&lt;&gt;"",OR($H208="",$H208="Active"))),"",IF($F208="",0,SUMPRODUCT(($N208:$U208="")*(($F208-(40-VALUE(LEFT($N$4:$U$4,2)))*7)&lt;TODAY())))+COUNTIF($N208:$U208,"DNA")+COUNTIF($V208:$Z208,"&lt;"&amp;TODAY()))</f>
        <v/>
      </c>
      <c r="K208" s="32">
        <f>IF(NOT(AND($A208&lt;&gt;"",OR($H208="",$H208="Active"))),"",IF($F208="",0,SUMPRODUCT(($N208:$U208="")*(($F208-(40-VALUE(LEFT($N$4:$U$4,2)))*7)&gt;=TODAY())*(($F208-(40-VALUE(LEFT($N$4:$U$4,2)))*7)&lt;=TODAY()+7)))+COUNTIFS($V208:$Z208,"&gt;="&amp;TODAY(),$V208:$Z208,"&lt;="&amp;TODAY()+7))</f>
        <v/>
      </c>
      <c r="L208" s="32">
        <f>IF(OR(NOT(AND($A208&lt;&gt;"",OR($H208="",$H208="Active"))),$F208=""),"",IF(N208="",N$4,IF(O208="",O$4,IF(P208="",P$4,IF(Q208="",Q$4,IF(R208="",R$4,IF(S208="",S$4,IF(T208="",T$4,IF(U208="",U$4,"All done")))))))))</f>
        <v/>
      </c>
      <c r="M208" s="33">
        <f>IF(OR($L208="",$L208="All done"),"",($F208-(40-VALUE(LEFT($L208,2)))*7))</f>
        <v/>
      </c>
      <c r="N208" s="31" t="n"/>
      <c r="O208" s="31" t="n"/>
      <c r="P208" s="31" t="n"/>
      <c r="Q208" s="31" t="n"/>
      <c r="R208" s="31" t="n"/>
      <c r="S208" s="31" t="n"/>
      <c r="T208" s="31" t="n"/>
      <c r="U208" s="31" t="n"/>
      <c r="V208" s="31" t="n"/>
      <c r="W208" s="31" t="n"/>
      <c r="X208" s="31" t="n"/>
      <c r="Y208" s="31" t="n"/>
      <c r="Z208" s="31" t="n"/>
      <c r="AA208" s="34" t="n"/>
      <c r="AB208" s="29" t="n"/>
      <c r="AC208" s="31" t="n"/>
    </row>
    <row r="209">
      <c r="A209" s="29" t="n"/>
      <c r="B209" s="30" t="n"/>
      <c r="C209" s="31" t="n"/>
      <c r="D209" s="29" t="n"/>
      <c r="E209" s="29" t="n"/>
      <c r="F209" s="31" t="n"/>
      <c r="G209" s="31" t="n"/>
      <c r="H209" s="29" t="n"/>
      <c r="I209" s="32">
        <f>IF(OR(NOT(AND($A209&lt;&gt;"",OR($H209="",$H209="Active"))),$F209=""),"",INT((TODAY()-$F209+280)/7)&amp;"+"&amp;MOD(TODAY()-$F209+280,7))</f>
        <v/>
      </c>
      <c r="J209" s="32">
        <f>IF(NOT(AND($A209&lt;&gt;"",OR($H209="",$H209="Active"))),"",IF($F209="",0,SUMPRODUCT(($N209:$U209="")*(($F209-(40-VALUE(LEFT($N$4:$U$4,2)))*7)&lt;TODAY())))+COUNTIF($N209:$U209,"DNA")+COUNTIF($V209:$Z209,"&lt;"&amp;TODAY()))</f>
        <v/>
      </c>
      <c r="K209" s="32">
        <f>IF(NOT(AND($A209&lt;&gt;"",OR($H209="",$H209="Active"))),"",IF($F209="",0,SUMPRODUCT(($N209:$U209="")*(($F209-(40-VALUE(LEFT($N$4:$U$4,2)))*7)&gt;=TODAY())*(($F209-(40-VALUE(LEFT($N$4:$U$4,2)))*7)&lt;=TODAY()+7)))+COUNTIFS($V209:$Z209,"&gt;="&amp;TODAY(),$V209:$Z209,"&lt;="&amp;TODAY()+7))</f>
        <v/>
      </c>
      <c r="L209" s="32">
        <f>IF(OR(NOT(AND($A209&lt;&gt;"",OR($H209="",$H209="Active"))),$F209=""),"",IF(N209="",N$4,IF(O209="",O$4,IF(P209="",P$4,IF(Q209="",Q$4,IF(R209="",R$4,IF(S209="",S$4,IF(T209="",T$4,IF(U209="",U$4,"All done")))))))))</f>
        <v/>
      </c>
      <c r="M209" s="33">
        <f>IF(OR($L209="",$L209="All done"),"",($F209-(40-VALUE(LEFT($L209,2)))*7))</f>
        <v/>
      </c>
      <c r="N209" s="31" t="n"/>
      <c r="O209" s="31" t="n"/>
      <c r="P209" s="31" t="n"/>
      <c r="Q209" s="31" t="n"/>
      <c r="R209" s="31" t="n"/>
      <c r="S209" s="31" t="n"/>
      <c r="T209" s="31" t="n"/>
      <c r="U209" s="31" t="n"/>
      <c r="V209" s="31" t="n"/>
      <c r="W209" s="31" t="n"/>
      <c r="X209" s="31" t="n"/>
      <c r="Y209" s="31" t="n"/>
      <c r="Z209" s="31" t="n"/>
      <c r="AA209" s="34" t="n"/>
      <c r="AB209" s="29" t="n"/>
      <c r="AC209" s="31" t="n"/>
    </row>
    <row r="210">
      <c r="A210" s="29" t="n"/>
      <c r="B210" s="30" t="n"/>
      <c r="C210" s="31" t="n"/>
      <c r="D210" s="29" t="n"/>
      <c r="E210" s="29" t="n"/>
      <c r="F210" s="31" t="n"/>
      <c r="G210" s="31" t="n"/>
      <c r="H210" s="29" t="n"/>
      <c r="I210" s="32">
        <f>IF(OR(NOT(AND($A210&lt;&gt;"",OR($H210="",$H210="Active"))),$F210=""),"",INT((TODAY()-$F210+280)/7)&amp;"+"&amp;MOD(TODAY()-$F210+280,7))</f>
        <v/>
      </c>
      <c r="J210" s="32">
        <f>IF(NOT(AND($A210&lt;&gt;"",OR($H210="",$H210="Active"))),"",IF($F210="",0,SUMPRODUCT(($N210:$U210="")*(($F210-(40-VALUE(LEFT($N$4:$U$4,2)))*7)&lt;TODAY())))+COUNTIF($N210:$U210,"DNA")+COUNTIF($V210:$Z210,"&lt;"&amp;TODAY()))</f>
        <v/>
      </c>
      <c r="K210" s="32">
        <f>IF(NOT(AND($A210&lt;&gt;"",OR($H210="",$H210="Active"))),"",IF($F210="",0,SUMPRODUCT(($N210:$U210="")*(($F210-(40-VALUE(LEFT($N$4:$U$4,2)))*7)&gt;=TODAY())*(($F210-(40-VALUE(LEFT($N$4:$U$4,2)))*7)&lt;=TODAY()+7)))+COUNTIFS($V210:$Z210,"&gt;="&amp;TODAY(),$V210:$Z210,"&lt;="&amp;TODAY()+7))</f>
        <v/>
      </c>
      <c r="L210" s="32">
        <f>IF(OR(NOT(AND($A210&lt;&gt;"",OR($H210="",$H210="Active"))),$F210=""),"",IF(N210="",N$4,IF(O210="",O$4,IF(P210="",P$4,IF(Q210="",Q$4,IF(R210="",R$4,IF(S210="",S$4,IF(T210="",T$4,IF(U210="",U$4,"All done")))))))))</f>
        <v/>
      </c>
      <c r="M210" s="33">
        <f>IF(OR($L210="",$L210="All done"),"",($F210-(40-VALUE(LEFT($L210,2)))*7))</f>
        <v/>
      </c>
      <c r="N210" s="31" t="n"/>
      <c r="O210" s="31" t="n"/>
      <c r="P210" s="31" t="n"/>
      <c r="Q210" s="31" t="n"/>
      <c r="R210" s="31" t="n"/>
      <c r="S210" s="31" t="n"/>
      <c r="T210" s="31" t="n"/>
      <c r="U210" s="31" t="n"/>
      <c r="V210" s="31" t="n"/>
      <c r="W210" s="31" t="n"/>
      <c r="X210" s="31" t="n"/>
      <c r="Y210" s="31" t="n"/>
      <c r="Z210" s="31" t="n"/>
      <c r="AA210" s="34" t="n"/>
      <c r="AB210" s="29" t="n"/>
      <c r="AC210" s="31" t="n"/>
    </row>
    <row r="211">
      <c r="A211" s="29" t="n"/>
      <c r="B211" s="30" t="n"/>
      <c r="C211" s="31" t="n"/>
      <c r="D211" s="29" t="n"/>
      <c r="E211" s="29" t="n"/>
      <c r="F211" s="31" t="n"/>
      <c r="G211" s="31" t="n"/>
      <c r="H211" s="29" t="n"/>
      <c r="I211" s="32">
        <f>IF(OR(NOT(AND($A211&lt;&gt;"",OR($H211="",$H211="Active"))),$F211=""),"",INT((TODAY()-$F211+280)/7)&amp;"+"&amp;MOD(TODAY()-$F211+280,7))</f>
        <v/>
      </c>
      <c r="J211" s="32">
        <f>IF(NOT(AND($A211&lt;&gt;"",OR($H211="",$H211="Active"))),"",IF($F211="",0,SUMPRODUCT(($N211:$U211="")*(($F211-(40-VALUE(LEFT($N$4:$U$4,2)))*7)&lt;TODAY())))+COUNTIF($N211:$U211,"DNA")+COUNTIF($V211:$Z211,"&lt;"&amp;TODAY()))</f>
        <v/>
      </c>
      <c r="K211" s="32">
        <f>IF(NOT(AND($A211&lt;&gt;"",OR($H211="",$H211="Active"))),"",IF($F211="",0,SUMPRODUCT(($N211:$U211="")*(($F211-(40-VALUE(LEFT($N$4:$U$4,2)))*7)&gt;=TODAY())*(($F211-(40-VALUE(LEFT($N$4:$U$4,2)))*7)&lt;=TODAY()+7)))+COUNTIFS($V211:$Z211,"&gt;="&amp;TODAY(),$V211:$Z211,"&lt;="&amp;TODAY()+7))</f>
        <v/>
      </c>
      <c r="L211" s="32">
        <f>IF(OR(NOT(AND($A211&lt;&gt;"",OR($H211="",$H211="Active"))),$F211=""),"",IF(N211="",N$4,IF(O211="",O$4,IF(P211="",P$4,IF(Q211="",Q$4,IF(R211="",R$4,IF(S211="",S$4,IF(T211="",T$4,IF(U211="",U$4,"All done")))))))))</f>
        <v/>
      </c>
      <c r="M211" s="33">
        <f>IF(OR($L211="",$L211="All done"),"",($F211-(40-VALUE(LEFT($L211,2)))*7))</f>
        <v/>
      </c>
      <c r="N211" s="31" t="n"/>
      <c r="O211" s="31" t="n"/>
      <c r="P211" s="31" t="n"/>
      <c r="Q211" s="31" t="n"/>
      <c r="R211" s="31" t="n"/>
      <c r="S211" s="31" t="n"/>
      <c r="T211" s="31" t="n"/>
      <c r="U211" s="31" t="n"/>
      <c r="V211" s="31" t="n"/>
      <c r="W211" s="31" t="n"/>
      <c r="X211" s="31" t="n"/>
      <c r="Y211" s="31" t="n"/>
      <c r="Z211" s="31" t="n"/>
      <c r="AA211" s="34" t="n"/>
      <c r="AB211" s="29" t="n"/>
      <c r="AC211" s="31" t="n"/>
    </row>
    <row r="212">
      <c r="A212" s="29" t="n"/>
      <c r="B212" s="30" t="n"/>
      <c r="C212" s="31" t="n"/>
      <c r="D212" s="29" t="n"/>
      <c r="E212" s="29" t="n"/>
      <c r="F212" s="31" t="n"/>
      <c r="G212" s="31" t="n"/>
      <c r="H212" s="29" t="n"/>
      <c r="I212" s="32">
        <f>IF(OR(NOT(AND($A212&lt;&gt;"",OR($H212="",$H212="Active"))),$F212=""),"",INT((TODAY()-$F212+280)/7)&amp;"+"&amp;MOD(TODAY()-$F212+280,7))</f>
        <v/>
      </c>
      <c r="J212" s="32">
        <f>IF(NOT(AND($A212&lt;&gt;"",OR($H212="",$H212="Active"))),"",IF($F212="",0,SUMPRODUCT(($N212:$U212="")*(($F212-(40-VALUE(LEFT($N$4:$U$4,2)))*7)&lt;TODAY())))+COUNTIF($N212:$U212,"DNA")+COUNTIF($V212:$Z212,"&lt;"&amp;TODAY()))</f>
        <v/>
      </c>
      <c r="K212" s="32">
        <f>IF(NOT(AND($A212&lt;&gt;"",OR($H212="",$H212="Active"))),"",IF($F212="",0,SUMPRODUCT(($N212:$U212="")*(($F212-(40-VALUE(LEFT($N$4:$U$4,2)))*7)&gt;=TODAY())*(($F212-(40-VALUE(LEFT($N$4:$U$4,2)))*7)&lt;=TODAY()+7)))+COUNTIFS($V212:$Z212,"&gt;="&amp;TODAY(),$V212:$Z212,"&lt;="&amp;TODAY()+7))</f>
        <v/>
      </c>
      <c r="L212" s="32">
        <f>IF(OR(NOT(AND($A212&lt;&gt;"",OR($H212="",$H212="Active"))),$F212=""),"",IF(N212="",N$4,IF(O212="",O$4,IF(P212="",P$4,IF(Q212="",Q$4,IF(R212="",R$4,IF(S212="",S$4,IF(T212="",T$4,IF(U212="",U$4,"All done")))))))))</f>
        <v/>
      </c>
      <c r="M212" s="33">
        <f>IF(OR($L212="",$L212="All done"),"",($F212-(40-VALUE(LEFT($L212,2)))*7))</f>
        <v/>
      </c>
      <c r="N212" s="31" t="n"/>
      <c r="O212" s="31" t="n"/>
      <c r="P212" s="31" t="n"/>
      <c r="Q212" s="31" t="n"/>
      <c r="R212" s="31" t="n"/>
      <c r="S212" s="31" t="n"/>
      <c r="T212" s="31" t="n"/>
      <c r="U212" s="31" t="n"/>
      <c r="V212" s="31" t="n"/>
      <c r="W212" s="31" t="n"/>
      <c r="X212" s="31" t="n"/>
      <c r="Y212" s="31" t="n"/>
      <c r="Z212" s="31" t="n"/>
      <c r="AA212" s="34" t="n"/>
      <c r="AB212" s="29" t="n"/>
      <c r="AC212" s="31" t="n"/>
    </row>
    <row r="213">
      <c r="A213" s="29" t="n"/>
      <c r="B213" s="30" t="n"/>
      <c r="C213" s="31" t="n"/>
      <c r="D213" s="29" t="n"/>
      <c r="E213" s="29" t="n"/>
      <c r="F213" s="31" t="n"/>
      <c r="G213" s="31" t="n"/>
      <c r="H213" s="29" t="n"/>
      <c r="I213" s="32">
        <f>IF(OR(NOT(AND($A213&lt;&gt;"",OR($H213="",$H213="Active"))),$F213=""),"",INT((TODAY()-$F213+280)/7)&amp;"+"&amp;MOD(TODAY()-$F213+280,7))</f>
        <v/>
      </c>
      <c r="J213" s="32">
        <f>IF(NOT(AND($A213&lt;&gt;"",OR($H213="",$H213="Active"))),"",IF($F213="",0,SUMPRODUCT(($N213:$U213="")*(($F213-(40-VALUE(LEFT($N$4:$U$4,2)))*7)&lt;TODAY())))+COUNTIF($N213:$U213,"DNA")+COUNTIF($V213:$Z213,"&lt;"&amp;TODAY()))</f>
        <v/>
      </c>
      <c r="K213" s="32">
        <f>IF(NOT(AND($A213&lt;&gt;"",OR($H213="",$H213="Active"))),"",IF($F213="",0,SUMPRODUCT(($N213:$U213="")*(($F213-(40-VALUE(LEFT($N$4:$U$4,2)))*7)&gt;=TODAY())*(($F213-(40-VALUE(LEFT($N$4:$U$4,2)))*7)&lt;=TODAY()+7)))+COUNTIFS($V213:$Z213,"&gt;="&amp;TODAY(),$V213:$Z213,"&lt;="&amp;TODAY()+7))</f>
        <v/>
      </c>
      <c r="L213" s="32">
        <f>IF(OR(NOT(AND($A213&lt;&gt;"",OR($H213="",$H213="Active"))),$F213=""),"",IF(N213="",N$4,IF(O213="",O$4,IF(P213="",P$4,IF(Q213="",Q$4,IF(R213="",R$4,IF(S213="",S$4,IF(T213="",T$4,IF(U213="",U$4,"All done")))))))))</f>
        <v/>
      </c>
      <c r="M213" s="33">
        <f>IF(OR($L213="",$L213="All done"),"",($F213-(40-VALUE(LEFT($L213,2)))*7))</f>
        <v/>
      </c>
      <c r="N213" s="31" t="n"/>
      <c r="O213" s="31" t="n"/>
      <c r="P213" s="31" t="n"/>
      <c r="Q213" s="31" t="n"/>
      <c r="R213" s="31" t="n"/>
      <c r="S213" s="31" t="n"/>
      <c r="T213" s="31" t="n"/>
      <c r="U213" s="31" t="n"/>
      <c r="V213" s="31" t="n"/>
      <c r="W213" s="31" t="n"/>
      <c r="X213" s="31" t="n"/>
      <c r="Y213" s="31" t="n"/>
      <c r="Z213" s="31" t="n"/>
      <c r="AA213" s="34" t="n"/>
      <c r="AB213" s="29" t="n"/>
      <c r="AC213" s="31" t="n"/>
    </row>
    <row r="214">
      <c r="A214" s="29" t="n"/>
      <c r="B214" s="30" t="n"/>
      <c r="C214" s="31" t="n"/>
      <c r="D214" s="29" t="n"/>
      <c r="E214" s="29" t="n"/>
      <c r="F214" s="31" t="n"/>
      <c r="G214" s="31" t="n"/>
      <c r="H214" s="29" t="n"/>
      <c r="I214" s="32">
        <f>IF(OR(NOT(AND($A214&lt;&gt;"",OR($H214="",$H214="Active"))),$F214=""),"",INT((TODAY()-$F214+280)/7)&amp;"+"&amp;MOD(TODAY()-$F214+280,7))</f>
        <v/>
      </c>
      <c r="J214" s="32">
        <f>IF(NOT(AND($A214&lt;&gt;"",OR($H214="",$H214="Active"))),"",IF($F214="",0,SUMPRODUCT(($N214:$U214="")*(($F214-(40-VALUE(LEFT($N$4:$U$4,2)))*7)&lt;TODAY())))+COUNTIF($N214:$U214,"DNA")+COUNTIF($V214:$Z214,"&lt;"&amp;TODAY()))</f>
        <v/>
      </c>
      <c r="K214" s="32">
        <f>IF(NOT(AND($A214&lt;&gt;"",OR($H214="",$H214="Active"))),"",IF($F214="",0,SUMPRODUCT(($N214:$U214="")*(($F214-(40-VALUE(LEFT($N$4:$U$4,2)))*7)&gt;=TODAY())*(($F214-(40-VALUE(LEFT($N$4:$U$4,2)))*7)&lt;=TODAY()+7)))+COUNTIFS($V214:$Z214,"&gt;="&amp;TODAY(),$V214:$Z214,"&lt;="&amp;TODAY()+7))</f>
        <v/>
      </c>
      <c r="L214" s="32">
        <f>IF(OR(NOT(AND($A214&lt;&gt;"",OR($H214="",$H214="Active"))),$F214=""),"",IF(N214="",N$4,IF(O214="",O$4,IF(P214="",P$4,IF(Q214="",Q$4,IF(R214="",R$4,IF(S214="",S$4,IF(T214="",T$4,IF(U214="",U$4,"All done")))))))))</f>
        <v/>
      </c>
      <c r="M214" s="33">
        <f>IF(OR($L214="",$L214="All done"),"",($F214-(40-VALUE(LEFT($L214,2)))*7))</f>
        <v/>
      </c>
      <c r="N214" s="31" t="n"/>
      <c r="O214" s="31" t="n"/>
      <c r="P214" s="31" t="n"/>
      <c r="Q214" s="31" t="n"/>
      <c r="R214" s="31" t="n"/>
      <c r="S214" s="31" t="n"/>
      <c r="T214" s="31" t="n"/>
      <c r="U214" s="31" t="n"/>
      <c r="V214" s="31" t="n"/>
      <c r="W214" s="31" t="n"/>
      <c r="X214" s="31" t="n"/>
      <c r="Y214" s="31" t="n"/>
      <c r="Z214" s="31" t="n"/>
      <c r="AA214" s="34" t="n"/>
      <c r="AB214" s="29" t="n"/>
      <c r="AC214" s="31" t="n"/>
    </row>
    <row r="215">
      <c r="A215" s="29" t="n"/>
      <c r="B215" s="30" t="n"/>
      <c r="C215" s="31" t="n"/>
      <c r="D215" s="29" t="n"/>
      <c r="E215" s="29" t="n"/>
      <c r="F215" s="31" t="n"/>
      <c r="G215" s="31" t="n"/>
      <c r="H215" s="29" t="n"/>
      <c r="I215" s="32">
        <f>IF(OR(NOT(AND($A215&lt;&gt;"",OR($H215="",$H215="Active"))),$F215=""),"",INT((TODAY()-$F215+280)/7)&amp;"+"&amp;MOD(TODAY()-$F215+280,7))</f>
        <v/>
      </c>
      <c r="J215" s="32">
        <f>IF(NOT(AND($A215&lt;&gt;"",OR($H215="",$H215="Active"))),"",IF($F215="",0,SUMPRODUCT(($N215:$U215="")*(($F215-(40-VALUE(LEFT($N$4:$U$4,2)))*7)&lt;TODAY())))+COUNTIF($N215:$U215,"DNA")+COUNTIF($V215:$Z215,"&lt;"&amp;TODAY()))</f>
        <v/>
      </c>
      <c r="K215" s="32">
        <f>IF(NOT(AND($A215&lt;&gt;"",OR($H215="",$H215="Active"))),"",IF($F215="",0,SUMPRODUCT(($N215:$U215="")*(($F215-(40-VALUE(LEFT($N$4:$U$4,2)))*7)&gt;=TODAY())*(($F215-(40-VALUE(LEFT($N$4:$U$4,2)))*7)&lt;=TODAY()+7)))+COUNTIFS($V215:$Z215,"&gt;="&amp;TODAY(),$V215:$Z215,"&lt;="&amp;TODAY()+7))</f>
        <v/>
      </c>
      <c r="L215" s="32">
        <f>IF(OR(NOT(AND($A215&lt;&gt;"",OR($H215="",$H215="Active"))),$F215=""),"",IF(N215="",N$4,IF(O215="",O$4,IF(P215="",P$4,IF(Q215="",Q$4,IF(R215="",R$4,IF(S215="",S$4,IF(T215="",T$4,IF(U215="",U$4,"All done")))))))))</f>
        <v/>
      </c>
      <c r="M215" s="33">
        <f>IF(OR($L215="",$L215="All done"),"",($F215-(40-VALUE(LEFT($L215,2)))*7))</f>
        <v/>
      </c>
      <c r="N215" s="31" t="n"/>
      <c r="O215" s="31" t="n"/>
      <c r="P215" s="31" t="n"/>
      <c r="Q215" s="31" t="n"/>
      <c r="R215" s="31" t="n"/>
      <c r="S215" s="31" t="n"/>
      <c r="T215" s="31" t="n"/>
      <c r="U215" s="31" t="n"/>
      <c r="V215" s="31" t="n"/>
      <c r="W215" s="31" t="n"/>
      <c r="X215" s="31" t="n"/>
      <c r="Y215" s="31" t="n"/>
      <c r="Z215" s="31" t="n"/>
      <c r="AA215" s="34" t="n"/>
      <c r="AB215" s="29" t="n"/>
      <c r="AC215" s="31" t="n"/>
    </row>
    <row r="216">
      <c r="A216" s="29" t="n"/>
      <c r="B216" s="30" t="n"/>
      <c r="C216" s="31" t="n"/>
      <c r="D216" s="29" t="n"/>
      <c r="E216" s="29" t="n"/>
      <c r="F216" s="31" t="n"/>
      <c r="G216" s="31" t="n"/>
      <c r="H216" s="29" t="n"/>
      <c r="I216" s="32">
        <f>IF(OR(NOT(AND($A216&lt;&gt;"",OR($H216="",$H216="Active"))),$F216=""),"",INT((TODAY()-$F216+280)/7)&amp;"+"&amp;MOD(TODAY()-$F216+280,7))</f>
        <v/>
      </c>
      <c r="J216" s="32">
        <f>IF(NOT(AND($A216&lt;&gt;"",OR($H216="",$H216="Active"))),"",IF($F216="",0,SUMPRODUCT(($N216:$U216="")*(($F216-(40-VALUE(LEFT($N$4:$U$4,2)))*7)&lt;TODAY())))+COUNTIF($N216:$U216,"DNA")+COUNTIF($V216:$Z216,"&lt;"&amp;TODAY()))</f>
        <v/>
      </c>
      <c r="K216" s="32">
        <f>IF(NOT(AND($A216&lt;&gt;"",OR($H216="",$H216="Active"))),"",IF($F216="",0,SUMPRODUCT(($N216:$U216="")*(($F216-(40-VALUE(LEFT($N$4:$U$4,2)))*7)&gt;=TODAY())*(($F216-(40-VALUE(LEFT($N$4:$U$4,2)))*7)&lt;=TODAY()+7)))+COUNTIFS($V216:$Z216,"&gt;="&amp;TODAY(),$V216:$Z216,"&lt;="&amp;TODAY()+7))</f>
        <v/>
      </c>
      <c r="L216" s="32">
        <f>IF(OR(NOT(AND($A216&lt;&gt;"",OR($H216="",$H216="Active"))),$F216=""),"",IF(N216="",N$4,IF(O216="",O$4,IF(P216="",P$4,IF(Q216="",Q$4,IF(R216="",R$4,IF(S216="",S$4,IF(T216="",T$4,IF(U216="",U$4,"All done")))))))))</f>
        <v/>
      </c>
      <c r="M216" s="33">
        <f>IF(OR($L216="",$L216="All done"),"",($F216-(40-VALUE(LEFT($L216,2)))*7))</f>
        <v/>
      </c>
      <c r="N216" s="31" t="n"/>
      <c r="O216" s="31" t="n"/>
      <c r="P216" s="31" t="n"/>
      <c r="Q216" s="31" t="n"/>
      <c r="R216" s="31" t="n"/>
      <c r="S216" s="31" t="n"/>
      <c r="T216" s="31" t="n"/>
      <c r="U216" s="31" t="n"/>
      <c r="V216" s="31" t="n"/>
      <c r="W216" s="31" t="n"/>
      <c r="X216" s="31" t="n"/>
      <c r="Y216" s="31" t="n"/>
      <c r="Z216" s="31" t="n"/>
      <c r="AA216" s="34" t="n"/>
      <c r="AB216" s="29" t="n"/>
      <c r="AC216" s="31" t="n"/>
    </row>
    <row r="217">
      <c r="A217" s="29" t="n"/>
      <c r="B217" s="30" t="n"/>
      <c r="C217" s="31" t="n"/>
      <c r="D217" s="29" t="n"/>
      <c r="E217" s="29" t="n"/>
      <c r="F217" s="31" t="n"/>
      <c r="G217" s="31" t="n"/>
      <c r="H217" s="29" t="n"/>
      <c r="I217" s="32">
        <f>IF(OR(NOT(AND($A217&lt;&gt;"",OR($H217="",$H217="Active"))),$F217=""),"",INT((TODAY()-$F217+280)/7)&amp;"+"&amp;MOD(TODAY()-$F217+280,7))</f>
        <v/>
      </c>
      <c r="J217" s="32">
        <f>IF(NOT(AND($A217&lt;&gt;"",OR($H217="",$H217="Active"))),"",IF($F217="",0,SUMPRODUCT(($N217:$U217="")*(($F217-(40-VALUE(LEFT($N$4:$U$4,2)))*7)&lt;TODAY())))+COUNTIF($N217:$U217,"DNA")+COUNTIF($V217:$Z217,"&lt;"&amp;TODAY()))</f>
        <v/>
      </c>
      <c r="K217" s="32">
        <f>IF(NOT(AND($A217&lt;&gt;"",OR($H217="",$H217="Active"))),"",IF($F217="",0,SUMPRODUCT(($N217:$U217="")*(($F217-(40-VALUE(LEFT($N$4:$U$4,2)))*7)&gt;=TODAY())*(($F217-(40-VALUE(LEFT($N$4:$U$4,2)))*7)&lt;=TODAY()+7)))+COUNTIFS($V217:$Z217,"&gt;="&amp;TODAY(),$V217:$Z217,"&lt;="&amp;TODAY()+7))</f>
        <v/>
      </c>
      <c r="L217" s="32">
        <f>IF(OR(NOT(AND($A217&lt;&gt;"",OR($H217="",$H217="Active"))),$F217=""),"",IF(N217="",N$4,IF(O217="",O$4,IF(P217="",P$4,IF(Q217="",Q$4,IF(R217="",R$4,IF(S217="",S$4,IF(T217="",T$4,IF(U217="",U$4,"All done")))))))))</f>
        <v/>
      </c>
      <c r="M217" s="33">
        <f>IF(OR($L217="",$L217="All done"),"",($F217-(40-VALUE(LEFT($L217,2)))*7))</f>
        <v/>
      </c>
      <c r="N217" s="31" t="n"/>
      <c r="O217" s="31" t="n"/>
      <c r="P217" s="31" t="n"/>
      <c r="Q217" s="31" t="n"/>
      <c r="R217" s="31" t="n"/>
      <c r="S217" s="31" t="n"/>
      <c r="T217" s="31" t="n"/>
      <c r="U217" s="31" t="n"/>
      <c r="V217" s="31" t="n"/>
      <c r="W217" s="31" t="n"/>
      <c r="X217" s="31" t="n"/>
      <c r="Y217" s="31" t="n"/>
      <c r="Z217" s="31" t="n"/>
      <c r="AA217" s="34" t="n"/>
      <c r="AB217" s="29" t="n"/>
      <c r="AC217" s="31" t="n"/>
    </row>
    <row r="218">
      <c r="A218" s="29" t="n"/>
      <c r="B218" s="30" t="n"/>
      <c r="C218" s="31" t="n"/>
      <c r="D218" s="29" t="n"/>
      <c r="E218" s="29" t="n"/>
      <c r="F218" s="31" t="n"/>
      <c r="G218" s="31" t="n"/>
      <c r="H218" s="29" t="n"/>
      <c r="I218" s="32">
        <f>IF(OR(NOT(AND($A218&lt;&gt;"",OR($H218="",$H218="Active"))),$F218=""),"",INT((TODAY()-$F218+280)/7)&amp;"+"&amp;MOD(TODAY()-$F218+280,7))</f>
        <v/>
      </c>
      <c r="J218" s="32">
        <f>IF(NOT(AND($A218&lt;&gt;"",OR($H218="",$H218="Active"))),"",IF($F218="",0,SUMPRODUCT(($N218:$U218="")*(($F218-(40-VALUE(LEFT($N$4:$U$4,2)))*7)&lt;TODAY())))+COUNTIF($N218:$U218,"DNA")+COUNTIF($V218:$Z218,"&lt;"&amp;TODAY()))</f>
        <v/>
      </c>
      <c r="K218" s="32">
        <f>IF(NOT(AND($A218&lt;&gt;"",OR($H218="",$H218="Active"))),"",IF($F218="",0,SUMPRODUCT(($N218:$U218="")*(($F218-(40-VALUE(LEFT($N$4:$U$4,2)))*7)&gt;=TODAY())*(($F218-(40-VALUE(LEFT($N$4:$U$4,2)))*7)&lt;=TODAY()+7)))+COUNTIFS($V218:$Z218,"&gt;="&amp;TODAY(),$V218:$Z218,"&lt;="&amp;TODAY()+7))</f>
        <v/>
      </c>
      <c r="L218" s="32">
        <f>IF(OR(NOT(AND($A218&lt;&gt;"",OR($H218="",$H218="Active"))),$F218=""),"",IF(N218="",N$4,IF(O218="",O$4,IF(P218="",P$4,IF(Q218="",Q$4,IF(R218="",R$4,IF(S218="",S$4,IF(T218="",T$4,IF(U218="",U$4,"All done")))))))))</f>
        <v/>
      </c>
      <c r="M218" s="33">
        <f>IF(OR($L218="",$L218="All done"),"",($F218-(40-VALUE(LEFT($L218,2)))*7))</f>
        <v/>
      </c>
      <c r="N218" s="31" t="n"/>
      <c r="O218" s="31" t="n"/>
      <c r="P218" s="31" t="n"/>
      <c r="Q218" s="31" t="n"/>
      <c r="R218" s="31" t="n"/>
      <c r="S218" s="31" t="n"/>
      <c r="T218" s="31" t="n"/>
      <c r="U218" s="31" t="n"/>
      <c r="V218" s="31" t="n"/>
      <c r="W218" s="31" t="n"/>
      <c r="X218" s="31" t="n"/>
      <c r="Y218" s="31" t="n"/>
      <c r="Z218" s="31" t="n"/>
      <c r="AA218" s="34" t="n"/>
      <c r="AB218" s="29" t="n"/>
      <c r="AC218" s="31" t="n"/>
    </row>
    <row r="219">
      <c r="A219" s="29" t="n"/>
      <c r="B219" s="30" t="n"/>
      <c r="C219" s="31" t="n"/>
      <c r="D219" s="29" t="n"/>
      <c r="E219" s="29" t="n"/>
      <c r="F219" s="31" t="n"/>
      <c r="G219" s="31" t="n"/>
      <c r="H219" s="29" t="n"/>
      <c r="I219" s="32">
        <f>IF(OR(NOT(AND($A219&lt;&gt;"",OR($H219="",$H219="Active"))),$F219=""),"",INT((TODAY()-$F219+280)/7)&amp;"+"&amp;MOD(TODAY()-$F219+280,7))</f>
        <v/>
      </c>
      <c r="J219" s="32">
        <f>IF(NOT(AND($A219&lt;&gt;"",OR($H219="",$H219="Active"))),"",IF($F219="",0,SUMPRODUCT(($N219:$U219="")*(($F219-(40-VALUE(LEFT($N$4:$U$4,2)))*7)&lt;TODAY())))+COUNTIF($N219:$U219,"DNA")+COUNTIF($V219:$Z219,"&lt;"&amp;TODAY()))</f>
        <v/>
      </c>
      <c r="K219" s="32">
        <f>IF(NOT(AND($A219&lt;&gt;"",OR($H219="",$H219="Active"))),"",IF($F219="",0,SUMPRODUCT(($N219:$U219="")*(($F219-(40-VALUE(LEFT($N$4:$U$4,2)))*7)&gt;=TODAY())*(($F219-(40-VALUE(LEFT($N$4:$U$4,2)))*7)&lt;=TODAY()+7)))+COUNTIFS($V219:$Z219,"&gt;="&amp;TODAY(),$V219:$Z219,"&lt;="&amp;TODAY()+7))</f>
        <v/>
      </c>
      <c r="L219" s="32">
        <f>IF(OR(NOT(AND($A219&lt;&gt;"",OR($H219="",$H219="Active"))),$F219=""),"",IF(N219="",N$4,IF(O219="",O$4,IF(P219="",P$4,IF(Q219="",Q$4,IF(R219="",R$4,IF(S219="",S$4,IF(T219="",T$4,IF(U219="",U$4,"All done")))))))))</f>
        <v/>
      </c>
      <c r="M219" s="33">
        <f>IF(OR($L219="",$L219="All done"),"",($F219-(40-VALUE(LEFT($L219,2)))*7))</f>
        <v/>
      </c>
      <c r="N219" s="31" t="n"/>
      <c r="O219" s="31" t="n"/>
      <c r="P219" s="31" t="n"/>
      <c r="Q219" s="31" t="n"/>
      <c r="R219" s="31" t="n"/>
      <c r="S219" s="31" t="n"/>
      <c r="T219" s="31" t="n"/>
      <c r="U219" s="31" t="n"/>
      <c r="V219" s="31" t="n"/>
      <c r="W219" s="31" t="n"/>
      <c r="X219" s="31" t="n"/>
      <c r="Y219" s="31" t="n"/>
      <c r="Z219" s="31" t="n"/>
      <c r="AA219" s="34" t="n"/>
      <c r="AB219" s="29" t="n"/>
      <c r="AC219" s="31" t="n"/>
    </row>
    <row r="220">
      <c r="A220" s="29" t="n"/>
      <c r="B220" s="30" t="n"/>
      <c r="C220" s="31" t="n"/>
      <c r="D220" s="29" t="n"/>
      <c r="E220" s="29" t="n"/>
      <c r="F220" s="31" t="n"/>
      <c r="G220" s="31" t="n"/>
      <c r="H220" s="29" t="n"/>
      <c r="I220" s="32">
        <f>IF(OR(NOT(AND($A220&lt;&gt;"",OR($H220="",$H220="Active"))),$F220=""),"",INT((TODAY()-$F220+280)/7)&amp;"+"&amp;MOD(TODAY()-$F220+280,7))</f>
        <v/>
      </c>
      <c r="J220" s="32">
        <f>IF(NOT(AND($A220&lt;&gt;"",OR($H220="",$H220="Active"))),"",IF($F220="",0,SUMPRODUCT(($N220:$U220="")*(($F220-(40-VALUE(LEFT($N$4:$U$4,2)))*7)&lt;TODAY())))+COUNTIF($N220:$U220,"DNA")+COUNTIF($V220:$Z220,"&lt;"&amp;TODAY()))</f>
        <v/>
      </c>
      <c r="K220" s="32">
        <f>IF(NOT(AND($A220&lt;&gt;"",OR($H220="",$H220="Active"))),"",IF($F220="",0,SUMPRODUCT(($N220:$U220="")*(($F220-(40-VALUE(LEFT($N$4:$U$4,2)))*7)&gt;=TODAY())*(($F220-(40-VALUE(LEFT($N$4:$U$4,2)))*7)&lt;=TODAY()+7)))+COUNTIFS($V220:$Z220,"&gt;="&amp;TODAY(),$V220:$Z220,"&lt;="&amp;TODAY()+7))</f>
        <v/>
      </c>
      <c r="L220" s="32">
        <f>IF(OR(NOT(AND($A220&lt;&gt;"",OR($H220="",$H220="Active"))),$F220=""),"",IF(N220="",N$4,IF(O220="",O$4,IF(P220="",P$4,IF(Q220="",Q$4,IF(R220="",R$4,IF(S220="",S$4,IF(T220="",T$4,IF(U220="",U$4,"All done")))))))))</f>
        <v/>
      </c>
      <c r="M220" s="33">
        <f>IF(OR($L220="",$L220="All done"),"",($F220-(40-VALUE(LEFT($L220,2)))*7))</f>
        <v/>
      </c>
      <c r="N220" s="31" t="n"/>
      <c r="O220" s="31" t="n"/>
      <c r="P220" s="31" t="n"/>
      <c r="Q220" s="31" t="n"/>
      <c r="R220" s="31" t="n"/>
      <c r="S220" s="31" t="n"/>
      <c r="T220" s="31" t="n"/>
      <c r="U220" s="31" t="n"/>
      <c r="V220" s="31" t="n"/>
      <c r="W220" s="31" t="n"/>
      <c r="X220" s="31" t="n"/>
      <c r="Y220" s="31" t="n"/>
      <c r="Z220" s="31" t="n"/>
      <c r="AA220" s="34" t="n"/>
      <c r="AB220" s="29" t="n"/>
      <c r="AC220" s="31" t="n"/>
    </row>
    <row r="221">
      <c r="A221" s="29" t="n"/>
      <c r="B221" s="30" t="n"/>
      <c r="C221" s="31" t="n"/>
      <c r="D221" s="29" t="n"/>
      <c r="E221" s="29" t="n"/>
      <c r="F221" s="31" t="n"/>
      <c r="G221" s="31" t="n"/>
      <c r="H221" s="29" t="n"/>
      <c r="I221" s="32">
        <f>IF(OR(NOT(AND($A221&lt;&gt;"",OR($H221="",$H221="Active"))),$F221=""),"",INT((TODAY()-$F221+280)/7)&amp;"+"&amp;MOD(TODAY()-$F221+280,7))</f>
        <v/>
      </c>
      <c r="J221" s="32">
        <f>IF(NOT(AND($A221&lt;&gt;"",OR($H221="",$H221="Active"))),"",IF($F221="",0,SUMPRODUCT(($N221:$U221="")*(($F221-(40-VALUE(LEFT($N$4:$U$4,2)))*7)&lt;TODAY())))+COUNTIF($N221:$U221,"DNA")+COUNTIF($V221:$Z221,"&lt;"&amp;TODAY()))</f>
        <v/>
      </c>
      <c r="K221" s="32">
        <f>IF(NOT(AND($A221&lt;&gt;"",OR($H221="",$H221="Active"))),"",IF($F221="",0,SUMPRODUCT(($N221:$U221="")*(($F221-(40-VALUE(LEFT($N$4:$U$4,2)))*7)&gt;=TODAY())*(($F221-(40-VALUE(LEFT($N$4:$U$4,2)))*7)&lt;=TODAY()+7)))+COUNTIFS($V221:$Z221,"&gt;="&amp;TODAY(),$V221:$Z221,"&lt;="&amp;TODAY()+7))</f>
        <v/>
      </c>
      <c r="L221" s="32">
        <f>IF(OR(NOT(AND($A221&lt;&gt;"",OR($H221="",$H221="Active"))),$F221=""),"",IF(N221="",N$4,IF(O221="",O$4,IF(P221="",P$4,IF(Q221="",Q$4,IF(R221="",R$4,IF(S221="",S$4,IF(T221="",T$4,IF(U221="",U$4,"All done")))))))))</f>
        <v/>
      </c>
      <c r="M221" s="33">
        <f>IF(OR($L221="",$L221="All done"),"",($F221-(40-VALUE(LEFT($L221,2)))*7))</f>
        <v/>
      </c>
      <c r="N221" s="31" t="n"/>
      <c r="O221" s="31" t="n"/>
      <c r="P221" s="31" t="n"/>
      <c r="Q221" s="31" t="n"/>
      <c r="R221" s="31" t="n"/>
      <c r="S221" s="31" t="n"/>
      <c r="T221" s="31" t="n"/>
      <c r="U221" s="31" t="n"/>
      <c r="V221" s="31" t="n"/>
      <c r="W221" s="31" t="n"/>
      <c r="X221" s="31" t="n"/>
      <c r="Y221" s="31" t="n"/>
      <c r="Z221" s="31" t="n"/>
      <c r="AA221" s="34" t="n"/>
      <c r="AB221" s="29" t="n"/>
      <c r="AC221" s="31" t="n"/>
    </row>
    <row r="222">
      <c r="A222" s="29" t="n"/>
      <c r="B222" s="30" t="n"/>
      <c r="C222" s="31" t="n"/>
      <c r="D222" s="29" t="n"/>
      <c r="E222" s="29" t="n"/>
      <c r="F222" s="31" t="n"/>
      <c r="G222" s="31" t="n"/>
      <c r="H222" s="29" t="n"/>
      <c r="I222" s="32">
        <f>IF(OR(NOT(AND($A222&lt;&gt;"",OR($H222="",$H222="Active"))),$F222=""),"",INT((TODAY()-$F222+280)/7)&amp;"+"&amp;MOD(TODAY()-$F222+280,7))</f>
        <v/>
      </c>
      <c r="J222" s="32">
        <f>IF(NOT(AND($A222&lt;&gt;"",OR($H222="",$H222="Active"))),"",IF($F222="",0,SUMPRODUCT(($N222:$U222="")*(($F222-(40-VALUE(LEFT($N$4:$U$4,2)))*7)&lt;TODAY())))+COUNTIF($N222:$U222,"DNA")+COUNTIF($V222:$Z222,"&lt;"&amp;TODAY()))</f>
        <v/>
      </c>
      <c r="K222" s="32">
        <f>IF(NOT(AND($A222&lt;&gt;"",OR($H222="",$H222="Active"))),"",IF($F222="",0,SUMPRODUCT(($N222:$U222="")*(($F222-(40-VALUE(LEFT($N$4:$U$4,2)))*7)&gt;=TODAY())*(($F222-(40-VALUE(LEFT($N$4:$U$4,2)))*7)&lt;=TODAY()+7)))+COUNTIFS($V222:$Z222,"&gt;="&amp;TODAY(),$V222:$Z222,"&lt;="&amp;TODAY()+7))</f>
        <v/>
      </c>
      <c r="L222" s="32">
        <f>IF(OR(NOT(AND($A222&lt;&gt;"",OR($H222="",$H222="Active"))),$F222=""),"",IF(N222="",N$4,IF(O222="",O$4,IF(P222="",P$4,IF(Q222="",Q$4,IF(R222="",R$4,IF(S222="",S$4,IF(T222="",T$4,IF(U222="",U$4,"All done")))))))))</f>
        <v/>
      </c>
      <c r="M222" s="33">
        <f>IF(OR($L222="",$L222="All done"),"",($F222-(40-VALUE(LEFT($L222,2)))*7))</f>
        <v/>
      </c>
      <c r="N222" s="31" t="n"/>
      <c r="O222" s="31" t="n"/>
      <c r="P222" s="31" t="n"/>
      <c r="Q222" s="31" t="n"/>
      <c r="R222" s="31" t="n"/>
      <c r="S222" s="31" t="n"/>
      <c r="T222" s="31" t="n"/>
      <c r="U222" s="31" t="n"/>
      <c r="V222" s="31" t="n"/>
      <c r="W222" s="31" t="n"/>
      <c r="X222" s="31" t="n"/>
      <c r="Y222" s="31" t="n"/>
      <c r="Z222" s="31" t="n"/>
      <c r="AA222" s="34" t="n"/>
      <c r="AB222" s="29" t="n"/>
      <c r="AC222" s="31" t="n"/>
    </row>
    <row r="223">
      <c r="A223" s="29" t="n"/>
      <c r="B223" s="30" t="n"/>
      <c r="C223" s="31" t="n"/>
      <c r="D223" s="29" t="n"/>
      <c r="E223" s="29" t="n"/>
      <c r="F223" s="31" t="n"/>
      <c r="G223" s="31" t="n"/>
      <c r="H223" s="29" t="n"/>
      <c r="I223" s="32">
        <f>IF(OR(NOT(AND($A223&lt;&gt;"",OR($H223="",$H223="Active"))),$F223=""),"",INT((TODAY()-$F223+280)/7)&amp;"+"&amp;MOD(TODAY()-$F223+280,7))</f>
        <v/>
      </c>
      <c r="J223" s="32">
        <f>IF(NOT(AND($A223&lt;&gt;"",OR($H223="",$H223="Active"))),"",IF($F223="",0,SUMPRODUCT(($N223:$U223="")*(($F223-(40-VALUE(LEFT($N$4:$U$4,2)))*7)&lt;TODAY())))+COUNTIF($N223:$U223,"DNA")+COUNTIF($V223:$Z223,"&lt;"&amp;TODAY()))</f>
        <v/>
      </c>
      <c r="K223" s="32">
        <f>IF(NOT(AND($A223&lt;&gt;"",OR($H223="",$H223="Active"))),"",IF($F223="",0,SUMPRODUCT(($N223:$U223="")*(($F223-(40-VALUE(LEFT($N$4:$U$4,2)))*7)&gt;=TODAY())*(($F223-(40-VALUE(LEFT($N$4:$U$4,2)))*7)&lt;=TODAY()+7)))+COUNTIFS($V223:$Z223,"&gt;="&amp;TODAY(),$V223:$Z223,"&lt;="&amp;TODAY()+7))</f>
        <v/>
      </c>
      <c r="L223" s="32">
        <f>IF(OR(NOT(AND($A223&lt;&gt;"",OR($H223="",$H223="Active"))),$F223=""),"",IF(N223="",N$4,IF(O223="",O$4,IF(P223="",P$4,IF(Q223="",Q$4,IF(R223="",R$4,IF(S223="",S$4,IF(T223="",T$4,IF(U223="",U$4,"All done")))))))))</f>
        <v/>
      </c>
      <c r="M223" s="33">
        <f>IF(OR($L223="",$L223="All done"),"",($F223-(40-VALUE(LEFT($L223,2)))*7))</f>
        <v/>
      </c>
      <c r="N223" s="31" t="n"/>
      <c r="O223" s="31" t="n"/>
      <c r="P223" s="31" t="n"/>
      <c r="Q223" s="31" t="n"/>
      <c r="R223" s="31" t="n"/>
      <c r="S223" s="31" t="n"/>
      <c r="T223" s="31" t="n"/>
      <c r="U223" s="31" t="n"/>
      <c r="V223" s="31" t="n"/>
      <c r="W223" s="31" t="n"/>
      <c r="X223" s="31" t="n"/>
      <c r="Y223" s="31" t="n"/>
      <c r="Z223" s="31" t="n"/>
      <c r="AA223" s="34" t="n"/>
      <c r="AB223" s="29" t="n"/>
      <c r="AC223" s="31" t="n"/>
    </row>
    <row r="224">
      <c r="A224" s="29" t="n"/>
      <c r="B224" s="30" t="n"/>
      <c r="C224" s="31" t="n"/>
      <c r="D224" s="29" t="n"/>
      <c r="E224" s="29" t="n"/>
      <c r="F224" s="31" t="n"/>
      <c r="G224" s="31" t="n"/>
      <c r="H224" s="29" t="n"/>
      <c r="I224" s="32">
        <f>IF(OR(NOT(AND($A224&lt;&gt;"",OR($H224="",$H224="Active"))),$F224=""),"",INT((TODAY()-$F224+280)/7)&amp;"+"&amp;MOD(TODAY()-$F224+280,7))</f>
        <v/>
      </c>
      <c r="J224" s="32">
        <f>IF(NOT(AND($A224&lt;&gt;"",OR($H224="",$H224="Active"))),"",IF($F224="",0,SUMPRODUCT(($N224:$U224="")*(($F224-(40-VALUE(LEFT($N$4:$U$4,2)))*7)&lt;TODAY())))+COUNTIF($N224:$U224,"DNA")+COUNTIF($V224:$Z224,"&lt;"&amp;TODAY()))</f>
        <v/>
      </c>
      <c r="K224" s="32">
        <f>IF(NOT(AND($A224&lt;&gt;"",OR($H224="",$H224="Active"))),"",IF($F224="",0,SUMPRODUCT(($N224:$U224="")*(($F224-(40-VALUE(LEFT($N$4:$U$4,2)))*7)&gt;=TODAY())*(($F224-(40-VALUE(LEFT($N$4:$U$4,2)))*7)&lt;=TODAY()+7)))+COUNTIFS($V224:$Z224,"&gt;="&amp;TODAY(),$V224:$Z224,"&lt;="&amp;TODAY()+7))</f>
        <v/>
      </c>
      <c r="L224" s="32">
        <f>IF(OR(NOT(AND($A224&lt;&gt;"",OR($H224="",$H224="Active"))),$F224=""),"",IF(N224="",N$4,IF(O224="",O$4,IF(P224="",P$4,IF(Q224="",Q$4,IF(R224="",R$4,IF(S224="",S$4,IF(T224="",T$4,IF(U224="",U$4,"All done")))))))))</f>
        <v/>
      </c>
      <c r="M224" s="33">
        <f>IF(OR($L224="",$L224="All done"),"",($F224-(40-VALUE(LEFT($L224,2)))*7))</f>
        <v/>
      </c>
      <c r="N224" s="31" t="n"/>
      <c r="O224" s="31" t="n"/>
      <c r="P224" s="31" t="n"/>
      <c r="Q224" s="31" t="n"/>
      <c r="R224" s="31" t="n"/>
      <c r="S224" s="31" t="n"/>
      <c r="T224" s="31" t="n"/>
      <c r="U224" s="31" t="n"/>
      <c r="V224" s="31" t="n"/>
      <c r="W224" s="31" t="n"/>
      <c r="X224" s="31" t="n"/>
      <c r="Y224" s="31" t="n"/>
      <c r="Z224" s="31" t="n"/>
      <c r="AA224" s="34" t="n"/>
      <c r="AB224" s="29" t="n"/>
      <c r="AC224" s="31" t="n"/>
    </row>
    <row r="225">
      <c r="A225" s="29" t="n"/>
      <c r="B225" s="30" t="n"/>
      <c r="C225" s="31" t="n"/>
      <c r="D225" s="29" t="n"/>
      <c r="E225" s="29" t="n"/>
      <c r="F225" s="31" t="n"/>
      <c r="G225" s="31" t="n"/>
      <c r="H225" s="29" t="n"/>
      <c r="I225" s="32">
        <f>IF(OR(NOT(AND($A225&lt;&gt;"",OR($H225="",$H225="Active"))),$F225=""),"",INT((TODAY()-$F225+280)/7)&amp;"+"&amp;MOD(TODAY()-$F225+280,7))</f>
        <v/>
      </c>
      <c r="J225" s="32">
        <f>IF(NOT(AND($A225&lt;&gt;"",OR($H225="",$H225="Active"))),"",IF($F225="",0,SUMPRODUCT(($N225:$U225="")*(($F225-(40-VALUE(LEFT($N$4:$U$4,2)))*7)&lt;TODAY())))+COUNTIF($N225:$U225,"DNA")+COUNTIF($V225:$Z225,"&lt;"&amp;TODAY()))</f>
        <v/>
      </c>
      <c r="K225" s="32">
        <f>IF(NOT(AND($A225&lt;&gt;"",OR($H225="",$H225="Active"))),"",IF($F225="",0,SUMPRODUCT(($N225:$U225="")*(($F225-(40-VALUE(LEFT($N$4:$U$4,2)))*7)&gt;=TODAY())*(($F225-(40-VALUE(LEFT($N$4:$U$4,2)))*7)&lt;=TODAY()+7)))+COUNTIFS($V225:$Z225,"&gt;="&amp;TODAY(),$V225:$Z225,"&lt;="&amp;TODAY()+7))</f>
        <v/>
      </c>
      <c r="L225" s="32">
        <f>IF(OR(NOT(AND($A225&lt;&gt;"",OR($H225="",$H225="Active"))),$F225=""),"",IF(N225="",N$4,IF(O225="",O$4,IF(P225="",P$4,IF(Q225="",Q$4,IF(R225="",R$4,IF(S225="",S$4,IF(T225="",T$4,IF(U225="",U$4,"All done")))))))))</f>
        <v/>
      </c>
      <c r="M225" s="33">
        <f>IF(OR($L225="",$L225="All done"),"",($F225-(40-VALUE(LEFT($L225,2)))*7))</f>
        <v/>
      </c>
      <c r="N225" s="31" t="n"/>
      <c r="O225" s="31" t="n"/>
      <c r="P225" s="31" t="n"/>
      <c r="Q225" s="31" t="n"/>
      <c r="R225" s="31" t="n"/>
      <c r="S225" s="31" t="n"/>
      <c r="T225" s="31" t="n"/>
      <c r="U225" s="31" t="n"/>
      <c r="V225" s="31" t="n"/>
      <c r="W225" s="31" t="n"/>
      <c r="X225" s="31" t="n"/>
      <c r="Y225" s="31" t="n"/>
      <c r="Z225" s="31" t="n"/>
      <c r="AA225" s="34" t="n"/>
      <c r="AB225" s="29" t="n"/>
      <c r="AC225" s="31" t="n"/>
    </row>
    <row r="226">
      <c r="A226" s="29" t="n"/>
      <c r="B226" s="30" t="n"/>
      <c r="C226" s="31" t="n"/>
      <c r="D226" s="29" t="n"/>
      <c r="E226" s="29" t="n"/>
      <c r="F226" s="31" t="n"/>
      <c r="G226" s="31" t="n"/>
      <c r="H226" s="29" t="n"/>
      <c r="I226" s="32">
        <f>IF(OR(NOT(AND($A226&lt;&gt;"",OR($H226="",$H226="Active"))),$F226=""),"",INT((TODAY()-$F226+280)/7)&amp;"+"&amp;MOD(TODAY()-$F226+280,7))</f>
        <v/>
      </c>
      <c r="J226" s="32">
        <f>IF(NOT(AND($A226&lt;&gt;"",OR($H226="",$H226="Active"))),"",IF($F226="",0,SUMPRODUCT(($N226:$U226="")*(($F226-(40-VALUE(LEFT($N$4:$U$4,2)))*7)&lt;TODAY())))+COUNTIF($N226:$U226,"DNA")+COUNTIF($V226:$Z226,"&lt;"&amp;TODAY()))</f>
        <v/>
      </c>
      <c r="K226" s="32">
        <f>IF(NOT(AND($A226&lt;&gt;"",OR($H226="",$H226="Active"))),"",IF($F226="",0,SUMPRODUCT(($N226:$U226="")*(($F226-(40-VALUE(LEFT($N$4:$U$4,2)))*7)&gt;=TODAY())*(($F226-(40-VALUE(LEFT($N$4:$U$4,2)))*7)&lt;=TODAY()+7)))+COUNTIFS($V226:$Z226,"&gt;="&amp;TODAY(),$V226:$Z226,"&lt;="&amp;TODAY()+7))</f>
        <v/>
      </c>
      <c r="L226" s="32">
        <f>IF(OR(NOT(AND($A226&lt;&gt;"",OR($H226="",$H226="Active"))),$F226=""),"",IF(N226="",N$4,IF(O226="",O$4,IF(P226="",P$4,IF(Q226="",Q$4,IF(R226="",R$4,IF(S226="",S$4,IF(T226="",T$4,IF(U226="",U$4,"All done")))))))))</f>
        <v/>
      </c>
      <c r="M226" s="33">
        <f>IF(OR($L226="",$L226="All done"),"",($F226-(40-VALUE(LEFT($L226,2)))*7))</f>
        <v/>
      </c>
      <c r="N226" s="31" t="n"/>
      <c r="O226" s="31" t="n"/>
      <c r="P226" s="31" t="n"/>
      <c r="Q226" s="31" t="n"/>
      <c r="R226" s="31" t="n"/>
      <c r="S226" s="31" t="n"/>
      <c r="T226" s="31" t="n"/>
      <c r="U226" s="31" t="n"/>
      <c r="V226" s="31" t="n"/>
      <c r="W226" s="31" t="n"/>
      <c r="X226" s="31" t="n"/>
      <c r="Y226" s="31" t="n"/>
      <c r="Z226" s="31" t="n"/>
      <c r="AA226" s="34" t="n"/>
      <c r="AB226" s="29" t="n"/>
      <c r="AC226" s="31" t="n"/>
    </row>
    <row r="227">
      <c r="A227" s="29" t="n"/>
      <c r="B227" s="30" t="n"/>
      <c r="C227" s="31" t="n"/>
      <c r="D227" s="29" t="n"/>
      <c r="E227" s="29" t="n"/>
      <c r="F227" s="31" t="n"/>
      <c r="G227" s="31" t="n"/>
      <c r="H227" s="29" t="n"/>
      <c r="I227" s="32">
        <f>IF(OR(NOT(AND($A227&lt;&gt;"",OR($H227="",$H227="Active"))),$F227=""),"",INT((TODAY()-$F227+280)/7)&amp;"+"&amp;MOD(TODAY()-$F227+280,7))</f>
        <v/>
      </c>
      <c r="J227" s="32">
        <f>IF(NOT(AND($A227&lt;&gt;"",OR($H227="",$H227="Active"))),"",IF($F227="",0,SUMPRODUCT(($N227:$U227="")*(($F227-(40-VALUE(LEFT($N$4:$U$4,2)))*7)&lt;TODAY())))+COUNTIF($N227:$U227,"DNA")+COUNTIF($V227:$Z227,"&lt;"&amp;TODAY()))</f>
        <v/>
      </c>
      <c r="K227" s="32">
        <f>IF(NOT(AND($A227&lt;&gt;"",OR($H227="",$H227="Active"))),"",IF($F227="",0,SUMPRODUCT(($N227:$U227="")*(($F227-(40-VALUE(LEFT($N$4:$U$4,2)))*7)&gt;=TODAY())*(($F227-(40-VALUE(LEFT($N$4:$U$4,2)))*7)&lt;=TODAY()+7)))+COUNTIFS($V227:$Z227,"&gt;="&amp;TODAY(),$V227:$Z227,"&lt;="&amp;TODAY()+7))</f>
        <v/>
      </c>
      <c r="L227" s="32">
        <f>IF(OR(NOT(AND($A227&lt;&gt;"",OR($H227="",$H227="Active"))),$F227=""),"",IF(N227="",N$4,IF(O227="",O$4,IF(P227="",P$4,IF(Q227="",Q$4,IF(R227="",R$4,IF(S227="",S$4,IF(T227="",T$4,IF(U227="",U$4,"All done")))))))))</f>
        <v/>
      </c>
      <c r="M227" s="33">
        <f>IF(OR($L227="",$L227="All done"),"",($F227-(40-VALUE(LEFT($L227,2)))*7))</f>
        <v/>
      </c>
      <c r="N227" s="31" t="n"/>
      <c r="O227" s="31" t="n"/>
      <c r="P227" s="31" t="n"/>
      <c r="Q227" s="31" t="n"/>
      <c r="R227" s="31" t="n"/>
      <c r="S227" s="31" t="n"/>
      <c r="T227" s="31" t="n"/>
      <c r="U227" s="31" t="n"/>
      <c r="V227" s="31" t="n"/>
      <c r="W227" s="31" t="n"/>
      <c r="X227" s="31" t="n"/>
      <c r="Y227" s="31" t="n"/>
      <c r="Z227" s="31" t="n"/>
      <c r="AA227" s="34" t="n"/>
      <c r="AB227" s="29" t="n"/>
      <c r="AC227" s="31" t="n"/>
    </row>
    <row r="228">
      <c r="A228" s="29" t="n"/>
      <c r="B228" s="30" t="n"/>
      <c r="C228" s="31" t="n"/>
      <c r="D228" s="29" t="n"/>
      <c r="E228" s="29" t="n"/>
      <c r="F228" s="31" t="n"/>
      <c r="G228" s="31" t="n"/>
      <c r="H228" s="29" t="n"/>
      <c r="I228" s="32">
        <f>IF(OR(NOT(AND($A228&lt;&gt;"",OR($H228="",$H228="Active"))),$F228=""),"",INT((TODAY()-$F228+280)/7)&amp;"+"&amp;MOD(TODAY()-$F228+280,7))</f>
        <v/>
      </c>
      <c r="J228" s="32">
        <f>IF(NOT(AND($A228&lt;&gt;"",OR($H228="",$H228="Active"))),"",IF($F228="",0,SUMPRODUCT(($N228:$U228="")*(($F228-(40-VALUE(LEFT($N$4:$U$4,2)))*7)&lt;TODAY())))+COUNTIF($N228:$U228,"DNA")+COUNTIF($V228:$Z228,"&lt;"&amp;TODAY()))</f>
        <v/>
      </c>
      <c r="K228" s="32">
        <f>IF(NOT(AND($A228&lt;&gt;"",OR($H228="",$H228="Active"))),"",IF($F228="",0,SUMPRODUCT(($N228:$U228="")*(($F228-(40-VALUE(LEFT($N$4:$U$4,2)))*7)&gt;=TODAY())*(($F228-(40-VALUE(LEFT($N$4:$U$4,2)))*7)&lt;=TODAY()+7)))+COUNTIFS($V228:$Z228,"&gt;="&amp;TODAY(),$V228:$Z228,"&lt;="&amp;TODAY()+7))</f>
        <v/>
      </c>
      <c r="L228" s="32">
        <f>IF(OR(NOT(AND($A228&lt;&gt;"",OR($H228="",$H228="Active"))),$F228=""),"",IF(N228="",N$4,IF(O228="",O$4,IF(P228="",P$4,IF(Q228="",Q$4,IF(R228="",R$4,IF(S228="",S$4,IF(T228="",T$4,IF(U228="",U$4,"All done")))))))))</f>
        <v/>
      </c>
      <c r="M228" s="33">
        <f>IF(OR($L228="",$L228="All done"),"",($F228-(40-VALUE(LEFT($L228,2)))*7))</f>
        <v/>
      </c>
      <c r="N228" s="31" t="n"/>
      <c r="O228" s="31" t="n"/>
      <c r="P228" s="31" t="n"/>
      <c r="Q228" s="31" t="n"/>
      <c r="R228" s="31" t="n"/>
      <c r="S228" s="31" t="n"/>
      <c r="T228" s="31" t="n"/>
      <c r="U228" s="31" t="n"/>
      <c r="V228" s="31" t="n"/>
      <c r="W228" s="31" t="n"/>
      <c r="X228" s="31" t="n"/>
      <c r="Y228" s="31" t="n"/>
      <c r="Z228" s="31" t="n"/>
      <c r="AA228" s="34" t="n"/>
      <c r="AB228" s="29" t="n"/>
      <c r="AC228" s="31" t="n"/>
    </row>
    <row r="229">
      <c r="A229" s="29" t="n"/>
      <c r="B229" s="30" t="n"/>
      <c r="C229" s="31" t="n"/>
      <c r="D229" s="29" t="n"/>
      <c r="E229" s="29" t="n"/>
      <c r="F229" s="31" t="n"/>
      <c r="G229" s="31" t="n"/>
      <c r="H229" s="29" t="n"/>
      <c r="I229" s="32">
        <f>IF(OR(NOT(AND($A229&lt;&gt;"",OR($H229="",$H229="Active"))),$F229=""),"",INT((TODAY()-$F229+280)/7)&amp;"+"&amp;MOD(TODAY()-$F229+280,7))</f>
        <v/>
      </c>
      <c r="J229" s="32">
        <f>IF(NOT(AND($A229&lt;&gt;"",OR($H229="",$H229="Active"))),"",IF($F229="",0,SUMPRODUCT(($N229:$U229="")*(($F229-(40-VALUE(LEFT($N$4:$U$4,2)))*7)&lt;TODAY())))+COUNTIF($N229:$U229,"DNA")+COUNTIF($V229:$Z229,"&lt;"&amp;TODAY()))</f>
        <v/>
      </c>
      <c r="K229" s="32">
        <f>IF(NOT(AND($A229&lt;&gt;"",OR($H229="",$H229="Active"))),"",IF($F229="",0,SUMPRODUCT(($N229:$U229="")*(($F229-(40-VALUE(LEFT($N$4:$U$4,2)))*7)&gt;=TODAY())*(($F229-(40-VALUE(LEFT($N$4:$U$4,2)))*7)&lt;=TODAY()+7)))+COUNTIFS($V229:$Z229,"&gt;="&amp;TODAY(),$V229:$Z229,"&lt;="&amp;TODAY()+7))</f>
        <v/>
      </c>
      <c r="L229" s="32">
        <f>IF(OR(NOT(AND($A229&lt;&gt;"",OR($H229="",$H229="Active"))),$F229=""),"",IF(N229="",N$4,IF(O229="",O$4,IF(P229="",P$4,IF(Q229="",Q$4,IF(R229="",R$4,IF(S229="",S$4,IF(T229="",T$4,IF(U229="",U$4,"All done")))))))))</f>
        <v/>
      </c>
      <c r="M229" s="33">
        <f>IF(OR($L229="",$L229="All done"),"",($F229-(40-VALUE(LEFT($L229,2)))*7))</f>
        <v/>
      </c>
      <c r="N229" s="31" t="n"/>
      <c r="O229" s="31" t="n"/>
      <c r="P229" s="31" t="n"/>
      <c r="Q229" s="31" t="n"/>
      <c r="R229" s="31" t="n"/>
      <c r="S229" s="31" t="n"/>
      <c r="T229" s="31" t="n"/>
      <c r="U229" s="31" t="n"/>
      <c r="V229" s="31" t="n"/>
      <c r="W229" s="31" t="n"/>
      <c r="X229" s="31" t="n"/>
      <c r="Y229" s="31" t="n"/>
      <c r="Z229" s="31" t="n"/>
      <c r="AA229" s="34" t="n"/>
      <c r="AB229" s="29" t="n"/>
      <c r="AC229" s="31" t="n"/>
    </row>
    <row r="230">
      <c r="A230" s="29" t="n"/>
      <c r="B230" s="30" t="n"/>
      <c r="C230" s="31" t="n"/>
      <c r="D230" s="29" t="n"/>
      <c r="E230" s="29" t="n"/>
      <c r="F230" s="31" t="n"/>
      <c r="G230" s="31" t="n"/>
      <c r="H230" s="29" t="n"/>
      <c r="I230" s="32">
        <f>IF(OR(NOT(AND($A230&lt;&gt;"",OR($H230="",$H230="Active"))),$F230=""),"",INT((TODAY()-$F230+280)/7)&amp;"+"&amp;MOD(TODAY()-$F230+280,7))</f>
        <v/>
      </c>
      <c r="J230" s="32">
        <f>IF(NOT(AND($A230&lt;&gt;"",OR($H230="",$H230="Active"))),"",IF($F230="",0,SUMPRODUCT(($N230:$U230="")*(($F230-(40-VALUE(LEFT($N$4:$U$4,2)))*7)&lt;TODAY())))+COUNTIF($N230:$U230,"DNA")+COUNTIF($V230:$Z230,"&lt;"&amp;TODAY()))</f>
        <v/>
      </c>
      <c r="K230" s="32">
        <f>IF(NOT(AND($A230&lt;&gt;"",OR($H230="",$H230="Active"))),"",IF($F230="",0,SUMPRODUCT(($N230:$U230="")*(($F230-(40-VALUE(LEFT($N$4:$U$4,2)))*7)&gt;=TODAY())*(($F230-(40-VALUE(LEFT($N$4:$U$4,2)))*7)&lt;=TODAY()+7)))+COUNTIFS($V230:$Z230,"&gt;="&amp;TODAY(),$V230:$Z230,"&lt;="&amp;TODAY()+7))</f>
        <v/>
      </c>
      <c r="L230" s="32">
        <f>IF(OR(NOT(AND($A230&lt;&gt;"",OR($H230="",$H230="Active"))),$F230=""),"",IF(N230="",N$4,IF(O230="",O$4,IF(P230="",P$4,IF(Q230="",Q$4,IF(R230="",R$4,IF(S230="",S$4,IF(T230="",T$4,IF(U230="",U$4,"All done")))))))))</f>
        <v/>
      </c>
      <c r="M230" s="33">
        <f>IF(OR($L230="",$L230="All done"),"",($F230-(40-VALUE(LEFT($L230,2)))*7))</f>
        <v/>
      </c>
      <c r="N230" s="31" t="n"/>
      <c r="O230" s="31" t="n"/>
      <c r="P230" s="31" t="n"/>
      <c r="Q230" s="31" t="n"/>
      <c r="R230" s="31" t="n"/>
      <c r="S230" s="31" t="n"/>
      <c r="T230" s="31" t="n"/>
      <c r="U230" s="31" t="n"/>
      <c r="V230" s="31" t="n"/>
      <c r="W230" s="31" t="n"/>
      <c r="X230" s="31" t="n"/>
      <c r="Y230" s="31" t="n"/>
      <c r="Z230" s="31" t="n"/>
      <c r="AA230" s="34" t="n"/>
      <c r="AB230" s="29" t="n"/>
      <c r="AC230" s="31" t="n"/>
    </row>
    <row r="231">
      <c r="A231" s="29" t="n"/>
      <c r="B231" s="30" t="n"/>
      <c r="C231" s="31" t="n"/>
      <c r="D231" s="29" t="n"/>
      <c r="E231" s="29" t="n"/>
      <c r="F231" s="31" t="n"/>
      <c r="G231" s="31" t="n"/>
      <c r="H231" s="29" t="n"/>
      <c r="I231" s="32">
        <f>IF(OR(NOT(AND($A231&lt;&gt;"",OR($H231="",$H231="Active"))),$F231=""),"",INT((TODAY()-$F231+280)/7)&amp;"+"&amp;MOD(TODAY()-$F231+280,7))</f>
        <v/>
      </c>
      <c r="J231" s="32">
        <f>IF(NOT(AND($A231&lt;&gt;"",OR($H231="",$H231="Active"))),"",IF($F231="",0,SUMPRODUCT(($N231:$U231="")*(($F231-(40-VALUE(LEFT($N$4:$U$4,2)))*7)&lt;TODAY())))+COUNTIF($N231:$U231,"DNA")+COUNTIF($V231:$Z231,"&lt;"&amp;TODAY()))</f>
        <v/>
      </c>
      <c r="K231" s="32">
        <f>IF(NOT(AND($A231&lt;&gt;"",OR($H231="",$H231="Active"))),"",IF($F231="",0,SUMPRODUCT(($N231:$U231="")*(($F231-(40-VALUE(LEFT($N$4:$U$4,2)))*7)&gt;=TODAY())*(($F231-(40-VALUE(LEFT($N$4:$U$4,2)))*7)&lt;=TODAY()+7)))+COUNTIFS($V231:$Z231,"&gt;="&amp;TODAY(),$V231:$Z231,"&lt;="&amp;TODAY()+7))</f>
        <v/>
      </c>
      <c r="L231" s="32">
        <f>IF(OR(NOT(AND($A231&lt;&gt;"",OR($H231="",$H231="Active"))),$F231=""),"",IF(N231="",N$4,IF(O231="",O$4,IF(P231="",P$4,IF(Q231="",Q$4,IF(R231="",R$4,IF(S231="",S$4,IF(T231="",T$4,IF(U231="",U$4,"All done")))))))))</f>
        <v/>
      </c>
      <c r="M231" s="33">
        <f>IF(OR($L231="",$L231="All done"),"",($F231-(40-VALUE(LEFT($L231,2)))*7))</f>
        <v/>
      </c>
      <c r="N231" s="31" t="n"/>
      <c r="O231" s="31" t="n"/>
      <c r="P231" s="31" t="n"/>
      <c r="Q231" s="31" t="n"/>
      <c r="R231" s="31" t="n"/>
      <c r="S231" s="31" t="n"/>
      <c r="T231" s="31" t="n"/>
      <c r="U231" s="31" t="n"/>
      <c r="V231" s="31" t="n"/>
      <c r="W231" s="31" t="n"/>
      <c r="X231" s="31" t="n"/>
      <c r="Y231" s="31" t="n"/>
      <c r="Z231" s="31" t="n"/>
      <c r="AA231" s="34" t="n"/>
      <c r="AB231" s="29" t="n"/>
      <c r="AC231" s="31" t="n"/>
    </row>
    <row r="232">
      <c r="A232" s="29" t="n"/>
      <c r="B232" s="30" t="n"/>
      <c r="C232" s="31" t="n"/>
      <c r="D232" s="29" t="n"/>
      <c r="E232" s="29" t="n"/>
      <c r="F232" s="31" t="n"/>
      <c r="G232" s="31" t="n"/>
      <c r="H232" s="29" t="n"/>
      <c r="I232" s="32">
        <f>IF(OR(NOT(AND($A232&lt;&gt;"",OR($H232="",$H232="Active"))),$F232=""),"",INT((TODAY()-$F232+280)/7)&amp;"+"&amp;MOD(TODAY()-$F232+280,7))</f>
        <v/>
      </c>
      <c r="J232" s="32">
        <f>IF(NOT(AND($A232&lt;&gt;"",OR($H232="",$H232="Active"))),"",IF($F232="",0,SUMPRODUCT(($N232:$U232="")*(($F232-(40-VALUE(LEFT($N$4:$U$4,2)))*7)&lt;TODAY())))+COUNTIF($N232:$U232,"DNA")+COUNTIF($V232:$Z232,"&lt;"&amp;TODAY()))</f>
        <v/>
      </c>
      <c r="K232" s="32">
        <f>IF(NOT(AND($A232&lt;&gt;"",OR($H232="",$H232="Active"))),"",IF($F232="",0,SUMPRODUCT(($N232:$U232="")*(($F232-(40-VALUE(LEFT($N$4:$U$4,2)))*7)&gt;=TODAY())*(($F232-(40-VALUE(LEFT($N$4:$U$4,2)))*7)&lt;=TODAY()+7)))+COUNTIFS($V232:$Z232,"&gt;="&amp;TODAY(),$V232:$Z232,"&lt;="&amp;TODAY()+7))</f>
        <v/>
      </c>
      <c r="L232" s="32">
        <f>IF(OR(NOT(AND($A232&lt;&gt;"",OR($H232="",$H232="Active"))),$F232=""),"",IF(N232="",N$4,IF(O232="",O$4,IF(P232="",P$4,IF(Q232="",Q$4,IF(R232="",R$4,IF(S232="",S$4,IF(T232="",T$4,IF(U232="",U$4,"All done")))))))))</f>
        <v/>
      </c>
      <c r="M232" s="33">
        <f>IF(OR($L232="",$L232="All done"),"",($F232-(40-VALUE(LEFT($L232,2)))*7))</f>
        <v/>
      </c>
      <c r="N232" s="31" t="n"/>
      <c r="O232" s="31" t="n"/>
      <c r="P232" s="31" t="n"/>
      <c r="Q232" s="31" t="n"/>
      <c r="R232" s="31" t="n"/>
      <c r="S232" s="31" t="n"/>
      <c r="T232" s="31" t="n"/>
      <c r="U232" s="31" t="n"/>
      <c r="V232" s="31" t="n"/>
      <c r="W232" s="31" t="n"/>
      <c r="X232" s="31" t="n"/>
      <c r="Y232" s="31" t="n"/>
      <c r="Z232" s="31" t="n"/>
      <c r="AA232" s="34" t="n"/>
      <c r="AB232" s="29" t="n"/>
      <c r="AC232" s="31" t="n"/>
    </row>
    <row r="233">
      <c r="A233" s="29" t="n"/>
      <c r="B233" s="30" t="n"/>
      <c r="C233" s="31" t="n"/>
      <c r="D233" s="29" t="n"/>
      <c r="E233" s="29" t="n"/>
      <c r="F233" s="31" t="n"/>
      <c r="G233" s="31" t="n"/>
      <c r="H233" s="29" t="n"/>
      <c r="I233" s="32">
        <f>IF(OR(NOT(AND($A233&lt;&gt;"",OR($H233="",$H233="Active"))),$F233=""),"",INT((TODAY()-$F233+280)/7)&amp;"+"&amp;MOD(TODAY()-$F233+280,7))</f>
        <v/>
      </c>
      <c r="J233" s="32">
        <f>IF(NOT(AND($A233&lt;&gt;"",OR($H233="",$H233="Active"))),"",IF($F233="",0,SUMPRODUCT(($N233:$U233="")*(($F233-(40-VALUE(LEFT($N$4:$U$4,2)))*7)&lt;TODAY())))+COUNTIF($N233:$U233,"DNA")+COUNTIF($V233:$Z233,"&lt;"&amp;TODAY()))</f>
        <v/>
      </c>
      <c r="K233" s="32">
        <f>IF(NOT(AND($A233&lt;&gt;"",OR($H233="",$H233="Active"))),"",IF($F233="",0,SUMPRODUCT(($N233:$U233="")*(($F233-(40-VALUE(LEFT($N$4:$U$4,2)))*7)&gt;=TODAY())*(($F233-(40-VALUE(LEFT($N$4:$U$4,2)))*7)&lt;=TODAY()+7)))+COUNTIFS($V233:$Z233,"&gt;="&amp;TODAY(),$V233:$Z233,"&lt;="&amp;TODAY()+7))</f>
        <v/>
      </c>
      <c r="L233" s="32">
        <f>IF(OR(NOT(AND($A233&lt;&gt;"",OR($H233="",$H233="Active"))),$F233=""),"",IF(N233="",N$4,IF(O233="",O$4,IF(P233="",P$4,IF(Q233="",Q$4,IF(R233="",R$4,IF(S233="",S$4,IF(T233="",T$4,IF(U233="",U$4,"All done")))))))))</f>
        <v/>
      </c>
      <c r="M233" s="33">
        <f>IF(OR($L233="",$L233="All done"),"",($F233-(40-VALUE(LEFT($L233,2)))*7))</f>
        <v/>
      </c>
      <c r="N233" s="31" t="n"/>
      <c r="O233" s="31" t="n"/>
      <c r="P233" s="31" t="n"/>
      <c r="Q233" s="31" t="n"/>
      <c r="R233" s="31" t="n"/>
      <c r="S233" s="31" t="n"/>
      <c r="T233" s="31" t="n"/>
      <c r="U233" s="31" t="n"/>
      <c r="V233" s="31" t="n"/>
      <c r="W233" s="31" t="n"/>
      <c r="X233" s="31" t="n"/>
      <c r="Y233" s="31" t="n"/>
      <c r="Z233" s="31" t="n"/>
      <c r="AA233" s="34" t="n"/>
      <c r="AB233" s="29" t="n"/>
      <c r="AC233" s="31" t="n"/>
    </row>
    <row r="234">
      <c r="A234" s="29" t="n"/>
      <c r="B234" s="30" t="n"/>
      <c r="C234" s="31" t="n"/>
      <c r="D234" s="29" t="n"/>
      <c r="E234" s="29" t="n"/>
      <c r="F234" s="31" t="n"/>
      <c r="G234" s="31" t="n"/>
      <c r="H234" s="29" t="n"/>
      <c r="I234" s="32">
        <f>IF(OR(NOT(AND($A234&lt;&gt;"",OR($H234="",$H234="Active"))),$F234=""),"",INT((TODAY()-$F234+280)/7)&amp;"+"&amp;MOD(TODAY()-$F234+280,7))</f>
        <v/>
      </c>
      <c r="J234" s="32">
        <f>IF(NOT(AND($A234&lt;&gt;"",OR($H234="",$H234="Active"))),"",IF($F234="",0,SUMPRODUCT(($N234:$U234="")*(($F234-(40-VALUE(LEFT($N$4:$U$4,2)))*7)&lt;TODAY())))+COUNTIF($N234:$U234,"DNA")+COUNTIF($V234:$Z234,"&lt;"&amp;TODAY()))</f>
        <v/>
      </c>
      <c r="K234" s="32">
        <f>IF(NOT(AND($A234&lt;&gt;"",OR($H234="",$H234="Active"))),"",IF($F234="",0,SUMPRODUCT(($N234:$U234="")*(($F234-(40-VALUE(LEFT($N$4:$U$4,2)))*7)&gt;=TODAY())*(($F234-(40-VALUE(LEFT($N$4:$U$4,2)))*7)&lt;=TODAY()+7)))+COUNTIFS($V234:$Z234,"&gt;="&amp;TODAY(),$V234:$Z234,"&lt;="&amp;TODAY()+7))</f>
        <v/>
      </c>
      <c r="L234" s="32">
        <f>IF(OR(NOT(AND($A234&lt;&gt;"",OR($H234="",$H234="Active"))),$F234=""),"",IF(N234="",N$4,IF(O234="",O$4,IF(P234="",P$4,IF(Q234="",Q$4,IF(R234="",R$4,IF(S234="",S$4,IF(T234="",T$4,IF(U234="",U$4,"All done")))))))))</f>
        <v/>
      </c>
      <c r="M234" s="33">
        <f>IF(OR($L234="",$L234="All done"),"",($F234-(40-VALUE(LEFT($L234,2)))*7))</f>
        <v/>
      </c>
      <c r="N234" s="31" t="n"/>
      <c r="O234" s="31" t="n"/>
      <c r="P234" s="31" t="n"/>
      <c r="Q234" s="31" t="n"/>
      <c r="R234" s="31" t="n"/>
      <c r="S234" s="31" t="n"/>
      <c r="T234" s="31" t="n"/>
      <c r="U234" s="31" t="n"/>
      <c r="V234" s="31" t="n"/>
      <c r="W234" s="31" t="n"/>
      <c r="X234" s="31" t="n"/>
      <c r="Y234" s="31" t="n"/>
      <c r="Z234" s="31" t="n"/>
      <c r="AA234" s="34" t="n"/>
      <c r="AB234" s="29" t="n"/>
      <c r="AC234" s="31" t="n"/>
    </row>
    <row r="235">
      <c r="A235" s="29" t="n"/>
      <c r="B235" s="30" t="n"/>
      <c r="C235" s="31" t="n"/>
      <c r="D235" s="29" t="n"/>
      <c r="E235" s="29" t="n"/>
      <c r="F235" s="31" t="n"/>
      <c r="G235" s="31" t="n"/>
      <c r="H235" s="29" t="n"/>
      <c r="I235" s="32">
        <f>IF(OR(NOT(AND($A235&lt;&gt;"",OR($H235="",$H235="Active"))),$F235=""),"",INT((TODAY()-$F235+280)/7)&amp;"+"&amp;MOD(TODAY()-$F235+280,7))</f>
        <v/>
      </c>
      <c r="J235" s="32">
        <f>IF(NOT(AND($A235&lt;&gt;"",OR($H235="",$H235="Active"))),"",IF($F235="",0,SUMPRODUCT(($N235:$U235="")*(($F235-(40-VALUE(LEFT($N$4:$U$4,2)))*7)&lt;TODAY())))+COUNTIF($N235:$U235,"DNA")+COUNTIF($V235:$Z235,"&lt;"&amp;TODAY()))</f>
        <v/>
      </c>
      <c r="K235" s="32">
        <f>IF(NOT(AND($A235&lt;&gt;"",OR($H235="",$H235="Active"))),"",IF($F235="",0,SUMPRODUCT(($N235:$U235="")*(($F235-(40-VALUE(LEFT($N$4:$U$4,2)))*7)&gt;=TODAY())*(($F235-(40-VALUE(LEFT($N$4:$U$4,2)))*7)&lt;=TODAY()+7)))+COUNTIFS($V235:$Z235,"&gt;="&amp;TODAY(),$V235:$Z235,"&lt;="&amp;TODAY()+7))</f>
        <v/>
      </c>
      <c r="L235" s="32">
        <f>IF(OR(NOT(AND($A235&lt;&gt;"",OR($H235="",$H235="Active"))),$F235=""),"",IF(N235="",N$4,IF(O235="",O$4,IF(P235="",P$4,IF(Q235="",Q$4,IF(R235="",R$4,IF(S235="",S$4,IF(T235="",T$4,IF(U235="",U$4,"All done")))))))))</f>
        <v/>
      </c>
      <c r="M235" s="33">
        <f>IF(OR($L235="",$L235="All done"),"",($F235-(40-VALUE(LEFT($L235,2)))*7))</f>
        <v/>
      </c>
      <c r="N235" s="31" t="n"/>
      <c r="O235" s="31" t="n"/>
      <c r="P235" s="31" t="n"/>
      <c r="Q235" s="31" t="n"/>
      <c r="R235" s="31" t="n"/>
      <c r="S235" s="31" t="n"/>
      <c r="T235" s="31" t="n"/>
      <c r="U235" s="31" t="n"/>
      <c r="V235" s="31" t="n"/>
      <c r="W235" s="31" t="n"/>
      <c r="X235" s="31" t="n"/>
      <c r="Y235" s="31" t="n"/>
      <c r="Z235" s="31" t="n"/>
      <c r="AA235" s="34" t="n"/>
      <c r="AB235" s="29" t="n"/>
      <c r="AC235" s="31" t="n"/>
    </row>
    <row r="236">
      <c r="A236" s="29" t="n"/>
      <c r="B236" s="30" t="n"/>
      <c r="C236" s="31" t="n"/>
      <c r="D236" s="29" t="n"/>
      <c r="E236" s="29" t="n"/>
      <c r="F236" s="31" t="n"/>
      <c r="G236" s="31" t="n"/>
      <c r="H236" s="29" t="n"/>
      <c r="I236" s="32">
        <f>IF(OR(NOT(AND($A236&lt;&gt;"",OR($H236="",$H236="Active"))),$F236=""),"",INT((TODAY()-$F236+280)/7)&amp;"+"&amp;MOD(TODAY()-$F236+280,7))</f>
        <v/>
      </c>
      <c r="J236" s="32">
        <f>IF(NOT(AND($A236&lt;&gt;"",OR($H236="",$H236="Active"))),"",IF($F236="",0,SUMPRODUCT(($N236:$U236="")*(($F236-(40-VALUE(LEFT($N$4:$U$4,2)))*7)&lt;TODAY())))+COUNTIF($N236:$U236,"DNA")+COUNTIF($V236:$Z236,"&lt;"&amp;TODAY()))</f>
        <v/>
      </c>
      <c r="K236" s="32">
        <f>IF(NOT(AND($A236&lt;&gt;"",OR($H236="",$H236="Active"))),"",IF($F236="",0,SUMPRODUCT(($N236:$U236="")*(($F236-(40-VALUE(LEFT($N$4:$U$4,2)))*7)&gt;=TODAY())*(($F236-(40-VALUE(LEFT($N$4:$U$4,2)))*7)&lt;=TODAY()+7)))+COUNTIFS($V236:$Z236,"&gt;="&amp;TODAY(),$V236:$Z236,"&lt;="&amp;TODAY()+7))</f>
        <v/>
      </c>
      <c r="L236" s="32">
        <f>IF(OR(NOT(AND($A236&lt;&gt;"",OR($H236="",$H236="Active"))),$F236=""),"",IF(N236="",N$4,IF(O236="",O$4,IF(P236="",P$4,IF(Q236="",Q$4,IF(R236="",R$4,IF(S236="",S$4,IF(T236="",T$4,IF(U236="",U$4,"All done")))))))))</f>
        <v/>
      </c>
      <c r="M236" s="33">
        <f>IF(OR($L236="",$L236="All done"),"",($F236-(40-VALUE(LEFT($L236,2)))*7))</f>
        <v/>
      </c>
      <c r="N236" s="31" t="n"/>
      <c r="O236" s="31" t="n"/>
      <c r="P236" s="31" t="n"/>
      <c r="Q236" s="31" t="n"/>
      <c r="R236" s="31" t="n"/>
      <c r="S236" s="31" t="n"/>
      <c r="T236" s="31" t="n"/>
      <c r="U236" s="31" t="n"/>
      <c r="V236" s="31" t="n"/>
      <c r="W236" s="31" t="n"/>
      <c r="X236" s="31" t="n"/>
      <c r="Y236" s="31" t="n"/>
      <c r="Z236" s="31" t="n"/>
      <c r="AA236" s="34" t="n"/>
      <c r="AB236" s="29" t="n"/>
      <c r="AC236" s="31" t="n"/>
    </row>
    <row r="237">
      <c r="A237" s="29" t="n"/>
      <c r="B237" s="30" t="n"/>
      <c r="C237" s="31" t="n"/>
      <c r="D237" s="29" t="n"/>
      <c r="E237" s="29" t="n"/>
      <c r="F237" s="31" t="n"/>
      <c r="G237" s="31" t="n"/>
      <c r="H237" s="29" t="n"/>
      <c r="I237" s="32">
        <f>IF(OR(NOT(AND($A237&lt;&gt;"",OR($H237="",$H237="Active"))),$F237=""),"",INT((TODAY()-$F237+280)/7)&amp;"+"&amp;MOD(TODAY()-$F237+280,7))</f>
        <v/>
      </c>
      <c r="J237" s="32">
        <f>IF(NOT(AND($A237&lt;&gt;"",OR($H237="",$H237="Active"))),"",IF($F237="",0,SUMPRODUCT(($N237:$U237="")*(($F237-(40-VALUE(LEFT($N$4:$U$4,2)))*7)&lt;TODAY())))+COUNTIF($N237:$U237,"DNA")+COUNTIF($V237:$Z237,"&lt;"&amp;TODAY()))</f>
        <v/>
      </c>
      <c r="K237" s="32">
        <f>IF(NOT(AND($A237&lt;&gt;"",OR($H237="",$H237="Active"))),"",IF($F237="",0,SUMPRODUCT(($N237:$U237="")*(($F237-(40-VALUE(LEFT($N$4:$U$4,2)))*7)&gt;=TODAY())*(($F237-(40-VALUE(LEFT($N$4:$U$4,2)))*7)&lt;=TODAY()+7)))+COUNTIFS($V237:$Z237,"&gt;="&amp;TODAY(),$V237:$Z237,"&lt;="&amp;TODAY()+7))</f>
        <v/>
      </c>
      <c r="L237" s="32">
        <f>IF(OR(NOT(AND($A237&lt;&gt;"",OR($H237="",$H237="Active"))),$F237=""),"",IF(N237="",N$4,IF(O237="",O$4,IF(P237="",P$4,IF(Q237="",Q$4,IF(R237="",R$4,IF(S237="",S$4,IF(T237="",T$4,IF(U237="",U$4,"All done")))))))))</f>
        <v/>
      </c>
      <c r="M237" s="33">
        <f>IF(OR($L237="",$L237="All done"),"",($F237-(40-VALUE(LEFT($L237,2)))*7))</f>
        <v/>
      </c>
      <c r="N237" s="31" t="n"/>
      <c r="O237" s="31" t="n"/>
      <c r="P237" s="31" t="n"/>
      <c r="Q237" s="31" t="n"/>
      <c r="R237" s="31" t="n"/>
      <c r="S237" s="31" t="n"/>
      <c r="T237" s="31" t="n"/>
      <c r="U237" s="31" t="n"/>
      <c r="V237" s="31" t="n"/>
      <c r="W237" s="31" t="n"/>
      <c r="X237" s="31" t="n"/>
      <c r="Y237" s="31" t="n"/>
      <c r="Z237" s="31" t="n"/>
      <c r="AA237" s="34" t="n"/>
      <c r="AB237" s="29" t="n"/>
      <c r="AC237" s="31" t="n"/>
    </row>
    <row r="238">
      <c r="A238" s="29" t="n"/>
      <c r="B238" s="30" t="n"/>
      <c r="C238" s="31" t="n"/>
      <c r="D238" s="29" t="n"/>
      <c r="E238" s="29" t="n"/>
      <c r="F238" s="31" t="n"/>
      <c r="G238" s="31" t="n"/>
      <c r="H238" s="29" t="n"/>
      <c r="I238" s="32">
        <f>IF(OR(NOT(AND($A238&lt;&gt;"",OR($H238="",$H238="Active"))),$F238=""),"",INT((TODAY()-$F238+280)/7)&amp;"+"&amp;MOD(TODAY()-$F238+280,7))</f>
        <v/>
      </c>
      <c r="J238" s="32">
        <f>IF(NOT(AND($A238&lt;&gt;"",OR($H238="",$H238="Active"))),"",IF($F238="",0,SUMPRODUCT(($N238:$U238="")*(($F238-(40-VALUE(LEFT($N$4:$U$4,2)))*7)&lt;TODAY())))+COUNTIF($N238:$U238,"DNA")+COUNTIF($V238:$Z238,"&lt;"&amp;TODAY()))</f>
        <v/>
      </c>
      <c r="K238" s="32">
        <f>IF(NOT(AND($A238&lt;&gt;"",OR($H238="",$H238="Active"))),"",IF($F238="",0,SUMPRODUCT(($N238:$U238="")*(($F238-(40-VALUE(LEFT($N$4:$U$4,2)))*7)&gt;=TODAY())*(($F238-(40-VALUE(LEFT($N$4:$U$4,2)))*7)&lt;=TODAY()+7)))+COUNTIFS($V238:$Z238,"&gt;="&amp;TODAY(),$V238:$Z238,"&lt;="&amp;TODAY()+7))</f>
        <v/>
      </c>
      <c r="L238" s="32">
        <f>IF(OR(NOT(AND($A238&lt;&gt;"",OR($H238="",$H238="Active"))),$F238=""),"",IF(N238="",N$4,IF(O238="",O$4,IF(P238="",P$4,IF(Q238="",Q$4,IF(R238="",R$4,IF(S238="",S$4,IF(T238="",T$4,IF(U238="",U$4,"All done")))))))))</f>
        <v/>
      </c>
      <c r="M238" s="33">
        <f>IF(OR($L238="",$L238="All done"),"",($F238-(40-VALUE(LEFT($L238,2)))*7))</f>
        <v/>
      </c>
      <c r="N238" s="31" t="n"/>
      <c r="O238" s="31" t="n"/>
      <c r="P238" s="31" t="n"/>
      <c r="Q238" s="31" t="n"/>
      <c r="R238" s="31" t="n"/>
      <c r="S238" s="31" t="n"/>
      <c r="T238" s="31" t="n"/>
      <c r="U238" s="31" t="n"/>
      <c r="V238" s="31" t="n"/>
      <c r="W238" s="31" t="n"/>
      <c r="X238" s="31" t="n"/>
      <c r="Y238" s="31" t="n"/>
      <c r="Z238" s="31" t="n"/>
      <c r="AA238" s="34" t="n"/>
      <c r="AB238" s="29" t="n"/>
      <c r="AC238" s="31" t="n"/>
    </row>
    <row r="239">
      <c r="A239" s="29" t="n"/>
      <c r="B239" s="30" t="n"/>
      <c r="C239" s="31" t="n"/>
      <c r="D239" s="29" t="n"/>
      <c r="E239" s="29" t="n"/>
      <c r="F239" s="31" t="n"/>
      <c r="G239" s="31" t="n"/>
      <c r="H239" s="29" t="n"/>
      <c r="I239" s="32">
        <f>IF(OR(NOT(AND($A239&lt;&gt;"",OR($H239="",$H239="Active"))),$F239=""),"",INT((TODAY()-$F239+280)/7)&amp;"+"&amp;MOD(TODAY()-$F239+280,7))</f>
        <v/>
      </c>
      <c r="J239" s="32">
        <f>IF(NOT(AND($A239&lt;&gt;"",OR($H239="",$H239="Active"))),"",IF($F239="",0,SUMPRODUCT(($N239:$U239="")*(($F239-(40-VALUE(LEFT($N$4:$U$4,2)))*7)&lt;TODAY())))+COUNTIF($N239:$U239,"DNA")+COUNTIF($V239:$Z239,"&lt;"&amp;TODAY()))</f>
        <v/>
      </c>
      <c r="K239" s="32">
        <f>IF(NOT(AND($A239&lt;&gt;"",OR($H239="",$H239="Active"))),"",IF($F239="",0,SUMPRODUCT(($N239:$U239="")*(($F239-(40-VALUE(LEFT($N$4:$U$4,2)))*7)&gt;=TODAY())*(($F239-(40-VALUE(LEFT($N$4:$U$4,2)))*7)&lt;=TODAY()+7)))+COUNTIFS($V239:$Z239,"&gt;="&amp;TODAY(),$V239:$Z239,"&lt;="&amp;TODAY()+7))</f>
        <v/>
      </c>
      <c r="L239" s="32">
        <f>IF(OR(NOT(AND($A239&lt;&gt;"",OR($H239="",$H239="Active"))),$F239=""),"",IF(N239="",N$4,IF(O239="",O$4,IF(P239="",P$4,IF(Q239="",Q$4,IF(R239="",R$4,IF(S239="",S$4,IF(T239="",T$4,IF(U239="",U$4,"All done")))))))))</f>
        <v/>
      </c>
      <c r="M239" s="33">
        <f>IF(OR($L239="",$L239="All done"),"",($F239-(40-VALUE(LEFT($L239,2)))*7))</f>
        <v/>
      </c>
      <c r="N239" s="31" t="n"/>
      <c r="O239" s="31" t="n"/>
      <c r="P239" s="31" t="n"/>
      <c r="Q239" s="31" t="n"/>
      <c r="R239" s="31" t="n"/>
      <c r="S239" s="31" t="n"/>
      <c r="T239" s="31" t="n"/>
      <c r="U239" s="31" t="n"/>
      <c r="V239" s="31" t="n"/>
      <c r="W239" s="31" t="n"/>
      <c r="X239" s="31" t="n"/>
      <c r="Y239" s="31" t="n"/>
      <c r="Z239" s="31" t="n"/>
      <c r="AA239" s="34" t="n"/>
      <c r="AB239" s="29" t="n"/>
      <c r="AC239" s="31" t="n"/>
    </row>
    <row r="240">
      <c r="A240" s="29" t="n"/>
      <c r="B240" s="30" t="n"/>
      <c r="C240" s="31" t="n"/>
      <c r="D240" s="29" t="n"/>
      <c r="E240" s="29" t="n"/>
      <c r="F240" s="31" t="n"/>
      <c r="G240" s="31" t="n"/>
      <c r="H240" s="29" t="n"/>
      <c r="I240" s="32">
        <f>IF(OR(NOT(AND($A240&lt;&gt;"",OR($H240="",$H240="Active"))),$F240=""),"",INT((TODAY()-$F240+280)/7)&amp;"+"&amp;MOD(TODAY()-$F240+280,7))</f>
        <v/>
      </c>
      <c r="J240" s="32">
        <f>IF(NOT(AND($A240&lt;&gt;"",OR($H240="",$H240="Active"))),"",IF($F240="",0,SUMPRODUCT(($N240:$U240="")*(($F240-(40-VALUE(LEFT($N$4:$U$4,2)))*7)&lt;TODAY())))+COUNTIF($N240:$U240,"DNA")+COUNTIF($V240:$Z240,"&lt;"&amp;TODAY()))</f>
        <v/>
      </c>
      <c r="K240" s="32">
        <f>IF(NOT(AND($A240&lt;&gt;"",OR($H240="",$H240="Active"))),"",IF($F240="",0,SUMPRODUCT(($N240:$U240="")*(($F240-(40-VALUE(LEFT($N$4:$U$4,2)))*7)&gt;=TODAY())*(($F240-(40-VALUE(LEFT($N$4:$U$4,2)))*7)&lt;=TODAY()+7)))+COUNTIFS($V240:$Z240,"&gt;="&amp;TODAY(),$V240:$Z240,"&lt;="&amp;TODAY()+7))</f>
        <v/>
      </c>
      <c r="L240" s="32">
        <f>IF(OR(NOT(AND($A240&lt;&gt;"",OR($H240="",$H240="Active"))),$F240=""),"",IF(N240="",N$4,IF(O240="",O$4,IF(P240="",P$4,IF(Q240="",Q$4,IF(R240="",R$4,IF(S240="",S$4,IF(T240="",T$4,IF(U240="",U$4,"All done")))))))))</f>
        <v/>
      </c>
      <c r="M240" s="33">
        <f>IF(OR($L240="",$L240="All done"),"",($F240-(40-VALUE(LEFT($L240,2)))*7))</f>
        <v/>
      </c>
      <c r="N240" s="31" t="n"/>
      <c r="O240" s="31" t="n"/>
      <c r="P240" s="31" t="n"/>
      <c r="Q240" s="31" t="n"/>
      <c r="R240" s="31" t="n"/>
      <c r="S240" s="31" t="n"/>
      <c r="T240" s="31" t="n"/>
      <c r="U240" s="31" t="n"/>
      <c r="V240" s="31" t="n"/>
      <c r="W240" s="31" t="n"/>
      <c r="X240" s="31" t="n"/>
      <c r="Y240" s="31" t="n"/>
      <c r="Z240" s="31" t="n"/>
      <c r="AA240" s="34" t="n"/>
      <c r="AB240" s="29" t="n"/>
      <c r="AC240" s="31" t="n"/>
    </row>
    <row r="241">
      <c r="A241" s="29" t="n"/>
      <c r="B241" s="30" t="n"/>
      <c r="C241" s="31" t="n"/>
      <c r="D241" s="29" t="n"/>
      <c r="E241" s="29" t="n"/>
      <c r="F241" s="31" t="n"/>
      <c r="G241" s="31" t="n"/>
      <c r="H241" s="29" t="n"/>
      <c r="I241" s="32">
        <f>IF(OR(NOT(AND($A241&lt;&gt;"",OR($H241="",$H241="Active"))),$F241=""),"",INT((TODAY()-$F241+280)/7)&amp;"+"&amp;MOD(TODAY()-$F241+280,7))</f>
        <v/>
      </c>
      <c r="J241" s="32">
        <f>IF(NOT(AND($A241&lt;&gt;"",OR($H241="",$H241="Active"))),"",IF($F241="",0,SUMPRODUCT(($N241:$U241="")*(($F241-(40-VALUE(LEFT($N$4:$U$4,2)))*7)&lt;TODAY())))+COUNTIF($N241:$U241,"DNA")+COUNTIF($V241:$Z241,"&lt;"&amp;TODAY()))</f>
        <v/>
      </c>
      <c r="K241" s="32">
        <f>IF(NOT(AND($A241&lt;&gt;"",OR($H241="",$H241="Active"))),"",IF($F241="",0,SUMPRODUCT(($N241:$U241="")*(($F241-(40-VALUE(LEFT($N$4:$U$4,2)))*7)&gt;=TODAY())*(($F241-(40-VALUE(LEFT($N$4:$U$4,2)))*7)&lt;=TODAY()+7)))+COUNTIFS($V241:$Z241,"&gt;="&amp;TODAY(),$V241:$Z241,"&lt;="&amp;TODAY()+7))</f>
        <v/>
      </c>
      <c r="L241" s="32">
        <f>IF(OR(NOT(AND($A241&lt;&gt;"",OR($H241="",$H241="Active"))),$F241=""),"",IF(N241="",N$4,IF(O241="",O$4,IF(P241="",P$4,IF(Q241="",Q$4,IF(R241="",R$4,IF(S241="",S$4,IF(T241="",T$4,IF(U241="",U$4,"All done")))))))))</f>
        <v/>
      </c>
      <c r="M241" s="33">
        <f>IF(OR($L241="",$L241="All done"),"",($F241-(40-VALUE(LEFT($L241,2)))*7))</f>
        <v/>
      </c>
      <c r="N241" s="31" t="n"/>
      <c r="O241" s="31" t="n"/>
      <c r="P241" s="31" t="n"/>
      <c r="Q241" s="31" t="n"/>
      <c r="R241" s="31" t="n"/>
      <c r="S241" s="31" t="n"/>
      <c r="T241" s="31" t="n"/>
      <c r="U241" s="31" t="n"/>
      <c r="V241" s="31" t="n"/>
      <c r="W241" s="31" t="n"/>
      <c r="X241" s="31" t="n"/>
      <c r="Y241" s="31" t="n"/>
      <c r="Z241" s="31" t="n"/>
      <c r="AA241" s="34" t="n"/>
      <c r="AB241" s="29" t="n"/>
      <c r="AC241" s="31" t="n"/>
    </row>
    <row r="242">
      <c r="A242" s="29" t="n"/>
      <c r="B242" s="30" t="n"/>
      <c r="C242" s="31" t="n"/>
      <c r="D242" s="29" t="n"/>
      <c r="E242" s="29" t="n"/>
      <c r="F242" s="31" t="n"/>
      <c r="G242" s="31" t="n"/>
      <c r="H242" s="29" t="n"/>
      <c r="I242" s="32">
        <f>IF(OR(NOT(AND($A242&lt;&gt;"",OR($H242="",$H242="Active"))),$F242=""),"",INT((TODAY()-$F242+280)/7)&amp;"+"&amp;MOD(TODAY()-$F242+280,7))</f>
        <v/>
      </c>
      <c r="J242" s="32">
        <f>IF(NOT(AND($A242&lt;&gt;"",OR($H242="",$H242="Active"))),"",IF($F242="",0,SUMPRODUCT(($N242:$U242="")*(($F242-(40-VALUE(LEFT($N$4:$U$4,2)))*7)&lt;TODAY())))+COUNTIF($N242:$U242,"DNA")+COUNTIF($V242:$Z242,"&lt;"&amp;TODAY()))</f>
        <v/>
      </c>
      <c r="K242" s="32">
        <f>IF(NOT(AND($A242&lt;&gt;"",OR($H242="",$H242="Active"))),"",IF($F242="",0,SUMPRODUCT(($N242:$U242="")*(($F242-(40-VALUE(LEFT($N$4:$U$4,2)))*7)&gt;=TODAY())*(($F242-(40-VALUE(LEFT($N$4:$U$4,2)))*7)&lt;=TODAY()+7)))+COUNTIFS($V242:$Z242,"&gt;="&amp;TODAY(),$V242:$Z242,"&lt;="&amp;TODAY()+7))</f>
        <v/>
      </c>
      <c r="L242" s="32">
        <f>IF(OR(NOT(AND($A242&lt;&gt;"",OR($H242="",$H242="Active"))),$F242=""),"",IF(N242="",N$4,IF(O242="",O$4,IF(P242="",P$4,IF(Q242="",Q$4,IF(R242="",R$4,IF(S242="",S$4,IF(T242="",T$4,IF(U242="",U$4,"All done")))))))))</f>
        <v/>
      </c>
      <c r="M242" s="33">
        <f>IF(OR($L242="",$L242="All done"),"",($F242-(40-VALUE(LEFT($L242,2)))*7))</f>
        <v/>
      </c>
      <c r="N242" s="31" t="n"/>
      <c r="O242" s="31" t="n"/>
      <c r="P242" s="31" t="n"/>
      <c r="Q242" s="31" t="n"/>
      <c r="R242" s="31" t="n"/>
      <c r="S242" s="31" t="n"/>
      <c r="T242" s="31" t="n"/>
      <c r="U242" s="31" t="n"/>
      <c r="V242" s="31" t="n"/>
      <c r="W242" s="31" t="n"/>
      <c r="X242" s="31" t="n"/>
      <c r="Y242" s="31" t="n"/>
      <c r="Z242" s="31" t="n"/>
      <c r="AA242" s="34" t="n"/>
      <c r="AB242" s="29" t="n"/>
      <c r="AC242" s="31" t="n"/>
    </row>
    <row r="243">
      <c r="A243" s="29" t="n"/>
      <c r="B243" s="30" t="n"/>
      <c r="C243" s="31" t="n"/>
      <c r="D243" s="29" t="n"/>
      <c r="E243" s="29" t="n"/>
      <c r="F243" s="31" t="n"/>
      <c r="G243" s="31" t="n"/>
      <c r="H243" s="29" t="n"/>
      <c r="I243" s="32">
        <f>IF(OR(NOT(AND($A243&lt;&gt;"",OR($H243="",$H243="Active"))),$F243=""),"",INT((TODAY()-$F243+280)/7)&amp;"+"&amp;MOD(TODAY()-$F243+280,7))</f>
        <v/>
      </c>
      <c r="J243" s="32">
        <f>IF(NOT(AND($A243&lt;&gt;"",OR($H243="",$H243="Active"))),"",IF($F243="",0,SUMPRODUCT(($N243:$U243="")*(($F243-(40-VALUE(LEFT($N$4:$U$4,2)))*7)&lt;TODAY())))+COUNTIF($N243:$U243,"DNA")+COUNTIF($V243:$Z243,"&lt;"&amp;TODAY()))</f>
        <v/>
      </c>
      <c r="K243" s="32">
        <f>IF(NOT(AND($A243&lt;&gt;"",OR($H243="",$H243="Active"))),"",IF($F243="",0,SUMPRODUCT(($N243:$U243="")*(($F243-(40-VALUE(LEFT($N$4:$U$4,2)))*7)&gt;=TODAY())*(($F243-(40-VALUE(LEFT($N$4:$U$4,2)))*7)&lt;=TODAY()+7)))+COUNTIFS($V243:$Z243,"&gt;="&amp;TODAY(),$V243:$Z243,"&lt;="&amp;TODAY()+7))</f>
        <v/>
      </c>
      <c r="L243" s="32">
        <f>IF(OR(NOT(AND($A243&lt;&gt;"",OR($H243="",$H243="Active"))),$F243=""),"",IF(N243="",N$4,IF(O243="",O$4,IF(P243="",P$4,IF(Q243="",Q$4,IF(R243="",R$4,IF(S243="",S$4,IF(T243="",T$4,IF(U243="",U$4,"All done")))))))))</f>
        <v/>
      </c>
      <c r="M243" s="33">
        <f>IF(OR($L243="",$L243="All done"),"",($F243-(40-VALUE(LEFT($L243,2)))*7))</f>
        <v/>
      </c>
      <c r="N243" s="31" t="n"/>
      <c r="O243" s="31" t="n"/>
      <c r="P243" s="31" t="n"/>
      <c r="Q243" s="31" t="n"/>
      <c r="R243" s="31" t="n"/>
      <c r="S243" s="31" t="n"/>
      <c r="T243" s="31" t="n"/>
      <c r="U243" s="31" t="n"/>
      <c r="V243" s="31" t="n"/>
      <c r="W243" s="31" t="n"/>
      <c r="X243" s="31" t="n"/>
      <c r="Y243" s="31" t="n"/>
      <c r="Z243" s="31" t="n"/>
      <c r="AA243" s="34" t="n"/>
      <c r="AB243" s="29" t="n"/>
      <c r="AC243" s="31" t="n"/>
    </row>
    <row r="244">
      <c r="A244" s="29" t="n"/>
      <c r="B244" s="30" t="n"/>
      <c r="C244" s="31" t="n"/>
      <c r="D244" s="29" t="n"/>
      <c r="E244" s="29" t="n"/>
      <c r="F244" s="31" t="n"/>
      <c r="G244" s="31" t="n"/>
      <c r="H244" s="29" t="n"/>
      <c r="I244" s="32">
        <f>IF(OR(NOT(AND($A244&lt;&gt;"",OR($H244="",$H244="Active"))),$F244=""),"",INT((TODAY()-$F244+280)/7)&amp;"+"&amp;MOD(TODAY()-$F244+280,7))</f>
        <v/>
      </c>
      <c r="J244" s="32">
        <f>IF(NOT(AND($A244&lt;&gt;"",OR($H244="",$H244="Active"))),"",IF($F244="",0,SUMPRODUCT(($N244:$U244="")*(($F244-(40-VALUE(LEFT($N$4:$U$4,2)))*7)&lt;TODAY())))+COUNTIF($N244:$U244,"DNA")+COUNTIF($V244:$Z244,"&lt;"&amp;TODAY()))</f>
        <v/>
      </c>
      <c r="K244" s="32">
        <f>IF(NOT(AND($A244&lt;&gt;"",OR($H244="",$H244="Active"))),"",IF($F244="",0,SUMPRODUCT(($N244:$U244="")*(($F244-(40-VALUE(LEFT($N$4:$U$4,2)))*7)&gt;=TODAY())*(($F244-(40-VALUE(LEFT($N$4:$U$4,2)))*7)&lt;=TODAY()+7)))+COUNTIFS($V244:$Z244,"&gt;="&amp;TODAY(),$V244:$Z244,"&lt;="&amp;TODAY()+7))</f>
        <v/>
      </c>
      <c r="L244" s="32">
        <f>IF(OR(NOT(AND($A244&lt;&gt;"",OR($H244="",$H244="Active"))),$F244=""),"",IF(N244="",N$4,IF(O244="",O$4,IF(P244="",P$4,IF(Q244="",Q$4,IF(R244="",R$4,IF(S244="",S$4,IF(T244="",T$4,IF(U244="",U$4,"All done")))))))))</f>
        <v/>
      </c>
      <c r="M244" s="33">
        <f>IF(OR($L244="",$L244="All done"),"",($F244-(40-VALUE(LEFT($L244,2)))*7))</f>
        <v/>
      </c>
      <c r="N244" s="31" t="n"/>
      <c r="O244" s="31" t="n"/>
      <c r="P244" s="31" t="n"/>
      <c r="Q244" s="31" t="n"/>
      <c r="R244" s="31" t="n"/>
      <c r="S244" s="31" t="n"/>
      <c r="T244" s="31" t="n"/>
      <c r="U244" s="31" t="n"/>
      <c r="V244" s="31" t="n"/>
      <c r="W244" s="31" t="n"/>
      <c r="X244" s="31" t="n"/>
      <c r="Y244" s="31" t="n"/>
      <c r="Z244" s="31" t="n"/>
      <c r="AA244" s="34" t="n"/>
      <c r="AB244" s="29" t="n"/>
      <c r="AC244" s="31" t="n"/>
    </row>
    <row r="245">
      <c r="A245" s="29" t="n"/>
      <c r="B245" s="30" t="n"/>
      <c r="C245" s="31" t="n"/>
      <c r="D245" s="29" t="n"/>
      <c r="E245" s="29" t="n"/>
      <c r="F245" s="31" t="n"/>
      <c r="G245" s="31" t="n"/>
      <c r="H245" s="29" t="n"/>
      <c r="I245" s="32">
        <f>IF(OR(NOT(AND($A245&lt;&gt;"",OR($H245="",$H245="Active"))),$F245=""),"",INT((TODAY()-$F245+280)/7)&amp;"+"&amp;MOD(TODAY()-$F245+280,7))</f>
        <v/>
      </c>
      <c r="J245" s="32">
        <f>IF(NOT(AND($A245&lt;&gt;"",OR($H245="",$H245="Active"))),"",IF($F245="",0,SUMPRODUCT(($N245:$U245="")*(($F245-(40-VALUE(LEFT($N$4:$U$4,2)))*7)&lt;TODAY())))+COUNTIF($N245:$U245,"DNA")+COUNTIF($V245:$Z245,"&lt;"&amp;TODAY()))</f>
        <v/>
      </c>
      <c r="K245" s="32">
        <f>IF(NOT(AND($A245&lt;&gt;"",OR($H245="",$H245="Active"))),"",IF($F245="",0,SUMPRODUCT(($N245:$U245="")*(($F245-(40-VALUE(LEFT($N$4:$U$4,2)))*7)&gt;=TODAY())*(($F245-(40-VALUE(LEFT($N$4:$U$4,2)))*7)&lt;=TODAY()+7)))+COUNTIFS($V245:$Z245,"&gt;="&amp;TODAY(),$V245:$Z245,"&lt;="&amp;TODAY()+7))</f>
        <v/>
      </c>
      <c r="L245" s="32">
        <f>IF(OR(NOT(AND($A245&lt;&gt;"",OR($H245="",$H245="Active"))),$F245=""),"",IF(N245="",N$4,IF(O245="",O$4,IF(P245="",P$4,IF(Q245="",Q$4,IF(R245="",R$4,IF(S245="",S$4,IF(T245="",T$4,IF(U245="",U$4,"All done")))))))))</f>
        <v/>
      </c>
      <c r="M245" s="33">
        <f>IF(OR($L245="",$L245="All done"),"",($F245-(40-VALUE(LEFT($L245,2)))*7))</f>
        <v/>
      </c>
      <c r="N245" s="31" t="n"/>
      <c r="O245" s="31" t="n"/>
      <c r="P245" s="31" t="n"/>
      <c r="Q245" s="31" t="n"/>
      <c r="R245" s="31" t="n"/>
      <c r="S245" s="31" t="n"/>
      <c r="T245" s="31" t="n"/>
      <c r="U245" s="31" t="n"/>
      <c r="V245" s="31" t="n"/>
      <c r="W245" s="31" t="n"/>
      <c r="X245" s="31" t="n"/>
      <c r="Y245" s="31" t="n"/>
      <c r="Z245" s="31" t="n"/>
      <c r="AA245" s="34" t="n"/>
      <c r="AB245" s="29" t="n"/>
      <c r="AC245" s="31" t="n"/>
    </row>
    <row r="246">
      <c r="A246" s="29" t="n"/>
      <c r="B246" s="30" t="n"/>
      <c r="C246" s="31" t="n"/>
      <c r="D246" s="29" t="n"/>
      <c r="E246" s="29" t="n"/>
      <c r="F246" s="31" t="n"/>
      <c r="G246" s="31" t="n"/>
      <c r="H246" s="29" t="n"/>
      <c r="I246" s="32">
        <f>IF(OR(NOT(AND($A246&lt;&gt;"",OR($H246="",$H246="Active"))),$F246=""),"",INT((TODAY()-$F246+280)/7)&amp;"+"&amp;MOD(TODAY()-$F246+280,7))</f>
        <v/>
      </c>
      <c r="J246" s="32">
        <f>IF(NOT(AND($A246&lt;&gt;"",OR($H246="",$H246="Active"))),"",IF($F246="",0,SUMPRODUCT(($N246:$U246="")*(($F246-(40-VALUE(LEFT($N$4:$U$4,2)))*7)&lt;TODAY())))+COUNTIF($N246:$U246,"DNA")+COUNTIF($V246:$Z246,"&lt;"&amp;TODAY()))</f>
        <v/>
      </c>
      <c r="K246" s="32">
        <f>IF(NOT(AND($A246&lt;&gt;"",OR($H246="",$H246="Active"))),"",IF($F246="",0,SUMPRODUCT(($N246:$U246="")*(($F246-(40-VALUE(LEFT($N$4:$U$4,2)))*7)&gt;=TODAY())*(($F246-(40-VALUE(LEFT($N$4:$U$4,2)))*7)&lt;=TODAY()+7)))+COUNTIFS($V246:$Z246,"&gt;="&amp;TODAY(),$V246:$Z246,"&lt;="&amp;TODAY()+7))</f>
        <v/>
      </c>
      <c r="L246" s="32">
        <f>IF(OR(NOT(AND($A246&lt;&gt;"",OR($H246="",$H246="Active"))),$F246=""),"",IF(N246="",N$4,IF(O246="",O$4,IF(P246="",P$4,IF(Q246="",Q$4,IF(R246="",R$4,IF(S246="",S$4,IF(T246="",T$4,IF(U246="",U$4,"All done")))))))))</f>
        <v/>
      </c>
      <c r="M246" s="33">
        <f>IF(OR($L246="",$L246="All done"),"",($F246-(40-VALUE(LEFT($L246,2)))*7))</f>
        <v/>
      </c>
      <c r="N246" s="31" t="n"/>
      <c r="O246" s="31" t="n"/>
      <c r="P246" s="31" t="n"/>
      <c r="Q246" s="31" t="n"/>
      <c r="R246" s="31" t="n"/>
      <c r="S246" s="31" t="n"/>
      <c r="T246" s="31" t="n"/>
      <c r="U246" s="31" t="n"/>
      <c r="V246" s="31" t="n"/>
      <c r="W246" s="31" t="n"/>
      <c r="X246" s="31" t="n"/>
      <c r="Y246" s="31" t="n"/>
      <c r="Z246" s="31" t="n"/>
      <c r="AA246" s="34" t="n"/>
      <c r="AB246" s="29" t="n"/>
      <c r="AC246" s="31" t="n"/>
    </row>
    <row r="247">
      <c r="A247" s="29" t="n"/>
      <c r="B247" s="30" t="n"/>
      <c r="C247" s="31" t="n"/>
      <c r="D247" s="29" t="n"/>
      <c r="E247" s="29" t="n"/>
      <c r="F247" s="31" t="n"/>
      <c r="G247" s="31" t="n"/>
      <c r="H247" s="29" t="n"/>
      <c r="I247" s="32">
        <f>IF(OR(NOT(AND($A247&lt;&gt;"",OR($H247="",$H247="Active"))),$F247=""),"",INT((TODAY()-$F247+280)/7)&amp;"+"&amp;MOD(TODAY()-$F247+280,7))</f>
        <v/>
      </c>
      <c r="J247" s="32">
        <f>IF(NOT(AND($A247&lt;&gt;"",OR($H247="",$H247="Active"))),"",IF($F247="",0,SUMPRODUCT(($N247:$U247="")*(($F247-(40-VALUE(LEFT($N$4:$U$4,2)))*7)&lt;TODAY())))+COUNTIF($N247:$U247,"DNA")+COUNTIF($V247:$Z247,"&lt;"&amp;TODAY()))</f>
        <v/>
      </c>
      <c r="K247" s="32">
        <f>IF(NOT(AND($A247&lt;&gt;"",OR($H247="",$H247="Active"))),"",IF($F247="",0,SUMPRODUCT(($N247:$U247="")*(($F247-(40-VALUE(LEFT($N$4:$U$4,2)))*7)&gt;=TODAY())*(($F247-(40-VALUE(LEFT($N$4:$U$4,2)))*7)&lt;=TODAY()+7)))+COUNTIFS($V247:$Z247,"&gt;="&amp;TODAY(),$V247:$Z247,"&lt;="&amp;TODAY()+7))</f>
        <v/>
      </c>
      <c r="L247" s="32">
        <f>IF(OR(NOT(AND($A247&lt;&gt;"",OR($H247="",$H247="Active"))),$F247=""),"",IF(N247="",N$4,IF(O247="",O$4,IF(P247="",P$4,IF(Q247="",Q$4,IF(R247="",R$4,IF(S247="",S$4,IF(T247="",T$4,IF(U247="",U$4,"All done")))))))))</f>
        <v/>
      </c>
      <c r="M247" s="33">
        <f>IF(OR($L247="",$L247="All done"),"",($F247-(40-VALUE(LEFT($L247,2)))*7))</f>
        <v/>
      </c>
      <c r="N247" s="31" t="n"/>
      <c r="O247" s="31" t="n"/>
      <c r="P247" s="31" t="n"/>
      <c r="Q247" s="31" t="n"/>
      <c r="R247" s="31" t="n"/>
      <c r="S247" s="31" t="n"/>
      <c r="T247" s="31" t="n"/>
      <c r="U247" s="31" t="n"/>
      <c r="V247" s="31" t="n"/>
      <c r="W247" s="31" t="n"/>
      <c r="X247" s="31" t="n"/>
      <c r="Y247" s="31" t="n"/>
      <c r="Z247" s="31" t="n"/>
      <c r="AA247" s="34" t="n"/>
      <c r="AB247" s="29" t="n"/>
      <c r="AC247" s="31" t="n"/>
    </row>
    <row r="248">
      <c r="A248" s="29" t="n"/>
      <c r="B248" s="30" t="n"/>
      <c r="C248" s="31" t="n"/>
      <c r="D248" s="29" t="n"/>
      <c r="E248" s="29" t="n"/>
      <c r="F248" s="31" t="n"/>
      <c r="G248" s="31" t="n"/>
      <c r="H248" s="29" t="n"/>
      <c r="I248" s="32">
        <f>IF(OR(NOT(AND($A248&lt;&gt;"",OR($H248="",$H248="Active"))),$F248=""),"",INT((TODAY()-$F248+280)/7)&amp;"+"&amp;MOD(TODAY()-$F248+280,7))</f>
        <v/>
      </c>
      <c r="J248" s="32">
        <f>IF(NOT(AND($A248&lt;&gt;"",OR($H248="",$H248="Active"))),"",IF($F248="",0,SUMPRODUCT(($N248:$U248="")*(($F248-(40-VALUE(LEFT($N$4:$U$4,2)))*7)&lt;TODAY())))+COUNTIF($N248:$U248,"DNA")+COUNTIF($V248:$Z248,"&lt;"&amp;TODAY()))</f>
        <v/>
      </c>
      <c r="K248" s="32">
        <f>IF(NOT(AND($A248&lt;&gt;"",OR($H248="",$H248="Active"))),"",IF($F248="",0,SUMPRODUCT(($N248:$U248="")*(($F248-(40-VALUE(LEFT($N$4:$U$4,2)))*7)&gt;=TODAY())*(($F248-(40-VALUE(LEFT($N$4:$U$4,2)))*7)&lt;=TODAY()+7)))+COUNTIFS($V248:$Z248,"&gt;="&amp;TODAY(),$V248:$Z248,"&lt;="&amp;TODAY()+7))</f>
        <v/>
      </c>
      <c r="L248" s="32">
        <f>IF(OR(NOT(AND($A248&lt;&gt;"",OR($H248="",$H248="Active"))),$F248=""),"",IF(N248="",N$4,IF(O248="",O$4,IF(P248="",P$4,IF(Q248="",Q$4,IF(R248="",R$4,IF(S248="",S$4,IF(T248="",T$4,IF(U248="",U$4,"All done")))))))))</f>
        <v/>
      </c>
      <c r="M248" s="33">
        <f>IF(OR($L248="",$L248="All done"),"",($F248-(40-VALUE(LEFT($L248,2)))*7))</f>
        <v/>
      </c>
      <c r="N248" s="31" t="n"/>
      <c r="O248" s="31" t="n"/>
      <c r="P248" s="31" t="n"/>
      <c r="Q248" s="31" t="n"/>
      <c r="R248" s="31" t="n"/>
      <c r="S248" s="31" t="n"/>
      <c r="T248" s="31" t="n"/>
      <c r="U248" s="31" t="n"/>
      <c r="V248" s="31" t="n"/>
      <c r="W248" s="31" t="n"/>
      <c r="X248" s="31" t="n"/>
      <c r="Y248" s="31" t="n"/>
      <c r="Z248" s="31" t="n"/>
      <c r="AA248" s="34" t="n"/>
      <c r="AB248" s="29" t="n"/>
      <c r="AC248" s="31" t="n"/>
    </row>
    <row r="249">
      <c r="A249" s="29" t="n"/>
      <c r="B249" s="30" t="n"/>
      <c r="C249" s="31" t="n"/>
      <c r="D249" s="29" t="n"/>
      <c r="E249" s="29" t="n"/>
      <c r="F249" s="31" t="n"/>
      <c r="G249" s="31" t="n"/>
      <c r="H249" s="29" t="n"/>
      <c r="I249" s="32">
        <f>IF(OR(NOT(AND($A249&lt;&gt;"",OR($H249="",$H249="Active"))),$F249=""),"",INT((TODAY()-$F249+280)/7)&amp;"+"&amp;MOD(TODAY()-$F249+280,7))</f>
        <v/>
      </c>
      <c r="J249" s="32">
        <f>IF(NOT(AND($A249&lt;&gt;"",OR($H249="",$H249="Active"))),"",IF($F249="",0,SUMPRODUCT(($N249:$U249="")*(($F249-(40-VALUE(LEFT($N$4:$U$4,2)))*7)&lt;TODAY())))+COUNTIF($N249:$U249,"DNA")+COUNTIF($V249:$Z249,"&lt;"&amp;TODAY()))</f>
        <v/>
      </c>
      <c r="K249" s="32">
        <f>IF(NOT(AND($A249&lt;&gt;"",OR($H249="",$H249="Active"))),"",IF($F249="",0,SUMPRODUCT(($N249:$U249="")*(($F249-(40-VALUE(LEFT($N$4:$U$4,2)))*7)&gt;=TODAY())*(($F249-(40-VALUE(LEFT($N$4:$U$4,2)))*7)&lt;=TODAY()+7)))+COUNTIFS($V249:$Z249,"&gt;="&amp;TODAY(),$V249:$Z249,"&lt;="&amp;TODAY()+7))</f>
        <v/>
      </c>
      <c r="L249" s="32">
        <f>IF(OR(NOT(AND($A249&lt;&gt;"",OR($H249="",$H249="Active"))),$F249=""),"",IF(N249="",N$4,IF(O249="",O$4,IF(P249="",P$4,IF(Q249="",Q$4,IF(R249="",R$4,IF(S249="",S$4,IF(T249="",T$4,IF(U249="",U$4,"All done")))))))))</f>
        <v/>
      </c>
      <c r="M249" s="33">
        <f>IF(OR($L249="",$L249="All done"),"",($F249-(40-VALUE(LEFT($L249,2)))*7))</f>
        <v/>
      </c>
      <c r="N249" s="31" t="n"/>
      <c r="O249" s="31" t="n"/>
      <c r="P249" s="31" t="n"/>
      <c r="Q249" s="31" t="n"/>
      <c r="R249" s="31" t="n"/>
      <c r="S249" s="31" t="n"/>
      <c r="T249" s="31" t="n"/>
      <c r="U249" s="31" t="n"/>
      <c r="V249" s="31" t="n"/>
      <c r="W249" s="31" t="n"/>
      <c r="X249" s="31" t="n"/>
      <c r="Y249" s="31" t="n"/>
      <c r="Z249" s="31" t="n"/>
      <c r="AA249" s="34" t="n"/>
      <c r="AB249" s="29" t="n"/>
      <c r="AC249" s="31" t="n"/>
    </row>
    <row r="250">
      <c r="A250" s="29" t="n"/>
      <c r="B250" s="30" t="n"/>
      <c r="C250" s="31" t="n"/>
      <c r="D250" s="29" t="n"/>
      <c r="E250" s="29" t="n"/>
      <c r="F250" s="31" t="n"/>
      <c r="G250" s="31" t="n"/>
      <c r="H250" s="29" t="n"/>
      <c r="I250" s="32">
        <f>IF(OR(NOT(AND($A250&lt;&gt;"",OR($H250="",$H250="Active"))),$F250=""),"",INT((TODAY()-$F250+280)/7)&amp;"+"&amp;MOD(TODAY()-$F250+280,7))</f>
        <v/>
      </c>
      <c r="J250" s="32">
        <f>IF(NOT(AND($A250&lt;&gt;"",OR($H250="",$H250="Active"))),"",IF($F250="",0,SUMPRODUCT(($N250:$U250="")*(($F250-(40-VALUE(LEFT($N$4:$U$4,2)))*7)&lt;TODAY())))+COUNTIF($N250:$U250,"DNA")+COUNTIF($V250:$Z250,"&lt;"&amp;TODAY()))</f>
        <v/>
      </c>
      <c r="K250" s="32">
        <f>IF(NOT(AND($A250&lt;&gt;"",OR($H250="",$H250="Active"))),"",IF($F250="",0,SUMPRODUCT(($N250:$U250="")*(($F250-(40-VALUE(LEFT($N$4:$U$4,2)))*7)&gt;=TODAY())*(($F250-(40-VALUE(LEFT($N$4:$U$4,2)))*7)&lt;=TODAY()+7)))+COUNTIFS($V250:$Z250,"&gt;="&amp;TODAY(),$V250:$Z250,"&lt;="&amp;TODAY()+7))</f>
        <v/>
      </c>
      <c r="L250" s="32">
        <f>IF(OR(NOT(AND($A250&lt;&gt;"",OR($H250="",$H250="Active"))),$F250=""),"",IF(N250="",N$4,IF(O250="",O$4,IF(P250="",P$4,IF(Q250="",Q$4,IF(R250="",R$4,IF(S250="",S$4,IF(T250="",T$4,IF(U250="",U$4,"All done")))))))))</f>
        <v/>
      </c>
      <c r="M250" s="33">
        <f>IF(OR($L250="",$L250="All done"),"",($F250-(40-VALUE(LEFT($L250,2)))*7))</f>
        <v/>
      </c>
      <c r="N250" s="31" t="n"/>
      <c r="O250" s="31" t="n"/>
      <c r="P250" s="31" t="n"/>
      <c r="Q250" s="31" t="n"/>
      <c r="R250" s="31" t="n"/>
      <c r="S250" s="31" t="n"/>
      <c r="T250" s="31" t="n"/>
      <c r="U250" s="31" t="n"/>
      <c r="V250" s="31" t="n"/>
      <c r="W250" s="31" t="n"/>
      <c r="X250" s="31" t="n"/>
      <c r="Y250" s="31" t="n"/>
      <c r="Z250" s="31" t="n"/>
      <c r="AA250" s="34" t="n"/>
      <c r="AB250" s="29" t="n"/>
      <c r="AC250" s="31" t="n"/>
    </row>
    <row r="251">
      <c r="A251" s="29" t="n"/>
      <c r="B251" s="30" t="n"/>
      <c r="C251" s="31" t="n"/>
      <c r="D251" s="29" t="n"/>
      <c r="E251" s="29" t="n"/>
      <c r="F251" s="31" t="n"/>
      <c r="G251" s="31" t="n"/>
      <c r="H251" s="29" t="n"/>
      <c r="I251" s="32">
        <f>IF(OR(NOT(AND($A251&lt;&gt;"",OR($H251="",$H251="Active"))),$F251=""),"",INT((TODAY()-$F251+280)/7)&amp;"+"&amp;MOD(TODAY()-$F251+280,7))</f>
        <v/>
      </c>
      <c r="J251" s="32">
        <f>IF(NOT(AND($A251&lt;&gt;"",OR($H251="",$H251="Active"))),"",IF($F251="",0,SUMPRODUCT(($N251:$U251="")*(($F251-(40-VALUE(LEFT($N$4:$U$4,2)))*7)&lt;TODAY())))+COUNTIF($N251:$U251,"DNA")+COUNTIF($V251:$Z251,"&lt;"&amp;TODAY()))</f>
        <v/>
      </c>
      <c r="K251" s="32">
        <f>IF(NOT(AND($A251&lt;&gt;"",OR($H251="",$H251="Active"))),"",IF($F251="",0,SUMPRODUCT(($N251:$U251="")*(($F251-(40-VALUE(LEFT($N$4:$U$4,2)))*7)&gt;=TODAY())*(($F251-(40-VALUE(LEFT($N$4:$U$4,2)))*7)&lt;=TODAY()+7)))+COUNTIFS($V251:$Z251,"&gt;="&amp;TODAY(),$V251:$Z251,"&lt;="&amp;TODAY()+7))</f>
        <v/>
      </c>
      <c r="L251" s="32">
        <f>IF(OR(NOT(AND($A251&lt;&gt;"",OR($H251="",$H251="Active"))),$F251=""),"",IF(N251="",N$4,IF(O251="",O$4,IF(P251="",P$4,IF(Q251="",Q$4,IF(R251="",R$4,IF(S251="",S$4,IF(T251="",T$4,IF(U251="",U$4,"All done")))))))))</f>
        <v/>
      </c>
      <c r="M251" s="33">
        <f>IF(OR($L251="",$L251="All done"),"",($F251-(40-VALUE(LEFT($L251,2)))*7))</f>
        <v/>
      </c>
      <c r="N251" s="31" t="n"/>
      <c r="O251" s="31" t="n"/>
      <c r="P251" s="31" t="n"/>
      <c r="Q251" s="31" t="n"/>
      <c r="R251" s="31" t="n"/>
      <c r="S251" s="31" t="n"/>
      <c r="T251" s="31" t="n"/>
      <c r="U251" s="31" t="n"/>
      <c r="V251" s="31" t="n"/>
      <c r="W251" s="31" t="n"/>
      <c r="X251" s="31" t="n"/>
      <c r="Y251" s="31" t="n"/>
      <c r="Z251" s="31" t="n"/>
      <c r="AA251" s="34" t="n"/>
      <c r="AB251" s="29" t="n"/>
      <c r="AC251" s="31" t="n"/>
    </row>
    <row r="252">
      <c r="A252" s="29" t="n"/>
      <c r="B252" s="30" t="n"/>
      <c r="C252" s="31" t="n"/>
      <c r="D252" s="29" t="n"/>
      <c r="E252" s="29" t="n"/>
      <c r="F252" s="31" t="n"/>
      <c r="G252" s="31" t="n"/>
      <c r="H252" s="29" t="n"/>
      <c r="I252" s="32">
        <f>IF(OR(NOT(AND($A252&lt;&gt;"",OR($H252="",$H252="Active"))),$F252=""),"",INT((TODAY()-$F252+280)/7)&amp;"+"&amp;MOD(TODAY()-$F252+280,7))</f>
        <v/>
      </c>
      <c r="J252" s="32">
        <f>IF(NOT(AND($A252&lt;&gt;"",OR($H252="",$H252="Active"))),"",IF($F252="",0,SUMPRODUCT(($N252:$U252="")*(($F252-(40-VALUE(LEFT($N$4:$U$4,2)))*7)&lt;TODAY())))+COUNTIF($N252:$U252,"DNA")+COUNTIF($V252:$Z252,"&lt;"&amp;TODAY()))</f>
        <v/>
      </c>
      <c r="K252" s="32">
        <f>IF(NOT(AND($A252&lt;&gt;"",OR($H252="",$H252="Active"))),"",IF($F252="",0,SUMPRODUCT(($N252:$U252="")*(($F252-(40-VALUE(LEFT($N$4:$U$4,2)))*7)&gt;=TODAY())*(($F252-(40-VALUE(LEFT($N$4:$U$4,2)))*7)&lt;=TODAY()+7)))+COUNTIFS($V252:$Z252,"&gt;="&amp;TODAY(),$V252:$Z252,"&lt;="&amp;TODAY()+7))</f>
        <v/>
      </c>
      <c r="L252" s="32">
        <f>IF(OR(NOT(AND($A252&lt;&gt;"",OR($H252="",$H252="Active"))),$F252=""),"",IF(N252="",N$4,IF(O252="",O$4,IF(P252="",P$4,IF(Q252="",Q$4,IF(R252="",R$4,IF(S252="",S$4,IF(T252="",T$4,IF(U252="",U$4,"All done")))))))))</f>
        <v/>
      </c>
      <c r="M252" s="33">
        <f>IF(OR($L252="",$L252="All done"),"",($F252-(40-VALUE(LEFT($L252,2)))*7))</f>
        <v/>
      </c>
      <c r="N252" s="31" t="n"/>
      <c r="O252" s="31" t="n"/>
      <c r="P252" s="31" t="n"/>
      <c r="Q252" s="31" t="n"/>
      <c r="R252" s="31" t="n"/>
      <c r="S252" s="31" t="n"/>
      <c r="T252" s="31" t="n"/>
      <c r="U252" s="31" t="n"/>
      <c r="V252" s="31" t="n"/>
      <c r="W252" s="31" t="n"/>
      <c r="X252" s="31" t="n"/>
      <c r="Y252" s="31" t="n"/>
      <c r="Z252" s="31" t="n"/>
      <c r="AA252" s="34" t="n"/>
      <c r="AB252" s="29" t="n"/>
      <c r="AC252" s="31" t="n"/>
    </row>
    <row r="253">
      <c r="A253" s="29" t="n"/>
      <c r="B253" s="30" t="n"/>
      <c r="C253" s="31" t="n"/>
      <c r="D253" s="29" t="n"/>
      <c r="E253" s="29" t="n"/>
      <c r="F253" s="31" t="n"/>
      <c r="G253" s="31" t="n"/>
      <c r="H253" s="29" t="n"/>
      <c r="I253" s="32">
        <f>IF(OR(NOT(AND($A253&lt;&gt;"",OR($H253="",$H253="Active"))),$F253=""),"",INT((TODAY()-$F253+280)/7)&amp;"+"&amp;MOD(TODAY()-$F253+280,7))</f>
        <v/>
      </c>
      <c r="J253" s="32">
        <f>IF(NOT(AND($A253&lt;&gt;"",OR($H253="",$H253="Active"))),"",IF($F253="",0,SUMPRODUCT(($N253:$U253="")*(($F253-(40-VALUE(LEFT($N$4:$U$4,2)))*7)&lt;TODAY())))+COUNTIF($N253:$U253,"DNA")+COUNTIF($V253:$Z253,"&lt;"&amp;TODAY()))</f>
        <v/>
      </c>
      <c r="K253" s="32">
        <f>IF(NOT(AND($A253&lt;&gt;"",OR($H253="",$H253="Active"))),"",IF($F253="",0,SUMPRODUCT(($N253:$U253="")*(($F253-(40-VALUE(LEFT($N$4:$U$4,2)))*7)&gt;=TODAY())*(($F253-(40-VALUE(LEFT($N$4:$U$4,2)))*7)&lt;=TODAY()+7)))+COUNTIFS($V253:$Z253,"&gt;="&amp;TODAY(),$V253:$Z253,"&lt;="&amp;TODAY()+7))</f>
        <v/>
      </c>
      <c r="L253" s="32">
        <f>IF(OR(NOT(AND($A253&lt;&gt;"",OR($H253="",$H253="Active"))),$F253=""),"",IF(N253="",N$4,IF(O253="",O$4,IF(P253="",P$4,IF(Q253="",Q$4,IF(R253="",R$4,IF(S253="",S$4,IF(T253="",T$4,IF(U253="",U$4,"All done")))))))))</f>
        <v/>
      </c>
      <c r="M253" s="33">
        <f>IF(OR($L253="",$L253="All done"),"",($F253-(40-VALUE(LEFT($L253,2)))*7))</f>
        <v/>
      </c>
      <c r="N253" s="31" t="n"/>
      <c r="O253" s="31" t="n"/>
      <c r="P253" s="31" t="n"/>
      <c r="Q253" s="31" t="n"/>
      <c r="R253" s="31" t="n"/>
      <c r="S253" s="31" t="n"/>
      <c r="T253" s="31" t="n"/>
      <c r="U253" s="31" t="n"/>
      <c r="V253" s="31" t="n"/>
      <c r="W253" s="31" t="n"/>
      <c r="X253" s="31" t="n"/>
      <c r="Y253" s="31" t="n"/>
      <c r="Z253" s="31" t="n"/>
      <c r="AA253" s="34" t="n"/>
      <c r="AB253" s="29" t="n"/>
      <c r="AC253" s="31" t="n"/>
    </row>
    <row r="254">
      <c r="A254" s="29" t="n"/>
      <c r="B254" s="30" t="n"/>
      <c r="C254" s="31" t="n"/>
      <c r="D254" s="29" t="n"/>
      <c r="E254" s="29" t="n"/>
      <c r="F254" s="31" t="n"/>
      <c r="G254" s="31" t="n"/>
      <c r="H254" s="29" t="n"/>
      <c r="I254" s="32">
        <f>IF(OR(NOT(AND($A254&lt;&gt;"",OR($H254="",$H254="Active"))),$F254=""),"",INT((TODAY()-$F254+280)/7)&amp;"+"&amp;MOD(TODAY()-$F254+280,7))</f>
        <v/>
      </c>
      <c r="J254" s="32">
        <f>IF(NOT(AND($A254&lt;&gt;"",OR($H254="",$H254="Active"))),"",IF($F254="",0,SUMPRODUCT(($N254:$U254="")*(($F254-(40-VALUE(LEFT($N$4:$U$4,2)))*7)&lt;TODAY())))+COUNTIF($N254:$U254,"DNA")+COUNTIF($V254:$Z254,"&lt;"&amp;TODAY()))</f>
        <v/>
      </c>
      <c r="K254" s="32">
        <f>IF(NOT(AND($A254&lt;&gt;"",OR($H254="",$H254="Active"))),"",IF($F254="",0,SUMPRODUCT(($N254:$U254="")*(($F254-(40-VALUE(LEFT($N$4:$U$4,2)))*7)&gt;=TODAY())*(($F254-(40-VALUE(LEFT($N$4:$U$4,2)))*7)&lt;=TODAY()+7)))+COUNTIFS($V254:$Z254,"&gt;="&amp;TODAY(),$V254:$Z254,"&lt;="&amp;TODAY()+7))</f>
        <v/>
      </c>
      <c r="L254" s="32">
        <f>IF(OR(NOT(AND($A254&lt;&gt;"",OR($H254="",$H254="Active"))),$F254=""),"",IF(N254="",N$4,IF(O254="",O$4,IF(P254="",P$4,IF(Q254="",Q$4,IF(R254="",R$4,IF(S254="",S$4,IF(T254="",T$4,IF(U254="",U$4,"All done")))))))))</f>
        <v/>
      </c>
      <c r="M254" s="33">
        <f>IF(OR($L254="",$L254="All done"),"",($F254-(40-VALUE(LEFT($L254,2)))*7))</f>
        <v/>
      </c>
      <c r="N254" s="31" t="n"/>
      <c r="O254" s="31" t="n"/>
      <c r="P254" s="31" t="n"/>
      <c r="Q254" s="31" t="n"/>
      <c r="R254" s="31" t="n"/>
      <c r="S254" s="31" t="n"/>
      <c r="T254" s="31" t="n"/>
      <c r="U254" s="31" t="n"/>
      <c r="V254" s="31" t="n"/>
      <c r="W254" s="31" t="n"/>
      <c r="X254" s="31" t="n"/>
      <c r="Y254" s="31" t="n"/>
      <c r="Z254" s="31" t="n"/>
      <c r="AA254" s="34" t="n"/>
      <c r="AB254" s="29" t="n"/>
      <c r="AC254" s="31" t="n"/>
    </row>
    <row r="255">
      <c r="A255" s="29" t="n"/>
      <c r="B255" s="30" t="n"/>
      <c r="C255" s="31" t="n"/>
      <c r="D255" s="29" t="n"/>
      <c r="E255" s="29" t="n"/>
      <c r="F255" s="31" t="n"/>
      <c r="G255" s="31" t="n"/>
      <c r="H255" s="29" t="n"/>
      <c r="I255" s="32">
        <f>IF(OR(NOT(AND($A255&lt;&gt;"",OR($H255="",$H255="Active"))),$F255=""),"",INT((TODAY()-$F255+280)/7)&amp;"+"&amp;MOD(TODAY()-$F255+280,7))</f>
        <v/>
      </c>
      <c r="J255" s="32">
        <f>IF(NOT(AND($A255&lt;&gt;"",OR($H255="",$H255="Active"))),"",IF($F255="",0,SUMPRODUCT(($N255:$U255="")*(($F255-(40-VALUE(LEFT($N$4:$U$4,2)))*7)&lt;TODAY())))+COUNTIF($N255:$U255,"DNA")+COUNTIF($V255:$Z255,"&lt;"&amp;TODAY()))</f>
        <v/>
      </c>
      <c r="K255" s="32">
        <f>IF(NOT(AND($A255&lt;&gt;"",OR($H255="",$H255="Active"))),"",IF($F255="",0,SUMPRODUCT(($N255:$U255="")*(($F255-(40-VALUE(LEFT($N$4:$U$4,2)))*7)&gt;=TODAY())*(($F255-(40-VALUE(LEFT($N$4:$U$4,2)))*7)&lt;=TODAY()+7)))+COUNTIFS($V255:$Z255,"&gt;="&amp;TODAY(),$V255:$Z255,"&lt;="&amp;TODAY()+7))</f>
        <v/>
      </c>
      <c r="L255" s="32">
        <f>IF(OR(NOT(AND($A255&lt;&gt;"",OR($H255="",$H255="Active"))),$F255=""),"",IF(N255="",N$4,IF(O255="",O$4,IF(P255="",P$4,IF(Q255="",Q$4,IF(R255="",R$4,IF(S255="",S$4,IF(T255="",T$4,IF(U255="",U$4,"All done")))))))))</f>
        <v/>
      </c>
      <c r="M255" s="33">
        <f>IF(OR($L255="",$L255="All done"),"",($F255-(40-VALUE(LEFT($L255,2)))*7))</f>
        <v/>
      </c>
      <c r="N255" s="31" t="n"/>
      <c r="O255" s="31" t="n"/>
      <c r="P255" s="31" t="n"/>
      <c r="Q255" s="31" t="n"/>
      <c r="R255" s="31" t="n"/>
      <c r="S255" s="31" t="n"/>
      <c r="T255" s="31" t="n"/>
      <c r="U255" s="31" t="n"/>
      <c r="V255" s="31" t="n"/>
      <c r="W255" s="31" t="n"/>
      <c r="X255" s="31" t="n"/>
      <c r="Y255" s="31" t="n"/>
      <c r="Z255" s="31" t="n"/>
      <c r="AA255" s="34" t="n"/>
      <c r="AB255" s="29" t="n"/>
      <c r="AC255" s="31" t="n"/>
    </row>
    <row r="256">
      <c r="A256" s="29" t="n"/>
      <c r="B256" s="30" t="n"/>
      <c r="C256" s="31" t="n"/>
      <c r="D256" s="29" t="n"/>
      <c r="E256" s="29" t="n"/>
      <c r="F256" s="31" t="n"/>
      <c r="G256" s="31" t="n"/>
      <c r="H256" s="29" t="n"/>
      <c r="I256" s="32">
        <f>IF(OR(NOT(AND($A256&lt;&gt;"",OR($H256="",$H256="Active"))),$F256=""),"",INT((TODAY()-$F256+280)/7)&amp;"+"&amp;MOD(TODAY()-$F256+280,7))</f>
        <v/>
      </c>
      <c r="J256" s="32">
        <f>IF(NOT(AND($A256&lt;&gt;"",OR($H256="",$H256="Active"))),"",IF($F256="",0,SUMPRODUCT(($N256:$U256="")*(($F256-(40-VALUE(LEFT($N$4:$U$4,2)))*7)&lt;TODAY())))+COUNTIF($N256:$U256,"DNA")+COUNTIF($V256:$Z256,"&lt;"&amp;TODAY()))</f>
        <v/>
      </c>
      <c r="K256" s="32">
        <f>IF(NOT(AND($A256&lt;&gt;"",OR($H256="",$H256="Active"))),"",IF($F256="",0,SUMPRODUCT(($N256:$U256="")*(($F256-(40-VALUE(LEFT($N$4:$U$4,2)))*7)&gt;=TODAY())*(($F256-(40-VALUE(LEFT($N$4:$U$4,2)))*7)&lt;=TODAY()+7)))+COUNTIFS($V256:$Z256,"&gt;="&amp;TODAY(),$V256:$Z256,"&lt;="&amp;TODAY()+7))</f>
        <v/>
      </c>
      <c r="L256" s="32">
        <f>IF(OR(NOT(AND($A256&lt;&gt;"",OR($H256="",$H256="Active"))),$F256=""),"",IF(N256="",N$4,IF(O256="",O$4,IF(P256="",P$4,IF(Q256="",Q$4,IF(R256="",R$4,IF(S256="",S$4,IF(T256="",T$4,IF(U256="",U$4,"All done")))))))))</f>
        <v/>
      </c>
      <c r="M256" s="33">
        <f>IF(OR($L256="",$L256="All done"),"",($F256-(40-VALUE(LEFT($L256,2)))*7))</f>
        <v/>
      </c>
      <c r="N256" s="31" t="n"/>
      <c r="O256" s="31" t="n"/>
      <c r="P256" s="31" t="n"/>
      <c r="Q256" s="31" t="n"/>
      <c r="R256" s="31" t="n"/>
      <c r="S256" s="31" t="n"/>
      <c r="T256" s="31" t="n"/>
      <c r="U256" s="31" t="n"/>
      <c r="V256" s="31" t="n"/>
      <c r="W256" s="31" t="n"/>
      <c r="X256" s="31" t="n"/>
      <c r="Y256" s="31" t="n"/>
      <c r="Z256" s="31" t="n"/>
      <c r="AA256" s="34" t="n"/>
      <c r="AB256" s="29" t="n"/>
      <c r="AC256" s="31" t="n"/>
    </row>
    <row r="257">
      <c r="A257" s="29" t="n"/>
      <c r="B257" s="30" t="n"/>
      <c r="C257" s="31" t="n"/>
      <c r="D257" s="29" t="n"/>
      <c r="E257" s="29" t="n"/>
      <c r="F257" s="31" t="n"/>
      <c r="G257" s="31" t="n"/>
      <c r="H257" s="29" t="n"/>
      <c r="I257" s="32">
        <f>IF(OR(NOT(AND($A257&lt;&gt;"",OR($H257="",$H257="Active"))),$F257=""),"",INT((TODAY()-$F257+280)/7)&amp;"+"&amp;MOD(TODAY()-$F257+280,7))</f>
        <v/>
      </c>
      <c r="J257" s="32">
        <f>IF(NOT(AND($A257&lt;&gt;"",OR($H257="",$H257="Active"))),"",IF($F257="",0,SUMPRODUCT(($N257:$U257="")*(($F257-(40-VALUE(LEFT($N$4:$U$4,2)))*7)&lt;TODAY())))+COUNTIF($N257:$U257,"DNA")+COUNTIF($V257:$Z257,"&lt;"&amp;TODAY()))</f>
        <v/>
      </c>
      <c r="K257" s="32">
        <f>IF(NOT(AND($A257&lt;&gt;"",OR($H257="",$H257="Active"))),"",IF($F257="",0,SUMPRODUCT(($N257:$U257="")*(($F257-(40-VALUE(LEFT($N$4:$U$4,2)))*7)&gt;=TODAY())*(($F257-(40-VALUE(LEFT($N$4:$U$4,2)))*7)&lt;=TODAY()+7)))+COUNTIFS($V257:$Z257,"&gt;="&amp;TODAY(),$V257:$Z257,"&lt;="&amp;TODAY()+7))</f>
        <v/>
      </c>
      <c r="L257" s="32">
        <f>IF(OR(NOT(AND($A257&lt;&gt;"",OR($H257="",$H257="Active"))),$F257=""),"",IF(N257="",N$4,IF(O257="",O$4,IF(P257="",P$4,IF(Q257="",Q$4,IF(R257="",R$4,IF(S257="",S$4,IF(T257="",T$4,IF(U257="",U$4,"All done")))))))))</f>
        <v/>
      </c>
      <c r="M257" s="33">
        <f>IF(OR($L257="",$L257="All done"),"",($F257-(40-VALUE(LEFT($L257,2)))*7))</f>
        <v/>
      </c>
      <c r="N257" s="31" t="n"/>
      <c r="O257" s="31" t="n"/>
      <c r="P257" s="31" t="n"/>
      <c r="Q257" s="31" t="n"/>
      <c r="R257" s="31" t="n"/>
      <c r="S257" s="31" t="n"/>
      <c r="T257" s="31" t="n"/>
      <c r="U257" s="31" t="n"/>
      <c r="V257" s="31" t="n"/>
      <c r="W257" s="31" t="n"/>
      <c r="X257" s="31" t="n"/>
      <c r="Y257" s="31" t="n"/>
      <c r="Z257" s="31" t="n"/>
      <c r="AA257" s="34" t="n"/>
      <c r="AB257" s="29" t="n"/>
      <c r="AC257" s="31" t="n"/>
    </row>
    <row r="258">
      <c r="A258" s="29" t="n"/>
      <c r="B258" s="30" t="n"/>
      <c r="C258" s="31" t="n"/>
      <c r="D258" s="29" t="n"/>
      <c r="E258" s="29" t="n"/>
      <c r="F258" s="31" t="n"/>
      <c r="G258" s="31" t="n"/>
      <c r="H258" s="29" t="n"/>
      <c r="I258" s="32">
        <f>IF(OR(NOT(AND($A258&lt;&gt;"",OR($H258="",$H258="Active"))),$F258=""),"",INT((TODAY()-$F258+280)/7)&amp;"+"&amp;MOD(TODAY()-$F258+280,7))</f>
        <v/>
      </c>
      <c r="J258" s="32">
        <f>IF(NOT(AND($A258&lt;&gt;"",OR($H258="",$H258="Active"))),"",IF($F258="",0,SUMPRODUCT(($N258:$U258="")*(($F258-(40-VALUE(LEFT($N$4:$U$4,2)))*7)&lt;TODAY())))+COUNTIF($N258:$U258,"DNA")+COUNTIF($V258:$Z258,"&lt;"&amp;TODAY()))</f>
        <v/>
      </c>
      <c r="K258" s="32">
        <f>IF(NOT(AND($A258&lt;&gt;"",OR($H258="",$H258="Active"))),"",IF($F258="",0,SUMPRODUCT(($N258:$U258="")*(($F258-(40-VALUE(LEFT($N$4:$U$4,2)))*7)&gt;=TODAY())*(($F258-(40-VALUE(LEFT($N$4:$U$4,2)))*7)&lt;=TODAY()+7)))+COUNTIFS($V258:$Z258,"&gt;="&amp;TODAY(),$V258:$Z258,"&lt;="&amp;TODAY()+7))</f>
        <v/>
      </c>
      <c r="L258" s="32">
        <f>IF(OR(NOT(AND($A258&lt;&gt;"",OR($H258="",$H258="Active"))),$F258=""),"",IF(N258="",N$4,IF(O258="",O$4,IF(P258="",P$4,IF(Q258="",Q$4,IF(R258="",R$4,IF(S258="",S$4,IF(T258="",T$4,IF(U258="",U$4,"All done")))))))))</f>
        <v/>
      </c>
      <c r="M258" s="33">
        <f>IF(OR($L258="",$L258="All done"),"",($F258-(40-VALUE(LEFT($L258,2)))*7))</f>
        <v/>
      </c>
      <c r="N258" s="31" t="n"/>
      <c r="O258" s="31" t="n"/>
      <c r="P258" s="31" t="n"/>
      <c r="Q258" s="31" t="n"/>
      <c r="R258" s="31" t="n"/>
      <c r="S258" s="31" t="n"/>
      <c r="T258" s="31" t="n"/>
      <c r="U258" s="31" t="n"/>
      <c r="V258" s="31" t="n"/>
      <c r="W258" s="31" t="n"/>
      <c r="X258" s="31" t="n"/>
      <c r="Y258" s="31" t="n"/>
      <c r="Z258" s="31" t="n"/>
      <c r="AA258" s="34" t="n"/>
      <c r="AB258" s="29" t="n"/>
      <c r="AC258" s="31" t="n"/>
    </row>
    <row r="259">
      <c r="A259" s="29" t="n"/>
      <c r="B259" s="30" t="n"/>
      <c r="C259" s="31" t="n"/>
      <c r="D259" s="29" t="n"/>
      <c r="E259" s="29" t="n"/>
      <c r="F259" s="31" t="n"/>
      <c r="G259" s="31" t="n"/>
      <c r="H259" s="29" t="n"/>
      <c r="I259" s="32">
        <f>IF(OR(NOT(AND($A259&lt;&gt;"",OR($H259="",$H259="Active"))),$F259=""),"",INT((TODAY()-$F259+280)/7)&amp;"+"&amp;MOD(TODAY()-$F259+280,7))</f>
        <v/>
      </c>
      <c r="J259" s="32">
        <f>IF(NOT(AND($A259&lt;&gt;"",OR($H259="",$H259="Active"))),"",IF($F259="",0,SUMPRODUCT(($N259:$U259="")*(($F259-(40-VALUE(LEFT($N$4:$U$4,2)))*7)&lt;TODAY())))+COUNTIF($N259:$U259,"DNA")+COUNTIF($V259:$Z259,"&lt;"&amp;TODAY()))</f>
        <v/>
      </c>
      <c r="K259" s="32">
        <f>IF(NOT(AND($A259&lt;&gt;"",OR($H259="",$H259="Active"))),"",IF($F259="",0,SUMPRODUCT(($N259:$U259="")*(($F259-(40-VALUE(LEFT($N$4:$U$4,2)))*7)&gt;=TODAY())*(($F259-(40-VALUE(LEFT($N$4:$U$4,2)))*7)&lt;=TODAY()+7)))+COUNTIFS($V259:$Z259,"&gt;="&amp;TODAY(),$V259:$Z259,"&lt;="&amp;TODAY()+7))</f>
        <v/>
      </c>
      <c r="L259" s="32">
        <f>IF(OR(NOT(AND($A259&lt;&gt;"",OR($H259="",$H259="Active"))),$F259=""),"",IF(N259="",N$4,IF(O259="",O$4,IF(P259="",P$4,IF(Q259="",Q$4,IF(R259="",R$4,IF(S259="",S$4,IF(T259="",T$4,IF(U259="",U$4,"All done")))))))))</f>
        <v/>
      </c>
      <c r="M259" s="33">
        <f>IF(OR($L259="",$L259="All done"),"",($F259-(40-VALUE(LEFT($L259,2)))*7))</f>
        <v/>
      </c>
      <c r="N259" s="31" t="n"/>
      <c r="O259" s="31" t="n"/>
      <c r="P259" s="31" t="n"/>
      <c r="Q259" s="31" t="n"/>
      <c r="R259" s="31" t="n"/>
      <c r="S259" s="31" t="n"/>
      <c r="T259" s="31" t="n"/>
      <c r="U259" s="31" t="n"/>
      <c r="V259" s="31" t="n"/>
      <c r="W259" s="31" t="n"/>
      <c r="X259" s="31" t="n"/>
      <c r="Y259" s="31" t="n"/>
      <c r="Z259" s="31" t="n"/>
      <c r="AA259" s="34" t="n"/>
      <c r="AB259" s="29" t="n"/>
      <c r="AC259" s="31" t="n"/>
    </row>
    <row r="260">
      <c r="A260" s="29" t="n"/>
      <c r="B260" s="30" t="n"/>
      <c r="C260" s="31" t="n"/>
      <c r="D260" s="29" t="n"/>
      <c r="E260" s="29" t="n"/>
      <c r="F260" s="31" t="n"/>
      <c r="G260" s="31" t="n"/>
      <c r="H260" s="29" t="n"/>
      <c r="I260" s="32">
        <f>IF(OR(NOT(AND($A260&lt;&gt;"",OR($H260="",$H260="Active"))),$F260=""),"",INT((TODAY()-$F260+280)/7)&amp;"+"&amp;MOD(TODAY()-$F260+280,7))</f>
        <v/>
      </c>
      <c r="J260" s="32">
        <f>IF(NOT(AND($A260&lt;&gt;"",OR($H260="",$H260="Active"))),"",IF($F260="",0,SUMPRODUCT(($N260:$U260="")*(($F260-(40-VALUE(LEFT($N$4:$U$4,2)))*7)&lt;TODAY())))+COUNTIF($N260:$U260,"DNA")+COUNTIF($V260:$Z260,"&lt;"&amp;TODAY()))</f>
        <v/>
      </c>
      <c r="K260" s="32">
        <f>IF(NOT(AND($A260&lt;&gt;"",OR($H260="",$H260="Active"))),"",IF($F260="",0,SUMPRODUCT(($N260:$U260="")*(($F260-(40-VALUE(LEFT($N$4:$U$4,2)))*7)&gt;=TODAY())*(($F260-(40-VALUE(LEFT($N$4:$U$4,2)))*7)&lt;=TODAY()+7)))+COUNTIFS($V260:$Z260,"&gt;="&amp;TODAY(),$V260:$Z260,"&lt;="&amp;TODAY()+7))</f>
        <v/>
      </c>
      <c r="L260" s="32">
        <f>IF(OR(NOT(AND($A260&lt;&gt;"",OR($H260="",$H260="Active"))),$F260=""),"",IF(N260="",N$4,IF(O260="",O$4,IF(P260="",P$4,IF(Q260="",Q$4,IF(R260="",R$4,IF(S260="",S$4,IF(T260="",T$4,IF(U260="",U$4,"All done")))))))))</f>
        <v/>
      </c>
      <c r="M260" s="33">
        <f>IF(OR($L260="",$L260="All done"),"",($F260-(40-VALUE(LEFT($L260,2)))*7))</f>
        <v/>
      </c>
      <c r="N260" s="31" t="n"/>
      <c r="O260" s="31" t="n"/>
      <c r="P260" s="31" t="n"/>
      <c r="Q260" s="31" t="n"/>
      <c r="R260" s="31" t="n"/>
      <c r="S260" s="31" t="n"/>
      <c r="T260" s="31" t="n"/>
      <c r="U260" s="31" t="n"/>
      <c r="V260" s="31" t="n"/>
      <c r="W260" s="31" t="n"/>
      <c r="X260" s="31" t="n"/>
      <c r="Y260" s="31" t="n"/>
      <c r="Z260" s="31" t="n"/>
      <c r="AA260" s="34" t="n"/>
      <c r="AB260" s="29" t="n"/>
      <c r="AC260" s="31" t="n"/>
    </row>
    <row r="261">
      <c r="A261" s="29" t="n"/>
      <c r="B261" s="30" t="n"/>
      <c r="C261" s="31" t="n"/>
      <c r="D261" s="29" t="n"/>
      <c r="E261" s="29" t="n"/>
      <c r="F261" s="31" t="n"/>
      <c r="G261" s="31" t="n"/>
      <c r="H261" s="29" t="n"/>
      <c r="I261" s="32">
        <f>IF(OR(NOT(AND($A261&lt;&gt;"",OR($H261="",$H261="Active"))),$F261=""),"",INT((TODAY()-$F261+280)/7)&amp;"+"&amp;MOD(TODAY()-$F261+280,7))</f>
        <v/>
      </c>
      <c r="J261" s="32">
        <f>IF(NOT(AND($A261&lt;&gt;"",OR($H261="",$H261="Active"))),"",IF($F261="",0,SUMPRODUCT(($N261:$U261="")*(($F261-(40-VALUE(LEFT($N$4:$U$4,2)))*7)&lt;TODAY())))+COUNTIF($N261:$U261,"DNA")+COUNTIF($V261:$Z261,"&lt;"&amp;TODAY()))</f>
        <v/>
      </c>
      <c r="K261" s="32">
        <f>IF(NOT(AND($A261&lt;&gt;"",OR($H261="",$H261="Active"))),"",IF($F261="",0,SUMPRODUCT(($N261:$U261="")*(($F261-(40-VALUE(LEFT($N$4:$U$4,2)))*7)&gt;=TODAY())*(($F261-(40-VALUE(LEFT($N$4:$U$4,2)))*7)&lt;=TODAY()+7)))+COUNTIFS($V261:$Z261,"&gt;="&amp;TODAY(),$V261:$Z261,"&lt;="&amp;TODAY()+7))</f>
        <v/>
      </c>
      <c r="L261" s="32">
        <f>IF(OR(NOT(AND($A261&lt;&gt;"",OR($H261="",$H261="Active"))),$F261=""),"",IF(N261="",N$4,IF(O261="",O$4,IF(P261="",P$4,IF(Q261="",Q$4,IF(R261="",R$4,IF(S261="",S$4,IF(T261="",T$4,IF(U261="",U$4,"All done")))))))))</f>
        <v/>
      </c>
      <c r="M261" s="33">
        <f>IF(OR($L261="",$L261="All done"),"",($F261-(40-VALUE(LEFT($L261,2)))*7))</f>
        <v/>
      </c>
      <c r="N261" s="31" t="n"/>
      <c r="O261" s="31" t="n"/>
      <c r="P261" s="31" t="n"/>
      <c r="Q261" s="31" t="n"/>
      <c r="R261" s="31" t="n"/>
      <c r="S261" s="31" t="n"/>
      <c r="T261" s="31" t="n"/>
      <c r="U261" s="31" t="n"/>
      <c r="V261" s="31" t="n"/>
      <c r="W261" s="31" t="n"/>
      <c r="X261" s="31" t="n"/>
      <c r="Y261" s="31" t="n"/>
      <c r="Z261" s="31" t="n"/>
      <c r="AA261" s="34" t="n"/>
      <c r="AB261" s="29" t="n"/>
      <c r="AC261" s="31" t="n"/>
    </row>
    <row r="262">
      <c r="A262" s="29" t="n"/>
      <c r="B262" s="30" t="n"/>
      <c r="C262" s="31" t="n"/>
      <c r="D262" s="29" t="n"/>
      <c r="E262" s="29" t="n"/>
      <c r="F262" s="31" t="n"/>
      <c r="G262" s="31" t="n"/>
      <c r="H262" s="29" t="n"/>
      <c r="I262" s="32">
        <f>IF(OR(NOT(AND($A262&lt;&gt;"",OR($H262="",$H262="Active"))),$F262=""),"",INT((TODAY()-$F262+280)/7)&amp;"+"&amp;MOD(TODAY()-$F262+280,7))</f>
        <v/>
      </c>
      <c r="J262" s="32">
        <f>IF(NOT(AND($A262&lt;&gt;"",OR($H262="",$H262="Active"))),"",IF($F262="",0,SUMPRODUCT(($N262:$U262="")*(($F262-(40-VALUE(LEFT($N$4:$U$4,2)))*7)&lt;TODAY())))+COUNTIF($N262:$U262,"DNA")+COUNTIF($V262:$Z262,"&lt;"&amp;TODAY()))</f>
        <v/>
      </c>
      <c r="K262" s="32">
        <f>IF(NOT(AND($A262&lt;&gt;"",OR($H262="",$H262="Active"))),"",IF($F262="",0,SUMPRODUCT(($N262:$U262="")*(($F262-(40-VALUE(LEFT($N$4:$U$4,2)))*7)&gt;=TODAY())*(($F262-(40-VALUE(LEFT($N$4:$U$4,2)))*7)&lt;=TODAY()+7)))+COUNTIFS($V262:$Z262,"&gt;="&amp;TODAY(),$V262:$Z262,"&lt;="&amp;TODAY()+7))</f>
        <v/>
      </c>
      <c r="L262" s="32">
        <f>IF(OR(NOT(AND($A262&lt;&gt;"",OR($H262="",$H262="Active"))),$F262=""),"",IF(N262="",N$4,IF(O262="",O$4,IF(P262="",P$4,IF(Q262="",Q$4,IF(R262="",R$4,IF(S262="",S$4,IF(T262="",T$4,IF(U262="",U$4,"All done")))))))))</f>
        <v/>
      </c>
      <c r="M262" s="33">
        <f>IF(OR($L262="",$L262="All done"),"",($F262-(40-VALUE(LEFT($L262,2)))*7))</f>
        <v/>
      </c>
      <c r="N262" s="31" t="n"/>
      <c r="O262" s="31" t="n"/>
      <c r="P262" s="31" t="n"/>
      <c r="Q262" s="31" t="n"/>
      <c r="R262" s="31" t="n"/>
      <c r="S262" s="31" t="n"/>
      <c r="T262" s="31" t="n"/>
      <c r="U262" s="31" t="n"/>
      <c r="V262" s="31" t="n"/>
      <c r="W262" s="31" t="n"/>
      <c r="X262" s="31" t="n"/>
      <c r="Y262" s="31" t="n"/>
      <c r="Z262" s="31" t="n"/>
      <c r="AA262" s="34" t="n"/>
      <c r="AB262" s="29" t="n"/>
      <c r="AC262" s="31" t="n"/>
    </row>
    <row r="263">
      <c r="A263" s="29" t="n"/>
      <c r="B263" s="30" t="n"/>
      <c r="C263" s="31" t="n"/>
      <c r="D263" s="29" t="n"/>
      <c r="E263" s="29" t="n"/>
      <c r="F263" s="31" t="n"/>
      <c r="G263" s="31" t="n"/>
      <c r="H263" s="29" t="n"/>
      <c r="I263" s="32">
        <f>IF(OR(NOT(AND($A263&lt;&gt;"",OR($H263="",$H263="Active"))),$F263=""),"",INT((TODAY()-$F263+280)/7)&amp;"+"&amp;MOD(TODAY()-$F263+280,7))</f>
        <v/>
      </c>
      <c r="J263" s="32">
        <f>IF(NOT(AND($A263&lt;&gt;"",OR($H263="",$H263="Active"))),"",IF($F263="",0,SUMPRODUCT(($N263:$U263="")*(($F263-(40-VALUE(LEFT($N$4:$U$4,2)))*7)&lt;TODAY())))+COUNTIF($N263:$U263,"DNA")+COUNTIF($V263:$Z263,"&lt;"&amp;TODAY()))</f>
        <v/>
      </c>
      <c r="K263" s="32">
        <f>IF(NOT(AND($A263&lt;&gt;"",OR($H263="",$H263="Active"))),"",IF($F263="",0,SUMPRODUCT(($N263:$U263="")*(($F263-(40-VALUE(LEFT($N$4:$U$4,2)))*7)&gt;=TODAY())*(($F263-(40-VALUE(LEFT($N$4:$U$4,2)))*7)&lt;=TODAY()+7)))+COUNTIFS($V263:$Z263,"&gt;="&amp;TODAY(),$V263:$Z263,"&lt;="&amp;TODAY()+7))</f>
        <v/>
      </c>
      <c r="L263" s="32">
        <f>IF(OR(NOT(AND($A263&lt;&gt;"",OR($H263="",$H263="Active"))),$F263=""),"",IF(N263="",N$4,IF(O263="",O$4,IF(P263="",P$4,IF(Q263="",Q$4,IF(R263="",R$4,IF(S263="",S$4,IF(T263="",T$4,IF(U263="",U$4,"All done")))))))))</f>
        <v/>
      </c>
      <c r="M263" s="33">
        <f>IF(OR($L263="",$L263="All done"),"",($F263-(40-VALUE(LEFT($L263,2)))*7))</f>
        <v/>
      </c>
      <c r="N263" s="31" t="n"/>
      <c r="O263" s="31" t="n"/>
      <c r="P263" s="31" t="n"/>
      <c r="Q263" s="31" t="n"/>
      <c r="R263" s="31" t="n"/>
      <c r="S263" s="31" t="n"/>
      <c r="T263" s="31" t="n"/>
      <c r="U263" s="31" t="n"/>
      <c r="V263" s="31" t="n"/>
      <c r="W263" s="31" t="n"/>
      <c r="X263" s="31" t="n"/>
      <c r="Y263" s="31" t="n"/>
      <c r="Z263" s="31" t="n"/>
      <c r="AA263" s="34" t="n"/>
      <c r="AB263" s="29" t="n"/>
      <c r="AC263" s="31" t="n"/>
    </row>
    <row r="264">
      <c r="A264" s="29" t="n"/>
      <c r="B264" s="30" t="n"/>
      <c r="C264" s="31" t="n"/>
      <c r="D264" s="29" t="n"/>
      <c r="E264" s="29" t="n"/>
      <c r="F264" s="31" t="n"/>
      <c r="G264" s="31" t="n"/>
      <c r="H264" s="29" t="n"/>
      <c r="I264" s="32">
        <f>IF(OR(NOT(AND($A264&lt;&gt;"",OR($H264="",$H264="Active"))),$F264=""),"",INT((TODAY()-$F264+280)/7)&amp;"+"&amp;MOD(TODAY()-$F264+280,7))</f>
        <v/>
      </c>
      <c r="J264" s="32">
        <f>IF(NOT(AND($A264&lt;&gt;"",OR($H264="",$H264="Active"))),"",IF($F264="",0,SUMPRODUCT(($N264:$U264="")*(($F264-(40-VALUE(LEFT($N$4:$U$4,2)))*7)&lt;TODAY())))+COUNTIF($N264:$U264,"DNA")+COUNTIF($V264:$Z264,"&lt;"&amp;TODAY()))</f>
        <v/>
      </c>
      <c r="K264" s="32">
        <f>IF(NOT(AND($A264&lt;&gt;"",OR($H264="",$H264="Active"))),"",IF($F264="",0,SUMPRODUCT(($N264:$U264="")*(($F264-(40-VALUE(LEFT($N$4:$U$4,2)))*7)&gt;=TODAY())*(($F264-(40-VALUE(LEFT($N$4:$U$4,2)))*7)&lt;=TODAY()+7)))+COUNTIFS($V264:$Z264,"&gt;="&amp;TODAY(),$V264:$Z264,"&lt;="&amp;TODAY()+7))</f>
        <v/>
      </c>
      <c r="L264" s="32">
        <f>IF(OR(NOT(AND($A264&lt;&gt;"",OR($H264="",$H264="Active"))),$F264=""),"",IF(N264="",N$4,IF(O264="",O$4,IF(P264="",P$4,IF(Q264="",Q$4,IF(R264="",R$4,IF(S264="",S$4,IF(T264="",T$4,IF(U264="",U$4,"All done")))))))))</f>
        <v/>
      </c>
      <c r="M264" s="33">
        <f>IF(OR($L264="",$L264="All done"),"",($F264-(40-VALUE(LEFT($L264,2)))*7))</f>
        <v/>
      </c>
      <c r="N264" s="31" t="n"/>
      <c r="O264" s="31" t="n"/>
      <c r="P264" s="31" t="n"/>
      <c r="Q264" s="31" t="n"/>
      <c r="R264" s="31" t="n"/>
      <c r="S264" s="31" t="n"/>
      <c r="T264" s="31" t="n"/>
      <c r="U264" s="31" t="n"/>
      <c r="V264" s="31" t="n"/>
      <c r="W264" s="31" t="n"/>
      <c r="X264" s="31" t="n"/>
      <c r="Y264" s="31" t="n"/>
      <c r="Z264" s="31" t="n"/>
      <c r="AA264" s="34" t="n"/>
      <c r="AB264" s="29" t="n"/>
      <c r="AC264" s="31" t="n"/>
    </row>
    <row r="265">
      <c r="A265" s="29" t="n"/>
      <c r="B265" s="30" t="n"/>
      <c r="C265" s="31" t="n"/>
      <c r="D265" s="29" t="n"/>
      <c r="E265" s="29" t="n"/>
      <c r="F265" s="31" t="n"/>
      <c r="G265" s="31" t="n"/>
      <c r="H265" s="29" t="n"/>
      <c r="I265" s="32">
        <f>IF(OR(NOT(AND($A265&lt;&gt;"",OR($H265="",$H265="Active"))),$F265=""),"",INT((TODAY()-$F265+280)/7)&amp;"+"&amp;MOD(TODAY()-$F265+280,7))</f>
        <v/>
      </c>
      <c r="J265" s="32">
        <f>IF(NOT(AND($A265&lt;&gt;"",OR($H265="",$H265="Active"))),"",IF($F265="",0,SUMPRODUCT(($N265:$U265="")*(($F265-(40-VALUE(LEFT($N$4:$U$4,2)))*7)&lt;TODAY())))+COUNTIF($N265:$U265,"DNA")+COUNTIF($V265:$Z265,"&lt;"&amp;TODAY()))</f>
        <v/>
      </c>
      <c r="K265" s="32">
        <f>IF(NOT(AND($A265&lt;&gt;"",OR($H265="",$H265="Active"))),"",IF($F265="",0,SUMPRODUCT(($N265:$U265="")*(($F265-(40-VALUE(LEFT($N$4:$U$4,2)))*7)&gt;=TODAY())*(($F265-(40-VALUE(LEFT($N$4:$U$4,2)))*7)&lt;=TODAY()+7)))+COUNTIFS($V265:$Z265,"&gt;="&amp;TODAY(),$V265:$Z265,"&lt;="&amp;TODAY()+7))</f>
        <v/>
      </c>
      <c r="L265" s="32">
        <f>IF(OR(NOT(AND($A265&lt;&gt;"",OR($H265="",$H265="Active"))),$F265=""),"",IF(N265="",N$4,IF(O265="",O$4,IF(P265="",P$4,IF(Q265="",Q$4,IF(R265="",R$4,IF(S265="",S$4,IF(T265="",T$4,IF(U265="",U$4,"All done")))))))))</f>
        <v/>
      </c>
      <c r="M265" s="33">
        <f>IF(OR($L265="",$L265="All done"),"",($F265-(40-VALUE(LEFT($L265,2)))*7))</f>
        <v/>
      </c>
      <c r="N265" s="31" t="n"/>
      <c r="O265" s="31" t="n"/>
      <c r="P265" s="31" t="n"/>
      <c r="Q265" s="31" t="n"/>
      <c r="R265" s="31" t="n"/>
      <c r="S265" s="31" t="n"/>
      <c r="T265" s="31" t="n"/>
      <c r="U265" s="31" t="n"/>
      <c r="V265" s="31" t="n"/>
      <c r="W265" s="31" t="n"/>
      <c r="X265" s="31" t="n"/>
      <c r="Y265" s="31" t="n"/>
      <c r="Z265" s="31" t="n"/>
      <c r="AA265" s="34" t="n"/>
      <c r="AB265" s="29" t="n"/>
      <c r="AC265" s="31" t="n"/>
    </row>
    <row r="266">
      <c r="A266" s="29" t="n"/>
      <c r="B266" s="30" t="n"/>
      <c r="C266" s="31" t="n"/>
      <c r="D266" s="29" t="n"/>
      <c r="E266" s="29" t="n"/>
      <c r="F266" s="31" t="n"/>
      <c r="G266" s="31" t="n"/>
      <c r="H266" s="29" t="n"/>
      <c r="I266" s="32">
        <f>IF(OR(NOT(AND($A266&lt;&gt;"",OR($H266="",$H266="Active"))),$F266=""),"",INT((TODAY()-$F266+280)/7)&amp;"+"&amp;MOD(TODAY()-$F266+280,7))</f>
        <v/>
      </c>
      <c r="J266" s="32">
        <f>IF(NOT(AND($A266&lt;&gt;"",OR($H266="",$H266="Active"))),"",IF($F266="",0,SUMPRODUCT(($N266:$U266="")*(($F266-(40-VALUE(LEFT($N$4:$U$4,2)))*7)&lt;TODAY())))+COUNTIF($N266:$U266,"DNA")+COUNTIF($V266:$Z266,"&lt;"&amp;TODAY()))</f>
        <v/>
      </c>
      <c r="K266" s="32">
        <f>IF(NOT(AND($A266&lt;&gt;"",OR($H266="",$H266="Active"))),"",IF($F266="",0,SUMPRODUCT(($N266:$U266="")*(($F266-(40-VALUE(LEFT($N$4:$U$4,2)))*7)&gt;=TODAY())*(($F266-(40-VALUE(LEFT($N$4:$U$4,2)))*7)&lt;=TODAY()+7)))+COUNTIFS($V266:$Z266,"&gt;="&amp;TODAY(),$V266:$Z266,"&lt;="&amp;TODAY()+7))</f>
        <v/>
      </c>
      <c r="L266" s="32">
        <f>IF(OR(NOT(AND($A266&lt;&gt;"",OR($H266="",$H266="Active"))),$F266=""),"",IF(N266="",N$4,IF(O266="",O$4,IF(P266="",P$4,IF(Q266="",Q$4,IF(R266="",R$4,IF(S266="",S$4,IF(T266="",T$4,IF(U266="",U$4,"All done")))))))))</f>
        <v/>
      </c>
      <c r="M266" s="33">
        <f>IF(OR($L266="",$L266="All done"),"",($F266-(40-VALUE(LEFT($L266,2)))*7))</f>
        <v/>
      </c>
      <c r="N266" s="31" t="n"/>
      <c r="O266" s="31" t="n"/>
      <c r="P266" s="31" t="n"/>
      <c r="Q266" s="31" t="n"/>
      <c r="R266" s="31" t="n"/>
      <c r="S266" s="31" t="n"/>
      <c r="T266" s="31" t="n"/>
      <c r="U266" s="31" t="n"/>
      <c r="V266" s="31" t="n"/>
      <c r="W266" s="31" t="n"/>
      <c r="X266" s="31" t="n"/>
      <c r="Y266" s="31" t="n"/>
      <c r="Z266" s="31" t="n"/>
      <c r="AA266" s="34" t="n"/>
      <c r="AB266" s="29" t="n"/>
      <c r="AC266" s="31" t="n"/>
    </row>
    <row r="267">
      <c r="A267" s="29" t="n"/>
      <c r="B267" s="30" t="n"/>
      <c r="C267" s="31" t="n"/>
      <c r="D267" s="29" t="n"/>
      <c r="E267" s="29" t="n"/>
      <c r="F267" s="31" t="n"/>
      <c r="G267" s="31" t="n"/>
      <c r="H267" s="29" t="n"/>
      <c r="I267" s="32">
        <f>IF(OR(NOT(AND($A267&lt;&gt;"",OR($H267="",$H267="Active"))),$F267=""),"",INT((TODAY()-$F267+280)/7)&amp;"+"&amp;MOD(TODAY()-$F267+280,7))</f>
        <v/>
      </c>
      <c r="J267" s="32">
        <f>IF(NOT(AND($A267&lt;&gt;"",OR($H267="",$H267="Active"))),"",IF($F267="",0,SUMPRODUCT(($N267:$U267="")*(($F267-(40-VALUE(LEFT($N$4:$U$4,2)))*7)&lt;TODAY())))+COUNTIF($N267:$U267,"DNA")+COUNTIF($V267:$Z267,"&lt;"&amp;TODAY()))</f>
        <v/>
      </c>
      <c r="K267" s="32">
        <f>IF(NOT(AND($A267&lt;&gt;"",OR($H267="",$H267="Active"))),"",IF($F267="",0,SUMPRODUCT(($N267:$U267="")*(($F267-(40-VALUE(LEFT($N$4:$U$4,2)))*7)&gt;=TODAY())*(($F267-(40-VALUE(LEFT($N$4:$U$4,2)))*7)&lt;=TODAY()+7)))+COUNTIFS($V267:$Z267,"&gt;="&amp;TODAY(),$V267:$Z267,"&lt;="&amp;TODAY()+7))</f>
        <v/>
      </c>
      <c r="L267" s="32">
        <f>IF(OR(NOT(AND($A267&lt;&gt;"",OR($H267="",$H267="Active"))),$F267=""),"",IF(N267="",N$4,IF(O267="",O$4,IF(P267="",P$4,IF(Q267="",Q$4,IF(R267="",R$4,IF(S267="",S$4,IF(T267="",T$4,IF(U267="",U$4,"All done")))))))))</f>
        <v/>
      </c>
      <c r="M267" s="33">
        <f>IF(OR($L267="",$L267="All done"),"",($F267-(40-VALUE(LEFT($L267,2)))*7))</f>
        <v/>
      </c>
      <c r="N267" s="31" t="n"/>
      <c r="O267" s="31" t="n"/>
      <c r="P267" s="31" t="n"/>
      <c r="Q267" s="31" t="n"/>
      <c r="R267" s="31" t="n"/>
      <c r="S267" s="31" t="n"/>
      <c r="T267" s="31" t="n"/>
      <c r="U267" s="31" t="n"/>
      <c r="V267" s="31" t="n"/>
      <c r="W267" s="31" t="n"/>
      <c r="X267" s="31" t="n"/>
      <c r="Y267" s="31" t="n"/>
      <c r="Z267" s="31" t="n"/>
      <c r="AA267" s="34" t="n"/>
      <c r="AB267" s="29" t="n"/>
      <c r="AC267" s="31" t="n"/>
    </row>
    <row r="268">
      <c r="A268" s="29" t="n"/>
      <c r="B268" s="30" t="n"/>
      <c r="C268" s="31" t="n"/>
      <c r="D268" s="29" t="n"/>
      <c r="E268" s="29" t="n"/>
      <c r="F268" s="31" t="n"/>
      <c r="G268" s="31" t="n"/>
      <c r="H268" s="29" t="n"/>
      <c r="I268" s="32">
        <f>IF(OR(NOT(AND($A268&lt;&gt;"",OR($H268="",$H268="Active"))),$F268=""),"",INT((TODAY()-$F268+280)/7)&amp;"+"&amp;MOD(TODAY()-$F268+280,7))</f>
        <v/>
      </c>
      <c r="J268" s="32">
        <f>IF(NOT(AND($A268&lt;&gt;"",OR($H268="",$H268="Active"))),"",IF($F268="",0,SUMPRODUCT(($N268:$U268="")*(($F268-(40-VALUE(LEFT($N$4:$U$4,2)))*7)&lt;TODAY())))+COUNTIF($N268:$U268,"DNA")+COUNTIF($V268:$Z268,"&lt;"&amp;TODAY()))</f>
        <v/>
      </c>
      <c r="K268" s="32">
        <f>IF(NOT(AND($A268&lt;&gt;"",OR($H268="",$H268="Active"))),"",IF($F268="",0,SUMPRODUCT(($N268:$U268="")*(($F268-(40-VALUE(LEFT($N$4:$U$4,2)))*7)&gt;=TODAY())*(($F268-(40-VALUE(LEFT($N$4:$U$4,2)))*7)&lt;=TODAY()+7)))+COUNTIFS($V268:$Z268,"&gt;="&amp;TODAY(),$V268:$Z268,"&lt;="&amp;TODAY()+7))</f>
        <v/>
      </c>
      <c r="L268" s="32">
        <f>IF(OR(NOT(AND($A268&lt;&gt;"",OR($H268="",$H268="Active"))),$F268=""),"",IF(N268="",N$4,IF(O268="",O$4,IF(P268="",P$4,IF(Q268="",Q$4,IF(R268="",R$4,IF(S268="",S$4,IF(T268="",T$4,IF(U268="",U$4,"All done")))))))))</f>
        <v/>
      </c>
      <c r="M268" s="33">
        <f>IF(OR($L268="",$L268="All done"),"",($F268-(40-VALUE(LEFT($L268,2)))*7))</f>
        <v/>
      </c>
      <c r="N268" s="31" t="n"/>
      <c r="O268" s="31" t="n"/>
      <c r="P268" s="31" t="n"/>
      <c r="Q268" s="31" t="n"/>
      <c r="R268" s="31" t="n"/>
      <c r="S268" s="31" t="n"/>
      <c r="T268" s="31" t="n"/>
      <c r="U268" s="31" t="n"/>
      <c r="V268" s="31" t="n"/>
      <c r="W268" s="31" t="n"/>
      <c r="X268" s="31" t="n"/>
      <c r="Y268" s="31" t="n"/>
      <c r="Z268" s="31" t="n"/>
      <c r="AA268" s="34" t="n"/>
      <c r="AB268" s="29" t="n"/>
      <c r="AC268" s="31" t="n"/>
    </row>
    <row r="269">
      <c r="A269" s="29" t="n"/>
      <c r="B269" s="30" t="n"/>
      <c r="C269" s="31" t="n"/>
      <c r="D269" s="29" t="n"/>
      <c r="E269" s="29" t="n"/>
      <c r="F269" s="31" t="n"/>
      <c r="G269" s="31" t="n"/>
      <c r="H269" s="29" t="n"/>
      <c r="I269" s="32">
        <f>IF(OR(NOT(AND($A269&lt;&gt;"",OR($H269="",$H269="Active"))),$F269=""),"",INT((TODAY()-$F269+280)/7)&amp;"+"&amp;MOD(TODAY()-$F269+280,7))</f>
        <v/>
      </c>
      <c r="J269" s="32">
        <f>IF(NOT(AND($A269&lt;&gt;"",OR($H269="",$H269="Active"))),"",IF($F269="",0,SUMPRODUCT(($N269:$U269="")*(($F269-(40-VALUE(LEFT($N$4:$U$4,2)))*7)&lt;TODAY())))+COUNTIF($N269:$U269,"DNA")+COUNTIF($V269:$Z269,"&lt;"&amp;TODAY()))</f>
        <v/>
      </c>
      <c r="K269" s="32">
        <f>IF(NOT(AND($A269&lt;&gt;"",OR($H269="",$H269="Active"))),"",IF($F269="",0,SUMPRODUCT(($N269:$U269="")*(($F269-(40-VALUE(LEFT($N$4:$U$4,2)))*7)&gt;=TODAY())*(($F269-(40-VALUE(LEFT($N$4:$U$4,2)))*7)&lt;=TODAY()+7)))+COUNTIFS($V269:$Z269,"&gt;="&amp;TODAY(),$V269:$Z269,"&lt;="&amp;TODAY()+7))</f>
        <v/>
      </c>
      <c r="L269" s="32">
        <f>IF(OR(NOT(AND($A269&lt;&gt;"",OR($H269="",$H269="Active"))),$F269=""),"",IF(N269="",N$4,IF(O269="",O$4,IF(P269="",P$4,IF(Q269="",Q$4,IF(R269="",R$4,IF(S269="",S$4,IF(T269="",T$4,IF(U269="",U$4,"All done")))))))))</f>
        <v/>
      </c>
      <c r="M269" s="33">
        <f>IF(OR($L269="",$L269="All done"),"",($F269-(40-VALUE(LEFT($L269,2)))*7))</f>
        <v/>
      </c>
      <c r="N269" s="31" t="n"/>
      <c r="O269" s="31" t="n"/>
      <c r="P269" s="31" t="n"/>
      <c r="Q269" s="31" t="n"/>
      <c r="R269" s="31" t="n"/>
      <c r="S269" s="31" t="n"/>
      <c r="T269" s="31" t="n"/>
      <c r="U269" s="31" t="n"/>
      <c r="V269" s="31" t="n"/>
      <c r="W269" s="31" t="n"/>
      <c r="X269" s="31" t="n"/>
      <c r="Y269" s="31" t="n"/>
      <c r="Z269" s="31" t="n"/>
      <c r="AA269" s="34" t="n"/>
      <c r="AB269" s="29" t="n"/>
      <c r="AC269" s="31" t="n"/>
    </row>
    <row r="270">
      <c r="A270" s="29" t="n"/>
      <c r="B270" s="30" t="n"/>
      <c r="C270" s="31" t="n"/>
      <c r="D270" s="29" t="n"/>
      <c r="E270" s="29" t="n"/>
      <c r="F270" s="31" t="n"/>
      <c r="G270" s="31" t="n"/>
      <c r="H270" s="29" t="n"/>
      <c r="I270" s="32">
        <f>IF(OR(NOT(AND($A270&lt;&gt;"",OR($H270="",$H270="Active"))),$F270=""),"",INT((TODAY()-$F270+280)/7)&amp;"+"&amp;MOD(TODAY()-$F270+280,7))</f>
        <v/>
      </c>
      <c r="J270" s="32">
        <f>IF(NOT(AND($A270&lt;&gt;"",OR($H270="",$H270="Active"))),"",IF($F270="",0,SUMPRODUCT(($N270:$U270="")*(($F270-(40-VALUE(LEFT($N$4:$U$4,2)))*7)&lt;TODAY())))+COUNTIF($N270:$U270,"DNA")+COUNTIF($V270:$Z270,"&lt;"&amp;TODAY()))</f>
        <v/>
      </c>
      <c r="K270" s="32">
        <f>IF(NOT(AND($A270&lt;&gt;"",OR($H270="",$H270="Active"))),"",IF($F270="",0,SUMPRODUCT(($N270:$U270="")*(($F270-(40-VALUE(LEFT($N$4:$U$4,2)))*7)&gt;=TODAY())*(($F270-(40-VALUE(LEFT($N$4:$U$4,2)))*7)&lt;=TODAY()+7)))+COUNTIFS($V270:$Z270,"&gt;="&amp;TODAY(),$V270:$Z270,"&lt;="&amp;TODAY()+7))</f>
        <v/>
      </c>
      <c r="L270" s="32">
        <f>IF(OR(NOT(AND($A270&lt;&gt;"",OR($H270="",$H270="Active"))),$F270=""),"",IF(N270="",N$4,IF(O270="",O$4,IF(P270="",P$4,IF(Q270="",Q$4,IF(R270="",R$4,IF(S270="",S$4,IF(T270="",T$4,IF(U270="",U$4,"All done")))))))))</f>
        <v/>
      </c>
      <c r="M270" s="33">
        <f>IF(OR($L270="",$L270="All done"),"",($F270-(40-VALUE(LEFT($L270,2)))*7))</f>
        <v/>
      </c>
      <c r="N270" s="31" t="n"/>
      <c r="O270" s="31" t="n"/>
      <c r="P270" s="31" t="n"/>
      <c r="Q270" s="31" t="n"/>
      <c r="R270" s="31" t="n"/>
      <c r="S270" s="31" t="n"/>
      <c r="T270" s="31" t="n"/>
      <c r="U270" s="31" t="n"/>
      <c r="V270" s="31" t="n"/>
      <c r="W270" s="31" t="n"/>
      <c r="X270" s="31" t="n"/>
      <c r="Y270" s="31" t="n"/>
      <c r="Z270" s="31" t="n"/>
      <c r="AA270" s="34" t="n"/>
      <c r="AB270" s="29" t="n"/>
      <c r="AC270" s="31" t="n"/>
    </row>
    <row r="271">
      <c r="A271" s="29" t="n"/>
      <c r="B271" s="30" t="n"/>
      <c r="C271" s="31" t="n"/>
      <c r="D271" s="29" t="n"/>
      <c r="E271" s="29" t="n"/>
      <c r="F271" s="31" t="n"/>
      <c r="G271" s="31" t="n"/>
      <c r="H271" s="29" t="n"/>
      <c r="I271" s="32">
        <f>IF(OR(NOT(AND($A271&lt;&gt;"",OR($H271="",$H271="Active"))),$F271=""),"",INT((TODAY()-$F271+280)/7)&amp;"+"&amp;MOD(TODAY()-$F271+280,7))</f>
        <v/>
      </c>
      <c r="J271" s="32">
        <f>IF(NOT(AND($A271&lt;&gt;"",OR($H271="",$H271="Active"))),"",IF($F271="",0,SUMPRODUCT(($N271:$U271="")*(($F271-(40-VALUE(LEFT($N$4:$U$4,2)))*7)&lt;TODAY())))+COUNTIF($N271:$U271,"DNA")+COUNTIF($V271:$Z271,"&lt;"&amp;TODAY()))</f>
        <v/>
      </c>
      <c r="K271" s="32">
        <f>IF(NOT(AND($A271&lt;&gt;"",OR($H271="",$H271="Active"))),"",IF($F271="",0,SUMPRODUCT(($N271:$U271="")*(($F271-(40-VALUE(LEFT($N$4:$U$4,2)))*7)&gt;=TODAY())*(($F271-(40-VALUE(LEFT($N$4:$U$4,2)))*7)&lt;=TODAY()+7)))+COUNTIFS($V271:$Z271,"&gt;="&amp;TODAY(),$V271:$Z271,"&lt;="&amp;TODAY()+7))</f>
        <v/>
      </c>
      <c r="L271" s="32">
        <f>IF(OR(NOT(AND($A271&lt;&gt;"",OR($H271="",$H271="Active"))),$F271=""),"",IF(N271="",N$4,IF(O271="",O$4,IF(P271="",P$4,IF(Q271="",Q$4,IF(R271="",R$4,IF(S271="",S$4,IF(T271="",T$4,IF(U271="",U$4,"All done")))))))))</f>
        <v/>
      </c>
      <c r="M271" s="33">
        <f>IF(OR($L271="",$L271="All done"),"",($F271-(40-VALUE(LEFT($L271,2)))*7))</f>
        <v/>
      </c>
      <c r="N271" s="31" t="n"/>
      <c r="O271" s="31" t="n"/>
      <c r="P271" s="31" t="n"/>
      <c r="Q271" s="31" t="n"/>
      <c r="R271" s="31" t="n"/>
      <c r="S271" s="31" t="n"/>
      <c r="T271" s="31" t="n"/>
      <c r="U271" s="31" t="n"/>
      <c r="V271" s="31" t="n"/>
      <c r="W271" s="31" t="n"/>
      <c r="X271" s="31" t="n"/>
      <c r="Y271" s="31" t="n"/>
      <c r="Z271" s="31" t="n"/>
      <c r="AA271" s="34" t="n"/>
      <c r="AB271" s="29" t="n"/>
      <c r="AC271" s="31" t="n"/>
    </row>
    <row r="272">
      <c r="A272" s="29" t="n"/>
      <c r="B272" s="30" t="n"/>
      <c r="C272" s="31" t="n"/>
      <c r="D272" s="29" t="n"/>
      <c r="E272" s="29" t="n"/>
      <c r="F272" s="31" t="n"/>
      <c r="G272" s="31" t="n"/>
      <c r="H272" s="29" t="n"/>
      <c r="I272" s="32">
        <f>IF(OR(NOT(AND($A272&lt;&gt;"",OR($H272="",$H272="Active"))),$F272=""),"",INT((TODAY()-$F272+280)/7)&amp;"+"&amp;MOD(TODAY()-$F272+280,7))</f>
        <v/>
      </c>
      <c r="J272" s="32">
        <f>IF(NOT(AND($A272&lt;&gt;"",OR($H272="",$H272="Active"))),"",IF($F272="",0,SUMPRODUCT(($N272:$U272="")*(($F272-(40-VALUE(LEFT($N$4:$U$4,2)))*7)&lt;TODAY())))+COUNTIF($N272:$U272,"DNA")+COUNTIF($V272:$Z272,"&lt;"&amp;TODAY()))</f>
        <v/>
      </c>
      <c r="K272" s="32">
        <f>IF(NOT(AND($A272&lt;&gt;"",OR($H272="",$H272="Active"))),"",IF($F272="",0,SUMPRODUCT(($N272:$U272="")*(($F272-(40-VALUE(LEFT($N$4:$U$4,2)))*7)&gt;=TODAY())*(($F272-(40-VALUE(LEFT($N$4:$U$4,2)))*7)&lt;=TODAY()+7)))+COUNTIFS($V272:$Z272,"&gt;="&amp;TODAY(),$V272:$Z272,"&lt;="&amp;TODAY()+7))</f>
        <v/>
      </c>
      <c r="L272" s="32">
        <f>IF(OR(NOT(AND($A272&lt;&gt;"",OR($H272="",$H272="Active"))),$F272=""),"",IF(N272="",N$4,IF(O272="",O$4,IF(P272="",P$4,IF(Q272="",Q$4,IF(R272="",R$4,IF(S272="",S$4,IF(T272="",T$4,IF(U272="",U$4,"All done")))))))))</f>
        <v/>
      </c>
      <c r="M272" s="33">
        <f>IF(OR($L272="",$L272="All done"),"",($F272-(40-VALUE(LEFT($L272,2)))*7))</f>
        <v/>
      </c>
      <c r="N272" s="31" t="n"/>
      <c r="O272" s="31" t="n"/>
      <c r="P272" s="31" t="n"/>
      <c r="Q272" s="31" t="n"/>
      <c r="R272" s="31" t="n"/>
      <c r="S272" s="31" t="n"/>
      <c r="T272" s="31" t="n"/>
      <c r="U272" s="31" t="n"/>
      <c r="V272" s="31" t="n"/>
      <c r="W272" s="31" t="n"/>
      <c r="X272" s="31" t="n"/>
      <c r="Y272" s="31" t="n"/>
      <c r="Z272" s="31" t="n"/>
      <c r="AA272" s="34" t="n"/>
      <c r="AB272" s="29" t="n"/>
      <c r="AC272" s="31" t="n"/>
    </row>
    <row r="273">
      <c r="A273" s="29" t="n"/>
      <c r="B273" s="30" t="n"/>
      <c r="C273" s="31" t="n"/>
      <c r="D273" s="29" t="n"/>
      <c r="E273" s="29" t="n"/>
      <c r="F273" s="31" t="n"/>
      <c r="G273" s="31" t="n"/>
      <c r="H273" s="29" t="n"/>
      <c r="I273" s="32">
        <f>IF(OR(NOT(AND($A273&lt;&gt;"",OR($H273="",$H273="Active"))),$F273=""),"",INT((TODAY()-$F273+280)/7)&amp;"+"&amp;MOD(TODAY()-$F273+280,7))</f>
        <v/>
      </c>
      <c r="J273" s="32">
        <f>IF(NOT(AND($A273&lt;&gt;"",OR($H273="",$H273="Active"))),"",IF($F273="",0,SUMPRODUCT(($N273:$U273="")*(($F273-(40-VALUE(LEFT($N$4:$U$4,2)))*7)&lt;TODAY())))+COUNTIF($N273:$U273,"DNA")+COUNTIF($V273:$Z273,"&lt;"&amp;TODAY()))</f>
        <v/>
      </c>
      <c r="K273" s="32">
        <f>IF(NOT(AND($A273&lt;&gt;"",OR($H273="",$H273="Active"))),"",IF($F273="",0,SUMPRODUCT(($N273:$U273="")*(($F273-(40-VALUE(LEFT($N$4:$U$4,2)))*7)&gt;=TODAY())*(($F273-(40-VALUE(LEFT($N$4:$U$4,2)))*7)&lt;=TODAY()+7)))+COUNTIFS($V273:$Z273,"&gt;="&amp;TODAY(),$V273:$Z273,"&lt;="&amp;TODAY()+7))</f>
        <v/>
      </c>
      <c r="L273" s="32">
        <f>IF(OR(NOT(AND($A273&lt;&gt;"",OR($H273="",$H273="Active"))),$F273=""),"",IF(N273="",N$4,IF(O273="",O$4,IF(P273="",P$4,IF(Q273="",Q$4,IF(R273="",R$4,IF(S273="",S$4,IF(T273="",T$4,IF(U273="",U$4,"All done")))))))))</f>
        <v/>
      </c>
      <c r="M273" s="33">
        <f>IF(OR($L273="",$L273="All done"),"",($F273-(40-VALUE(LEFT($L273,2)))*7))</f>
        <v/>
      </c>
      <c r="N273" s="31" t="n"/>
      <c r="O273" s="31" t="n"/>
      <c r="P273" s="31" t="n"/>
      <c r="Q273" s="31" t="n"/>
      <c r="R273" s="31" t="n"/>
      <c r="S273" s="31" t="n"/>
      <c r="T273" s="31" t="n"/>
      <c r="U273" s="31" t="n"/>
      <c r="V273" s="31" t="n"/>
      <c r="W273" s="31" t="n"/>
      <c r="X273" s="31" t="n"/>
      <c r="Y273" s="31" t="n"/>
      <c r="Z273" s="31" t="n"/>
      <c r="AA273" s="34" t="n"/>
      <c r="AB273" s="29" t="n"/>
      <c r="AC273" s="31" t="n"/>
    </row>
    <row r="274">
      <c r="A274" s="29" t="n"/>
      <c r="B274" s="30" t="n"/>
      <c r="C274" s="31" t="n"/>
      <c r="D274" s="29" t="n"/>
      <c r="E274" s="29" t="n"/>
      <c r="F274" s="31" t="n"/>
      <c r="G274" s="31" t="n"/>
      <c r="H274" s="29" t="n"/>
      <c r="I274" s="32">
        <f>IF(OR(NOT(AND($A274&lt;&gt;"",OR($H274="",$H274="Active"))),$F274=""),"",INT((TODAY()-$F274+280)/7)&amp;"+"&amp;MOD(TODAY()-$F274+280,7))</f>
        <v/>
      </c>
      <c r="J274" s="32">
        <f>IF(NOT(AND($A274&lt;&gt;"",OR($H274="",$H274="Active"))),"",IF($F274="",0,SUMPRODUCT(($N274:$U274="")*(($F274-(40-VALUE(LEFT($N$4:$U$4,2)))*7)&lt;TODAY())))+COUNTIF($N274:$U274,"DNA")+COUNTIF($V274:$Z274,"&lt;"&amp;TODAY()))</f>
        <v/>
      </c>
      <c r="K274" s="32">
        <f>IF(NOT(AND($A274&lt;&gt;"",OR($H274="",$H274="Active"))),"",IF($F274="",0,SUMPRODUCT(($N274:$U274="")*(($F274-(40-VALUE(LEFT($N$4:$U$4,2)))*7)&gt;=TODAY())*(($F274-(40-VALUE(LEFT($N$4:$U$4,2)))*7)&lt;=TODAY()+7)))+COUNTIFS($V274:$Z274,"&gt;="&amp;TODAY(),$V274:$Z274,"&lt;="&amp;TODAY()+7))</f>
        <v/>
      </c>
      <c r="L274" s="32">
        <f>IF(OR(NOT(AND($A274&lt;&gt;"",OR($H274="",$H274="Active"))),$F274=""),"",IF(N274="",N$4,IF(O274="",O$4,IF(P274="",P$4,IF(Q274="",Q$4,IF(R274="",R$4,IF(S274="",S$4,IF(T274="",T$4,IF(U274="",U$4,"All done")))))))))</f>
        <v/>
      </c>
      <c r="M274" s="33">
        <f>IF(OR($L274="",$L274="All done"),"",($F274-(40-VALUE(LEFT($L274,2)))*7))</f>
        <v/>
      </c>
      <c r="N274" s="31" t="n"/>
      <c r="O274" s="31" t="n"/>
      <c r="P274" s="31" t="n"/>
      <c r="Q274" s="31" t="n"/>
      <c r="R274" s="31" t="n"/>
      <c r="S274" s="31" t="n"/>
      <c r="T274" s="31" t="n"/>
      <c r="U274" s="31" t="n"/>
      <c r="V274" s="31" t="n"/>
      <c r="W274" s="31" t="n"/>
      <c r="X274" s="31" t="n"/>
      <c r="Y274" s="31" t="n"/>
      <c r="Z274" s="31" t="n"/>
      <c r="AA274" s="34" t="n"/>
      <c r="AB274" s="29" t="n"/>
      <c r="AC274" s="31" t="n"/>
    </row>
    <row r="275">
      <c r="A275" s="29" t="n"/>
      <c r="B275" s="30" t="n"/>
      <c r="C275" s="31" t="n"/>
      <c r="D275" s="29" t="n"/>
      <c r="E275" s="29" t="n"/>
      <c r="F275" s="31" t="n"/>
      <c r="G275" s="31" t="n"/>
      <c r="H275" s="29" t="n"/>
      <c r="I275" s="32">
        <f>IF(OR(NOT(AND($A275&lt;&gt;"",OR($H275="",$H275="Active"))),$F275=""),"",INT((TODAY()-$F275+280)/7)&amp;"+"&amp;MOD(TODAY()-$F275+280,7))</f>
        <v/>
      </c>
      <c r="J275" s="32">
        <f>IF(NOT(AND($A275&lt;&gt;"",OR($H275="",$H275="Active"))),"",IF($F275="",0,SUMPRODUCT(($N275:$U275="")*(($F275-(40-VALUE(LEFT($N$4:$U$4,2)))*7)&lt;TODAY())))+COUNTIF($N275:$U275,"DNA")+COUNTIF($V275:$Z275,"&lt;"&amp;TODAY()))</f>
        <v/>
      </c>
      <c r="K275" s="32">
        <f>IF(NOT(AND($A275&lt;&gt;"",OR($H275="",$H275="Active"))),"",IF($F275="",0,SUMPRODUCT(($N275:$U275="")*(($F275-(40-VALUE(LEFT($N$4:$U$4,2)))*7)&gt;=TODAY())*(($F275-(40-VALUE(LEFT($N$4:$U$4,2)))*7)&lt;=TODAY()+7)))+COUNTIFS($V275:$Z275,"&gt;="&amp;TODAY(),$V275:$Z275,"&lt;="&amp;TODAY()+7))</f>
        <v/>
      </c>
      <c r="L275" s="32">
        <f>IF(OR(NOT(AND($A275&lt;&gt;"",OR($H275="",$H275="Active"))),$F275=""),"",IF(N275="",N$4,IF(O275="",O$4,IF(P275="",P$4,IF(Q275="",Q$4,IF(R275="",R$4,IF(S275="",S$4,IF(T275="",T$4,IF(U275="",U$4,"All done")))))))))</f>
        <v/>
      </c>
      <c r="M275" s="33">
        <f>IF(OR($L275="",$L275="All done"),"",($F275-(40-VALUE(LEFT($L275,2)))*7))</f>
        <v/>
      </c>
      <c r="N275" s="31" t="n"/>
      <c r="O275" s="31" t="n"/>
      <c r="P275" s="31" t="n"/>
      <c r="Q275" s="31" t="n"/>
      <c r="R275" s="31" t="n"/>
      <c r="S275" s="31" t="n"/>
      <c r="T275" s="31" t="n"/>
      <c r="U275" s="31" t="n"/>
      <c r="V275" s="31" t="n"/>
      <c r="W275" s="31" t="n"/>
      <c r="X275" s="31" t="n"/>
      <c r="Y275" s="31" t="n"/>
      <c r="Z275" s="31" t="n"/>
      <c r="AA275" s="34" t="n"/>
      <c r="AB275" s="29" t="n"/>
      <c r="AC275" s="31" t="n"/>
    </row>
    <row r="276">
      <c r="A276" s="29" t="n"/>
      <c r="B276" s="30" t="n"/>
      <c r="C276" s="31" t="n"/>
      <c r="D276" s="29" t="n"/>
      <c r="E276" s="29" t="n"/>
      <c r="F276" s="31" t="n"/>
      <c r="G276" s="31" t="n"/>
      <c r="H276" s="29" t="n"/>
      <c r="I276" s="32">
        <f>IF(OR(NOT(AND($A276&lt;&gt;"",OR($H276="",$H276="Active"))),$F276=""),"",INT((TODAY()-$F276+280)/7)&amp;"+"&amp;MOD(TODAY()-$F276+280,7))</f>
        <v/>
      </c>
      <c r="J276" s="32">
        <f>IF(NOT(AND($A276&lt;&gt;"",OR($H276="",$H276="Active"))),"",IF($F276="",0,SUMPRODUCT(($N276:$U276="")*(($F276-(40-VALUE(LEFT($N$4:$U$4,2)))*7)&lt;TODAY())))+COUNTIF($N276:$U276,"DNA")+COUNTIF($V276:$Z276,"&lt;"&amp;TODAY()))</f>
        <v/>
      </c>
      <c r="K276" s="32">
        <f>IF(NOT(AND($A276&lt;&gt;"",OR($H276="",$H276="Active"))),"",IF($F276="",0,SUMPRODUCT(($N276:$U276="")*(($F276-(40-VALUE(LEFT($N$4:$U$4,2)))*7)&gt;=TODAY())*(($F276-(40-VALUE(LEFT($N$4:$U$4,2)))*7)&lt;=TODAY()+7)))+COUNTIFS($V276:$Z276,"&gt;="&amp;TODAY(),$V276:$Z276,"&lt;="&amp;TODAY()+7))</f>
        <v/>
      </c>
      <c r="L276" s="32">
        <f>IF(OR(NOT(AND($A276&lt;&gt;"",OR($H276="",$H276="Active"))),$F276=""),"",IF(N276="",N$4,IF(O276="",O$4,IF(P276="",P$4,IF(Q276="",Q$4,IF(R276="",R$4,IF(S276="",S$4,IF(T276="",T$4,IF(U276="",U$4,"All done")))))))))</f>
        <v/>
      </c>
      <c r="M276" s="33">
        <f>IF(OR($L276="",$L276="All done"),"",($F276-(40-VALUE(LEFT($L276,2)))*7))</f>
        <v/>
      </c>
      <c r="N276" s="31" t="n"/>
      <c r="O276" s="31" t="n"/>
      <c r="P276" s="31" t="n"/>
      <c r="Q276" s="31" t="n"/>
      <c r="R276" s="31" t="n"/>
      <c r="S276" s="31" t="n"/>
      <c r="T276" s="31" t="n"/>
      <c r="U276" s="31" t="n"/>
      <c r="V276" s="31" t="n"/>
      <c r="W276" s="31" t="n"/>
      <c r="X276" s="31" t="n"/>
      <c r="Y276" s="31" t="n"/>
      <c r="Z276" s="31" t="n"/>
      <c r="AA276" s="34" t="n"/>
      <c r="AB276" s="29" t="n"/>
      <c r="AC276" s="31" t="n"/>
    </row>
    <row r="277">
      <c r="A277" s="29" t="n"/>
      <c r="B277" s="30" t="n"/>
      <c r="C277" s="31" t="n"/>
      <c r="D277" s="29" t="n"/>
      <c r="E277" s="29" t="n"/>
      <c r="F277" s="31" t="n"/>
      <c r="G277" s="31" t="n"/>
      <c r="H277" s="29" t="n"/>
      <c r="I277" s="32">
        <f>IF(OR(NOT(AND($A277&lt;&gt;"",OR($H277="",$H277="Active"))),$F277=""),"",INT((TODAY()-$F277+280)/7)&amp;"+"&amp;MOD(TODAY()-$F277+280,7))</f>
        <v/>
      </c>
      <c r="J277" s="32">
        <f>IF(NOT(AND($A277&lt;&gt;"",OR($H277="",$H277="Active"))),"",IF($F277="",0,SUMPRODUCT(($N277:$U277="")*(($F277-(40-VALUE(LEFT($N$4:$U$4,2)))*7)&lt;TODAY())))+COUNTIF($N277:$U277,"DNA")+COUNTIF($V277:$Z277,"&lt;"&amp;TODAY()))</f>
        <v/>
      </c>
      <c r="K277" s="32">
        <f>IF(NOT(AND($A277&lt;&gt;"",OR($H277="",$H277="Active"))),"",IF($F277="",0,SUMPRODUCT(($N277:$U277="")*(($F277-(40-VALUE(LEFT($N$4:$U$4,2)))*7)&gt;=TODAY())*(($F277-(40-VALUE(LEFT($N$4:$U$4,2)))*7)&lt;=TODAY()+7)))+COUNTIFS($V277:$Z277,"&gt;="&amp;TODAY(),$V277:$Z277,"&lt;="&amp;TODAY()+7))</f>
        <v/>
      </c>
      <c r="L277" s="32">
        <f>IF(OR(NOT(AND($A277&lt;&gt;"",OR($H277="",$H277="Active"))),$F277=""),"",IF(N277="",N$4,IF(O277="",O$4,IF(P277="",P$4,IF(Q277="",Q$4,IF(R277="",R$4,IF(S277="",S$4,IF(T277="",T$4,IF(U277="",U$4,"All done")))))))))</f>
        <v/>
      </c>
      <c r="M277" s="33">
        <f>IF(OR($L277="",$L277="All done"),"",($F277-(40-VALUE(LEFT($L277,2)))*7))</f>
        <v/>
      </c>
      <c r="N277" s="31" t="n"/>
      <c r="O277" s="31" t="n"/>
      <c r="P277" s="31" t="n"/>
      <c r="Q277" s="31" t="n"/>
      <c r="R277" s="31" t="n"/>
      <c r="S277" s="31" t="n"/>
      <c r="T277" s="31" t="n"/>
      <c r="U277" s="31" t="n"/>
      <c r="V277" s="31" t="n"/>
      <c r="W277" s="31" t="n"/>
      <c r="X277" s="31" t="n"/>
      <c r="Y277" s="31" t="n"/>
      <c r="Z277" s="31" t="n"/>
      <c r="AA277" s="34" t="n"/>
      <c r="AB277" s="29" t="n"/>
      <c r="AC277" s="31" t="n"/>
    </row>
    <row r="278">
      <c r="A278" s="29" t="n"/>
      <c r="B278" s="30" t="n"/>
      <c r="C278" s="31" t="n"/>
      <c r="D278" s="29" t="n"/>
      <c r="E278" s="29" t="n"/>
      <c r="F278" s="31" t="n"/>
      <c r="G278" s="31" t="n"/>
      <c r="H278" s="29" t="n"/>
      <c r="I278" s="32">
        <f>IF(OR(NOT(AND($A278&lt;&gt;"",OR($H278="",$H278="Active"))),$F278=""),"",INT((TODAY()-$F278+280)/7)&amp;"+"&amp;MOD(TODAY()-$F278+280,7))</f>
        <v/>
      </c>
      <c r="J278" s="32">
        <f>IF(NOT(AND($A278&lt;&gt;"",OR($H278="",$H278="Active"))),"",IF($F278="",0,SUMPRODUCT(($N278:$U278="")*(($F278-(40-VALUE(LEFT($N$4:$U$4,2)))*7)&lt;TODAY())))+COUNTIF($N278:$U278,"DNA")+COUNTIF($V278:$Z278,"&lt;"&amp;TODAY()))</f>
        <v/>
      </c>
      <c r="K278" s="32">
        <f>IF(NOT(AND($A278&lt;&gt;"",OR($H278="",$H278="Active"))),"",IF($F278="",0,SUMPRODUCT(($N278:$U278="")*(($F278-(40-VALUE(LEFT($N$4:$U$4,2)))*7)&gt;=TODAY())*(($F278-(40-VALUE(LEFT($N$4:$U$4,2)))*7)&lt;=TODAY()+7)))+COUNTIFS($V278:$Z278,"&gt;="&amp;TODAY(),$V278:$Z278,"&lt;="&amp;TODAY()+7))</f>
        <v/>
      </c>
      <c r="L278" s="32">
        <f>IF(OR(NOT(AND($A278&lt;&gt;"",OR($H278="",$H278="Active"))),$F278=""),"",IF(N278="",N$4,IF(O278="",O$4,IF(P278="",P$4,IF(Q278="",Q$4,IF(R278="",R$4,IF(S278="",S$4,IF(T278="",T$4,IF(U278="",U$4,"All done")))))))))</f>
        <v/>
      </c>
      <c r="M278" s="33">
        <f>IF(OR($L278="",$L278="All done"),"",($F278-(40-VALUE(LEFT($L278,2)))*7))</f>
        <v/>
      </c>
      <c r="N278" s="31" t="n"/>
      <c r="O278" s="31" t="n"/>
      <c r="P278" s="31" t="n"/>
      <c r="Q278" s="31" t="n"/>
      <c r="R278" s="31" t="n"/>
      <c r="S278" s="31" t="n"/>
      <c r="T278" s="31" t="n"/>
      <c r="U278" s="31" t="n"/>
      <c r="V278" s="31" t="n"/>
      <c r="W278" s="31" t="n"/>
      <c r="X278" s="31" t="n"/>
      <c r="Y278" s="31" t="n"/>
      <c r="Z278" s="31" t="n"/>
      <c r="AA278" s="34" t="n"/>
      <c r="AB278" s="29" t="n"/>
      <c r="AC278" s="31" t="n"/>
    </row>
    <row r="279">
      <c r="A279" s="29" t="n"/>
      <c r="B279" s="30" t="n"/>
      <c r="C279" s="31" t="n"/>
      <c r="D279" s="29" t="n"/>
      <c r="E279" s="29" t="n"/>
      <c r="F279" s="31" t="n"/>
      <c r="G279" s="31" t="n"/>
      <c r="H279" s="29" t="n"/>
      <c r="I279" s="32">
        <f>IF(OR(NOT(AND($A279&lt;&gt;"",OR($H279="",$H279="Active"))),$F279=""),"",INT((TODAY()-$F279+280)/7)&amp;"+"&amp;MOD(TODAY()-$F279+280,7))</f>
        <v/>
      </c>
      <c r="J279" s="32">
        <f>IF(NOT(AND($A279&lt;&gt;"",OR($H279="",$H279="Active"))),"",IF($F279="",0,SUMPRODUCT(($N279:$U279="")*(($F279-(40-VALUE(LEFT($N$4:$U$4,2)))*7)&lt;TODAY())))+COUNTIF($N279:$U279,"DNA")+COUNTIF($V279:$Z279,"&lt;"&amp;TODAY()))</f>
        <v/>
      </c>
      <c r="K279" s="32">
        <f>IF(NOT(AND($A279&lt;&gt;"",OR($H279="",$H279="Active"))),"",IF($F279="",0,SUMPRODUCT(($N279:$U279="")*(($F279-(40-VALUE(LEFT($N$4:$U$4,2)))*7)&gt;=TODAY())*(($F279-(40-VALUE(LEFT($N$4:$U$4,2)))*7)&lt;=TODAY()+7)))+COUNTIFS($V279:$Z279,"&gt;="&amp;TODAY(),$V279:$Z279,"&lt;="&amp;TODAY()+7))</f>
        <v/>
      </c>
      <c r="L279" s="32">
        <f>IF(OR(NOT(AND($A279&lt;&gt;"",OR($H279="",$H279="Active"))),$F279=""),"",IF(N279="",N$4,IF(O279="",O$4,IF(P279="",P$4,IF(Q279="",Q$4,IF(R279="",R$4,IF(S279="",S$4,IF(T279="",T$4,IF(U279="",U$4,"All done")))))))))</f>
        <v/>
      </c>
      <c r="M279" s="33">
        <f>IF(OR($L279="",$L279="All done"),"",($F279-(40-VALUE(LEFT($L279,2)))*7))</f>
        <v/>
      </c>
      <c r="N279" s="31" t="n"/>
      <c r="O279" s="31" t="n"/>
      <c r="P279" s="31" t="n"/>
      <c r="Q279" s="31" t="n"/>
      <c r="R279" s="31" t="n"/>
      <c r="S279" s="31" t="n"/>
      <c r="T279" s="31" t="n"/>
      <c r="U279" s="31" t="n"/>
      <c r="V279" s="31" t="n"/>
      <c r="W279" s="31" t="n"/>
      <c r="X279" s="31" t="n"/>
      <c r="Y279" s="31" t="n"/>
      <c r="Z279" s="31" t="n"/>
      <c r="AA279" s="34" t="n"/>
      <c r="AB279" s="29" t="n"/>
      <c r="AC279" s="31" t="n"/>
    </row>
    <row r="280">
      <c r="A280" s="29" t="n"/>
      <c r="B280" s="30" t="n"/>
      <c r="C280" s="31" t="n"/>
      <c r="D280" s="29" t="n"/>
      <c r="E280" s="29" t="n"/>
      <c r="F280" s="31" t="n"/>
      <c r="G280" s="31" t="n"/>
      <c r="H280" s="29" t="n"/>
      <c r="I280" s="32">
        <f>IF(OR(NOT(AND($A280&lt;&gt;"",OR($H280="",$H280="Active"))),$F280=""),"",INT((TODAY()-$F280+280)/7)&amp;"+"&amp;MOD(TODAY()-$F280+280,7))</f>
        <v/>
      </c>
      <c r="J280" s="32">
        <f>IF(NOT(AND($A280&lt;&gt;"",OR($H280="",$H280="Active"))),"",IF($F280="",0,SUMPRODUCT(($N280:$U280="")*(($F280-(40-VALUE(LEFT($N$4:$U$4,2)))*7)&lt;TODAY())))+COUNTIF($N280:$U280,"DNA")+COUNTIF($V280:$Z280,"&lt;"&amp;TODAY()))</f>
        <v/>
      </c>
      <c r="K280" s="32">
        <f>IF(NOT(AND($A280&lt;&gt;"",OR($H280="",$H280="Active"))),"",IF($F280="",0,SUMPRODUCT(($N280:$U280="")*(($F280-(40-VALUE(LEFT($N$4:$U$4,2)))*7)&gt;=TODAY())*(($F280-(40-VALUE(LEFT($N$4:$U$4,2)))*7)&lt;=TODAY()+7)))+COUNTIFS($V280:$Z280,"&gt;="&amp;TODAY(),$V280:$Z280,"&lt;="&amp;TODAY()+7))</f>
        <v/>
      </c>
      <c r="L280" s="32">
        <f>IF(OR(NOT(AND($A280&lt;&gt;"",OR($H280="",$H280="Active"))),$F280=""),"",IF(N280="",N$4,IF(O280="",O$4,IF(P280="",P$4,IF(Q280="",Q$4,IF(R280="",R$4,IF(S280="",S$4,IF(T280="",T$4,IF(U280="",U$4,"All done")))))))))</f>
        <v/>
      </c>
      <c r="M280" s="33">
        <f>IF(OR($L280="",$L280="All done"),"",($F280-(40-VALUE(LEFT($L280,2)))*7))</f>
        <v/>
      </c>
      <c r="N280" s="31" t="n"/>
      <c r="O280" s="31" t="n"/>
      <c r="P280" s="31" t="n"/>
      <c r="Q280" s="31" t="n"/>
      <c r="R280" s="31" t="n"/>
      <c r="S280" s="31" t="n"/>
      <c r="T280" s="31" t="n"/>
      <c r="U280" s="31" t="n"/>
      <c r="V280" s="31" t="n"/>
      <c r="W280" s="31" t="n"/>
      <c r="X280" s="31" t="n"/>
      <c r="Y280" s="31" t="n"/>
      <c r="Z280" s="31" t="n"/>
      <c r="AA280" s="34" t="n"/>
      <c r="AB280" s="29" t="n"/>
      <c r="AC280" s="31" t="n"/>
    </row>
    <row r="281">
      <c r="A281" s="29" t="n"/>
      <c r="B281" s="30" t="n"/>
      <c r="C281" s="31" t="n"/>
      <c r="D281" s="29" t="n"/>
      <c r="E281" s="29" t="n"/>
      <c r="F281" s="31" t="n"/>
      <c r="G281" s="31" t="n"/>
      <c r="H281" s="29" t="n"/>
      <c r="I281" s="32">
        <f>IF(OR(NOT(AND($A281&lt;&gt;"",OR($H281="",$H281="Active"))),$F281=""),"",INT((TODAY()-$F281+280)/7)&amp;"+"&amp;MOD(TODAY()-$F281+280,7))</f>
        <v/>
      </c>
      <c r="J281" s="32">
        <f>IF(NOT(AND($A281&lt;&gt;"",OR($H281="",$H281="Active"))),"",IF($F281="",0,SUMPRODUCT(($N281:$U281="")*(($F281-(40-VALUE(LEFT($N$4:$U$4,2)))*7)&lt;TODAY())))+COUNTIF($N281:$U281,"DNA")+COUNTIF($V281:$Z281,"&lt;"&amp;TODAY()))</f>
        <v/>
      </c>
      <c r="K281" s="32">
        <f>IF(NOT(AND($A281&lt;&gt;"",OR($H281="",$H281="Active"))),"",IF($F281="",0,SUMPRODUCT(($N281:$U281="")*(($F281-(40-VALUE(LEFT($N$4:$U$4,2)))*7)&gt;=TODAY())*(($F281-(40-VALUE(LEFT($N$4:$U$4,2)))*7)&lt;=TODAY()+7)))+COUNTIFS($V281:$Z281,"&gt;="&amp;TODAY(),$V281:$Z281,"&lt;="&amp;TODAY()+7))</f>
        <v/>
      </c>
      <c r="L281" s="32">
        <f>IF(OR(NOT(AND($A281&lt;&gt;"",OR($H281="",$H281="Active"))),$F281=""),"",IF(N281="",N$4,IF(O281="",O$4,IF(P281="",P$4,IF(Q281="",Q$4,IF(R281="",R$4,IF(S281="",S$4,IF(T281="",T$4,IF(U281="",U$4,"All done")))))))))</f>
        <v/>
      </c>
      <c r="M281" s="33">
        <f>IF(OR($L281="",$L281="All done"),"",($F281-(40-VALUE(LEFT($L281,2)))*7))</f>
        <v/>
      </c>
      <c r="N281" s="31" t="n"/>
      <c r="O281" s="31" t="n"/>
      <c r="P281" s="31" t="n"/>
      <c r="Q281" s="31" t="n"/>
      <c r="R281" s="31" t="n"/>
      <c r="S281" s="31" t="n"/>
      <c r="T281" s="31" t="n"/>
      <c r="U281" s="31" t="n"/>
      <c r="V281" s="31" t="n"/>
      <c r="W281" s="31" t="n"/>
      <c r="X281" s="31" t="n"/>
      <c r="Y281" s="31" t="n"/>
      <c r="Z281" s="31" t="n"/>
      <c r="AA281" s="34" t="n"/>
      <c r="AB281" s="29" t="n"/>
      <c r="AC281" s="31" t="n"/>
    </row>
    <row r="282">
      <c r="A282" s="29" t="n"/>
      <c r="B282" s="30" t="n"/>
      <c r="C282" s="31" t="n"/>
      <c r="D282" s="29" t="n"/>
      <c r="E282" s="29" t="n"/>
      <c r="F282" s="31" t="n"/>
      <c r="G282" s="31" t="n"/>
      <c r="H282" s="29" t="n"/>
      <c r="I282" s="32">
        <f>IF(OR(NOT(AND($A282&lt;&gt;"",OR($H282="",$H282="Active"))),$F282=""),"",INT((TODAY()-$F282+280)/7)&amp;"+"&amp;MOD(TODAY()-$F282+280,7))</f>
        <v/>
      </c>
      <c r="J282" s="32">
        <f>IF(NOT(AND($A282&lt;&gt;"",OR($H282="",$H282="Active"))),"",IF($F282="",0,SUMPRODUCT(($N282:$U282="")*(($F282-(40-VALUE(LEFT($N$4:$U$4,2)))*7)&lt;TODAY())))+COUNTIF($N282:$U282,"DNA")+COUNTIF($V282:$Z282,"&lt;"&amp;TODAY()))</f>
        <v/>
      </c>
      <c r="K282" s="32">
        <f>IF(NOT(AND($A282&lt;&gt;"",OR($H282="",$H282="Active"))),"",IF($F282="",0,SUMPRODUCT(($N282:$U282="")*(($F282-(40-VALUE(LEFT($N$4:$U$4,2)))*7)&gt;=TODAY())*(($F282-(40-VALUE(LEFT($N$4:$U$4,2)))*7)&lt;=TODAY()+7)))+COUNTIFS($V282:$Z282,"&gt;="&amp;TODAY(),$V282:$Z282,"&lt;="&amp;TODAY()+7))</f>
        <v/>
      </c>
      <c r="L282" s="32">
        <f>IF(OR(NOT(AND($A282&lt;&gt;"",OR($H282="",$H282="Active"))),$F282=""),"",IF(N282="",N$4,IF(O282="",O$4,IF(P282="",P$4,IF(Q282="",Q$4,IF(R282="",R$4,IF(S282="",S$4,IF(T282="",T$4,IF(U282="",U$4,"All done")))))))))</f>
        <v/>
      </c>
      <c r="M282" s="33">
        <f>IF(OR($L282="",$L282="All done"),"",($F282-(40-VALUE(LEFT($L282,2)))*7))</f>
        <v/>
      </c>
      <c r="N282" s="31" t="n"/>
      <c r="O282" s="31" t="n"/>
      <c r="P282" s="31" t="n"/>
      <c r="Q282" s="31" t="n"/>
      <c r="R282" s="31" t="n"/>
      <c r="S282" s="31" t="n"/>
      <c r="T282" s="31" t="n"/>
      <c r="U282" s="31" t="n"/>
      <c r="V282" s="31" t="n"/>
      <c r="W282" s="31" t="n"/>
      <c r="X282" s="31" t="n"/>
      <c r="Y282" s="31" t="n"/>
      <c r="Z282" s="31" t="n"/>
      <c r="AA282" s="34" t="n"/>
      <c r="AB282" s="29" t="n"/>
      <c r="AC282" s="31" t="n"/>
    </row>
    <row r="283">
      <c r="A283" s="29" t="n"/>
      <c r="B283" s="30" t="n"/>
      <c r="C283" s="31" t="n"/>
      <c r="D283" s="29" t="n"/>
      <c r="E283" s="29" t="n"/>
      <c r="F283" s="31" t="n"/>
      <c r="G283" s="31" t="n"/>
      <c r="H283" s="29" t="n"/>
      <c r="I283" s="32">
        <f>IF(OR(NOT(AND($A283&lt;&gt;"",OR($H283="",$H283="Active"))),$F283=""),"",INT((TODAY()-$F283+280)/7)&amp;"+"&amp;MOD(TODAY()-$F283+280,7))</f>
        <v/>
      </c>
      <c r="J283" s="32">
        <f>IF(NOT(AND($A283&lt;&gt;"",OR($H283="",$H283="Active"))),"",IF($F283="",0,SUMPRODUCT(($N283:$U283="")*(($F283-(40-VALUE(LEFT($N$4:$U$4,2)))*7)&lt;TODAY())))+COUNTIF($N283:$U283,"DNA")+COUNTIF($V283:$Z283,"&lt;"&amp;TODAY()))</f>
        <v/>
      </c>
      <c r="K283" s="32">
        <f>IF(NOT(AND($A283&lt;&gt;"",OR($H283="",$H283="Active"))),"",IF($F283="",0,SUMPRODUCT(($N283:$U283="")*(($F283-(40-VALUE(LEFT($N$4:$U$4,2)))*7)&gt;=TODAY())*(($F283-(40-VALUE(LEFT($N$4:$U$4,2)))*7)&lt;=TODAY()+7)))+COUNTIFS($V283:$Z283,"&gt;="&amp;TODAY(),$V283:$Z283,"&lt;="&amp;TODAY()+7))</f>
        <v/>
      </c>
      <c r="L283" s="32">
        <f>IF(OR(NOT(AND($A283&lt;&gt;"",OR($H283="",$H283="Active"))),$F283=""),"",IF(N283="",N$4,IF(O283="",O$4,IF(P283="",P$4,IF(Q283="",Q$4,IF(R283="",R$4,IF(S283="",S$4,IF(T283="",T$4,IF(U283="",U$4,"All done")))))))))</f>
        <v/>
      </c>
      <c r="M283" s="33">
        <f>IF(OR($L283="",$L283="All done"),"",($F283-(40-VALUE(LEFT($L283,2)))*7))</f>
        <v/>
      </c>
      <c r="N283" s="31" t="n"/>
      <c r="O283" s="31" t="n"/>
      <c r="P283" s="31" t="n"/>
      <c r="Q283" s="31" t="n"/>
      <c r="R283" s="31" t="n"/>
      <c r="S283" s="31" t="n"/>
      <c r="T283" s="31" t="n"/>
      <c r="U283" s="31" t="n"/>
      <c r="V283" s="31" t="n"/>
      <c r="W283" s="31" t="n"/>
      <c r="X283" s="31" t="n"/>
      <c r="Y283" s="31" t="n"/>
      <c r="Z283" s="31" t="n"/>
      <c r="AA283" s="34" t="n"/>
      <c r="AB283" s="29" t="n"/>
      <c r="AC283" s="31" t="n"/>
    </row>
    <row r="284">
      <c r="A284" s="29" t="n"/>
      <c r="B284" s="30" t="n"/>
      <c r="C284" s="31" t="n"/>
      <c r="D284" s="29" t="n"/>
      <c r="E284" s="29" t="n"/>
      <c r="F284" s="31" t="n"/>
      <c r="G284" s="31" t="n"/>
      <c r="H284" s="29" t="n"/>
      <c r="I284" s="32">
        <f>IF(OR(NOT(AND($A284&lt;&gt;"",OR($H284="",$H284="Active"))),$F284=""),"",INT((TODAY()-$F284+280)/7)&amp;"+"&amp;MOD(TODAY()-$F284+280,7))</f>
        <v/>
      </c>
      <c r="J284" s="32">
        <f>IF(NOT(AND($A284&lt;&gt;"",OR($H284="",$H284="Active"))),"",IF($F284="",0,SUMPRODUCT(($N284:$U284="")*(($F284-(40-VALUE(LEFT($N$4:$U$4,2)))*7)&lt;TODAY())))+COUNTIF($N284:$U284,"DNA")+COUNTIF($V284:$Z284,"&lt;"&amp;TODAY()))</f>
        <v/>
      </c>
      <c r="K284" s="32">
        <f>IF(NOT(AND($A284&lt;&gt;"",OR($H284="",$H284="Active"))),"",IF($F284="",0,SUMPRODUCT(($N284:$U284="")*(($F284-(40-VALUE(LEFT($N$4:$U$4,2)))*7)&gt;=TODAY())*(($F284-(40-VALUE(LEFT($N$4:$U$4,2)))*7)&lt;=TODAY()+7)))+COUNTIFS($V284:$Z284,"&gt;="&amp;TODAY(),$V284:$Z284,"&lt;="&amp;TODAY()+7))</f>
        <v/>
      </c>
      <c r="L284" s="32">
        <f>IF(OR(NOT(AND($A284&lt;&gt;"",OR($H284="",$H284="Active"))),$F284=""),"",IF(N284="",N$4,IF(O284="",O$4,IF(P284="",P$4,IF(Q284="",Q$4,IF(R284="",R$4,IF(S284="",S$4,IF(T284="",T$4,IF(U284="",U$4,"All done")))))))))</f>
        <v/>
      </c>
      <c r="M284" s="33">
        <f>IF(OR($L284="",$L284="All done"),"",($F284-(40-VALUE(LEFT($L284,2)))*7))</f>
        <v/>
      </c>
      <c r="N284" s="31" t="n"/>
      <c r="O284" s="31" t="n"/>
      <c r="P284" s="31" t="n"/>
      <c r="Q284" s="31" t="n"/>
      <c r="R284" s="31" t="n"/>
      <c r="S284" s="31" t="n"/>
      <c r="T284" s="31" t="n"/>
      <c r="U284" s="31" t="n"/>
      <c r="V284" s="31" t="n"/>
      <c r="W284" s="31" t="n"/>
      <c r="X284" s="31" t="n"/>
      <c r="Y284" s="31" t="n"/>
      <c r="Z284" s="31" t="n"/>
      <c r="AA284" s="34" t="n"/>
      <c r="AB284" s="29" t="n"/>
      <c r="AC284" s="31" t="n"/>
    </row>
    <row r="285">
      <c r="A285" s="29" t="n"/>
      <c r="B285" s="30" t="n"/>
      <c r="C285" s="31" t="n"/>
      <c r="D285" s="29" t="n"/>
      <c r="E285" s="29" t="n"/>
      <c r="F285" s="31" t="n"/>
      <c r="G285" s="31" t="n"/>
      <c r="H285" s="29" t="n"/>
      <c r="I285" s="32">
        <f>IF(OR(NOT(AND($A285&lt;&gt;"",OR($H285="",$H285="Active"))),$F285=""),"",INT((TODAY()-$F285+280)/7)&amp;"+"&amp;MOD(TODAY()-$F285+280,7))</f>
        <v/>
      </c>
      <c r="J285" s="32">
        <f>IF(NOT(AND($A285&lt;&gt;"",OR($H285="",$H285="Active"))),"",IF($F285="",0,SUMPRODUCT(($N285:$U285="")*(($F285-(40-VALUE(LEFT($N$4:$U$4,2)))*7)&lt;TODAY())))+COUNTIF($N285:$U285,"DNA")+COUNTIF($V285:$Z285,"&lt;"&amp;TODAY()))</f>
        <v/>
      </c>
      <c r="K285" s="32">
        <f>IF(NOT(AND($A285&lt;&gt;"",OR($H285="",$H285="Active"))),"",IF($F285="",0,SUMPRODUCT(($N285:$U285="")*(($F285-(40-VALUE(LEFT($N$4:$U$4,2)))*7)&gt;=TODAY())*(($F285-(40-VALUE(LEFT($N$4:$U$4,2)))*7)&lt;=TODAY()+7)))+COUNTIFS($V285:$Z285,"&gt;="&amp;TODAY(),$V285:$Z285,"&lt;="&amp;TODAY()+7))</f>
        <v/>
      </c>
      <c r="L285" s="32">
        <f>IF(OR(NOT(AND($A285&lt;&gt;"",OR($H285="",$H285="Active"))),$F285=""),"",IF(N285="",N$4,IF(O285="",O$4,IF(P285="",P$4,IF(Q285="",Q$4,IF(R285="",R$4,IF(S285="",S$4,IF(T285="",T$4,IF(U285="",U$4,"All done")))))))))</f>
        <v/>
      </c>
      <c r="M285" s="33">
        <f>IF(OR($L285="",$L285="All done"),"",($F285-(40-VALUE(LEFT($L285,2)))*7))</f>
        <v/>
      </c>
      <c r="N285" s="31" t="n"/>
      <c r="O285" s="31" t="n"/>
      <c r="P285" s="31" t="n"/>
      <c r="Q285" s="31" t="n"/>
      <c r="R285" s="31" t="n"/>
      <c r="S285" s="31" t="n"/>
      <c r="T285" s="31" t="n"/>
      <c r="U285" s="31" t="n"/>
      <c r="V285" s="31" t="n"/>
      <c r="W285" s="31" t="n"/>
      <c r="X285" s="31" t="n"/>
      <c r="Y285" s="31" t="n"/>
      <c r="Z285" s="31" t="n"/>
      <c r="AA285" s="34" t="n"/>
      <c r="AB285" s="29" t="n"/>
      <c r="AC285" s="31" t="n"/>
    </row>
    <row r="286">
      <c r="A286" s="29" t="n"/>
      <c r="B286" s="30" t="n"/>
      <c r="C286" s="31" t="n"/>
      <c r="D286" s="29" t="n"/>
      <c r="E286" s="29" t="n"/>
      <c r="F286" s="31" t="n"/>
      <c r="G286" s="31" t="n"/>
      <c r="H286" s="29" t="n"/>
      <c r="I286" s="32">
        <f>IF(OR(NOT(AND($A286&lt;&gt;"",OR($H286="",$H286="Active"))),$F286=""),"",INT((TODAY()-$F286+280)/7)&amp;"+"&amp;MOD(TODAY()-$F286+280,7))</f>
        <v/>
      </c>
      <c r="J286" s="32">
        <f>IF(NOT(AND($A286&lt;&gt;"",OR($H286="",$H286="Active"))),"",IF($F286="",0,SUMPRODUCT(($N286:$U286="")*(($F286-(40-VALUE(LEFT($N$4:$U$4,2)))*7)&lt;TODAY())))+COUNTIF($N286:$U286,"DNA")+COUNTIF($V286:$Z286,"&lt;"&amp;TODAY()))</f>
        <v/>
      </c>
      <c r="K286" s="32">
        <f>IF(NOT(AND($A286&lt;&gt;"",OR($H286="",$H286="Active"))),"",IF($F286="",0,SUMPRODUCT(($N286:$U286="")*(($F286-(40-VALUE(LEFT($N$4:$U$4,2)))*7)&gt;=TODAY())*(($F286-(40-VALUE(LEFT($N$4:$U$4,2)))*7)&lt;=TODAY()+7)))+COUNTIFS($V286:$Z286,"&gt;="&amp;TODAY(),$V286:$Z286,"&lt;="&amp;TODAY()+7))</f>
        <v/>
      </c>
      <c r="L286" s="32">
        <f>IF(OR(NOT(AND($A286&lt;&gt;"",OR($H286="",$H286="Active"))),$F286=""),"",IF(N286="",N$4,IF(O286="",O$4,IF(P286="",P$4,IF(Q286="",Q$4,IF(R286="",R$4,IF(S286="",S$4,IF(T286="",T$4,IF(U286="",U$4,"All done")))))))))</f>
        <v/>
      </c>
      <c r="M286" s="33">
        <f>IF(OR($L286="",$L286="All done"),"",($F286-(40-VALUE(LEFT($L286,2)))*7))</f>
        <v/>
      </c>
      <c r="N286" s="31" t="n"/>
      <c r="O286" s="31" t="n"/>
      <c r="P286" s="31" t="n"/>
      <c r="Q286" s="31" t="n"/>
      <c r="R286" s="31" t="n"/>
      <c r="S286" s="31" t="n"/>
      <c r="T286" s="31" t="n"/>
      <c r="U286" s="31" t="n"/>
      <c r="V286" s="31" t="n"/>
      <c r="W286" s="31" t="n"/>
      <c r="X286" s="31" t="n"/>
      <c r="Y286" s="31" t="n"/>
      <c r="Z286" s="31" t="n"/>
      <c r="AA286" s="34" t="n"/>
      <c r="AB286" s="29" t="n"/>
      <c r="AC286" s="31" t="n"/>
    </row>
    <row r="287">
      <c r="A287" s="29" t="n"/>
      <c r="B287" s="30" t="n"/>
      <c r="C287" s="31" t="n"/>
      <c r="D287" s="29" t="n"/>
      <c r="E287" s="29" t="n"/>
      <c r="F287" s="31" t="n"/>
      <c r="G287" s="31" t="n"/>
      <c r="H287" s="29" t="n"/>
      <c r="I287" s="32">
        <f>IF(OR(NOT(AND($A287&lt;&gt;"",OR($H287="",$H287="Active"))),$F287=""),"",INT((TODAY()-$F287+280)/7)&amp;"+"&amp;MOD(TODAY()-$F287+280,7))</f>
        <v/>
      </c>
      <c r="J287" s="32">
        <f>IF(NOT(AND($A287&lt;&gt;"",OR($H287="",$H287="Active"))),"",IF($F287="",0,SUMPRODUCT(($N287:$U287="")*(($F287-(40-VALUE(LEFT($N$4:$U$4,2)))*7)&lt;TODAY())))+COUNTIF($N287:$U287,"DNA")+COUNTIF($V287:$Z287,"&lt;"&amp;TODAY()))</f>
        <v/>
      </c>
      <c r="K287" s="32">
        <f>IF(NOT(AND($A287&lt;&gt;"",OR($H287="",$H287="Active"))),"",IF($F287="",0,SUMPRODUCT(($N287:$U287="")*(($F287-(40-VALUE(LEFT($N$4:$U$4,2)))*7)&gt;=TODAY())*(($F287-(40-VALUE(LEFT($N$4:$U$4,2)))*7)&lt;=TODAY()+7)))+COUNTIFS($V287:$Z287,"&gt;="&amp;TODAY(),$V287:$Z287,"&lt;="&amp;TODAY()+7))</f>
        <v/>
      </c>
      <c r="L287" s="32">
        <f>IF(OR(NOT(AND($A287&lt;&gt;"",OR($H287="",$H287="Active"))),$F287=""),"",IF(N287="",N$4,IF(O287="",O$4,IF(P287="",P$4,IF(Q287="",Q$4,IF(R287="",R$4,IF(S287="",S$4,IF(T287="",T$4,IF(U287="",U$4,"All done")))))))))</f>
        <v/>
      </c>
      <c r="M287" s="33">
        <f>IF(OR($L287="",$L287="All done"),"",($F287-(40-VALUE(LEFT($L287,2)))*7))</f>
        <v/>
      </c>
      <c r="N287" s="31" t="n"/>
      <c r="O287" s="31" t="n"/>
      <c r="P287" s="31" t="n"/>
      <c r="Q287" s="31" t="n"/>
      <c r="R287" s="31" t="n"/>
      <c r="S287" s="31" t="n"/>
      <c r="T287" s="31" t="n"/>
      <c r="U287" s="31" t="n"/>
      <c r="V287" s="31" t="n"/>
      <c r="W287" s="31" t="n"/>
      <c r="X287" s="31" t="n"/>
      <c r="Y287" s="31" t="n"/>
      <c r="Z287" s="31" t="n"/>
      <c r="AA287" s="34" t="n"/>
      <c r="AB287" s="29" t="n"/>
      <c r="AC287" s="31" t="n"/>
    </row>
    <row r="288">
      <c r="A288" s="29" t="n"/>
      <c r="B288" s="30" t="n"/>
      <c r="C288" s="31" t="n"/>
      <c r="D288" s="29" t="n"/>
      <c r="E288" s="29" t="n"/>
      <c r="F288" s="31" t="n"/>
      <c r="G288" s="31" t="n"/>
      <c r="H288" s="29" t="n"/>
      <c r="I288" s="32">
        <f>IF(OR(NOT(AND($A288&lt;&gt;"",OR($H288="",$H288="Active"))),$F288=""),"",INT((TODAY()-$F288+280)/7)&amp;"+"&amp;MOD(TODAY()-$F288+280,7))</f>
        <v/>
      </c>
      <c r="J288" s="32">
        <f>IF(NOT(AND($A288&lt;&gt;"",OR($H288="",$H288="Active"))),"",IF($F288="",0,SUMPRODUCT(($N288:$U288="")*(($F288-(40-VALUE(LEFT($N$4:$U$4,2)))*7)&lt;TODAY())))+COUNTIF($N288:$U288,"DNA")+COUNTIF($V288:$Z288,"&lt;"&amp;TODAY()))</f>
        <v/>
      </c>
      <c r="K288" s="32">
        <f>IF(NOT(AND($A288&lt;&gt;"",OR($H288="",$H288="Active"))),"",IF($F288="",0,SUMPRODUCT(($N288:$U288="")*(($F288-(40-VALUE(LEFT($N$4:$U$4,2)))*7)&gt;=TODAY())*(($F288-(40-VALUE(LEFT($N$4:$U$4,2)))*7)&lt;=TODAY()+7)))+COUNTIFS($V288:$Z288,"&gt;="&amp;TODAY(),$V288:$Z288,"&lt;="&amp;TODAY()+7))</f>
        <v/>
      </c>
      <c r="L288" s="32">
        <f>IF(OR(NOT(AND($A288&lt;&gt;"",OR($H288="",$H288="Active"))),$F288=""),"",IF(N288="",N$4,IF(O288="",O$4,IF(P288="",P$4,IF(Q288="",Q$4,IF(R288="",R$4,IF(S288="",S$4,IF(T288="",T$4,IF(U288="",U$4,"All done")))))))))</f>
        <v/>
      </c>
      <c r="M288" s="33">
        <f>IF(OR($L288="",$L288="All done"),"",($F288-(40-VALUE(LEFT($L288,2)))*7))</f>
        <v/>
      </c>
      <c r="N288" s="31" t="n"/>
      <c r="O288" s="31" t="n"/>
      <c r="P288" s="31" t="n"/>
      <c r="Q288" s="31" t="n"/>
      <c r="R288" s="31" t="n"/>
      <c r="S288" s="31" t="n"/>
      <c r="T288" s="31" t="n"/>
      <c r="U288" s="31" t="n"/>
      <c r="V288" s="31" t="n"/>
      <c r="W288" s="31" t="n"/>
      <c r="X288" s="31" t="n"/>
      <c r="Y288" s="31" t="n"/>
      <c r="Z288" s="31" t="n"/>
      <c r="AA288" s="34" t="n"/>
      <c r="AB288" s="29" t="n"/>
      <c r="AC288" s="31" t="n"/>
    </row>
    <row r="289">
      <c r="A289" s="29" t="n"/>
      <c r="B289" s="30" t="n"/>
      <c r="C289" s="31" t="n"/>
      <c r="D289" s="29" t="n"/>
      <c r="E289" s="29" t="n"/>
      <c r="F289" s="31" t="n"/>
      <c r="G289" s="31" t="n"/>
      <c r="H289" s="29" t="n"/>
      <c r="I289" s="32">
        <f>IF(OR(NOT(AND($A289&lt;&gt;"",OR($H289="",$H289="Active"))),$F289=""),"",INT((TODAY()-$F289+280)/7)&amp;"+"&amp;MOD(TODAY()-$F289+280,7))</f>
        <v/>
      </c>
      <c r="J289" s="32">
        <f>IF(NOT(AND($A289&lt;&gt;"",OR($H289="",$H289="Active"))),"",IF($F289="",0,SUMPRODUCT(($N289:$U289="")*(($F289-(40-VALUE(LEFT($N$4:$U$4,2)))*7)&lt;TODAY())))+COUNTIF($N289:$U289,"DNA")+COUNTIF($V289:$Z289,"&lt;"&amp;TODAY()))</f>
        <v/>
      </c>
      <c r="K289" s="32">
        <f>IF(NOT(AND($A289&lt;&gt;"",OR($H289="",$H289="Active"))),"",IF($F289="",0,SUMPRODUCT(($N289:$U289="")*(($F289-(40-VALUE(LEFT($N$4:$U$4,2)))*7)&gt;=TODAY())*(($F289-(40-VALUE(LEFT($N$4:$U$4,2)))*7)&lt;=TODAY()+7)))+COUNTIFS($V289:$Z289,"&gt;="&amp;TODAY(),$V289:$Z289,"&lt;="&amp;TODAY()+7))</f>
        <v/>
      </c>
      <c r="L289" s="32">
        <f>IF(OR(NOT(AND($A289&lt;&gt;"",OR($H289="",$H289="Active"))),$F289=""),"",IF(N289="",N$4,IF(O289="",O$4,IF(P289="",P$4,IF(Q289="",Q$4,IF(R289="",R$4,IF(S289="",S$4,IF(T289="",T$4,IF(U289="",U$4,"All done")))))))))</f>
        <v/>
      </c>
      <c r="M289" s="33">
        <f>IF(OR($L289="",$L289="All done"),"",($F289-(40-VALUE(LEFT($L289,2)))*7))</f>
        <v/>
      </c>
      <c r="N289" s="31" t="n"/>
      <c r="O289" s="31" t="n"/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4" t="n"/>
      <c r="AB289" s="29" t="n"/>
      <c r="AC289" s="31" t="n"/>
    </row>
    <row r="290">
      <c r="A290" s="29" t="n"/>
      <c r="B290" s="30" t="n"/>
      <c r="C290" s="31" t="n"/>
      <c r="D290" s="29" t="n"/>
      <c r="E290" s="29" t="n"/>
      <c r="F290" s="31" t="n"/>
      <c r="G290" s="31" t="n"/>
      <c r="H290" s="29" t="n"/>
      <c r="I290" s="32">
        <f>IF(OR(NOT(AND($A290&lt;&gt;"",OR($H290="",$H290="Active"))),$F290=""),"",INT((TODAY()-$F290+280)/7)&amp;"+"&amp;MOD(TODAY()-$F290+280,7))</f>
        <v/>
      </c>
      <c r="J290" s="32">
        <f>IF(NOT(AND($A290&lt;&gt;"",OR($H290="",$H290="Active"))),"",IF($F290="",0,SUMPRODUCT(($N290:$U290="")*(($F290-(40-VALUE(LEFT($N$4:$U$4,2)))*7)&lt;TODAY())))+COUNTIF($N290:$U290,"DNA")+COUNTIF($V290:$Z290,"&lt;"&amp;TODAY()))</f>
        <v/>
      </c>
      <c r="K290" s="32">
        <f>IF(NOT(AND($A290&lt;&gt;"",OR($H290="",$H290="Active"))),"",IF($F290="",0,SUMPRODUCT(($N290:$U290="")*(($F290-(40-VALUE(LEFT($N$4:$U$4,2)))*7)&gt;=TODAY())*(($F290-(40-VALUE(LEFT($N$4:$U$4,2)))*7)&lt;=TODAY()+7)))+COUNTIFS($V290:$Z290,"&gt;="&amp;TODAY(),$V290:$Z290,"&lt;="&amp;TODAY()+7))</f>
        <v/>
      </c>
      <c r="L290" s="32">
        <f>IF(OR(NOT(AND($A290&lt;&gt;"",OR($H290="",$H290="Active"))),$F290=""),"",IF(N290="",N$4,IF(O290="",O$4,IF(P290="",P$4,IF(Q290="",Q$4,IF(R290="",R$4,IF(S290="",S$4,IF(T290="",T$4,IF(U290="",U$4,"All done")))))))))</f>
        <v/>
      </c>
      <c r="M290" s="33">
        <f>IF(OR($L290="",$L290="All done"),"",($F290-(40-VALUE(LEFT($L290,2)))*7))</f>
        <v/>
      </c>
      <c r="N290" s="31" t="n"/>
      <c r="O290" s="31" t="n"/>
      <c r="P290" s="31" t="n"/>
      <c r="Q290" s="31" t="n"/>
      <c r="R290" s="31" t="n"/>
      <c r="S290" s="31" t="n"/>
      <c r="T290" s="31" t="n"/>
      <c r="U290" s="31" t="n"/>
      <c r="V290" s="31" t="n"/>
      <c r="W290" s="31" t="n"/>
      <c r="X290" s="31" t="n"/>
      <c r="Y290" s="31" t="n"/>
      <c r="Z290" s="31" t="n"/>
      <c r="AA290" s="34" t="n"/>
      <c r="AB290" s="29" t="n"/>
      <c r="AC290" s="31" t="n"/>
    </row>
    <row r="291">
      <c r="A291" s="29" t="n"/>
      <c r="B291" s="30" t="n"/>
      <c r="C291" s="31" t="n"/>
      <c r="D291" s="29" t="n"/>
      <c r="E291" s="29" t="n"/>
      <c r="F291" s="31" t="n"/>
      <c r="G291" s="31" t="n"/>
      <c r="H291" s="29" t="n"/>
      <c r="I291" s="32">
        <f>IF(OR(NOT(AND($A291&lt;&gt;"",OR($H291="",$H291="Active"))),$F291=""),"",INT((TODAY()-$F291+280)/7)&amp;"+"&amp;MOD(TODAY()-$F291+280,7))</f>
        <v/>
      </c>
      <c r="J291" s="32">
        <f>IF(NOT(AND($A291&lt;&gt;"",OR($H291="",$H291="Active"))),"",IF($F291="",0,SUMPRODUCT(($N291:$U291="")*(($F291-(40-VALUE(LEFT($N$4:$U$4,2)))*7)&lt;TODAY())))+COUNTIF($N291:$U291,"DNA")+COUNTIF($V291:$Z291,"&lt;"&amp;TODAY()))</f>
        <v/>
      </c>
      <c r="K291" s="32">
        <f>IF(NOT(AND($A291&lt;&gt;"",OR($H291="",$H291="Active"))),"",IF($F291="",0,SUMPRODUCT(($N291:$U291="")*(($F291-(40-VALUE(LEFT($N$4:$U$4,2)))*7)&gt;=TODAY())*(($F291-(40-VALUE(LEFT($N$4:$U$4,2)))*7)&lt;=TODAY()+7)))+COUNTIFS($V291:$Z291,"&gt;="&amp;TODAY(),$V291:$Z291,"&lt;="&amp;TODAY()+7))</f>
        <v/>
      </c>
      <c r="L291" s="32">
        <f>IF(OR(NOT(AND($A291&lt;&gt;"",OR($H291="",$H291="Active"))),$F291=""),"",IF(N291="",N$4,IF(O291="",O$4,IF(P291="",P$4,IF(Q291="",Q$4,IF(R291="",R$4,IF(S291="",S$4,IF(T291="",T$4,IF(U291="",U$4,"All done")))))))))</f>
        <v/>
      </c>
      <c r="M291" s="33">
        <f>IF(OR($L291="",$L291="All done"),"",($F291-(40-VALUE(LEFT($L291,2)))*7))</f>
        <v/>
      </c>
      <c r="N291" s="31" t="n"/>
      <c r="O291" s="31" t="n"/>
      <c r="P291" s="31" t="n"/>
      <c r="Q291" s="31" t="n"/>
      <c r="R291" s="31" t="n"/>
      <c r="S291" s="31" t="n"/>
      <c r="T291" s="31" t="n"/>
      <c r="U291" s="31" t="n"/>
      <c r="V291" s="31" t="n"/>
      <c r="W291" s="31" t="n"/>
      <c r="X291" s="31" t="n"/>
      <c r="Y291" s="31" t="n"/>
      <c r="Z291" s="31" t="n"/>
      <c r="AA291" s="34" t="n"/>
      <c r="AB291" s="29" t="n"/>
      <c r="AC291" s="31" t="n"/>
    </row>
    <row r="292">
      <c r="A292" s="29" t="n"/>
      <c r="B292" s="30" t="n"/>
      <c r="C292" s="31" t="n"/>
      <c r="D292" s="29" t="n"/>
      <c r="E292" s="29" t="n"/>
      <c r="F292" s="31" t="n"/>
      <c r="G292" s="31" t="n"/>
      <c r="H292" s="29" t="n"/>
      <c r="I292" s="32">
        <f>IF(OR(NOT(AND($A292&lt;&gt;"",OR($H292="",$H292="Active"))),$F292=""),"",INT((TODAY()-$F292+280)/7)&amp;"+"&amp;MOD(TODAY()-$F292+280,7))</f>
        <v/>
      </c>
      <c r="J292" s="32">
        <f>IF(NOT(AND($A292&lt;&gt;"",OR($H292="",$H292="Active"))),"",IF($F292="",0,SUMPRODUCT(($N292:$U292="")*(($F292-(40-VALUE(LEFT($N$4:$U$4,2)))*7)&lt;TODAY())))+COUNTIF($N292:$U292,"DNA")+COUNTIF($V292:$Z292,"&lt;"&amp;TODAY()))</f>
        <v/>
      </c>
      <c r="K292" s="32">
        <f>IF(NOT(AND($A292&lt;&gt;"",OR($H292="",$H292="Active"))),"",IF($F292="",0,SUMPRODUCT(($N292:$U292="")*(($F292-(40-VALUE(LEFT($N$4:$U$4,2)))*7)&gt;=TODAY())*(($F292-(40-VALUE(LEFT($N$4:$U$4,2)))*7)&lt;=TODAY()+7)))+COUNTIFS($V292:$Z292,"&gt;="&amp;TODAY(),$V292:$Z292,"&lt;="&amp;TODAY()+7))</f>
        <v/>
      </c>
      <c r="L292" s="32">
        <f>IF(OR(NOT(AND($A292&lt;&gt;"",OR($H292="",$H292="Active"))),$F292=""),"",IF(N292="",N$4,IF(O292="",O$4,IF(P292="",P$4,IF(Q292="",Q$4,IF(R292="",R$4,IF(S292="",S$4,IF(T292="",T$4,IF(U292="",U$4,"All done")))))))))</f>
        <v/>
      </c>
      <c r="M292" s="33">
        <f>IF(OR($L292="",$L292="All done"),"",($F292-(40-VALUE(LEFT($L292,2)))*7))</f>
        <v/>
      </c>
      <c r="N292" s="31" t="n"/>
      <c r="O292" s="31" t="n"/>
      <c r="P292" s="31" t="n"/>
      <c r="Q292" s="31" t="n"/>
      <c r="R292" s="31" t="n"/>
      <c r="S292" s="31" t="n"/>
      <c r="T292" s="31" t="n"/>
      <c r="U292" s="31" t="n"/>
      <c r="V292" s="31" t="n"/>
      <c r="W292" s="31" t="n"/>
      <c r="X292" s="31" t="n"/>
      <c r="Y292" s="31" t="n"/>
      <c r="Z292" s="31" t="n"/>
      <c r="AA292" s="34" t="n"/>
      <c r="AB292" s="29" t="n"/>
      <c r="AC292" s="31" t="n"/>
    </row>
    <row r="293">
      <c r="A293" s="29" t="n"/>
      <c r="B293" s="30" t="n"/>
      <c r="C293" s="31" t="n"/>
      <c r="D293" s="29" t="n"/>
      <c r="E293" s="29" t="n"/>
      <c r="F293" s="31" t="n"/>
      <c r="G293" s="31" t="n"/>
      <c r="H293" s="29" t="n"/>
      <c r="I293" s="32">
        <f>IF(OR(NOT(AND($A293&lt;&gt;"",OR($H293="",$H293="Active"))),$F293=""),"",INT((TODAY()-$F293+280)/7)&amp;"+"&amp;MOD(TODAY()-$F293+280,7))</f>
        <v/>
      </c>
      <c r="J293" s="32">
        <f>IF(NOT(AND($A293&lt;&gt;"",OR($H293="",$H293="Active"))),"",IF($F293="",0,SUMPRODUCT(($N293:$U293="")*(($F293-(40-VALUE(LEFT($N$4:$U$4,2)))*7)&lt;TODAY())))+COUNTIF($N293:$U293,"DNA")+COUNTIF($V293:$Z293,"&lt;"&amp;TODAY()))</f>
        <v/>
      </c>
      <c r="K293" s="32">
        <f>IF(NOT(AND($A293&lt;&gt;"",OR($H293="",$H293="Active"))),"",IF($F293="",0,SUMPRODUCT(($N293:$U293="")*(($F293-(40-VALUE(LEFT($N$4:$U$4,2)))*7)&gt;=TODAY())*(($F293-(40-VALUE(LEFT($N$4:$U$4,2)))*7)&lt;=TODAY()+7)))+COUNTIFS($V293:$Z293,"&gt;="&amp;TODAY(),$V293:$Z293,"&lt;="&amp;TODAY()+7))</f>
        <v/>
      </c>
      <c r="L293" s="32">
        <f>IF(OR(NOT(AND($A293&lt;&gt;"",OR($H293="",$H293="Active"))),$F293=""),"",IF(N293="",N$4,IF(O293="",O$4,IF(P293="",P$4,IF(Q293="",Q$4,IF(R293="",R$4,IF(S293="",S$4,IF(T293="",T$4,IF(U293="",U$4,"All done")))))))))</f>
        <v/>
      </c>
      <c r="M293" s="33">
        <f>IF(OR($L293="",$L293="All done"),"",($F293-(40-VALUE(LEFT($L293,2)))*7))</f>
        <v/>
      </c>
      <c r="N293" s="31" t="n"/>
      <c r="O293" s="31" t="n"/>
      <c r="P293" s="31" t="n"/>
      <c r="Q293" s="31" t="n"/>
      <c r="R293" s="31" t="n"/>
      <c r="S293" s="31" t="n"/>
      <c r="T293" s="31" t="n"/>
      <c r="U293" s="31" t="n"/>
      <c r="V293" s="31" t="n"/>
      <c r="W293" s="31" t="n"/>
      <c r="X293" s="31" t="n"/>
      <c r="Y293" s="31" t="n"/>
      <c r="Z293" s="31" t="n"/>
      <c r="AA293" s="34" t="n"/>
      <c r="AB293" s="29" t="n"/>
      <c r="AC293" s="31" t="n"/>
    </row>
    <row r="294">
      <c r="A294" s="29" t="n"/>
      <c r="B294" s="30" t="n"/>
      <c r="C294" s="31" t="n"/>
      <c r="D294" s="29" t="n"/>
      <c r="E294" s="29" t="n"/>
      <c r="F294" s="31" t="n"/>
      <c r="G294" s="31" t="n"/>
      <c r="H294" s="29" t="n"/>
      <c r="I294" s="32">
        <f>IF(OR(NOT(AND($A294&lt;&gt;"",OR($H294="",$H294="Active"))),$F294=""),"",INT((TODAY()-$F294+280)/7)&amp;"+"&amp;MOD(TODAY()-$F294+280,7))</f>
        <v/>
      </c>
      <c r="J294" s="32">
        <f>IF(NOT(AND($A294&lt;&gt;"",OR($H294="",$H294="Active"))),"",IF($F294="",0,SUMPRODUCT(($N294:$U294="")*(($F294-(40-VALUE(LEFT($N$4:$U$4,2)))*7)&lt;TODAY())))+COUNTIF($N294:$U294,"DNA")+COUNTIF($V294:$Z294,"&lt;"&amp;TODAY()))</f>
        <v/>
      </c>
      <c r="K294" s="32">
        <f>IF(NOT(AND($A294&lt;&gt;"",OR($H294="",$H294="Active"))),"",IF($F294="",0,SUMPRODUCT(($N294:$U294="")*(($F294-(40-VALUE(LEFT($N$4:$U$4,2)))*7)&gt;=TODAY())*(($F294-(40-VALUE(LEFT($N$4:$U$4,2)))*7)&lt;=TODAY()+7)))+COUNTIFS($V294:$Z294,"&gt;="&amp;TODAY(),$V294:$Z294,"&lt;="&amp;TODAY()+7))</f>
        <v/>
      </c>
      <c r="L294" s="32">
        <f>IF(OR(NOT(AND($A294&lt;&gt;"",OR($H294="",$H294="Active"))),$F294=""),"",IF(N294="",N$4,IF(O294="",O$4,IF(P294="",P$4,IF(Q294="",Q$4,IF(R294="",R$4,IF(S294="",S$4,IF(T294="",T$4,IF(U294="",U$4,"All done")))))))))</f>
        <v/>
      </c>
      <c r="M294" s="33">
        <f>IF(OR($L294="",$L294="All done"),"",($F294-(40-VALUE(LEFT($L294,2)))*7))</f>
        <v/>
      </c>
      <c r="N294" s="31" t="n"/>
      <c r="O294" s="31" t="n"/>
      <c r="P294" s="31" t="n"/>
      <c r="Q294" s="31" t="n"/>
      <c r="R294" s="31" t="n"/>
      <c r="S294" s="31" t="n"/>
      <c r="T294" s="31" t="n"/>
      <c r="U294" s="31" t="n"/>
      <c r="V294" s="31" t="n"/>
      <c r="W294" s="31" t="n"/>
      <c r="X294" s="31" t="n"/>
      <c r="Y294" s="31" t="n"/>
      <c r="Z294" s="31" t="n"/>
      <c r="AA294" s="34" t="n"/>
      <c r="AB294" s="29" t="n"/>
      <c r="AC294" s="31" t="n"/>
    </row>
    <row r="295">
      <c r="A295" s="29" t="n"/>
      <c r="B295" s="30" t="n"/>
      <c r="C295" s="31" t="n"/>
      <c r="D295" s="29" t="n"/>
      <c r="E295" s="29" t="n"/>
      <c r="F295" s="31" t="n"/>
      <c r="G295" s="31" t="n"/>
      <c r="H295" s="29" t="n"/>
      <c r="I295" s="32">
        <f>IF(OR(NOT(AND($A295&lt;&gt;"",OR($H295="",$H295="Active"))),$F295=""),"",INT((TODAY()-$F295+280)/7)&amp;"+"&amp;MOD(TODAY()-$F295+280,7))</f>
        <v/>
      </c>
      <c r="J295" s="32">
        <f>IF(NOT(AND($A295&lt;&gt;"",OR($H295="",$H295="Active"))),"",IF($F295="",0,SUMPRODUCT(($N295:$U295="")*(($F295-(40-VALUE(LEFT($N$4:$U$4,2)))*7)&lt;TODAY())))+COUNTIF($N295:$U295,"DNA")+COUNTIF($V295:$Z295,"&lt;"&amp;TODAY()))</f>
        <v/>
      </c>
      <c r="K295" s="32">
        <f>IF(NOT(AND($A295&lt;&gt;"",OR($H295="",$H295="Active"))),"",IF($F295="",0,SUMPRODUCT(($N295:$U295="")*(($F295-(40-VALUE(LEFT($N$4:$U$4,2)))*7)&gt;=TODAY())*(($F295-(40-VALUE(LEFT($N$4:$U$4,2)))*7)&lt;=TODAY()+7)))+COUNTIFS($V295:$Z295,"&gt;="&amp;TODAY(),$V295:$Z295,"&lt;="&amp;TODAY()+7))</f>
        <v/>
      </c>
      <c r="L295" s="32">
        <f>IF(OR(NOT(AND($A295&lt;&gt;"",OR($H295="",$H295="Active"))),$F295=""),"",IF(N295="",N$4,IF(O295="",O$4,IF(P295="",P$4,IF(Q295="",Q$4,IF(R295="",R$4,IF(S295="",S$4,IF(T295="",T$4,IF(U295="",U$4,"All done")))))))))</f>
        <v/>
      </c>
      <c r="M295" s="33">
        <f>IF(OR($L295="",$L295="All done"),"",($F295-(40-VALUE(LEFT($L295,2)))*7))</f>
        <v/>
      </c>
      <c r="N295" s="31" t="n"/>
      <c r="O295" s="31" t="n"/>
      <c r="P295" s="31" t="n"/>
      <c r="Q295" s="31" t="n"/>
      <c r="R295" s="31" t="n"/>
      <c r="S295" s="31" t="n"/>
      <c r="T295" s="31" t="n"/>
      <c r="U295" s="31" t="n"/>
      <c r="V295" s="31" t="n"/>
      <c r="W295" s="31" t="n"/>
      <c r="X295" s="31" t="n"/>
      <c r="Y295" s="31" t="n"/>
      <c r="Z295" s="31" t="n"/>
      <c r="AA295" s="34" t="n"/>
      <c r="AB295" s="29" t="n"/>
      <c r="AC295" s="31" t="n"/>
    </row>
    <row r="296">
      <c r="A296" s="29" t="n"/>
      <c r="B296" s="30" t="n"/>
      <c r="C296" s="31" t="n"/>
      <c r="D296" s="29" t="n"/>
      <c r="E296" s="29" t="n"/>
      <c r="F296" s="31" t="n"/>
      <c r="G296" s="31" t="n"/>
      <c r="H296" s="29" t="n"/>
      <c r="I296" s="32">
        <f>IF(OR(NOT(AND($A296&lt;&gt;"",OR($H296="",$H296="Active"))),$F296=""),"",INT((TODAY()-$F296+280)/7)&amp;"+"&amp;MOD(TODAY()-$F296+280,7))</f>
        <v/>
      </c>
      <c r="J296" s="32">
        <f>IF(NOT(AND($A296&lt;&gt;"",OR($H296="",$H296="Active"))),"",IF($F296="",0,SUMPRODUCT(($N296:$U296="")*(($F296-(40-VALUE(LEFT($N$4:$U$4,2)))*7)&lt;TODAY())))+COUNTIF($N296:$U296,"DNA")+COUNTIF($V296:$Z296,"&lt;"&amp;TODAY()))</f>
        <v/>
      </c>
      <c r="K296" s="32">
        <f>IF(NOT(AND($A296&lt;&gt;"",OR($H296="",$H296="Active"))),"",IF($F296="",0,SUMPRODUCT(($N296:$U296="")*(($F296-(40-VALUE(LEFT($N$4:$U$4,2)))*7)&gt;=TODAY())*(($F296-(40-VALUE(LEFT($N$4:$U$4,2)))*7)&lt;=TODAY()+7)))+COUNTIFS($V296:$Z296,"&gt;="&amp;TODAY(),$V296:$Z296,"&lt;="&amp;TODAY()+7))</f>
        <v/>
      </c>
      <c r="L296" s="32">
        <f>IF(OR(NOT(AND($A296&lt;&gt;"",OR($H296="",$H296="Active"))),$F296=""),"",IF(N296="",N$4,IF(O296="",O$4,IF(P296="",P$4,IF(Q296="",Q$4,IF(R296="",R$4,IF(S296="",S$4,IF(T296="",T$4,IF(U296="",U$4,"All done")))))))))</f>
        <v/>
      </c>
      <c r="M296" s="33">
        <f>IF(OR($L296="",$L296="All done"),"",($F296-(40-VALUE(LEFT($L296,2)))*7))</f>
        <v/>
      </c>
      <c r="N296" s="31" t="n"/>
      <c r="O296" s="31" t="n"/>
      <c r="P296" s="31" t="n"/>
      <c r="Q296" s="31" t="n"/>
      <c r="R296" s="31" t="n"/>
      <c r="S296" s="31" t="n"/>
      <c r="T296" s="31" t="n"/>
      <c r="U296" s="31" t="n"/>
      <c r="V296" s="31" t="n"/>
      <c r="W296" s="31" t="n"/>
      <c r="X296" s="31" t="n"/>
      <c r="Y296" s="31" t="n"/>
      <c r="Z296" s="31" t="n"/>
      <c r="AA296" s="34" t="n"/>
      <c r="AB296" s="29" t="n"/>
      <c r="AC296" s="31" t="n"/>
    </row>
    <row r="297">
      <c r="A297" s="29" t="n"/>
      <c r="B297" s="30" t="n"/>
      <c r="C297" s="31" t="n"/>
      <c r="D297" s="29" t="n"/>
      <c r="E297" s="29" t="n"/>
      <c r="F297" s="31" t="n"/>
      <c r="G297" s="31" t="n"/>
      <c r="H297" s="29" t="n"/>
      <c r="I297" s="32">
        <f>IF(OR(NOT(AND($A297&lt;&gt;"",OR($H297="",$H297="Active"))),$F297=""),"",INT((TODAY()-$F297+280)/7)&amp;"+"&amp;MOD(TODAY()-$F297+280,7))</f>
        <v/>
      </c>
      <c r="J297" s="32">
        <f>IF(NOT(AND($A297&lt;&gt;"",OR($H297="",$H297="Active"))),"",IF($F297="",0,SUMPRODUCT(($N297:$U297="")*(($F297-(40-VALUE(LEFT($N$4:$U$4,2)))*7)&lt;TODAY())))+COUNTIF($N297:$U297,"DNA")+COUNTIF($V297:$Z297,"&lt;"&amp;TODAY()))</f>
        <v/>
      </c>
      <c r="K297" s="32">
        <f>IF(NOT(AND($A297&lt;&gt;"",OR($H297="",$H297="Active"))),"",IF($F297="",0,SUMPRODUCT(($N297:$U297="")*(($F297-(40-VALUE(LEFT($N$4:$U$4,2)))*7)&gt;=TODAY())*(($F297-(40-VALUE(LEFT($N$4:$U$4,2)))*7)&lt;=TODAY()+7)))+COUNTIFS($V297:$Z297,"&gt;="&amp;TODAY(),$V297:$Z297,"&lt;="&amp;TODAY()+7))</f>
        <v/>
      </c>
      <c r="L297" s="32">
        <f>IF(OR(NOT(AND($A297&lt;&gt;"",OR($H297="",$H297="Active"))),$F297=""),"",IF(N297="",N$4,IF(O297="",O$4,IF(P297="",P$4,IF(Q297="",Q$4,IF(R297="",R$4,IF(S297="",S$4,IF(T297="",T$4,IF(U297="",U$4,"All done")))))))))</f>
        <v/>
      </c>
      <c r="M297" s="33">
        <f>IF(OR($L297="",$L297="All done"),"",($F297-(40-VALUE(LEFT($L297,2)))*7))</f>
        <v/>
      </c>
      <c r="N297" s="31" t="n"/>
      <c r="O297" s="31" t="n"/>
      <c r="P297" s="31" t="n"/>
      <c r="Q297" s="31" t="n"/>
      <c r="R297" s="31" t="n"/>
      <c r="S297" s="31" t="n"/>
      <c r="T297" s="31" t="n"/>
      <c r="U297" s="31" t="n"/>
      <c r="V297" s="31" t="n"/>
      <c r="W297" s="31" t="n"/>
      <c r="X297" s="31" t="n"/>
      <c r="Y297" s="31" t="n"/>
      <c r="Z297" s="31" t="n"/>
      <c r="AA297" s="34" t="n"/>
      <c r="AB297" s="29" t="n"/>
      <c r="AC297" s="31" t="n"/>
    </row>
    <row r="298">
      <c r="A298" s="29" t="n"/>
      <c r="B298" s="30" t="n"/>
      <c r="C298" s="31" t="n"/>
      <c r="D298" s="29" t="n"/>
      <c r="E298" s="29" t="n"/>
      <c r="F298" s="31" t="n"/>
      <c r="G298" s="31" t="n"/>
      <c r="H298" s="29" t="n"/>
      <c r="I298" s="32">
        <f>IF(OR(NOT(AND($A298&lt;&gt;"",OR($H298="",$H298="Active"))),$F298=""),"",INT((TODAY()-$F298+280)/7)&amp;"+"&amp;MOD(TODAY()-$F298+280,7))</f>
        <v/>
      </c>
      <c r="J298" s="32">
        <f>IF(NOT(AND($A298&lt;&gt;"",OR($H298="",$H298="Active"))),"",IF($F298="",0,SUMPRODUCT(($N298:$U298="")*(($F298-(40-VALUE(LEFT($N$4:$U$4,2)))*7)&lt;TODAY())))+COUNTIF($N298:$U298,"DNA")+COUNTIF($V298:$Z298,"&lt;"&amp;TODAY()))</f>
        <v/>
      </c>
      <c r="K298" s="32">
        <f>IF(NOT(AND($A298&lt;&gt;"",OR($H298="",$H298="Active"))),"",IF($F298="",0,SUMPRODUCT(($N298:$U298="")*(($F298-(40-VALUE(LEFT($N$4:$U$4,2)))*7)&gt;=TODAY())*(($F298-(40-VALUE(LEFT($N$4:$U$4,2)))*7)&lt;=TODAY()+7)))+COUNTIFS($V298:$Z298,"&gt;="&amp;TODAY(),$V298:$Z298,"&lt;="&amp;TODAY()+7))</f>
        <v/>
      </c>
      <c r="L298" s="32">
        <f>IF(OR(NOT(AND($A298&lt;&gt;"",OR($H298="",$H298="Active"))),$F298=""),"",IF(N298="",N$4,IF(O298="",O$4,IF(P298="",P$4,IF(Q298="",Q$4,IF(R298="",R$4,IF(S298="",S$4,IF(T298="",T$4,IF(U298="",U$4,"All done")))))))))</f>
        <v/>
      </c>
      <c r="M298" s="33">
        <f>IF(OR($L298="",$L298="All done"),"",($F298-(40-VALUE(LEFT($L298,2)))*7))</f>
        <v/>
      </c>
      <c r="N298" s="31" t="n"/>
      <c r="O298" s="31" t="n"/>
      <c r="P298" s="31" t="n"/>
      <c r="Q298" s="31" t="n"/>
      <c r="R298" s="31" t="n"/>
      <c r="S298" s="31" t="n"/>
      <c r="T298" s="31" t="n"/>
      <c r="U298" s="31" t="n"/>
      <c r="V298" s="31" t="n"/>
      <c r="W298" s="31" t="n"/>
      <c r="X298" s="31" t="n"/>
      <c r="Y298" s="31" t="n"/>
      <c r="Z298" s="31" t="n"/>
      <c r="AA298" s="34" t="n"/>
      <c r="AB298" s="29" t="n"/>
      <c r="AC298" s="31" t="n"/>
    </row>
    <row r="299">
      <c r="A299" s="29" t="n"/>
      <c r="B299" s="30" t="n"/>
      <c r="C299" s="31" t="n"/>
      <c r="D299" s="29" t="n"/>
      <c r="E299" s="29" t="n"/>
      <c r="F299" s="31" t="n"/>
      <c r="G299" s="31" t="n"/>
      <c r="H299" s="29" t="n"/>
      <c r="I299" s="32">
        <f>IF(OR(NOT(AND($A299&lt;&gt;"",OR($H299="",$H299="Active"))),$F299=""),"",INT((TODAY()-$F299+280)/7)&amp;"+"&amp;MOD(TODAY()-$F299+280,7))</f>
        <v/>
      </c>
      <c r="J299" s="32">
        <f>IF(NOT(AND($A299&lt;&gt;"",OR($H299="",$H299="Active"))),"",IF($F299="",0,SUMPRODUCT(($N299:$U299="")*(($F299-(40-VALUE(LEFT($N$4:$U$4,2)))*7)&lt;TODAY())))+COUNTIF($N299:$U299,"DNA")+COUNTIF($V299:$Z299,"&lt;"&amp;TODAY()))</f>
        <v/>
      </c>
      <c r="K299" s="32">
        <f>IF(NOT(AND($A299&lt;&gt;"",OR($H299="",$H299="Active"))),"",IF($F299="",0,SUMPRODUCT(($N299:$U299="")*(($F299-(40-VALUE(LEFT($N$4:$U$4,2)))*7)&gt;=TODAY())*(($F299-(40-VALUE(LEFT($N$4:$U$4,2)))*7)&lt;=TODAY()+7)))+COUNTIFS($V299:$Z299,"&gt;="&amp;TODAY(),$V299:$Z299,"&lt;="&amp;TODAY()+7))</f>
        <v/>
      </c>
      <c r="L299" s="32">
        <f>IF(OR(NOT(AND($A299&lt;&gt;"",OR($H299="",$H299="Active"))),$F299=""),"",IF(N299="",N$4,IF(O299="",O$4,IF(P299="",P$4,IF(Q299="",Q$4,IF(R299="",R$4,IF(S299="",S$4,IF(T299="",T$4,IF(U299="",U$4,"All done")))))))))</f>
        <v/>
      </c>
      <c r="M299" s="33">
        <f>IF(OR($L299="",$L299="All done"),"",($F299-(40-VALUE(LEFT($L299,2)))*7))</f>
        <v/>
      </c>
      <c r="N299" s="31" t="n"/>
      <c r="O299" s="31" t="n"/>
      <c r="P299" s="31" t="n"/>
      <c r="Q299" s="31" t="n"/>
      <c r="R299" s="31" t="n"/>
      <c r="S299" s="31" t="n"/>
      <c r="T299" s="31" t="n"/>
      <c r="U299" s="31" t="n"/>
      <c r="V299" s="31" t="n"/>
      <c r="W299" s="31" t="n"/>
      <c r="X299" s="31" t="n"/>
      <c r="Y299" s="31" t="n"/>
      <c r="Z299" s="31" t="n"/>
      <c r="AA299" s="34" t="n"/>
      <c r="AB299" s="29" t="n"/>
      <c r="AC299" s="31" t="n"/>
    </row>
    <row r="300">
      <c r="A300" s="29" t="n"/>
      <c r="B300" s="30" t="n"/>
      <c r="C300" s="31" t="n"/>
      <c r="D300" s="29" t="n"/>
      <c r="E300" s="29" t="n"/>
      <c r="F300" s="31" t="n"/>
      <c r="G300" s="31" t="n"/>
      <c r="H300" s="29" t="n"/>
      <c r="I300" s="32">
        <f>IF(OR(NOT(AND($A300&lt;&gt;"",OR($H300="",$H300="Active"))),$F300=""),"",INT((TODAY()-$F300+280)/7)&amp;"+"&amp;MOD(TODAY()-$F300+280,7))</f>
        <v/>
      </c>
      <c r="J300" s="32">
        <f>IF(NOT(AND($A300&lt;&gt;"",OR($H300="",$H300="Active"))),"",IF($F300="",0,SUMPRODUCT(($N300:$U300="")*(($F300-(40-VALUE(LEFT($N$4:$U$4,2)))*7)&lt;TODAY())))+COUNTIF($N300:$U300,"DNA")+COUNTIF($V300:$Z300,"&lt;"&amp;TODAY()))</f>
        <v/>
      </c>
      <c r="K300" s="32">
        <f>IF(NOT(AND($A300&lt;&gt;"",OR($H300="",$H300="Active"))),"",IF($F300="",0,SUMPRODUCT(($N300:$U300="")*(($F300-(40-VALUE(LEFT($N$4:$U$4,2)))*7)&gt;=TODAY())*(($F300-(40-VALUE(LEFT($N$4:$U$4,2)))*7)&lt;=TODAY()+7)))+COUNTIFS($V300:$Z300,"&gt;="&amp;TODAY(),$V300:$Z300,"&lt;="&amp;TODAY()+7))</f>
        <v/>
      </c>
      <c r="L300" s="32">
        <f>IF(OR(NOT(AND($A300&lt;&gt;"",OR($H300="",$H300="Active"))),$F300=""),"",IF(N300="",N$4,IF(O300="",O$4,IF(P300="",P$4,IF(Q300="",Q$4,IF(R300="",R$4,IF(S300="",S$4,IF(T300="",T$4,IF(U300="",U$4,"All done")))))))))</f>
        <v/>
      </c>
      <c r="M300" s="33">
        <f>IF(OR($L300="",$L300="All done"),"",($F300-(40-VALUE(LEFT($L300,2)))*7))</f>
        <v/>
      </c>
      <c r="N300" s="31" t="n"/>
      <c r="O300" s="31" t="n"/>
      <c r="P300" s="31" t="n"/>
      <c r="Q300" s="31" t="n"/>
      <c r="R300" s="31" t="n"/>
      <c r="S300" s="31" t="n"/>
      <c r="T300" s="31" t="n"/>
      <c r="U300" s="31" t="n"/>
      <c r="V300" s="31" t="n"/>
      <c r="W300" s="31" t="n"/>
      <c r="X300" s="31" t="n"/>
      <c r="Y300" s="31" t="n"/>
      <c r="Z300" s="31" t="n"/>
      <c r="AA300" s="34" t="n"/>
      <c r="AB300" s="29" t="n"/>
      <c r="AC300" s="31" t="n"/>
    </row>
    <row r="301">
      <c r="A301" s="29" t="n"/>
      <c r="B301" s="30" t="n"/>
      <c r="C301" s="31" t="n"/>
      <c r="D301" s="29" t="n"/>
      <c r="E301" s="29" t="n"/>
      <c r="F301" s="31" t="n"/>
      <c r="G301" s="31" t="n"/>
      <c r="H301" s="29" t="n"/>
      <c r="I301" s="32">
        <f>IF(OR(NOT(AND($A301&lt;&gt;"",OR($H301="",$H301="Active"))),$F301=""),"",INT((TODAY()-$F301+280)/7)&amp;"+"&amp;MOD(TODAY()-$F301+280,7))</f>
        <v/>
      </c>
      <c r="J301" s="32">
        <f>IF(NOT(AND($A301&lt;&gt;"",OR($H301="",$H301="Active"))),"",IF($F301="",0,SUMPRODUCT(($N301:$U301="")*(($F301-(40-VALUE(LEFT($N$4:$U$4,2)))*7)&lt;TODAY())))+COUNTIF($N301:$U301,"DNA")+COUNTIF($V301:$Z301,"&lt;"&amp;TODAY()))</f>
        <v/>
      </c>
      <c r="K301" s="32">
        <f>IF(NOT(AND($A301&lt;&gt;"",OR($H301="",$H301="Active"))),"",IF($F301="",0,SUMPRODUCT(($N301:$U301="")*(($F301-(40-VALUE(LEFT($N$4:$U$4,2)))*7)&gt;=TODAY())*(($F301-(40-VALUE(LEFT($N$4:$U$4,2)))*7)&lt;=TODAY()+7)))+COUNTIFS($V301:$Z301,"&gt;="&amp;TODAY(),$V301:$Z301,"&lt;="&amp;TODAY()+7))</f>
        <v/>
      </c>
      <c r="L301" s="32">
        <f>IF(OR(NOT(AND($A301&lt;&gt;"",OR($H301="",$H301="Active"))),$F301=""),"",IF(N301="",N$4,IF(O301="",O$4,IF(P301="",P$4,IF(Q301="",Q$4,IF(R301="",R$4,IF(S301="",S$4,IF(T301="",T$4,IF(U301="",U$4,"All done")))))))))</f>
        <v/>
      </c>
      <c r="M301" s="33">
        <f>IF(OR($L301="",$L301="All done"),"",($F301-(40-VALUE(LEFT($L301,2)))*7))</f>
        <v/>
      </c>
      <c r="N301" s="31" t="n"/>
      <c r="O301" s="31" t="n"/>
      <c r="P301" s="31" t="n"/>
      <c r="Q301" s="31" t="n"/>
      <c r="R301" s="31" t="n"/>
      <c r="S301" s="31" t="n"/>
      <c r="T301" s="31" t="n"/>
      <c r="U301" s="31" t="n"/>
      <c r="V301" s="31" t="n"/>
      <c r="W301" s="31" t="n"/>
      <c r="X301" s="31" t="n"/>
      <c r="Y301" s="31" t="n"/>
      <c r="Z301" s="31" t="n"/>
      <c r="AA301" s="34" t="n"/>
      <c r="AB301" s="29" t="n"/>
      <c r="AC301" s="31" t="n"/>
    </row>
    <row r="302">
      <c r="A302" s="29" t="n"/>
      <c r="B302" s="30" t="n"/>
      <c r="C302" s="31" t="n"/>
      <c r="D302" s="29" t="n"/>
      <c r="E302" s="29" t="n"/>
      <c r="F302" s="31" t="n"/>
      <c r="G302" s="31" t="n"/>
      <c r="H302" s="29" t="n"/>
      <c r="I302" s="32">
        <f>IF(OR(NOT(AND($A302&lt;&gt;"",OR($H302="",$H302="Active"))),$F302=""),"",INT((TODAY()-$F302+280)/7)&amp;"+"&amp;MOD(TODAY()-$F302+280,7))</f>
        <v/>
      </c>
      <c r="J302" s="32">
        <f>IF(NOT(AND($A302&lt;&gt;"",OR($H302="",$H302="Active"))),"",IF($F302="",0,SUMPRODUCT(($N302:$U302="")*(($F302-(40-VALUE(LEFT($N$4:$U$4,2)))*7)&lt;TODAY())))+COUNTIF($N302:$U302,"DNA")+COUNTIF($V302:$Z302,"&lt;"&amp;TODAY()))</f>
        <v/>
      </c>
      <c r="K302" s="32">
        <f>IF(NOT(AND($A302&lt;&gt;"",OR($H302="",$H302="Active"))),"",IF($F302="",0,SUMPRODUCT(($N302:$U302="")*(($F302-(40-VALUE(LEFT($N$4:$U$4,2)))*7)&gt;=TODAY())*(($F302-(40-VALUE(LEFT($N$4:$U$4,2)))*7)&lt;=TODAY()+7)))+COUNTIFS($V302:$Z302,"&gt;="&amp;TODAY(),$V302:$Z302,"&lt;="&amp;TODAY()+7))</f>
        <v/>
      </c>
      <c r="L302" s="32">
        <f>IF(OR(NOT(AND($A302&lt;&gt;"",OR($H302="",$H302="Active"))),$F302=""),"",IF(N302="",N$4,IF(O302="",O$4,IF(P302="",P$4,IF(Q302="",Q$4,IF(R302="",R$4,IF(S302="",S$4,IF(T302="",T$4,IF(U302="",U$4,"All done")))))))))</f>
        <v/>
      </c>
      <c r="M302" s="33">
        <f>IF(OR($L302="",$L302="All done"),"",($F302-(40-VALUE(LEFT($L302,2)))*7))</f>
        <v/>
      </c>
      <c r="N302" s="31" t="n"/>
      <c r="O302" s="31" t="n"/>
      <c r="P302" s="31" t="n"/>
      <c r="Q302" s="31" t="n"/>
      <c r="R302" s="31" t="n"/>
      <c r="S302" s="31" t="n"/>
      <c r="T302" s="31" t="n"/>
      <c r="U302" s="31" t="n"/>
      <c r="V302" s="31" t="n"/>
      <c r="W302" s="31" t="n"/>
      <c r="X302" s="31" t="n"/>
      <c r="Y302" s="31" t="n"/>
      <c r="Z302" s="31" t="n"/>
      <c r="AA302" s="34" t="n"/>
      <c r="AB302" s="29" t="n"/>
      <c r="AC302" s="31" t="n"/>
    </row>
    <row r="303">
      <c r="A303" s="29" t="n"/>
      <c r="B303" s="30" t="n"/>
      <c r="C303" s="31" t="n"/>
      <c r="D303" s="29" t="n"/>
      <c r="E303" s="29" t="n"/>
      <c r="F303" s="31" t="n"/>
      <c r="G303" s="31" t="n"/>
      <c r="H303" s="29" t="n"/>
      <c r="I303" s="32">
        <f>IF(OR(NOT(AND($A303&lt;&gt;"",OR($H303="",$H303="Active"))),$F303=""),"",INT((TODAY()-$F303+280)/7)&amp;"+"&amp;MOD(TODAY()-$F303+280,7))</f>
        <v/>
      </c>
      <c r="J303" s="32">
        <f>IF(NOT(AND($A303&lt;&gt;"",OR($H303="",$H303="Active"))),"",IF($F303="",0,SUMPRODUCT(($N303:$U303="")*(($F303-(40-VALUE(LEFT($N$4:$U$4,2)))*7)&lt;TODAY())))+COUNTIF($N303:$U303,"DNA")+COUNTIF($V303:$Z303,"&lt;"&amp;TODAY()))</f>
        <v/>
      </c>
      <c r="K303" s="32">
        <f>IF(NOT(AND($A303&lt;&gt;"",OR($H303="",$H303="Active"))),"",IF($F303="",0,SUMPRODUCT(($N303:$U303="")*(($F303-(40-VALUE(LEFT($N$4:$U$4,2)))*7)&gt;=TODAY())*(($F303-(40-VALUE(LEFT($N$4:$U$4,2)))*7)&lt;=TODAY()+7)))+COUNTIFS($V303:$Z303,"&gt;="&amp;TODAY(),$V303:$Z303,"&lt;="&amp;TODAY()+7))</f>
        <v/>
      </c>
      <c r="L303" s="32">
        <f>IF(OR(NOT(AND($A303&lt;&gt;"",OR($H303="",$H303="Active"))),$F303=""),"",IF(N303="",N$4,IF(O303="",O$4,IF(P303="",P$4,IF(Q303="",Q$4,IF(R303="",R$4,IF(S303="",S$4,IF(T303="",T$4,IF(U303="",U$4,"All done")))))))))</f>
        <v/>
      </c>
      <c r="M303" s="33">
        <f>IF(OR($L303="",$L303="All done"),"",($F303-(40-VALUE(LEFT($L303,2)))*7))</f>
        <v/>
      </c>
      <c r="N303" s="31" t="n"/>
      <c r="O303" s="31" t="n"/>
      <c r="P303" s="31" t="n"/>
      <c r="Q303" s="31" t="n"/>
      <c r="R303" s="31" t="n"/>
      <c r="S303" s="31" t="n"/>
      <c r="T303" s="31" t="n"/>
      <c r="U303" s="31" t="n"/>
      <c r="V303" s="31" t="n"/>
      <c r="W303" s="31" t="n"/>
      <c r="X303" s="31" t="n"/>
      <c r="Y303" s="31" t="n"/>
      <c r="Z303" s="31" t="n"/>
      <c r="AA303" s="34" t="n"/>
      <c r="AB303" s="29" t="n"/>
      <c r="AC303" s="31" t="n"/>
    </row>
    <row r="304">
      <c r="A304" s="29" t="n"/>
      <c r="B304" s="30" t="n"/>
      <c r="C304" s="31" t="n"/>
      <c r="D304" s="29" t="n"/>
      <c r="E304" s="29" t="n"/>
      <c r="F304" s="31" t="n"/>
      <c r="G304" s="31" t="n"/>
      <c r="H304" s="29" t="n"/>
      <c r="I304" s="32">
        <f>IF(OR(NOT(AND($A304&lt;&gt;"",OR($H304="",$H304="Active"))),$F304=""),"",INT((TODAY()-$F304+280)/7)&amp;"+"&amp;MOD(TODAY()-$F304+280,7))</f>
        <v/>
      </c>
      <c r="J304" s="32">
        <f>IF(NOT(AND($A304&lt;&gt;"",OR($H304="",$H304="Active"))),"",IF($F304="",0,SUMPRODUCT(($N304:$U304="")*(($F304-(40-VALUE(LEFT($N$4:$U$4,2)))*7)&lt;TODAY())))+COUNTIF($N304:$U304,"DNA")+COUNTIF($V304:$Z304,"&lt;"&amp;TODAY()))</f>
        <v/>
      </c>
      <c r="K304" s="32">
        <f>IF(NOT(AND($A304&lt;&gt;"",OR($H304="",$H304="Active"))),"",IF($F304="",0,SUMPRODUCT(($N304:$U304="")*(($F304-(40-VALUE(LEFT($N$4:$U$4,2)))*7)&gt;=TODAY())*(($F304-(40-VALUE(LEFT($N$4:$U$4,2)))*7)&lt;=TODAY()+7)))+COUNTIFS($V304:$Z304,"&gt;="&amp;TODAY(),$V304:$Z304,"&lt;="&amp;TODAY()+7))</f>
        <v/>
      </c>
      <c r="L304" s="32">
        <f>IF(OR(NOT(AND($A304&lt;&gt;"",OR($H304="",$H304="Active"))),$F304=""),"",IF(N304="",N$4,IF(O304="",O$4,IF(P304="",P$4,IF(Q304="",Q$4,IF(R304="",R$4,IF(S304="",S$4,IF(T304="",T$4,IF(U304="",U$4,"All done")))))))))</f>
        <v/>
      </c>
      <c r="M304" s="33">
        <f>IF(OR($L304="",$L304="All done"),"",($F304-(40-VALUE(LEFT($L304,2)))*7))</f>
        <v/>
      </c>
      <c r="N304" s="31" t="n"/>
      <c r="O304" s="31" t="n"/>
      <c r="P304" s="31" t="n"/>
      <c r="Q304" s="31" t="n"/>
      <c r="R304" s="31" t="n"/>
      <c r="S304" s="31" t="n"/>
      <c r="T304" s="31" t="n"/>
      <c r="U304" s="31" t="n"/>
      <c r="V304" s="31" t="n"/>
      <c r="W304" s="31" t="n"/>
      <c r="X304" s="31" t="n"/>
      <c r="Y304" s="31" t="n"/>
      <c r="Z304" s="31" t="n"/>
      <c r="AA304" s="34" t="n"/>
      <c r="AB304" s="29" t="n"/>
      <c r="AC304" s="31" t="n"/>
    </row>
    <row r="305">
      <c r="A305" s="29" t="n"/>
      <c r="B305" s="30" t="n"/>
      <c r="C305" s="31" t="n"/>
      <c r="D305" s="29" t="n"/>
      <c r="E305" s="29" t="n"/>
      <c r="F305" s="31" t="n"/>
      <c r="G305" s="31" t="n"/>
      <c r="H305" s="29" t="n"/>
      <c r="I305" s="32">
        <f>IF(OR(NOT(AND($A305&lt;&gt;"",OR($H305="",$H305="Active"))),$F305=""),"",INT((TODAY()-$F305+280)/7)&amp;"+"&amp;MOD(TODAY()-$F305+280,7))</f>
        <v/>
      </c>
      <c r="J305" s="32">
        <f>IF(NOT(AND($A305&lt;&gt;"",OR($H305="",$H305="Active"))),"",IF($F305="",0,SUMPRODUCT(($N305:$U305="")*(($F305-(40-VALUE(LEFT($N$4:$U$4,2)))*7)&lt;TODAY())))+COUNTIF($N305:$U305,"DNA")+COUNTIF($V305:$Z305,"&lt;"&amp;TODAY()))</f>
        <v/>
      </c>
      <c r="K305" s="32">
        <f>IF(NOT(AND($A305&lt;&gt;"",OR($H305="",$H305="Active"))),"",IF($F305="",0,SUMPRODUCT(($N305:$U305="")*(($F305-(40-VALUE(LEFT($N$4:$U$4,2)))*7)&gt;=TODAY())*(($F305-(40-VALUE(LEFT($N$4:$U$4,2)))*7)&lt;=TODAY()+7)))+COUNTIFS($V305:$Z305,"&gt;="&amp;TODAY(),$V305:$Z305,"&lt;="&amp;TODAY()+7))</f>
        <v/>
      </c>
      <c r="L305" s="32">
        <f>IF(OR(NOT(AND($A305&lt;&gt;"",OR($H305="",$H305="Active"))),$F305=""),"",IF(N305="",N$4,IF(O305="",O$4,IF(P305="",P$4,IF(Q305="",Q$4,IF(R305="",R$4,IF(S305="",S$4,IF(T305="",T$4,IF(U305="",U$4,"All done")))))))))</f>
        <v/>
      </c>
      <c r="M305" s="33">
        <f>IF(OR($L305="",$L305="All done"),"",($F305-(40-VALUE(LEFT($L305,2)))*7))</f>
        <v/>
      </c>
      <c r="N305" s="31" t="n"/>
      <c r="O305" s="31" t="n"/>
      <c r="P305" s="31" t="n"/>
      <c r="Q305" s="31" t="n"/>
      <c r="R305" s="31" t="n"/>
      <c r="S305" s="31" t="n"/>
      <c r="T305" s="31" t="n"/>
      <c r="U305" s="31" t="n"/>
      <c r="V305" s="31" t="n"/>
      <c r="W305" s="31" t="n"/>
      <c r="X305" s="31" t="n"/>
      <c r="Y305" s="31" t="n"/>
      <c r="Z305" s="31" t="n"/>
      <c r="AA305" s="34" t="n"/>
      <c r="AB305" s="29" t="n"/>
      <c r="AC305" s="31" t="n"/>
    </row>
    <row r="306">
      <c r="A306" s="29" t="n"/>
      <c r="B306" s="30" t="n"/>
      <c r="C306" s="31" t="n"/>
      <c r="D306" s="29" t="n"/>
      <c r="E306" s="29" t="n"/>
      <c r="F306" s="31" t="n"/>
      <c r="G306" s="31" t="n"/>
      <c r="H306" s="29" t="n"/>
      <c r="I306" s="32">
        <f>IF(OR(NOT(AND($A306&lt;&gt;"",OR($H306="",$H306="Active"))),$F306=""),"",INT((TODAY()-$F306+280)/7)&amp;"+"&amp;MOD(TODAY()-$F306+280,7))</f>
        <v/>
      </c>
      <c r="J306" s="32">
        <f>IF(NOT(AND($A306&lt;&gt;"",OR($H306="",$H306="Active"))),"",IF($F306="",0,SUMPRODUCT(($N306:$U306="")*(($F306-(40-VALUE(LEFT($N$4:$U$4,2)))*7)&lt;TODAY())))+COUNTIF($N306:$U306,"DNA")+COUNTIF($V306:$Z306,"&lt;"&amp;TODAY()))</f>
        <v/>
      </c>
      <c r="K306" s="32">
        <f>IF(NOT(AND($A306&lt;&gt;"",OR($H306="",$H306="Active"))),"",IF($F306="",0,SUMPRODUCT(($N306:$U306="")*(($F306-(40-VALUE(LEFT($N$4:$U$4,2)))*7)&gt;=TODAY())*(($F306-(40-VALUE(LEFT($N$4:$U$4,2)))*7)&lt;=TODAY()+7)))+COUNTIFS($V306:$Z306,"&gt;="&amp;TODAY(),$V306:$Z306,"&lt;="&amp;TODAY()+7))</f>
        <v/>
      </c>
      <c r="L306" s="32">
        <f>IF(OR(NOT(AND($A306&lt;&gt;"",OR($H306="",$H306="Active"))),$F306=""),"",IF(N306="",N$4,IF(O306="",O$4,IF(P306="",P$4,IF(Q306="",Q$4,IF(R306="",R$4,IF(S306="",S$4,IF(T306="",T$4,IF(U306="",U$4,"All done")))))))))</f>
        <v/>
      </c>
      <c r="M306" s="33">
        <f>IF(OR($L306="",$L306="All done"),"",($F306-(40-VALUE(LEFT($L306,2)))*7))</f>
        <v/>
      </c>
      <c r="N306" s="31" t="n"/>
      <c r="O306" s="31" t="n"/>
      <c r="P306" s="31" t="n"/>
      <c r="Q306" s="31" t="n"/>
      <c r="R306" s="31" t="n"/>
      <c r="S306" s="31" t="n"/>
      <c r="T306" s="31" t="n"/>
      <c r="U306" s="31" t="n"/>
      <c r="V306" s="31" t="n"/>
      <c r="W306" s="31" t="n"/>
      <c r="X306" s="31" t="n"/>
      <c r="Y306" s="31" t="n"/>
      <c r="Z306" s="31" t="n"/>
      <c r="AA306" s="34" t="n"/>
      <c r="AB306" s="29" t="n"/>
      <c r="AC306" s="31" t="n"/>
    </row>
    <row r="307">
      <c r="A307" s="29" t="n"/>
      <c r="B307" s="30" t="n"/>
      <c r="C307" s="31" t="n"/>
      <c r="D307" s="29" t="n"/>
      <c r="E307" s="29" t="n"/>
      <c r="F307" s="31" t="n"/>
      <c r="G307" s="31" t="n"/>
      <c r="H307" s="29" t="n"/>
      <c r="I307" s="32">
        <f>IF(OR(NOT(AND($A307&lt;&gt;"",OR($H307="",$H307="Active"))),$F307=""),"",INT((TODAY()-$F307+280)/7)&amp;"+"&amp;MOD(TODAY()-$F307+280,7))</f>
        <v/>
      </c>
      <c r="J307" s="32">
        <f>IF(NOT(AND($A307&lt;&gt;"",OR($H307="",$H307="Active"))),"",IF($F307="",0,SUMPRODUCT(($N307:$U307="")*(($F307-(40-VALUE(LEFT($N$4:$U$4,2)))*7)&lt;TODAY())))+COUNTIF($N307:$U307,"DNA")+COUNTIF($V307:$Z307,"&lt;"&amp;TODAY()))</f>
        <v/>
      </c>
      <c r="K307" s="32">
        <f>IF(NOT(AND($A307&lt;&gt;"",OR($H307="",$H307="Active"))),"",IF($F307="",0,SUMPRODUCT(($N307:$U307="")*(($F307-(40-VALUE(LEFT($N$4:$U$4,2)))*7)&gt;=TODAY())*(($F307-(40-VALUE(LEFT($N$4:$U$4,2)))*7)&lt;=TODAY()+7)))+COUNTIFS($V307:$Z307,"&gt;="&amp;TODAY(),$V307:$Z307,"&lt;="&amp;TODAY()+7))</f>
        <v/>
      </c>
      <c r="L307" s="32">
        <f>IF(OR(NOT(AND($A307&lt;&gt;"",OR($H307="",$H307="Active"))),$F307=""),"",IF(N307="",N$4,IF(O307="",O$4,IF(P307="",P$4,IF(Q307="",Q$4,IF(R307="",R$4,IF(S307="",S$4,IF(T307="",T$4,IF(U307="",U$4,"All done")))))))))</f>
        <v/>
      </c>
      <c r="M307" s="33">
        <f>IF(OR($L307="",$L307="All done"),"",($F307-(40-VALUE(LEFT($L307,2)))*7))</f>
        <v/>
      </c>
      <c r="N307" s="31" t="n"/>
      <c r="O307" s="31" t="n"/>
      <c r="P307" s="31" t="n"/>
      <c r="Q307" s="31" t="n"/>
      <c r="R307" s="31" t="n"/>
      <c r="S307" s="31" t="n"/>
      <c r="T307" s="31" t="n"/>
      <c r="U307" s="31" t="n"/>
      <c r="V307" s="31" t="n"/>
      <c r="W307" s="31" t="n"/>
      <c r="X307" s="31" t="n"/>
      <c r="Y307" s="31" t="n"/>
      <c r="Z307" s="31" t="n"/>
      <c r="AA307" s="34" t="n"/>
      <c r="AB307" s="29" t="n"/>
      <c r="AC307" s="31" t="n"/>
    </row>
    <row r="308">
      <c r="A308" s="29" t="n"/>
      <c r="B308" s="30" t="n"/>
      <c r="C308" s="31" t="n"/>
      <c r="D308" s="29" t="n"/>
      <c r="E308" s="29" t="n"/>
      <c r="F308" s="31" t="n"/>
      <c r="G308" s="31" t="n"/>
      <c r="H308" s="29" t="n"/>
      <c r="I308" s="32">
        <f>IF(OR(NOT(AND($A308&lt;&gt;"",OR($H308="",$H308="Active"))),$F308=""),"",INT((TODAY()-$F308+280)/7)&amp;"+"&amp;MOD(TODAY()-$F308+280,7))</f>
        <v/>
      </c>
      <c r="J308" s="32">
        <f>IF(NOT(AND($A308&lt;&gt;"",OR($H308="",$H308="Active"))),"",IF($F308="",0,SUMPRODUCT(($N308:$U308="")*(($F308-(40-VALUE(LEFT($N$4:$U$4,2)))*7)&lt;TODAY())))+COUNTIF($N308:$U308,"DNA")+COUNTIF($V308:$Z308,"&lt;"&amp;TODAY()))</f>
        <v/>
      </c>
      <c r="K308" s="32">
        <f>IF(NOT(AND($A308&lt;&gt;"",OR($H308="",$H308="Active"))),"",IF($F308="",0,SUMPRODUCT(($N308:$U308="")*(($F308-(40-VALUE(LEFT($N$4:$U$4,2)))*7)&gt;=TODAY())*(($F308-(40-VALUE(LEFT($N$4:$U$4,2)))*7)&lt;=TODAY()+7)))+COUNTIFS($V308:$Z308,"&gt;="&amp;TODAY(),$V308:$Z308,"&lt;="&amp;TODAY()+7))</f>
        <v/>
      </c>
      <c r="L308" s="32">
        <f>IF(OR(NOT(AND($A308&lt;&gt;"",OR($H308="",$H308="Active"))),$F308=""),"",IF(N308="",N$4,IF(O308="",O$4,IF(P308="",P$4,IF(Q308="",Q$4,IF(R308="",R$4,IF(S308="",S$4,IF(T308="",T$4,IF(U308="",U$4,"All done")))))))))</f>
        <v/>
      </c>
      <c r="M308" s="33">
        <f>IF(OR($L308="",$L308="All done"),"",($F308-(40-VALUE(LEFT($L308,2)))*7))</f>
        <v/>
      </c>
      <c r="N308" s="31" t="n"/>
      <c r="O308" s="31" t="n"/>
      <c r="P308" s="31" t="n"/>
      <c r="Q308" s="31" t="n"/>
      <c r="R308" s="31" t="n"/>
      <c r="S308" s="31" t="n"/>
      <c r="T308" s="31" t="n"/>
      <c r="U308" s="31" t="n"/>
      <c r="V308" s="31" t="n"/>
      <c r="W308" s="31" t="n"/>
      <c r="X308" s="31" t="n"/>
      <c r="Y308" s="31" t="n"/>
      <c r="Z308" s="31" t="n"/>
      <c r="AA308" s="34" t="n"/>
      <c r="AB308" s="29" t="n"/>
      <c r="AC308" s="31" t="n"/>
    </row>
    <row r="309">
      <c r="A309" s="29" t="n"/>
      <c r="B309" s="30" t="n"/>
      <c r="C309" s="31" t="n"/>
      <c r="D309" s="29" t="n"/>
      <c r="E309" s="29" t="n"/>
      <c r="F309" s="31" t="n"/>
      <c r="G309" s="31" t="n"/>
      <c r="H309" s="29" t="n"/>
      <c r="I309" s="32">
        <f>IF(OR(NOT(AND($A309&lt;&gt;"",OR($H309="",$H309="Active"))),$F309=""),"",INT((TODAY()-$F309+280)/7)&amp;"+"&amp;MOD(TODAY()-$F309+280,7))</f>
        <v/>
      </c>
      <c r="J309" s="32">
        <f>IF(NOT(AND($A309&lt;&gt;"",OR($H309="",$H309="Active"))),"",IF($F309="",0,SUMPRODUCT(($N309:$U309="")*(($F309-(40-VALUE(LEFT($N$4:$U$4,2)))*7)&lt;TODAY())))+COUNTIF($N309:$U309,"DNA")+COUNTIF($V309:$Z309,"&lt;"&amp;TODAY()))</f>
        <v/>
      </c>
      <c r="K309" s="32">
        <f>IF(NOT(AND($A309&lt;&gt;"",OR($H309="",$H309="Active"))),"",IF($F309="",0,SUMPRODUCT(($N309:$U309="")*(($F309-(40-VALUE(LEFT($N$4:$U$4,2)))*7)&gt;=TODAY())*(($F309-(40-VALUE(LEFT($N$4:$U$4,2)))*7)&lt;=TODAY()+7)))+COUNTIFS($V309:$Z309,"&gt;="&amp;TODAY(),$V309:$Z309,"&lt;="&amp;TODAY()+7))</f>
        <v/>
      </c>
      <c r="L309" s="32">
        <f>IF(OR(NOT(AND($A309&lt;&gt;"",OR($H309="",$H309="Active"))),$F309=""),"",IF(N309="",N$4,IF(O309="",O$4,IF(P309="",P$4,IF(Q309="",Q$4,IF(R309="",R$4,IF(S309="",S$4,IF(T309="",T$4,IF(U309="",U$4,"All done")))))))))</f>
        <v/>
      </c>
      <c r="M309" s="33">
        <f>IF(OR($L309="",$L309="All done"),"",($F309-(40-VALUE(LEFT($L309,2)))*7))</f>
        <v/>
      </c>
      <c r="N309" s="31" t="n"/>
      <c r="O309" s="31" t="n"/>
      <c r="P309" s="31" t="n"/>
      <c r="Q309" s="31" t="n"/>
      <c r="R309" s="31" t="n"/>
      <c r="S309" s="31" t="n"/>
      <c r="T309" s="31" t="n"/>
      <c r="U309" s="31" t="n"/>
      <c r="V309" s="31" t="n"/>
      <c r="W309" s="31" t="n"/>
      <c r="X309" s="31" t="n"/>
      <c r="Y309" s="31" t="n"/>
      <c r="Z309" s="31" t="n"/>
      <c r="AA309" s="34" t="n"/>
      <c r="AB309" s="29" t="n"/>
      <c r="AC309" s="31" t="n"/>
    </row>
    <row r="310">
      <c r="A310" s="29" t="n"/>
      <c r="B310" s="30" t="n"/>
      <c r="C310" s="31" t="n"/>
      <c r="D310" s="29" t="n"/>
      <c r="E310" s="29" t="n"/>
      <c r="F310" s="31" t="n"/>
      <c r="G310" s="31" t="n"/>
      <c r="H310" s="29" t="n"/>
      <c r="I310" s="32">
        <f>IF(OR(NOT(AND($A310&lt;&gt;"",OR($H310="",$H310="Active"))),$F310=""),"",INT((TODAY()-$F310+280)/7)&amp;"+"&amp;MOD(TODAY()-$F310+280,7))</f>
        <v/>
      </c>
      <c r="J310" s="32">
        <f>IF(NOT(AND($A310&lt;&gt;"",OR($H310="",$H310="Active"))),"",IF($F310="",0,SUMPRODUCT(($N310:$U310="")*(($F310-(40-VALUE(LEFT($N$4:$U$4,2)))*7)&lt;TODAY())))+COUNTIF($N310:$U310,"DNA")+COUNTIF($V310:$Z310,"&lt;"&amp;TODAY()))</f>
        <v/>
      </c>
      <c r="K310" s="32">
        <f>IF(NOT(AND($A310&lt;&gt;"",OR($H310="",$H310="Active"))),"",IF($F310="",0,SUMPRODUCT(($N310:$U310="")*(($F310-(40-VALUE(LEFT($N$4:$U$4,2)))*7)&gt;=TODAY())*(($F310-(40-VALUE(LEFT($N$4:$U$4,2)))*7)&lt;=TODAY()+7)))+COUNTIFS($V310:$Z310,"&gt;="&amp;TODAY(),$V310:$Z310,"&lt;="&amp;TODAY()+7))</f>
        <v/>
      </c>
      <c r="L310" s="32">
        <f>IF(OR(NOT(AND($A310&lt;&gt;"",OR($H310="",$H310="Active"))),$F310=""),"",IF(N310="",N$4,IF(O310="",O$4,IF(P310="",P$4,IF(Q310="",Q$4,IF(R310="",R$4,IF(S310="",S$4,IF(T310="",T$4,IF(U310="",U$4,"All done")))))))))</f>
        <v/>
      </c>
      <c r="M310" s="33">
        <f>IF(OR($L310="",$L310="All done"),"",($F310-(40-VALUE(LEFT($L310,2)))*7))</f>
        <v/>
      </c>
      <c r="N310" s="31" t="n"/>
      <c r="O310" s="31" t="n"/>
      <c r="P310" s="31" t="n"/>
      <c r="Q310" s="31" t="n"/>
      <c r="R310" s="31" t="n"/>
      <c r="S310" s="31" t="n"/>
      <c r="T310" s="31" t="n"/>
      <c r="U310" s="31" t="n"/>
      <c r="V310" s="31" t="n"/>
      <c r="W310" s="31" t="n"/>
      <c r="X310" s="31" t="n"/>
      <c r="Y310" s="31" t="n"/>
      <c r="Z310" s="31" t="n"/>
      <c r="AA310" s="34" t="n"/>
      <c r="AB310" s="29" t="n"/>
      <c r="AC310" s="31" t="n"/>
    </row>
    <row r="311">
      <c r="A311" s="29" t="n"/>
      <c r="B311" s="30" t="n"/>
      <c r="C311" s="31" t="n"/>
      <c r="D311" s="29" t="n"/>
      <c r="E311" s="29" t="n"/>
      <c r="F311" s="31" t="n"/>
      <c r="G311" s="31" t="n"/>
      <c r="H311" s="29" t="n"/>
      <c r="I311" s="32">
        <f>IF(OR(NOT(AND($A311&lt;&gt;"",OR($H311="",$H311="Active"))),$F311=""),"",INT((TODAY()-$F311+280)/7)&amp;"+"&amp;MOD(TODAY()-$F311+280,7))</f>
        <v/>
      </c>
      <c r="J311" s="32">
        <f>IF(NOT(AND($A311&lt;&gt;"",OR($H311="",$H311="Active"))),"",IF($F311="",0,SUMPRODUCT(($N311:$U311="")*(($F311-(40-VALUE(LEFT($N$4:$U$4,2)))*7)&lt;TODAY())))+COUNTIF($N311:$U311,"DNA")+COUNTIF($V311:$Z311,"&lt;"&amp;TODAY()))</f>
        <v/>
      </c>
      <c r="K311" s="32">
        <f>IF(NOT(AND($A311&lt;&gt;"",OR($H311="",$H311="Active"))),"",IF($F311="",0,SUMPRODUCT(($N311:$U311="")*(($F311-(40-VALUE(LEFT($N$4:$U$4,2)))*7)&gt;=TODAY())*(($F311-(40-VALUE(LEFT($N$4:$U$4,2)))*7)&lt;=TODAY()+7)))+COUNTIFS($V311:$Z311,"&gt;="&amp;TODAY(),$V311:$Z311,"&lt;="&amp;TODAY()+7))</f>
        <v/>
      </c>
      <c r="L311" s="32">
        <f>IF(OR(NOT(AND($A311&lt;&gt;"",OR($H311="",$H311="Active"))),$F311=""),"",IF(N311="",N$4,IF(O311="",O$4,IF(P311="",P$4,IF(Q311="",Q$4,IF(R311="",R$4,IF(S311="",S$4,IF(T311="",T$4,IF(U311="",U$4,"All done")))))))))</f>
        <v/>
      </c>
      <c r="M311" s="33">
        <f>IF(OR($L311="",$L311="All done"),"",($F311-(40-VALUE(LEFT($L311,2)))*7))</f>
        <v/>
      </c>
      <c r="N311" s="31" t="n"/>
      <c r="O311" s="31" t="n"/>
      <c r="P311" s="31" t="n"/>
      <c r="Q311" s="31" t="n"/>
      <c r="R311" s="31" t="n"/>
      <c r="S311" s="31" t="n"/>
      <c r="T311" s="31" t="n"/>
      <c r="U311" s="31" t="n"/>
      <c r="V311" s="31" t="n"/>
      <c r="W311" s="31" t="n"/>
      <c r="X311" s="31" t="n"/>
      <c r="Y311" s="31" t="n"/>
      <c r="Z311" s="31" t="n"/>
      <c r="AA311" s="34" t="n"/>
      <c r="AB311" s="29" t="n"/>
      <c r="AC311" s="31" t="n"/>
    </row>
    <row r="312">
      <c r="A312" s="29" t="n"/>
      <c r="B312" s="30" t="n"/>
      <c r="C312" s="31" t="n"/>
      <c r="D312" s="29" t="n"/>
      <c r="E312" s="29" t="n"/>
      <c r="F312" s="31" t="n"/>
      <c r="G312" s="31" t="n"/>
      <c r="H312" s="29" t="n"/>
      <c r="I312" s="32">
        <f>IF(OR(NOT(AND($A312&lt;&gt;"",OR($H312="",$H312="Active"))),$F312=""),"",INT((TODAY()-$F312+280)/7)&amp;"+"&amp;MOD(TODAY()-$F312+280,7))</f>
        <v/>
      </c>
      <c r="J312" s="32">
        <f>IF(NOT(AND($A312&lt;&gt;"",OR($H312="",$H312="Active"))),"",IF($F312="",0,SUMPRODUCT(($N312:$U312="")*(($F312-(40-VALUE(LEFT($N$4:$U$4,2)))*7)&lt;TODAY())))+COUNTIF($N312:$U312,"DNA")+COUNTIF($V312:$Z312,"&lt;"&amp;TODAY()))</f>
        <v/>
      </c>
      <c r="K312" s="32">
        <f>IF(NOT(AND($A312&lt;&gt;"",OR($H312="",$H312="Active"))),"",IF($F312="",0,SUMPRODUCT(($N312:$U312="")*(($F312-(40-VALUE(LEFT($N$4:$U$4,2)))*7)&gt;=TODAY())*(($F312-(40-VALUE(LEFT($N$4:$U$4,2)))*7)&lt;=TODAY()+7)))+COUNTIFS($V312:$Z312,"&gt;="&amp;TODAY(),$V312:$Z312,"&lt;="&amp;TODAY()+7))</f>
        <v/>
      </c>
      <c r="L312" s="32">
        <f>IF(OR(NOT(AND($A312&lt;&gt;"",OR($H312="",$H312="Active"))),$F312=""),"",IF(N312="",N$4,IF(O312="",O$4,IF(P312="",P$4,IF(Q312="",Q$4,IF(R312="",R$4,IF(S312="",S$4,IF(T312="",T$4,IF(U312="",U$4,"All done")))))))))</f>
        <v/>
      </c>
      <c r="M312" s="33">
        <f>IF(OR($L312="",$L312="All done"),"",($F312-(40-VALUE(LEFT($L312,2)))*7))</f>
        <v/>
      </c>
      <c r="N312" s="31" t="n"/>
      <c r="O312" s="31" t="n"/>
      <c r="P312" s="31" t="n"/>
      <c r="Q312" s="31" t="n"/>
      <c r="R312" s="31" t="n"/>
      <c r="S312" s="31" t="n"/>
      <c r="T312" s="31" t="n"/>
      <c r="U312" s="31" t="n"/>
      <c r="V312" s="31" t="n"/>
      <c r="W312" s="31" t="n"/>
      <c r="X312" s="31" t="n"/>
      <c r="Y312" s="31" t="n"/>
      <c r="Z312" s="31" t="n"/>
      <c r="AA312" s="34" t="n"/>
      <c r="AB312" s="29" t="n"/>
      <c r="AC312" s="31" t="n"/>
    </row>
    <row r="313">
      <c r="A313" s="29" t="n"/>
      <c r="B313" s="30" t="n"/>
      <c r="C313" s="31" t="n"/>
      <c r="D313" s="29" t="n"/>
      <c r="E313" s="29" t="n"/>
      <c r="F313" s="31" t="n"/>
      <c r="G313" s="31" t="n"/>
      <c r="H313" s="29" t="n"/>
      <c r="I313" s="32">
        <f>IF(OR(NOT(AND($A313&lt;&gt;"",OR($H313="",$H313="Active"))),$F313=""),"",INT((TODAY()-$F313+280)/7)&amp;"+"&amp;MOD(TODAY()-$F313+280,7))</f>
        <v/>
      </c>
      <c r="J313" s="32">
        <f>IF(NOT(AND($A313&lt;&gt;"",OR($H313="",$H313="Active"))),"",IF($F313="",0,SUMPRODUCT(($N313:$U313="")*(($F313-(40-VALUE(LEFT($N$4:$U$4,2)))*7)&lt;TODAY())))+COUNTIF($N313:$U313,"DNA")+COUNTIF($V313:$Z313,"&lt;"&amp;TODAY()))</f>
        <v/>
      </c>
      <c r="K313" s="32">
        <f>IF(NOT(AND($A313&lt;&gt;"",OR($H313="",$H313="Active"))),"",IF($F313="",0,SUMPRODUCT(($N313:$U313="")*(($F313-(40-VALUE(LEFT($N$4:$U$4,2)))*7)&gt;=TODAY())*(($F313-(40-VALUE(LEFT($N$4:$U$4,2)))*7)&lt;=TODAY()+7)))+COUNTIFS($V313:$Z313,"&gt;="&amp;TODAY(),$V313:$Z313,"&lt;="&amp;TODAY()+7))</f>
        <v/>
      </c>
      <c r="L313" s="32">
        <f>IF(OR(NOT(AND($A313&lt;&gt;"",OR($H313="",$H313="Active"))),$F313=""),"",IF(N313="",N$4,IF(O313="",O$4,IF(P313="",P$4,IF(Q313="",Q$4,IF(R313="",R$4,IF(S313="",S$4,IF(T313="",T$4,IF(U313="",U$4,"All done")))))))))</f>
        <v/>
      </c>
      <c r="M313" s="33">
        <f>IF(OR($L313="",$L313="All done"),"",($F313-(40-VALUE(LEFT($L313,2)))*7))</f>
        <v/>
      </c>
      <c r="N313" s="31" t="n"/>
      <c r="O313" s="31" t="n"/>
      <c r="P313" s="31" t="n"/>
      <c r="Q313" s="31" t="n"/>
      <c r="R313" s="31" t="n"/>
      <c r="S313" s="31" t="n"/>
      <c r="T313" s="31" t="n"/>
      <c r="U313" s="31" t="n"/>
      <c r="V313" s="31" t="n"/>
      <c r="W313" s="31" t="n"/>
      <c r="X313" s="31" t="n"/>
      <c r="Y313" s="31" t="n"/>
      <c r="Z313" s="31" t="n"/>
      <c r="AA313" s="34" t="n"/>
      <c r="AB313" s="29" t="n"/>
      <c r="AC313" s="31" t="n"/>
    </row>
    <row r="314">
      <c r="A314" s="29" t="n"/>
      <c r="B314" s="30" t="n"/>
      <c r="C314" s="31" t="n"/>
      <c r="D314" s="29" t="n"/>
      <c r="E314" s="29" t="n"/>
      <c r="F314" s="31" t="n"/>
      <c r="G314" s="31" t="n"/>
      <c r="H314" s="29" t="n"/>
      <c r="I314" s="32">
        <f>IF(OR(NOT(AND($A314&lt;&gt;"",OR($H314="",$H314="Active"))),$F314=""),"",INT((TODAY()-$F314+280)/7)&amp;"+"&amp;MOD(TODAY()-$F314+280,7))</f>
        <v/>
      </c>
      <c r="J314" s="32">
        <f>IF(NOT(AND($A314&lt;&gt;"",OR($H314="",$H314="Active"))),"",IF($F314="",0,SUMPRODUCT(($N314:$U314="")*(($F314-(40-VALUE(LEFT($N$4:$U$4,2)))*7)&lt;TODAY())))+COUNTIF($N314:$U314,"DNA")+COUNTIF($V314:$Z314,"&lt;"&amp;TODAY()))</f>
        <v/>
      </c>
      <c r="K314" s="32">
        <f>IF(NOT(AND($A314&lt;&gt;"",OR($H314="",$H314="Active"))),"",IF($F314="",0,SUMPRODUCT(($N314:$U314="")*(($F314-(40-VALUE(LEFT($N$4:$U$4,2)))*7)&gt;=TODAY())*(($F314-(40-VALUE(LEFT($N$4:$U$4,2)))*7)&lt;=TODAY()+7)))+COUNTIFS($V314:$Z314,"&gt;="&amp;TODAY(),$V314:$Z314,"&lt;="&amp;TODAY()+7))</f>
        <v/>
      </c>
      <c r="L314" s="32">
        <f>IF(OR(NOT(AND($A314&lt;&gt;"",OR($H314="",$H314="Active"))),$F314=""),"",IF(N314="",N$4,IF(O314="",O$4,IF(P314="",P$4,IF(Q314="",Q$4,IF(R314="",R$4,IF(S314="",S$4,IF(T314="",T$4,IF(U314="",U$4,"All done")))))))))</f>
        <v/>
      </c>
      <c r="M314" s="33">
        <f>IF(OR($L314="",$L314="All done"),"",($F314-(40-VALUE(LEFT($L314,2)))*7))</f>
        <v/>
      </c>
      <c r="N314" s="31" t="n"/>
      <c r="O314" s="31" t="n"/>
      <c r="P314" s="31" t="n"/>
      <c r="Q314" s="31" t="n"/>
      <c r="R314" s="31" t="n"/>
      <c r="S314" s="31" t="n"/>
      <c r="T314" s="31" t="n"/>
      <c r="U314" s="31" t="n"/>
      <c r="V314" s="31" t="n"/>
      <c r="W314" s="31" t="n"/>
      <c r="X314" s="31" t="n"/>
      <c r="Y314" s="31" t="n"/>
      <c r="Z314" s="31" t="n"/>
      <c r="AA314" s="34" t="n"/>
      <c r="AB314" s="29" t="n"/>
      <c r="AC314" s="31" t="n"/>
    </row>
    <row r="315">
      <c r="A315" s="29" t="n"/>
      <c r="B315" s="30" t="n"/>
      <c r="C315" s="31" t="n"/>
      <c r="D315" s="29" t="n"/>
      <c r="E315" s="29" t="n"/>
      <c r="F315" s="31" t="n"/>
      <c r="G315" s="31" t="n"/>
      <c r="H315" s="29" t="n"/>
      <c r="I315" s="32">
        <f>IF(OR(NOT(AND($A315&lt;&gt;"",OR($H315="",$H315="Active"))),$F315=""),"",INT((TODAY()-$F315+280)/7)&amp;"+"&amp;MOD(TODAY()-$F315+280,7))</f>
        <v/>
      </c>
      <c r="J315" s="32">
        <f>IF(NOT(AND($A315&lt;&gt;"",OR($H315="",$H315="Active"))),"",IF($F315="",0,SUMPRODUCT(($N315:$U315="")*(($F315-(40-VALUE(LEFT($N$4:$U$4,2)))*7)&lt;TODAY())))+COUNTIF($N315:$U315,"DNA")+COUNTIF($V315:$Z315,"&lt;"&amp;TODAY()))</f>
        <v/>
      </c>
      <c r="K315" s="32">
        <f>IF(NOT(AND($A315&lt;&gt;"",OR($H315="",$H315="Active"))),"",IF($F315="",0,SUMPRODUCT(($N315:$U315="")*(($F315-(40-VALUE(LEFT($N$4:$U$4,2)))*7)&gt;=TODAY())*(($F315-(40-VALUE(LEFT($N$4:$U$4,2)))*7)&lt;=TODAY()+7)))+COUNTIFS($V315:$Z315,"&gt;="&amp;TODAY(),$V315:$Z315,"&lt;="&amp;TODAY()+7))</f>
        <v/>
      </c>
      <c r="L315" s="32">
        <f>IF(OR(NOT(AND($A315&lt;&gt;"",OR($H315="",$H315="Active"))),$F315=""),"",IF(N315="",N$4,IF(O315="",O$4,IF(P315="",P$4,IF(Q315="",Q$4,IF(R315="",R$4,IF(S315="",S$4,IF(T315="",T$4,IF(U315="",U$4,"All done")))))))))</f>
        <v/>
      </c>
      <c r="M315" s="33">
        <f>IF(OR($L315="",$L315="All done"),"",($F315-(40-VALUE(LEFT($L315,2)))*7))</f>
        <v/>
      </c>
      <c r="N315" s="31" t="n"/>
      <c r="O315" s="31" t="n"/>
      <c r="P315" s="31" t="n"/>
      <c r="Q315" s="31" t="n"/>
      <c r="R315" s="31" t="n"/>
      <c r="S315" s="31" t="n"/>
      <c r="T315" s="31" t="n"/>
      <c r="U315" s="31" t="n"/>
      <c r="V315" s="31" t="n"/>
      <c r="W315" s="31" t="n"/>
      <c r="X315" s="31" t="n"/>
      <c r="Y315" s="31" t="n"/>
      <c r="Z315" s="31" t="n"/>
      <c r="AA315" s="34" t="n"/>
      <c r="AB315" s="29" t="n"/>
      <c r="AC315" s="31" t="n"/>
    </row>
    <row r="316">
      <c r="A316" s="29" t="n"/>
      <c r="B316" s="30" t="n"/>
      <c r="C316" s="31" t="n"/>
      <c r="D316" s="29" t="n"/>
      <c r="E316" s="29" t="n"/>
      <c r="F316" s="31" t="n"/>
      <c r="G316" s="31" t="n"/>
      <c r="H316" s="29" t="n"/>
      <c r="I316" s="32">
        <f>IF(OR(NOT(AND($A316&lt;&gt;"",OR($H316="",$H316="Active"))),$F316=""),"",INT((TODAY()-$F316+280)/7)&amp;"+"&amp;MOD(TODAY()-$F316+280,7))</f>
        <v/>
      </c>
      <c r="J316" s="32">
        <f>IF(NOT(AND($A316&lt;&gt;"",OR($H316="",$H316="Active"))),"",IF($F316="",0,SUMPRODUCT(($N316:$U316="")*(($F316-(40-VALUE(LEFT($N$4:$U$4,2)))*7)&lt;TODAY())))+COUNTIF($N316:$U316,"DNA")+COUNTIF($V316:$Z316,"&lt;"&amp;TODAY()))</f>
        <v/>
      </c>
      <c r="K316" s="32">
        <f>IF(NOT(AND($A316&lt;&gt;"",OR($H316="",$H316="Active"))),"",IF($F316="",0,SUMPRODUCT(($N316:$U316="")*(($F316-(40-VALUE(LEFT($N$4:$U$4,2)))*7)&gt;=TODAY())*(($F316-(40-VALUE(LEFT($N$4:$U$4,2)))*7)&lt;=TODAY()+7)))+COUNTIFS($V316:$Z316,"&gt;="&amp;TODAY(),$V316:$Z316,"&lt;="&amp;TODAY()+7))</f>
        <v/>
      </c>
      <c r="L316" s="32">
        <f>IF(OR(NOT(AND($A316&lt;&gt;"",OR($H316="",$H316="Active"))),$F316=""),"",IF(N316="",N$4,IF(O316="",O$4,IF(P316="",P$4,IF(Q316="",Q$4,IF(R316="",R$4,IF(S316="",S$4,IF(T316="",T$4,IF(U316="",U$4,"All done")))))))))</f>
        <v/>
      </c>
      <c r="M316" s="33">
        <f>IF(OR($L316="",$L316="All done"),"",($F316-(40-VALUE(LEFT($L316,2)))*7))</f>
        <v/>
      </c>
      <c r="N316" s="31" t="n"/>
      <c r="O316" s="31" t="n"/>
      <c r="P316" s="31" t="n"/>
      <c r="Q316" s="31" t="n"/>
      <c r="R316" s="31" t="n"/>
      <c r="S316" s="31" t="n"/>
      <c r="T316" s="31" t="n"/>
      <c r="U316" s="31" t="n"/>
      <c r="V316" s="31" t="n"/>
      <c r="W316" s="31" t="n"/>
      <c r="X316" s="31" t="n"/>
      <c r="Y316" s="31" t="n"/>
      <c r="Z316" s="31" t="n"/>
      <c r="AA316" s="34" t="n"/>
      <c r="AB316" s="29" t="n"/>
      <c r="AC316" s="31" t="n"/>
    </row>
    <row r="317">
      <c r="A317" s="29" t="n"/>
      <c r="B317" s="30" t="n"/>
      <c r="C317" s="31" t="n"/>
      <c r="D317" s="29" t="n"/>
      <c r="E317" s="29" t="n"/>
      <c r="F317" s="31" t="n"/>
      <c r="G317" s="31" t="n"/>
      <c r="H317" s="29" t="n"/>
      <c r="I317" s="32">
        <f>IF(OR(NOT(AND($A317&lt;&gt;"",OR($H317="",$H317="Active"))),$F317=""),"",INT((TODAY()-$F317+280)/7)&amp;"+"&amp;MOD(TODAY()-$F317+280,7))</f>
        <v/>
      </c>
      <c r="J317" s="32">
        <f>IF(NOT(AND($A317&lt;&gt;"",OR($H317="",$H317="Active"))),"",IF($F317="",0,SUMPRODUCT(($N317:$U317="")*(($F317-(40-VALUE(LEFT($N$4:$U$4,2)))*7)&lt;TODAY())))+COUNTIF($N317:$U317,"DNA")+COUNTIF($V317:$Z317,"&lt;"&amp;TODAY()))</f>
        <v/>
      </c>
      <c r="K317" s="32">
        <f>IF(NOT(AND($A317&lt;&gt;"",OR($H317="",$H317="Active"))),"",IF($F317="",0,SUMPRODUCT(($N317:$U317="")*(($F317-(40-VALUE(LEFT($N$4:$U$4,2)))*7)&gt;=TODAY())*(($F317-(40-VALUE(LEFT($N$4:$U$4,2)))*7)&lt;=TODAY()+7)))+COUNTIFS($V317:$Z317,"&gt;="&amp;TODAY(),$V317:$Z317,"&lt;="&amp;TODAY()+7))</f>
        <v/>
      </c>
      <c r="L317" s="32">
        <f>IF(OR(NOT(AND($A317&lt;&gt;"",OR($H317="",$H317="Active"))),$F317=""),"",IF(N317="",N$4,IF(O317="",O$4,IF(P317="",P$4,IF(Q317="",Q$4,IF(R317="",R$4,IF(S317="",S$4,IF(T317="",T$4,IF(U317="",U$4,"All done")))))))))</f>
        <v/>
      </c>
      <c r="M317" s="33">
        <f>IF(OR($L317="",$L317="All done"),"",($F317-(40-VALUE(LEFT($L317,2)))*7))</f>
        <v/>
      </c>
      <c r="N317" s="31" t="n"/>
      <c r="O317" s="31" t="n"/>
      <c r="P317" s="31" t="n"/>
      <c r="Q317" s="31" t="n"/>
      <c r="R317" s="31" t="n"/>
      <c r="S317" s="31" t="n"/>
      <c r="T317" s="31" t="n"/>
      <c r="U317" s="31" t="n"/>
      <c r="V317" s="31" t="n"/>
      <c r="W317" s="31" t="n"/>
      <c r="X317" s="31" t="n"/>
      <c r="Y317" s="31" t="n"/>
      <c r="Z317" s="31" t="n"/>
      <c r="AA317" s="34" t="n"/>
      <c r="AB317" s="29" t="n"/>
      <c r="AC317" s="31" t="n"/>
    </row>
    <row r="318">
      <c r="A318" s="29" t="n"/>
      <c r="B318" s="30" t="n"/>
      <c r="C318" s="31" t="n"/>
      <c r="D318" s="29" t="n"/>
      <c r="E318" s="29" t="n"/>
      <c r="F318" s="31" t="n"/>
      <c r="G318" s="31" t="n"/>
      <c r="H318" s="29" t="n"/>
      <c r="I318" s="32">
        <f>IF(OR(NOT(AND($A318&lt;&gt;"",OR($H318="",$H318="Active"))),$F318=""),"",INT((TODAY()-$F318+280)/7)&amp;"+"&amp;MOD(TODAY()-$F318+280,7))</f>
        <v/>
      </c>
      <c r="J318" s="32">
        <f>IF(NOT(AND($A318&lt;&gt;"",OR($H318="",$H318="Active"))),"",IF($F318="",0,SUMPRODUCT(($N318:$U318="")*(($F318-(40-VALUE(LEFT($N$4:$U$4,2)))*7)&lt;TODAY())))+COUNTIF($N318:$U318,"DNA")+COUNTIF($V318:$Z318,"&lt;"&amp;TODAY()))</f>
        <v/>
      </c>
      <c r="K318" s="32">
        <f>IF(NOT(AND($A318&lt;&gt;"",OR($H318="",$H318="Active"))),"",IF($F318="",0,SUMPRODUCT(($N318:$U318="")*(($F318-(40-VALUE(LEFT($N$4:$U$4,2)))*7)&gt;=TODAY())*(($F318-(40-VALUE(LEFT($N$4:$U$4,2)))*7)&lt;=TODAY()+7)))+COUNTIFS($V318:$Z318,"&gt;="&amp;TODAY(),$V318:$Z318,"&lt;="&amp;TODAY()+7))</f>
        <v/>
      </c>
      <c r="L318" s="32">
        <f>IF(OR(NOT(AND($A318&lt;&gt;"",OR($H318="",$H318="Active"))),$F318=""),"",IF(N318="",N$4,IF(O318="",O$4,IF(P318="",P$4,IF(Q318="",Q$4,IF(R318="",R$4,IF(S318="",S$4,IF(T318="",T$4,IF(U318="",U$4,"All done")))))))))</f>
        <v/>
      </c>
      <c r="M318" s="33">
        <f>IF(OR($L318="",$L318="All done"),"",($F318-(40-VALUE(LEFT($L318,2)))*7))</f>
        <v/>
      </c>
      <c r="N318" s="31" t="n"/>
      <c r="O318" s="31" t="n"/>
      <c r="P318" s="31" t="n"/>
      <c r="Q318" s="31" t="n"/>
      <c r="R318" s="31" t="n"/>
      <c r="S318" s="31" t="n"/>
      <c r="T318" s="31" t="n"/>
      <c r="U318" s="31" t="n"/>
      <c r="V318" s="31" t="n"/>
      <c r="W318" s="31" t="n"/>
      <c r="X318" s="31" t="n"/>
      <c r="Y318" s="31" t="n"/>
      <c r="Z318" s="31" t="n"/>
      <c r="AA318" s="34" t="n"/>
      <c r="AB318" s="29" t="n"/>
      <c r="AC318" s="31" t="n"/>
    </row>
    <row r="319">
      <c r="A319" s="29" t="n"/>
      <c r="B319" s="30" t="n"/>
      <c r="C319" s="31" t="n"/>
      <c r="D319" s="29" t="n"/>
      <c r="E319" s="29" t="n"/>
      <c r="F319" s="31" t="n"/>
      <c r="G319" s="31" t="n"/>
      <c r="H319" s="29" t="n"/>
      <c r="I319" s="32">
        <f>IF(OR(NOT(AND($A319&lt;&gt;"",OR($H319="",$H319="Active"))),$F319=""),"",INT((TODAY()-$F319+280)/7)&amp;"+"&amp;MOD(TODAY()-$F319+280,7))</f>
        <v/>
      </c>
      <c r="J319" s="32">
        <f>IF(NOT(AND($A319&lt;&gt;"",OR($H319="",$H319="Active"))),"",IF($F319="",0,SUMPRODUCT(($N319:$U319="")*(($F319-(40-VALUE(LEFT($N$4:$U$4,2)))*7)&lt;TODAY())))+COUNTIF($N319:$U319,"DNA")+COUNTIF($V319:$Z319,"&lt;"&amp;TODAY()))</f>
        <v/>
      </c>
      <c r="K319" s="32">
        <f>IF(NOT(AND($A319&lt;&gt;"",OR($H319="",$H319="Active"))),"",IF($F319="",0,SUMPRODUCT(($N319:$U319="")*(($F319-(40-VALUE(LEFT($N$4:$U$4,2)))*7)&gt;=TODAY())*(($F319-(40-VALUE(LEFT($N$4:$U$4,2)))*7)&lt;=TODAY()+7)))+COUNTIFS($V319:$Z319,"&gt;="&amp;TODAY(),$V319:$Z319,"&lt;="&amp;TODAY()+7))</f>
        <v/>
      </c>
      <c r="L319" s="32">
        <f>IF(OR(NOT(AND($A319&lt;&gt;"",OR($H319="",$H319="Active"))),$F319=""),"",IF(N319="",N$4,IF(O319="",O$4,IF(P319="",P$4,IF(Q319="",Q$4,IF(R319="",R$4,IF(S319="",S$4,IF(T319="",T$4,IF(U319="",U$4,"All done")))))))))</f>
        <v/>
      </c>
      <c r="M319" s="33">
        <f>IF(OR($L319="",$L319="All done"),"",($F319-(40-VALUE(LEFT($L319,2)))*7))</f>
        <v/>
      </c>
      <c r="N319" s="31" t="n"/>
      <c r="O319" s="31" t="n"/>
      <c r="P319" s="31" t="n"/>
      <c r="Q319" s="31" t="n"/>
      <c r="R319" s="31" t="n"/>
      <c r="S319" s="31" t="n"/>
      <c r="T319" s="31" t="n"/>
      <c r="U319" s="31" t="n"/>
      <c r="V319" s="31" t="n"/>
      <c r="W319" s="31" t="n"/>
      <c r="X319" s="31" t="n"/>
      <c r="Y319" s="31" t="n"/>
      <c r="Z319" s="31" t="n"/>
      <c r="AA319" s="34" t="n"/>
      <c r="AB319" s="29" t="n"/>
      <c r="AC319" s="31" t="n"/>
    </row>
    <row r="320">
      <c r="A320" s="29" t="n"/>
      <c r="B320" s="30" t="n"/>
      <c r="C320" s="31" t="n"/>
      <c r="D320" s="29" t="n"/>
      <c r="E320" s="29" t="n"/>
      <c r="F320" s="31" t="n"/>
      <c r="G320" s="31" t="n"/>
      <c r="H320" s="29" t="n"/>
      <c r="I320" s="32">
        <f>IF(OR(NOT(AND($A320&lt;&gt;"",OR($H320="",$H320="Active"))),$F320=""),"",INT((TODAY()-$F320+280)/7)&amp;"+"&amp;MOD(TODAY()-$F320+280,7))</f>
        <v/>
      </c>
      <c r="J320" s="32">
        <f>IF(NOT(AND($A320&lt;&gt;"",OR($H320="",$H320="Active"))),"",IF($F320="",0,SUMPRODUCT(($N320:$U320="")*(($F320-(40-VALUE(LEFT($N$4:$U$4,2)))*7)&lt;TODAY())))+COUNTIF($N320:$U320,"DNA")+COUNTIF($V320:$Z320,"&lt;"&amp;TODAY()))</f>
        <v/>
      </c>
      <c r="K320" s="32">
        <f>IF(NOT(AND($A320&lt;&gt;"",OR($H320="",$H320="Active"))),"",IF($F320="",0,SUMPRODUCT(($N320:$U320="")*(($F320-(40-VALUE(LEFT($N$4:$U$4,2)))*7)&gt;=TODAY())*(($F320-(40-VALUE(LEFT($N$4:$U$4,2)))*7)&lt;=TODAY()+7)))+COUNTIFS($V320:$Z320,"&gt;="&amp;TODAY(),$V320:$Z320,"&lt;="&amp;TODAY()+7))</f>
        <v/>
      </c>
      <c r="L320" s="32">
        <f>IF(OR(NOT(AND($A320&lt;&gt;"",OR($H320="",$H320="Active"))),$F320=""),"",IF(N320="",N$4,IF(O320="",O$4,IF(P320="",P$4,IF(Q320="",Q$4,IF(R320="",R$4,IF(S320="",S$4,IF(T320="",T$4,IF(U320="",U$4,"All done")))))))))</f>
        <v/>
      </c>
      <c r="M320" s="33">
        <f>IF(OR($L320="",$L320="All done"),"",($F320-(40-VALUE(LEFT($L320,2)))*7))</f>
        <v/>
      </c>
      <c r="N320" s="31" t="n"/>
      <c r="O320" s="31" t="n"/>
      <c r="P320" s="31" t="n"/>
      <c r="Q320" s="31" t="n"/>
      <c r="R320" s="31" t="n"/>
      <c r="S320" s="31" t="n"/>
      <c r="T320" s="31" t="n"/>
      <c r="U320" s="31" t="n"/>
      <c r="V320" s="31" t="n"/>
      <c r="W320" s="31" t="n"/>
      <c r="X320" s="31" t="n"/>
      <c r="Y320" s="31" t="n"/>
      <c r="Z320" s="31" t="n"/>
      <c r="AA320" s="34" t="n"/>
      <c r="AB320" s="29" t="n"/>
      <c r="AC320" s="31" t="n"/>
    </row>
    <row r="321">
      <c r="A321" s="29" t="n"/>
      <c r="B321" s="30" t="n"/>
      <c r="C321" s="31" t="n"/>
      <c r="D321" s="29" t="n"/>
      <c r="E321" s="29" t="n"/>
      <c r="F321" s="31" t="n"/>
      <c r="G321" s="31" t="n"/>
      <c r="H321" s="29" t="n"/>
      <c r="I321" s="32">
        <f>IF(OR(NOT(AND($A321&lt;&gt;"",OR($H321="",$H321="Active"))),$F321=""),"",INT((TODAY()-$F321+280)/7)&amp;"+"&amp;MOD(TODAY()-$F321+280,7))</f>
        <v/>
      </c>
      <c r="J321" s="32">
        <f>IF(NOT(AND($A321&lt;&gt;"",OR($H321="",$H321="Active"))),"",IF($F321="",0,SUMPRODUCT(($N321:$U321="")*(($F321-(40-VALUE(LEFT($N$4:$U$4,2)))*7)&lt;TODAY())))+COUNTIF($N321:$U321,"DNA")+COUNTIF($V321:$Z321,"&lt;"&amp;TODAY()))</f>
        <v/>
      </c>
      <c r="K321" s="32">
        <f>IF(NOT(AND($A321&lt;&gt;"",OR($H321="",$H321="Active"))),"",IF($F321="",0,SUMPRODUCT(($N321:$U321="")*(($F321-(40-VALUE(LEFT($N$4:$U$4,2)))*7)&gt;=TODAY())*(($F321-(40-VALUE(LEFT($N$4:$U$4,2)))*7)&lt;=TODAY()+7)))+COUNTIFS($V321:$Z321,"&gt;="&amp;TODAY(),$V321:$Z321,"&lt;="&amp;TODAY()+7))</f>
        <v/>
      </c>
      <c r="L321" s="32">
        <f>IF(OR(NOT(AND($A321&lt;&gt;"",OR($H321="",$H321="Active"))),$F321=""),"",IF(N321="",N$4,IF(O321="",O$4,IF(P321="",P$4,IF(Q321="",Q$4,IF(R321="",R$4,IF(S321="",S$4,IF(T321="",T$4,IF(U321="",U$4,"All done")))))))))</f>
        <v/>
      </c>
      <c r="M321" s="33">
        <f>IF(OR($L321="",$L321="All done"),"",($F321-(40-VALUE(LEFT($L321,2)))*7))</f>
        <v/>
      </c>
      <c r="N321" s="31" t="n"/>
      <c r="O321" s="31" t="n"/>
      <c r="P321" s="31" t="n"/>
      <c r="Q321" s="31" t="n"/>
      <c r="R321" s="31" t="n"/>
      <c r="S321" s="31" t="n"/>
      <c r="T321" s="31" t="n"/>
      <c r="U321" s="31" t="n"/>
      <c r="V321" s="31" t="n"/>
      <c r="W321" s="31" t="n"/>
      <c r="X321" s="31" t="n"/>
      <c r="Y321" s="31" t="n"/>
      <c r="Z321" s="31" t="n"/>
      <c r="AA321" s="34" t="n"/>
      <c r="AB321" s="29" t="n"/>
      <c r="AC321" s="31" t="n"/>
    </row>
    <row r="322">
      <c r="A322" s="29" t="n"/>
      <c r="B322" s="30" t="n"/>
      <c r="C322" s="31" t="n"/>
      <c r="D322" s="29" t="n"/>
      <c r="E322" s="29" t="n"/>
      <c r="F322" s="31" t="n"/>
      <c r="G322" s="31" t="n"/>
      <c r="H322" s="29" t="n"/>
      <c r="I322" s="32">
        <f>IF(OR(NOT(AND($A322&lt;&gt;"",OR($H322="",$H322="Active"))),$F322=""),"",INT((TODAY()-$F322+280)/7)&amp;"+"&amp;MOD(TODAY()-$F322+280,7))</f>
        <v/>
      </c>
      <c r="J322" s="32">
        <f>IF(NOT(AND($A322&lt;&gt;"",OR($H322="",$H322="Active"))),"",IF($F322="",0,SUMPRODUCT(($N322:$U322="")*(($F322-(40-VALUE(LEFT($N$4:$U$4,2)))*7)&lt;TODAY())))+COUNTIF($N322:$U322,"DNA")+COUNTIF($V322:$Z322,"&lt;"&amp;TODAY()))</f>
        <v/>
      </c>
      <c r="K322" s="32">
        <f>IF(NOT(AND($A322&lt;&gt;"",OR($H322="",$H322="Active"))),"",IF($F322="",0,SUMPRODUCT(($N322:$U322="")*(($F322-(40-VALUE(LEFT($N$4:$U$4,2)))*7)&gt;=TODAY())*(($F322-(40-VALUE(LEFT($N$4:$U$4,2)))*7)&lt;=TODAY()+7)))+COUNTIFS($V322:$Z322,"&gt;="&amp;TODAY(),$V322:$Z322,"&lt;="&amp;TODAY()+7))</f>
        <v/>
      </c>
      <c r="L322" s="32">
        <f>IF(OR(NOT(AND($A322&lt;&gt;"",OR($H322="",$H322="Active"))),$F322=""),"",IF(N322="",N$4,IF(O322="",O$4,IF(P322="",P$4,IF(Q322="",Q$4,IF(R322="",R$4,IF(S322="",S$4,IF(T322="",T$4,IF(U322="",U$4,"All done")))))))))</f>
        <v/>
      </c>
      <c r="M322" s="33">
        <f>IF(OR($L322="",$L322="All done"),"",($F322-(40-VALUE(LEFT($L322,2)))*7))</f>
        <v/>
      </c>
      <c r="N322" s="31" t="n"/>
      <c r="O322" s="31" t="n"/>
      <c r="P322" s="31" t="n"/>
      <c r="Q322" s="31" t="n"/>
      <c r="R322" s="31" t="n"/>
      <c r="S322" s="31" t="n"/>
      <c r="T322" s="31" t="n"/>
      <c r="U322" s="31" t="n"/>
      <c r="V322" s="31" t="n"/>
      <c r="W322" s="31" t="n"/>
      <c r="X322" s="31" t="n"/>
      <c r="Y322" s="31" t="n"/>
      <c r="Z322" s="31" t="n"/>
      <c r="AA322" s="34" t="n"/>
      <c r="AB322" s="29" t="n"/>
      <c r="AC322" s="31" t="n"/>
    </row>
    <row r="323">
      <c r="A323" s="29" t="n"/>
      <c r="B323" s="30" t="n"/>
      <c r="C323" s="31" t="n"/>
      <c r="D323" s="29" t="n"/>
      <c r="E323" s="29" t="n"/>
      <c r="F323" s="31" t="n"/>
      <c r="G323" s="31" t="n"/>
      <c r="H323" s="29" t="n"/>
      <c r="I323" s="32">
        <f>IF(OR(NOT(AND($A323&lt;&gt;"",OR($H323="",$H323="Active"))),$F323=""),"",INT((TODAY()-$F323+280)/7)&amp;"+"&amp;MOD(TODAY()-$F323+280,7))</f>
        <v/>
      </c>
      <c r="J323" s="32">
        <f>IF(NOT(AND($A323&lt;&gt;"",OR($H323="",$H323="Active"))),"",IF($F323="",0,SUMPRODUCT(($N323:$U323="")*(($F323-(40-VALUE(LEFT($N$4:$U$4,2)))*7)&lt;TODAY())))+COUNTIF($N323:$U323,"DNA")+COUNTIF($V323:$Z323,"&lt;"&amp;TODAY()))</f>
        <v/>
      </c>
      <c r="K323" s="32">
        <f>IF(NOT(AND($A323&lt;&gt;"",OR($H323="",$H323="Active"))),"",IF($F323="",0,SUMPRODUCT(($N323:$U323="")*(($F323-(40-VALUE(LEFT($N$4:$U$4,2)))*7)&gt;=TODAY())*(($F323-(40-VALUE(LEFT($N$4:$U$4,2)))*7)&lt;=TODAY()+7)))+COUNTIFS($V323:$Z323,"&gt;="&amp;TODAY(),$V323:$Z323,"&lt;="&amp;TODAY()+7))</f>
        <v/>
      </c>
      <c r="L323" s="32">
        <f>IF(OR(NOT(AND($A323&lt;&gt;"",OR($H323="",$H323="Active"))),$F323=""),"",IF(N323="",N$4,IF(O323="",O$4,IF(P323="",P$4,IF(Q323="",Q$4,IF(R323="",R$4,IF(S323="",S$4,IF(T323="",T$4,IF(U323="",U$4,"All done")))))))))</f>
        <v/>
      </c>
      <c r="M323" s="33">
        <f>IF(OR($L323="",$L323="All done"),"",($F323-(40-VALUE(LEFT($L323,2)))*7))</f>
        <v/>
      </c>
      <c r="N323" s="31" t="n"/>
      <c r="O323" s="31" t="n"/>
      <c r="P323" s="31" t="n"/>
      <c r="Q323" s="31" t="n"/>
      <c r="R323" s="31" t="n"/>
      <c r="S323" s="31" t="n"/>
      <c r="T323" s="31" t="n"/>
      <c r="U323" s="31" t="n"/>
      <c r="V323" s="31" t="n"/>
      <c r="W323" s="31" t="n"/>
      <c r="X323" s="31" t="n"/>
      <c r="Y323" s="31" t="n"/>
      <c r="Z323" s="31" t="n"/>
      <c r="AA323" s="34" t="n"/>
      <c r="AB323" s="29" t="n"/>
      <c r="AC323" s="31" t="n"/>
    </row>
    <row r="324">
      <c r="A324" s="29" t="n"/>
      <c r="B324" s="30" t="n"/>
      <c r="C324" s="31" t="n"/>
      <c r="D324" s="29" t="n"/>
      <c r="E324" s="29" t="n"/>
      <c r="F324" s="31" t="n"/>
      <c r="G324" s="31" t="n"/>
      <c r="H324" s="29" t="n"/>
      <c r="I324" s="32">
        <f>IF(OR(NOT(AND($A324&lt;&gt;"",OR($H324="",$H324="Active"))),$F324=""),"",INT((TODAY()-$F324+280)/7)&amp;"+"&amp;MOD(TODAY()-$F324+280,7))</f>
        <v/>
      </c>
      <c r="J324" s="32">
        <f>IF(NOT(AND($A324&lt;&gt;"",OR($H324="",$H324="Active"))),"",IF($F324="",0,SUMPRODUCT(($N324:$U324="")*(($F324-(40-VALUE(LEFT($N$4:$U$4,2)))*7)&lt;TODAY())))+COUNTIF($N324:$U324,"DNA")+COUNTIF($V324:$Z324,"&lt;"&amp;TODAY()))</f>
        <v/>
      </c>
      <c r="K324" s="32">
        <f>IF(NOT(AND($A324&lt;&gt;"",OR($H324="",$H324="Active"))),"",IF($F324="",0,SUMPRODUCT(($N324:$U324="")*(($F324-(40-VALUE(LEFT($N$4:$U$4,2)))*7)&gt;=TODAY())*(($F324-(40-VALUE(LEFT($N$4:$U$4,2)))*7)&lt;=TODAY()+7)))+COUNTIFS($V324:$Z324,"&gt;="&amp;TODAY(),$V324:$Z324,"&lt;="&amp;TODAY()+7))</f>
        <v/>
      </c>
      <c r="L324" s="32">
        <f>IF(OR(NOT(AND($A324&lt;&gt;"",OR($H324="",$H324="Active"))),$F324=""),"",IF(N324="",N$4,IF(O324="",O$4,IF(P324="",P$4,IF(Q324="",Q$4,IF(R324="",R$4,IF(S324="",S$4,IF(T324="",T$4,IF(U324="",U$4,"All done")))))))))</f>
        <v/>
      </c>
      <c r="M324" s="33">
        <f>IF(OR($L324="",$L324="All done"),"",($F324-(40-VALUE(LEFT($L324,2)))*7))</f>
        <v/>
      </c>
      <c r="N324" s="31" t="n"/>
      <c r="O324" s="31" t="n"/>
      <c r="P324" s="31" t="n"/>
      <c r="Q324" s="31" t="n"/>
      <c r="R324" s="31" t="n"/>
      <c r="S324" s="31" t="n"/>
      <c r="T324" s="31" t="n"/>
      <c r="U324" s="31" t="n"/>
      <c r="V324" s="31" t="n"/>
      <c r="W324" s="31" t="n"/>
      <c r="X324" s="31" t="n"/>
      <c r="Y324" s="31" t="n"/>
      <c r="Z324" s="31" t="n"/>
      <c r="AA324" s="34" t="n"/>
      <c r="AB324" s="29" t="n"/>
      <c r="AC324" s="31" t="n"/>
    </row>
    <row r="325">
      <c r="A325" s="29" t="n"/>
      <c r="B325" s="30" t="n"/>
      <c r="C325" s="31" t="n"/>
      <c r="D325" s="29" t="n"/>
      <c r="E325" s="29" t="n"/>
      <c r="F325" s="31" t="n"/>
      <c r="G325" s="31" t="n"/>
      <c r="H325" s="29" t="n"/>
      <c r="I325" s="32">
        <f>IF(OR(NOT(AND($A325&lt;&gt;"",OR($H325="",$H325="Active"))),$F325=""),"",INT((TODAY()-$F325+280)/7)&amp;"+"&amp;MOD(TODAY()-$F325+280,7))</f>
        <v/>
      </c>
      <c r="J325" s="32">
        <f>IF(NOT(AND($A325&lt;&gt;"",OR($H325="",$H325="Active"))),"",IF($F325="",0,SUMPRODUCT(($N325:$U325="")*(($F325-(40-VALUE(LEFT($N$4:$U$4,2)))*7)&lt;TODAY())))+COUNTIF($N325:$U325,"DNA")+COUNTIF($V325:$Z325,"&lt;"&amp;TODAY()))</f>
        <v/>
      </c>
      <c r="K325" s="32">
        <f>IF(NOT(AND($A325&lt;&gt;"",OR($H325="",$H325="Active"))),"",IF($F325="",0,SUMPRODUCT(($N325:$U325="")*(($F325-(40-VALUE(LEFT($N$4:$U$4,2)))*7)&gt;=TODAY())*(($F325-(40-VALUE(LEFT($N$4:$U$4,2)))*7)&lt;=TODAY()+7)))+COUNTIFS($V325:$Z325,"&gt;="&amp;TODAY(),$V325:$Z325,"&lt;="&amp;TODAY()+7))</f>
        <v/>
      </c>
      <c r="L325" s="32">
        <f>IF(OR(NOT(AND($A325&lt;&gt;"",OR($H325="",$H325="Active"))),$F325=""),"",IF(N325="",N$4,IF(O325="",O$4,IF(P325="",P$4,IF(Q325="",Q$4,IF(R325="",R$4,IF(S325="",S$4,IF(T325="",T$4,IF(U325="",U$4,"All done")))))))))</f>
        <v/>
      </c>
      <c r="M325" s="33">
        <f>IF(OR($L325="",$L325="All done"),"",($F325-(40-VALUE(LEFT($L325,2)))*7))</f>
        <v/>
      </c>
      <c r="N325" s="31" t="n"/>
      <c r="O325" s="31" t="n"/>
      <c r="P325" s="31" t="n"/>
      <c r="Q325" s="31" t="n"/>
      <c r="R325" s="31" t="n"/>
      <c r="S325" s="31" t="n"/>
      <c r="T325" s="31" t="n"/>
      <c r="U325" s="31" t="n"/>
      <c r="V325" s="31" t="n"/>
      <c r="W325" s="31" t="n"/>
      <c r="X325" s="31" t="n"/>
      <c r="Y325" s="31" t="n"/>
      <c r="Z325" s="31" t="n"/>
      <c r="AA325" s="34" t="n"/>
      <c r="AB325" s="29" t="n"/>
      <c r="AC325" s="31" t="n"/>
    </row>
    <row r="326">
      <c r="A326" s="29" t="n"/>
      <c r="B326" s="30" t="n"/>
      <c r="C326" s="31" t="n"/>
      <c r="D326" s="29" t="n"/>
      <c r="E326" s="29" t="n"/>
      <c r="F326" s="31" t="n"/>
      <c r="G326" s="31" t="n"/>
      <c r="H326" s="29" t="n"/>
      <c r="I326" s="32">
        <f>IF(OR(NOT(AND($A326&lt;&gt;"",OR($H326="",$H326="Active"))),$F326=""),"",INT((TODAY()-$F326+280)/7)&amp;"+"&amp;MOD(TODAY()-$F326+280,7))</f>
        <v/>
      </c>
      <c r="J326" s="32">
        <f>IF(NOT(AND($A326&lt;&gt;"",OR($H326="",$H326="Active"))),"",IF($F326="",0,SUMPRODUCT(($N326:$U326="")*(($F326-(40-VALUE(LEFT($N$4:$U$4,2)))*7)&lt;TODAY())))+COUNTIF($N326:$U326,"DNA")+COUNTIF($V326:$Z326,"&lt;"&amp;TODAY()))</f>
        <v/>
      </c>
      <c r="K326" s="32">
        <f>IF(NOT(AND($A326&lt;&gt;"",OR($H326="",$H326="Active"))),"",IF($F326="",0,SUMPRODUCT(($N326:$U326="")*(($F326-(40-VALUE(LEFT($N$4:$U$4,2)))*7)&gt;=TODAY())*(($F326-(40-VALUE(LEFT($N$4:$U$4,2)))*7)&lt;=TODAY()+7)))+COUNTIFS($V326:$Z326,"&gt;="&amp;TODAY(),$V326:$Z326,"&lt;="&amp;TODAY()+7))</f>
        <v/>
      </c>
      <c r="L326" s="32">
        <f>IF(OR(NOT(AND($A326&lt;&gt;"",OR($H326="",$H326="Active"))),$F326=""),"",IF(N326="",N$4,IF(O326="",O$4,IF(P326="",P$4,IF(Q326="",Q$4,IF(R326="",R$4,IF(S326="",S$4,IF(T326="",T$4,IF(U326="",U$4,"All done")))))))))</f>
        <v/>
      </c>
      <c r="M326" s="33">
        <f>IF(OR($L326="",$L326="All done"),"",($F326-(40-VALUE(LEFT($L326,2)))*7))</f>
        <v/>
      </c>
      <c r="N326" s="31" t="n"/>
      <c r="O326" s="31" t="n"/>
      <c r="P326" s="31" t="n"/>
      <c r="Q326" s="31" t="n"/>
      <c r="R326" s="31" t="n"/>
      <c r="S326" s="31" t="n"/>
      <c r="T326" s="31" t="n"/>
      <c r="U326" s="31" t="n"/>
      <c r="V326" s="31" t="n"/>
      <c r="W326" s="31" t="n"/>
      <c r="X326" s="31" t="n"/>
      <c r="Y326" s="31" t="n"/>
      <c r="Z326" s="31" t="n"/>
      <c r="AA326" s="34" t="n"/>
      <c r="AB326" s="29" t="n"/>
      <c r="AC326" s="31" t="n"/>
    </row>
    <row r="327">
      <c r="A327" s="29" t="n"/>
      <c r="B327" s="30" t="n"/>
      <c r="C327" s="31" t="n"/>
      <c r="D327" s="29" t="n"/>
      <c r="E327" s="29" t="n"/>
      <c r="F327" s="31" t="n"/>
      <c r="G327" s="31" t="n"/>
      <c r="H327" s="29" t="n"/>
      <c r="I327" s="32">
        <f>IF(OR(NOT(AND($A327&lt;&gt;"",OR($H327="",$H327="Active"))),$F327=""),"",INT((TODAY()-$F327+280)/7)&amp;"+"&amp;MOD(TODAY()-$F327+280,7))</f>
        <v/>
      </c>
      <c r="J327" s="32">
        <f>IF(NOT(AND($A327&lt;&gt;"",OR($H327="",$H327="Active"))),"",IF($F327="",0,SUMPRODUCT(($N327:$U327="")*(($F327-(40-VALUE(LEFT($N$4:$U$4,2)))*7)&lt;TODAY())))+COUNTIF($N327:$U327,"DNA")+COUNTIF($V327:$Z327,"&lt;"&amp;TODAY()))</f>
        <v/>
      </c>
      <c r="K327" s="32">
        <f>IF(NOT(AND($A327&lt;&gt;"",OR($H327="",$H327="Active"))),"",IF($F327="",0,SUMPRODUCT(($N327:$U327="")*(($F327-(40-VALUE(LEFT($N$4:$U$4,2)))*7)&gt;=TODAY())*(($F327-(40-VALUE(LEFT($N$4:$U$4,2)))*7)&lt;=TODAY()+7)))+COUNTIFS($V327:$Z327,"&gt;="&amp;TODAY(),$V327:$Z327,"&lt;="&amp;TODAY()+7))</f>
        <v/>
      </c>
      <c r="L327" s="32">
        <f>IF(OR(NOT(AND($A327&lt;&gt;"",OR($H327="",$H327="Active"))),$F327=""),"",IF(N327="",N$4,IF(O327="",O$4,IF(P327="",P$4,IF(Q327="",Q$4,IF(R327="",R$4,IF(S327="",S$4,IF(T327="",T$4,IF(U327="",U$4,"All done")))))))))</f>
        <v/>
      </c>
      <c r="M327" s="33">
        <f>IF(OR($L327="",$L327="All done"),"",($F327-(40-VALUE(LEFT($L327,2)))*7))</f>
        <v/>
      </c>
      <c r="N327" s="31" t="n"/>
      <c r="O327" s="31" t="n"/>
      <c r="P327" s="31" t="n"/>
      <c r="Q327" s="31" t="n"/>
      <c r="R327" s="31" t="n"/>
      <c r="S327" s="31" t="n"/>
      <c r="T327" s="31" t="n"/>
      <c r="U327" s="31" t="n"/>
      <c r="V327" s="31" t="n"/>
      <c r="W327" s="31" t="n"/>
      <c r="X327" s="31" t="n"/>
      <c r="Y327" s="31" t="n"/>
      <c r="Z327" s="31" t="n"/>
      <c r="AA327" s="34" t="n"/>
      <c r="AB327" s="29" t="n"/>
      <c r="AC327" s="31" t="n"/>
    </row>
    <row r="328">
      <c r="A328" s="29" t="n"/>
      <c r="B328" s="30" t="n"/>
      <c r="C328" s="31" t="n"/>
      <c r="D328" s="29" t="n"/>
      <c r="E328" s="29" t="n"/>
      <c r="F328" s="31" t="n"/>
      <c r="G328" s="31" t="n"/>
      <c r="H328" s="29" t="n"/>
      <c r="I328" s="32">
        <f>IF(OR(NOT(AND($A328&lt;&gt;"",OR($H328="",$H328="Active"))),$F328=""),"",INT((TODAY()-$F328+280)/7)&amp;"+"&amp;MOD(TODAY()-$F328+280,7))</f>
        <v/>
      </c>
      <c r="J328" s="32">
        <f>IF(NOT(AND($A328&lt;&gt;"",OR($H328="",$H328="Active"))),"",IF($F328="",0,SUMPRODUCT(($N328:$U328="")*(($F328-(40-VALUE(LEFT($N$4:$U$4,2)))*7)&lt;TODAY())))+COUNTIF($N328:$U328,"DNA")+COUNTIF($V328:$Z328,"&lt;"&amp;TODAY()))</f>
        <v/>
      </c>
      <c r="K328" s="32">
        <f>IF(NOT(AND($A328&lt;&gt;"",OR($H328="",$H328="Active"))),"",IF($F328="",0,SUMPRODUCT(($N328:$U328="")*(($F328-(40-VALUE(LEFT($N$4:$U$4,2)))*7)&gt;=TODAY())*(($F328-(40-VALUE(LEFT($N$4:$U$4,2)))*7)&lt;=TODAY()+7)))+COUNTIFS($V328:$Z328,"&gt;="&amp;TODAY(),$V328:$Z328,"&lt;="&amp;TODAY()+7))</f>
        <v/>
      </c>
      <c r="L328" s="32">
        <f>IF(OR(NOT(AND($A328&lt;&gt;"",OR($H328="",$H328="Active"))),$F328=""),"",IF(N328="",N$4,IF(O328="",O$4,IF(P328="",P$4,IF(Q328="",Q$4,IF(R328="",R$4,IF(S328="",S$4,IF(T328="",T$4,IF(U328="",U$4,"All done")))))))))</f>
        <v/>
      </c>
      <c r="M328" s="33">
        <f>IF(OR($L328="",$L328="All done"),"",($F328-(40-VALUE(LEFT($L328,2)))*7))</f>
        <v/>
      </c>
      <c r="N328" s="31" t="n"/>
      <c r="O328" s="31" t="n"/>
      <c r="P328" s="31" t="n"/>
      <c r="Q328" s="31" t="n"/>
      <c r="R328" s="31" t="n"/>
      <c r="S328" s="31" t="n"/>
      <c r="T328" s="31" t="n"/>
      <c r="U328" s="31" t="n"/>
      <c r="V328" s="31" t="n"/>
      <c r="W328" s="31" t="n"/>
      <c r="X328" s="31" t="n"/>
      <c r="Y328" s="31" t="n"/>
      <c r="Z328" s="31" t="n"/>
      <c r="AA328" s="34" t="n"/>
      <c r="AB328" s="29" t="n"/>
      <c r="AC328" s="31" t="n"/>
    </row>
    <row r="329">
      <c r="A329" s="29" t="n"/>
      <c r="B329" s="30" t="n"/>
      <c r="C329" s="31" t="n"/>
      <c r="D329" s="29" t="n"/>
      <c r="E329" s="29" t="n"/>
      <c r="F329" s="31" t="n"/>
      <c r="G329" s="31" t="n"/>
      <c r="H329" s="29" t="n"/>
      <c r="I329" s="32">
        <f>IF(OR(NOT(AND($A329&lt;&gt;"",OR($H329="",$H329="Active"))),$F329=""),"",INT((TODAY()-$F329+280)/7)&amp;"+"&amp;MOD(TODAY()-$F329+280,7))</f>
        <v/>
      </c>
      <c r="J329" s="32">
        <f>IF(NOT(AND($A329&lt;&gt;"",OR($H329="",$H329="Active"))),"",IF($F329="",0,SUMPRODUCT(($N329:$U329="")*(($F329-(40-VALUE(LEFT($N$4:$U$4,2)))*7)&lt;TODAY())))+COUNTIF($N329:$U329,"DNA")+COUNTIF($V329:$Z329,"&lt;"&amp;TODAY()))</f>
        <v/>
      </c>
      <c r="K329" s="32">
        <f>IF(NOT(AND($A329&lt;&gt;"",OR($H329="",$H329="Active"))),"",IF($F329="",0,SUMPRODUCT(($N329:$U329="")*(($F329-(40-VALUE(LEFT($N$4:$U$4,2)))*7)&gt;=TODAY())*(($F329-(40-VALUE(LEFT($N$4:$U$4,2)))*7)&lt;=TODAY()+7)))+COUNTIFS($V329:$Z329,"&gt;="&amp;TODAY(),$V329:$Z329,"&lt;="&amp;TODAY()+7))</f>
        <v/>
      </c>
      <c r="L329" s="32">
        <f>IF(OR(NOT(AND($A329&lt;&gt;"",OR($H329="",$H329="Active"))),$F329=""),"",IF(N329="",N$4,IF(O329="",O$4,IF(P329="",P$4,IF(Q329="",Q$4,IF(R329="",R$4,IF(S329="",S$4,IF(T329="",T$4,IF(U329="",U$4,"All done")))))))))</f>
        <v/>
      </c>
      <c r="M329" s="33">
        <f>IF(OR($L329="",$L329="All done"),"",($F329-(40-VALUE(LEFT($L329,2)))*7))</f>
        <v/>
      </c>
      <c r="N329" s="31" t="n"/>
      <c r="O329" s="31" t="n"/>
      <c r="P329" s="31" t="n"/>
      <c r="Q329" s="31" t="n"/>
      <c r="R329" s="31" t="n"/>
      <c r="S329" s="31" t="n"/>
      <c r="T329" s="31" t="n"/>
      <c r="U329" s="31" t="n"/>
      <c r="V329" s="31" t="n"/>
      <c r="W329" s="31" t="n"/>
      <c r="X329" s="31" t="n"/>
      <c r="Y329" s="31" t="n"/>
      <c r="Z329" s="31" t="n"/>
      <c r="AA329" s="34" t="n"/>
      <c r="AB329" s="29" t="n"/>
      <c r="AC329" s="31" t="n"/>
    </row>
    <row r="330">
      <c r="A330" s="29" t="n"/>
      <c r="B330" s="30" t="n"/>
      <c r="C330" s="31" t="n"/>
      <c r="D330" s="29" t="n"/>
      <c r="E330" s="29" t="n"/>
      <c r="F330" s="31" t="n"/>
      <c r="G330" s="31" t="n"/>
      <c r="H330" s="29" t="n"/>
      <c r="I330" s="32">
        <f>IF(OR(NOT(AND($A330&lt;&gt;"",OR($H330="",$H330="Active"))),$F330=""),"",INT((TODAY()-$F330+280)/7)&amp;"+"&amp;MOD(TODAY()-$F330+280,7))</f>
        <v/>
      </c>
      <c r="J330" s="32">
        <f>IF(NOT(AND($A330&lt;&gt;"",OR($H330="",$H330="Active"))),"",IF($F330="",0,SUMPRODUCT(($N330:$U330="")*(($F330-(40-VALUE(LEFT($N$4:$U$4,2)))*7)&lt;TODAY())))+COUNTIF($N330:$U330,"DNA")+COUNTIF($V330:$Z330,"&lt;"&amp;TODAY()))</f>
        <v/>
      </c>
      <c r="K330" s="32">
        <f>IF(NOT(AND($A330&lt;&gt;"",OR($H330="",$H330="Active"))),"",IF($F330="",0,SUMPRODUCT(($N330:$U330="")*(($F330-(40-VALUE(LEFT($N$4:$U$4,2)))*7)&gt;=TODAY())*(($F330-(40-VALUE(LEFT($N$4:$U$4,2)))*7)&lt;=TODAY()+7)))+COUNTIFS($V330:$Z330,"&gt;="&amp;TODAY(),$V330:$Z330,"&lt;="&amp;TODAY()+7))</f>
        <v/>
      </c>
      <c r="L330" s="32">
        <f>IF(OR(NOT(AND($A330&lt;&gt;"",OR($H330="",$H330="Active"))),$F330=""),"",IF(N330="",N$4,IF(O330="",O$4,IF(P330="",P$4,IF(Q330="",Q$4,IF(R330="",R$4,IF(S330="",S$4,IF(T330="",T$4,IF(U330="",U$4,"All done")))))))))</f>
        <v/>
      </c>
      <c r="M330" s="33">
        <f>IF(OR($L330="",$L330="All done"),"",($F330-(40-VALUE(LEFT($L330,2)))*7))</f>
        <v/>
      </c>
      <c r="N330" s="31" t="n"/>
      <c r="O330" s="31" t="n"/>
      <c r="P330" s="31" t="n"/>
      <c r="Q330" s="31" t="n"/>
      <c r="R330" s="31" t="n"/>
      <c r="S330" s="31" t="n"/>
      <c r="T330" s="31" t="n"/>
      <c r="U330" s="31" t="n"/>
      <c r="V330" s="31" t="n"/>
      <c r="W330" s="31" t="n"/>
      <c r="X330" s="31" t="n"/>
      <c r="Y330" s="31" t="n"/>
      <c r="Z330" s="31" t="n"/>
      <c r="AA330" s="34" t="n"/>
      <c r="AB330" s="29" t="n"/>
      <c r="AC330" s="31" t="n"/>
    </row>
    <row r="331">
      <c r="A331" s="29" t="n"/>
      <c r="B331" s="30" t="n"/>
      <c r="C331" s="31" t="n"/>
      <c r="D331" s="29" t="n"/>
      <c r="E331" s="29" t="n"/>
      <c r="F331" s="31" t="n"/>
      <c r="G331" s="31" t="n"/>
      <c r="H331" s="29" t="n"/>
      <c r="I331" s="32">
        <f>IF(OR(NOT(AND($A331&lt;&gt;"",OR($H331="",$H331="Active"))),$F331=""),"",INT((TODAY()-$F331+280)/7)&amp;"+"&amp;MOD(TODAY()-$F331+280,7))</f>
        <v/>
      </c>
      <c r="J331" s="32">
        <f>IF(NOT(AND($A331&lt;&gt;"",OR($H331="",$H331="Active"))),"",IF($F331="",0,SUMPRODUCT(($N331:$U331="")*(($F331-(40-VALUE(LEFT($N$4:$U$4,2)))*7)&lt;TODAY())))+COUNTIF($N331:$U331,"DNA")+COUNTIF($V331:$Z331,"&lt;"&amp;TODAY()))</f>
        <v/>
      </c>
      <c r="K331" s="32">
        <f>IF(NOT(AND($A331&lt;&gt;"",OR($H331="",$H331="Active"))),"",IF($F331="",0,SUMPRODUCT(($N331:$U331="")*(($F331-(40-VALUE(LEFT($N$4:$U$4,2)))*7)&gt;=TODAY())*(($F331-(40-VALUE(LEFT($N$4:$U$4,2)))*7)&lt;=TODAY()+7)))+COUNTIFS($V331:$Z331,"&gt;="&amp;TODAY(),$V331:$Z331,"&lt;="&amp;TODAY()+7))</f>
        <v/>
      </c>
      <c r="L331" s="32">
        <f>IF(OR(NOT(AND($A331&lt;&gt;"",OR($H331="",$H331="Active"))),$F331=""),"",IF(N331="",N$4,IF(O331="",O$4,IF(P331="",P$4,IF(Q331="",Q$4,IF(R331="",R$4,IF(S331="",S$4,IF(T331="",T$4,IF(U331="",U$4,"All done")))))))))</f>
        <v/>
      </c>
      <c r="M331" s="33">
        <f>IF(OR($L331="",$L331="All done"),"",($F331-(40-VALUE(LEFT($L331,2)))*7))</f>
        <v/>
      </c>
      <c r="N331" s="31" t="n"/>
      <c r="O331" s="31" t="n"/>
      <c r="P331" s="31" t="n"/>
      <c r="Q331" s="31" t="n"/>
      <c r="R331" s="31" t="n"/>
      <c r="S331" s="31" t="n"/>
      <c r="T331" s="31" t="n"/>
      <c r="U331" s="31" t="n"/>
      <c r="V331" s="31" t="n"/>
      <c r="W331" s="31" t="n"/>
      <c r="X331" s="31" t="n"/>
      <c r="Y331" s="31" t="n"/>
      <c r="Z331" s="31" t="n"/>
      <c r="AA331" s="34" t="n"/>
      <c r="AB331" s="29" t="n"/>
      <c r="AC331" s="31" t="n"/>
    </row>
    <row r="332">
      <c r="A332" s="29" t="n"/>
      <c r="B332" s="30" t="n"/>
      <c r="C332" s="31" t="n"/>
      <c r="D332" s="29" t="n"/>
      <c r="E332" s="29" t="n"/>
      <c r="F332" s="31" t="n"/>
      <c r="G332" s="31" t="n"/>
      <c r="H332" s="29" t="n"/>
      <c r="I332" s="32">
        <f>IF(OR(NOT(AND($A332&lt;&gt;"",OR($H332="",$H332="Active"))),$F332=""),"",INT((TODAY()-$F332+280)/7)&amp;"+"&amp;MOD(TODAY()-$F332+280,7))</f>
        <v/>
      </c>
      <c r="J332" s="32">
        <f>IF(NOT(AND($A332&lt;&gt;"",OR($H332="",$H332="Active"))),"",IF($F332="",0,SUMPRODUCT(($N332:$U332="")*(($F332-(40-VALUE(LEFT($N$4:$U$4,2)))*7)&lt;TODAY())))+COUNTIF($N332:$U332,"DNA")+COUNTIF($V332:$Z332,"&lt;"&amp;TODAY()))</f>
        <v/>
      </c>
      <c r="K332" s="32">
        <f>IF(NOT(AND($A332&lt;&gt;"",OR($H332="",$H332="Active"))),"",IF($F332="",0,SUMPRODUCT(($N332:$U332="")*(($F332-(40-VALUE(LEFT($N$4:$U$4,2)))*7)&gt;=TODAY())*(($F332-(40-VALUE(LEFT($N$4:$U$4,2)))*7)&lt;=TODAY()+7)))+COUNTIFS($V332:$Z332,"&gt;="&amp;TODAY(),$V332:$Z332,"&lt;="&amp;TODAY()+7))</f>
        <v/>
      </c>
      <c r="L332" s="32">
        <f>IF(OR(NOT(AND($A332&lt;&gt;"",OR($H332="",$H332="Active"))),$F332=""),"",IF(N332="",N$4,IF(O332="",O$4,IF(P332="",P$4,IF(Q332="",Q$4,IF(R332="",R$4,IF(S332="",S$4,IF(T332="",T$4,IF(U332="",U$4,"All done")))))))))</f>
        <v/>
      </c>
      <c r="M332" s="33">
        <f>IF(OR($L332="",$L332="All done"),"",($F332-(40-VALUE(LEFT($L332,2)))*7))</f>
        <v/>
      </c>
      <c r="N332" s="31" t="n"/>
      <c r="O332" s="31" t="n"/>
      <c r="P332" s="31" t="n"/>
      <c r="Q332" s="31" t="n"/>
      <c r="R332" s="31" t="n"/>
      <c r="S332" s="31" t="n"/>
      <c r="T332" s="31" t="n"/>
      <c r="U332" s="31" t="n"/>
      <c r="V332" s="31" t="n"/>
      <c r="W332" s="31" t="n"/>
      <c r="X332" s="31" t="n"/>
      <c r="Y332" s="31" t="n"/>
      <c r="Z332" s="31" t="n"/>
      <c r="AA332" s="34" t="n"/>
      <c r="AB332" s="29" t="n"/>
      <c r="AC332" s="31" t="n"/>
    </row>
    <row r="333">
      <c r="A333" s="29" t="n"/>
      <c r="B333" s="30" t="n"/>
      <c r="C333" s="31" t="n"/>
      <c r="D333" s="29" t="n"/>
      <c r="E333" s="29" t="n"/>
      <c r="F333" s="31" t="n"/>
      <c r="G333" s="31" t="n"/>
      <c r="H333" s="29" t="n"/>
      <c r="I333" s="32">
        <f>IF(OR(NOT(AND($A333&lt;&gt;"",OR($H333="",$H333="Active"))),$F333=""),"",INT((TODAY()-$F333+280)/7)&amp;"+"&amp;MOD(TODAY()-$F333+280,7))</f>
        <v/>
      </c>
      <c r="J333" s="32">
        <f>IF(NOT(AND($A333&lt;&gt;"",OR($H333="",$H333="Active"))),"",IF($F333="",0,SUMPRODUCT(($N333:$U333="")*(($F333-(40-VALUE(LEFT($N$4:$U$4,2)))*7)&lt;TODAY())))+COUNTIF($N333:$U333,"DNA")+COUNTIF($V333:$Z333,"&lt;"&amp;TODAY()))</f>
        <v/>
      </c>
      <c r="K333" s="32">
        <f>IF(NOT(AND($A333&lt;&gt;"",OR($H333="",$H333="Active"))),"",IF($F333="",0,SUMPRODUCT(($N333:$U333="")*(($F333-(40-VALUE(LEFT($N$4:$U$4,2)))*7)&gt;=TODAY())*(($F333-(40-VALUE(LEFT($N$4:$U$4,2)))*7)&lt;=TODAY()+7)))+COUNTIFS($V333:$Z333,"&gt;="&amp;TODAY(),$V333:$Z333,"&lt;="&amp;TODAY()+7))</f>
        <v/>
      </c>
      <c r="L333" s="32">
        <f>IF(OR(NOT(AND($A333&lt;&gt;"",OR($H333="",$H333="Active"))),$F333=""),"",IF(N333="",N$4,IF(O333="",O$4,IF(P333="",P$4,IF(Q333="",Q$4,IF(R333="",R$4,IF(S333="",S$4,IF(T333="",T$4,IF(U333="",U$4,"All done")))))))))</f>
        <v/>
      </c>
      <c r="M333" s="33">
        <f>IF(OR($L333="",$L333="All done"),"",($F333-(40-VALUE(LEFT($L333,2)))*7))</f>
        <v/>
      </c>
      <c r="N333" s="31" t="n"/>
      <c r="O333" s="31" t="n"/>
      <c r="P333" s="31" t="n"/>
      <c r="Q333" s="31" t="n"/>
      <c r="R333" s="31" t="n"/>
      <c r="S333" s="31" t="n"/>
      <c r="T333" s="31" t="n"/>
      <c r="U333" s="31" t="n"/>
      <c r="V333" s="31" t="n"/>
      <c r="W333" s="31" t="n"/>
      <c r="X333" s="31" t="n"/>
      <c r="Y333" s="31" t="n"/>
      <c r="Z333" s="31" t="n"/>
      <c r="AA333" s="34" t="n"/>
      <c r="AB333" s="29" t="n"/>
      <c r="AC333" s="31" t="n"/>
    </row>
    <row r="334">
      <c r="A334" s="29" t="n"/>
      <c r="B334" s="30" t="n"/>
      <c r="C334" s="31" t="n"/>
      <c r="D334" s="29" t="n"/>
      <c r="E334" s="29" t="n"/>
      <c r="F334" s="31" t="n"/>
      <c r="G334" s="31" t="n"/>
      <c r="H334" s="29" t="n"/>
      <c r="I334" s="32">
        <f>IF(OR(NOT(AND($A334&lt;&gt;"",OR($H334="",$H334="Active"))),$F334=""),"",INT((TODAY()-$F334+280)/7)&amp;"+"&amp;MOD(TODAY()-$F334+280,7))</f>
        <v/>
      </c>
      <c r="J334" s="32">
        <f>IF(NOT(AND($A334&lt;&gt;"",OR($H334="",$H334="Active"))),"",IF($F334="",0,SUMPRODUCT(($N334:$U334="")*(($F334-(40-VALUE(LEFT($N$4:$U$4,2)))*7)&lt;TODAY())))+COUNTIF($N334:$U334,"DNA")+COUNTIF($V334:$Z334,"&lt;"&amp;TODAY()))</f>
        <v/>
      </c>
      <c r="K334" s="32">
        <f>IF(NOT(AND($A334&lt;&gt;"",OR($H334="",$H334="Active"))),"",IF($F334="",0,SUMPRODUCT(($N334:$U334="")*(($F334-(40-VALUE(LEFT($N$4:$U$4,2)))*7)&gt;=TODAY())*(($F334-(40-VALUE(LEFT($N$4:$U$4,2)))*7)&lt;=TODAY()+7)))+COUNTIFS($V334:$Z334,"&gt;="&amp;TODAY(),$V334:$Z334,"&lt;="&amp;TODAY()+7))</f>
        <v/>
      </c>
      <c r="L334" s="32">
        <f>IF(OR(NOT(AND($A334&lt;&gt;"",OR($H334="",$H334="Active"))),$F334=""),"",IF(N334="",N$4,IF(O334="",O$4,IF(P334="",P$4,IF(Q334="",Q$4,IF(R334="",R$4,IF(S334="",S$4,IF(T334="",T$4,IF(U334="",U$4,"All done")))))))))</f>
        <v/>
      </c>
      <c r="M334" s="33">
        <f>IF(OR($L334="",$L334="All done"),"",($F334-(40-VALUE(LEFT($L334,2)))*7))</f>
        <v/>
      </c>
      <c r="N334" s="31" t="n"/>
      <c r="O334" s="31" t="n"/>
      <c r="P334" s="31" t="n"/>
      <c r="Q334" s="31" t="n"/>
      <c r="R334" s="31" t="n"/>
      <c r="S334" s="31" t="n"/>
      <c r="T334" s="31" t="n"/>
      <c r="U334" s="31" t="n"/>
      <c r="V334" s="31" t="n"/>
      <c r="W334" s="31" t="n"/>
      <c r="X334" s="31" t="n"/>
      <c r="Y334" s="31" t="n"/>
      <c r="Z334" s="31" t="n"/>
      <c r="AA334" s="34" t="n"/>
      <c r="AB334" s="29" t="n"/>
      <c r="AC334" s="31" t="n"/>
    </row>
    <row r="335">
      <c r="A335" s="29" t="n"/>
      <c r="B335" s="30" t="n"/>
      <c r="C335" s="31" t="n"/>
      <c r="D335" s="29" t="n"/>
      <c r="E335" s="29" t="n"/>
      <c r="F335" s="31" t="n"/>
      <c r="G335" s="31" t="n"/>
      <c r="H335" s="29" t="n"/>
      <c r="I335" s="32">
        <f>IF(OR(NOT(AND($A335&lt;&gt;"",OR($H335="",$H335="Active"))),$F335=""),"",INT((TODAY()-$F335+280)/7)&amp;"+"&amp;MOD(TODAY()-$F335+280,7))</f>
        <v/>
      </c>
      <c r="J335" s="32">
        <f>IF(NOT(AND($A335&lt;&gt;"",OR($H335="",$H335="Active"))),"",IF($F335="",0,SUMPRODUCT(($N335:$U335="")*(($F335-(40-VALUE(LEFT($N$4:$U$4,2)))*7)&lt;TODAY())))+COUNTIF($N335:$U335,"DNA")+COUNTIF($V335:$Z335,"&lt;"&amp;TODAY()))</f>
        <v/>
      </c>
      <c r="K335" s="32">
        <f>IF(NOT(AND($A335&lt;&gt;"",OR($H335="",$H335="Active"))),"",IF($F335="",0,SUMPRODUCT(($N335:$U335="")*(($F335-(40-VALUE(LEFT($N$4:$U$4,2)))*7)&gt;=TODAY())*(($F335-(40-VALUE(LEFT($N$4:$U$4,2)))*7)&lt;=TODAY()+7)))+COUNTIFS($V335:$Z335,"&gt;="&amp;TODAY(),$V335:$Z335,"&lt;="&amp;TODAY()+7))</f>
        <v/>
      </c>
      <c r="L335" s="32">
        <f>IF(OR(NOT(AND($A335&lt;&gt;"",OR($H335="",$H335="Active"))),$F335=""),"",IF(N335="",N$4,IF(O335="",O$4,IF(P335="",P$4,IF(Q335="",Q$4,IF(R335="",R$4,IF(S335="",S$4,IF(T335="",T$4,IF(U335="",U$4,"All done")))))))))</f>
        <v/>
      </c>
      <c r="M335" s="33">
        <f>IF(OR($L335="",$L335="All done"),"",($F335-(40-VALUE(LEFT($L335,2)))*7))</f>
        <v/>
      </c>
      <c r="N335" s="31" t="n"/>
      <c r="O335" s="31" t="n"/>
      <c r="P335" s="31" t="n"/>
      <c r="Q335" s="31" t="n"/>
      <c r="R335" s="31" t="n"/>
      <c r="S335" s="31" t="n"/>
      <c r="T335" s="31" t="n"/>
      <c r="U335" s="31" t="n"/>
      <c r="V335" s="31" t="n"/>
      <c r="W335" s="31" t="n"/>
      <c r="X335" s="31" t="n"/>
      <c r="Y335" s="31" t="n"/>
      <c r="Z335" s="31" t="n"/>
      <c r="AA335" s="34" t="n"/>
      <c r="AB335" s="29" t="n"/>
      <c r="AC335" s="31" t="n"/>
    </row>
    <row r="336">
      <c r="A336" s="29" t="n"/>
      <c r="B336" s="30" t="n"/>
      <c r="C336" s="31" t="n"/>
      <c r="D336" s="29" t="n"/>
      <c r="E336" s="29" t="n"/>
      <c r="F336" s="31" t="n"/>
      <c r="G336" s="31" t="n"/>
      <c r="H336" s="29" t="n"/>
      <c r="I336" s="32">
        <f>IF(OR(NOT(AND($A336&lt;&gt;"",OR($H336="",$H336="Active"))),$F336=""),"",INT((TODAY()-$F336+280)/7)&amp;"+"&amp;MOD(TODAY()-$F336+280,7))</f>
        <v/>
      </c>
      <c r="J336" s="32">
        <f>IF(NOT(AND($A336&lt;&gt;"",OR($H336="",$H336="Active"))),"",IF($F336="",0,SUMPRODUCT(($N336:$U336="")*(($F336-(40-VALUE(LEFT($N$4:$U$4,2)))*7)&lt;TODAY())))+COUNTIF($N336:$U336,"DNA")+COUNTIF($V336:$Z336,"&lt;"&amp;TODAY()))</f>
        <v/>
      </c>
      <c r="K336" s="32">
        <f>IF(NOT(AND($A336&lt;&gt;"",OR($H336="",$H336="Active"))),"",IF($F336="",0,SUMPRODUCT(($N336:$U336="")*(($F336-(40-VALUE(LEFT($N$4:$U$4,2)))*7)&gt;=TODAY())*(($F336-(40-VALUE(LEFT($N$4:$U$4,2)))*7)&lt;=TODAY()+7)))+COUNTIFS($V336:$Z336,"&gt;="&amp;TODAY(),$V336:$Z336,"&lt;="&amp;TODAY()+7))</f>
        <v/>
      </c>
      <c r="L336" s="32">
        <f>IF(OR(NOT(AND($A336&lt;&gt;"",OR($H336="",$H336="Active"))),$F336=""),"",IF(N336="",N$4,IF(O336="",O$4,IF(P336="",P$4,IF(Q336="",Q$4,IF(R336="",R$4,IF(S336="",S$4,IF(T336="",T$4,IF(U336="",U$4,"All done")))))))))</f>
        <v/>
      </c>
      <c r="M336" s="33">
        <f>IF(OR($L336="",$L336="All done"),"",($F336-(40-VALUE(LEFT($L336,2)))*7))</f>
        <v/>
      </c>
      <c r="N336" s="31" t="n"/>
      <c r="O336" s="31" t="n"/>
      <c r="P336" s="31" t="n"/>
      <c r="Q336" s="31" t="n"/>
      <c r="R336" s="31" t="n"/>
      <c r="S336" s="31" t="n"/>
      <c r="T336" s="31" t="n"/>
      <c r="U336" s="31" t="n"/>
      <c r="V336" s="31" t="n"/>
      <c r="W336" s="31" t="n"/>
      <c r="X336" s="31" t="n"/>
      <c r="Y336" s="31" t="n"/>
      <c r="Z336" s="31" t="n"/>
      <c r="AA336" s="34" t="n"/>
      <c r="AB336" s="29" t="n"/>
      <c r="AC336" s="31" t="n"/>
    </row>
    <row r="337">
      <c r="A337" s="29" t="n"/>
      <c r="B337" s="30" t="n"/>
      <c r="C337" s="31" t="n"/>
      <c r="D337" s="29" t="n"/>
      <c r="E337" s="29" t="n"/>
      <c r="F337" s="31" t="n"/>
      <c r="G337" s="31" t="n"/>
      <c r="H337" s="29" t="n"/>
      <c r="I337" s="32">
        <f>IF(OR(NOT(AND($A337&lt;&gt;"",OR($H337="",$H337="Active"))),$F337=""),"",INT((TODAY()-$F337+280)/7)&amp;"+"&amp;MOD(TODAY()-$F337+280,7))</f>
        <v/>
      </c>
      <c r="J337" s="32">
        <f>IF(NOT(AND($A337&lt;&gt;"",OR($H337="",$H337="Active"))),"",IF($F337="",0,SUMPRODUCT(($N337:$U337="")*(($F337-(40-VALUE(LEFT($N$4:$U$4,2)))*7)&lt;TODAY())))+COUNTIF($N337:$U337,"DNA")+COUNTIF($V337:$Z337,"&lt;"&amp;TODAY()))</f>
        <v/>
      </c>
      <c r="K337" s="32">
        <f>IF(NOT(AND($A337&lt;&gt;"",OR($H337="",$H337="Active"))),"",IF($F337="",0,SUMPRODUCT(($N337:$U337="")*(($F337-(40-VALUE(LEFT($N$4:$U$4,2)))*7)&gt;=TODAY())*(($F337-(40-VALUE(LEFT($N$4:$U$4,2)))*7)&lt;=TODAY()+7)))+COUNTIFS($V337:$Z337,"&gt;="&amp;TODAY(),$V337:$Z337,"&lt;="&amp;TODAY()+7))</f>
        <v/>
      </c>
      <c r="L337" s="32">
        <f>IF(OR(NOT(AND($A337&lt;&gt;"",OR($H337="",$H337="Active"))),$F337=""),"",IF(N337="",N$4,IF(O337="",O$4,IF(P337="",P$4,IF(Q337="",Q$4,IF(R337="",R$4,IF(S337="",S$4,IF(T337="",T$4,IF(U337="",U$4,"All done")))))))))</f>
        <v/>
      </c>
      <c r="M337" s="33">
        <f>IF(OR($L337="",$L337="All done"),"",($F337-(40-VALUE(LEFT($L337,2)))*7))</f>
        <v/>
      </c>
      <c r="N337" s="31" t="n"/>
      <c r="O337" s="31" t="n"/>
      <c r="P337" s="31" t="n"/>
      <c r="Q337" s="31" t="n"/>
      <c r="R337" s="31" t="n"/>
      <c r="S337" s="31" t="n"/>
      <c r="T337" s="31" t="n"/>
      <c r="U337" s="31" t="n"/>
      <c r="V337" s="31" t="n"/>
      <c r="W337" s="31" t="n"/>
      <c r="X337" s="31" t="n"/>
      <c r="Y337" s="31" t="n"/>
      <c r="Z337" s="31" t="n"/>
      <c r="AA337" s="34" t="n"/>
      <c r="AB337" s="29" t="n"/>
      <c r="AC337" s="31" t="n"/>
    </row>
    <row r="338">
      <c r="A338" s="29" t="n"/>
      <c r="B338" s="30" t="n"/>
      <c r="C338" s="31" t="n"/>
      <c r="D338" s="29" t="n"/>
      <c r="E338" s="29" t="n"/>
      <c r="F338" s="31" t="n"/>
      <c r="G338" s="31" t="n"/>
      <c r="H338" s="29" t="n"/>
      <c r="I338" s="32">
        <f>IF(OR(NOT(AND($A338&lt;&gt;"",OR($H338="",$H338="Active"))),$F338=""),"",INT((TODAY()-$F338+280)/7)&amp;"+"&amp;MOD(TODAY()-$F338+280,7))</f>
        <v/>
      </c>
      <c r="J338" s="32">
        <f>IF(NOT(AND($A338&lt;&gt;"",OR($H338="",$H338="Active"))),"",IF($F338="",0,SUMPRODUCT(($N338:$U338="")*(($F338-(40-VALUE(LEFT($N$4:$U$4,2)))*7)&lt;TODAY())))+COUNTIF($N338:$U338,"DNA")+COUNTIF($V338:$Z338,"&lt;"&amp;TODAY()))</f>
        <v/>
      </c>
      <c r="K338" s="32">
        <f>IF(NOT(AND($A338&lt;&gt;"",OR($H338="",$H338="Active"))),"",IF($F338="",0,SUMPRODUCT(($N338:$U338="")*(($F338-(40-VALUE(LEFT($N$4:$U$4,2)))*7)&gt;=TODAY())*(($F338-(40-VALUE(LEFT($N$4:$U$4,2)))*7)&lt;=TODAY()+7)))+COUNTIFS($V338:$Z338,"&gt;="&amp;TODAY(),$V338:$Z338,"&lt;="&amp;TODAY()+7))</f>
        <v/>
      </c>
      <c r="L338" s="32">
        <f>IF(OR(NOT(AND($A338&lt;&gt;"",OR($H338="",$H338="Active"))),$F338=""),"",IF(N338="",N$4,IF(O338="",O$4,IF(P338="",P$4,IF(Q338="",Q$4,IF(R338="",R$4,IF(S338="",S$4,IF(T338="",T$4,IF(U338="",U$4,"All done")))))))))</f>
        <v/>
      </c>
      <c r="M338" s="33">
        <f>IF(OR($L338="",$L338="All done"),"",($F338-(40-VALUE(LEFT($L338,2)))*7))</f>
        <v/>
      </c>
      <c r="N338" s="31" t="n"/>
      <c r="O338" s="31" t="n"/>
      <c r="P338" s="31" t="n"/>
      <c r="Q338" s="31" t="n"/>
      <c r="R338" s="31" t="n"/>
      <c r="S338" s="31" t="n"/>
      <c r="T338" s="31" t="n"/>
      <c r="U338" s="31" t="n"/>
      <c r="V338" s="31" t="n"/>
      <c r="W338" s="31" t="n"/>
      <c r="X338" s="31" t="n"/>
      <c r="Y338" s="31" t="n"/>
      <c r="Z338" s="31" t="n"/>
      <c r="AA338" s="34" t="n"/>
      <c r="AB338" s="29" t="n"/>
      <c r="AC338" s="31" t="n"/>
    </row>
    <row r="339">
      <c r="A339" s="29" t="n"/>
      <c r="B339" s="30" t="n"/>
      <c r="C339" s="31" t="n"/>
      <c r="D339" s="29" t="n"/>
      <c r="E339" s="29" t="n"/>
      <c r="F339" s="31" t="n"/>
      <c r="G339" s="31" t="n"/>
      <c r="H339" s="29" t="n"/>
      <c r="I339" s="32">
        <f>IF(OR(NOT(AND($A339&lt;&gt;"",OR($H339="",$H339="Active"))),$F339=""),"",INT((TODAY()-$F339+280)/7)&amp;"+"&amp;MOD(TODAY()-$F339+280,7))</f>
        <v/>
      </c>
      <c r="J339" s="32">
        <f>IF(NOT(AND($A339&lt;&gt;"",OR($H339="",$H339="Active"))),"",IF($F339="",0,SUMPRODUCT(($N339:$U339="")*(($F339-(40-VALUE(LEFT($N$4:$U$4,2)))*7)&lt;TODAY())))+COUNTIF($N339:$U339,"DNA")+COUNTIF($V339:$Z339,"&lt;"&amp;TODAY()))</f>
        <v/>
      </c>
      <c r="K339" s="32">
        <f>IF(NOT(AND($A339&lt;&gt;"",OR($H339="",$H339="Active"))),"",IF($F339="",0,SUMPRODUCT(($N339:$U339="")*(($F339-(40-VALUE(LEFT($N$4:$U$4,2)))*7)&gt;=TODAY())*(($F339-(40-VALUE(LEFT($N$4:$U$4,2)))*7)&lt;=TODAY()+7)))+COUNTIFS($V339:$Z339,"&gt;="&amp;TODAY(),$V339:$Z339,"&lt;="&amp;TODAY()+7))</f>
        <v/>
      </c>
      <c r="L339" s="32">
        <f>IF(OR(NOT(AND($A339&lt;&gt;"",OR($H339="",$H339="Active"))),$F339=""),"",IF(N339="",N$4,IF(O339="",O$4,IF(P339="",P$4,IF(Q339="",Q$4,IF(R339="",R$4,IF(S339="",S$4,IF(T339="",T$4,IF(U339="",U$4,"All done")))))))))</f>
        <v/>
      </c>
      <c r="M339" s="33">
        <f>IF(OR($L339="",$L339="All done"),"",($F339-(40-VALUE(LEFT($L339,2)))*7))</f>
        <v/>
      </c>
      <c r="N339" s="31" t="n"/>
      <c r="O339" s="31" t="n"/>
      <c r="P339" s="31" t="n"/>
      <c r="Q339" s="31" t="n"/>
      <c r="R339" s="31" t="n"/>
      <c r="S339" s="31" t="n"/>
      <c r="T339" s="31" t="n"/>
      <c r="U339" s="31" t="n"/>
      <c r="V339" s="31" t="n"/>
      <c r="W339" s="31" t="n"/>
      <c r="X339" s="31" t="n"/>
      <c r="Y339" s="31" t="n"/>
      <c r="Z339" s="31" t="n"/>
      <c r="AA339" s="34" t="n"/>
      <c r="AB339" s="29" t="n"/>
      <c r="AC339" s="31" t="n"/>
    </row>
    <row r="340">
      <c r="A340" s="29" t="n"/>
      <c r="B340" s="30" t="n"/>
      <c r="C340" s="31" t="n"/>
      <c r="D340" s="29" t="n"/>
      <c r="E340" s="29" t="n"/>
      <c r="F340" s="31" t="n"/>
      <c r="G340" s="31" t="n"/>
      <c r="H340" s="29" t="n"/>
      <c r="I340" s="32">
        <f>IF(OR(NOT(AND($A340&lt;&gt;"",OR($H340="",$H340="Active"))),$F340=""),"",INT((TODAY()-$F340+280)/7)&amp;"+"&amp;MOD(TODAY()-$F340+280,7))</f>
        <v/>
      </c>
      <c r="J340" s="32">
        <f>IF(NOT(AND($A340&lt;&gt;"",OR($H340="",$H340="Active"))),"",IF($F340="",0,SUMPRODUCT(($N340:$U340="")*(($F340-(40-VALUE(LEFT($N$4:$U$4,2)))*7)&lt;TODAY())))+COUNTIF($N340:$U340,"DNA")+COUNTIF($V340:$Z340,"&lt;"&amp;TODAY()))</f>
        <v/>
      </c>
      <c r="K340" s="32">
        <f>IF(NOT(AND($A340&lt;&gt;"",OR($H340="",$H340="Active"))),"",IF($F340="",0,SUMPRODUCT(($N340:$U340="")*(($F340-(40-VALUE(LEFT($N$4:$U$4,2)))*7)&gt;=TODAY())*(($F340-(40-VALUE(LEFT($N$4:$U$4,2)))*7)&lt;=TODAY()+7)))+COUNTIFS($V340:$Z340,"&gt;="&amp;TODAY(),$V340:$Z340,"&lt;="&amp;TODAY()+7))</f>
        <v/>
      </c>
      <c r="L340" s="32">
        <f>IF(OR(NOT(AND($A340&lt;&gt;"",OR($H340="",$H340="Active"))),$F340=""),"",IF(N340="",N$4,IF(O340="",O$4,IF(P340="",P$4,IF(Q340="",Q$4,IF(R340="",R$4,IF(S340="",S$4,IF(T340="",T$4,IF(U340="",U$4,"All done")))))))))</f>
        <v/>
      </c>
      <c r="M340" s="33">
        <f>IF(OR($L340="",$L340="All done"),"",($F340-(40-VALUE(LEFT($L340,2)))*7))</f>
        <v/>
      </c>
      <c r="N340" s="31" t="n"/>
      <c r="O340" s="31" t="n"/>
      <c r="P340" s="31" t="n"/>
      <c r="Q340" s="31" t="n"/>
      <c r="R340" s="31" t="n"/>
      <c r="S340" s="31" t="n"/>
      <c r="T340" s="31" t="n"/>
      <c r="U340" s="31" t="n"/>
      <c r="V340" s="31" t="n"/>
      <c r="W340" s="31" t="n"/>
      <c r="X340" s="31" t="n"/>
      <c r="Y340" s="31" t="n"/>
      <c r="Z340" s="31" t="n"/>
      <c r="AA340" s="34" t="n"/>
      <c r="AB340" s="29" t="n"/>
      <c r="AC340" s="31" t="n"/>
    </row>
    <row r="341">
      <c r="A341" s="29" t="n"/>
      <c r="B341" s="30" t="n"/>
      <c r="C341" s="31" t="n"/>
      <c r="D341" s="29" t="n"/>
      <c r="E341" s="29" t="n"/>
      <c r="F341" s="31" t="n"/>
      <c r="G341" s="31" t="n"/>
      <c r="H341" s="29" t="n"/>
      <c r="I341" s="32">
        <f>IF(OR(NOT(AND($A341&lt;&gt;"",OR($H341="",$H341="Active"))),$F341=""),"",INT((TODAY()-$F341+280)/7)&amp;"+"&amp;MOD(TODAY()-$F341+280,7))</f>
        <v/>
      </c>
      <c r="J341" s="32">
        <f>IF(NOT(AND($A341&lt;&gt;"",OR($H341="",$H341="Active"))),"",IF($F341="",0,SUMPRODUCT(($N341:$U341="")*(($F341-(40-VALUE(LEFT($N$4:$U$4,2)))*7)&lt;TODAY())))+COUNTIF($N341:$U341,"DNA")+COUNTIF($V341:$Z341,"&lt;"&amp;TODAY()))</f>
        <v/>
      </c>
      <c r="K341" s="32">
        <f>IF(NOT(AND($A341&lt;&gt;"",OR($H341="",$H341="Active"))),"",IF($F341="",0,SUMPRODUCT(($N341:$U341="")*(($F341-(40-VALUE(LEFT($N$4:$U$4,2)))*7)&gt;=TODAY())*(($F341-(40-VALUE(LEFT($N$4:$U$4,2)))*7)&lt;=TODAY()+7)))+COUNTIFS($V341:$Z341,"&gt;="&amp;TODAY(),$V341:$Z341,"&lt;="&amp;TODAY()+7))</f>
        <v/>
      </c>
      <c r="L341" s="32">
        <f>IF(OR(NOT(AND($A341&lt;&gt;"",OR($H341="",$H341="Active"))),$F341=""),"",IF(N341="",N$4,IF(O341="",O$4,IF(P341="",P$4,IF(Q341="",Q$4,IF(R341="",R$4,IF(S341="",S$4,IF(T341="",T$4,IF(U341="",U$4,"All done")))))))))</f>
        <v/>
      </c>
      <c r="M341" s="33">
        <f>IF(OR($L341="",$L341="All done"),"",($F341-(40-VALUE(LEFT($L341,2)))*7))</f>
        <v/>
      </c>
      <c r="N341" s="31" t="n"/>
      <c r="O341" s="31" t="n"/>
      <c r="P341" s="31" t="n"/>
      <c r="Q341" s="31" t="n"/>
      <c r="R341" s="31" t="n"/>
      <c r="S341" s="31" t="n"/>
      <c r="T341" s="31" t="n"/>
      <c r="U341" s="31" t="n"/>
      <c r="V341" s="31" t="n"/>
      <c r="W341" s="31" t="n"/>
      <c r="X341" s="31" t="n"/>
      <c r="Y341" s="31" t="n"/>
      <c r="Z341" s="31" t="n"/>
      <c r="AA341" s="34" t="n"/>
      <c r="AB341" s="29" t="n"/>
      <c r="AC341" s="31" t="n"/>
    </row>
    <row r="342">
      <c r="A342" s="29" t="n"/>
      <c r="B342" s="30" t="n"/>
      <c r="C342" s="31" t="n"/>
      <c r="D342" s="29" t="n"/>
      <c r="E342" s="29" t="n"/>
      <c r="F342" s="31" t="n"/>
      <c r="G342" s="31" t="n"/>
      <c r="H342" s="29" t="n"/>
      <c r="I342" s="32">
        <f>IF(OR(NOT(AND($A342&lt;&gt;"",OR($H342="",$H342="Active"))),$F342=""),"",INT((TODAY()-$F342+280)/7)&amp;"+"&amp;MOD(TODAY()-$F342+280,7))</f>
        <v/>
      </c>
      <c r="J342" s="32">
        <f>IF(NOT(AND($A342&lt;&gt;"",OR($H342="",$H342="Active"))),"",IF($F342="",0,SUMPRODUCT(($N342:$U342="")*(($F342-(40-VALUE(LEFT($N$4:$U$4,2)))*7)&lt;TODAY())))+COUNTIF($N342:$U342,"DNA")+COUNTIF($V342:$Z342,"&lt;"&amp;TODAY()))</f>
        <v/>
      </c>
      <c r="K342" s="32">
        <f>IF(NOT(AND($A342&lt;&gt;"",OR($H342="",$H342="Active"))),"",IF($F342="",0,SUMPRODUCT(($N342:$U342="")*(($F342-(40-VALUE(LEFT($N$4:$U$4,2)))*7)&gt;=TODAY())*(($F342-(40-VALUE(LEFT($N$4:$U$4,2)))*7)&lt;=TODAY()+7)))+COUNTIFS($V342:$Z342,"&gt;="&amp;TODAY(),$V342:$Z342,"&lt;="&amp;TODAY()+7))</f>
        <v/>
      </c>
      <c r="L342" s="32">
        <f>IF(OR(NOT(AND($A342&lt;&gt;"",OR($H342="",$H342="Active"))),$F342=""),"",IF(N342="",N$4,IF(O342="",O$4,IF(P342="",P$4,IF(Q342="",Q$4,IF(R342="",R$4,IF(S342="",S$4,IF(T342="",T$4,IF(U342="",U$4,"All done")))))))))</f>
        <v/>
      </c>
      <c r="M342" s="33">
        <f>IF(OR($L342="",$L342="All done"),"",($F342-(40-VALUE(LEFT($L342,2)))*7))</f>
        <v/>
      </c>
      <c r="N342" s="31" t="n"/>
      <c r="O342" s="31" t="n"/>
      <c r="P342" s="31" t="n"/>
      <c r="Q342" s="31" t="n"/>
      <c r="R342" s="31" t="n"/>
      <c r="S342" s="31" t="n"/>
      <c r="T342" s="31" t="n"/>
      <c r="U342" s="31" t="n"/>
      <c r="V342" s="31" t="n"/>
      <c r="W342" s="31" t="n"/>
      <c r="X342" s="31" t="n"/>
      <c r="Y342" s="31" t="n"/>
      <c r="Z342" s="31" t="n"/>
      <c r="AA342" s="34" t="n"/>
      <c r="AB342" s="29" t="n"/>
      <c r="AC342" s="31" t="n"/>
    </row>
    <row r="343">
      <c r="A343" s="29" t="n"/>
      <c r="B343" s="30" t="n"/>
      <c r="C343" s="31" t="n"/>
      <c r="D343" s="29" t="n"/>
      <c r="E343" s="29" t="n"/>
      <c r="F343" s="31" t="n"/>
      <c r="G343" s="31" t="n"/>
      <c r="H343" s="29" t="n"/>
      <c r="I343" s="32">
        <f>IF(OR(NOT(AND($A343&lt;&gt;"",OR($H343="",$H343="Active"))),$F343=""),"",INT((TODAY()-$F343+280)/7)&amp;"+"&amp;MOD(TODAY()-$F343+280,7))</f>
        <v/>
      </c>
      <c r="J343" s="32">
        <f>IF(NOT(AND($A343&lt;&gt;"",OR($H343="",$H343="Active"))),"",IF($F343="",0,SUMPRODUCT(($N343:$U343="")*(($F343-(40-VALUE(LEFT($N$4:$U$4,2)))*7)&lt;TODAY())))+COUNTIF($N343:$U343,"DNA")+COUNTIF($V343:$Z343,"&lt;"&amp;TODAY()))</f>
        <v/>
      </c>
      <c r="K343" s="32">
        <f>IF(NOT(AND($A343&lt;&gt;"",OR($H343="",$H343="Active"))),"",IF($F343="",0,SUMPRODUCT(($N343:$U343="")*(($F343-(40-VALUE(LEFT($N$4:$U$4,2)))*7)&gt;=TODAY())*(($F343-(40-VALUE(LEFT($N$4:$U$4,2)))*7)&lt;=TODAY()+7)))+COUNTIFS($V343:$Z343,"&gt;="&amp;TODAY(),$V343:$Z343,"&lt;="&amp;TODAY()+7))</f>
        <v/>
      </c>
      <c r="L343" s="32">
        <f>IF(OR(NOT(AND($A343&lt;&gt;"",OR($H343="",$H343="Active"))),$F343=""),"",IF(N343="",N$4,IF(O343="",O$4,IF(P343="",P$4,IF(Q343="",Q$4,IF(R343="",R$4,IF(S343="",S$4,IF(T343="",T$4,IF(U343="",U$4,"All done")))))))))</f>
        <v/>
      </c>
      <c r="M343" s="33">
        <f>IF(OR($L343="",$L343="All done"),"",($F343-(40-VALUE(LEFT($L343,2)))*7))</f>
        <v/>
      </c>
      <c r="N343" s="31" t="n"/>
      <c r="O343" s="31" t="n"/>
      <c r="P343" s="31" t="n"/>
      <c r="Q343" s="31" t="n"/>
      <c r="R343" s="31" t="n"/>
      <c r="S343" s="31" t="n"/>
      <c r="T343" s="31" t="n"/>
      <c r="U343" s="31" t="n"/>
      <c r="V343" s="31" t="n"/>
      <c r="W343" s="31" t="n"/>
      <c r="X343" s="31" t="n"/>
      <c r="Y343" s="31" t="n"/>
      <c r="Z343" s="31" t="n"/>
      <c r="AA343" s="34" t="n"/>
      <c r="AB343" s="29" t="n"/>
      <c r="AC343" s="31" t="n"/>
    </row>
    <row r="344">
      <c r="A344" s="29" t="n"/>
      <c r="B344" s="30" t="n"/>
      <c r="C344" s="31" t="n"/>
      <c r="D344" s="29" t="n"/>
      <c r="E344" s="29" t="n"/>
      <c r="F344" s="31" t="n"/>
      <c r="G344" s="31" t="n"/>
      <c r="H344" s="29" t="n"/>
      <c r="I344" s="32">
        <f>IF(OR(NOT(AND($A344&lt;&gt;"",OR($H344="",$H344="Active"))),$F344=""),"",INT((TODAY()-$F344+280)/7)&amp;"+"&amp;MOD(TODAY()-$F344+280,7))</f>
        <v/>
      </c>
      <c r="J344" s="32">
        <f>IF(NOT(AND($A344&lt;&gt;"",OR($H344="",$H344="Active"))),"",IF($F344="",0,SUMPRODUCT(($N344:$U344="")*(($F344-(40-VALUE(LEFT($N$4:$U$4,2)))*7)&lt;TODAY())))+COUNTIF($N344:$U344,"DNA")+COUNTIF($V344:$Z344,"&lt;"&amp;TODAY()))</f>
        <v/>
      </c>
      <c r="K344" s="32">
        <f>IF(NOT(AND($A344&lt;&gt;"",OR($H344="",$H344="Active"))),"",IF($F344="",0,SUMPRODUCT(($N344:$U344="")*(($F344-(40-VALUE(LEFT($N$4:$U$4,2)))*7)&gt;=TODAY())*(($F344-(40-VALUE(LEFT($N$4:$U$4,2)))*7)&lt;=TODAY()+7)))+COUNTIFS($V344:$Z344,"&gt;="&amp;TODAY(),$V344:$Z344,"&lt;="&amp;TODAY()+7))</f>
        <v/>
      </c>
      <c r="L344" s="32">
        <f>IF(OR(NOT(AND($A344&lt;&gt;"",OR($H344="",$H344="Active"))),$F344=""),"",IF(N344="",N$4,IF(O344="",O$4,IF(P344="",P$4,IF(Q344="",Q$4,IF(R344="",R$4,IF(S344="",S$4,IF(T344="",T$4,IF(U344="",U$4,"All done")))))))))</f>
        <v/>
      </c>
      <c r="M344" s="33">
        <f>IF(OR($L344="",$L344="All done"),"",($F344-(40-VALUE(LEFT($L344,2)))*7))</f>
        <v/>
      </c>
      <c r="N344" s="31" t="n"/>
      <c r="O344" s="31" t="n"/>
      <c r="P344" s="31" t="n"/>
      <c r="Q344" s="31" t="n"/>
      <c r="R344" s="31" t="n"/>
      <c r="S344" s="31" t="n"/>
      <c r="T344" s="31" t="n"/>
      <c r="U344" s="31" t="n"/>
      <c r="V344" s="31" t="n"/>
      <c r="W344" s="31" t="n"/>
      <c r="X344" s="31" t="n"/>
      <c r="Y344" s="31" t="n"/>
      <c r="Z344" s="31" t="n"/>
      <c r="AA344" s="34" t="n"/>
      <c r="AB344" s="29" t="n"/>
      <c r="AC344" s="31" t="n"/>
    </row>
    <row r="345">
      <c r="A345" s="29" t="n"/>
      <c r="B345" s="30" t="n"/>
      <c r="C345" s="31" t="n"/>
      <c r="D345" s="29" t="n"/>
      <c r="E345" s="29" t="n"/>
      <c r="F345" s="31" t="n"/>
      <c r="G345" s="31" t="n"/>
      <c r="H345" s="29" t="n"/>
      <c r="I345" s="32">
        <f>IF(OR(NOT(AND($A345&lt;&gt;"",OR($H345="",$H345="Active"))),$F345=""),"",INT((TODAY()-$F345+280)/7)&amp;"+"&amp;MOD(TODAY()-$F345+280,7))</f>
        <v/>
      </c>
      <c r="J345" s="32">
        <f>IF(NOT(AND($A345&lt;&gt;"",OR($H345="",$H345="Active"))),"",IF($F345="",0,SUMPRODUCT(($N345:$U345="")*(($F345-(40-VALUE(LEFT($N$4:$U$4,2)))*7)&lt;TODAY())))+COUNTIF($N345:$U345,"DNA")+COUNTIF($V345:$Z345,"&lt;"&amp;TODAY()))</f>
        <v/>
      </c>
      <c r="K345" s="32">
        <f>IF(NOT(AND($A345&lt;&gt;"",OR($H345="",$H345="Active"))),"",IF($F345="",0,SUMPRODUCT(($N345:$U345="")*(($F345-(40-VALUE(LEFT($N$4:$U$4,2)))*7)&gt;=TODAY())*(($F345-(40-VALUE(LEFT($N$4:$U$4,2)))*7)&lt;=TODAY()+7)))+COUNTIFS($V345:$Z345,"&gt;="&amp;TODAY(),$V345:$Z345,"&lt;="&amp;TODAY()+7))</f>
        <v/>
      </c>
      <c r="L345" s="32">
        <f>IF(OR(NOT(AND($A345&lt;&gt;"",OR($H345="",$H345="Active"))),$F345=""),"",IF(N345="",N$4,IF(O345="",O$4,IF(P345="",P$4,IF(Q345="",Q$4,IF(R345="",R$4,IF(S345="",S$4,IF(T345="",T$4,IF(U345="",U$4,"All done")))))))))</f>
        <v/>
      </c>
      <c r="M345" s="33">
        <f>IF(OR($L345="",$L345="All done"),"",($F345-(40-VALUE(LEFT($L345,2)))*7))</f>
        <v/>
      </c>
      <c r="N345" s="31" t="n"/>
      <c r="O345" s="31" t="n"/>
      <c r="P345" s="31" t="n"/>
      <c r="Q345" s="31" t="n"/>
      <c r="R345" s="31" t="n"/>
      <c r="S345" s="31" t="n"/>
      <c r="T345" s="31" t="n"/>
      <c r="U345" s="31" t="n"/>
      <c r="V345" s="31" t="n"/>
      <c r="W345" s="31" t="n"/>
      <c r="X345" s="31" t="n"/>
      <c r="Y345" s="31" t="n"/>
      <c r="Z345" s="31" t="n"/>
      <c r="AA345" s="34" t="n"/>
      <c r="AB345" s="29" t="n"/>
      <c r="AC345" s="31" t="n"/>
    </row>
    <row r="346">
      <c r="A346" s="29" t="n"/>
      <c r="B346" s="30" t="n"/>
      <c r="C346" s="31" t="n"/>
      <c r="D346" s="29" t="n"/>
      <c r="E346" s="29" t="n"/>
      <c r="F346" s="31" t="n"/>
      <c r="G346" s="31" t="n"/>
      <c r="H346" s="29" t="n"/>
      <c r="I346" s="32">
        <f>IF(OR(NOT(AND($A346&lt;&gt;"",OR($H346="",$H346="Active"))),$F346=""),"",INT((TODAY()-$F346+280)/7)&amp;"+"&amp;MOD(TODAY()-$F346+280,7))</f>
        <v/>
      </c>
      <c r="J346" s="32">
        <f>IF(NOT(AND($A346&lt;&gt;"",OR($H346="",$H346="Active"))),"",IF($F346="",0,SUMPRODUCT(($N346:$U346="")*(($F346-(40-VALUE(LEFT($N$4:$U$4,2)))*7)&lt;TODAY())))+COUNTIF($N346:$U346,"DNA")+COUNTIF($V346:$Z346,"&lt;"&amp;TODAY()))</f>
        <v/>
      </c>
      <c r="K346" s="32">
        <f>IF(NOT(AND($A346&lt;&gt;"",OR($H346="",$H346="Active"))),"",IF($F346="",0,SUMPRODUCT(($N346:$U346="")*(($F346-(40-VALUE(LEFT($N$4:$U$4,2)))*7)&gt;=TODAY())*(($F346-(40-VALUE(LEFT($N$4:$U$4,2)))*7)&lt;=TODAY()+7)))+COUNTIFS($V346:$Z346,"&gt;="&amp;TODAY(),$V346:$Z346,"&lt;="&amp;TODAY()+7))</f>
        <v/>
      </c>
      <c r="L346" s="32">
        <f>IF(OR(NOT(AND($A346&lt;&gt;"",OR($H346="",$H346="Active"))),$F346=""),"",IF(N346="",N$4,IF(O346="",O$4,IF(P346="",P$4,IF(Q346="",Q$4,IF(R346="",R$4,IF(S346="",S$4,IF(T346="",T$4,IF(U346="",U$4,"All done")))))))))</f>
        <v/>
      </c>
      <c r="M346" s="33">
        <f>IF(OR($L346="",$L346="All done"),"",($F346-(40-VALUE(LEFT($L346,2)))*7))</f>
        <v/>
      </c>
      <c r="N346" s="31" t="n"/>
      <c r="O346" s="31" t="n"/>
      <c r="P346" s="31" t="n"/>
      <c r="Q346" s="31" t="n"/>
      <c r="R346" s="31" t="n"/>
      <c r="S346" s="31" t="n"/>
      <c r="T346" s="31" t="n"/>
      <c r="U346" s="31" t="n"/>
      <c r="V346" s="31" t="n"/>
      <c r="W346" s="31" t="n"/>
      <c r="X346" s="31" t="n"/>
      <c r="Y346" s="31" t="n"/>
      <c r="Z346" s="31" t="n"/>
      <c r="AA346" s="34" t="n"/>
      <c r="AB346" s="29" t="n"/>
      <c r="AC346" s="31" t="n"/>
    </row>
    <row r="347">
      <c r="A347" s="29" t="n"/>
      <c r="B347" s="30" t="n"/>
      <c r="C347" s="31" t="n"/>
      <c r="D347" s="29" t="n"/>
      <c r="E347" s="29" t="n"/>
      <c r="F347" s="31" t="n"/>
      <c r="G347" s="31" t="n"/>
      <c r="H347" s="29" t="n"/>
      <c r="I347" s="32">
        <f>IF(OR(NOT(AND($A347&lt;&gt;"",OR($H347="",$H347="Active"))),$F347=""),"",INT((TODAY()-$F347+280)/7)&amp;"+"&amp;MOD(TODAY()-$F347+280,7))</f>
        <v/>
      </c>
      <c r="J347" s="32">
        <f>IF(NOT(AND($A347&lt;&gt;"",OR($H347="",$H347="Active"))),"",IF($F347="",0,SUMPRODUCT(($N347:$U347="")*(($F347-(40-VALUE(LEFT($N$4:$U$4,2)))*7)&lt;TODAY())))+COUNTIF($N347:$U347,"DNA")+COUNTIF($V347:$Z347,"&lt;"&amp;TODAY()))</f>
        <v/>
      </c>
      <c r="K347" s="32">
        <f>IF(NOT(AND($A347&lt;&gt;"",OR($H347="",$H347="Active"))),"",IF($F347="",0,SUMPRODUCT(($N347:$U347="")*(($F347-(40-VALUE(LEFT($N$4:$U$4,2)))*7)&gt;=TODAY())*(($F347-(40-VALUE(LEFT($N$4:$U$4,2)))*7)&lt;=TODAY()+7)))+COUNTIFS($V347:$Z347,"&gt;="&amp;TODAY(),$V347:$Z347,"&lt;="&amp;TODAY()+7))</f>
        <v/>
      </c>
      <c r="L347" s="32">
        <f>IF(OR(NOT(AND($A347&lt;&gt;"",OR($H347="",$H347="Active"))),$F347=""),"",IF(N347="",N$4,IF(O347="",O$4,IF(P347="",P$4,IF(Q347="",Q$4,IF(R347="",R$4,IF(S347="",S$4,IF(T347="",T$4,IF(U347="",U$4,"All done")))))))))</f>
        <v/>
      </c>
      <c r="M347" s="33">
        <f>IF(OR($L347="",$L347="All done"),"",($F347-(40-VALUE(LEFT($L347,2)))*7))</f>
        <v/>
      </c>
      <c r="N347" s="31" t="n"/>
      <c r="O347" s="31" t="n"/>
      <c r="P347" s="31" t="n"/>
      <c r="Q347" s="31" t="n"/>
      <c r="R347" s="31" t="n"/>
      <c r="S347" s="31" t="n"/>
      <c r="T347" s="31" t="n"/>
      <c r="U347" s="31" t="n"/>
      <c r="V347" s="31" t="n"/>
      <c r="W347" s="31" t="n"/>
      <c r="X347" s="31" t="n"/>
      <c r="Y347" s="31" t="n"/>
      <c r="Z347" s="31" t="n"/>
      <c r="AA347" s="34" t="n"/>
      <c r="AB347" s="29" t="n"/>
      <c r="AC347" s="31" t="n"/>
    </row>
    <row r="348">
      <c r="A348" s="29" t="n"/>
      <c r="B348" s="30" t="n"/>
      <c r="C348" s="31" t="n"/>
      <c r="D348" s="29" t="n"/>
      <c r="E348" s="29" t="n"/>
      <c r="F348" s="31" t="n"/>
      <c r="G348" s="31" t="n"/>
      <c r="H348" s="29" t="n"/>
      <c r="I348" s="32">
        <f>IF(OR(NOT(AND($A348&lt;&gt;"",OR($H348="",$H348="Active"))),$F348=""),"",INT((TODAY()-$F348+280)/7)&amp;"+"&amp;MOD(TODAY()-$F348+280,7))</f>
        <v/>
      </c>
      <c r="J348" s="32">
        <f>IF(NOT(AND($A348&lt;&gt;"",OR($H348="",$H348="Active"))),"",IF($F348="",0,SUMPRODUCT(($N348:$U348="")*(($F348-(40-VALUE(LEFT($N$4:$U$4,2)))*7)&lt;TODAY())))+COUNTIF($N348:$U348,"DNA")+COUNTIF($V348:$Z348,"&lt;"&amp;TODAY()))</f>
        <v/>
      </c>
      <c r="K348" s="32">
        <f>IF(NOT(AND($A348&lt;&gt;"",OR($H348="",$H348="Active"))),"",IF($F348="",0,SUMPRODUCT(($N348:$U348="")*(($F348-(40-VALUE(LEFT($N$4:$U$4,2)))*7)&gt;=TODAY())*(($F348-(40-VALUE(LEFT($N$4:$U$4,2)))*7)&lt;=TODAY()+7)))+COUNTIFS($V348:$Z348,"&gt;="&amp;TODAY(),$V348:$Z348,"&lt;="&amp;TODAY()+7))</f>
        <v/>
      </c>
      <c r="L348" s="32">
        <f>IF(OR(NOT(AND($A348&lt;&gt;"",OR($H348="",$H348="Active"))),$F348=""),"",IF(N348="",N$4,IF(O348="",O$4,IF(P348="",P$4,IF(Q348="",Q$4,IF(R348="",R$4,IF(S348="",S$4,IF(T348="",T$4,IF(U348="",U$4,"All done")))))))))</f>
        <v/>
      </c>
      <c r="M348" s="33">
        <f>IF(OR($L348="",$L348="All done"),"",($F348-(40-VALUE(LEFT($L348,2)))*7))</f>
        <v/>
      </c>
      <c r="N348" s="31" t="n"/>
      <c r="O348" s="31" t="n"/>
      <c r="P348" s="31" t="n"/>
      <c r="Q348" s="31" t="n"/>
      <c r="R348" s="31" t="n"/>
      <c r="S348" s="31" t="n"/>
      <c r="T348" s="31" t="n"/>
      <c r="U348" s="31" t="n"/>
      <c r="V348" s="31" t="n"/>
      <c r="W348" s="31" t="n"/>
      <c r="X348" s="31" t="n"/>
      <c r="Y348" s="31" t="n"/>
      <c r="Z348" s="31" t="n"/>
      <c r="AA348" s="34" t="n"/>
      <c r="AB348" s="29" t="n"/>
      <c r="AC348" s="31" t="n"/>
    </row>
    <row r="349">
      <c r="A349" s="29" t="n"/>
      <c r="B349" s="30" t="n"/>
      <c r="C349" s="31" t="n"/>
      <c r="D349" s="29" t="n"/>
      <c r="E349" s="29" t="n"/>
      <c r="F349" s="31" t="n"/>
      <c r="G349" s="31" t="n"/>
      <c r="H349" s="29" t="n"/>
      <c r="I349" s="32">
        <f>IF(OR(NOT(AND($A349&lt;&gt;"",OR($H349="",$H349="Active"))),$F349=""),"",INT((TODAY()-$F349+280)/7)&amp;"+"&amp;MOD(TODAY()-$F349+280,7))</f>
        <v/>
      </c>
      <c r="J349" s="32">
        <f>IF(NOT(AND($A349&lt;&gt;"",OR($H349="",$H349="Active"))),"",IF($F349="",0,SUMPRODUCT(($N349:$U349="")*(($F349-(40-VALUE(LEFT($N$4:$U$4,2)))*7)&lt;TODAY())))+COUNTIF($N349:$U349,"DNA")+COUNTIF($V349:$Z349,"&lt;"&amp;TODAY()))</f>
        <v/>
      </c>
      <c r="K349" s="32">
        <f>IF(NOT(AND($A349&lt;&gt;"",OR($H349="",$H349="Active"))),"",IF($F349="",0,SUMPRODUCT(($N349:$U349="")*(($F349-(40-VALUE(LEFT($N$4:$U$4,2)))*7)&gt;=TODAY())*(($F349-(40-VALUE(LEFT($N$4:$U$4,2)))*7)&lt;=TODAY()+7)))+COUNTIFS($V349:$Z349,"&gt;="&amp;TODAY(),$V349:$Z349,"&lt;="&amp;TODAY()+7))</f>
        <v/>
      </c>
      <c r="L349" s="32">
        <f>IF(OR(NOT(AND($A349&lt;&gt;"",OR($H349="",$H349="Active"))),$F349=""),"",IF(N349="",N$4,IF(O349="",O$4,IF(P349="",P$4,IF(Q349="",Q$4,IF(R349="",R$4,IF(S349="",S$4,IF(T349="",T$4,IF(U349="",U$4,"All done")))))))))</f>
        <v/>
      </c>
      <c r="M349" s="33">
        <f>IF(OR($L349="",$L349="All done"),"",($F349-(40-VALUE(LEFT($L349,2)))*7))</f>
        <v/>
      </c>
      <c r="N349" s="31" t="n"/>
      <c r="O349" s="31" t="n"/>
      <c r="P349" s="31" t="n"/>
      <c r="Q349" s="31" t="n"/>
      <c r="R349" s="31" t="n"/>
      <c r="S349" s="31" t="n"/>
      <c r="T349" s="31" t="n"/>
      <c r="U349" s="31" t="n"/>
      <c r="V349" s="31" t="n"/>
      <c r="W349" s="31" t="n"/>
      <c r="X349" s="31" t="n"/>
      <c r="Y349" s="31" t="n"/>
      <c r="Z349" s="31" t="n"/>
      <c r="AA349" s="34" t="n"/>
      <c r="AB349" s="29" t="n"/>
      <c r="AC349" s="31" t="n"/>
    </row>
    <row r="350">
      <c r="A350" s="29" t="n"/>
      <c r="B350" s="30" t="n"/>
      <c r="C350" s="31" t="n"/>
      <c r="D350" s="29" t="n"/>
      <c r="E350" s="29" t="n"/>
      <c r="F350" s="31" t="n"/>
      <c r="G350" s="31" t="n"/>
      <c r="H350" s="29" t="n"/>
      <c r="I350" s="32">
        <f>IF(OR(NOT(AND($A350&lt;&gt;"",OR($H350="",$H350="Active"))),$F350=""),"",INT((TODAY()-$F350+280)/7)&amp;"+"&amp;MOD(TODAY()-$F350+280,7))</f>
        <v/>
      </c>
      <c r="J350" s="32">
        <f>IF(NOT(AND($A350&lt;&gt;"",OR($H350="",$H350="Active"))),"",IF($F350="",0,SUMPRODUCT(($N350:$U350="")*(($F350-(40-VALUE(LEFT($N$4:$U$4,2)))*7)&lt;TODAY())))+COUNTIF($N350:$U350,"DNA")+COUNTIF($V350:$Z350,"&lt;"&amp;TODAY()))</f>
        <v/>
      </c>
      <c r="K350" s="32">
        <f>IF(NOT(AND($A350&lt;&gt;"",OR($H350="",$H350="Active"))),"",IF($F350="",0,SUMPRODUCT(($N350:$U350="")*(($F350-(40-VALUE(LEFT($N$4:$U$4,2)))*7)&gt;=TODAY())*(($F350-(40-VALUE(LEFT($N$4:$U$4,2)))*7)&lt;=TODAY()+7)))+COUNTIFS($V350:$Z350,"&gt;="&amp;TODAY(),$V350:$Z350,"&lt;="&amp;TODAY()+7))</f>
        <v/>
      </c>
      <c r="L350" s="32">
        <f>IF(OR(NOT(AND($A350&lt;&gt;"",OR($H350="",$H350="Active"))),$F350=""),"",IF(N350="",N$4,IF(O350="",O$4,IF(P350="",P$4,IF(Q350="",Q$4,IF(R350="",R$4,IF(S350="",S$4,IF(T350="",T$4,IF(U350="",U$4,"All done")))))))))</f>
        <v/>
      </c>
      <c r="M350" s="33">
        <f>IF(OR($L350="",$L350="All done"),"",($F350-(40-VALUE(LEFT($L350,2)))*7))</f>
        <v/>
      </c>
      <c r="N350" s="31" t="n"/>
      <c r="O350" s="31" t="n"/>
      <c r="P350" s="31" t="n"/>
      <c r="Q350" s="31" t="n"/>
      <c r="R350" s="31" t="n"/>
      <c r="S350" s="31" t="n"/>
      <c r="T350" s="31" t="n"/>
      <c r="U350" s="31" t="n"/>
      <c r="V350" s="31" t="n"/>
      <c r="W350" s="31" t="n"/>
      <c r="X350" s="31" t="n"/>
      <c r="Y350" s="31" t="n"/>
      <c r="Z350" s="31" t="n"/>
      <c r="AA350" s="34" t="n"/>
      <c r="AB350" s="29" t="n"/>
      <c r="AC350" s="31" t="n"/>
    </row>
    <row r="351">
      <c r="A351" s="29" t="n"/>
      <c r="B351" s="30" t="n"/>
      <c r="C351" s="31" t="n"/>
      <c r="D351" s="29" t="n"/>
      <c r="E351" s="29" t="n"/>
      <c r="F351" s="31" t="n"/>
      <c r="G351" s="31" t="n"/>
      <c r="H351" s="29" t="n"/>
      <c r="I351" s="32">
        <f>IF(OR(NOT(AND($A351&lt;&gt;"",OR($H351="",$H351="Active"))),$F351=""),"",INT((TODAY()-$F351+280)/7)&amp;"+"&amp;MOD(TODAY()-$F351+280,7))</f>
        <v/>
      </c>
      <c r="J351" s="32">
        <f>IF(NOT(AND($A351&lt;&gt;"",OR($H351="",$H351="Active"))),"",IF($F351="",0,SUMPRODUCT(($N351:$U351="")*(($F351-(40-VALUE(LEFT($N$4:$U$4,2)))*7)&lt;TODAY())))+COUNTIF($N351:$U351,"DNA")+COUNTIF($V351:$Z351,"&lt;"&amp;TODAY()))</f>
        <v/>
      </c>
      <c r="K351" s="32">
        <f>IF(NOT(AND($A351&lt;&gt;"",OR($H351="",$H351="Active"))),"",IF($F351="",0,SUMPRODUCT(($N351:$U351="")*(($F351-(40-VALUE(LEFT($N$4:$U$4,2)))*7)&gt;=TODAY())*(($F351-(40-VALUE(LEFT($N$4:$U$4,2)))*7)&lt;=TODAY()+7)))+COUNTIFS($V351:$Z351,"&gt;="&amp;TODAY(),$V351:$Z351,"&lt;="&amp;TODAY()+7))</f>
        <v/>
      </c>
      <c r="L351" s="32">
        <f>IF(OR(NOT(AND($A351&lt;&gt;"",OR($H351="",$H351="Active"))),$F351=""),"",IF(N351="",N$4,IF(O351="",O$4,IF(P351="",P$4,IF(Q351="",Q$4,IF(R351="",R$4,IF(S351="",S$4,IF(T351="",T$4,IF(U351="",U$4,"All done")))))))))</f>
        <v/>
      </c>
      <c r="M351" s="33">
        <f>IF(OR($L351="",$L351="All done"),"",($F351-(40-VALUE(LEFT($L351,2)))*7))</f>
        <v/>
      </c>
      <c r="N351" s="31" t="n"/>
      <c r="O351" s="31" t="n"/>
      <c r="P351" s="31" t="n"/>
      <c r="Q351" s="31" t="n"/>
      <c r="R351" s="31" t="n"/>
      <c r="S351" s="31" t="n"/>
      <c r="T351" s="31" t="n"/>
      <c r="U351" s="31" t="n"/>
      <c r="V351" s="31" t="n"/>
      <c r="W351" s="31" t="n"/>
      <c r="X351" s="31" t="n"/>
      <c r="Y351" s="31" t="n"/>
      <c r="Z351" s="31" t="n"/>
      <c r="AA351" s="34" t="n"/>
      <c r="AB351" s="29" t="n"/>
      <c r="AC351" s="31" t="n"/>
    </row>
    <row r="352">
      <c r="A352" s="29" t="n"/>
      <c r="B352" s="30" t="n"/>
      <c r="C352" s="31" t="n"/>
      <c r="D352" s="29" t="n"/>
      <c r="E352" s="29" t="n"/>
      <c r="F352" s="31" t="n"/>
      <c r="G352" s="31" t="n"/>
      <c r="H352" s="29" t="n"/>
      <c r="I352" s="32">
        <f>IF(OR(NOT(AND($A352&lt;&gt;"",OR($H352="",$H352="Active"))),$F352=""),"",INT((TODAY()-$F352+280)/7)&amp;"+"&amp;MOD(TODAY()-$F352+280,7))</f>
        <v/>
      </c>
      <c r="J352" s="32">
        <f>IF(NOT(AND($A352&lt;&gt;"",OR($H352="",$H352="Active"))),"",IF($F352="",0,SUMPRODUCT(($N352:$U352="")*(($F352-(40-VALUE(LEFT($N$4:$U$4,2)))*7)&lt;TODAY())))+COUNTIF($N352:$U352,"DNA")+COUNTIF($V352:$Z352,"&lt;"&amp;TODAY()))</f>
        <v/>
      </c>
      <c r="K352" s="32">
        <f>IF(NOT(AND($A352&lt;&gt;"",OR($H352="",$H352="Active"))),"",IF($F352="",0,SUMPRODUCT(($N352:$U352="")*(($F352-(40-VALUE(LEFT($N$4:$U$4,2)))*7)&gt;=TODAY())*(($F352-(40-VALUE(LEFT($N$4:$U$4,2)))*7)&lt;=TODAY()+7)))+COUNTIFS($V352:$Z352,"&gt;="&amp;TODAY(),$V352:$Z352,"&lt;="&amp;TODAY()+7))</f>
        <v/>
      </c>
      <c r="L352" s="32">
        <f>IF(OR(NOT(AND($A352&lt;&gt;"",OR($H352="",$H352="Active"))),$F352=""),"",IF(N352="",N$4,IF(O352="",O$4,IF(P352="",P$4,IF(Q352="",Q$4,IF(R352="",R$4,IF(S352="",S$4,IF(T352="",T$4,IF(U352="",U$4,"All done")))))))))</f>
        <v/>
      </c>
      <c r="M352" s="33">
        <f>IF(OR($L352="",$L352="All done"),"",($F352-(40-VALUE(LEFT($L352,2)))*7))</f>
        <v/>
      </c>
      <c r="N352" s="31" t="n"/>
      <c r="O352" s="31" t="n"/>
      <c r="P352" s="31" t="n"/>
      <c r="Q352" s="31" t="n"/>
      <c r="R352" s="31" t="n"/>
      <c r="S352" s="31" t="n"/>
      <c r="T352" s="31" t="n"/>
      <c r="U352" s="31" t="n"/>
      <c r="V352" s="31" t="n"/>
      <c r="W352" s="31" t="n"/>
      <c r="X352" s="31" t="n"/>
      <c r="Y352" s="31" t="n"/>
      <c r="Z352" s="31" t="n"/>
      <c r="AA352" s="34" t="n"/>
      <c r="AB352" s="29" t="n"/>
      <c r="AC352" s="31" t="n"/>
    </row>
    <row r="353">
      <c r="A353" s="29" t="n"/>
      <c r="B353" s="30" t="n"/>
      <c r="C353" s="31" t="n"/>
      <c r="D353" s="29" t="n"/>
      <c r="E353" s="29" t="n"/>
      <c r="F353" s="31" t="n"/>
      <c r="G353" s="31" t="n"/>
      <c r="H353" s="29" t="n"/>
      <c r="I353" s="32">
        <f>IF(OR(NOT(AND($A353&lt;&gt;"",OR($H353="",$H353="Active"))),$F353=""),"",INT((TODAY()-$F353+280)/7)&amp;"+"&amp;MOD(TODAY()-$F353+280,7))</f>
        <v/>
      </c>
      <c r="J353" s="32">
        <f>IF(NOT(AND($A353&lt;&gt;"",OR($H353="",$H353="Active"))),"",IF($F353="",0,SUMPRODUCT(($N353:$U353="")*(($F353-(40-VALUE(LEFT($N$4:$U$4,2)))*7)&lt;TODAY())))+COUNTIF($N353:$U353,"DNA")+COUNTIF($V353:$Z353,"&lt;"&amp;TODAY()))</f>
        <v/>
      </c>
      <c r="K353" s="32">
        <f>IF(NOT(AND($A353&lt;&gt;"",OR($H353="",$H353="Active"))),"",IF($F353="",0,SUMPRODUCT(($N353:$U353="")*(($F353-(40-VALUE(LEFT($N$4:$U$4,2)))*7)&gt;=TODAY())*(($F353-(40-VALUE(LEFT($N$4:$U$4,2)))*7)&lt;=TODAY()+7)))+COUNTIFS($V353:$Z353,"&gt;="&amp;TODAY(),$V353:$Z353,"&lt;="&amp;TODAY()+7))</f>
        <v/>
      </c>
      <c r="L353" s="32">
        <f>IF(OR(NOT(AND($A353&lt;&gt;"",OR($H353="",$H353="Active"))),$F353=""),"",IF(N353="",N$4,IF(O353="",O$4,IF(P353="",P$4,IF(Q353="",Q$4,IF(R353="",R$4,IF(S353="",S$4,IF(T353="",T$4,IF(U353="",U$4,"All done")))))))))</f>
        <v/>
      </c>
      <c r="M353" s="33">
        <f>IF(OR($L353="",$L353="All done"),"",($F353-(40-VALUE(LEFT($L353,2)))*7))</f>
        <v/>
      </c>
      <c r="N353" s="31" t="n"/>
      <c r="O353" s="31" t="n"/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4" t="n"/>
      <c r="AB353" s="29" t="n"/>
      <c r="AC353" s="31" t="n"/>
    </row>
    <row r="354">
      <c r="A354" s="29" t="n"/>
      <c r="B354" s="30" t="n"/>
      <c r="C354" s="31" t="n"/>
      <c r="D354" s="29" t="n"/>
      <c r="E354" s="29" t="n"/>
      <c r="F354" s="31" t="n"/>
      <c r="G354" s="31" t="n"/>
      <c r="H354" s="29" t="n"/>
      <c r="I354" s="32">
        <f>IF(OR(NOT(AND($A354&lt;&gt;"",OR($H354="",$H354="Active"))),$F354=""),"",INT((TODAY()-$F354+280)/7)&amp;"+"&amp;MOD(TODAY()-$F354+280,7))</f>
        <v/>
      </c>
      <c r="J354" s="32">
        <f>IF(NOT(AND($A354&lt;&gt;"",OR($H354="",$H354="Active"))),"",IF($F354="",0,SUMPRODUCT(($N354:$U354="")*(($F354-(40-VALUE(LEFT($N$4:$U$4,2)))*7)&lt;TODAY())))+COUNTIF($N354:$U354,"DNA")+COUNTIF($V354:$Z354,"&lt;"&amp;TODAY()))</f>
        <v/>
      </c>
      <c r="K354" s="32">
        <f>IF(NOT(AND($A354&lt;&gt;"",OR($H354="",$H354="Active"))),"",IF($F354="",0,SUMPRODUCT(($N354:$U354="")*(($F354-(40-VALUE(LEFT($N$4:$U$4,2)))*7)&gt;=TODAY())*(($F354-(40-VALUE(LEFT($N$4:$U$4,2)))*7)&lt;=TODAY()+7)))+COUNTIFS($V354:$Z354,"&gt;="&amp;TODAY(),$V354:$Z354,"&lt;="&amp;TODAY()+7))</f>
        <v/>
      </c>
      <c r="L354" s="32">
        <f>IF(OR(NOT(AND($A354&lt;&gt;"",OR($H354="",$H354="Active"))),$F354=""),"",IF(N354="",N$4,IF(O354="",O$4,IF(P354="",P$4,IF(Q354="",Q$4,IF(R354="",R$4,IF(S354="",S$4,IF(T354="",T$4,IF(U354="",U$4,"All done")))))))))</f>
        <v/>
      </c>
      <c r="M354" s="33">
        <f>IF(OR($L354="",$L354="All done"),"",($F354-(40-VALUE(LEFT($L354,2)))*7))</f>
        <v/>
      </c>
      <c r="N354" s="31" t="n"/>
      <c r="O354" s="31" t="n"/>
      <c r="P354" s="31" t="n"/>
      <c r="Q354" s="31" t="n"/>
      <c r="R354" s="31" t="n"/>
      <c r="S354" s="31" t="n"/>
      <c r="T354" s="31" t="n"/>
      <c r="U354" s="31" t="n"/>
      <c r="V354" s="31" t="n"/>
      <c r="W354" s="31" t="n"/>
      <c r="X354" s="31" t="n"/>
      <c r="Y354" s="31" t="n"/>
      <c r="Z354" s="31" t="n"/>
      <c r="AA354" s="34" t="n"/>
      <c r="AB354" s="29" t="n"/>
      <c r="AC354" s="31" t="n"/>
    </row>
    <row r="355">
      <c r="A355" s="29" t="n"/>
      <c r="B355" s="30" t="n"/>
      <c r="C355" s="31" t="n"/>
      <c r="D355" s="29" t="n"/>
      <c r="E355" s="29" t="n"/>
      <c r="F355" s="31" t="n"/>
      <c r="G355" s="31" t="n"/>
      <c r="H355" s="29" t="n"/>
      <c r="I355" s="32">
        <f>IF(OR(NOT(AND($A355&lt;&gt;"",OR($H355="",$H355="Active"))),$F355=""),"",INT((TODAY()-$F355+280)/7)&amp;"+"&amp;MOD(TODAY()-$F355+280,7))</f>
        <v/>
      </c>
      <c r="J355" s="32">
        <f>IF(NOT(AND($A355&lt;&gt;"",OR($H355="",$H355="Active"))),"",IF($F355="",0,SUMPRODUCT(($N355:$U355="")*(($F355-(40-VALUE(LEFT($N$4:$U$4,2)))*7)&lt;TODAY())))+COUNTIF($N355:$U355,"DNA")+COUNTIF($V355:$Z355,"&lt;"&amp;TODAY()))</f>
        <v/>
      </c>
      <c r="K355" s="32">
        <f>IF(NOT(AND($A355&lt;&gt;"",OR($H355="",$H355="Active"))),"",IF($F355="",0,SUMPRODUCT(($N355:$U355="")*(($F355-(40-VALUE(LEFT($N$4:$U$4,2)))*7)&gt;=TODAY())*(($F355-(40-VALUE(LEFT($N$4:$U$4,2)))*7)&lt;=TODAY()+7)))+COUNTIFS($V355:$Z355,"&gt;="&amp;TODAY(),$V355:$Z355,"&lt;="&amp;TODAY()+7))</f>
        <v/>
      </c>
      <c r="L355" s="32">
        <f>IF(OR(NOT(AND($A355&lt;&gt;"",OR($H355="",$H355="Active"))),$F355=""),"",IF(N355="",N$4,IF(O355="",O$4,IF(P355="",P$4,IF(Q355="",Q$4,IF(R355="",R$4,IF(S355="",S$4,IF(T355="",T$4,IF(U355="",U$4,"All done")))))))))</f>
        <v/>
      </c>
      <c r="M355" s="33">
        <f>IF(OR($L355="",$L355="All done"),"",($F355-(40-VALUE(LEFT($L355,2)))*7))</f>
        <v/>
      </c>
      <c r="N355" s="31" t="n"/>
      <c r="O355" s="31" t="n"/>
      <c r="P355" s="31" t="n"/>
      <c r="Q355" s="31" t="n"/>
      <c r="R355" s="31" t="n"/>
      <c r="S355" s="31" t="n"/>
      <c r="T355" s="31" t="n"/>
      <c r="U355" s="31" t="n"/>
      <c r="V355" s="31" t="n"/>
      <c r="W355" s="31" t="n"/>
      <c r="X355" s="31" t="n"/>
      <c r="Y355" s="31" t="n"/>
      <c r="Z355" s="31" t="n"/>
      <c r="AA355" s="34" t="n"/>
      <c r="AB355" s="29" t="n"/>
      <c r="AC355" s="31" t="n"/>
    </row>
    <row r="356">
      <c r="A356" s="29" t="n"/>
      <c r="B356" s="30" t="n"/>
      <c r="C356" s="31" t="n"/>
      <c r="D356" s="29" t="n"/>
      <c r="E356" s="29" t="n"/>
      <c r="F356" s="31" t="n"/>
      <c r="G356" s="31" t="n"/>
      <c r="H356" s="29" t="n"/>
      <c r="I356" s="32">
        <f>IF(OR(NOT(AND($A356&lt;&gt;"",OR($H356="",$H356="Active"))),$F356=""),"",INT((TODAY()-$F356+280)/7)&amp;"+"&amp;MOD(TODAY()-$F356+280,7))</f>
        <v/>
      </c>
      <c r="J356" s="32">
        <f>IF(NOT(AND($A356&lt;&gt;"",OR($H356="",$H356="Active"))),"",IF($F356="",0,SUMPRODUCT(($N356:$U356="")*(($F356-(40-VALUE(LEFT($N$4:$U$4,2)))*7)&lt;TODAY())))+COUNTIF($N356:$U356,"DNA")+COUNTIF($V356:$Z356,"&lt;"&amp;TODAY()))</f>
        <v/>
      </c>
      <c r="K356" s="32">
        <f>IF(NOT(AND($A356&lt;&gt;"",OR($H356="",$H356="Active"))),"",IF($F356="",0,SUMPRODUCT(($N356:$U356="")*(($F356-(40-VALUE(LEFT($N$4:$U$4,2)))*7)&gt;=TODAY())*(($F356-(40-VALUE(LEFT($N$4:$U$4,2)))*7)&lt;=TODAY()+7)))+COUNTIFS($V356:$Z356,"&gt;="&amp;TODAY(),$V356:$Z356,"&lt;="&amp;TODAY()+7))</f>
        <v/>
      </c>
      <c r="L356" s="32">
        <f>IF(OR(NOT(AND($A356&lt;&gt;"",OR($H356="",$H356="Active"))),$F356=""),"",IF(N356="",N$4,IF(O356="",O$4,IF(P356="",P$4,IF(Q356="",Q$4,IF(R356="",R$4,IF(S356="",S$4,IF(T356="",T$4,IF(U356="",U$4,"All done")))))))))</f>
        <v/>
      </c>
      <c r="M356" s="33">
        <f>IF(OR($L356="",$L356="All done"),"",($F356-(40-VALUE(LEFT($L356,2)))*7))</f>
        <v/>
      </c>
      <c r="N356" s="31" t="n"/>
      <c r="O356" s="31" t="n"/>
      <c r="P356" s="31" t="n"/>
      <c r="Q356" s="31" t="n"/>
      <c r="R356" s="31" t="n"/>
      <c r="S356" s="31" t="n"/>
      <c r="T356" s="31" t="n"/>
      <c r="U356" s="31" t="n"/>
      <c r="V356" s="31" t="n"/>
      <c r="W356" s="31" t="n"/>
      <c r="X356" s="31" t="n"/>
      <c r="Y356" s="31" t="n"/>
      <c r="Z356" s="31" t="n"/>
      <c r="AA356" s="34" t="n"/>
      <c r="AB356" s="29" t="n"/>
      <c r="AC356" s="31" t="n"/>
    </row>
    <row r="357">
      <c r="A357" s="29" t="n"/>
      <c r="B357" s="30" t="n"/>
      <c r="C357" s="31" t="n"/>
      <c r="D357" s="29" t="n"/>
      <c r="E357" s="29" t="n"/>
      <c r="F357" s="31" t="n"/>
      <c r="G357" s="31" t="n"/>
      <c r="H357" s="29" t="n"/>
      <c r="I357" s="32">
        <f>IF(OR(NOT(AND($A357&lt;&gt;"",OR($H357="",$H357="Active"))),$F357=""),"",INT((TODAY()-$F357+280)/7)&amp;"+"&amp;MOD(TODAY()-$F357+280,7))</f>
        <v/>
      </c>
      <c r="J357" s="32">
        <f>IF(NOT(AND($A357&lt;&gt;"",OR($H357="",$H357="Active"))),"",IF($F357="",0,SUMPRODUCT(($N357:$U357="")*(($F357-(40-VALUE(LEFT($N$4:$U$4,2)))*7)&lt;TODAY())))+COUNTIF($N357:$U357,"DNA")+COUNTIF($V357:$Z357,"&lt;"&amp;TODAY()))</f>
        <v/>
      </c>
      <c r="K357" s="32">
        <f>IF(NOT(AND($A357&lt;&gt;"",OR($H357="",$H357="Active"))),"",IF($F357="",0,SUMPRODUCT(($N357:$U357="")*(($F357-(40-VALUE(LEFT($N$4:$U$4,2)))*7)&gt;=TODAY())*(($F357-(40-VALUE(LEFT($N$4:$U$4,2)))*7)&lt;=TODAY()+7)))+COUNTIFS($V357:$Z357,"&gt;="&amp;TODAY(),$V357:$Z357,"&lt;="&amp;TODAY()+7))</f>
        <v/>
      </c>
      <c r="L357" s="32">
        <f>IF(OR(NOT(AND($A357&lt;&gt;"",OR($H357="",$H357="Active"))),$F357=""),"",IF(N357="",N$4,IF(O357="",O$4,IF(P357="",P$4,IF(Q357="",Q$4,IF(R357="",R$4,IF(S357="",S$4,IF(T357="",T$4,IF(U357="",U$4,"All done")))))))))</f>
        <v/>
      </c>
      <c r="M357" s="33">
        <f>IF(OR($L357="",$L357="All done"),"",($F357-(40-VALUE(LEFT($L357,2)))*7))</f>
        <v/>
      </c>
      <c r="N357" s="31" t="n"/>
      <c r="O357" s="31" t="n"/>
      <c r="P357" s="31" t="n"/>
      <c r="Q357" s="31" t="n"/>
      <c r="R357" s="31" t="n"/>
      <c r="S357" s="31" t="n"/>
      <c r="T357" s="31" t="n"/>
      <c r="U357" s="31" t="n"/>
      <c r="V357" s="31" t="n"/>
      <c r="W357" s="31" t="n"/>
      <c r="X357" s="31" t="n"/>
      <c r="Y357" s="31" t="n"/>
      <c r="Z357" s="31" t="n"/>
      <c r="AA357" s="34" t="n"/>
      <c r="AB357" s="29" t="n"/>
      <c r="AC357" s="31" t="n"/>
    </row>
    <row r="358">
      <c r="A358" s="29" t="n"/>
      <c r="B358" s="30" t="n"/>
      <c r="C358" s="31" t="n"/>
      <c r="D358" s="29" t="n"/>
      <c r="E358" s="29" t="n"/>
      <c r="F358" s="31" t="n"/>
      <c r="G358" s="31" t="n"/>
      <c r="H358" s="29" t="n"/>
      <c r="I358" s="32">
        <f>IF(OR(NOT(AND($A358&lt;&gt;"",OR($H358="",$H358="Active"))),$F358=""),"",INT((TODAY()-$F358+280)/7)&amp;"+"&amp;MOD(TODAY()-$F358+280,7))</f>
        <v/>
      </c>
      <c r="J358" s="32">
        <f>IF(NOT(AND($A358&lt;&gt;"",OR($H358="",$H358="Active"))),"",IF($F358="",0,SUMPRODUCT(($N358:$U358="")*(($F358-(40-VALUE(LEFT($N$4:$U$4,2)))*7)&lt;TODAY())))+COUNTIF($N358:$U358,"DNA")+COUNTIF($V358:$Z358,"&lt;"&amp;TODAY()))</f>
        <v/>
      </c>
      <c r="K358" s="32">
        <f>IF(NOT(AND($A358&lt;&gt;"",OR($H358="",$H358="Active"))),"",IF($F358="",0,SUMPRODUCT(($N358:$U358="")*(($F358-(40-VALUE(LEFT($N$4:$U$4,2)))*7)&gt;=TODAY())*(($F358-(40-VALUE(LEFT($N$4:$U$4,2)))*7)&lt;=TODAY()+7)))+COUNTIFS($V358:$Z358,"&gt;="&amp;TODAY(),$V358:$Z358,"&lt;="&amp;TODAY()+7))</f>
        <v/>
      </c>
      <c r="L358" s="32">
        <f>IF(OR(NOT(AND($A358&lt;&gt;"",OR($H358="",$H358="Active"))),$F358=""),"",IF(N358="",N$4,IF(O358="",O$4,IF(P358="",P$4,IF(Q358="",Q$4,IF(R358="",R$4,IF(S358="",S$4,IF(T358="",T$4,IF(U358="",U$4,"All done")))))))))</f>
        <v/>
      </c>
      <c r="M358" s="33">
        <f>IF(OR($L358="",$L358="All done"),"",($F358-(40-VALUE(LEFT($L358,2)))*7))</f>
        <v/>
      </c>
      <c r="N358" s="31" t="n"/>
      <c r="O358" s="31" t="n"/>
      <c r="P358" s="31" t="n"/>
      <c r="Q358" s="31" t="n"/>
      <c r="R358" s="31" t="n"/>
      <c r="S358" s="31" t="n"/>
      <c r="T358" s="31" t="n"/>
      <c r="U358" s="31" t="n"/>
      <c r="V358" s="31" t="n"/>
      <c r="W358" s="31" t="n"/>
      <c r="X358" s="31" t="n"/>
      <c r="Y358" s="31" t="n"/>
      <c r="Z358" s="31" t="n"/>
      <c r="AA358" s="34" t="n"/>
      <c r="AB358" s="29" t="n"/>
      <c r="AC358" s="31" t="n"/>
    </row>
    <row r="359">
      <c r="A359" s="29" t="n"/>
      <c r="B359" s="30" t="n"/>
      <c r="C359" s="31" t="n"/>
      <c r="D359" s="29" t="n"/>
      <c r="E359" s="29" t="n"/>
      <c r="F359" s="31" t="n"/>
      <c r="G359" s="31" t="n"/>
      <c r="H359" s="29" t="n"/>
      <c r="I359" s="32">
        <f>IF(OR(NOT(AND($A359&lt;&gt;"",OR($H359="",$H359="Active"))),$F359=""),"",INT((TODAY()-$F359+280)/7)&amp;"+"&amp;MOD(TODAY()-$F359+280,7))</f>
        <v/>
      </c>
      <c r="J359" s="32">
        <f>IF(NOT(AND($A359&lt;&gt;"",OR($H359="",$H359="Active"))),"",IF($F359="",0,SUMPRODUCT(($N359:$U359="")*(($F359-(40-VALUE(LEFT($N$4:$U$4,2)))*7)&lt;TODAY())))+COUNTIF($N359:$U359,"DNA")+COUNTIF($V359:$Z359,"&lt;"&amp;TODAY()))</f>
        <v/>
      </c>
      <c r="K359" s="32">
        <f>IF(NOT(AND($A359&lt;&gt;"",OR($H359="",$H359="Active"))),"",IF($F359="",0,SUMPRODUCT(($N359:$U359="")*(($F359-(40-VALUE(LEFT($N$4:$U$4,2)))*7)&gt;=TODAY())*(($F359-(40-VALUE(LEFT($N$4:$U$4,2)))*7)&lt;=TODAY()+7)))+COUNTIFS($V359:$Z359,"&gt;="&amp;TODAY(),$V359:$Z359,"&lt;="&amp;TODAY()+7))</f>
        <v/>
      </c>
      <c r="L359" s="32">
        <f>IF(OR(NOT(AND($A359&lt;&gt;"",OR($H359="",$H359="Active"))),$F359=""),"",IF(N359="",N$4,IF(O359="",O$4,IF(P359="",P$4,IF(Q359="",Q$4,IF(R359="",R$4,IF(S359="",S$4,IF(T359="",T$4,IF(U359="",U$4,"All done")))))))))</f>
        <v/>
      </c>
      <c r="M359" s="33">
        <f>IF(OR($L359="",$L359="All done"),"",($F359-(40-VALUE(LEFT($L359,2)))*7))</f>
        <v/>
      </c>
      <c r="N359" s="31" t="n"/>
      <c r="O359" s="31" t="n"/>
      <c r="P359" s="31" t="n"/>
      <c r="Q359" s="31" t="n"/>
      <c r="R359" s="31" t="n"/>
      <c r="S359" s="31" t="n"/>
      <c r="T359" s="31" t="n"/>
      <c r="U359" s="31" t="n"/>
      <c r="V359" s="31" t="n"/>
      <c r="W359" s="31" t="n"/>
      <c r="X359" s="31" t="n"/>
      <c r="Y359" s="31" t="n"/>
      <c r="Z359" s="31" t="n"/>
      <c r="AA359" s="34" t="n"/>
      <c r="AB359" s="29" t="n"/>
      <c r="AC359" s="31" t="n"/>
    </row>
    <row r="360">
      <c r="A360" s="29" t="n"/>
      <c r="B360" s="30" t="n"/>
      <c r="C360" s="31" t="n"/>
      <c r="D360" s="29" t="n"/>
      <c r="E360" s="29" t="n"/>
      <c r="F360" s="31" t="n"/>
      <c r="G360" s="31" t="n"/>
      <c r="H360" s="29" t="n"/>
      <c r="I360" s="32">
        <f>IF(OR(NOT(AND($A360&lt;&gt;"",OR($H360="",$H360="Active"))),$F360=""),"",INT((TODAY()-$F360+280)/7)&amp;"+"&amp;MOD(TODAY()-$F360+280,7))</f>
        <v/>
      </c>
      <c r="J360" s="32">
        <f>IF(NOT(AND($A360&lt;&gt;"",OR($H360="",$H360="Active"))),"",IF($F360="",0,SUMPRODUCT(($N360:$U360="")*(($F360-(40-VALUE(LEFT($N$4:$U$4,2)))*7)&lt;TODAY())))+COUNTIF($N360:$U360,"DNA")+COUNTIF($V360:$Z360,"&lt;"&amp;TODAY()))</f>
        <v/>
      </c>
      <c r="K360" s="32">
        <f>IF(NOT(AND($A360&lt;&gt;"",OR($H360="",$H360="Active"))),"",IF($F360="",0,SUMPRODUCT(($N360:$U360="")*(($F360-(40-VALUE(LEFT($N$4:$U$4,2)))*7)&gt;=TODAY())*(($F360-(40-VALUE(LEFT($N$4:$U$4,2)))*7)&lt;=TODAY()+7)))+COUNTIFS($V360:$Z360,"&gt;="&amp;TODAY(),$V360:$Z360,"&lt;="&amp;TODAY()+7))</f>
        <v/>
      </c>
      <c r="L360" s="32">
        <f>IF(OR(NOT(AND($A360&lt;&gt;"",OR($H360="",$H360="Active"))),$F360=""),"",IF(N360="",N$4,IF(O360="",O$4,IF(P360="",P$4,IF(Q360="",Q$4,IF(R360="",R$4,IF(S360="",S$4,IF(T360="",T$4,IF(U360="",U$4,"All done")))))))))</f>
        <v/>
      </c>
      <c r="M360" s="33">
        <f>IF(OR($L360="",$L360="All done"),"",($F360-(40-VALUE(LEFT($L360,2)))*7))</f>
        <v/>
      </c>
      <c r="N360" s="31" t="n"/>
      <c r="O360" s="31" t="n"/>
      <c r="P360" s="31" t="n"/>
      <c r="Q360" s="31" t="n"/>
      <c r="R360" s="31" t="n"/>
      <c r="S360" s="31" t="n"/>
      <c r="T360" s="31" t="n"/>
      <c r="U360" s="31" t="n"/>
      <c r="V360" s="31" t="n"/>
      <c r="W360" s="31" t="n"/>
      <c r="X360" s="31" t="n"/>
      <c r="Y360" s="31" t="n"/>
      <c r="Z360" s="31" t="n"/>
      <c r="AA360" s="34" t="n"/>
      <c r="AB360" s="29" t="n"/>
      <c r="AC360" s="31" t="n"/>
    </row>
    <row r="361">
      <c r="A361" s="29" t="n"/>
      <c r="B361" s="30" t="n"/>
      <c r="C361" s="31" t="n"/>
      <c r="D361" s="29" t="n"/>
      <c r="E361" s="29" t="n"/>
      <c r="F361" s="31" t="n"/>
      <c r="G361" s="31" t="n"/>
      <c r="H361" s="29" t="n"/>
      <c r="I361" s="32">
        <f>IF(OR(NOT(AND($A361&lt;&gt;"",OR($H361="",$H361="Active"))),$F361=""),"",INT((TODAY()-$F361+280)/7)&amp;"+"&amp;MOD(TODAY()-$F361+280,7))</f>
        <v/>
      </c>
      <c r="J361" s="32">
        <f>IF(NOT(AND($A361&lt;&gt;"",OR($H361="",$H361="Active"))),"",IF($F361="",0,SUMPRODUCT(($N361:$U361="")*(($F361-(40-VALUE(LEFT($N$4:$U$4,2)))*7)&lt;TODAY())))+COUNTIF($N361:$U361,"DNA")+COUNTIF($V361:$Z361,"&lt;"&amp;TODAY()))</f>
        <v/>
      </c>
      <c r="K361" s="32">
        <f>IF(NOT(AND($A361&lt;&gt;"",OR($H361="",$H361="Active"))),"",IF($F361="",0,SUMPRODUCT(($N361:$U361="")*(($F361-(40-VALUE(LEFT($N$4:$U$4,2)))*7)&gt;=TODAY())*(($F361-(40-VALUE(LEFT($N$4:$U$4,2)))*7)&lt;=TODAY()+7)))+COUNTIFS($V361:$Z361,"&gt;="&amp;TODAY(),$V361:$Z361,"&lt;="&amp;TODAY()+7))</f>
        <v/>
      </c>
      <c r="L361" s="32">
        <f>IF(OR(NOT(AND($A361&lt;&gt;"",OR($H361="",$H361="Active"))),$F361=""),"",IF(N361="",N$4,IF(O361="",O$4,IF(P361="",P$4,IF(Q361="",Q$4,IF(R361="",R$4,IF(S361="",S$4,IF(T361="",T$4,IF(U361="",U$4,"All done")))))))))</f>
        <v/>
      </c>
      <c r="M361" s="33">
        <f>IF(OR($L361="",$L361="All done"),"",($F361-(40-VALUE(LEFT($L361,2)))*7))</f>
        <v/>
      </c>
      <c r="N361" s="31" t="n"/>
      <c r="O361" s="31" t="n"/>
      <c r="P361" s="31" t="n"/>
      <c r="Q361" s="31" t="n"/>
      <c r="R361" s="31" t="n"/>
      <c r="S361" s="31" t="n"/>
      <c r="T361" s="31" t="n"/>
      <c r="U361" s="31" t="n"/>
      <c r="V361" s="31" t="n"/>
      <c r="W361" s="31" t="n"/>
      <c r="X361" s="31" t="n"/>
      <c r="Y361" s="31" t="n"/>
      <c r="Z361" s="31" t="n"/>
      <c r="AA361" s="34" t="n"/>
      <c r="AB361" s="29" t="n"/>
      <c r="AC361" s="31" t="n"/>
    </row>
    <row r="362">
      <c r="A362" s="29" t="n"/>
      <c r="B362" s="30" t="n"/>
      <c r="C362" s="31" t="n"/>
      <c r="D362" s="29" t="n"/>
      <c r="E362" s="29" t="n"/>
      <c r="F362" s="31" t="n"/>
      <c r="G362" s="31" t="n"/>
      <c r="H362" s="29" t="n"/>
      <c r="I362" s="32">
        <f>IF(OR(NOT(AND($A362&lt;&gt;"",OR($H362="",$H362="Active"))),$F362=""),"",INT((TODAY()-$F362+280)/7)&amp;"+"&amp;MOD(TODAY()-$F362+280,7))</f>
        <v/>
      </c>
      <c r="J362" s="32">
        <f>IF(NOT(AND($A362&lt;&gt;"",OR($H362="",$H362="Active"))),"",IF($F362="",0,SUMPRODUCT(($N362:$U362="")*(($F362-(40-VALUE(LEFT($N$4:$U$4,2)))*7)&lt;TODAY())))+COUNTIF($N362:$U362,"DNA")+COUNTIF($V362:$Z362,"&lt;"&amp;TODAY()))</f>
        <v/>
      </c>
      <c r="K362" s="32">
        <f>IF(NOT(AND($A362&lt;&gt;"",OR($H362="",$H362="Active"))),"",IF($F362="",0,SUMPRODUCT(($N362:$U362="")*(($F362-(40-VALUE(LEFT($N$4:$U$4,2)))*7)&gt;=TODAY())*(($F362-(40-VALUE(LEFT($N$4:$U$4,2)))*7)&lt;=TODAY()+7)))+COUNTIFS($V362:$Z362,"&gt;="&amp;TODAY(),$V362:$Z362,"&lt;="&amp;TODAY()+7))</f>
        <v/>
      </c>
      <c r="L362" s="32">
        <f>IF(OR(NOT(AND($A362&lt;&gt;"",OR($H362="",$H362="Active"))),$F362=""),"",IF(N362="",N$4,IF(O362="",O$4,IF(P362="",P$4,IF(Q362="",Q$4,IF(R362="",R$4,IF(S362="",S$4,IF(T362="",T$4,IF(U362="",U$4,"All done")))))))))</f>
        <v/>
      </c>
      <c r="M362" s="33">
        <f>IF(OR($L362="",$L362="All done"),"",($F362-(40-VALUE(LEFT($L362,2)))*7))</f>
        <v/>
      </c>
      <c r="N362" s="31" t="n"/>
      <c r="O362" s="31" t="n"/>
      <c r="P362" s="31" t="n"/>
      <c r="Q362" s="31" t="n"/>
      <c r="R362" s="31" t="n"/>
      <c r="S362" s="31" t="n"/>
      <c r="T362" s="31" t="n"/>
      <c r="U362" s="31" t="n"/>
      <c r="V362" s="31" t="n"/>
      <c r="W362" s="31" t="n"/>
      <c r="X362" s="31" t="n"/>
      <c r="Y362" s="31" t="n"/>
      <c r="Z362" s="31" t="n"/>
      <c r="AA362" s="34" t="n"/>
      <c r="AB362" s="29" t="n"/>
      <c r="AC362" s="31" t="n"/>
    </row>
    <row r="363">
      <c r="A363" s="29" t="n"/>
      <c r="B363" s="30" t="n"/>
      <c r="C363" s="31" t="n"/>
      <c r="D363" s="29" t="n"/>
      <c r="E363" s="29" t="n"/>
      <c r="F363" s="31" t="n"/>
      <c r="G363" s="31" t="n"/>
      <c r="H363" s="29" t="n"/>
      <c r="I363" s="32">
        <f>IF(OR(NOT(AND($A363&lt;&gt;"",OR($H363="",$H363="Active"))),$F363=""),"",INT((TODAY()-$F363+280)/7)&amp;"+"&amp;MOD(TODAY()-$F363+280,7))</f>
        <v/>
      </c>
      <c r="J363" s="32">
        <f>IF(NOT(AND($A363&lt;&gt;"",OR($H363="",$H363="Active"))),"",IF($F363="",0,SUMPRODUCT(($N363:$U363="")*(($F363-(40-VALUE(LEFT($N$4:$U$4,2)))*7)&lt;TODAY())))+COUNTIF($N363:$U363,"DNA")+COUNTIF($V363:$Z363,"&lt;"&amp;TODAY()))</f>
        <v/>
      </c>
      <c r="K363" s="32">
        <f>IF(NOT(AND($A363&lt;&gt;"",OR($H363="",$H363="Active"))),"",IF($F363="",0,SUMPRODUCT(($N363:$U363="")*(($F363-(40-VALUE(LEFT($N$4:$U$4,2)))*7)&gt;=TODAY())*(($F363-(40-VALUE(LEFT($N$4:$U$4,2)))*7)&lt;=TODAY()+7)))+COUNTIFS($V363:$Z363,"&gt;="&amp;TODAY(),$V363:$Z363,"&lt;="&amp;TODAY()+7))</f>
        <v/>
      </c>
      <c r="L363" s="32">
        <f>IF(OR(NOT(AND($A363&lt;&gt;"",OR($H363="",$H363="Active"))),$F363=""),"",IF(N363="",N$4,IF(O363="",O$4,IF(P363="",P$4,IF(Q363="",Q$4,IF(R363="",R$4,IF(S363="",S$4,IF(T363="",T$4,IF(U363="",U$4,"All done")))))))))</f>
        <v/>
      </c>
      <c r="M363" s="33">
        <f>IF(OR($L363="",$L363="All done"),"",($F363-(40-VALUE(LEFT($L363,2)))*7))</f>
        <v/>
      </c>
      <c r="N363" s="31" t="n"/>
      <c r="O363" s="31" t="n"/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4" t="n"/>
      <c r="AB363" s="29" t="n"/>
      <c r="AC363" s="31" t="n"/>
    </row>
    <row r="364">
      <c r="A364" s="29" t="n"/>
      <c r="B364" s="30" t="n"/>
      <c r="C364" s="31" t="n"/>
      <c r="D364" s="29" t="n"/>
      <c r="E364" s="29" t="n"/>
      <c r="F364" s="31" t="n"/>
      <c r="G364" s="31" t="n"/>
      <c r="H364" s="29" t="n"/>
      <c r="I364" s="32">
        <f>IF(OR(NOT(AND($A364&lt;&gt;"",OR($H364="",$H364="Active"))),$F364=""),"",INT((TODAY()-$F364+280)/7)&amp;"+"&amp;MOD(TODAY()-$F364+280,7))</f>
        <v/>
      </c>
      <c r="J364" s="32">
        <f>IF(NOT(AND($A364&lt;&gt;"",OR($H364="",$H364="Active"))),"",IF($F364="",0,SUMPRODUCT(($N364:$U364="")*(($F364-(40-VALUE(LEFT($N$4:$U$4,2)))*7)&lt;TODAY())))+COUNTIF($N364:$U364,"DNA")+COUNTIF($V364:$Z364,"&lt;"&amp;TODAY()))</f>
        <v/>
      </c>
      <c r="K364" s="32">
        <f>IF(NOT(AND($A364&lt;&gt;"",OR($H364="",$H364="Active"))),"",IF($F364="",0,SUMPRODUCT(($N364:$U364="")*(($F364-(40-VALUE(LEFT($N$4:$U$4,2)))*7)&gt;=TODAY())*(($F364-(40-VALUE(LEFT($N$4:$U$4,2)))*7)&lt;=TODAY()+7)))+COUNTIFS($V364:$Z364,"&gt;="&amp;TODAY(),$V364:$Z364,"&lt;="&amp;TODAY()+7))</f>
        <v/>
      </c>
      <c r="L364" s="32">
        <f>IF(OR(NOT(AND($A364&lt;&gt;"",OR($H364="",$H364="Active"))),$F364=""),"",IF(N364="",N$4,IF(O364="",O$4,IF(P364="",P$4,IF(Q364="",Q$4,IF(R364="",R$4,IF(S364="",S$4,IF(T364="",T$4,IF(U364="",U$4,"All done")))))))))</f>
        <v/>
      </c>
      <c r="M364" s="33">
        <f>IF(OR($L364="",$L364="All done"),"",($F364-(40-VALUE(LEFT($L364,2)))*7))</f>
        <v/>
      </c>
      <c r="N364" s="31" t="n"/>
      <c r="O364" s="31" t="n"/>
      <c r="P364" s="31" t="n"/>
      <c r="Q364" s="31" t="n"/>
      <c r="R364" s="31" t="n"/>
      <c r="S364" s="31" t="n"/>
      <c r="T364" s="31" t="n"/>
      <c r="U364" s="31" t="n"/>
      <c r="V364" s="31" t="n"/>
      <c r="W364" s="31" t="n"/>
      <c r="X364" s="31" t="n"/>
      <c r="Y364" s="31" t="n"/>
      <c r="Z364" s="31" t="n"/>
      <c r="AA364" s="34" t="n"/>
      <c r="AB364" s="29" t="n"/>
      <c r="AC364" s="31" t="n"/>
    </row>
    <row r="365">
      <c r="A365" s="29" t="n"/>
      <c r="B365" s="30" t="n"/>
      <c r="C365" s="31" t="n"/>
      <c r="D365" s="29" t="n"/>
      <c r="E365" s="29" t="n"/>
      <c r="F365" s="31" t="n"/>
      <c r="G365" s="31" t="n"/>
      <c r="H365" s="29" t="n"/>
      <c r="I365" s="32">
        <f>IF(OR(NOT(AND($A365&lt;&gt;"",OR($H365="",$H365="Active"))),$F365=""),"",INT((TODAY()-$F365+280)/7)&amp;"+"&amp;MOD(TODAY()-$F365+280,7))</f>
        <v/>
      </c>
      <c r="J365" s="32">
        <f>IF(NOT(AND($A365&lt;&gt;"",OR($H365="",$H365="Active"))),"",IF($F365="",0,SUMPRODUCT(($N365:$U365="")*(($F365-(40-VALUE(LEFT($N$4:$U$4,2)))*7)&lt;TODAY())))+COUNTIF($N365:$U365,"DNA")+COUNTIF($V365:$Z365,"&lt;"&amp;TODAY()))</f>
        <v/>
      </c>
      <c r="K365" s="32">
        <f>IF(NOT(AND($A365&lt;&gt;"",OR($H365="",$H365="Active"))),"",IF($F365="",0,SUMPRODUCT(($N365:$U365="")*(($F365-(40-VALUE(LEFT($N$4:$U$4,2)))*7)&gt;=TODAY())*(($F365-(40-VALUE(LEFT($N$4:$U$4,2)))*7)&lt;=TODAY()+7)))+COUNTIFS($V365:$Z365,"&gt;="&amp;TODAY(),$V365:$Z365,"&lt;="&amp;TODAY()+7))</f>
        <v/>
      </c>
      <c r="L365" s="32">
        <f>IF(OR(NOT(AND($A365&lt;&gt;"",OR($H365="",$H365="Active"))),$F365=""),"",IF(N365="",N$4,IF(O365="",O$4,IF(P365="",P$4,IF(Q365="",Q$4,IF(R365="",R$4,IF(S365="",S$4,IF(T365="",T$4,IF(U365="",U$4,"All done")))))))))</f>
        <v/>
      </c>
      <c r="M365" s="33">
        <f>IF(OR($L365="",$L365="All done"),"",($F365-(40-VALUE(LEFT($L365,2)))*7))</f>
        <v/>
      </c>
      <c r="N365" s="31" t="n"/>
      <c r="O365" s="31" t="n"/>
      <c r="P365" s="31" t="n"/>
      <c r="Q365" s="31" t="n"/>
      <c r="R365" s="31" t="n"/>
      <c r="S365" s="31" t="n"/>
      <c r="T365" s="31" t="n"/>
      <c r="U365" s="31" t="n"/>
      <c r="V365" s="31" t="n"/>
      <c r="W365" s="31" t="n"/>
      <c r="X365" s="31" t="n"/>
      <c r="Y365" s="31" t="n"/>
      <c r="Z365" s="31" t="n"/>
      <c r="AA365" s="34" t="n"/>
      <c r="AB365" s="29" t="n"/>
      <c r="AC365" s="31" t="n"/>
    </row>
    <row r="366">
      <c r="A366" s="29" t="n"/>
      <c r="B366" s="30" t="n"/>
      <c r="C366" s="31" t="n"/>
      <c r="D366" s="29" t="n"/>
      <c r="E366" s="29" t="n"/>
      <c r="F366" s="31" t="n"/>
      <c r="G366" s="31" t="n"/>
      <c r="H366" s="29" t="n"/>
      <c r="I366" s="32">
        <f>IF(OR(NOT(AND($A366&lt;&gt;"",OR($H366="",$H366="Active"))),$F366=""),"",INT((TODAY()-$F366+280)/7)&amp;"+"&amp;MOD(TODAY()-$F366+280,7))</f>
        <v/>
      </c>
      <c r="J366" s="32">
        <f>IF(NOT(AND($A366&lt;&gt;"",OR($H366="",$H366="Active"))),"",IF($F366="",0,SUMPRODUCT(($N366:$U366="")*(($F366-(40-VALUE(LEFT($N$4:$U$4,2)))*7)&lt;TODAY())))+COUNTIF($N366:$U366,"DNA")+COUNTIF($V366:$Z366,"&lt;"&amp;TODAY()))</f>
        <v/>
      </c>
      <c r="K366" s="32">
        <f>IF(NOT(AND($A366&lt;&gt;"",OR($H366="",$H366="Active"))),"",IF($F366="",0,SUMPRODUCT(($N366:$U366="")*(($F366-(40-VALUE(LEFT($N$4:$U$4,2)))*7)&gt;=TODAY())*(($F366-(40-VALUE(LEFT($N$4:$U$4,2)))*7)&lt;=TODAY()+7)))+COUNTIFS($V366:$Z366,"&gt;="&amp;TODAY(),$V366:$Z366,"&lt;="&amp;TODAY()+7))</f>
        <v/>
      </c>
      <c r="L366" s="32">
        <f>IF(OR(NOT(AND($A366&lt;&gt;"",OR($H366="",$H366="Active"))),$F366=""),"",IF(N366="",N$4,IF(O366="",O$4,IF(P366="",P$4,IF(Q366="",Q$4,IF(R366="",R$4,IF(S366="",S$4,IF(T366="",T$4,IF(U366="",U$4,"All done")))))))))</f>
        <v/>
      </c>
      <c r="M366" s="33">
        <f>IF(OR($L366="",$L366="All done"),"",($F366-(40-VALUE(LEFT($L366,2)))*7))</f>
        <v/>
      </c>
      <c r="N366" s="31" t="n"/>
      <c r="O366" s="31" t="n"/>
      <c r="P366" s="31" t="n"/>
      <c r="Q366" s="31" t="n"/>
      <c r="R366" s="31" t="n"/>
      <c r="S366" s="31" t="n"/>
      <c r="T366" s="31" t="n"/>
      <c r="U366" s="31" t="n"/>
      <c r="V366" s="31" t="n"/>
      <c r="W366" s="31" t="n"/>
      <c r="X366" s="31" t="n"/>
      <c r="Y366" s="31" t="n"/>
      <c r="Z366" s="31" t="n"/>
      <c r="AA366" s="34" t="n"/>
      <c r="AB366" s="29" t="n"/>
      <c r="AC366" s="31" t="n"/>
    </row>
    <row r="367">
      <c r="A367" s="29" t="n"/>
      <c r="B367" s="30" t="n"/>
      <c r="C367" s="31" t="n"/>
      <c r="D367" s="29" t="n"/>
      <c r="E367" s="29" t="n"/>
      <c r="F367" s="31" t="n"/>
      <c r="G367" s="31" t="n"/>
      <c r="H367" s="29" t="n"/>
      <c r="I367" s="32">
        <f>IF(OR(NOT(AND($A367&lt;&gt;"",OR($H367="",$H367="Active"))),$F367=""),"",INT((TODAY()-$F367+280)/7)&amp;"+"&amp;MOD(TODAY()-$F367+280,7))</f>
        <v/>
      </c>
      <c r="J367" s="32">
        <f>IF(NOT(AND($A367&lt;&gt;"",OR($H367="",$H367="Active"))),"",IF($F367="",0,SUMPRODUCT(($N367:$U367="")*(($F367-(40-VALUE(LEFT($N$4:$U$4,2)))*7)&lt;TODAY())))+COUNTIF($N367:$U367,"DNA")+COUNTIF($V367:$Z367,"&lt;"&amp;TODAY()))</f>
        <v/>
      </c>
      <c r="K367" s="32">
        <f>IF(NOT(AND($A367&lt;&gt;"",OR($H367="",$H367="Active"))),"",IF($F367="",0,SUMPRODUCT(($N367:$U367="")*(($F367-(40-VALUE(LEFT($N$4:$U$4,2)))*7)&gt;=TODAY())*(($F367-(40-VALUE(LEFT($N$4:$U$4,2)))*7)&lt;=TODAY()+7)))+COUNTIFS($V367:$Z367,"&gt;="&amp;TODAY(),$V367:$Z367,"&lt;="&amp;TODAY()+7))</f>
        <v/>
      </c>
      <c r="L367" s="32">
        <f>IF(OR(NOT(AND($A367&lt;&gt;"",OR($H367="",$H367="Active"))),$F367=""),"",IF(N367="",N$4,IF(O367="",O$4,IF(P367="",P$4,IF(Q367="",Q$4,IF(R367="",R$4,IF(S367="",S$4,IF(T367="",T$4,IF(U367="",U$4,"All done")))))))))</f>
        <v/>
      </c>
      <c r="M367" s="33">
        <f>IF(OR($L367="",$L367="All done"),"",($F367-(40-VALUE(LEFT($L367,2)))*7))</f>
        <v/>
      </c>
      <c r="N367" s="31" t="n"/>
      <c r="O367" s="31" t="n"/>
      <c r="P367" s="31" t="n"/>
      <c r="Q367" s="31" t="n"/>
      <c r="R367" s="31" t="n"/>
      <c r="S367" s="31" t="n"/>
      <c r="T367" s="31" t="n"/>
      <c r="U367" s="31" t="n"/>
      <c r="V367" s="31" t="n"/>
      <c r="W367" s="31" t="n"/>
      <c r="X367" s="31" t="n"/>
      <c r="Y367" s="31" t="n"/>
      <c r="Z367" s="31" t="n"/>
      <c r="AA367" s="34" t="n"/>
      <c r="AB367" s="29" t="n"/>
      <c r="AC367" s="31" t="n"/>
    </row>
    <row r="368">
      <c r="A368" s="29" t="n"/>
      <c r="B368" s="30" t="n"/>
      <c r="C368" s="31" t="n"/>
      <c r="D368" s="29" t="n"/>
      <c r="E368" s="29" t="n"/>
      <c r="F368" s="31" t="n"/>
      <c r="G368" s="31" t="n"/>
      <c r="H368" s="29" t="n"/>
      <c r="I368" s="32">
        <f>IF(OR(NOT(AND($A368&lt;&gt;"",OR($H368="",$H368="Active"))),$F368=""),"",INT((TODAY()-$F368+280)/7)&amp;"+"&amp;MOD(TODAY()-$F368+280,7))</f>
        <v/>
      </c>
      <c r="J368" s="32">
        <f>IF(NOT(AND($A368&lt;&gt;"",OR($H368="",$H368="Active"))),"",IF($F368="",0,SUMPRODUCT(($N368:$U368="")*(($F368-(40-VALUE(LEFT($N$4:$U$4,2)))*7)&lt;TODAY())))+COUNTIF($N368:$U368,"DNA")+COUNTIF($V368:$Z368,"&lt;"&amp;TODAY()))</f>
        <v/>
      </c>
      <c r="K368" s="32">
        <f>IF(NOT(AND($A368&lt;&gt;"",OR($H368="",$H368="Active"))),"",IF($F368="",0,SUMPRODUCT(($N368:$U368="")*(($F368-(40-VALUE(LEFT($N$4:$U$4,2)))*7)&gt;=TODAY())*(($F368-(40-VALUE(LEFT($N$4:$U$4,2)))*7)&lt;=TODAY()+7)))+COUNTIFS($V368:$Z368,"&gt;="&amp;TODAY(),$V368:$Z368,"&lt;="&amp;TODAY()+7))</f>
        <v/>
      </c>
      <c r="L368" s="32">
        <f>IF(OR(NOT(AND($A368&lt;&gt;"",OR($H368="",$H368="Active"))),$F368=""),"",IF(N368="",N$4,IF(O368="",O$4,IF(P368="",P$4,IF(Q368="",Q$4,IF(R368="",R$4,IF(S368="",S$4,IF(T368="",T$4,IF(U368="",U$4,"All done")))))))))</f>
        <v/>
      </c>
      <c r="M368" s="33">
        <f>IF(OR($L368="",$L368="All done"),"",($F368-(40-VALUE(LEFT($L368,2)))*7))</f>
        <v/>
      </c>
      <c r="N368" s="31" t="n"/>
      <c r="O368" s="31" t="n"/>
      <c r="P368" s="31" t="n"/>
      <c r="Q368" s="31" t="n"/>
      <c r="R368" s="31" t="n"/>
      <c r="S368" s="31" t="n"/>
      <c r="T368" s="31" t="n"/>
      <c r="U368" s="31" t="n"/>
      <c r="V368" s="31" t="n"/>
      <c r="W368" s="31" t="n"/>
      <c r="X368" s="31" t="n"/>
      <c r="Y368" s="31" t="n"/>
      <c r="Z368" s="31" t="n"/>
      <c r="AA368" s="34" t="n"/>
      <c r="AB368" s="29" t="n"/>
      <c r="AC368" s="31" t="n"/>
    </row>
    <row r="369">
      <c r="A369" s="29" t="n"/>
      <c r="B369" s="30" t="n"/>
      <c r="C369" s="31" t="n"/>
      <c r="D369" s="29" t="n"/>
      <c r="E369" s="29" t="n"/>
      <c r="F369" s="31" t="n"/>
      <c r="G369" s="31" t="n"/>
      <c r="H369" s="29" t="n"/>
      <c r="I369" s="32">
        <f>IF(OR(NOT(AND($A369&lt;&gt;"",OR($H369="",$H369="Active"))),$F369=""),"",INT((TODAY()-$F369+280)/7)&amp;"+"&amp;MOD(TODAY()-$F369+280,7))</f>
        <v/>
      </c>
      <c r="J369" s="32">
        <f>IF(NOT(AND($A369&lt;&gt;"",OR($H369="",$H369="Active"))),"",IF($F369="",0,SUMPRODUCT(($N369:$U369="")*(($F369-(40-VALUE(LEFT($N$4:$U$4,2)))*7)&lt;TODAY())))+COUNTIF($N369:$U369,"DNA")+COUNTIF($V369:$Z369,"&lt;"&amp;TODAY()))</f>
        <v/>
      </c>
      <c r="K369" s="32">
        <f>IF(NOT(AND($A369&lt;&gt;"",OR($H369="",$H369="Active"))),"",IF($F369="",0,SUMPRODUCT(($N369:$U369="")*(($F369-(40-VALUE(LEFT($N$4:$U$4,2)))*7)&gt;=TODAY())*(($F369-(40-VALUE(LEFT($N$4:$U$4,2)))*7)&lt;=TODAY()+7)))+COUNTIFS($V369:$Z369,"&gt;="&amp;TODAY(),$V369:$Z369,"&lt;="&amp;TODAY()+7))</f>
        <v/>
      </c>
      <c r="L369" s="32">
        <f>IF(OR(NOT(AND($A369&lt;&gt;"",OR($H369="",$H369="Active"))),$F369=""),"",IF(N369="",N$4,IF(O369="",O$4,IF(P369="",P$4,IF(Q369="",Q$4,IF(R369="",R$4,IF(S369="",S$4,IF(T369="",T$4,IF(U369="",U$4,"All done")))))))))</f>
        <v/>
      </c>
      <c r="M369" s="33">
        <f>IF(OR($L369="",$L369="All done"),"",($F369-(40-VALUE(LEFT($L369,2)))*7))</f>
        <v/>
      </c>
      <c r="N369" s="31" t="n"/>
      <c r="O369" s="31" t="n"/>
      <c r="P369" s="31" t="n"/>
      <c r="Q369" s="31" t="n"/>
      <c r="R369" s="31" t="n"/>
      <c r="S369" s="31" t="n"/>
      <c r="T369" s="31" t="n"/>
      <c r="U369" s="31" t="n"/>
      <c r="V369" s="31" t="n"/>
      <c r="W369" s="31" t="n"/>
      <c r="X369" s="31" t="n"/>
      <c r="Y369" s="31" t="n"/>
      <c r="Z369" s="31" t="n"/>
      <c r="AA369" s="34" t="n"/>
      <c r="AB369" s="29" t="n"/>
      <c r="AC369" s="31" t="n"/>
    </row>
    <row r="370">
      <c r="A370" s="29" t="n"/>
      <c r="B370" s="30" t="n"/>
      <c r="C370" s="31" t="n"/>
      <c r="D370" s="29" t="n"/>
      <c r="E370" s="29" t="n"/>
      <c r="F370" s="31" t="n"/>
      <c r="G370" s="31" t="n"/>
      <c r="H370" s="29" t="n"/>
      <c r="I370" s="32">
        <f>IF(OR(NOT(AND($A370&lt;&gt;"",OR($H370="",$H370="Active"))),$F370=""),"",INT((TODAY()-$F370+280)/7)&amp;"+"&amp;MOD(TODAY()-$F370+280,7))</f>
        <v/>
      </c>
      <c r="J370" s="32">
        <f>IF(NOT(AND($A370&lt;&gt;"",OR($H370="",$H370="Active"))),"",IF($F370="",0,SUMPRODUCT(($N370:$U370="")*(($F370-(40-VALUE(LEFT($N$4:$U$4,2)))*7)&lt;TODAY())))+COUNTIF($N370:$U370,"DNA")+COUNTIF($V370:$Z370,"&lt;"&amp;TODAY()))</f>
        <v/>
      </c>
      <c r="K370" s="32">
        <f>IF(NOT(AND($A370&lt;&gt;"",OR($H370="",$H370="Active"))),"",IF($F370="",0,SUMPRODUCT(($N370:$U370="")*(($F370-(40-VALUE(LEFT($N$4:$U$4,2)))*7)&gt;=TODAY())*(($F370-(40-VALUE(LEFT($N$4:$U$4,2)))*7)&lt;=TODAY()+7)))+COUNTIFS($V370:$Z370,"&gt;="&amp;TODAY(),$V370:$Z370,"&lt;="&amp;TODAY()+7))</f>
        <v/>
      </c>
      <c r="L370" s="32">
        <f>IF(OR(NOT(AND($A370&lt;&gt;"",OR($H370="",$H370="Active"))),$F370=""),"",IF(N370="",N$4,IF(O370="",O$4,IF(P370="",P$4,IF(Q370="",Q$4,IF(R370="",R$4,IF(S370="",S$4,IF(T370="",T$4,IF(U370="",U$4,"All done")))))))))</f>
        <v/>
      </c>
      <c r="M370" s="33">
        <f>IF(OR($L370="",$L370="All done"),"",($F370-(40-VALUE(LEFT($L370,2)))*7))</f>
        <v/>
      </c>
      <c r="N370" s="31" t="n"/>
      <c r="O370" s="31" t="n"/>
      <c r="P370" s="31" t="n"/>
      <c r="Q370" s="31" t="n"/>
      <c r="R370" s="31" t="n"/>
      <c r="S370" s="31" t="n"/>
      <c r="T370" s="31" t="n"/>
      <c r="U370" s="31" t="n"/>
      <c r="V370" s="31" t="n"/>
      <c r="W370" s="31" t="n"/>
      <c r="X370" s="31" t="n"/>
      <c r="Y370" s="31" t="n"/>
      <c r="Z370" s="31" t="n"/>
      <c r="AA370" s="34" t="n"/>
      <c r="AB370" s="29" t="n"/>
      <c r="AC370" s="31" t="n"/>
    </row>
    <row r="371">
      <c r="A371" s="29" t="n"/>
      <c r="B371" s="30" t="n"/>
      <c r="C371" s="31" t="n"/>
      <c r="D371" s="29" t="n"/>
      <c r="E371" s="29" t="n"/>
      <c r="F371" s="31" t="n"/>
      <c r="G371" s="31" t="n"/>
      <c r="H371" s="29" t="n"/>
      <c r="I371" s="32">
        <f>IF(OR(NOT(AND($A371&lt;&gt;"",OR($H371="",$H371="Active"))),$F371=""),"",INT((TODAY()-$F371+280)/7)&amp;"+"&amp;MOD(TODAY()-$F371+280,7))</f>
        <v/>
      </c>
      <c r="J371" s="32">
        <f>IF(NOT(AND($A371&lt;&gt;"",OR($H371="",$H371="Active"))),"",IF($F371="",0,SUMPRODUCT(($N371:$U371="")*(($F371-(40-VALUE(LEFT($N$4:$U$4,2)))*7)&lt;TODAY())))+COUNTIF($N371:$U371,"DNA")+COUNTIF($V371:$Z371,"&lt;"&amp;TODAY()))</f>
        <v/>
      </c>
      <c r="K371" s="32">
        <f>IF(NOT(AND($A371&lt;&gt;"",OR($H371="",$H371="Active"))),"",IF($F371="",0,SUMPRODUCT(($N371:$U371="")*(($F371-(40-VALUE(LEFT($N$4:$U$4,2)))*7)&gt;=TODAY())*(($F371-(40-VALUE(LEFT($N$4:$U$4,2)))*7)&lt;=TODAY()+7)))+COUNTIFS($V371:$Z371,"&gt;="&amp;TODAY(),$V371:$Z371,"&lt;="&amp;TODAY()+7))</f>
        <v/>
      </c>
      <c r="L371" s="32">
        <f>IF(OR(NOT(AND($A371&lt;&gt;"",OR($H371="",$H371="Active"))),$F371=""),"",IF(N371="",N$4,IF(O371="",O$4,IF(P371="",P$4,IF(Q371="",Q$4,IF(R371="",R$4,IF(S371="",S$4,IF(T371="",T$4,IF(U371="",U$4,"All done")))))))))</f>
        <v/>
      </c>
      <c r="M371" s="33">
        <f>IF(OR($L371="",$L371="All done"),"",($F371-(40-VALUE(LEFT($L371,2)))*7))</f>
        <v/>
      </c>
      <c r="N371" s="31" t="n"/>
      <c r="O371" s="31" t="n"/>
      <c r="P371" s="31" t="n"/>
      <c r="Q371" s="31" t="n"/>
      <c r="R371" s="31" t="n"/>
      <c r="S371" s="31" t="n"/>
      <c r="T371" s="31" t="n"/>
      <c r="U371" s="31" t="n"/>
      <c r="V371" s="31" t="n"/>
      <c r="W371" s="31" t="n"/>
      <c r="X371" s="31" t="n"/>
      <c r="Y371" s="31" t="n"/>
      <c r="Z371" s="31" t="n"/>
      <c r="AA371" s="34" t="n"/>
      <c r="AB371" s="29" t="n"/>
      <c r="AC371" s="31" t="n"/>
    </row>
    <row r="372">
      <c r="A372" s="29" t="n"/>
      <c r="B372" s="30" t="n"/>
      <c r="C372" s="31" t="n"/>
      <c r="D372" s="29" t="n"/>
      <c r="E372" s="29" t="n"/>
      <c r="F372" s="31" t="n"/>
      <c r="G372" s="31" t="n"/>
      <c r="H372" s="29" t="n"/>
      <c r="I372" s="32">
        <f>IF(OR(NOT(AND($A372&lt;&gt;"",OR($H372="",$H372="Active"))),$F372=""),"",INT((TODAY()-$F372+280)/7)&amp;"+"&amp;MOD(TODAY()-$F372+280,7))</f>
        <v/>
      </c>
      <c r="J372" s="32">
        <f>IF(NOT(AND($A372&lt;&gt;"",OR($H372="",$H372="Active"))),"",IF($F372="",0,SUMPRODUCT(($N372:$U372="")*(($F372-(40-VALUE(LEFT($N$4:$U$4,2)))*7)&lt;TODAY())))+COUNTIF($N372:$U372,"DNA")+COUNTIF($V372:$Z372,"&lt;"&amp;TODAY()))</f>
        <v/>
      </c>
      <c r="K372" s="32">
        <f>IF(NOT(AND($A372&lt;&gt;"",OR($H372="",$H372="Active"))),"",IF($F372="",0,SUMPRODUCT(($N372:$U372="")*(($F372-(40-VALUE(LEFT($N$4:$U$4,2)))*7)&gt;=TODAY())*(($F372-(40-VALUE(LEFT($N$4:$U$4,2)))*7)&lt;=TODAY()+7)))+COUNTIFS($V372:$Z372,"&gt;="&amp;TODAY(),$V372:$Z372,"&lt;="&amp;TODAY()+7))</f>
        <v/>
      </c>
      <c r="L372" s="32">
        <f>IF(OR(NOT(AND($A372&lt;&gt;"",OR($H372="",$H372="Active"))),$F372=""),"",IF(N372="",N$4,IF(O372="",O$4,IF(P372="",P$4,IF(Q372="",Q$4,IF(R372="",R$4,IF(S372="",S$4,IF(T372="",T$4,IF(U372="",U$4,"All done")))))))))</f>
        <v/>
      </c>
      <c r="M372" s="33">
        <f>IF(OR($L372="",$L372="All done"),"",($F372-(40-VALUE(LEFT($L372,2)))*7))</f>
        <v/>
      </c>
      <c r="N372" s="31" t="n"/>
      <c r="O372" s="31" t="n"/>
      <c r="P372" s="31" t="n"/>
      <c r="Q372" s="31" t="n"/>
      <c r="R372" s="31" t="n"/>
      <c r="S372" s="31" t="n"/>
      <c r="T372" s="31" t="n"/>
      <c r="U372" s="31" t="n"/>
      <c r="V372" s="31" t="n"/>
      <c r="W372" s="31" t="n"/>
      <c r="X372" s="31" t="n"/>
      <c r="Y372" s="31" t="n"/>
      <c r="Z372" s="31" t="n"/>
      <c r="AA372" s="34" t="n"/>
      <c r="AB372" s="29" t="n"/>
      <c r="AC372" s="31" t="n"/>
    </row>
    <row r="373">
      <c r="A373" s="29" t="n"/>
      <c r="B373" s="30" t="n"/>
      <c r="C373" s="31" t="n"/>
      <c r="D373" s="29" t="n"/>
      <c r="E373" s="29" t="n"/>
      <c r="F373" s="31" t="n"/>
      <c r="G373" s="31" t="n"/>
      <c r="H373" s="29" t="n"/>
      <c r="I373" s="32">
        <f>IF(OR(NOT(AND($A373&lt;&gt;"",OR($H373="",$H373="Active"))),$F373=""),"",INT((TODAY()-$F373+280)/7)&amp;"+"&amp;MOD(TODAY()-$F373+280,7))</f>
        <v/>
      </c>
      <c r="J373" s="32">
        <f>IF(NOT(AND($A373&lt;&gt;"",OR($H373="",$H373="Active"))),"",IF($F373="",0,SUMPRODUCT(($N373:$U373="")*(($F373-(40-VALUE(LEFT($N$4:$U$4,2)))*7)&lt;TODAY())))+COUNTIF($N373:$U373,"DNA")+COUNTIF($V373:$Z373,"&lt;"&amp;TODAY()))</f>
        <v/>
      </c>
      <c r="K373" s="32">
        <f>IF(NOT(AND($A373&lt;&gt;"",OR($H373="",$H373="Active"))),"",IF($F373="",0,SUMPRODUCT(($N373:$U373="")*(($F373-(40-VALUE(LEFT($N$4:$U$4,2)))*7)&gt;=TODAY())*(($F373-(40-VALUE(LEFT($N$4:$U$4,2)))*7)&lt;=TODAY()+7)))+COUNTIFS($V373:$Z373,"&gt;="&amp;TODAY(),$V373:$Z373,"&lt;="&amp;TODAY()+7))</f>
        <v/>
      </c>
      <c r="L373" s="32">
        <f>IF(OR(NOT(AND($A373&lt;&gt;"",OR($H373="",$H373="Active"))),$F373=""),"",IF(N373="",N$4,IF(O373="",O$4,IF(P373="",P$4,IF(Q373="",Q$4,IF(R373="",R$4,IF(S373="",S$4,IF(T373="",T$4,IF(U373="",U$4,"All done")))))))))</f>
        <v/>
      </c>
      <c r="M373" s="33">
        <f>IF(OR($L373="",$L373="All done"),"",($F373-(40-VALUE(LEFT($L373,2)))*7))</f>
        <v/>
      </c>
      <c r="N373" s="31" t="n"/>
      <c r="O373" s="31" t="n"/>
      <c r="P373" s="31" t="n"/>
      <c r="Q373" s="31" t="n"/>
      <c r="R373" s="31" t="n"/>
      <c r="S373" s="31" t="n"/>
      <c r="T373" s="31" t="n"/>
      <c r="U373" s="31" t="n"/>
      <c r="V373" s="31" t="n"/>
      <c r="W373" s="31" t="n"/>
      <c r="X373" s="31" t="n"/>
      <c r="Y373" s="31" t="n"/>
      <c r="Z373" s="31" t="n"/>
      <c r="AA373" s="34" t="n"/>
      <c r="AB373" s="29" t="n"/>
      <c r="AC373" s="31" t="n"/>
    </row>
    <row r="374">
      <c r="A374" s="29" t="n"/>
      <c r="B374" s="30" t="n"/>
      <c r="C374" s="31" t="n"/>
      <c r="D374" s="29" t="n"/>
      <c r="E374" s="29" t="n"/>
      <c r="F374" s="31" t="n"/>
      <c r="G374" s="31" t="n"/>
      <c r="H374" s="29" t="n"/>
      <c r="I374" s="32">
        <f>IF(OR(NOT(AND($A374&lt;&gt;"",OR($H374="",$H374="Active"))),$F374=""),"",INT((TODAY()-$F374+280)/7)&amp;"+"&amp;MOD(TODAY()-$F374+280,7))</f>
        <v/>
      </c>
      <c r="J374" s="32">
        <f>IF(NOT(AND($A374&lt;&gt;"",OR($H374="",$H374="Active"))),"",IF($F374="",0,SUMPRODUCT(($N374:$U374="")*(($F374-(40-VALUE(LEFT($N$4:$U$4,2)))*7)&lt;TODAY())))+COUNTIF($N374:$U374,"DNA")+COUNTIF($V374:$Z374,"&lt;"&amp;TODAY()))</f>
        <v/>
      </c>
      <c r="K374" s="32">
        <f>IF(NOT(AND($A374&lt;&gt;"",OR($H374="",$H374="Active"))),"",IF($F374="",0,SUMPRODUCT(($N374:$U374="")*(($F374-(40-VALUE(LEFT($N$4:$U$4,2)))*7)&gt;=TODAY())*(($F374-(40-VALUE(LEFT($N$4:$U$4,2)))*7)&lt;=TODAY()+7)))+COUNTIFS($V374:$Z374,"&gt;="&amp;TODAY(),$V374:$Z374,"&lt;="&amp;TODAY()+7))</f>
        <v/>
      </c>
      <c r="L374" s="32">
        <f>IF(OR(NOT(AND($A374&lt;&gt;"",OR($H374="",$H374="Active"))),$F374=""),"",IF(N374="",N$4,IF(O374="",O$4,IF(P374="",P$4,IF(Q374="",Q$4,IF(R374="",R$4,IF(S374="",S$4,IF(T374="",T$4,IF(U374="",U$4,"All done")))))))))</f>
        <v/>
      </c>
      <c r="M374" s="33">
        <f>IF(OR($L374="",$L374="All done"),"",($F374-(40-VALUE(LEFT($L374,2)))*7))</f>
        <v/>
      </c>
      <c r="N374" s="31" t="n"/>
      <c r="O374" s="31" t="n"/>
      <c r="P374" s="31" t="n"/>
      <c r="Q374" s="31" t="n"/>
      <c r="R374" s="31" t="n"/>
      <c r="S374" s="31" t="n"/>
      <c r="T374" s="31" t="n"/>
      <c r="U374" s="31" t="n"/>
      <c r="V374" s="31" t="n"/>
      <c r="W374" s="31" t="n"/>
      <c r="X374" s="31" t="n"/>
      <c r="Y374" s="31" t="n"/>
      <c r="Z374" s="31" t="n"/>
      <c r="AA374" s="34" t="n"/>
      <c r="AB374" s="29" t="n"/>
      <c r="AC374" s="31" t="n"/>
    </row>
    <row r="375">
      <c r="A375" s="29" t="n"/>
      <c r="B375" s="30" t="n"/>
      <c r="C375" s="31" t="n"/>
      <c r="D375" s="29" t="n"/>
      <c r="E375" s="29" t="n"/>
      <c r="F375" s="31" t="n"/>
      <c r="G375" s="31" t="n"/>
      <c r="H375" s="29" t="n"/>
      <c r="I375" s="32">
        <f>IF(OR(NOT(AND($A375&lt;&gt;"",OR($H375="",$H375="Active"))),$F375=""),"",INT((TODAY()-$F375+280)/7)&amp;"+"&amp;MOD(TODAY()-$F375+280,7))</f>
        <v/>
      </c>
      <c r="J375" s="32">
        <f>IF(NOT(AND($A375&lt;&gt;"",OR($H375="",$H375="Active"))),"",IF($F375="",0,SUMPRODUCT(($N375:$U375="")*(($F375-(40-VALUE(LEFT($N$4:$U$4,2)))*7)&lt;TODAY())))+COUNTIF($N375:$U375,"DNA")+COUNTIF($V375:$Z375,"&lt;"&amp;TODAY()))</f>
        <v/>
      </c>
      <c r="K375" s="32">
        <f>IF(NOT(AND($A375&lt;&gt;"",OR($H375="",$H375="Active"))),"",IF($F375="",0,SUMPRODUCT(($N375:$U375="")*(($F375-(40-VALUE(LEFT($N$4:$U$4,2)))*7)&gt;=TODAY())*(($F375-(40-VALUE(LEFT($N$4:$U$4,2)))*7)&lt;=TODAY()+7)))+COUNTIFS($V375:$Z375,"&gt;="&amp;TODAY(),$V375:$Z375,"&lt;="&amp;TODAY()+7))</f>
        <v/>
      </c>
      <c r="L375" s="32">
        <f>IF(OR(NOT(AND($A375&lt;&gt;"",OR($H375="",$H375="Active"))),$F375=""),"",IF(N375="",N$4,IF(O375="",O$4,IF(P375="",P$4,IF(Q375="",Q$4,IF(R375="",R$4,IF(S375="",S$4,IF(T375="",T$4,IF(U375="",U$4,"All done")))))))))</f>
        <v/>
      </c>
      <c r="M375" s="33">
        <f>IF(OR($L375="",$L375="All done"),"",($F375-(40-VALUE(LEFT($L375,2)))*7))</f>
        <v/>
      </c>
      <c r="N375" s="31" t="n"/>
      <c r="O375" s="31" t="n"/>
      <c r="P375" s="31" t="n"/>
      <c r="Q375" s="31" t="n"/>
      <c r="R375" s="31" t="n"/>
      <c r="S375" s="31" t="n"/>
      <c r="T375" s="31" t="n"/>
      <c r="U375" s="31" t="n"/>
      <c r="V375" s="31" t="n"/>
      <c r="W375" s="31" t="n"/>
      <c r="X375" s="31" t="n"/>
      <c r="Y375" s="31" t="n"/>
      <c r="Z375" s="31" t="n"/>
      <c r="AA375" s="34" t="n"/>
      <c r="AB375" s="29" t="n"/>
      <c r="AC375" s="31" t="n"/>
    </row>
    <row r="376">
      <c r="A376" s="29" t="n"/>
      <c r="B376" s="30" t="n"/>
      <c r="C376" s="31" t="n"/>
      <c r="D376" s="29" t="n"/>
      <c r="E376" s="29" t="n"/>
      <c r="F376" s="31" t="n"/>
      <c r="G376" s="31" t="n"/>
      <c r="H376" s="29" t="n"/>
      <c r="I376" s="32">
        <f>IF(OR(NOT(AND($A376&lt;&gt;"",OR($H376="",$H376="Active"))),$F376=""),"",INT((TODAY()-$F376+280)/7)&amp;"+"&amp;MOD(TODAY()-$F376+280,7))</f>
        <v/>
      </c>
      <c r="J376" s="32">
        <f>IF(NOT(AND($A376&lt;&gt;"",OR($H376="",$H376="Active"))),"",IF($F376="",0,SUMPRODUCT(($N376:$U376="")*(($F376-(40-VALUE(LEFT($N$4:$U$4,2)))*7)&lt;TODAY())))+COUNTIF($N376:$U376,"DNA")+COUNTIF($V376:$Z376,"&lt;"&amp;TODAY()))</f>
        <v/>
      </c>
      <c r="K376" s="32">
        <f>IF(NOT(AND($A376&lt;&gt;"",OR($H376="",$H376="Active"))),"",IF($F376="",0,SUMPRODUCT(($N376:$U376="")*(($F376-(40-VALUE(LEFT($N$4:$U$4,2)))*7)&gt;=TODAY())*(($F376-(40-VALUE(LEFT($N$4:$U$4,2)))*7)&lt;=TODAY()+7)))+COUNTIFS($V376:$Z376,"&gt;="&amp;TODAY(),$V376:$Z376,"&lt;="&amp;TODAY()+7))</f>
        <v/>
      </c>
      <c r="L376" s="32">
        <f>IF(OR(NOT(AND($A376&lt;&gt;"",OR($H376="",$H376="Active"))),$F376=""),"",IF(N376="",N$4,IF(O376="",O$4,IF(P376="",P$4,IF(Q376="",Q$4,IF(R376="",R$4,IF(S376="",S$4,IF(T376="",T$4,IF(U376="",U$4,"All done")))))))))</f>
        <v/>
      </c>
      <c r="M376" s="33">
        <f>IF(OR($L376="",$L376="All done"),"",($F376-(40-VALUE(LEFT($L376,2)))*7))</f>
        <v/>
      </c>
      <c r="N376" s="31" t="n"/>
      <c r="O376" s="31" t="n"/>
      <c r="P376" s="31" t="n"/>
      <c r="Q376" s="31" t="n"/>
      <c r="R376" s="31" t="n"/>
      <c r="S376" s="31" t="n"/>
      <c r="T376" s="31" t="n"/>
      <c r="U376" s="31" t="n"/>
      <c r="V376" s="31" t="n"/>
      <c r="W376" s="31" t="n"/>
      <c r="X376" s="31" t="n"/>
      <c r="Y376" s="31" t="n"/>
      <c r="Z376" s="31" t="n"/>
      <c r="AA376" s="34" t="n"/>
      <c r="AB376" s="29" t="n"/>
      <c r="AC376" s="31" t="n"/>
    </row>
    <row r="377">
      <c r="A377" s="29" t="n"/>
      <c r="B377" s="30" t="n"/>
      <c r="C377" s="31" t="n"/>
      <c r="D377" s="29" t="n"/>
      <c r="E377" s="29" t="n"/>
      <c r="F377" s="31" t="n"/>
      <c r="G377" s="31" t="n"/>
      <c r="H377" s="29" t="n"/>
      <c r="I377" s="32">
        <f>IF(OR(NOT(AND($A377&lt;&gt;"",OR($H377="",$H377="Active"))),$F377=""),"",INT((TODAY()-$F377+280)/7)&amp;"+"&amp;MOD(TODAY()-$F377+280,7))</f>
        <v/>
      </c>
      <c r="J377" s="32">
        <f>IF(NOT(AND($A377&lt;&gt;"",OR($H377="",$H377="Active"))),"",IF($F377="",0,SUMPRODUCT(($N377:$U377="")*(($F377-(40-VALUE(LEFT($N$4:$U$4,2)))*7)&lt;TODAY())))+COUNTIF($N377:$U377,"DNA")+COUNTIF($V377:$Z377,"&lt;"&amp;TODAY()))</f>
        <v/>
      </c>
      <c r="K377" s="32">
        <f>IF(NOT(AND($A377&lt;&gt;"",OR($H377="",$H377="Active"))),"",IF($F377="",0,SUMPRODUCT(($N377:$U377="")*(($F377-(40-VALUE(LEFT($N$4:$U$4,2)))*7)&gt;=TODAY())*(($F377-(40-VALUE(LEFT($N$4:$U$4,2)))*7)&lt;=TODAY()+7)))+COUNTIFS($V377:$Z377,"&gt;="&amp;TODAY(),$V377:$Z377,"&lt;="&amp;TODAY()+7))</f>
        <v/>
      </c>
      <c r="L377" s="32">
        <f>IF(OR(NOT(AND($A377&lt;&gt;"",OR($H377="",$H377="Active"))),$F377=""),"",IF(N377="",N$4,IF(O377="",O$4,IF(P377="",P$4,IF(Q377="",Q$4,IF(R377="",R$4,IF(S377="",S$4,IF(T377="",T$4,IF(U377="",U$4,"All done")))))))))</f>
        <v/>
      </c>
      <c r="M377" s="33">
        <f>IF(OR($L377="",$L377="All done"),"",($F377-(40-VALUE(LEFT($L377,2)))*7))</f>
        <v/>
      </c>
      <c r="N377" s="31" t="n"/>
      <c r="O377" s="31" t="n"/>
      <c r="P377" s="31" t="n"/>
      <c r="Q377" s="31" t="n"/>
      <c r="R377" s="31" t="n"/>
      <c r="S377" s="31" t="n"/>
      <c r="T377" s="31" t="n"/>
      <c r="U377" s="31" t="n"/>
      <c r="V377" s="31" t="n"/>
      <c r="W377" s="31" t="n"/>
      <c r="X377" s="31" t="n"/>
      <c r="Y377" s="31" t="n"/>
      <c r="Z377" s="31" t="n"/>
      <c r="AA377" s="34" t="n"/>
      <c r="AB377" s="29" t="n"/>
      <c r="AC377" s="31" t="n"/>
    </row>
    <row r="378">
      <c r="A378" s="29" t="n"/>
      <c r="B378" s="30" t="n"/>
      <c r="C378" s="31" t="n"/>
      <c r="D378" s="29" t="n"/>
      <c r="E378" s="29" t="n"/>
      <c r="F378" s="31" t="n"/>
      <c r="G378" s="31" t="n"/>
      <c r="H378" s="29" t="n"/>
      <c r="I378" s="32">
        <f>IF(OR(NOT(AND($A378&lt;&gt;"",OR($H378="",$H378="Active"))),$F378=""),"",INT((TODAY()-$F378+280)/7)&amp;"+"&amp;MOD(TODAY()-$F378+280,7))</f>
        <v/>
      </c>
      <c r="J378" s="32">
        <f>IF(NOT(AND($A378&lt;&gt;"",OR($H378="",$H378="Active"))),"",IF($F378="",0,SUMPRODUCT(($N378:$U378="")*(($F378-(40-VALUE(LEFT($N$4:$U$4,2)))*7)&lt;TODAY())))+COUNTIF($N378:$U378,"DNA")+COUNTIF($V378:$Z378,"&lt;"&amp;TODAY()))</f>
        <v/>
      </c>
      <c r="K378" s="32">
        <f>IF(NOT(AND($A378&lt;&gt;"",OR($H378="",$H378="Active"))),"",IF($F378="",0,SUMPRODUCT(($N378:$U378="")*(($F378-(40-VALUE(LEFT($N$4:$U$4,2)))*7)&gt;=TODAY())*(($F378-(40-VALUE(LEFT($N$4:$U$4,2)))*7)&lt;=TODAY()+7)))+COUNTIFS($V378:$Z378,"&gt;="&amp;TODAY(),$V378:$Z378,"&lt;="&amp;TODAY()+7))</f>
        <v/>
      </c>
      <c r="L378" s="32">
        <f>IF(OR(NOT(AND($A378&lt;&gt;"",OR($H378="",$H378="Active"))),$F378=""),"",IF(N378="",N$4,IF(O378="",O$4,IF(P378="",P$4,IF(Q378="",Q$4,IF(R378="",R$4,IF(S378="",S$4,IF(T378="",T$4,IF(U378="",U$4,"All done")))))))))</f>
        <v/>
      </c>
      <c r="M378" s="33">
        <f>IF(OR($L378="",$L378="All done"),"",($F378-(40-VALUE(LEFT($L378,2)))*7))</f>
        <v/>
      </c>
      <c r="N378" s="31" t="n"/>
      <c r="O378" s="31" t="n"/>
      <c r="P378" s="31" t="n"/>
      <c r="Q378" s="31" t="n"/>
      <c r="R378" s="31" t="n"/>
      <c r="S378" s="31" t="n"/>
      <c r="T378" s="31" t="n"/>
      <c r="U378" s="31" t="n"/>
      <c r="V378" s="31" t="n"/>
      <c r="W378" s="31" t="n"/>
      <c r="X378" s="31" t="n"/>
      <c r="Y378" s="31" t="n"/>
      <c r="Z378" s="31" t="n"/>
      <c r="AA378" s="34" t="n"/>
      <c r="AB378" s="29" t="n"/>
      <c r="AC378" s="31" t="n"/>
    </row>
    <row r="379">
      <c r="A379" s="29" t="n"/>
      <c r="B379" s="30" t="n"/>
      <c r="C379" s="31" t="n"/>
      <c r="D379" s="29" t="n"/>
      <c r="E379" s="29" t="n"/>
      <c r="F379" s="31" t="n"/>
      <c r="G379" s="31" t="n"/>
      <c r="H379" s="29" t="n"/>
      <c r="I379" s="32">
        <f>IF(OR(NOT(AND($A379&lt;&gt;"",OR($H379="",$H379="Active"))),$F379=""),"",INT((TODAY()-$F379+280)/7)&amp;"+"&amp;MOD(TODAY()-$F379+280,7))</f>
        <v/>
      </c>
      <c r="J379" s="32">
        <f>IF(NOT(AND($A379&lt;&gt;"",OR($H379="",$H379="Active"))),"",IF($F379="",0,SUMPRODUCT(($N379:$U379="")*(($F379-(40-VALUE(LEFT($N$4:$U$4,2)))*7)&lt;TODAY())))+COUNTIF($N379:$U379,"DNA")+COUNTIF($V379:$Z379,"&lt;"&amp;TODAY()))</f>
        <v/>
      </c>
      <c r="K379" s="32">
        <f>IF(NOT(AND($A379&lt;&gt;"",OR($H379="",$H379="Active"))),"",IF($F379="",0,SUMPRODUCT(($N379:$U379="")*(($F379-(40-VALUE(LEFT($N$4:$U$4,2)))*7)&gt;=TODAY())*(($F379-(40-VALUE(LEFT($N$4:$U$4,2)))*7)&lt;=TODAY()+7)))+COUNTIFS($V379:$Z379,"&gt;="&amp;TODAY(),$V379:$Z379,"&lt;="&amp;TODAY()+7))</f>
        <v/>
      </c>
      <c r="L379" s="32">
        <f>IF(OR(NOT(AND($A379&lt;&gt;"",OR($H379="",$H379="Active"))),$F379=""),"",IF(N379="",N$4,IF(O379="",O$4,IF(P379="",P$4,IF(Q379="",Q$4,IF(R379="",R$4,IF(S379="",S$4,IF(T379="",T$4,IF(U379="",U$4,"All done")))))))))</f>
        <v/>
      </c>
      <c r="M379" s="33">
        <f>IF(OR($L379="",$L379="All done"),"",($F379-(40-VALUE(LEFT($L379,2)))*7))</f>
        <v/>
      </c>
      <c r="N379" s="31" t="n"/>
      <c r="O379" s="31" t="n"/>
      <c r="P379" s="31" t="n"/>
      <c r="Q379" s="31" t="n"/>
      <c r="R379" s="31" t="n"/>
      <c r="S379" s="31" t="n"/>
      <c r="T379" s="31" t="n"/>
      <c r="U379" s="31" t="n"/>
      <c r="V379" s="31" t="n"/>
      <c r="W379" s="31" t="n"/>
      <c r="X379" s="31" t="n"/>
      <c r="Y379" s="31" t="n"/>
      <c r="Z379" s="31" t="n"/>
      <c r="AA379" s="34" t="n"/>
      <c r="AB379" s="29" t="n"/>
      <c r="AC379" s="31" t="n"/>
    </row>
    <row r="380">
      <c r="A380" s="29" t="n"/>
      <c r="B380" s="30" t="n"/>
      <c r="C380" s="31" t="n"/>
      <c r="D380" s="29" t="n"/>
      <c r="E380" s="29" t="n"/>
      <c r="F380" s="31" t="n"/>
      <c r="G380" s="31" t="n"/>
      <c r="H380" s="29" t="n"/>
      <c r="I380" s="32">
        <f>IF(OR(NOT(AND($A380&lt;&gt;"",OR($H380="",$H380="Active"))),$F380=""),"",INT((TODAY()-$F380+280)/7)&amp;"+"&amp;MOD(TODAY()-$F380+280,7))</f>
        <v/>
      </c>
      <c r="J380" s="32">
        <f>IF(NOT(AND($A380&lt;&gt;"",OR($H380="",$H380="Active"))),"",IF($F380="",0,SUMPRODUCT(($N380:$U380="")*(($F380-(40-VALUE(LEFT($N$4:$U$4,2)))*7)&lt;TODAY())))+COUNTIF($N380:$U380,"DNA")+COUNTIF($V380:$Z380,"&lt;"&amp;TODAY()))</f>
        <v/>
      </c>
      <c r="K380" s="32">
        <f>IF(NOT(AND($A380&lt;&gt;"",OR($H380="",$H380="Active"))),"",IF($F380="",0,SUMPRODUCT(($N380:$U380="")*(($F380-(40-VALUE(LEFT($N$4:$U$4,2)))*7)&gt;=TODAY())*(($F380-(40-VALUE(LEFT($N$4:$U$4,2)))*7)&lt;=TODAY()+7)))+COUNTIFS($V380:$Z380,"&gt;="&amp;TODAY(),$V380:$Z380,"&lt;="&amp;TODAY()+7))</f>
        <v/>
      </c>
      <c r="L380" s="32">
        <f>IF(OR(NOT(AND($A380&lt;&gt;"",OR($H380="",$H380="Active"))),$F380=""),"",IF(N380="",N$4,IF(O380="",O$4,IF(P380="",P$4,IF(Q380="",Q$4,IF(R380="",R$4,IF(S380="",S$4,IF(T380="",T$4,IF(U380="",U$4,"All done")))))))))</f>
        <v/>
      </c>
      <c r="M380" s="33">
        <f>IF(OR($L380="",$L380="All done"),"",($F380-(40-VALUE(LEFT($L380,2)))*7))</f>
        <v/>
      </c>
      <c r="N380" s="31" t="n"/>
      <c r="O380" s="31" t="n"/>
      <c r="P380" s="31" t="n"/>
      <c r="Q380" s="31" t="n"/>
      <c r="R380" s="31" t="n"/>
      <c r="S380" s="31" t="n"/>
      <c r="T380" s="31" t="n"/>
      <c r="U380" s="31" t="n"/>
      <c r="V380" s="31" t="n"/>
      <c r="W380" s="31" t="n"/>
      <c r="X380" s="31" t="n"/>
      <c r="Y380" s="31" t="n"/>
      <c r="Z380" s="31" t="n"/>
      <c r="AA380" s="34" t="n"/>
      <c r="AB380" s="29" t="n"/>
      <c r="AC380" s="31" t="n"/>
    </row>
    <row r="381">
      <c r="A381" s="29" t="n"/>
      <c r="B381" s="30" t="n"/>
      <c r="C381" s="31" t="n"/>
      <c r="D381" s="29" t="n"/>
      <c r="E381" s="29" t="n"/>
      <c r="F381" s="31" t="n"/>
      <c r="G381" s="31" t="n"/>
      <c r="H381" s="29" t="n"/>
      <c r="I381" s="32">
        <f>IF(OR(NOT(AND($A381&lt;&gt;"",OR($H381="",$H381="Active"))),$F381=""),"",INT((TODAY()-$F381+280)/7)&amp;"+"&amp;MOD(TODAY()-$F381+280,7))</f>
        <v/>
      </c>
      <c r="J381" s="32">
        <f>IF(NOT(AND($A381&lt;&gt;"",OR($H381="",$H381="Active"))),"",IF($F381="",0,SUMPRODUCT(($N381:$U381="")*(($F381-(40-VALUE(LEFT($N$4:$U$4,2)))*7)&lt;TODAY())))+COUNTIF($N381:$U381,"DNA")+COUNTIF($V381:$Z381,"&lt;"&amp;TODAY()))</f>
        <v/>
      </c>
      <c r="K381" s="32">
        <f>IF(NOT(AND($A381&lt;&gt;"",OR($H381="",$H381="Active"))),"",IF($F381="",0,SUMPRODUCT(($N381:$U381="")*(($F381-(40-VALUE(LEFT($N$4:$U$4,2)))*7)&gt;=TODAY())*(($F381-(40-VALUE(LEFT($N$4:$U$4,2)))*7)&lt;=TODAY()+7)))+COUNTIFS($V381:$Z381,"&gt;="&amp;TODAY(),$V381:$Z381,"&lt;="&amp;TODAY()+7))</f>
        <v/>
      </c>
      <c r="L381" s="32">
        <f>IF(OR(NOT(AND($A381&lt;&gt;"",OR($H381="",$H381="Active"))),$F381=""),"",IF(N381="",N$4,IF(O381="",O$4,IF(P381="",P$4,IF(Q381="",Q$4,IF(R381="",R$4,IF(S381="",S$4,IF(T381="",T$4,IF(U381="",U$4,"All done")))))))))</f>
        <v/>
      </c>
      <c r="M381" s="33">
        <f>IF(OR($L381="",$L381="All done"),"",($F381-(40-VALUE(LEFT($L381,2)))*7))</f>
        <v/>
      </c>
      <c r="N381" s="31" t="n"/>
      <c r="O381" s="31" t="n"/>
      <c r="P381" s="31" t="n"/>
      <c r="Q381" s="31" t="n"/>
      <c r="R381" s="31" t="n"/>
      <c r="S381" s="31" t="n"/>
      <c r="T381" s="31" t="n"/>
      <c r="U381" s="31" t="n"/>
      <c r="V381" s="31" t="n"/>
      <c r="W381" s="31" t="n"/>
      <c r="X381" s="31" t="n"/>
      <c r="Y381" s="31" t="n"/>
      <c r="Z381" s="31" t="n"/>
      <c r="AA381" s="34" t="n"/>
      <c r="AB381" s="29" t="n"/>
      <c r="AC381" s="31" t="n"/>
    </row>
    <row r="382">
      <c r="A382" s="29" t="n"/>
      <c r="B382" s="30" t="n"/>
      <c r="C382" s="31" t="n"/>
      <c r="D382" s="29" t="n"/>
      <c r="E382" s="29" t="n"/>
      <c r="F382" s="31" t="n"/>
      <c r="G382" s="31" t="n"/>
      <c r="H382" s="29" t="n"/>
      <c r="I382" s="32">
        <f>IF(OR(NOT(AND($A382&lt;&gt;"",OR($H382="",$H382="Active"))),$F382=""),"",INT((TODAY()-$F382+280)/7)&amp;"+"&amp;MOD(TODAY()-$F382+280,7))</f>
        <v/>
      </c>
      <c r="J382" s="32">
        <f>IF(NOT(AND($A382&lt;&gt;"",OR($H382="",$H382="Active"))),"",IF($F382="",0,SUMPRODUCT(($N382:$U382="")*(($F382-(40-VALUE(LEFT($N$4:$U$4,2)))*7)&lt;TODAY())))+COUNTIF($N382:$U382,"DNA")+COUNTIF($V382:$Z382,"&lt;"&amp;TODAY()))</f>
        <v/>
      </c>
      <c r="K382" s="32">
        <f>IF(NOT(AND($A382&lt;&gt;"",OR($H382="",$H382="Active"))),"",IF($F382="",0,SUMPRODUCT(($N382:$U382="")*(($F382-(40-VALUE(LEFT($N$4:$U$4,2)))*7)&gt;=TODAY())*(($F382-(40-VALUE(LEFT($N$4:$U$4,2)))*7)&lt;=TODAY()+7)))+COUNTIFS($V382:$Z382,"&gt;="&amp;TODAY(),$V382:$Z382,"&lt;="&amp;TODAY()+7))</f>
        <v/>
      </c>
      <c r="L382" s="32">
        <f>IF(OR(NOT(AND($A382&lt;&gt;"",OR($H382="",$H382="Active"))),$F382=""),"",IF(N382="",N$4,IF(O382="",O$4,IF(P382="",P$4,IF(Q382="",Q$4,IF(R382="",R$4,IF(S382="",S$4,IF(T382="",T$4,IF(U382="",U$4,"All done")))))))))</f>
        <v/>
      </c>
      <c r="M382" s="33">
        <f>IF(OR($L382="",$L382="All done"),"",($F382-(40-VALUE(LEFT($L382,2)))*7))</f>
        <v/>
      </c>
      <c r="N382" s="31" t="n"/>
      <c r="O382" s="31" t="n"/>
      <c r="P382" s="31" t="n"/>
      <c r="Q382" s="31" t="n"/>
      <c r="R382" s="31" t="n"/>
      <c r="S382" s="31" t="n"/>
      <c r="T382" s="31" t="n"/>
      <c r="U382" s="31" t="n"/>
      <c r="V382" s="31" t="n"/>
      <c r="W382" s="31" t="n"/>
      <c r="X382" s="31" t="n"/>
      <c r="Y382" s="31" t="n"/>
      <c r="Z382" s="31" t="n"/>
      <c r="AA382" s="34" t="n"/>
      <c r="AB382" s="29" t="n"/>
      <c r="AC382" s="31" t="n"/>
    </row>
    <row r="383">
      <c r="A383" s="29" t="n"/>
      <c r="B383" s="30" t="n"/>
      <c r="C383" s="31" t="n"/>
      <c r="D383" s="29" t="n"/>
      <c r="E383" s="29" t="n"/>
      <c r="F383" s="31" t="n"/>
      <c r="G383" s="31" t="n"/>
      <c r="H383" s="29" t="n"/>
      <c r="I383" s="32">
        <f>IF(OR(NOT(AND($A383&lt;&gt;"",OR($H383="",$H383="Active"))),$F383=""),"",INT((TODAY()-$F383+280)/7)&amp;"+"&amp;MOD(TODAY()-$F383+280,7))</f>
        <v/>
      </c>
      <c r="J383" s="32">
        <f>IF(NOT(AND($A383&lt;&gt;"",OR($H383="",$H383="Active"))),"",IF($F383="",0,SUMPRODUCT(($N383:$U383="")*(($F383-(40-VALUE(LEFT($N$4:$U$4,2)))*7)&lt;TODAY())))+COUNTIF($N383:$U383,"DNA")+COUNTIF($V383:$Z383,"&lt;"&amp;TODAY()))</f>
        <v/>
      </c>
      <c r="K383" s="32">
        <f>IF(NOT(AND($A383&lt;&gt;"",OR($H383="",$H383="Active"))),"",IF($F383="",0,SUMPRODUCT(($N383:$U383="")*(($F383-(40-VALUE(LEFT($N$4:$U$4,2)))*7)&gt;=TODAY())*(($F383-(40-VALUE(LEFT($N$4:$U$4,2)))*7)&lt;=TODAY()+7)))+COUNTIFS($V383:$Z383,"&gt;="&amp;TODAY(),$V383:$Z383,"&lt;="&amp;TODAY()+7))</f>
        <v/>
      </c>
      <c r="L383" s="32">
        <f>IF(OR(NOT(AND($A383&lt;&gt;"",OR($H383="",$H383="Active"))),$F383=""),"",IF(N383="",N$4,IF(O383="",O$4,IF(P383="",P$4,IF(Q383="",Q$4,IF(R383="",R$4,IF(S383="",S$4,IF(T383="",T$4,IF(U383="",U$4,"All done")))))))))</f>
        <v/>
      </c>
      <c r="M383" s="33">
        <f>IF(OR($L383="",$L383="All done"),"",($F383-(40-VALUE(LEFT($L383,2)))*7))</f>
        <v/>
      </c>
      <c r="N383" s="31" t="n"/>
      <c r="O383" s="31" t="n"/>
      <c r="P383" s="31" t="n"/>
      <c r="Q383" s="31" t="n"/>
      <c r="R383" s="31" t="n"/>
      <c r="S383" s="31" t="n"/>
      <c r="T383" s="31" t="n"/>
      <c r="U383" s="31" t="n"/>
      <c r="V383" s="31" t="n"/>
      <c r="W383" s="31" t="n"/>
      <c r="X383" s="31" t="n"/>
      <c r="Y383" s="31" t="n"/>
      <c r="Z383" s="31" t="n"/>
      <c r="AA383" s="34" t="n"/>
      <c r="AB383" s="29" t="n"/>
      <c r="AC383" s="31" t="n"/>
    </row>
    <row r="384">
      <c r="A384" s="29" t="n"/>
      <c r="B384" s="30" t="n"/>
      <c r="C384" s="31" t="n"/>
      <c r="D384" s="29" t="n"/>
      <c r="E384" s="29" t="n"/>
      <c r="F384" s="31" t="n"/>
      <c r="G384" s="31" t="n"/>
      <c r="H384" s="29" t="n"/>
      <c r="I384" s="32">
        <f>IF(OR(NOT(AND($A384&lt;&gt;"",OR($H384="",$H384="Active"))),$F384=""),"",INT((TODAY()-$F384+280)/7)&amp;"+"&amp;MOD(TODAY()-$F384+280,7))</f>
        <v/>
      </c>
      <c r="J384" s="32">
        <f>IF(NOT(AND($A384&lt;&gt;"",OR($H384="",$H384="Active"))),"",IF($F384="",0,SUMPRODUCT(($N384:$U384="")*(($F384-(40-VALUE(LEFT($N$4:$U$4,2)))*7)&lt;TODAY())))+COUNTIF($N384:$U384,"DNA")+COUNTIF($V384:$Z384,"&lt;"&amp;TODAY()))</f>
        <v/>
      </c>
      <c r="K384" s="32">
        <f>IF(NOT(AND($A384&lt;&gt;"",OR($H384="",$H384="Active"))),"",IF($F384="",0,SUMPRODUCT(($N384:$U384="")*(($F384-(40-VALUE(LEFT($N$4:$U$4,2)))*7)&gt;=TODAY())*(($F384-(40-VALUE(LEFT($N$4:$U$4,2)))*7)&lt;=TODAY()+7)))+COUNTIFS($V384:$Z384,"&gt;="&amp;TODAY(),$V384:$Z384,"&lt;="&amp;TODAY()+7))</f>
        <v/>
      </c>
      <c r="L384" s="32">
        <f>IF(OR(NOT(AND($A384&lt;&gt;"",OR($H384="",$H384="Active"))),$F384=""),"",IF(N384="",N$4,IF(O384="",O$4,IF(P384="",P$4,IF(Q384="",Q$4,IF(R384="",R$4,IF(S384="",S$4,IF(T384="",T$4,IF(U384="",U$4,"All done")))))))))</f>
        <v/>
      </c>
      <c r="M384" s="33">
        <f>IF(OR($L384="",$L384="All done"),"",($F384-(40-VALUE(LEFT($L384,2)))*7))</f>
        <v/>
      </c>
      <c r="N384" s="31" t="n"/>
      <c r="O384" s="31" t="n"/>
      <c r="P384" s="31" t="n"/>
      <c r="Q384" s="31" t="n"/>
      <c r="R384" s="31" t="n"/>
      <c r="S384" s="31" t="n"/>
      <c r="T384" s="31" t="n"/>
      <c r="U384" s="31" t="n"/>
      <c r="V384" s="31" t="n"/>
      <c r="W384" s="31" t="n"/>
      <c r="X384" s="31" t="n"/>
      <c r="Y384" s="31" t="n"/>
      <c r="Z384" s="31" t="n"/>
      <c r="AA384" s="34" t="n"/>
      <c r="AB384" s="29" t="n"/>
      <c r="AC384" s="31" t="n"/>
    </row>
    <row r="385">
      <c r="A385" s="29" t="n"/>
      <c r="B385" s="30" t="n"/>
      <c r="C385" s="31" t="n"/>
      <c r="D385" s="29" t="n"/>
      <c r="E385" s="29" t="n"/>
      <c r="F385" s="31" t="n"/>
      <c r="G385" s="31" t="n"/>
      <c r="H385" s="29" t="n"/>
      <c r="I385" s="32">
        <f>IF(OR(NOT(AND($A385&lt;&gt;"",OR($H385="",$H385="Active"))),$F385=""),"",INT((TODAY()-$F385+280)/7)&amp;"+"&amp;MOD(TODAY()-$F385+280,7))</f>
        <v/>
      </c>
      <c r="J385" s="32">
        <f>IF(NOT(AND($A385&lt;&gt;"",OR($H385="",$H385="Active"))),"",IF($F385="",0,SUMPRODUCT(($N385:$U385="")*(($F385-(40-VALUE(LEFT($N$4:$U$4,2)))*7)&lt;TODAY())))+COUNTIF($N385:$U385,"DNA")+COUNTIF($V385:$Z385,"&lt;"&amp;TODAY()))</f>
        <v/>
      </c>
      <c r="K385" s="32">
        <f>IF(NOT(AND($A385&lt;&gt;"",OR($H385="",$H385="Active"))),"",IF($F385="",0,SUMPRODUCT(($N385:$U385="")*(($F385-(40-VALUE(LEFT($N$4:$U$4,2)))*7)&gt;=TODAY())*(($F385-(40-VALUE(LEFT($N$4:$U$4,2)))*7)&lt;=TODAY()+7)))+COUNTIFS($V385:$Z385,"&gt;="&amp;TODAY(),$V385:$Z385,"&lt;="&amp;TODAY()+7))</f>
        <v/>
      </c>
      <c r="L385" s="32">
        <f>IF(OR(NOT(AND($A385&lt;&gt;"",OR($H385="",$H385="Active"))),$F385=""),"",IF(N385="",N$4,IF(O385="",O$4,IF(P385="",P$4,IF(Q385="",Q$4,IF(R385="",R$4,IF(S385="",S$4,IF(T385="",T$4,IF(U385="",U$4,"All done")))))))))</f>
        <v/>
      </c>
      <c r="M385" s="33">
        <f>IF(OR($L385="",$L385="All done"),"",($F385-(40-VALUE(LEFT($L385,2)))*7))</f>
        <v/>
      </c>
      <c r="N385" s="31" t="n"/>
      <c r="O385" s="31" t="n"/>
      <c r="P385" s="31" t="n"/>
      <c r="Q385" s="31" t="n"/>
      <c r="R385" s="31" t="n"/>
      <c r="S385" s="31" t="n"/>
      <c r="T385" s="31" t="n"/>
      <c r="U385" s="31" t="n"/>
      <c r="V385" s="31" t="n"/>
      <c r="W385" s="31" t="n"/>
      <c r="X385" s="31" t="n"/>
      <c r="Y385" s="31" t="n"/>
      <c r="Z385" s="31" t="n"/>
      <c r="AA385" s="34" t="n"/>
      <c r="AB385" s="29" t="n"/>
      <c r="AC385" s="31" t="n"/>
    </row>
    <row r="386">
      <c r="A386" s="29" t="n"/>
      <c r="B386" s="30" t="n"/>
      <c r="C386" s="31" t="n"/>
      <c r="D386" s="29" t="n"/>
      <c r="E386" s="29" t="n"/>
      <c r="F386" s="31" t="n"/>
      <c r="G386" s="31" t="n"/>
      <c r="H386" s="29" t="n"/>
      <c r="I386" s="32">
        <f>IF(OR(NOT(AND($A386&lt;&gt;"",OR($H386="",$H386="Active"))),$F386=""),"",INT((TODAY()-$F386+280)/7)&amp;"+"&amp;MOD(TODAY()-$F386+280,7))</f>
        <v/>
      </c>
      <c r="J386" s="32">
        <f>IF(NOT(AND($A386&lt;&gt;"",OR($H386="",$H386="Active"))),"",IF($F386="",0,SUMPRODUCT(($N386:$U386="")*(($F386-(40-VALUE(LEFT($N$4:$U$4,2)))*7)&lt;TODAY())))+COUNTIF($N386:$U386,"DNA")+COUNTIF($V386:$Z386,"&lt;"&amp;TODAY()))</f>
        <v/>
      </c>
      <c r="K386" s="32">
        <f>IF(NOT(AND($A386&lt;&gt;"",OR($H386="",$H386="Active"))),"",IF($F386="",0,SUMPRODUCT(($N386:$U386="")*(($F386-(40-VALUE(LEFT($N$4:$U$4,2)))*7)&gt;=TODAY())*(($F386-(40-VALUE(LEFT($N$4:$U$4,2)))*7)&lt;=TODAY()+7)))+COUNTIFS($V386:$Z386,"&gt;="&amp;TODAY(),$V386:$Z386,"&lt;="&amp;TODAY()+7))</f>
        <v/>
      </c>
      <c r="L386" s="32">
        <f>IF(OR(NOT(AND($A386&lt;&gt;"",OR($H386="",$H386="Active"))),$F386=""),"",IF(N386="",N$4,IF(O386="",O$4,IF(P386="",P$4,IF(Q386="",Q$4,IF(R386="",R$4,IF(S386="",S$4,IF(T386="",T$4,IF(U386="",U$4,"All done")))))))))</f>
        <v/>
      </c>
      <c r="M386" s="33">
        <f>IF(OR($L386="",$L386="All done"),"",($F386-(40-VALUE(LEFT($L386,2)))*7))</f>
        <v/>
      </c>
      <c r="N386" s="31" t="n"/>
      <c r="O386" s="31" t="n"/>
      <c r="P386" s="31" t="n"/>
      <c r="Q386" s="31" t="n"/>
      <c r="R386" s="31" t="n"/>
      <c r="S386" s="31" t="n"/>
      <c r="T386" s="31" t="n"/>
      <c r="U386" s="31" t="n"/>
      <c r="V386" s="31" t="n"/>
      <c r="W386" s="31" t="n"/>
      <c r="X386" s="31" t="n"/>
      <c r="Y386" s="31" t="n"/>
      <c r="Z386" s="31" t="n"/>
      <c r="AA386" s="34" t="n"/>
      <c r="AB386" s="29" t="n"/>
      <c r="AC386" s="31" t="n"/>
    </row>
    <row r="387">
      <c r="A387" s="29" t="n"/>
      <c r="B387" s="30" t="n"/>
      <c r="C387" s="31" t="n"/>
      <c r="D387" s="29" t="n"/>
      <c r="E387" s="29" t="n"/>
      <c r="F387" s="31" t="n"/>
      <c r="G387" s="31" t="n"/>
      <c r="H387" s="29" t="n"/>
      <c r="I387" s="32">
        <f>IF(OR(NOT(AND($A387&lt;&gt;"",OR($H387="",$H387="Active"))),$F387=""),"",INT((TODAY()-$F387+280)/7)&amp;"+"&amp;MOD(TODAY()-$F387+280,7))</f>
        <v/>
      </c>
      <c r="J387" s="32">
        <f>IF(NOT(AND($A387&lt;&gt;"",OR($H387="",$H387="Active"))),"",IF($F387="",0,SUMPRODUCT(($N387:$U387="")*(($F387-(40-VALUE(LEFT($N$4:$U$4,2)))*7)&lt;TODAY())))+COUNTIF($N387:$U387,"DNA")+COUNTIF($V387:$Z387,"&lt;"&amp;TODAY()))</f>
        <v/>
      </c>
      <c r="K387" s="32">
        <f>IF(NOT(AND($A387&lt;&gt;"",OR($H387="",$H387="Active"))),"",IF($F387="",0,SUMPRODUCT(($N387:$U387="")*(($F387-(40-VALUE(LEFT($N$4:$U$4,2)))*7)&gt;=TODAY())*(($F387-(40-VALUE(LEFT($N$4:$U$4,2)))*7)&lt;=TODAY()+7)))+COUNTIFS($V387:$Z387,"&gt;="&amp;TODAY(),$V387:$Z387,"&lt;="&amp;TODAY()+7))</f>
        <v/>
      </c>
      <c r="L387" s="32">
        <f>IF(OR(NOT(AND($A387&lt;&gt;"",OR($H387="",$H387="Active"))),$F387=""),"",IF(N387="",N$4,IF(O387="",O$4,IF(P387="",P$4,IF(Q387="",Q$4,IF(R387="",R$4,IF(S387="",S$4,IF(T387="",T$4,IF(U387="",U$4,"All done")))))))))</f>
        <v/>
      </c>
      <c r="M387" s="33">
        <f>IF(OR($L387="",$L387="All done"),"",($F387-(40-VALUE(LEFT($L387,2)))*7))</f>
        <v/>
      </c>
      <c r="N387" s="31" t="n"/>
      <c r="O387" s="31" t="n"/>
      <c r="P387" s="31" t="n"/>
      <c r="Q387" s="31" t="n"/>
      <c r="R387" s="31" t="n"/>
      <c r="S387" s="31" t="n"/>
      <c r="T387" s="31" t="n"/>
      <c r="U387" s="31" t="n"/>
      <c r="V387" s="31" t="n"/>
      <c r="W387" s="31" t="n"/>
      <c r="X387" s="31" t="n"/>
      <c r="Y387" s="31" t="n"/>
      <c r="Z387" s="31" t="n"/>
      <c r="AA387" s="34" t="n"/>
      <c r="AB387" s="29" t="n"/>
      <c r="AC387" s="31" t="n"/>
    </row>
    <row r="388">
      <c r="A388" s="29" t="n"/>
      <c r="B388" s="30" t="n"/>
      <c r="C388" s="31" t="n"/>
      <c r="D388" s="29" t="n"/>
      <c r="E388" s="29" t="n"/>
      <c r="F388" s="31" t="n"/>
      <c r="G388" s="31" t="n"/>
      <c r="H388" s="29" t="n"/>
      <c r="I388" s="32">
        <f>IF(OR(NOT(AND($A388&lt;&gt;"",OR($H388="",$H388="Active"))),$F388=""),"",INT((TODAY()-$F388+280)/7)&amp;"+"&amp;MOD(TODAY()-$F388+280,7))</f>
        <v/>
      </c>
      <c r="J388" s="32">
        <f>IF(NOT(AND($A388&lt;&gt;"",OR($H388="",$H388="Active"))),"",IF($F388="",0,SUMPRODUCT(($N388:$U388="")*(($F388-(40-VALUE(LEFT($N$4:$U$4,2)))*7)&lt;TODAY())))+COUNTIF($N388:$U388,"DNA")+COUNTIF($V388:$Z388,"&lt;"&amp;TODAY()))</f>
        <v/>
      </c>
      <c r="K388" s="32">
        <f>IF(NOT(AND($A388&lt;&gt;"",OR($H388="",$H388="Active"))),"",IF($F388="",0,SUMPRODUCT(($N388:$U388="")*(($F388-(40-VALUE(LEFT($N$4:$U$4,2)))*7)&gt;=TODAY())*(($F388-(40-VALUE(LEFT($N$4:$U$4,2)))*7)&lt;=TODAY()+7)))+COUNTIFS($V388:$Z388,"&gt;="&amp;TODAY(),$V388:$Z388,"&lt;="&amp;TODAY()+7))</f>
        <v/>
      </c>
      <c r="L388" s="32">
        <f>IF(OR(NOT(AND($A388&lt;&gt;"",OR($H388="",$H388="Active"))),$F388=""),"",IF(N388="",N$4,IF(O388="",O$4,IF(P388="",P$4,IF(Q388="",Q$4,IF(R388="",R$4,IF(S388="",S$4,IF(T388="",T$4,IF(U388="",U$4,"All done")))))))))</f>
        <v/>
      </c>
      <c r="M388" s="33">
        <f>IF(OR($L388="",$L388="All done"),"",($F388-(40-VALUE(LEFT($L388,2)))*7))</f>
        <v/>
      </c>
      <c r="N388" s="31" t="n"/>
      <c r="O388" s="31" t="n"/>
      <c r="P388" s="31" t="n"/>
      <c r="Q388" s="31" t="n"/>
      <c r="R388" s="31" t="n"/>
      <c r="S388" s="31" t="n"/>
      <c r="T388" s="31" t="n"/>
      <c r="U388" s="31" t="n"/>
      <c r="V388" s="31" t="n"/>
      <c r="W388" s="31" t="n"/>
      <c r="X388" s="31" t="n"/>
      <c r="Y388" s="31" t="n"/>
      <c r="Z388" s="31" t="n"/>
      <c r="AA388" s="34" t="n"/>
      <c r="AB388" s="29" t="n"/>
      <c r="AC388" s="31" t="n"/>
    </row>
    <row r="389">
      <c r="A389" s="29" t="n"/>
      <c r="B389" s="30" t="n"/>
      <c r="C389" s="31" t="n"/>
      <c r="D389" s="29" t="n"/>
      <c r="E389" s="29" t="n"/>
      <c r="F389" s="31" t="n"/>
      <c r="G389" s="31" t="n"/>
      <c r="H389" s="29" t="n"/>
      <c r="I389" s="32">
        <f>IF(OR(NOT(AND($A389&lt;&gt;"",OR($H389="",$H389="Active"))),$F389=""),"",INT((TODAY()-$F389+280)/7)&amp;"+"&amp;MOD(TODAY()-$F389+280,7))</f>
        <v/>
      </c>
      <c r="J389" s="32">
        <f>IF(NOT(AND($A389&lt;&gt;"",OR($H389="",$H389="Active"))),"",IF($F389="",0,SUMPRODUCT(($N389:$U389="")*(($F389-(40-VALUE(LEFT($N$4:$U$4,2)))*7)&lt;TODAY())))+COUNTIF($N389:$U389,"DNA")+COUNTIF($V389:$Z389,"&lt;"&amp;TODAY()))</f>
        <v/>
      </c>
      <c r="K389" s="32">
        <f>IF(NOT(AND($A389&lt;&gt;"",OR($H389="",$H389="Active"))),"",IF($F389="",0,SUMPRODUCT(($N389:$U389="")*(($F389-(40-VALUE(LEFT($N$4:$U$4,2)))*7)&gt;=TODAY())*(($F389-(40-VALUE(LEFT($N$4:$U$4,2)))*7)&lt;=TODAY()+7)))+COUNTIFS($V389:$Z389,"&gt;="&amp;TODAY(),$V389:$Z389,"&lt;="&amp;TODAY()+7))</f>
        <v/>
      </c>
      <c r="L389" s="32">
        <f>IF(OR(NOT(AND($A389&lt;&gt;"",OR($H389="",$H389="Active"))),$F389=""),"",IF(N389="",N$4,IF(O389="",O$4,IF(P389="",P$4,IF(Q389="",Q$4,IF(R389="",R$4,IF(S389="",S$4,IF(T389="",T$4,IF(U389="",U$4,"All done")))))))))</f>
        <v/>
      </c>
      <c r="M389" s="33">
        <f>IF(OR($L389="",$L389="All done"),"",($F389-(40-VALUE(LEFT($L389,2)))*7))</f>
        <v/>
      </c>
      <c r="N389" s="31" t="n"/>
      <c r="O389" s="31" t="n"/>
      <c r="P389" s="31" t="n"/>
      <c r="Q389" s="31" t="n"/>
      <c r="R389" s="31" t="n"/>
      <c r="S389" s="31" t="n"/>
      <c r="T389" s="31" t="n"/>
      <c r="U389" s="31" t="n"/>
      <c r="V389" s="31" t="n"/>
      <c r="W389" s="31" t="n"/>
      <c r="X389" s="31" t="n"/>
      <c r="Y389" s="31" t="n"/>
      <c r="Z389" s="31" t="n"/>
      <c r="AA389" s="34" t="n"/>
      <c r="AB389" s="29" t="n"/>
      <c r="AC389" s="31" t="n"/>
    </row>
    <row r="390">
      <c r="A390" s="29" t="n"/>
      <c r="B390" s="30" t="n"/>
      <c r="C390" s="31" t="n"/>
      <c r="D390" s="29" t="n"/>
      <c r="E390" s="29" t="n"/>
      <c r="F390" s="31" t="n"/>
      <c r="G390" s="31" t="n"/>
      <c r="H390" s="29" t="n"/>
      <c r="I390" s="32">
        <f>IF(OR(NOT(AND($A390&lt;&gt;"",OR($H390="",$H390="Active"))),$F390=""),"",INT((TODAY()-$F390+280)/7)&amp;"+"&amp;MOD(TODAY()-$F390+280,7))</f>
        <v/>
      </c>
      <c r="J390" s="32">
        <f>IF(NOT(AND($A390&lt;&gt;"",OR($H390="",$H390="Active"))),"",IF($F390="",0,SUMPRODUCT(($N390:$U390="")*(($F390-(40-VALUE(LEFT($N$4:$U$4,2)))*7)&lt;TODAY())))+COUNTIF($N390:$U390,"DNA")+COUNTIF($V390:$Z390,"&lt;"&amp;TODAY()))</f>
        <v/>
      </c>
      <c r="K390" s="32">
        <f>IF(NOT(AND($A390&lt;&gt;"",OR($H390="",$H390="Active"))),"",IF($F390="",0,SUMPRODUCT(($N390:$U390="")*(($F390-(40-VALUE(LEFT($N$4:$U$4,2)))*7)&gt;=TODAY())*(($F390-(40-VALUE(LEFT($N$4:$U$4,2)))*7)&lt;=TODAY()+7)))+COUNTIFS($V390:$Z390,"&gt;="&amp;TODAY(),$V390:$Z390,"&lt;="&amp;TODAY()+7))</f>
        <v/>
      </c>
      <c r="L390" s="32">
        <f>IF(OR(NOT(AND($A390&lt;&gt;"",OR($H390="",$H390="Active"))),$F390=""),"",IF(N390="",N$4,IF(O390="",O$4,IF(P390="",P$4,IF(Q390="",Q$4,IF(R390="",R$4,IF(S390="",S$4,IF(T390="",T$4,IF(U390="",U$4,"All done")))))))))</f>
        <v/>
      </c>
      <c r="M390" s="33">
        <f>IF(OR($L390="",$L390="All done"),"",($F390-(40-VALUE(LEFT($L390,2)))*7))</f>
        <v/>
      </c>
      <c r="N390" s="31" t="n"/>
      <c r="O390" s="31" t="n"/>
      <c r="P390" s="31" t="n"/>
      <c r="Q390" s="31" t="n"/>
      <c r="R390" s="31" t="n"/>
      <c r="S390" s="31" t="n"/>
      <c r="T390" s="31" t="n"/>
      <c r="U390" s="31" t="n"/>
      <c r="V390" s="31" t="n"/>
      <c r="W390" s="31" t="n"/>
      <c r="X390" s="31" t="n"/>
      <c r="Y390" s="31" t="n"/>
      <c r="Z390" s="31" t="n"/>
      <c r="AA390" s="34" t="n"/>
      <c r="AB390" s="29" t="n"/>
      <c r="AC390" s="31" t="n"/>
    </row>
    <row r="391">
      <c r="A391" s="29" t="n"/>
      <c r="B391" s="30" t="n"/>
      <c r="C391" s="31" t="n"/>
      <c r="D391" s="29" t="n"/>
      <c r="E391" s="29" t="n"/>
      <c r="F391" s="31" t="n"/>
      <c r="G391" s="31" t="n"/>
      <c r="H391" s="29" t="n"/>
      <c r="I391" s="32">
        <f>IF(OR(NOT(AND($A391&lt;&gt;"",OR($H391="",$H391="Active"))),$F391=""),"",INT((TODAY()-$F391+280)/7)&amp;"+"&amp;MOD(TODAY()-$F391+280,7))</f>
        <v/>
      </c>
      <c r="J391" s="32">
        <f>IF(NOT(AND($A391&lt;&gt;"",OR($H391="",$H391="Active"))),"",IF($F391="",0,SUMPRODUCT(($N391:$U391="")*(($F391-(40-VALUE(LEFT($N$4:$U$4,2)))*7)&lt;TODAY())))+COUNTIF($N391:$U391,"DNA")+COUNTIF($V391:$Z391,"&lt;"&amp;TODAY()))</f>
        <v/>
      </c>
      <c r="K391" s="32">
        <f>IF(NOT(AND($A391&lt;&gt;"",OR($H391="",$H391="Active"))),"",IF($F391="",0,SUMPRODUCT(($N391:$U391="")*(($F391-(40-VALUE(LEFT($N$4:$U$4,2)))*7)&gt;=TODAY())*(($F391-(40-VALUE(LEFT($N$4:$U$4,2)))*7)&lt;=TODAY()+7)))+COUNTIFS($V391:$Z391,"&gt;="&amp;TODAY(),$V391:$Z391,"&lt;="&amp;TODAY()+7))</f>
        <v/>
      </c>
      <c r="L391" s="32">
        <f>IF(OR(NOT(AND($A391&lt;&gt;"",OR($H391="",$H391="Active"))),$F391=""),"",IF(N391="",N$4,IF(O391="",O$4,IF(P391="",P$4,IF(Q391="",Q$4,IF(R391="",R$4,IF(S391="",S$4,IF(T391="",T$4,IF(U391="",U$4,"All done")))))))))</f>
        <v/>
      </c>
      <c r="M391" s="33">
        <f>IF(OR($L391="",$L391="All done"),"",($F391-(40-VALUE(LEFT($L391,2)))*7))</f>
        <v/>
      </c>
      <c r="N391" s="31" t="n"/>
      <c r="O391" s="31" t="n"/>
      <c r="P391" s="31" t="n"/>
      <c r="Q391" s="31" t="n"/>
      <c r="R391" s="31" t="n"/>
      <c r="S391" s="31" t="n"/>
      <c r="T391" s="31" t="n"/>
      <c r="U391" s="31" t="n"/>
      <c r="V391" s="31" t="n"/>
      <c r="W391" s="31" t="n"/>
      <c r="X391" s="31" t="n"/>
      <c r="Y391" s="31" t="n"/>
      <c r="Z391" s="31" t="n"/>
      <c r="AA391" s="34" t="n"/>
      <c r="AB391" s="29" t="n"/>
      <c r="AC391" s="31" t="n"/>
    </row>
    <row r="392">
      <c r="A392" s="29" t="n"/>
      <c r="B392" s="30" t="n"/>
      <c r="C392" s="31" t="n"/>
      <c r="D392" s="29" t="n"/>
      <c r="E392" s="29" t="n"/>
      <c r="F392" s="31" t="n"/>
      <c r="G392" s="31" t="n"/>
      <c r="H392" s="29" t="n"/>
      <c r="I392" s="32">
        <f>IF(OR(NOT(AND($A392&lt;&gt;"",OR($H392="",$H392="Active"))),$F392=""),"",INT((TODAY()-$F392+280)/7)&amp;"+"&amp;MOD(TODAY()-$F392+280,7))</f>
        <v/>
      </c>
      <c r="J392" s="32">
        <f>IF(NOT(AND($A392&lt;&gt;"",OR($H392="",$H392="Active"))),"",IF($F392="",0,SUMPRODUCT(($N392:$U392="")*(($F392-(40-VALUE(LEFT($N$4:$U$4,2)))*7)&lt;TODAY())))+COUNTIF($N392:$U392,"DNA")+COUNTIF($V392:$Z392,"&lt;"&amp;TODAY()))</f>
        <v/>
      </c>
      <c r="K392" s="32">
        <f>IF(NOT(AND($A392&lt;&gt;"",OR($H392="",$H392="Active"))),"",IF($F392="",0,SUMPRODUCT(($N392:$U392="")*(($F392-(40-VALUE(LEFT($N$4:$U$4,2)))*7)&gt;=TODAY())*(($F392-(40-VALUE(LEFT($N$4:$U$4,2)))*7)&lt;=TODAY()+7)))+COUNTIFS($V392:$Z392,"&gt;="&amp;TODAY(),$V392:$Z392,"&lt;="&amp;TODAY()+7))</f>
        <v/>
      </c>
      <c r="L392" s="32">
        <f>IF(OR(NOT(AND($A392&lt;&gt;"",OR($H392="",$H392="Active"))),$F392=""),"",IF(N392="",N$4,IF(O392="",O$4,IF(P392="",P$4,IF(Q392="",Q$4,IF(R392="",R$4,IF(S392="",S$4,IF(T392="",T$4,IF(U392="",U$4,"All done")))))))))</f>
        <v/>
      </c>
      <c r="M392" s="33">
        <f>IF(OR($L392="",$L392="All done"),"",($F392-(40-VALUE(LEFT($L392,2)))*7))</f>
        <v/>
      </c>
      <c r="N392" s="31" t="n"/>
      <c r="O392" s="31" t="n"/>
      <c r="P392" s="31" t="n"/>
      <c r="Q392" s="31" t="n"/>
      <c r="R392" s="31" t="n"/>
      <c r="S392" s="31" t="n"/>
      <c r="T392" s="31" t="n"/>
      <c r="U392" s="31" t="n"/>
      <c r="V392" s="31" t="n"/>
      <c r="W392" s="31" t="n"/>
      <c r="X392" s="31" t="n"/>
      <c r="Y392" s="31" t="n"/>
      <c r="Z392" s="31" t="n"/>
      <c r="AA392" s="34" t="n"/>
      <c r="AB392" s="29" t="n"/>
      <c r="AC392" s="31" t="n"/>
    </row>
    <row r="393">
      <c r="A393" s="29" t="n"/>
      <c r="B393" s="30" t="n"/>
      <c r="C393" s="31" t="n"/>
      <c r="D393" s="29" t="n"/>
      <c r="E393" s="29" t="n"/>
      <c r="F393" s="31" t="n"/>
      <c r="G393" s="31" t="n"/>
      <c r="H393" s="29" t="n"/>
      <c r="I393" s="32">
        <f>IF(OR(NOT(AND($A393&lt;&gt;"",OR($H393="",$H393="Active"))),$F393=""),"",INT((TODAY()-$F393+280)/7)&amp;"+"&amp;MOD(TODAY()-$F393+280,7))</f>
        <v/>
      </c>
      <c r="J393" s="32">
        <f>IF(NOT(AND($A393&lt;&gt;"",OR($H393="",$H393="Active"))),"",IF($F393="",0,SUMPRODUCT(($N393:$U393="")*(($F393-(40-VALUE(LEFT($N$4:$U$4,2)))*7)&lt;TODAY())))+COUNTIF($N393:$U393,"DNA")+COUNTIF($V393:$Z393,"&lt;"&amp;TODAY()))</f>
        <v/>
      </c>
      <c r="K393" s="32">
        <f>IF(NOT(AND($A393&lt;&gt;"",OR($H393="",$H393="Active"))),"",IF($F393="",0,SUMPRODUCT(($N393:$U393="")*(($F393-(40-VALUE(LEFT($N$4:$U$4,2)))*7)&gt;=TODAY())*(($F393-(40-VALUE(LEFT($N$4:$U$4,2)))*7)&lt;=TODAY()+7)))+COUNTIFS($V393:$Z393,"&gt;="&amp;TODAY(),$V393:$Z393,"&lt;="&amp;TODAY()+7))</f>
        <v/>
      </c>
      <c r="L393" s="32">
        <f>IF(OR(NOT(AND($A393&lt;&gt;"",OR($H393="",$H393="Active"))),$F393=""),"",IF(N393="",N$4,IF(O393="",O$4,IF(P393="",P$4,IF(Q393="",Q$4,IF(R393="",R$4,IF(S393="",S$4,IF(T393="",T$4,IF(U393="",U$4,"All done")))))))))</f>
        <v/>
      </c>
      <c r="M393" s="33">
        <f>IF(OR($L393="",$L393="All done"),"",($F393-(40-VALUE(LEFT($L393,2)))*7))</f>
        <v/>
      </c>
      <c r="N393" s="31" t="n"/>
      <c r="O393" s="31" t="n"/>
      <c r="P393" s="31" t="n"/>
      <c r="Q393" s="31" t="n"/>
      <c r="R393" s="31" t="n"/>
      <c r="S393" s="31" t="n"/>
      <c r="T393" s="31" t="n"/>
      <c r="U393" s="31" t="n"/>
      <c r="V393" s="31" t="n"/>
      <c r="W393" s="31" t="n"/>
      <c r="X393" s="31" t="n"/>
      <c r="Y393" s="31" t="n"/>
      <c r="Z393" s="31" t="n"/>
      <c r="AA393" s="34" t="n"/>
      <c r="AB393" s="29" t="n"/>
      <c r="AC393" s="31" t="n"/>
    </row>
    <row r="394">
      <c r="A394" s="29" t="n"/>
      <c r="B394" s="30" t="n"/>
      <c r="C394" s="31" t="n"/>
      <c r="D394" s="29" t="n"/>
      <c r="E394" s="29" t="n"/>
      <c r="F394" s="31" t="n"/>
      <c r="G394" s="31" t="n"/>
      <c r="H394" s="29" t="n"/>
      <c r="I394" s="32">
        <f>IF(OR(NOT(AND($A394&lt;&gt;"",OR($H394="",$H394="Active"))),$F394=""),"",INT((TODAY()-$F394+280)/7)&amp;"+"&amp;MOD(TODAY()-$F394+280,7))</f>
        <v/>
      </c>
      <c r="J394" s="32">
        <f>IF(NOT(AND($A394&lt;&gt;"",OR($H394="",$H394="Active"))),"",IF($F394="",0,SUMPRODUCT(($N394:$U394="")*(($F394-(40-VALUE(LEFT($N$4:$U$4,2)))*7)&lt;TODAY())))+COUNTIF($N394:$U394,"DNA")+COUNTIF($V394:$Z394,"&lt;"&amp;TODAY()))</f>
        <v/>
      </c>
      <c r="K394" s="32">
        <f>IF(NOT(AND($A394&lt;&gt;"",OR($H394="",$H394="Active"))),"",IF($F394="",0,SUMPRODUCT(($N394:$U394="")*(($F394-(40-VALUE(LEFT($N$4:$U$4,2)))*7)&gt;=TODAY())*(($F394-(40-VALUE(LEFT($N$4:$U$4,2)))*7)&lt;=TODAY()+7)))+COUNTIFS($V394:$Z394,"&gt;="&amp;TODAY(),$V394:$Z394,"&lt;="&amp;TODAY()+7))</f>
        <v/>
      </c>
      <c r="L394" s="32">
        <f>IF(OR(NOT(AND($A394&lt;&gt;"",OR($H394="",$H394="Active"))),$F394=""),"",IF(N394="",N$4,IF(O394="",O$4,IF(P394="",P$4,IF(Q394="",Q$4,IF(R394="",R$4,IF(S394="",S$4,IF(T394="",T$4,IF(U394="",U$4,"All done")))))))))</f>
        <v/>
      </c>
      <c r="M394" s="33">
        <f>IF(OR($L394="",$L394="All done"),"",($F394-(40-VALUE(LEFT($L394,2)))*7))</f>
        <v/>
      </c>
      <c r="N394" s="31" t="n"/>
      <c r="O394" s="31" t="n"/>
      <c r="P394" s="31" t="n"/>
      <c r="Q394" s="31" t="n"/>
      <c r="R394" s="31" t="n"/>
      <c r="S394" s="31" t="n"/>
      <c r="T394" s="31" t="n"/>
      <c r="U394" s="31" t="n"/>
      <c r="V394" s="31" t="n"/>
      <c r="W394" s="31" t="n"/>
      <c r="X394" s="31" t="n"/>
      <c r="Y394" s="31" t="n"/>
      <c r="Z394" s="31" t="n"/>
      <c r="AA394" s="34" t="n"/>
      <c r="AB394" s="29" t="n"/>
      <c r="AC394" s="31" t="n"/>
    </row>
    <row r="395">
      <c r="A395" s="29" t="n"/>
      <c r="B395" s="30" t="n"/>
      <c r="C395" s="31" t="n"/>
      <c r="D395" s="29" t="n"/>
      <c r="E395" s="29" t="n"/>
      <c r="F395" s="31" t="n"/>
      <c r="G395" s="31" t="n"/>
      <c r="H395" s="29" t="n"/>
      <c r="I395" s="32">
        <f>IF(OR(NOT(AND($A395&lt;&gt;"",OR($H395="",$H395="Active"))),$F395=""),"",INT((TODAY()-$F395+280)/7)&amp;"+"&amp;MOD(TODAY()-$F395+280,7))</f>
        <v/>
      </c>
      <c r="J395" s="32">
        <f>IF(NOT(AND($A395&lt;&gt;"",OR($H395="",$H395="Active"))),"",IF($F395="",0,SUMPRODUCT(($N395:$U395="")*(($F395-(40-VALUE(LEFT($N$4:$U$4,2)))*7)&lt;TODAY())))+COUNTIF($N395:$U395,"DNA")+COUNTIF($V395:$Z395,"&lt;"&amp;TODAY()))</f>
        <v/>
      </c>
      <c r="K395" s="32">
        <f>IF(NOT(AND($A395&lt;&gt;"",OR($H395="",$H395="Active"))),"",IF($F395="",0,SUMPRODUCT(($N395:$U395="")*(($F395-(40-VALUE(LEFT($N$4:$U$4,2)))*7)&gt;=TODAY())*(($F395-(40-VALUE(LEFT($N$4:$U$4,2)))*7)&lt;=TODAY()+7)))+COUNTIFS($V395:$Z395,"&gt;="&amp;TODAY(),$V395:$Z395,"&lt;="&amp;TODAY()+7))</f>
        <v/>
      </c>
      <c r="L395" s="32">
        <f>IF(OR(NOT(AND($A395&lt;&gt;"",OR($H395="",$H395="Active"))),$F395=""),"",IF(N395="",N$4,IF(O395="",O$4,IF(P395="",P$4,IF(Q395="",Q$4,IF(R395="",R$4,IF(S395="",S$4,IF(T395="",T$4,IF(U395="",U$4,"All done")))))))))</f>
        <v/>
      </c>
      <c r="M395" s="33">
        <f>IF(OR($L395="",$L395="All done"),"",($F395-(40-VALUE(LEFT($L395,2)))*7))</f>
        <v/>
      </c>
      <c r="N395" s="31" t="n"/>
      <c r="O395" s="31" t="n"/>
      <c r="P395" s="31" t="n"/>
      <c r="Q395" s="31" t="n"/>
      <c r="R395" s="31" t="n"/>
      <c r="S395" s="31" t="n"/>
      <c r="T395" s="31" t="n"/>
      <c r="U395" s="31" t="n"/>
      <c r="V395" s="31" t="n"/>
      <c r="W395" s="31" t="n"/>
      <c r="X395" s="31" t="n"/>
      <c r="Y395" s="31" t="n"/>
      <c r="Z395" s="31" t="n"/>
      <c r="AA395" s="34" t="n"/>
      <c r="AB395" s="29" t="n"/>
      <c r="AC395" s="31" t="n"/>
    </row>
    <row r="396">
      <c r="A396" s="29" t="n"/>
      <c r="B396" s="30" t="n"/>
      <c r="C396" s="31" t="n"/>
      <c r="D396" s="29" t="n"/>
      <c r="E396" s="29" t="n"/>
      <c r="F396" s="31" t="n"/>
      <c r="G396" s="31" t="n"/>
      <c r="H396" s="29" t="n"/>
      <c r="I396" s="32">
        <f>IF(OR(NOT(AND($A396&lt;&gt;"",OR($H396="",$H396="Active"))),$F396=""),"",INT((TODAY()-$F396+280)/7)&amp;"+"&amp;MOD(TODAY()-$F396+280,7))</f>
        <v/>
      </c>
      <c r="J396" s="32">
        <f>IF(NOT(AND($A396&lt;&gt;"",OR($H396="",$H396="Active"))),"",IF($F396="",0,SUMPRODUCT(($N396:$U396="")*(($F396-(40-VALUE(LEFT($N$4:$U$4,2)))*7)&lt;TODAY())))+COUNTIF($N396:$U396,"DNA")+COUNTIF($V396:$Z396,"&lt;"&amp;TODAY()))</f>
        <v/>
      </c>
      <c r="K396" s="32">
        <f>IF(NOT(AND($A396&lt;&gt;"",OR($H396="",$H396="Active"))),"",IF($F396="",0,SUMPRODUCT(($N396:$U396="")*(($F396-(40-VALUE(LEFT($N$4:$U$4,2)))*7)&gt;=TODAY())*(($F396-(40-VALUE(LEFT($N$4:$U$4,2)))*7)&lt;=TODAY()+7)))+COUNTIFS($V396:$Z396,"&gt;="&amp;TODAY(),$V396:$Z396,"&lt;="&amp;TODAY()+7))</f>
        <v/>
      </c>
      <c r="L396" s="32">
        <f>IF(OR(NOT(AND($A396&lt;&gt;"",OR($H396="",$H396="Active"))),$F396=""),"",IF(N396="",N$4,IF(O396="",O$4,IF(P396="",P$4,IF(Q396="",Q$4,IF(R396="",R$4,IF(S396="",S$4,IF(T396="",T$4,IF(U396="",U$4,"All done")))))))))</f>
        <v/>
      </c>
      <c r="M396" s="33">
        <f>IF(OR($L396="",$L396="All done"),"",($F396-(40-VALUE(LEFT($L396,2)))*7))</f>
        <v/>
      </c>
      <c r="N396" s="31" t="n"/>
      <c r="O396" s="31" t="n"/>
      <c r="P396" s="31" t="n"/>
      <c r="Q396" s="31" t="n"/>
      <c r="R396" s="31" t="n"/>
      <c r="S396" s="31" t="n"/>
      <c r="T396" s="31" t="n"/>
      <c r="U396" s="31" t="n"/>
      <c r="V396" s="31" t="n"/>
      <c r="W396" s="31" t="n"/>
      <c r="X396" s="31" t="n"/>
      <c r="Y396" s="31" t="n"/>
      <c r="Z396" s="31" t="n"/>
      <c r="AA396" s="34" t="n"/>
      <c r="AB396" s="29" t="n"/>
      <c r="AC396" s="31" t="n"/>
    </row>
    <row r="397">
      <c r="A397" s="29" t="n"/>
      <c r="B397" s="30" t="n"/>
      <c r="C397" s="31" t="n"/>
      <c r="D397" s="29" t="n"/>
      <c r="E397" s="29" t="n"/>
      <c r="F397" s="31" t="n"/>
      <c r="G397" s="31" t="n"/>
      <c r="H397" s="29" t="n"/>
      <c r="I397" s="32">
        <f>IF(OR(NOT(AND($A397&lt;&gt;"",OR($H397="",$H397="Active"))),$F397=""),"",INT((TODAY()-$F397+280)/7)&amp;"+"&amp;MOD(TODAY()-$F397+280,7))</f>
        <v/>
      </c>
      <c r="J397" s="32">
        <f>IF(NOT(AND($A397&lt;&gt;"",OR($H397="",$H397="Active"))),"",IF($F397="",0,SUMPRODUCT(($N397:$U397="")*(($F397-(40-VALUE(LEFT($N$4:$U$4,2)))*7)&lt;TODAY())))+COUNTIF($N397:$U397,"DNA")+COUNTIF($V397:$Z397,"&lt;"&amp;TODAY()))</f>
        <v/>
      </c>
      <c r="K397" s="32">
        <f>IF(NOT(AND($A397&lt;&gt;"",OR($H397="",$H397="Active"))),"",IF($F397="",0,SUMPRODUCT(($N397:$U397="")*(($F397-(40-VALUE(LEFT($N$4:$U$4,2)))*7)&gt;=TODAY())*(($F397-(40-VALUE(LEFT($N$4:$U$4,2)))*7)&lt;=TODAY()+7)))+COUNTIFS($V397:$Z397,"&gt;="&amp;TODAY(),$V397:$Z397,"&lt;="&amp;TODAY()+7))</f>
        <v/>
      </c>
      <c r="L397" s="32">
        <f>IF(OR(NOT(AND($A397&lt;&gt;"",OR($H397="",$H397="Active"))),$F397=""),"",IF(N397="",N$4,IF(O397="",O$4,IF(P397="",P$4,IF(Q397="",Q$4,IF(R397="",R$4,IF(S397="",S$4,IF(T397="",T$4,IF(U397="",U$4,"All done")))))))))</f>
        <v/>
      </c>
      <c r="M397" s="33">
        <f>IF(OR($L397="",$L397="All done"),"",($F397-(40-VALUE(LEFT($L397,2)))*7))</f>
        <v/>
      </c>
      <c r="N397" s="31" t="n"/>
      <c r="O397" s="31" t="n"/>
      <c r="P397" s="31" t="n"/>
      <c r="Q397" s="31" t="n"/>
      <c r="R397" s="31" t="n"/>
      <c r="S397" s="31" t="n"/>
      <c r="T397" s="31" t="n"/>
      <c r="U397" s="31" t="n"/>
      <c r="V397" s="31" t="n"/>
      <c r="W397" s="31" t="n"/>
      <c r="X397" s="31" t="n"/>
      <c r="Y397" s="31" t="n"/>
      <c r="Z397" s="31" t="n"/>
      <c r="AA397" s="34" t="n"/>
      <c r="AB397" s="29" t="n"/>
      <c r="AC397" s="31" t="n"/>
    </row>
    <row r="398">
      <c r="A398" s="29" t="n"/>
      <c r="B398" s="30" t="n"/>
      <c r="C398" s="31" t="n"/>
      <c r="D398" s="29" t="n"/>
      <c r="E398" s="29" t="n"/>
      <c r="F398" s="31" t="n"/>
      <c r="G398" s="31" t="n"/>
      <c r="H398" s="29" t="n"/>
      <c r="I398" s="32">
        <f>IF(OR(NOT(AND($A398&lt;&gt;"",OR($H398="",$H398="Active"))),$F398=""),"",INT((TODAY()-$F398+280)/7)&amp;"+"&amp;MOD(TODAY()-$F398+280,7))</f>
        <v/>
      </c>
      <c r="J398" s="32">
        <f>IF(NOT(AND($A398&lt;&gt;"",OR($H398="",$H398="Active"))),"",IF($F398="",0,SUMPRODUCT(($N398:$U398="")*(($F398-(40-VALUE(LEFT($N$4:$U$4,2)))*7)&lt;TODAY())))+COUNTIF($N398:$U398,"DNA")+COUNTIF($V398:$Z398,"&lt;"&amp;TODAY()))</f>
        <v/>
      </c>
      <c r="K398" s="32">
        <f>IF(NOT(AND($A398&lt;&gt;"",OR($H398="",$H398="Active"))),"",IF($F398="",0,SUMPRODUCT(($N398:$U398="")*(($F398-(40-VALUE(LEFT($N$4:$U$4,2)))*7)&gt;=TODAY())*(($F398-(40-VALUE(LEFT($N$4:$U$4,2)))*7)&lt;=TODAY()+7)))+COUNTIFS($V398:$Z398,"&gt;="&amp;TODAY(),$V398:$Z398,"&lt;="&amp;TODAY()+7))</f>
        <v/>
      </c>
      <c r="L398" s="32">
        <f>IF(OR(NOT(AND($A398&lt;&gt;"",OR($H398="",$H398="Active"))),$F398=""),"",IF(N398="",N$4,IF(O398="",O$4,IF(P398="",P$4,IF(Q398="",Q$4,IF(R398="",R$4,IF(S398="",S$4,IF(T398="",T$4,IF(U398="",U$4,"All done")))))))))</f>
        <v/>
      </c>
      <c r="M398" s="33">
        <f>IF(OR($L398="",$L398="All done"),"",($F398-(40-VALUE(LEFT($L398,2)))*7))</f>
        <v/>
      </c>
      <c r="N398" s="31" t="n"/>
      <c r="O398" s="31" t="n"/>
      <c r="P398" s="31" t="n"/>
      <c r="Q398" s="31" t="n"/>
      <c r="R398" s="31" t="n"/>
      <c r="S398" s="31" t="n"/>
      <c r="T398" s="31" t="n"/>
      <c r="U398" s="31" t="n"/>
      <c r="V398" s="31" t="n"/>
      <c r="W398" s="31" t="n"/>
      <c r="X398" s="31" t="n"/>
      <c r="Y398" s="31" t="n"/>
      <c r="Z398" s="31" t="n"/>
      <c r="AA398" s="34" t="n"/>
      <c r="AB398" s="29" t="n"/>
      <c r="AC398" s="31" t="n"/>
    </row>
    <row r="399">
      <c r="A399" s="29" t="n"/>
      <c r="B399" s="30" t="n"/>
      <c r="C399" s="31" t="n"/>
      <c r="D399" s="29" t="n"/>
      <c r="E399" s="29" t="n"/>
      <c r="F399" s="31" t="n"/>
      <c r="G399" s="31" t="n"/>
      <c r="H399" s="29" t="n"/>
      <c r="I399" s="32">
        <f>IF(OR(NOT(AND($A399&lt;&gt;"",OR($H399="",$H399="Active"))),$F399=""),"",INT((TODAY()-$F399+280)/7)&amp;"+"&amp;MOD(TODAY()-$F399+280,7))</f>
        <v/>
      </c>
      <c r="J399" s="32">
        <f>IF(NOT(AND($A399&lt;&gt;"",OR($H399="",$H399="Active"))),"",IF($F399="",0,SUMPRODUCT(($N399:$U399="")*(($F399-(40-VALUE(LEFT($N$4:$U$4,2)))*7)&lt;TODAY())))+COUNTIF($N399:$U399,"DNA")+COUNTIF($V399:$Z399,"&lt;"&amp;TODAY()))</f>
        <v/>
      </c>
      <c r="K399" s="32">
        <f>IF(NOT(AND($A399&lt;&gt;"",OR($H399="",$H399="Active"))),"",IF($F399="",0,SUMPRODUCT(($N399:$U399="")*(($F399-(40-VALUE(LEFT($N$4:$U$4,2)))*7)&gt;=TODAY())*(($F399-(40-VALUE(LEFT($N$4:$U$4,2)))*7)&lt;=TODAY()+7)))+COUNTIFS($V399:$Z399,"&gt;="&amp;TODAY(),$V399:$Z399,"&lt;="&amp;TODAY()+7))</f>
        <v/>
      </c>
      <c r="L399" s="32">
        <f>IF(OR(NOT(AND($A399&lt;&gt;"",OR($H399="",$H399="Active"))),$F399=""),"",IF(N399="",N$4,IF(O399="",O$4,IF(P399="",P$4,IF(Q399="",Q$4,IF(R399="",R$4,IF(S399="",S$4,IF(T399="",T$4,IF(U399="",U$4,"All done")))))))))</f>
        <v/>
      </c>
      <c r="M399" s="33">
        <f>IF(OR($L399="",$L399="All done"),"",($F399-(40-VALUE(LEFT($L399,2)))*7))</f>
        <v/>
      </c>
      <c r="N399" s="31" t="n"/>
      <c r="O399" s="31" t="n"/>
      <c r="P399" s="31" t="n"/>
      <c r="Q399" s="31" t="n"/>
      <c r="R399" s="31" t="n"/>
      <c r="S399" s="31" t="n"/>
      <c r="T399" s="31" t="n"/>
      <c r="U399" s="31" t="n"/>
      <c r="V399" s="31" t="n"/>
      <c r="W399" s="31" t="n"/>
      <c r="X399" s="31" t="n"/>
      <c r="Y399" s="31" t="n"/>
      <c r="Z399" s="31" t="n"/>
      <c r="AA399" s="34" t="n"/>
      <c r="AB399" s="29" t="n"/>
      <c r="AC399" s="31" t="n"/>
    </row>
    <row r="400">
      <c r="A400" s="29" t="n"/>
      <c r="B400" s="30" t="n"/>
      <c r="C400" s="31" t="n"/>
      <c r="D400" s="29" t="n"/>
      <c r="E400" s="29" t="n"/>
      <c r="F400" s="31" t="n"/>
      <c r="G400" s="31" t="n"/>
      <c r="H400" s="29" t="n"/>
      <c r="I400" s="32">
        <f>IF(OR(NOT(AND($A400&lt;&gt;"",OR($H400="",$H400="Active"))),$F400=""),"",INT((TODAY()-$F400+280)/7)&amp;"+"&amp;MOD(TODAY()-$F400+280,7))</f>
        <v/>
      </c>
      <c r="J400" s="32">
        <f>IF(NOT(AND($A400&lt;&gt;"",OR($H400="",$H400="Active"))),"",IF($F400="",0,SUMPRODUCT(($N400:$U400="")*(($F400-(40-VALUE(LEFT($N$4:$U$4,2)))*7)&lt;TODAY())))+COUNTIF($N400:$U400,"DNA")+COUNTIF($V400:$Z400,"&lt;"&amp;TODAY()))</f>
        <v/>
      </c>
      <c r="K400" s="32">
        <f>IF(NOT(AND($A400&lt;&gt;"",OR($H400="",$H400="Active"))),"",IF($F400="",0,SUMPRODUCT(($N400:$U400="")*(($F400-(40-VALUE(LEFT($N$4:$U$4,2)))*7)&gt;=TODAY())*(($F400-(40-VALUE(LEFT($N$4:$U$4,2)))*7)&lt;=TODAY()+7)))+COUNTIFS($V400:$Z400,"&gt;="&amp;TODAY(),$V400:$Z400,"&lt;="&amp;TODAY()+7))</f>
        <v/>
      </c>
      <c r="L400" s="32">
        <f>IF(OR(NOT(AND($A400&lt;&gt;"",OR($H400="",$H400="Active"))),$F400=""),"",IF(N400="",N$4,IF(O400="",O$4,IF(P400="",P$4,IF(Q400="",Q$4,IF(R400="",R$4,IF(S400="",S$4,IF(T400="",T$4,IF(U400="",U$4,"All done")))))))))</f>
        <v/>
      </c>
      <c r="M400" s="33">
        <f>IF(OR($L400="",$L400="All done"),"",($F400-(40-VALUE(LEFT($L400,2)))*7))</f>
        <v/>
      </c>
      <c r="N400" s="31" t="n"/>
      <c r="O400" s="31" t="n"/>
      <c r="P400" s="31" t="n"/>
      <c r="Q400" s="31" t="n"/>
      <c r="R400" s="31" t="n"/>
      <c r="S400" s="31" t="n"/>
      <c r="T400" s="31" t="n"/>
      <c r="U400" s="31" t="n"/>
      <c r="V400" s="31" t="n"/>
      <c r="W400" s="31" t="n"/>
      <c r="X400" s="31" t="n"/>
      <c r="Y400" s="31" t="n"/>
      <c r="Z400" s="31" t="n"/>
      <c r="AA400" s="34" t="n"/>
      <c r="AB400" s="29" t="n"/>
      <c r="AC400" s="31" t="n"/>
    </row>
    <row r="401">
      <c r="A401" s="29" t="n"/>
      <c r="B401" s="30" t="n"/>
      <c r="C401" s="31" t="n"/>
      <c r="D401" s="29" t="n"/>
      <c r="E401" s="29" t="n"/>
      <c r="F401" s="31" t="n"/>
      <c r="G401" s="31" t="n"/>
      <c r="H401" s="29" t="n"/>
      <c r="I401" s="32">
        <f>IF(OR(NOT(AND($A401&lt;&gt;"",OR($H401="",$H401="Active"))),$F401=""),"",INT((TODAY()-$F401+280)/7)&amp;"+"&amp;MOD(TODAY()-$F401+280,7))</f>
        <v/>
      </c>
      <c r="J401" s="32">
        <f>IF(NOT(AND($A401&lt;&gt;"",OR($H401="",$H401="Active"))),"",IF($F401="",0,SUMPRODUCT(($N401:$U401="")*(($F401-(40-VALUE(LEFT($N$4:$U$4,2)))*7)&lt;TODAY())))+COUNTIF($N401:$U401,"DNA")+COUNTIF($V401:$Z401,"&lt;"&amp;TODAY()))</f>
        <v/>
      </c>
      <c r="K401" s="32">
        <f>IF(NOT(AND($A401&lt;&gt;"",OR($H401="",$H401="Active"))),"",IF($F401="",0,SUMPRODUCT(($N401:$U401="")*(($F401-(40-VALUE(LEFT($N$4:$U$4,2)))*7)&gt;=TODAY())*(($F401-(40-VALUE(LEFT($N$4:$U$4,2)))*7)&lt;=TODAY()+7)))+COUNTIFS($V401:$Z401,"&gt;="&amp;TODAY(),$V401:$Z401,"&lt;="&amp;TODAY()+7))</f>
        <v/>
      </c>
      <c r="L401" s="32">
        <f>IF(OR(NOT(AND($A401&lt;&gt;"",OR($H401="",$H401="Active"))),$F401=""),"",IF(N401="",N$4,IF(O401="",O$4,IF(P401="",P$4,IF(Q401="",Q$4,IF(R401="",R$4,IF(S401="",S$4,IF(T401="",T$4,IF(U401="",U$4,"All done")))))))))</f>
        <v/>
      </c>
      <c r="M401" s="33">
        <f>IF(OR($L401="",$L401="All done"),"",($F401-(40-VALUE(LEFT($L401,2)))*7))</f>
        <v/>
      </c>
      <c r="N401" s="31" t="n"/>
      <c r="O401" s="31" t="n"/>
      <c r="P401" s="31" t="n"/>
      <c r="Q401" s="31" t="n"/>
      <c r="R401" s="31" t="n"/>
      <c r="S401" s="31" t="n"/>
      <c r="T401" s="31" t="n"/>
      <c r="U401" s="31" t="n"/>
      <c r="V401" s="31" t="n"/>
      <c r="W401" s="31" t="n"/>
      <c r="X401" s="31" t="n"/>
      <c r="Y401" s="31" t="n"/>
      <c r="Z401" s="31" t="n"/>
      <c r="AA401" s="34" t="n"/>
      <c r="AB401" s="29" t="n"/>
      <c r="AC401" s="31" t="n"/>
    </row>
    <row r="402">
      <c r="A402" s="29" t="n"/>
      <c r="B402" s="30" t="n"/>
      <c r="C402" s="31" t="n"/>
      <c r="D402" s="29" t="n"/>
      <c r="E402" s="29" t="n"/>
      <c r="F402" s="31" t="n"/>
      <c r="G402" s="31" t="n"/>
      <c r="H402" s="29" t="n"/>
      <c r="I402" s="32">
        <f>IF(OR(NOT(AND($A402&lt;&gt;"",OR($H402="",$H402="Active"))),$F402=""),"",INT((TODAY()-$F402+280)/7)&amp;"+"&amp;MOD(TODAY()-$F402+280,7))</f>
        <v/>
      </c>
      <c r="J402" s="32">
        <f>IF(NOT(AND($A402&lt;&gt;"",OR($H402="",$H402="Active"))),"",IF($F402="",0,SUMPRODUCT(($N402:$U402="")*(($F402-(40-VALUE(LEFT($N$4:$U$4,2)))*7)&lt;TODAY())))+COUNTIF($N402:$U402,"DNA")+COUNTIF($V402:$Z402,"&lt;"&amp;TODAY()))</f>
        <v/>
      </c>
      <c r="K402" s="32">
        <f>IF(NOT(AND($A402&lt;&gt;"",OR($H402="",$H402="Active"))),"",IF($F402="",0,SUMPRODUCT(($N402:$U402="")*(($F402-(40-VALUE(LEFT($N$4:$U$4,2)))*7)&gt;=TODAY())*(($F402-(40-VALUE(LEFT($N$4:$U$4,2)))*7)&lt;=TODAY()+7)))+COUNTIFS($V402:$Z402,"&gt;="&amp;TODAY(),$V402:$Z402,"&lt;="&amp;TODAY()+7))</f>
        <v/>
      </c>
      <c r="L402" s="32">
        <f>IF(OR(NOT(AND($A402&lt;&gt;"",OR($H402="",$H402="Active"))),$F402=""),"",IF(N402="",N$4,IF(O402="",O$4,IF(P402="",P$4,IF(Q402="",Q$4,IF(R402="",R$4,IF(S402="",S$4,IF(T402="",T$4,IF(U402="",U$4,"All done")))))))))</f>
        <v/>
      </c>
      <c r="M402" s="33">
        <f>IF(OR($L402="",$L402="All done"),"",($F402-(40-VALUE(LEFT($L402,2)))*7))</f>
        <v/>
      </c>
      <c r="N402" s="31" t="n"/>
      <c r="O402" s="31" t="n"/>
      <c r="P402" s="31" t="n"/>
      <c r="Q402" s="31" t="n"/>
      <c r="R402" s="31" t="n"/>
      <c r="S402" s="31" t="n"/>
      <c r="T402" s="31" t="n"/>
      <c r="U402" s="31" t="n"/>
      <c r="V402" s="31" t="n"/>
      <c r="W402" s="31" t="n"/>
      <c r="X402" s="31" t="n"/>
      <c r="Y402" s="31" t="n"/>
      <c r="Z402" s="31" t="n"/>
      <c r="AA402" s="34" t="n"/>
      <c r="AB402" s="29" t="n"/>
      <c r="AC402" s="31" t="n"/>
    </row>
    <row r="403">
      <c r="A403" s="29" t="n"/>
      <c r="B403" s="30" t="n"/>
      <c r="C403" s="31" t="n"/>
      <c r="D403" s="29" t="n"/>
      <c r="E403" s="29" t="n"/>
      <c r="F403" s="31" t="n"/>
      <c r="G403" s="31" t="n"/>
      <c r="H403" s="29" t="n"/>
      <c r="I403" s="32">
        <f>IF(OR(NOT(AND($A403&lt;&gt;"",OR($H403="",$H403="Active"))),$F403=""),"",INT((TODAY()-$F403+280)/7)&amp;"+"&amp;MOD(TODAY()-$F403+280,7))</f>
        <v/>
      </c>
      <c r="J403" s="32">
        <f>IF(NOT(AND($A403&lt;&gt;"",OR($H403="",$H403="Active"))),"",IF($F403="",0,SUMPRODUCT(($N403:$U403="")*(($F403-(40-VALUE(LEFT($N$4:$U$4,2)))*7)&lt;TODAY())))+COUNTIF($N403:$U403,"DNA")+COUNTIF($V403:$Z403,"&lt;"&amp;TODAY()))</f>
        <v/>
      </c>
      <c r="K403" s="32">
        <f>IF(NOT(AND($A403&lt;&gt;"",OR($H403="",$H403="Active"))),"",IF($F403="",0,SUMPRODUCT(($N403:$U403="")*(($F403-(40-VALUE(LEFT($N$4:$U$4,2)))*7)&gt;=TODAY())*(($F403-(40-VALUE(LEFT($N$4:$U$4,2)))*7)&lt;=TODAY()+7)))+COUNTIFS($V403:$Z403,"&gt;="&amp;TODAY(),$V403:$Z403,"&lt;="&amp;TODAY()+7))</f>
        <v/>
      </c>
      <c r="L403" s="32">
        <f>IF(OR(NOT(AND($A403&lt;&gt;"",OR($H403="",$H403="Active"))),$F403=""),"",IF(N403="",N$4,IF(O403="",O$4,IF(P403="",P$4,IF(Q403="",Q$4,IF(R403="",R$4,IF(S403="",S$4,IF(T403="",T$4,IF(U403="",U$4,"All done")))))))))</f>
        <v/>
      </c>
      <c r="M403" s="33">
        <f>IF(OR($L403="",$L403="All done"),"",($F403-(40-VALUE(LEFT($L403,2)))*7))</f>
        <v/>
      </c>
      <c r="N403" s="31" t="n"/>
      <c r="O403" s="31" t="n"/>
      <c r="P403" s="31" t="n"/>
      <c r="Q403" s="31" t="n"/>
      <c r="R403" s="31" t="n"/>
      <c r="S403" s="31" t="n"/>
      <c r="T403" s="31" t="n"/>
      <c r="U403" s="31" t="n"/>
      <c r="V403" s="31" t="n"/>
      <c r="W403" s="31" t="n"/>
      <c r="X403" s="31" t="n"/>
      <c r="Y403" s="31" t="n"/>
      <c r="Z403" s="31" t="n"/>
      <c r="AA403" s="34" t="n"/>
      <c r="AB403" s="29" t="n"/>
      <c r="AC403" s="31" t="n"/>
    </row>
    <row r="404">
      <c r="A404" s="29" t="n"/>
      <c r="B404" s="30" t="n"/>
      <c r="C404" s="31" t="n"/>
      <c r="D404" s="29" t="n"/>
      <c r="E404" s="29" t="n"/>
      <c r="F404" s="31" t="n"/>
      <c r="G404" s="31" t="n"/>
      <c r="H404" s="29" t="n"/>
      <c r="I404" s="32">
        <f>IF(OR(NOT(AND($A404&lt;&gt;"",OR($H404="",$H404="Active"))),$F404=""),"",INT((TODAY()-$F404+280)/7)&amp;"+"&amp;MOD(TODAY()-$F404+280,7))</f>
        <v/>
      </c>
      <c r="J404" s="32">
        <f>IF(NOT(AND($A404&lt;&gt;"",OR($H404="",$H404="Active"))),"",IF($F404="",0,SUMPRODUCT(($N404:$U404="")*(($F404-(40-VALUE(LEFT($N$4:$U$4,2)))*7)&lt;TODAY())))+COUNTIF($N404:$U404,"DNA")+COUNTIF($V404:$Z404,"&lt;"&amp;TODAY()))</f>
        <v/>
      </c>
      <c r="K404" s="32">
        <f>IF(NOT(AND($A404&lt;&gt;"",OR($H404="",$H404="Active"))),"",IF($F404="",0,SUMPRODUCT(($N404:$U404="")*(($F404-(40-VALUE(LEFT($N$4:$U$4,2)))*7)&gt;=TODAY())*(($F404-(40-VALUE(LEFT($N$4:$U$4,2)))*7)&lt;=TODAY()+7)))+COUNTIFS($V404:$Z404,"&gt;="&amp;TODAY(),$V404:$Z404,"&lt;="&amp;TODAY()+7))</f>
        <v/>
      </c>
      <c r="L404" s="32">
        <f>IF(OR(NOT(AND($A404&lt;&gt;"",OR($H404="",$H404="Active"))),$F404=""),"",IF(N404="",N$4,IF(O404="",O$4,IF(P404="",P$4,IF(Q404="",Q$4,IF(R404="",R$4,IF(S404="",S$4,IF(T404="",T$4,IF(U404="",U$4,"All done")))))))))</f>
        <v/>
      </c>
      <c r="M404" s="33">
        <f>IF(OR($L404="",$L404="All done"),"",($F404-(40-VALUE(LEFT($L404,2)))*7))</f>
        <v/>
      </c>
      <c r="N404" s="31" t="n"/>
      <c r="O404" s="31" t="n"/>
      <c r="P404" s="31" t="n"/>
      <c r="Q404" s="31" t="n"/>
      <c r="R404" s="31" t="n"/>
      <c r="S404" s="31" t="n"/>
      <c r="T404" s="31" t="n"/>
      <c r="U404" s="31" t="n"/>
      <c r="V404" s="31" t="n"/>
      <c r="W404" s="31" t="n"/>
      <c r="X404" s="31" t="n"/>
      <c r="Y404" s="31" t="n"/>
      <c r="Z404" s="31" t="n"/>
      <c r="AA404" s="34" t="n"/>
      <c r="AB404" s="29" t="n"/>
      <c r="AC404" s="31" t="n"/>
    </row>
  </sheetData>
  <conditionalFormatting sqref="N5:U404">
    <cfRule type="expression" priority="1" dxfId="0" stopIfTrue="1">
      <formula>N5="N/A"</formula>
    </cfRule>
    <cfRule type="expression" priority="2" dxfId="1" stopIfTrue="1">
      <formula>AND(AND($A5&lt;&gt;"",OR($H5="",$H5="Active")),N5="DNA")</formula>
    </cfRule>
    <cfRule type="expression" priority="3" dxfId="2" stopIfTrue="1">
      <formula>AND(AND($A5&lt;&gt;"",OR($H5="",$H5="Active")),N5="",ISNUMBER($F5),($F5-(40-VALUE(LEFT(N$4,2)))*7)&lt;TODAY())</formula>
    </cfRule>
    <cfRule type="expression" priority="4" dxfId="3" stopIfTrue="1">
      <formula>AND(AND($A5&lt;&gt;"",OR($H5="",$H5="Active")),N5="",ISNUMBER($F5),($F5-(40-VALUE(LEFT(N$4,2)))*7)&gt;=TODAY(),($F5-(40-VALUE(LEFT(N$4,2)))*7)&lt;=TODAY()+7)</formula>
    </cfRule>
    <cfRule type="expression" priority="5" dxfId="4" stopIfTrue="1">
      <formula>N5&lt;&gt;""</formula>
    </cfRule>
  </conditionalFormatting>
  <conditionalFormatting sqref="V5:Z404">
    <cfRule type="expression" priority="6" dxfId="0" stopIfTrue="1">
      <formula>V5="N/A"</formula>
    </cfRule>
    <cfRule type="expression" priority="7" dxfId="2" stopIfTrue="1">
      <formula>AND(AND($A5&lt;&gt;"",OR($H5="",$H5="Active")),ISNUMBER(V5),V5&lt;TODAY())</formula>
    </cfRule>
    <cfRule type="expression" priority="8" dxfId="3" stopIfTrue="1">
      <formula>AND(AND($A5&lt;&gt;"",OR($H5="",$H5="Active")),ISNUMBER(V5),V5&gt;=TODAY(),V5&lt;=TODAY()+7)</formula>
    </cfRule>
    <cfRule type="expression" priority="9" dxfId="4" stopIfTrue="1">
      <formula>AND(ISTEXT(V5),V5&lt;&gt;"")</formula>
    </cfRule>
  </conditionalFormatting>
  <conditionalFormatting sqref="J5:J404">
    <cfRule type="expression" priority="10" dxfId="1" stopIfTrue="1">
      <formula>AND(ISNUMBER(J5),J5&gt;0)</formula>
    </cfRule>
  </conditionalFormatting>
  <conditionalFormatting sqref="K5:K404">
    <cfRule type="expression" priority="11" dxfId="5" stopIfTrue="1">
      <formula>AND(ISNUMBER(K5),K5&gt;0)</formula>
    </cfRule>
  </conditionalFormatting>
  <conditionalFormatting sqref="M5:M404">
    <cfRule type="expression" priority="12" dxfId="1" stopIfTrue="1">
      <formula>AND(ISNUMBER(M5),M5&lt;TODAY())</formula>
    </cfRule>
    <cfRule type="expression" priority="13" dxfId="5" stopIfTrue="1">
      <formula>AND(ISNUMBER(M5),M5&lt;=TODAY()+7)</formula>
    </cfRule>
  </conditionalFormatting>
  <conditionalFormatting sqref="F5:F404">
    <cfRule type="expression" priority="14" dxfId="5" stopIfTrue="1">
      <formula>AND(AND($A5&lt;&gt;"",OR($H5="",$H5="Active")),ISNUMBER(F5),F5&lt;TODAY())</formula>
    </cfRule>
  </conditionalFormatting>
  <conditionalFormatting sqref="B5:B404">
    <cfRule type="expression" priority="15" dxfId="6" stopIfTrue="1">
      <formula>AND(B5&lt;&gt;"",NOT(IFERROR(AND(LEN(SUBSTITUTE(B5," ",""))=10,ISNUMBER(VALUE(SUBSTITUTE(B5," ",""))),MOD(11-MOD(MID(SUBSTITUTE(B5," ",""),1,1)*10+MID(SUBSTITUTE(B5," ",""),2,1)*9+MID(SUBSTITUTE(B5," ",""),3,1)*8+MID(SUBSTITUTE(B5," ",""),4,1)*7+MID(SUBSTITUTE(B5," ",""),5,1)*6+MID(SUBSTITUTE(B5," ",""),6,1)*5+MID(SUBSTITUTE(B5," ",""),7,1)*4+MID(SUBSTITUTE(B5," ",""),8,1)*3+MID(SUBSTITUTE(B5," ",""),9,1)*2,11),11)=VALUE(RIGHT(SUBSTITUTE(B5," ",""),1))),FALSE)))</formula>
    </cfRule>
    <cfRule type="expression" priority="16" dxfId="7" stopIfTrue="1">
      <formula>AND(B5&lt;&gt;"",COUNTIF($B$5:$B$404,B5)&gt;1)</formula>
    </cfRule>
  </conditionalFormatting>
  <conditionalFormatting sqref="A5:A404">
    <cfRule type="expression" priority="17" dxfId="8" stopIfTrue="1">
      <formula>AND(ISNUMBER($B$2),ISNUMBER($AC5),$AC5&gt;=$B$2)</formula>
    </cfRule>
  </conditionalFormatting>
  <conditionalFormatting sqref="AB5:AC404">
    <cfRule type="expression" priority="18" dxfId="8" stopIfTrue="1">
      <formula>AND(ISNUMBER($B$2),ISNUMBER($AC5),$AC5&gt;=$B$2)</formula>
    </cfRule>
  </conditionalFormatting>
  <conditionalFormatting sqref="A5:AC404">
    <cfRule type="expression" priority="19" dxfId="9" stopIfTrue="1">
      <formula>AND($A5&lt;&gt;"",$H5&lt;&gt;"",$H5&lt;&gt;"Active")</formula>
    </cfRule>
  </conditionalFormatting>
  <dataValidations count="10">
    <dataValidation sqref="E5:E404" showDropDown="0" showInputMessage="0" showErrorMessage="0" allowBlank="1" type="list">
      <formula1>"MLC,CLC"</formula1>
    </dataValidation>
    <dataValidation sqref="H5:H404" showDropDown="0" showInputMessage="1" showErrorMessage="0" allowBlank="1" promptTitle="Status" prompt="Blank counts as Active. Anything else stops the flags for this patient." type="list">
      <formula1>StatusList</formula1>
    </dataValidation>
    <dataValidation sqref="AB5:AB404" showDropDown="0" showInputMessage="1" showErrorMessage="0" allowBlank="1" promptTitle="Who updated this row?" prompt="Pick your name (names live on the Staff tab)." type="list">
      <formula1>StaffList</formula1>
    </dataValidation>
    <dataValidation sqref="C5:C404" showDropDown="0" showInputMessage="0" showErrorMessage="1" allowBlank="1" errorTitle="Not a date" error="Enter a date like 14/03/2026." type="date" errorStyle="warning" operator="between">
      <formula1>DATE(1900,1,1)</formula1>
      <formula2>DATE(2100,12,31)</formula2>
    </dataValidation>
    <dataValidation sqref="F5:F404" showDropDown="0" showInputMessage="0" showErrorMessage="1" allowBlank="1" errorTitle="Not a date" error="Enter a date like 14/03/2026." type="date" errorStyle="warning" operator="between">
      <formula1>DATE(1900,1,1)</formula1>
      <formula2>DATE(2100,12,31)</formula2>
    </dataValidation>
    <dataValidation sqref="G5:G404" showDropDown="0" showInputMessage="0" showErrorMessage="1" allowBlank="1" errorTitle="Not a date" error="Enter a date like 14/03/2026." type="date" errorStyle="warning" operator="between">
      <formula1>DATE(1900,1,1)</formula1>
      <formula2>DATE(2100,12,31)</formula2>
    </dataValidation>
    <dataValidation sqref="AC5:AC404" showDropDown="0" showInputMessage="1" showErrorMessage="1" allowBlank="1" errorTitle="Not a date" error="Enter a date like 14/03/2026." promptTitle="Date you changed this row" prompt="Ctrl + ; enters today's date." type="date" errorStyle="warning" operator="between">
      <formula1>DATE(1900,1,1)</formula1>
      <formula2>DATE(2100,12,31)</formula2>
    </dataValidation>
    <dataValidation sqref="N5:U404" showDropDown="0" showInputMessage="1" showErrorMessage="1" allowBlank="1" errorTitle="Appointment" error="Expected a date seen, DNA or N/A." promptTitle="Appointment" prompt="Date seen, DNA or N/A. Leave blank until it happens: blank turns amber a week before it's due and red once overdue." type="custom" errorStyle="warning">
      <formula1>OR(N5="",ISNUMBER(N5),N5="DNA",N5="N/A")</formula1>
    </dataValidation>
    <dataValidation sqref="V5:Z404" showDropDown="0" showInputMessage="1" showErrorMessage="0" allowBlank="1" promptTitle="Action" prompt="Enter the date booked/due. Once complete, type Done (or e.g. 'Done 12/3 SW'). N/A if not needed." type="custom">
      <formula1>TRUE</formula1>
    </dataValidation>
    <dataValidation sqref="B2" showDropDown="0" showInputMessage="0" showErrorMessage="0" allowBlank="1" type="date" operator="greaterThan">
      <formula1>DATE(2000,1,1)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4" customWidth="1" min="4" max="4"/>
    <col width="70" customWidth="1" min="5" max="5"/>
  </cols>
  <sheetData>
    <row r="1">
      <c r="A1" s="35" t="inlineStr">
        <is>
          <t>Update log: one line per action taken, newest at the bottom</t>
        </is>
      </c>
    </row>
    <row r="3">
      <c r="A3" s="36" t="inlineStr">
        <is>
          <t>Date</t>
        </is>
      </c>
      <c r="B3" s="36" t="inlineStr">
        <is>
          <t>Staff</t>
        </is>
      </c>
      <c r="C3" s="36" t="inlineStr">
        <is>
          <t>Patient name</t>
        </is>
      </c>
      <c r="D3" s="36" t="inlineStr">
        <is>
          <t>NHS number</t>
        </is>
      </c>
      <c r="E3" s="36" t="inlineStr">
        <is>
          <t>What was done / changed</t>
        </is>
      </c>
    </row>
    <row r="4">
      <c r="A4" s="37" t="n"/>
      <c r="B4" s="29" t="n"/>
      <c r="C4" s="29" t="n"/>
      <c r="D4" s="30" t="n"/>
      <c r="E4" s="38" t="n"/>
    </row>
    <row r="5">
      <c r="A5" s="37" t="n"/>
      <c r="B5" s="29" t="n"/>
      <c r="C5" s="29" t="n"/>
      <c r="D5" s="30" t="n"/>
      <c r="E5" s="38" t="n"/>
    </row>
    <row r="6">
      <c r="A6" s="37" t="n"/>
      <c r="B6" s="29" t="n"/>
      <c r="C6" s="29" t="n"/>
      <c r="D6" s="30" t="n"/>
      <c r="E6" s="38" t="n"/>
    </row>
    <row r="7">
      <c r="A7" s="37" t="n"/>
      <c r="B7" s="29" t="n"/>
      <c r="C7" s="29" t="n"/>
      <c r="D7" s="30" t="n"/>
      <c r="E7" s="38" t="n"/>
    </row>
    <row r="8">
      <c r="A8" s="37" t="n"/>
      <c r="B8" s="29" t="n"/>
      <c r="C8" s="29" t="n"/>
      <c r="D8" s="30" t="n"/>
      <c r="E8" s="38" t="n"/>
    </row>
    <row r="9">
      <c r="A9" s="37" t="n"/>
      <c r="B9" s="29" t="n"/>
      <c r="C9" s="29" t="n"/>
      <c r="D9" s="30" t="n"/>
      <c r="E9" s="38" t="n"/>
    </row>
    <row r="10">
      <c r="A10" s="37" t="n"/>
      <c r="B10" s="29" t="n"/>
      <c r="C10" s="29" t="n"/>
      <c r="D10" s="30" t="n"/>
      <c r="E10" s="38" t="n"/>
    </row>
    <row r="11">
      <c r="A11" s="37" t="n"/>
      <c r="B11" s="29" t="n"/>
      <c r="C11" s="29" t="n"/>
      <c r="D11" s="30" t="n"/>
      <c r="E11" s="38" t="n"/>
    </row>
    <row r="12">
      <c r="A12" s="37" t="n"/>
      <c r="B12" s="29" t="n"/>
      <c r="C12" s="29" t="n"/>
      <c r="D12" s="30" t="n"/>
      <c r="E12" s="38" t="n"/>
    </row>
    <row r="13">
      <c r="A13" s="37" t="n"/>
      <c r="B13" s="29" t="n"/>
      <c r="C13" s="29" t="n"/>
      <c r="D13" s="30" t="n"/>
      <c r="E13" s="38" t="n"/>
    </row>
    <row r="14">
      <c r="A14" s="37" t="n"/>
      <c r="B14" s="29" t="n"/>
      <c r="C14" s="29" t="n"/>
      <c r="D14" s="30" t="n"/>
      <c r="E14" s="38" t="n"/>
    </row>
    <row r="15">
      <c r="A15" s="37" t="n"/>
      <c r="B15" s="29" t="n"/>
      <c r="C15" s="29" t="n"/>
      <c r="D15" s="30" t="n"/>
      <c r="E15" s="38" t="n"/>
    </row>
    <row r="16">
      <c r="A16" s="37" t="n"/>
      <c r="B16" s="29" t="n"/>
      <c r="C16" s="29" t="n"/>
      <c r="D16" s="30" t="n"/>
      <c r="E16" s="38" t="n"/>
    </row>
    <row r="17">
      <c r="A17" s="37" t="n"/>
      <c r="B17" s="29" t="n"/>
      <c r="C17" s="29" t="n"/>
      <c r="D17" s="30" t="n"/>
      <c r="E17" s="38" t="n"/>
    </row>
    <row r="18">
      <c r="A18" s="37" t="n"/>
      <c r="B18" s="29" t="n"/>
      <c r="C18" s="29" t="n"/>
      <c r="D18" s="30" t="n"/>
      <c r="E18" s="38" t="n"/>
    </row>
    <row r="19">
      <c r="A19" s="37" t="n"/>
      <c r="B19" s="29" t="n"/>
      <c r="C19" s="29" t="n"/>
      <c r="D19" s="30" t="n"/>
      <c r="E19" s="38" t="n"/>
    </row>
    <row r="20">
      <c r="A20" s="37" t="n"/>
      <c r="B20" s="29" t="n"/>
      <c r="C20" s="29" t="n"/>
      <c r="D20" s="30" t="n"/>
      <c r="E20" s="38" t="n"/>
    </row>
    <row r="21">
      <c r="A21" s="37" t="n"/>
      <c r="B21" s="29" t="n"/>
      <c r="C21" s="29" t="n"/>
      <c r="D21" s="30" t="n"/>
      <c r="E21" s="38" t="n"/>
    </row>
    <row r="22">
      <c r="A22" s="37" t="n"/>
      <c r="B22" s="29" t="n"/>
      <c r="C22" s="29" t="n"/>
      <c r="D22" s="30" t="n"/>
      <c r="E22" s="38" t="n"/>
    </row>
    <row r="23">
      <c r="A23" s="37" t="n"/>
      <c r="B23" s="29" t="n"/>
      <c r="C23" s="29" t="n"/>
      <c r="D23" s="30" t="n"/>
      <c r="E23" s="38" t="n"/>
    </row>
    <row r="24">
      <c r="A24" s="37" t="n"/>
      <c r="B24" s="29" t="n"/>
      <c r="C24" s="29" t="n"/>
      <c r="D24" s="30" t="n"/>
      <c r="E24" s="38" t="n"/>
    </row>
    <row r="25">
      <c r="A25" s="37" t="n"/>
      <c r="B25" s="29" t="n"/>
      <c r="C25" s="29" t="n"/>
      <c r="D25" s="30" t="n"/>
      <c r="E25" s="38" t="n"/>
    </row>
    <row r="26">
      <c r="A26" s="37" t="n"/>
      <c r="B26" s="29" t="n"/>
      <c r="C26" s="29" t="n"/>
      <c r="D26" s="30" t="n"/>
      <c r="E26" s="38" t="n"/>
    </row>
    <row r="27">
      <c r="A27" s="37" t="n"/>
      <c r="B27" s="29" t="n"/>
      <c r="C27" s="29" t="n"/>
      <c r="D27" s="30" t="n"/>
      <c r="E27" s="38" t="n"/>
    </row>
    <row r="28">
      <c r="A28" s="37" t="n"/>
      <c r="B28" s="29" t="n"/>
      <c r="C28" s="29" t="n"/>
      <c r="D28" s="30" t="n"/>
      <c r="E28" s="38" t="n"/>
    </row>
    <row r="29">
      <c r="A29" s="37" t="n"/>
      <c r="B29" s="29" t="n"/>
      <c r="C29" s="29" t="n"/>
      <c r="D29" s="30" t="n"/>
      <c r="E29" s="38" t="n"/>
    </row>
    <row r="30">
      <c r="A30" s="37" t="n"/>
      <c r="B30" s="29" t="n"/>
      <c r="C30" s="29" t="n"/>
      <c r="D30" s="30" t="n"/>
      <c r="E30" s="38" t="n"/>
    </row>
    <row r="31">
      <c r="A31" s="37" t="n"/>
      <c r="B31" s="29" t="n"/>
      <c r="C31" s="29" t="n"/>
      <c r="D31" s="30" t="n"/>
      <c r="E31" s="38" t="n"/>
    </row>
    <row r="32">
      <c r="A32" s="37" t="n"/>
      <c r="B32" s="29" t="n"/>
      <c r="C32" s="29" t="n"/>
      <c r="D32" s="30" t="n"/>
      <c r="E32" s="38" t="n"/>
    </row>
    <row r="33">
      <c r="A33" s="37" t="n"/>
      <c r="B33" s="29" t="n"/>
      <c r="C33" s="29" t="n"/>
      <c r="D33" s="30" t="n"/>
      <c r="E33" s="38" t="n"/>
    </row>
    <row r="34">
      <c r="A34" s="37" t="n"/>
      <c r="B34" s="29" t="n"/>
      <c r="C34" s="29" t="n"/>
      <c r="D34" s="30" t="n"/>
      <c r="E34" s="38" t="n"/>
    </row>
    <row r="35">
      <c r="A35" s="37" t="n"/>
      <c r="B35" s="29" t="n"/>
      <c r="C35" s="29" t="n"/>
      <c r="D35" s="30" t="n"/>
      <c r="E35" s="38" t="n"/>
    </row>
    <row r="36">
      <c r="A36" s="37" t="n"/>
      <c r="B36" s="29" t="n"/>
      <c r="C36" s="29" t="n"/>
      <c r="D36" s="30" t="n"/>
      <c r="E36" s="38" t="n"/>
    </row>
    <row r="37">
      <c r="A37" s="37" t="n"/>
      <c r="B37" s="29" t="n"/>
      <c r="C37" s="29" t="n"/>
      <c r="D37" s="30" t="n"/>
      <c r="E37" s="38" t="n"/>
    </row>
    <row r="38">
      <c r="A38" s="37" t="n"/>
      <c r="B38" s="29" t="n"/>
      <c r="C38" s="29" t="n"/>
      <c r="D38" s="30" t="n"/>
      <c r="E38" s="38" t="n"/>
    </row>
    <row r="39">
      <c r="A39" s="37" t="n"/>
      <c r="B39" s="29" t="n"/>
      <c r="C39" s="29" t="n"/>
      <c r="D39" s="30" t="n"/>
      <c r="E39" s="38" t="n"/>
    </row>
    <row r="40">
      <c r="A40" s="37" t="n"/>
      <c r="B40" s="29" t="n"/>
      <c r="C40" s="29" t="n"/>
      <c r="D40" s="30" t="n"/>
      <c r="E40" s="38" t="n"/>
    </row>
    <row r="41">
      <c r="A41" s="37" t="n"/>
      <c r="B41" s="29" t="n"/>
      <c r="C41" s="29" t="n"/>
      <c r="D41" s="30" t="n"/>
      <c r="E41" s="38" t="n"/>
    </row>
    <row r="42">
      <c r="A42" s="37" t="n"/>
      <c r="B42" s="29" t="n"/>
      <c r="C42" s="29" t="n"/>
      <c r="D42" s="30" t="n"/>
      <c r="E42" s="38" t="n"/>
    </row>
    <row r="43">
      <c r="A43" s="37" t="n"/>
      <c r="B43" s="29" t="n"/>
      <c r="C43" s="29" t="n"/>
      <c r="D43" s="30" t="n"/>
      <c r="E43" s="38" t="n"/>
    </row>
    <row r="44">
      <c r="A44" s="37" t="n"/>
      <c r="B44" s="29" t="n"/>
      <c r="C44" s="29" t="n"/>
      <c r="D44" s="30" t="n"/>
      <c r="E44" s="38" t="n"/>
    </row>
    <row r="45">
      <c r="A45" s="37" t="n"/>
      <c r="B45" s="29" t="n"/>
      <c r="C45" s="29" t="n"/>
      <c r="D45" s="30" t="n"/>
      <c r="E45" s="38" t="n"/>
    </row>
    <row r="46">
      <c r="A46" s="37" t="n"/>
      <c r="B46" s="29" t="n"/>
      <c r="C46" s="29" t="n"/>
      <c r="D46" s="30" t="n"/>
      <c r="E46" s="38" t="n"/>
    </row>
    <row r="47">
      <c r="A47" s="37" t="n"/>
      <c r="B47" s="29" t="n"/>
      <c r="C47" s="29" t="n"/>
      <c r="D47" s="30" t="n"/>
      <c r="E47" s="38" t="n"/>
    </row>
    <row r="48">
      <c r="A48" s="37" t="n"/>
      <c r="B48" s="29" t="n"/>
      <c r="C48" s="29" t="n"/>
      <c r="D48" s="30" t="n"/>
      <c r="E48" s="38" t="n"/>
    </row>
    <row r="49">
      <c r="A49" s="37" t="n"/>
      <c r="B49" s="29" t="n"/>
      <c r="C49" s="29" t="n"/>
      <c r="D49" s="30" t="n"/>
      <c r="E49" s="38" t="n"/>
    </row>
    <row r="50">
      <c r="A50" s="37" t="n"/>
      <c r="B50" s="29" t="n"/>
      <c r="C50" s="29" t="n"/>
      <c r="D50" s="30" t="n"/>
      <c r="E50" s="38" t="n"/>
    </row>
    <row r="51">
      <c r="A51" s="37" t="n"/>
      <c r="B51" s="29" t="n"/>
      <c r="C51" s="29" t="n"/>
      <c r="D51" s="30" t="n"/>
      <c r="E51" s="38" t="n"/>
    </row>
    <row r="52">
      <c r="A52" s="37" t="n"/>
      <c r="B52" s="29" t="n"/>
      <c r="C52" s="29" t="n"/>
      <c r="D52" s="30" t="n"/>
      <c r="E52" s="38" t="n"/>
    </row>
    <row r="53">
      <c r="A53" s="37" t="n"/>
      <c r="B53" s="29" t="n"/>
      <c r="C53" s="29" t="n"/>
      <c r="D53" s="30" t="n"/>
      <c r="E53" s="38" t="n"/>
    </row>
    <row r="54">
      <c r="A54" s="37" t="n"/>
      <c r="B54" s="29" t="n"/>
      <c r="C54" s="29" t="n"/>
      <c r="D54" s="30" t="n"/>
      <c r="E54" s="38" t="n"/>
    </row>
    <row r="55">
      <c r="A55" s="37" t="n"/>
      <c r="B55" s="29" t="n"/>
      <c r="C55" s="29" t="n"/>
      <c r="D55" s="30" t="n"/>
      <c r="E55" s="38" t="n"/>
    </row>
    <row r="56">
      <c r="A56" s="37" t="n"/>
      <c r="B56" s="29" t="n"/>
      <c r="C56" s="29" t="n"/>
      <c r="D56" s="30" t="n"/>
      <c r="E56" s="38" t="n"/>
    </row>
    <row r="57">
      <c r="A57" s="37" t="n"/>
      <c r="B57" s="29" t="n"/>
      <c r="C57" s="29" t="n"/>
      <c r="D57" s="30" t="n"/>
      <c r="E57" s="38" t="n"/>
    </row>
    <row r="58">
      <c r="A58" s="37" t="n"/>
      <c r="B58" s="29" t="n"/>
      <c r="C58" s="29" t="n"/>
      <c r="D58" s="30" t="n"/>
      <c r="E58" s="38" t="n"/>
    </row>
    <row r="59">
      <c r="A59" s="37" t="n"/>
      <c r="B59" s="29" t="n"/>
      <c r="C59" s="29" t="n"/>
      <c r="D59" s="30" t="n"/>
      <c r="E59" s="38" t="n"/>
    </row>
    <row r="60">
      <c r="A60" s="37" t="n"/>
      <c r="B60" s="29" t="n"/>
      <c r="C60" s="29" t="n"/>
      <c r="D60" s="30" t="n"/>
      <c r="E60" s="38" t="n"/>
    </row>
    <row r="61">
      <c r="A61" s="37" t="n"/>
      <c r="B61" s="29" t="n"/>
      <c r="C61" s="29" t="n"/>
      <c r="D61" s="30" t="n"/>
      <c r="E61" s="38" t="n"/>
    </row>
    <row r="62">
      <c r="A62" s="37" t="n"/>
      <c r="B62" s="29" t="n"/>
      <c r="C62" s="29" t="n"/>
      <c r="D62" s="30" t="n"/>
      <c r="E62" s="38" t="n"/>
    </row>
    <row r="63">
      <c r="A63" s="37" t="n"/>
      <c r="B63" s="29" t="n"/>
      <c r="C63" s="29" t="n"/>
      <c r="D63" s="30" t="n"/>
      <c r="E63" s="38" t="n"/>
    </row>
    <row r="64">
      <c r="A64" s="37" t="n"/>
      <c r="B64" s="29" t="n"/>
      <c r="C64" s="29" t="n"/>
      <c r="D64" s="30" t="n"/>
      <c r="E64" s="38" t="n"/>
    </row>
    <row r="65">
      <c r="A65" s="37" t="n"/>
      <c r="B65" s="29" t="n"/>
      <c r="C65" s="29" t="n"/>
      <c r="D65" s="30" t="n"/>
      <c r="E65" s="38" t="n"/>
    </row>
    <row r="66">
      <c r="A66" s="37" t="n"/>
      <c r="B66" s="29" t="n"/>
      <c r="C66" s="29" t="n"/>
      <c r="D66" s="30" t="n"/>
      <c r="E66" s="38" t="n"/>
    </row>
    <row r="67">
      <c r="A67" s="37" t="n"/>
      <c r="B67" s="29" t="n"/>
      <c r="C67" s="29" t="n"/>
      <c r="D67" s="30" t="n"/>
      <c r="E67" s="38" t="n"/>
    </row>
    <row r="68">
      <c r="A68" s="37" t="n"/>
      <c r="B68" s="29" t="n"/>
      <c r="C68" s="29" t="n"/>
      <c r="D68" s="30" t="n"/>
      <c r="E68" s="38" t="n"/>
    </row>
    <row r="69">
      <c r="A69" s="37" t="n"/>
      <c r="B69" s="29" t="n"/>
      <c r="C69" s="29" t="n"/>
      <c r="D69" s="30" t="n"/>
      <c r="E69" s="38" t="n"/>
    </row>
    <row r="70">
      <c r="A70" s="37" t="n"/>
      <c r="B70" s="29" t="n"/>
      <c r="C70" s="29" t="n"/>
      <c r="D70" s="30" t="n"/>
      <c r="E70" s="38" t="n"/>
    </row>
    <row r="71">
      <c r="A71" s="37" t="n"/>
      <c r="B71" s="29" t="n"/>
      <c r="C71" s="29" t="n"/>
      <c r="D71" s="30" t="n"/>
      <c r="E71" s="38" t="n"/>
    </row>
    <row r="72">
      <c r="A72" s="37" t="n"/>
      <c r="B72" s="29" t="n"/>
      <c r="C72" s="29" t="n"/>
      <c r="D72" s="30" t="n"/>
      <c r="E72" s="38" t="n"/>
    </row>
    <row r="73">
      <c r="A73" s="37" t="n"/>
      <c r="B73" s="29" t="n"/>
      <c r="C73" s="29" t="n"/>
      <c r="D73" s="30" t="n"/>
      <c r="E73" s="38" t="n"/>
    </row>
    <row r="74">
      <c r="A74" s="37" t="n"/>
      <c r="B74" s="29" t="n"/>
      <c r="C74" s="29" t="n"/>
      <c r="D74" s="30" t="n"/>
      <c r="E74" s="38" t="n"/>
    </row>
    <row r="75">
      <c r="A75" s="37" t="n"/>
      <c r="B75" s="29" t="n"/>
      <c r="C75" s="29" t="n"/>
      <c r="D75" s="30" t="n"/>
      <c r="E75" s="38" t="n"/>
    </row>
    <row r="76">
      <c r="A76" s="37" t="n"/>
      <c r="B76" s="29" t="n"/>
      <c r="C76" s="29" t="n"/>
      <c r="D76" s="30" t="n"/>
      <c r="E76" s="38" t="n"/>
    </row>
    <row r="77">
      <c r="A77" s="37" t="n"/>
      <c r="B77" s="29" t="n"/>
      <c r="C77" s="29" t="n"/>
      <c r="D77" s="30" t="n"/>
      <c r="E77" s="38" t="n"/>
    </row>
    <row r="78">
      <c r="A78" s="37" t="n"/>
      <c r="B78" s="29" t="n"/>
      <c r="C78" s="29" t="n"/>
      <c r="D78" s="30" t="n"/>
      <c r="E78" s="38" t="n"/>
    </row>
    <row r="79">
      <c r="A79" s="37" t="n"/>
      <c r="B79" s="29" t="n"/>
      <c r="C79" s="29" t="n"/>
      <c r="D79" s="30" t="n"/>
      <c r="E79" s="38" t="n"/>
    </row>
    <row r="80">
      <c r="A80" s="37" t="n"/>
      <c r="B80" s="29" t="n"/>
      <c r="C80" s="29" t="n"/>
      <c r="D80" s="30" t="n"/>
      <c r="E80" s="38" t="n"/>
    </row>
    <row r="81">
      <c r="A81" s="37" t="n"/>
      <c r="B81" s="29" t="n"/>
      <c r="C81" s="29" t="n"/>
      <c r="D81" s="30" t="n"/>
      <c r="E81" s="38" t="n"/>
    </row>
    <row r="82">
      <c r="A82" s="37" t="n"/>
      <c r="B82" s="29" t="n"/>
      <c r="C82" s="29" t="n"/>
      <c r="D82" s="30" t="n"/>
      <c r="E82" s="38" t="n"/>
    </row>
    <row r="83">
      <c r="A83" s="37" t="n"/>
      <c r="B83" s="29" t="n"/>
      <c r="C83" s="29" t="n"/>
      <c r="D83" s="30" t="n"/>
      <c r="E83" s="38" t="n"/>
    </row>
    <row r="84">
      <c r="A84" s="37" t="n"/>
      <c r="B84" s="29" t="n"/>
      <c r="C84" s="29" t="n"/>
      <c r="D84" s="30" t="n"/>
      <c r="E84" s="38" t="n"/>
    </row>
    <row r="85">
      <c r="A85" s="37" t="n"/>
      <c r="B85" s="29" t="n"/>
      <c r="C85" s="29" t="n"/>
      <c r="D85" s="30" t="n"/>
      <c r="E85" s="38" t="n"/>
    </row>
    <row r="86">
      <c r="A86" s="37" t="n"/>
      <c r="B86" s="29" t="n"/>
      <c r="C86" s="29" t="n"/>
      <c r="D86" s="30" t="n"/>
      <c r="E86" s="38" t="n"/>
    </row>
    <row r="87">
      <c r="A87" s="37" t="n"/>
      <c r="B87" s="29" t="n"/>
      <c r="C87" s="29" t="n"/>
      <c r="D87" s="30" t="n"/>
      <c r="E87" s="38" t="n"/>
    </row>
    <row r="88">
      <c r="A88" s="37" t="n"/>
      <c r="B88" s="29" t="n"/>
      <c r="C88" s="29" t="n"/>
      <c r="D88" s="30" t="n"/>
      <c r="E88" s="38" t="n"/>
    </row>
    <row r="89">
      <c r="A89" s="37" t="n"/>
      <c r="B89" s="29" t="n"/>
      <c r="C89" s="29" t="n"/>
      <c r="D89" s="30" t="n"/>
      <c r="E89" s="38" t="n"/>
    </row>
    <row r="90">
      <c r="A90" s="37" t="n"/>
      <c r="B90" s="29" t="n"/>
      <c r="C90" s="29" t="n"/>
      <c r="D90" s="30" t="n"/>
      <c r="E90" s="38" t="n"/>
    </row>
    <row r="91">
      <c r="A91" s="37" t="n"/>
      <c r="B91" s="29" t="n"/>
      <c r="C91" s="29" t="n"/>
      <c r="D91" s="30" t="n"/>
      <c r="E91" s="38" t="n"/>
    </row>
    <row r="92">
      <c r="A92" s="37" t="n"/>
      <c r="B92" s="29" t="n"/>
      <c r="C92" s="29" t="n"/>
      <c r="D92" s="30" t="n"/>
      <c r="E92" s="38" t="n"/>
    </row>
    <row r="93">
      <c r="A93" s="37" t="n"/>
      <c r="B93" s="29" t="n"/>
      <c r="C93" s="29" t="n"/>
      <c r="D93" s="30" t="n"/>
      <c r="E93" s="38" t="n"/>
    </row>
    <row r="94">
      <c r="A94" s="37" t="n"/>
      <c r="B94" s="29" t="n"/>
      <c r="C94" s="29" t="n"/>
      <c r="D94" s="30" t="n"/>
      <c r="E94" s="38" t="n"/>
    </row>
    <row r="95">
      <c r="A95" s="37" t="n"/>
      <c r="B95" s="29" t="n"/>
      <c r="C95" s="29" t="n"/>
      <c r="D95" s="30" t="n"/>
      <c r="E95" s="38" t="n"/>
    </row>
    <row r="96">
      <c r="A96" s="37" t="n"/>
      <c r="B96" s="29" t="n"/>
      <c r="C96" s="29" t="n"/>
      <c r="D96" s="30" t="n"/>
      <c r="E96" s="38" t="n"/>
    </row>
    <row r="97">
      <c r="A97" s="37" t="n"/>
      <c r="B97" s="29" t="n"/>
      <c r="C97" s="29" t="n"/>
      <c r="D97" s="30" t="n"/>
      <c r="E97" s="38" t="n"/>
    </row>
    <row r="98">
      <c r="A98" s="37" t="n"/>
      <c r="B98" s="29" t="n"/>
      <c r="C98" s="29" t="n"/>
      <c r="D98" s="30" t="n"/>
      <c r="E98" s="38" t="n"/>
    </row>
    <row r="99">
      <c r="A99" s="37" t="n"/>
      <c r="B99" s="29" t="n"/>
      <c r="C99" s="29" t="n"/>
      <c r="D99" s="30" t="n"/>
      <c r="E99" s="38" t="n"/>
    </row>
    <row r="100">
      <c r="A100" s="37" t="n"/>
      <c r="B100" s="29" t="n"/>
      <c r="C100" s="29" t="n"/>
      <c r="D100" s="30" t="n"/>
      <c r="E100" s="38" t="n"/>
    </row>
    <row r="101">
      <c r="A101" s="37" t="n"/>
      <c r="B101" s="29" t="n"/>
      <c r="C101" s="29" t="n"/>
      <c r="D101" s="30" t="n"/>
      <c r="E101" s="38" t="n"/>
    </row>
    <row r="102">
      <c r="A102" s="37" t="n"/>
      <c r="B102" s="29" t="n"/>
      <c r="C102" s="29" t="n"/>
      <c r="D102" s="30" t="n"/>
      <c r="E102" s="38" t="n"/>
    </row>
    <row r="103">
      <c r="A103" s="37" t="n"/>
      <c r="B103" s="29" t="n"/>
      <c r="C103" s="29" t="n"/>
      <c r="D103" s="30" t="n"/>
      <c r="E103" s="38" t="n"/>
    </row>
    <row r="104">
      <c r="A104" s="37" t="n"/>
      <c r="B104" s="29" t="n"/>
      <c r="C104" s="29" t="n"/>
      <c r="D104" s="30" t="n"/>
      <c r="E104" s="38" t="n"/>
    </row>
    <row r="105">
      <c r="A105" s="37" t="n"/>
      <c r="B105" s="29" t="n"/>
      <c r="C105" s="29" t="n"/>
      <c r="D105" s="30" t="n"/>
      <c r="E105" s="38" t="n"/>
    </row>
    <row r="106">
      <c r="A106" s="37" t="n"/>
      <c r="B106" s="29" t="n"/>
      <c r="C106" s="29" t="n"/>
      <c r="D106" s="30" t="n"/>
      <c r="E106" s="38" t="n"/>
    </row>
    <row r="107">
      <c r="A107" s="37" t="n"/>
      <c r="B107" s="29" t="n"/>
      <c r="C107" s="29" t="n"/>
      <c r="D107" s="30" t="n"/>
      <c r="E107" s="38" t="n"/>
    </row>
    <row r="108">
      <c r="A108" s="37" t="n"/>
      <c r="B108" s="29" t="n"/>
      <c r="C108" s="29" t="n"/>
      <c r="D108" s="30" t="n"/>
      <c r="E108" s="38" t="n"/>
    </row>
    <row r="109">
      <c r="A109" s="37" t="n"/>
      <c r="B109" s="29" t="n"/>
      <c r="C109" s="29" t="n"/>
      <c r="D109" s="30" t="n"/>
      <c r="E109" s="38" t="n"/>
    </row>
    <row r="110">
      <c r="A110" s="37" t="n"/>
      <c r="B110" s="29" t="n"/>
      <c r="C110" s="29" t="n"/>
      <c r="D110" s="30" t="n"/>
      <c r="E110" s="38" t="n"/>
    </row>
    <row r="111">
      <c r="A111" s="37" t="n"/>
      <c r="B111" s="29" t="n"/>
      <c r="C111" s="29" t="n"/>
      <c r="D111" s="30" t="n"/>
      <c r="E111" s="38" t="n"/>
    </row>
    <row r="112">
      <c r="A112" s="37" t="n"/>
      <c r="B112" s="29" t="n"/>
      <c r="C112" s="29" t="n"/>
      <c r="D112" s="30" t="n"/>
      <c r="E112" s="38" t="n"/>
    </row>
    <row r="113">
      <c r="A113" s="37" t="n"/>
      <c r="B113" s="29" t="n"/>
      <c r="C113" s="29" t="n"/>
      <c r="D113" s="30" t="n"/>
      <c r="E113" s="38" t="n"/>
    </row>
    <row r="114">
      <c r="A114" s="37" t="n"/>
      <c r="B114" s="29" t="n"/>
      <c r="C114" s="29" t="n"/>
      <c r="D114" s="30" t="n"/>
      <c r="E114" s="38" t="n"/>
    </row>
    <row r="115">
      <c r="A115" s="37" t="n"/>
      <c r="B115" s="29" t="n"/>
      <c r="C115" s="29" t="n"/>
      <c r="D115" s="30" t="n"/>
      <c r="E115" s="38" t="n"/>
    </row>
    <row r="116">
      <c r="A116" s="37" t="n"/>
      <c r="B116" s="29" t="n"/>
      <c r="C116" s="29" t="n"/>
      <c r="D116" s="30" t="n"/>
      <c r="E116" s="38" t="n"/>
    </row>
    <row r="117">
      <c r="A117" s="37" t="n"/>
      <c r="B117" s="29" t="n"/>
      <c r="C117" s="29" t="n"/>
      <c r="D117" s="30" t="n"/>
      <c r="E117" s="38" t="n"/>
    </row>
    <row r="118">
      <c r="A118" s="37" t="n"/>
      <c r="B118" s="29" t="n"/>
      <c r="C118" s="29" t="n"/>
      <c r="D118" s="30" t="n"/>
      <c r="E118" s="38" t="n"/>
    </row>
    <row r="119">
      <c r="A119" s="37" t="n"/>
      <c r="B119" s="29" t="n"/>
      <c r="C119" s="29" t="n"/>
      <c r="D119" s="30" t="n"/>
      <c r="E119" s="38" t="n"/>
    </row>
    <row r="120">
      <c r="A120" s="37" t="n"/>
      <c r="B120" s="29" t="n"/>
      <c r="C120" s="29" t="n"/>
      <c r="D120" s="30" t="n"/>
      <c r="E120" s="38" t="n"/>
    </row>
    <row r="121">
      <c r="A121" s="37" t="n"/>
      <c r="B121" s="29" t="n"/>
      <c r="C121" s="29" t="n"/>
      <c r="D121" s="30" t="n"/>
      <c r="E121" s="38" t="n"/>
    </row>
    <row r="122">
      <c r="A122" s="37" t="n"/>
      <c r="B122" s="29" t="n"/>
      <c r="C122" s="29" t="n"/>
      <c r="D122" s="30" t="n"/>
      <c r="E122" s="38" t="n"/>
    </row>
    <row r="123">
      <c r="A123" s="37" t="n"/>
      <c r="B123" s="29" t="n"/>
      <c r="C123" s="29" t="n"/>
      <c r="D123" s="30" t="n"/>
      <c r="E123" s="38" t="n"/>
    </row>
    <row r="124">
      <c r="A124" s="37" t="n"/>
      <c r="B124" s="29" t="n"/>
      <c r="C124" s="29" t="n"/>
      <c r="D124" s="30" t="n"/>
      <c r="E124" s="38" t="n"/>
    </row>
    <row r="125">
      <c r="A125" s="37" t="n"/>
      <c r="B125" s="29" t="n"/>
      <c r="C125" s="29" t="n"/>
      <c r="D125" s="30" t="n"/>
      <c r="E125" s="38" t="n"/>
    </row>
    <row r="126">
      <c r="A126" s="37" t="n"/>
      <c r="B126" s="29" t="n"/>
      <c r="C126" s="29" t="n"/>
      <c r="D126" s="30" t="n"/>
      <c r="E126" s="38" t="n"/>
    </row>
    <row r="127">
      <c r="A127" s="37" t="n"/>
      <c r="B127" s="29" t="n"/>
      <c r="C127" s="29" t="n"/>
      <c r="D127" s="30" t="n"/>
      <c r="E127" s="38" t="n"/>
    </row>
    <row r="128">
      <c r="A128" s="37" t="n"/>
      <c r="B128" s="29" t="n"/>
      <c r="C128" s="29" t="n"/>
      <c r="D128" s="30" t="n"/>
      <c r="E128" s="38" t="n"/>
    </row>
    <row r="129">
      <c r="A129" s="37" t="n"/>
      <c r="B129" s="29" t="n"/>
      <c r="C129" s="29" t="n"/>
      <c r="D129" s="30" t="n"/>
      <c r="E129" s="38" t="n"/>
    </row>
    <row r="130">
      <c r="A130" s="37" t="n"/>
      <c r="B130" s="29" t="n"/>
      <c r="C130" s="29" t="n"/>
      <c r="D130" s="30" t="n"/>
      <c r="E130" s="38" t="n"/>
    </row>
    <row r="131">
      <c r="A131" s="37" t="n"/>
      <c r="B131" s="29" t="n"/>
      <c r="C131" s="29" t="n"/>
      <c r="D131" s="30" t="n"/>
      <c r="E131" s="38" t="n"/>
    </row>
    <row r="132">
      <c r="A132" s="37" t="n"/>
      <c r="B132" s="29" t="n"/>
      <c r="C132" s="29" t="n"/>
      <c r="D132" s="30" t="n"/>
      <c r="E132" s="38" t="n"/>
    </row>
    <row r="133">
      <c r="A133" s="37" t="n"/>
      <c r="B133" s="29" t="n"/>
      <c r="C133" s="29" t="n"/>
      <c r="D133" s="30" t="n"/>
      <c r="E133" s="38" t="n"/>
    </row>
    <row r="134">
      <c r="A134" s="37" t="n"/>
      <c r="B134" s="29" t="n"/>
      <c r="C134" s="29" t="n"/>
      <c r="D134" s="30" t="n"/>
      <c r="E134" s="38" t="n"/>
    </row>
    <row r="135">
      <c r="A135" s="37" t="n"/>
      <c r="B135" s="29" t="n"/>
      <c r="C135" s="29" t="n"/>
      <c r="D135" s="30" t="n"/>
      <c r="E135" s="38" t="n"/>
    </row>
    <row r="136">
      <c r="A136" s="37" t="n"/>
      <c r="B136" s="29" t="n"/>
      <c r="C136" s="29" t="n"/>
      <c r="D136" s="30" t="n"/>
      <c r="E136" s="38" t="n"/>
    </row>
    <row r="137">
      <c r="A137" s="37" t="n"/>
      <c r="B137" s="29" t="n"/>
      <c r="C137" s="29" t="n"/>
      <c r="D137" s="30" t="n"/>
      <c r="E137" s="38" t="n"/>
    </row>
    <row r="138">
      <c r="A138" s="37" t="n"/>
      <c r="B138" s="29" t="n"/>
      <c r="C138" s="29" t="n"/>
      <c r="D138" s="30" t="n"/>
      <c r="E138" s="38" t="n"/>
    </row>
    <row r="139">
      <c r="A139" s="37" t="n"/>
      <c r="B139" s="29" t="n"/>
      <c r="C139" s="29" t="n"/>
      <c r="D139" s="30" t="n"/>
      <c r="E139" s="38" t="n"/>
    </row>
    <row r="140">
      <c r="A140" s="37" t="n"/>
      <c r="B140" s="29" t="n"/>
      <c r="C140" s="29" t="n"/>
      <c r="D140" s="30" t="n"/>
      <c r="E140" s="38" t="n"/>
    </row>
    <row r="141">
      <c r="A141" s="37" t="n"/>
      <c r="B141" s="29" t="n"/>
      <c r="C141" s="29" t="n"/>
      <c r="D141" s="30" t="n"/>
      <c r="E141" s="38" t="n"/>
    </row>
    <row r="142">
      <c r="A142" s="37" t="n"/>
      <c r="B142" s="29" t="n"/>
      <c r="C142" s="29" t="n"/>
      <c r="D142" s="30" t="n"/>
      <c r="E142" s="38" t="n"/>
    </row>
    <row r="143">
      <c r="A143" s="37" t="n"/>
      <c r="B143" s="29" t="n"/>
      <c r="C143" s="29" t="n"/>
      <c r="D143" s="30" t="n"/>
      <c r="E143" s="38" t="n"/>
    </row>
    <row r="144">
      <c r="A144" s="37" t="n"/>
      <c r="B144" s="29" t="n"/>
      <c r="C144" s="29" t="n"/>
      <c r="D144" s="30" t="n"/>
      <c r="E144" s="38" t="n"/>
    </row>
    <row r="145">
      <c r="A145" s="37" t="n"/>
      <c r="B145" s="29" t="n"/>
      <c r="C145" s="29" t="n"/>
      <c r="D145" s="30" t="n"/>
      <c r="E145" s="38" t="n"/>
    </row>
    <row r="146">
      <c r="A146" s="37" t="n"/>
      <c r="B146" s="29" t="n"/>
      <c r="C146" s="29" t="n"/>
      <c r="D146" s="30" t="n"/>
      <c r="E146" s="38" t="n"/>
    </row>
    <row r="147">
      <c r="A147" s="37" t="n"/>
      <c r="B147" s="29" t="n"/>
      <c r="C147" s="29" t="n"/>
      <c r="D147" s="30" t="n"/>
      <c r="E147" s="38" t="n"/>
    </row>
    <row r="148">
      <c r="A148" s="37" t="n"/>
      <c r="B148" s="29" t="n"/>
      <c r="C148" s="29" t="n"/>
      <c r="D148" s="30" t="n"/>
      <c r="E148" s="38" t="n"/>
    </row>
    <row r="149">
      <c r="A149" s="37" t="n"/>
      <c r="B149" s="29" t="n"/>
      <c r="C149" s="29" t="n"/>
      <c r="D149" s="30" t="n"/>
      <c r="E149" s="38" t="n"/>
    </row>
    <row r="150">
      <c r="A150" s="37" t="n"/>
      <c r="B150" s="29" t="n"/>
      <c r="C150" s="29" t="n"/>
      <c r="D150" s="30" t="n"/>
      <c r="E150" s="38" t="n"/>
    </row>
    <row r="151">
      <c r="A151" s="37" t="n"/>
      <c r="B151" s="29" t="n"/>
      <c r="C151" s="29" t="n"/>
      <c r="D151" s="30" t="n"/>
      <c r="E151" s="38" t="n"/>
    </row>
    <row r="152">
      <c r="A152" s="37" t="n"/>
      <c r="B152" s="29" t="n"/>
      <c r="C152" s="29" t="n"/>
      <c r="D152" s="30" t="n"/>
      <c r="E152" s="38" t="n"/>
    </row>
    <row r="153">
      <c r="A153" s="37" t="n"/>
      <c r="B153" s="29" t="n"/>
      <c r="C153" s="29" t="n"/>
      <c r="D153" s="30" t="n"/>
      <c r="E153" s="38" t="n"/>
    </row>
    <row r="154">
      <c r="A154" s="37" t="n"/>
      <c r="B154" s="29" t="n"/>
      <c r="C154" s="29" t="n"/>
      <c r="D154" s="30" t="n"/>
      <c r="E154" s="38" t="n"/>
    </row>
    <row r="155">
      <c r="A155" s="37" t="n"/>
      <c r="B155" s="29" t="n"/>
      <c r="C155" s="29" t="n"/>
      <c r="D155" s="30" t="n"/>
      <c r="E155" s="38" t="n"/>
    </row>
    <row r="156">
      <c r="A156" s="37" t="n"/>
      <c r="B156" s="29" t="n"/>
      <c r="C156" s="29" t="n"/>
      <c r="D156" s="30" t="n"/>
      <c r="E156" s="38" t="n"/>
    </row>
    <row r="157">
      <c r="A157" s="37" t="n"/>
      <c r="B157" s="29" t="n"/>
      <c r="C157" s="29" t="n"/>
      <c r="D157" s="30" t="n"/>
      <c r="E157" s="38" t="n"/>
    </row>
    <row r="158">
      <c r="A158" s="37" t="n"/>
      <c r="B158" s="29" t="n"/>
      <c r="C158" s="29" t="n"/>
      <c r="D158" s="30" t="n"/>
      <c r="E158" s="38" t="n"/>
    </row>
    <row r="159">
      <c r="A159" s="37" t="n"/>
      <c r="B159" s="29" t="n"/>
      <c r="C159" s="29" t="n"/>
      <c r="D159" s="30" t="n"/>
      <c r="E159" s="38" t="n"/>
    </row>
    <row r="160">
      <c r="A160" s="37" t="n"/>
      <c r="B160" s="29" t="n"/>
      <c r="C160" s="29" t="n"/>
      <c r="D160" s="30" t="n"/>
      <c r="E160" s="38" t="n"/>
    </row>
    <row r="161">
      <c r="A161" s="37" t="n"/>
      <c r="B161" s="29" t="n"/>
      <c r="C161" s="29" t="n"/>
      <c r="D161" s="30" t="n"/>
      <c r="E161" s="38" t="n"/>
    </row>
    <row r="162">
      <c r="A162" s="37" t="n"/>
      <c r="B162" s="29" t="n"/>
      <c r="C162" s="29" t="n"/>
      <c r="D162" s="30" t="n"/>
      <c r="E162" s="38" t="n"/>
    </row>
    <row r="163">
      <c r="A163" s="37" t="n"/>
      <c r="B163" s="29" t="n"/>
      <c r="C163" s="29" t="n"/>
      <c r="D163" s="30" t="n"/>
      <c r="E163" s="38" t="n"/>
    </row>
    <row r="164">
      <c r="A164" s="37" t="n"/>
      <c r="B164" s="29" t="n"/>
      <c r="C164" s="29" t="n"/>
      <c r="D164" s="30" t="n"/>
      <c r="E164" s="38" t="n"/>
    </row>
    <row r="165">
      <c r="A165" s="37" t="n"/>
      <c r="B165" s="29" t="n"/>
      <c r="C165" s="29" t="n"/>
      <c r="D165" s="30" t="n"/>
      <c r="E165" s="38" t="n"/>
    </row>
    <row r="166">
      <c r="A166" s="37" t="n"/>
      <c r="B166" s="29" t="n"/>
      <c r="C166" s="29" t="n"/>
      <c r="D166" s="30" t="n"/>
      <c r="E166" s="38" t="n"/>
    </row>
    <row r="167">
      <c r="A167" s="37" t="n"/>
      <c r="B167" s="29" t="n"/>
      <c r="C167" s="29" t="n"/>
      <c r="D167" s="30" t="n"/>
      <c r="E167" s="38" t="n"/>
    </row>
    <row r="168">
      <c r="A168" s="37" t="n"/>
      <c r="B168" s="29" t="n"/>
      <c r="C168" s="29" t="n"/>
      <c r="D168" s="30" t="n"/>
      <c r="E168" s="38" t="n"/>
    </row>
    <row r="169">
      <c r="A169" s="37" t="n"/>
      <c r="B169" s="29" t="n"/>
      <c r="C169" s="29" t="n"/>
      <c r="D169" s="30" t="n"/>
      <c r="E169" s="38" t="n"/>
    </row>
    <row r="170">
      <c r="A170" s="37" t="n"/>
      <c r="B170" s="29" t="n"/>
      <c r="C170" s="29" t="n"/>
      <c r="D170" s="30" t="n"/>
      <c r="E170" s="38" t="n"/>
    </row>
    <row r="171">
      <c r="A171" s="37" t="n"/>
      <c r="B171" s="29" t="n"/>
      <c r="C171" s="29" t="n"/>
      <c r="D171" s="30" t="n"/>
      <c r="E171" s="38" t="n"/>
    </row>
    <row r="172">
      <c r="A172" s="37" t="n"/>
      <c r="B172" s="29" t="n"/>
      <c r="C172" s="29" t="n"/>
      <c r="D172" s="30" t="n"/>
      <c r="E172" s="38" t="n"/>
    </row>
    <row r="173">
      <c r="A173" s="37" t="n"/>
      <c r="B173" s="29" t="n"/>
      <c r="C173" s="29" t="n"/>
      <c r="D173" s="30" t="n"/>
      <c r="E173" s="38" t="n"/>
    </row>
    <row r="174">
      <c r="A174" s="37" t="n"/>
      <c r="B174" s="29" t="n"/>
      <c r="C174" s="29" t="n"/>
      <c r="D174" s="30" t="n"/>
      <c r="E174" s="38" t="n"/>
    </row>
    <row r="175">
      <c r="A175" s="37" t="n"/>
      <c r="B175" s="29" t="n"/>
      <c r="C175" s="29" t="n"/>
      <c r="D175" s="30" t="n"/>
      <c r="E175" s="38" t="n"/>
    </row>
    <row r="176">
      <c r="A176" s="37" t="n"/>
      <c r="B176" s="29" t="n"/>
      <c r="C176" s="29" t="n"/>
      <c r="D176" s="30" t="n"/>
      <c r="E176" s="38" t="n"/>
    </row>
    <row r="177">
      <c r="A177" s="37" t="n"/>
      <c r="B177" s="29" t="n"/>
      <c r="C177" s="29" t="n"/>
      <c r="D177" s="30" t="n"/>
      <c r="E177" s="38" t="n"/>
    </row>
    <row r="178">
      <c r="A178" s="37" t="n"/>
      <c r="B178" s="29" t="n"/>
      <c r="C178" s="29" t="n"/>
      <c r="D178" s="30" t="n"/>
      <c r="E178" s="38" t="n"/>
    </row>
    <row r="179">
      <c r="A179" s="37" t="n"/>
      <c r="B179" s="29" t="n"/>
      <c r="C179" s="29" t="n"/>
      <c r="D179" s="30" t="n"/>
      <c r="E179" s="38" t="n"/>
    </row>
    <row r="180">
      <c r="A180" s="37" t="n"/>
      <c r="B180" s="29" t="n"/>
      <c r="C180" s="29" t="n"/>
      <c r="D180" s="30" t="n"/>
      <c r="E180" s="38" t="n"/>
    </row>
    <row r="181">
      <c r="A181" s="37" t="n"/>
      <c r="B181" s="29" t="n"/>
      <c r="C181" s="29" t="n"/>
      <c r="D181" s="30" t="n"/>
      <c r="E181" s="38" t="n"/>
    </row>
    <row r="182">
      <c r="A182" s="37" t="n"/>
      <c r="B182" s="29" t="n"/>
      <c r="C182" s="29" t="n"/>
      <c r="D182" s="30" t="n"/>
      <c r="E182" s="38" t="n"/>
    </row>
    <row r="183">
      <c r="A183" s="37" t="n"/>
      <c r="B183" s="29" t="n"/>
      <c r="C183" s="29" t="n"/>
      <c r="D183" s="30" t="n"/>
      <c r="E183" s="38" t="n"/>
    </row>
    <row r="184">
      <c r="A184" s="37" t="n"/>
      <c r="B184" s="29" t="n"/>
      <c r="C184" s="29" t="n"/>
      <c r="D184" s="30" t="n"/>
      <c r="E184" s="38" t="n"/>
    </row>
    <row r="185">
      <c r="A185" s="37" t="n"/>
      <c r="B185" s="29" t="n"/>
      <c r="C185" s="29" t="n"/>
      <c r="D185" s="30" t="n"/>
      <c r="E185" s="38" t="n"/>
    </row>
    <row r="186">
      <c r="A186" s="37" t="n"/>
      <c r="B186" s="29" t="n"/>
      <c r="C186" s="29" t="n"/>
      <c r="D186" s="30" t="n"/>
      <c r="E186" s="38" t="n"/>
    </row>
    <row r="187">
      <c r="A187" s="37" t="n"/>
      <c r="B187" s="29" t="n"/>
      <c r="C187" s="29" t="n"/>
      <c r="D187" s="30" t="n"/>
      <c r="E187" s="38" t="n"/>
    </row>
    <row r="188">
      <c r="A188" s="37" t="n"/>
      <c r="B188" s="29" t="n"/>
      <c r="C188" s="29" t="n"/>
      <c r="D188" s="30" t="n"/>
      <c r="E188" s="38" t="n"/>
    </row>
    <row r="189">
      <c r="A189" s="37" t="n"/>
      <c r="B189" s="29" t="n"/>
      <c r="C189" s="29" t="n"/>
      <c r="D189" s="30" t="n"/>
      <c r="E189" s="38" t="n"/>
    </row>
    <row r="190">
      <c r="A190" s="37" t="n"/>
      <c r="B190" s="29" t="n"/>
      <c r="C190" s="29" t="n"/>
      <c r="D190" s="30" t="n"/>
      <c r="E190" s="38" t="n"/>
    </row>
    <row r="191">
      <c r="A191" s="37" t="n"/>
      <c r="B191" s="29" t="n"/>
      <c r="C191" s="29" t="n"/>
      <c r="D191" s="30" t="n"/>
      <c r="E191" s="38" t="n"/>
    </row>
    <row r="192">
      <c r="A192" s="37" t="n"/>
      <c r="B192" s="29" t="n"/>
      <c r="C192" s="29" t="n"/>
      <c r="D192" s="30" t="n"/>
      <c r="E192" s="38" t="n"/>
    </row>
    <row r="193">
      <c r="A193" s="37" t="n"/>
      <c r="B193" s="29" t="n"/>
      <c r="C193" s="29" t="n"/>
      <c r="D193" s="30" t="n"/>
      <c r="E193" s="38" t="n"/>
    </row>
    <row r="194">
      <c r="A194" s="37" t="n"/>
      <c r="B194" s="29" t="n"/>
      <c r="C194" s="29" t="n"/>
      <c r="D194" s="30" t="n"/>
      <c r="E194" s="38" t="n"/>
    </row>
    <row r="195">
      <c r="A195" s="37" t="n"/>
      <c r="B195" s="29" t="n"/>
      <c r="C195" s="29" t="n"/>
      <c r="D195" s="30" t="n"/>
      <c r="E195" s="38" t="n"/>
    </row>
    <row r="196">
      <c r="A196" s="37" t="n"/>
      <c r="B196" s="29" t="n"/>
      <c r="C196" s="29" t="n"/>
      <c r="D196" s="30" t="n"/>
      <c r="E196" s="38" t="n"/>
    </row>
    <row r="197">
      <c r="A197" s="37" t="n"/>
      <c r="B197" s="29" t="n"/>
      <c r="C197" s="29" t="n"/>
      <c r="D197" s="30" t="n"/>
      <c r="E197" s="38" t="n"/>
    </row>
    <row r="198">
      <c r="A198" s="37" t="n"/>
      <c r="B198" s="29" t="n"/>
      <c r="C198" s="29" t="n"/>
      <c r="D198" s="30" t="n"/>
      <c r="E198" s="38" t="n"/>
    </row>
    <row r="199">
      <c r="A199" s="37" t="n"/>
      <c r="B199" s="29" t="n"/>
      <c r="C199" s="29" t="n"/>
      <c r="D199" s="30" t="n"/>
      <c r="E199" s="38" t="n"/>
    </row>
    <row r="200">
      <c r="A200" s="37" t="n"/>
      <c r="B200" s="29" t="n"/>
      <c r="C200" s="29" t="n"/>
      <c r="D200" s="30" t="n"/>
      <c r="E200" s="38" t="n"/>
    </row>
    <row r="201">
      <c r="A201" s="37" t="n"/>
      <c r="B201" s="29" t="n"/>
      <c r="C201" s="29" t="n"/>
      <c r="D201" s="30" t="n"/>
      <c r="E201" s="38" t="n"/>
    </row>
    <row r="202">
      <c r="A202" s="37" t="n"/>
      <c r="B202" s="29" t="n"/>
      <c r="C202" s="29" t="n"/>
      <c r="D202" s="30" t="n"/>
      <c r="E202" s="38" t="n"/>
    </row>
    <row r="203">
      <c r="A203" s="37" t="n"/>
      <c r="B203" s="29" t="n"/>
      <c r="C203" s="29" t="n"/>
      <c r="D203" s="30" t="n"/>
      <c r="E203" s="38" t="n"/>
    </row>
    <row r="204">
      <c r="A204" s="37" t="n"/>
      <c r="B204" s="29" t="n"/>
      <c r="C204" s="29" t="n"/>
      <c r="D204" s="30" t="n"/>
      <c r="E204" s="38" t="n"/>
    </row>
    <row r="205">
      <c r="A205" s="37" t="n"/>
      <c r="B205" s="29" t="n"/>
      <c r="C205" s="29" t="n"/>
      <c r="D205" s="30" t="n"/>
      <c r="E205" s="38" t="n"/>
    </row>
    <row r="206">
      <c r="A206" s="37" t="n"/>
      <c r="B206" s="29" t="n"/>
      <c r="C206" s="29" t="n"/>
      <c r="D206" s="30" t="n"/>
      <c r="E206" s="38" t="n"/>
    </row>
    <row r="207">
      <c r="A207" s="37" t="n"/>
      <c r="B207" s="29" t="n"/>
      <c r="C207" s="29" t="n"/>
      <c r="D207" s="30" t="n"/>
      <c r="E207" s="38" t="n"/>
    </row>
    <row r="208">
      <c r="A208" s="37" t="n"/>
      <c r="B208" s="29" t="n"/>
      <c r="C208" s="29" t="n"/>
      <c r="D208" s="30" t="n"/>
      <c r="E208" s="38" t="n"/>
    </row>
    <row r="209">
      <c r="A209" s="37" t="n"/>
      <c r="B209" s="29" t="n"/>
      <c r="C209" s="29" t="n"/>
      <c r="D209" s="30" t="n"/>
      <c r="E209" s="38" t="n"/>
    </row>
    <row r="210">
      <c r="A210" s="37" t="n"/>
      <c r="B210" s="29" t="n"/>
      <c r="C210" s="29" t="n"/>
      <c r="D210" s="30" t="n"/>
      <c r="E210" s="38" t="n"/>
    </row>
    <row r="211">
      <c r="A211" s="37" t="n"/>
      <c r="B211" s="29" t="n"/>
      <c r="C211" s="29" t="n"/>
      <c r="D211" s="30" t="n"/>
      <c r="E211" s="38" t="n"/>
    </row>
    <row r="212">
      <c r="A212" s="37" t="n"/>
      <c r="B212" s="29" t="n"/>
      <c r="C212" s="29" t="n"/>
      <c r="D212" s="30" t="n"/>
      <c r="E212" s="38" t="n"/>
    </row>
    <row r="213">
      <c r="A213" s="37" t="n"/>
      <c r="B213" s="29" t="n"/>
      <c r="C213" s="29" t="n"/>
      <c r="D213" s="30" t="n"/>
      <c r="E213" s="38" t="n"/>
    </row>
    <row r="214">
      <c r="A214" s="37" t="n"/>
      <c r="B214" s="29" t="n"/>
      <c r="C214" s="29" t="n"/>
      <c r="D214" s="30" t="n"/>
      <c r="E214" s="38" t="n"/>
    </row>
    <row r="215">
      <c r="A215" s="37" t="n"/>
      <c r="B215" s="29" t="n"/>
      <c r="C215" s="29" t="n"/>
      <c r="D215" s="30" t="n"/>
      <c r="E215" s="38" t="n"/>
    </row>
    <row r="216">
      <c r="A216" s="37" t="n"/>
      <c r="B216" s="29" t="n"/>
      <c r="C216" s="29" t="n"/>
      <c r="D216" s="30" t="n"/>
      <c r="E216" s="38" t="n"/>
    </row>
    <row r="217">
      <c r="A217" s="37" t="n"/>
      <c r="B217" s="29" t="n"/>
      <c r="C217" s="29" t="n"/>
      <c r="D217" s="30" t="n"/>
      <c r="E217" s="38" t="n"/>
    </row>
    <row r="218">
      <c r="A218" s="37" t="n"/>
      <c r="B218" s="29" t="n"/>
      <c r="C218" s="29" t="n"/>
      <c r="D218" s="30" t="n"/>
      <c r="E218" s="38" t="n"/>
    </row>
    <row r="219">
      <c r="A219" s="37" t="n"/>
      <c r="B219" s="29" t="n"/>
      <c r="C219" s="29" t="n"/>
      <c r="D219" s="30" t="n"/>
      <c r="E219" s="38" t="n"/>
    </row>
    <row r="220">
      <c r="A220" s="37" t="n"/>
      <c r="B220" s="29" t="n"/>
      <c r="C220" s="29" t="n"/>
      <c r="D220" s="30" t="n"/>
      <c r="E220" s="38" t="n"/>
    </row>
    <row r="221">
      <c r="A221" s="37" t="n"/>
      <c r="B221" s="29" t="n"/>
      <c r="C221" s="29" t="n"/>
      <c r="D221" s="30" t="n"/>
      <c r="E221" s="38" t="n"/>
    </row>
    <row r="222">
      <c r="A222" s="37" t="n"/>
      <c r="B222" s="29" t="n"/>
      <c r="C222" s="29" t="n"/>
      <c r="D222" s="30" t="n"/>
      <c r="E222" s="38" t="n"/>
    </row>
    <row r="223">
      <c r="A223" s="37" t="n"/>
      <c r="B223" s="29" t="n"/>
      <c r="C223" s="29" t="n"/>
      <c r="D223" s="30" t="n"/>
      <c r="E223" s="38" t="n"/>
    </row>
    <row r="224">
      <c r="A224" s="37" t="n"/>
      <c r="B224" s="29" t="n"/>
      <c r="C224" s="29" t="n"/>
      <c r="D224" s="30" t="n"/>
      <c r="E224" s="38" t="n"/>
    </row>
    <row r="225">
      <c r="A225" s="37" t="n"/>
      <c r="B225" s="29" t="n"/>
      <c r="C225" s="29" t="n"/>
      <c r="D225" s="30" t="n"/>
      <c r="E225" s="38" t="n"/>
    </row>
    <row r="226">
      <c r="A226" s="37" t="n"/>
      <c r="B226" s="29" t="n"/>
      <c r="C226" s="29" t="n"/>
      <c r="D226" s="30" t="n"/>
      <c r="E226" s="38" t="n"/>
    </row>
    <row r="227">
      <c r="A227" s="37" t="n"/>
      <c r="B227" s="29" t="n"/>
      <c r="C227" s="29" t="n"/>
      <c r="D227" s="30" t="n"/>
      <c r="E227" s="38" t="n"/>
    </row>
    <row r="228">
      <c r="A228" s="37" t="n"/>
      <c r="B228" s="29" t="n"/>
      <c r="C228" s="29" t="n"/>
      <c r="D228" s="30" t="n"/>
      <c r="E228" s="38" t="n"/>
    </row>
    <row r="229">
      <c r="A229" s="37" t="n"/>
      <c r="B229" s="29" t="n"/>
      <c r="C229" s="29" t="n"/>
      <c r="D229" s="30" t="n"/>
      <c r="E229" s="38" t="n"/>
    </row>
    <row r="230">
      <c r="A230" s="37" t="n"/>
      <c r="B230" s="29" t="n"/>
      <c r="C230" s="29" t="n"/>
      <c r="D230" s="30" t="n"/>
      <c r="E230" s="38" t="n"/>
    </row>
    <row r="231">
      <c r="A231" s="37" t="n"/>
      <c r="B231" s="29" t="n"/>
      <c r="C231" s="29" t="n"/>
      <c r="D231" s="30" t="n"/>
      <c r="E231" s="38" t="n"/>
    </row>
    <row r="232">
      <c r="A232" s="37" t="n"/>
      <c r="B232" s="29" t="n"/>
      <c r="C232" s="29" t="n"/>
      <c r="D232" s="30" t="n"/>
      <c r="E232" s="38" t="n"/>
    </row>
    <row r="233">
      <c r="A233" s="37" t="n"/>
      <c r="B233" s="29" t="n"/>
      <c r="C233" s="29" t="n"/>
      <c r="D233" s="30" t="n"/>
      <c r="E233" s="38" t="n"/>
    </row>
    <row r="234">
      <c r="A234" s="37" t="n"/>
      <c r="B234" s="29" t="n"/>
      <c r="C234" s="29" t="n"/>
      <c r="D234" s="30" t="n"/>
      <c r="E234" s="38" t="n"/>
    </row>
    <row r="235">
      <c r="A235" s="37" t="n"/>
      <c r="B235" s="29" t="n"/>
      <c r="C235" s="29" t="n"/>
      <c r="D235" s="30" t="n"/>
      <c r="E235" s="38" t="n"/>
    </row>
    <row r="236">
      <c r="A236" s="37" t="n"/>
      <c r="B236" s="29" t="n"/>
      <c r="C236" s="29" t="n"/>
      <c r="D236" s="30" t="n"/>
      <c r="E236" s="38" t="n"/>
    </row>
    <row r="237">
      <c r="A237" s="37" t="n"/>
      <c r="B237" s="29" t="n"/>
      <c r="C237" s="29" t="n"/>
      <c r="D237" s="30" t="n"/>
      <c r="E237" s="38" t="n"/>
    </row>
    <row r="238">
      <c r="A238" s="37" t="n"/>
      <c r="B238" s="29" t="n"/>
      <c r="C238" s="29" t="n"/>
      <c r="D238" s="30" t="n"/>
      <c r="E238" s="38" t="n"/>
    </row>
    <row r="239">
      <c r="A239" s="37" t="n"/>
      <c r="B239" s="29" t="n"/>
      <c r="C239" s="29" t="n"/>
      <c r="D239" s="30" t="n"/>
      <c r="E239" s="38" t="n"/>
    </row>
    <row r="240">
      <c r="A240" s="37" t="n"/>
      <c r="B240" s="29" t="n"/>
      <c r="C240" s="29" t="n"/>
      <c r="D240" s="30" t="n"/>
      <c r="E240" s="38" t="n"/>
    </row>
    <row r="241">
      <c r="A241" s="37" t="n"/>
      <c r="B241" s="29" t="n"/>
      <c r="C241" s="29" t="n"/>
      <c r="D241" s="30" t="n"/>
      <c r="E241" s="38" t="n"/>
    </row>
    <row r="242">
      <c r="A242" s="37" t="n"/>
      <c r="B242" s="29" t="n"/>
      <c r="C242" s="29" t="n"/>
      <c r="D242" s="30" t="n"/>
      <c r="E242" s="38" t="n"/>
    </row>
    <row r="243">
      <c r="A243" s="37" t="n"/>
      <c r="B243" s="29" t="n"/>
      <c r="C243" s="29" t="n"/>
      <c r="D243" s="30" t="n"/>
      <c r="E243" s="38" t="n"/>
    </row>
    <row r="244">
      <c r="A244" s="37" t="n"/>
      <c r="B244" s="29" t="n"/>
      <c r="C244" s="29" t="n"/>
      <c r="D244" s="30" t="n"/>
      <c r="E244" s="38" t="n"/>
    </row>
    <row r="245">
      <c r="A245" s="37" t="n"/>
      <c r="B245" s="29" t="n"/>
      <c r="C245" s="29" t="n"/>
      <c r="D245" s="30" t="n"/>
      <c r="E245" s="38" t="n"/>
    </row>
    <row r="246">
      <c r="A246" s="37" t="n"/>
      <c r="B246" s="29" t="n"/>
      <c r="C246" s="29" t="n"/>
      <c r="D246" s="30" t="n"/>
      <c r="E246" s="38" t="n"/>
    </row>
    <row r="247">
      <c r="A247" s="37" t="n"/>
      <c r="B247" s="29" t="n"/>
      <c r="C247" s="29" t="n"/>
      <c r="D247" s="30" t="n"/>
      <c r="E247" s="38" t="n"/>
    </row>
    <row r="248">
      <c r="A248" s="37" t="n"/>
      <c r="B248" s="29" t="n"/>
      <c r="C248" s="29" t="n"/>
      <c r="D248" s="30" t="n"/>
      <c r="E248" s="38" t="n"/>
    </row>
    <row r="249">
      <c r="A249" s="37" t="n"/>
      <c r="B249" s="29" t="n"/>
      <c r="C249" s="29" t="n"/>
      <c r="D249" s="30" t="n"/>
      <c r="E249" s="38" t="n"/>
    </row>
    <row r="250">
      <c r="A250" s="37" t="n"/>
      <c r="B250" s="29" t="n"/>
      <c r="C250" s="29" t="n"/>
      <c r="D250" s="30" t="n"/>
      <c r="E250" s="38" t="n"/>
    </row>
    <row r="251">
      <c r="A251" s="37" t="n"/>
      <c r="B251" s="29" t="n"/>
      <c r="C251" s="29" t="n"/>
      <c r="D251" s="30" t="n"/>
      <c r="E251" s="38" t="n"/>
    </row>
    <row r="252">
      <c r="A252" s="37" t="n"/>
      <c r="B252" s="29" t="n"/>
      <c r="C252" s="29" t="n"/>
      <c r="D252" s="30" t="n"/>
      <c r="E252" s="38" t="n"/>
    </row>
    <row r="253">
      <c r="A253" s="37" t="n"/>
      <c r="B253" s="29" t="n"/>
      <c r="C253" s="29" t="n"/>
      <c r="D253" s="30" t="n"/>
      <c r="E253" s="38" t="n"/>
    </row>
    <row r="254">
      <c r="A254" s="37" t="n"/>
      <c r="B254" s="29" t="n"/>
      <c r="C254" s="29" t="n"/>
      <c r="D254" s="30" t="n"/>
      <c r="E254" s="38" t="n"/>
    </row>
    <row r="255">
      <c r="A255" s="37" t="n"/>
      <c r="B255" s="29" t="n"/>
      <c r="C255" s="29" t="n"/>
      <c r="D255" s="30" t="n"/>
      <c r="E255" s="38" t="n"/>
    </row>
    <row r="256">
      <c r="A256" s="37" t="n"/>
      <c r="B256" s="29" t="n"/>
      <c r="C256" s="29" t="n"/>
      <c r="D256" s="30" t="n"/>
      <c r="E256" s="38" t="n"/>
    </row>
    <row r="257">
      <c r="A257" s="37" t="n"/>
      <c r="B257" s="29" t="n"/>
      <c r="C257" s="29" t="n"/>
      <c r="D257" s="30" t="n"/>
      <c r="E257" s="38" t="n"/>
    </row>
    <row r="258">
      <c r="A258" s="37" t="n"/>
      <c r="B258" s="29" t="n"/>
      <c r="C258" s="29" t="n"/>
      <c r="D258" s="30" t="n"/>
      <c r="E258" s="38" t="n"/>
    </row>
    <row r="259">
      <c r="A259" s="37" t="n"/>
      <c r="B259" s="29" t="n"/>
      <c r="C259" s="29" t="n"/>
      <c r="D259" s="30" t="n"/>
      <c r="E259" s="38" t="n"/>
    </row>
    <row r="260">
      <c r="A260" s="37" t="n"/>
      <c r="B260" s="29" t="n"/>
      <c r="C260" s="29" t="n"/>
      <c r="D260" s="30" t="n"/>
      <c r="E260" s="38" t="n"/>
    </row>
    <row r="261">
      <c r="A261" s="37" t="n"/>
      <c r="B261" s="29" t="n"/>
      <c r="C261" s="29" t="n"/>
      <c r="D261" s="30" t="n"/>
      <c r="E261" s="38" t="n"/>
    </row>
    <row r="262">
      <c r="A262" s="37" t="n"/>
      <c r="B262" s="29" t="n"/>
      <c r="C262" s="29" t="n"/>
      <c r="D262" s="30" t="n"/>
      <c r="E262" s="38" t="n"/>
    </row>
    <row r="263">
      <c r="A263" s="37" t="n"/>
      <c r="B263" s="29" t="n"/>
      <c r="C263" s="29" t="n"/>
      <c r="D263" s="30" t="n"/>
      <c r="E263" s="38" t="n"/>
    </row>
    <row r="264">
      <c r="A264" s="37" t="n"/>
      <c r="B264" s="29" t="n"/>
      <c r="C264" s="29" t="n"/>
      <c r="D264" s="30" t="n"/>
      <c r="E264" s="38" t="n"/>
    </row>
    <row r="265">
      <c r="A265" s="37" t="n"/>
      <c r="B265" s="29" t="n"/>
      <c r="C265" s="29" t="n"/>
      <c r="D265" s="30" t="n"/>
      <c r="E265" s="38" t="n"/>
    </row>
    <row r="266">
      <c r="A266" s="37" t="n"/>
      <c r="B266" s="29" t="n"/>
      <c r="C266" s="29" t="n"/>
      <c r="D266" s="30" t="n"/>
      <c r="E266" s="38" t="n"/>
    </row>
    <row r="267">
      <c r="A267" s="37" t="n"/>
      <c r="B267" s="29" t="n"/>
      <c r="C267" s="29" t="n"/>
      <c r="D267" s="30" t="n"/>
      <c r="E267" s="38" t="n"/>
    </row>
    <row r="268">
      <c r="A268" s="37" t="n"/>
      <c r="B268" s="29" t="n"/>
      <c r="C268" s="29" t="n"/>
      <c r="D268" s="30" t="n"/>
      <c r="E268" s="38" t="n"/>
    </row>
    <row r="269">
      <c r="A269" s="37" t="n"/>
      <c r="B269" s="29" t="n"/>
      <c r="C269" s="29" t="n"/>
      <c r="D269" s="30" t="n"/>
      <c r="E269" s="38" t="n"/>
    </row>
    <row r="270">
      <c r="A270" s="37" t="n"/>
      <c r="B270" s="29" t="n"/>
      <c r="C270" s="29" t="n"/>
      <c r="D270" s="30" t="n"/>
      <c r="E270" s="38" t="n"/>
    </row>
    <row r="271">
      <c r="A271" s="37" t="n"/>
      <c r="B271" s="29" t="n"/>
      <c r="C271" s="29" t="n"/>
      <c r="D271" s="30" t="n"/>
      <c r="E271" s="38" t="n"/>
    </row>
    <row r="272">
      <c r="A272" s="37" t="n"/>
      <c r="B272" s="29" t="n"/>
      <c r="C272" s="29" t="n"/>
      <c r="D272" s="30" t="n"/>
      <c r="E272" s="38" t="n"/>
    </row>
    <row r="273">
      <c r="A273" s="37" t="n"/>
      <c r="B273" s="29" t="n"/>
      <c r="C273" s="29" t="n"/>
      <c r="D273" s="30" t="n"/>
      <c r="E273" s="38" t="n"/>
    </row>
    <row r="274">
      <c r="A274" s="37" t="n"/>
      <c r="B274" s="29" t="n"/>
      <c r="C274" s="29" t="n"/>
      <c r="D274" s="30" t="n"/>
      <c r="E274" s="38" t="n"/>
    </row>
    <row r="275">
      <c r="A275" s="37" t="n"/>
      <c r="B275" s="29" t="n"/>
      <c r="C275" s="29" t="n"/>
      <c r="D275" s="30" t="n"/>
      <c r="E275" s="38" t="n"/>
    </row>
    <row r="276">
      <c r="A276" s="37" t="n"/>
      <c r="B276" s="29" t="n"/>
      <c r="C276" s="29" t="n"/>
      <c r="D276" s="30" t="n"/>
      <c r="E276" s="38" t="n"/>
    </row>
    <row r="277">
      <c r="A277" s="37" t="n"/>
      <c r="B277" s="29" t="n"/>
      <c r="C277" s="29" t="n"/>
      <c r="D277" s="30" t="n"/>
      <c r="E277" s="38" t="n"/>
    </row>
    <row r="278">
      <c r="A278" s="37" t="n"/>
      <c r="B278" s="29" t="n"/>
      <c r="C278" s="29" t="n"/>
      <c r="D278" s="30" t="n"/>
      <c r="E278" s="38" t="n"/>
    </row>
    <row r="279">
      <c r="A279" s="37" t="n"/>
      <c r="B279" s="29" t="n"/>
      <c r="C279" s="29" t="n"/>
      <c r="D279" s="30" t="n"/>
      <c r="E279" s="38" t="n"/>
    </row>
    <row r="280">
      <c r="A280" s="37" t="n"/>
      <c r="B280" s="29" t="n"/>
      <c r="C280" s="29" t="n"/>
      <c r="D280" s="30" t="n"/>
      <c r="E280" s="38" t="n"/>
    </row>
    <row r="281">
      <c r="A281" s="37" t="n"/>
      <c r="B281" s="29" t="n"/>
      <c r="C281" s="29" t="n"/>
      <c r="D281" s="30" t="n"/>
      <c r="E281" s="38" t="n"/>
    </row>
    <row r="282">
      <c r="A282" s="37" t="n"/>
      <c r="B282" s="29" t="n"/>
      <c r="C282" s="29" t="n"/>
      <c r="D282" s="30" t="n"/>
      <c r="E282" s="38" t="n"/>
    </row>
    <row r="283">
      <c r="A283" s="37" t="n"/>
      <c r="B283" s="29" t="n"/>
      <c r="C283" s="29" t="n"/>
      <c r="D283" s="30" t="n"/>
      <c r="E283" s="38" t="n"/>
    </row>
    <row r="284">
      <c r="A284" s="37" t="n"/>
      <c r="B284" s="29" t="n"/>
      <c r="C284" s="29" t="n"/>
      <c r="D284" s="30" t="n"/>
      <c r="E284" s="38" t="n"/>
    </row>
    <row r="285">
      <c r="A285" s="37" t="n"/>
      <c r="B285" s="29" t="n"/>
      <c r="C285" s="29" t="n"/>
      <c r="D285" s="30" t="n"/>
      <c r="E285" s="38" t="n"/>
    </row>
    <row r="286">
      <c r="A286" s="37" t="n"/>
      <c r="B286" s="29" t="n"/>
      <c r="C286" s="29" t="n"/>
      <c r="D286" s="30" t="n"/>
      <c r="E286" s="38" t="n"/>
    </row>
    <row r="287">
      <c r="A287" s="37" t="n"/>
      <c r="B287" s="29" t="n"/>
      <c r="C287" s="29" t="n"/>
      <c r="D287" s="30" t="n"/>
      <c r="E287" s="38" t="n"/>
    </row>
    <row r="288">
      <c r="A288" s="37" t="n"/>
      <c r="B288" s="29" t="n"/>
      <c r="C288" s="29" t="n"/>
      <c r="D288" s="30" t="n"/>
      <c r="E288" s="38" t="n"/>
    </row>
    <row r="289">
      <c r="A289" s="37" t="n"/>
      <c r="B289" s="29" t="n"/>
      <c r="C289" s="29" t="n"/>
      <c r="D289" s="30" t="n"/>
      <c r="E289" s="38" t="n"/>
    </row>
    <row r="290">
      <c r="A290" s="37" t="n"/>
      <c r="B290" s="29" t="n"/>
      <c r="C290" s="29" t="n"/>
      <c r="D290" s="30" t="n"/>
      <c r="E290" s="38" t="n"/>
    </row>
    <row r="291">
      <c r="A291" s="37" t="n"/>
      <c r="B291" s="29" t="n"/>
      <c r="C291" s="29" t="n"/>
      <c r="D291" s="30" t="n"/>
      <c r="E291" s="38" t="n"/>
    </row>
    <row r="292">
      <c r="A292" s="37" t="n"/>
      <c r="B292" s="29" t="n"/>
      <c r="C292" s="29" t="n"/>
      <c r="D292" s="30" t="n"/>
      <c r="E292" s="38" t="n"/>
    </row>
    <row r="293">
      <c r="A293" s="37" t="n"/>
      <c r="B293" s="29" t="n"/>
      <c r="C293" s="29" t="n"/>
      <c r="D293" s="30" t="n"/>
      <c r="E293" s="38" t="n"/>
    </row>
    <row r="294">
      <c r="A294" s="37" t="n"/>
      <c r="B294" s="29" t="n"/>
      <c r="C294" s="29" t="n"/>
      <c r="D294" s="30" t="n"/>
      <c r="E294" s="38" t="n"/>
    </row>
    <row r="295">
      <c r="A295" s="37" t="n"/>
      <c r="B295" s="29" t="n"/>
      <c r="C295" s="29" t="n"/>
      <c r="D295" s="30" t="n"/>
      <c r="E295" s="38" t="n"/>
    </row>
    <row r="296">
      <c r="A296" s="37" t="n"/>
      <c r="B296" s="29" t="n"/>
      <c r="C296" s="29" t="n"/>
      <c r="D296" s="30" t="n"/>
      <c r="E296" s="38" t="n"/>
    </row>
    <row r="297">
      <c r="A297" s="37" t="n"/>
      <c r="B297" s="29" t="n"/>
      <c r="C297" s="29" t="n"/>
      <c r="D297" s="30" t="n"/>
      <c r="E297" s="38" t="n"/>
    </row>
    <row r="298">
      <c r="A298" s="37" t="n"/>
      <c r="B298" s="29" t="n"/>
      <c r="C298" s="29" t="n"/>
      <c r="D298" s="30" t="n"/>
      <c r="E298" s="38" t="n"/>
    </row>
    <row r="299">
      <c r="A299" s="37" t="n"/>
      <c r="B299" s="29" t="n"/>
      <c r="C299" s="29" t="n"/>
      <c r="D299" s="30" t="n"/>
      <c r="E299" s="38" t="n"/>
    </row>
    <row r="300">
      <c r="A300" s="37" t="n"/>
      <c r="B300" s="29" t="n"/>
      <c r="C300" s="29" t="n"/>
      <c r="D300" s="30" t="n"/>
      <c r="E300" s="38" t="n"/>
    </row>
    <row r="301">
      <c r="A301" s="37" t="n"/>
      <c r="B301" s="29" t="n"/>
      <c r="C301" s="29" t="n"/>
      <c r="D301" s="30" t="n"/>
      <c r="E301" s="38" t="n"/>
    </row>
    <row r="302">
      <c r="A302" s="37" t="n"/>
      <c r="B302" s="29" t="n"/>
      <c r="C302" s="29" t="n"/>
      <c r="D302" s="30" t="n"/>
      <c r="E302" s="38" t="n"/>
    </row>
    <row r="303">
      <c r="A303" s="37" t="n"/>
      <c r="B303" s="29" t="n"/>
      <c r="C303" s="29" t="n"/>
      <c r="D303" s="30" t="n"/>
      <c r="E303" s="38" t="n"/>
    </row>
    <row r="304">
      <c r="A304" s="37" t="n"/>
      <c r="B304" s="29" t="n"/>
      <c r="C304" s="29" t="n"/>
      <c r="D304" s="30" t="n"/>
      <c r="E304" s="38" t="n"/>
    </row>
    <row r="305">
      <c r="A305" s="37" t="n"/>
      <c r="B305" s="29" t="n"/>
      <c r="C305" s="29" t="n"/>
      <c r="D305" s="30" t="n"/>
      <c r="E305" s="38" t="n"/>
    </row>
    <row r="306">
      <c r="A306" s="37" t="n"/>
      <c r="B306" s="29" t="n"/>
      <c r="C306" s="29" t="n"/>
      <c r="D306" s="30" t="n"/>
      <c r="E306" s="38" t="n"/>
    </row>
    <row r="307">
      <c r="A307" s="37" t="n"/>
      <c r="B307" s="29" t="n"/>
      <c r="C307" s="29" t="n"/>
      <c r="D307" s="30" t="n"/>
      <c r="E307" s="38" t="n"/>
    </row>
    <row r="308">
      <c r="A308" s="37" t="n"/>
      <c r="B308" s="29" t="n"/>
      <c r="C308" s="29" t="n"/>
      <c r="D308" s="30" t="n"/>
      <c r="E308" s="38" t="n"/>
    </row>
    <row r="309">
      <c r="A309" s="37" t="n"/>
      <c r="B309" s="29" t="n"/>
      <c r="C309" s="29" t="n"/>
      <c r="D309" s="30" t="n"/>
      <c r="E309" s="38" t="n"/>
    </row>
    <row r="310">
      <c r="A310" s="37" t="n"/>
      <c r="B310" s="29" t="n"/>
      <c r="C310" s="29" t="n"/>
      <c r="D310" s="30" t="n"/>
      <c r="E310" s="38" t="n"/>
    </row>
    <row r="311">
      <c r="A311" s="37" t="n"/>
      <c r="B311" s="29" t="n"/>
      <c r="C311" s="29" t="n"/>
      <c r="D311" s="30" t="n"/>
      <c r="E311" s="38" t="n"/>
    </row>
    <row r="312">
      <c r="A312" s="37" t="n"/>
      <c r="B312" s="29" t="n"/>
      <c r="C312" s="29" t="n"/>
      <c r="D312" s="30" t="n"/>
      <c r="E312" s="38" t="n"/>
    </row>
    <row r="313">
      <c r="A313" s="37" t="n"/>
      <c r="B313" s="29" t="n"/>
      <c r="C313" s="29" t="n"/>
      <c r="D313" s="30" t="n"/>
      <c r="E313" s="38" t="n"/>
    </row>
    <row r="314">
      <c r="A314" s="37" t="n"/>
      <c r="B314" s="29" t="n"/>
      <c r="C314" s="29" t="n"/>
      <c r="D314" s="30" t="n"/>
      <c r="E314" s="38" t="n"/>
    </row>
    <row r="315">
      <c r="A315" s="37" t="n"/>
      <c r="B315" s="29" t="n"/>
      <c r="C315" s="29" t="n"/>
      <c r="D315" s="30" t="n"/>
      <c r="E315" s="38" t="n"/>
    </row>
    <row r="316">
      <c r="A316" s="37" t="n"/>
      <c r="B316" s="29" t="n"/>
      <c r="C316" s="29" t="n"/>
      <c r="D316" s="30" t="n"/>
      <c r="E316" s="38" t="n"/>
    </row>
    <row r="317">
      <c r="A317" s="37" t="n"/>
      <c r="B317" s="29" t="n"/>
      <c r="C317" s="29" t="n"/>
      <c r="D317" s="30" t="n"/>
      <c r="E317" s="38" t="n"/>
    </row>
    <row r="318">
      <c r="A318" s="37" t="n"/>
      <c r="B318" s="29" t="n"/>
      <c r="C318" s="29" t="n"/>
      <c r="D318" s="30" t="n"/>
      <c r="E318" s="38" t="n"/>
    </row>
    <row r="319">
      <c r="A319" s="37" t="n"/>
      <c r="B319" s="29" t="n"/>
      <c r="C319" s="29" t="n"/>
      <c r="D319" s="30" t="n"/>
      <c r="E319" s="38" t="n"/>
    </row>
    <row r="320">
      <c r="A320" s="37" t="n"/>
      <c r="B320" s="29" t="n"/>
      <c r="C320" s="29" t="n"/>
      <c r="D320" s="30" t="n"/>
      <c r="E320" s="38" t="n"/>
    </row>
    <row r="321">
      <c r="A321" s="37" t="n"/>
      <c r="B321" s="29" t="n"/>
      <c r="C321" s="29" t="n"/>
      <c r="D321" s="30" t="n"/>
      <c r="E321" s="38" t="n"/>
    </row>
    <row r="322">
      <c r="A322" s="37" t="n"/>
      <c r="B322" s="29" t="n"/>
      <c r="C322" s="29" t="n"/>
      <c r="D322" s="30" t="n"/>
      <c r="E322" s="38" t="n"/>
    </row>
    <row r="323">
      <c r="A323" s="37" t="n"/>
      <c r="B323" s="29" t="n"/>
      <c r="C323" s="29" t="n"/>
      <c r="D323" s="30" t="n"/>
      <c r="E323" s="38" t="n"/>
    </row>
    <row r="324">
      <c r="A324" s="37" t="n"/>
      <c r="B324" s="29" t="n"/>
      <c r="C324" s="29" t="n"/>
      <c r="D324" s="30" t="n"/>
      <c r="E324" s="38" t="n"/>
    </row>
    <row r="325">
      <c r="A325" s="37" t="n"/>
      <c r="B325" s="29" t="n"/>
      <c r="C325" s="29" t="n"/>
      <c r="D325" s="30" t="n"/>
      <c r="E325" s="38" t="n"/>
    </row>
    <row r="326">
      <c r="A326" s="37" t="n"/>
      <c r="B326" s="29" t="n"/>
      <c r="C326" s="29" t="n"/>
      <c r="D326" s="30" t="n"/>
      <c r="E326" s="38" t="n"/>
    </row>
    <row r="327">
      <c r="A327" s="37" t="n"/>
      <c r="B327" s="29" t="n"/>
      <c r="C327" s="29" t="n"/>
      <c r="D327" s="30" t="n"/>
      <c r="E327" s="38" t="n"/>
    </row>
    <row r="328">
      <c r="A328" s="37" t="n"/>
      <c r="B328" s="29" t="n"/>
      <c r="C328" s="29" t="n"/>
      <c r="D328" s="30" t="n"/>
      <c r="E328" s="38" t="n"/>
    </row>
    <row r="329">
      <c r="A329" s="37" t="n"/>
      <c r="B329" s="29" t="n"/>
      <c r="C329" s="29" t="n"/>
      <c r="D329" s="30" t="n"/>
      <c r="E329" s="38" t="n"/>
    </row>
    <row r="330">
      <c r="A330" s="37" t="n"/>
      <c r="B330" s="29" t="n"/>
      <c r="C330" s="29" t="n"/>
      <c r="D330" s="30" t="n"/>
      <c r="E330" s="38" t="n"/>
    </row>
    <row r="331">
      <c r="A331" s="37" t="n"/>
      <c r="B331" s="29" t="n"/>
      <c r="C331" s="29" t="n"/>
      <c r="D331" s="30" t="n"/>
      <c r="E331" s="38" t="n"/>
    </row>
    <row r="332">
      <c r="A332" s="37" t="n"/>
      <c r="B332" s="29" t="n"/>
      <c r="C332" s="29" t="n"/>
      <c r="D332" s="30" t="n"/>
      <c r="E332" s="38" t="n"/>
    </row>
    <row r="333">
      <c r="A333" s="37" t="n"/>
      <c r="B333" s="29" t="n"/>
      <c r="C333" s="29" t="n"/>
      <c r="D333" s="30" t="n"/>
      <c r="E333" s="38" t="n"/>
    </row>
    <row r="334">
      <c r="A334" s="37" t="n"/>
      <c r="B334" s="29" t="n"/>
      <c r="C334" s="29" t="n"/>
      <c r="D334" s="30" t="n"/>
      <c r="E334" s="38" t="n"/>
    </row>
    <row r="335">
      <c r="A335" s="37" t="n"/>
      <c r="B335" s="29" t="n"/>
      <c r="C335" s="29" t="n"/>
      <c r="D335" s="30" t="n"/>
      <c r="E335" s="38" t="n"/>
    </row>
    <row r="336">
      <c r="A336" s="37" t="n"/>
      <c r="B336" s="29" t="n"/>
      <c r="C336" s="29" t="n"/>
      <c r="D336" s="30" t="n"/>
      <c r="E336" s="38" t="n"/>
    </row>
    <row r="337">
      <c r="A337" s="37" t="n"/>
      <c r="B337" s="29" t="n"/>
      <c r="C337" s="29" t="n"/>
      <c r="D337" s="30" t="n"/>
      <c r="E337" s="38" t="n"/>
    </row>
    <row r="338">
      <c r="A338" s="37" t="n"/>
      <c r="B338" s="29" t="n"/>
      <c r="C338" s="29" t="n"/>
      <c r="D338" s="30" t="n"/>
      <c r="E338" s="38" t="n"/>
    </row>
    <row r="339">
      <c r="A339" s="37" t="n"/>
      <c r="B339" s="29" t="n"/>
      <c r="C339" s="29" t="n"/>
      <c r="D339" s="30" t="n"/>
      <c r="E339" s="38" t="n"/>
    </row>
    <row r="340">
      <c r="A340" s="37" t="n"/>
      <c r="B340" s="29" t="n"/>
      <c r="C340" s="29" t="n"/>
      <c r="D340" s="30" t="n"/>
      <c r="E340" s="38" t="n"/>
    </row>
    <row r="341">
      <c r="A341" s="37" t="n"/>
      <c r="B341" s="29" t="n"/>
      <c r="C341" s="29" t="n"/>
      <c r="D341" s="30" t="n"/>
      <c r="E341" s="38" t="n"/>
    </row>
    <row r="342">
      <c r="A342" s="37" t="n"/>
      <c r="B342" s="29" t="n"/>
      <c r="C342" s="29" t="n"/>
      <c r="D342" s="30" t="n"/>
      <c r="E342" s="38" t="n"/>
    </row>
    <row r="343">
      <c r="A343" s="37" t="n"/>
      <c r="B343" s="29" t="n"/>
      <c r="C343" s="29" t="n"/>
      <c r="D343" s="30" t="n"/>
      <c r="E343" s="38" t="n"/>
    </row>
    <row r="344">
      <c r="A344" s="37" t="n"/>
      <c r="B344" s="29" t="n"/>
      <c r="C344" s="29" t="n"/>
      <c r="D344" s="30" t="n"/>
      <c r="E344" s="38" t="n"/>
    </row>
    <row r="345">
      <c r="A345" s="37" t="n"/>
      <c r="B345" s="29" t="n"/>
      <c r="C345" s="29" t="n"/>
      <c r="D345" s="30" t="n"/>
      <c r="E345" s="38" t="n"/>
    </row>
    <row r="346">
      <c r="A346" s="37" t="n"/>
      <c r="B346" s="29" t="n"/>
      <c r="C346" s="29" t="n"/>
      <c r="D346" s="30" t="n"/>
      <c r="E346" s="38" t="n"/>
    </row>
    <row r="347">
      <c r="A347" s="37" t="n"/>
      <c r="B347" s="29" t="n"/>
      <c r="C347" s="29" t="n"/>
      <c r="D347" s="30" t="n"/>
      <c r="E347" s="38" t="n"/>
    </row>
    <row r="348">
      <c r="A348" s="37" t="n"/>
      <c r="B348" s="29" t="n"/>
      <c r="C348" s="29" t="n"/>
      <c r="D348" s="30" t="n"/>
      <c r="E348" s="38" t="n"/>
    </row>
    <row r="349">
      <c r="A349" s="37" t="n"/>
      <c r="B349" s="29" t="n"/>
      <c r="C349" s="29" t="n"/>
      <c r="D349" s="30" t="n"/>
      <c r="E349" s="38" t="n"/>
    </row>
    <row r="350">
      <c r="A350" s="37" t="n"/>
      <c r="B350" s="29" t="n"/>
      <c r="C350" s="29" t="n"/>
      <c r="D350" s="30" t="n"/>
      <c r="E350" s="38" t="n"/>
    </row>
    <row r="351">
      <c r="A351" s="37" t="n"/>
      <c r="B351" s="29" t="n"/>
      <c r="C351" s="29" t="n"/>
      <c r="D351" s="30" t="n"/>
      <c r="E351" s="38" t="n"/>
    </row>
    <row r="352">
      <c r="A352" s="37" t="n"/>
      <c r="B352" s="29" t="n"/>
      <c r="C352" s="29" t="n"/>
      <c r="D352" s="30" t="n"/>
      <c r="E352" s="38" t="n"/>
    </row>
    <row r="353">
      <c r="A353" s="37" t="n"/>
      <c r="B353" s="29" t="n"/>
      <c r="C353" s="29" t="n"/>
      <c r="D353" s="30" t="n"/>
      <c r="E353" s="38" t="n"/>
    </row>
    <row r="354">
      <c r="A354" s="37" t="n"/>
      <c r="B354" s="29" t="n"/>
      <c r="C354" s="29" t="n"/>
      <c r="D354" s="30" t="n"/>
      <c r="E354" s="38" t="n"/>
    </row>
    <row r="355">
      <c r="A355" s="37" t="n"/>
      <c r="B355" s="29" t="n"/>
      <c r="C355" s="29" t="n"/>
      <c r="D355" s="30" t="n"/>
      <c r="E355" s="38" t="n"/>
    </row>
    <row r="356">
      <c r="A356" s="37" t="n"/>
      <c r="B356" s="29" t="n"/>
      <c r="C356" s="29" t="n"/>
      <c r="D356" s="30" t="n"/>
      <c r="E356" s="38" t="n"/>
    </row>
    <row r="357">
      <c r="A357" s="37" t="n"/>
      <c r="B357" s="29" t="n"/>
      <c r="C357" s="29" t="n"/>
      <c r="D357" s="30" t="n"/>
      <c r="E357" s="38" t="n"/>
    </row>
    <row r="358">
      <c r="A358" s="37" t="n"/>
      <c r="B358" s="29" t="n"/>
      <c r="C358" s="29" t="n"/>
      <c r="D358" s="30" t="n"/>
      <c r="E358" s="38" t="n"/>
    </row>
    <row r="359">
      <c r="A359" s="37" t="n"/>
      <c r="B359" s="29" t="n"/>
      <c r="C359" s="29" t="n"/>
      <c r="D359" s="30" t="n"/>
      <c r="E359" s="38" t="n"/>
    </row>
    <row r="360">
      <c r="A360" s="37" t="n"/>
      <c r="B360" s="29" t="n"/>
      <c r="C360" s="29" t="n"/>
      <c r="D360" s="30" t="n"/>
      <c r="E360" s="38" t="n"/>
    </row>
    <row r="361">
      <c r="A361" s="37" t="n"/>
      <c r="B361" s="29" t="n"/>
      <c r="C361" s="29" t="n"/>
      <c r="D361" s="30" t="n"/>
      <c r="E361" s="38" t="n"/>
    </row>
    <row r="362">
      <c r="A362" s="37" t="n"/>
      <c r="B362" s="29" t="n"/>
      <c r="C362" s="29" t="n"/>
      <c r="D362" s="30" t="n"/>
      <c r="E362" s="38" t="n"/>
    </row>
    <row r="363">
      <c r="A363" s="37" t="n"/>
      <c r="B363" s="29" t="n"/>
      <c r="C363" s="29" t="n"/>
      <c r="D363" s="30" t="n"/>
      <c r="E363" s="38" t="n"/>
    </row>
    <row r="364">
      <c r="A364" s="37" t="n"/>
      <c r="B364" s="29" t="n"/>
      <c r="C364" s="29" t="n"/>
      <c r="D364" s="30" t="n"/>
      <c r="E364" s="38" t="n"/>
    </row>
    <row r="365">
      <c r="A365" s="37" t="n"/>
      <c r="B365" s="29" t="n"/>
      <c r="C365" s="29" t="n"/>
      <c r="D365" s="30" t="n"/>
      <c r="E365" s="38" t="n"/>
    </row>
    <row r="366">
      <c r="A366" s="37" t="n"/>
      <c r="B366" s="29" t="n"/>
      <c r="C366" s="29" t="n"/>
      <c r="D366" s="30" t="n"/>
      <c r="E366" s="38" t="n"/>
    </row>
    <row r="367">
      <c r="A367" s="37" t="n"/>
      <c r="B367" s="29" t="n"/>
      <c r="C367" s="29" t="n"/>
      <c r="D367" s="30" t="n"/>
      <c r="E367" s="38" t="n"/>
    </row>
    <row r="368">
      <c r="A368" s="37" t="n"/>
      <c r="B368" s="29" t="n"/>
      <c r="C368" s="29" t="n"/>
      <c r="D368" s="30" t="n"/>
      <c r="E368" s="38" t="n"/>
    </row>
    <row r="369">
      <c r="A369" s="37" t="n"/>
      <c r="B369" s="29" t="n"/>
      <c r="C369" s="29" t="n"/>
      <c r="D369" s="30" t="n"/>
      <c r="E369" s="38" t="n"/>
    </row>
    <row r="370">
      <c r="A370" s="37" t="n"/>
      <c r="B370" s="29" t="n"/>
      <c r="C370" s="29" t="n"/>
      <c r="D370" s="30" t="n"/>
      <c r="E370" s="38" t="n"/>
    </row>
    <row r="371">
      <c r="A371" s="37" t="n"/>
      <c r="B371" s="29" t="n"/>
      <c r="C371" s="29" t="n"/>
      <c r="D371" s="30" t="n"/>
      <c r="E371" s="38" t="n"/>
    </row>
    <row r="372">
      <c r="A372" s="37" t="n"/>
      <c r="B372" s="29" t="n"/>
      <c r="C372" s="29" t="n"/>
      <c r="D372" s="30" t="n"/>
      <c r="E372" s="38" t="n"/>
    </row>
    <row r="373">
      <c r="A373" s="37" t="n"/>
      <c r="B373" s="29" t="n"/>
      <c r="C373" s="29" t="n"/>
      <c r="D373" s="30" t="n"/>
      <c r="E373" s="38" t="n"/>
    </row>
    <row r="374">
      <c r="A374" s="37" t="n"/>
      <c r="B374" s="29" t="n"/>
      <c r="C374" s="29" t="n"/>
      <c r="D374" s="30" t="n"/>
      <c r="E374" s="38" t="n"/>
    </row>
    <row r="375">
      <c r="A375" s="37" t="n"/>
      <c r="B375" s="29" t="n"/>
      <c r="C375" s="29" t="n"/>
      <c r="D375" s="30" t="n"/>
      <c r="E375" s="38" t="n"/>
    </row>
    <row r="376">
      <c r="A376" s="37" t="n"/>
      <c r="B376" s="29" t="n"/>
      <c r="C376" s="29" t="n"/>
      <c r="D376" s="30" t="n"/>
      <c r="E376" s="38" t="n"/>
    </row>
    <row r="377">
      <c r="A377" s="37" t="n"/>
      <c r="B377" s="29" t="n"/>
      <c r="C377" s="29" t="n"/>
      <c r="D377" s="30" t="n"/>
      <c r="E377" s="38" t="n"/>
    </row>
    <row r="378">
      <c r="A378" s="37" t="n"/>
      <c r="B378" s="29" t="n"/>
      <c r="C378" s="29" t="n"/>
      <c r="D378" s="30" t="n"/>
      <c r="E378" s="38" t="n"/>
    </row>
    <row r="379">
      <c r="A379" s="37" t="n"/>
      <c r="B379" s="29" t="n"/>
      <c r="C379" s="29" t="n"/>
      <c r="D379" s="30" t="n"/>
      <c r="E379" s="38" t="n"/>
    </row>
    <row r="380">
      <c r="A380" s="37" t="n"/>
      <c r="B380" s="29" t="n"/>
      <c r="C380" s="29" t="n"/>
      <c r="D380" s="30" t="n"/>
      <c r="E380" s="38" t="n"/>
    </row>
    <row r="381">
      <c r="A381" s="37" t="n"/>
      <c r="B381" s="29" t="n"/>
      <c r="C381" s="29" t="n"/>
      <c r="D381" s="30" t="n"/>
      <c r="E381" s="38" t="n"/>
    </row>
    <row r="382">
      <c r="A382" s="37" t="n"/>
      <c r="B382" s="29" t="n"/>
      <c r="C382" s="29" t="n"/>
      <c r="D382" s="30" t="n"/>
      <c r="E382" s="38" t="n"/>
    </row>
    <row r="383">
      <c r="A383" s="37" t="n"/>
      <c r="B383" s="29" t="n"/>
      <c r="C383" s="29" t="n"/>
      <c r="D383" s="30" t="n"/>
      <c r="E383" s="38" t="n"/>
    </row>
    <row r="384">
      <c r="A384" s="37" t="n"/>
      <c r="B384" s="29" t="n"/>
      <c r="C384" s="29" t="n"/>
      <c r="D384" s="30" t="n"/>
      <c r="E384" s="38" t="n"/>
    </row>
    <row r="385">
      <c r="A385" s="37" t="n"/>
      <c r="B385" s="29" t="n"/>
      <c r="C385" s="29" t="n"/>
      <c r="D385" s="30" t="n"/>
      <c r="E385" s="38" t="n"/>
    </row>
    <row r="386">
      <c r="A386" s="37" t="n"/>
      <c r="B386" s="29" t="n"/>
      <c r="C386" s="29" t="n"/>
      <c r="D386" s="30" t="n"/>
      <c r="E386" s="38" t="n"/>
    </row>
    <row r="387">
      <c r="A387" s="37" t="n"/>
      <c r="B387" s="29" t="n"/>
      <c r="C387" s="29" t="n"/>
      <c r="D387" s="30" t="n"/>
      <c r="E387" s="38" t="n"/>
    </row>
    <row r="388">
      <c r="A388" s="37" t="n"/>
      <c r="B388" s="29" t="n"/>
      <c r="C388" s="29" t="n"/>
      <c r="D388" s="30" t="n"/>
      <c r="E388" s="38" t="n"/>
    </row>
    <row r="389">
      <c r="A389" s="37" t="n"/>
      <c r="B389" s="29" t="n"/>
      <c r="C389" s="29" t="n"/>
      <c r="D389" s="30" t="n"/>
      <c r="E389" s="38" t="n"/>
    </row>
    <row r="390">
      <c r="A390" s="37" t="n"/>
      <c r="B390" s="29" t="n"/>
      <c r="C390" s="29" t="n"/>
      <c r="D390" s="30" t="n"/>
      <c r="E390" s="38" t="n"/>
    </row>
    <row r="391">
      <c r="A391" s="37" t="n"/>
      <c r="B391" s="29" t="n"/>
      <c r="C391" s="29" t="n"/>
      <c r="D391" s="30" t="n"/>
      <c r="E391" s="38" t="n"/>
    </row>
    <row r="392">
      <c r="A392" s="37" t="n"/>
      <c r="B392" s="29" t="n"/>
      <c r="C392" s="29" t="n"/>
      <c r="D392" s="30" t="n"/>
      <c r="E392" s="38" t="n"/>
    </row>
    <row r="393">
      <c r="A393" s="37" t="n"/>
      <c r="B393" s="29" t="n"/>
      <c r="C393" s="29" t="n"/>
      <c r="D393" s="30" t="n"/>
      <c r="E393" s="38" t="n"/>
    </row>
    <row r="394">
      <c r="A394" s="37" t="n"/>
      <c r="B394" s="29" t="n"/>
      <c r="C394" s="29" t="n"/>
      <c r="D394" s="30" t="n"/>
      <c r="E394" s="38" t="n"/>
    </row>
    <row r="395">
      <c r="A395" s="37" t="n"/>
      <c r="B395" s="29" t="n"/>
      <c r="C395" s="29" t="n"/>
      <c r="D395" s="30" t="n"/>
      <c r="E395" s="38" t="n"/>
    </row>
    <row r="396">
      <c r="A396" s="37" t="n"/>
      <c r="B396" s="29" t="n"/>
      <c r="C396" s="29" t="n"/>
      <c r="D396" s="30" t="n"/>
      <c r="E396" s="38" t="n"/>
    </row>
    <row r="397">
      <c r="A397" s="37" t="n"/>
      <c r="B397" s="29" t="n"/>
      <c r="C397" s="29" t="n"/>
      <c r="D397" s="30" t="n"/>
      <c r="E397" s="38" t="n"/>
    </row>
    <row r="398">
      <c r="A398" s="37" t="n"/>
      <c r="B398" s="29" t="n"/>
      <c r="C398" s="29" t="n"/>
      <c r="D398" s="30" t="n"/>
      <c r="E398" s="38" t="n"/>
    </row>
    <row r="399">
      <c r="A399" s="37" t="n"/>
      <c r="B399" s="29" t="n"/>
      <c r="C399" s="29" t="n"/>
      <c r="D399" s="30" t="n"/>
      <c r="E399" s="38" t="n"/>
    </row>
    <row r="400">
      <c r="A400" s="37" t="n"/>
      <c r="B400" s="29" t="n"/>
      <c r="C400" s="29" t="n"/>
      <c r="D400" s="30" t="n"/>
      <c r="E400" s="38" t="n"/>
    </row>
    <row r="401">
      <c r="A401" s="37" t="n"/>
      <c r="B401" s="29" t="n"/>
      <c r="C401" s="29" t="n"/>
      <c r="D401" s="30" t="n"/>
      <c r="E401" s="38" t="n"/>
    </row>
    <row r="402">
      <c r="A402" s="37" t="n"/>
      <c r="B402" s="29" t="n"/>
      <c r="C402" s="29" t="n"/>
      <c r="D402" s="30" t="n"/>
      <c r="E402" s="38" t="n"/>
    </row>
    <row r="403">
      <c r="A403" s="37" t="n"/>
      <c r="B403" s="29" t="n"/>
      <c r="C403" s="29" t="n"/>
      <c r="D403" s="30" t="n"/>
      <c r="E403" s="38" t="n"/>
    </row>
    <row r="404">
      <c r="A404" s="37" t="n"/>
      <c r="B404" s="29" t="n"/>
      <c r="C404" s="29" t="n"/>
      <c r="D404" s="30" t="n"/>
      <c r="E404" s="38" t="n"/>
    </row>
    <row r="405">
      <c r="A405" s="37" t="n"/>
      <c r="B405" s="29" t="n"/>
      <c r="C405" s="29" t="n"/>
      <c r="D405" s="30" t="n"/>
      <c r="E405" s="38" t="n"/>
    </row>
    <row r="406">
      <c r="A406" s="37" t="n"/>
      <c r="B406" s="29" t="n"/>
      <c r="C406" s="29" t="n"/>
      <c r="D406" s="30" t="n"/>
      <c r="E406" s="38" t="n"/>
    </row>
    <row r="407">
      <c r="A407" s="37" t="n"/>
      <c r="B407" s="29" t="n"/>
      <c r="C407" s="29" t="n"/>
      <c r="D407" s="30" t="n"/>
      <c r="E407" s="38" t="n"/>
    </row>
    <row r="408">
      <c r="A408" s="37" t="n"/>
      <c r="B408" s="29" t="n"/>
      <c r="C408" s="29" t="n"/>
      <c r="D408" s="30" t="n"/>
      <c r="E408" s="38" t="n"/>
    </row>
    <row r="409">
      <c r="A409" s="37" t="n"/>
      <c r="B409" s="29" t="n"/>
      <c r="C409" s="29" t="n"/>
      <c r="D409" s="30" t="n"/>
      <c r="E409" s="38" t="n"/>
    </row>
    <row r="410">
      <c r="A410" s="37" t="n"/>
      <c r="B410" s="29" t="n"/>
      <c r="C410" s="29" t="n"/>
      <c r="D410" s="30" t="n"/>
      <c r="E410" s="38" t="n"/>
    </row>
    <row r="411">
      <c r="A411" s="37" t="n"/>
      <c r="B411" s="29" t="n"/>
      <c r="C411" s="29" t="n"/>
      <c r="D411" s="30" t="n"/>
      <c r="E411" s="38" t="n"/>
    </row>
    <row r="412">
      <c r="A412" s="37" t="n"/>
      <c r="B412" s="29" t="n"/>
      <c r="C412" s="29" t="n"/>
      <c r="D412" s="30" t="n"/>
      <c r="E412" s="38" t="n"/>
    </row>
    <row r="413">
      <c r="A413" s="37" t="n"/>
      <c r="B413" s="29" t="n"/>
      <c r="C413" s="29" t="n"/>
      <c r="D413" s="30" t="n"/>
      <c r="E413" s="38" t="n"/>
    </row>
    <row r="414">
      <c r="A414" s="37" t="n"/>
      <c r="B414" s="29" t="n"/>
      <c r="C414" s="29" t="n"/>
      <c r="D414" s="30" t="n"/>
      <c r="E414" s="38" t="n"/>
    </row>
    <row r="415">
      <c r="A415" s="37" t="n"/>
      <c r="B415" s="29" t="n"/>
      <c r="C415" s="29" t="n"/>
      <c r="D415" s="30" t="n"/>
      <c r="E415" s="38" t="n"/>
    </row>
    <row r="416">
      <c r="A416" s="37" t="n"/>
      <c r="B416" s="29" t="n"/>
      <c r="C416" s="29" t="n"/>
      <c r="D416" s="30" t="n"/>
      <c r="E416" s="38" t="n"/>
    </row>
    <row r="417">
      <c r="A417" s="37" t="n"/>
      <c r="B417" s="29" t="n"/>
      <c r="C417" s="29" t="n"/>
      <c r="D417" s="30" t="n"/>
      <c r="E417" s="38" t="n"/>
    </row>
    <row r="418">
      <c r="A418" s="37" t="n"/>
      <c r="B418" s="29" t="n"/>
      <c r="C418" s="29" t="n"/>
      <c r="D418" s="30" t="n"/>
      <c r="E418" s="38" t="n"/>
    </row>
    <row r="419">
      <c r="A419" s="37" t="n"/>
      <c r="B419" s="29" t="n"/>
      <c r="C419" s="29" t="n"/>
      <c r="D419" s="30" t="n"/>
      <c r="E419" s="38" t="n"/>
    </row>
    <row r="420">
      <c r="A420" s="37" t="n"/>
      <c r="B420" s="29" t="n"/>
      <c r="C420" s="29" t="n"/>
      <c r="D420" s="30" t="n"/>
      <c r="E420" s="38" t="n"/>
    </row>
    <row r="421">
      <c r="A421" s="37" t="n"/>
      <c r="B421" s="29" t="n"/>
      <c r="C421" s="29" t="n"/>
      <c r="D421" s="30" t="n"/>
      <c r="E421" s="38" t="n"/>
    </row>
    <row r="422">
      <c r="A422" s="37" t="n"/>
      <c r="B422" s="29" t="n"/>
      <c r="C422" s="29" t="n"/>
      <c r="D422" s="30" t="n"/>
      <c r="E422" s="38" t="n"/>
    </row>
    <row r="423">
      <c r="A423" s="37" t="n"/>
      <c r="B423" s="29" t="n"/>
      <c r="C423" s="29" t="n"/>
      <c r="D423" s="30" t="n"/>
      <c r="E423" s="38" t="n"/>
    </row>
    <row r="424">
      <c r="A424" s="37" t="n"/>
      <c r="B424" s="29" t="n"/>
      <c r="C424" s="29" t="n"/>
      <c r="D424" s="30" t="n"/>
      <c r="E424" s="38" t="n"/>
    </row>
    <row r="425">
      <c r="A425" s="37" t="n"/>
      <c r="B425" s="29" t="n"/>
      <c r="C425" s="29" t="n"/>
      <c r="D425" s="30" t="n"/>
      <c r="E425" s="38" t="n"/>
    </row>
    <row r="426">
      <c r="A426" s="37" t="n"/>
      <c r="B426" s="29" t="n"/>
      <c r="C426" s="29" t="n"/>
      <c r="D426" s="30" t="n"/>
      <c r="E426" s="38" t="n"/>
    </row>
    <row r="427">
      <c r="A427" s="37" t="n"/>
      <c r="B427" s="29" t="n"/>
      <c r="C427" s="29" t="n"/>
      <c r="D427" s="30" t="n"/>
      <c r="E427" s="38" t="n"/>
    </row>
    <row r="428">
      <c r="A428" s="37" t="n"/>
      <c r="B428" s="29" t="n"/>
      <c r="C428" s="29" t="n"/>
      <c r="D428" s="30" t="n"/>
      <c r="E428" s="38" t="n"/>
    </row>
    <row r="429">
      <c r="A429" s="37" t="n"/>
      <c r="B429" s="29" t="n"/>
      <c r="C429" s="29" t="n"/>
      <c r="D429" s="30" t="n"/>
      <c r="E429" s="38" t="n"/>
    </row>
    <row r="430">
      <c r="A430" s="37" t="n"/>
      <c r="B430" s="29" t="n"/>
      <c r="C430" s="29" t="n"/>
      <c r="D430" s="30" t="n"/>
      <c r="E430" s="38" t="n"/>
    </row>
    <row r="431">
      <c r="A431" s="37" t="n"/>
      <c r="B431" s="29" t="n"/>
      <c r="C431" s="29" t="n"/>
      <c r="D431" s="30" t="n"/>
      <c r="E431" s="38" t="n"/>
    </row>
    <row r="432">
      <c r="A432" s="37" t="n"/>
      <c r="B432" s="29" t="n"/>
      <c r="C432" s="29" t="n"/>
      <c r="D432" s="30" t="n"/>
      <c r="E432" s="38" t="n"/>
    </row>
    <row r="433">
      <c r="A433" s="37" t="n"/>
      <c r="B433" s="29" t="n"/>
      <c r="C433" s="29" t="n"/>
      <c r="D433" s="30" t="n"/>
      <c r="E433" s="38" t="n"/>
    </row>
    <row r="434">
      <c r="A434" s="37" t="n"/>
      <c r="B434" s="29" t="n"/>
      <c r="C434" s="29" t="n"/>
      <c r="D434" s="30" t="n"/>
      <c r="E434" s="38" t="n"/>
    </row>
    <row r="435">
      <c r="A435" s="37" t="n"/>
      <c r="B435" s="29" t="n"/>
      <c r="C435" s="29" t="n"/>
      <c r="D435" s="30" t="n"/>
      <c r="E435" s="38" t="n"/>
    </row>
    <row r="436">
      <c r="A436" s="37" t="n"/>
      <c r="B436" s="29" t="n"/>
      <c r="C436" s="29" t="n"/>
      <c r="D436" s="30" t="n"/>
      <c r="E436" s="38" t="n"/>
    </row>
    <row r="437">
      <c r="A437" s="37" t="n"/>
      <c r="B437" s="29" t="n"/>
      <c r="C437" s="29" t="n"/>
      <c r="D437" s="30" t="n"/>
      <c r="E437" s="38" t="n"/>
    </row>
    <row r="438">
      <c r="A438" s="37" t="n"/>
      <c r="B438" s="29" t="n"/>
      <c r="C438" s="29" t="n"/>
      <c r="D438" s="30" t="n"/>
      <c r="E438" s="38" t="n"/>
    </row>
    <row r="439">
      <c r="A439" s="37" t="n"/>
      <c r="B439" s="29" t="n"/>
      <c r="C439" s="29" t="n"/>
      <c r="D439" s="30" t="n"/>
      <c r="E439" s="38" t="n"/>
    </row>
    <row r="440">
      <c r="A440" s="37" t="n"/>
      <c r="B440" s="29" t="n"/>
      <c r="C440" s="29" t="n"/>
      <c r="D440" s="30" t="n"/>
      <c r="E440" s="38" t="n"/>
    </row>
    <row r="441">
      <c r="A441" s="37" t="n"/>
      <c r="B441" s="29" t="n"/>
      <c r="C441" s="29" t="n"/>
      <c r="D441" s="30" t="n"/>
      <c r="E441" s="38" t="n"/>
    </row>
    <row r="442">
      <c r="A442" s="37" t="n"/>
      <c r="B442" s="29" t="n"/>
      <c r="C442" s="29" t="n"/>
      <c r="D442" s="30" t="n"/>
      <c r="E442" s="38" t="n"/>
    </row>
    <row r="443">
      <c r="A443" s="37" t="n"/>
      <c r="B443" s="29" t="n"/>
      <c r="C443" s="29" t="n"/>
      <c r="D443" s="30" t="n"/>
      <c r="E443" s="38" t="n"/>
    </row>
    <row r="444">
      <c r="A444" s="37" t="n"/>
      <c r="B444" s="29" t="n"/>
      <c r="C444" s="29" t="n"/>
      <c r="D444" s="30" t="n"/>
      <c r="E444" s="38" t="n"/>
    </row>
    <row r="445">
      <c r="A445" s="37" t="n"/>
      <c r="B445" s="29" t="n"/>
      <c r="C445" s="29" t="n"/>
      <c r="D445" s="30" t="n"/>
      <c r="E445" s="38" t="n"/>
    </row>
    <row r="446">
      <c r="A446" s="37" t="n"/>
      <c r="B446" s="29" t="n"/>
      <c r="C446" s="29" t="n"/>
      <c r="D446" s="30" t="n"/>
      <c r="E446" s="38" t="n"/>
    </row>
    <row r="447">
      <c r="A447" s="37" t="n"/>
      <c r="B447" s="29" t="n"/>
      <c r="C447" s="29" t="n"/>
      <c r="D447" s="30" t="n"/>
      <c r="E447" s="38" t="n"/>
    </row>
    <row r="448">
      <c r="A448" s="37" t="n"/>
      <c r="B448" s="29" t="n"/>
      <c r="C448" s="29" t="n"/>
      <c r="D448" s="30" t="n"/>
      <c r="E448" s="38" t="n"/>
    </row>
    <row r="449">
      <c r="A449" s="37" t="n"/>
      <c r="B449" s="29" t="n"/>
      <c r="C449" s="29" t="n"/>
      <c r="D449" s="30" t="n"/>
      <c r="E449" s="38" t="n"/>
    </row>
    <row r="450">
      <c r="A450" s="37" t="n"/>
      <c r="B450" s="29" t="n"/>
      <c r="C450" s="29" t="n"/>
      <c r="D450" s="30" t="n"/>
      <c r="E450" s="38" t="n"/>
    </row>
    <row r="451">
      <c r="A451" s="37" t="n"/>
      <c r="B451" s="29" t="n"/>
      <c r="C451" s="29" t="n"/>
      <c r="D451" s="30" t="n"/>
      <c r="E451" s="38" t="n"/>
    </row>
    <row r="452">
      <c r="A452" s="37" t="n"/>
      <c r="B452" s="29" t="n"/>
      <c r="C452" s="29" t="n"/>
      <c r="D452" s="30" t="n"/>
      <c r="E452" s="38" t="n"/>
    </row>
    <row r="453">
      <c r="A453" s="37" t="n"/>
      <c r="B453" s="29" t="n"/>
      <c r="C453" s="29" t="n"/>
      <c r="D453" s="30" t="n"/>
      <c r="E453" s="38" t="n"/>
    </row>
    <row r="454">
      <c r="A454" s="37" t="n"/>
      <c r="B454" s="29" t="n"/>
      <c r="C454" s="29" t="n"/>
      <c r="D454" s="30" t="n"/>
      <c r="E454" s="38" t="n"/>
    </row>
    <row r="455">
      <c r="A455" s="37" t="n"/>
      <c r="B455" s="29" t="n"/>
      <c r="C455" s="29" t="n"/>
      <c r="D455" s="30" t="n"/>
      <c r="E455" s="38" t="n"/>
    </row>
    <row r="456">
      <c r="A456" s="37" t="n"/>
      <c r="B456" s="29" t="n"/>
      <c r="C456" s="29" t="n"/>
      <c r="D456" s="30" t="n"/>
      <c r="E456" s="38" t="n"/>
    </row>
    <row r="457">
      <c r="A457" s="37" t="n"/>
      <c r="B457" s="29" t="n"/>
      <c r="C457" s="29" t="n"/>
      <c r="D457" s="30" t="n"/>
      <c r="E457" s="38" t="n"/>
    </row>
    <row r="458">
      <c r="A458" s="37" t="n"/>
      <c r="B458" s="29" t="n"/>
      <c r="C458" s="29" t="n"/>
      <c r="D458" s="30" t="n"/>
      <c r="E458" s="38" t="n"/>
    </row>
    <row r="459">
      <c r="A459" s="37" t="n"/>
      <c r="B459" s="29" t="n"/>
      <c r="C459" s="29" t="n"/>
      <c r="D459" s="30" t="n"/>
      <c r="E459" s="38" t="n"/>
    </row>
    <row r="460">
      <c r="A460" s="37" t="n"/>
      <c r="B460" s="29" t="n"/>
      <c r="C460" s="29" t="n"/>
      <c r="D460" s="30" t="n"/>
      <c r="E460" s="38" t="n"/>
    </row>
    <row r="461">
      <c r="A461" s="37" t="n"/>
      <c r="B461" s="29" t="n"/>
      <c r="C461" s="29" t="n"/>
      <c r="D461" s="30" t="n"/>
      <c r="E461" s="38" t="n"/>
    </row>
    <row r="462">
      <c r="A462" s="37" t="n"/>
      <c r="B462" s="29" t="n"/>
      <c r="C462" s="29" t="n"/>
      <c r="D462" s="30" t="n"/>
      <c r="E462" s="38" t="n"/>
    </row>
    <row r="463">
      <c r="A463" s="37" t="n"/>
      <c r="B463" s="29" t="n"/>
      <c r="C463" s="29" t="n"/>
      <c r="D463" s="30" t="n"/>
      <c r="E463" s="38" t="n"/>
    </row>
    <row r="464">
      <c r="A464" s="37" t="n"/>
      <c r="B464" s="29" t="n"/>
      <c r="C464" s="29" t="n"/>
      <c r="D464" s="30" t="n"/>
      <c r="E464" s="38" t="n"/>
    </row>
    <row r="465">
      <c r="A465" s="37" t="n"/>
      <c r="B465" s="29" t="n"/>
      <c r="C465" s="29" t="n"/>
      <c r="D465" s="30" t="n"/>
      <c r="E465" s="38" t="n"/>
    </row>
    <row r="466">
      <c r="A466" s="37" t="n"/>
      <c r="B466" s="29" t="n"/>
      <c r="C466" s="29" t="n"/>
      <c r="D466" s="30" t="n"/>
      <c r="E466" s="38" t="n"/>
    </row>
    <row r="467">
      <c r="A467" s="37" t="n"/>
      <c r="B467" s="29" t="n"/>
      <c r="C467" s="29" t="n"/>
      <c r="D467" s="30" t="n"/>
      <c r="E467" s="38" t="n"/>
    </row>
    <row r="468">
      <c r="A468" s="37" t="n"/>
      <c r="B468" s="29" t="n"/>
      <c r="C468" s="29" t="n"/>
      <c r="D468" s="30" t="n"/>
      <c r="E468" s="38" t="n"/>
    </row>
    <row r="469">
      <c r="A469" s="37" t="n"/>
      <c r="B469" s="29" t="n"/>
      <c r="C469" s="29" t="n"/>
      <c r="D469" s="30" t="n"/>
      <c r="E469" s="38" t="n"/>
    </row>
    <row r="470">
      <c r="A470" s="37" t="n"/>
      <c r="B470" s="29" t="n"/>
      <c r="C470" s="29" t="n"/>
      <c r="D470" s="30" t="n"/>
      <c r="E470" s="38" t="n"/>
    </row>
    <row r="471">
      <c r="A471" s="37" t="n"/>
      <c r="B471" s="29" t="n"/>
      <c r="C471" s="29" t="n"/>
      <c r="D471" s="30" t="n"/>
      <c r="E471" s="38" t="n"/>
    </row>
    <row r="472">
      <c r="A472" s="37" t="n"/>
      <c r="B472" s="29" t="n"/>
      <c r="C472" s="29" t="n"/>
      <c r="D472" s="30" t="n"/>
      <c r="E472" s="38" t="n"/>
    </row>
    <row r="473">
      <c r="A473" s="37" t="n"/>
      <c r="B473" s="29" t="n"/>
      <c r="C473" s="29" t="n"/>
      <c r="D473" s="30" t="n"/>
      <c r="E473" s="38" t="n"/>
    </row>
    <row r="474">
      <c r="A474" s="37" t="n"/>
      <c r="B474" s="29" t="n"/>
      <c r="C474" s="29" t="n"/>
      <c r="D474" s="30" t="n"/>
      <c r="E474" s="38" t="n"/>
    </row>
    <row r="475">
      <c r="A475" s="37" t="n"/>
      <c r="B475" s="29" t="n"/>
      <c r="C475" s="29" t="n"/>
      <c r="D475" s="30" t="n"/>
      <c r="E475" s="38" t="n"/>
    </row>
    <row r="476">
      <c r="A476" s="37" t="n"/>
      <c r="B476" s="29" t="n"/>
      <c r="C476" s="29" t="n"/>
      <c r="D476" s="30" t="n"/>
      <c r="E476" s="38" t="n"/>
    </row>
    <row r="477">
      <c r="A477" s="37" t="n"/>
      <c r="B477" s="29" t="n"/>
      <c r="C477" s="29" t="n"/>
      <c r="D477" s="30" t="n"/>
      <c r="E477" s="38" t="n"/>
    </row>
    <row r="478">
      <c r="A478" s="37" t="n"/>
      <c r="B478" s="29" t="n"/>
      <c r="C478" s="29" t="n"/>
      <c r="D478" s="30" t="n"/>
      <c r="E478" s="38" t="n"/>
    </row>
    <row r="479">
      <c r="A479" s="37" t="n"/>
      <c r="B479" s="29" t="n"/>
      <c r="C479" s="29" t="n"/>
      <c r="D479" s="30" t="n"/>
      <c r="E479" s="38" t="n"/>
    </row>
    <row r="480">
      <c r="A480" s="37" t="n"/>
      <c r="B480" s="29" t="n"/>
      <c r="C480" s="29" t="n"/>
      <c r="D480" s="30" t="n"/>
      <c r="E480" s="38" t="n"/>
    </row>
    <row r="481">
      <c r="A481" s="37" t="n"/>
      <c r="B481" s="29" t="n"/>
      <c r="C481" s="29" t="n"/>
      <c r="D481" s="30" t="n"/>
      <c r="E481" s="38" t="n"/>
    </row>
    <row r="482">
      <c r="A482" s="37" t="n"/>
      <c r="B482" s="29" t="n"/>
      <c r="C482" s="29" t="n"/>
      <c r="D482" s="30" t="n"/>
      <c r="E482" s="38" t="n"/>
    </row>
    <row r="483">
      <c r="A483" s="37" t="n"/>
      <c r="B483" s="29" t="n"/>
      <c r="C483" s="29" t="n"/>
      <c r="D483" s="30" t="n"/>
      <c r="E483" s="38" t="n"/>
    </row>
    <row r="484">
      <c r="A484" s="37" t="n"/>
      <c r="B484" s="29" t="n"/>
      <c r="C484" s="29" t="n"/>
      <c r="D484" s="30" t="n"/>
      <c r="E484" s="38" t="n"/>
    </row>
    <row r="485">
      <c r="A485" s="37" t="n"/>
      <c r="B485" s="29" t="n"/>
      <c r="C485" s="29" t="n"/>
      <c r="D485" s="30" t="n"/>
      <c r="E485" s="38" t="n"/>
    </row>
    <row r="486">
      <c r="A486" s="37" t="n"/>
      <c r="B486" s="29" t="n"/>
      <c r="C486" s="29" t="n"/>
      <c r="D486" s="30" t="n"/>
      <c r="E486" s="38" t="n"/>
    </row>
    <row r="487">
      <c r="A487" s="37" t="n"/>
      <c r="B487" s="29" t="n"/>
      <c r="C487" s="29" t="n"/>
      <c r="D487" s="30" t="n"/>
      <c r="E487" s="38" t="n"/>
    </row>
    <row r="488">
      <c r="A488" s="37" t="n"/>
      <c r="B488" s="29" t="n"/>
      <c r="C488" s="29" t="n"/>
      <c r="D488" s="30" t="n"/>
      <c r="E488" s="38" t="n"/>
    </row>
    <row r="489">
      <c r="A489" s="37" t="n"/>
      <c r="B489" s="29" t="n"/>
      <c r="C489" s="29" t="n"/>
      <c r="D489" s="30" t="n"/>
      <c r="E489" s="38" t="n"/>
    </row>
    <row r="490">
      <c r="A490" s="37" t="n"/>
      <c r="B490" s="29" t="n"/>
      <c r="C490" s="29" t="n"/>
      <c r="D490" s="30" t="n"/>
      <c r="E490" s="38" t="n"/>
    </row>
    <row r="491">
      <c r="A491" s="37" t="n"/>
      <c r="B491" s="29" t="n"/>
      <c r="C491" s="29" t="n"/>
      <c r="D491" s="30" t="n"/>
      <c r="E491" s="38" t="n"/>
    </row>
    <row r="492">
      <c r="A492" s="37" t="n"/>
      <c r="B492" s="29" t="n"/>
      <c r="C492" s="29" t="n"/>
      <c r="D492" s="30" t="n"/>
      <c r="E492" s="38" t="n"/>
    </row>
    <row r="493">
      <c r="A493" s="37" t="n"/>
      <c r="B493" s="29" t="n"/>
      <c r="C493" s="29" t="n"/>
      <c r="D493" s="30" t="n"/>
      <c r="E493" s="38" t="n"/>
    </row>
    <row r="494">
      <c r="A494" s="37" t="n"/>
      <c r="B494" s="29" t="n"/>
      <c r="C494" s="29" t="n"/>
      <c r="D494" s="30" t="n"/>
      <c r="E494" s="38" t="n"/>
    </row>
    <row r="495">
      <c r="A495" s="37" t="n"/>
      <c r="B495" s="29" t="n"/>
      <c r="C495" s="29" t="n"/>
      <c r="D495" s="30" t="n"/>
      <c r="E495" s="38" t="n"/>
    </row>
    <row r="496">
      <c r="A496" s="37" t="n"/>
      <c r="B496" s="29" t="n"/>
      <c r="C496" s="29" t="n"/>
      <c r="D496" s="30" t="n"/>
      <c r="E496" s="38" t="n"/>
    </row>
    <row r="497">
      <c r="A497" s="37" t="n"/>
      <c r="B497" s="29" t="n"/>
      <c r="C497" s="29" t="n"/>
      <c r="D497" s="30" t="n"/>
      <c r="E497" s="38" t="n"/>
    </row>
    <row r="498">
      <c r="A498" s="37" t="n"/>
      <c r="B498" s="29" t="n"/>
      <c r="C498" s="29" t="n"/>
      <c r="D498" s="30" t="n"/>
      <c r="E498" s="38" t="n"/>
    </row>
    <row r="499">
      <c r="A499" s="37" t="n"/>
      <c r="B499" s="29" t="n"/>
      <c r="C499" s="29" t="n"/>
      <c r="D499" s="30" t="n"/>
      <c r="E499" s="38" t="n"/>
    </row>
    <row r="500">
      <c r="A500" s="37" t="n"/>
      <c r="B500" s="29" t="n"/>
      <c r="C500" s="29" t="n"/>
      <c r="D500" s="30" t="n"/>
      <c r="E500" s="38" t="n"/>
    </row>
    <row r="501">
      <c r="A501" s="37" t="n"/>
      <c r="B501" s="29" t="n"/>
      <c r="C501" s="29" t="n"/>
      <c r="D501" s="30" t="n"/>
      <c r="E501" s="38" t="n"/>
    </row>
    <row r="502">
      <c r="A502" s="37" t="n"/>
      <c r="B502" s="29" t="n"/>
      <c r="C502" s="29" t="n"/>
      <c r="D502" s="30" t="n"/>
      <c r="E502" s="38" t="n"/>
    </row>
    <row r="503">
      <c r="A503" s="37" t="n"/>
      <c r="B503" s="29" t="n"/>
      <c r="C503" s="29" t="n"/>
      <c r="D503" s="30" t="n"/>
      <c r="E503" s="38" t="n"/>
    </row>
  </sheetData>
  <dataValidations count="2">
    <dataValidation sqref="A4:A503" showDropDown="0" showInputMessage="0" showErrorMessage="0" allowBlank="1" type="date" operator="greaterThan">
      <formula1>DATE(2000,1,1)</formula1>
    </dataValidation>
    <dataValidation sqref="B4:B503" showDropDown="0" showInputMessage="0" showErrorMessage="0" allowBlank="1" type="list">
      <formula1>StaffList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3" max="3"/>
  </cols>
  <sheetData>
    <row r="1">
      <c r="A1" s="36" t="inlineStr">
        <is>
          <t>Staff names</t>
        </is>
      </c>
      <c r="C1" s="36" t="inlineStr">
        <is>
          <t>Status options</t>
        </is>
      </c>
      <c r="E1" s="39" t="inlineStr">
        <is>
          <t>Type one name per row in column A with no gaps. They appear in the 'Last updated by' and Log dropdowns automatically.</t>
        </is>
      </c>
    </row>
    <row r="2">
      <c r="A2" s="40" t="n"/>
      <c r="C2" s="29" t="inlineStr">
        <is>
          <t>Active</t>
        </is>
      </c>
    </row>
    <row r="3">
      <c r="A3" s="40" t="n"/>
      <c r="C3" s="29" t="inlineStr">
        <is>
          <t>Delivered</t>
        </is>
      </c>
    </row>
    <row r="4">
      <c r="A4" s="40" t="n"/>
      <c r="C4" s="29" t="inlineStr">
        <is>
          <t>Transferred out</t>
        </is>
      </c>
    </row>
    <row r="5">
      <c r="A5" s="40" t="n"/>
      <c r="C5" s="29" t="inlineStr">
        <is>
          <t>Care ended</t>
        </is>
      </c>
    </row>
    <row r="6">
      <c r="A6" s="40" t="n"/>
    </row>
    <row r="7">
      <c r="A7" s="40" t="n"/>
    </row>
    <row r="8">
      <c r="A8" s="40" t="n"/>
    </row>
    <row r="9">
      <c r="A9" s="40" t="n"/>
    </row>
    <row r="10">
      <c r="A10" s="40" t="n"/>
    </row>
    <row r="11">
      <c r="A11" s="40" t="n"/>
    </row>
    <row r="12">
      <c r="A12" s="40" t="n"/>
    </row>
    <row r="13">
      <c r="A13" s="40" t="n"/>
    </row>
    <row r="14">
      <c r="A14" s="40" t="n"/>
    </row>
    <row r="15">
      <c r="A15" s="40" t="n"/>
    </row>
    <row r="16">
      <c r="A16" s="40" t="n"/>
    </row>
    <row r="17">
      <c r="A17" s="40" t="n"/>
    </row>
    <row r="18">
      <c r="A18" s="40" t="n"/>
    </row>
    <row r="19">
      <c r="A19" s="40" t="n"/>
    </row>
    <row r="20">
      <c r="A20" s="40" t="n"/>
    </row>
    <row r="21">
      <c r="A21" s="40" t="n"/>
    </row>
    <row r="22">
      <c r="A22" s="40" t="n"/>
    </row>
    <row r="23">
      <c r="A23" s="40" t="n"/>
    </row>
    <row r="24">
      <c r="A24" s="40" t="n"/>
    </row>
    <row r="25">
      <c r="A25" s="40" t="n"/>
    </row>
    <row r="26">
      <c r="A26" s="40" t="n"/>
    </row>
    <row r="27">
      <c r="A27" s="40" t="n"/>
    </row>
    <row r="28">
      <c r="A28" s="40" t="n"/>
    </row>
    <row r="29">
      <c r="A29" s="40" t="n"/>
    </row>
    <row r="30">
      <c r="A30" s="40" t="n"/>
    </row>
    <row r="31">
      <c r="A31" s="40" t="n"/>
    </row>
    <row r="32">
      <c r="A32" s="40" t="n"/>
    </row>
    <row r="33">
      <c r="A33" s="40" t="n"/>
    </row>
    <row r="34">
      <c r="A34" s="40" t="n"/>
    </row>
    <row r="35">
      <c r="A35" s="40" t="n"/>
    </row>
    <row r="36">
      <c r="A36" s="40" t="n"/>
    </row>
    <row r="37">
      <c r="A37" s="40" t="n"/>
    </row>
    <row r="38">
      <c r="A38" s="40" t="n"/>
    </row>
    <row r="39">
      <c r="A39" s="40" t="n"/>
    </row>
    <row r="40">
      <c r="A40" s="40" t="n"/>
    </row>
    <row r="41">
      <c r="A41" s="40" t="n"/>
    </row>
    <row r="42">
      <c r="A42" s="40" t="n"/>
    </row>
    <row r="43">
      <c r="A43" s="40" t="n"/>
    </row>
    <row r="44">
      <c r="A44" s="40" t="n"/>
    </row>
    <row r="45">
      <c r="A45" s="40" t="n"/>
    </row>
    <row r="46">
      <c r="A46" s="40" t="n"/>
    </row>
    <row r="47">
      <c r="A47" s="40" t="n"/>
    </row>
    <row r="48">
      <c r="A48" s="40" t="n"/>
    </row>
    <row r="49">
      <c r="A49" s="40" t="n"/>
    </row>
    <row r="50">
      <c r="A50" s="40" t="n"/>
    </row>
    <row r="51">
      <c r="A51" s="40" t="n"/>
    </row>
    <row r="52">
      <c r="A52" s="40" t="n"/>
    </row>
    <row r="53">
      <c r="A53" s="40" t="n"/>
    </row>
    <row r="54">
      <c r="A54" s="40" t="n"/>
    </row>
    <row r="55">
      <c r="A55" s="40" t="n"/>
    </row>
    <row r="56">
      <c r="A56" s="40" t="n"/>
    </row>
    <row r="57">
      <c r="A57" s="40" t="n"/>
    </row>
    <row r="58">
      <c r="A58" s="40" t="n"/>
    </row>
    <row r="59">
      <c r="A59" s="40" t="n"/>
    </row>
    <row r="60">
      <c r="A60" s="40" t="n"/>
    </row>
    <row r="61">
      <c r="A61" s="40" t="n"/>
    </row>
    <row r="62">
      <c r="A62" s="40" t="n"/>
    </row>
    <row r="63">
      <c r="A63" s="40" t="n"/>
    </row>
    <row r="64">
      <c r="A64" s="40" t="n"/>
    </row>
    <row r="65">
      <c r="A65" s="40" t="n"/>
    </row>
    <row r="66">
      <c r="A66" s="40" t="n"/>
    </row>
    <row r="67">
      <c r="A67" s="40" t="n"/>
    </row>
    <row r="68">
      <c r="A68" s="40" t="n"/>
    </row>
    <row r="69">
      <c r="A69" s="40" t="n"/>
    </row>
    <row r="70">
      <c r="A70" s="40" t="n"/>
    </row>
    <row r="71">
      <c r="A71" s="40" t="n"/>
    </row>
    <row r="72">
      <c r="A72" s="40" t="n"/>
    </row>
    <row r="73">
      <c r="A73" s="40" t="n"/>
    </row>
    <row r="74">
      <c r="A74" s="40" t="n"/>
    </row>
    <row r="75">
      <c r="A75" s="40" t="n"/>
    </row>
    <row r="76">
      <c r="A76" s="40" t="n"/>
    </row>
    <row r="77">
      <c r="A77" s="40" t="n"/>
    </row>
    <row r="78">
      <c r="A78" s="40" t="n"/>
    </row>
    <row r="79">
      <c r="A79" s="40" t="n"/>
    </row>
    <row r="80">
      <c r="A80" s="40" t="n"/>
    </row>
    <row r="81">
      <c r="A81" s="40" t="n"/>
    </row>
    <row r="82">
      <c r="A82" s="40" t="n"/>
    </row>
    <row r="83">
      <c r="A83" s="40" t="n"/>
    </row>
    <row r="84">
      <c r="A84" s="40" t="n"/>
    </row>
    <row r="85">
      <c r="A85" s="40" t="n"/>
    </row>
    <row r="86">
      <c r="A86" s="40" t="n"/>
    </row>
    <row r="87">
      <c r="A87" s="40" t="n"/>
    </row>
    <row r="88">
      <c r="A88" s="40" t="n"/>
    </row>
    <row r="89">
      <c r="A89" s="40" t="n"/>
    </row>
    <row r="90">
      <c r="A90" s="40" t="n"/>
    </row>
    <row r="91">
      <c r="A91" s="40" t="n"/>
    </row>
    <row r="92">
      <c r="A92" s="40" t="n"/>
    </row>
    <row r="93">
      <c r="A93" s="40" t="n"/>
    </row>
    <row r="94">
      <c r="A94" s="40" t="n"/>
    </row>
    <row r="95">
      <c r="A95" s="40" t="n"/>
    </row>
    <row r="96">
      <c r="A96" s="40" t="n"/>
    </row>
    <row r="97">
      <c r="A97" s="40" t="n"/>
    </row>
    <row r="98">
      <c r="A98" s="40" t="n"/>
    </row>
    <row r="99">
      <c r="A99" s="40" t="n"/>
    </row>
    <row r="100">
      <c r="A100" s="40" t="n"/>
    </row>
    <row r="101">
      <c r="A101" s="4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41" t="inlineStr">
        <is>
          <t>How to use the caseload tracker</t>
        </is>
      </c>
    </row>
    <row r="3">
      <c r="B3" s="34" t="inlineStr">
        <is>
          <t>Nothing here uses macros, so it works in Excel desktop, Excel Online and Teams, including with several people editing at once.</t>
        </is>
      </c>
    </row>
    <row r="4" ht="22" customHeight="1">
      <c r="B4" s="42" t="inlineStr">
        <is>
          <t>Daily use</t>
        </is>
      </c>
    </row>
    <row r="5">
      <c r="B5" s="34" t="inlineStr">
        <is>
          <t>1. Sort or filter the 'Overdue' or 'Next appt due' column to see who needs something first. The counts along the top show the totals.</t>
        </is>
      </c>
    </row>
    <row r="6">
      <c r="B6" s="34" t="inlineStr">
        <is>
          <t>2. When you change a row, pick your name in 'Last updated by' and press Ctrl + ; in 'Last updated on'. That's the only way anyone can see you touched it.</t>
        </is>
      </c>
    </row>
    <row r="7">
      <c r="B7" s="34" t="inlineStr">
        <is>
          <t>3. For anything more than a date, add a line to the Log tab (date, name, patient, what you did).</t>
        </is>
      </c>
    </row>
    <row r="8">
      <c r="B8" s="34" t="inlineStr">
        <is>
          <t>4. To see what's changed since you last looked: type that date in the yellow box at the top of Caseload (cell B2). Changed rows turn blue and the 'Updated since' count shows how many.</t>
        </is>
      </c>
    </row>
    <row r="9" ht="22" customHeight="1">
      <c r="B9" s="42" t="inlineStr">
        <is>
          <t>What to type where</t>
        </is>
      </c>
    </row>
    <row r="10">
      <c r="B10" s="34" t="inlineStr">
        <is>
          <t>• Patient columns (Name to Status): as now. EDD drives all the appointment due dates. Leave Status blank or set Active while pregnant. Setting Delivered, Transferred out or Care ended greys out the row and stops its flags.</t>
        </is>
      </c>
    </row>
    <row r="11">
      <c r="B11" s="34" t="inlineStr">
        <is>
          <t>• Grey columns (Gestation, Overdue, Due in 7 days, Next appt, Next appt due) are calculated, so don't type in them.</t>
        </is>
      </c>
    </row>
    <row r="12">
      <c r="B12" s="34" t="inlineStr">
        <is>
          <t>• Appointment columns (16/40 to 40/40): enter the date seen, DNA or N/A. Leave blank until it happens. A blank one turns amber in the week before it's due (EDD minus weeks to 40) and red once the due date has passed. DNA stays red until you enter a date.</t>
        </is>
      </c>
    </row>
    <row r="13">
      <c r="B13" s="34" t="inlineStr">
        <is>
          <t>• Action columns (GTT, Anti-D, BP, Bloods, IOL): enter the date it's booked or due. It turns amber within 7 days and red once the date has passed. When it's done, overwrite it with 'Done' (or 'Done 12/3 SW'), which turns it green. N/A turns it grey.</t>
        </is>
      </c>
    </row>
    <row r="14">
      <c r="B14" s="34" t="inlineStr">
        <is>
          <t>• NHS number: orange means it isn't a valid 10-digit NHS number (checksum). Purple means it appears twice.</t>
        </is>
      </c>
    </row>
    <row r="15">
      <c r="B15" s="34" t="inlineStr">
        <is>
          <t>• EDD turns amber if it has passed and the patient is still Active, as a reminder to update Status.</t>
        </is>
      </c>
    </row>
    <row r="16" ht="22" customHeight="1">
      <c r="B16" s="42" t="inlineStr">
        <is>
          <t>Colour key</t>
        </is>
      </c>
    </row>
    <row r="17">
      <c r="B17" s="43" t="inlineStr">
        <is>
          <t>Red: overdue, DNA, or a date that has passed and isn't marked Done</t>
        </is>
      </c>
    </row>
    <row r="18">
      <c r="B18" s="44" t="inlineStr">
        <is>
          <t>Amber: due in the next 7 days</t>
        </is>
      </c>
    </row>
    <row r="19">
      <c r="B19" s="45" t="inlineStr">
        <is>
          <t>Green: done / seen</t>
        </is>
      </c>
    </row>
    <row r="20">
      <c r="B20" s="46" t="inlineStr">
        <is>
          <t>Grey: N/A, or the patient is no longer active</t>
        </is>
      </c>
    </row>
    <row r="21">
      <c r="B21" s="47" t="inlineStr">
        <is>
          <t>Blue: row updated on or after the date in cell B2</t>
        </is>
      </c>
    </row>
    <row r="22" ht="22" customHeight="1">
      <c r="B22" s="42" t="inlineStr">
        <is>
          <t>Example row (format only, fictional)</t>
        </is>
      </c>
    </row>
    <row r="23">
      <c r="B23" s="34" t="inlineStr">
        <is>
          <t>Jane Example | 943 476 5919 | 02/05/1994 | G2P1 | MLC | 10/01/2027 | 18/06/2026 | (Status blank) | 16/40: 09/08/2026 | 25/40: DNA | GTT booked: 14/10/2026 | Anti-D ordered: Done 20/09 | BP fortnightly: N/A | Last updated by: (your name) | Last updated on: 26/09/2026</t>
        </is>
      </c>
    </row>
    <row r="24" ht="22" customHeight="1">
      <c r="B24" s="42" t="inlineStr">
        <is>
          <t>Seeing exactly who changed what</t>
        </is>
      </c>
    </row>
    <row r="25">
      <c r="B25" s="34" t="inlineStr">
        <is>
          <t>If the file is stored on SharePoint, OneDrive or Teams (not a shared drive), Excel keeps a full audit trail automatically:</t>
        </is>
      </c>
    </row>
    <row r="26">
      <c r="B26" s="34" t="inlineStr">
        <is>
          <t>• Review ▸ Show Changes lists every edit with who made it and when. Right-click a cell and choose Show Changes to see that cell's history.</t>
        </is>
      </c>
    </row>
    <row r="27">
      <c r="B27" s="34" t="inlineStr">
        <is>
          <t>• File ▸ Info ▸ Version History lets you open or restore any earlier version.</t>
        </is>
      </c>
    </row>
    <row r="28">
      <c r="B28" s="34" t="inlineStr">
        <is>
          <t>• @mentioning a colleague in a comment (Review ▸ New Comment) sends them an email.</t>
        </is>
      </c>
    </row>
    <row r="29">
      <c r="B29" s="34" t="inlineStr">
        <is>
          <t>The 'Last updated by' columns and the Log are the human-readable layer on top of that.</t>
        </is>
      </c>
    </row>
    <row r="30" ht="22" customHeight="1">
      <c r="B30" s="42" t="inlineStr">
        <is>
          <t>Adding rows</t>
        </is>
      </c>
    </row>
    <row r="31">
      <c r="B31" s="34" t="inlineStr">
        <is>
          <t>The table is pre-formatted for 400 patients. Don't insert columns inside the appointment block, because the due dates are worked out from the '16/40'-style headers.</t>
        </is>
      </c>
    </row>
    <row r="32" ht="22" customHeight="1">
      <c r="B32" s="42" t="inlineStr">
        <is>
          <t>Information governance</t>
        </is>
      </c>
    </row>
    <row r="33">
      <c r="B33" s="34" t="inlineStr">
        <is>
          <t>This holds patient-identifiable data. Keep it in the approved team location with access limited to the team, and follow your trust's IG policy.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2026-09-26T20:35:55Z</dcterms:created>
  <dcterms:modified xmlns:dcterms="http://purl.org/dc/terms/" xmlns:xsi="http://www.w3.org/2001/XMLSchema-instance" xsi:type="dcterms:W3CDTF">2026-09-26T20:35:55Z</dcterms:modified>
</cp:coreProperties>
</file>