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seload" sheetId="1" state="visible" r:id="rId1"/>
    <sheet xmlns:r="http://schemas.openxmlformats.org/officeDocument/2006/relationships" name="Log" sheetId="2" state="visible" r:id="rId2"/>
    <sheet xmlns:r="http://schemas.openxmlformats.org/officeDocument/2006/relationships" name="Staff" sheetId="3" state="visible" r:id="rId3"/>
    <sheet xmlns:r="http://schemas.openxmlformats.org/officeDocument/2006/relationships" name="How to use" sheetId="4" state="visible" r:id="rId4"/>
  </sheets>
  <definedNames>
    <definedName name="StaffList">OFFSET(Staff!$A$2,0,0,MAX(1,COUNTA(Staff!$A$2:$A$101)),1)</definedName>
    <definedName name="StatusList">Staff!$C$2:$C$5</definedName>
    <definedName name="_xlnm.Print_Titles" localSheetId="0">'Caseload'!$4:$4</definedName>
  </definedNames>
  <calcPr calcId="124519" fullCalcOnLoad="1"/>
</workbook>
</file>

<file path=xl/styles.xml><?xml version="1.0" encoding="utf-8"?>
<styleSheet xmlns="http://schemas.openxmlformats.org/spreadsheetml/2006/main">
  <numFmts count="1">
    <numFmt numFmtId="164" formatCode="dd/mm/yyyy"/>
  </numFmts>
  <fonts count="27">
    <font>
      <name val="Calibri"/>
      <family val="2"/>
      <color theme="1"/>
      <sz val="11"/>
      <scheme val="minor"/>
    </font>
    <font>
      <name val="Arial"/>
      <b val="1"/>
      <color rgb="001F4E79"/>
      <sz val="14"/>
    </font>
    <font>
      <name val="Arial"/>
      <b val="1"/>
      <sz val="10"/>
    </font>
    <font>
      <name val="Arial"/>
      <b val="1"/>
      <color rgb="000000FF"/>
      <sz val="10"/>
    </font>
    <font>
      <name val="Arial"/>
      <color rgb="00595959"/>
      <sz val="8"/>
    </font>
    <font>
      <name val="Arial"/>
      <b val="1"/>
      <sz val="12"/>
    </font>
    <font>
      <name val="Arial"/>
      <b val="1"/>
      <color rgb="009C0006"/>
      <sz val="12"/>
    </font>
    <font>
      <name val="Arial"/>
      <b val="1"/>
      <color rgb="007F6000"/>
      <sz val="12"/>
    </font>
    <font>
      <name val="Arial"/>
      <b val="1"/>
      <color rgb="001F3864"/>
      <sz val="12"/>
    </font>
    <font>
      <name val="Arial"/>
      <b val="1"/>
      <sz val="9"/>
    </font>
    <font>
      <name val="Arial"/>
      <color rgb="009C0006"/>
      <sz val="8"/>
    </font>
    <font>
      <name val="Arial"/>
      <color rgb="007F6000"/>
      <sz val="8"/>
    </font>
    <font>
      <name val="Arial"/>
      <color rgb="00006100"/>
      <sz val="8"/>
    </font>
    <font>
      <name val="Arial"/>
      <color rgb="001F3864"/>
      <sz val="8"/>
    </font>
    <font>
      <name val="Arial"/>
      <color rgb="00833C0B"/>
      <sz val="8"/>
    </font>
    <font>
      <name val="Arial"/>
      <color rgb="00403151"/>
      <sz val="8"/>
    </font>
    <font>
      <name val="Arial"/>
      <b val="1"/>
      <color rgb="00404040"/>
      <sz val="9"/>
    </font>
    <font>
      <name val="Arial"/>
      <b val="1"/>
      <color rgb="00FFFFFF"/>
      <sz val="10"/>
    </font>
    <font>
      <name val="Arial"/>
      <sz val="10"/>
    </font>
    <font>
      <name val="Arial"/>
      <b val="1"/>
      <color rgb="001F4E79"/>
      <sz val="12"/>
    </font>
    <font>
      <name val="Arial"/>
      <i val="1"/>
      <color rgb="00595959"/>
      <sz val="9"/>
    </font>
    <font>
      <name val="Arial"/>
      <b val="1"/>
      <color rgb="001F4E79"/>
      <sz val="11"/>
    </font>
    <font>
      <name val="Arial"/>
      <color rgb="009C0006"/>
      <sz val="10"/>
    </font>
    <font>
      <name val="Arial"/>
      <color rgb="007F6000"/>
      <sz val="10"/>
    </font>
    <font>
      <name val="Arial"/>
      <color rgb="00006100"/>
      <sz val="10"/>
    </font>
    <font>
      <name val="Arial"/>
      <color rgb="00595959"/>
      <sz val="10"/>
    </font>
    <font>
      <name val="Arial"/>
      <color rgb="001F3864"/>
      <sz val="10"/>
    </font>
  </fonts>
  <fills count="16">
    <fill>
      <patternFill/>
    </fill>
    <fill>
      <patternFill patternType="gray125"/>
    </fill>
    <fill>
      <patternFill patternType="solid">
        <fgColor rgb="00FFF2CC"/>
        <bgColor rgb="00FFF2CC"/>
      </patternFill>
    </fill>
    <fill>
      <patternFill patternType="solid">
        <fgColor rgb="00F8CBCB"/>
        <bgColor rgb="00F8CBCB"/>
      </patternFill>
    </fill>
    <fill>
      <patternFill patternType="solid">
        <fgColor rgb="00FFE699"/>
        <bgColor rgb="00FFE699"/>
      </patternFill>
    </fill>
    <fill>
      <patternFill patternType="solid">
        <fgColor rgb="00C6EFCE"/>
        <bgColor rgb="00C6EFCE"/>
      </patternFill>
    </fill>
    <fill>
      <patternFill patternType="solid">
        <fgColor rgb="00E7E6E6"/>
        <bgColor rgb="00E7E6E6"/>
      </patternFill>
    </fill>
    <fill>
      <patternFill patternType="solid">
        <fgColor rgb="00BDD7EE"/>
        <bgColor rgb="00BDD7EE"/>
      </patternFill>
    </fill>
    <fill>
      <patternFill patternType="solid">
        <fgColor rgb="00F8CBAD"/>
        <bgColor rgb="00F8CBAD"/>
      </patternFill>
    </fill>
    <fill>
      <patternFill patternType="solid">
        <fgColor rgb="00E4DFEC"/>
        <bgColor rgb="00E4DFEC"/>
      </patternFill>
    </fill>
    <fill>
      <patternFill patternType="solid">
        <fgColor rgb="00DDEBF7"/>
        <bgColor rgb="00DDEBF7"/>
      </patternFill>
    </fill>
    <fill>
      <patternFill patternType="solid">
        <fgColor rgb="001F4E79"/>
        <bgColor rgb="001F4E79"/>
      </patternFill>
    </fill>
    <fill>
      <patternFill patternType="solid">
        <fgColor rgb="00EDEDED"/>
        <bgColor rgb="00EDEDED"/>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s>
  <borders count="2">
    <border>
      <left/>
      <right/>
      <top/>
      <bottom/>
      <diagonal/>
    </border>
    <border>
      <left style="thin">
        <color rgb="007F7F7F"/>
      </left>
      <right style="thin">
        <color rgb="007F7F7F"/>
      </right>
      <top style="thin">
        <color rgb="007F7F7F"/>
      </top>
      <bottom style="thin">
        <color rgb="007F7F7F"/>
      </bottom>
    </border>
  </borders>
  <cellStyleXfs count="1">
    <xf numFmtId="0" fontId="0" fillId="0" borderId="0"/>
  </cellStyleXfs>
  <cellXfs count="48">
    <xf numFmtId="0" fontId="0" fillId="0" borderId="0" pivotButton="0" quotePrefix="0" xfId="0"/>
    <xf numFmtId="0" fontId="1" fillId="0" borderId="0" pivotButton="0" quotePrefix="0" xfId="0"/>
    <xf numFmtId="0" fontId="4" fillId="0" borderId="0" applyAlignment="1" pivotButton="0" quotePrefix="0" xfId="0">
      <alignment horizontal="center"/>
    </xf>
    <xf numFmtId="0" fontId="9" fillId="0" borderId="0" pivotButton="0" quotePrefix="0" xfId="0"/>
    <xf numFmtId="0" fontId="2" fillId="0" borderId="0" applyAlignment="1" pivotButton="0" quotePrefix="0" xfId="0">
      <alignment horizontal="right"/>
    </xf>
    <xf numFmtId="164" fontId="3" fillId="2" borderId="1" pivotButton="0" quotePrefix="0" xfId="0"/>
    <xf numFmtId="164" fontId="5" fillId="0" borderId="0" applyAlignment="1" pivotButton="0" quotePrefix="0" xfId="0">
      <alignment horizontal="center"/>
    </xf>
    <xf numFmtId="0" fontId="5" fillId="0" borderId="0" applyAlignment="1" pivotButton="0" quotePrefix="0" xfId="0">
      <alignment horizontal="center"/>
    </xf>
    <xf numFmtId="0" fontId="6" fillId="0" borderId="0" applyAlignment="1" pivotButton="0" quotePrefix="0" xfId="0">
      <alignment horizontal="center"/>
    </xf>
    <xf numFmtId="0" fontId="7" fillId="0" borderId="0" applyAlignment="1" pivotButton="0" quotePrefix="0" xfId="0">
      <alignment horizontal="center"/>
    </xf>
    <xf numFmtId="0" fontId="8" fillId="0" borderId="0" applyAlignment="1" pivotButton="0" quotePrefix="0" xfId="0">
      <alignment horizontal="center"/>
    </xf>
    <xf numFmtId="0" fontId="10" fillId="3" borderId="0" applyAlignment="1" pivotButton="0" quotePrefix="0" xfId="0">
      <alignment horizontal="center" vertical="center" wrapText="1"/>
    </xf>
    <xf numFmtId="0" fontId="11" fillId="4" borderId="0" applyAlignment="1" pivotButton="0" quotePrefix="0" xfId="0">
      <alignment horizontal="center" vertical="center" wrapText="1"/>
    </xf>
    <xf numFmtId="0" fontId="12" fillId="5" borderId="0" applyAlignment="1" pivotButton="0" quotePrefix="0" xfId="0">
      <alignment horizontal="center" vertical="center" wrapText="1"/>
    </xf>
    <xf numFmtId="0" fontId="4" fillId="6" borderId="0" applyAlignment="1" pivotButton="0" quotePrefix="0" xfId="0">
      <alignment horizontal="center" vertical="center" wrapText="1"/>
    </xf>
    <xf numFmtId="0" fontId="13" fillId="7" borderId="0" applyAlignment="1" pivotButton="0" quotePrefix="0" xfId="0">
      <alignment horizontal="center" vertical="center" wrapText="1"/>
    </xf>
    <xf numFmtId="0" fontId="14"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6" fillId="10" borderId="0" pivotButton="0" quotePrefix="0" xfId="0"/>
    <xf numFmtId="0" fontId="0" fillId="10" borderId="0" pivotButton="0" quotePrefix="0" xfId="0"/>
    <xf numFmtId="0" fontId="16" fillId="12" borderId="0" pivotButton="0" quotePrefix="0" xfId="0"/>
    <xf numFmtId="0" fontId="0" fillId="12" borderId="0" pivotButton="0" quotePrefix="0" xfId="0"/>
    <xf numFmtId="0" fontId="16" fillId="13" borderId="0" pivotButton="0" quotePrefix="0" xfId="0"/>
    <xf numFmtId="0" fontId="0" fillId="13" borderId="0" pivotButton="0" quotePrefix="0" xfId="0"/>
    <xf numFmtId="0" fontId="16" fillId="14" borderId="0" pivotButton="0" quotePrefix="0" xfId="0"/>
    <xf numFmtId="0" fontId="0" fillId="14" borderId="0" pivotButton="0" quotePrefix="0" xfId="0"/>
    <xf numFmtId="0" fontId="16" fillId="2" borderId="0" pivotButton="0" quotePrefix="0" xfId="0"/>
    <xf numFmtId="0" fontId="0" fillId="2" borderId="0" pivotButton="0" quotePrefix="0" xfId="0"/>
    <xf numFmtId="0" fontId="17" fillId="11" borderId="0" applyAlignment="1" pivotButton="0" quotePrefix="0" xfId="0">
      <alignment horizontal="center" vertical="center" wrapText="1"/>
    </xf>
    <xf numFmtId="0" fontId="18" fillId="0" borderId="0" pivotButton="0" quotePrefix="0" xfId="0"/>
    <xf numFmtId="49" fontId="18" fillId="0" borderId="0" pivotButton="0" quotePrefix="0" xfId="0"/>
    <xf numFmtId="164" fontId="18" fillId="0" borderId="0" applyAlignment="1" pivotButton="0" quotePrefix="0" xfId="0">
      <alignment horizontal="center"/>
    </xf>
    <xf numFmtId="0" fontId="18" fillId="15" borderId="0" applyAlignment="1" pivotButton="0" quotePrefix="0" xfId="0">
      <alignment horizontal="center"/>
    </xf>
    <xf numFmtId="164" fontId="18" fillId="15" borderId="0" applyAlignment="1" pivotButton="0" quotePrefix="0" xfId="0">
      <alignment horizontal="center"/>
    </xf>
    <xf numFmtId="0" fontId="18" fillId="0" borderId="0" applyAlignment="1" pivotButton="0" quotePrefix="0" xfId="0">
      <alignment vertical="top" wrapText="1"/>
    </xf>
    <xf numFmtId="0" fontId="19" fillId="0" borderId="0" pivotButton="0" quotePrefix="0" xfId="0"/>
    <xf numFmtId="0" fontId="17" fillId="11" borderId="0" pivotButton="0" quotePrefix="0" xfId="0"/>
    <xf numFmtId="164" fontId="18" fillId="0" borderId="0" pivotButton="0" quotePrefix="0" xfId="0"/>
    <xf numFmtId="0" fontId="18" fillId="0" borderId="0" applyAlignment="1" pivotButton="0" quotePrefix="0" xfId="0">
      <alignment wrapText="1"/>
    </xf>
    <xf numFmtId="0" fontId="20" fillId="0" borderId="0" pivotButton="0" quotePrefix="0" xfId="0"/>
    <xf numFmtId="0" fontId="18" fillId="2" borderId="0" pivotButton="0" quotePrefix="0" xfId="0"/>
    <xf numFmtId="0" fontId="1" fillId="0" borderId="0" applyAlignment="1" pivotButton="0" quotePrefix="0" xfId="0">
      <alignment vertical="top" wrapText="1"/>
    </xf>
    <xf numFmtId="0" fontId="21" fillId="0" borderId="0" applyAlignment="1" pivotButton="0" quotePrefix="0" xfId="0">
      <alignment vertical="top" wrapText="1"/>
    </xf>
    <xf numFmtId="0" fontId="22" fillId="3" borderId="0" applyAlignment="1" pivotButton="0" quotePrefix="0" xfId="0">
      <alignment vertical="top" wrapText="1"/>
    </xf>
    <xf numFmtId="0" fontId="23" fillId="4" borderId="0" applyAlignment="1" pivotButton="0" quotePrefix="0" xfId="0">
      <alignment vertical="top" wrapText="1"/>
    </xf>
    <xf numFmtId="0" fontId="24" fillId="5" borderId="0" applyAlignment="1" pivotButton="0" quotePrefix="0" xfId="0">
      <alignment vertical="top" wrapText="1"/>
    </xf>
    <xf numFmtId="0" fontId="25" fillId="6" borderId="0" applyAlignment="1" pivotButton="0" quotePrefix="0" xfId="0">
      <alignment vertical="top" wrapText="1"/>
    </xf>
    <xf numFmtId="0" fontId="26" fillId="7" borderId="0" applyAlignment="1" pivotButton="0" quotePrefix="0" xfId="0">
      <alignment vertical="top" wrapText="1"/>
    </xf>
  </cellXfs>
  <cellStyles count="1">
    <cellStyle name="Normal" xfId="0" builtinId="0" hidden="0"/>
  </cellStyles>
  <dxfs count="11">
    <dxf>
      <font>
        <color rgb="00595959"/>
      </font>
      <fill>
        <patternFill patternType="solid">
          <fgColor rgb="00E7E6E6"/>
          <bgColor rgb="00E7E6E6"/>
        </patternFill>
      </fill>
    </dxf>
    <dxf>
      <font>
        <color rgb="009C0006"/>
      </font>
      <fill>
        <patternFill patternType="solid">
          <fgColor rgb="00E7E6E6"/>
          <bgColor rgb="00E7E6E6"/>
        </patternFill>
      </fill>
    </dxf>
    <dxf>
      <font>
        <b val="1"/>
        <color rgb="009C0006"/>
      </font>
      <fill>
        <patternFill patternType="solid">
          <fgColor rgb="00F8CBCB"/>
          <bgColor rgb="00F8CBCB"/>
        </patternFill>
      </fill>
    </dxf>
    <dxf>
      <font>
        <b val="1"/>
        <color rgb="007F6000"/>
      </font>
      <fill>
        <patternFill patternType="solid">
          <fgColor rgb="00FFE699"/>
          <bgColor rgb="00FFE699"/>
        </patternFill>
      </fill>
    </dxf>
    <dxf>
      <font>
        <color rgb="00006100"/>
      </font>
      <fill>
        <patternFill patternType="solid">
          <fgColor rgb="00C6EFCE"/>
          <bgColor rgb="00C6EFCE"/>
        </patternFill>
      </fill>
    </dxf>
    <dxf>
      <font>
        <color rgb="009C0006"/>
      </font>
      <fill>
        <patternFill patternType="solid">
          <fgColor rgb="00F8CBCB"/>
          <bgColor rgb="00F8CBCB"/>
        </patternFill>
      </fill>
    </dxf>
    <dxf>
      <font>
        <color rgb="007F6000"/>
      </font>
      <fill>
        <patternFill patternType="solid">
          <fgColor rgb="00FFE699"/>
          <bgColor rgb="00FFE699"/>
        </patternFill>
      </fill>
    </dxf>
    <dxf>
      <font>
        <color rgb="00833C0B"/>
      </font>
      <fill>
        <patternFill patternType="solid">
          <fgColor rgb="00F8CBAD"/>
          <bgColor rgb="00F8CBAD"/>
        </patternFill>
      </fill>
    </dxf>
    <dxf>
      <font>
        <color rgb="00403151"/>
      </font>
      <fill>
        <patternFill patternType="solid">
          <fgColor rgb="00E4DFEC"/>
          <bgColor rgb="00E4DFEC"/>
        </patternFill>
      </fill>
    </dxf>
    <dxf>
      <font>
        <b val="1"/>
        <color rgb="001F3864"/>
      </font>
      <fill>
        <patternFill patternType="solid">
          <fgColor rgb="00BDD7EE"/>
          <bgColor rgb="00BDD7EE"/>
        </patternFill>
      </fill>
    </dxf>
    <dxf>
      <font>
        <i val="1"/>
        <color rgb="00A6A6A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Tracker</author>
  </authors>
  <commentList>
    <comment ref="B2" authorId="0" shapeId="0">
      <text>
        <t>Type the date you last checked the sheet (Ctrl+; for today). Rows whose 'Last updated on' is on or after it turn blue, and the count appears to the right.</t>
      </text>
    </comment>
  </commentList>
</comments>
</file>

<file path=xl/tables/table1.xml><?xml version="1.0" encoding="utf-8"?>
<table xmlns="http://schemas.openxmlformats.org/spreadsheetml/2006/main" id="1" name="CaseloadTable" displayName="CaseloadTable" ref="A4:AC404" headerRowCount="1">
  <autoFilter ref="A4:AC404"/>
  <tableColumns count="29">
    <tableColumn id="1" name="Name"/>
    <tableColumn id="2" name="NHS number"/>
    <tableColumn id="3" name="DOB"/>
    <tableColumn id="4" name="Parity"/>
    <tableColumn id="5" name="MLC/CLC"/>
    <tableColumn id="6" name="EDD"/>
    <tableColumn id="7" name="Status"/>
    <tableColumn id="8" name="Gestation today"/>
    <tableColumn id="9" name="Overdue"/>
    <tableColumn id="10" name="Due in 7 days"/>
    <tableColumn id="11" name="Next appt"/>
    <tableColumn id="12" name="Next appt due"/>
    <tableColumn id="13" name="Booking date"/>
    <tableColumn id="14" name="16/40"/>
    <tableColumn id="15" name="25/40"/>
    <tableColumn id="16" name="28/40"/>
    <tableColumn id="17" name="31/40"/>
    <tableColumn id="18" name="34/40"/>
    <tableColumn id="19" name="36/40"/>
    <tableColumn id="20" name="38/40"/>
    <tableColumn id="21" name="40/40"/>
    <tableColumn id="22" name="GTT booked"/>
    <tableColumn id="23" name="Anti-D ordered"/>
    <tableColumn id="24" name="BP fortnightly"/>
    <tableColumn id="25" name="Bloods needed"/>
    <tableColumn id="26" name="IOL booked"/>
    <tableColumn id="27" name="Info"/>
    <tableColumn id="28" name="Last updated by"/>
    <tableColumn id="29" name="Last updated on"/>
  </tableColumns>
  <tableStyleInfo name="TableStyleLight1" showRowStripes="1"/>
</table>
</file>

<file path=xl/tables/table2.xml><?xml version="1.0" encoding="utf-8"?>
<table xmlns="http://schemas.openxmlformats.org/spreadsheetml/2006/main" id="2" name="UpdateLog" displayName="UpdateLog" ref="A3:E503" headerRowCount="1">
  <autoFilter ref="A3:E503"/>
  <tableColumns count="5">
    <tableColumn id="1" name="Date"/>
    <tableColumn id="2" name="Staff"/>
    <tableColumn id="3" name="Patient name"/>
    <tableColumn id="4" name="NHS number"/>
    <tableColumn id="5" name="What was done / changed"/>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AC40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4" customWidth="1" min="2" max="2"/>
    <col width="11" customWidth="1" min="3" max="3"/>
    <col width="8" customWidth="1" min="4" max="4"/>
    <col width="9" customWidth="1" min="5" max="5"/>
    <col width="11" customWidth="1" min="6" max="6"/>
    <col width="13" customWidth="1" min="7" max="7"/>
    <col width="10" customWidth="1" min="8" max="8"/>
    <col width="9" customWidth="1" min="9" max="9"/>
    <col width="9" customWidth="1" min="10" max="10"/>
    <col width="9" customWidth="1" min="11" max="11"/>
    <col width="11" customWidth="1" min="12" max="12"/>
    <col width="11"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1" customWidth="1" min="22" max="22"/>
    <col width="11" customWidth="1" min="23" max="23"/>
    <col width="11" customWidth="1" min="24" max="24"/>
    <col width="11" customWidth="1" min="25" max="25"/>
    <col width="11" customWidth="1" min="26" max="26"/>
    <col width="40" customWidth="1" min="27" max="27"/>
    <col width="15" customWidth="1" min="28" max="28"/>
    <col width="12" customWidth="1" min="29" max="29"/>
  </cols>
  <sheetData>
    <row r="1">
      <c r="A1" s="1" t="inlineStr">
        <is>
          <t>Antenatal Caseload Tracker</t>
        </is>
      </c>
      <c r="C1" s="2" t="inlineStr">
        <is>
          <t>Today</t>
        </is>
      </c>
      <c r="D1" s="2" t="n"/>
      <c r="E1" s="2" t="inlineStr">
        <is>
          <t>Active</t>
        </is>
      </c>
      <c r="F1" s="2" t="inlineStr">
        <is>
          <t>Pts overdue</t>
        </is>
      </c>
      <c r="G1" s="2" t="inlineStr">
        <is>
          <t>Pts due ≤7d</t>
        </is>
      </c>
      <c r="H1" s="2" t="inlineStr">
        <is>
          <t>Updated since</t>
        </is>
      </c>
      <c r="N1" s="3" t="inlineStr">
        <is>
          <t>Key:</t>
        </is>
      </c>
    </row>
    <row r="2" ht="26" customHeight="1">
      <c r="A2" s="4" t="inlineStr">
        <is>
          <t>Highlight updates since:</t>
        </is>
      </c>
      <c r="B2" s="5" t="n"/>
      <c r="C2" s="6">
        <f>TODAY()</f>
        <v/>
      </c>
      <c r="D2" s="7" t="n"/>
      <c r="E2" s="7">
        <f>SUMPRODUCT(($A$5:$A$404&lt;&gt;"")*(($G$5:$G$404="")+($G$5:$G$404="Active")))</f>
        <v/>
      </c>
      <c r="F2" s="8">
        <f>COUNTIF($I$5:$I$404,"&gt;0")</f>
        <v/>
      </c>
      <c r="G2" s="9">
        <f>COUNTIF($J$5:$J$404,"&gt;0")</f>
        <v/>
      </c>
      <c r="H2" s="10">
        <f>IF($B$2="","-",COUNTIF($AC$5:$AC$404,"&gt;="&amp;$B$2))</f>
        <v/>
      </c>
      <c r="N2" s="11" t="inlineStr">
        <is>
          <t>Overdue / not confirmed</t>
        </is>
      </c>
      <c r="O2" s="12" t="inlineStr">
        <is>
          <t>Due in next 7 days</t>
        </is>
      </c>
      <c r="P2" s="13" t="inlineStr">
        <is>
          <t>Confirmed / done</t>
        </is>
      </c>
      <c r="Q2" s="14" t="inlineStr">
        <is>
          <t>N/A or not active</t>
        </is>
      </c>
      <c r="R2" s="15" t="inlineStr">
        <is>
          <t>Updated since your date</t>
        </is>
      </c>
      <c r="S2" s="16" t="inlineStr">
        <is>
          <t>NHS no. invalid</t>
        </is>
      </c>
      <c r="T2" s="17" t="inlineStr">
        <is>
          <t>NHS no. duplicate</t>
        </is>
      </c>
    </row>
    <row r="3">
      <c r="A3" s="18" t="inlineStr">
        <is>
          <t>Patient</t>
        </is>
      </c>
      <c r="B3" s="19" t="n"/>
      <c r="C3" s="19" t="n"/>
      <c r="D3" s="19" t="n"/>
      <c r="E3" s="19" t="n"/>
      <c r="F3" s="19" t="n"/>
      <c r="G3" s="19" t="n"/>
      <c r="H3" s="20" t="inlineStr">
        <is>
          <t>Auto (don't type)</t>
        </is>
      </c>
      <c r="I3" s="21" t="n"/>
      <c r="J3" s="21" t="n"/>
      <c r="K3" s="21" t="n"/>
      <c r="L3" s="21" t="n"/>
      <c r="M3" s="22" t="inlineStr">
        <is>
          <t>Appointments: enter date booked, DNA or N/A</t>
        </is>
      </c>
      <c r="N3" s="23" t="n"/>
      <c r="O3" s="23" t="n"/>
      <c r="P3" s="23" t="n"/>
      <c r="Q3" s="23" t="n"/>
      <c r="R3" s="23" t="n"/>
      <c r="S3" s="23" t="n"/>
      <c r="T3" s="23" t="n"/>
      <c r="U3" s="23" t="n"/>
      <c r="V3" s="24" t="inlineStr">
        <is>
          <t>Actions: enter date booked/due, then 'Done'</t>
        </is>
      </c>
      <c r="W3" s="25" t="n"/>
      <c r="X3" s="25" t="n"/>
      <c r="Y3" s="25" t="n"/>
      <c r="Z3" s="25" t="n"/>
      <c r="AA3" s="26" t="inlineStr">
        <is>
          <t>Notes &amp; audit</t>
        </is>
      </c>
      <c r="AB3" s="27" t="n"/>
      <c r="AC3" s="27" t="n"/>
    </row>
    <row r="4" ht="30" customHeight="1">
      <c r="A4" s="28" t="inlineStr">
        <is>
          <t>Name</t>
        </is>
      </c>
      <c r="B4" s="28" t="inlineStr">
        <is>
          <t>NHS number</t>
        </is>
      </c>
      <c r="C4" s="28" t="inlineStr">
        <is>
          <t>DOB</t>
        </is>
      </c>
      <c r="D4" s="28" t="inlineStr">
        <is>
          <t>Parity</t>
        </is>
      </c>
      <c r="E4" s="28" t="inlineStr">
        <is>
          <t>MLC/CLC</t>
        </is>
      </c>
      <c r="F4" s="28" t="inlineStr">
        <is>
          <t>EDD</t>
        </is>
      </c>
      <c r="G4" s="28" t="inlineStr">
        <is>
          <t>Status</t>
        </is>
      </c>
      <c r="H4" s="28" t="inlineStr">
        <is>
          <t>Gestation today</t>
        </is>
      </c>
      <c r="I4" s="28" t="inlineStr">
        <is>
          <t>Overdue</t>
        </is>
      </c>
      <c r="J4" s="28" t="inlineStr">
        <is>
          <t>Due in 7 days</t>
        </is>
      </c>
      <c r="K4" s="28" t="inlineStr">
        <is>
          <t>Next appt</t>
        </is>
      </c>
      <c r="L4" s="28" t="inlineStr">
        <is>
          <t>Next appt due</t>
        </is>
      </c>
      <c r="M4" s="28" t="inlineStr">
        <is>
          <t>Booking date</t>
        </is>
      </c>
      <c r="N4" s="28" t="inlineStr">
        <is>
          <t>16/40</t>
        </is>
      </c>
      <c r="O4" s="28" t="inlineStr">
        <is>
          <t>25/40</t>
        </is>
      </c>
      <c r="P4" s="28" t="inlineStr">
        <is>
          <t>28/40</t>
        </is>
      </c>
      <c r="Q4" s="28" t="inlineStr">
        <is>
          <t>31/40</t>
        </is>
      </c>
      <c r="R4" s="28" t="inlineStr">
        <is>
          <t>34/40</t>
        </is>
      </c>
      <c r="S4" s="28" t="inlineStr">
        <is>
          <t>36/40</t>
        </is>
      </c>
      <c r="T4" s="28" t="inlineStr">
        <is>
          <t>38/40</t>
        </is>
      </c>
      <c r="U4" s="28" t="inlineStr">
        <is>
          <t>40/40</t>
        </is>
      </c>
      <c r="V4" s="28" t="inlineStr">
        <is>
          <t>GTT booked</t>
        </is>
      </c>
      <c r="W4" s="28" t="inlineStr">
        <is>
          <t>Anti-D ordered</t>
        </is>
      </c>
      <c r="X4" s="28" t="inlineStr">
        <is>
          <t>BP fortnightly</t>
        </is>
      </c>
      <c r="Y4" s="28" t="inlineStr">
        <is>
          <t>Bloods needed</t>
        </is>
      </c>
      <c r="Z4" s="28" t="inlineStr">
        <is>
          <t>IOL booked</t>
        </is>
      </c>
      <c r="AA4" s="28" t="inlineStr">
        <is>
          <t>Info</t>
        </is>
      </c>
      <c r="AB4" s="28" t="inlineStr">
        <is>
          <t>Last updated by</t>
        </is>
      </c>
      <c r="AC4" s="28" t="inlineStr">
        <is>
          <t>Last updated on</t>
        </is>
      </c>
    </row>
    <row r="5">
      <c r="A5" s="29" t="n"/>
      <c r="B5" s="30" t="n"/>
      <c r="C5" s="31" t="n"/>
      <c r="D5" s="29" t="n"/>
      <c r="E5" s="29" t="n"/>
      <c r="F5" s="31" t="n"/>
      <c r="G5" s="29" t="n"/>
      <c r="H5" s="32">
        <f>IF(OR(NOT(AND($A5&lt;&gt;"",OR($G5="",$G5="Active"))),$F5=""),"",INT((TODAY()-$F5+280)/7)&amp;"+"&amp;MOD(TODAY()-$F5+280,7))</f>
        <v/>
      </c>
      <c r="I5" s="32">
        <f>IF(NOT(AND($A5&lt;&gt;"",OR($G5="",$G5="Active"))),"",IF(OR(IFERROR(LOOKUP(2,1/(ISNUMBER($M5:$U5)+($M5:$U5="DNA")),$M5:$U5),"")="DNA",AND(ISNUMBER(IFERROR(LOOKUP(2,1/(ISNUMBER($M5:$U5)+($M5:$U5="DNA")),$M5:$U5),"")),IFERROR(LOOKUP(2,1/(ISNUMBER($M5:$U5)+($M5:$U5="DNA")),$M5:$U5),"")&lt;TODAY())),1,0)+COUNTIF($V5:$Z5,"&lt;"&amp;TODAY()))</f>
        <v/>
      </c>
      <c r="J5" s="32">
        <f>IF(NOT(AND($A5&lt;&gt;"",OR($G5="",$G5="Active"))),"",COUNTIFS($M5:$U5,"&gt;="&amp;TODAY(),$M5:$U5,"&lt;="&amp;TODAY()+7)+COUNTIFS($V5:$Z5,"&gt;="&amp;TODAY(),$V5:$Z5,"&lt;="&amp;TODAY()+7))</f>
        <v/>
      </c>
      <c r="K5" s="32">
        <f>IF(NOT(AND($A5&lt;&gt;"",OR($G5="",$G5="Active"))),"",IF($L5&lt;&gt;"",IF($L5=$M5,"Booking",INDEX($N$4:$U$4,MATCH($L5,$N5:$U5,0))),IF(IFERROR(LOOKUP(2,1/(ISNUMBER($M5:$U5)+($M5:$U5="DNA")),$M5:$U5),"")="DNA","Rebook DNA",IF(ISNUMBER(IFERROR(LOOKUP(2,1/(ISNUMBER($M5:$U5)+($M5:$U5="DNA")),$M5:$U5),"")),IF(ISNUMBER($U5),"Update status","Missed/not booked?"),""))))</f>
        <v/>
      </c>
      <c r="L5" s="33">
        <f>IF(NOT(AND($A5&lt;&gt;"",OR($G5="",$G5="Active"))),"",IFERROR(SMALL($M5:$U5,COUNTIF($M5:$U5,"&lt;"&amp;TODAY())+1),""))</f>
        <v/>
      </c>
      <c r="M5" s="31" t="n"/>
      <c r="N5" s="31" t="n"/>
      <c r="O5" s="31" t="n"/>
      <c r="P5" s="31" t="n"/>
      <c r="Q5" s="31" t="n"/>
      <c r="R5" s="31" t="n"/>
      <c r="S5" s="31" t="n"/>
      <c r="T5" s="31" t="n"/>
      <c r="U5" s="31" t="n"/>
      <c r="V5" s="31" t="n"/>
      <c r="W5" s="31" t="n"/>
      <c r="X5" s="31" t="n"/>
      <c r="Y5" s="31" t="n"/>
      <c r="Z5" s="31" t="n"/>
      <c r="AA5" s="34" t="n"/>
      <c r="AB5" s="29" t="n"/>
      <c r="AC5" s="31" t="n"/>
    </row>
    <row r="6">
      <c r="A6" s="29" t="n"/>
      <c r="B6" s="30" t="n"/>
      <c r="C6" s="31" t="n"/>
      <c r="D6" s="29" t="n"/>
      <c r="E6" s="29" t="n"/>
      <c r="F6" s="31" t="n"/>
      <c r="G6" s="29" t="n"/>
      <c r="H6" s="32">
        <f>IF(OR(NOT(AND($A6&lt;&gt;"",OR($G6="",$G6="Active"))),$F6=""),"",INT((TODAY()-$F6+280)/7)&amp;"+"&amp;MOD(TODAY()-$F6+280,7))</f>
        <v/>
      </c>
      <c r="I6" s="32">
        <f>IF(NOT(AND($A6&lt;&gt;"",OR($G6="",$G6="Active"))),"",IF(OR(IFERROR(LOOKUP(2,1/(ISNUMBER($M6:$U6)+($M6:$U6="DNA")),$M6:$U6),"")="DNA",AND(ISNUMBER(IFERROR(LOOKUP(2,1/(ISNUMBER($M6:$U6)+($M6:$U6="DNA")),$M6:$U6),"")),IFERROR(LOOKUP(2,1/(ISNUMBER($M6:$U6)+($M6:$U6="DNA")),$M6:$U6),"")&lt;TODAY())),1,0)+COUNTIF($V6:$Z6,"&lt;"&amp;TODAY()))</f>
        <v/>
      </c>
      <c r="J6" s="32">
        <f>IF(NOT(AND($A6&lt;&gt;"",OR($G6="",$G6="Active"))),"",COUNTIFS($M6:$U6,"&gt;="&amp;TODAY(),$M6:$U6,"&lt;="&amp;TODAY()+7)+COUNTIFS($V6:$Z6,"&gt;="&amp;TODAY(),$V6:$Z6,"&lt;="&amp;TODAY()+7))</f>
        <v/>
      </c>
      <c r="K6" s="32">
        <f>IF(NOT(AND($A6&lt;&gt;"",OR($G6="",$G6="Active"))),"",IF($L6&lt;&gt;"",IF($L6=$M6,"Booking",INDEX($N$4:$U$4,MATCH($L6,$N6:$U6,0))),IF(IFERROR(LOOKUP(2,1/(ISNUMBER($M6:$U6)+($M6:$U6="DNA")),$M6:$U6),"")="DNA","Rebook DNA",IF(ISNUMBER(IFERROR(LOOKUP(2,1/(ISNUMBER($M6:$U6)+($M6:$U6="DNA")),$M6:$U6),"")),IF(ISNUMBER($U6),"Update status","Missed/not booked?"),""))))</f>
        <v/>
      </c>
      <c r="L6" s="33">
        <f>IF(NOT(AND($A6&lt;&gt;"",OR($G6="",$G6="Active"))),"",IFERROR(SMALL($M6:$U6,COUNTIF($M6:$U6,"&lt;"&amp;TODAY())+1),""))</f>
        <v/>
      </c>
      <c r="M6" s="31" t="n"/>
      <c r="N6" s="31" t="n"/>
      <c r="O6" s="31" t="n"/>
      <c r="P6" s="31" t="n"/>
      <c r="Q6" s="31" t="n"/>
      <c r="R6" s="31" t="n"/>
      <c r="S6" s="31" t="n"/>
      <c r="T6" s="31" t="n"/>
      <c r="U6" s="31" t="n"/>
      <c r="V6" s="31" t="n"/>
      <c r="W6" s="31" t="n"/>
      <c r="X6" s="31" t="n"/>
      <c r="Y6" s="31" t="n"/>
      <c r="Z6" s="31" t="n"/>
      <c r="AA6" s="34" t="n"/>
      <c r="AB6" s="29" t="n"/>
      <c r="AC6" s="31" t="n"/>
    </row>
    <row r="7">
      <c r="A7" s="29" t="n"/>
      <c r="B7" s="30" t="n"/>
      <c r="C7" s="31" t="n"/>
      <c r="D7" s="29" t="n"/>
      <c r="E7" s="29" t="n"/>
      <c r="F7" s="31" t="n"/>
      <c r="G7" s="29" t="n"/>
      <c r="H7" s="32">
        <f>IF(OR(NOT(AND($A7&lt;&gt;"",OR($G7="",$G7="Active"))),$F7=""),"",INT((TODAY()-$F7+280)/7)&amp;"+"&amp;MOD(TODAY()-$F7+280,7))</f>
        <v/>
      </c>
      <c r="I7" s="32">
        <f>IF(NOT(AND($A7&lt;&gt;"",OR($G7="",$G7="Active"))),"",IF(OR(IFERROR(LOOKUP(2,1/(ISNUMBER($M7:$U7)+($M7:$U7="DNA")),$M7:$U7),"")="DNA",AND(ISNUMBER(IFERROR(LOOKUP(2,1/(ISNUMBER($M7:$U7)+($M7:$U7="DNA")),$M7:$U7),"")),IFERROR(LOOKUP(2,1/(ISNUMBER($M7:$U7)+($M7:$U7="DNA")),$M7:$U7),"")&lt;TODAY())),1,0)+COUNTIF($V7:$Z7,"&lt;"&amp;TODAY()))</f>
        <v/>
      </c>
      <c r="J7" s="32">
        <f>IF(NOT(AND($A7&lt;&gt;"",OR($G7="",$G7="Active"))),"",COUNTIFS($M7:$U7,"&gt;="&amp;TODAY(),$M7:$U7,"&lt;="&amp;TODAY()+7)+COUNTIFS($V7:$Z7,"&gt;="&amp;TODAY(),$V7:$Z7,"&lt;="&amp;TODAY()+7))</f>
        <v/>
      </c>
      <c r="K7" s="32">
        <f>IF(NOT(AND($A7&lt;&gt;"",OR($G7="",$G7="Active"))),"",IF($L7&lt;&gt;"",IF($L7=$M7,"Booking",INDEX($N$4:$U$4,MATCH($L7,$N7:$U7,0))),IF(IFERROR(LOOKUP(2,1/(ISNUMBER($M7:$U7)+($M7:$U7="DNA")),$M7:$U7),"")="DNA","Rebook DNA",IF(ISNUMBER(IFERROR(LOOKUP(2,1/(ISNUMBER($M7:$U7)+($M7:$U7="DNA")),$M7:$U7),"")),IF(ISNUMBER($U7),"Update status","Missed/not booked?"),""))))</f>
        <v/>
      </c>
      <c r="L7" s="33">
        <f>IF(NOT(AND($A7&lt;&gt;"",OR($G7="",$G7="Active"))),"",IFERROR(SMALL($M7:$U7,COUNTIF($M7:$U7,"&lt;"&amp;TODAY())+1),""))</f>
        <v/>
      </c>
      <c r="M7" s="31" t="n"/>
      <c r="N7" s="31" t="n"/>
      <c r="O7" s="31" t="n"/>
      <c r="P7" s="31" t="n"/>
      <c r="Q7" s="31" t="n"/>
      <c r="R7" s="31" t="n"/>
      <c r="S7" s="31" t="n"/>
      <c r="T7" s="31" t="n"/>
      <c r="U7" s="31" t="n"/>
      <c r="V7" s="31" t="n"/>
      <c r="W7" s="31" t="n"/>
      <c r="X7" s="31" t="n"/>
      <c r="Y7" s="31" t="n"/>
      <c r="Z7" s="31" t="n"/>
      <c r="AA7" s="34" t="n"/>
      <c r="AB7" s="29" t="n"/>
      <c r="AC7" s="31" t="n"/>
    </row>
    <row r="8">
      <c r="A8" s="29" t="n"/>
      <c r="B8" s="30" t="n"/>
      <c r="C8" s="31" t="n"/>
      <c r="D8" s="29" t="n"/>
      <c r="E8" s="29" t="n"/>
      <c r="F8" s="31" t="n"/>
      <c r="G8" s="29" t="n"/>
      <c r="H8" s="32">
        <f>IF(OR(NOT(AND($A8&lt;&gt;"",OR($G8="",$G8="Active"))),$F8=""),"",INT((TODAY()-$F8+280)/7)&amp;"+"&amp;MOD(TODAY()-$F8+280,7))</f>
        <v/>
      </c>
      <c r="I8" s="32">
        <f>IF(NOT(AND($A8&lt;&gt;"",OR($G8="",$G8="Active"))),"",IF(OR(IFERROR(LOOKUP(2,1/(ISNUMBER($M8:$U8)+($M8:$U8="DNA")),$M8:$U8),"")="DNA",AND(ISNUMBER(IFERROR(LOOKUP(2,1/(ISNUMBER($M8:$U8)+($M8:$U8="DNA")),$M8:$U8),"")),IFERROR(LOOKUP(2,1/(ISNUMBER($M8:$U8)+($M8:$U8="DNA")),$M8:$U8),"")&lt;TODAY())),1,0)+COUNTIF($V8:$Z8,"&lt;"&amp;TODAY()))</f>
        <v/>
      </c>
      <c r="J8" s="32">
        <f>IF(NOT(AND($A8&lt;&gt;"",OR($G8="",$G8="Active"))),"",COUNTIFS($M8:$U8,"&gt;="&amp;TODAY(),$M8:$U8,"&lt;="&amp;TODAY()+7)+COUNTIFS($V8:$Z8,"&gt;="&amp;TODAY(),$V8:$Z8,"&lt;="&amp;TODAY()+7))</f>
        <v/>
      </c>
      <c r="K8" s="32">
        <f>IF(NOT(AND($A8&lt;&gt;"",OR($G8="",$G8="Active"))),"",IF($L8&lt;&gt;"",IF($L8=$M8,"Booking",INDEX($N$4:$U$4,MATCH($L8,$N8:$U8,0))),IF(IFERROR(LOOKUP(2,1/(ISNUMBER($M8:$U8)+($M8:$U8="DNA")),$M8:$U8),"")="DNA","Rebook DNA",IF(ISNUMBER(IFERROR(LOOKUP(2,1/(ISNUMBER($M8:$U8)+($M8:$U8="DNA")),$M8:$U8),"")),IF(ISNUMBER($U8),"Update status","Missed/not booked?"),""))))</f>
        <v/>
      </c>
      <c r="L8" s="33">
        <f>IF(NOT(AND($A8&lt;&gt;"",OR($G8="",$G8="Active"))),"",IFERROR(SMALL($M8:$U8,COUNTIF($M8:$U8,"&lt;"&amp;TODAY())+1),""))</f>
        <v/>
      </c>
      <c r="M8" s="31" t="n"/>
      <c r="N8" s="31" t="n"/>
      <c r="O8" s="31" t="n"/>
      <c r="P8" s="31" t="n"/>
      <c r="Q8" s="31" t="n"/>
      <c r="R8" s="31" t="n"/>
      <c r="S8" s="31" t="n"/>
      <c r="T8" s="31" t="n"/>
      <c r="U8" s="31" t="n"/>
      <c r="V8" s="31" t="n"/>
      <c r="W8" s="31" t="n"/>
      <c r="X8" s="31" t="n"/>
      <c r="Y8" s="31" t="n"/>
      <c r="Z8" s="31" t="n"/>
      <c r="AA8" s="34" t="n"/>
      <c r="AB8" s="29" t="n"/>
      <c r="AC8" s="31" t="n"/>
    </row>
    <row r="9">
      <c r="A9" s="29" t="n"/>
      <c r="B9" s="30" t="n"/>
      <c r="C9" s="31" t="n"/>
      <c r="D9" s="29" t="n"/>
      <c r="E9" s="29" t="n"/>
      <c r="F9" s="31" t="n"/>
      <c r="G9" s="29" t="n"/>
      <c r="H9" s="32">
        <f>IF(OR(NOT(AND($A9&lt;&gt;"",OR($G9="",$G9="Active"))),$F9=""),"",INT((TODAY()-$F9+280)/7)&amp;"+"&amp;MOD(TODAY()-$F9+280,7))</f>
        <v/>
      </c>
      <c r="I9" s="32">
        <f>IF(NOT(AND($A9&lt;&gt;"",OR($G9="",$G9="Active"))),"",IF(OR(IFERROR(LOOKUP(2,1/(ISNUMBER($M9:$U9)+($M9:$U9="DNA")),$M9:$U9),"")="DNA",AND(ISNUMBER(IFERROR(LOOKUP(2,1/(ISNUMBER($M9:$U9)+($M9:$U9="DNA")),$M9:$U9),"")),IFERROR(LOOKUP(2,1/(ISNUMBER($M9:$U9)+($M9:$U9="DNA")),$M9:$U9),"")&lt;TODAY())),1,0)+COUNTIF($V9:$Z9,"&lt;"&amp;TODAY()))</f>
        <v/>
      </c>
      <c r="J9" s="32">
        <f>IF(NOT(AND($A9&lt;&gt;"",OR($G9="",$G9="Active"))),"",COUNTIFS($M9:$U9,"&gt;="&amp;TODAY(),$M9:$U9,"&lt;="&amp;TODAY()+7)+COUNTIFS($V9:$Z9,"&gt;="&amp;TODAY(),$V9:$Z9,"&lt;="&amp;TODAY()+7))</f>
        <v/>
      </c>
      <c r="K9" s="32">
        <f>IF(NOT(AND($A9&lt;&gt;"",OR($G9="",$G9="Active"))),"",IF($L9&lt;&gt;"",IF($L9=$M9,"Booking",INDEX($N$4:$U$4,MATCH($L9,$N9:$U9,0))),IF(IFERROR(LOOKUP(2,1/(ISNUMBER($M9:$U9)+($M9:$U9="DNA")),$M9:$U9),"")="DNA","Rebook DNA",IF(ISNUMBER(IFERROR(LOOKUP(2,1/(ISNUMBER($M9:$U9)+($M9:$U9="DNA")),$M9:$U9),"")),IF(ISNUMBER($U9),"Update status","Missed/not booked?"),""))))</f>
        <v/>
      </c>
      <c r="L9" s="33">
        <f>IF(NOT(AND($A9&lt;&gt;"",OR($G9="",$G9="Active"))),"",IFERROR(SMALL($M9:$U9,COUNTIF($M9:$U9,"&lt;"&amp;TODAY())+1),""))</f>
        <v/>
      </c>
      <c r="M9" s="31" t="n"/>
      <c r="N9" s="31" t="n"/>
      <c r="O9" s="31" t="n"/>
      <c r="P9" s="31" t="n"/>
      <c r="Q9" s="31" t="n"/>
      <c r="R9" s="31" t="n"/>
      <c r="S9" s="31" t="n"/>
      <c r="T9" s="31" t="n"/>
      <c r="U9" s="31" t="n"/>
      <c r="V9" s="31" t="n"/>
      <c r="W9" s="31" t="n"/>
      <c r="X9" s="31" t="n"/>
      <c r="Y9" s="31" t="n"/>
      <c r="Z9" s="31" t="n"/>
      <c r="AA9" s="34" t="n"/>
      <c r="AB9" s="29" t="n"/>
      <c r="AC9" s="31" t="n"/>
    </row>
    <row r="10">
      <c r="A10" s="29" t="n"/>
      <c r="B10" s="30" t="n"/>
      <c r="C10" s="31" t="n"/>
      <c r="D10" s="29" t="n"/>
      <c r="E10" s="29" t="n"/>
      <c r="F10" s="31" t="n"/>
      <c r="G10" s="29" t="n"/>
      <c r="H10" s="32">
        <f>IF(OR(NOT(AND($A10&lt;&gt;"",OR($G10="",$G10="Active"))),$F10=""),"",INT((TODAY()-$F10+280)/7)&amp;"+"&amp;MOD(TODAY()-$F10+280,7))</f>
        <v/>
      </c>
      <c r="I10" s="32">
        <f>IF(NOT(AND($A10&lt;&gt;"",OR($G10="",$G10="Active"))),"",IF(OR(IFERROR(LOOKUP(2,1/(ISNUMBER($M10:$U10)+($M10:$U10="DNA")),$M10:$U10),"")="DNA",AND(ISNUMBER(IFERROR(LOOKUP(2,1/(ISNUMBER($M10:$U10)+($M10:$U10="DNA")),$M10:$U10),"")),IFERROR(LOOKUP(2,1/(ISNUMBER($M10:$U10)+($M10:$U10="DNA")),$M10:$U10),"")&lt;TODAY())),1,0)+COUNTIF($V10:$Z10,"&lt;"&amp;TODAY()))</f>
        <v/>
      </c>
      <c r="J10" s="32">
        <f>IF(NOT(AND($A10&lt;&gt;"",OR($G10="",$G10="Active"))),"",COUNTIFS($M10:$U10,"&gt;="&amp;TODAY(),$M10:$U10,"&lt;="&amp;TODAY()+7)+COUNTIFS($V10:$Z10,"&gt;="&amp;TODAY(),$V10:$Z10,"&lt;="&amp;TODAY()+7))</f>
        <v/>
      </c>
      <c r="K10" s="32">
        <f>IF(NOT(AND($A10&lt;&gt;"",OR($G10="",$G10="Active"))),"",IF($L10&lt;&gt;"",IF($L10=$M10,"Booking",INDEX($N$4:$U$4,MATCH($L10,$N10:$U10,0))),IF(IFERROR(LOOKUP(2,1/(ISNUMBER($M10:$U10)+($M10:$U10="DNA")),$M10:$U10),"")="DNA","Rebook DNA",IF(ISNUMBER(IFERROR(LOOKUP(2,1/(ISNUMBER($M10:$U10)+($M10:$U10="DNA")),$M10:$U10),"")),IF(ISNUMBER($U10),"Update status","Missed/not booked?"),""))))</f>
        <v/>
      </c>
      <c r="L10" s="33">
        <f>IF(NOT(AND($A10&lt;&gt;"",OR($G10="",$G10="Active"))),"",IFERROR(SMALL($M10:$U10,COUNTIF($M10:$U10,"&lt;"&amp;TODAY())+1),""))</f>
        <v/>
      </c>
      <c r="M10" s="31" t="n"/>
      <c r="N10" s="31" t="n"/>
      <c r="O10" s="31" t="n"/>
      <c r="P10" s="31" t="n"/>
      <c r="Q10" s="31" t="n"/>
      <c r="R10" s="31" t="n"/>
      <c r="S10" s="31" t="n"/>
      <c r="T10" s="31" t="n"/>
      <c r="U10" s="31" t="n"/>
      <c r="V10" s="31" t="n"/>
      <c r="W10" s="31" t="n"/>
      <c r="X10" s="31" t="n"/>
      <c r="Y10" s="31" t="n"/>
      <c r="Z10" s="31" t="n"/>
      <c r="AA10" s="34" t="n"/>
      <c r="AB10" s="29" t="n"/>
      <c r="AC10" s="31" t="n"/>
    </row>
    <row r="11">
      <c r="A11" s="29" t="n"/>
      <c r="B11" s="30" t="n"/>
      <c r="C11" s="31" t="n"/>
      <c r="D11" s="29" t="n"/>
      <c r="E11" s="29" t="n"/>
      <c r="F11" s="31" t="n"/>
      <c r="G11" s="29" t="n"/>
      <c r="H11" s="32">
        <f>IF(OR(NOT(AND($A11&lt;&gt;"",OR($G11="",$G11="Active"))),$F11=""),"",INT((TODAY()-$F11+280)/7)&amp;"+"&amp;MOD(TODAY()-$F11+280,7))</f>
        <v/>
      </c>
      <c r="I11" s="32">
        <f>IF(NOT(AND($A11&lt;&gt;"",OR($G11="",$G11="Active"))),"",IF(OR(IFERROR(LOOKUP(2,1/(ISNUMBER($M11:$U11)+($M11:$U11="DNA")),$M11:$U11),"")="DNA",AND(ISNUMBER(IFERROR(LOOKUP(2,1/(ISNUMBER($M11:$U11)+($M11:$U11="DNA")),$M11:$U11),"")),IFERROR(LOOKUP(2,1/(ISNUMBER($M11:$U11)+($M11:$U11="DNA")),$M11:$U11),"")&lt;TODAY())),1,0)+COUNTIF($V11:$Z11,"&lt;"&amp;TODAY()))</f>
        <v/>
      </c>
      <c r="J11" s="32">
        <f>IF(NOT(AND($A11&lt;&gt;"",OR($G11="",$G11="Active"))),"",COUNTIFS($M11:$U11,"&gt;="&amp;TODAY(),$M11:$U11,"&lt;="&amp;TODAY()+7)+COUNTIFS($V11:$Z11,"&gt;="&amp;TODAY(),$V11:$Z11,"&lt;="&amp;TODAY()+7))</f>
        <v/>
      </c>
      <c r="K11" s="32">
        <f>IF(NOT(AND($A11&lt;&gt;"",OR($G11="",$G11="Active"))),"",IF($L11&lt;&gt;"",IF($L11=$M11,"Booking",INDEX($N$4:$U$4,MATCH($L11,$N11:$U11,0))),IF(IFERROR(LOOKUP(2,1/(ISNUMBER($M11:$U11)+($M11:$U11="DNA")),$M11:$U11),"")="DNA","Rebook DNA",IF(ISNUMBER(IFERROR(LOOKUP(2,1/(ISNUMBER($M11:$U11)+($M11:$U11="DNA")),$M11:$U11),"")),IF(ISNUMBER($U11),"Update status","Missed/not booked?"),""))))</f>
        <v/>
      </c>
      <c r="L11" s="33">
        <f>IF(NOT(AND($A11&lt;&gt;"",OR($G11="",$G11="Active"))),"",IFERROR(SMALL($M11:$U11,COUNTIF($M11:$U11,"&lt;"&amp;TODAY())+1),""))</f>
        <v/>
      </c>
      <c r="M11" s="31" t="n"/>
      <c r="N11" s="31" t="n"/>
      <c r="O11" s="31" t="n"/>
      <c r="P11" s="31" t="n"/>
      <c r="Q11" s="31" t="n"/>
      <c r="R11" s="31" t="n"/>
      <c r="S11" s="31" t="n"/>
      <c r="T11" s="31" t="n"/>
      <c r="U11" s="31" t="n"/>
      <c r="V11" s="31" t="n"/>
      <c r="W11" s="31" t="n"/>
      <c r="X11" s="31" t="n"/>
      <c r="Y11" s="31" t="n"/>
      <c r="Z11" s="31" t="n"/>
      <c r="AA11" s="34" t="n"/>
      <c r="AB11" s="29" t="n"/>
      <c r="AC11" s="31" t="n"/>
    </row>
    <row r="12">
      <c r="A12" s="29" t="n"/>
      <c r="B12" s="30" t="n"/>
      <c r="C12" s="31" t="n"/>
      <c r="D12" s="29" t="n"/>
      <c r="E12" s="29" t="n"/>
      <c r="F12" s="31" t="n"/>
      <c r="G12" s="29" t="n"/>
      <c r="H12" s="32">
        <f>IF(OR(NOT(AND($A12&lt;&gt;"",OR($G12="",$G12="Active"))),$F12=""),"",INT((TODAY()-$F12+280)/7)&amp;"+"&amp;MOD(TODAY()-$F12+280,7))</f>
        <v/>
      </c>
      <c r="I12" s="32">
        <f>IF(NOT(AND($A12&lt;&gt;"",OR($G12="",$G12="Active"))),"",IF(OR(IFERROR(LOOKUP(2,1/(ISNUMBER($M12:$U12)+($M12:$U12="DNA")),$M12:$U12),"")="DNA",AND(ISNUMBER(IFERROR(LOOKUP(2,1/(ISNUMBER($M12:$U12)+($M12:$U12="DNA")),$M12:$U12),"")),IFERROR(LOOKUP(2,1/(ISNUMBER($M12:$U12)+($M12:$U12="DNA")),$M12:$U12),"")&lt;TODAY())),1,0)+COUNTIF($V12:$Z12,"&lt;"&amp;TODAY()))</f>
        <v/>
      </c>
      <c r="J12" s="32">
        <f>IF(NOT(AND($A12&lt;&gt;"",OR($G12="",$G12="Active"))),"",COUNTIFS($M12:$U12,"&gt;="&amp;TODAY(),$M12:$U12,"&lt;="&amp;TODAY()+7)+COUNTIFS($V12:$Z12,"&gt;="&amp;TODAY(),$V12:$Z12,"&lt;="&amp;TODAY()+7))</f>
        <v/>
      </c>
      <c r="K12" s="32">
        <f>IF(NOT(AND($A12&lt;&gt;"",OR($G12="",$G12="Active"))),"",IF($L12&lt;&gt;"",IF($L12=$M12,"Booking",INDEX($N$4:$U$4,MATCH($L12,$N12:$U12,0))),IF(IFERROR(LOOKUP(2,1/(ISNUMBER($M12:$U12)+($M12:$U12="DNA")),$M12:$U12),"")="DNA","Rebook DNA",IF(ISNUMBER(IFERROR(LOOKUP(2,1/(ISNUMBER($M12:$U12)+($M12:$U12="DNA")),$M12:$U12),"")),IF(ISNUMBER($U12),"Update status","Missed/not booked?"),""))))</f>
        <v/>
      </c>
      <c r="L12" s="33">
        <f>IF(NOT(AND($A12&lt;&gt;"",OR($G12="",$G12="Active"))),"",IFERROR(SMALL($M12:$U12,COUNTIF($M12:$U12,"&lt;"&amp;TODAY())+1),""))</f>
        <v/>
      </c>
      <c r="M12" s="31" t="n"/>
      <c r="N12" s="31" t="n"/>
      <c r="O12" s="31" t="n"/>
      <c r="P12" s="31" t="n"/>
      <c r="Q12" s="31" t="n"/>
      <c r="R12" s="31" t="n"/>
      <c r="S12" s="31" t="n"/>
      <c r="T12" s="31" t="n"/>
      <c r="U12" s="31" t="n"/>
      <c r="V12" s="31" t="n"/>
      <c r="W12" s="31" t="n"/>
      <c r="X12" s="31" t="n"/>
      <c r="Y12" s="31" t="n"/>
      <c r="Z12" s="31" t="n"/>
      <c r="AA12" s="34" t="n"/>
      <c r="AB12" s="29" t="n"/>
      <c r="AC12" s="31" t="n"/>
    </row>
    <row r="13">
      <c r="A13" s="29" t="n"/>
      <c r="B13" s="30" t="n"/>
      <c r="C13" s="31" t="n"/>
      <c r="D13" s="29" t="n"/>
      <c r="E13" s="29" t="n"/>
      <c r="F13" s="31" t="n"/>
      <c r="G13" s="29" t="n"/>
      <c r="H13" s="32">
        <f>IF(OR(NOT(AND($A13&lt;&gt;"",OR($G13="",$G13="Active"))),$F13=""),"",INT((TODAY()-$F13+280)/7)&amp;"+"&amp;MOD(TODAY()-$F13+280,7))</f>
        <v/>
      </c>
      <c r="I13" s="32">
        <f>IF(NOT(AND($A13&lt;&gt;"",OR($G13="",$G13="Active"))),"",IF(OR(IFERROR(LOOKUP(2,1/(ISNUMBER($M13:$U13)+($M13:$U13="DNA")),$M13:$U13),"")="DNA",AND(ISNUMBER(IFERROR(LOOKUP(2,1/(ISNUMBER($M13:$U13)+($M13:$U13="DNA")),$M13:$U13),"")),IFERROR(LOOKUP(2,1/(ISNUMBER($M13:$U13)+($M13:$U13="DNA")),$M13:$U13),"")&lt;TODAY())),1,0)+COUNTIF($V13:$Z13,"&lt;"&amp;TODAY()))</f>
        <v/>
      </c>
      <c r="J13" s="32">
        <f>IF(NOT(AND($A13&lt;&gt;"",OR($G13="",$G13="Active"))),"",COUNTIFS($M13:$U13,"&gt;="&amp;TODAY(),$M13:$U13,"&lt;="&amp;TODAY()+7)+COUNTIFS($V13:$Z13,"&gt;="&amp;TODAY(),$V13:$Z13,"&lt;="&amp;TODAY()+7))</f>
        <v/>
      </c>
      <c r="K13" s="32">
        <f>IF(NOT(AND($A13&lt;&gt;"",OR($G13="",$G13="Active"))),"",IF($L13&lt;&gt;"",IF($L13=$M13,"Booking",INDEX($N$4:$U$4,MATCH($L13,$N13:$U13,0))),IF(IFERROR(LOOKUP(2,1/(ISNUMBER($M13:$U13)+($M13:$U13="DNA")),$M13:$U13),"")="DNA","Rebook DNA",IF(ISNUMBER(IFERROR(LOOKUP(2,1/(ISNUMBER($M13:$U13)+($M13:$U13="DNA")),$M13:$U13),"")),IF(ISNUMBER($U13),"Update status","Missed/not booked?"),""))))</f>
        <v/>
      </c>
      <c r="L13" s="33">
        <f>IF(NOT(AND($A13&lt;&gt;"",OR($G13="",$G13="Active"))),"",IFERROR(SMALL($M13:$U13,COUNTIF($M13:$U13,"&lt;"&amp;TODAY())+1),""))</f>
        <v/>
      </c>
      <c r="M13" s="31" t="n"/>
      <c r="N13" s="31" t="n"/>
      <c r="O13" s="31" t="n"/>
      <c r="P13" s="31" t="n"/>
      <c r="Q13" s="31" t="n"/>
      <c r="R13" s="31" t="n"/>
      <c r="S13" s="31" t="n"/>
      <c r="T13" s="31" t="n"/>
      <c r="U13" s="31" t="n"/>
      <c r="V13" s="31" t="n"/>
      <c r="W13" s="31" t="n"/>
      <c r="X13" s="31" t="n"/>
      <c r="Y13" s="31" t="n"/>
      <c r="Z13" s="31" t="n"/>
      <c r="AA13" s="34" t="n"/>
      <c r="AB13" s="29" t="n"/>
      <c r="AC13" s="31" t="n"/>
    </row>
    <row r="14">
      <c r="A14" s="29" t="n"/>
      <c r="B14" s="30" t="n"/>
      <c r="C14" s="31" t="n"/>
      <c r="D14" s="29" t="n"/>
      <c r="E14" s="29" t="n"/>
      <c r="F14" s="31" t="n"/>
      <c r="G14" s="29" t="n"/>
      <c r="H14" s="32">
        <f>IF(OR(NOT(AND($A14&lt;&gt;"",OR($G14="",$G14="Active"))),$F14=""),"",INT((TODAY()-$F14+280)/7)&amp;"+"&amp;MOD(TODAY()-$F14+280,7))</f>
        <v/>
      </c>
      <c r="I14" s="32">
        <f>IF(NOT(AND($A14&lt;&gt;"",OR($G14="",$G14="Active"))),"",IF(OR(IFERROR(LOOKUP(2,1/(ISNUMBER($M14:$U14)+($M14:$U14="DNA")),$M14:$U14),"")="DNA",AND(ISNUMBER(IFERROR(LOOKUP(2,1/(ISNUMBER($M14:$U14)+($M14:$U14="DNA")),$M14:$U14),"")),IFERROR(LOOKUP(2,1/(ISNUMBER($M14:$U14)+($M14:$U14="DNA")),$M14:$U14),"")&lt;TODAY())),1,0)+COUNTIF($V14:$Z14,"&lt;"&amp;TODAY()))</f>
        <v/>
      </c>
      <c r="J14" s="32">
        <f>IF(NOT(AND($A14&lt;&gt;"",OR($G14="",$G14="Active"))),"",COUNTIFS($M14:$U14,"&gt;="&amp;TODAY(),$M14:$U14,"&lt;="&amp;TODAY()+7)+COUNTIFS($V14:$Z14,"&gt;="&amp;TODAY(),$V14:$Z14,"&lt;="&amp;TODAY()+7))</f>
        <v/>
      </c>
      <c r="K14" s="32">
        <f>IF(NOT(AND($A14&lt;&gt;"",OR($G14="",$G14="Active"))),"",IF($L14&lt;&gt;"",IF($L14=$M14,"Booking",INDEX($N$4:$U$4,MATCH($L14,$N14:$U14,0))),IF(IFERROR(LOOKUP(2,1/(ISNUMBER($M14:$U14)+($M14:$U14="DNA")),$M14:$U14),"")="DNA","Rebook DNA",IF(ISNUMBER(IFERROR(LOOKUP(2,1/(ISNUMBER($M14:$U14)+($M14:$U14="DNA")),$M14:$U14),"")),IF(ISNUMBER($U14),"Update status","Missed/not booked?"),""))))</f>
        <v/>
      </c>
      <c r="L14" s="33">
        <f>IF(NOT(AND($A14&lt;&gt;"",OR($G14="",$G14="Active"))),"",IFERROR(SMALL($M14:$U14,COUNTIF($M14:$U14,"&lt;"&amp;TODAY())+1),""))</f>
        <v/>
      </c>
      <c r="M14" s="31" t="n"/>
      <c r="N14" s="31" t="n"/>
      <c r="O14" s="31" t="n"/>
      <c r="P14" s="31" t="n"/>
      <c r="Q14" s="31" t="n"/>
      <c r="R14" s="31" t="n"/>
      <c r="S14" s="31" t="n"/>
      <c r="T14" s="31" t="n"/>
      <c r="U14" s="31" t="n"/>
      <c r="V14" s="31" t="n"/>
      <c r="W14" s="31" t="n"/>
      <c r="X14" s="31" t="n"/>
      <c r="Y14" s="31" t="n"/>
      <c r="Z14" s="31" t="n"/>
      <c r="AA14" s="34" t="n"/>
      <c r="AB14" s="29" t="n"/>
      <c r="AC14" s="31" t="n"/>
    </row>
    <row r="15">
      <c r="A15" s="29" t="n"/>
      <c r="B15" s="30" t="n"/>
      <c r="C15" s="31" t="n"/>
      <c r="D15" s="29" t="n"/>
      <c r="E15" s="29" t="n"/>
      <c r="F15" s="31" t="n"/>
      <c r="G15" s="29" t="n"/>
      <c r="H15" s="32">
        <f>IF(OR(NOT(AND($A15&lt;&gt;"",OR($G15="",$G15="Active"))),$F15=""),"",INT((TODAY()-$F15+280)/7)&amp;"+"&amp;MOD(TODAY()-$F15+280,7))</f>
        <v/>
      </c>
      <c r="I15" s="32">
        <f>IF(NOT(AND($A15&lt;&gt;"",OR($G15="",$G15="Active"))),"",IF(OR(IFERROR(LOOKUP(2,1/(ISNUMBER($M15:$U15)+($M15:$U15="DNA")),$M15:$U15),"")="DNA",AND(ISNUMBER(IFERROR(LOOKUP(2,1/(ISNUMBER($M15:$U15)+($M15:$U15="DNA")),$M15:$U15),"")),IFERROR(LOOKUP(2,1/(ISNUMBER($M15:$U15)+($M15:$U15="DNA")),$M15:$U15),"")&lt;TODAY())),1,0)+COUNTIF($V15:$Z15,"&lt;"&amp;TODAY()))</f>
        <v/>
      </c>
      <c r="J15" s="32">
        <f>IF(NOT(AND($A15&lt;&gt;"",OR($G15="",$G15="Active"))),"",COUNTIFS($M15:$U15,"&gt;="&amp;TODAY(),$M15:$U15,"&lt;="&amp;TODAY()+7)+COUNTIFS($V15:$Z15,"&gt;="&amp;TODAY(),$V15:$Z15,"&lt;="&amp;TODAY()+7))</f>
        <v/>
      </c>
      <c r="K15" s="32">
        <f>IF(NOT(AND($A15&lt;&gt;"",OR($G15="",$G15="Active"))),"",IF($L15&lt;&gt;"",IF($L15=$M15,"Booking",INDEX($N$4:$U$4,MATCH($L15,$N15:$U15,0))),IF(IFERROR(LOOKUP(2,1/(ISNUMBER($M15:$U15)+($M15:$U15="DNA")),$M15:$U15),"")="DNA","Rebook DNA",IF(ISNUMBER(IFERROR(LOOKUP(2,1/(ISNUMBER($M15:$U15)+($M15:$U15="DNA")),$M15:$U15),"")),IF(ISNUMBER($U15),"Update status","Missed/not booked?"),""))))</f>
        <v/>
      </c>
      <c r="L15" s="33">
        <f>IF(NOT(AND($A15&lt;&gt;"",OR($G15="",$G15="Active"))),"",IFERROR(SMALL($M15:$U15,COUNTIF($M15:$U15,"&lt;"&amp;TODAY())+1),""))</f>
        <v/>
      </c>
      <c r="M15" s="31" t="n"/>
      <c r="N15" s="31" t="n"/>
      <c r="O15" s="31" t="n"/>
      <c r="P15" s="31" t="n"/>
      <c r="Q15" s="31" t="n"/>
      <c r="R15" s="31" t="n"/>
      <c r="S15" s="31" t="n"/>
      <c r="T15" s="31" t="n"/>
      <c r="U15" s="31" t="n"/>
      <c r="V15" s="31" t="n"/>
      <c r="W15" s="31" t="n"/>
      <c r="X15" s="31" t="n"/>
      <c r="Y15" s="31" t="n"/>
      <c r="Z15" s="31" t="n"/>
      <c r="AA15" s="34" t="n"/>
      <c r="AB15" s="29" t="n"/>
      <c r="AC15" s="31" t="n"/>
    </row>
    <row r="16">
      <c r="A16" s="29" t="n"/>
      <c r="B16" s="30" t="n"/>
      <c r="C16" s="31" t="n"/>
      <c r="D16" s="29" t="n"/>
      <c r="E16" s="29" t="n"/>
      <c r="F16" s="31" t="n"/>
      <c r="G16" s="29" t="n"/>
      <c r="H16" s="32">
        <f>IF(OR(NOT(AND($A16&lt;&gt;"",OR($G16="",$G16="Active"))),$F16=""),"",INT((TODAY()-$F16+280)/7)&amp;"+"&amp;MOD(TODAY()-$F16+280,7))</f>
        <v/>
      </c>
      <c r="I16" s="32">
        <f>IF(NOT(AND($A16&lt;&gt;"",OR($G16="",$G16="Active"))),"",IF(OR(IFERROR(LOOKUP(2,1/(ISNUMBER($M16:$U16)+($M16:$U16="DNA")),$M16:$U16),"")="DNA",AND(ISNUMBER(IFERROR(LOOKUP(2,1/(ISNUMBER($M16:$U16)+($M16:$U16="DNA")),$M16:$U16),"")),IFERROR(LOOKUP(2,1/(ISNUMBER($M16:$U16)+($M16:$U16="DNA")),$M16:$U16),"")&lt;TODAY())),1,0)+COUNTIF($V16:$Z16,"&lt;"&amp;TODAY()))</f>
        <v/>
      </c>
      <c r="J16" s="32">
        <f>IF(NOT(AND($A16&lt;&gt;"",OR($G16="",$G16="Active"))),"",COUNTIFS($M16:$U16,"&gt;="&amp;TODAY(),$M16:$U16,"&lt;="&amp;TODAY()+7)+COUNTIFS($V16:$Z16,"&gt;="&amp;TODAY(),$V16:$Z16,"&lt;="&amp;TODAY()+7))</f>
        <v/>
      </c>
      <c r="K16" s="32">
        <f>IF(NOT(AND($A16&lt;&gt;"",OR($G16="",$G16="Active"))),"",IF($L16&lt;&gt;"",IF($L16=$M16,"Booking",INDEX($N$4:$U$4,MATCH($L16,$N16:$U16,0))),IF(IFERROR(LOOKUP(2,1/(ISNUMBER($M16:$U16)+($M16:$U16="DNA")),$M16:$U16),"")="DNA","Rebook DNA",IF(ISNUMBER(IFERROR(LOOKUP(2,1/(ISNUMBER($M16:$U16)+($M16:$U16="DNA")),$M16:$U16),"")),IF(ISNUMBER($U16),"Update status","Missed/not booked?"),""))))</f>
        <v/>
      </c>
      <c r="L16" s="33">
        <f>IF(NOT(AND($A16&lt;&gt;"",OR($G16="",$G16="Active"))),"",IFERROR(SMALL($M16:$U16,COUNTIF($M16:$U16,"&lt;"&amp;TODAY())+1),""))</f>
        <v/>
      </c>
      <c r="M16" s="31" t="n"/>
      <c r="N16" s="31" t="n"/>
      <c r="O16" s="31" t="n"/>
      <c r="P16" s="31" t="n"/>
      <c r="Q16" s="31" t="n"/>
      <c r="R16" s="31" t="n"/>
      <c r="S16" s="31" t="n"/>
      <c r="T16" s="31" t="n"/>
      <c r="U16" s="31" t="n"/>
      <c r="V16" s="31" t="n"/>
      <c r="W16" s="31" t="n"/>
      <c r="X16" s="31" t="n"/>
      <c r="Y16" s="31" t="n"/>
      <c r="Z16" s="31" t="n"/>
      <c r="AA16" s="34" t="n"/>
      <c r="AB16" s="29" t="n"/>
      <c r="AC16" s="31" t="n"/>
    </row>
    <row r="17">
      <c r="A17" s="29" t="n"/>
      <c r="B17" s="30" t="n"/>
      <c r="C17" s="31" t="n"/>
      <c r="D17" s="29" t="n"/>
      <c r="E17" s="29" t="n"/>
      <c r="F17" s="31" t="n"/>
      <c r="G17" s="29" t="n"/>
      <c r="H17" s="32">
        <f>IF(OR(NOT(AND($A17&lt;&gt;"",OR($G17="",$G17="Active"))),$F17=""),"",INT((TODAY()-$F17+280)/7)&amp;"+"&amp;MOD(TODAY()-$F17+280,7))</f>
        <v/>
      </c>
      <c r="I17" s="32">
        <f>IF(NOT(AND($A17&lt;&gt;"",OR($G17="",$G17="Active"))),"",IF(OR(IFERROR(LOOKUP(2,1/(ISNUMBER($M17:$U17)+($M17:$U17="DNA")),$M17:$U17),"")="DNA",AND(ISNUMBER(IFERROR(LOOKUP(2,1/(ISNUMBER($M17:$U17)+($M17:$U17="DNA")),$M17:$U17),"")),IFERROR(LOOKUP(2,1/(ISNUMBER($M17:$U17)+($M17:$U17="DNA")),$M17:$U17),"")&lt;TODAY())),1,0)+COUNTIF($V17:$Z17,"&lt;"&amp;TODAY()))</f>
        <v/>
      </c>
      <c r="J17" s="32">
        <f>IF(NOT(AND($A17&lt;&gt;"",OR($G17="",$G17="Active"))),"",COUNTIFS($M17:$U17,"&gt;="&amp;TODAY(),$M17:$U17,"&lt;="&amp;TODAY()+7)+COUNTIFS($V17:$Z17,"&gt;="&amp;TODAY(),$V17:$Z17,"&lt;="&amp;TODAY()+7))</f>
        <v/>
      </c>
      <c r="K17" s="32">
        <f>IF(NOT(AND($A17&lt;&gt;"",OR($G17="",$G17="Active"))),"",IF($L17&lt;&gt;"",IF($L17=$M17,"Booking",INDEX($N$4:$U$4,MATCH($L17,$N17:$U17,0))),IF(IFERROR(LOOKUP(2,1/(ISNUMBER($M17:$U17)+($M17:$U17="DNA")),$M17:$U17),"")="DNA","Rebook DNA",IF(ISNUMBER(IFERROR(LOOKUP(2,1/(ISNUMBER($M17:$U17)+($M17:$U17="DNA")),$M17:$U17),"")),IF(ISNUMBER($U17),"Update status","Missed/not booked?"),""))))</f>
        <v/>
      </c>
      <c r="L17" s="33">
        <f>IF(NOT(AND($A17&lt;&gt;"",OR($G17="",$G17="Active"))),"",IFERROR(SMALL($M17:$U17,COUNTIF($M17:$U17,"&lt;"&amp;TODAY())+1),""))</f>
        <v/>
      </c>
      <c r="M17" s="31" t="n"/>
      <c r="N17" s="31" t="n"/>
      <c r="O17" s="31" t="n"/>
      <c r="P17" s="31" t="n"/>
      <c r="Q17" s="31" t="n"/>
      <c r="R17" s="31" t="n"/>
      <c r="S17" s="31" t="n"/>
      <c r="T17" s="31" t="n"/>
      <c r="U17" s="31" t="n"/>
      <c r="V17" s="31" t="n"/>
      <c r="W17" s="31" t="n"/>
      <c r="X17" s="31" t="n"/>
      <c r="Y17" s="31" t="n"/>
      <c r="Z17" s="31" t="n"/>
      <c r="AA17" s="34" t="n"/>
      <c r="AB17" s="29" t="n"/>
      <c r="AC17" s="31" t="n"/>
    </row>
    <row r="18">
      <c r="A18" s="29" t="n"/>
      <c r="B18" s="30" t="n"/>
      <c r="C18" s="31" t="n"/>
      <c r="D18" s="29" t="n"/>
      <c r="E18" s="29" t="n"/>
      <c r="F18" s="31" t="n"/>
      <c r="G18" s="29" t="n"/>
      <c r="H18" s="32">
        <f>IF(OR(NOT(AND($A18&lt;&gt;"",OR($G18="",$G18="Active"))),$F18=""),"",INT((TODAY()-$F18+280)/7)&amp;"+"&amp;MOD(TODAY()-$F18+280,7))</f>
        <v/>
      </c>
      <c r="I18" s="32">
        <f>IF(NOT(AND($A18&lt;&gt;"",OR($G18="",$G18="Active"))),"",IF(OR(IFERROR(LOOKUP(2,1/(ISNUMBER($M18:$U18)+($M18:$U18="DNA")),$M18:$U18),"")="DNA",AND(ISNUMBER(IFERROR(LOOKUP(2,1/(ISNUMBER($M18:$U18)+($M18:$U18="DNA")),$M18:$U18),"")),IFERROR(LOOKUP(2,1/(ISNUMBER($M18:$U18)+($M18:$U18="DNA")),$M18:$U18),"")&lt;TODAY())),1,0)+COUNTIF($V18:$Z18,"&lt;"&amp;TODAY()))</f>
        <v/>
      </c>
      <c r="J18" s="32">
        <f>IF(NOT(AND($A18&lt;&gt;"",OR($G18="",$G18="Active"))),"",COUNTIFS($M18:$U18,"&gt;="&amp;TODAY(),$M18:$U18,"&lt;="&amp;TODAY()+7)+COUNTIFS($V18:$Z18,"&gt;="&amp;TODAY(),$V18:$Z18,"&lt;="&amp;TODAY()+7))</f>
        <v/>
      </c>
      <c r="K18" s="32">
        <f>IF(NOT(AND($A18&lt;&gt;"",OR($G18="",$G18="Active"))),"",IF($L18&lt;&gt;"",IF($L18=$M18,"Booking",INDEX($N$4:$U$4,MATCH($L18,$N18:$U18,0))),IF(IFERROR(LOOKUP(2,1/(ISNUMBER($M18:$U18)+($M18:$U18="DNA")),$M18:$U18),"")="DNA","Rebook DNA",IF(ISNUMBER(IFERROR(LOOKUP(2,1/(ISNUMBER($M18:$U18)+($M18:$U18="DNA")),$M18:$U18),"")),IF(ISNUMBER($U18),"Update status","Missed/not booked?"),""))))</f>
        <v/>
      </c>
      <c r="L18" s="33">
        <f>IF(NOT(AND($A18&lt;&gt;"",OR($G18="",$G18="Active"))),"",IFERROR(SMALL($M18:$U18,COUNTIF($M18:$U18,"&lt;"&amp;TODAY())+1),""))</f>
        <v/>
      </c>
      <c r="M18" s="31" t="n"/>
      <c r="N18" s="31" t="n"/>
      <c r="O18" s="31" t="n"/>
      <c r="P18" s="31" t="n"/>
      <c r="Q18" s="31" t="n"/>
      <c r="R18" s="31" t="n"/>
      <c r="S18" s="31" t="n"/>
      <c r="T18" s="31" t="n"/>
      <c r="U18" s="31" t="n"/>
      <c r="V18" s="31" t="n"/>
      <c r="W18" s="31" t="n"/>
      <c r="X18" s="31" t="n"/>
      <c r="Y18" s="31" t="n"/>
      <c r="Z18" s="31" t="n"/>
      <c r="AA18" s="34" t="n"/>
      <c r="AB18" s="29" t="n"/>
      <c r="AC18" s="31" t="n"/>
    </row>
    <row r="19">
      <c r="A19" s="29" t="n"/>
      <c r="B19" s="30" t="n"/>
      <c r="C19" s="31" t="n"/>
      <c r="D19" s="29" t="n"/>
      <c r="E19" s="29" t="n"/>
      <c r="F19" s="31" t="n"/>
      <c r="G19" s="29" t="n"/>
      <c r="H19" s="32">
        <f>IF(OR(NOT(AND($A19&lt;&gt;"",OR($G19="",$G19="Active"))),$F19=""),"",INT((TODAY()-$F19+280)/7)&amp;"+"&amp;MOD(TODAY()-$F19+280,7))</f>
        <v/>
      </c>
      <c r="I19" s="32">
        <f>IF(NOT(AND($A19&lt;&gt;"",OR($G19="",$G19="Active"))),"",IF(OR(IFERROR(LOOKUP(2,1/(ISNUMBER($M19:$U19)+($M19:$U19="DNA")),$M19:$U19),"")="DNA",AND(ISNUMBER(IFERROR(LOOKUP(2,1/(ISNUMBER($M19:$U19)+($M19:$U19="DNA")),$M19:$U19),"")),IFERROR(LOOKUP(2,1/(ISNUMBER($M19:$U19)+($M19:$U19="DNA")),$M19:$U19),"")&lt;TODAY())),1,0)+COUNTIF($V19:$Z19,"&lt;"&amp;TODAY()))</f>
        <v/>
      </c>
      <c r="J19" s="32">
        <f>IF(NOT(AND($A19&lt;&gt;"",OR($G19="",$G19="Active"))),"",COUNTIFS($M19:$U19,"&gt;="&amp;TODAY(),$M19:$U19,"&lt;="&amp;TODAY()+7)+COUNTIFS($V19:$Z19,"&gt;="&amp;TODAY(),$V19:$Z19,"&lt;="&amp;TODAY()+7))</f>
        <v/>
      </c>
      <c r="K19" s="32">
        <f>IF(NOT(AND($A19&lt;&gt;"",OR($G19="",$G19="Active"))),"",IF($L19&lt;&gt;"",IF($L19=$M19,"Booking",INDEX($N$4:$U$4,MATCH($L19,$N19:$U19,0))),IF(IFERROR(LOOKUP(2,1/(ISNUMBER($M19:$U19)+($M19:$U19="DNA")),$M19:$U19),"")="DNA","Rebook DNA",IF(ISNUMBER(IFERROR(LOOKUP(2,1/(ISNUMBER($M19:$U19)+($M19:$U19="DNA")),$M19:$U19),"")),IF(ISNUMBER($U19),"Update status","Missed/not booked?"),""))))</f>
        <v/>
      </c>
      <c r="L19" s="33">
        <f>IF(NOT(AND($A19&lt;&gt;"",OR($G19="",$G19="Active"))),"",IFERROR(SMALL($M19:$U19,COUNTIF($M19:$U19,"&lt;"&amp;TODAY())+1),""))</f>
        <v/>
      </c>
      <c r="M19" s="31" t="n"/>
      <c r="N19" s="31" t="n"/>
      <c r="O19" s="31" t="n"/>
      <c r="P19" s="31" t="n"/>
      <c r="Q19" s="31" t="n"/>
      <c r="R19" s="31" t="n"/>
      <c r="S19" s="31" t="n"/>
      <c r="T19" s="31" t="n"/>
      <c r="U19" s="31" t="n"/>
      <c r="V19" s="31" t="n"/>
      <c r="W19" s="31" t="n"/>
      <c r="X19" s="31" t="n"/>
      <c r="Y19" s="31" t="n"/>
      <c r="Z19" s="31" t="n"/>
      <c r="AA19" s="34" t="n"/>
      <c r="AB19" s="29" t="n"/>
      <c r="AC19" s="31" t="n"/>
    </row>
    <row r="20">
      <c r="A20" s="29" t="n"/>
      <c r="B20" s="30" t="n"/>
      <c r="C20" s="31" t="n"/>
      <c r="D20" s="29" t="n"/>
      <c r="E20" s="29" t="n"/>
      <c r="F20" s="31" t="n"/>
      <c r="G20" s="29" t="n"/>
      <c r="H20" s="32">
        <f>IF(OR(NOT(AND($A20&lt;&gt;"",OR($G20="",$G20="Active"))),$F20=""),"",INT((TODAY()-$F20+280)/7)&amp;"+"&amp;MOD(TODAY()-$F20+280,7))</f>
        <v/>
      </c>
      <c r="I20" s="32">
        <f>IF(NOT(AND($A20&lt;&gt;"",OR($G20="",$G20="Active"))),"",IF(OR(IFERROR(LOOKUP(2,1/(ISNUMBER($M20:$U20)+($M20:$U20="DNA")),$M20:$U20),"")="DNA",AND(ISNUMBER(IFERROR(LOOKUP(2,1/(ISNUMBER($M20:$U20)+($M20:$U20="DNA")),$M20:$U20),"")),IFERROR(LOOKUP(2,1/(ISNUMBER($M20:$U20)+($M20:$U20="DNA")),$M20:$U20),"")&lt;TODAY())),1,0)+COUNTIF($V20:$Z20,"&lt;"&amp;TODAY()))</f>
        <v/>
      </c>
      <c r="J20" s="32">
        <f>IF(NOT(AND($A20&lt;&gt;"",OR($G20="",$G20="Active"))),"",COUNTIFS($M20:$U20,"&gt;="&amp;TODAY(),$M20:$U20,"&lt;="&amp;TODAY()+7)+COUNTIFS($V20:$Z20,"&gt;="&amp;TODAY(),$V20:$Z20,"&lt;="&amp;TODAY()+7))</f>
        <v/>
      </c>
      <c r="K20" s="32">
        <f>IF(NOT(AND($A20&lt;&gt;"",OR($G20="",$G20="Active"))),"",IF($L20&lt;&gt;"",IF($L20=$M20,"Booking",INDEX($N$4:$U$4,MATCH($L20,$N20:$U20,0))),IF(IFERROR(LOOKUP(2,1/(ISNUMBER($M20:$U20)+($M20:$U20="DNA")),$M20:$U20),"")="DNA","Rebook DNA",IF(ISNUMBER(IFERROR(LOOKUP(2,1/(ISNUMBER($M20:$U20)+($M20:$U20="DNA")),$M20:$U20),"")),IF(ISNUMBER($U20),"Update status","Missed/not booked?"),""))))</f>
        <v/>
      </c>
      <c r="L20" s="33">
        <f>IF(NOT(AND($A20&lt;&gt;"",OR($G20="",$G20="Active"))),"",IFERROR(SMALL($M20:$U20,COUNTIF($M20:$U20,"&lt;"&amp;TODAY())+1),""))</f>
        <v/>
      </c>
      <c r="M20" s="31" t="n"/>
      <c r="N20" s="31" t="n"/>
      <c r="O20" s="31" t="n"/>
      <c r="P20" s="31" t="n"/>
      <c r="Q20" s="31" t="n"/>
      <c r="R20" s="31" t="n"/>
      <c r="S20" s="31" t="n"/>
      <c r="T20" s="31" t="n"/>
      <c r="U20" s="31" t="n"/>
      <c r="V20" s="31" t="n"/>
      <c r="W20" s="31" t="n"/>
      <c r="X20" s="31" t="n"/>
      <c r="Y20" s="31" t="n"/>
      <c r="Z20" s="31" t="n"/>
      <c r="AA20" s="34" t="n"/>
      <c r="AB20" s="29" t="n"/>
      <c r="AC20" s="31" t="n"/>
    </row>
    <row r="21">
      <c r="A21" s="29" t="n"/>
      <c r="B21" s="30" t="n"/>
      <c r="C21" s="31" t="n"/>
      <c r="D21" s="29" t="n"/>
      <c r="E21" s="29" t="n"/>
      <c r="F21" s="31" t="n"/>
      <c r="G21" s="29" t="n"/>
      <c r="H21" s="32">
        <f>IF(OR(NOT(AND($A21&lt;&gt;"",OR($G21="",$G21="Active"))),$F21=""),"",INT((TODAY()-$F21+280)/7)&amp;"+"&amp;MOD(TODAY()-$F21+280,7))</f>
        <v/>
      </c>
      <c r="I21" s="32">
        <f>IF(NOT(AND($A21&lt;&gt;"",OR($G21="",$G21="Active"))),"",IF(OR(IFERROR(LOOKUP(2,1/(ISNUMBER($M21:$U21)+($M21:$U21="DNA")),$M21:$U21),"")="DNA",AND(ISNUMBER(IFERROR(LOOKUP(2,1/(ISNUMBER($M21:$U21)+($M21:$U21="DNA")),$M21:$U21),"")),IFERROR(LOOKUP(2,1/(ISNUMBER($M21:$U21)+($M21:$U21="DNA")),$M21:$U21),"")&lt;TODAY())),1,0)+COUNTIF($V21:$Z21,"&lt;"&amp;TODAY()))</f>
        <v/>
      </c>
      <c r="J21" s="32">
        <f>IF(NOT(AND($A21&lt;&gt;"",OR($G21="",$G21="Active"))),"",COUNTIFS($M21:$U21,"&gt;="&amp;TODAY(),$M21:$U21,"&lt;="&amp;TODAY()+7)+COUNTIFS($V21:$Z21,"&gt;="&amp;TODAY(),$V21:$Z21,"&lt;="&amp;TODAY()+7))</f>
        <v/>
      </c>
      <c r="K21" s="32">
        <f>IF(NOT(AND($A21&lt;&gt;"",OR($G21="",$G21="Active"))),"",IF($L21&lt;&gt;"",IF($L21=$M21,"Booking",INDEX($N$4:$U$4,MATCH($L21,$N21:$U21,0))),IF(IFERROR(LOOKUP(2,1/(ISNUMBER($M21:$U21)+($M21:$U21="DNA")),$M21:$U21),"")="DNA","Rebook DNA",IF(ISNUMBER(IFERROR(LOOKUP(2,1/(ISNUMBER($M21:$U21)+($M21:$U21="DNA")),$M21:$U21),"")),IF(ISNUMBER($U21),"Update status","Missed/not booked?"),""))))</f>
        <v/>
      </c>
      <c r="L21" s="33">
        <f>IF(NOT(AND($A21&lt;&gt;"",OR($G21="",$G21="Active"))),"",IFERROR(SMALL($M21:$U21,COUNTIF($M21:$U21,"&lt;"&amp;TODAY())+1),""))</f>
        <v/>
      </c>
      <c r="M21" s="31" t="n"/>
      <c r="N21" s="31" t="n"/>
      <c r="O21" s="31" t="n"/>
      <c r="P21" s="31" t="n"/>
      <c r="Q21" s="31" t="n"/>
      <c r="R21" s="31" t="n"/>
      <c r="S21" s="31" t="n"/>
      <c r="T21" s="31" t="n"/>
      <c r="U21" s="31" t="n"/>
      <c r="V21" s="31" t="n"/>
      <c r="W21" s="31" t="n"/>
      <c r="X21" s="31" t="n"/>
      <c r="Y21" s="31" t="n"/>
      <c r="Z21" s="31" t="n"/>
      <c r="AA21" s="34" t="n"/>
      <c r="AB21" s="29" t="n"/>
      <c r="AC21" s="31" t="n"/>
    </row>
    <row r="22">
      <c r="A22" s="29" t="n"/>
      <c r="B22" s="30" t="n"/>
      <c r="C22" s="31" t="n"/>
      <c r="D22" s="29" t="n"/>
      <c r="E22" s="29" t="n"/>
      <c r="F22" s="31" t="n"/>
      <c r="G22" s="29" t="n"/>
      <c r="H22" s="32">
        <f>IF(OR(NOT(AND($A22&lt;&gt;"",OR($G22="",$G22="Active"))),$F22=""),"",INT((TODAY()-$F22+280)/7)&amp;"+"&amp;MOD(TODAY()-$F22+280,7))</f>
        <v/>
      </c>
      <c r="I22" s="32">
        <f>IF(NOT(AND($A22&lt;&gt;"",OR($G22="",$G22="Active"))),"",IF(OR(IFERROR(LOOKUP(2,1/(ISNUMBER($M22:$U22)+($M22:$U22="DNA")),$M22:$U22),"")="DNA",AND(ISNUMBER(IFERROR(LOOKUP(2,1/(ISNUMBER($M22:$U22)+($M22:$U22="DNA")),$M22:$U22),"")),IFERROR(LOOKUP(2,1/(ISNUMBER($M22:$U22)+($M22:$U22="DNA")),$M22:$U22),"")&lt;TODAY())),1,0)+COUNTIF($V22:$Z22,"&lt;"&amp;TODAY()))</f>
        <v/>
      </c>
      <c r="J22" s="32">
        <f>IF(NOT(AND($A22&lt;&gt;"",OR($G22="",$G22="Active"))),"",COUNTIFS($M22:$U22,"&gt;="&amp;TODAY(),$M22:$U22,"&lt;="&amp;TODAY()+7)+COUNTIFS($V22:$Z22,"&gt;="&amp;TODAY(),$V22:$Z22,"&lt;="&amp;TODAY()+7))</f>
        <v/>
      </c>
      <c r="K22" s="32">
        <f>IF(NOT(AND($A22&lt;&gt;"",OR($G22="",$G22="Active"))),"",IF($L22&lt;&gt;"",IF($L22=$M22,"Booking",INDEX($N$4:$U$4,MATCH($L22,$N22:$U22,0))),IF(IFERROR(LOOKUP(2,1/(ISNUMBER($M22:$U22)+($M22:$U22="DNA")),$M22:$U22),"")="DNA","Rebook DNA",IF(ISNUMBER(IFERROR(LOOKUP(2,1/(ISNUMBER($M22:$U22)+($M22:$U22="DNA")),$M22:$U22),"")),IF(ISNUMBER($U22),"Update status","Missed/not booked?"),""))))</f>
        <v/>
      </c>
      <c r="L22" s="33">
        <f>IF(NOT(AND($A22&lt;&gt;"",OR($G22="",$G22="Active"))),"",IFERROR(SMALL($M22:$U22,COUNTIF($M22:$U22,"&lt;"&amp;TODAY())+1),""))</f>
        <v/>
      </c>
      <c r="M22" s="31" t="n"/>
      <c r="N22" s="31" t="n"/>
      <c r="O22" s="31" t="n"/>
      <c r="P22" s="31" t="n"/>
      <c r="Q22" s="31" t="n"/>
      <c r="R22" s="31" t="n"/>
      <c r="S22" s="31" t="n"/>
      <c r="T22" s="31" t="n"/>
      <c r="U22" s="31" t="n"/>
      <c r="V22" s="31" t="n"/>
      <c r="W22" s="31" t="n"/>
      <c r="X22" s="31" t="n"/>
      <c r="Y22" s="31" t="n"/>
      <c r="Z22" s="31" t="n"/>
      <c r="AA22" s="34" t="n"/>
      <c r="AB22" s="29" t="n"/>
      <c r="AC22" s="31" t="n"/>
    </row>
    <row r="23">
      <c r="A23" s="29" t="n"/>
      <c r="B23" s="30" t="n"/>
      <c r="C23" s="31" t="n"/>
      <c r="D23" s="29" t="n"/>
      <c r="E23" s="29" t="n"/>
      <c r="F23" s="31" t="n"/>
      <c r="G23" s="29" t="n"/>
      <c r="H23" s="32">
        <f>IF(OR(NOT(AND($A23&lt;&gt;"",OR($G23="",$G23="Active"))),$F23=""),"",INT((TODAY()-$F23+280)/7)&amp;"+"&amp;MOD(TODAY()-$F23+280,7))</f>
        <v/>
      </c>
      <c r="I23" s="32">
        <f>IF(NOT(AND($A23&lt;&gt;"",OR($G23="",$G23="Active"))),"",IF(OR(IFERROR(LOOKUP(2,1/(ISNUMBER($M23:$U23)+($M23:$U23="DNA")),$M23:$U23),"")="DNA",AND(ISNUMBER(IFERROR(LOOKUP(2,1/(ISNUMBER($M23:$U23)+($M23:$U23="DNA")),$M23:$U23),"")),IFERROR(LOOKUP(2,1/(ISNUMBER($M23:$U23)+($M23:$U23="DNA")),$M23:$U23),"")&lt;TODAY())),1,0)+COUNTIF($V23:$Z23,"&lt;"&amp;TODAY()))</f>
        <v/>
      </c>
      <c r="J23" s="32">
        <f>IF(NOT(AND($A23&lt;&gt;"",OR($G23="",$G23="Active"))),"",COUNTIFS($M23:$U23,"&gt;="&amp;TODAY(),$M23:$U23,"&lt;="&amp;TODAY()+7)+COUNTIFS($V23:$Z23,"&gt;="&amp;TODAY(),$V23:$Z23,"&lt;="&amp;TODAY()+7))</f>
        <v/>
      </c>
      <c r="K23" s="32">
        <f>IF(NOT(AND($A23&lt;&gt;"",OR($G23="",$G23="Active"))),"",IF($L23&lt;&gt;"",IF($L23=$M23,"Booking",INDEX($N$4:$U$4,MATCH($L23,$N23:$U23,0))),IF(IFERROR(LOOKUP(2,1/(ISNUMBER($M23:$U23)+($M23:$U23="DNA")),$M23:$U23),"")="DNA","Rebook DNA",IF(ISNUMBER(IFERROR(LOOKUP(2,1/(ISNUMBER($M23:$U23)+($M23:$U23="DNA")),$M23:$U23),"")),IF(ISNUMBER($U23),"Update status","Missed/not booked?"),""))))</f>
        <v/>
      </c>
      <c r="L23" s="33">
        <f>IF(NOT(AND($A23&lt;&gt;"",OR($G23="",$G23="Active"))),"",IFERROR(SMALL($M23:$U23,COUNTIF($M23:$U23,"&lt;"&amp;TODAY())+1),""))</f>
        <v/>
      </c>
      <c r="M23" s="31" t="n"/>
      <c r="N23" s="31" t="n"/>
      <c r="O23" s="31" t="n"/>
      <c r="P23" s="31" t="n"/>
      <c r="Q23" s="31" t="n"/>
      <c r="R23" s="31" t="n"/>
      <c r="S23" s="31" t="n"/>
      <c r="T23" s="31" t="n"/>
      <c r="U23" s="31" t="n"/>
      <c r="V23" s="31" t="n"/>
      <c r="W23" s="31" t="n"/>
      <c r="X23" s="31" t="n"/>
      <c r="Y23" s="31" t="n"/>
      <c r="Z23" s="31" t="n"/>
      <c r="AA23" s="34" t="n"/>
      <c r="AB23" s="29" t="n"/>
      <c r="AC23" s="31" t="n"/>
    </row>
    <row r="24">
      <c r="A24" s="29" t="n"/>
      <c r="B24" s="30" t="n"/>
      <c r="C24" s="31" t="n"/>
      <c r="D24" s="29" t="n"/>
      <c r="E24" s="29" t="n"/>
      <c r="F24" s="31" t="n"/>
      <c r="G24" s="29" t="n"/>
      <c r="H24" s="32">
        <f>IF(OR(NOT(AND($A24&lt;&gt;"",OR($G24="",$G24="Active"))),$F24=""),"",INT((TODAY()-$F24+280)/7)&amp;"+"&amp;MOD(TODAY()-$F24+280,7))</f>
        <v/>
      </c>
      <c r="I24" s="32">
        <f>IF(NOT(AND($A24&lt;&gt;"",OR($G24="",$G24="Active"))),"",IF(OR(IFERROR(LOOKUP(2,1/(ISNUMBER($M24:$U24)+($M24:$U24="DNA")),$M24:$U24),"")="DNA",AND(ISNUMBER(IFERROR(LOOKUP(2,1/(ISNUMBER($M24:$U24)+($M24:$U24="DNA")),$M24:$U24),"")),IFERROR(LOOKUP(2,1/(ISNUMBER($M24:$U24)+($M24:$U24="DNA")),$M24:$U24),"")&lt;TODAY())),1,0)+COUNTIF($V24:$Z24,"&lt;"&amp;TODAY()))</f>
        <v/>
      </c>
      <c r="J24" s="32">
        <f>IF(NOT(AND($A24&lt;&gt;"",OR($G24="",$G24="Active"))),"",COUNTIFS($M24:$U24,"&gt;="&amp;TODAY(),$M24:$U24,"&lt;="&amp;TODAY()+7)+COUNTIFS($V24:$Z24,"&gt;="&amp;TODAY(),$V24:$Z24,"&lt;="&amp;TODAY()+7))</f>
        <v/>
      </c>
      <c r="K24" s="32">
        <f>IF(NOT(AND($A24&lt;&gt;"",OR($G24="",$G24="Active"))),"",IF($L24&lt;&gt;"",IF($L24=$M24,"Booking",INDEX($N$4:$U$4,MATCH($L24,$N24:$U24,0))),IF(IFERROR(LOOKUP(2,1/(ISNUMBER($M24:$U24)+($M24:$U24="DNA")),$M24:$U24),"")="DNA","Rebook DNA",IF(ISNUMBER(IFERROR(LOOKUP(2,1/(ISNUMBER($M24:$U24)+($M24:$U24="DNA")),$M24:$U24),"")),IF(ISNUMBER($U24),"Update status","Missed/not booked?"),""))))</f>
        <v/>
      </c>
      <c r="L24" s="33">
        <f>IF(NOT(AND($A24&lt;&gt;"",OR($G24="",$G24="Active"))),"",IFERROR(SMALL($M24:$U24,COUNTIF($M24:$U24,"&lt;"&amp;TODAY())+1),""))</f>
        <v/>
      </c>
      <c r="M24" s="31" t="n"/>
      <c r="N24" s="31" t="n"/>
      <c r="O24" s="31" t="n"/>
      <c r="P24" s="31" t="n"/>
      <c r="Q24" s="31" t="n"/>
      <c r="R24" s="31" t="n"/>
      <c r="S24" s="31" t="n"/>
      <c r="T24" s="31" t="n"/>
      <c r="U24" s="31" t="n"/>
      <c r="V24" s="31" t="n"/>
      <c r="W24" s="31" t="n"/>
      <c r="X24" s="31" t="n"/>
      <c r="Y24" s="31" t="n"/>
      <c r="Z24" s="31" t="n"/>
      <c r="AA24" s="34" t="n"/>
      <c r="AB24" s="29" t="n"/>
      <c r="AC24" s="31" t="n"/>
    </row>
    <row r="25">
      <c r="A25" s="29" t="n"/>
      <c r="B25" s="30" t="n"/>
      <c r="C25" s="31" t="n"/>
      <c r="D25" s="29" t="n"/>
      <c r="E25" s="29" t="n"/>
      <c r="F25" s="31" t="n"/>
      <c r="G25" s="29" t="n"/>
      <c r="H25" s="32">
        <f>IF(OR(NOT(AND($A25&lt;&gt;"",OR($G25="",$G25="Active"))),$F25=""),"",INT((TODAY()-$F25+280)/7)&amp;"+"&amp;MOD(TODAY()-$F25+280,7))</f>
        <v/>
      </c>
      <c r="I25" s="32">
        <f>IF(NOT(AND($A25&lt;&gt;"",OR($G25="",$G25="Active"))),"",IF(OR(IFERROR(LOOKUP(2,1/(ISNUMBER($M25:$U25)+($M25:$U25="DNA")),$M25:$U25),"")="DNA",AND(ISNUMBER(IFERROR(LOOKUP(2,1/(ISNUMBER($M25:$U25)+($M25:$U25="DNA")),$M25:$U25),"")),IFERROR(LOOKUP(2,1/(ISNUMBER($M25:$U25)+($M25:$U25="DNA")),$M25:$U25),"")&lt;TODAY())),1,0)+COUNTIF($V25:$Z25,"&lt;"&amp;TODAY()))</f>
        <v/>
      </c>
      <c r="J25" s="32">
        <f>IF(NOT(AND($A25&lt;&gt;"",OR($G25="",$G25="Active"))),"",COUNTIFS($M25:$U25,"&gt;="&amp;TODAY(),$M25:$U25,"&lt;="&amp;TODAY()+7)+COUNTIFS($V25:$Z25,"&gt;="&amp;TODAY(),$V25:$Z25,"&lt;="&amp;TODAY()+7))</f>
        <v/>
      </c>
      <c r="K25" s="32">
        <f>IF(NOT(AND($A25&lt;&gt;"",OR($G25="",$G25="Active"))),"",IF($L25&lt;&gt;"",IF($L25=$M25,"Booking",INDEX($N$4:$U$4,MATCH($L25,$N25:$U25,0))),IF(IFERROR(LOOKUP(2,1/(ISNUMBER($M25:$U25)+($M25:$U25="DNA")),$M25:$U25),"")="DNA","Rebook DNA",IF(ISNUMBER(IFERROR(LOOKUP(2,1/(ISNUMBER($M25:$U25)+($M25:$U25="DNA")),$M25:$U25),"")),IF(ISNUMBER($U25),"Update status","Missed/not booked?"),""))))</f>
        <v/>
      </c>
      <c r="L25" s="33">
        <f>IF(NOT(AND($A25&lt;&gt;"",OR($G25="",$G25="Active"))),"",IFERROR(SMALL($M25:$U25,COUNTIF($M25:$U25,"&lt;"&amp;TODAY())+1),""))</f>
        <v/>
      </c>
      <c r="M25" s="31" t="n"/>
      <c r="N25" s="31" t="n"/>
      <c r="O25" s="31" t="n"/>
      <c r="P25" s="31" t="n"/>
      <c r="Q25" s="31" t="n"/>
      <c r="R25" s="31" t="n"/>
      <c r="S25" s="31" t="n"/>
      <c r="T25" s="31" t="n"/>
      <c r="U25" s="31" t="n"/>
      <c r="V25" s="31" t="n"/>
      <c r="W25" s="31" t="n"/>
      <c r="X25" s="31" t="n"/>
      <c r="Y25" s="31" t="n"/>
      <c r="Z25" s="31" t="n"/>
      <c r="AA25" s="34" t="n"/>
      <c r="AB25" s="29" t="n"/>
      <c r="AC25" s="31" t="n"/>
    </row>
    <row r="26">
      <c r="A26" s="29" t="n"/>
      <c r="B26" s="30" t="n"/>
      <c r="C26" s="31" t="n"/>
      <c r="D26" s="29" t="n"/>
      <c r="E26" s="29" t="n"/>
      <c r="F26" s="31" t="n"/>
      <c r="G26" s="29" t="n"/>
      <c r="H26" s="32">
        <f>IF(OR(NOT(AND($A26&lt;&gt;"",OR($G26="",$G26="Active"))),$F26=""),"",INT((TODAY()-$F26+280)/7)&amp;"+"&amp;MOD(TODAY()-$F26+280,7))</f>
        <v/>
      </c>
      <c r="I26" s="32">
        <f>IF(NOT(AND($A26&lt;&gt;"",OR($G26="",$G26="Active"))),"",IF(OR(IFERROR(LOOKUP(2,1/(ISNUMBER($M26:$U26)+($M26:$U26="DNA")),$M26:$U26),"")="DNA",AND(ISNUMBER(IFERROR(LOOKUP(2,1/(ISNUMBER($M26:$U26)+($M26:$U26="DNA")),$M26:$U26),"")),IFERROR(LOOKUP(2,1/(ISNUMBER($M26:$U26)+($M26:$U26="DNA")),$M26:$U26),"")&lt;TODAY())),1,0)+COUNTIF($V26:$Z26,"&lt;"&amp;TODAY()))</f>
        <v/>
      </c>
      <c r="J26" s="32">
        <f>IF(NOT(AND($A26&lt;&gt;"",OR($G26="",$G26="Active"))),"",COUNTIFS($M26:$U26,"&gt;="&amp;TODAY(),$M26:$U26,"&lt;="&amp;TODAY()+7)+COUNTIFS($V26:$Z26,"&gt;="&amp;TODAY(),$V26:$Z26,"&lt;="&amp;TODAY()+7))</f>
        <v/>
      </c>
      <c r="K26" s="32">
        <f>IF(NOT(AND($A26&lt;&gt;"",OR($G26="",$G26="Active"))),"",IF($L26&lt;&gt;"",IF($L26=$M26,"Booking",INDEX($N$4:$U$4,MATCH($L26,$N26:$U26,0))),IF(IFERROR(LOOKUP(2,1/(ISNUMBER($M26:$U26)+($M26:$U26="DNA")),$M26:$U26),"")="DNA","Rebook DNA",IF(ISNUMBER(IFERROR(LOOKUP(2,1/(ISNUMBER($M26:$U26)+($M26:$U26="DNA")),$M26:$U26),"")),IF(ISNUMBER($U26),"Update status","Missed/not booked?"),""))))</f>
        <v/>
      </c>
      <c r="L26" s="33">
        <f>IF(NOT(AND($A26&lt;&gt;"",OR($G26="",$G26="Active"))),"",IFERROR(SMALL($M26:$U26,COUNTIF($M26:$U26,"&lt;"&amp;TODAY())+1),""))</f>
        <v/>
      </c>
      <c r="M26" s="31" t="n"/>
      <c r="N26" s="31" t="n"/>
      <c r="O26" s="31" t="n"/>
      <c r="P26" s="31" t="n"/>
      <c r="Q26" s="31" t="n"/>
      <c r="R26" s="31" t="n"/>
      <c r="S26" s="31" t="n"/>
      <c r="T26" s="31" t="n"/>
      <c r="U26" s="31" t="n"/>
      <c r="V26" s="31" t="n"/>
      <c r="W26" s="31" t="n"/>
      <c r="X26" s="31" t="n"/>
      <c r="Y26" s="31" t="n"/>
      <c r="Z26" s="31" t="n"/>
      <c r="AA26" s="34" t="n"/>
      <c r="AB26" s="29" t="n"/>
      <c r="AC26" s="31" t="n"/>
    </row>
    <row r="27">
      <c r="A27" s="29" t="n"/>
      <c r="B27" s="30" t="n"/>
      <c r="C27" s="31" t="n"/>
      <c r="D27" s="29" t="n"/>
      <c r="E27" s="29" t="n"/>
      <c r="F27" s="31" t="n"/>
      <c r="G27" s="29" t="n"/>
      <c r="H27" s="32">
        <f>IF(OR(NOT(AND($A27&lt;&gt;"",OR($G27="",$G27="Active"))),$F27=""),"",INT((TODAY()-$F27+280)/7)&amp;"+"&amp;MOD(TODAY()-$F27+280,7))</f>
        <v/>
      </c>
      <c r="I27" s="32">
        <f>IF(NOT(AND($A27&lt;&gt;"",OR($G27="",$G27="Active"))),"",IF(OR(IFERROR(LOOKUP(2,1/(ISNUMBER($M27:$U27)+($M27:$U27="DNA")),$M27:$U27),"")="DNA",AND(ISNUMBER(IFERROR(LOOKUP(2,1/(ISNUMBER($M27:$U27)+($M27:$U27="DNA")),$M27:$U27),"")),IFERROR(LOOKUP(2,1/(ISNUMBER($M27:$U27)+($M27:$U27="DNA")),$M27:$U27),"")&lt;TODAY())),1,0)+COUNTIF($V27:$Z27,"&lt;"&amp;TODAY()))</f>
        <v/>
      </c>
      <c r="J27" s="32">
        <f>IF(NOT(AND($A27&lt;&gt;"",OR($G27="",$G27="Active"))),"",COUNTIFS($M27:$U27,"&gt;="&amp;TODAY(),$M27:$U27,"&lt;="&amp;TODAY()+7)+COUNTIFS($V27:$Z27,"&gt;="&amp;TODAY(),$V27:$Z27,"&lt;="&amp;TODAY()+7))</f>
        <v/>
      </c>
      <c r="K27" s="32">
        <f>IF(NOT(AND($A27&lt;&gt;"",OR($G27="",$G27="Active"))),"",IF($L27&lt;&gt;"",IF($L27=$M27,"Booking",INDEX($N$4:$U$4,MATCH($L27,$N27:$U27,0))),IF(IFERROR(LOOKUP(2,1/(ISNUMBER($M27:$U27)+($M27:$U27="DNA")),$M27:$U27),"")="DNA","Rebook DNA",IF(ISNUMBER(IFERROR(LOOKUP(2,1/(ISNUMBER($M27:$U27)+($M27:$U27="DNA")),$M27:$U27),"")),IF(ISNUMBER($U27),"Update status","Missed/not booked?"),""))))</f>
        <v/>
      </c>
      <c r="L27" s="33">
        <f>IF(NOT(AND($A27&lt;&gt;"",OR($G27="",$G27="Active"))),"",IFERROR(SMALL($M27:$U27,COUNTIF($M27:$U27,"&lt;"&amp;TODAY())+1),""))</f>
        <v/>
      </c>
      <c r="M27" s="31" t="n"/>
      <c r="N27" s="31" t="n"/>
      <c r="O27" s="31" t="n"/>
      <c r="P27" s="31" t="n"/>
      <c r="Q27" s="31" t="n"/>
      <c r="R27" s="31" t="n"/>
      <c r="S27" s="31" t="n"/>
      <c r="T27" s="31" t="n"/>
      <c r="U27" s="31" t="n"/>
      <c r="V27" s="31" t="n"/>
      <c r="W27" s="31" t="n"/>
      <c r="X27" s="31" t="n"/>
      <c r="Y27" s="31" t="n"/>
      <c r="Z27" s="31" t="n"/>
      <c r="AA27" s="34" t="n"/>
      <c r="AB27" s="29" t="n"/>
      <c r="AC27" s="31" t="n"/>
    </row>
    <row r="28">
      <c r="A28" s="29" t="n"/>
      <c r="B28" s="30" t="n"/>
      <c r="C28" s="31" t="n"/>
      <c r="D28" s="29" t="n"/>
      <c r="E28" s="29" t="n"/>
      <c r="F28" s="31" t="n"/>
      <c r="G28" s="29" t="n"/>
      <c r="H28" s="32">
        <f>IF(OR(NOT(AND($A28&lt;&gt;"",OR($G28="",$G28="Active"))),$F28=""),"",INT((TODAY()-$F28+280)/7)&amp;"+"&amp;MOD(TODAY()-$F28+280,7))</f>
        <v/>
      </c>
      <c r="I28" s="32">
        <f>IF(NOT(AND($A28&lt;&gt;"",OR($G28="",$G28="Active"))),"",IF(OR(IFERROR(LOOKUP(2,1/(ISNUMBER($M28:$U28)+($M28:$U28="DNA")),$M28:$U28),"")="DNA",AND(ISNUMBER(IFERROR(LOOKUP(2,1/(ISNUMBER($M28:$U28)+($M28:$U28="DNA")),$M28:$U28),"")),IFERROR(LOOKUP(2,1/(ISNUMBER($M28:$U28)+($M28:$U28="DNA")),$M28:$U28),"")&lt;TODAY())),1,0)+COUNTIF($V28:$Z28,"&lt;"&amp;TODAY()))</f>
        <v/>
      </c>
      <c r="J28" s="32">
        <f>IF(NOT(AND($A28&lt;&gt;"",OR($G28="",$G28="Active"))),"",COUNTIFS($M28:$U28,"&gt;="&amp;TODAY(),$M28:$U28,"&lt;="&amp;TODAY()+7)+COUNTIFS($V28:$Z28,"&gt;="&amp;TODAY(),$V28:$Z28,"&lt;="&amp;TODAY()+7))</f>
        <v/>
      </c>
      <c r="K28" s="32">
        <f>IF(NOT(AND($A28&lt;&gt;"",OR($G28="",$G28="Active"))),"",IF($L28&lt;&gt;"",IF($L28=$M28,"Booking",INDEX($N$4:$U$4,MATCH($L28,$N28:$U28,0))),IF(IFERROR(LOOKUP(2,1/(ISNUMBER($M28:$U28)+($M28:$U28="DNA")),$M28:$U28),"")="DNA","Rebook DNA",IF(ISNUMBER(IFERROR(LOOKUP(2,1/(ISNUMBER($M28:$U28)+($M28:$U28="DNA")),$M28:$U28),"")),IF(ISNUMBER($U28),"Update status","Missed/not booked?"),""))))</f>
        <v/>
      </c>
      <c r="L28" s="33">
        <f>IF(NOT(AND($A28&lt;&gt;"",OR($G28="",$G28="Active"))),"",IFERROR(SMALL($M28:$U28,COUNTIF($M28:$U28,"&lt;"&amp;TODAY())+1),""))</f>
        <v/>
      </c>
      <c r="M28" s="31" t="n"/>
      <c r="N28" s="31" t="n"/>
      <c r="O28" s="31" t="n"/>
      <c r="P28" s="31" t="n"/>
      <c r="Q28" s="31" t="n"/>
      <c r="R28" s="31" t="n"/>
      <c r="S28" s="31" t="n"/>
      <c r="T28" s="31" t="n"/>
      <c r="U28" s="31" t="n"/>
      <c r="V28" s="31" t="n"/>
      <c r="W28" s="31" t="n"/>
      <c r="X28" s="31" t="n"/>
      <c r="Y28" s="31" t="n"/>
      <c r="Z28" s="31" t="n"/>
      <c r="AA28" s="34" t="n"/>
      <c r="AB28" s="29" t="n"/>
      <c r="AC28" s="31" t="n"/>
    </row>
    <row r="29">
      <c r="A29" s="29" t="n"/>
      <c r="B29" s="30" t="n"/>
      <c r="C29" s="31" t="n"/>
      <c r="D29" s="29" t="n"/>
      <c r="E29" s="29" t="n"/>
      <c r="F29" s="31" t="n"/>
      <c r="G29" s="29" t="n"/>
      <c r="H29" s="32">
        <f>IF(OR(NOT(AND($A29&lt;&gt;"",OR($G29="",$G29="Active"))),$F29=""),"",INT((TODAY()-$F29+280)/7)&amp;"+"&amp;MOD(TODAY()-$F29+280,7))</f>
        <v/>
      </c>
      <c r="I29" s="32">
        <f>IF(NOT(AND($A29&lt;&gt;"",OR($G29="",$G29="Active"))),"",IF(OR(IFERROR(LOOKUP(2,1/(ISNUMBER($M29:$U29)+($M29:$U29="DNA")),$M29:$U29),"")="DNA",AND(ISNUMBER(IFERROR(LOOKUP(2,1/(ISNUMBER($M29:$U29)+($M29:$U29="DNA")),$M29:$U29),"")),IFERROR(LOOKUP(2,1/(ISNUMBER($M29:$U29)+($M29:$U29="DNA")),$M29:$U29),"")&lt;TODAY())),1,0)+COUNTIF($V29:$Z29,"&lt;"&amp;TODAY()))</f>
        <v/>
      </c>
      <c r="J29" s="32">
        <f>IF(NOT(AND($A29&lt;&gt;"",OR($G29="",$G29="Active"))),"",COUNTIFS($M29:$U29,"&gt;="&amp;TODAY(),$M29:$U29,"&lt;="&amp;TODAY()+7)+COUNTIFS($V29:$Z29,"&gt;="&amp;TODAY(),$V29:$Z29,"&lt;="&amp;TODAY()+7))</f>
        <v/>
      </c>
      <c r="K29" s="32">
        <f>IF(NOT(AND($A29&lt;&gt;"",OR($G29="",$G29="Active"))),"",IF($L29&lt;&gt;"",IF($L29=$M29,"Booking",INDEX($N$4:$U$4,MATCH($L29,$N29:$U29,0))),IF(IFERROR(LOOKUP(2,1/(ISNUMBER($M29:$U29)+($M29:$U29="DNA")),$M29:$U29),"")="DNA","Rebook DNA",IF(ISNUMBER(IFERROR(LOOKUP(2,1/(ISNUMBER($M29:$U29)+($M29:$U29="DNA")),$M29:$U29),"")),IF(ISNUMBER($U29),"Update status","Missed/not booked?"),""))))</f>
        <v/>
      </c>
      <c r="L29" s="33">
        <f>IF(NOT(AND($A29&lt;&gt;"",OR($G29="",$G29="Active"))),"",IFERROR(SMALL($M29:$U29,COUNTIF($M29:$U29,"&lt;"&amp;TODAY())+1),""))</f>
        <v/>
      </c>
      <c r="M29" s="31" t="n"/>
      <c r="N29" s="31" t="n"/>
      <c r="O29" s="31" t="n"/>
      <c r="P29" s="31" t="n"/>
      <c r="Q29" s="31" t="n"/>
      <c r="R29" s="31" t="n"/>
      <c r="S29" s="31" t="n"/>
      <c r="T29" s="31" t="n"/>
      <c r="U29" s="31" t="n"/>
      <c r="V29" s="31" t="n"/>
      <c r="W29" s="31" t="n"/>
      <c r="X29" s="31" t="n"/>
      <c r="Y29" s="31" t="n"/>
      <c r="Z29" s="31" t="n"/>
      <c r="AA29" s="34" t="n"/>
      <c r="AB29" s="29" t="n"/>
      <c r="AC29" s="31" t="n"/>
    </row>
    <row r="30">
      <c r="A30" s="29" t="n"/>
      <c r="B30" s="30" t="n"/>
      <c r="C30" s="31" t="n"/>
      <c r="D30" s="29" t="n"/>
      <c r="E30" s="29" t="n"/>
      <c r="F30" s="31" t="n"/>
      <c r="G30" s="29" t="n"/>
      <c r="H30" s="32">
        <f>IF(OR(NOT(AND($A30&lt;&gt;"",OR($G30="",$G30="Active"))),$F30=""),"",INT((TODAY()-$F30+280)/7)&amp;"+"&amp;MOD(TODAY()-$F30+280,7))</f>
        <v/>
      </c>
      <c r="I30" s="32">
        <f>IF(NOT(AND($A30&lt;&gt;"",OR($G30="",$G30="Active"))),"",IF(OR(IFERROR(LOOKUP(2,1/(ISNUMBER($M30:$U30)+($M30:$U30="DNA")),$M30:$U30),"")="DNA",AND(ISNUMBER(IFERROR(LOOKUP(2,1/(ISNUMBER($M30:$U30)+($M30:$U30="DNA")),$M30:$U30),"")),IFERROR(LOOKUP(2,1/(ISNUMBER($M30:$U30)+($M30:$U30="DNA")),$M30:$U30),"")&lt;TODAY())),1,0)+COUNTIF($V30:$Z30,"&lt;"&amp;TODAY()))</f>
        <v/>
      </c>
      <c r="J30" s="32">
        <f>IF(NOT(AND($A30&lt;&gt;"",OR($G30="",$G30="Active"))),"",COUNTIFS($M30:$U30,"&gt;="&amp;TODAY(),$M30:$U30,"&lt;="&amp;TODAY()+7)+COUNTIFS($V30:$Z30,"&gt;="&amp;TODAY(),$V30:$Z30,"&lt;="&amp;TODAY()+7))</f>
        <v/>
      </c>
      <c r="K30" s="32">
        <f>IF(NOT(AND($A30&lt;&gt;"",OR($G30="",$G30="Active"))),"",IF($L30&lt;&gt;"",IF($L30=$M30,"Booking",INDEX($N$4:$U$4,MATCH($L30,$N30:$U30,0))),IF(IFERROR(LOOKUP(2,1/(ISNUMBER($M30:$U30)+($M30:$U30="DNA")),$M30:$U30),"")="DNA","Rebook DNA",IF(ISNUMBER(IFERROR(LOOKUP(2,1/(ISNUMBER($M30:$U30)+($M30:$U30="DNA")),$M30:$U30),"")),IF(ISNUMBER($U30),"Update status","Missed/not booked?"),""))))</f>
        <v/>
      </c>
      <c r="L30" s="33">
        <f>IF(NOT(AND($A30&lt;&gt;"",OR($G30="",$G30="Active"))),"",IFERROR(SMALL($M30:$U30,COUNTIF($M30:$U30,"&lt;"&amp;TODAY())+1),""))</f>
        <v/>
      </c>
      <c r="M30" s="31" t="n"/>
      <c r="N30" s="31" t="n"/>
      <c r="O30" s="31" t="n"/>
      <c r="P30" s="31" t="n"/>
      <c r="Q30" s="31" t="n"/>
      <c r="R30" s="31" t="n"/>
      <c r="S30" s="31" t="n"/>
      <c r="T30" s="31" t="n"/>
      <c r="U30" s="31" t="n"/>
      <c r="V30" s="31" t="n"/>
      <c r="W30" s="31" t="n"/>
      <c r="X30" s="31" t="n"/>
      <c r="Y30" s="31" t="n"/>
      <c r="Z30" s="31" t="n"/>
      <c r="AA30" s="34" t="n"/>
      <c r="AB30" s="29" t="n"/>
      <c r="AC30" s="31" t="n"/>
    </row>
    <row r="31">
      <c r="A31" s="29" t="n"/>
      <c r="B31" s="30" t="n"/>
      <c r="C31" s="31" t="n"/>
      <c r="D31" s="29" t="n"/>
      <c r="E31" s="29" t="n"/>
      <c r="F31" s="31" t="n"/>
      <c r="G31" s="29" t="n"/>
      <c r="H31" s="32">
        <f>IF(OR(NOT(AND($A31&lt;&gt;"",OR($G31="",$G31="Active"))),$F31=""),"",INT((TODAY()-$F31+280)/7)&amp;"+"&amp;MOD(TODAY()-$F31+280,7))</f>
        <v/>
      </c>
      <c r="I31" s="32">
        <f>IF(NOT(AND($A31&lt;&gt;"",OR($G31="",$G31="Active"))),"",IF(OR(IFERROR(LOOKUP(2,1/(ISNUMBER($M31:$U31)+($M31:$U31="DNA")),$M31:$U31),"")="DNA",AND(ISNUMBER(IFERROR(LOOKUP(2,1/(ISNUMBER($M31:$U31)+($M31:$U31="DNA")),$M31:$U31),"")),IFERROR(LOOKUP(2,1/(ISNUMBER($M31:$U31)+($M31:$U31="DNA")),$M31:$U31),"")&lt;TODAY())),1,0)+COUNTIF($V31:$Z31,"&lt;"&amp;TODAY()))</f>
        <v/>
      </c>
      <c r="J31" s="32">
        <f>IF(NOT(AND($A31&lt;&gt;"",OR($G31="",$G31="Active"))),"",COUNTIFS($M31:$U31,"&gt;="&amp;TODAY(),$M31:$U31,"&lt;="&amp;TODAY()+7)+COUNTIFS($V31:$Z31,"&gt;="&amp;TODAY(),$V31:$Z31,"&lt;="&amp;TODAY()+7))</f>
        <v/>
      </c>
      <c r="K31" s="32">
        <f>IF(NOT(AND($A31&lt;&gt;"",OR($G31="",$G31="Active"))),"",IF($L31&lt;&gt;"",IF($L31=$M31,"Booking",INDEX($N$4:$U$4,MATCH($L31,$N31:$U31,0))),IF(IFERROR(LOOKUP(2,1/(ISNUMBER($M31:$U31)+($M31:$U31="DNA")),$M31:$U31),"")="DNA","Rebook DNA",IF(ISNUMBER(IFERROR(LOOKUP(2,1/(ISNUMBER($M31:$U31)+($M31:$U31="DNA")),$M31:$U31),"")),IF(ISNUMBER($U31),"Update status","Missed/not booked?"),""))))</f>
        <v/>
      </c>
      <c r="L31" s="33">
        <f>IF(NOT(AND($A31&lt;&gt;"",OR($G31="",$G31="Active"))),"",IFERROR(SMALL($M31:$U31,COUNTIF($M31:$U31,"&lt;"&amp;TODAY())+1),""))</f>
        <v/>
      </c>
      <c r="M31" s="31" t="n"/>
      <c r="N31" s="31" t="n"/>
      <c r="O31" s="31" t="n"/>
      <c r="P31" s="31" t="n"/>
      <c r="Q31" s="31" t="n"/>
      <c r="R31" s="31" t="n"/>
      <c r="S31" s="31" t="n"/>
      <c r="T31" s="31" t="n"/>
      <c r="U31" s="31" t="n"/>
      <c r="V31" s="31" t="n"/>
      <c r="W31" s="31" t="n"/>
      <c r="X31" s="31" t="n"/>
      <c r="Y31" s="31" t="n"/>
      <c r="Z31" s="31" t="n"/>
      <c r="AA31" s="34" t="n"/>
      <c r="AB31" s="29" t="n"/>
      <c r="AC31" s="31" t="n"/>
    </row>
    <row r="32">
      <c r="A32" s="29" t="n"/>
      <c r="B32" s="30" t="n"/>
      <c r="C32" s="31" t="n"/>
      <c r="D32" s="29" t="n"/>
      <c r="E32" s="29" t="n"/>
      <c r="F32" s="31" t="n"/>
      <c r="G32" s="29" t="n"/>
      <c r="H32" s="32">
        <f>IF(OR(NOT(AND($A32&lt;&gt;"",OR($G32="",$G32="Active"))),$F32=""),"",INT((TODAY()-$F32+280)/7)&amp;"+"&amp;MOD(TODAY()-$F32+280,7))</f>
        <v/>
      </c>
      <c r="I32" s="32">
        <f>IF(NOT(AND($A32&lt;&gt;"",OR($G32="",$G32="Active"))),"",IF(OR(IFERROR(LOOKUP(2,1/(ISNUMBER($M32:$U32)+($M32:$U32="DNA")),$M32:$U32),"")="DNA",AND(ISNUMBER(IFERROR(LOOKUP(2,1/(ISNUMBER($M32:$U32)+($M32:$U32="DNA")),$M32:$U32),"")),IFERROR(LOOKUP(2,1/(ISNUMBER($M32:$U32)+($M32:$U32="DNA")),$M32:$U32),"")&lt;TODAY())),1,0)+COUNTIF($V32:$Z32,"&lt;"&amp;TODAY()))</f>
        <v/>
      </c>
      <c r="J32" s="32">
        <f>IF(NOT(AND($A32&lt;&gt;"",OR($G32="",$G32="Active"))),"",COUNTIFS($M32:$U32,"&gt;="&amp;TODAY(),$M32:$U32,"&lt;="&amp;TODAY()+7)+COUNTIFS($V32:$Z32,"&gt;="&amp;TODAY(),$V32:$Z32,"&lt;="&amp;TODAY()+7))</f>
        <v/>
      </c>
      <c r="K32" s="32">
        <f>IF(NOT(AND($A32&lt;&gt;"",OR($G32="",$G32="Active"))),"",IF($L32&lt;&gt;"",IF($L32=$M32,"Booking",INDEX($N$4:$U$4,MATCH($L32,$N32:$U32,0))),IF(IFERROR(LOOKUP(2,1/(ISNUMBER($M32:$U32)+($M32:$U32="DNA")),$M32:$U32),"")="DNA","Rebook DNA",IF(ISNUMBER(IFERROR(LOOKUP(2,1/(ISNUMBER($M32:$U32)+($M32:$U32="DNA")),$M32:$U32),"")),IF(ISNUMBER($U32),"Update status","Missed/not booked?"),""))))</f>
        <v/>
      </c>
      <c r="L32" s="33">
        <f>IF(NOT(AND($A32&lt;&gt;"",OR($G32="",$G32="Active"))),"",IFERROR(SMALL($M32:$U32,COUNTIF($M32:$U32,"&lt;"&amp;TODAY())+1),""))</f>
        <v/>
      </c>
      <c r="M32" s="31" t="n"/>
      <c r="N32" s="31" t="n"/>
      <c r="O32" s="31" t="n"/>
      <c r="P32" s="31" t="n"/>
      <c r="Q32" s="31" t="n"/>
      <c r="R32" s="31" t="n"/>
      <c r="S32" s="31" t="n"/>
      <c r="T32" s="31" t="n"/>
      <c r="U32" s="31" t="n"/>
      <c r="V32" s="31" t="n"/>
      <c r="W32" s="31" t="n"/>
      <c r="X32" s="31" t="n"/>
      <c r="Y32" s="31" t="n"/>
      <c r="Z32" s="31" t="n"/>
      <c r="AA32" s="34" t="n"/>
      <c r="AB32" s="29" t="n"/>
      <c r="AC32" s="31" t="n"/>
    </row>
    <row r="33">
      <c r="A33" s="29" t="n"/>
      <c r="B33" s="30" t="n"/>
      <c r="C33" s="31" t="n"/>
      <c r="D33" s="29" t="n"/>
      <c r="E33" s="29" t="n"/>
      <c r="F33" s="31" t="n"/>
      <c r="G33" s="29" t="n"/>
      <c r="H33" s="32">
        <f>IF(OR(NOT(AND($A33&lt;&gt;"",OR($G33="",$G33="Active"))),$F33=""),"",INT((TODAY()-$F33+280)/7)&amp;"+"&amp;MOD(TODAY()-$F33+280,7))</f>
        <v/>
      </c>
      <c r="I33" s="32">
        <f>IF(NOT(AND($A33&lt;&gt;"",OR($G33="",$G33="Active"))),"",IF(OR(IFERROR(LOOKUP(2,1/(ISNUMBER($M33:$U33)+($M33:$U33="DNA")),$M33:$U33),"")="DNA",AND(ISNUMBER(IFERROR(LOOKUP(2,1/(ISNUMBER($M33:$U33)+($M33:$U33="DNA")),$M33:$U33),"")),IFERROR(LOOKUP(2,1/(ISNUMBER($M33:$U33)+($M33:$U33="DNA")),$M33:$U33),"")&lt;TODAY())),1,0)+COUNTIF($V33:$Z33,"&lt;"&amp;TODAY()))</f>
        <v/>
      </c>
      <c r="J33" s="32">
        <f>IF(NOT(AND($A33&lt;&gt;"",OR($G33="",$G33="Active"))),"",COUNTIFS($M33:$U33,"&gt;="&amp;TODAY(),$M33:$U33,"&lt;="&amp;TODAY()+7)+COUNTIFS($V33:$Z33,"&gt;="&amp;TODAY(),$V33:$Z33,"&lt;="&amp;TODAY()+7))</f>
        <v/>
      </c>
      <c r="K33" s="32">
        <f>IF(NOT(AND($A33&lt;&gt;"",OR($G33="",$G33="Active"))),"",IF($L33&lt;&gt;"",IF($L33=$M33,"Booking",INDEX($N$4:$U$4,MATCH($L33,$N33:$U33,0))),IF(IFERROR(LOOKUP(2,1/(ISNUMBER($M33:$U33)+($M33:$U33="DNA")),$M33:$U33),"")="DNA","Rebook DNA",IF(ISNUMBER(IFERROR(LOOKUP(2,1/(ISNUMBER($M33:$U33)+($M33:$U33="DNA")),$M33:$U33),"")),IF(ISNUMBER($U33),"Update status","Missed/not booked?"),""))))</f>
        <v/>
      </c>
      <c r="L33" s="33">
        <f>IF(NOT(AND($A33&lt;&gt;"",OR($G33="",$G33="Active"))),"",IFERROR(SMALL($M33:$U33,COUNTIF($M33:$U33,"&lt;"&amp;TODAY())+1),""))</f>
        <v/>
      </c>
      <c r="M33" s="31" t="n"/>
      <c r="N33" s="31" t="n"/>
      <c r="O33" s="31" t="n"/>
      <c r="P33" s="31" t="n"/>
      <c r="Q33" s="31" t="n"/>
      <c r="R33" s="31" t="n"/>
      <c r="S33" s="31" t="n"/>
      <c r="T33" s="31" t="n"/>
      <c r="U33" s="31" t="n"/>
      <c r="V33" s="31" t="n"/>
      <c r="W33" s="31" t="n"/>
      <c r="X33" s="31" t="n"/>
      <c r="Y33" s="31" t="n"/>
      <c r="Z33" s="31" t="n"/>
      <c r="AA33" s="34" t="n"/>
      <c r="AB33" s="29" t="n"/>
      <c r="AC33" s="31" t="n"/>
    </row>
    <row r="34">
      <c r="A34" s="29" t="n"/>
      <c r="B34" s="30" t="n"/>
      <c r="C34" s="31" t="n"/>
      <c r="D34" s="29" t="n"/>
      <c r="E34" s="29" t="n"/>
      <c r="F34" s="31" t="n"/>
      <c r="G34" s="29" t="n"/>
      <c r="H34" s="32">
        <f>IF(OR(NOT(AND($A34&lt;&gt;"",OR($G34="",$G34="Active"))),$F34=""),"",INT((TODAY()-$F34+280)/7)&amp;"+"&amp;MOD(TODAY()-$F34+280,7))</f>
        <v/>
      </c>
      <c r="I34" s="32">
        <f>IF(NOT(AND($A34&lt;&gt;"",OR($G34="",$G34="Active"))),"",IF(OR(IFERROR(LOOKUP(2,1/(ISNUMBER($M34:$U34)+($M34:$U34="DNA")),$M34:$U34),"")="DNA",AND(ISNUMBER(IFERROR(LOOKUP(2,1/(ISNUMBER($M34:$U34)+($M34:$U34="DNA")),$M34:$U34),"")),IFERROR(LOOKUP(2,1/(ISNUMBER($M34:$U34)+($M34:$U34="DNA")),$M34:$U34),"")&lt;TODAY())),1,0)+COUNTIF($V34:$Z34,"&lt;"&amp;TODAY()))</f>
        <v/>
      </c>
      <c r="J34" s="32">
        <f>IF(NOT(AND($A34&lt;&gt;"",OR($G34="",$G34="Active"))),"",COUNTIFS($M34:$U34,"&gt;="&amp;TODAY(),$M34:$U34,"&lt;="&amp;TODAY()+7)+COUNTIFS($V34:$Z34,"&gt;="&amp;TODAY(),$V34:$Z34,"&lt;="&amp;TODAY()+7))</f>
        <v/>
      </c>
      <c r="K34" s="32">
        <f>IF(NOT(AND($A34&lt;&gt;"",OR($G34="",$G34="Active"))),"",IF($L34&lt;&gt;"",IF($L34=$M34,"Booking",INDEX($N$4:$U$4,MATCH($L34,$N34:$U34,0))),IF(IFERROR(LOOKUP(2,1/(ISNUMBER($M34:$U34)+($M34:$U34="DNA")),$M34:$U34),"")="DNA","Rebook DNA",IF(ISNUMBER(IFERROR(LOOKUP(2,1/(ISNUMBER($M34:$U34)+($M34:$U34="DNA")),$M34:$U34),"")),IF(ISNUMBER($U34),"Update status","Missed/not booked?"),""))))</f>
        <v/>
      </c>
      <c r="L34" s="33">
        <f>IF(NOT(AND($A34&lt;&gt;"",OR($G34="",$G34="Active"))),"",IFERROR(SMALL($M34:$U34,COUNTIF($M34:$U34,"&lt;"&amp;TODAY())+1),""))</f>
        <v/>
      </c>
      <c r="M34" s="31" t="n"/>
      <c r="N34" s="31" t="n"/>
      <c r="O34" s="31" t="n"/>
      <c r="P34" s="31" t="n"/>
      <c r="Q34" s="31" t="n"/>
      <c r="R34" s="31" t="n"/>
      <c r="S34" s="31" t="n"/>
      <c r="T34" s="31" t="n"/>
      <c r="U34" s="31" t="n"/>
      <c r="V34" s="31" t="n"/>
      <c r="W34" s="31" t="n"/>
      <c r="X34" s="31" t="n"/>
      <c r="Y34" s="31" t="n"/>
      <c r="Z34" s="31" t="n"/>
      <c r="AA34" s="34" t="n"/>
      <c r="AB34" s="29" t="n"/>
      <c r="AC34" s="31" t="n"/>
    </row>
    <row r="35">
      <c r="A35" s="29" t="n"/>
      <c r="B35" s="30" t="n"/>
      <c r="C35" s="31" t="n"/>
      <c r="D35" s="29" t="n"/>
      <c r="E35" s="29" t="n"/>
      <c r="F35" s="31" t="n"/>
      <c r="G35" s="29" t="n"/>
      <c r="H35" s="32">
        <f>IF(OR(NOT(AND($A35&lt;&gt;"",OR($G35="",$G35="Active"))),$F35=""),"",INT((TODAY()-$F35+280)/7)&amp;"+"&amp;MOD(TODAY()-$F35+280,7))</f>
        <v/>
      </c>
      <c r="I35" s="32">
        <f>IF(NOT(AND($A35&lt;&gt;"",OR($G35="",$G35="Active"))),"",IF(OR(IFERROR(LOOKUP(2,1/(ISNUMBER($M35:$U35)+($M35:$U35="DNA")),$M35:$U35),"")="DNA",AND(ISNUMBER(IFERROR(LOOKUP(2,1/(ISNUMBER($M35:$U35)+($M35:$U35="DNA")),$M35:$U35),"")),IFERROR(LOOKUP(2,1/(ISNUMBER($M35:$U35)+($M35:$U35="DNA")),$M35:$U35),"")&lt;TODAY())),1,0)+COUNTIF($V35:$Z35,"&lt;"&amp;TODAY()))</f>
        <v/>
      </c>
      <c r="J35" s="32">
        <f>IF(NOT(AND($A35&lt;&gt;"",OR($G35="",$G35="Active"))),"",COUNTIFS($M35:$U35,"&gt;="&amp;TODAY(),$M35:$U35,"&lt;="&amp;TODAY()+7)+COUNTIFS($V35:$Z35,"&gt;="&amp;TODAY(),$V35:$Z35,"&lt;="&amp;TODAY()+7))</f>
        <v/>
      </c>
      <c r="K35" s="32">
        <f>IF(NOT(AND($A35&lt;&gt;"",OR($G35="",$G35="Active"))),"",IF($L35&lt;&gt;"",IF($L35=$M35,"Booking",INDEX($N$4:$U$4,MATCH($L35,$N35:$U35,0))),IF(IFERROR(LOOKUP(2,1/(ISNUMBER($M35:$U35)+($M35:$U35="DNA")),$M35:$U35),"")="DNA","Rebook DNA",IF(ISNUMBER(IFERROR(LOOKUP(2,1/(ISNUMBER($M35:$U35)+($M35:$U35="DNA")),$M35:$U35),"")),IF(ISNUMBER($U35),"Update status","Missed/not booked?"),""))))</f>
        <v/>
      </c>
      <c r="L35" s="33">
        <f>IF(NOT(AND($A35&lt;&gt;"",OR($G35="",$G35="Active"))),"",IFERROR(SMALL($M35:$U35,COUNTIF($M35:$U35,"&lt;"&amp;TODAY())+1),""))</f>
        <v/>
      </c>
      <c r="M35" s="31" t="n"/>
      <c r="N35" s="31" t="n"/>
      <c r="O35" s="31" t="n"/>
      <c r="P35" s="31" t="n"/>
      <c r="Q35" s="31" t="n"/>
      <c r="R35" s="31" t="n"/>
      <c r="S35" s="31" t="n"/>
      <c r="T35" s="31" t="n"/>
      <c r="U35" s="31" t="n"/>
      <c r="V35" s="31" t="n"/>
      <c r="W35" s="31" t="n"/>
      <c r="X35" s="31" t="n"/>
      <c r="Y35" s="31" t="n"/>
      <c r="Z35" s="31" t="n"/>
      <c r="AA35" s="34" t="n"/>
      <c r="AB35" s="29" t="n"/>
      <c r="AC35" s="31" t="n"/>
    </row>
    <row r="36">
      <c r="A36" s="29" t="n"/>
      <c r="B36" s="30" t="n"/>
      <c r="C36" s="31" t="n"/>
      <c r="D36" s="29" t="n"/>
      <c r="E36" s="29" t="n"/>
      <c r="F36" s="31" t="n"/>
      <c r="G36" s="29" t="n"/>
      <c r="H36" s="32">
        <f>IF(OR(NOT(AND($A36&lt;&gt;"",OR($G36="",$G36="Active"))),$F36=""),"",INT((TODAY()-$F36+280)/7)&amp;"+"&amp;MOD(TODAY()-$F36+280,7))</f>
        <v/>
      </c>
      <c r="I36" s="32">
        <f>IF(NOT(AND($A36&lt;&gt;"",OR($G36="",$G36="Active"))),"",IF(OR(IFERROR(LOOKUP(2,1/(ISNUMBER($M36:$U36)+($M36:$U36="DNA")),$M36:$U36),"")="DNA",AND(ISNUMBER(IFERROR(LOOKUP(2,1/(ISNUMBER($M36:$U36)+($M36:$U36="DNA")),$M36:$U36),"")),IFERROR(LOOKUP(2,1/(ISNUMBER($M36:$U36)+($M36:$U36="DNA")),$M36:$U36),"")&lt;TODAY())),1,0)+COUNTIF($V36:$Z36,"&lt;"&amp;TODAY()))</f>
        <v/>
      </c>
      <c r="J36" s="32">
        <f>IF(NOT(AND($A36&lt;&gt;"",OR($G36="",$G36="Active"))),"",COUNTIFS($M36:$U36,"&gt;="&amp;TODAY(),$M36:$U36,"&lt;="&amp;TODAY()+7)+COUNTIFS($V36:$Z36,"&gt;="&amp;TODAY(),$V36:$Z36,"&lt;="&amp;TODAY()+7))</f>
        <v/>
      </c>
      <c r="K36" s="32">
        <f>IF(NOT(AND($A36&lt;&gt;"",OR($G36="",$G36="Active"))),"",IF($L36&lt;&gt;"",IF($L36=$M36,"Booking",INDEX($N$4:$U$4,MATCH($L36,$N36:$U36,0))),IF(IFERROR(LOOKUP(2,1/(ISNUMBER($M36:$U36)+($M36:$U36="DNA")),$M36:$U36),"")="DNA","Rebook DNA",IF(ISNUMBER(IFERROR(LOOKUP(2,1/(ISNUMBER($M36:$U36)+($M36:$U36="DNA")),$M36:$U36),"")),IF(ISNUMBER($U36),"Update status","Missed/not booked?"),""))))</f>
        <v/>
      </c>
      <c r="L36" s="33">
        <f>IF(NOT(AND($A36&lt;&gt;"",OR($G36="",$G36="Active"))),"",IFERROR(SMALL($M36:$U36,COUNTIF($M36:$U36,"&lt;"&amp;TODAY())+1),""))</f>
        <v/>
      </c>
      <c r="M36" s="31" t="n"/>
      <c r="N36" s="31" t="n"/>
      <c r="O36" s="31" t="n"/>
      <c r="P36" s="31" t="n"/>
      <c r="Q36" s="31" t="n"/>
      <c r="R36" s="31" t="n"/>
      <c r="S36" s="31" t="n"/>
      <c r="T36" s="31" t="n"/>
      <c r="U36" s="31" t="n"/>
      <c r="V36" s="31" t="n"/>
      <c r="W36" s="31" t="n"/>
      <c r="X36" s="31" t="n"/>
      <c r="Y36" s="31" t="n"/>
      <c r="Z36" s="31" t="n"/>
      <c r="AA36" s="34" t="n"/>
      <c r="AB36" s="29" t="n"/>
      <c r="AC36" s="31" t="n"/>
    </row>
    <row r="37">
      <c r="A37" s="29" t="n"/>
      <c r="B37" s="30" t="n"/>
      <c r="C37" s="31" t="n"/>
      <c r="D37" s="29" t="n"/>
      <c r="E37" s="29" t="n"/>
      <c r="F37" s="31" t="n"/>
      <c r="G37" s="29" t="n"/>
      <c r="H37" s="32">
        <f>IF(OR(NOT(AND($A37&lt;&gt;"",OR($G37="",$G37="Active"))),$F37=""),"",INT((TODAY()-$F37+280)/7)&amp;"+"&amp;MOD(TODAY()-$F37+280,7))</f>
        <v/>
      </c>
      <c r="I37" s="32">
        <f>IF(NOT(AND($A37&lt;&gt;"",OR($G37="",$G37="Active"))),"",IF(OR(IFERROR(LOOKUP(2,1/(ISNUMBER($M37:$U37)+($M37:$U37="DNA")),$M37:$U37),"")="DNA",AND(ISNUMBER(IFERROR(LOOKUP(2,1/(ISNUMBER($M37:$U37)+($M37:$U37="DNA")),$M37:$U37),"")),IFERROR(LOOKUP(2,1/(ISNUMBER($M37:$U37)+($M37:$U37="DNA")),$M37:$U37),"")&lt;TODAY())),1,0)+COUNTIF($V37:$Z37,"&lt;"&amp;TODAY()))</f>
        <v/>
      </c>
      <c r="J37" s="32">
        <f>IF(NOT(AND($A37&lt;&gt;"",OR($G37="",$G37="Active"))),"",COUNTIFS($M37:$U37,"&gt;="&amp;TODAY(),$M37:$U37,"&lt;="&amp;TODAY()+7)+COUNTIFS($V37:$Z37,"&gt;="&amp;TODAY(),$V37:$Z37,"&lt;="&amp;TODAY()+7))</f>
        <v/>
      </c>
      <c r="K37" s="32">
        <f>IF(NOT(AND($A37&lt;&gt;"",OR($G37="",$G37="Active"))),"",IF($L37&lt;&gt;"",IF($L37=$M37,"Booking",INDEX($N$4:$U$4,MATCH($L37,$N37:$U37,0))),IF(IFERROR(LOOKUP(2,1/(ISNUMBER($M37:$U37)+($M37:$U37="DNA")),$M37:$U37),"")="DNA","Rebook DNA",IF(ISNUMBER(IFERROR(LOOKUP(2,1/(ISNUMBER($M37:$U37)+($M37:$U37="DNA")),$M37:$U37),"")),IF(ISNUMBER($U37),"Update status","Missed/not booked?"),""))))</f>
        <v/>
      </c>
      <c r="L37" s="33">
        <f>IF(NOT(AND($A37&lt;&gt;"",OR($G37="",$G37="Active"))),"",IFERROR(SMALL($M37:$U37,COUNTIF($M37:$U37,"&lt;"&amp;TODAY())+1),""))</f>
        <v/>
      </c>
      <c r="M37" s="31" t="n"/>
      <c r="N37" s="31" t="n"/>
      <c r="O37" s="31" t="n"/>
      <c r="P37" s="31" t="n"/>
      <c r="Q37" s="31" t="n"/>
      <c r="R37" s="31" t="n"/>
      <c r="S37" s="31" t="n"/>
      <c r="T37" s="31" t="n"/>
      <c r="U37" s="31" t="n"/>
      <c r="V37" s="31" t="n"/>
      <c r="W37" s="31" t="n"/>
      <c r="X37" s="31" t="n"/>
      <c r="Y37" s="31" t="n"/>
      <c r="Z37" s="31" t="n"/>
      <c r="AA37" s="34" t="n"/>
      <c r="AB37" s="29" t="n"/>
      <c r="AC37" s="31" t="n"/>
    </row>
    <row r="38">
      <c r="A38" s="29" t="n"/>
      <c r="B38" s="30" t="n"/>
      <c r="C38" s="31" t="n"/>
      <c r="D38" s="29" t="n"/>
      <c r="E38" s="29" t="n"/>
      <c r="F38" s="31" t="n"/>
      <c r="G38" s="29" t="n"/>
      <c r="H38" s="32">
        <f>IF(OR(NOT(AND($A38&lt;&gt;"",OR($G38="",$G38="Active"))),$F38=""),"",INT((TODAY()-$F38+280)/7)&amp;"+"&amp;MOD(TODAY()-$F38+280,7))</f>
        <v/>
      </c>
      <c r="I38" s="32">
        <f>IF(NOT(AND($A38&lt;&gt;"",OR($G38="",$G38="Active"))),"",IF(OR(IFERROR(LOOKUP(2,1/(ISNUMBER($M38:$U38)+($M38:$U38="DNA")),$M38:$U38),"")="DNA",AND(ISNUMBER(IFERROR(LOOKUP(2,1/(ISNUMBER($M38:$U38)+($M38:$U38="DNA")),$M38:$U38),"")),IFERROR(LOOKUP(2,1/(ISNUMBER($M38:$U38)+($M38:$U38="DNA")),$M38:$U38),"")&lt;TODAY())),1,0)+COUNTIF($V38:$Z38,"&lt;"&amp;TODAY()))</f>
        <v/>
      </c>
      <c r="J38" s="32">
        <f>IF(NOT(AND($A38&lt;&gt;"",OR($G38="",$G38="Active"))),"",COUNTIFS($M38:$U38,"&gt;="&amp;TODAY(),$M38:$U38,"&lt;="&amp;TODAY()+7)+COUNTIFS($V38:$Z38,"&gt;="&amp;TODAY(),$V38:$Z38,"&lt;="&amp;TODAY()+7))</f>
        <v/>
      </c>
      <c r="K38" s="32">
        <f>IF(NOT(AND($A38&lt;&gt;"",OR($G38="",$G38="Active"))),"",IF($L38&lt;&gt;"",IF($L38=$M38,"Booking",INDEX($N$4:$U$4,MATCH($L38,$N38:$U38,0))),IF(IFERROR(LOOKUP(2,1/(ISNUMBER($M38:$U38)+($M38:$U38="DNA")),$M38:$U38),"")="DNA","Rebook DNA",IF(ISNUMBER(IFERROR(LOOKUP(2,1/(ISNUMBER($M38:$U38)+($M38:$U38="DNA")),$M38:$U38),"")),IF(ISNUMBER($U38),"Update status","Missed/not booked?"),""))))</f>
        <v/>
      </c>
      <c r="L38" s="33">
        <f>IF(NOT(AND($A38&lt;&gt;"",OR($G38="",$G38="Active"))),"",IFERROR(SMALL($M38:$U38,COUNTIF($M38:$U38,"&lt;"&amp;TODAY())+1),""))</f>
        <v/>
      </c>
      <c r="M38" s="31" t="n"/>
      <c r="N38" s="31" t="n"/>
      <c r="O38" s="31" t="n"/>
      <c r="P38" s="31" t="n"/>
      <c r="Q38" s="31" t="n"/>
      <c r="R38" s="31" t="n"/>
      <c r="S38" s="31" t="n"/>
      <c r="T38" s="31" t="n"/>
      <c r="U38" s="31" t="n"/>
      <c r="V38" s="31" t="n"/>
      <c r="W38" s="31" t="n"/>
      <c r="X38" s="31" t="n"/>
      <c r="Y38" s="31" t="n"/>
      <c r="Z38" s="31" t="n"/>
      <c r="AA38" s="34" t="n"/>
      <c r="AB38" s="29" t="n"/>
      <c r="AC38" s="31" t="n"/>
    </row>
    <row r="39">
      <c r="A39" s="29" t="n"/>
      <c r="B39" s="30" t="n"/>
      <c r="C39" s="31" t="n"/>
      <c r="D39" s="29" t="n"/>
      <c r="E39" s="29" t="n"/>
      <c r="F39" s="31" t="n"/>
      <c r="G39" s="29" t="n"/>
      <c r="H39" s="32">
        <f>IF(OR(NOT(AND($A39&lt;&gt;"",OR($G39="",$G39="Active"))),$F39=""),"",INT((TODAY()-$F39+280)/7)&amp;"+"&amp;MOD(TODAY()-$F39+280,7))</f>
        <v/>
      </c>
      <c r="I39" s="32">
        <f>IF(NOT(AND($A39&lt;&gt;"",OR($G39="",$G39="Active"))),"",IF(OR(IFERROR(LOOKUP(2,1/(ISNUMBER($M39:$U39)+($M39:$U39="DNA")),$M39:$U39),"")="DNA",AND(ISNUMBER(IFERROR(LOOKUP(2,1/(ISNUMBER($M39:$U39)+($M39:$U39="DNA")),$M39:$U39),"")),IFERROR(LOOKUP(2,1/(ISNUMBER($M39:$U39)+($M39:$U39="DNA")),$M39:$U39),"")&lt;TODAY())),1,0)+COUNTIF($V39:$Z39,"&lt;"&amp;TODAY()))</f>
        <v/>
      </c>
      <c r="J39" s="32">
        <f>IF(NOT(AND($A39&lt;&gt;"",OR($G39="",$G39="Active"))),"",COUNTIFS($M39:$U39,"&gt;="&amp;TODAY(),$M39:$U39,"&lt;="&amp;TODAY()+7)+COUNTIFS($V39:$Z39,"&gt;="&amp;TODAY(),$V39:$Z39,"&lt;="&amp;TODAY()+7))</f>
        <v/>
      </c>
      <c r="K39" s="32">
        <f>IF(NOT(AND($A39&lt;&gt;"",OR($G39="",$G39="Active"))),"",IF($L39&lt;&gt;"",IF($L39=$M39,"Booking",INDEX($N$4:$U$4,MATCH($L39,$N39:$U39,0))),IF(IFERROR(LOOKUP(2,1/(ISNUMBER($M39:$U39)+($M39:$U39="DNA")),$M39:$U39),"")="DNA","Rebook DNA",IF(ISNUMBER(IFERROR(LOOKUP(2,1/(ISNUMBER($M39:$U39)+($M39:$U39="DNA")),$M39:$U39),"")),IF(ISNUMBER($U39),"Update status","Missed/not booked?"),""))))</f>
        <v/>
      </c>
      <c r="L39" s="33">
        <f>IF(NOT(AND($A39&lt;&gt;"",OR($G39="",$G39="Active"))),"",IFERROR(SMALL($M39:$U39,COUNTIF($M39:$U39,"&lt;"&amp;TODAY())+1),""))</f>
        <v/>
      </c>
      <c r="M39" s="31" t="n"/>
      <c r="N39" s="31" t="n"/>
      <c r="O39" s="31" t="n"/>
      <c r="P39" s="31" t="n"/>
      <c r="Q39" s="31" t="n"/>
      <c r="R39" s="31" t="n"/>
      <c r="S39" s="31" t="n"/>
      <c r="T39" s="31" t="n"/>
      <c r="U39" s="31" t="n"/>
      <c r="V39" s="31" t="n"/>
      <c r="W39" s="31" t="n"/>
      <c r="X39" s="31" t="n"/>
      <c r="Y39" s="31" t="n"/>
      <c r="Z39" s="31" t="n"/>
      <c r="AA39" s="34" t="n"/>
      <c r="AB39" s="29" t="n"/>
      <c r="AC39" s="31" t="n"/>
    </row>
    <row r="40">
      <c r="A40" s="29" t="n"/>
      <c r="B40" s="30" t="n"/>
      <c r="C40" s="31" t="n"/>
      <c r="D40" s="29" t="n"/>
      <c r="E40" s="29" t="n"/>
      <c r="F40" s="31" t="n"/>
      <c r="G40" s="29" t="n"/>
      <c r="H40" s="32">
        <f>IF(OR(NOT(AND($A40&lt;&gt;"",OR($G40="",$G40="Active"))),$F40=""),"",INT((TODAY()-$F40+280)/7)&amp;"+"&amp;MOD(TODAY()-$F40+280,7))</f>
        <v/>
      </c>
      <c r="I40" s="32">
        <f>IF(NOT(AND($A40&lt;&gt;"",OR($G40="",$G40="Active"))),"",IF(OR(IFERROR(LOOKUP(2,1/(ISNUMBER($M40:$U40)+($M40:$U40="DNA")),$M40:$U40),"")="DNA",AND(ISNUMBER(IFERROR(LOOKUP(2,1/(ISNUMBER($M40:$U40)+($M40:$U40="DNA")),$M40:$U40),"")),IFERROR(LOOKUP(2,1/(ISNUMBER($M40:$U40)+($M40:$U40="DNA")),$M40:$U40),"")&lt;TODAY())),1,0)+COUNTIF($V40:$Z40,"&lt;"&amp;TODAY()))</f>
        <v/>
      </c>
      <c r="J40" s="32">
        <f>IF(NOT(AND($A40&lt;&gt;"",OR($G40="",$G40="Active"))),"",COUNTIFS($M40:$U40,"&gt;="&amp;TODAY(),$M40:$U40,"&lt;="&amp;TODAY()+7)+COUNTIFS($V40:$Z40,"&gt;="&amp;TODAY(),$V40:$Z40,"&lt;="&amp;TODAY()+7))</f>
        <v/>
      </c>
      <c r="K40" s="32">
        <f>IF(NOT(AND($A40&lt;&gt;"",OR($G40="",$G40="Active"))),"",IF($L40&lt;&gt;"",IF($L40=$M40,"Booking",INDEX($N$4:$U$4,MATCH($L40,$N40:$U40,0))),IF(IFERROR(LOOKUP(2,1/(ISNUMBER($M40:$U40)+($M40:$U40="DNA")),$M40:$U40),"")="DNA","Rebook DNA",IF(ISNUMBER(IFERROR(LOOKUP(2,1/(ISNUMBER($M40:$U40)+($M40:$U40="DNA")),$M40:$U40),"")),IF(ISNUMBER($U40),"Update status","Missed/not booked?"),""))))</f>
        <v/>
      </c>
      <c r="L40" s="33">
        <f>IF(NOT(AND($A40&lt;&gt;"",OR($G40="",$G40="Active"))),"",IFERROR(SMALL($M40:$U40,COUNTIF($M40:$U40,"&lt;"&amp;TODAY())+1),""))</f>
        <v/>
      </c>
      <c r="M40" s="31" t="n"/>
      <c r="N40" s="31" t="n"/>
      <c r="O40" s="31" t="n"/>
      <c r="P40" s="31" t="n"/>
      <c r="Q40" s="31" t="n"/>
      <c r="R40" s="31" t="n"/>
      <c r="S40" s="31" t="n"/>
      <c r="T40" s="31" t="n"/>
      <c r="U40" s="31" t="n"/>
      <c r="V40" s="31" t="n"/>
      <c r="W40" s="31" t="n"/>
      <c r="X40" s="31" t="n"/>
      <c r="Y40" s="31" t="n"/>
      <c r="Z40" s="31" t="n"/>
      <c r="AA40" s="34" t="n"/>
      <c r="AB40" s="29" t="n"/>
      <c r="AC40" s="31" t="n"/>
    </row>
    <row r="41">
      <c r="A41" s="29" t="n"/>
      <c r="B41" s="30" t="n"/>
      <c r="C41" s="31" t="n"/>
      <c r="D41" s="29" t="n"/>
      <c r="E41" s="29" t="n"/>
      <c r="F41" s="31" t="n"/>
      <c r="G41" s="29" t="n"/>
      <c r="H41" s="32">
        <f>IF(OR(NOT(AND($A41&lt;&gt;"",OR($G41="",$G41="Active"))),$F41=""),"",INT((TODAY()-$F41+280)/7)&amp;"+"&amp;MOD(TODAY()-$F41+280,7))</f>
        <v/>
      </c>
      <c r="I41" s="32">
        <f>IF(NOT(AND($A41&lt;&gt;"",OR($G41="",$G41="Active"))),"",IF(OR(IFERROR(LOOKUP(2,1/(ISNUMBER($M41:$U41)+($M41:$U41="DNA")),$M41:$U41),"")="DNA",AND(ISNUMBER(IFERROR(LOOKUP(2,1/(ISNUMBER($M41:$U41)+($M41:$U41="DNA")),$M41:$U41),"")),IFERROR(LOOKUP(2,1/(ISNUMBER($M41:$U41)+($M41:$U41="DNA")),$M41:$U41),"")&lt;TODAY())),1,0)+COUNTIF($V41:$Z41,"&lt;"&amp;TODAY()))</f>
        <v/>
      </c>
      <c r="J41" s="32">
        <f>IF(NOT(AND($A41&lt;&gt;"",OR($G41="",$G41="Active"))),"",COUNTIFS($M41:$U41,"&gt;="&amp;TODAY(),$M41:$U41,"&lt;="&amp;TODAY()+7)+COUNTIFS($V41:$Z41,"&gt;="&amp;TODAY(),$V41:$Z41,"&lt;="&amp;TODAY()+7))</f>
        <v/>
      </c>
      <c r="K41" s="32">
        <f>IF(NOT(AND($A41&lt;&gt;"",OR($G41="",$G41="Active"))),"",IF($L41&lt;&gt;"",IF($L41=$M41,"Booking",INDEX($N$4:$U$4,MATCH($L41,$N41:$U41,0))),IF(IFERROR(LOOKUP(2,1/(ISNUMBER($M41:$U41)+($M41:$U41="DNA")),$M41:$U41),"")="DNA","Rebook DNA",IF(ISNUMBER(IFERROR(LOOKUP(2,1/(ISNUMBER($M41:$U41)+($M41:$U41="DNA")),$M41:$U41),"")),IF(ISNUMBER($U41),"Update status","Missed/not booked?"),""))))</f>
        <v/>
      </c>
      <c r="L41" s="33">
        <f>IF(NOT(AND($A41&lt;&gt;"",OR($G41="",$G41="Active"))),"",IFERROR(SMALL($M41:$U41,COUNTIF($M41:$U41,"&lt;"&amp;TODAY())+1),""))</f>
        <v/>
      </c>
      <c r="M41" s="31" t="n"/>
      <c r="N41" s="31" t="n"/>
      <c r="O41" s="31" t="n"/>
      <c r="P41" s="31" t="n"/>
      <c r="Q41" s="31" t="n"/>
      <c r="R41" s="31" t="n"/>
      <c r="S41" s="31" t="n"/>
      <c r="T41" s="31" t="n"/>
      <c r="U41" s="31" t="n"/>
      <c r="V41" s="31" t="n"/>
      <c r="W41" s="31" t="n"/>
      <c r="X41" s="31" t="n"/>
      <c r="Y41" s="31" t="n"/>
      <c r="Z41" s="31" t="n"/>
      <c r="AA41" s="34" t="n"/>
      <c r="AB41" s="29" t="n"/>
      <c r="AC41" s="31" t="n"/>
    </row>
    <row r="42">
      <c r="A42" s="29" t="n"/>
      <c r="B42" s="30" t="n"/>
      <c r="C42" s="31" t="n"/>
      <c r="D42" s="29" t="n"/>
      <c r="E42" s="29" t="n"/>
      <c r="F42" s="31" t="n"/>
      <c r="G42" s="29" t="n"/>
      <c r="H42" s="32">
        <f>IF(OR(NOT(AND($A42&lt;&gt;"",OR($G42="",$G42="Active"))),$F42=""),"",INT((TODAY()-$F42+280)/7)&amp;"+"&amp;MOD(TODAY()-$F42+280,7))</f>
        <v/>
      </c>
      <c r="I42" s="32">
        <f>IF(NOT(AND($A42&lt;&gt;"",OR($G42="",$G42="Active"))),"",IF(OR(IFERROR(LOOKUP(2,1/(ISNUMBER($M42:$U42)+($M42:$U42="DNA")),$M42:$U42),"")="DNA",AND(ISNUMBER(IFERROR(LOOKUP(2,1/(ISNUMBER($M42:$U42)+($M42:$U42="DNA")),$M42:$U42),"")),IFERROR(LOOKUP(2,1/(ISNUMBER($M42:$U42)+($M42:$U42="DNA")),$M42:$U42),"")&lt;TODAY())),1,0)+COUNTIF($V42:$Z42,"&lt;"&amp;TODAY()))</f>
        <v/>
      </c>
      <c r="J42" s="32">
        <f>IF(NOT(AND($A42&lt;&gt;"",OR($G42="",$G42="Active"))),"",COUNTIFS($M42:$U42,"&gt;="&amp;TODAY(),$M42:$U42,"&lt;="&amp;TODAY()+7)+COUNTIFS($V42:$Z42,"&gt;="&amp;TODAY(),$V42:$Z42,"&lt;="&amp;TODAY()+7))</f>
        <v/>
      </c>
      <c r="K42" s="32">
        <f>IF(NOT(AND($A42&lt;&gt;"",OR($G42="",$G42="Active"))),"",IF($L42&lt;&gt;"",IF($L42=$M42,"Booking",INDEX($N$4:$U$4,MATCH($L42,$N42:$U42,0))),IF(IFERROR(LOOKUP(2,1/(ISNUMBER($M42:$U42)+($M42:$U42="DNA")),$M42:$U42),"")="DNA","Rebook DNA",IF(ISNUMBER(IFERROR(LOOKUP(2,1/(ISNUMBER($M42:$U42)+($M42:$U42="DNA")),$M42:$U42),"")),IF(ISNUMBER($U42),"Update status","Missed/not booked?"),""))))</f>
        <v/>
      </c>
      <c r="L42" s="33">
        <f>IF(NOT(AND($A42&lt;&gt;"",OR($G42="",$G42="Active"))),"",IFERROR(SMALL($M42:$U42,COUNTIF($M42:$U42,"&lt;"&amp;TODAY())+1),""))</f>
        <v/>
      </c>
      <c r="M42" s="31" t="n"/>
      <c r="N42" s="31" t="n"/>
      <c r="O42" s="31" t="n"/>
      <c r="P42" s="31" t="n"/>
      <c r="Q42" s="31" t="n"/>
      <c r="R42" s="31" t="n"/>
      <c r="S42" s="31" t="n"/>
      <c r="T42" s="31" t="n"/>
      <c r="U42" s="31" t="n"/>
      <c r="V42" s="31" t="n"/>
      <c r="W42" s="31" t="n"/>
      <c r="X42" s="31" t="n"/>
      <c r="Y42" s="31" t="n"/>
      <c r="Z42" s="31" t="n"/>
      <c r="AA42" s="34" t="n"/>
      <c r="AB42" s="29" t="n"/>
      <c r="AC42" s="31" t="n"/>
    </row>
    <row r="43">
      <c r="A43" s="29" t="n"/>
      <c r="B43" s="30" t="n"/>
      <c r="C43" s="31" t="n"/>
      <c r="D43" s="29" t="n"/>
      <c r="E43" s="29" t="n"/>
      <c r="F43" s="31" t="n"/>
      <c r="G43" s="29" t="n"/>
      <c r="H43" s="32">
        <f>IF(OR(NOT(AND($A43&lt;&gt;"",OR($G43="",$G43="Active"))),$F43=""),"",INT((TODAY()-$F43+280)/7)&amp;"+"&amp;MOD(TODAY()-$F43+280,7))</f>
        <v/>
      </c>
      <c r="I43" s="32">
        <f>IF(NOT(AND($A43&lt;&gt;"",OR($G43="",$G43="Active"))),"",IF(OR(IFERROR(LOOKUP(2,1/(ISNUMBER($M43:$U43)+($M43:$U43="DNA")),$M43:$U43),"")="DNA",AND(ISNUMBER(IFERROR(LOOKUP(2,1/(ISNUMBER($M43:$U43)+($M43:$U43="DNA")),$M43:$U43),"")),IFERROR(LOOKUP(2,1/(ISNUMBER($M43:$U43)+($M43:$U43="DNA")),$M43:$U43),"")&lt;TODAY())),1,0)+COUNTIF($V43:$Z43,"&lt;"&amp;TODAY()))</f>
        <v/>
      </c>
      <c r="J43" s="32">
        <f>IF(NOT(AND($A43&lt;&gt;"",OR($G43="",$G43="Active"))),"",COUNTIFS($M43:$U43,"&gt;="&amp;TODAY(),$M43:$U43,"&lt;="&amp;TODAY()+7)+COUNTIFS($V43:$Z43,"&gt;="&amp;TODAY(),$V43:$Z43,"&lt;="&amp;TODAY()+7))</f>
        <v/>
      </c>
      <c r="K43" s="32">
        <f>IF(NOT(AND($A43&lt;&gt;"",OR($G43="",$G43="Active"))),"",IF($L43&lt;&gt;"",IF($L43=$M43,"Booking",INDEX($N$4:$U$4,MATCH($L43,$N43:$U43,0))),IF(IFERROR(LOOKUP(2,1/(ISNUMBER($M43:$U43)+($M43:$U43="DNA")),$M43:$U43),"")="DNA","Rebook DNA",IF(ISNUMBER(IFERROR(LOOKUP(2,1/(ISNUMBER($M43:$U43)+($M43:$U43="DNA")),$M43:$U43),"")),IF(ISNUMBER($U43),"Update status","Missed/not booked?"),""))))</f>
        <v/>
      </c>
      <c r="L43" s="33">
        <f>IF(NOT(AND($A43&lt;&gt;"",OR($G43="",$G43="Active"))),"",IFERROR(SMALL($M43:$U43,COUNTIF($M43:$U43,"&lt;"&amp;TODAY())+1),""))</f>
        <v/>
      </c>
      <c r="M43" s="31" t="n"/>
      <c r="N43" s="31" t="n"/>
      <c r="O43" s="31" t="n"/>
      <c r="P43" s="31" t="n"/>
      <c r="Q43" s="31" t="n"/>
      <c r="R43" s="31" t="n"/>
      <c r="S43" s="31" t="n"/>
      <c r="T43" s="31" t="n"/>
      <c r="U43" s="31" t="n"/>
      <c r="V43" s="31" t="n"/>
      <c r="W43" s="31" t="n"/>
      <c r="X43" s="31" t="n"/>
      <c r="Y43" s="31" t="n"/>
      <c r="Z43" s="31" t="n"/>
      <c r="AA43" s="34" t="n"/>
      <c r="AB43" s="29" t="n"/>
      <c r="AC43" s="31" t="n"/>
    </row>
    <row r="44">
      <c r="A44" s="29" t="n"/>
      <c r="B44" s="30" t="n"/>
      <c r="C44" s="31" t="n"/>
      <c r="D44" s="29" t="n"/>
      <c r="E44" s="29" t="n"/>
      <c r="F44" s="31" t="n"/>
      <c r="G44" s="29" t="n"/>
      <c r="H44" s="32">
        <f>IF(OR(NOT(AND($A44&lt;&gt;"",OR($G44="",$G44="Active"))),$F44=""),"",INT((TODAY()-$F44+280)/7)&amp;"+"&amp;MOD(TODAY()-$F44+280,7))</f>
        <v/>
      </c>
      <c r="I44" s="32">
        <f>IF(NOT(AND($A44&lt;&gt;"",OR($G44="",$G44="Active"))),"",IF(OR(IFERROR(LOOKUP(2,1/(ISNUMBER($M44:$U44)+($M44:$U44="DNA")),$M44:$U44),"")="DNA",AND(ISNUMBER(IFERROR(LOOKUP(2,1/(ISNUMBER($M44:$U44)+($M44:$U44="DNA")),$M44:$U44),"")),IFERROR(LOOKUP(2,1/(ISNUMBER($M44:$U44)+($M44:$U44="DNA")),$M44:$U44),"")&lt;TODAY())),1,0)+COUNTIF($V44:$Z44,"&lt;"&amp;TODAY()))</f>
        <v/>
      </c>
      <c r="J44" s="32">
        <f>IF(NOT(AND($A44&lt;&gt;"",OR($G44="",$G44="Active"))),"",COUNTIFS($M44:$U44,"&gt;="&amp;TODAY(),$M44:$U44,"&lt;="&amp;TODAY()+7)+COUNTIFS($V44:$Z44,"&gt;="&amp;TODAY(),$V44:$Z44,"&lt;="&amp;TODAY()+7))</f>
        <v/>
      </c>
      <c r="K44" s="32">
        <f>IF(NOT(AND($A44&lt;&gt;"",OR($G44="",$G44="Active"))),"",IF($L44&lt;&gt;"",IF($L44=$M44,"Booking",INDEX($N$4:$U$4,MATCH($L44,$N44:$U44,0))),IF(IFERROR(LOOKUP(2,1/(ISNUMBER($M44:$U44)+($M44:$U44="DNA")),$M44:$U44),"")="DNA","Rebook DNA",IF(ISNUMBER(IFERROR(LOOKUP(2,1/(ISNUMBER($M44:$U44)+($M44:$U44="DNA")),$M44:$U44),"")),IF(ISNUMBER($U44),"Update status","Missed/not booked?"),""))))</f>
        <v/>
      </c>
      <c r="L44" s="33">
        <f>IF(NOT(AND($A44&lt;&gt;"",OR($G44="",$G44="Active"))),"",IFERROR(SMALL($M44:$U44,COUNTIF($M44:$U44,"&lt;"&amp;TODAY())+1),""))</f>
        <v/>
      </c>
      <c r="M44" s="31" t="n"/>
      <c r="N44" s="31" t="n"/>
      <c r="O44" s="31" t="n"/>
      <c r="P44" s="31" t="n"/>
      <c r="Q44" s="31" t="n"/>
      <c r="R44" s="31" t="n"/>
      <c r="S44" s="31" t="n"/>
      <c r="T44" s="31" t="n"/>
      <c r="U44" s="31" t="n"/>
      <c r="V44" s="31" t="n"/>
      <c r="W44" s="31" t="n"/>
      <c r="X44" s="31" t="n"/>
      <c r="Y44" s="31" t="n"/>
      <c r="Z44" s="31" t="n"/>
      <c r="AA44" s="34" t="n"/>
      <c r="AB44" s="29" t="n"/>
      <c r="AC44" s="31" t="n"/>
    </row>
    <row r="45">
      <c r="A45" s="29" t="n"/>
      <c r="B45" s="30" t="n"/>
      <c r="C45" s="31" t="n"/>
      <c r="D45" s="29" t="n"/>
      <c r="E45" s="29" t="n"/>
      <c r="F45" s="31" t="n"/>
      <c r="G45" s="29" t="n"/>
      <c r="H45" s="32">
        <f>IF(OR(NOT(AND($A45&lt;&gt;"",OR($G45="",$G45="Active"))),$F45=""),"",INT((TODAY()-$F45+280)/7)&amp;"+"&amp;MOD(TODAY()-$F45+280,7))</f>
        <v/>
      </c>
      <c r="I45" s="32">
        <f>IF(NOT(AND($A45&lt;&gt;"",OR($G45="",$G45="Active"))),"",IF(OR(IFERROR(LOOKUP(2,1/(ISNUMBER($M45:$U45)+($M45:$U45="DNA")),$M45:$U45),"")="DNA",AND(ISNUMBER(IFERROR(LOOKUP(2,1/(ISNUMBER($M45:$U45)+($M45:$U45="DNA")),$M45:$U45),"")),IFERROR(LOOKUP(2,1/(ISNUMBER($M45:$U45)+($M45:$U45="DNA")),$M45:$U45),"")&lt;TODAY())),1,0)+COUNTIF($V45:$Z45,"&lt;"&amp;TODAY()))</f>
        <v/>
      </c>
      <c r="J45" s="32">
        <f>IF(NOT(AND($A45&lt;&gt;"",OR($G45="",$G45="Active"))),"",COUNTIFS($M45:$U45,"&gt;="&amp;TODAY(),$M45:$U45,"&lt;="&amp;TODAY()+7)+COUNTIFS($V45:$Z45,"&gt;="&amp;TODAY(),$V45:$Z45,"&lt;="&amp;TODAY()+7))</f>
        <v/>
      </c>
      <c r="K45" s="32">
        <f>IF(NOT(AND($A45&lt;&gt;"",OR($G45="",$G45="Active"))),"",IF($L45&lt;&gt;"",IF($L45=$M45,"Booking",INDEX($N$4:$U$4,MATCH($L45,$N45:$U45,0))),IF(IFERROR(LOOKUP(2,1/(ISNUMBER($M45:$U45)+($M45:$U45="DNA")),$M45:$U45),"")="DNA","Rebook DNA",IF(ISNUMBER(IFERROR(LOOKUP(2,1/(ISNUMBER($M45:$U45)+($M45:$U45="DNA")),$M45:$U45),"")),IF(ISNUMBER($U45),"Update status","Missed/not booked?"),""))))</f>
        <v/>
      </c>
      <c r="L45" s="33">
        <f>IF(NOT(AND($A45&lt;&gt;"",OR($G45="",$G45="Active"))),"",IFERROR(SMALL($M45:$U45,COUNTIF($M45:$U45,"&lt;"&amp;TODAY())+1),""))</f>
        <v/>
      </c>
      <c r="M45" s="31" t="n"/>
      <c r="N45" s="31" t="n"/>
      <c r="O45" s="31" t="n"/>
      <c r="P45" s="31" t="n"/>
      <c r="Q45" s="31" t="n"/>
      <c r="R45" s="31" t="n"/>
      <c r="S45" s="31" t="n"/>
      <c r="T45" s="31" t="n"/>
      <c r="U45" s="31" t="n"/>
      <c r="V45" s="31" t="n"/>
      <c r="W45" s="31" t="n"/>
      <c r="X45" s="31" t="n"/>
      <c r="Y45" s="31" t="n"/>
      <c r="Z45" s="31" t="n"/>
      <c r="AA45" s="34" t="n"/>
      <c r="AB45" s="29" t="n"/>
      <c r="AC45" s="31" t="n"/>
    </row>
    <row r="46">
      <c r="A46" s="29" t="n"/>
      <c r="B46" s="30" t="n"/>
      <c r="C46" s="31" t="n"/>
      <c r="D46" s="29" t="n"/>
      <c r="E46" s="29" t="n"/>
      <c r="F46" s="31" t="n"/>
      <c r="G46" s="29" t="n"/>
      <c r="H46" s="32">
        <f>IF(OR(NOT(AND($A46&lt;&gt;"",OR($G46="",$G46="Active"))),$F46=""),"",INT((TODAY()-$F46+280)/7)&amp;"+"&amp;MOD(TODAY()-$F46+280,7))</f>
        <v/>
      </c>
      <c r="I46" s="32">
        <f>IF(NOT(AND($A46&lt;&gt;"",OR($G46="",$G46="Active"))),"",IF(OR(IFERROR(LOOKUP(2,1/(ISNUMBER($M46:$U46)+($M46:$U46="DNA")),$M46:$U46),"")="DNA",AND(ISNUMBER(IFERROR(LOOKUP(2,1/(ISNUMBER($M46:$U46)+($M46:$U46="DNA")),$M46:$U46),"")),IFERROR(LOOKUP(2,1/(ISNUMBER($M46:$U46)+($M46:$U46="DNA")),$M46:$U46),"")&lt;TODAY())),1,0)+COUNTIF($V46:$Z46,"&lt;"&amp;TODAY()))</f>
        <v/>
      </c>
      <c r="J46" s="32">
        <f>IF(NOT(AND($A46&lt;&gt;"",OR($G46="",$G46="Active"))),"",COUNTIFS($M46:$U46,"&gt;="&amp;TODAY(),$M46:$U46,"&lt;="&amp;TODAY()+7)+COUNTIFS($V46:$Z46,"&gt;="&amp;TODAY(),$V46:$Z46,"&lt;="&amp;TODAY()+7))</f>
        <v/>
      </c>
      <c r="K46" s="32">
        <f>IF(NOT(AND($A46&lt;&gt;"",OR($G46="",$G46="Active"))),"",IF($L46&lt;&gt;"",IF($L46=$M46,"Booking",INDEX($N$4:$U$4,MATCH($L46,$N46:$U46,0))),IF(IFERROR(LOOKUP(2,1/(ISNUMBER($M46:$U46)+($M46:$U46="DNA")),$M46:$U46),"")="DNA","Rebook DNA",IF(ISNUMBER(IFERROR(LOOKUP(2,1/(ISNUMBER($M46:$U46)+($M46:$U46="DNA")),$M46:$U46),"")),IF(ISNUMBER($U46),"Update status","Missed/not booked?"),""))))</f>
        <v/>
      </c>
      <c r="L46" s="33">
        <f>IF(NOT(AND($A46&lt;&gt;"",OR($G46="",$G46="Active"))),"",IFERROR(SMALL($M46:$U46,COUNTIF($M46:$U46,"&lt;"&amp;TODAY())+1),""))</f>
        <v/>
      </c>
      <c r="M46" s="31" t="n"/>
      <c r="N46" s="31" t="n"/>
      <c r="O46" s="31" t="n"/>
      <c r="P46" s="31" t="n"/>
      <c r="Q46" s="31" t="n"/>
      <c r="R46" s="31" t="n"/>
      <c r="S46" s="31" t="n"/>
      <c r="T46" s="31" t="n"/>
      <c r="U46" s="31" t="n"/>
      <c r="V46" s="31" t="n"/>
      <c r="W46" s="31" t="n"/>
      <c r="X46" s="31" t="n"/>
      <c r="Y46" s="31" t="n"/>
      <c r="Z46" s="31" t="n"/>
      <c r="AA46" s="34" t="n"/>
      <c r="AB46" s="29" t="n"/>
      <c r="AC46" s="31" t="n"/>
    </row>
    <row r="47">
      <c r="A47" s="29" t="n"/>
      <c r="B47" s="30" t="n"/>
      <c r="C47" s="31" t="n"/>
      <c r="D47" s="29" t="n"/>
      <c r="E47" s="29" t="n"/>
      <c r="F47" s="31" t="n"/>
      <c r="G47" s="29" t="n"/>
      <c r="H47" s="32">
        <f>IF(OR(NOT(AND($A47&lt;&gt;"",OR($G47="",$G47="Active"))),$F47=""),"",INT((TODAY()-$F47+280)/7)&amp;"+"&amp;MOD(TODAY()-$F47+280,7))</f>
        <v/>
      </c>
      <c r="I47" s="32">
        <f>IF(NOT(AND($A47&lt;&gt;"",OR($G47="",$G47="Active"))),"",IF(OR(IFERROR(LOOKUP(2,1/(ISNUMBER($M47:$U47)+($M47:$U47="DNA")),$M47:$U47),"")="DNA",AND(ISNUMBER(IFERROR(LOOKUP(2,1/(ISNUMBER($M47:$U47)+($M47:$U47="DNA")),$M47:$U47),"")),IFERROR(LOOKUP(2,1/(ISNUMBER($M47:$U47)+($M47:$U47="DNA")),$M47:$U47),"")&lt;TODAY())),1,0)+COUNTIF($V47:$Z47,"&lt;"&amp;TODAY()))</f>
        <v/>
      </c>
      <c r="J47" s="32">
        <f>IF(NOT(AND($A47&lt;&gt;"",OR($G47="",$G47="Active"))),"",COUNTIFS($M47:$U47,"&gt;="&amp;TODAY(),$M47:$U47,"&lt;="&amp;TODAY()+7)+COUNTIFS($V47:$Z47,"&gt;="&amp;TODAY(),$V47:$Z47,"&lt;="&amp;TODAY()+7))</f>
        <v/>
      </c>
      <c r="K47" s="32">
        <f>IF(NOT(AND($A47&lt;&gt;"",OR($G47="",$G47="Active"))),"",IF($L47&lt;&gt;"",IF($L47=$M47,"Booking",INDEX($N$4:$U$4,MATCH($L47,$N47:$U47,0))),IF(IFERROR(LOOKUP(2,1/(ISNUMBER($M47:$U47)+($M47:$U47="DNA")),$M47:$U47),"")="DNA","Rebook DNA",IF(ISNUMBER(IFERROR(LOOKUP(2,1/(ISNUMBER($M47:$U47)+($M47:$U47="DNA")),$M47:$U47),"")),IF(ISNUMBER($U47),"Update status","Missed/not booked?"),""))))</f>
        <v/>
      </c>
      <c r="L47" s="33">
        <f>IF(NOT(AND($A47&lt;&gt;"",OR($G47="",$G47="Active"))),"",IFERROR(SMALL($M47:$U47,COUNTIF($M47:$U47,"&lt;"&amp;TODAY())+1),""))</f>
        <v/>
      </c>
      <c r="M47" s="31" t="n"/>
      <c r="N47" s="31" t="n"/>
      <c r="O47" s="31" t="n"/>
      <c r="P47" s="31" t="n"/>
      <c r="Q47" s="31" t="n"/>
      <c r="R47" s="31" t="n"/>
      <c r="S47" s="31" t="n"/>
      <c r="T47" s="31" t="n"/>
      <c r="U47" s="31" t="n"/>
      <c r="V47" s="31" t="n"/>
      <c r="W47" s="31" t="n"/>
      <c r="X47" s="31" t="n"/>
      <c r="Y47" s="31" t="n"/>
      <c r="Z47" s="31" t="n"/>
      <c r="AA47" s="34" t="n"/>
      <c r="AB47" s="29" t="n"/>
      <c r="AC47" s="31" t="n"/>
    </row>
    <row r="48">
      <c r="A48" s="29" t="n"/>
      <c r="B48" s="30" t="n"/>
      <c r="C48" s="31" t="n"/>
      <c r="D48" s="29" t="n"/>
      <c r="E48" s="29" t="n"/>
      <c r="F48" s="31" t="n"/>
      <c r="G48" s="29" t="n"/>
      <c r="H48" s="32">
        <f>IF(OR(NOT(AND($A48&lt;&gt;"",OR($G48="",$G48="Active"))),$F48=""),"",INT((TODAY()-$F48+280)/7)&amp;"+"&amp;MOD(TODAY()-$F48+280,7))</f>
        <v/>
      </c>
      <c r="I48" s="32">
        <f>IF(NOT(AND($A48&lt;&gt;"",OR($G48="",$G48="Active"))),"",IF(OR(IFERROR(LOOKUP(2,1/(ISNUMBER($M48:$U48)+($M48:$U48="DNA")),$M48:$U48),"")="DNA",AND(ISNUMBER(IFERROR(LOOKUP(2,1/(ISNUMBER($M48:$U48)+($M48:$U48="DNA")),$M48:$U48),"")),IFERROR(LOOKUP(2,1/(ISNUMBER($M48:$U48)+($M48:$U48="DNA")),$M48:$U48),"")&lt;TODAY())),1,0)+COUNTIF($V48:$Z48,"&lt;"&amp;TODAY()))</f>
        <v/>
      </c>
      <c r="J48" s="32">
        <f>IF(NOT(AND($A48&lt;&gt;"",OR($G48="",$G48="Active"))),"",COUNTIFS($M48:$U48,"&gt;="&amp;TODAY(),$M48:$U48,"&lt;="&amp;TODAY()+7)+COUNTIFS($V48:$Z48,"&gt;="&amp;TODAY(),$V48:$Z48,"&lt;="&amp;TODAY()+7))</f>
        <v/>
      </c>
      <c r="K48" s="32">
        <f>IF(NOT(AND($A48&lt;&gt;"",OR($G48="",$G48="Active"))),"",IF($L48&lt;&gt;"",IF($L48=$M48,"Booking",INDEX($N$4:$U$4,MATCH($L48,$N48:$U48,0))),IF(IFERROR(LOOKUP(2,1/(ISNUMBER($M48:$U48)+($M48:$U48="DNA")),$M48:$U48),"")="DNA","Rebook DNA",IF(ISNUMBER(IFERROR(LOOKUP(2,1/(ISNUMBER($M48:$U48)+($M48:$U48="DNA")),$M48:$U48),"")),IF(ISNUMBER($U48),"Update status","Missed/not booked?"),""))))</f>
        <v/>
      </c>
      <c r="L48" s="33">
        <f>IF(NOT(AND($A48&lt;&gt;"",OR($G48="",$G48="Active"))),"",IFERROR(SMALL($M48:$U48,COUNTIF($M48:$U48,"&lt;"&amp;TODAY())+1),""))</f>
        <v/>
      </c>
      <c r="M48" s="31" t="n"/>
      <c r="N48" s="31" t="n"/>
      <c r="O48" s="31" t="n"/>
      <c r="P48" s="31" t="n"/>
      <c r="Q48" s="31" t="n"/>
      <c r="R48" s="31" t="n"/>
      <c r="S48" s="31" t="n"/>
      <c r="T48" s="31" t="n"/>
      <c r="U48" s="31" t="n"/>
      <c r="V48" s="31" t="n"/>
      <c r="W48" s="31" t="n"/>
      <c r="X48" s="31" t="n"/>
      <c r="Y48" s="31" t="n"/>
      <c r="Z48" s="31" t="n"/>
      <c r="AA48" s="34" t="n"/>
      <c r="AB48" s="29" t="n"/>
      <c r="AC48" s="31" t="n"/>
    </row>
    <row r="49">
      <c r="A49" s="29" t="n"/>
      <c r="B49" s="30" t="n"/>
      <c r="C49" s="31" t="n"/>
      <c r="D49" s="29" t="n"/>
      <c r="E49" s="29" t="n"/>
      <c r="F49" s="31" t="n"/>
      <c r="G49" s="29" t="n"/>
      <c r="H49" s="32">
        <f>IF(OR(NOT(AND($A49&lt;&gt;"",OR($G49="",$G49="Active"))),$F49=""),"",INT((TODAY()-$F49+280)/7)&amp;"+"&amp;MOD(TODAY()-$F49+280,7))</f>
        <v/>
      </c>
      <c r="I49" s="32">
        <f>IF(NOT(AND($A49&lt;&gt;"",OR($G49="",$G49="Active"))),"",IF(OR(IFERROR(LOOKUP(2,1/(ISNUMBER($M49:$U49)+($M49:$U49="DNA")),$M49:$U49),"")="DNA",AND(ISNUMBER(IFERROR(LOOKUP(2,1/(ISNUMBER($M49:$U49)+($M49:$U49="DNA")),$M49:$U49),"")),IFERROR(LOOKUP(2,1/(ISNUMBER($M49:$U49)+($M49:$U49="DNA")),$M49:$U49),"")&lt;TODAY())),1,0)+COUNTIF($V49:$Z49,"&lt;"&amp;TODAY()))</f>
        <v/>
      </c>
      <c r="J49" s="32">
        <f>IF(NOT(AND($A49&lt;&gt;"",OR($G49="",$G49="Active"))),"",COUNTIFS($M49:$U49,"&gt;="&amp;TODAY(),$M49:$U49,"&lt;="&amp;TODAY()+7)+COUNTIFS($V49:$Z49,"&gt;="&amp;TODAY(),$V49:$Z49,"&lt;="&amp;TODAY()+7))</f>
        <v/>
      </c>
      <c r="K49" s="32">
        <f>IF(NOT(AND($A49&lt;&gt;"",OR($G49="",$G49="Active"))),"",IF($L49&lt;&gt;"",IF($L49=$M49,"Booking",INDEX($N$4:$U$4,MATCH($L49,$N49:$U49,0))),IF(IFERROR(LOOKUP(2,1/(ISNUMBER($M49:$U49)+($M49:$U49="DNA")),$M49:$U49),"")="DNA","Rebook DNA",IF(ISNUMBER(IFERROR(LOOKUP(2,1/(ISNUMBER($M49:$U49)+($M49:$U49="DNA")),$M49:$U49),"")),IF(ISNUMBER($U49),"Update status","Missed/not booked?"),""))))</f>
        <v/>
      </c>
      <c r="L49" s="33">
        <f>IF(NOT(AND($A49&lt;&gt;"",OR($G49="",$G49="Active"))),"",IFERROR(SMALL($M49:$U49,COUNTIF($M49:$U49,"&lt;"&amp;TODAY())+1),""))</f>
        <v/>
      </c>
      <c r="M49" s="31" t="n"/>
      <c r="N49" s="31" t="n"/>
      <c r="O49" s="31" t="n"/>
      <c r="P49" s="31" t="n"/>
      <c r="Q49" s="31" t="n"/>
      <c r="R49" s="31" t="n"/>
      <c r="S49" s="31" t="n"/>
      <c r="T49" s="31" t="n"/>
      <c r="U49" s="31" t="n"/>
      <c r="V49" s="31" t="n"/>
      <c r="W49" s="31" t="n"/>
      <c r="X49" s="31" t="n"/>
      <c r="Y49" s="31" t="n"/>
      <c r="Z49" s="31" t="n"/>
      <c r="AA49" s="34" t="n"/>
      <c r="AB49" s="29" t="n"/>
      <c r="AC49" s="31" t="n"/>
    </row>
    <row r="50">
      <c r="A50" s="29" t="n"/>
      <c r="B50" s="30" t="n"/>
      <c r="C50" s="31" t="n"/>
      <c r="D50" s="29" t="n"/>
      <c r="E50" s="29" t="n"/>
      <c r="F50" s="31" t="n"/>
      <c r="G50" s="29" t="n"/>
      <c r="H50" s="32">
        <f>IF(OR(NOT(AND($A50&lt;&gt;"",OR($G50="",$G50="Active"))),$F50=""),"",INT((TODAY()-$F50+280)/7)&amp;"+"&amp;MOD(TODAY()-$F50+280,7))</f>
        <v/>
      </c>
      <c r="I50" s="32">
        <f>IF(NOT(AND($A50&lt;&gt;"",OR($G50="",$G50="Active"))),"",IF(OR(IFERROR(LOOKUP(2,1/(ISNUMBER($M50:$U50)+($M50:$U50="DNA")),$M50:$U50),"")="DNA",AND(ISNUMBER(IFERROR(LOOKUP(2,1/(ISNUMBER($M50:$U50)+($M50:$U50="DNA")),$M50:$U50),"")),IFERROR(LOOKUP(2,1/(ISNUMBER($M50:$U50)+($M50:$U50="DNA")),$M50:$U50),"")&lt;TODAY())),1,0)+COUNTIF($V50:$Z50,"&lt;"&amp;TODAY()))</f>
        <v/>
      </c>
      <c r="J50" s="32">
        <f>IF(NOT(AND($A50&lt;&gt;"",OR($G50="",$G50="Active"))),"",COUNTIFS($M50:$U50,"&gt;="&amp;TODAY(),$M50:$U50,"&lt;="&amp;TODAY()+7)+COUNTIFS($V50:$Z50,"&gt;="&amp;TODAY(),$V50:$Z50,"&lt;="&amp;TODAY()+7))</f>
        <v/>
      </c>
      <c r="K50" s="32">
        <f>IF(NOT(AND($A50&lt;&gt;"",OR($G50="",$G50="Active"))),"",IF($L50&lt;&gt;"",IF($L50=$M50,"Booking",INDEX($N$4:$U$4,MATCH($L50,$N50:$U50,0))),IF(IFERROR(LOOKUP(2,1/(ISNUMBER($M50:$U50)+($M50:$U50="DNA")),$M50:$U50),"")="DNA","Rebook DNA",IF(ISNUMBER(IFERROR(LOOKUP(2,1/(ISNUMBER($M50:$U50)+($M50:$U50="DNA")),$M50:$U50),"")),IF(ISNUMBER($U50),"Update status","Missed/not booked?"),""))))</f>
        <v/>
      </c>
      <c r="L50" s="33">
        <f>IF(NOT(AND($A50&lt;&gt;"",OR($G50="",$G50="Active"))),"",IFERROR(SMALL($M50:$U50,COUNTIF($M50:$U50,"&lt;"&amp;TODAY())+1),""))</f>
        <v/>
      </c>
      <c r="M50" s="31" t="n"/>
      <c r="N50" s="31" t="n"/>
      <c r="O50" s="31" t="n"/>
      <c r="P50" s="31" t="n"/>
      <c r="Q50" s="31" t="n"/>
      <c r="R50" s="31" t="n"/>
      <c r="S50" s="31" t="n"/>
      <c r="T50" s="31" t="n"/>
      <c r="U50" s="31" t="n"/>
      <c r="V50" s="31" t="n"/>
      <c r="W50" s="31" t="n"/>
      <c r="X50" s="31" t="n"/>
      <c r="Y50" s="31" t="n"/>
      <c r="Z50" s="31" t="n"/>
      <c r="AA50" s="34" t="n"/>
      <c r="AB50" s="29" t="n"/>
      <c r="AC50" s="31" t="n"/>
    </row>
    <row r="51">
      <c r="A51" s="29" t="n"/>
      <c r="B51" s="30" t="n"/>
      <c r="C51" s="31" t="n"/>
      <c r="D51" s="29" t="n"/>
      <c r="E51" s="29" t="n"/>
      <c r="F51" s="31" t="n"/>
      <c r="G51" s="29" t="n"/>
      <c r="H51" s="32">
        <f>IF(OR(NOT(AND($A51&lt;&gt;"",OR($G51="",$G51="Active"))),$F51=""),"",INT((TODAY()-$F51+280)/7)&amp;"+"&amp;MOD(TODAY()-$F51+280,7))</f>
        <v/>
      </c>
      <c r="I51" s="32">
        <f>IF(NOT(AND($A51&lt;&gt;"",OR($G51="",$G51="Active"))),"",IF(OR(IFERROR(LOOKUP(2,1/(ISNUMBER($M51:$U51)+($M51:$U51="DNA")),$M51:$U51),"")="DNA",AND(ISNUMBER(IFERROR(LOOKUP(2,1/(ISNUMBER($M51:$U51)+($M51:$U51="DNA")),$M51:$U51),"")),IFERROR(LOOKUP(2,1/(ISNUMBER($M51:$U51)+($M51:$U51="DNA")),$M51:$U51),"")&lt;TODAY())),1,0)+COUNTIF($V51:$Z51,"&lt;"&amp;TODAY()))</f>
        <v/>
      </c>
      <c r="J51" s="32">
        <f>IF(NOT(AND($A51&lt;&gt;"",OR($G51="",$G51="Active"))),"",COUNTIFS($M51:$U51,"&gt;="&amp;TODAY(),$M51:$U51,"&lt;="&amp;TODAY()+7)+COUNTIFS($V51:$Z51,"&gt;="&amp;TODAY(),$V51:$Z51,"&lt;="&amp;TODAY()+7))</f>
        <v/>
      </c>
      <c r="K51" s="32">
        <f>IF(NOT(AND($A51&lt;&gt;"",OR($G51="",$G51="Active"))),"",IF($L51&lt;&gt;"",IF($L51=$M51,"Booking",INDEX($N$4:$U$4,MATCH($L51,$N51:$U51,0))),IF(IFERROR(LOOKUP(2,1/(ISNUMBER($M51:$U51)+($M51:$U51="DNA")),$M51:$U51),"")="DNA","Rebook DNA",IF(ISNUMBER(IFERROR(LOOKUP(2,1/(ISNUMBER($M51:$U51)+($M51:$U51="DNA")),$M51:$U51),"")),IF(ISNUMBER($U51),"Update status","Missed/not booked?"),""))))</f>
        <v/>
      </c>
      <c r="L51" s="33">
        <f>IF(NOT(AND($A51&lt;&gt;"",OR($G51="",$G51="Active"))),"",IFERROR(SMALL($M51:$U51,COUNTIF($M51:$U51,"&lt;"&amp;TODAY())+1),""))</f>
        <v/>
      </c>
      <c r="M51" s="31" t="n"/>
      <c r="N51" s="31" t="n"/>
      <c r="O51" s="31" t="n"/>
      <c r="P51" s="31" t="n"/>
      <c r="Q51" s="31" t="n"/>
      <c r="R51" s="31" t="n"/>
      <c r="S51" s="31" t="n"/>
      <c r="T51" s="31" t="n"/>
      <c r="U51" s="31" t="n"/>
      <c r="V51" s="31" t="n"/>
      <c r="W51" s="31" t="n"/>
      <c r="X51" s="31" t="n"/>
      <c r="Y51" s="31" t="n"/>
      <c r="Z51" s="31" t="n"/>
      <c r="AA51" s="34" t="n"/>
      <c r="AB51" s="29" t="n"/>
      <c r="AC51" s="31" t="n"/>
    </row>
    <row r="52">
      <c r="A52" s="29" t="n"/>
      <c r="B52" s="30" t="n"/>
      <c r="C52" s="31" t="n"/>
      <c r="D52" s="29" t="n"/>
      <c r="E52" s="29" t="n"/>
      <c r="F52" s="31" t="n"/>
      <c r="G52" s="29" t="n"/>
      <c r="H52" s="32">
        <f>IF(OR(NOT(AND($A52&lt;&gt;"",OR($G52="",$G52="Active"))),$F52=""),"",INT((TODAY()-$F52+280)/7)&amp;"+"&amp;MOD(TODAY()-$F52+280,7))</f>
        <v/>
      </c>
      <c r="I52" s="32">
        <f>IF(NOT(AND($A52&lt;&gt;"",OR($G52="",$G52="Active"))),"",IF(OR(IFERROR(LOOKUP(2,1/(ISNUMBER($M52:$U52)+($M52:$U52="DNA")),$M52:$U52),"")="DNA",AND(ISNUMBER(IFERROR(LOOKUP(2,1/(ISNUMBER($M52:$U52)+($M52:$U52="DNA")),$M52:$U52),"")),IFERROR(LOOKUP(2,1/(ISNUMBER($M52:$U52)+($M52:$U52="DNA")),$M52:$U52),"")&lt;TODAY())),1,0)+COUNTIF($V52:$Z52,"&lt;"&amp;TODAY()))</f>
        <v/>
      </c>
      <c r="J52" s="32">
        <f>IF(NOT(AND($A52&lt;&gt;"",OR($G52="",$G52="Active"))),"",COUNTIFS($M52:$U52,"&gt;="&amp;TODAY(),$M52:$U52,"&lt;="&amp;TODAY()+7)+COUNTIFS($V52:$Z52,"&gt;="&amp;TODAY(),$V52:$Z52,"&lt;="&amp;TODAY()+7))</f>
        <v/>
      </c>
      <c r="K52" s="32">
        <f>IF(NOT(AND($A52&lt;&gt;"",OR($G52="",$G52="Active"))),"",IF($L52&lt;&gt;"",IF($L52=$M52,"Booking",INDEX($N$4:$U$4,MATCH($L52,$N52:$U52,0))),IF(IFERROR(LOOKUP(2,1/(ISNUMBER($M52:$U52)+($M52:$U52="DNA")),$M52:$U52),"")="DNA","Rebook DNA",IF(ISNUMBER(IFERROR(LOOKUP(2,1/(ISNUMBER($M52:$U52)+($M52:$U52="DNA")),$M52:$U52),"")),IF(ISNUMBER($U52),"Update status","Missed/not booked?"),""))))</f>
        <v/>
      </c>
      <c r="L52" s="33">
        <f>IF(NOT(AND($A52&lt;&gt;"",OR($G52="",$G52="Active"))),"",IFERROR(SMALL($M52:$U52,COUNTIF($M52:$U52,"&lt;"&amp;TODAY())+1),""))</f>
        <v/>
      </c>
      <c r="M52" s="31" t="n"/>
      <c r="N52" s="31" t="n"/>
      <c r="O52" s="31" t="n"/>
      <c r="P52" s="31" t="n"/>
      <c r="Q52" s="31" t="n"/>
      <c r="R52" s="31" t="n"/>
      <c r="S52" s="31" t="n"/>
      <c r="T52" s="31" t="n"/>
      <c r="U52" s="31" t="n"/>
      <c r="V52" s="31" t="n"/>
      <c r="W52" s="31" t="n"/>
      <c r="X52" s="31" t="n"/>
      <c r="Y52" s="31" t="n"/>
      <c r="Z52" s="31" t="n"/>
      <c r="AA52" s="34" t="n"/>
      <c r="AB52" s="29" t="n"/>
      <c r="AC52" s="31" t="n"/>
    </row>
    <row r="53">
      <c r="A53" s="29" t="n"/>
      <c r="B53" s="30" t="n"/>
      <c r="C53" s="31" t="n"/>
      <c r="D53" s="29" t="n"/>
      <c r="E53" s="29" t="n"/>
      <c r="F53" s="31" t="n"/>
      <c r="G53" s="29" t="n"/>
      <c r="H53" s="32">
        <f>IF(OR(NOT(AND($A53&lt;&gt;"",OR($G53="",$G53="Active"))),$F53=""),"",INT((TODAY()-$F53+280)/7)&amp;"+"&amp;MOD(TODAY()-$F53+280,7))</f>
        <v/>
      </c>
      <c r="I53" s="32">
        <f>IF(NOT(AND($A53&lt;&gt;"",OR($G53="",$G53="Active"))),"",IF(OR(IFERROR(LOOKUP(2,1/(ISNUMBER($M53:$U53)+($M53:$U53="DNA")),$M53:$U53),"")="DNA",AND(ISNUMBER(IFERROR(LOOKUP(2,1/(ISNUMBER($M53:$U53)+($M53:$U53="DNA")),$M53:$U53),"")),IFERROR(LOOKUP(2,1/(ISNUMBER($M53:$U53)+($M53:$U53="DNA")),$M53:$U53),"")&lt;TODAY())),1,0)+COUNTIF($V53:$Z53,"&lt;"&amp;TODAY()))</f>
        <v/>
      </c>
      <c r="J53" s="32">
        <f>IF(NOT(AND($A53&lt;&gt;"",OR($G53="",$G53="Active"))),"",COUNTIFS($M53:$U53,"&gt;="&amp;TODAY(),$M53:$U53,"&lt;="&amp;TODAY()+7)+COUNTIFS($V53:$Z53,"&gt;="&amp;TODAY(),$V53:$Z53,"&lt;="&amp;TODAY()+7))</f>
        <v/>
      </c>
      <c r="K53" s="32">
        <f>IF(NOT(AND($A53&lt;&gt;"",OR($G53="",$G53="Active"))),"",IF($L53&lt;&gt;"",IF($L53=$M53,"Booking",INDEX($N$4:$U$4,MATCH($L53,$N53:$U53,0))),IF(IFERROR(LOOKUP(2,1/(ISNUMBER($M53:$U53)+($M53:$U53="DNA")),$M53:$U53),"")="DNA","Rebook DNA",IF(ISNUMBER(IFERROR(LOOKUP(2,1/(ISNUMBER($M53:$U53)+($M53:$U53="DNA")),$M53:$U53),"")),IF(ISNUMBER($U53),"Update status","Missed/not booked?"),""))))</f>
        <v/>
      </c>
      <c r="L53" s="33">
        <f>IF(NOT(AND($A53&lt;&gt;"",OR($G53="",$G53="Active"))),"",IFERROR(SMALL($M53:$U53,COUNTIF($M53:$U53,"&lt;"&amp;TODAY())+1),""))</f>
        <v/>
      </c>
      <c r="M53" s="31" t="n"/>
      <c r="N53" s="31" t="n"/>
      <c r="O53" s="31" t="n"/>
      <c r="P53" s="31" t="n"/>
      <c r="Q53" s="31" t="n"/>
      <c r="R53" s="31" t="n"/>
      <c r="S53" s="31" t="n"/>
      <c r="T53" s="31" t="n"/>
      <c r="U53" s="31" t="n"/>
      <c r="V53" s="31" t="n"/>
      <c r="W53" s="31" t="n"/>
      <c r="X53" s="31" t="n"/>
      <c r="Y53" s="31" t="n"/>
      <c r="Z53" s="31" t="n"/>
      <c r="AA53" s="34" t="n"/>
      <c r="AB53" s="29" t="n"/>
      <c r="AC53" s="31" t="n"/>
    </row>
    <row r="54">
      <c r="A54" s="29" t="n"/>
      <c r="B54" s="30" t="n"/>
      <c r="C54" s="31" t="n"/>
      <c r="D54" s="29" t="n"/>
      <c r="E54" s="29" t="n"/>
      <c r="F54" s="31" t="n"/>
      <c r="G54" s="29" t="n"/>
      <c r="H54" s="32">
        <f>IF(OR(NOT(AND($A54&lt;&gt;"",OR($G54="",$G54="Active"))),$F54=""),"",INT((TODAY()-$F54+280)/7)&amp;"+"&amp;MOD(TODAY()-$F54+280,7))</f>
        <v/>
      </c>
      <c r="I54" s="32">
        <f>IF(NOT(AND($A54&lt;&gt;"",OR($G54="",$G54="Active"))),"",IF(OR(IFERROR(LOOKUP(2,1/(ISNUMBER($M54:$U54)+($M54:$U54="DNA")),$M54:$U54),"")="DNA",AND(ISNUMBER(IFERROR(LOOKUP(2,1/(ISNUMBER($M54:$U54)+($M54:$U54="DNA")),$M54:$U54),"")),IFERROR(LOOKUP(2,1/(ISNUMBER($M54:$U54)+($M54:$U54="DNA")),$M54:$U54),"")&lt;TODAY())),1,0)+COUNTIF($V54:$Z54,"&lt;"&amp;TODAY()))</f>
        <v/>
      </c>
      <c r="J54" s="32">
        <f>IF(NOT(AND($A54&lt;&gt;"",OR($G54="",$G54="Active"))),"",COUNTIFS($M54:$U54,"&gt;="&amp;TODAY(),$M54:$U54,"&lt;="&amp;TODAY()+7)+COUNTIFS($V54:$Z54,"&gt;="&amp;TODAY(),$V54:$Z54,"&lt;="&amp;TODAY()+7))</f>
        <v/>
      </c>
      <c r="K54" s="32">
        <f>IF(NOT(AND($A54&lt;&gt;"",OR($G54="",$G54="Active"))),"",IF($L54&lt;&gt;"",IF($L54=$M54,"Booking",INDEX($N$4:$U$4,MATCH($L54,$N54:$U54,0))),IF(IFERROR(LOOKUP(2,1/(ISNUMBER($M54:$U54)+($M54:$U54="DNA")),$M54:$U54),"")="DNA","Rebook DNA",IF(ISNUMBER(IFERROR(LOOKUP(2,1/(ISNUMBER($M54:$U54)+($M54:$U54="DNA")),$M54:$U54),"")),IF(ISNUMBER($U54),"Update status","Missed/not booked?"),""))))</f>
        <v/>
      </c>
      <c r="L54" s="33">
        <f>IF(NOT(AND($A54&lt;&gt;"",OR($G54="",$G54="Active"))),"",IFERROR(SMALL($M54:$U54,COUNTIF($M54:$U54,"&lt;"&amp;TODAY())+1),""))</f>
        <v/>
      </c>
      <c r="M54" s="31" t="n"/>
      <c r="N54" s="31" t="n"/>
      <c r="O54" s="31" t="n"/>
      <c r="P54" s="31" t="n"/>
      <c r="Q54" s="31" t="n"/>
      <c r="R54" s="31" t="n"/>
      <c r="S54" s="31" t="n"/>
      <c r="T54" s="31" t="n"/>
      <c r="U54" s="31" t="n"/>
      <c r="V54" s="31" t="n"/>
      <c r="W54" s="31" t="n"/>
      <c r="X54" s="31" t="n"/>
      <c r="Y54" s="31" t="n"/>
      <c r="Z54" s="31" t="n"/>
      <c r="AA54" s="34" t="n"/>
      <c r="AB54" s="29" t="n"/>
      <c r="AC54" s="31" t="n"/>
    </row>
    <row r="55">
      <c r="A55" s="29" t="n"/>
      <c r="B55" s="30" t="n"/>
      <c r="C55" s="31" t="n"/>
      <c r="D55" s="29" t="n"/>
      <c r="E55" s="29" t="n"/>
      <c r="F55" s="31" t="n"/>
      <c r="G55" s="29" t="n"/>
      <c r="H55" s="32">
        <f>IF(OR(NOT(AND($A55&lt;&gt;"",OR($G55="",$G55="Active"))),$F55=""),"",INT((TODAY()-$F55+280)/7)&amp;"+"&amp;MOD(TODAY()-$F55+280,7))</f>
        <v/>
      </c>
      <c r="I55" s="32">
        <f>IF(NOT(AND($A55&lt;&gt;"",OR($G55="",$G55="Active"))),"",IF(OR(IFERROR(LOOKUP(2,1/(ISNUMBER($M55:$U55)+($M55:$U55="DNA")),$M55:$U55),"")="DNA",AND(ISNUMBER(IFERROR(LOOKUP(2,1/(ISNUMBER($M55:$U55)+($M55:$U55="DNA")),$M55:$U55),"")),IFERROR(LOOKUP(2,1/(ISNUMBER($M55:$U55)+($M55:$U55="DNA")),$M55:$U55),"")&lt;TODAY())),1,0)+COUNTIF($V55:$Z55,"&lt;"&amp;TODAY()))</f>
        <v/>
      </c>
      <c r="J55" s="32">
        <f>IF(NOT(AND($A55&lt;&gt;"",OR($G55="",$G55="Active"))),"",COUNTIFS($M55:$U55,"&gt;="&amp;TODAY(),$M55:$U55,"&lt;="&amp;TODAY()+7)+COUNTIFS($V55:$Z55,"&gt;="&amp;TODAY(),$V55:$Z55,"&lt;="&amp;TODAY()+7))</f>
        <v/>
      </c>
      <c r="K55" s="32">
        <f>IF(NOT(AND($A55&lt;&gt;"",OR($G55="",$G55="Active"))),"",IF($L55&lt;&gt;"",IF($L55=$M55,"Booking",INDEX($N$4:$U$4,MATCH($L55,$N55:$U55,0))),IF(IFERROR(LOOKUP(2,1/(ISNUMBER($M55:$U55)+($M55:$U55="DNA")),$M55:$U55),"")="DNA","Rebook DNA",IF(ISNUMBER(IFERROR(LOOKUP(2,1/(ISNUMBER($M55:$U55)+($M55:$U55="DNA")),$M55:$U55),"")),IF(ISNUMBER($U55),"Update status","Missed/not booked?"),""))))</f>
        <v/>
      </c>
      <c r="L55" s="33">
        <f>IF(NOT(AND($A55&lt;&gt;"",OR($G55="",$G55="Active"))),"",IFERROR(SMALL($M55:$U55,COUNTIF($M55:$U55,"&lt;"&amp;TODAY())+1),""))</f>
        <v/>
      </c>
      <c r="M55" s="31" t="n"/>
      <c r="N55" s="31" t="n"/>
      <c r="O55" s="31" t="n"/>
      <c r="P55" s="31" t="n"/>
      <c r="Q55" s="31" t="n"/>
      <c r="R55" s="31" t="n"/>
      <c r="S55" s="31" t="n"/>
      <c r="T55" s="31" t="n"/>
      <c r="U55" s="31" t="n"/>
      <c r="V55" s="31" t="n"/>
      <c r="W55" s="31" t="n"/>
      <c r="X55" s="31" t="n"/>
      <c r="Y55" s="31" t="n"/>
      <c r="Z55" s="31" t="n"/>
      <c r="AA55" s="34" t="n"/>
      <c r="AB55" s="29" t="n"/>
      <c r="AC55" s="31" t="n"/>
    </row>
    <row r="56">
      <c r="A56" s="29" t="n"/>
      <c r="B56" s="30" t="n"/>
      <c r="C56" s="31" t="n"/>
      <c r="D56" s="29" t="n"/>
      <c r="E56" s="29" t="n"/>
      <c r="F56" s="31" t="n"/>
      <c r="G56" s="29" t="n"/>
      <c r="H56" s="32">
        <f>IF(OR(NOT(AND($A56&lt;&gt;"",OR($G56="",$G56="Active"))),$F56=""),"",INT((TODAY()-$F56+280)/7)&amp;"+"&amp;MOD(TODAY()-$F56+280,7))</f>
        <v/>
      </c>
      <c r="I56" s="32">
        <f>IF(NOT(AND($A56&lt;&gt;"",OR($G56="",$G56="Active"))),"",IF(OR(IFERROR(LOOKUP(2,1/(ISNUMBER($M56:$U56)+($M56:$U56="DNA")),$M56:$U56),"")="DNA",AND(ISNUMBER(IFERROR(LOOKUP(2,1/(ISNUMBER($M56:$U56)+($M56:$U56="DNA")),$M56:$U56),"")),IFERROR(LOOKUP(2,1/(ISNUMBER($M56:$U56)+($M56:$U56="DNA")),$M56:$U56),"")&lt;TODAY())),1,0)+COUNTIF($V56:$Z56,"&lt;"&amp;TODAY()))</f>
        <v/>
      </c>
      <c r="J56" s="32">
        <f>IF(NOT(AND($A56&lt;&gt;"",OR($G56="",$G56="Active"))),"",COUNTIFS($M56:$U56,"&gt;="&amp;TODAY(),$M56:$U56,"&lt;="&amp;TODAY()+7)+COUNTIFS($V56:$Z56,"&gt;="&amp;TODAY(),$V56:$Z56,"&lt;="&amp;TODAY()+7))</f>
        <v/>
      </c>
      <c r="K56" s="32">
        <f>IF(NOT(AND($A56&lt;&gt;"",OR($G56="",$G56="Active"))),"",IF($L56&lt;&gt;"",IF($L56=$M56,"Booking",INDEX($N$4:$U$4,MATCH($L56,$N56:$U56,0))),IF(IFERROR(LOOKUP(2,1/(ISNUMBER($M56:$U56)+($M56:$U56="DNA")),$M56:$U56),"")="DNA","Rebook DNA",IF(ISNUMBER(IFERROR(LOOKUP(2,1/(ISNUMBER($M56:$U56)+($M56:$U56="DNA")),$M56:$U56),"")),IF(ISNUMBER($U56),"Update status","Missed/not booked?"),""))))</f>
        <v/>
      </c>
      <c r="L56" s="33">
        <f>IF(NOT(AND($A56&lt;&gt;"",OR($G56="",$G56="Active"))),"",IFERROR(SMALL($M56:$U56,COUNTIF($M56:$U56,"&lt;"&amp;TODAY())+1),""))</f>
        <v/>
      </c>
      <c r="M56" s="31" t="n"/>
      <c r="N56" s="31" t="n"/>
      <c r="O56" s="31" t="n"/>
      <c r="P56" s="31" t="n"/>
      <c r="Q56" s="31" t="n"/>
      <c r="R56" s="31" t="n"/>
      <c r="S56" s="31" t="n"/>
      <c r="T56" s="31" t="n"/>
      <c r="U56" s="31" t="n"/>
      <c r="V56" s="31" t="n"/>
      <c r="W56" s="31" t="n"/>
      <c r="X56" s="31" t="n"/>
      <c r="Y56" s="31" t="n"/>
      <c r="Z56" s="31" t="n"/>
      <c r="AA56" s="34" t="n"/>
      <c r="AB56" s="29" t="n"/>
      <c r="AC56" s="31" t="n"/>
    </row>
    <row r="57">
      <c r="A57" s="29" t="n"/>
      <c r="B57" s="30" t="n"/>
      <c r="C57" s="31" t="n"/>
      <c r="D57" s="29" t="n"/>
      <c r="E57" s="29" t="n"/>
      <c r="F57" s="31" t="n"/>
      <c r="G57" s="29" t="n"/>
      <c r="H57" s="32">
        <f>IF(OR(NOT(AND($A57&lt;&gt;"",OR($G57="",$G57="Active"))),$F57=""),"",INT((TODAY()-$F57+280)/7)&amp;"+"&amp;MOD(TODAY()-$F57+280,7))</f>
        <v/>
      </c>
      <c r="I57" s="32">
        <f>IF(NOT(AND($A57&lt;&gt;"",OR($G57="",$G57="Active"))),"",IF(OR(IFERROR(LOOKUP(2,1/(ISNUMBER($M57:$U57)+($M57:$U57="DNA")),$M57:$U57),"")="DNA",AND(ISNUMBER(IFERROR(LOOKUP(2,1/(ISNUMBER($M57:$U57)+($M57:$U57="DNA")),$M57:$U57),"")),IFERROR(LOOKUP(2,1/(ISNUMBER($M57:$U57)+($M57:$U57="DNA")),$M57:$U57),"")&lt;TODAY())),1,0)+COUNTIF($V57:$Z57,"&lt;"&amp;TODAY()))</f>
        <v/>
      </c>
      <c r="J57" s="32">
        <f>IF(NOT(AND($A57&lt;&gt;"",OR($G57="",$G57="Active"))),"",COUNTIFS($M57:$U57,"&gt;="&amp;TODAY(),$M57:$U57,"&lt;="&amp;TODAY()+7)+COUNTIFS($V57:$Z57,"&gt;="&amp;TODAY(),$V57:$Z57,"&lt;="&amp;TODAY()+7))</f>
        <v/>
      </c>
      <c r="K57" s="32">
        <f>IF(NOT(AND($A57&lt;&gt;"",OR($G57="",$G57="Active"))),"",IF($L57&lt;&gt;"",IF($L57=$M57,"Booking",INDEX($N$4:$U$4,MATCH($L57,$N57:$U57,0))),IF(IFERROR(LOOKUP(2,1/(ISNUMBER($M57:$U57)+($M57:$U57="DNA")),$M57:$U57),"")="DNA","Rebook DNA",IF(ISNUMBER(IFERROR(LOOKUP(2,1/(ISNUMBER($M57:$U57)+($M57:$U57="DNA")),$M57:$U57),"")),IF(ISNUMBER($U57),"Update status","Missed/not booked?"),""))))</f>
        <v/>
      </c>
      <c r="L57" s="33">
        <f>IF(NOT(AND($A57&lt;&gt;"",OR($G57="",$G57="Active"))),"",IFERROR(SMALL($M57:$U57,COUNTIF($M57:$U57,"&lt;"&amp;TODAY())+1),""))</f>
        <v/>
      </c>
      <c r="M57" s="31" t="n"/>
      <c r="N57" s="31" t="n"/>
      <c r="O57" s="31" t="n"/>
      <c r="P57" s="31" t="n"/>
      <c r="Q57" s="31" t="n"/>
      <c r="R57" s="31" t="n"/>
      <c r="S57" s="31" t="n"/>
      <c r="T57" s="31" t="n"/>
      <c r="U57" s="31" t="n"/>
      <c r="V57" s="31" t="n"/>
      <c r="W57" s="31" t="n"/>
      <c r="X57" s="31" t="n"/>
      <c r="Y57" s="31" t="n"/>
      <c r="Z57" s="31" t="n"/>
      <c r="AA57" s="34" t="n"/>
      <c r="AB57" s="29" t="n"/>
      <c r="AC57" s="31" t="n"/>
    </row>
    <row r="58">
      <c r="A58" s="29" t="n"/>
      <c r="B58" s="30" t="n"/>
      <c r="C58" s="31" t="n"/>
      <c r="D58" s="29" t="n"/>
      <c r="E58" s="29" t="n"/>
      <c r="F58" s="31" t="n"/>
      <c r="G58" s="29" t="n"/>
      <c r="H58" s="32">
        <f>IF(OR(NOT(AND($A58&lt;&gt;"",OR($G58="",$G58="Active"))),$F58=""),"",INT((TODAY()-$F58+280)/7)&amp;"+"&amp;MOD(TODAY()-$F58+280,7))</f>
        <v/>
      </c>
      <c r="I58" s="32">
        <f>IF(NOT(AND($A58&lt;&gt;"",OR($G58="",$G58="Active"))),"",IF(OR(IFERROR(LOOKUP(2,1/(ISNUMBER($M58:$U58)+($M58:$U58="DNA")),$M58:$U58),"")="DNA",AND(ISNUMBER(IFERROR(LOOKUP(2,1/(ISNUMBER($M58:$U58)+($M58:$U58="DNA")),$M58:$U58),"")),IFERROR(LOOKUP(2,1/(ISNUMBER($M58:$U58)+($M58:$U58="DNA")),$M58:$U58),"")&lt;TODAY())),1,0)+COUNTIF($V58:$Z58,"&lt;"&amp;TODAY()))</f>
        <v/>
      </c>
      <c r="J58" s="32">
        <f>IF(NOT(AND($A58&lt;&gt;"",OR($G58="",$G58="Active"))),"",COUNTIFS($M58:$U58,"&gt;="&amp;TODAY(),$M58:$U58,"&lt;="&amp;TODAY()+7)+COUNTIFS($V58:$Z58,"&gt;="&amp;TODAY(),$V58:$Z58,"&lt;="&amp;TODAY()+7))</f>
        <v/>
      </c>
      <c r="K58" s="32">
        <f>IF(NOT(AND($A58&lt;&gt;"",OR($G58="",$G58="Active"))),"",IF($L58&lt;&gt;"",IF($L58=$M58,"Booking",INDEX($N$4:$U$4,MATCH($L58,$N58:$U58,0))),IF(IFERROR(LOOKUP(2,1/(ISNUMBER($M58:$U58)+($M58:$U58="DNA")),$M58:$U58),"")="DNA","Rebook DNA",IF(ISNUMBER(IFERROR(LOOKUP(2,1/(ISNUMBER($M58:$U58)+($M58:$U58="DNA")),$M58:$U58),"")),IF(ISNUMBER($U58),"Update status","Missed/not booked?"),""))))</f>
        <v/>
      </c>
      <c r="L58" s="33">
        <f>IF(NOT(AND($A58&lt;&gt;"",OR($G58="",$G58="Active"))),"",IFERROR(SMALL($M58:$U58,COUNTIF($M58:$U58,"&lt;"&amp;TODAY())+1),""))</f>
        <v/>
      </c>
      <c r="M58" s="31" t="n"/>
      <c r="N58" s="31" t="n"/>
      <c r="O58" s="31" t="n"/>
      <c r="P58" s="31" t="n"/>
      <c r="Q58" s="31" t="n"/>
      <c r="R58" s="31" t="n"/>
      <c r="S58" s="31" t="n"/>
      <c r="T58" s="31" t="n"/>
      <c r="U58" s="31" t="n"/>
      <c r="V58" s="31" t="n"/>
      <c r="W58" s="31" t="n"/>
      <c r="X58" s="31" t="n"/>
      <c r="Y58" s="31" t="n"/>
      <c r="Z58" s="31" t="n"/>
      <c r="AA58" s="34" t="n"/>
      <c r="AB58" s="29" t="n"/>
      <c r="AC58" s="31" t="n"/>
    </row>
    <row r="59">
      <c r="A59" s="29" t="n"/>
      <c r="B59" s="30" t="n"/>
      <c r="C59" s="31" t="n"/>
      <c r="D59" s="29" t="n"/>
      <c r="E59" s="29" t="n"/>
      <c r="F59" s="31" t="n"/>
      <c r="G59" s="29" t="n"/>
      <c r="H59" s="32">
        <f>IF(OR(NOT(AND($A59&lt;&gt;"",OR($G59="",$G59="Active"))),$F59=""),"",INT((TODAY()-$F59+280)/7)&amp;"+"&amp;MOD(TODAY()-$F59+280,7))</f>
        <v/>
      </c>
      <c r="I59" s="32">
        <f>IF(NOT(AND($A59&lt;&gt;"",OR($G59="",$G59="Active"))),"",IF(OR(IFERROR(LOOKUP(2,1/(ISNUMBER($M59:$U59)+($M59:$U59="DNA")),$M59:$U59),"")="DNA",AND(ISNUMBER(IFERROR(LOOKUP(2,1/(ISNUMBER($M59:$U59)+($M59:$U59="DNA")),$M59:$U59),"")),IFERROR(LOOKUP(2,1/(ISNUMBER($M59:$U59)+($M59:$U59="DNA")),$M59:$U59),"")&lt;TODAY())),1,0)+COUNTIF($V59:$Z59,"&lt;"&amp;TODAY()))</f>
        <v/>
      </c>
      <c r="J59" s="32">
        <f>IF(NOT(AND($A59&lt;&gt;"",OR($G59="",$G59="Active"))),"",COUNTIFS($M59:$U59,"&gt;="&amp;TODAY(),$M59:$U59,"&lt;="&amp;TODAY()+7)+COUNTIFS($V59:$Z59,"&gt;="&amp;TODAY(),$V59:$Z59,"&lt;="&amp;TODAY()+7))</f>
        <v/>
      </c>
      <c r="K59" s="32">
        <f>IF(NOT(AND($A59&lt;&gt;"",OR($G59="",$G59="Active"))),"",IF($L59&lt;&gt;"",IF($L59=$M59,"Booking",INDEX($N$4:$U$4,MATCH($L59,$N59:$U59,0))),IF(IFERROR(LOOKUP(2,1/(ISNUMBER($M59:$U59)+($M59:$U59="DNA")),$M59:$U59),"")="DNA","Rebook DNA",IF(ISNUMBER(IFERROR(LOOKUP(2,1/(ISNUMBER($M59:$U59)+($M59:$U59="DNA")),$M59:$U59),"")),IF(ISNUMBER($U59),"Update status","Missed/not booked?"),""))))</f>
        <v/>
      </c>
      <c r="L59" s="33">
        <f>IF(NOT(AND($A59&lt;&gt;"",OR($G59="",$G59="Active"))),"",IFERROR(SMALL($M59:$U59,COUNTIF($M59:$U59,"&lt;"&amp;TODAY())+1),""))</f>
        <v/>
      </c>
      <c r="M59" s="31" t="n"/>
      <c r="N59" s="31" t="n"/>
      <c r="O59" s="31" t="n"/>
      <c r="P59" s="31" t="n"/>
      <c r="Q59" s="31" t="n"/>
      <c r="R59" s="31" t="n"/>
      <c r="S59" s="31" t="n"/>
      <c r="T59" s="31" t="n"/>
      <c r="U59" s="31" t="n"/>
      <c r="V59" s="31" t="n"/>
      <c r="W59" s="31" t="n"/>
      <c r="X59" s="31" t="n"/>
      <c r="Y59" s="31" t="n"/>
      <c r="Z59" s="31" t="n"/>
      <c r="AA59" s="34" t="n"/>
      <c r="AB59" s="29" t="n"/>
      <c r="AC59" s="31" t="n"/>
    </row>
    <row r="60">
      <c r="A60" s="29" t="n"/>
      <c r="B60" s="30" t="n"/>
      <c r="C60" s="31" t="n"/>
      <c r="D60" s="29" t="n"/>
      <c r="E60" s="29" t="n"/>
      <c r="F60" s="31" t="n"/>
      <c r="G60" s="29" t="n"/>
      <c r="H60" s="32">
        <f>IF(OR(NOT(AND($A60&lt;&gt;"",OR($G60="",$G60="Active"))),$F60=""),"",INT((TODAY()-$F60+280)/7)&amp;"+"&amp;MOD(TODAY()-$F60+280,7))</f>
        <v/>
      </c>
      <c r="I60" s="32">
        <f>IF(NOT(AND($A60&lt;&gt;"",OR($G60="",$G60="Active"))),"",IF(OR(IFERROR(LOOKUP(2,1/(ISNUMBER($M60:$U60)+($M60:$U60="DNA")),$M60:$U60),"")="DNA",AND(ISNUMBER(IFERROR(LOOKUP(2,1/(ISNUMBER($M60:$U60)+($M60:$U60="DNA")),$M60:$U60),"")),IFERROR(LOOKUP(2,1/(ISNUMBER($M60:$U60)+($M60:$U60="DNA")),$M60:$U60),"")&lt;TODAY())),1,0)+COUNTIF($V60:$Z60,"&lt;"&amp;TODAY()))</f>
        <v/>
      </c>
      <c r="J60" s="32">
        <f>IF(NOT(AND($A60&lt;&gt;"",OR($G60="",$G60="Active"))),"",COUNTIFS($M60:$U60,"&gt;="&amp;TODAY(),$M60:$U60,"&lt;="&amp;TODAY()+7)+COUNTIFS($V60:$Z60,"&gt;="&amp;TODAY(),$V60:$Z60,"&lt;="&amp;TODAY()+7))</f>
        <v/>
      </c>
      <c r="K60" s="32">
        <f>IF(NOT(AND($A60&lt;&gt;"",OR($G60="",$G60="Active"))),"",IF($L60&lt;&gt;"",IF($L60=$M60,"Booking",INDEX($N$4:$U$4,MATCH($L60,$N60:$U60,0))),IF(IFERROR(LOOKUP(2,1/(ISNUMBER($M60:$U60)+($M60:$U60="DNA")),$M60:$U60),"")="DNA","Rebook DNA",IF(ISNUMBER(IFERROR(LOOKUP(2,1/(ISNUMBER($M60:$U60)+($M60:$U60="DNA")),$M60:$U60),"")),IF(ISNUMBER($U60),"Update status","Missed/not booked?"),""))))</f>
        <v/>
      </c>
      <c r="L60" s="33">
        <f>IF(NOT(AND($A60&lt;&gt;"",OR($G60="",$G60="Active"))),"",IFERROR(SMALL($M60:$U60,COUNTIF($M60:$U60,"&lt;"&amp;TODAY())+1),""))</f>
        <v/>
      </c>
      <c r="M60" s="31" t="n"/>
      <c r="N60" s="31" t="n"/>
      <c r="O60" s="31" t="n"/>
      <c r="P60" s="31" t="n"/>
      <c r="Q60" s="31" t="n"/>
      <c r="R60" s="31" t="n"/>
      <c r="S60" s="31" t="n"/>
      <c r="T60" s="31" t="n"/>
      <c r="U60" s="31" t="n"/>
      <c r="V60" s="31" t="n"/>
      <c r="W60" s="31" t="n"/>
      <c r="X60" s="31" t="n"/>
      <c r="Y60" s="31" t="n"/>
      <c r="Z60" s="31" t="n"/>
      <c r="AA60" s="34" t="n"/>
      <c r="AB60" s="29" t="n"/>
      <c r="AC60" s="31" t="n"/>
    </row>
    <row r="61">
      <c r="A61" s="29" t="n"/>
      <c r="B61" s="30" t="n"/>
      <c r="C61" s="31" t="n"/>
      <c r="D61" s="29" t="n"/>
      <c r="E61" s="29" t="n"/>
      <c r="F61" s="31" t="n"/>
      <c r="G61" s="29" t="n"/>
      <c r="H61" s="32">
        <f>IF(OR(NOT(AND($A61&lt;&gt;"",OR($G61="",$G61="Active"))),$F61=""),"",INT((TODAY()-$F61+280)/7)&amp;"+"&amp;MOD(TODAY()-$F61+280,7))</f>
        <v/>
      </c>
      <c r="I61" s="32">
        <f>IF(NOT(AND($A61&lt;&gt;"",OR($G61="",$G61="Active"))),"",IF(OR(IFERROR(LOOKUP(2,1/(ISNUMBER($M61:$U61)+($M61:$U61="DNA")),$M61:$U61),"")="DNA",AND(ISNUMBER(IFERROR(LOOKUP(2,1/(ISNUMBER($M61:$U61)+($M61:$U61="DNA")),$M61:$U61),"")),IFERROR(LOOKUP(2,1/(ISNUMBER($M61:$U61)+($M61:$U61="DNA")),$M61:$U61),"")&lt;TODAY())),1,0)+COUNTIF($V61:$Z61,"&lt;"&amp;TODAY()))</f>
        <v/>
      </c>
      <c r="J61" s="32">
        <f>IF(NOT(AND($A61&lt;&gt;"",OR($G61="",$G61="Active"))),"",COUNTIFS($M61:$U61,"&gt;="&amp;TODAY(),$M61:$U61,"&lt;="&amp;TODAY()+7)+COUNTIFS($V61:$Z61,"&gt;="&amp;TODAY(),$V61:$Z61,"&lt;="&amp;TODAY()+7))</f>
        <v/>
      </c>
      <c r="K61" s="32">
        <f>IF(NOT(AND($A61&lt;&gt;"",OR($G61="",$G61="Active"))),"",IF($L61&lt;&gt;"",IF($L61=$M61,"Booking",INDEX($N$4:$U$4,MATCH($L61,$N61:$U61,0))),IF(IFERROR(LOOKUP(2,1/(ISNUMBER($M61:$U61)+($M61:$U61="DNA")),$M61:$U61),"")="DNA","Rebook DNA",IF(ISNUMBER(IFERROR(LOOKUP(2,1/(ISNUMBER($M61:$U61)+($M61:$U61="DNA")),$M61:$U61),"")),IF(ISNUMBER($U61),"Update status","Missed/not booked?"),""))))</f>
        <v/>
      </c>
      <c r="L61" s="33">
        <f>IF(NOT(AND($A61&lt;&gt;"",OR($G61="",$G61="Active"))),"",IFERROR(SMALL($M61:$U61,COUNTIF($M61:$U61,"&lt;"&amp;TODAY())+1),""))</f>
        <v/>
      </c>
      <c r="M61" s="31" t="n"/>
      <c r="N61" s="31" t="n"/>
      <c r="O61" s="31" t="n"/>
      <c r="P61" s="31" t="n"/>
      <c r="Q61" s="31" t="n"/>
      <c r="R61" s="31" t="n"/>
      <c r="S61" s="31" t="n"/>
      <c r="T61" s="31" t="n"/>
      <c r="U61" s="31" t="n"/>
      <c r="V61" s="31" t="n"/>
      <c r="W61" s="31" t="n"/>
      <c r="X61" s="31" t="n"/>
      <c r="Y61" s="31" t="n"/>
      <c r="Z61" s="31" t="n"/>
      <c r="AA61" s="34" t="n"/>
      <c r="AB61" s="29" t="n"/>
      <c r="AC61" s="31" t="n"/>
    </row>
    <row r="62">
      <c r="A62" s="29" t="n"/>
      <c r="B62" s="30" t="n"/>
      <c r="C62" s="31" t="n"/>
      <c r="D62" s="29" t="n"/>
      <c r="E62" s="29" t="n"/>
      <c r="F62" s="31" t="n"/>
      <c r="G62" s="29" t="n"/>
      <c r="H62" s="32">
        <f>IF(OR(NOT(AND($A62&lt;&gt;"",OR($G62="",$G62="Active"))),$F62=""),"",INT((TODAY()-$F62+280)/7)&amp;"+"&amp;MOD(TODAY()-$F62+280,7))</f>
        <v/>
      </c>
      <c r="I62" s="32">
        <f>IF(NOT(AND($A62&lt;&gt;"",OR($G62="",$G62="Active"))),"",IF(OR(IFERROR(LOOKUP(2,1/(ISNUMBER($M62:$U62)+($M62:$U62="DNA")),$M62:$U62),"")="DNA",AND(ISNUMBER(IFERROR(LOOKUP(2,1/(ISNUMBER($M62:$U62)+($M62:$U62="DNA")),$M62:$U62),"")),IFERROR(LOOKUP(2,1/(ISNUMBER($M62:$U62)+($M62:$U62="DNA")),$M62:$U62),"")&lt;TODAY())),1,0)+COUNTIF($V62:$Z62,"&lt;"&amp;TODAY()))</f>
        <v/>
      </c>
      <c r="J62" s="32">
        <f>IF(NOT(AND($A62&lt;&gt;"",OR($G62="",$G62="Active"))),"",COUNTIFS($M62:$U62,"&gt;="&amp;TODAY(),$M62:$U62,"&lt;="&amp;TODAY()+7)+COUNTIFS($V62:$Z62,"&gt;="&amp;TODAY(),$V62:$Z62,"&lt;="&amp;TODAY()+7))</f>
        <v/>
      </c>
      <c r="K62" s="32">
        <f>IF(NOT(AND($A62&lt;&gt;"",OR($G62="",$G62="Active"))),"",IF($L62&lt;&gt;"",IF($L62=$M62,"Booking",INDEX($N$4:$U$4,MATCH($L62,$N62:$U62,0))),IF(IFERROR(LOOKUP(2,1/(ISNUMBER($M62:$U62)+($M62:$U62="DNA")),$M62:$U62),"")="DNA","Rebook DNA",IF(ISNUMBER(IFERROR(LOOKUP(2,1/(ISNUMBER($M62:$U62)+($M62:$U62="DNA")),$M62:$U62),"")),IF(ISNUMBER($U62),"Update status","Missed/not booked?"),""))))</f>
        <v/>
      </c>
      <c r="L62" s="33">
        <f>IF(NOT(AND($A62&lt;&gt;"",OR($G62="",$G62="Active"))),"",IFERROR(SMALL($M62:$U62,COUNTIF($M62:$U62,"&lt;"&amp;TODAY())+1),""))</f>
        <v/>
      </c>
      <c r="M62" s="31" t="n"/>
      <c r="N62" s="31" t="n"/>
      <c r="O62" s="31" t="n"/>
      <c r="P62" s="31" t="n"/>
      <c r="Q62" s="31" t="n"/>
      <c r="R62" s="31" t="n"/>
      <c r="S62" s="31" t="n"/>
      <c r="T62" s="31" t="n"/>
      <c r="U62" s="31" t="n"/>
      <c r="V62" s="31" t="n"/>
      <c r="W62" s="31" t="n"/>
      <c r="X62" s="31" t="n"/>
      <c r="Y62" s="31" t="n"/>
      <c r="Z62" s="31" t="n"/>
      <c r="AA62" s="34" t="n"/>
      <c r="AB62" s="29" t="n"/>
      <c r="AC62" s="31" t="n"/>
    </row>
    <row r="63">
      <c r="A63" s="29" t="n"/>
      <c r="B63" s="30" t="n"/>
      <c r="C63" s="31" t="n"/>
      <c r="D63" s="29" t="n"/>
      <c r="E63" s="29" t="n"/>
      <c r="F63" s="31" t="n"/>
      <c r="G63" s="29" t="n"/>
      <c r="H63" s="32">
        <f>IF(OR(NOT(AND($A63&lt;&gt;"",OR($G63="",$G63="Active"))),$F63=""),"",INT((TODAY()-$F63+280)/7)&amp;"+"&amp;MOD(TODAY()-$F63+280,7))</f>
        <v/>
      </c>
      <c r="I63" s="32">
        <f>IF(NOT(AND($A63&lt;&gt;"",OR($G63="",$G63="Active"))),"",IF(OR(IFERROR(LOOKUP(2,1/(ISNUMBER($M63:$U63)+($M63:$U63="DNA")),$M63:$U63),"")="DNA",AND(ISNUMBER(IFERROR(LOOKUP(2,1/(ISNUMBER($M63:$U63)+($M63:$U63="DNA")),$M63:$U63),"")),IFERROR(LOOKUP(2,1/(ISNUMBER($M63:$U63)+($M63:$U63="DNA")),$M63:$U63),"")&lt;TODAY())),1,0)+COUNTIF($V63:$Z63,"&lt;"&amp;TODAY()))</f>
        <v/>
      </c>
      <c r="J63" s="32">
        <f>IF(NOT(AND($A63&lt;&gt;"",OR($G63="",$G63="Active"))),"",COUNTIFS($M63:$U63,"&gt;="&amp;TODAY(),$M63:$U63,"&lt;="&amp;TODAY()+7)+COUNTIFS($V63:$Z63,"&gt;="&amp;TODAY(),$V63:$Z63,"&lt;="&amp;TODAY()+7))</f>
        <v/>
      </c>
      <c r="K63" s="32">
        <f>IF(NOT(AND($A63&lt;&gt;"",OR($G63="",$G63="Active"))),"",IF($L63&lt;&gt;"",IF($L63=$M63,"Booking",INDEX($N$4:$U$4,MATCH($L63,$N63:$U63,0))),IF(IFERROR(LOOKUP(2,1/(ISNUMBER($M63:$U63)+($M63:$U63="DNA")),$M63:$U63),"")="DNA","Rebook DNA",IF(ISNUMBER(IFERROR(LOOKUP(2,1/(ISNUMBER($M63:$U63)+($M63:$U63="DNA")),$M63:$U63),"")),IF(ISNUMBER($U63),"Update status","Missed/not booked?"),""))))</f>
        <v/>
      </c>
      <c r="L63" s="33">
        <f>IF(NOT(AND($A63&lt;&gt;"",OR($G63="",$G63="Active"))),"",IFERROR(SMALL($M63:$U63,COUNTIF($M63:$U63,"&lt;"&amp;TODAY())+1),""))</f>
        <v/>
      </c>
      <c r="M63" s="31" t="n"/>
      <c r="N63" s="31" t="n"/>
      <c r="O63" s="31" t="n"/>
      <c r="P63" s="31" t="n"/>
      <c r="Q63" s="31" t="n"/>
      <c r="R63" s="31" t="n"/>
      <c r="S63" s="31" t="n"/>
      <c r="T63" s="31" t="n"/>
      <c r="U63" s="31" t="n"/>
      <c r="V63" s="31" t="n"/>
      <c r="W63" s="31" t="n"/>
      <c r="X63" s="31" t="n"/>
      <c r="Y63" s="31" t="n"/>
      <c r="Z63" s="31" t="n"/>
      <c r="AA63" s="34" t="n"/>
      <c r="AB63" s="29" t="n"/>
      <c r="AC63" s="31" t="n"/>
    </row>
    <row r="64">
      <c r="A64" s="29" t="n"/>
      <c r="B64" s="30" t="n"/>
      <c r="C64" s="31" t="n"/>
      <c r="D64" s="29" t="n"/>
      <c r="E64" s="29" t="n"/>
      <c r="F64" s="31" t="n"/>
      <c r="G64" s="29" t="n"/>
      <c r="H64" s="32">
        <f>IF(OR(NOT(AND($A64&lt;&gt;"",OR($G64="",$G64="Active"))),$F64=""),"",INT((TODAY()-$F64+280)/7)&amp;"+"&amp;MOD(TODAY()-$F64+280,7))</f>
        <v/>
      </c>
      <c r="I64" s="32">
        <f>IF(NOT(AND($A64&lt;&gt;"",OR($G64="",$G64="Active"))),"",IF(OR(IFERROR(LOOKUP(2,1/(ISNUMBER($M64:$U64)+($M64:$U64="DNA")),$M64:$U64),"")="DNA",AND(ISNUMBER(IFERROR(LOOKUP(2,1/(ISNUMBER($M64:$U64)+($M64:$U64="DNA")),$M64:$U64),"")),IFERROR(LOOKUP(2,1/(ISNUMBER($M64:$U64)+($M64:$U64="DNA")),$M64:$U64),"")&lt;TODAY())),1,0)+COUNTIF($V64:$Z64,"&lt;"&amp;TODAY()))</f>
        <v/>
      </c>
      <c r="J64" s="32">
        <f>IF(NOT(AND($A64&lt;&gt;"",OR($G64="",$G64="Active"))),"",COUNTIFS($M64:$U64,"&gt;="&amp;TODAY(),$M64:$U64,"&lt;="&amp;TODAY()+7)+COUNTIFS($V64:$Z64,"&gt;="&amp;TODAY(),$V64:$Z64,"&lt;="&amp;TODAY()+7))</f>
        <v/>
      </c>
      <c r="K64" s="32">
        <f>IF(NOT(AND($A64&lt;&gt;"",OR($G64="",$G64="Active"))),"",IF($L64&lt;&gt;"",IF($L64=$M64,"Booking",INDEX($N$4:$U$4,MATCH($L64,$N64:$U64,0))),IF(IFERROR(LOOKUP(2,1/(ISNUMBER($M64:$U64)+($M64:$U64="DNA")),$M64:$U64),"")="DNA","Rebook DNA",IF(ISNUMBER(IFERROR(LOOKUP(2,1/(ISNUMBER($M64:$U64)+($M64:$U64="DNA")),$M64:$U64),"")),IF(ISNUMBER($U64),"Update status","Missed/not booked?"),""))))</f>
        <v/>
      </c>
      <c r="L64" s="33">
        <f>IF(NOT(AND($A64&lt;&gt;"",OR($G64="",$G64="Active"))),"",IFERROR(SMALL($M64:$U64,COUNTIF($M64:$U64,"&lt;"&amp;TODAY())+1),""))</f>
        <v/>
      </c>
      <c r="M64" s="31" t="n"/>
      <c r="N64" s="31" t="n"/>
      <c r="O64" s="31" t="n"/>
      <c r="P64" s="31" t="n"/>
      <c r="Q64" s="31" t="n"/>
      <c r="R64" s="31" t="n"/>
      <c r="S64" s="31" t="n"/>
      <c r="T64" s="31" t="n"/>
      <c r="U64" s="31" t="n"/>
      <c r="V64" s="31" t="n"/>
      <c r="W64" s="31" t="n"/>
      <c r="X64" s="31" t="n"/>
      <c r="Y64" s="31" t="n"/>
      <c r="Z64" s="31" t="n"/>
      <c r="AA64" s="34" t="n"/>
      <c r="AB64" s="29" t="n"/>
      <c r="AC64" s="31" t="n"/>
    </row>
    <row r="65">
      <c r="A65" s="29" t="n"/>
      <c r="B65" s="30" t="n"/>
      <c r="C65" s="31" t="n"/>
      <c r="D65" s="29" t="n"/>
      <c r="E65" s="29" t="n"/>
      <c r="F65" s="31" t="n"/>
      <c r="G65" s="29" t="n"/>
      <c r="H65" s="32">
        <f>IF(OR(NOT(AND($A65&lt;&gt;"",OR($G65="",$G65="Active"))),$F65=""),"",INT((TODAY()-$F65+280)/7)&amp;"+"&amp;MOD(TODAY()-$F65+280,7))</f>
        <v/>
      </c>
      <c r="I65" s="32">
        <f>IF(NOT(AND($A65&lt;&gt;"",OR($G65="",$G65="Active"))),"",IF(OR(IFERROR(LOOKUP(2,1/(ISNUMBER($M65:$U65)+($M65:$U65="DNA")),$M65:$U65),"")="DNA",AND(ISNUMBER(IFERROR(LOOKUP(2,1/(ISNUMBER($M65:$U65)+($M65:$U65="DNA")),$M65:$U65),"")),IFERROR(LOOKUP(2,1/(ISNUMBER($M65:$U65)+($M65:$U65="DNA")),$M65:$U65),"")&lt;TODAY())),1,0)+COUNTIF($V65:$Z65,"&lt;"&amp;TODAY()))</f>
        <v/>
      </c>
      <c r="J65" s="32">
        <f>IF(NOT(AND($A65&lt;&gt;"",OR($G65="",$G65="Active"))),"",COUNTIFS($M65:$U65,"&gt;="&amp;TODAY(),$M65:$U65,"&lt;="&amp;TODAY()+7)+COUNTIFS($V65:$Z65,"&gt;="&amp;TODAY(),$V65:$Z65,"&lt;="&amp;TODAY()+7))</f>
        <v/>
      </c>
      <c r="K65" s="32">
        <f>IF(NOT(AND($A65&lt;&gt;"",OR($G65="",$G65="Active"))),"",IF($L65&lt;&gt;"",IF($L65=$M65,"Booking",INDEX($N$4:$U$4,MATCH($L65,$N65:$U65,0))),IF(IFERROR(LOOKUP(2,1/(ISNUMBER($M65:$U65)+($M65:$U65="DNA")),$M65:$U65),"")="DNA","Rebook DNA",IF(ISNUMBER(IFERROR(LOOKUP(2,1/(ISNUMBER($M65:$U65)+($M65:$U65="DNA")),$M65:$U65),"")),IF(ISNUMBER($U65),"Update status","Missed/not booked?"),""))))</f>
        <v/>
      </c>
      <c r="L65" s="33">
        <f>IF(NOT(AND($A65&lt;&gt;"",OR($G65="",$G65="Active"))),"",IFERROR(SMALL($M65:$U65,COUNTIF($M65:$U65,"&lt;"&amp;TODAY())+1),""))</f>
        <v/>
      </c>
      <c r="M65" s="31" t="n"/>
      <c r="N65" s="31" t="n"/>
      <c r="O65" s="31" t="n"/>
      <c r="P65" s="31" t="n"/>
      <c r="Q65" s="31" t="n"/>
      <c r="R65" s="31" t="n"/>
      <c r="S65" s="31" t="n"/>
      <c r="T65" s="31" t="n"/>
      <c r="U65" s="31" t="n"/>
      <c r="V65" s="31" t="n"/>
      <c r="W65" s="31" t="n"/>
      <c r="X65" s="31" t="n"/>
      <c r="Y65" s="31" t="n"/>
      <c r="Z65" s="31" t="n"/>
      <c r="AA65" s="34" t="n"/>
      <c r="AB65" s="29" t="n"/>
      <c r="AC65" s="31" t="n"/>
    </row>
    <row r="66">
      <c r="A66" s="29" t="n"/>
      <c r="B66" s="30" t="n"/>
      <c r="C66" s="31" t="n"/>
      <c r="D66" s="29" t="n"/>
      <c r="E66" s="29" t="n"/>
      <c r="F66" s="31" t="n"/>
      <c r="G66" s="29" t="n"/>
      <c r="H66" s="32">
        <f>IF(OR(NOT(AND($A66&lt;&gt;"",OR($G66="",$G66="Active"))),$F66=""),"",INT((TODAY()-$F66+280)/7)&amp;"+"&amp;MOD(TODAY()-$F66+280,7))</f>
        <v/>
      </c>
      <c r="I66" s="32">
        <f>IF(NOT(AND($A66&lt;&gt;"",OR($G66="",$G66="Active"))),"",IF(OR(IFERROR(LOOKUP(2,1/(ISNUMBER($M66:$U66)+($M66:$U66="DNA")),$M66:$U66),"")="DNA",AND(ISNUMBER(IFERROR(LOOKUP(2,1/(ISNUMBER($M66:$U66)+($M66:$U66="DNA")),$M66:$U66),"")),IFERROR(LOOKUP(2,1/(ISNUMBER($M66:$U66)+($M66:$U66="DNA")),$M66:$U66),"")&lt;TODAY())),1,0)+COUNTIF($V66:$Z66,"&lt;"&amp;TODAY()))</f>
        <v/>
      </c>
      <c r="J66" s="32">
        <f>IF(NOT(AND($A66&lt;&gt;"",OR($G66="",$G66="Active"))),"",COUNTIFS($M66:$U66,"&gt;="&amp;TODAY(),$M66:$U66,"&lt;="&amp;TODAY()+7)+COUNTIFS($V66:$Z66,"&gt;="&amp;TODAY(),$V66:$Z66,"&lt;="&amp;TODAY()+7))</f>
        <v/>
      </c>
      <c r="K66" s="32">
        <f>IF(NOT(AND($A66&lt;&gt;"",OR($G66="",$G66="Active"))),"",IF($L66&lt;&gt;"",IF($L66=$M66,"Booking",INDEX($N$4:$U$4,MATCH($L66,$N66:$U66,0))),IF(IFERROR(LOOKUP(2,1/(ISNUMBER($M66:$U66)+($M66:$U66="DNA")),$M66:$U66),"")="DNA","Rebook DNA",IF(ISNUMBER(IFERROR(LOOKUP(2,1/(ISNUMBER($M66:$U66)+($M66:$U66="DNA")),$M66:$U66),"")),IF(ISNUMBER($U66),"Update status","Missed/not booked?"),""))))</f>
        <v/>
      </c>
      <c r="L66" s="33">
        <f>IF(NOT(AND($A66&lt;&gt;"",OR($G66="",$G66="Active"))),"",IFERROR(SMALL($M66:$U66,COUNTIF($M66:$U66,"&lt;"&amp;TODAY())+1),""))</f>
        <v/>
      </c>
      <c r="M66" s="31" t="n"/>
      <c r="N66" s="31" t="n"/>
      <c r="O66" s="31" t="n"/>
      <c r="P66" s="31" t="n"/>
      <c r="Q66" s="31" t="n"/>
      <c r="R66" s="31" t="n"/>
      <c r="S66" s="31" t="n"/>
      <c r="T66" s="31" t="n"/>
      <c r="U66" s="31" t="n"/>
      <c r="V66" s="31" t="n"/>
      <c r="W66" s="31" t="n"/>
      <c r="X66" s="31" t="n"/>
      <c r="Y66" s="31" t="n"/>
      <c r="Z66" s="31" t="n"/>
      <c r="AA66" s="34" t="n"/>
      <c r="AB66" s="29" t="n"/>
      <c r="AC66" s="31" t="n"/>
    </row>
    <row r="67">
      <c r="A67" s="29" t="n"/>
      <c r="B67" s="30" t="n"/>
      <c r="C67" s="31" t="n"/>
      <c r="D67" s="29" t="n"/>
      <c r="E67" s="29" t="n"/>
      <c r="F67" s="31" t="n"/>
      <c r="G67" s="29" t="n"/>
      <c r="H67" s="32">
        <f>IF(OR(NOT(AND($A67&lt;&gt;"",OR($G67="",$G67="Active"))),$F67=""),"",INT((TODAY()-$F67+280)/7)&amp;"+"&amp;MOD(TODAY()-$F67+280,7))</f>
        <v/>
      </c>
      <c r="I67" s="32">
        <f>IF(NOT(AND($A67&lt;&gt;"",OR($G67="",$G67="Active"))),"",IF(OR(IFERROR(LOOKUP(2,1/(ISNUMBER($M67:$U67)+($M67:$U67="DNA")),$M67:$U67),"")="DNA",AND(ISNUMBER(IFERROR(LOOKUP(2,1/(ISNUMBER($M67:$U67)+($M67:$U67="DNA")),$M67:$U67),"")),IFERROR(LOOKUP(2,1/(ISNUMBER($M67:$U67)+($M67:$U67="DNA")),$M67:$U67),"")&lt;TODAY())),1,0)+COUNTIF($V67:$Z67,"&lt;"&amp;TODAY()))</f>
        <v/>
      </c>
      <c r="J67" s="32">
        <f>IF(NOT(AND($A67&lt;&gt;"",OR($G67="",$G67="Active"))),"",COUNTIFS($M67:$U67,"&gt;="&amp;TODAY(),$M67:$U67,"&lt;="&amp;TODAY()+7)+COUNTIFS($V67:$Z67,"&gt;="&amp;TODAY(),$V67:$Z67,"&lt;="&amp;TODAY()+7))</f>
        <v/>
      </c>
      <c r="K67" s="32">
        <f>IF(NOT(AND($A67&lt;&gt;"",OR($G67="",$G67="Active"))),"",IF($L67&lt;&gt;"",IF($L67=$M67,"Booking",INDEX($N$4:$U$4,MATCH($L67,$N67:$U67,0))),IF(IFERROR(LOOKUP(2,1/(ISNUMBER($M67:$U67)+($M67:$U67="DNA")),$M67:$U67),"")="DNA","Rebook DNA",IF(ISNUMBER(IFERROR(LOOKUP(2,1/(ISNUMBER($M67:$U67)+($M67:$U67="DNA")),$M67:$U67),"")),IF(ISNUMBER($U67),"Update status","Missed/not booked?"),""))))</f>
        <v/>
      </c>
      <c r="L67" s="33">
        <f>IF(NOT(AND($A67&lt;&gt;"",OR($G67="",$G67="Active"))),"",IFERROR(SMALL($M67:$U67,COUNTIF($M67:$U67,"&lt;"&amp;TODAY())+1),""))</f>
        <v/>
      </c>
      <c r="M67" s="31" t="n"/>
      <c r="N67" s="31" t="n"/>
      <c r="O67" s="31" t="n"/>
      <c r="P67" s="31" t="n"/>
      <c r="Q67" s="31" t="n"/>
      <c r="R67" s="31" t="n"/>
      <c r="S67" s="31" t="n"/>
      <c r="T67" s="31" t="n"/>
      <c r="U67" s="31" t="n"/>
      <c r="V67" s="31" t="n"/>
      <c r="W67" s="31" t="n"/>
      <c r="X67" s="31" t="n"/>
      <c r="Y67" s="31" t="n"/>
      <c r="Z67" s="31" t="n"/>
      <c r="AA67" s="34" t="n"/>
      <c r="AB67" s="29" t="n"/>
      <c r="AC67" s="31" t="n"/>
    </row>
    <row r="68">
      <c r="A68" s="29" t="n"/>
      <c r="B68" s="30" t="n"/>
      <c r="C68" s="31" t="n"/>
      <c r="D68" s="29" t="n"/>
      <c r="E68" s="29" t="n"/>
      <c r="F68" s="31" t="n"/>
      <c r="G68" s="29" t="n"/>
      <c r="H68" s="32">
        <f>IF(OR(NOT(AND($A68&lt;&gt;"",OR($G68="",$G68="Active"))),$F68=""),"",INT((TODAY()-$F68+280)/7)&amp;"+"&amp;MOD(TODAY()-$F68+280,7))</f>
        <v/>
      </c>
      <c r="I68" s="32">
        <f>IF(NOT(AND($A68&lt;&gt;"",OR($G68="",$G68="Active"))),"",IF(OR(IFERROR(LOOKUP(2,1/(ISNUMBER($M68:$U68)+($M68:$U68="DNA")),$M68:$U68),"")="DNA",AND(ISNUMBER(IFERROR(LOOKUP(2,1/(ISNUMBER($M68:$U68)+($M68:$U68="DNA")),$M68:$U68),"")),IFERROR(LOOKUP(2,1/(ISNUMBER($M68:$U68)+($M68:$U68="DNA")),$M68:$U68),"")&lt;TODAY())),1,0)+COUNTIF($V68:$Z68,"&lt;"&amp;TODAY()))</f>
        <v/>
      </c>
      <c r="J68" s="32">
        <f>IF(NOT(AND($A68&lt;&gt;"",OR($G68="",$G68="Active"))),"",COUNTIFS($M68:$U68,"&gt;="&amp;TODAY(),$M68:$U68,"&lt;="&amp;TODAY()+7)+COUNTIFS($V68:$Z68,"&gt;="&amp;TODAY(),$V68:$Z68,"&lt;="&amp;TODAY()+7))</f>
        <v/>
      </c>
      <c r="K68" s="32">
        <f>IF(NOT(AND($A68&lt;&gt;"",OR($G68="",$G68="Active"))),"",IF($L68&lt;&gt;"",IF($L68=$M68,"Booking",INDEX($N$4:$U$4,MATCH($L68,$N68:$U68,0))),IF(IFERROR(LOOKUP(2,1/(ISNUMBER($M68:$U68)+($M68:$U68="DNA")),$M68:$U68),"")="DNA","Rebook DNA",IF(ISNUMBER(IFERROR(LOOKUP(2,1/(ISNUMBER($M68:$U68)+($M68:$U68="DNA")),$M68:$U68),"")),IF(ISNUMBER($U68),"Update status","Missed/not booked?"),""))))</f>
        <v/>
      </c>
      <c r="L68" s="33">
        <f>IF(NOT(AND($A68&lt;&gt;"",OR($G68="",$G68="Active"))),"",IFERROR(SMALL($M68:$U68,COUNTIF($M68:$U68,"&lt;"&amp;TODAY())+1),""))</f>
        <v/>
      </c>
      <c r="M68" s="31" t="n"/>
      <c r="N68" s="31" t="n"/>
      <c r="O68" s="31" t="n"/>
      <c r="P68" s="31" t="n"/>
      <c r="Q68" s="31" t="n"/>
      <c r="R68" s="31" t="n"/>
      <c r="S68" s="31" t="n"/>
      <c r="T68" s="31" t="n"/>
      <c r="U68" s="31" t="n"/>
      <c r="V68" s="31" t="n"/>
      <c r="W68" s="31" t="n"/>
      <c r="X68" s="31" t="n"/>
      <c r="Y68" s="31" t="n"/>
      <c r="Z68" s="31" t="n"/>
      <c r="AA68" s="34" t="n"/>
      <c r="AB68" s="29" t="n"/>
      <c r="AC68" s="31" t="n"/>
    </row>
    <row r="69">
      <c r="A69" s="29" t="n"/>
      <c r="B69" s="30" t="n"/>
      <c r="C69" s="31" t="n"/>
      <c r="D69" s="29" t="n"/>
      <c r="E69" s="29" t="n"/>
      <c r="F69" s="31" t="n"/>
      <c r="G69" s="29" t="n"/>
      <c r="H69" s="32">
        <f>IF(OR(NOT(AND($A69&lt;&gt;"",OR($G69="",$G69="Active"))),$F69=""),"",INT((TODAY()-$F69+280)/7)&amp;"+"&amp;MOD(TODAY()-$F69+280,7))</f>
        <v/>
      </c>
      <c r="I69" s="32">
        <f>IF(NOT(AND($A69&lt;&gt;"",OR($G69="",$G69="Active"))),"",IF(OR(IFERROR(LOOKUP(2,1/(ISNUMBER($M69:$U69)+($M69:$U69="DNA")),$M69:$U69),"")="DNA",AND(ISNUMBER(IFERROR(LOOKUP(2,1/(ISNUMBER($M69:$U69)+($M69:$U69="DNA")),$M69:$U69),"")),IFERROR(LOOKUP(2,1/(ISNUMBER($M69:$U69)+($M69:$U69="DNA")),$M69:$U69),"")&lt;TODAY())),1,0)+COUNTIF($V69:$Z69,"&lt;"&amp;TODAY()))</f>
        <v/>
      </c>
      <c r="J69" s="32">
        <f>IF(NOT(AND($A69&lt;&gt;"",OR($G69="",$G69="Active"))),"",COUNTIFS($M69:$U69,"&gt;="&amp;TODAY(),$M69:$U69,"&lt;="&amp;TODAY()+7)+COUNTIFS($V69:$Z69,"&gt;="&amp;TODAY(),$V69:$Z69,"&lt;="&amp;TODAY()+7))</f>
        <v/>
      </c>
      <c r="K69" s="32">
        <f>IF(NOT(AND($A69&lt;&gt;"",OR($G69="",$G69="Active"))),"",IF($L69&lt;&gt;"",IF($L69=$M69,"Booking",INDEX($N$4:$U$4,MATCH($L69,$N69:$U69,0))),IF(IFERROR(LOOKUP(2,1/(ISNUMBER($M69:$U69)+($M69:$U69="DNA")),$M69:$U69),"")="DNA","Rebook DNA",IF(ISNUMBER(IFERROR(LOOKUP(2,1/(ISNUMBER($M69:$U69)+($M69:$U69="DNA")),$M69:$U69),"")),IF(ISNUMBER($U69),"Update status","Missed/not booked?"),""))))</f>
        <v/>
      </c>
      <c r="L69" s="33">
        <f>IF(NOT(AND($A69&lt;&gt;"",OR($G69="",$G69="Active"))),"",IFERROR(SMALL($M69:$U69,COUNTIF($M69:$U69,"&lt;"&amp;TODAY())+1),""))</f>
        <v/>
      </c>
      <c r="M69" s="31" t="n"/>
      <c r="N69" s="31" t="n"/>
      <c r="O69" s="31" t="n"/>
      <c r="P69" s="31" t="n"/>
      <c r="Q69" s="31" t="n"/>
      <c r="R69" s="31" t="n"/>
      <c r="S69" s="31" t="n"/>
      <c r="T69" s="31" t="n"/>
      <c r="U69" s="31" t="n"/>
      <c r="V69" s="31" t="n"/>
      <c r="W69" s="31" t="n"/>
      <c r="X69" s="31" t="n"/>
      <c r="Y69" s="31" t="n"/>
      <c r="Z69" s="31" t="n"/>
      <c r="AA69" s="34" t="n"/>
      <c r="AB69" s="29" t="n"/>
      <c r="AC69" s="31" t="n"/>
    </row>
    <row r="70">
      <c r="A70" s="29" t="n"/>
      <c r="B70" s="30" t="n"/>
      <c r="C70" s="31" t="n"/>
      <c r="D70" s="29" t="n"/>
      <c r="E70" s="29" t="n"/>
      <c r="F70" s="31" t="n"/>
      <c r="G70" s="29" t="n"/>
      <c r="H70" s="32">
        <f>IF(OR(NOT(AND($A70&lt;&gt;"",OR($G70="",$G70="Active"))),$F70=""),"",INT((TODAY()-$F70+280)/7)&amp;"+"&amp;MOD(TODAY()-$F70+280,7))</f>
        <v/>
      </c>
      <c r="I70" s="32">
        <f>IF(NOT(AND($A70&lt;&gt;"",OR($G70="",$G70="Active"))),"",IF(OR(IFERROR(LOOKUP(2,1/(ISNUMBER($M70:$U70)+($M70:$U70="DNA")),$M70:$U70),"")="DNA",AND(ISNUMBER(IFERROR(LOOKUP(2,1/(ISNUMBER($M70:$U70)+($M70:$U70="DNA")),$M70:$U70),"")),IFERROR(LOOKUP(2,1/(ISNUMBER($M70:$U70)+($M70:$U70="DNA")),$M70:$U70),"")&lt;TODAY())),1,0)+COUNTIF($V70:$Z70,"&lt;"&amp;TODAY()))</f>
        <v/>
      </c>
      <c r="J70" s="32">
        <f>IF(NOT(AND($A70&lt;&gt;"",OR($G70="",$G70="Active"))),"",COUNTIFS($M70:$U70,"&gt;="&amp;TODAY(),$M70:$U70,"&lt;="&amp;TODAY()+7)+COUNTIFS($V70:$Z70,"&gt;="&amp;TODAY(),$V70:$Z70,"&lt;="&amp;TODAY()+7))</f>
        <v/>
      </c>
      <c r="K70" s="32">
        <f>IF(NOT(AND($A70&lt;&gt;"",OR($G70="",$G70="Active"))),"",IF($L70&lt;&gt;"",IF($L70=$M70,"Booking",INDEX($N$4:$U$4,MATCH($L70,$N70:$U70,0))),IF(IFERROR(LOOKUP(2,1/(ISNUMBER($M70:$U70)+($M70:$U70="DNA")),$M70:$U70),"")="DNA","Rebook DNA",IF(ISNUMBER(IFERROR(LOOKUP(2,1/(ISNUMBER($M70:$U70)+($M70:$U70="DNA")),$M70:$U70),"")),IF(ISNUMBER($U70),"Update status","Missed/not booked?"),""))))</f>
        <v/>
      </c>
      <c r="L70" s="33">
        <f>IF(NOT(AND($A70&lt;&gt;"",OR($G70="",$G70="Active"))),"",IFERROR(SMALL($M70:$U70,COUNTIF($M70:$U70,"&lt;"&amp;TODAY())+1),""))</f>
        <v/>
      </c>
      <c r="M70" s="31" t="n"/>
      <c r="N70" s="31" t="n"/>
      <c r="O70" s="31" t="n"/>
      <c r="P70" s="31" t="n"/>
      <c r="Q70" s="31" t="n"/>
      <c r="R70" s="31" t="n"/>
      <c r="S70" s="31" t="n"/>
      <c r="T70" s="31" t="n"/>
      <c r="U70" s="31" t="n"/>
      <c r="V70" s="31" t="n"/>
      <c r="W70" s="31" t="n"/>
      <c r="X70" s="31" t="n"/>
      <c r="Y70" s="31" t="n"/>
      <c r="Z70" s="31" t="n"/>
      <c r="AA70" s="34" t="n"/>
      <c r="AB70" s="29" t="n"/>
      <c r="AC70" s="31" t="n"/>
    </row>
    <row r="71">
      <c r="A71" s="29" t="n"/>
      <c r="B71" s="30" t="n"/>
      <c r="C71" s="31" t="n"/>
      <c r="D71" s="29" t="n"/>
      <c r="E71" s="29" t="n"/>
      <c r="F71" s="31" t="n"/>
      <c r="G71" s="29" t="n"/>
      <c r="H71" s="32">
        <f>IF(OR(NOT(AND($A71&lt;&gt;"",OR($G71="",$G71="Active"))),$F71=""),"",INT((TODAY()-$F71+280)/7)&amp;"+"&amp;MOD(TODAY()-$F71+280,7))</f>
        <v/>
      </c>
      <c r="I71" s="32">
        <f>IF(NOT(AND($A71&lt;&gt;"",OR($G71="",$G71="Active"))),"",IF(OR(IFERROR(LOOKUP(2,1/(ISNUMBER($M71:$U71)+($M71:$U71="DNA")),$M71:$U71),"")="DNA",AND(ISNUMBER(IFERROR(LOOKUP(2,1/(ISNUMBER($M71:$U71)+($M71:$U71="DNA")),$M71:$U71),"")),IFERROR(LOOKUP(2,1/(ISNUMBER($M71:$U71)+($M71:$U71="DNA")),$M71:$U71),"")&lt;TODAY())),1,0)+COUNTIF($V71:$Z71,"&lt;"&amp;TODAY()))</f>
        <v/>
      </c>
      <c r="J71" s="32">
        <f>IF(NOT(AND($A71&lt;&gt;"",OR($G71="",$G71="Active"))),"",COUNTIFS($M71:$U71,"&gt;="&amp;TODAY(),$M71:$U71,"&lt;="&amp;TODAY()+7)+COUNTIFS($V71:$Z71,"&gt;="&amp;TODAY(),$V71:$Z71,"&lt;="&amp;TODAY()+7))</f>
        <v/>
      </c>
      <c r="K71" s="32">
        <f>IF(NOT(AND($A71&lt;&gt;"",OR($G71="",$G71="Active"))),"",IF($L71&lt;&gt;"",IF($L71=$M71,"Booking",INDEX($N$4:$U$4,MATCH($L71,$N71:$U71,0))),IF(IFERROR(LOOKUP(2,1/(ISNUMBER($M71:$U71)+($M71:$U71="DNA")),$M71:$U71),"")="DNA","Rebook DNA",IF(ISNUMBER(IFERROR(LOOKUP(2,1/(ISNUMBER($M71:$U71)+($M71:$U71="DNA")),$M71:$U71),"")),IF(ISNUMBER($U71),"Update status","Missed/not booked?"),""))))</f>
        <v/>
      </c>
      <c r="L71" s="33">
        <f>IF(NOT(AND($A71&lt;&gt;"",OR($G71="",$G71="Active"))),"",IFERROR(SMALL($M71:$U71,COUNTIF($M71:$U71,"&lt;"&amp;TODAY())+1),""))</f>
        <v/>
      </c>
      <c r="M71" s="31" t="n"/>
      <c r="N71" s="31" t="n"/>
      <c r="O71" s="31" t="n"/>
      <c r="P71" s="31" t="n"/>
      <c r="Q71" s="31" t="n"/>
      <c r="R71" s="31" t="n"/>
      <c r="S71" s="31" t="n"/>
      <c r="T71" s="31" t="n"/>
      <c r="U71" s="31" t="n"/>
      <c r="V71" s="31" t="n"/>
      <c r="W71" s="31" t="n"/>
      <c r="X71" s="31" t="n"/>
      <c r="Y71" s="31" t="n"/>
      <c r="Z71" s="31" t="n"/>
      <c r="AA71" s="34" t="n"/>
      <c r="AB71" s="29" t="n"/>
      <c r="AC71" s="31" t="n"/>
    </row>
    <row r="72">
      <c r="A72" s="29" t="n"/>
      <c r="B72" s="30" t="n"/>
      <c r="C72" s="31" t="n"/>
      <c r="D72" s="29" t="n"/>
      <c r="E72" s="29" t="n"/>
      <c r="F72" s="31" t="n"/>
      <c r="G72" s="29" t="n"/>
      <c r="H72" s="32">
        <f>IF(OR(NOT(AND($A72&lt;&gt;"",OR($G72="",$G72="Active"))),$F72=""),"",INT((TODAY()-$F72+280)/7)&amp;"+"&amp;MOD(TODAY()-$F72+280,7))</f>
        <v/>
      </c>
      <c r="I72" s="32">
        <f>IF(NOT(AND($A72&lt;&gt;"",OR($G72="",$G72="Active"))),"",IF(OR(IFERROR(LOOKUP(2,1/(ISNUMBER($M72:$U72)+($M72:$U72="DNA")),$M72:$U72),"")="DNA",AND(ISNUMBER(IFERROR(LOOKUP(2,1/(ISNUMBER($M72:$U72)+($M72:$U72="DNA")),$M72:$U72),"")),IFERROR(LOOKUP(2,1/(ISNUMBER($M72:$U72)+($M72:$U72="DNA")),$M72:$U72),"")&lt;TODAY())),1,0)+COUNTIF($V72:$Z72,"&lt;"&amp;TODAY()))</f>
        <v/>
      </c>
      <c r="J72" s="32">
        <f>IF(NOT(AND($A72&lt;&gt;"",OR($G72="",$G72="Active"))),"",COUNTIFS($M72:$U72,"&gt;="&amp;TODAY(),$M72:$U72,"&lt;="&amp;TODAY()+7)+COUNTIFS($V72:$Z72,"&gt;="&amp;TODAY(),$V72:$Z72,"&lt;="&amp;TODAY()+7))</f>
        <v/>
      </c>
      <c r="K72" s="32">
        <f>IF(NOT(AND($A72&lt;&gt;"",OR($G72="",$G72="Active"))),"",IF($L72&lt;&gt;"",IF($L72=$M72,"Booking",INDEX($N$4:$U$4,MATCH($L72,$N72:$U72,0))),IF(IFERROR(LOOKUP(2,1/(ISNUMBER($M72:$U72)+($M72:$U72="DNA")),$M72:$U72),"")="DNA","Rebook DNA",IF(ISNUMBER(IFERROR(LOOKUP(2,1/(ISNUMBER($M72:$U72)+($M72:$U72="DNA")),$M72:$U72),"")),IF(ISNUMBER($U72),"Update status","Missed/not booked?"),""))))</f>
        <v/>
      </c>
      <c r="L72" s="33">
        <f>IF(NOT(AND($A72&lt;&gt;"",OR($G72="",$G72="Active"))),"",IFERROR(SMALL($M72:$U72,COUNTIF($M72:$U72,"&lt;"&amp;TODAY())+1),""))</f>
        <v/>
      </c>
      <c r="M72" s="31" t="n"/>
      <c r="N72" s="31" t="n"/>
      <c r="O72" s="31" t="n"/>
      <c r="P72" s="31" t="n"/>
      <c r="Q72" s="31" t="n"/>
      <c r="R72" s="31" t="n"/>
      <c r="S72" s="31" t="n"/>
      <c r="T72" s="31" t="n"/>
      <c r="U72" s="31" t="n"/>
      <c r="V72" s="31" t="n"/>
      <c r="W72" s="31" t="n"/>
      <c r="X72" s="31" t="n"/>
      <c r="Y72" s="31" t="n"/>
      <c r="Z72" s="31" t="n"/>
      <c r="AA72" s="34" t="n"/>
      <c r="AB72" s="29" t="n"/>
      <c r="AC72" s="31" t="n"/>
    </row>
    <row r="73">
      <c r="A73" s="29" t="n"/>
      <c r="B73" s="30" t="n"/>
      <c r="C73" s="31" t="n"/>
      <c r="D73" s="29" t="n"/>
      <c r="E73" s="29" t="n"/>
      <c r="F73" s="31" t="n"/>
      <c r="G73" s="29" t="n"/>
      <c r="H73" s="32">
        <f>IF(OR(NOT(AND($A73&lt;&gt;"",OR($G73="",$G73="Active"))),$F73=""),"",INT((TODAY()-$F73+280)/7)&amp;"+"&amp;MOD(TODAY()-$F73+280,7))</f>
        <v/>
      </c>
      <c r="I73" s="32">
        <f>IF(NOT(AND($A73&lt;&gt;"",OR($G73="",$G73="Active"))),"",IF(OR(IFERROR(LOOKUP(2,1/(ISNUMBER($M73:$U73)+($M73:$U73="DNA")),$M73:$U73),"")="DNA",AND(ISNUMBER(IFERROR(LOOKUP(2,1/(ISNUMBER($M73:$U73)+($M73:$U73="DNA")),$M73:$U73),"")),IFERROR(LOOKUP(2,1/(ISNUMBER($M73:$U73)+($M73:$U73="DNA")),$M73:$U73),"")&lt;TODAY())),1,0)+COUNTIF($V73:$Z73,"&lt;"&amp;TODAY()))</f>
        <v/>
      </c>
      <c r="J73" s="32">
        <f>IF(NOT(AND($A73&lt;&gt;"",OR($G73="",$G73="Active"))),"",COUNTIFS($M73:$U73,"&gt;="&amp;TODAY(),$M73:$U73,"&lt;="&amp;TODAY()+7)+COUNTIFS($V73:$Z73,"&gt;="&amp;TODAY(),$V73:$Z73,"&lt;="&amp;TODAY()+7))</f>
        <v/>
      </c>
      <c r="K73" s="32">
        <f>IF(NOT(AND($A73&lt;&gt;"",OR($G73="",$G73="Active"))),"",IF($L73&lt;&gt;"",IF($L73=$M73,"Booking",INDEX($N$4:$U$4,MATCH($L73,$N73:$U73,0))),IF(IFERROR(LOOKUP(2,1/(ISNUMBER($M73:$U73)+($M73:$U73="DNA")),$M73:$U73),"")="DNA","Rebook DNA",IF(ISNUMBER(IFERROR(LOOKUP(2,1/(ISNUMBER($M73:$U73)+($M73:$U73="DNA")),$M73:$U73),"")),IF(ISNUMBER($U73),"Update status","Missed/not booked?"),""))))</f>
        <v/>
      </c>
      <c r="L73" s="33">
        <f>IF(NOT(AND($A73&lt;&gt;"",OR($G73="",$G73="Active"))),"",IFERROR(SMALL($M73:$U73,COUNTIF($M73:$U73,"&lt;"&amp;TODAY())+1),""))</f>
        <v/>
      </c>
      <c r="M73" s="31" t="n"/>
      <c r="N73" s="31" t="n"/>
      <c r="O73" s="31" t="n"/>
      <c r="P73" s="31" t="n"/>
      <c r="Q73" s="31" t="n"/>
      <c r="R73" s="31" t="n"/>
      <c r="S73" s="31" t="n"/>
      <c r="T73" s="31" t="n"/>
      <c r="U73" s="31" t="n"/>
      <c r="V73" s="31" t="n"/>
      <c r="W73" s="31" t="n"/>
      <c r="X73" s="31" t="n"/>
      <c r="Y73" s="31" t="n"/>
      <c r="Z73" s="31" t="n"/>
      <c r="AA73" s="34" t="n"/>
      <c r="AB73" s="29" t="n"/>
      <c r="AC73" s="31" t="n"/>
    </row>
    <row r="74">
      <c r="A74" s="29" t="n"/>
      <c r="B74" s="30" t="n"/>
      <c r="C74" s="31" t="n"/>
      <c r="D74" s="29" t="n"/>
      <c r="E74" s="29" t="n"/>
      <c r="F74" s="31" t="n"/>
      <c r="G74" s="29" t="n"/>
      <c r="H74" s="32">
        <f>IF(OR(NOT(AND($A74&lt;&gt;"",OR($G74="",$G74="Active"))),$F74=""),"",INT((TODAY()-$F74+280)/7)&amp;"+"&amp;MOD(TODAY()-$F74+280,7))</f>
        <v/>
      </c>
      <c r="I74" s="32">
        <f>IF(NOT(AND($A74&lt;&gt;"",OR($G74="",$G74="Active"))),"",IF(OR(IFERROR(LOOKUP(2,1/(ISNUMBER($M74:$U74)+($M74:$U74="DNA")),$M74:$U74),"")="DNA",AND(ISNUMBER(IFERROR(LOOKUP(2,1/(ISNUMBER($M74:$U74)+($M74:$U74="DNA")),$M74:$U74),"")),IFERROR(LOOKUP(2,1/(ISNUMBER($M74:$U74)+($M74:$U74="DNA")),$M74:$U74),"")&lt;TODAY())),1,0)+COUNTIF($V74:$Z74,"&lt;"&amp;TODAY()))</f>
        <v/>
      </c>
      <c r="J74" s="32">
        <f>IF(NOT(AND($A74&lt;&gt;"",OR($G74="",$G74="Active"))),"",COUNTIFS($M74:$U74,"&gt;="&amp;TODAY(),$M74:$U74,"&lt;="&amp;TODAY()+7)+COUNTIFS($V74:$Z74,"&gt;="&amp;TODAY(),$V74:$Z74,"&lt;="&amp;TODAY()+7))</f>
        <v/>
      </c>
      <c r="K74" s="32">
        <f>IF(NOT(AND($A74&lt;&gt;"",OR($G74="",$G74="Active"))),"",IF($L74&lt;&gt;"",IF($L74=$M74,"Booking",INDEX($N$4:$U$4,MATCH($L74,$N74:$U74,0))),IF(IFERROR(LOOKUP(2,1/(ISNUMBER($M74:$U74)+($M74:$U74="DNA")),$M74:$U74),"")="DNA","Rebook DNA",IF(ISNUMBER(IFERROR(LOOKUP(2,1/(ISNUMBER($M74:$U74)+($M74:$U74="DNA")),$M74:$U74),"")),IF(ISNUMBER($U74),"Update status","Missed/not booked?"),""))))</f>
        <v/>
      </c>
      <c r="L74" s="33">
        <f>IF(NOT(AND($A74&lt;&gt;"",OR($G74="",$G74="Active"))),"",IFERROR(SMALL($M74:$U74,COUNTIF($M74:$U74,"&lt;"&amp;TODAY())+1),""))</f>
        <v/>
      </c>
      <c r="M74" s="31" t="n"/>
      <c r="N74" s="31" t="n"/>
      <c r="O74" s="31" t="n"/>
      <c r="P74" s="31" t="n"/>
      <c r="Q74" s="31" t="n"/>
      <c r="R74" s="31" t="n"/>
      <c r="S74" s="31" t="n"/>
      <c r="T74" s="31" t="n"/>
      <c r="U74" s="31" t="n"/>
      <c r="V74" s="31" t="n"/>
      <c r="W74" s="31" t="n"/>
      <c r="X74" s="31" t="n"/>
      <c r="Y74" s="31" t="n"/>
      <c r="Z74" s="31" t="n"/>
      <c r="AA74" s="34" t="n"/>
      <c r="AB74" s="29" t="n"/>
      <c r="AC74" s="31" t="n"/>
    </row>
    <row r="75">
      <c r="A75" s="29" t="n"/>
      <c r="B75" s="30" t="n"/>
      <c r="C75" s="31" t="n"/>
      <c r="D75" s="29" t="n"/>
      <c r="E75" s="29" t="n"/>
      <c r="F75" s="31" t="n"/>
      <c r="G75" s="29" t="n"/>
      <c r="H75" s="32">
        <f>IF(OR(NOT(AND($A75&lt;&gt;"",OR($G75="",$G75="Active"))),$F75=""),"",INT((TODAY()-$F75+280)/7)&amp;"+"&amp;MOD(TODAY()-$F75+280,7))</f>
        <v/>
      </c>
      <c r="I75" s="32">
        <f>IF(NOT(AND($A75&lt;&gt;"",OR($G75="",$G75="Active"))),"",IF(OR(IFERROR(LOOKUP(2,1/(ISNUMBER($M75:$U75)+($M75:$U75="DNA")),$M75:$U75),"")="DNA",AND(ISNUMBER(IFERROR(LOOKUP(2,1/(ISNUMBER($M75:$U75)+($M75:$U75="DNA")),$M75:$U75),"")),IFERROR(LOOKUP(2,1/(ISNUMBER($M75:$U75)+($M75:$U75="DNA")),$M75:$U75),"")&lt;TODAY())),1,0)+COUNTIF($V75:$Z75,"&lt;"&amp;TODAY()))</f>
        <v/>
      </c>
      <c r="J75" s="32">
        <f>IF(NOT(AND($A75&lt;&gt;"",OR($G75="",$G75="Active"))),"",COUNTIFS($M75:$U75,"&gt;="&amp;TODAY(),$M75:$U75,"&lt;="&amp;TODAY()+7)+COUNTIFS($V75:$Z75,"&gt;="&amp;TODAY(),$V75:$Z75,"&lt;="&amp;TODAY()+7))</f>
        <v/>
      </c>
      <c r="K75" s="32">
        <f>IF(NOT(AND($A75&lt;&gt;"",OR($G75="",$G75="Active"))),"",IF($L75&lt;&gt;"",IF($L75=$M75,"Booking",INDEX($N$4:$U$4,MATCH($L75,$N75:$U75,0))),IF(IFERROR(LOOKUP(2,1/(ISNUMBER($M75:$U75)+($M75:$U75="DNA")),$M75:$U75),"")="DNA","Rebook DNA",IF(ISNUMBER(IFERROR(LOOKUP(2,1/(ISNUMBER($M75:$U75)+($M75:$U75="DNA")),$M75:$U75),"")),IF(ISNUMBER($U75),"Update status","Missed/not booked?"),""))))</f>
        <v/>
      </c>
      <c r="L75" s="33">
        <f>IF(NOT(AND($A75&lt;&gt;"",OR($G75="",$G75="Active"))),"",IFERROR(SMALL($M75:$U75,COUNTIF($M75:$U75,"&lt;"&amp;TODAY())+1),""))</f>
        <v/>
      </c>
      <c r="M75" s="31" t="n"/>
      <c r="N75" s="31" t="n"/>
      <c r="O75" s="31" t="n"/>
      <c r="P75" s="31" t="n"/>
      <c r="Q75" s="31" t="n"/>
      <c r="R75" s="31" t="n"/>
      <c r="S75" s="31" t="n"/>
      <c r="T75" s="31" t="n"/>
      <c r="U75" s="31" t="n"/>
      <c r="V75" s="31" t="n"/>
      <c r="W75" s="31" t="n"/>
      <c r="X75" s="31" t="n"/>
      <c r="Y75" s="31" t="n"/>
      <c r="Z75" s="31" t="n"/>
      <c r="AA75" s="34" t="n"/>
      <c r="AB75" s="29" t="n"/>
      <c r="AC75" s="31" t="n"/>
    </row>
    <row r="76">
      <c r="A76" s="29" t="n"/>
      <c r="B76" s="30" t="n"/>
      <c r="C76" s="31" t="n"/>
      <c r="D76" s="29" t="n"/>
      <c r="E76" s="29" t="n"/>
      <c r="F76" s="31" t="n"/>
      <c r="G76" s="29" t="n"/>
      <c r="H76" s="32">
        <f>IF(OR(NOT(AND($A76&lt;&gt;"",OR($G76="",$G76="Active"))),$F76=""),"",INT((TODAY()-$F76+280)/7)&amp;"+"&amp;MOD(TODAY()-$F76+280,7))</f>
        <v/>
      </c>
      <c r="I76" s="32">
        <f>IF(NOT(AND($A76&lt;&gt;"",OR($G76="",$G76="Active"))),"",IF(OR(IFERROR(LOOKUP(2,1/(ISNUMBER($M76:$U76)+($M76:$U76="DNA")),$M76:$U76),"")="DNA",AND(ISNUMBER(IFERROR(LOOKUP(2,1/(ISNUMBER($M76:$U76)+($M76:$U76="DNA")),$M76:$U76),"")),IFERROR(LOOKUP(2,1/(ISNUMBER($M76:$U76)+($M76:$U76="DNA")),$M76:$U76),"")&lt;TODAY())),1,0)+COUNTIF($V76:$Z76,"&lt;"&amp;TODAY()))</f>
        <v/>
      </c>
      <c r="J76" s="32">
        <f>IF(NOT(AND($A76&lt;&gt;"",OR($G76="",$G76="Active"))),"",COUNTIFS($M76:$U76,"&gt;="&amp;TODAY(),$M76:$U76,"&lt;="&amp;TODAY()+7)+COUNTIFS($V76:$Z76,"&gt;="&amp;TODAY(),$V76:$Z76,"&lt;="&amp;TODAY()+7))</f>
        <v/>
      </c>
      <c r="K76" s="32">
        <f>IF(NOT(AND($A76&lt;&gt;"",OR($G76="",$G76="Active"))),"",IF($L76&lt;&gt;"",IF($L76=$M76,"Booking",INDEX($N$4:$U$4,MATCH($L76,$N76:$U76,0))),IF(IFERROR(LOOKUP(2,1/(ISNUMBER($M76:$U76)+($M76:$U76="DNA")),$M76:$U76),"")="DNA","Rebook DNA",IF(ISNUMBER(IFERROR(LOOKUP(2,1/(ISNUMBER($M76:$U76)+($M76:$U76="DNA")),$M76:$U76),"")),IF(ISNUMBER($U76),"Update status","Missed/not booked?"),""))))</f>
        <v/>
      </c>
      <c r="L76" s="33">
        <f>IF(NOT(AND($A76&lt;&gt;"",OR($G76="",$G76="Active"))),"",IFERROR(SMALL($M76:$U76,COUNTIF($M76:$U76,"&lt;"&amp;TODAY())+1),""))</f>
        <v/>
      </c>
      <c r="M76" s="31" t="n"/>
      <c r="N76" s="31" t="n"/>
      <c r="O76" s="31" t="n"/>
      <c r="P76" s="31" t="n"/>
      <c r="Q76" s="31" t="n"/>
      <c r="R76" s="31" t="n"/>
      <c r="S76" s="31" t="n"/>
      <c r="T76" s="31" t="n"/>
      <c r="U76" s="31" t="n"/>
      <c r="V76" s="31" t="n"/>
      <c r="W76" s="31" t="n"/>
      <c r="X76" s="31" t="n"/>
      <c r="Y76" s="31" t="n"/>
      <c r="Z76" s="31" t="n"/>
      <c r="AA76" s="34" t="n"/>
      <c r="AB76" s="29" t="n"/>
      <c r="AC76" s="31" t="n"/>
    </row>
    <row r="77">
      <c r="A77" s="29" t="n"/>
      <c r="B77" s="30" t="n"/>
      <c r="C77" s="31" t="n"/>
      <c r="D77" s="29" t="n"/>
      <c r="E77" s="29" t="n"/>
      <c r="F77" s="31" t="n"/>
      <c r="G77" s="29" t="n"/>
      <c r="H77" s="32">
        <f>IF(OR(NOT(AND($A77&lt;&gt;"",OR($G77="",$G77="Active"))),$F77=""),"",INT((TODAY()-$F77+280)/7)&amp;"+"&amp;MOD(TODAY()-$F77+280,7))</f>
        <v/>
      </c>
      <c r="I77" s="32">
        <f>IF(NOT(AND($A77&lt;&gt;"",OR($G77="",$G77="Active"))),"",IF(OR(IFERROR(LOOKUP(2,1/(ISNUMBER($M77:$U77)+($M77:$U77="DNA")),$M77:$U77),"")="DNA",AND(ISNUMBER(IFERROR(LOOKUP(2,1/(ISNUMBER($M77:$U77)+($M77:$U77="DNA")),$M77:$U77),"")),IFERROR(LOOKUP(2,1/(ISNUMBER($M77:$U77)+($M77:$U77="DNA")),$M77:$U77),"")&lt;TODAY())),1,0)+COUNTIF($V77:$Z77,"&lt;"&amp;TODAY()))</f>
        <v/>
      </c>
      <c r="J77" s="32">
        <f>IF(NOT(AND($A77&lt;&gt;"",OR($G77="",$G77="Active"))),"",COUNTIFS($M77:$U77,"&gt;="&amp;TODAY(),$M77:$U77,"&lt;="&amp;TODAY()+7)+COUNTIFS($V77:$Z77,"&gt;="&amp;TODAY(),$V77:$Z77,"&lt;="&amp;TODAY()+7))</f>
        <v/>
      </c>
      <c r="K77" s="32">
        <f>IF(NOT(AND($A77&lt;&gt;"",OR($G77="",$G77="Active"))),"",IF($L77&lt;&gt;"",IF($L77=$M77,"Booking",INDEX($N$4:$U$4,MATCH($L77,$N77:$U77,0))),IF(IFERROR(LOOKUP(2,1/(ISNUMBER($M77:$U77)+($M77:$U77="DNA")),$M77:$U77),"")="DNA","Rebook DNA",IF(ISNUMBER(IFERROR(LOOKUP(2,1/(ISNUMBER($M77:$U77)+($M77:$U77="DNA")),$M77:$U77),"")),IF(ISNUMBER($U77),"Update status","Missed/not booked?"),""))))</f>
        <v/>
      </c>
      <c r="L77" s="33">
        <f>IF(NOT(AND($A77&lt;&gt;"",OR($G77="",$G77="Active"))),"",IFERROR(SMALL($M77:$U77,COUNTIF($M77:$U77,"&lt;"&amp;TODAY())+1),""))</f>
        <v/>
      </c>
      <c r="M77" s="31" t="n"/>
      <c r="N77" s="31" t="n"/>
      <c r="O77" s="31" t="n"/>
      <c r="P77" s="31" t="n"/>
      <c r="Q77" s="31" t="n"/>
      <c r="R77" s="31" t="n"/>
      <c r="S77" s="31" t="n"/>
      <c r="T77" s="31" t="n"/>
      <c r="U77" s="31" t="n"/>
      <c r="V77" s="31" t="n"/>
      <c r="W77" s="31" t="n"/>
      <c r="X77" s="31" t="n"/>
      <c r="Y77" s="31" t="n"/>
      <c r="Z77" s="31" t="n"/>
      <c r="AA77" s="34" t="n"/>
      <c r="AB77" s="29" t="n"/>
      <c r="AC77" s="31" t="n"/>
    </row>
    <row r="78">
      <c r="A78" s="29" t="n"/>
      <c r="B78" s="30" t="n"/>
      <c r="C78" s="31" t="n"/>
      <c r="D78" s="29" t="n"/>
      <c r="E78" s="29" t="n"/>
      <c r="F78" s="31" t="n"/>
      <c r="G78" s="29" t="n"/>
      <c r="H78" s="32">
        <f>IF(OR(NOT(AND($A78&lt;&gt;"",OR($G78="",$G78="Active"))),$F78=""),"",INT((TODAY()-$F78+280)/7)&amp;"+"&amp;MOD(TODAY()-$F78+280,7))</f>
        <v/>
      </c>
      <c r="I78" s="32">
        <f>IF(NOT(AND($A78&lt;&gt;"",OR($G78="",$G78="Active"))),"",IF(OR(IFERROR(LOOKUP(2,1/(ISNUMBER($M78:$U78)+($M78:$U78="DNA")),$M78:$U78),"")="DNA",AND(ISNUMBER(IFERROR(LOOKUP(2,1/(ISNUMBER($M78:$U78)+($M78:$U78="DNA")),$M78:$U78),"")),IFERROR(LOOKUP(2,1/(ISNUMBER($M78:$U78)+($M78:$U78="DNA")),$M78:$U78),"")&lt;TODAY())),1,0)+COUNTIF($V78:$Z78,"&lt;"&amp;TODAY()))</f>
        <v/>
      </c>
      <c r="J78" s="32">
        <f>IF(NOT(AND($A78&lt;&gt;"",OR($G78="",$G78="Active"))),"",COUNTIFS($M78:$U78,"&gt;="&amp;TODAY(),$M78:$U78,"&lt;="&amp;TODAY()+7)+COUNTIFS($V78:$Z78,"&gt;="&amp;TODAY(),$V78:$Z78,"&lt;="&amp;TODAY()+7))</f>
        <v/>
      </c>
      <c r="K78" s="32">
        <f>IF(NOT(AND($A78&lt;&gt;"",OR($G78="",$G78="Active"))),"",IF($L78&lt;&gt;"",IF($L78=$M78,"Booking",INDEX($N$4:$U$4,MATCH($L78,$N78:$U78,0))),IF(IFERROR(LOOKUP(2,1/(ISNUMBER($M78:$U78)+($M78:$U78="DNA")),$M78:$U78),"")="DNA","Rebook DNA",IF(ISNUMBER(IFERROR(LOOKUP(2,1/(ISNUMBER($M78:$U78)+($M78:$U78="DNA")),$M78:$U78),"")),IF(ISNUMBER($U78),"Update status","Missed/not booked?"),""))))</f>
        <v/>
      </c>
      <c r="L78" s="33">
        <f>IF(NOT(AND($A78&lt;&gt;"",OR($G78="",$G78="Active"))),"",IFERROR(SMALL($M78:$U78,COUNTIF($M78:$U78,"&lt;"&amp;TODAY())+1),""))</f>
        <v/>
      </c>
      <c r="M78" s="31" t="n"/>
      <c r="N78" s="31" t="n"/>
      <c r="O78" s="31" t="n"/>
      <c r="P78" s="31" t="n"/>
      <c r="Q78" s="31" t="n"/>
      <c r="R78" s="31" t="n"/>
      <c r="S78" s="31" t="n"/>
      <c r="T78" s="31" t="n"/>
      <c r="U78" s="31" t="n"/>
      <c r="V78" s="31" t="n"/>
      <c r="W78" s="31" t="n"/>
      <c r="X78" s="31" t="n"/>
      <c r="Y78" s="31" t="n"/>
      <c r="Z78" s="31" t="n"/>
      <c r="AA78" s="34" t="n"/>
      <c r="AB78" s="29" t="n"/>
      <c r="AC78" s="31" t="n"/>
    </row>
    <row r="79">
      <c r="A79" s="29" t="n"/>
      <c r="B79" s="30" t="n"/>
      <c r="C79" s="31" t="n"/>
      <c r="D79" s="29" t="n"/>
      <c r="E79" s="29" t="n"/>
      <c r="F79" s="31" t="n"/>
      <c r="G79" s="29" t="n"/>
      <c r="H79" s="32">
        <f>IF(OR(NOT(AND($A79&lt;&gt;"",OR($G79="",$G79="Active"))),$F79=""),"",INT((TODAY()-$F79+280)/7)&amp;"+"&amp;MOD(TODAY()-$F79+280,7))</f>
        <v/>
      </c>
      <c r="I79" s="32">
        <f>IF(NOT(AND($A79&lt;&gt;"",OR($G79="",$G79="Active"))),"",IF(OR(IFERROR(LOOKUP(2,1/(ISNUMBER($M79:$U79)+($M79:$U79="DNA")),$M79:$U79),"")="DNA",AND(ISNUMBER(IFERROR(LOOKUP(2,1/(ISNUMBER($M79:$U79)+($M79:$U79="DNA")),$M79:$U79),"")),IFERROR(LOOKUP(2,1/(ISNUMBER($M79:$U79)+($M79:$U79="DNA")),$M79:$U79),"")&lt;TODAY())),1,0)+COUNTIF($V79:$Z79,"&lt;"&amp;TODAY()))</f>
        <v/>
      </c>
      <c r="J79" s="32">
        <f>IF(NOT(AND($A79&lt;&gt;"",OR($G79="",$G79="Active"))),"",COUNTIFS($M79:$U79,"&gt;="&amp;TODAY(),$M79:$U79,"&lt;="&amp;TODAY()+7)+COUNTIFS($V79:$Z79,"&gt;="&amp;TODAY(),$V79:$Z79,"&lt;="&amp;TODAY()+7))</f>
        <v/>
      </c>
      <c r="K79" s="32">
        <f>IF(NOT(AND($A79&lt;&gt;"",OR($G79="",$G79="Active"))),"",IF($L79&lt;&gt;"",IF($L79=$M79,"Booking",INDEX($N$4:$U$4,MATCH($L79,$N79:$U79,0))),IF(IFERROR(LOOKUP(2,1/(ISNUMBER($M79:$U79)+($M79:$U79="DNA")),$M79:$U79),"")="DNA","Rebook DNA",IF(ISNUMBER(IFERROR(LOOKUP(2,1/(ISNUMBER($M79:$U79)+($M79:$U79="DNA")),$M79:$U79),"")),IF(ISNUMBER($U79),"Update status","Missed/not booked?"),""))))</f>
        <v/>
      </c>
      <c r="L79" s="33">
        <f>IF(NOT(AND($A79&lt;&gt;"",OR($G79="",$G79="Active"))),"",IFERROR(SMALL($M79:$U79,COUNTIF($M79:$U79,"&lt;"&amp;TODAY())+1),""))</f>
        <v/>
      </c>
      <c r="M79" s="31" t="n"/>
      <c r="N79" s="31" t="n"/>
      <c r="O79" s="31" t="n"/>
      <c r="P79" s="31" t="n"/>
      <c r="Q79" s="31" t="n"/>
      <c r="R79" s="31" t="n"/>
      <c r="S79" s="31" t="n"/>
      <c r="T79" s="31" t="n"/>
      <c r="U79" s="31" t="n"/>
      <c r="V79" s="31" t="n"/>
      <c r="W79" s="31" t="n"/>
      <c r="X79" s="31" t="n"/>
      <c r="Y79" s="31" t="n"/>
      <c r="Z79" s="31" t="n"/>
      <c r="AA79" s="34" t="n"/>
      <c r="AB79" s="29" t="n"/>
      <c r="AC79" s="31" t="n"/>
    </row>
    <row r="80">
      <c r="A80" s="29" t="n"/>
      <c r="B80" s="30" t="n"/>
      <c r="C80" s="31" t="n"/>
      <c r="D80" s="29" t="n"/>
      <c r="E80" s="29" t="n"/>
      <c r="F80" s="31" t="n"/>
      <c r="G80" s="29" t="n"/>
      <c r="H80" s="32">
        <f>IF(OR(NOT(AND($A80&lt;&gt;"",OR($G80="",$G80="Active"))),$F80=""),"",INT((TODAY()-$F80+280)/7)&amp;"+"&amp;MOD(TODAY()-$F80+280,7))</f>
        <v/>
      </c>
      <c r="I80" s="32">
        <f>IF(NOT(AND($A80&lt;&gt;"",OR($G80="",$G80="Active"))),"",IF(OR(IFERROR(LOOKUP(2,1/(ISNUMBER($M80:$U80)+($M80:$U80="DNA")),$M80:$U80),"")="DNA",AND(ISNUMBER(IFERROR(LOOKUP(2,1/(ISNUMBER($M80:$U80)+($M80:$U80="DNA")),$M80:$U80),"")),IFERROR(LOOKUP(2,1/(ISNUMBER($M80:$U80)+($M80:$U80="DNA")),$M80:$U80),"")&lt;TODAY())),1,0)+COUNTIF($V80:$Z80,"&lt;"&amp;TODAY()))</f>
        <v/>
      </c>
      <c r="J80" s="32">
        <f>IF(NOT(AND($A80&lt;&gt;"",OR($G80="",$G80="Active"))),"",COUNTIFS($M80:$U80,"&gt;="&amp;TODAY(),$M80:$U80,"&lt;="&amp;TODAY()+7)+COUNTIFS($V80:$Z80,"&gt;="&amp;TODAY(),$V80:$Z80,"&lt;="&amp;TODAY()+7))</f>
        <v/>
      </c>
      <c r="K80" s="32">
        <f>IF(NOT(AND($A80&lt;&gt;"",OR($G80="",$G80="Active"))),"",IF($L80&lt;&gt;"",IF($L80=$M80,"Booking",INDEX($N$4:$U$4,MATCH($L80,$N80:$U80,0))),IF(IFERROR(LOOKUP(2,1/(ISNUMBER($M80:$U80)+($M80:$U80="DNA")),$M80:$U80),"")="DNA","Rebook DNA",IF(ISNUMBER(IFERROR(LOOKUP(2,1/(ISNUMBER($M80:$U80)+($M80:$U80="DNA")),$M80:$U80),"")),IF(ISNUMBER($U80),"Update status","Missed/not booked?"),""))))</f>
        <v/>
      </c>
      <c r="L80" s="33">
        <f>IF(NOT(AND($A80&lt;&gt;"",OR($G80="",$G80="Active"))),"",IFERROR(SMALL($M80:$U80,COUNTIF($M80:$U80,"&lt;"&amp;TODAY())+1),""))</f>
        <v/>
      </c>
      <c r="M80" s="31" t="n"/>
      <c r="N80" s="31" t="n"/>
      <c r="O80" s="31" t="n"/>
      <c r="P80" s="31" t="n"/>
      <c r="Q80" s="31" t="n"/>
      <c r="R80" s="31" t="n"/>
      <c r="S80" s="31" t="n"/>
      <c r="T80" s="31" t="n"/>
      <c r="U80" s="31" t="n"/>
      <c r="V80" s="31" t="n"/>
      <c r="W80" s="31" t="n"/>
      <c r="X80" s="31" t="n"/>
      <c r="Y80" s="31" t="n"/>
      <c r="Z80" s="31" t="n"/>
      <c r="AA80" s="34" t="n"/>
      <c r="AB80" s="29" t="n"/>
      <c r="AC80" s="31" t="n"/>
    </row>
    <row r="81">
      <c r="A81" s="29" t="n"/>
      <c r="B81" s="30" t="n"/>
      <c r="C81" s="31" t="n"/>
      <c r="D81" s="29" t="n"/>
      <c r="E81" s="29" t="n"/>
      <c r="F81" s="31" t="n"/>
      <c r="G81" s="29" t="n"/>
      <c r="H81" s="32">
        <f>IF(OR(NOT(AND($A81&lt;&gt;"",OR($G81="",$G81="Active"))),$F81=""),"",INT((TODAY()-$F81+280)/7)&amp;"+"&amp;MOD(TODAY()-$F81+280,7))</f>
        <v/>
      </c>
      <c r="I81" s="32">
        <f>IF(NOT(AND($A81&lt;&gt;"",OR($G81="",$G81="Active"))),"",IF(OR(IFERROR(LOOKUP(2,1/(ISNUMBER($M81:$U81)+($M81:$U81="DNA")),$M81:$U81),"")="DNA",AND(ISNUMBER(IFERROR(LOOKUP(2,1/(ISNUMBER($M81:$U81)+($M81:$U81="DNA")),$M81:$U81),"")),IFERROR(LOOKUP(2,1/(ISNUMBER($M81:$U81)+($M81:$U81="DNA")),$M81:$U81),"")&lt;TODAY())),1,0)+COUNTIF($V81:$Z81,"&lt;"&amp;TODAY()))</f>
        <v/>
      </c>
      <c r="J81" s="32">
        <f>IF(NOT(AND($A81&lt;&gt;"",OR($G81="",$G81="Active"))),"",COUNTIFS($M81:$U81,"&gt;="&amp;TODAY(),$M81:$U81,"&lt;="&amp;TODAY()+7)+COUNTIFS($V81:$Z81,"&gt;="&amp;TODAY(),$V81:$Z81,"&lt;="&amp;TODAY()+7))</f>
        <v/>
      </c>
      <c r="K81" s="32">
        <f>IF(NOT(AND($A81&lt;&gt;"",OR($G81="",$G81="Active"))),"",IF($L81&lt;&gt;"",IF($L81=$M81,"Booking",INDEX($N$4:$U$4,MATCH($L81,$N81:$U81,0))),IF(IFERROR(LOOKUP(2,1/(ISNUMBER($M81:$U81)+($M81:$U81="DNA")),$M81:$U81),"")="DNA","Rebook DNA",IF(ISNUMBER(IFERROR(LOOKUP(2,1/(ISNUMBER($M81:$U81)+($M81:$U81="DNA")),$M81:$U81),"")),IF(ISNUMBER($U81),"Update status","Missed/not booked?"),""))))</f>
        <v/>
      </c>
      <c r="L81" s="33">
        <f>IF(NOT(AND($A81&lt;&gt;"",OR($G81="",$G81="Active"))),"",IFERROR(SMALL($M81:$U81,COUNTIF($M81:$U81,"&lt;"&amp;TODAY())+1),""))</f>
        <v/>
      </c>
      <c r="M81" s="31" t="n"/>
      <c r="N81" s="31" t="n"/>
      <c r="O81" s="31" t="n"/>
      <c r="P81" s="31" t="n"/>
      <c r="Q81" s="31" t="n"/>
      <c r="R81" s="31" t="n"/>
      <c r="S81" s="31" t="n"/>
      <c r="T81" s="31" t="n"/>
      <c r="U81" s="31" t="n"/>
      <c r="V81" s="31" t="n"/>
      <c r="W81" s="31" t="n"/>
      <c r="X81" s="31" t="n"/>
      <c r="Y81" s="31" t="n"/>
      <c r="Z81" s="31" t="n"/>
      <c r="AA81" s="34" t="n"/>
      <c r="AB81" s="29" t="n"/>
      <c r="AC81" s="31" t="n"/>
    </row>
    <row r="82">
      <c r="A82" s="29" t="n"/>
      <c r="B82" s="30" t="n"/>
      <c r="C82" s="31" t="n"/>
      <c r="D82" s="29" t="n"/>
      <c r="E82" s="29" t="n"/>
      <c r="F82" s="31" t="n"/>
      <c r="G82" s="29" t="n"/>
      <c r="H82" s="32">
        <f>IF(OR(NOT(AND($A82&lt;&gt;"",OR($G82="",$G82="Active"))),$F82=""),"",INT((TODAY()-$F82+280)/7)&amp;"+"&amp;MOD(TODAY()-$F82+280,7))</f>
        <v/>
      </c>
      <c r="I82" s="32">
        <f>IF(NOT(AND($A82&lt;&gt;"",OR($G82="",$G82="Active"))),"",IF(OR(IFERROR(LOOKUP(2,1/(ISNUMBER($M82:$U82)+($M82:$U82="DNA")),$M82:$U82),"")="DNA",AND(ISNUMBER(IFERROR(LOOKUP(2,1/(ISNUMBER($M82:$U82)+($M82:$U82="DNA")),$M82:$U82),"")),IFERROR(LOOKUP(2,1/(ISNUMBER($M82:$U82)+($M82:$U82="DNA")),$M82:$U82),"")&lt;TODAY())),1,0)+COUNTIF($V82:$Z82,"&lt;"&amp;TODAY()))</f>
        <v/>
      </c>
      <c r="J82" s="32">
        <f>IF(NOT(AND($A82&lt;&gt;"",OR($G82="",$G82="Active"))),"",COUNTIFS($M82:$U82,"&gt;="&amp;TODAY(),$M82:$U82,"&lt;="&amp;TODAY()+7)+COUNTIFS($V82:$Z82,"&gt;="&amp;TODAY(),$V82:$Z82,"&lt;="&amp;TODAY()+7))</f>
        <v/>
      </c>
      <c r="K82" s="32">
        <f>IF(NOT(AND($A82&lt;&gt;"",OR($G82="",$G82="Active"))),"",IF($L82&lt;&gt;"",IF($L82=$M82,"Booking",INDEX($N$4:$U$4,MATCH($L82,$N82:$U82,0))),IF(IFERROR(LOOKUP(2,1/(ISNUMBER($M82:$U82)+($M82:$U82="DNA")),$M82:$U82),"")="DNA","Rebook DNA",IF(ISNUMBER(IFERROR(LOOKUP(2,1/(ISNUMBER($M82:$U82)+($M82:$U82="DNA")),$M82:$U82),"")),IF(ISNUMBER($U82),"Update status","Missed/not booked?"),""))))</f>
        <v/>
      </c>
      <c r="L82" s="33">
        <f>IF(NOT(AND($A82&lt;&gt;"",OR($G82="",$G82="Active"))),"",IFERROR(SMALL($M82:$U82,COUNTIF($M82:$U82,"&lt;"&amp;TODAY())+1),""))</f>
        <v/>
      </c>
      <c r="M82" s="31" t="n"/>
      <c r="N82" s="31" t="n"/>
      <c r="O82" s="31" t="n"/>
      <c r="P82" s="31" t="n"/>
      <c r="Q82" s="31" t="n"/>
      <c r="R82" s="31" t="n"/>
      <c r="S82" s="31" t="n"/>
      <c r="T82" s="31" t="n"/>
      <c r="U82" s="31" t="n"/>
      <c r="V82" s="31" t="n"/>
      <c r="W82" s="31" t="n"/>
      <c r="X82" s="31" t="n"/>
      <c r="Y82" s="31" t="n"/>
      <c r="Z82" s="31" t="n"/>
      <c r="AA82" s="34" t="n"/>
      <c r="AB82" s="29" t="n"/>
      <c r="AC82" s="31" t="n"/>
    </row>
    <row r="83">
      <c r="A83" s="29" t="n"/>
      <c r="B83" s="30" t="n"/>
      <c r="C83" s="31" t="n"/>
      <c r="D83" s="29" t="n"/>
      <c r="E83" s="29" t="n"/>
      <c r="F83" s="31" t="n"/>
      <c r="G83" s="29" t="n"/>
      <c r="H83" s="32">
        <f>IF(OR(NOT(AND($A83&lt;&gt;"",OR($G83="",$G83="Active"))),$F83=""),"",INT((TODAY()-$F83+280)/7)&amp;"+"&amp;MOD(TODAY()-$F83+280,7))</f>
        <v/>
      </c>
      <c r="I83" s="32">
        <f>IF(NOT(AND($A83&lt;&gt;"",OR($G83="",$G83="Active"))),"",IF(OR(IFERROR(LOOKUP(2,1/(ISNUMBER($M83:$U83)+($M83:$U83="DNA")),$M83:$U83),"")="DNA",AND(ISNUMBER(IFERROR(LOOKUP(2,1/(ISNUMBER($M83:$U83)+($M83:$U83="DNA")),$M83:$U83),"")),IFERROR(LOOKUP(2,1/(ISNUMBER($M83:$U83)+($M83:$U83="DNA")),$M83:$U83),"")&lt;TODAY())),1,0)+COUNTIF($V83:$Z83,"&lt;"&amp;TODAY()))</f>
        <v/>
      </c>
      <c r="J83" s="32">
        <f>IF(NOT(AND($A83&lt;&gt;"",OR($G83="",$G83="Active"))),"",COUNTIFS($M83:$U83,"&gt;="&amp;TODAY(),$M83:$U83,"&lt;="&amp;TODAY()+7)+COUNTIFS($V83:$Z83,"&gt;="&amp;TODAY(),$V83:$Z83,"&lt;="&amp;TODAY()+7))</f>
        <v/>
      </c>
      <c r="K83" s="32">
        <f>IF(NOT(AND($A83&lt;&gt;"",OR($G83="",$G83="Active"))),"",IF($L83&lt;&gt;"",IF($L83=$M83,"Booking",INDEX($N$4:$U$4,MATCH($L83,$N83:$U83,0))),IF(IFERROR(LOOKUP(2,1/(ISNUMBER($M83:$U83)+($M83:$U83="DNA")),$M83:$U83),"")="DNA","Rebook DNA",IF(ISNUMBER(IFERROR(LOOKUP(2,1/(ISNUMBER($M83:$U83)+($M83:$U83="DNA")),$M83:$U83),"")),IF(ISNUMBER($U83),"Update status","Missed/not booked?"),""))))</f>
        <v/>
      </c>
      <c r="L83" s="33">
        <f>IF(NOT(AND($A83&lt;&gt;"",OR($G83="",$G83="Active"))),"",IFERROR(SMALL($M83:$U83,COUNTIF($M83:$U83,"&lt;"&amp;TODAY())+1),""))</f>
        <v/>
      </c>
      <c r="M83" s="31" t="n"/>
      <c r="N83" s="31" t="n"/>
      <c r="O83" s="31" t="n"/>
      <c r="P83" s="31" t="n"/>
      <c r="Q83" s="31" t="n"/>
      <c r="R83" s="31" t="n"/>
      <c r="S83" s="31" t="n"/>
      <c r="T83" s="31" t="n"/>
      <c r="U83" s="31" t="n"/>
      <c r="V83" s="31" t="n"/>
      <c r="W83" s="31" t="n"/>
      <c r="X83" s="31" t="n"/>
      <c r="Y83" s="31" t="n"/>
      <c r="Z83" s="31" t="n"/>
      <c r="AA83" s="34" t="n"/>
      <c r="AB83" s="29" t="n"/>
      <c r="AC83" s="31" t="n"/>
    </row>
    <row r="84">
      <c r="A84" s="29" t="n"/>
      <c r="B84" s="30" t="n"/>
      <c r="C84" s="31" t="n"/>
      <c r="D84" s="29" t="n"/>
      <c r="E84" s="29" t="n"/>
      <c r="F84" s="31" t="n"/>
      <c r="G84" s="29" t="n"/>
      <c r="H84" s="32">
        <f>IF(OR(NOT(AND($A84&lt;&gt;"",OR($G84="",$G84="Active"))),$F84=""),"",INT((TODAY()-$F84+280)/7)&amp;"+"&amp;MOD(TODAY()-$F84+280,7))</f>
        <v/>
      </c>
      <c r="I84" s="32">
        <f>IF(NOT(AND($A84&lt;&gt;"",OR($G84="",$G84="Active"))),"",IF(OR(IFERROR(LOOKUP(2,1/(ISNUMBER($M84:$U84)+($M84:$U84="DNA")),$M84:$U84),"")="DNA",AND(ISNUMBER(IFERROR(LOOKUP(2,1/(ISNUMBER($M84:$U84)+($M84:$U84="DNA")),$M84:$U84),"")),IFERROR(LOOKUP(2,1/(ISNUMBER($M84:$U84)+($M84:$U84="DNA")),$M84:$U84),"")&lt;TODAY())),1,0)+COUNTIF($V84:$Z84,"&lt;"&amp;TODAY()))</f>
        <v/>
      </c>
      <c r="J84" s="32">
        <f>IF(NOT(AND($A84&lt;&gt;"",OR($G84="",$G84="Active"))),"",COUNTIFS($M84:$U84,"&gt;="&amp;TODAY(),$M84:$U84,"&lt;="&amp;TODAY()+7)+COUNTIFS($V84:$Z84,"&gt;="&amp;TODAY(),$V84:$Z84,"&lt;="&amp;TODAY()+7))</f>
        <v/>
      </c>
      <c r="K84" s="32">
        <f>IF(NOT(AND($A84&lt;&gt;"",OR($G84="",$G84="Active"))),"",IF($L84&lt;&gt;"",IF($L84=$M84,"Booking",INDEX($N$4:$U$4,MATCH($L84,$N84:$U84,0))),IF(IFERROR(LOOKUP(2,1/(ISNUMBER($M84:$U84)+($M84:$U84="DNA")),$M84:$U84),"")="DNA","Rebook DNA",IF(ISNUMBER(IFERROR(LOOKUP(2,1/(ISNUMBER($M84:$U84)+($M84:$U84="DNA")),$M84:$U84),"")),IF(ISNUMBER($U84),"Update status","Missed/not booked?"),""))))</f>
        <v/>
      </c>
      <c r="L84" s="33">
        <f>IF(NOT(AND($A84&lt;&gt;"",OR($G84="",$G84="Active"))),"",IFERROR(SMALL($M84:$U84,COUNTIF($M84:$U84,"&lt;"&amp;TODAY())+1),""))</f>
        <v/>
      </c>
      <c r="M84" s="31" t="n"/>
      <c r="N84" s="31" t="n"/>
      <c r="O84" s="31" t="n"/>
      <c r="P84" s="31" t="n"/>
      <c r="Q84" s="31" t="n"/>
      <c r="R84" s="31" t="n"/>
      <c r="S84" s="31" t="n"/>
      <c r="T84" s="31" t="n"/>
      <c r="U84" s="31" t="n"/>
      <c r="V84" s="31" t="n"/>
      <c r="W84" s="31" t="n"/>
      <c r="X84" s="31" t="n"/>
      <c r="Y84" s="31" t="n"/>
      <c r="Z84" s="31" t="n"/>
      <c r="AA84" s="34" t="n"/>
      <c r="AB84" s="29" t="n"/>
      <c r="AC84" s="31" t="n"/>
    </row>
    <row r="85">
      <c r="A85" s="29" t="n"/>
      <c r="B85" s="30" t="n"/>
      <c r="C85" s="31" t="n"/>
      <c r="D85" s="29" t="n"/>
      <c r="E85" s="29" t="n"/>
      <c r="F85" s="31" t="n"/>
      <c r="G85" s="29" t="n"/>
      <c r="H85" s="32">
        <f>IF(OR(NOT(AND($A85&lt;&gt;"",OR($G85="",$G85="Active"))),$F85=""),"",INT((TODAY()-$F85+280)/7)&amp;"+"&amp;MOD(TODAY()-$F85+280,7))</f>
        <v/>
      </c>
      <c r="I85" s="32">
        <f>IF(NOT(AND($A85&lt;&gt;"",OR($G85="",$G85="Active"))),"",IF(OR(IFERROR(LOOKUP(2,1/(ISNUMBER($M85:$U85)+($M85:$U85="DNA")),$M85:$U85),"")="DNA",AND(ISNUMBER(IFERROR(LOOKUP(2,1/(ISNUMBER($M85:$U85)+($M85:$U85="DNA")),$M85:$U85),"")),IFERROR(LOOKUP(2,1/(ISNUMBER($M85:$U85)+($M85:$U85="DNA")),$M85:$U85),"")&lt;TODAY())),1,0)+COUNTIF($V85:$Z85,"&lt;"&amp;TODAY()))</f>
        <v/>
      </c>
      <c r="J85" s="32">
        <f>IF(NOT(AND($A85&lt;&gt;"",OR($G85="",$G85="Active"))),"",COUNTIFS($M85:$U85,"&gt;="&amp;TODAY(),$M85:$U85,"&lt;="&amp;TODAY()+7)+COUNTIFS($V85:$Z85,"&gt;="&amp;TODAY(),$V85:$Z85,"&lt;="&amp;TODAY()+7))</f>
        <v/>
      </c>
      <c r="K85" s="32">
        <f>IF(NOT(AND($A85&lt;&gt;"",OR($G85="",$G85="Active"))),"",IF($L85&lt;&gt;"",IF($L85=$M85,"Booking",INDEX($N$4:$U$4,MATCH($L85,$N85:$U85,0))),IF(IFERROR(LOOKUP(2,1/(ISNUMBER($M85:$U85)+($M85:$U85="DNA")),$M85:$U85),"")="DNA","Rebook DNA",IF(ISNUMBER(IFERROR(LOOKUP(2,1/(ISNUMBER($M85:$U85)+($M85:$U85="DNA")),$M85:$U85),"")),IF(ISNUMBER($U85),"Update status","Missed/not booked?"),""))))</f>
        <v/>
      </c>
      <c r="L85" s="33">
        <f>IF(NOT(AND($A85&lt;&gt;"",OR($G85="",$G85="Active"))),"",IFERROR(SMALL($M85:$U85,COUNTIF($M85:$U85,"&lt;"&amp;TODAY())+1),""))</f>
        <v/>
      </c>
      <c r="M85" s="31" t="n"/>
      <c r="N85" s="31" t="n"/>
      <c r="O85" s="31" t="n"/>
      <c r="P85" s="31" t="n"/>
      <c r="Q85" s="31" t="n"/>
      <c r="R85" s="31" t="n"/>
      <c r="S85" s="31" t="n"/>
      <c r="T85" s="31" t="n"/>
      <c r="U85" s="31" t="n"/>
      <c r="V85" s="31" t="n"/>
      <c r="W85" s="31" t="n"/>
      <c r="X85" s="31" t="n"/>
      <c r="Y85" s="31" t="n"/>
      <c r="Z85" s="31" t="n"/>
      <c r="AA85" s="34" t="n"/>
      <c r="AB85" s="29" t="n"/>
      <c r="AC85" s="31" t="n"/>
    </row>
    <row r="86">
      <c r="A86" s="29" t="n"/>
      <c r="B86" s="30" t="n"/>
      <c r="C86" s="31" t="n"/>
      <c r="D86" s="29" t="n"/>
      <c r="E86" s="29" t="n"/>
      <c r="F86" s="31" t="n"/>
      <c r="G86" s="29" t="n"/>
      <c r="H86" s="32">
        <f>IF(OR(NOT(AND($A86&lt;&gt;"",OR($G86="",$G86="Active"))),$F86=""),"",INT((TODAY()-$F86+280)/7)&amp;"+"&amp;MOD(TODAY()-$F86+280,7))</f>
        <v/>
      </c>
      <c r="I86" s="32">
        <f>IF(NOT(AND($A86&lt;&gt;"",OR($G86="",$G86="Active"))),"",IF(OR(IFERROR(LOOKUP(2,1/(ISNUMBER($M86:$U86)+($M86:$U86="DNA")),$M86:$U86),"")="DNA",AND(ISNUMBER(IFERROR(LOOKUP(2,1/(ISNUMBER($M86:$U86)+($M86:$U86="DNA")),$M86:$U86),"")),IFERROR(LOOKUP(2,1/(ISNUMBER($M86:$U86)+($M86:$U86="DNA")),$M86:$U86),"")&lt;TODAY())),1,0)+COUNTIF($V86:$Z86,"&lt;"&amp;TODAY()))</f>
        <v/>
      </c>
      <c r="J86" s="32">
        <f>IF(NOT(AND($A86&lt;&gt;"",OR($G86="",$G86="Active"))),"",COUNTIFS($M86:$U86,"&gt;="&amp;TODAY(),$M86:$U86,"&lt;="&amp;TODAY()+7)+COUNTIFS($V86:$Z86,"&gt;="&amp;TODAY(),$V86:$Z86,"&lt;="&amp;TODAY()+7))</f>
        <v/>
      </c>
      <c r="K86" s="32">
        <f>IF(NOT(AND($A86&lt;&gt;"",OR($G86="",$G86="Active"))),"",IF($L86&lt;&gt;"",IF($L86=$M86,"Booking",INDEX($N$4:$U$4,MATCH($L86,$N86:$U86,0))),IF(IFERROR(LOOKUP(2,1/(ISNUMBER($M86:$U86)+($M86:$U86="DNA")),$M86:$U86),"")="DNA","Rebook DNA",IF(ISNUMBER(IFERROR(LOOKUP(2,1/(ISNUMBER($M86:$U86)+($M86:$U86="DNA")),$M86:$U86),"")),IF(ISNUMBER($U86),"Update status","Missed/not booked?"),""))))</f>
        <v/>
      </c>
      <c r="L86" s="33">
        <f>IF(NOT(AND($A86&lt;&gt;"",OR($G86="",$G86="Active"))),"",IFERROR(SMALL($M86:$U86,COUNTIF($M86:$U86,"&lt;"&amp;TODAY())+1),""))</f>
        <v/>
      </c>
      <c r="M86" s="31" t="n"/>
      <c r="N86" s="31" t="n"/>
      <c r="O86" s="31" t="n"/>
      <c r="P86" s="31" t="n"/>
      <c r="Q86" s="31" t="n"/>
      <c r="R86" s="31" t="n"/>
      <c r="S86" s="31" t="n"/>
      <c r="T86" s="31" t="n"/>
      <c r="U86" s="31" t="n"/>
      <c r="V86" s="31" t="n"/>
      <c r="W86" s="31" t="n"/>
      <c r="X86" s="31" t="n"/>
      <c r="Y86" s="31" t="n"/>
      <c r="Z86" s="31" t="n"/>
      <c r="AA86" s="34" t="n"/>
      <c r="AB86" s="29" t="n"/>
      <c r="AC86" s="31" t="n"/>
    </row>
    <row r="87">
      <c r="A87" s="29" t="n"/>
      <c r="B87" s="30" t="n"/>
      <c r="C87" s="31" t="n"/>
      <c r="D87" s="29" t="n"/>
      <c r="E87" s="29" t="n"/>
      <c r="F87" s="31" t="n"/>
      <c r="G87" s="29" t="n"/>
      <c r="H87" s="32">
        <f>IF(OR(NOT(AND($A87&lt;&gt;"",OR($G87="",$G87="Active"))),$F87=""),"",INT((TODAY()-$F87+280)/7)&amp;"+"&amp;MOD(TODAY()-$F87+280,7))</f>
        <v/>
      </c>
      <c r="I87" s="32">
        <f>IF(NOT(AND($A87&lt;&gt;"",OR($G87="",$G87="Active"))),"",IF(OR(IFERROR(LOOKUP(2,1/(ISNUMBER($M87:$U87)+($M87:$U87="DNA")),$M87:$U87),"")="DNA",AND(ISNUMBER(IFERROR(LOOKUP(2,1/(ISNUMBER($M87:$U87)+($M87:$U87="DNA")),$M87:$U87),"")),IFERROR(LOOKUP(2,1/(ISNUMBER($M87:$U87)+($M87:$U87="DNA")),$M87:$U87),"")&lt;TODAY())),1,0)+COUNTIF($V87:$Z87,"&lt;"&amp;TODAY()))</f>
        <v/>
      </c>
      <c r="J87" s="32">
        <f>IF(NOT(AND($A87&lt;&gt;"",OR($G87="",$G87="Active"))),"",COUNTIFS($M87:$U87,"&gt;="&amp;TODAY(),$M87:$U87,"&lt;="&amp;TODAY()+7)+COUNTIFS($V87:$Z87,"&gt;="&amp;TODAY(),$V87:$Z87,"&lt;="&amp;TODAY()+7))</f>
        <v/>
      </c>
      <c r="K87" s="32">
        <f>IF(NOT(AND($A87&lt;&gt;"",OR($G87="",$G87="Active"))),"",IF($L87&lt;&gt;"",IF($L87=$M87,"Booking",INDEX($N$4:$U$4,MATCH($L87,$N87:$U87,0))),IF(IFERROR(LOOKUP(2,1/(ISNUMBER($M87:$U87)+($M87:$U87="DNA")),$M87:$U87),"")="DNA","Rebook DNA",IF(ISNUMBER(IFERROR(LOOKUP(2,1/(ISNUMBER($M87:$U87)+($M87:$U87="DNA")),$M87:$U87),"")),IF(ISNUMBER($U87),"Update status","Missed/not booked?"),""))))</f>
        <v/>
      </c>
      <c r="L87" s="33">
        <f>IF(NOT(AND($A87&lt;&gt;"",OR($G87="",$G87="Active"))),"",IFERROR(SMALL($M87:$U87,COUNTIF($M87:$U87,"&lt;"&amp;TODAY())+1),""))</f>
        <v/>
      </c>
      <c r="M87" s="31" t="n"/>
      <c r="N87" s="31" t="n"/>
      <c r="O87" s="31" t="n"/>
      <c r="P87" s="31" t="n"/>
      <c r="Q87" s="31" t="n"/>
      <c r="R87" s="31" t="n"/>
      <c r="S87" s="31" t="n"/>
      <c r="T87" s="31" t="n"/>
      <c r="U87" s="31" t="n"/>
      <c r="V87" s="31" t="n"/>
      <c r="W87" s="31" t="n"/>
      <c r="X87" s="31" t="n"/>
      <c r="Y87" s="31" t="n"/>
      <c r="Z87" s="31" t="n"/>
      <c r="AA87" s="34" t="n"/>
      <c r="AB87" s="29" t="n"/>
      <c r="AC87" s="31" t="n"/>
    </row>
    <row r="88">
      <c r="A88" s="29" t="n"/>
      <c r="B88" s="30" t="n"/>
      <c r="C88" s="31" t="n"/>
      <c r="D88" s="29" t="n"/>
      <c r="E88" s="29" t="n"/>
      <c r="F88" s="31" t="n"/>
      <c r="G88" s="29" t="n"/>
      <c r="H88" s="32">
        <f>IF(OR(NOT(AND($A88&lt;&gt;"",OR($G88="",$G88="Active"))),$F88=""),"",INT((TODAY()-$F88+280)/7)&amp;"+"&amp;MOD(TODAY()-$F88+280,7))</f>
        <v/>
      </c>
      <c r="I88" s="32">
        <f>IF(NOT(AND($A88&lt;&gt;"",OR($G88="",$G88="Active"))),"",IF(OR(IFERROR(LOOKUP(2,1/(ISNUMBER($M88:$U88)+($M88:$U88="DNA")),$M88:$U88),"")="DNA",AND(ISNUMBER(IFERROR(LOOKUP(2,1/(ISNUMBER($M88:$U88)+($M88:$U88="DNA")),$M88:$U88),"")),IFERROR(LOOKUP(2,1/(ISNUMBER($M88:$U88)+($M88:$U88="DNA")),$M88:$U88),"")&lt;TODAY())),1,0)+COUNTIF($V88:$Z88,"&lt;"&amp;TODAY()))</f>
        <v/>
      </c>
      <c r="J88" s="32">
        <f>IF(NOT(AND($A88&lt;&gt;"",OR($G88="",$G88="Active"))),"",COUNTIFS($M88:$U88,"&gt;="&amp;TODAY(),$M88:$U88,"&lt;="&amp;TODAY()+7)+COUNTIFS($V88:$Z88,"&gt;="&amp;TODAY(),$V88:$Z88,"&lt;="&amp;TODAY()+7))</f>
        <v/>
      </c>
      <c r="K88" s="32">
        <f>IF(NOT(AND($A88&lt;&gt;"",OR($G88="",$G88="Active"))),"",IF($L88&lt;&gt;"",IF($L88=$M88,"Booking",INDEX($N$4:$U$4,MATCH($L88,$N88:$U88,0))),IF(IFERROR(LOOKUP(2,1/(ISNUMBER($M88:$U88)+($M88:$U88="DNA")),$M88:$U88),"")="DNA","Rebook DNA",IF(ISNUMBER(IFERROR(LOOKUP(2,1/(ISNUMBER($M88:$U88)+($M88:$U88="DNA")),$M88:$U88),"")),IF(ISNUMBER($U88),"Update status","Missed/not booked?"),""))))</f>
        <v/>
      </c>
      <c r="L88" s="33">
        <f>IF(NOT(AND($A88&lt;&gt;"",OR($G88="",$G88="Active"))),"",IFERROR(SMALL($M88:$U88,COUNTIF($M88:$U88,"&lt;"&amp;TODAY())+1),""))</f>
        <v/>
      </c>
      <c r="M88" s="31" t="n"/>
      <c r="N88" s="31" t="n"/>
      <c r="O88" s="31" t="n"/>
      <c r="P88" s="31" t="n"/>
      <c r="Q88" s="31" t="n"/>
      <c r="R88" s="31" t="n"/>
      <c r="S88" s="31" t="n"/>
      <c r="T88" s="31" t="n"/>
      <c r="U88" s="31" t="n"/>
      <c r="V88" s="31" t="n"/>
      <c r="W88" s="31" t="n"/>
      <c r="X88" s="31" t="n"/>
      <c r="Y88" s="31" t="n"/>
      <c r="Z88" s="31" t="n"/>
      <c r="AA88" s="34" t="n"/>
      <c r="AB88" s="29" t="n"/>
      <c r="AC88" s="31" t="n"/>
    </row>
    <row r="89">
      <c r="A89" s="29" t="n"/>
      <c r="B89" s="30" t="n"/>
      <c r="C89" s="31" t="n"/>
      <c r="D89" s="29" t="n"/>
      <c r="E89" s="29" t="n"/>
      <c r="F89" s="31" t="n"/>
      <c r="G89" s="29" t="n"/>
      <c r="H89" s="32">
        <f>IF(OR(NOT(AND($A89&lt;&gt;"",OR($G89="",$G89="Active"))),$F89=""),"",INT((TODAY()-$F89+280)/7)&amp;"+"&amp;MOD(TODAY()-$F89+280,7))</f>
        <v/>
      </c>
      <c r="I89" s="32">
        <f>IF(NOT(AND($A89&lt;&gt;"",OR($G89="",$G89="Active"))),"",IF(OR(IFERROR(LOOKUP(2,1/(ISNUMBER($M89:$U89)+($M89:$U89="DNA")),$M89:$U89),"")="DNA",AND(ISNUMBER(IFERROR(LOOKUP(2,1/(ISNUMBER($M89:$U89)+($M89:$U89="DNA")),$M89:$U89),"")),IFERROR(LOOKUP(2,1/(ISNUMBER($M89:$U89)+($M89:$U89="DNA")),$M89:$U89),"")&lt;TODAY())),1,0)+COUNTIF($V89:$Z89,"&lt;"&amp;TODAY()))</f>
        <v/>
      </c>
      <c r="J89" s="32">
        <f>IF(NOT(AND($A89&lt;&gt;"",OR($G89="",$G89="Active"))),"",COUNTIFS($M89:$U89,"&gt;="&amp;TODAY(),$M89:$U89,"&lt;="&amp;TODAY()+7)+COUNTIFS($V89:$Z89,"&gt;="&amp;TODAY(),$V89:$Z89,"&lt;="&amp;TODAY()+7))</f>
        <v/>
      </c>
      <c r="K89" s="32">
        <f>IF(NOT(AND($A89&lt;&gt;"",OR($G89="",$G89="Active"))),"",IF($L89&lt;&gt;"",IF($L89=$M89,"Booking",INDEX($N$4:$U$4,MATCH($L89,$N89:$U89,0))),IF(IFERROR(LOOKUP(2,1/(ISNUMBER($M89:$U89)+($M89:$U89="DNA")),$M89:$U89),"")="DNA","Rebook DNA",IF(ISNUMBER(IFERROR(LOOKUP(2,1/(ISNUMBER($M89:$U89)+($M89:$U89="DNA")),$M89:$U89),"")),IF(ISNUMBER($U89),"Update status","Missed/not booked?"),""))))</f>
        <v/>
      </c>
      <c r="L89" s="33">
        <f>IF(NOT(AND($A89&lt;&gt;"",OR($G89="",$G89="Active"))),"",IFERROR(SMALL($M89:$U89,COUNTIF($M89:$U89,"&lt;"&amp;TODAY())+1),""))</f>
        <v/>
      </c>
      <c r="M89" s="31" t="n"/>
      <c r="N89" s="31" t="n"/>
      <c r="O89" s="31" t="n"/>
      <c r="P89" s="31" t="n"/>
      <c r="Q89" s="31" t="n"/>
      <c r="R89" s="31" t="n"/>
      <c r="S89" s="31" t="n"/>
      <c r="T89" s="31" t="n"/>
      <c r="U89" s="31" t="n"/>
      <c r="V89" s="31" t="n"/>
      <c r="W89" s="31" t="n"/>
      <c r="X89" s="31" t="n"/>
      <c r="Y89" s="31" t="n"/>
      <c r="Z89" s="31" t="n"/>
      <c r="AA89" s="34" t="n"/>
      <c r="AB89" s="29" t="n"/>
      <c r="AC89" s="31" t="n"/>
    </row>
    <row r="90">
      <c r="A90" s="29" t="n"/>
      <c r="B90" s="30" t="n"/>
      <c r="C90" s="31" t="n"/>
      <c r="D90" s="29" t="n"/>
      <c r="E90" s="29" t="n"/>
      <c r="F90" s="31" t="n"/>
      <c r="G90" s="29" t="n"/>
      <c r="H90" s="32">
        <f>IF(OR(NOT(AND($A90&lt;&gt;"",OR($G90="",$G90="Active"))),$F90=""),"",INT((TODAY()-$F90+280)/7)&amp;"+"&amp;MOD(TODAY()-$F90+280,7))</f>
        <v/>
      </c>
      <c r="I90" s="32">
        <f>IF(NOT(AND($A90&lt;&gt;"",OR($G90="",$G90="Active"))),"",IF(OR(IFERROR(LOOKUP(2,1/(ISNUMBER($M90:$U90)+($M90:$U90="DNA")),$M90:$U90),"")="DNA",AND(ISNUMBER(IFERROR(LOOKUP(2,1/(ISNUMBER($M90:$U90)+($M90:$U90="DNA")),$M90:$U90),"")),IFERROR(LOOKUP(2,1/(ISNUMBER($M90:$U90)+($M90:$U90="DNA")),$M90:$U90),"")&lt;TODAY())),1,0)+COUNTIF($V90:$Z90,"&lt;"&amp;TODAY()))</f>
        <v/>
      </c>
      <c r="J90" s="32">
        <f>IF(NOT(AND($A90&lt;&gt;"",OR($G90="",$G90="Active"))),"",COUNTIFS($M90:$U90,"&gt;="&amp;TODAY(),$M90:$U90,"&lt;="&amp;TODAY()+7)+COUNTIFS($V90:$Z90,"&gt;="&amp;TODAY(),$V90:$Z90,"&lt;="&amp;TODAY()+7))</f>
        <v/>
      </c>
      <c r="K90" s="32">
        <f>IF(NOT(AND($A90&lt;&gt;"",OR($G90="",$G90="Active"))),"",IF($L90&lt;&gt;"",IF($L90=$M90,"Booking",INDEX($N$4:$U$4,MATCH($L90,$N90:$U90,0))),IF(IFERROR(LOOKUP(2,1/(ISNUMBER($M90:$U90)+($M90:$U90="DNA")),$M90:$U90),"")="DNA","Rebook DNA",IF(ISNUMBER(IFERROR(LOOKUP(2,1/(ISNUMBER($M90:$U90)+($M90:$U90="DNA")),$M90:$U90),"")),IF(ISNUMBER($U90),"Update status","Missed/not booked?"),""))))</f>
        <v/>
      </c>
      <c r="L90" s="33">
        <f>IF(NOT(AND($A90&lt;&gt;"",OR($G90="",$G90="Active"))),"",IFERROR(SMALL($M90:$U90,COUNTIF($M90:$U90,"&lt;"&amp;TODAY())+1),""))</f>
        <v/>
      </c>
      <c r="M90" s="31" t="n"/>
      <c r="N90" s="31" t="n"/>
      <c r="O90" s="31" t="n"/>
      <c r="P90" s="31" t="n"/>
      <c r="Q90" s="31" t="n"/>
      <c r="R90" s="31" t="n"/>
      <c r="S90" s="31" t="n"/>
      <c r="T90" s="31" t="n"/>
      <c r="U90" s="31" t="n"/>
      <c r="V90" s="31" t="n"/>
      <c r="W90" s="31" t="n"/>
      <c r="X90" s="31" t="n"/>
      <c r="Y90" s="31" t="n"/>
      <c r="Z90" s="31" t="n"/>
      <c r="AA90" s="34" t="n"/>
      <c r="AB90" s="29" t="n"/>
      <c r="AC90" s="31" t="n"/>
    </row>
    <row r="91">
      <c r="A91" s="29" t="n"/>
      <c r="B91" s="30" t="n"/>
      <c r="C91" s="31" t="n"/>
      <c r="D91" s="29" t="n"/>
      <c r="E91" s="29" t="n"/>
      <c r="F91" s="31" t="n"/>
      <c r="G91" s="29" t="n"/>
      <c r="H91" s="32">
        <f>IF(OR(NOT(AND($A91&lt;&gt;"",OR($G91="",$G91="Active"))),$F91=""),"",INT((TODAY()-$F91+280)/7)&amp;"+"&amp;MOD(TODAY()-$F91+280,7))</f>
        <v/>
      </c>
      <c r="I91" s="32">
        <f>IF(NOT(AND($A91&lt;&gt;"",OR($G91="",$G91="Active"))),"",IF(OR(IFERROR(LOOKUP(2,1/(ISNUMBER($M91:$U91)+($M91:$U91="DNA")),$M91:$U91),"")="DNA",AND(ISNUMBER(IFERROR(LOOKUP(2,1/(ISNUMBER($M91:$U91)+($M91:$U91="DNA")),$M91:$U91),"")),IFERROR(LOOKUP(2,1/(ISNUMBER($M91:$U91)+($M91:$U91="DNA")),$M91:$U91),"")&lt;TODAY())),1,0)+COUNTIF($V91:$Z91,"&lt;"&amp;TODAY()))</f>
        <v/>
      </c>
      <c r="J91" s="32">
        <f>IF(NOT(AND($A91&lt;&gt;"",OR($G91="",$G91="Active"))),"",COUNTIFS($M91:$U91,"&gt;="&amp;TODAY(),$M91:$U91,"&lt;="&amp;TODAY()+7)+COUNTIFS($V91:$Z91,"&gt;="&amp;TODAY(),$V91:$Z91,"&lt;="&amp;TODAY()+7))</f>
        <v/>
      </c>
      <c r="K91" s="32">
        <f>IF(NOT(AND($A91&lt;&gt;"",OR($G91="",$G91="Active"))),"",IF($L91&lt;&gt;"",IF($L91=$M91,"Booking",INDEX($N$4:$U$4,MATCH($L91,$N91:$U91,0))),IF(IFERROR(LOOKUP(2,1/(ISNUMBER($M91:$U91)+($M91:$U91="DNA")),$M91:$U91),"")="DNA","Rebook DNA",IF(ISNUMBER(IFERROR(LOOKUP(2,1/(ISNUMBER($M91:$U91)+($M91:$U91="DNA")),$M91:$U91),"")),IF(ISNUMBER($U91),"Update status","Missed/not booked?"),""))))</f>
        <v/>
      </c>
      <c r="L91" s="33">
        <f>IF(NOT(AND($A91&lt;&gt;"",OR($G91="",$G91="Active"))),"",IFERROR(SMALL($M91:$U91,COUNTIF($M91:$U91,"&lt;"&amp;TODAY())+1),""))</f>
        <v/>
      </c>
      <c r="M91" s="31" t="n"/>
      <c r="N91" s="31" t="n"/>
      <c r="O91" s="31" t="n"/>
      <c r="P91" s="31" t="n"/>
      <c r="Q91" s="31" t="n"/>
      <c r="R91" s="31" t="n"/>
      <c r="S91" s="31" t="n"/>
      <c r="T91" s="31" t="n"/>
      <c r="U91" s="31" t="n"/>
      <c r="V91" s="31" t="n"/>
      <c r="W91" s="31" t="n"/>
      <c r="X91" s="31" t="n"/>
      <c r="Y91" s="31" t="n"/>
      <c r="Z91" s="31" t="n"/>
      <c r="AA91" s="34" t="n"/>
      <c r="AB91" s="29" t="n"/>
      <c r="AC91" s="31" t="n"/>
    </row>
    <row r="92">
      <c r="A92" s="29" t="n"/>
      <c r="B92" s="30" t="n"/>
      <c r="C92" s="31" t="n"/>
      <c r="D92" s="29" t="n"/>
      <c r="E92" s="29" t="n"/>
      <c r="F92" s="31" t="n"/>
      <c r="G92" s="29" t="n"/>
      <c r="H92" s="32">
        <f>IF(OR(NOT(AND($A92&lt;&gt;"",OR($G92="",$G92="Active"))),$F92=""),"",INT((TODAY()-$F92+280)/7)&amp;"+"&amp;MOD(TODAY()-$F92+280,7))</f>
        <v/>
      </c>
      <c r="I92" s="32">
        <f>IF(NOT(AND($A92&lt;&gt;"",OR($G92="",$G92="Active"))),"",IF(OR(IFERROR(LOOKUP(2,1/(ISNUMBER($M92:$U92)+($M92:$U92="DNA")),$M92:$U92),"")="DNA",AND(ISNUMBER(IFERROR(LOOKUP(2,1/(ISNUMBER($M92:$U92)+($M92:$U92="DNA")),$M92:$U92),"")),IFERROR(LOOKUP(2,1/(ISNUMBER($M92:$U92)+($M92:$U92="DNA")),$M92:$U92),"")&lt;TODAY())),1,0)+COUNTIF($V92:$Z92,"&lt;"&amp;TODAY()))</f>
        <v/>
      </c>
      <c r="J92" s="32">
        <f>IF(NOT(AND($A92&lt;&gt;"",OR($G92="",$G92="Active"))),"",COUNTIFS($M92:$U92,"&gt;="&amp;TODAY(),$M92:$U92,"&lt;="&amp;TODAY()+7)+COUNTIFS($V92:$Z92,"&gt;="&amp;TODAY(),$V92:$Z92,"&lt;="&amp;TODAY()+7))</f>
        <v/>
      </c>
      <c r="K92" s="32">
        <f>IF(NOT(AND($A92&lt;&gt;"",OR($G92="",$G92="Active"))),"",IF($L92&lt;&gt;"",IF($L92=$M92,"Booking",INDEX($N$4:$U$4,MATCH($L92,$N92:$U92,0))),IF(IFERROR(LOOKUP(2,1/(ISNUMBER($M92:$U92)+($M92:$U92="DNA")),$M92:$U92),"")="DNA","Rebook DNA",IF(ISNUMBER(IFERROR(LOOKUP(2,1/(ISNUMBER($M92:$U92)+($M92:$U92="DNA")),$M92:$U92),"")),IF(ISNUMBER($U92),"Update status","Missed/not booked?"),""))))</f>
        <v/>
      </c>
      <c r="L92" s="33">
        <f>IF(NOT(AND($A92&lt;&gt;"",OR($G92="",$G92="Active"))),"",IFERROR(SMALL($M92:$U92,COUNTIF($M92:$U92,"&lt;"&amp;TODAY())+1),""))</f>
        <v/>
      </c>
      <c r="M92" s="31" t="n"/>
      <c r="N92" s="31" t="n"/>
      <c r="O92" s="31" t="n"/>
      <c r="P92" s="31" t="n"/>
      <c r="Q92" s="31" t="n"/>
      <c r="R92" s="31" t="n"/>
      <c r="S92" s="31" t="n"/>
      <c r="T92" s="31" t="n"/>
      <c r="U92" s="31" t="n"/>
      <c r="V92" s="31" t="n"/>
      <c r="W92" s="31" t="n"/>
      <c r="X92" s="31" t="n"/>
      <c r="Y92" s="31" t="n"/>
      <c r="Z92" s="31" t="n"/>
      <c r="AA92" s="34" t="n"/>
      <c r="AB92" s="29" t="n"/>
      <c r="AC92" s="31" t="n"/>
    </row>
    <row r="93">
      <c r="A93" s="29" t="n"/>
      <c r="B93" s="30" t="n"/>
      <c r="C93" s="31" t="n"/>
      <c r="D93" s="29" t="n"/>
      <c r="E93" s="29" t="n"/>
      <c r="F93" s="31" t="n"/>
      <c r="G93" s="29" t="n"/>
      <c r="H93" s="32">
        <f>IF(OR(NOT(AND($A93&lt;&gt;"",OR($G93="",$G93="Active"))),$F93=""),"",INT((TODAY()-$F93+280)/7)&amp;"+"&amp;MOD(TODAY()-$F93+280,7))</f>
        <v/>
      </c>
      <c r="I93" s="32">
        <f>IF(NOT(AND($A93&lt;&gt;"",OR($G93="",$G93="Active"))),"",IF(OR(IFERROR(LOOKUP(2,1/(ISNUMBER($M93:$U93)+($M93:$U93="DNA")),$M93:$U93),"")="DNA",AND(ISNUMBER(IFERROR(LOOKUP(2,1/(ISNUMBER($M93:$U93)+($M93:$U93="DNA")),$M93:$U93),"")),IFERROR(LOOKUP(2,1/(ISNUMBER($M93:$U93)+($M93:$U93="DNA")),$M93:$U93),"")&lt;TODAY())),1,0)+COUNTIF($V93:$Z93,"&lt;"&amp;TODAY()))</f>
        <v/>
      </c>
      <c r="J93" s="32">
        <f>IF(NOT(AND($A93&lt;&gt;"",OR($G93="",$G93="Active"))),"",COUNTIFS($M93:$U93,"&gt;="&amp;TODAY(),$M93:$U93,"&lt;="&amp;TODAY()+7)+COUNTIFS($V93:$Z93,"&gt;="&amp;TODAY(),$V93:$Z93,"&lt;="&amp;TODAY()+7))</f>
        <v/>
      </c>
      <c r="K93" s="32">
        <f>IF(NOT(AND($A93&lt;&gt;"",OR($G93="",$G93="Active"))),"",IF($L93&lt;&gt;"",IF($L93=$M93,"Booking",INDEX($N$4:$U$4,MATCH($L93,$N93:$U93,0))),IF(IFERROR(LOOKUP(2,1/(ISNUMBER($M93:$U93)+($M93:$U93="DNA")),$M93:$U93),"")="DNA","Rebook DNA",IF(ISNUMBER(IFERROR(LOOKUP(2,1/(ISNUMBER($M93:$U93)+($M93:$U93="DNA")),$M93:$U93),"")),IF(ISNUMBER($U93),"Update status","Missed/not booked?"),""))))</f>
        <v/>
      </c>
      <c r="L93" s="33">
        <f>IF(NOT(AND($A93&lt;&gt;"",OR($G93="",$G93="Active"))),"",IFERROR(SMALL($M93:$U93,COUNTIF($M93:$U93,"&lt;"&amp;TODAY())+1),""))</f>
        <v/>
      </c>
      <c r="M93" s="31" t="n"/>
      <c r="N93" s="31" t="n"/>
      <c r="O93" s="31" t="n"/>
      <c r="P93" s="31" t="n"/>
      <c r="Q93" s="31" t="n"/>
      <c r="R93" s="31" t="n"/>
      <c r="S93" s="31" t="n"/>
      <c r="T93" s="31" t="n"/>
      <c r="U93" s="31" t="n"/>
      <c r="V93" s="31" t="n"/>
      <c r="W93" s="31" t="n"/>
      <c r="X93" s="31" t="n"/>
      <c r="Y93" s="31" t="n"/>
      <c r="Z93" s="31" t="n"/>
      <c r="AA93" s="34" t="n"/>
      <c r="AB93" s="29" t="n"/>
      <c r="AC93" s="31" t="n"/>
    </row>
    <row r="94">
      <c r="A94" s="29" t="n"/>
      <c r="B94" s="30" t="n"/>
      <c r="C94" s="31" t="n"/>
      <c r="D94" s="29" t="n"/>
      <c r="E94" s="29" t="n"/>
      <c r="F94" s="31" t="n"/>
      <c r="G94" s="29" t="n"/>
      <c r="H94" s="32">
        <f>IF(OR(NOT(AND($A94&lt;&gt;"",OR($G94="",$G94="Active"))),$F94=""),"",INT((TODAY()-$F94+280)/7)&amp;"+"&amp;MOD(TODAY()-$F94+280,7))</f>
        <v/>
      </c>
      <c r="I94" s="32">
        <f>IF(NOT(AND($A94&lt;&gt;"",OR($G94="",$G94="Active"))),"",IF(OR(IFERROR(LOOKUP(2,1/(ISNUMBER($M94:$U94)+($M94:$U94="DNA")),$M94:$U94),"")="DNA",AND(ISNUMBER(IFERROR(LOOKUP(2,1/(ISNUMBER($M94:$U94)+($M94:$U94="DNA")),$M94:$U94),"")),IFERROR(LOOKUP(2,1/(ISNUMBER($M94:$U94)+($M94:$U94="DNA")),$M94:$U94),"")&lt;TODAY())),1,0)+COUNTIF($V94:$Z94,"&lt;"&amp;TODAY()))</f>
        <v/>
      </c>
      <c r="J94" s="32">
        <f>IF(NOT(AND($A94&lt;&gt;"",OR($G94="",$G94="Active"))),"",COUNTIFS($M94:$U94,"&gt;="&amp;TODAY(),$M94:$U94,"&lt;="&amp;TODAY()+7)+COUNTIFS($V94:$Z94,"&gt;="&amp;TODAY(),$V94:$Z94,"&lt;="&amp;TODAY()+7))</f>
        <v/>
      </c>
      <c r="K94" s="32">
        <f>IF(NOT(AND($A94&lt;&gt;"",OR($G94="",$G94="Active"))),"",IF($L94&lt;&gt;"",IF($L94=$M94,"Booking",INDEX($N$4:$U$4,MATCH($L94,$N94:$U94,0))),IF(IFERROR(LOOKUP(2,1/(ISNUMBER($M94:$U94)+($M94:$U94="DNA")),$M94:$U94),"")="DNA","Rebook DNA",IF(ISNUMBER(IFERROR(LOOKUP(2,1/(ISNUMBER($M94:$U94)+($M94:$U94="DNA")),$M94:$U94),"")),IF(ISNUMBER($U94),"Update status","Missed/not booked?"),""))))</f>
        <v/>
      </c>
      <c r="L94" s="33">
        <f>IF(NOT(AND($A94&lt;&gt;"",OR($G94="",$G94="Active"))),"",IFERROR(SMALL($M94:$U94,COUNTIF($M94:$U94,"&lt;"&amp;TODAY())+1),""))</f>
        <v/>
      </c>
      <c r="M94" s="31" t="n"/>
      <c r="N94" s="31" t="n"/>
      <c r="O94" s="31" t="n"/>
      <c r="P94" s="31" t="n"/>
      <c r="Q94" s="31" t="n"/>
      <c r="R94" s="31" t="n"/>
      <c r="S94" s="31" t="n"/>
      <c r="T94" s="31" t="n"/>
      <c r="U94" s="31" t="n"/>
      <c r="V94" s="31" t="n"/>
      <c r="W94" s="31" t="n"/>
      <c r="X94" s="31" t="n"/>
      <c r="Y94" s="31" t="n"/>
      <c r="Z94" s="31" t="n"/>
      <c r="AA94" s="34" t="n"/>
      <c r="AB94" s="29" t="n"/>
      <c r="AC94" s="31" t="n"/>
    </row>
    <row r="95">
      <c r="A95" s="29" t="n"/>
      <c r="B95" s="30" t="n"/>
      <c r="C95" s="31" t="n"/>
      <c r="D95" s="29" t="n"/>
      <c r="E95" s="29" t="n"/>
      <c r="F95" s="31" t="n"/>
      <c r="G95" s="29" t="n"/>
      <c r="H95" s="32">
        <f>IF(OR(NOT(AND($A95&lt;&gt;"",OR($G95="",$G95="Active"))),$F95=""),"",INT((TODAY()-$F95+280)/7)&amp;"+"&amp;MOD(TODAY()-$F95+280,7))</f>
        <v/>
      </c>
      <c r="I95" s="32">
        <f>IF(NOT(AND($A95&lt;&gt;"",OR($G95="",$G95="Active"))),"",IF(OR(IFERROR(LOOKUP(2,1/(ISNUMBER($M95:$U95)+($M95:$U95="DNA")),$M95:$U95),"")="DNA",AND(ISNUMBER(IFERROR(LOOKUP(2,1/(ISNUMBER($M95:$U95)+($M95:$U95="DNA")),$M95:$U95),"")),IFERROR(LOOKUP(2,1/(ISNUMBER($M95:$U95)+($M95:$U95="DNA")),$M95:$U95),"")&lt;TODAY())),1,0)+COUNTIF($V95:$Z95,"&lt;"&amp;TODAY()))</f>
        <v/>
      </c>
      <c r="J95" s="32">
        <f>IF(NOT(AND($A95&lt;&gt;"",OR($G95="",$G95="Active"))),"",COUNTIFS($M95:$U95,"&gt;="&amp;TODAY(),$M95:$U95,"&lt;="&amp;TODAY()+7)+COUNTIFS($V95:$Z95,"&gt;="&amp;TODAY(),$V95:$Z95,"&lt;="&amp;TODAY()+7))</f>
        <v/>
      </c>
      <c r="K95" s="32">
        <f>IF(NOT(AND($A95&lt;&gt;"",OR($G95="",$G95="Active"))),"",IF($L95&lt;&gt;"",IF($L95=$M95,"Booking",INDEX($N$4:$U$4,MATCH($L95,$N95:$U95,0))),IF(IFERROR(LOOKUP(2,1/(ISNUMBER($M95:$U95)+($M95:$U95="DNA")),$M95:$U95),"")="DNA","Rebook DNA",IF(ISNUMBER(IFERROR(LOOKUP(2,1/(ISNUMBER($M95:$U95)+($M95:$U95="DNA")),$M95:$U95),"")),IF(ISNUMBER($U95),"Update status","Missed/not booked?"),""))))</f>
        <v/>
      </c>
      <c r="L95" s="33">
        <f>IF(NOT(AND($A95&lt;&gt;"",OR($G95="",$G95="Active"))),"",IFERROR(SMALL($M95:$U95,COUNTIF($M95:$U95,"&lt;"&amp;TODAY())+1),""))</f>
        <v/>
      </c>
      <c r="M95" s="31" t="n"/>
      <c r="N95" s="31" t="n"/>
      <c r="O95" s="31" t="n"/>
      <c r="P95" s="31" t="n"/>
      <c r="Q95" s="31" t="n"/>
      <c r="R95" s="31" t="n"/>
      <c r="S95" s="31" t="n"/>
      <c r="T95" s="31" t="n"/>
      <c r="U95" s="31" t="n"/>
      <c r="V95" s="31" t="n"/>
      <c r="W95" s="31" t="n"/>
      <c r="X95" s="31" t="n"/>
      <c r="Y95" s="31" t="n"/>
      <c r="Z95" s="31" t="n"/>
      <c r="AA95" s="34" t="n"/>
      <c r="AB95" s="29" t="n"/>
      <c r="AC95" s="31" t="n"/>
    </row>
    <row r="96">
      <c r="A96" s="29" t="n"/>
      <c r="B96" s="30" t="n"/>
      <c r="C96" s="31" t="n"/>
      <c r="D96" s="29" t="n"/>
      <c r="E96" s="29" t="n"/>
      <c r="F96" s="31" t="n"/>
      <c r="G96" s="29" t="n"/>
      <c r="H96" s="32">
        <f>IF(OR(NOT(AND($A96&lt;&gt;"",OR($G96="",$G96="Active"))),$F96=""),"",INT((TODAY()-$F96+280)/7)&amp;"+"&amp;MOD(TODAY()-$F96+280,7))</f>
        <v/>
      </c>
      <c r="I96" s="32">
        <f>IF(NOT(AND($A96&lt;&gt;"",OR($G96="",$G96="Active"))),"",IF(OR(IFERROR(LOOKUP(2,1/(ISNUMBER($M96:$U96)+($M96:$U96="DNA")),$M96:$U96),"")="DNA",AND(ISNUMBER(IFERROR(LOOKUP(2,1/(ISNUMBER($M96:$U96)+($M96:$U96="DNA")),$M96:$U96),"")),IFERROR(LOOKUP(2,1/(ISNUMBER($M96:$U96)+($M96:$U96="DNA")),$M96:$U96),"")&lt;TODAY())),1,0)+COUNTIF($V96:$Z96,"&lt;"&amp;TODAY()))</f>
        <v/>
      </c>
      <c r="J96" s="32">
        <f>IF(NOT(AND($A96&lt;&gt;"",OR($G96="",$G96="Active"))),"",COUNTIFS($M96:$U96,"&gt;="&amp;TODAY(),$M96:$U96,"&lt;="&amp;TODAY()+7)+COUNTIFS($V96:$Z96,"&gt;="&amp;TODAY(),$V96:$Z96,"&lt;="&amp;TODAY()+7))</f>
        <v/>
      </c>
      <c r="K96" s="32">
        <f>IF(NOT(AND($A96&lt;&gt;"",OR($G96="",$G96="Active"))),"",IF($L96&lt;&gt;"",IF($L96=$M96,"Booking",INDEX($N$4:$U$4,MATCH($L96,$N96:$U96,0))),IF(IFERROR(LOOKUP(2,1/(ISNUMBER($M96:$U96)+($M96:$U96="DNA")),$M96:$U96),"")="DNA","Rebook DNA",IF(ISNUMBER(IFERROR(LOOKUP(2,1/(ISNUMBER($M96:$U96)+($M96:$U96="DNA")),$M96:$U96),"")),IF(ISNUMBER($U96),"Update status","Missed/not booked?"),""))))</f>
        <v/>
      </c>
      <c r="L96" s="33">
        <f>IF(NOT(AND($A96&lt;&gt;"",OR($G96="",$G96="Active"))),"",IFERROR(SMALL($M96:$U96,COUNTIF($M96:$U96,"&lt;"&amp;TODAY())+1),""))</f>
        <v/>
      </c>
      <c r="M96" s="31" t="n"/>
      <c r="N96" s="31" t="n"/>
      <c r="O96" s="31" t="n"/>
      <c r="P96" s="31" t="n"/>
      <c r="Q96" s="31" t="n"/>
      <c r="R96" s="31" t="n"/>
      <c r="S96" s="31" t="n"/>
      <c r="T96" s="31" t="n"/>
      <c r="U96" s="31" t="n"/>
      <c r="V96" s="31" t="n"/>
      <c r="W96" s="31" t="n"/>
      <c r="X96" s="31" t="n"/>
      <c r="Y96" s="31" t="n"/>
      <c r="Z96" s="31" t="n"/>
      <c r="AA96" s="34" t="n"/>
      <c r="AB96" s="29" t="n"/>
      <c r="AC96" s="31" t="n"/>
    </row>
    <row r="97">
      <c r="A97" s="29" t="n"/>
      <c r="B97" s="30" t="n"/>
      <c r="C97" s="31" t="n"/>
      <c r="D97" s="29" t="n"/>
      <c r="E97" s="29" t="n"/>
      <c r="F97" s="31" t="n"/>
      <c r="G97" s="29" t="n"/>
      <c r="H97" s="32">
        <f>IF(OR(NOT(AND($A97&lt;&gt;"",OR($G97="",$G97="Active"))),$F97=""),"",INT((TODAY()-$F97+280)/7)&amp;"+"&amp;MOD(TODAY()-$F97+280,7))</f>
        <v/>
      </c>
      <c r="I97" s="32">
        <f>IF(NOT(AND($A97&lt;&gt;"",OR($G97="",$G97="Active"))),"",IF(OR(IFERROR(LOOKUP(2,1/(ISNUMBER($M97:$U97)+($M97:$U97="DNA")),$M97:$U97),"")="DNA",AND(ISNUMBER(IFERROR(LOOKUP(2,1/(ISNUMBER($M97:$U97)+($M97:$U97="DNA")),$M97:$U97),"")),IFERROR(LOOKUP(2,1/(ISNUMBER($M97:$U97)+($M97:$U97="DNA")),$M97:$U97),"")&lt;TODAY())),1,0)+COUNTIF($V97:$Z97,"&lt;"&amp;TODAY()))</f>
        <v/>
      </c>
      <c r="J97" s="32">
        <f>IF(NOT(AND($A97&lt;&gt;"",OR($G97="",$G97="Active"))),"",COUNTIFS($M97:$U97,"&gt;="&amp;TODAY(),$M97:$U97,"&lt;="&amp;TODAY()+7)+COUNTIFS($V97:$Z97,"&gt;="&amp;TODAY(),$V97:$Z97,"&lt;="&amp;TODAY()+7))</f>
        <v/>
      </c>
      <c r="K97" s="32">
        <f>IF(NOT(AND($A97&lt;&gt;"",OR($G97="",$G97="Active"))),"",IF($L97&lt;&gt;"",IF($L97=$M97,"Booking",INDEX($N$4:$U$4,MATCH($L97,$N97:$U97,0))),IF(IFERROR(LOOKUP(2,1/(ISNUMBER($M97:$U97)+($M97:$U97="DNA")),$M97:$U97),"")="DNA","Rebook DNA",IF(ISNUMBER(IFERROR(LOOKUP(2,1/(ISNUMBER($M97:$U97)+($M97:$U97="DNA")),$M97:$U97),"")),IF(ISNUMBER($U97),"Update status","Missed/not booked?"),""))))</f>
        <v/>
      </c>
      <c r="L97" s="33">
        <f>IF(NOT(AND($A97&lt;&gt;"",OR($G97="",$G97="Active"))),"",IFERROR(SMALL($M97:$U97,COUNTIF($M97:$U97,"&lt;"&amp;TODAY())+1),""))</f>
        <v/>
      </c>
      <c r="M97" s="31" t="n"/>
      <c r="N97" s="31" t="n"/>
      <c r="O97" s="31" t="n"/>
      <c r="P97" s="31" t="n"/>
      <c r="Q97" s="31" t="n"/>
      <c r="R97" s="31" t="n"/>
      <c r="S97" s="31" t="n"/>
      <c r="T97" s="31" t="n"/>
      <c r="U97" s="31" t="n"/>
      <c r="V97" s="31" t="n"/>
      <c r="W97" s="31" t="n"/>
      <c r="X97" s="31" t="n"/>
      <c r="Y97" s="31" t="n"/>
      <c r="Z97" s="31" t="n"/>
      <c r="AA97" s="34" t="n"/>
      <c r="AB97" s="29" t="n"/>
      <c r="AC97" s="31" t="n"/>
    </row>
    <row r="98">
      <c r="A98" s="29" t="n"/>
      <c r="B98" s="30" t="n"/>
      <c r="C98" s="31" t="n"/>
      <c r="D98" s="29" t="n"/>
      <c r="E98" s="29" t="n"/>
      <c r="F98" s="31" t="n"/>
      <c r="G98" s="29" t="n"/>
      <c r="H98" s="32">
        <f>IF(OR(NOT(AND($A98&lt;&gt;"",OR($G98="",$G98="Active"))),$F98=""),"",INT((TODAY()-$F98+280)/7)&amp;"+"&amp;MOD(TODAY()-$F98+280,7))</f>
        <v/>
      </c>
      <c r="I98" s="32">
        <f>IF(NOT(AND($A98&lt;&gt;"",OR($G98="",$G98="Active"))),"",IF(OR(IFERROR(LOOKUP(2,1/(ISNUMBER($M98:$U98)+($M98:$U98="DNA")),$M98:$U98),"")="DNA",AND(ISNUMBER(IFERROR(LOOKUP(2,1/(ISNUMBER($M98:$U98)+($M98:$U98="DNA")),$M98:$U98),"")),IFERROR(LOOKUP(2,1/(ISNUMBER($M98:$U98)+($M98:$U98="DNA")),$M98:$U98),"")&lt;TODAY())),1,0)+COUNTIF($V98:$Z98,"&lt;"&amp;TODAY()))</f>
        <v/>
      </c>
      <c r="J98" s="32">
        <f>IF(NOT(AND($A98&lt;&gt;"",OR($G98="",$G98="Active"))),"",COUNTIFS($M98:$U98,"&gt;="&amp;TODAY(),$M98:$U98,"&lt;="&amp;TODAY()+7)+COUNTIFS($V98:$Z98,"&gt;="&amp;TODAY(),$V98:$Z98,"&lt;="&amp;TODAY()+7))</f>
        <v/>
      </c>
      <c r="K98" s="32">
        <f>IF(NOT(AND($A98&lt;&gt;"",OR($G98="",$G98="Active"))),"",IF($L98&lt;&gt;"",IF($L98=$M98,"Booking",INDEX($N$4:$U$4,MATCH($L98,$N98:$U98,0))),IF(IFERROR(LOOKUP(2,1/(ISNUMBER($M98:$U98)+($M98:$U98="DNA")),$M98:$U98),"")="DNA","Rebook DNA",IF(ISNUMBER(IFERROR(LOOKUP(2,1/(ISNUMBER($M98:$U98)+($M98:$U98="DNA")),$M98:$U98),"")),IF(ISNUMBER($U98),"Update status","Missed/not booked?"),""))))</f>
        <v/>
      </c>
      <c r="L98" s="33">
        <f>IF(NOT(AND($A98&lt;&gt;"",OR($G98="",$G98="Active"))),"",IFERROR(SMALL($M98:$U98,COUNTIF($M98:$U98,"&lt;"&amp;TODAY())+1),""))</f>
        <v/>
      </c>
      <c r="M98" s="31" t="n"/>
      <c r="N98" s="31" t="n"/>
      <c r="O98" s="31" t="n"/>
      <c r="P98" s="31" t="n"/>
      <c r="Q98" s="31" t="n"/>
      <c r="R98" s="31" t="n"/>
      <c r="S98" s="31" t="n"/>
      <c r="T98" s="31" t="n"/>
      <c r="U98" s="31" t="n"/>
      <c r="V98" s="31" t="n"/>
      <c r="W98" s="31" t="n"/>
      <c r="X98" s="31" t="n"/>
      <c r="Y98" s="31" t="n"/>
      <c r="Z98" s="31" t="n"/>
      <c r="AA98" s="34" t="n"/>
      <c r="AB98" s="29" t="n"/>
      <c r="AC98" s="31" t="n"/>
    </row>
    <row r="99">
      <c r="A99" s="29" t="n"/>
      <c r="B99" s="30" t="n"/>
      <c r="C99" s="31" t="n"/>
      <c r="D99" s="29" t="n"/>
      <c r="E99" s="29" t="n"/>
      <c r="F99" s="31" t="n"/>
      <c r="G99" s="29" t="n"/>
      <c r="H99" s="32">
        <f>IF(OR(NOT(AND($A99&lt;&gt;"",OR($G99="",$G99="Active"))),$F99=""),"",INT((TODAY()-$F99+280)/7)&amp;"+"&amp;MOD(TODAY()-$F99+280,7))</f>
        <v/>
      </c>
      <c r="I99" s="32">
        <f>IF(NOT(AND($A99&lt;&gt;"",OR($G99="",$G99="Active"))),"",IF(OR(IFERROR(LOOKUP(2,1/(ISNUMBER($M99:$U99)+($M99:$U99="DNA")),$M99:$U99),"")="DNA",AND(ISNUMBER(IFERROR(LOOKUP(2,1/(ISNUMBER($M99:$U99)+($M99:$U99="DNA")),$M99:$U99),"")),IFERROR(LOOKUP(2,1/(ISNUMBER($M99:$U99)+($M99:$U99="DNA")),$M99:$U99),"")&lt;TODAY())),1,0)+COUNTIF($V99:$Z99,"&lt;"&amp;TODAY()))</f>
        <v/>
      </c>
      <c r="J99" s="32">
        <f>IF(NOT(AND($A99&lt;&gt;"",OR($G99="",$G99="Active"))),"",COUNTIFS($M99:$U99,"&gt;="&amp;TODAY(),$M99:$U99,"&lt;="&amp;TODAY()+7)+COUNTIFS($V99:$Z99,"&gt;="&amp;TODAY(),$V99:$Z99,"&lt;="&amp;TODAY()+7))</f>
        <v/>
      </c>
      <c r="K99" s="32">
        <f>IF(NOT(AND($A99&lt;&gt;"",OR($G99="",$G99="Active"))),"",IF($L99&lt;&gt;"",IF($L99=$M99,"Booking",INDEX($N$4:$U$4,MATCH($L99,$N99:$U99,0))),IF(IFERROR(LOOKUP(2,1/(ISNUMBER($M99:$U99)+($M99:$U99="DNA")),$M99:$U99),"")="DNA","Rebook DNA",IF(ISNUMBER(IFERROR(LOOKUP(2,1/(ISNUMBER($M99:$U99)+($M99:$U99="DNA")),$M99:$U99),"")),IF(ISNUMBER($U99),"Update status","Missed/not booked?"),""))))</f>
        <v/>
      </c>
      <c r="L99" s="33">
        <f>IF(NOT(AND($A99&lt;&gt;"",OR($G99="",$G99="Active"))),"",IFERROR(SMALL($M99:$U99,COUNTIF($M99:$U99,"&lt;"&amp;TODAY())+1),""))</f>
        <v/>
      </c>
      <c r="M99" s="31" t="n"/>
      <c r="N99" s="31" t="n"/>
      <c r="O99" s="31" t="n"/>
      <c r="P99" s="31" t="n"/>
      <c r="Q99" s="31" t="n"/>
      <c r="R99" s="31" t="n"/>
      <c r="S99" s="31" t="n"/>
      <c r="T99" s="31" t="n"/>
      <c r="U99" s="31" t="n"/>
      <c r="V99" s="31" t="n"/>
      <c r="W99" s="31" t="n"/>
      <c r="X99" s="31" t="n"/>
      <c r="Y99" s="31" t="n"/>
      <c r="Z99" s="31" t="n"/>
      <c r="AA99" s="34" t="n"/>
      <c r="AB99" s="29" t="n"/>
      <c r="AC99" s="31" t="n"/>
    </row>
    <row r="100">
      <c r="A100" s="29" t="n"/>
      <c r="B100" s="30" t="n"/>
      <c r="C100" s="31" t="n"/>
      <c r="D100" s="29" t="n"/>
      <c r="E100" s="29" t="n"/>
      <c r="F100" s="31" t="n"/>
      <c r="G100" s="29" t="n"/>
      <c r="H100" s="32">
        <f>IF(OR(NOT(AND($A100&lt;&gt;"",OR($G100="",$G100="Active"))),$F100=""),"",INT((TODAY()-$F100+280)/7)&amp;"+"&amp;MOD(TODAY()-$F100+280,7))</f>
        <v/>
      </c>
      <c r="I100" s="32">
        <f>IF(NOT(AND($A100&lt;&gt;"",OR($G100="",$G100="Active"))),"",IF(OR(IFERROR(LOOKUP(2,1/(ISNUMBER($M100:$U100)+($M100:$U100="DNA")),$M100:$U100),"")="DNA",AND(ISNUMBER(IFERROR(LOOKUP(2,1/(ISNUMBER($M100:$U100)+($M100:$U100="DNA")),$M100:$U100),"")),IFERROR(LOOKUP(2,1/(ISNUMBER($M100:$U100)+($M100:$U100="DNA")),$M100:$U100),"")&lt;TODAY())),1,0)+COUNTIF($V100:$Z100,"&lt;"&amp;TODAY()))</f>
        <v/>
      </c>
      <c r="J100" s="32">
        <f>IF(NOT(AND($A100&lt;&gt;"",OR($G100="",$G100="Active"))),"",COUNTIFS($M100:$U100,"&gt;="&amp;TODAY(),$M100:$U100,"&lt;="&amp;TODAY()+7)+COUNTIFS($V100:$Z100,"&gt;="&amp;TODAY(),$V100:$Z100,"&lt;="&amp;TODAY()+7))</f>
        <v/>
      </c>
      <c r="K100" s="32">
        <f>IF(NOT(AND($A100&lt;&gt;"",OR($G100="",$G100="Active"))),"",IF($L100&lt;&gt;"",IF($L100=$M100,"Booking",INDEX($N$4:$U$4,MATCH($L100,$N100:$U100,0))),IF(IFERROR(LOOKUP(2,1/(ISNUMBER($M100:$U100)+($M100:$U100="DNA")),$M100:$U100),"")="DNA","Rebook DNA",IF(ISNUMBER(IFERROR(LOOKUP(2,1/(ISNUMBER($M100:$U100)+($M100:$U100="DNA")),$M100:$U100),"")),IF(ISNUMBER($U100),"Update status","Missed/not booked?"),""))))</f>
        <v/>
      </c>
      <c r="L100" s="33">
        <f>IF(NOT(AND($A100&lt;&gt;"",OR($G100="",$G100="Active"))),"",IFERROR(SMALL($M100:$U100,COUNTIF($M100:$U100,"&lt;"&amp;TODAY())+1),""))</f>
        <v/>
      </c>
      <c r="M100" s="31" t="n"/>
      <c r="N100" s="31" t="n"/>
      <c r="O100" s="31" t="n"/>
      <c r="P100" s="31" t="n"/>
      <c r="Q100" s="31" t="n"/>
      <c r="R100" s="31" t="n"/>
      <c r="S100" s="31" t="n"/>
      <c r="T100" s="31" t="n"/>
      <c r="U100" s="31" t="n"/>
      <c r="V100" s="31" t="n"/>
      <c r="W100" s="31" t="n"/>
      <c r="X100" s="31" t="n"/>
      <c r="Y100" s="31" t="n"/>
      <c r="Z100" s="31" t="n"/>
      <c r="AA100" s="34" t="n"/>
      <c r="AB100" s="29" t="n"/>
      <c r="AC100" s="31" t="n"/>
    </row>
    <row r="101">
      <c r="A101" s="29" t="n"/>
      <c r="B101" s="30" t="n"/>
      <c r="C101" s="31" t="n"/>
      <c r="D101" s="29" t="n"/>
      <c r="E101" s="29" t="n"/>
      <c r="F101" s="31" t="n"/>
      <c r="G101" s="29" t="n"/>
      <c r="H101" s="32">
        <f>IF(OR(NOT(AND($A101&lt;&gt;"",OR($G101="",$G101="Active"))),$F101=""),"",INT((TODAY()-$F101+280)/7)&amp;"+"&amp;MOD(TODAY()-$F101+280,7))</f>
        <v/>
      </c>
      <c r="I101" s="32">
        <f>IF(NOT(AND($A101&lt;&gt;"",OR($G101="",$G101="Active"))),"",IF(OR(IFERROR(LOOKUP(2,1/(ISNUMBER($M101:$U101)+($M101:$U101="DNA")),$M101:$U101),"")="DNA",AND(ISNUMBER(IFERROR(LOOKUP(2,1/(ISNUMBER($M101:$U101)+($M101:$U101="DNA")),$M101:$U101),"")),IFERROR(LOOKUP(2,1/(ISNUMBER($M101:$U101)+($M101:$U101="DNA")),$M101:$U101),"")&lt;TODAY())),1,0)+COUNTIF($V101:$Z101,"&lt;"&amp;TODAY()))</f>
        <v/>
      </c>
      <c r="J101" s="32">
        <f>IF(NOT(AND($A101&lt;&gt;"",OR($G101="",$G101="Active"))),"",COUNTIFS($M101:$U101,"&gt;="&amp;TODAY(),$M101:$U101,"&lt;="&amp;TODAY()+7)+COUNTIFS($V101:$Z101,"&gt;="&amp;TODAY(),$V101:$Z101,"&lt;="&amp;TODAY()+7))</f>
        <v/>
      </c>
      <c r="K101" s="32">
        <f>IF(NOT(AND($A101&lt;&gt;"",OR($G101="",$G101="Active"))),"",IF($L101&lt;&gt;"",IF($L101=$M101,"Booking",INDEX($N$4:$U$4,MATCH($L101,$N101:$U101,0))),IF(IFERROR(LOOKUP(2,1/(ISNUMBER($M101:$U101)+($M101:$U101="DNA")),$M101:$U101),"")="DNA","Rebook DNA",IF(ISNUMBER(IFERROR(LOOKUP(2,1/(ISNUMBER($M101:$U101)+($M101:$U101="DNA")),$M101:$U101),"")),IF(ISNUMBER($U101),"Update status","Missed/not booked?"),""))))</f>
        <v/>
      </c>
      <c r="L101" s="33">
        <f>IF(NOT(AND($A101&lt;&gt;"",OR($G101="",$G101="Active"))),"",IFERROR(SMALL($M101:$U101,COUNTIF($M101:$U101,"&lt;"&amp;TODAY())+1),""))</f>
        <v/>
      </c>
      <c r="M101" s="31" t="n"/>
      <c r="N101" s="31" t="n"/>
      <c r="O101" s="31" t="n"/>
      <c r="P101" s="31" t="n"/>
      <c r="Q101" s="31" t="n"/>
      <c r="R101" s="31" t="n"/>
      <c r="S101" s="31" t="n"/>
      <c r="T101" s="31" t="n"/>
      <c r="U101" s="31" t="n"/>
      <c r="V101" s="31" t="n"/>
      <c r="W101" s="31" t="n"/>
      <c r="X101" s="31" t="n"/>
      <c r="Y101" s="31" t="n"/>
      <c r="Z101" s="31" t="n"/>
      <c r="AA101" s="34" t="n"/>
      <c r="AB101" s="29" t="n"/>
      <c r="AC101" s="31" t="n"/>
    </row>
    <row r="102">
      <c r="A102" s="29" t="n"/>
      <c r="B102" s="30" t="n"/>
      <c r="C102" s="31" t="n"/>
      <c r="D102" s="29" t="n"/>
      <c r="E102" s="29" t="n"/>
      <c r="F102" s="31" t="n"/>
      <c r="G102" s="29" t="n"/>
      <c r="H102" s="32">
        <f>IF(OR(NOT(AND($A102&lt;&gt;"",OR($G102="",$G102="Active"))),$F102=""),"",INT((TODAY()-$F102+280)/7)&amp;"+"&amp;MOD(TODAY()-$F102+280,7))</f>
        <v/>
      </c>
      <c r="I102" s="32">
        <f>IF(NOT(AND($A102&lt;&gt;"",OR($G102="",$G102="Active"))),"",IF(OR(IFERROR(LOOKUP(2,1/(ISNUMBER($M102:$U102)+($M102:$U102="DNA")),$M102:$U102),"")="DNA",AND(ISNUMBER(IFERROR(LOOKUP(2,1/(ISNUMBER($M102:$U102)+($M102:$U102="DNA")),$M102:$U102),"")),IFERROR(LOOKUP(2,1/(ISNUMBER($M102:$U102)+($M102:$U102="DNA")),$M102:$U102),"")&lt;TODAY())),1,0)+COUNTIF($V102:$Z102,"&lt;"&amp;TODAY()))</f>
        <v/>
      </c>
      <c r="J102" s="32">
        <f>IF(NOT(AND($A102&lt;&gt;"",OR($G102="",$G102="Active"))),"",COUNTIFS($M102:$U102,"&gt;="&amp;TODAY(),$M102:$U102,"&lt;="&amp;TODAY()+7)+COUNTIFS($V102:$Z102,"&gt;="&amp;TODAY(),$V102:$Z102,"&lt;="&amp;TODAY()+7))</f>
        <v/>
      </c>
      <c r="K102" s="32">
        <f>IF(NOT(AND($A102&lt;&gt;"",OR($G102="",$G102="Active"))),"",IF($L102&lt;&gt;"",IF($L102=$M102,"Booking",INDEX($N$4:$U$4,MATCH($L102,$N102:$U102,0))),IF(IFERROR(LOOKUP(2,1/(ISNUMBER($M102:$U102)+($M102:$U102="DNA")),$M102:$U102),"")="DNA","Rebook DNA",IF(ISNUMBER(IFERROR(LOOKUP(2,1/(ISNUMBER($M102:$U102)+($M102:$U102="DNA")),$M102:$U102),"")),IF(ISNUMBER($U102),"Update status","Missed/not booked?"),""))))</f>
        <v/>
      </c>
      <c r="L102" s="33">
        <f>IF(NOT(AND($A102&lt;&gt;"",OR($G102="",$G102="Active"))),"",IFERROR(SMALL($M102:$U102,COUNTIF($M102:$U102,"&lt;"&amp;TODAY())+1),""))</f>
        <v/>
      </c>
      <c r="M102" s="31" t="n"/>
      <c r="N102" s="31" t="n"/>
      <c r="O102" s="31" t="n"/>
      <c r="P102" s="31" t="n"/>
      <c r="Q102" s="31" t="n"/>
      <c r="R102" s="31" t="n"/>
      <c r="S102" s="31" t="n"/>
      <c r="T102" s="31" t="n"/>
      <c r="U102" s="31" t="n"/>
      <c r="V102" s="31" t="n"/>
      <c r="W102" s="31" t="n"/>
      <c r="X102" s="31" t="n"/>
      <c r="Y102" s="31" t="n"/>
      <c r="Z102" s="31" t="n"/>
      <c r="AA102" s="34" t="n"/>
      <c r="AB102" s="29" t="n"/>
      <c r="AC102" s="31" t="n"/>
    </row>
    <row r="103">
      <c r="A103" s="29" t="n"/>
      <c r="B103" s="30" t="n"/>
      <c r="C103" s="31" t="n"/>
      <c r="D103" s="29" t="n"/>
      <c r="E103" s="29" t="n"/>
      <c r="F103" s="31" t="n"/>
      <c r="G103" s="29" t="n"/>
      <c r="H103" s="32">
        <f>IF(OR(NOT(AND($A103&lt;&gt;"",OR($G103="",$G103="Active"))),$F103=""),"",INT((TODAY()-$F103+280)/7)&amp;"+"&amp;MOD(TODAY()-$F103+280,7))</f>
        <v/>
      </c>
      <c r="I103" s="32">
        <f>IF(NOT(AND($A103&lt;&gt;"",OR($G103="",$G103="Active"))),"",IF(OR(IFERROR(LOOKUP(2,1/(ISNUMBER($M103:$U103)+($M103:$U103="DNA")),$M103:$U103),"")="DNA",AND(ISNUMBER(IFERROR(LOOKUP(2,1/(ISNUMBER($M103:$U103)+($M103:$U103="DNA")),$M103:$U103),"")),IFERROR(LOOKUP(2,1/(ISNUMBER($M103:$U103)+($M103:$U103="DNA")),$M103:$U103),"")&lt;TODAY())),1,0)+COUNTIF($V103:$Z103,"&lt;"&amp;TODAY()))</f>
        <v/>
      </c>
      <c r="J103" s="32">
        <f>IF(NOT(AND($A103&lt;&gt;"",OR($G103="",$G103="Active"))),"",COUNTIFS($M103:$U103,"&gt;="&amp;TODAY(),$M103:$U103,"&lt;="&amp;TODAY()+7)+COUNTIFS($V103:$Z103,"&gt;="&amp;TODAY(),$V103:$Z103,"&lt;="&amp;TODAY()+7))</f>
        <v/>
      </c>
      <c r="K103" s="32">
        <f>IF(NOT(AND($A103&lt;&gt;"",OR($G103="",$G103="Active"))),"",IF($L103&lt;&gt;"",IF($L103=$M103,"Booking",INDEX($N$4:$U$4,MATCH($L103,$N103:$U103,0))),IF(IFERROR(LOOKUP(2,1/(ISNUMBER($M103:$U103)+($M103:$U103="DNA")),$M103:$U103),"")="DNA","Rebook DNA",IF(ISNUMBER(IFERROR(LOOKUP(2,1/(ISNUMBER($M103:$U103)+($M103:$U103="DNA")),$M103:$U103),"")),IF(ISNUMBER($U103),"Update status","Missed/not booked?"),""))))</f>
        <v/>
      </c>
      <c r="L103" s="33">
        <f>IF(NOT(AND($A103&lt;&gt;"",OR($G103="",$G103="Active"))),"",IFERROR(SMALL($M103:$U103,COUNTIF($M103:$U103,"&lt;"&amp;TODAY())+1),""))</f>
        <v/>
      </c>
      <c r="M103" s="31" t="n"/>
      <c r="N103" s="31" t="n"/>
      <c r="O103" s="31" t="n"/>
      <c r="P103" s="31" t="n"/>
      <c r="Q103" s="31" t="n"/>
      <c r="R103" s="31" t="n"/>
      <c r="S103" s="31" t="n"/>
      <c r="T103" s="31" t="n"/>
      <c r="U103" s="31" t="n"/>
      <c r="V103" s="31" t="n"/>
      <c r="W103" s="31" t="n"/>
      <c r="X103" s="31" t="n"/>
      <c r="Y103" s="31" t="n"/>
      <c r="Z103" s="31" t="n"/>
      <c r="AA103" s="34" t="n"/>
      <c r="AB103" s="29" t="n"/>
      <c r="AC103" s="31" t="n"/>
    </row>
    <row r="104">
      <c r="A104" s="29" t="n"/>
      <c r="B104" s="30" t="n"/>
      <c r="C104" s="31" t="n"/>
      <c r="D104" s="29" t="n"/>
      <c r="E104" s="29" t="n"/>
      <c r="F104" s="31" t="n"/>
      <c r="G104" s="29" t="n"/>
      <c r="H104" s="32">
        <f>IF(OR(NOT(AND($A104&lt;&gt;"",OR($G104="",$G104="Active"))),$F104=""),"",INT((TODAY()-$F104+280)/7)&amp;"+"&amp;MOD(TODAY()-$F104+280,7))</f>
        <v/>
      </c>
      <c r="I104" s="32">
        <f>IF(NOT(AND($A104&lt;&gt;"",OR($G104="",$G104="Active"))),"",IF(OR(IFERROR(LOOKUP(2,1/(ISNUMBER($M104:$U104)+($M104:$U104="DNA")),$M104:$U104),"")="DNA",AND(ISNUMBER(IFERROR(LOOKUP(2,1/(ISNUMBER($M104:$U104)+($M104:$U104="DNA")),$M104:$U104),"")),IFERROR(LOOKUP(2,1/(ISNUMBER($M104:$U104)+($M104:$U104="DNA")),$M104:$U104),"")&lt;TODAY())),1,0)+COUNTIF($V104:$Z104,"&lt;"&amp;TODAY()))</f>
        <v/>
      </c>
      <c r="J104" s="32">
        <f>IF(NOT(AND($A104&lt;&gt;"",OR($G104="",$G104="Active"))),"",COUNTIFS($M104:$U104,"&gt;="&amp;TODAY(),$M104:$U104,"&lt;="&amp;TODAY()+7)+COUNTIFS($V104:$Z104,"&gt;="&amp;TODAY(),$V104:$Z104,"&lt;="&amp;TODAY()+7))</f>
        <v/>
      </c>
      <c r="K104" s="32">
        <f>IF(NOT(AND($A104&lt;&gt;"",OR($G104="",$G104="Active"))),"",IF($L104&lt;&gt;"",IF($L104=$M104,"Booking",INDEX($N$4:$U$4,MATCH($L104,$N104:$U104,0))),IF(IFERROR(LOOKUP(2,1/(ISNUMBER($M104:$U104)+($M104:$U104="DNA")),$M104:$U104),"")="DNA","Rebook DNA",IF(ISNUMBER(IFERROR(LOOKUP(2,1/(ISNUMBER($M104:$U104)+($M104:$U104="DNA")),$M104:$U104),"")),IF(ISNUMBER($U104),"Update status","Missed/not booked?"),""))))</f>
        <v/>
      </c>
      <c r="L104" s="33">
        <f>IF(NOT(AND($A104&lt;&gt;"",OR($G104="",$G104="Active"))),"",IFERROR(SMALL($M104:$U104,COUNTIF($M104:$U104,"&lt;"&amp;TODAY())+1),""))</f>
        <v/>
      </c>
      <c r="M104" s="31" t="n"/>
      <c r="N104" s="31" t="n"/>
      <c r="O104" s="31" t="n"/>
      <c r="P104" s="31" t="n"/>
      <c r="Q104" s="31" t="n"/>
      <c r="R104" s="31" t="n"/>
      <c r="S104" s="31" t="n"/>
      <c r="T104" s="31" t="n"/>
      <c r="U104" s="31" t="n"/>
      <c r="V104" s="31" t="n"/>
      <c r="W104" s="31" t="n"/>
      <c r="X104" s="31" t="n"/>
      <c r="Y104" s="31" t="n"/>
      <c r="Z104" s="31" t="n"/>
      <c r="AA104" s="34" t="n"/>
      <c r="AB104" s="29" t="n"/>
      <c r="AC104" s="31" t="n"/>
    </row>
    <row r="105">
      <c r="A105" s="29" t="n"/>
      <c r="B105" s="30" t="n"/>
      <c r="C105" s="31" t="n"/>
      <c r="D105" s="29" t="n"/>
      <c r="E105" s="29" t="n"/>
      <c r="F105" s="31" t="n"/>
      <c r="G105" s="29" t="n"/>
      <c r="H105" s="32">
        <f>IF(OR(NOT(AND($A105&lt;&gt;"",OR($G105="",$G105="Active"))),$F105=""),"",INT((TODAY()-$F105+280)/7)&amp;"+"&amp;MOD(TODAY()-$F105+280,7))</f>
        <v/>
      </c>
      <c r="I105" s="32">
        <f>IF(NOT(AND($A105&lt;&gt;"",OR($G105="",$G105="Active"))),"",IF(OR(IFERROR(LOOKUP(2,1/(ISNUMBER($M105:$U105)+($M105:$U105="DNA")),$M105:$U105),"")="DNA",AND(ISNUMBER(IFERROR(LOOKUP(2,1/(ISNUMBER($M105:$U105)+($M105:$U105="DNA")),$M105:$U105),"")),IFERROR(LOOKUP(2,1/(ISNUMBER($M105:$U105)+($M105:$U105="DNA")),$M105:$U105),"")&lt;TODAY())),1,0)+COUNTIF($V105:$Z105,"&lt;"&amp;TODAY()))</f>
        <v/>
      </c>
      <c r="J105" s="32">
        <f>IF(NOT(AND($A105&lt;&gt;"",OR($G105="",$G105="Active"))),"",COUNTIFS($M105:$U105,"&gt;="&amp;TODAY(),$M105:$U105,"&lt;="&amp;TODAY()+7)+COUNTIFS($V105:$Z105,"&gt;="&amp;TODAY(),$V105:$Z105,"&lt;="&amp;TODAY()+7))</f>
        <v/>
      </c>
      <c r="K105" s="32">
        <f>IF(NOT(AND($A105&lt;&gt;"",OR($G105="",$G105="Active"))),"",IF($L105&lt;&gt;"",IF($L105=$M105,"Booking",INDEX($N$4:$U$4,MATCH($L105,$N105:$U105,0))),IF(IFERROR(LOOKUP(2,1/(ISNUMBER($M105:$U105)+($M105:$U105="DNA")),$M105:$U105),"")="DNA","Rebook DNA",IF(ISNUMBER(IFERROR(LOOKUP(2,1/(ISNUMBER($M105:$U105)+($M105:$U105="DNA")),$M105:$U105),"")),IF(ISNUMBER($U105),"Update status","Missed/not booked?"),""))))</f>
        <v/>
      </c>
      <c r="L105" s="33">
        <f>IF(NOT(AND($A105&lt;&gt;"",OR($G105="",$G105="Active"))),"",IFERROR(SMALL($M105:$U105,COUNTIF($M105:$U105,"&lt;"&amp;TODAY())+1),""))</f>
        <v/>
      </c>
      <c r="M105" s="31" t="n"/>
      <c r="N105" s="31" t="n"/>
      <c r="O105" s="31" t="n"/>
      <c r="P105" s="31" t="n"/>
      <c r="Q105" s="31" t="n"/>
      <c r="R105" s="31" t="n"/>
      <c r="S105" s="31" t="n"/>
      <c r="T105" s="31" t="n"/>
      <c r="U105" s="31" t="n"/>
      <c r="V105" s="31" t="n"/>
      <c r="W105" s="31" t="n"/>
      <c r="X105" s="31" t="n"/>
      <c r="Y105" s="31" t="n"/>
      <c r="Z105" s="31" t="n"/>
      <c r="AA105" s="34" t="n"/>
      <c r="AB105" s="29" t="n"/>
      <c r="AC105" s="31" t="n"/>
    </row>
    <row r="106">
      <c r="A106" s="29" t="n"/>
      <c r="B106" s="30" t="n"/>
      <c r="C106" s="31" t="n"/>
      <c r="D106" s="29" t="n"/>
      <c r="E106" s="29" t="n"/>
      <c r="F106" s="31" t="n"/>
      <c r="G106" s="29" t="n"/>
      <c r="H106" s="32">
        <f>IF(OR(NOT(AND($A106&lt;&gt;"",OR($G106="",$G106="Active"))),$F106=""),"",INT((TODAY()-$F106+280)/7)&amp;"+"&amp;MOD(TODAY()-$F106+280,7))</f>
        <v/>
      </c>
      <c r="I106" s="32">
        <f>IF(NOT(AND($A106&lt;&gt;"",OR($G106="",$G106="Active"))),"",IF(OR(IFERROR(LOOKUP(2,1/(ISNUMBER($M106:$U106)+($M106:$U106="DNA")),$M106:$U106),"")="DNA",AND(ISNUMBER(IFERROR(LOOKUP(2,1/(ISNUMBER($M106:$U106)+($M106:$U106="DNA")),$M106:$U106),"")),IFERROR(LOOKUP(2,1/(ISNUMBER($M106:$U106)+($M106:$U106="DNA")),$M106:$U106),"")&lt;TODAY())),1,0)+COUNTIF($V106:$Z106,"&lt;"&amp;TODAY()))</f>
        <v/>
      </c>
      <c r="J106" s="32">
        <f>IF(NOT(AND($A106&lt;&gt;"",OR($G106="",$G106="Active"))),"",COUNTIFS($M106:$U106,"&gt;="&amp;TODAY(),$M106:$U106,"&lt;="&amp;TODAY()+7)+COUNTIFS($V106:$Z106,"&gt;="&amp;TODAY(),$V106:$Z106,"&lt;="&amp;TODAY()+7))</f>
        <v/>
      </c>
      <c r="K106" s="32">
        <f>IF(NOT(AND($A106&lt;&gt;"",OR($G106="",$G106="Active"))),"",IF($L106&lt;&gt;"",IF($L106=$M106,"Booking",INDEX($N$4:$U$4,MATCH($L106,$N106:$U106,0))),IF(IFERROR(LOOKUP(2,1/(ISNUMBER($M106:$U106)+($M106:$U106="DNA")),$M106:$U106),"")="DNA","Rebook DNA",IF(ISNUMBER(IFERROR(LOOKUP(2,1/(ISNUMBER($M106:$U106)+($M106:$U106="DNA")),$M106:$U106),"")),IF(ISNUMBER($U106),"Update status","Missed/not booked?"),""))))</f>
        <v/>
      </c>
      <c r="L106" s="33">
        <f>IF(NOT(AND($A106&lt;&gt;"",OR($G106="",$G106="Active"))),"",IFERROR(SMALL($M106:$U106,COUNTIF($M106:$U106,"&lt;"&amp;TODAY())+1),""))</f>
        <v/>
      </c>
      <c r="M106" s="31" t="n"/>
      <c r="N106" s="31" t="n"/>
      <c r="O106" s="31" t="n"/>
      <c r="P106" s="31" t="n"/>
      <c r="Q106" s="31" t="n"/>
      <c r="R106" s="31" t="n"/>
      <c r="S106" s="31" t="n"/>
      <c r="T106" s="31" t="n"/>
      <c r="U106" s="31" t="n"/>
      <c r="V106" s="31" t="n"/>
      <c r="W106" s="31" t="n"/>
      <c r="X106" s="31" t="n"/>
      <c r="Y106" s="31" t="n"/>
      <c r="Z106" s="31" t="n"/>
      <c r="AA106" s="34" t="n"/>
      <c r="AB106" s="29" t="n"/>
      <c r="AC106" s="31" t="n"/>
    </row>
    <row r="107">
      <c r="A107" s="29" t="n"/>
      <c r="B107" s="30" t="n"/>
      <c r="C107" s="31" t="n"/>
      <c r="D107" s="29" t="n"/>
      <c r="E107" s="29" t="n"/>
      <c r="F107" s="31" t="n"/>
      <c r="G107" s="29" t="n"/>
      <c r="H107" s="32">
        <f>IF(OR(NOT(AND($A107&lt;&gt;"",OR($G107="",$G107="Active"))),$F107=""),"",INT((TODAY()-$F107+280)/7)&amp;"+"&amp;MOD(TODAY()-$F107+280,7))</f>
        <v/>
      </c>
      <c r="I107" s="32">
        <f>IF(NOT(AND($A107&lt;&gt;"",OR($G107="",$G107="Active"))),"",IF(OR(IFERROR(LOOKUP(2,1/(ISNUMBER($M107:$U107)+($M107:$U107="DNA")),$M107:$U107),"")="DNA",AND(ISNUMBER(IFERROR(LOOKUP(2,1/(ISNUMBER($M107:$U107)+($M107:$U107="DNA")),$M107:$U107),"")),IFERROR(LOOKUP(2,1/(ISNUMBER($M107:$U107)+($M107:$U107="DNA")),$M107:$U107),"")&lt;TODAY())),1,0)+COUNTIF($V107:$Z107,"&lt;"&amp;TODAY()))</f>
        <v/>
      </c>
      <c r="J107" s="32">
        <f>IF(NOT(AND($A107&lt;&gt;"",OR($G107="",$G107="Active"))),"",COUNTIFS($M107:$U107,"&gt;="&amp;TODAY(),$M107:$U107,"&lt;="&amp;TODAY()+7)+COUNTIFS($V107:$Z107,"&gt;="&amp;TODAY(),$V107:$Z107,"&lt;="&amp;TODAY()+7))</f>
        <v/>
      </c>
      <c r="K107" s="32">
        <f>IF(NOT(AND($A107&lt;&gt;"",OR($G107="",$G107="Active"))),"",IF($L107&lt;&gt;"",IF($L107=$M107,"Booking",INDEX($N$4:$U$4,MATCH($L107,$N107:$U107,0))),IF(IFERROR(LOOKUP(2,1/(ISNUMBER($M107:$U107)+($M107:$U107="DNA")),$M107:$U107),"")="DNA","Rebook DNA",IF(ISNUMBER(IFERROR(LOOKUP(2,1/(ISNUMBER($M107:$U107)+($M107:$U107="DNA")),$M107:$U107),"")),IF(ISNUMBER($U107),"Update status","Missed/not booked?"),""))))</f>
        <v/>
      </c>
      <c r="L107" s="33">
        <f>IF(NOT(AND($A107&lt;&gt;"",OR($G107="",$G107="Active"))),"",IFERROR(SMALL($M107:$U107,COUNTIF($M107:$U107,"&lt;"&amp;TODAY())+1),""))</f>
        <v/>
      </c>
      <c r="M107" s="31" t="n"/>
      <c r="N107" s="31" t="n"/>
      <c r="O107" s="31" t="n"/>
      <c r="P107" s="31" t="n"/>
      <c r="Q107" s="31" t="n"/>
      <c r="R107" s="31" t="n"/>
      <c r="S107" s="31" t="n"/>
      <c r="T107" s="31" t="n"/>
      <c r="U107" s="31" t="n"/>
      <c r="V107" s="31" t="n"/>
      <c r="W107" s="31" t="n"/>
      <c r="X107" s="31" t="n"/>
      <c r="Y107" s="31" t="n"/>
      <c r="Z107" s="31" t="n"/>
      <c r="AA107" s="34" t="n"/>
      <c r="AB107" s="29" t="n"/>
      <c r="AC107" s="31" t="n"/>
    </row>
    <row r="108">
      <c r="A108" s="29" t="n"/>
      <c r="B108" s="30" t="n"/>
      <c r="C108" s="31" t="n"/>
      <c r="D108" s="29" t="n"/>
      <c r="E108" s="29" t="n"/>
      <c r="F108" s="31" t="n"/>
      <c r="G108" s="29" t="n"/>
      <c r="H108" s="32">
        <f>IF(OR(NOT(AND($A108&lt;&gt;"",OR($G108="",$G108="Active"))),$F108=""),"",INT((TODAY()-$F108+280)/7)&amp;"+"&amp;MOD(TODAY()-$F108+280,7))</f>
        <v/>
      </c>
      <c r="I108" s="32">
        <f>IF(NOT(AND($A108&lt;&gt;"",OR($G108="",$G108="Active"))),"",IF(OR(IFERROR(LOOKUP(2,1/(ISNUMBER($M108:$U108)+($M108:$U108="DNA")),$M108:$U108),"")="DNA",AND(ISNUMBER(IFERROR(LOOKUP(2,1/(ISNUMBER($M108:$U108)+($M108:$U108="DNA")),$M108:$U108),"")),IFERROR(LOOKUP(2,1/(ISNUMBER($M108:$U108)+($M108:$U108="DNA")),$M108:$U108),"")&lt;TODAY())),1,0)+COUNTIF($V108:$Z108,"&lt;"&amp;TODAY()))</f>
        <v/>
      </c>
      <c r="J108" s="32">
        <f>IF(NOT(AND($A108&lt;&gt;"",OR($G108="",$G108="Active"))),"",COUNTIFS($M108:$U108,"&gt;="&amp;TODAY(),$M108:$U108,"&lt;="&amp;TODAY()+7)+COUNTIFS($V108:$Z108,"&gt;="&amp;TODAY(),$V108:$Z108,"&lt;="&amp;TODAY()+7))</f>
        <v/>
      </c>
      <c r="K108" s="32">
        <f>IF(NOT(AND($A108&lt;&gt;"",OR($G108="",$G108="Active"))),"",IF($L108&lt;&gt;"",IF($L108=$M108,"Booking",INDEX($N$4:$U$4,MATCH($L108,$N108:$U108,0))),IF(IFERROR(LOOKUP(2,1/(ISNUMBER($M108:$U108)+($M108:$U108="DNA")),$M108:$U108),"")="DNA","Rebook DNA",IF(ISNUMBER(IFERROR(LOOKUP(2,1/(ISNUMBER($M108:$U108)+($M108:$U108="DNA")),$M108:$U108),"")),IF(ISNUMBER($U108),"Update status","Missed/not booked?"),""))))</f>
        <v/>
      </c>
      <c r="L108" s="33">
        <f>IF(NOT(AND($A108&lt;&gt;"",OR($G108="",$G108="Active"))),"",IFERROR(SMALL($M108:$U108,COUNTIF($M108:$U108,"&lt;"&amp;TODAY())+1),""))</f>
        <v/>
      </c>
      <c r="M108" s="31" t="n"/>
      <c r="N108" s="31" t="n"/>
      <c r="O108" s="31" t="n"/>
      <c r="P108" s="31" t="n"/>
      <c r="Q108" s="31" t="n"/>
      <c r="R108" s="31" t="n"/>
      <c r="S108" s="31" t="n"/>
      <c r="T108" s="31" t="n"/>
      <c r="U108" s="31" t="n"/>
      <c r="V108" s="31" t="n"/>
      <c r="W108" s="31" t="n"/>
      <c r="X108" s="31" t="n"/>
      <c r="Y108" s="31" t="n"/>
      <c r="Z108" s="31" t="n"/>
      <c r="AA108" s="34" t="n"/>
      <c r="AB108" s="29" t="n"/>
      <c r="AC108" s="31" t="n"/>
    </row>
    <row r="109">
      <c r="A109" s="29" t="n"/>
      <c r="B109" s="30" t="n"/>
      <c r="C109" s="31" t="n"/>
      <c r="D109" s="29" t="n"/>
      <c r="E109" s="29" t="n"/>
      <c r="F109" s="31" t="n"/>
      <c r="G109" s="29" t="n"/>
      <c r="H109" s="32">
        <f>IF(OR(NOT(AND($A109&lt;&gt;"",OR($G109="",$G109="Active"))),$F109=""),"",INT((TODAY()-$F109+280)/7)&amp;"+"&amp;MOD(TODAY()-$F109+280,7))</f>
        <v/>
      </c>
      <c r="I109" s="32">
        <f>IF(NOT(AND($A109&lt;&gt;"",OR($G109="",$G109="Active"))),"",IF(OR(IFERROR(LOOKUP(2,1/(ISNUMBER($M109:$U109)+($M109:$U109="DNA")),$M109:$U109),"")="DNA",AND(ISNUMBER(IFERROR(LOOKUP(2,1/(ISNUMBER($M109:$U109)+($M109:$U109="DNA")),$M109:$U109),"")),IFERROR(LOOKUP(2,1/(ISNUMBER($M109:$U109)+($M109:$U109="DNA")),$M109:$U109),"")&lt;TODAY())),1,0)+COUNTIF($V109:$Z109,"&lt;"&amp;TODAY()))</f>
        <v/>
      </c>
      <c r="J109" s="32">
        <f>IF(NOT(AND($A109&lt;&gt;"",OR($G109="",$G109="Active"))),"",COUNTIFS($M109:$U109,"&gt;="&amp;TODAY(),$M109:$U109,"&lt;="&amp;TODAY()+7)+COUNTIFS($V109:$Z109,"&gt;="&amp;TODAY(),$V109:$Z109,"&lt;="&amp;TODAY()+7))</f>
        <v/>
      </c>
      <c r="K109" s="32">
        <f>IF(NOT(AND($A109&lt;&gt;"",OR($G109="",$G109="Active"))),"",IF($L109&lt;&gt;"",IF($L109=$M109,"Booking",INDEX($N$4:$U$4,MATCH($L109,$N109:$U109,0))),IF(IFERROR(LOOKUP(2,1/(ISNUMBER($M109:$U109)+($M109:$U109="DNA")),$M109:$U109),"")="DNA","Rebook DNA",IF(ISNUMBER(IFERROR(LOOKUP(2,1/(ISNUMBER($M109:$U109)+($M109:$U109="DNA")),$M109:$U109),"")),IF(ISNUMBER($U109),"Update status","Missed/not booked?"),""))))</f>
        <v/>
      </c>
      <c r="L109" s="33">
        <f>IF(NOT(AND($A109&lt;&gt;"",OR($G109="",$G109="Active"))),"",IFERROR(SMALL($M109:$U109,COUNTIF($M109:$U109,"&lt;"&amp;TODAY())+1),""))</f>
        <v/>
      </c>
      <c r="M109" s="31" t="n"/>
      <c r="N109" s="31" t="n"/>
      <c r="O109" s="31" t="n"/>
      <c r="P109" s="31" t="n"/>
      <c r="Q109" s="31" t="n"/>
      <c r="R109" s="31" t="n"/>
      <c r="S109" s="31" t="n"/>
      <c r="T109" s="31" t="n"/>
      <c r="U109" s="31" t="n"/>
      <c r="V109" s="31" t="n"/>
      <c r="W109" s="31" t="n"/>
      <c r="X109" s="31" t="n"/>
      <c r="Y109" s="31" t="n"/>
      <c r="Z109" s="31" t="n"/>
      <c r="AA109" s="34" t="n"/>
      <c r="AB109" s="29" t="n"/>
      <c r="AC109" s="31" t="n"/>
    </row>
    <row r="110">
      <c r="A110" s="29" t="n"/>
      <c r="B110" s="30" t="n"/>
      <c r="C110" s="31" t="n"/>
      <c r="D110" s="29" t="n"/>
      <c r="E110" s="29" t="n"/>
      <c r="F110" s="31" t="n"/>
      <c r="G110" s="29" t="n"/>
      <c r="H110" s="32">
        <f>IF(OR(NOT(AND($A110&lt;&gt;"",OR($G110="",$G110="Active"))),$F110=""),"",INT((TODAY()-$F110+280)/7)&amp;"+"&amp;MOD(TODAY()-$F110+280,7))</f>
        <v/>
      </c>
      <c r="I110" s="32">
        <f>IF(NOT(AND($A110&lt;&gt;"",OR($G110="",$G110="Active"))),"",IF(OR(IFERROR(LOOKUP(2,1/(ISNUMBER($M110:$U110)+($M110:$U110="DNA")),$M110:$U110),"")="DNA",AND(ISNUMBER(IFERROR(LOOKUP(2,1/(ISNUMBER($M110:$U110)+($M110:$U110="DNA")),$M110:$U110),"")),IFERROR(LOOKUP(2,1/(ISNUMBER($M110:$U110)+($M110:$U110="DNA")),$M110:$U110),"")&lt;TODAY())),1,0)+COUNTIF($V110:$Z110,"&lt;"&amp;TODAY()))</f>
        <v/>
      </c>
      <c r="J110" s="32">
        <f>IF(NOT(AND($A110&lt;&gt;"",OR($G110="",$G110="Active"))),"",COUNTIFS($M110:$U110,"&gt;="&amp;TODAY(),$M110:$U110,"&lt;="&amp;TODAY()+7)+COUNTIFS($V110:$Z110,"&gt;="&amp;TODAY(),$V110:$Z110,"&lt;="&amp;TODAY()+7))</f>
        <v/>
      </c>
      <c r="K110" s="32">
        <f>IF(NOT(AND($A110&lt;&gt;"",OR($G110="",$G110="Active"))),"",IF($L110&lt;&gt;"",IF($L110=$M110,"Booking",INDEX($N$4:$U$4,MATCH($L110,$N110:$U110,0))),IF(IFERROR(LOOKUP(2,1/(ISNUMBER($M110:$U110)+($M110:$U110="DNA")),$M110:$U110),"")="DNA","Rebook DNA",IF(ISNUMBER(IFERROR(LOOKUP(2,1/(ISNUMBER($M110:$U110)+($M110:$U110="DNA")),$M110:$U110),"")),IF(ISNUMBER($U110),"Update status","Missed/not booked?"),""))))</f>
        <v/>
      </c>
      <c r="L110" s="33">
        <f>IF(NOT(AND($A110&lt;&gt;"",OR($G110="",$G110="Active"))),"",IFERROR(SMALL($M110:$U110,COUNTIF($M110:$U110,"&lt;"&amp;TODAY())+1),""))</f>
        <v/>
      </c>
      <c r="M110" s="31" t="n"/>
      <c r="N110" s="31" t="n"/>
      <c r="O110" s="31" t="n"/>
      <c r="P110" s="31" t="n"/>
      <c r="Q110" s="31" t="n"/>
      <c r="R110" s="31" t="n"/>
      <c r="S110" s="31" t="n"/>
      <c r="T110" s="31" t="n"/>
      <c r="U110" s="31" t="n"/>
      <c r="V110" s="31" t="n"/>
      <c r="W110" s="31" t="n"/>
      <c r="X110" s="31" t="n"/>
      <c r="Y110" s="31" t="n"/>
      <c r="Z110" s="31" t="n"/>
      <c r="AA110" s="34" t="n"/>
      <c r="AB110" s="29" t="n"/>
      <c r="AC110" s="31" t="n"/>
    </row>
    <row r="111">
      <c r="A111" s="29" t="n"/>
      <c r="B111" s="30" t="n"/>
      <c r="C111" s="31" t="n"/>
      <c r="D111" s="29" t="n"/>
      <c r="E111" s="29" t="n"/>
      <c r="F111" s="31" t="n"/>
      <c r="G111" s="29" t="n"/>
      <c r="H111" s="32">
        <f>IF(OR(NOT(AND($A111&lt;&gt;"",OR($G111="",$G111="Active"))),$F111=""),"",INT((TODAY()-$F111+280)/7)&amp;"+"&amp;MOD(TODAY()-$F111+280,7))</f>
        <v/>
      </c>
      <c r="I111" s="32">
        <f>IF(NOT(AND($A111&lt;&gt;"",OR($G111="",$G111="Active"))),"",IF(OR(IFERROR(LOOKUP(2,1/(ISNUMBER($M111:$U111)+($M111:$U111="DNA")),$M111:$U111),"")="DNA",AND(ISNUMBER(IFERROR(LOOKUP(2,1/(ISNUMBER($M111:$U111)+($M111:$U111="DNA")),$M111:$U111),"")),IFERROR(LOOKUP(2,1/(ISNUMBER($M111:$U111)+($M111:$U111="DNA")),$M111:$U111),"")&lt;TODAY())),1,0)+COUNTIF($V111:$Z111,"&lt;"&amp;TODAY()))</f>
        <v/>
      </c>
      <c r="J111" s="32">
        <f>IF(NOT(AND($A111&lt;&gt;"",OR($G111="",$G111="Active"))),"",COUNTIFS($M111:$U111,"&gt;="&amp;TODAY(),$M111:$U111,"&lt;="&amp;TODAY()+7)+COUNTIFS($V111:$Z111,"&gt;="&amp;TODAY(),$V111:$Z111,"&lt;="&amp;TODAY()+7))</f>
        <v/>
      </c>
      <c r="K111" s="32">
        <f>IF(NOT(AND($A111&lt;&gt;"",OR($G111="",$G111="Active"))),"",IF($L111&lt;&gt;"",IF($L111=$M111,"Booking",INDEX($N$4:$U$4,MATCH($L111,$N111:$U111,0))),IF(IFERROR(LOOKUP(2,1/(ISNUMBER($M111:$U111)+($M111:$U111="DNA")),$M111:$U111),"")="DNA","Rebook DNA",IF(ISNUMBER(IFERROR(LOOKUP(2,1/(ISNUMBER($M111:$U111)+($M111:$U111="DNA")),$M111:$U111),"")),IF(ISNUMBER($U111),"Update status","Missed/not booked?"),""))))</f>
        <v/>
      </c>
      <c r="L111" s="33">
        <f>IF(NOT(AND($A111&lt;&gt;"",OR($G111="",$G111="Active"))),"",IFERROR(SMALL($M111:$U111,COUNTIF($M111:$U111,"&lt;"&amp;TODAY())+1),""))</f>
        <v/>
      </c>
      <c r="M111" s="31" t="n"/>
      <c r="N111" s="31" t="n"/>
      <c r="O111" s="31" t="n"/>
      <c r="P111" s="31" t="n"/>
      <c r="Q111" s="31" t="n"/>
      <c r="R111" s="31" t="n"/>
      <c r="S111" s="31" t="n"/>
      <c r="T111" s="31" t="n"/>
      <c r="U111" s="31" t="n"/>
      <c r="V111" s="31" t="n"/>
      <c r="W111" s="31" t="n"/>
      <c r="X111" s="31" t="n"/>
      <c r="Y111" s="31" t="n"/>
      <c r="Z111" s="31" t="n"/>
      <c r="AA111" s="34" t="n"/>
      <c r="AB111" s="29" t="n"/>
      <c r="AC111" s="31" t="n"/>
    </row>
    <row r="112">
      <c r="A112" s="29" t="n"/>
      <c r="B112" s="30" t="n"/>
      <c r="C112" s="31" t="n"/>
      <c r="D112" s="29" t="n"/>
      <c r="E112" s="29" t="n"/>
      <c r="F112" s="31" t="n"/>
      <c r="G112" s="29" t="n"/>
      <c r="H112" s="32">
        <f>IF(OR(NOT(AND($A112&lt;&gt;"",OR($G112="",$G112="Active"))),$F112=""),"",INT((TODAY()-$F112+280)/7)&amp;"+"&amp;MOD(TODAY()-$F112+280,7))</f>
        <v/>
      </c>
      <c r="I112" s="32">
        <f>IF(NOT(AND($A112&lt;&gt;"",OR($G112="",$G112="Active"))),"",IF(OR(IFERROR(LOOKUP(2,1/(ISNUMBER($M112:$U112)+($M112:$U112="DNA")),$M112:$U112),"")="DNA",AND(ISNUMBER(IFERROR(LOOKUP(2,1/(ISNUMBER($M112:$U112)+($M112:$U112="DNA")),$M112:$U112),"")),IFERROR(LOOKUP(2,1/(ISNUMBER($M112:$U112)+($M112:$U112="DNA")),$M112:$U112),"")&lt;TODAY())),1,0)+COUNTIF($V112:$Z112,"&lt;"&amp;TODAY()))</f>
        <v/>
      </c>
      <c r="J112" s="32">
        <f>IF(NOT(AND($A112&lt;&gt;"",OR($G112="",$G112="Active"))),"",COUNTIFS($M112:$U112,"&gt;="&amp;TODAY(),$M112:$U112,"&lt;="&amp;TODAY()+7)+COUNTIFS($V112:$Z112,"&gt;="&amp;TODAY(),$V112:$Z112,"&lt;="&amp;TODAY()+7))</f>
        <v/>
      </c>
      <c r="K112" s="32">
        <f>IF(NOT(AND($A112&lt;&gt;"",OR($G112="",$G112="Active"))),"",IF($L112&lt;&gt;"",IF($L112=$M112,"Booking",INDEX($N$4:$U$4,MATCH($L112,$N112:$U112,0))),IF(IFERROR(LOOKUP(2,1/(ISNUMBER($M112:$U112)+($M112:$U112="DNA")),$M112:$U112),"")="DNA","Rebook DNA",IF(ISNUMBER(IFERROR(LOOKUP(2,1/(ISNUMBER($M112:$U112)+($M112:$U112="DNA")),$M112:$U112),"")),IF(ISNUMBER($U112),"Update status","Missed/not booked?"),""))))</f>
        <v/>
      </c>
      <c r="L112" s="33">
        <f>IF(NOT(AND($A112&lt;&gt;"",OR($G112="",$G112="Active"))),"",IFERROR(SMALL($M112:$U112,COUNTIF($M112:$U112,"&lt;"&amp;TODAY())+1),""))</f>
        <v/>
      </c>
      <c r="M112" s="31" t="n"/>
      <c r="N112" s="31" t="n"/>
      <c r="O112" s="31" t="n"/>
      <c r="P112" s="31" t="n"/>
      <c r="Q112" s="31" t="n"/>
      <c r="R112" s="31" t="n"/>
      <c r="S112" s="31" t="n"/>
      <c r="T112" s="31" t="n"/>
      <c r="U112" s="31" t="n"/>
      <c r="V112" s="31" t="n"/>
      <c r="W112" s="31" t="n"/>
      <c r="X112" s="31" t="n"/>
      <c r="Y112" s="31" t="n"/>
      <c r="Z112" s="31" t="n"/>
      <c r="AA112" s="34" t="n"/>
      <c r="AB112" s="29" t="n"/>
      <c r="AC112" s="31" t="n"/>
    </row>
    <row r="113">
      <c r="A113" s="29" t="n"/>
      <c r="B113" s="30" t="n"/>
      <c r="C113" s="31" t="n"/>
      <c r="D113" s="29" t="n"/>
      <c r="E113" s="29" t="n"/>
      <c r="F113" s="31" t="n"/>
      <c r="G113" s="29" t="n"/>
      <c r="H113" s="32">
        <f>IF(OR(NOT(AND($A113&lt;&gt;"",OR($G113="",$G113="Active"))),$F113=""),"",INT((TODAY()-$F113+280)/7)&amp;"+"&amp;MOD(TODAY()-$F113+280,7))</f>
        <v/>
      </c>
      <c r="I113" s="32">
        <f>IF(NOT(AND($A113&lt;&gt;"",OR($G113="",$G113="Active"))),"",IF(OR(IFERROR(LOOKUP(2,1/(ISNUMBER($M113:$U113)+($M113:$U113="DNA")),$M113:$U113),"")="DNA",AND(ISNUMBER(IFERROR(LOOKUP(2,1/(ISNUMBER($M113:$U113)+($M113:$U113="DNA")),$M113:$U113),"")),IFERROR(LOOKUP(2,1/(ISNUMBER($M113:$U113)+($M113:$U113="DNA")),$M113:$U113),"")&lt;TODAY())),1,0)+COUNTIF($V113:$Z113,"&lt;"&amp;TODAY()))</f>
        <v/>
      </c>
      <c r="J113" s="32">
        <f>IF(NOT(AND($A113&lt;&gt;"",OR($G113="",$G113="Active"))),"",COUNTIFS($M113:$U113,"&gt;="&amp;TODAY(),$M113:$U113,"&lt;="&amp;TODAY()+7)+COUNTIFS($V113:$Z113,"&gt;="&amp;TODAY(),$V113:$Z113,"&lt;="&amp;TODAY()+7))</f>
        <v/>
      </c>
      <c r="K113" s="32">
        <f>IF(NOT(AND($A113&lt;&gt;"",OR($G113="",$G113="Active"))),"",IF($L113&lt;&gt;"",IF($L113=$M113,"Booking",INDEX($N$4:$U$4,MATCH($L113,$N113:$U113,0))),IF(IFERROR(LOOKUP(2,1/(ISNUMBER($M113:$U113)+($M113:$U113="DNA")),$M113:$U113),"")="DNA","Rebook DNA",IF(ISNUMBER(IFERROR(LOOKUP(2,1/(ISNUMBER($M113:$U113)+($M113:$U113="DNA")),$M113:$U113),"")),IF(ISNUMBER($U113),"Update status","Missed/not booked?"),""))))</f>
        <v/>
      </c>
      <c r="L113" s="33">
        <f>IF(NOT(AND($A113&lt;&gt;"",OR($G113="",$G113="Active"))),"",IFERROR(SMALL($M113:$U113,COUNTIF($M113:$U113,"&lt;"&amp;TODAY())+1),""))</f>
        <v/>
      </c>
      <c r="M113" s="31" t="n"/>
      <c r="N113" s="31" t="n"/>
      <c r="O113" s="31" t="n"/>
      <c r="P113" s="31" t="n"/>
      <c r="Q113" s="31" t="n"/>
      <c r="R113" s="31" t="n"/>
      <c r="S113" s="31" t="n"/>
      <c r="T113" s="31" t="n"/>
      <c r="U113" s="31" t="n"/>
      <c r="V113" s="31" t="n"/>
      <c r="W113" s="31" t="n"/>
      <c r="X113" s="31" t="n"/>
      <c r="Y113" s="31" t="n"/>
      <c r="Z113" s="31" t="n"/>
      <c r="AA113" s="34" t="n"/>
      <c r="AB113" s="29" t="n"/>
      <c r="AC113" s="31" t="n"/>
    </row>
    <row r="114">
      <c r="A114" s="29" t="n"/>
      <c r="B114" s="30" t="n"/>
      <c r="C114" s="31" t="n"/>
      <c r="D114" s="29" t="n"/>
      <c r="E114" s="29" t="n"/>
      <c r="F114" s="31" t="n"/>
      <c r="G114" s="29" t="n"/>
      <c r="H114" s="32">
        <f>IF(OR(NOT(AND($A114&lt;&gt;"",OR($G114="",$G114="Active"))),$F114=""),"",INT((TODAY()-$F114+280)/7)&amp;"+"&amp;MOD(TODAY()-$F114+280,7))</f>
        <v/>
      </c>
      <c r="I114" s="32">
        <f>IF(NOT(AND($A114&lt;&gt;"",OR($G114="",$G114="Active"))),"",IF(OR(IFERROR(LOOKUP(2,1/(ISNUMBER($M114:$U114)+($M114:$U114="DNA")),$M114:$U114),"")="DNA",AND(ISNUMBER(IFERROR(LOOKUP(2,1/(ISNUMBER($M114:$U114)+($M114:$U114="DNA")),$M114:$U114),"")),IFERROR(LOOKUP(2,1/(ISNUMBER($M114:$U114)+($M114:$U114="DNA")),$M114:$U114),"")&lt;TODAY())),1,0)+COUNTIF($V114:$Z114,"&lt;"&amp;TODAY()))</f>
        <v/>
      </c>
      <c r="J114" s="32">
        <f>IF(NOT(AND($A114&lt;&gt;"",OR($G114="",$G114="Active"))),"",COUNTIFS($M114:$U114,"&gt;="&amp;TODAY(),$M114:$U114,"&lt;="&amp;TODAY()+7)+COUNTIFS($V114:$Z114,"&gt;="&amp;TODAY(),$V114:$Z114,"&lt;="&amp;TODAY()+7))</f>
        <v/>
      </c>
      <c r="K114" s="32">
        <f>IF(NOT(AND($A114&lt;&gt;"",OR($G114="",$G114="Active"))),"",IF($L114&lt;&gt;"",IF($L114=$M114,"Booking",INDEX($N$4:$U$4,MATCH($L114,$N114:$U114,0))),IF(IFERROR(LOOKUP(2,1/(ISNUMBER($M114:$U114)+($M114:$U114="DNA")),$M114:$U114),"")="DNA","Rebook DNA",IF(ISNUMBER(IFERROR(LOOKUP(2,1/(ISNUMBER($M114:$U114)+($M114:$U114="DNA")),$M114:$U114),"")),IF(ISNUMBER($U114),"Update status","Missed/not booked?"),""))))</f>
        <v/>
      </c>
      <c r="L114" s="33">
        <f>IF(NOT(AND($A114&lt;&gt;"",OR($G114="",$G114="Active"))),"",IFERROR(SMALL($M114:$U114,COUNTIF($M114:$U114,"&lt;"&amp;TODAY())+1),""))</f>
        <v/>
      </c>
      <c r="M114" s="31" t="n"/>
      <c r="N114" s="31" t="n"/>
      <c r="O114" s="31" t="n"/>
      <c r="P114" s="31" t="n"/>
      <c r="Q114" s="31" t="n"/>
      <c r="R114" s="31" t="n"/>
      <c r="S114" s="31" t="n"/>
      <c r="T114" s="31" t="n"/>
      <c r="U114" s="31" t="n"/>
      <c r="V114" s="31" t="n"/>
      <c r="W114" s="31" t="n"/>
      <c r="X114" s="31" t="n"/>
      <c r="Y114" s="31" t="n"/>
      <c r="Z114" s="31" t="n"/>
      <c r="AA114" s="34" t="n"/>
      <c r="AB114" s="29" t="n"/>
      <c r="AC114" s="31" t="n"/>
    </row>
    <row r="115">
      <c r="A115" s="29" t="n"/>
      <c r="B115" s="30" t="n"/>
      <c r="C115" s="31" t="n"/>
      <c r="D115" s="29" t="n"/>
      <c r="E115" s="29" t="n"/>
      <c r="F115" s="31" t="n"/>
      <c r="G115" s="29" t="n"/>
      <c r="H115" s="32">
        <f>IF(OR(NOT(AND($A115&lt;&gt;"",OR($G115="",$G115="Active"))),$F115=""),"",INT((TODAY()-$F115+280)/7)&amp;"+"&amp;MOD(TODAY()-$F115+280,7))</f>
        <v/>
      </c>
      <c r="I115" s="32">
        <f>IF(NOT(AND($A115&lt;&gt;"",OR($G115="",$G115="Active"))),"",IF(OR(IFERROR(LOOKUP(2,1/(ISNUMBER($M115:$U115)+($M115:$U115="DNA")),$M115:$U115),"")="DNA",AND(ISNUMBER(IFERROR(LOOKUP(2,1/(ISNUMBER($M115:$U115)+($M115:$U115="DNA")),$M115:$U115),"")),IFERROR(LOOKUP(2,1/(ISNUMBER($M115:$U115)+($M115:$U115="DNA")),$M115:$U115),"")&lt;TODAY())),1,0)+COUNTIF($V115:$Z115,"&lt;"&amp;TODAY()))</f>
        <v/>
      </c>
      <c r="J115" s="32">
        <f>IF(NOT(AND($A115&lt;&gt;"",OR($G115="",$G115="Active"))),"",COUNTIFS($M115:$U115,"&gt;="&amp;TODAY(),$M115:$U115,"&lt;="&amp;TODAY()+7)+COUNTIFS($V115:$Z115,"&gt;="&amp;TODAY(),$V115:$Z115,"&lt;="&amp;TODAY()+7))</f>
        <v/>
      </c>
      <c r="K115" s="32">
        <f>IF(NOT(AND($A115&lt;&gt;"",OR($G115="",$G115="Active"))),"",IF($L115&lt;&gt;"",IF($L115=$M115,"Booking",INDEX($N$4:$U$4,MATCH($L115,$N115:$U115,0))),IF(IFERROR(LOOKUP(2,1/(ISNUMBER($M115:$U115)+($M115:$U115="DNA")),$M115:$U115),"")="DNA","Rebook DNA",IF(ISNUMBER(IFERROR(LOOKUP(2,1/(ISNUMBER($M115:$U115)+($M115:$U115="DNA")),$M115:$U115),"")),IF(ISNUMBER($U115),"Update status","Missed/not booked?"),""))))</f>
        <v/>
      </c>
      <c r="L115" s="33">
        <f>IF(NOT(AND($A115&lt;&gt;"",OR($G115="",$G115="Active"))),"",IFERROR(SMALL($M115:$U115,COUNTIF($M115:$U115,"&lt;"&amp;TODAY())+1),""))</f>
        <v/>
      </c>
      <c r="M115" s="31" t="n"/>
      <c r="N115" s="31" t="n"/>
      <c r="O115" s="31" t="n"/>
      <c r="P115" s="31" t="n"/>
      <c r="Q115" s="31" t="n"/>
      <c r="R115" s="31" t="n"/>
      <c r="S115" s="31" t="n"/>
      <c r="T115" s="31" t="n"/>
      <c r="U115" s="31" t="n"/>
      <c r="V115" s="31" t="n"/>
      <c r="W115" s="31" t="n"/>
      <c r="X115" s="31" t="n"/>
      <c r="Y115" s="31" t="n"/>
      <c r="Z115" s="31" t="n"/>
      <c r="AA115" s="34" t="n"/>
      <c r="AB115" s="29" t="n"/>
      <c r="AC115" s="31" t="n"/>
    </row>
    <row r="116">
      <c r="A116" s="29" t="n"/>
      <c r="B116" s="30" t="n"/>
      <c r="C116" s="31" t="n"/>
      <c r="D116" s="29" t="n"/>
      <c r="E116" s="29" t="n"/>
      <c r="F116" s="31" t="n"/>
      <c r="G116" s="29" t="n"/>
      <c r="H116" s="32">
        <f>IF(OR(NOT(AND($A116&lt;&gt;"",OR($G116="",$G116="Active"))),$F116=""),"",INT((TODAY()-$F116+280)/7)&amp;"+"&amp;MOD(TODAY()-$F116+280,7))</f>
        <v/>
      </c>
      <c r="I116" s="32">
        <f>IF(NOT(AND($A116&lt;&gt;"",OR($G116="",$G116="Active"))),"",IF(OR(IFERROR(LOOKUP(2,1/(ISNUMBER($M116:$U116)+($M116:$U116="DNA")),$M116:$U116),"")="DNA",AND(ISNUMBER(IFERROR(LOOKUP(2,1/(ISNUMBER($M116:$U116)+($M116:$U116="DNA")),$M116:$U116),"")),IFERROR(LOOKUP(2,1/(ISNUMBER($M116:$U116)+($M116:$U116="DNA")),$M116:$U116),"")&lt;TODAY())),1,0)+COUNTIF($V116:$Z116,"&lt;"&amp;TODAY()))</f>
        <v/>
      </c>
      <c r="J116" s="32">
        <f>IF(NOT(AND($A116&lt;&gt;"",OR($G116="",$G116="Active"))),"",COUNTIFS($M116:$U116,"&gt;="&amp;TODAY(),$M116:$U116,"&lt;="&amp;TODAY()+7)+COUNTIFS($V116:$Z116,"&gt;="&amp;TODAY(),$V116:$Z116,"&lt;="&amp;TODAY()+7))</f>
        <v/>
      </c>
      <c r="K116" s="32">
        <f>IF(NOT(AND($A116&lt;&gt;"",OR($G116="",$G116="Active"))),"",IF($L116&lt;&gt;"",IF($L116=$M116,"Booking",INDEX($N$4:$U$4,MATCH($L116,$N116:$U116,0))),IF(IFERROR(LOOKUP(2,1/(ISNUMBER($M116:$U116)+($M116:$U116="DNA")),$M116:$U116),"")="DNA","Rebook DNA",IF(ISNUMBER(IFERROR(LOOKUP(2,1/(ISNUMBER($M116:$U116)+($M116:$U116="DNA")),$M116:$U116),"")),IF(ISNUMBER($U116),"Update status","Missed/not booked?"),""))))</f>
        <v/>
      </c>
      <c r="L116" s="33">
        <f>IF(NOT(AND($A116&lt;&gt;"",OR($G116="",$G116="Active"))),"",IFERROR(SMALL($M116:$U116,COUNTIF($M116:$U116,"&lt;"&amp;TODAY())+1),""))</f>
        <v/>
      </c>
      <c r="M116" s="31" t="n"/>
      <c r="N116" s="31" t="n"/>
      <c r="O116" s="31" t="n"/>
      <c r="P116" s="31" t="n"/>
      <c r="Q116" s="31" t="n"/>
      <c r="R116" s="31" t="n"/>
      <c r="S116" s="31" t="n"/>
      <c r="T116" s="31" t="n"/>
      <c r="U116" s="31" t="n"/>
      <c r="V116" s="31" t="n"/>
      <c r="W116" s="31" t="n"/>
      <c r="X116" s="31" t="n"/>
      <c r="Y116" s="31" t="n"/>
      <c r="Z116" s="31" t="n"/>
      <c r="AA116" s="34" t="n"/>
      <c r="AB116" s="29" t="n"/>
      <c r="AC116" s="31" t="n"/>
    </row>
    <row r="117">
      <c r="A117" s="29" t="n"/>
      <c r="B117" s="30" t="n"/>
      <c r="C117" s="31" t="n"/>
      <c r="D117" s="29" t="n"/>
      <c r="E117" s="29" t="n"/>
      <c r="F117" s="31" t="n"/>
      <c r="G117" s="29" t="n"/>
      <c r="H117" s="32">
        <f>IF(OR(NOT(AND($A117&lt;&gt;"",OR($G117="",$G117="Active"))),$F117=""),"",INT((TODAY()-$F117+280)/7)&amp;"+"&amp;MOD(TODAY()-$F117+280,7))</f>
        <v/>
      </c>
      <c r="I117" s="32">
        <f>IF(NOT(AND($A117&lt;&gt;"",OR($G117="",$G117="Active"))),"",IF(OR(IFERROR(LOOKUP(2,1/(ISNUMBER($M117:$U117)+($M117:$U117="DNA")),$M117:$U117),"")="DNA",AND(ISNUMBER(IFERROR(LOOKUP(2,1/(ISNUMBER($M117:$U117)+($M117:$U117="DNA")),$M117:$U117),"")),IFERROR(LOOKUP(2,1/(ISNUMBER($M117:$U117)+($M117:$U117="DNA")),$M117:$U117),"")&lt;TODAY())),1,0)+COUNTIF($V117:$Z117,"&lt;"&amp;TODAY()))</f>
        <v/>
      </c>
      <c r="J117" s="32">
        <f>IF(NOT(AND($A117&lt;&gt;"",OR($G117="",$G117="Active"))),"",COUNTIFS($M117:$U117,"&gt;="&amp;TODAY(),$M117:$U117,"&lt;="&amp;TODAY()+7)+COUNTIFS($V117:$Z117,"&gt;="&amp;TODAY(),$V117:$Z117,"&lt;="&amp;TODAY()+7))</f>
        <v/>
      </c>
      <c r="K117" s="32">
        <f>IF(NOT(AND($A117&lt;&gt;"",OR($G117="",$G117="Active"))),"",IF($L117&lt;&gt;"",IF($L117=$M117,"Booking",INDEX($N$4:$U$4,MATCH($L117,$N117:$U117,0))),IF(IFERROR(LOOKUP(2,1/(ISNUMBER($M117:$U117)+($M117:$U117="DNA")),$M117:$U117),"")="DNA","Rebook DNA",IF(ISNUMBER(IFERROR(LOOKUP(2,1/(ISNUMBER($M117:$U117)+($M117:$U117="DNA")),$M117:$U117),"")),IF(ISNUMBER($U117),"Update status","Missed/not booked?"),""))))</f>
        <v/>
      </c>
      <c r="L117" s="33">
        <f>IF(NOT(AND($A117&lt;&gt;"",OR($G117="",$G117="Active"))),"",IFERROR(SMALL($M117:$U117,COUNTIF($M117:$U117,"&lt;"&amp;TODAY())+1),""))</f>
        <v/>
      </c>
      <c r="M117" s="31" t="n"/>
      <c r="N117" s="31" t="n"/>
      <c r="O117" s="31" t="n"/>
      <c r="P117" s="31" t="n"/>
      <c r="Q117" s="31" t="n"/>
      <c r="R117" s="31" t="n"/>
      <c r="S117" s="31" t="n"/>
      <c r="T117" s="31" t="n"/>
      <c r="U117" s="31" t="n"/>
      <c r="V117" s="31" t="n"/>
      <c r="W117" s="31" t="n"/>
      <c r="X117" s="31" t="n"/>
      <c r="Y117" s="31" t="n"/>
      <c r="Z117" s="31" t="n"/>
      <c r="AA117" s="34" t="n"/>
      <c r="AB117" s="29" t="n"/>
      <c r="AC117" s="31" t="n"/>
    </row>
    <row r="118">
      <c r="A118" s="29" t="n"/>
      <c r="B118" s="30" t="n"/>
      <c r="C118" s="31" t="n"/>
      <c r="D118" s="29" t="n"/>
      <c r="E118" s="29" t="n"/>
      <c r="F118" s="31" t="n"/>
      <c r="G118" s="29" t="n"/>
      <c r="H118" s="32">
        <f>IF(OR(NOT(AND($A118&lt;&gt;"",OR($G118="",$G118="Active"))),$F118=""),"",INT((TODAY()-$F118+280)/7)&amp;"+"&amp;MOD(TODAY()-$F118+280,7))</f>
        <v/>
      </c>
      <c r="I118" s="32">
        <f>IF(NOT(AND($A118&lt;&gt;"",OR($G118="",$G118="Active"))),"",IF(OR(IFERROR(LOOKUP(2,1/(ISNUMBER($M118:$U118)+($M118:$U118="DNA")),$M118:$U118),"")="DNA",AND(ISNUMBER(IFERROR(LOOKUP(2,1/(ISNUMBER($M118:$U118)+($M118:$U118="DNA")),$M118:$U118),"")),IFERROR(LOOKUP(2,1/(ISNUMBER($M118:$U118)+($M118:$U118="DNA")),$M118:$U118),"")&lt;TODAY())),1,0)+COUNTIF($V118:$Z118,"&lt;"&amp;TODAY()))</f>
        <v/>
      </c>
      <c r="J118" s="32">
        <f>IF(NOT(AND($A118&lt;&gt;"",OR($G118="",$G118="Active"))),"",COUNTIFS($M118:$U118,"&gt;="&amp;TODAY(),$M118:$U118,"&lt;="&amp;TODAY()+7)+COUNTIFS($V118:$Z118,"&gt;="&amp;TODAY(),$V118:$Z118,"&lt;="&amp;TODAY()+7))</f>
        <v/>
      </c>
      <c r="K118" s="32">
        <f>IF(NOT(AND($A118&lt;&gt;"",OR($G118="",$G118="Active"))),"",IF($L118&lt;&gt;"",IF($L118=$M118,"Booking",INDEX($N$4:$U$4,MATCH($L118,$N118:$U118,0))),IF(IFERROR(LOOKUP(2,1/(ISNUMBER($M118:$U118)+($M118:$U118="DNA")),$M118:$U118),"")="DNA","Rebook DNA",IF(ISNUMBER(IFERROR(LOOKUP(2,1/(ISNUMBER($M118:$U118)+($M118:$U118="DNA")),$M118:$U118),"")),IF(ISNUMBER($U118),"Update status","Missed/not booked?"),""))))</f>
        <v/>
      </c>
      <c r="L118" s="33">
        <f>IF(NOT(AND($A118&lt;&gt;"",OR($G118="",$G118="Active"))),"",IFERROR(SMALL($M118:$U118,COUNTIF($M118:$U118,"&lt;"&amp;TODAY())+1),""))</f>
        <v/>
      </c>
      <c r="M118" s="31" t="n"/>
      <c r="N118" s="31" t="n"/>
      <c r="O118" s="31" t="n"/>
      <c r="P118" s="31" t="n"/>
      <c r="Q118" s="31" t="n"/>
      <c r="R118" s="31" t="n"/>
      <c r="S118" s="31" t="n"/>
      <c r="T118" s="31" t="n"/>
      <c r="U118" s="31" t="n"/>
      <c r="V118" s="31" t="n"/>
      <c r="W118" s="31" t="n"/>
      <c r="X118" s="31" t="n"/>
      <c r="Y118" s="31" t="n"/>
      <c r="Z118" s="31" t="n"/>
      <c r="AA118" s="34" t="n"/>
      <c r="AB118" s="29" t="n"/>
      <c r="AC118" s="31" t="n"/>
    </row>
    <row r="119">
      <c r="A119" s="29" t="n"/>
      <c r="B119" s="30" t="n"/>
      <c r="C119" s="31" t="n"/>
      <c r="D119" s="29" t="n"/>
      <c r="E119" s="29" t="n"/>
      <c r="F119" s="31" t="n"/>
      <c r="G119" s="29" t="n"/>
      <c r="H119" s="32">
        <f>IF(OR(NOT(AND($A119&lt;&gt;"",OR($G119="",$G119="Active"))),$F119=""),"",INT((TODAY()-$F119+280)/7)&amp;"+"&amp;MOD(TODAY()-$F119+280,7))</f>
        <v/>
      </c>
      <c r="I119" s="32">
        <f>IF(NOT(AND($A119&lt;&gt;"",OR($G119="",$G119="Active"))),"",IF(OR(IFERROR(LOOKUP(2,1/(ISNUMBER($M119:$U119)+($M119:$U119="DNA")),$M119:$U119),"")="DNA",AND(ISNUMBER(IFERROR(LOOKUP(2,1/(ISNUMBER($M119:$U119)+($M119:$U119="DNA")),$M119:$U119),"")),IFERROR(LOOKUP(2,1/(ISNUMBER($M119:$U119)+($M119:$U119="DNA")),$M119:$U119),"")&lt;TODAY())),1,0)+COUNTIF($V119:$Z119,"&lt;"&amp;TODAY()))</f>
        <v/>
      </c>
      <c r="J119" s="32">
        <f>IF(NOT(AND($A119&lt;&gt;"",OR($G119="",$G119="Active"))),"",COUNTIFS($M119:$U119,"&gt;="&amp;TODAY(),$M119:$U119,"&lt;="&amp;TODAY()+7)+COUNTIFS($V119:$Z119,"&gt;="&amp;TODAY(),$V119:$Z119,"&lt;="&amp;TODAY()+7))</f>
        <v/>
      </c>
      <c r="K119" s="32">
        <f>IF(NOT(AND($A119&lt;&gt;"",OR($G119="",$G119="Active"))),"",IF($L119&lt;&gt;"",IF($L119=$M119,"Booking",INDEX($N$4:$U$4,MATCH($L119,$N119:$U119,0))),IF(IFERROR(LOOKUP(2,1/(ISNUMBER($M119:$U119)+($M119:$U119="DNA")),$M119:$U119),"")="DNA","Rebook DNA",IF(ISNUMBER(IFERROR(LOOKUP(2,1/(ISNUMBER($M119:$U119)+($M119:$U119="DNA")),$M119:$U119),"")),IF(ISNUMBER($U119),"Update status","Missed/not booked?"),""))))</f>
        <v/>
      </c>
      <c r="L119" s="33">
        <f>IF(NOT(AND($A119&lt;&gt;"",OR($G119="",$G119="Active"))),"",IFERROR(SMALL($M119:$U119,COUNTIF($M119:$U119,"&lt;"&amp;TODAY())+1),""))</f>
        <v/>
      </c>
      <c r="M119" s="31" t="n"/>
      <c r="N119" s="31" t="n"/>
      <c r="O119" s="31" t="n"/>
      <c r="P119" s="31" t="n"/>
      <c r="Q119" s="31" t="n"/>
      <c r="R119" s="31" t="n"/>
      <c r="S119" s="31" t="n"/>
      <c r="T119" s="31" t="n"/>
      <c r="U119" s="31" t="n"/>
      <c r="V119" s="31" t="n"/>
      <c r="W119" s="31" t="n"/>
      <c r="X119" s="31" t="n"/>
      <c r="Y119" s="31" t="n"/>
      <c r="Z119" s="31" t="n"/>
      <c r="AA119" s="34" t="n"/>
      <c r="AB119" s="29" t="n"/>
      <c r="AC119" s="31" t="n"/>
    </row>
    <row r="120">
      <c r="A120" s="29" t="n"/>
      <c r="B120" s="30" t="n"/>
      <c r="C120" s="31" t="n"/>
      <c r="D120" s="29" t="n"/>
      <c r="E120" s="29" t="n"/>
      <c r="F120" s="31" t="n"/>
      <c r="G120" s="29" t="n"/>
      <c r="H120" s="32">
        <f>IF(OR(NOT(AND($A120&lt;&gt;"",OR($G120="",$G120="Active"))),$F120=""),"",INT((TODAY()-$F120+280)/7)&amp;"+"&amp;MOD(TODAY()-$F120+280,7))</f>
        <v/>
      </c>
      <c r="I120" s="32">
        <f>IF(NOT(AND($A120&lt;&gt;"",OR($G120="",$G120="Active"))),"",IF(OR(IFERROR(LOOKUP(2,1/(ISNUMBER($M120:$U120)+($M120:$U120="DNA")),$M120:$U120),"")="DNA",AND(ISNUMBER(IFERROR(LOOKUP(2,1/(ISNUMBER($M120:$U120)+($M120:$U120="DNA")),$M120:$U120),"")),IFERROR(LOOKUP(2,1/(ISNUMBER($M120:$U120)+($M120:$U120="DNA")),$M120:$U120),"")&lt;TODAY())),1,0)+COUNTIF($V120:$Z120,"&lt;"&amp;TODAY()))</f>
        <v/>
      </c>
      <c r="J120" s="32">
        <f>IF(NOT(AND($A120&lt;&gt;"",OR($G120="",$G120="Active"))),"",COUNTIFS($M120:$U120,"&gt;="&amp;TODAY(),$M120:$U120,"&lt;="&amp;TODAY()+7)+COUNTIFS($V120:$Z120,"&gt;="&amp;TODAY(),$V120:$Z120,"&lt;="&amp;TODAY()+7))</f>
        <v/>
      </c>
      <c r="K120" s="32">
        <f>IF(NOT(AND($A120&lt;&gt;"",OR($G120="",$G120="Active"))),"",IF($L120&lt;&gt;"",IF($L120=$M120,"Booking",INDEX($N$4:$U$4,MATCH($L120,$N120:$U120,0))),IF(IFERROR(LOOKUP(2,1/(ISNUMBER($M120:$U120)+($M120:$U120="DNA")),$M120:$U120),"")="DNA","Rebook DNA",IF(ISNUMBER(IFERROR(LOOKUP(2,1/(ISNUMBER($M120:$U120)+($M120:$U120="DNA")),$M120:$U120),"")),IF(ISNUMBER($U120),"Update status","Missed/not booked?"),""))))</f>
        <v/>
      </c>
      <c r="L120" s="33">
        <f>IF(NOT(AND($A120&lt;&gt;"",OR($G120="",$G120="Active"))),"",IFERROR(SMALL($M120:$U120,COUNTIF($M120:$U120,"&lt;"&amp;TODAY())+1),""))</f>
        <v/>
      </c>
      <c r="M120" s="31" t="n"/>
      <c r="N120" s="31" t="n"/>
      <c r="O120" s="31" t="n"/>
      <c r="P120" s="31" t="n"/>
      <c r="Q120" s="31" t="n"/>
      <c r="R120" s="31" t="n"/>
      <c r="S120" s="31" t="n"/>
      <c r="T120" s="31" t="n"/>
      <c r="U120" s="31" t="n"/>
      <c r="V120" s="31" t="n"/>
      <c r="W120" s="31" t="n"/>
      <c r="X120" s="31" t="n"/>
      <c r="Y120" s="31" t="n"/>
      <c r="Z120" s="31" t="n"/>
      <c r="AA120" s="34" t="n"/>
      <c r="AB120" s="29" t="n"/>
      <c r="AC120" s="31" t="n"/>
    </row>
    <row r="121">
      <c r="A121" s="29" t="n"/>
      <c r="B121" s="30" t="n"/>
      <c r="C121" s="31" t="n"/>
      <c r="D121" s="29" t="n"/>
      <c r="E121" s="29" t="n"/>
      <c r="F121" s="31" t="n"/>
      <c r="G121" s="29" t="n"/>
      <c r="H121" s="32">
        <f>IF(OR(NOT(AND($A121&lt;&gt;"",OR($G121="",$G121="Active"))),$F121=""),"",INT((TODAY()-$F121+280)/7)&amp;"+"&amp;MOD(TODAY()-$F121+280,7))</f>
        <v/>
      </c>
      <c r="I121" s="32">
        <f>IF(NOT(AND($A121&lt;&gt;"",OR($G121="",$G121="Active"))),"",IF(OR(IFERROR(LOOKUP(2,1/(ISNUMBER($M121:$U121)+($M121:$U121="DNA")),$M121:$U121),"")="DNA",AND(ISNUMBER(IFERROR(LOOKUP(2,1/(ISNUMBER($M121:$U121)+($M121:$U121="DNA")),$M121:$U121),"")),IFERROR(LOOKUP(2,1/(ISNUMBER($M121:$U121)+($M121:$U121="DNA")),$M121:$U121),"")&lt;TODAY())),1,0)+COUNTIF($V121:$Z121,"&lt;"&amp;TODAY()))</f>
        <v/>
      </c>
      <c r="J121" s="32">
        <f>IF(NOT(AND($A121&lt;&gt;"",OR($G121="",$G121="Active"))),"",COUNTIFS($M121:$U121,"&gt;="&amp;TODAY(),$M121:$U121,"&lt;="&amp;TODAY()+7)+COUNTIFS($V121:$Z121,"&gt;="&amp;TODAY(),$V121:$Z121,"&lt;="&amp;TODAY()+7))</f>
        <v/>
      </c>
      <c r="K121" s="32">
        <f>IF(NOT(AND($A121&lt;&gt;"",OR($G121="",$G121="Active"))),"",IF($L121&lt;&gt;"",IF($L121=$M121,"Booking",INDEX($N$4:$U$4,MATCH($L121,$N121:$U121,0))),IF(IFERROR(LOOKUP(2,1/(ISNUMBER($M121:$U121)+($M121:$U121="DNA")),$M121:$U121),"")="DNA","Rebook DNA",IF(ISNUMBER(IFERROR(LOOKUP(2,1/(ISNUMBER($M121:$U121)+($M121:$U121="DNA")),$M121:$U121),"")),IF(ISNUMBER($U121),"Update status","Missed/not booked?"),""))))</f>
        <v/>
      </c>
      <c r="L121" s="33">
        <f>IF(NOT(AND($A121&lt;&gt;"",OR($G121="",$G121="Active"))),"",IFERROR(SMALL($M121:$U121,COUNTIF($M121:$U121,"&lt;"&amp;TODAY())+1),""))</f>
        <v/>
      </c>
      <c r="M121" s="31" t="n"/>
      <c r="N121" s="31" t="n"/>
      <c r="O121" s="31" t="n"/>
      <c r="P121" s="31" t="n"/>
      <c r="Q121" s="31" t="n"/>
      <c r="R121" s="31" t="n"/>
      <c r="S121" s="31" t="n"/>
      <c r="T121" s="31" t="n"/>
      <c r="U121" s="31" t="n"/>
      <c r="V121" s="31" t="n"/>
      <c r="W121" s="31" t="n"/>
      <c r="X121" s="31" t="n"/>
      <c r="Y121" s="31" t="n"/>
      <c r="Z121" s="31" t="n"/>
      <c r="AA121" s="34" t="n"/>
      <c r="AB121" s="29" t="n"/>
      <c r="AC121" s="31" t="n"/>
    </row>
    <row r="122">
      <c r="A122" s="29" t="n"/>
      <c r="B122" s="30" t="n"/>
      <c r="C122" s="31" t="n"/>
      <c r="D122" s="29" t="n"/>
      <c r="E122" s="29" t="n"/>
      <c r="F122" s="31" t="n"/>
      <c r="G122" s="29" t="n"/>
      <c r="H122" s="32">
        <f>IF(OR(NOT(AND($A122&lt;&gt;"",OR($G122="",$G122="Active"))),$F122=""),"",INT((TODAY()-$F122+280)/7)&amp;"+"&amp;MOD(TODAY()-$F122+280,7))</f>
        <v/>
      </c>
      <c r="I122" s="32">
        <f>IF(NOT(AND($A122&lt;&gt;"",OR($G122="",$G122="Active"))),"",IF(OR(IFERROR(LOOKUP(2,1/(ISNUMBER($M122:$U122)+($M122:$U122="DNA")),$M122:$U122),"")="DNA",AND(ISNUMBER(IFERROR(LOOKUP(2,1/(ISNUMBER($M122:$U122)+($M122:$U122="DNA")),$M122:$U122),"")),IFERROR(LOOKUP(2,1/(ISNUMBER($M122:$U122)+($M122:$U122="DNA")),$M122:$U122),"")&lt;TODAY())),1,0)+COUNTIF($V122:$Z122,"&lt;"&amp;TODAY()))</f>
        <v/>
      </c>
      <c r="J122" s="32">
        <f>IF(NOT(AND($A122&lt;&gt;"",OR($G122="",$G122="Active"))),"",COUNTIFS($M122:$U122,"&gt;="&amp;TODAY(),$M122:$U122,"&lt;="&amp;TODAY()+7)+COUNTIFS($V122:$Z122,"&gt;="&amp;TODAY(),$V122:$Z122,"&lt;="&amp;TODAY()+7))</f>
        <v/>
      </c>
      <c r="K122" s="32">
        <f>IF(NOT(AND($A122&lt;&gt;"",OR($G122="",$G122="Active"))),"",IF($L122&lt;&gt;"",IF($L122=$M122,"Booking",INDEX($N$4:$U$4,MATCH($L122,$N122:$U122,0))),IF(IFERROR(LOOKUP(2,1/(ISNUMBER($M122:$U122)+($M122:$U122="DNA")),$M122:$U122),"")="DNA","Rebook DNA",IF(ISNUMBER(IFERROR(LOOKUP(2,1/(ISNUMBER($M122:$U122)+($M122:$U122="DNA")),$M122:$U122),"")),IF(ISNUMBER($U122),"Update status","Missed/not booked?"),""))))</f>
        <v/>
      </c>
      <c r="L122" s="33">
        <f>IF(NOT(AND($A122&lt;&gt;"",OR($G122="",$G122="Active"))),"",IFERROR(SMALL($M122:$U122,COUNTIF($M122:$U122,"&lt;"&amp;TODAY())+1),""))</f>
        <v/>
      </c>
      <c r="M122" s="31" t="n"/>
      <c r="N122" s="31" t="n"/>
      <c r="O122" s="31" t="n"/>
      <c r="P122" s="31" t="n"/>
      <c r="Q122" s="31" t="n"/>
      <c r="R122" s="31" t="n"/>
      <c r="S122" s="31" t="n"/>
      <c r="T122" s="31" t="n"/>
      <c r="U122" s="31" t="n"/>
      <c r="V122" s="31" t="n"/>
      <c r="W122" s="31" t="n"/>
      <c r="X122" s="31" t="n"/>
      <c r="Y122" s="31" t="n"/>
      <c r="Z122" s="31" t="n"/>
      <c r="AA122" s="34" t="n"/>
      <c r="AB122" s="29" t="n"/>
      <c r="AC122" s="31" t="n"/>
    </row>
    <row r="123">
      <c r="A123" s="29" t="n"/>
      <c r="B123" s="30" t="n"/>
      <c r="C123" s="31" t="n"/>
      <c r="D123" s="29" t="n"/>
      <c r="E123" s="29" t="n"/>
      <c r="F123" s="31" t="n"/>
      <c r="G123" s="29" t="n"/>
      <c r="H123" s="32">
        <f>IF(OR(NOT(AND($A123&lt;&gt;"",OR($G123="",$G123="Active"))),$F123=""),"",INT((TODAY()-$F123+280)/7)&amp;"+"&amp;MOD(TODAY()-$F123+280,7))</f>
        <v/>
      </c>
      <c r="I123" s="32">
        <f>IF(NOT(AND($A123&lt;&gt;"",OR($G123="",$G123="Active"))),"",IF(OR(IFERROR(LOOKUP(2,1/(ISNUMBER($M123:$U123)+($M123:$U123="DNA")),$M123:$U123),"")="DNA",AND(ISNUMBER(IFERROR(LOOKUP(2,1/(ISNUMBER($M123:$U123)+($M123:$U123="DNA")),$M123:$U123),"")),IFERROR(LOOKUP(2,1/(ISNUMBER($M123:$U123)+($M123:$U123="DNA")),$M123:$U123),"")&lt;TODAY())),1,0)+COUNTIF($V123:$Z123,"&lt;"&amp;TODAY()))</f>
        <v/>
      </c>
      <c r="J123" s="32">
        <f>IF(NOT(AND($A123&lt;&gt;"",OR($G123="",$G123="Active"))),"",COUNTIFS($M123:$U123,"&gt;="&amp;TODAY(),$M123:$U123,"&lt;="&amp;TODAY()+7)+COUNTIFS($V123:$Z123,"&gt;="&amp;TODAY(),$V123:$Z123,"&lt;="&amp;TODAY()+7))</f>
        <v/>
      </c>
      <c r="K123" s="32">
        <f>IF(NOT(AND($A123&lt;&gt;"",OR($G123="",$G123="Active"))),"",IF($L123&lt;&gt;"",IF($L123=$M123,"Booking",INDEX($N$4:$U$4,MATCH($L123,$N123:$U123,0))),IF(IFERROR(LOOKUP(2,1/(ISNUMBER($M123:$U123)+($M123:$U123="DNA")),$M123:$U123),"")="DNA","Rebook DNA",IF(ISNUMBER(IFERROR(LOOKUP(2,1/(ISNUMBER($M123:$U123)+($M123:$U123="DNA")),$M123:$U123),"")),IF(ISNUMBER($U123),"Update status","Missed/not booked?"),""))))</f>
        <v/>
      </c>
      <c r="L123" s="33">
        <f>IF(NOT(AND($A123&lt;&gt;"",OR($G123="",$G123="Active"))),"",IFERROR(SMALL($M123:$U123,COUNTIF($M123:$U123,"&lt;"&amp;TODAY())+1),""))</f>
        <v/>
      </c>
      <c r="M123" s="31" t="n"/>
      <c r="N123" s="31" t="n"/>
      <c r="O123" s="31" t="n"/>
      <c r="P123" s="31" t="n"/>
      <c r="Q123" s="31" t="n"/>
      <c r="R123" s="31" t="n"/>
      <c r="S123" s="31" t="n"/>
      <c r="T123" s="31" t="n"/>
      <c r="U123" s="31" t="n"/>
      <c r="V123" s="31" t="n"/>
      <c r="W123" s="31" t="n"/>
      <c r="X123" s="31" t="n"/>
      <c r="Y123" s="31" t="n"/>
      <c r="Z123" s="31" t="n"/>
      <c r="AA123" s="34" t="n"/>
      <c r="AB123" s="29" t="n"/>
      <c r="AC123" s="31" t="n"/>
    </row>
    <row r="124">
      <c r="A124" s="29" t="n"/>
      <c r="B124" s="30" t="n"/>
      <c r="C124" s="31" t="n"/>
      <c r="D124" s="29" t="n"/>
      <c r="E124" s="29" t="n"/>
      <c r="F124" s="31" t="n"/>
      <c r="G124" s="29" t="n"/>
      <c r="H124" s="32">
        <f>IF(OR(NOT(AND($A124&lt;&gt;"",OR($G124="",$G124="Active"))),$F124=""),"",INT((TODAY()-$F124+280)/7)&amp;"+"&amp;MOD(TODAY()-$F124+280,7))</f>
        <v/>
      </c>
      <c r="I124" s="32">
        <f>IF(NOT(AND($A124&lt;&gt;"",OR($G124="",$G124="Active"))),"",IF(OR(IFERROR(LOOKUP(2,1/(ISNUMBER($M124:$U124)+($M124:$U124="DNA")),$M124:$U124),"")="DNA",AND(ISNUMBER(IFERROR(LOOKUP(2,1/(ISNUMBER($M124:$U124)+($M124:$U124="DNA")),$M124:$U124),"")),IFERROR(LOOKUP(2,1/(ISNUMBER($M124:$U124)+($M124:$U124="DNA")),$M124:$U124),"")&lt;TODAY())),1,0)+COUNTIF($V124:$Z124,"&lt;"&amp;TODAY()))</f>
        <v/>
      </c>
      <c r="J124" s="32">
        <f>IF(NOT(AND($A124&lt;&gt;"",OR($G124="",$G124="Active"))),"",COUNTIFS($M124:$U124,"&gt;="&amp;TODAY(),$M124:$U124,"&lt;="&amp;TODAY()+7)+COUNTIFS($V124:$Z124,"&gt;="&amp;TODAY(),$V124:$Z124,"&lt;="&amp;TODAY()+7))</f>
        <v/>
      </c>
      <c r="K124" s="32">
        <f>IF(NOT(AND($A124&lt;&gt;"",OR($G124="",$G124="Active"))),"",IF($L124&lt;&gt;"",IF($L124=$M124,"Booking",INDEX($N$4:$U$4,MATCH($L124,$N124:$U124,0))),IF(IFERROR(LOOKUP(2,1/(ISNUMBER($M124:$U124)+($M124:$U124="DNA")),$M124:$U124),"")="DNA","Rebook DNA",IF(ISNUMBER(IFERROR(LOOKUP(2,1/(ISNUMBER($M124:$U124)+($M124:$U124="DNA")),$M124:$U124),"")),IF(ISNUMBER($U124),"Update status","Missed/not booked?"),""))))</f>
        <v/>
      </c>
      <c r="L124" s="33">
        <f>IF(NOT(AND($A124&lt;&gt;"",OR($G124="",$G124="Active"))),"",IFERROR(SMALL($M124:$U124,COUNTIF($M124:$U124,"&lt;"&amp;TODAY())+1),""))</f>
        <v/>
      </c>
      <c r="M124" s="31" t="n"/>
      <c r="N124" s="31" t="n"/>
      <c r="O124" s="31" t="n"/>
      <c r="P124" s="31" t="n"/>
      <c r="Q124" s="31" t="n"/>
      <c r="R124" s="31" t="n"/>
      <c r="S124" s="31" t="n"/>
      <c r="T124" s="31" t="n"/>
      <c r="U124" s="31" t="n"/>
      <c r="V124" s="31" t="n"/>
      <c r="W124" s="31" t="n"/>
      <c r="X124" s="31" t="n"/>
      <c r="Y124" s="31" t="n"/>
      <c r="Z124" s="31" t="n"/>
      <c r="AA124" s="34" t="n"/>
      <c r="AB124" s="29" t="n"/>
      <c r="AC124" s="31" t="n"/>
    </row>
    <row r="125">
      <c r="A125" s="29" t="n"/>
      <c r="B125" s="30" t="n"/>
      <c r="C125" s="31" t="n"/>
      <c r="D125" s="29" t="n"/>
      <c r="E125" s="29" t="n"/>
      <c r="F125" s="31" t="n"/>
      <c r="G125" s="29" t="n"/>
      <c r="H125" s="32">
        <f>IF(OR(NOT(AND($A125&lt;&gt;"",OR($G125="",$G125="Active"))),$F125=""),"",INT((TODAY()-$F125+280)/7)&amp;"+"&amp;MOD(TODAY()-$F125+280,7))</f>
        <v/>
      </c>
      <c r="I125" s="32">
        <f>IF(NOT(AND($A125&lt;&gt;"",OR($G125="",$G125="Active"))),"",IF(OR(IFERROR(LOOKUP(2,1/(ISNUMBER($M125:$U125)+($M125:$U125="DNA")),$M125:$U125),"")="DNA",AND(ISNUMBER(IFERROR(LOOKUP(2,1/(ISNUMBER($M125:$U125)+($M125:$U125="DNA")),$M125:$U125),"")),IFERROR(LOOKUP(2,1/(ISNUMBER($M125:$U125)+($M125:$U125="DNA")),$M125:$U125),"")&lt;TODAY())),1,0)+COUNTIF($V125:$Z125,"&lt;"&amp;TODAY()))</f>
        <v/>
      </c>
      <c r="J125" s="32">
        <f>IF(NOT(AND($A125&lt;&gt;"",OR($G125="",$G125="Active"))),"",COUNTIFS($M125:$U125,"&gt;="&amp;TODAY(),$M125:$U125,"&lt;="&amp;TODAY()+7)+COUNTIFS($V125:$Z125,"&gt;="&amp;TODAY(),$V125:$Z125,"&lt;="&amp;TODAY()+7))</f>
        <v/>
      </c>
      <c r="K125" s="32">
        <f>IF(NOT(AND($A125&lt;&gt;"",OR($G125="",$G125="Active"))),"",IF($L125&lt;&gt;"",IF($L125=$M125,"Booking",INDEX($N$4:$U$4,MATCH($L125,$N125:$U125,0))),IF(IFERROR(LOOKUP(2,1/(ISNUMBER($M125:$U125)+($M125:$U125="DNA")),$M125:$U125),"")="DNA","Rebook DNA",IF(ISNUMBER(IFERROR(LOOKUP(2,1/(ISNUMBER($M125:$U125)+($M125:$U125="DNA")),$M125:$U125),"")),IF(ISNUMBER($U125),"Update status","Missed/not booked?"),""))))</f>
        <v/>
      </c>
      <c r="L125" s="33">
        <f>IF(NOT(AND($A125&lt;&gt;"",OR($G125="",$G125="Active"))),"",IFERROR(SMALL($M125:$U125,COUNTIF($M125:$U125,"&lt;"&amp;TODAY())+1),""))</f>
        <v/>
      </c>
      <c r="M125" s="31" t="n"/>
      <c r="N125" s="31" t="n"/>
      <c r="O125" s="31" t="n"/>
      <c r="P125" s="31" t="n"/>
      <c r="Q125" s="31" t="n"/>
      <c r="R125" s="31" t="n"/>
      <c r="S125" s="31" t="n"/>
      <c r="T125" s="31" t="n"/>
      <c r="U125" s="31" t="n"/>
      <c r="V125" s="31" t="n"/>
      <c r="W125" s="31" t="n"/>
      <c r="X125" s="31" t="n"/>
      <c r="Y125" s="31" t="n"/>
      <c r="Z125" s="31" t="n"/>
      <c r="AA125" s="34" t="n"/>
      <c r="AB125" s="29" t="n"/>
      <c r="AC125" s="31" t="n"/>
    </row>
    <row r="126">
      <c r="A126" s="29" t="n"/>
      <c r="B126" s="30" t="n"/>
      <c r="C126" s="31" t="n"/>
      <c r="D126" s="29" t="n"/>
      <c r="E126" s="29" t="n"/>
      <c r="F126" s="31" t="n"/>
      <c r="G126" s="29" t="n"/>
      <c r="H126" s="32">
        <f>IF(OR(NOT(AND($A126&lt;&gt;"",OR($G126="",$G126="Active"))),$F126=""),"",INT((TODAY()-$F126+280)/7)&amp;"+"&amp;MOD(TODAY()-$F126+280,7))</f>
        <v/>
      </c>
      <c r="I126" s="32">
        <f>IF(NOT(AND($A126&lt;&gt;"",OR($G126="",$G126="Active"))),"",IF(OR(IFERROR(LOOKUP(2,1/(ISNUMBER($M126:$U126)+($M126:$U126="DNA")),$M126:$U126),"")="DNA",AND(ISNUMBER(IFERROR(LOOKUP(2,1/(ISNUMBER($M126:$U126)+($M126:$U126="DNA")),$M126:$U126),"")),IFERROR(LOOKUP(2,1/(ISNUMBER($M126:$U126)+($M126:$U126="DNA")),$M126:$U126),"")&lt;TODAY())),1,0)+COUNTIF($V126:$Z126,"&lt;"&amp;TODAY()))</f>
        <v/>
      </c>
      <c r="J126" s="32">
        <f>IF(NOT(AND($A126&lt;&gt;"",OR($G126="",$G126="Active"))),"",COUNTIFS($M126:$U126,"&gt;="&amp;TODAY(),$M126:$U126,"&lt;="&amp;TODAY()+7)+COUNTIFS($V126:$Z126,"&gt;="&amp;TODAY(),$V126:$Z126,"&lt;="&amp;TODAY()+7))</f>
        <v/>
      </c>
      <c r="K126" s="32">
        <f>IF(NOT(AND($A126&lt;&gt;"",OR($G126="",$G126="Active"))),"",IF($L126&lt;&gt;"",IF($L126=$M126,"Booking",INDEX($N$4:$U$4,MATCH($L126,$N126:$U126,0))),IF(IFERROR(LOOKUP(2,1/(ISNUMBER($M126:$U126)+($M126:$U126="DNA")),$M126:$U126),"")="DNA","Rebook DNA",IF(ISNUMBER(IFERROR(LOOKUP(2,1/(ISNUMBER($M126:$U126)+($M126:$U126="DNA")),$M126:$U126),"")),IF(ISNUMBER($U126),"Update status","Missed/not booked?"),""))))</f>
        <v/>
      </c>
      <c r="L126" s="33">
        <f>IF(NOT(AND($A126&lt;&gt;"",OR($G126="",$G126="Active"))),"",IFERROR(SMALL($M126:$U126,COUNTIF($M126:$U126,"&lt;"&amp;TODAY())+1),""))</f>
        <v/>
      </c>
      <c r="M126" s="31" t="n"/>
      <c r="N126" s="31" t="n"/>
      <c r="O126" s="31" t="n"/>
      <c r="P126" s="31" t="n"/>
      <c r="Q126" s="31" t="n"/>
      <c r="R126" s="31" t="n"/>
      <c r="S126" s="31" t="n"/>
      <c r="T126" s="31" t="n"/>
      <c r="U126" s="31" t="n"/>
      <c r="V126" s="31" t="n"/>
      <c r="W126" s="31" t="n"/>
      <c r="X126" s="31" t="n"/>
      <c r="Y126" s="31" t="n"/>
      <c r="Z126" s="31" t="n"/>
      <c r="AA126" s="34" t="n"/>
      <c r="AB126" s="29" t="n"/>
      <c r="AC126" s="31" t="n"/>
    </row>
    <row r="127">
      <c r="A127" s="29" t="n"/>
      <c r="B127" s="30" t="n"/>
      <c r="C127" s="31" t="n"/>
      <c r="D127" s="29" t="n"/>
      <c r="E127" s="29" t="n"/>
      <c r="F127" s="31" t="n"/>
      <c r="G127" s="29" t="n"/>
      <c r="H127" s="32">
        <f>IF(OR(NOT(AND($A127&lt;&gt;"",OR($G127="",$G127="Active"))),$F127=""),"",INT((TODAY()-$F127+280)/7)&amp;"+"&amp;MOD(TODAY()-$F127+280,7))</f>
        <v/>
      </c>
      <c r="I127" s="32">
        <f>IF(NOT(AND($A127&lt;&gt;"",OR($G127="",$G127="Active"))),"",IF(OR(IFERROR(LOOKUP(2,1/(ISNUMBER($M127:$U127)+($M127:$U127="DNA")),$M127:$U127),"")="DNA",AND(ISNUMBER(IFERROR(LOOKUP(2,1/(ISNUMBER($M127:$U127)+($M127:$U127="DNA")),$M127:$U127),"")),IFERROR(LOOKUP(2,1/(ISNUMBER($M127:$U127)+($M127:$U127="DNA")),$M127:$U127),"")&lt;TODAY())),1,0)+COUNTIF($V127:$Z127,"&lt;"&amp;TODAY()))</f>
        <v/>
      </c>
      <c r="J127" s="32">
        <f>IF(NOT(AND($A127&lt;&gt;"",OR($G127="",$G127="Active"))),"",COUNTIFS($M127:$U127,"&gt;="&amp;TODAY(),$M127:$U127,"&lt;="&amp;TODAY()+7)+COUNTIFS($V127:$Z127,"&gt;="&amp;TODAY(),$V127:$Z127,"&lt;="&amp;TODAY()+7))</f>
        <v/>
      </c>
      <c r="K127" s="32">
        <f>IF(NOT(AND($A127&lt;&gt;"",OR($G127="",$G127="Active"))),"",IF($L127&lt;&gt;"",IF($L127=$M127,"Booking",INDEX($N$4:$U$4,MATCH($L127,$N127:$U127,0))),IF(IFERROR(LOOKUP(2,1/(ISNUMBER($M127:$U127)+($M127:$U127="DNA")),$M127:$U127),"")="DNA","Rebook DNA",IF(ISNUMBER(IFERROR(LOOKUP(2,1/(ISNUMBER($M127:$U127)+($M127:$U127="DNA")),$M127:$U127),"")),IF(ISNUMBER($U127),"Update status","Missed/not booked?"),""))))</f>
        <v/>
      </c>
      <c r="L127" s="33">
        <f>IF(NOT(AND($A127&lt;&gt;"",OR($G127="",$G127="Active"))),"",IFERROR(SMALL($M127:$U127,COUNTIF($M127:$U127,"&lt;"&amp;TODAY())+1),""))</f>
        <v/>
      </c>
      <c r="M127" s="31" t="n"/>
      <c r="N127" s="31" t="n"/>
      <c r="O127" s="31" t="n"/>
      <c r="P127" s="31" t="n"/>
      <c r="Q127" s="31" t="n"/>
      <c r="R127" s="31" t="n"/>
      <c r="S127" s="31" t="n"/>
      <c r="T127" s="31" t="n"/>
      <c r="U127" s="31" t="n"/>
      <c r="V127" s="31" t="n"/>
      <c r="W127" s="31" t="n"/>
      <c r="X127" s="31" t="n"/>
      <c r="Y127" s="31" t="n"/>
      <c r="Z127" s="31" t="n"/>
      <c r="AA127" s="34" t="n"/>
      <c r="AB127" s="29" t="n"/>
      <c r="AC127" s="31" t="n"/>
    </row>
    <row r="128">
      <c r="A128" s="29" t="n"/>
      <c r="B128" s="30" t="n"/>
      <c r="C128" s="31" t="n"/>
      <c r="D128" s="29" t="n"/>
      <c r="E128" s="29" t="n"/>
      <c r="F128" s="31" t="n"/>
      <c r="G128" s="29" t="n"/>
      <c r="H128" s="32">
        <f>IF(OR(NOT(AND($A128&lt;&gt;"",OR($G128="",$G128="Active"))),$F128=""),"",INT((TODAY()-$F128+280)/7)&amp;"+"&amp;MOD(TODAY()-$F128+280,7))</f>
        <v/>
      </c>
      <c r="I128" s="32">
        <f>IF(NOT(AND($A128&lt;&gt;"",OR($G128="",$G128="Active"))),"",IF(OR(IFERROR(LOOKUP(2,1/(ISNUMBER($M128:$U128)+($M128:$U128="DNA")),$M128:$U128),"")="DNA",AND(ISNUMBER(IFERROR(LOOKUP(2,1/(ISNUMBER($M128:$U128)+($M128:$U128="DNA")),$M128:$U128),"")),IFERROR(LOOKUP(2,1/(ISNUMBER($M128:$U128)+($M128:$U128="DNA")),$M128:$U128),"")&lt;TODAY())),1,0)+COUNTIF($V128:$Z128,"&lt;"&amp;TODAY()))</f>
        <v/>
      </c>
      <c r="J128" s="32">
        <f>IF(NOT(AND($A128&lt;&gt;"",OR($G128="",$G128="Active"))),"",COUNTIFS($M128:$U128,"&gt;="&amp;TODAY(),$M128:$U128,"&lt;="&amp;TODAY()+7)+COUNTIFS($V128:$Z128,"&gt;="&amp;TODAY(),$V128:$Z128,"&lt;="&amp;TODAY()+7))</f>
        <v/>
      </c>
      <c r="K128" s="32">
        <f>IF(NOT(AND($A128&lt;&gt;"",OR($G128="",$G128="Active"))),"",IF($L128&lt;&gt;"",IF($L128=$M128,"Booking",INDEX($N$4:$U$4,MATCH($L128,$N128:$U128,0))),IF(IFERROR(LOOKUP(2,1/(ISNUMBER($M128:$U128)+($M128:$U128="DNA")),$M128:$U128),"")="DNA","Rebook DNA",IF(ISNUMBER(IFERROR(LOOKUP(2,1/(ISNUMBER($M128:$U128)+($M128:$U128="DNA")),$M128:$U128),"")),IF(ISNUMBER($U128),"Update status","Missed/not booked?"),""))))</f>
        <v/>
      </c>
      <c r="L128" s="33">
        <f>IF(NOT(AND($A128&lt;&gt;"",OR($G128="",$G128="Active"))),"",IFERROR(SMALL($M128:$U128,COUNTIF($M128:$U128,"&lt;"&amp;TODAY())+1),""))</f>
        <v/>
      </c>
      <c r="M128" s="31" t="n"/>
      <c r="N128" s="31" t="n"/>
      <c r="O128" s="31" t="n"/>
      <c r="P128" s="31" t="n"/>
      <c r="Q128" s="31" t="n"/>
      <c r="R128" s="31" t="n"/>
      <c r="S128" s="31" t="n"/>
      <c r="T128" s="31" t="n"/>
      <c r="U128" s="31" t="n"/>
      <c r="V128" s="31" t="n"/>
      <c r="W128" s="31" t="n"/>
      <c r="X128" s="31" t="n"/>
      <c r="Y128" s="31" t="n"/>
      <c r="Z128" s="31" t="n"/>
      <c r="AA128" s="34" t="n"/>
      <c r="AB128" s="29" t="n"/>
      <c r="AC128" s="31" t="n"/>
    </row>
    <row r="129">
      <c r="A129" s="29" t="n"/>
      <c r="B129" s="30" t="n"/>
      <c r="C129" s="31" t="n"/>
      <c r="D129" s="29" t="n"/>
      <c r="E129" s="29" t="n"/>
      <c r="F129" s="31" t="n"/>
      <c r="G129" s="29" t="n"/>
      <c r="H129" s="32">
        <f>IF(OR(NOT(AND($A129&lt;&gt;"",OR($G129="",$G129="Active"))),$F129=""),"",INT((TODAY()-$F129+280)/7)&amp;"+"&amp;MOD(TODAY()-$F129+280,7))</f>
        <v/>
      </c>
      <c r="I129" s="32">
        <f>IF(NOT(AND($A129&lt;&gt;"",OR($G129="",$G129="Active"))),"",IF(OR(IFERROR(LOOKUP(2,1/(ISNUMBER($M129:$U129)+($M129:$U129="DNA")),$M129:$U129),"")="DNA",AND(ISNUMBER(IFERROR(LOOKUP(2,1/(ISNUMBER($M129:$U129)+($M129:$U129="DNA")),$M129:$U129),"")),IFERROR(LOOKUP(2,1/(ISNUMBER($M129:$U129)+($M129:$U129="DNA")),$M129:$U129),"")&lt;TODAY())),1,0)+COUNTIF($V129:$Z129,"&lt;"&amp;TODAY()))</f>
        <v/>
      </c>
      <c r="J129" s="32">
        <f>IF(NOT(AND($A129&lt;&gt;"",OR($G129="",$G129="Active"))),"",COUNTIFS($M129:$U129,"&gt;="&amp;TODAY(),$M129:$U129,"&lt;="&amp;TODAY()+7)+COUNTIFS($V129:$Z129,"&gt;="&amp;TODAY(),$V129:$Z129,"&lt;="&amp;TODAY()+7))</f>
        <v/>
      </c>
      <c r="K129" s="32">
        <f>IF(NOT(AND($A129&lt;&gt;"",OR($G129="",$G129="Active"))),"",IF($L129&lt;&gt;"",IF($L129=$M129,"Booking",INDEX($N$4:$U$4,MATCH($L129,$N129:$U129,0))),IF(IFERROR(LOOKUP(2,1/(ISNUMBER($M129:$U129)+($M129:$U129="DNA")),$M129:$U129),"")="DNA","Rebook DNA",IF(ISNUMBER(IFERROR(LOOKUP(2,1/(ISNUMBER($M129:$U129)+($M129:$U129="DNA")),$M129:$U129),"")),IF(ISNUMBER($U129),"Update status","Missed/not booked?"),""))))</f>
        <v/>
      </c>
      <c r="L129" s="33">
        <f>IF(NOT(AND($A129&lt;&gt;"",OR($G129="",$G129="Active"))),"",IFERROR(SMALL($M129:$U129,COUNTIF($M129:$U129,"&lt;"&amp;TODAY())+1),""))</f>
        <v/>
      </c>
      <c r="M129" s="31" t="n"/>
      <c r="N129" s="31" t="n"/>
      <c r="O129" s="31" t="n"/>
      <c r="P129" s="31" t="n"/>
      <c r="Q129" s="31" t="n"/>
      <c r="R129" s="31" t="n"/>
      <c r="S129" s="31" t="n"/>
      <c r="T129" s="31" t="n"/>
      <c r="U129" s="31" t="n"/>
      <c r="V129" s="31" t="n"/>
      <c r="W129" s="31" t="n"/>
      <c r="X129" s="31" t="n"/>
      <c r="Y129" s="31" t="n"/>
      <c r="Z129" s="31" t="n"/>
      <c r="AA129" s="34" t="n"/>
      <c r="AB129" s="29" t="n"/>
      <c r="AC129" s="31" t="n"/>
    </row>
    <row r="130">
      <c r="A130" s="29" t="n"/>
      <c r="B130" s="30" t="n"/>
      <c r="C130" s="31" t="n"/>
      <c r="D130" s="29" t="n"/>
      <c r="E130" s="29" t="n"/>
      <c r="F130" s="31" t="n"/>
      <c r="G130" s="29" t="n"/>
      <c r="H130" s="32">
        <f>IF(OR(NOT(AND($A130&lt;&gt;"",OR($G130="",$G130="Active"))),$F130=""),"",INT((TODAY()-$F130+280)/7)&amp;"+"&amp;MOD(TODAY()-$F130+280,7))</f>
        <v/>
      </c>
      <c r="I130" s="32">
        <f>IF(NOT(AND($A130&lt;&gt;"",OR($G130="",$G130="Active"))),"",IF(OR(IFERROR(LOOKUP(2,1/(ISNUMBER($M130:$U130)+($M130:$U130="DNA")),$M130:$U130),"")="DNA",AND(ISNUMBER(IFERROR(LOOKUP(2,1/(ISNUMBER($M130:$U130)+($M130:$U130="DNA")),$M130:$U130),"")),IFERROR(LOOKUP(2,1/(ISNUMBER($M130:$U130)+($M130:$U130="DNA")),$M130:$U130),"")&lt;TODAY())),1,0)+COUNTIF($V130:$Z130,"&lt;"&amp;TODAY()))</f>
        <v/>
      </c>
      <c r="J130" s="32">
        <f>IF(NOT(AND($A130&lt;&gt;"",OR($G130="",$G130="Active"))),"",COUNTIFS($M130:$U130,"&gt;="&amp;TODAY(),$M130:$U130,"&lt;="&amp;TODAY()+7)+COUNTIFS($V130:$Z130,"&gt;="&amp;TODAY(),$V130:$Z130,"&lt;="&amp;TODAY()+7))</f>
        <v/>
      </c>
      <c r="K130" s="32">
        <f>IF(NOT(AND($A130&lt;&gt;"",OR($G130="",$G130="Active"))),"",IF($L130&lt;&gt;"",IF($L130=$M130,"Booking",INDEX($N$4:$U$4,MATCH($L130,$N130:$U130,0))),IF(IFERROR(LOOKUP(2,1/(ISNUMBER($M130:$U130)+($M130:$U130="DNA")),$M130:$U130),"")="DNA","Rebook DNA",IF(ISNUMBER(IFERROR(LOOKUP(2,1/(ISNUMBER($M130:$U130)+($M130:$U130="DNA")),$M130:$U130),"")),IF(ISNUMBER($U130),"Update status","Missed/not booked?"),""))))</f>
        <v/>
      </c>
      <c r="L130" s="33">
        <f>IF(NOT(AND($A130&lt;&gt;"",OR($G130="",$G130="Active"))),"",IFERROR(SMALL($M130:$U130,COUNTIF($M130:$U130,"&lt;"&amp;TODAY())+1),""))</f>
        <v/>
      </c>
      <c r="M130" s="31" t="n"/>
      <c r="N130" s="31" t="n"/>
      <c r="O130" s="31" t="n"/>
      <c r="P130" s="31" t="n"/>
      <c r="Q130" s="31" t="n"/>
      <c r="R130" s="31" t="n"/>
      <c r="S130" s="31" t="n"/>
      <c r="T130" s="31" t="n"/>
      <c r="U130" s="31" t="n"/>
      <c r="V130" s="31" t="n"/>
      <c r="W130" s="31" t="n"/>
      <c r="X130" s="31" t="n"/>
      <c r="Y130" s="31" t="n"/>
      <c r="Z130" s="31" t="n"/>
      <c r="AA130" s="34" t="n"/>
      <c r="AB130" s="29" t="n"/>
      <c r="AC130" s="31" t="n"/>
    </row>
    <row r="131">
      <c r="A131" s="29" t="n"/>
      <c r="B131" s="30" t="n"/>
      <c r="C131" s="31" t="n"/>
      <c r="D131" s="29" t="n"/>
      <c r="E131" s="29" t="n"/>
      <c r="F131" s="31" t="n"/>
      <c r="G131" s="29" t="n"/>
      <c r="H131" s="32">
        <f>IF(OR(NOT(AND($A131&lt;&gt;"",OR($G131="",$G131="Active"))),$F131=""),"",INT((TODAY()-$F131+280)/7)&amp;"+"&amp;MOD(TODAY()-$F131+280,7))</f>
        <v/>
      </c>
      <c r="I131" s="32">
        <f>IF(NOT(AND($A131&lt;&gt;"",OR($G131="",$G131="Active"))),"",IF(OR(IFERROR(LOOKUP(2,1/(ISNUMBER($M131:$U131)+($M131:$U131="DNA")),$M131:$U131),"")="DNA",AND(ISNUMBER(IFERROR(LOOKUP(2,1/(ISNUMBER($M131:$U131)+($M131:$U131="DNA")),$M131:$U131),"")),IFERROR(LOOKUP(2,1/(ISNUMBER($M131:$U131)+($M131:$U131="DNA")),$M131:$U131),"")&lt;TODAY())),1,0)+COUNTIF($V131:$Z131,"&lt;"&amp;TODAY()))</f>
        <v/>
      </c>
      <c r="J131" s="32">
        <f>IF(NOT(AND($A131&lt;&gt;"",OR($G131="",$G131="Active"))),"",COUNTIFS($M131:$U131,"&gt;="&amp;TODAY(),$M131:$U131,"&lt;="&amp;TODAY()+7)+COUNTIFS($V131:$Z131,"&gt;="&amp;TODAY(),$V131:$Z131,"&lt;="&amp;TODAY()+7))</f>
        <v/>
      </c>
      <c r="K131" s="32">
        <f>IF(NOT(AND($A131&lt;&gt;"",OR($G131="",$G131="Active"))),"",IF($L131&lt;&gt;"",IF($L131=$M131,"Booking",INDEX($N$4:$U$4,MATCH($L131,$N131:$U131,0))),IF(IFERROR(LOOKUP(2,1/(ISNUMBER($M131:$U131)+($M131:$U131="DNA")),$M131:$U131),"")="DNA","Rebook DNA",IF(ISNUMBER(IFERROR(LOOKUP(2,1/(ISNUMBER($M131:$U131)+($M131:$U131="DNA")),$M131:$U131),"")),IF(ISNUMBER($U131),"Update status","Missed/not booked?"),""))))</f>
        <v/>
      </c>
      <c r="L131" s="33">
        <f>IF(NOT(AND($A131&lt;&gt;"",OR($G131="",$G131="Active"))),"",IFERROR(SMALL($M131:$U131,COUNTIF($M131:$U131,"&lt;"&amp;TODAY())+1),""))</f>
        <v/>
      </c>
      <c r="M131" s="31" t="n"/>
      <c r="N131" s="31" t="n"/>
      <c r="O131" s="31" t="n"/>
      <c r="P131" s="31" t="n"/>
      <c r="Q131" s="31" t="n"/>
      <c r="R131" s="31" t="n"/>
      <c r="S131" s="31" t="n"/>
      <c r="T131" s="31" t="n"/>
      <c r="U131" s="31" t="n"/>
      <c r="V131" s="31" t="n"/>
      <c r="W131" s="31" t="n"/>
      <c r="X131" s="31" t="n"/>
      <c r="Y131" s="31" t="n"/>
      <c r="Z131" s="31" t="n"/>
      <c r="AA131" s="34" t="n"/>
      <c r="AB131" s="29" t="n"/>
      <c r="AC131" s="31" t="n"/>
    </row>
    <row r="132">
      <c r="A132" s="29" t="n"/>
      <c r="B132" s="30" t="n"/>
      <c r="C132" s="31" t="n"/>
      <c r="D132" s="29" t="n"/>
      <c r="E132" s="29" t="n"/>
      <c r="F132" s="31" t="n"/>
      <c r="G132" s="29" t="n"/>
      <c r="H132" s="32">
        <f>IF(OR(NOT(AND($A132&lt;&gt;"",OR($G132="",$G132="Active"))),$F132=""),"",INT((TODAY()-$F132+280)/7)&amp;"+"&amp;MOD(TODAY()-$F132+280,7))</f>
        <v/>
      </c>
      <c r="I132" s="32">
        <f>IF(NOT(AND($A132&lt;&gt;"",OR($G132="",$G132="Active"))),"",IF(OR(IFERROR(LOOKUP(2,1/(ISNUMBER($M132:$U132)+($M132:$U132="DNA")),$M132:$U132),"")="DNA",AND(ISNUMBER(IFERROR(LOOKUP(2,1/(ISNUMBER($M132:$U132)+($M132:$U132="DNA")),$M132:$U132),"")),IFERROR(LOOKUP(2,1/(ISNUMBER($M132:$U132)+($M132:$U132="DNA")),$M132:$U132),"")&lt;TODAY())),1,0)+COUNTIF($V132:$Z132,"&lt;"&amp;TODAY()))</f>
        <v/>
      </c>
      <c r="J132" s="32">
        <f>IF(NOT(AND($A132&lt;&gt;"",OR($G132="",$G132="Active"))),"",COUNTIFS($M132:$U132,"&gt;="&amp;TODAY(),$M132:$U132,"&lt;="&amp;TODAY()+7)+COUNTIFS($V132:$Z132,"&gt;="&amp;TODAY(),$V132:$Z132,"&lt;="&amp;TODAY()+7))</f>
        <v/>
      </c>
      <c r="K132" s="32">
        <f>IF(NOT(AND($A132&lt;&gt;"",OR($G132="",$G132="Active"))),"",IF($L132&lt;&gt;"",IF($L132=$M132,"Booking",INDEX($N$4:$U$4,MATCH($L132,$N132:$U132,0))),IF(IFERROR(LOOKUP(2,1/(ISNUMBER($M132:$U132)+($M132:$U132="DNA")),$M132:$U132),"")="DNA","Rebook DNA",IF(ISNUMBER(IFERROR(LOOKUP(2,1/(ISNUMBER($M132:$U132)+($M132:$U132="DNA")),$M132:$U132),"")),IF(ISNUMBER($U132),"Update status","Missed/not booked?"),""))))</f>
        <v/>
      </c>
      <c r="L132" s="33">
        <f>IF(NOT(AND($A132&lt;&gt;"",OR($G132="",$G132="Active"))),"",IFERROR(SMALL($M132:$U132,COUNTIF($M132:$U132,"&lt;"&amp;TODAY())+1),""))</f>
        <v/>
      </c>
      <c r="M132" s="31" t="n"/>
      <c r="N132" s="31" t="n"/>
      <c r="O132" s="31" t="n"/>
      <c r="P132" s="31" t="n"/>
      <c r="Q132" s="31" t="n"/>
      <c r="R132" s="31" t="n"/>
      <c r="S132" s="31" t="n"/>
      <c r="T132" s="31" t="n"/>
      <c r="U132" s="31" t="n"/>
      <c r="V132" s="31" t="n"/>
      <c r="W132" s="31" t="n"/>
      <c r="X132" s="31" t="n"/>
      <c r="Y132" s="31" t="n"/>
      <c r="Z132" s="31" t="n"/>
      <c r="AA132" s="34" t="n"/>
      <c r="AB132" s="29" t="n"/>
      <c r="AC132" s="31" t="n"/>
    </row>
    <row r="133">
      <c r="A133" s="29" t="n"/>
      <c r="B133" s="30" t="n"/>
      <c r="C133" s="31" t="n"/>
      <c r="D133" s="29" t="n"/>
      <c r="E133" s="29" t="n"/>
      <c r="F133" s="31" t="n"/>
      <c r="G133" s="29" t="n"/>
      <c r="H133" s="32">
        <f>IF(OR(NOT(AND($A133&lt;&gt;"",OR($G133="",$G133="Active"))),$F133=""),"",INT((TODAY()-$F133+280)/7)&amp;"+"&amp;MOD(TODAY()-$F133+280,7))</f>
        <v/>
      </c>
      <c r="I133" s="32">
        <f>IF(NOT(AND($A133&lt;&gt;"",OR($G133="",$G133="Active"))),"",IF(OR(IFERROR(LOOKUP(2,1/(ISNUMBER($M133:$U133)+($M133:$U133="DNA")),$M133:$U133),"")="DNA",AND(ISNUMBER(IFERROR(LOOKUP(2,1/(ISNUMBER($M133:$U133)+($M133:$U133="DNA")),$M133:$U133),"")),IFERROR(LOOKUP(2,1/(ISNUMBER($M133:$U133)+($M133:$U133="DNA")),$M133:$U133),"")&lt;TODAY())),1,0)+COUNTIF($V133:$Z133,"&lt;"&amp;TODAY()))</f>
        <v/>
      </c>
      <c r="J133" s="32">
        <f>IF(NOT(AND($A133&lt;&gt;"",OR($G133="",$G133="Active"))),"",COUNTIFS($M133:$U133,"&gt;="&amp;TODAY(),$M133:$U133,"&lt;="&amp;TODAY()+7)+COUNTIFS($V133:$Z133,"&gt;="&amp;TODAY(),$V133:$Z133,"&lt;="&amp;TODAY()+7))</f>
        <v/>
      </c>
      <c r="K133" s="32">
        <f>IF(NOT(AND($A133&lt;&gt;"",OR($G133="",$G133="Active"))),"",IF($L133&lt;&gt;"",IF($L133=$M133,"Booking",INDEX($N$4:$U$4,MATCH($L133,$N133:$U133,0))),IF(IFERROR(LOOKUP(2,1/(ISNUMBER($M133:$U133)+($M133:$U133="DNA")),$M133:$U133),"")="DNA","Rebook DNA",IF(ISNUMBER(IFERROR(LOOKUP(2,1/(ISNUMBER($M133:$U133)+($M133:$U133="DNA")),$M133:$U133),"")),IF(ISNUMBER($U133),"Update status","Missed/not booked?"),""))))</f>
        <v/>
      </c>
      <c r="L133" s="33">
        <f>IF(NOT(AND($A133&lt;&gt;"",OR($G133="",$G133="Active"))),"",IFERROR(SMALL($M133:$U133,COUNTIF($M133:$U133,"&lt;"&amp;TODAY())+1),""))</f>
        <v/>
      </c>
      <c r="M133" s="31" t="n"/>
      <c r="N133" s="31" t="n"/>
      <c r="O133" s="31" t="n"/>
      <c r="P133" s="31" t="n"/>
      <c r="Q133" s="31" t="n"/>
      <c r="R133" s="31" t="n"/>
      <c r="S133" s="31" t="n"/>
      <c r="T133" s="31" t="n"/>
      <c r="U133" s="31" t="n"/>
      <c r="V133" s="31" t="n"/>
      <c r="W133" s="31" t="n"/>
      <c r="X133" s="31" t="n"/>
      <c r="Y133" s="31" t="n"/>
      <c r="Z133" s="31" t="n"/>
      <c r="AA133" s="34" t="n"/>
      <c r="AB133" s="29" t="n"/>
      <c r="AC133" s="31" t="n"/>
    </row>
    <row r="134">
      <c r="A134" s="29" t="n"/>
      <c r="B134" s="30" t="n"/>
      <c r="C134" s="31" t="n"/>
      <c r="D134" s="29" t="n"/>
      <c r="E134" s="29" t="n"/>
      <c r="F134" s="31" t="n"/>
      <c r="G134" s="29" t="n"/>
      <c r="H134" s="32">
        <f>IF(OR(NOT(AND($A134&lt;&gt;"",OR($G134="",$G134="Active"))),$F134=""),"",INT((TODAY()-$F134+280)/7)&amp;"+"&amp;MOD(TODAY()-$F134+280,7))</f>
        <v/>
      </c>
      <c r="I134" s="32">
        <f>IF(NOT(AND($A134&lt;&gt;"",OR($G134="",$G134="Active"))),"",IF(OR(IFERROR(LOOKUP(2,1/(ISNUMBER($M134:$U134)+($M134:$U134="DNA")),$M134:$U134),"")="DNA",AND(ISNUMBER(IFERROR(LOOKUP(2,1/(ISNUMBER($M134:$U134)+($M134:$U134="DNA")),$M134:$U134),"")),IFERROR(LOOKUP(2,1/(ISNUMBER($M134:$U134)+($M134:$U134="DNA")),$M134:$U134),"")&lt;TODAY())),1,0)+COUNTIF($V134:$Z134,"&lt;"&amp;TODAY()))</f>
        <v/>
      </c>
      <c r="J134" s="32">
        <f>IF(NOT(AND($A134&lt;&gt;"",OR($G134="",$G134="Active"))),"",COUNTIFS($M134:$U134,"&gt;="&amp;TODAY(),$M134:$U134,"&lt;="&amp;TODAY()+7)+COUNTIFS($V134:$Z134,"&gt;="&amp;TODAY(),$V134:$Z134,"&lt;="&amp;TODAY()+7))</f>
        <v/>
      </c>
      <c r="K134" s="32">
        <f>IF(NOT(AND($A134&lt;&gt;"",OR($G134="",$G134="Active"))),"",IF($L134&lt;&gt;"",IF($L134=$M134,"Booking",INDEX($N$4:$U$4,MATCH($L134,$N134:$U134,0))),IF(IFERROR(LOOKUP(2,1/(ISNUMBER($M134:$U134)+($M134:$U134="DNA")),$M134:$U134),"")="DNA","Rebook DNA",IF(ISNUMBER(IFERROR(LOOKUP(2,1/(ISNUMBER($M134:$U134)+($M134:$U134="DNA")),$M134:$U134),"")),IF(ISNUMBER($U134),"Update status","Missed/not booked?"),""))))</f>
        <v/>
      </c>
      <c r="L134" s="33">
        <f>IF(NOT(AND($A134&lt;&gt;"",OR($G134="",$G134="Active"))),"",IFERROR(SMALL($M134:$U134,COUNTIF($M134:$U134,"&lt;"&amp;TODAY())+1),""))</f>
        <v/>
      </c>
      <c r="M134" s="31" t="n"/>
      <c r="N134" s="31" t="n"/>
      <c r="O134" s="31" t="n"/>
      <c r="P134" s="31" t="n"/>
      <c r="Q134" s="31" t="n"/>
      <c r="R134" s="31" t="n"/>
      <c r="S134" s="31" t="n"/>
      <c r="T134" s="31" t="n"/>
      <c r="U134" s="31" t="n"/>
      <c r="V134" s="31" t="n"/>
      <c r="W134" s="31" t="n"/>
      <c r="X134" s="31" t="n"/>
      <c r="Y134" s="31" t="n"/>
      <c r="Z134" s="31" t="n"/>
      <c r="AA134" s="34" t="n"/>
      <c r="AB134" s="29" t="n"/>
      <c r="AC134" s="31" t="n"/>
    </row>
    <row r="135">
      <c r="A135" s="29" t="n"/>
      <c r="B135" s="30" t="n"/>
      <c r="C135" s="31" t="n"/>
      <c r="D135" s="29" t="n"/>
      <c r="E135" s="29" t="n"/>
      <c r="F135" s="31" t="n"/>
      <c r="G135" s="29" t="n"/>
      <c r="H135" s="32">
        <f>IF(OR(NOT(AND($A135&lt;&gt;"",OR($G135="",$G135="Active"))),$F135=""),"",INT((TODAY()-$F135+280)/7)&amp;"+"&amp;MOD(TODAY()-$F135+280,7))</f>
        <v/>
      </c>
      <c r="I135" s="32">
        <f>IF(NOT(AND($A135&lt;&gt;"",OR($G135="",$G135="Active"))),"",IF(OR(IFERROR(LOOKUP(2,1/(ISNUMBER($M135:$U135)+($M135:$U135="DNA")),$M135:$U135),"")="DNA",AND(ISNUMBER(IFERROR(LOOKUP(2,1/(ISNUMBER($M135:$U135)+($M135:$U135="DNA")),$M135:$U135),"")),IFERROR(LOOKUP(2,1/(ISNUMBER($M135:$U135)+($M135:$U135="DNA")),$M135:$U135),"")&lt;TODAY())),1,0)+COUNTIF($V135:$Z135,"&lt;"&amp;TODAY()))</f>
        <v/>
      </c>
      <c r="J135" s="32">
        <f>IF(NOT(AND($A135&lt;&gt;"",OR($G135="",$G135="Active"))),"",COUNTIFS($M135:$U135,"&gt;="&amp;TODAY(),$M135:$U135,"&lt;="&amp;TODAY()+7)+COUNTIFS($V135:$Z135,"&gt;="&amp;TODAY(),$V135:$Z135,"&lt;="&amp;TODAY()+7))</f>
        <v/>
      </c>
      <c r="K135" s="32">
        <f>IF(NOT(AND($A135&lt;&gt;"",OR($G135="",$G135="Active"))),"",IF($L135&lt;&gt;"",IF($L135=$M135,"Booking",INDEX($N$4:$U$4,MATCH($L135,$N135:$U135,0))),IF(IFERROR(LOOKUP(2,1/(ISNUMBER($M135:$U135)+($M135:$U135="DNA")),$M135:$U135),"")="DNA","Rebook DNA",IF(ISNUMBER(IFERROR(LOOKUP(2,1/(ISNUMBER($M135:$U135)+($M135:$U135="DNA")),$M135:$U135),"")),IF(ISNUMBER($U135),"Update status","Missed/not booked?"),""))))</f>
        <v/>
      </c>
      <c r="L135" s="33">
        <f>IF(NOT(AND($A135&lt;&gt;"",OR($G135="",$G135="Active"))),"",IFERROR(SMALL($M135:$U135,COUNTIF($M135:$U135,"&lt;"&amp;TODAY())+1),""))</f>
        <v/>
      </c>
      <c r="M135" s="31" t="n"/>
      <c r="N135" s="31" t="n"/>
      <c r="O135" s="31" t="n"/>
      <c r="P135" s="31" t="n"/>
      <c r="Q135" s="31" t="n"/>
      <c r="R135" s="31" t="n"/>
      <c r="S135" s="31" t="n"/>
      <c r="T135" s="31" t="n"/>
      <c r="U135" s="31" t="n"/>
      <c r="V135" s="31" t="n"/>
      <c r="W135" s="31" t="n"/>
      <c r="X135" s="31" t="n"/>
      <c r="Y135" s="31" t="n"/>
      <c r="Z135" s="31" t="n"/>
      <c r="AA135" s="34" t="n"/>
      <c r="AB135" s="29" t="n"/>
      <c r="AC135" s="31" t="n"/>
    </row>
    <row r="136">
      <c r="A136" s="29" t="n"/>
      <c r="B136" s="30" t="n"/>
      <c r="C136" s="31" t="n"/>
      <c r="D136" s="29" t="n"/>
      <c r="E136" s="29" t="n"/>
      <c r="F136" s="31" t="n"/>
      <c r="G136" s="29" t="n"/>
      <c r="H136" s="32">
        <f>IF(OR(NOT(AND($A136&lt;&gt;"",OR($G136="",$G136="Active"))),$F136=""),"",INT((TODAY()-$F136+280)/7)&amp;"+"&amp;MOD(TODAY()-$F136+280,7))</f>
        <v/>
      </c>
      <c r="I136" s="32">
        <f>IF(NOT(AND($A136&lt;&gt;"",OR($G136="",$G136="Active"))),"",IF(OR(IFERROR(LOOKUP(2,1/(ISNUMBER($M136:$U136)+($M136:$U136="DNA")),$M136:$U136),"")="DNA",AND(ISNUMBER(IFERROR(LOOKUP(2,1/(ISNUMBER($M136:$U136)+($M136:$U136="DNA")),$M136:$U136),"")),IFERROR(LOOKUP(2,1/(ISNUMBER($M136:$U136)+($M136:$U136="DNA")),$M136:$U136),"")&lt;TODAY())),1,0)+COUNTIF($V136:$Z136,"&lt;"&amp;TODAY()))</f>
        <v/>
      </c>
      <c r="J136" s="32">
        <f>IF(NOT(AND($A136&lt;&gt;"",OR($G136="",$G136="Active"))),"",COUNTIFS($M136:$U136,"&gt;="&amp;TODAY(),$M136:$U136,"&lt;="&amp;TODAY()+7)+COUNTIFS($V136:$Z136,"&gt;="&amp;TODAY(),$V136:$Z136,"&lt;="&amp;TODAY()+7))</f>
        <v/>
      </c>
      <c r="K136" s="32">
        <f>IF(NOT(AND($A136&lt;&gt;"",OR($G136="",$G136="Active"))),"",IF($L136&lt;&gt;"",IF($L136=$M136,"Booking",INDEX($N$4:$U$4,MATCH($L136,$N136:$U136,0))),IF(IFERROR(LOOKUP(2,1/(ISNUMBER($M136:$U136)+($M136:$U136="DNA")),$M136:$U136),"")="DNA","Rebook DNA",IF(ISNUMBER(IFERROR(LOOKUP(2,1/(ISNUMBER($M136:$U136)+($M136:$U136="DNA")),$M136:$U136),"")),IF(ISNUMBER($U136),"Update status","Missed/not booked?"),""))))</f>
        <v/>
      </c>
      <c r="L136" s="33">
        <f>IF(NOT(AND($A136&lt;&gt;"",OR($G136="",$G136="Active"))),"",IFERROR(SMALL($M136:$U136,COUNTIF($M136:$U136,"&lt;"&amp;TODAY())+1),""))</f>
        <v/>
      </c>
      <c r="M136" s="31" t="n"/>
      <c r="N136" s="31" t="n"/>
      <c r="O136" s="31" t="n"/>
      <c r="P136" s="31" t="n"/>
      <c r="Q136" s="31" t="n"/>
      <c r="R136" s="31" t="n"/>
      <c r="S136" s="31" t="n"/>
      <c r="T136" s="31" t="n"/>
      <c r="U136" s="31" t="n"/>
      <c r="V136" s="31" t="n"/>
      <c r="W136" s="31" t="n"/>
      <c r="X136" s="31" t="n"/>
      <c r="Y136" s="31" t="n"/>
      <c r="Z136" s="31" t="n"/>
      <c r="AA136" s="34" t="n"/>
      <c r="AB136" s="29" t="n"/>
      <c r="AC136" s="31" t="n"/>
    </row>
    <row r="137">
      <c r="A137" s="29" t="n"/>
      <c r="B137" s="30" t="n"/>
      <c r="C137" s="31" t="n"/>
      <c r="D137" s="29" t="n"/>
      <c r="E137" s="29" t="n"/>
      <c r="F137" s="31" t="n"/>
      <c r="G137" s="29" t="n"/>
      <c r="H137" s="32">
        <f>IF(OR(NOT(AND($A137&lt;&gt;"",OR($G137="",$G137="Active"))),$F137=""),"",INT((TODAY()-$F137+280)/7)&amp;"+"&amp;MOD(TODAY()-$F137+280,7))</f>
        <v/>
      </c>
      <c r="I137" s="32">
        <f>IF(NOT(AND($A137&lt;&gt;"",OR($G137="",$G137="Active"))),"",IF(OR(IFERROR(LOOKUP(2,1/(ISNUMBER($M137:$U137)+($M137:$U137="DNA")),$M137:$U137),"")="DNA",AND(ISNUMBER(IFERROR(LOOKUP(2,1/(ISNUMBER($M137:$U137)+($M137:$U137="DNA")),$M137:$U137),"")),IFERROR(LOOKUP(2,1/(ISNUMBER($M137:$U137)+($M137:$U137="DNA")),$M137:$U137),"")&lt;TODAY())),1,0)+COUNTIF($V137:$Z137,"&lt;"&amp;TODAY()))</f>
        <v/>
      </c>
      <c r="J137" s="32">
        <f>IF(NOT(AND($A137&lt;&gt;"",OR($G137="",$G137="Active"))),"",COUNTIFS($M137:$U137,"&gt;="&amp;TODAY(),$M137:$U137,"&lt;="&amp;TODAY()+7)+COUNTIFS($V137:$Z137,"&gt;="&amp;TODAY(),$V137:$Z137,"&lt;="&amp;TODAY()+7))</f>
        <v/>
      </c>
      <c r="K137" s="32">
        <f>IF(NOT(AND($A137&lt;&gt;"",OR($G137="",$G137="Active"))),"",IF($L137&lt;&gt;"",IF($L137=$M137,"Booking",INDEX($N$4:$U$4,MATCH($L137,$N137:$U137,0))),IF(IFERROR(LOOKUP(2,1/(ISNUMBER($M137:$U137)+($M137:$U137="DNA")),$M137:$U137),"")="DNA","Rebook DNA",IF(ISNUMBER(IFERROR(LOOKUP(2,1/(ISNUMBER($M137:$U137)+($M137:$U137="DNA")),$M137:$U137),"")),IF(ISNUMBER($U137),"Update status","Missed/not booked?"),""))))</f>
        <v/>
      </c>
      <c r="L137" s="33">
        <f>IF(NOT(AND($A137&lt;&gt;"",OR($G137="",$G137="Active"))),"",IFERROR(SMALL($M137:$U137,COUNTIF($M137:$U137,"&lt;"&amp;TODAY())+1),""))</f>
        <v/>
      </c>
      <c r="M137" s="31" t="n"/>
      <c r="N137" s="31" t="n"/>
      <c r="O137" s="31" t="n"/>
      <c r="P137" s="31" t="n"/>
      <c r="Q137" s="31" t="n"/>
      <c r="R137" s="31" t="n"/>
      <c r="S137" s="31" t="n"/>
      <c r="T137" s="31" t="n"/>
      <c r="U137" s="31" t="n"/>
      <c r="V137" s="31" t="n"/>
      <c r="W137" s="31" t="n"/>
      <c r="X137" s="31" t="n"/>
      <c r="Y137" s="31" t="n"/>
      <c r="Z137" s="31" t="n"/>
      <c r="AA137" s="34" t="n"/>
      <c r="AB137" s="29" t="n"/>
      <c r="AC137" s="31" t="n"/>
    </row>
    <row r="138">
      <c r="A138" s="29" t="n"/>
      <c r="B138" s="30" t="n"/>
      <c r="C138" s="31" t="n"/>
      <c r="D138" s="29" t="n"/>
      <c r="E138" s="29" t="n"/>
      <c r="F138" s="31" t="n"/>
      <c r="G138" s="29" t="n"/>
      <c r="H138" s="32">
        <f>IF(OR(NOT(AND($A138&lt;&gt;"",OR($G138="",$G138="Active"))),$F138=""),"",INT((TODAY()-$F138+280)/7)&amp;"+"&amp;MOD(TODAY()-$F138+280,7))</f>
        <v/>
      </c>
      <c r="I138" s="32">
        <f>IF(NOT(AND($A138&lt;&gt;"",OR($G138="",$G138="Active"))),"",IF(OR(IFERROR(LOOKUP(2,1/(ISNUMBER($M138:$U138)+($M138:$U138="DNA")),$M138:$U138),"")="DNA",AND(ISNUMBER(IFERROR(LOOKUP(2,1/(ISNUMBER($M138:$U138)+($M138:$U138="DNA")),$M138:$U138),"")),IFERROR(LOOKUP(2,1/(ISNUMBER($M138:$U138)+($M138:$U138="DNA")),$M138:$U138),"")&lt;TODAY())),1,0)+COUNTIF($V138:$Z138,"&lt;"&amp;TODAY()))</f>
        <v/>
      </c>
      <c r="J138" s="32">
        <f>IF(NOT(AND($A138&lt;&gt;"",OR($G138="",$G138="Active"))),"",COUNTIFS($M138:$U138,"&gt;="&amp;TODAY(),$M138:$U138,"&lt;="&amp;TODAY()+7)+COUNTIFS($V138:$Z138,"&gt;="&amp;TODAY(),$V138:$Z138,"&lt;="&amp;TODAY()+7))</f>
        <v/>
      </c>
      <c r="K138" s="32">
        <f>IF(NOT(AND($A138&lt;&gt;"",OR($G138="",$G138="Active"))),"",IF($L138&lt;&gt;"",IF($L138=$M138,"Booking",INDEX($N$4:$U$4,MATCH($L138,$N138:$U138,0))),IF(IFERROR(LOOKUP(2,1/(ISNUMBER($M138:$U138)+($M138:$U138="DNA")),$M138:$U138),"")="DNA","Rebook DNA",IF(ISNUMBER(IFERROR(LOOKUP(2,1/(ISNUMBER($M138:$U138)+($M138:$U138="DNA")),$M138:$U138),"")),IF(ISNUMBER($U138),"Update status","Missed/not booked?"),""))))</f>
        <v/>
      </c>
      <c r="L138" s="33">
        <f>IF(NOT(AND($A138&lt;&gt;"",OR($G138="",$G138="Active"))),"",IFERROR(SMALL($M138:$U138,COUNTIF($M138:$U138,"&lt;"&amp;TODAY())+1),""))</f>
        <v/>
      </c>
      <c r="M138" s="31" t="n"/>
      <c r="N138" s="31" t="n"/>
      <c r="O138" s="31" t="n"/>
      <c r="P138" s="31" t="n"/>
      <c r="Q138" s="31" t="n"/>
      <c r="R138" s="31" t="n"/>
      <c r="S138" s="31" t="n"/>
      <c r="T138" s="31" t="n"/>
      <c r="U138" s="31" t="n"/>
      <c r="V138" s="31" t="n"/>
      <c r="W138" s="31" t="n"/>
      <c r="X138" s="31" t="n"/>
      <c r="Y138" s="31" t="n"/>
      <c r="Z138" s="31" t="n"/>
      <c r="AA138" s="34" t="n"/>
      <c r="AB138" s="29" t="n"/>
      <c r="AC138" s="31" t="n"/>
    </row>
    <row r="139">
      <c r="A139" s="29" t="n"/>
      <c r="B139" s="30" t="n"/>
      <c r="C139" s="31" t="n"/>
      <c r="D139" s="29" t="n"/>
      <c r="E139" s="29" t="n"/>
      <c r="F139" s="31" t="n"/>
      <c r="G139" s="29" t="n"/>
      <c r="H139" s="32">
        <f>IF(OR(NOT(AND($A139&lt;&gt;"",OR($G139="",$G139="Active"))),$F139=""),"",INT((TODAY()-$F139+280)/7)&amp;"+"&amp;MOD(TODAY()-$F139+280,7))</f>
        <v/>
      </c>
      <c r="I139" s="32">
        <f>IF(NOT(AND($A139&lt;&gt;"",OR($G139="",$G139="Active"))),"",IF(OR(IFERROR(LOOKUP(2,1/(ISNUMBER($M139:$U139)+($M139:$U139="DNA")),$M139:$U139),"")="DNA",AND(ISNUMBER(IFERROR(LOOKUP(2,1/(ISNUMBER($M139:$U139)+($M139:$U139="DNA")),$M139:$U139),"")),IFERROR(LOOKUP(2,1/(ISNUMBER($M139:$U139)+($M139:$U139="DNA")),$M139:$U139),"")&lt;TODAY())),1,0)+COUNTIF($V139:$Z139,"&lt;"&amp;TODAY()))</f>
        <v/>
      </c>
      <c r="J139" s="32">
        <f>IF(NOT(AND($A139&lt;&gt;"",OR($G139="",$G139="Active"))),"",COUNTIFS($M139:$U139,"&gt;="&amp;TODAY(),$M139:$U139,"&lt;="&amp;TODAY()+7)+COUNTIFS($V139:$Z139,"&gt;="&amp;TODAY(),$V139:$Z139,"&lt;="&amp;TODAY()+7))</f>
        <v/>
      </c>
      <c r="K139" s="32">
        <f>IF(NOT(AND($A139&lt;&gt;"",OR($G139="",$G139="Active"))),"",IF($L139&lt;&gt;"",IF($L139=$M139,"Booking",INDEX($N$4:$U$4,MATCH($L139,$N139:$U139,0))),IF(IFERROR(LOOKUP(2,1/(ISNUMBER($M139:$U139)+($M139:$U139="DNA")),$M139:$U139),"")="DNA","Rebook DNA",IF(ISNUMBER(IFERROR(LOOKUP(2,1/(ISNUMBER($M139:$U139)+($M139:$U139="DNA")),$M139:$U139),"")),IF(ISNUMBER($U139),"Update status","Missed/not booked?"),""))))</f>
        <v/>
      </c>
      <c r="L139" s="33">
        <f>IF(NOT(AND($A139&lt;&gt;"",OR($G139="",$G139="Active"))),"",IFERROR(SMALL($M139:$U139,COUNTIF($M139:$U139,"&lt;"&amp;TODAY())+1),""))</f>
        <v/>
      </c>
      <c r="M139" s="31" t="n"/>
      <c r="N139" s="31" t="n"/>
      <c r="O139" s="31" t="n"/>
      <c r="P139" s="31" t="n"/>
      <c r="Q139" s="31" t="n"/>
      <c r="R139" s="31" t="n"/>
      <c r="S139" s="31" t="n"/>
      <c r="T139" s="31" t="n"/>
      <c r="U139" s="31" t="n"/>
      <c r="V139" s="31" t="n"/>
      <c r="W139" s="31" t="n"/>
      <c r="X139" s="31" t="n"/>
      <c r="Y139" s="31" t="n"/>
      <c r="Z139" s="31" t="n"/>
      <c r="AA139" s="34" t="n"/>
      <c r="AB139" s="29" t="n"/>
      <c r="AC139" s="31" t="n"/>
    </row>
    <row r="140">
      <c r="A140" s="29" t="n"/>
      <c r="B140" s="30" t="n"/>
      <c r="C140" s="31" t="n"/>
      <c r="D140" s="29" t="n"/>
      <c r="E140" s="29" t="n"/>
      <c r="F140" s="31" t="n"/>
      <c r="G140" s="29" t="n"/>
      <c r="H140" s="32">
        <f>IF(OR(NOT(AND($A140&lt;&gt;"",OR($G140="",$G140="Active"))),$F140=""),"",INT((TODAY()-$F140+280)/7)&amp;"+"&amp;MOD(TODAY()-$F140+280,7))</f>
        <v/>
      </c>
      <c r="I140" s="32">
        <f>IF(NOT(AND($A140&lt;&gt;"",OR($G140="",$G140="Active"))),"",IF(OR(IFERROR(LOOKUP(2,1/(ISNUMBER($M140:$U140)+($M140:$U140="DNA")),$M140:$U140),"")="DNA",AND(ISNUMBER(IFERROR(LOOKUP(2,1/(ISNUMBER($M140:$U140)+($M140:$U140="DNA")),$M140:$U140),"")),IFERROR(LOOKUP(2,1/(ISNUMBER($M140:$U140)+($M140:$U140="DNA")),$M140:$U140),"")&lt;TODAY())),1,0)+COUNTIF($V140:$Z140,"&lt;"&amp;TODAY()))</f>
        <v/>
      </c>
      <c r="J140" s="32">
        <f>IF(NOT(AND($A140&lt;&gt;"",OR($G140="",$G140="Active"))),"",COUNTIFS($M140:$U140,"&gt;="&amp;TODAY(),$M140:$U140,"&lt;="&amp;TODAY()+7)+COUNTIFS($V140:$Z140,"&gt;="&amp;TODAY(),$V140:$Z140,"&lt;="&amp;TODAY()+7))</f>
        <v/>
      </c>
      <c r="K140" s="32">
        <f>IF(NOT(AND($A140&lt;&gt;"",OR($G140="",$G140="Active"))),"",IF($L140&lt;&gt;"",IF($L140=$M140,"Booking",INDEX($N$4:$U$4,MATCH($L140,$N140:$U140,0))),IF(IFERROR(LOOKUP(2,1/(ISNUMBER($M140:$U140)+($M140:$U140="DNA")),$M140:$U140),"")="DNA","Rebook DNA",IF(ISNUMBER(IFERROR(LOOKUP(2,1/(ISNUMBER($M140:$U140)+($M140:$U140="DNA")),$M140:$U140),"")),IF(ISNUMBER($U140),"Update status","Missed/not booked?"),""))))</f>
        <v/>
      </c>
      <c r="L140" s="33">
        <f>IF(NOT(AND($A140&lt;&gt;"",OR($G140="",$G140="Active"))),"",IFERROR(SMALL($M140:$U140,COUNTIF($M140:$U140,"&lt;"&amp;TODAY())+1),""))</f>
        <v/>
      </c>
      <c r="M140" s="31" t="n"/>
      <c r="N140" s="31" t="n"/>
      <c r="O140" s="31" t="n"/>
      <c r="P140" s="31" t="n"/>
      <c r="Q140" s="31" t="n"/>
      <c r="R140" s="31" t="n"/>
      <c r="S140" s="31" t="n"/>
      <c r="T140" s="31" t="n"/>
      <c r="U140" s="31" t="n"/>
      <c r="V140" s="31" t="n"/>
      <c r="W140" s="31" t="n"/>
      <c r="X140" s="31" t="n"/>
      <c r="Y140" s="31" t="n"/>
      <c r="Z140" s="31" t="n"/>
      <c r="AA140" s="34" t="n"/>
      <c r="AB140" s="29" t="n"/>
      <c r="AC140" s="31" t="n"/>
    </row>
    <row r="141">
      <c r="A141" s="29" t="n"/>
      <c r="B141" s="30" t="n"/>
      <c r="C141" s="31" t="n"/>
      <c r="D141" s="29" t="n"/>
      <c r="E141" s="29" t="n"/>
      <c r="F141" s="31" t="n"/>
      <c r="G141" s="29" t="n"/>
      <c r="H141" s="32">
        <f>IF(OR(NOT(AND($A141&lt;&gt;"",OR($G141="",$G141="Active"))),$F141=""),"",INT((TODAY()-$F141+280)/7)&amp;"+"&amp;MOD(TODAY()-$F141+280,7))</f>
        <v/>
      </c>
      <c r="I141" s="32">
        <f>IF(NOT(AND($A141&lt;&gt;"",OR($G141="",$G141="Active"))),"",IF(OR(IFERROR(LOOKUP(2,1/(ISNUMBER($M141:$U141)+($M141:$U141="DNA")),$M141:$U141),"")="DNA",AND(ISNUMBER(IFERROR(LOOKUP(2,1/(ISNUMBER($M141:$U141)+($M141:$U141="DNA")),$M141:$U141),"")),IFERROR(LOOKUP(2,1/(ISNUMBER($M141:$U141)+($M141:$U141="DNA")),$M141:$U141),"")&lt;TODAY())),1,0)+COUNTIF($V141:$Z141,"&lt;"&amp;TODAY()))</f>
        <v/>
      </c>
      <c r="J141" s="32">
        <f>IF(NOT(AND($A141&lt;&gt;"",OR($G141="",$G141="Active"))),"",COUNTIFS($M141:$U141,"&gt;="&amp;TODAY(),$M141:$U141,"&lt;="&amp;TODAY()+7)+COUNTIFS($V141:$Z141,"&gt;="&amp;TODAY(),$V141:$Z141,"&lt;="&amp;TODAY()+7))</f>
        <v/>
      </c>
      <c r="K141" s="32">
        <f>IF(NOT(AND($A141&lt;&gt;"",OR($G141="",$G141="Active"))),"",IF($L141&lt;&gt;"",IF($L141=$M141,"Booking",INDEX($N$4:$U$4,MATCH($L141,$N141:$U141,0))),IF(IFERROR(LOOKUP(2,1/(ISNUMBER($M141:$U141)+($M141:$U141="DNA")),$M141:$U141),"")="DNA","Rebook DNA",IF(ISNUMBER(IFERROR(LOOKUP(2,1/(ISNUMBER($M141:$U141)+($M141:$U141="DNA")),$M141:$U141),"")),IF(ISNUMBER($U141),"Update status","Missed/not booked?"),""))))</f>
        <v/>
      </c>
      <c r="L141" s="33">
        <f>IF(NOT(AND($A141&lt;&gt;"",OR($G141="",$G141="Active"))),"",IFERROR(SMALL($M141:$U141,COUNTIF($M141:$U141,"&lt;"&amp;TODAY())+1),""))</f>
        <v/>
      </c>
      <c r="M141" s="31" t="n"/>
      <c r="N141" s="31" t="n"/>
      <c r="O141" s="31" t="n"/>
      <c r="P141" s="31" t="n"/>
      <c r="Q141" s="31" t="n"/>
      <c r="R141" s="31" t="n"/>
      <c r="S141" s="31" t="n"/>
      <c r="T141" s="31" t="n"/>
      <c r="U141" s="31" t="n"/>
      <c r="V141" s="31" t="n"/>
      <c r="W141" s="31" t="n"/>
      <c r="X141" s="31" t="n"/>
      <c r="Y141" s="31" t="n"/>
      <c r="Z141" s="31" t="n"/>
      <c r="AA141" s="34" t="n"/>
      <c r="AB141" s="29" t="n"/>
      <c r="AC141" s="31" t="n"/>
    </row>
    <row r="142">
      <c r="A142" s="29" t="n"/>
      <c r="B142" s="30" t="n"/>
      <c r="C142" s="31" t="n"/>
      <c r="D142" s="29" t="n"/>
      <c r="E142" s="29" t="n"/>
      <c r="F142" s="31" t="n"/>
      <c r="G142" s="29" t="n"/>
      <c r="H142" s="32">
        <f>IF(OR(NOT(AND($A142&lt;&gt;"",OR($G142="",$G142="Active"))),$F142=""),"",INT((TODAY()-$F142+280)/7)&amp;"+"&amp;MOD(TODAY()-$F142+280,7))</f>
        <v/>
      </c>
      <c r="I142" s="32">
        <f>IF(NOT(AND($A142&lt;&gt;"",OR($G142="",$G142="Active"))),"",IF(OR(IFERROR(LOOKUP(2,1/(ISNUMBER($M142:$U142)+($M142:$U142="DNA")),$M142:$U142),"")="DNA",AND(ISNUMBER(IFERROR(LOOKUP(2,1/(ISNUMBER($M142:$U142)+($M142:$U142="DNA")),$M142:$U142),"")),IFERROR(LOOKUP(2,1/(ISNUMBER($M142:$U142)+($M142:$U142="DNA")),$M142:$U142),"")&lt;TODAY())),1,0)+COUNTIF($V142:$Z142,"&lt;"&amp;TODAY()))</f>
        <v/>
      </c>
      <c r="J142" s="32">
        <f>IF(NOT(AND($A142&lt;&gt;"",OR($G142="",$G142="Active"))),"",COUNTIFS($M142:$U142,"&gt;="&amp;TODAY(),$M142:$U142,"&lt;="&amp;TODAY()+7)+COUNTIFS($V142:$Z142,"&gt;="&amp;TODAY(),$V142:$Z142,"&lt;="&amp;TODAY()+7))</f>
        <v/>
      </c>
      <c r="K142" s="32">
        <f>IF(NOT(AND($A142&lt;&gt;"",OR($G142="",$G142="Active"))),"",IF($L142&lt;&gt;"",IF($L142=$M142,"Booking",INDEX($N$4:$U$4,MATCH($L142,$N142:$U142,0))),IF(IFERROR(LOOKUP(2,1/(ISNUMBER($M142:$U142)+($M142:$U142="DNA")),$M142:$U142),"")="DNA","Rebook DNA",IF(ISNUMBER(IFERROR(LOOKUP(2,1/(ISNUMBER($M142:$U142)+($M142:$U142="DNA")),$M142:$U142),"")),IF(ISNUMBER($U142),"Update status","Missed/not booked?"),""))))</f>
        <v/>
      </c>
      <c r="L142" s="33">
        <f>IF(NOT(AND($A142&lt;&gt;"",OR($G142="",$G142="Active"))),"",IFERROR(SMALL($M142:$U142,COUNTIF($M142:$U142,"&lt;"&amp;TODAY())+1),""))</f>
        <v/>
      </c>
      <c r="M142" s="31" t="n"/>
      <c r="N142" s="31" t="n"/>
      <c r="O142" s="31" t="n"/>
      <c r="P142" s="31" t="n"/>
      <c r="Q142" s="31" t="n"/>
      <c r="R142" s="31" t="n"/>
      <c r="S142" s="31" t="n"/>
      <c r="T142" s="31" t="n"/>
      <c r="U142" s="31" t="n"/>
      <c r="V142" s="31" t="n"/>
      <c r="W142" s="31" t="n"/>
      <c r="X142" s="31" t="n"/>
      <c r="Y142" s="31" t="n"/>
      <c r="Z142" s="31" t="n"/>
      <c r="AA142" s="34" t="n"/>
      <c r="AB142" s="29" t="n"/>
      <c r="AC142" s="31" t="n"/>
    </row>
    <row r="143">
      <c r="A143" s="29" t="n"/>
      <c r="B143" s="30" t="n"/>
      <c r="C143" s="31" t="n"/>
      <c r="D143" s="29" t="n"/>
      <c r="E143" s="29" t="n"/>
      <c r="F143" s="31" t="n"/>
      <c r="G143" s="29" t="n"/>
      <c r="H143" s="32">
        <f>IF(OR(NOT(AND($A143&lt;&gt;"",OR($G143="",$G143="Active"))),$F143=""),"",INT((TODAY()-$F143+280)/7)&amp;"+"&amp;MOD(TODAY()-$F143+280,7))</f>
        <v/>
      </c>
      <c r="I143" s="32">
        <f>IF(NOT(AND($A143&lt;&gt;"",OR($G143="",$G143="Active"))),"",IF(OR(IFERROR(LOOKUP(2,1/(ISNUMBER($M143:$U143)+($M143:$U143="DNA")),$M143:$U143),"")="DNA",AND(ISNUMBER(IFERROR(LOOKUP(2,1/(ISNUMBER($M143:$U143)+($M143:$U143="DNA")),$M143:$U143),"")),IFERROR(LOOKUP(2,1/(ISNUMBER($M143:$U143)+($M143:$U143="DNA")),$M143:$U143),"")&lt;TODAY())),1,0)+COUNTIF($V143:$Z143,"&lt;"&amp;TODAY()))</f>
        <v/>
      </c>
      <c r="J143" s="32">
        <f>IF(NOT(AND($A143&lt;&gt;"",OR($G143="",$G143="Active"))),"",COUNTIFS($M143:$U143,"&gt;="&amp;TODAY(),$M143:$U143,"&lt;="&amp;TODAY()+7)+COUNTIFS($V143:$Z143,"&gt;="&amp;TODAY(),$V143:$Z143,"&lt;="&amp;TODAY()+7))</f>
        <v/>
      </c>
      <c r="K143" s="32">
        <f>IF(NOT(AND($A143&lt;&gt;"",OR($G143="",$G143="Active"))),"",IF($L143&lt;&gt;"",IF($L143=$M143,"Booking",INDEX($N$4:$U$4,MATCH($L143,$N143:$U143,0))),IF(IFERROR(LOOKUP(2,1/(ISNUMBER($M143:$U143)+($M143:$U143="DNA")),$M143:$U143),"")="DNA","Rebook DNA",IF(ISNUMBER(IFERROR(LOOKUP(2,1/(ISNUMBER($M143:$U143)+($M143:$U143="DNA")),$M143:$U143),"")),IF(ISNUMBER($U143),"Update status","Missed/not booked?"),""))))</f>
        <v/>
      </c>
      <c r="L143" s="33">
        <f>IF(NOT(AND($A143&lt;&gt;"",OR($G143="",$G143="Active"))),"",IFERROR(SMALL($M143:$U143,COUNTIF($M143:$U143,"&lt;"&amp;TODAY())+1),""))</f>
        <v/>
      </c>
      <c r="M143" s="31" t="n"/>
      <c r="N143" s="31" t="n"/>
      <c r="O143" s="31" t="n"/>
      <c r="P143" s="31" t="n"/>
      <c r="Q143" s="31" t="n"/>
      <c r="R143" s="31" t="n"/>
      <c r="S143" s="31" t="n"/>
      <c r="T143" s="31" t="n"/>
      <c r="U143" s="31" t="n"/>
      <c r="V143" s="31" t="n"/>
      <c r="W143" s="31" t="n"/>
      <c r="X143" s="31" t="n"/>
      <c r="Y143" s="31" t="n"/>
      <c r="Z143" s="31" t="n"/>
      <c r="AA143" s="34" t="n"/>
      <c r="AB143" s="29" t="n"/>
      <c r="AC143" s="31" t="n"/>
    </row>
    <row r="144">
      <c r="A144" s="29" t="n"/>
      <c r="B144" s="30" t="n"/>
      <c r="C144" s="31" t="n"/>
      <c r="D144" s="29" t="n"/>
      <c r="E144" s="29" t="n"/>
      <c r="F144" s="31" t="n"/>
      <c r="G144" s="29" t="n"/>
      <c r="H144" s="32">
        <f>IF(OR(NOT(AND($A144&lt;&gt;"",OR($G144="",$G144="Active"))),$F144=""),"",INT((TODAY()-$F144+280)/7)&amp;"+"&amp;MOD(TODAY()-$F144+280,7))</f>
        <v/>
      </c>
      <c r="I144" s="32">
        <f>IF(NOT(AND($A144&lt;&gt;"",OR($G144="",$G144="Active"))),"",IF(OR(IFERROR(LOOKUP(2,1/(ISNUMBER($M144:$U144)+($M144:$U144="DNA")),$M144:$U144),"")="DNA",AND(ISNUMBER(IFERROR(LOOKUP(2,1/(ISNUMBER($M144:$U144)+($M144:$U144="DNA")),$M144:$U144),"")),IFERROR(LOOKUP(2,1/(ISNUMBER($M144:$U144)+($M144:$U144="DNA")),$M144:$U144),"")&lt;TODAY())),1,0)+COUNTIF($V144:$Z144,"&lt;"&amp;TODAY()))</f>
        <v/>
      </c>
      <c r="J144" s="32">
        <f>IF(NOT(AND($A144&lt;&gt;"",OR($G144="",$G144="Active"))),"",COUNTIFS($M144:$U144,"&gt;="&amp;TODAY(),$M144:$U144,"&lt;="&amp;TODAY()+7)+COUNTIFS($V144:$Z144,"&gt;="&amp;TODAY(),$V144:$Z144,"&lt;="&amp;TODAY()+7))</f>
        <v/>
      </c>
      <c r="K144" s="32">
        <f>IF(NOT(AND($A144&lt;&gt;"",OR($G144="",$G144="Active"))),"",IF($L144&lt;&gt;"",IF($L144=$M144,"Booking",INDEX($N$4:$U$4,MATCH($L144,$N144:$U144,0))),IF(IFERROR(LOOKUP(2,1/(ISNUMBER($M144:$U144)+($M144:$U144="DNA")),$M144:$U144),"")="DNA","Rebook DNA",IF(ISNUMBER(IFERROR(LOOKUP(2,1/(ISNUMBER($M144:$U144)+($M144:$U144="DNA")),$M144:$U144),"")),IF(ISNUMBER($U144),"Update status","Missed/not booked?"),""))))</f>
        <v/>
      </c>
      <c r="L144" s="33">
        <f>IF(NOT(AND($A144&lt;&gt;"",OR($G144="",$G144="Active"))),"",IFERROR(SMALL($M144:$U144,COUNTIF($M144:$U144,"&lt;"&amp;TODAY())+1),""))</f>
        <v/>
      </c>
      <c r="M144" s="31" t="n"/>
      <c r="N144" s="31" t="n"/>
      <c r="O144" s="31" t="n"/>
      <c r="P144" s="31" t="n"/>
      <c r="Q144" s="31" t="n"/>
      <c r="R144" s="31" t="n"/>
      <c r="S144" s="31" t="n"/>
      <c r="T144" s="31" t="n"/>
      <c r="U144" s="31" t="n"/>
      <c r="V144" s="31" t="n"/>
      <c r="W144" s="31" t="n"/>
      <c r="X144" s="31" t="n"/>
      <c r="Y144" s="31" t="n"/>
      <c r="Z144" s="31" t="n"/>
      <c r="AA144" s="34" t="n"/>
      <c r="AB144" s="29" t="n"/>
      <c r="AC144" s="31" t="n"/>
    </row>
    <row r="145">
      <c r="A145" s="29" t="n"/>
      <c r="B145" s="30" t="n"/>
      <c r="C145" s="31" t="n"/>
      <c r="D145" s="29" t="n"/>
      <c r="E145" s="29" t="n"/>
      <c r="F145" s="31" t="n"/>
      <c r="G145" s="29" t="n"/>
      <c r="H145" s="32">
        <f>IF(OR(NOT(AND($A145&lt;&gt;"",OR($G145="",$G145="Active"))),$F145=""),"",INT((TODAY()-$F145+280)/7)&amp;"+"&amp;MOD(TODAY()-$F145+280,7))</f>
        <v/>
      </c>
      <c r="I145" s="32">
        <f>IF(NOT(AND($A145&lt;&gt;"",OR($G145="",$G145="Active"))),"",IF(OR(IFERROR(LOOKUP(2,1/(ISNUMBER($M145:$U145)+($M145:$U145="DNA")),$M145:$U145),"")="DNA",AND(ISNUMBER(IFERROR(LOOKUP(2,1/(ISNUMBER($M145:$U145)+($M145:$U145="DNA")),$M145:$U145),"")),IFERROR(LOOKUP(2,1/(ISNUMBER($M145:$U145)+($M145:$U145="DNA")),$M145:$U145),"")&lt;TODAY())),1,0)+COUNTIF($V145:$Z145,"&lt;"&amp;TODAY()))</f>
        <v/>
      </c>
      <c r="J145" s="32">
        <f>IF(NOT(AND($A145&lt;&gt;"",OR($G145="",$G145="Active"))),"",COUNTIFS($M145:$U145,"&gt;="&amp;TODAY(),$M145:$U145,"&lt;="&amp;TODAY()+7)+COUNTIFS($V145:$Z145,"&gt;="&amp;TODAY(),$V145:$Z145,"&lt;="&amp;TODAY()+7))</f>
        <v/>
      </c>
      <c r="K145" s="32">
        <f>IF(NOT(AND($A145&lt;&gt;"",OR($G145="",$G145="Active"))),"",IF($L145&lt;&gt;"",IF($L145=$M145,"Booking",INDEX($N$4:$U$4,MATCH($L145,$N145:$U145,0))),IF(IFERROR(LOOKUP(2,1/(ISNUMBER($M145:$U145)+($M145:$U145="DNA")),$M145:$U145),"")="DNA","Rebook DNA",IF(ISNUMBER(IFERROR(LOOKUP(2,1/(ISNUMBER($M145:$U145)+($M145:$U145="DNA")),$M145:$U145),"")),IF(ISNUMBER($U145),"Update status","Missed/not booked?"),""))))</f>
        <v/>
      </c>
      <c r="L145" s="33">
        <f>IF(NOT(AND($A145&lt;&gt;"",OR($G145="",$G145="Active"))),"",IFERROR(SMALL($M145:$U145,COUNTIF($M145:$U145,"&lt;"&amp;TODAY())+1),""))</f>
        <v/>
      </c>
      <c r="M145" s="31" t="n"/>
      <c r="N145" s="31" t="n"/>
      <c r="O145" s="31" t="n"/>
      <c r="P145" s="31" t="n"/>
      <c r="Q145" s="31" t="n"/>
      <c r="R145" s="31" t="n"/>
      <c r="S145" s="31" t="n"/>
      <c r="T145" s="31" t="n"/>
      <c r="U145" s="31" t="n"/>
      <c r="V145" s="31" t="n"/>
      <c r="W145" s="31" t="n"/>
      <c r="X145" s="31" t="n"/>
      <c r="Y145" s="31" t="n"/>
      <c r="Z145" s="31" t="n"/>
      <c r="AA145" s="34" t="n"/>
      <c r="AB145" s="29" t="n"/>
      <c r="AC145" s="31" t="n"/>
    </row>
    <row r="146">
      <c r="A146" s="29" t="n"/>
      <c r="B146" s="30" t="n"/>
      <c r="C146" s="31" t="n"/>
      <c r="D146" s="29" t="n"/>
      <c r="E146" s="29" t="n"/>
      <c r="F146" s="31" t="n"/>
      <c r="G146" s="29" t="n"/>
      <c r="H146" s="32">
        <f>IF(OR(NOT(AND($A146&lt;&gt;"",OR($G146="",$G146="Active"))),$F146=""),"",INT((TODAY()-$F146+280)/7)&amp;"+"&amp;MOD(TODAY()-$F146+280,7))</f>
        <v/>
      </c>
      <c r="I146" s="32">
        <f>IF(NOT(AND($A146&lt;&gt;"",OR($G146="",$G146="Active"))),"",IF(OR(IFERROR(LOOKUP(2,1/(ISNUMBER($M146:$U146)+($M146:$U146="DNA")),$M146:$U146),"")="DNA",AND(ISNUMBER(IFERROR(LOOKUP(2,1/(ISNUMBER($M146:$U146)+($M146:$U146="DNA")),$M146:$U146),"")),IFERROR(LOOKUP(2,1/(ISNUMBER($M146:$U146)+($M146:$U146="DNA")),$M146:$U146),"")&lt;TODAY())),1,0)+COUNTIF($V146:$Z146,"&lt;"&amp;TODAY()))</f>
        <v/>
      </c>
      <c r="J146" s="32">
        <f>IF(NOT(AND($A146&lt;&gt;"",OR($G146="",$G146="Active"))),"",COUNTIFS($M146:$U146,"&gt;="&amp;TODAY(),$M146:$U146,"&lt;="&amp;TODAY()+7)+COUNTIFS($V146:$Z146,"&gt;="&amp;TODAY(),$V146:$Z146,"&lt;="&amp;TODAY()+7))</f>
        <v/>
      </c>
      <c r="K146" s="32">
        <f>IF(NOT(AND($A146&lt;&gt;"",OR($G146="",$G146="Active"))),"",IF($L146&lt;&gt;"",IF($L146=$M146,"Booking",INDEX($N$4:$U$4,MATCH($L146,$N146:$U146,0))),IF(IFERROR(LOOKUP(2,1/(ISNUMBER($M146:$U146)+($M146:$U146="DNA")),$M146:$U146),"")="DNA","Rebook DNA",IF(ISNUMBER(IFERROR(LOOKUP(2,1/(ISNUMBER($M146:$U146)+($M146:$U146="DNA")),$M146:$U146),"")),IF(ISNUMBER($U146),"Update status","Missed/not booked?"),""))))</f>
        <v/>
      </c>
      <c r="L146" s="33">
        <f>IF(NOT(AND($A146&lt;&gt;"",OR($G146="",$G146="Active"))),"",IFERROR(SMALL($M146:$U146,COUNTIF($M146:$U146,"&lt;"&amp;TODAY())+1),""))</f>
        <v/>
      </c>
      <c r="M146" s="31" t="n"/>
      <c r="N146" s="31" t="n"/>
      <c r="O146" s="31" t="n"/>
      <c r="P146" s="31" t="n"/>
      <c r="Q146" s="31" t="n"/>
      <c r="R146" s="31" t="n"/>
      <c r="S146" s="31" t="n"/>
      <c r="T146" s="31" t="n"/>
      <c r="U146" s="31" t="n"/>
      <c r="V146" s="31" t="n"/>
      <c r="W146" s="31" t="n"/>
      <c r="X146" s="31" t="n"/>
      <c r="Y146" s="31" t="n"/>
      <c r="Z146" s="31" t="n"/>
      <c r="AA146" s="34" t="n"/>
      <c r="AB146" s="29" t="n"/>
      <c r="AC146" s="31" t="n"/>
    </row>
    <row r="147">
      <c r="A147" s="29" t="n"/>
      <c r="B147" s="30" t="n"/>
      <c r="C147" s="31" t="n"/>
      <c r="D147" s="29" t="n"/>
      <c r="E147" s="29" t="n"/>
      <c r="F147" s="31" t="n"/>
      <c r="G147" s="29" t="n"/>
      <c r="H147" s="32">
        <f>IF(OR(NOT(AND($A147&lt;&gt;"",OR($G147="",$G147="Active"))),$F147=""),"",INT((TODAY()-$F147+280)/7)&amp;"+"&amp;MOD(TODAY()-$F147+280,7))</f>
        <v/>
      </c>
      <c r="I147" s="32">
        <f>IF(NOT(AND($A147&lt;&gt;"",OR($G147="",$G147="Active"))),"",IF(OR(IFERROR(LOOKUP(2,1/(ISNUMBER($M147:$U147)+($M147:$U147="DNA")),$M147:$U147),"")="DNA",AND(ISNUMBER(IFERROR(LOOKUP(2,1/(ISNUMBER($M147:$U147)+($M147:$U147="DNA")),$M147:$U147),"")),IFERROR(LOOKUP(2,1/(ISNUMBER($M147:$U147)+($M147:$U147="DNA")),$M147:$U147),"")&lt;TODAY())),1,0)+COUNTIF($V147:$Z147,"&lt;"&amp;TODAY()))</f>
        <v/>
      </c>
      <c r="J147" s="32">
        <f>IF(NOT(AND($A147&lt;&gt;"",OR($G147="",$G147="Active"))),"",COUNTIFS($M147:$U147,"&gt;="&amp;TODAY(),$M147:$U147,"&lt;="&amp;TODAY()+7)+COUNTIFS($V147:$Z147,"&gt;="&amp;TODAY(),$V147:$Z147,"&lt;="&amp;TODAY()+7))</f>
        <v/>
      </c>
      <c r="K147" s="32">
        <f>IF(NOT(AND($A147&lt;&gt;"",OR($G147="",$G147="Active"))),"",IF($L147&lt;&gt;"",IF($L147=$M147,"Booking",INDEX($N$4:$U$4,MATCH($L147,$N147:$U147,0))),IF(IFERROR(LOOKUP(2,1/(ISNUMBER($M147:$U147)+($M147:$U147="DNA")),$M147:$U147),"")="DNA","Rebook DNA",IF(ISNUMBER(IFERROR(LOOKUP(2,1/(ISNUMBER($M147:$U147)+($M147:$U147="DNA")),$M147:$U147),"")),IF(ISNUMBER($U147),"Update status","Missed/not booked?"),""))))</f>
        <v/>
      </c>
      <c r="L147" s="33">
        <f>IF(NOT(AND($A147&lt;&gt;"",OR($G147="",$G147="Active"))),"",IFERROR(SMALL($M147:$U147,COUNTIF($M147:$U147,"&lt;"&amp;TODAY())+1),""))</f>
        <v/>
      </c>
      <c r="M147" s="31" t="n"/>
      <c r="N147" s="31" t="n"/>
      <c r="O147" s="31" t="n"/>
      <c r="P147" s="31" t="n"/>
      <c r="Q147" s="31" t="n"/>
      <c r="R147" s="31" t="n"/>
      <c r="S147" s="31" t="n"/>
      <c r="T147" s="31" t="n"/>
      <c r="U147" s="31" t="n"/>
      <c r="V147" s="31" t="n"/>
      <c r="W147" s="31" t="n"/>
      <c r="X147" s="31" t="n"/>
      <c r="Y147" s="31" t="n"/>
      <c r="Z147" s="31" t="n"/>
      <c r="AA147" s="34" t="n"/>
      <c r="AB147" s="29" t="n"/>
      <c r="AC147" s="31" t="n"/>
    </row>
    <row r="148">
      <c r="A148" s="29" t="n"/>
      <c r="B148" s="30" t="n"/>
      <c r="C148" s="31" t="n"/>
      <c r="D148" s="29" t="n"/>
      <c r="E148" s="29" t="n"/>
      <c r="F148" s="31" t="n"/>
      <c r="G148" s="29" t="n"/>
      <c r="H148" s="32">
        <f>IF(OR(NOT(AND($A148&lt;&gt;"",OR($G148="",$G148="Active"))),$F148=""),"",INT((TODAY()-$F148+280)/7)&amp;"+"&amp;MOD(TODAY()-$F148+280,7))</f>
        <v/>
      </c>
      <c r="I148" s="32">
        <f>IF(NOT(AND($A148&lt;&gt;"",OR($G148="",$G148="Active"))),"",IF(OR(IFERROR(LOOKUP(2,1/(ISNUMBER($M148:$U148)+($M148:$U148="DNA")),$M148:$U148),"")="DNA",AND(ISNUMBER(IFERROR(LOOKUP(2,1/(ISNUMBER($M148:$U148)+($M148:$U148="DNA")),$M148:$U148),"")),IFERROR(LOOKUP(2,1/(ISNUMBER($M148:$U148)+($M148:$U148="DNA")),$M148:$U148),"")&lt;TODAY())),1,0)+COUNTIF($V148:$Z148,"&lt;"&amp;TODAY()))</f>
        <v/>
      </c>
      <c r="J148" s="32">
        <f>IF(NOT(AND($A148&lt;&gt;"",OR($G148="",$G148="Active"))),"",COUNTIFS($M148:$U148,"&gt;="&amp;TODAY(),$M148:$U148,"&lt;="&amp;TODAY()+7)+COUNTIFS($V148:$Z148,"&gt;="&amp;TODAY(),$V148:$Z148,"&lt;="&amp;TODAY()+7))</f>
        <v/>
      </c>
      <c r="K148" s="32">
        <f>IF(NOT(AND($A148&lt;&gt;"",OR($G148="",$G148="Active"))),"",IF($L148&lt;&gt;"",IF($L148=$M148,"Booking",INDEX($N$4:$U$4,MATCH($L148,$N148:$U148,0))),IF(IFERROR(LOOKUP(2,1/(ISNUMBER($M148:$U148)+($M148:$U148="DNA")),$M148:$U148),"")="DNA","Rebook DNA",IF(ISNUMBER(IFERROR(LOOKUP(2,1/(ISNUMBER($M148:$U148)+($M148:$U148="DNA")),$M148:$U148),"")),IF(ISNUMBER($U148),"Update status","Missed/not booked?"),""))))</f>
        <v/>
      </c>
      <c r="L148" s="33">
        <f>IF(NOT(AND($A148&lt;&gt;"",OR($G148="",$G148="Active"))),"",IFERROR(SMALL($M148:$U148,COUNTIF($M148:$U148,"&lt;"&amp;TODAY())+1),""))</f>
        <v/>
      </c>
      <c r="M148" s="31" t="n"/>
      <c r="N148" s="31" t="n"/>
      <c r="O148" s="31" t="n"/>
      <c r="P148" s="31" t="n"/>
      <c r="Q148" s="31" t="n"/>
      <c r="R148" s="31" t="n"/>
      <c r="S148" s="31" t="n"/>
      <c r="T148" s="31" t="n"/>
      <c r="U148" s="31" t="n"/>
      <c r="V148" s="31" t="n"/>
      <c r="W148" s="31" t="n"/>
      <c r="X148" s="31" t="n"/>
      <c r="Y148" s="31" t="n"/>
      <c r="Z148" s="31" t="n"/>
      <c r="AA148" s="34" t="n"/>
      <c r="AB148" s="29" t="n"/>
      <c r="AC148" s="31" t="n"/>
    </row>
    <row r="149">
      <c r="A149" s="29" t="n"/>
      <c r="B149" s="30" t="n"/>
      <c r="C149" s="31" t="n"/>
      <c r="D149" s="29" t="n"/>
      <c r="E149" s="29" t="n"/>
      <c r="F149" s="31" t="n"/>
      <c r="G149" s="29" t="n"/>
      <c r="H149" s="32">
        <f>IF(OR(NOT(AND($A149&lt;&gt;"",OR($G149="",$G149="Active"))),$F149=""),"",INT((TODAY()-$F149+280)/7)&amp;"+"&amp;MOD(TODAY()-$F149+280,7))</f>
        <v/>
      </c>
      <c r="I149" s="32">
        <f>IF(NOT(AND($A149&lt;&gt;"",OR($G149="",$G149="Active"))),"",IF(OR(IFERROR(LOOKUP(2,1/(ISNUMBER($M149:$U149)+($M149:$U149="DNA")),$M149:$U149),"")="DNA",AND(ISNUMBER(IFERROR(LOOKUP(2,1/(ISNUMBER($M149:$U149)+($M149:$U149="DNA")),$M149:$U149),"")),IFERROR(LOOKUP(2,1/(ISNUMBER($M149:$U149)+($M149:$U149="DNA")),$M149:$U149),"")&lt;TODAY())),1,0)+COUNTIF($V149:$Z149,"&lt;"&amp;TODAY()))</f>
        <v/>
      </c>
      <c r="J149" s="32">
        <f>IF(NOT(AND($A149&lt;&gt;"",OR($G149="",$G149="Active"))),"",COUNTIFS($M149:$U149,"&gt;="&amp;TODAY(),$M149:$U149,"&lt;="&amp;TODAY()+7)+COUNTIFS($V149:$Z149,"&gt;="&amp;TODAY(),$V149:$Z149,"&lt;="&amp;TODAY()+7))</f>
        <v/>
      </c>
      <c r="K149" s="32">
        <f>IF(NOT(AND($A149&lt;&gt;"",OR($G149="",$G149="Active"))),"",IF($L149&lt;&gt;"",IF($L149=$M149,"Booking",INDEX($N$4:$U$4,MATCH($L149,$N149:$U149,0))),IF(IFERROR(LOOKUP(2,1/(ISNUMBER($M149:$U149)+($M149:$U149="DNA")),$M149:$U149),"")="DNA","Rebook DNA",IF(ISNUMBER(IFERROR(LOOKUP(2,1/(ISNUMBER($M149:$U149)+($M149:$U149="DNA")),$M149:$U149),"")),IF(ISNUMBER($U149),"Update status","Missed/not booked?"),""))))</f>
        <v/>
      </c>
      <c r="L149" s="33">
        <f>IF(NOT(AND($A149&lt;&gt;"",OR($G149="",$G149="Active"))),"",IFERROR(SMALL($M149:$U149,COUNTIF($M149:$U149,"&lt;"&amp;TODAY())+1),""))</f>
        <v/>
      </c>
      <c r="M149" s="31" t="n"/>
      <c r="N149" s="31" t="n"/>
      <c r="O149" s="31" t="n"/>
      <c r="P149" s="31" t="n"/>
      <c r="Q149" s="31" t="n"/>
      <c r="R149" s="31" t="n"/>
      <c r="S149" s="31" t="n"/>
      <c r="T149" s="31" t="n"/>
      <c r="U149" s="31" t="n"/>
      <c r="V149" s="31" t="n"/>
      <c r="W149" s="31" t="n"/>
      <c r="X149" s="31" t="n"/>
      <c r="Y149" s="31" t="n"/>
      <c r="Z149" s="31" t="n"/>
      <c r="AA149" s="34" t="n"/>
      <c r="AB149" s="29" t="n"/>
      <c r="AC149" s="31" t="n"/>
    </row>
    <row r="150">
      <c r="A150" s="29" t="n"/>
      <c r="B150" s="30" t="n"/>
      <c r="C150" s="31" t="n"/>
      <c r="D150" s="29" t="n"/>
      <c r="E150" s="29" t="n"/>
      <c r="F150" s="31" t="n"/>
      <c r="G150" s="29" t="n"/>
      <c r="H150" s="32">
        <f>IF(OR(NOT(AND($A150&lt;&gt;"",OR($G150="",$G150="Active"))),$F150=""),"",INT((TODAY()-$F150+280)/7)&amp;"+"&amp;MOD(TODAY()-$F150+280,7))</f>
        <v/>
      </c>
      <c r="I150" s="32">
        <f>IF(NOT(AND($A150&lt;&gt;"",OR($G150="",$G150="Active"))),"",IF(OR(IFERROR(LOOKUP(2,1/(ISNUMBER($M150:$U150)+($M150:$U150="DNA")),$M150:$U150),"")="DNA",AND(ISNUMBER(IFERROR(LOOKUP(2,1/(ISNUMBER($M150:$U150)+($M150:$U150="DNA")),$M150:$U150),"")),IFERROR(LOOKUP(2,1/(ISNUMBER($M150:$U150)+($M150:$U150="DNA")),$M150:$U150),"")&lt;TODAY())),1,0)+COUNTIF($V150:$Z150,"&lt;"&amp;TODAY()))</f>
        <v/>
      </c>
      <c r="J150" s="32">
        <f>IF(NOT(AND($A150&lt;&gt;"",OR($G150="",$G150="Active"))),"",COUNTIFS($M150:$U150,"&gt;="&amp;TODAY(),$M150:$U150,"&lt;="&amp;TODAY()+7)+COUNTIFS($V150:$Z150,"&gt;="&amp;TODAY(),$V150:$Z150,"&lt;="&amp;TODAY()+7))</f>
        <v/>
      </c>
      <c r="K150" s="32">
        <f>IF(NOT(AND($A150&lt;&gt;"",OR($G150="",$G150="Active"))),"",IF($L150&lt;&gt;"",IF($L150=$M150,"Booking",INDEX($N$4:$U$4,MATCH($L150,$N150:$U150,0))),IF(IFERROR(LOOKUP(2,1/(ISNUMBER($M150:$U150)+($M150:$U150="DNA")),$M150:$U150),"")="DNA","Rebook DNA",IF(ISNUMBER(IFERROR(LOOKUP(2,1/(ISNUMBER($M150:$U150)+($M150:$U150="DNA")),$M150:$U150),"")),IF(ISNUMBER($U150),"Update status","Missed/not booked?"),""))))</f>
        <v/>
      </c>
      <c r="L150" s="33">
        <f>IF(NOT(AND($A150&lt;&gt;"",OR($G150="",$G150="Active"))),"",IFERROR(SMALL($M150:$U150,COUNTIF($M150:$U150,"&lt;"&amp;TODAY())+1),""))</f>
        <v/>
      </c>
      <c r="M150" s="31" t="n"/>
      <c r="N150" s="31" t="n"/>
      <c r="O150" s="31" t="n"/>
      <c r="P150" s="31" t="n"/>
      <c r="Q150" s="31" t="n"/>
      <c r="R150" s="31" t="n"/>
      <c r="S150" s="31" t="n"/>
      <c r="T150" s="31" t="n"/>
      <c r="U150" s="31" t="n"/>
      <c r="V150" s="31" t="n"/>
      <c r="W150" s="31" t="n"/>
      <c r="X150" s="31" t="n"/>
      <c r="Y150" s="31" t="n"/>
      <c r="Z150" s="31" t="n"/>
      <c r="AA150" s="34" t="n"/>
      <c r="AB150" s="29" t="n"/>
      <c r="AC150" s="31" t="n"/>
    </row>
    <row r="151">
      <c r="A151" s="29" t="n"/>
      <c r="B151" s="30" t="n"/>
      <c r="C151" s="31" t="n"/>
      <c r="D151" s="29" t="n"/>
      <c r="E151" s="29" t="n"/>
      <c r="F151" s="31" t="n"/>
      <c r="G151" s="29" t="n"/>
      <c r="H151" s="32">
        <f>IF(OR(NOT(AND($A151&lt;&gt;"",OR($G151="",$G151="Active"))),$F151=""),"",INT((TODAY()-$F151+280)/7)&amp;"+"&amp;MOD(TODAY()-$F151+280,7))</f>
        <v/>
      </c>
      <c r="I151" s="32">
        <f>IF(NOT(AND($A151&lt;&gt;"",OR($G151="",$G151="Active"))),"",IF(OR(IFERROR(LOOKUP(2,1/(ISNUMBER($M151:$U151)+($M151:$U151="DNA")),$M151:$U151),"")="DNA",AND(ISNUMBER(IFERROR(LOOKUP(2,1/(ISNUMBER($M151:$U151)+($M151:$U151="DNA")),$M151:$U151),"")),IFERROR(LOOKUP(2,1/(ISNUMBER($M151:$U151)+($M151:$U151="DNA")),$M151:$U151),"")&lt;TODAY())),1,0)+COUNTIF($V151:$Z151,"&lt;"&amp;TODAY()))</f>
        <v/>
      </c>
      <c r="J151" s="32">
        <f>IF(NOT(AND($A151&lt;&gt;"",OR($G151="",$G151="Active"))),"",COUNTIFS($M151:$U151,"&gt;="&amp;TODAY(),$M151:$U151,"&lt;="&amp;TODAY()+7)+COUNTIFS($V151:$Z151,"&gt;="&amp;TODAY(),$V151:$Z151,"&lt;="&amp;TODAY()+7))</f>
        <v/>
      </c>
      <c r="K151" s="32">
        <f>IF(NOT(AND($A151&lt;&gt;"",OR($G151="",$G151="Active"))),"",IF($L151&lt;&gt;"",IF($L151=$M151,"Booking",INDEX($N$4:$U$4,MATCH($L151,$N151:$U151,0))),IF(IFERROR(LOOKUP(2,1/(ISNUMBER($M151:$U151)+($M151:$U151="DNA")),$M151:$U151),"")="DNA","Rebook DNA",IF(ISNUMBER(IFERROR(LOOKUP(2,1/(ISNUMBER($M151:$U151)+($M151:$U151="DNA")),$M151:$U151),"")),IF(ISNUMBER($U151),"Update status","Missed/not booked?"),""))))</f>
        <v/>
      </c>
      <c r="L151" s="33">
        <f>IF(NOT(AND($A151&lt;&gt;"",OR($G151="",$G151="Active"))),"",IFERROR(SMALL($M151:$U151,COUNTIF($M151:$U151,"&lt;"&amp;TODAY())+1),""))</f>
        <v/>
      </c>
      <c r="M151" s="31" t="n"/>
      <c r="N151" s="31" t="n"/>
      <c r="O151" s="31" t="n"/>
      <c r="P151" s="31" t="n"/>
      <c r="Q151" s="31" t="n"/>
      <c r="R151" s="31" t="n"/>
      <c r="S151" s="31" t="n"/>
      <c r="T151" s="31" t="n"/>
      <c r="U151" s="31" t="n"/>
      <c r="V151" s="31" t="n"/>
      <c r="W151" s="31" t="n"/>
      <c r="X151" s="31" t="n"/>
      <c r="Y151" s="31" t="n"/>
      <c r="Z151" s="31" t="n"/>
      <c r="AA151" s="34" t="n"/>
      <c r="AB151" s="29" t="n"/>
      <c r="AC151" s="31" t="n"/>
    </row>
    <row r="152">
      <c r="A152" s="29" t="n"/>
      <c r="B152" s="30" t="n"/>
      <c r="C152" s="31" t="n"/>
      <c r="D152" s="29" t="n"/>
      <c r="E152" s="29" t="n"/>
      <c r="F152" s="31" t="n"/>
      <c r="G152" s="29" t="n"/>
      <c r="H152" s="32">
        <f>IF(OR(NOT(AND($A152&lt;&gt;"",OR($G152="",$G152="Active"))),$F152=""),"",INT((TODAY()-$F152+280)/7)&amp;"+"&amp;MOD(TODAY()-$F152+280,7))</f>
        <v/>
      </c>
      <c r="I152" s="32">
        <f>IF(NOT(AND($A152&lt;&gt;"",OR($G152="",$G152="Active"))),"",IF(OR(IFERROR(LOOKUP(2,1/(ISNUMBER($M152:$U152)+($M152:$U152="DNA")),$M152:$U152),"")="DNA",AND(ISNUMBER(IFERROR(LOOKUP(2,1/(ISNUMBER($M152:$U152)+($M152:$U152="DNA")),$M152:$U152),"")),IFERROR(LOOKUP(2,1/(ISNUMBER($M152:$U152)+($M152:$U152="DNA")),$M152:$U152),"")&lt;TODAY())),1,0)+COUNTIF($V152:$Z152,"&lt;"&amp;TODAY()))</f>
        <v/>
      </c>
      <c r="J152" s="32">
        <f>IF(NOT(AND($A152&lt;&gt;"",OR($G152="",$G152="Active"))),"",COUNTIFS($M152:$U152,"&gt;="&amp;TODAY(),$M152:$U152,"&lt;="&amp;TODAY()+7)+COUNTIFS($V152:$Z152,"&gt;="&amp;TODAY(),$V152:$Z152,"&lt;="&amp;TODAY()+7))</f>
        <v/>
      </c>
      <c r="K152" s="32">
        <f>IF(NOT(AND($A152&lt;&gt;"",OR($G152="",$G152="Active"))),"",IF($L152&lt;&gt;"",IF($L152=$M152,"Booking",INDEX($N$4:$U$4,MATCH($L152,$N152:$U152,0))),IF(IFERROR(LOOKUP(2,1/(ISNUMBER($M152:$U152)+($M152:$U152="DNA")),$M152:$U152),"")="DNA","Rebook DNA",IF(ISNUMBER(IFERROR(LOOKUP(2,1/(ISNUMBER($M152:$U152)+($M152:$U152="DNA")),$M152:$U152),"")),IF(ISNUMBER($U152),"Update status","Missed/not booked?"),""))))</f>
        <v/>
      </c>
      <c r="L152" s="33">
        <f>IF(NOT(AND($A152&lt;&gt;"",OR($G152="",$G152="Active"))),"",IFERROR(SMALL($M152:$U152,COUNTIF($M152:$U152,"&lt;"&amp;TODAY())+1),""))</f>
        <v/>
      </c>
      <c r="M152" s="31" t="n"/>
      <c r="N152" s="31" t="n"/>
      <c r="O152" s="31" t="n"/>
      <c r="P152" s="31" t="n"/>
      <c r="Q152" s="31" t="n"/>
      <c r="R152" s="31" t="n"/>
      <c r="S152" s="31" t="n"/>
      <c r="T152" s="31" t="n"/>
      <c r="U152" s="31" t="n"/>
      <c r="V152" s="31" t="n"/>
      <c r="W152" s="31" t="n"/>
      <c r="X152" s="31" t="n"/>
      <c r="Y152" s="31" t="n"/>
      <c r="Z152" s="31" t="n"/>
      <c r="AA152" s="34" t="n"/>
      <c r="AB152" s="29" t="n"/>
      <c r="AC152" s="31" t="n"/>
    </row>
    <row r="153">
      <c r="A153" s="29" t="n"/>
      <c r="B153" s="30" t="n"/>
      <c r="C153" s="31" t="n"/>
      <c r="D153" s="29" t="n"/>
      <c r="E153" s="29" t="n"/>
      <c r="F153" s="31" t="n"/>
      <c r="G153" s="29" t="n"/>
      <c r="H153" s="32">
        <f>IF(OR(NOT(AND($A153&lt;&gt;"",OR($G153="",$G153="Active"))),$F153=""),"",INT((TODAY()-$F153+280)/7)&amp;"+"&amp;MOD(TODAY()-$F153+280,7))</f>
        <v/>
      </c>
      <c r="I153" s="32">
        <f>IF(NOT(AND($A153&lt;&gt;"",OR($G153="",$G153="Active"))),"",IF(OR(IFERROR(LOOKUP(2,1/(ISNUMBER($M153:$U153)+($M153:$U153="DNA")),$M153:$U153),"")="DNA",AND(ISNUMBER(IFERROR(LOOKUP(2,1/(ISNUMBER($M153:$U153)+($M153:$U153="DNA")),$M153:$U153),"")),IFERROR(LOOKUP(2,1/(ISNUMBER($M153:$U153)+($M153:$U153="DNA")),$M153:$U153),"")&lt;TODAY())),1,0)+COUNTIF($V153:$Z153,"&lt;"&amp;TODAY()))</f>
        <v/>
      </c>
      <c r="J153" s="32">
        <f>IF(NOT(AND($A153&lt;&gt;"",OR($G153="",$G153="Active"))),"",COUNTIFS($M153:$U153,"&gt;="&amp;TODAY(),$M153:$U153,"&lt;="&amp;TODAY()+7)+COUNTIFS($V153:$Z153,"&gt;="&amp;TODAY(),$V153:$Z153,"&lt;="&amp;TODAY()+7))</f>
        <v/>
      </c>
      <c r="K153" s="32">
        <f>IF(NOT(AND($A153&lt;&gt;"",OR($G153="",$G153="Active"))),"",IF($L153&lt;&gt;"",IF($L153=$M153,"Booking",INDEX($N$4:$U$4,MATCH($L153,$N153:$U153,0))),IF(IFERROR(LOOKUP(2,1/(ISNUMBER($M153:$U153)+($M153:$U153="DNA")),$M153:$U153),"")="DNA","Rebook DNA",IF(ISNUMBER(IFERROR(LOOKUP(2,1/(ISNUMBER($M153:$U153)+($M153:$U153="DNA")),$M153:$U153),"")),IF(ISNUMBER($U153),"Update status","Missed/not booked?"),""))))</f>
        <v/>
      </c>
      <c r="L153" s="33">
        <f>IF(NOT(AND($A153&lt;&gt;"",OR($G153="",$G153="Active"))),"",IFERROR(SMALL($M153:$U153,COUNTIF($M153:$U153,"&lt;"&amp;TODAY())+1),""))</f>
        <v/>
      </c>
      <c r="M153" s="31" t="n"/>
      <c r="N153" s="31" t="n"/>
      <c r="O153" s="31" t="n"/>
      <c r="P153" s="31" t="n"/>
      <c r="Q153" s="31" t="n"/>
      <c r="R153" s="31" t="n"/>
      <c r="S153" s="31" t="n"/>
      <c r="T153" s="31" t="n"/>
      <c r="U153" s="31" t="n"/>
      <c r="V153" s="31" t="n"/>
      <c r="W153" s="31" t="n"/>
      <c r="X153" s="31" t="n"/>
      <c r="Y153" s="31" t="n"/>
      <c r="Z153" s="31" t="n"/>
      <c r="AA153" s="34" t="n"/>
      <c r="AB153" s="29" t="n"/>
      <c r="AC153" s="31" t="n"/>
    </row>
    <row r="154">
      <c r="A154" s="29" t="n"/>
      <c r="B154" s="30" t="n"/>
      <c r="C154" s="31" t="n"/>
      <c r="D154" s="29" t="n"/>
      <c r="E154" s="29" t="n"/>
      <c r="F154" s="31" t="n"/>
      <c r="G154" s="29" t="n"/>
      <c r="H154" s="32">
        <f>IF(OR(NOT(AND($A154&lt;&gt;"",OR($G154="",$G154="Active"))),$F154=""),"",INT((TODAY()-$F154+280)/7)&amp;"+"&amp;MOD(TODAY()-$F154+280,7))</f>
        <v/>
      </c>
      <c r="I154" s="32">
        <f>IF(NOT(AND($A154&lt;&gt;"",OR($G154="",$G154="Active"))),"",IF(OR(IFERROR(LOOKUP(2,1/(ISNUMBER($M154:$U154)+($M154:$U154="DNA")),$M154:$U154),"")="DNA",AND(ISNUMBER(IFERROR(LOOKUP(2,1/(ISNUMBER($M154:$U154)+($M154:$U154="DNA")),$M154:$U154),"")),IFERROR(LOOKUP(2,1/(ISNUMBER($M154:$U154)+($M154:$U154="DNA")),$M154:$U154),"")&lt;TODAY())),1,0)+COUNTIF($V154:$Z154,"&lt;"&amp;TODAY()))</f>
        <v/>
      </c>
      <c r="J154" s="32">
        <f>IF(NOT(AND($A154&lt;&gt;"",OR($G154="",$G154="Active"))),"",COUNTIFS($M154:$U154,"&gt;="&amp;TODAY(),$M154:$U154,"&lt;="&amp;TODAY()+7)+COUNTIFS($V154:$Z154,"&gt;="&amp;TODAY(),$V154:$Z154,"&lt;="&amp;TODAY()+7))</f>
        <v/>
      </c>
      <c r="K154" s="32">
        <f>IF(NOT(AND($A154&lt;&gt;"",OR($G154="",$G154="Active"))),"",IF($L154&lt;&gt;"",IF($L154=$M154,"Booking",INDEX($N$4:$U$4,MATCH($L154,$N154:$U154,0))),IF(IFERROR(LOOKUP(2,1/(ISNUMBER($M154:$U154)+($M154:$U154="DNA")),$M154:$U154),"")="DNA","Rebook DNA",IF(ISNUMBER(IFERROR(LOOKUP(2,1/(ISNUMBER($M154:$U154)+($M154:$U154="DNA")),$M154:$U154),"")),IF(ISNUMBER($U154),"Update status","Missed/not booked?"),""))))</f>
        <v/>
      </c>
      <c r="L154" s="33">
        <f>IF(NOT(AND($A154&lt;&gt;"",OR($G154="",$G154="Active"))),"",IFERROR(SMALL($M154:$U154,COUNTIF($M154:$U154,"&lt;"&amp;TODAY())+1),""))</f>
        <v/>
      </c>
      <c r="M154" s="31" t="n"/>
      <c r="N154" s="31" t="n"/>
      <c r="O154" s="31" t="n"/>
      <c r="P154" s="31" t="n"/>
      <c r="Q154" s="31" t="n"/>
      <c r="R154" s="31" t="n"/>
      <c r="S154" s="31" t="n"/>
      <c r="T154" s="31" t="n"/>
      <c r="U154" s="31" t="n"/>
      <c r="V154" s="31" t="n"/>
      <c r="W154" s="31" t="n"/>
      <c r="X154" s="31" t="n"/>
      <c r="Y154" s="31" t="n"/>
      <c r="Z154" s="31" t="n"/>
      <c r="AA154" s="34" t="n"/>
      <c r="AB154" s="29" t="n"/>
      <c r="AC154" s="31" t="n"/>
    </row>
    <row r="155">
      <c r="A155" s="29" t="n"/>
      <c r="B155" s="30" t="n"/>
      <c r="C155" s="31" t="n"/>
      <c r="D155" s="29" t="n"/>
      <c r="E155" s="29" t="n"/>
      <c r="F155" s="31" t="n"/>
      <c r="G155" s="29" t="n"/>
      <c r="H155" s="32">
        <f>IF(OR(NOT(AND($A155&lt;&gt;"",OR($G155="",$G155="Active"))),$F155=""),"",INT((TODAY()-$F155+280)/7)&amp;"+"&amp;MOD(TODAY()-$F155+280,7))</f>
        <v/>
      </c>
      <c r="I155" s="32">
        <f>IF(NOT(AND($A155&lt;&gt;"",OR($G155="",$G155="Active"))),"",IF(OR(IFERROR(LOOKUP(2,1/(ISNUMBER($M155:$U155)+($M155:$U155="DNA")),$M155:$U155),"")="DNA",AND(ISNUMBER(IFERROR(LOOKUP(2,1/(ISNUMBER($M155:$U155)+($M155:$U155="DNA")),$M155:$U155),"")),IFERROR(LOOKUP(2,1/(ISNUMBER($M155:$U155)+($M155:$U155="DNA")),$M155:$U155),"")&lt;TODAY())),1,0)+COUNTIF($V155:$Z155,"&lt;"&amp;TODAY()))</f>
        <v/>
      </c>
      <c r="J155" s="32">
        <f>IF(NOT(AND($A155&lt;&gt;"",OR($G155="",$G155="Active"))),"",COUNTIFS($M155:$U155,"&gt;="&amp;TODAY(),$M155:$U155,"&lt;="&amp;TODAY()+7)+COUNTIFS($V155:$Z155,"&gt;="&amp;TODAY(),$V155:$Z155,"&lt;="&amp;TODAY()+7))</f>
        <v/>
      </c>
      <c r="K155" s="32">
        <f>IF(NOT(AND($A155&lt;&gt;"",OR($G155="",$G155="Active"))),"",IF($L155&lt;&gt;"",IF($L155=$M155,"Booking",INDEX($N$4:$U$4,MATCH($L155,$N155:$U155,0))),IF(IFERROR(LOOKUP(2,1/(ISNUMBER($M155:$U155)+($M155:$U155="DNA")),$M155:$U155),"")="DNA","Rebook DNA",IF(ISNUMBER(IFERROR(LOOKUP(2,1/(ISNUMBER($M155:$U155)+($M155:$U155="DNA")),$M155:$U155),"")),IF(ISNUMBER($U155),"Update status","Missed/not booked?"),""))))</f>
        <v/>
      </c>
      <c r="L155" s="33">
        <f>IF(NOT(AND($A155&lt;&gt;"",OR($G155="",$G155="Active"))),"",IFERROR(SMALL($M155:$U155,COUNTIF($M155:$U155,"&lt;"&amp;TODAY())+1),""))</f>
        <v/>
      </c>
      <c r="M155" s="31" t="n"/>
      <c r="N155" s="31" t="n"/>
      <c r="O155" s="31" t="n"/>
      <c r="P155" s="31" t="n"/>
      <c r="Q155" s="31" t="n"/>
      <c r="R155" s="31" t="n"/>
      <c r="S155" s="31" t="n"/>
      <c r="T155" s="31" t="n"/>
      <c r="U155" s="31" t="n"/>
      <c r="V155" s="31" t="n"/>
      <c r="W155" s="31" t="n"/>
      <c r="X155" s="31" t="n"/>
      <c r="Y155" s="31" t="n"/>
      <c r="Z155" s="31" t="n"/>
      <c r="AA155" s="34" t="n"/>
      <c r="AB155" s="29" t="n"/>
      <c r="AC155" s="31" t="n"/>
    </row>
    <row r="156">
      <c r="A156" s="29" t="n"/>
      <c r="B156" s="30" t="n"/>
      <c r="C156" s="31" t="n"/>
      <c r="D156" s="29" t="n"/>
      <c r="E156" s="29" t="n"/>
      <c r="F156" s="31" t="n"/>
      <c r="G156" s="29" t="n"/>
      <c r="H156" s="32">
        <f>IF(OR(NOT(AND($A156&lt;&gt;"",OR($G156="",$G156="Active"))),$F156=""),"",INT((TODAY()-$F156+280)/7)&amp;"+"&amp;MOD(TODAY()-$F156+280,7))</f>
        <v/>
      </c>
      <c r="I156" s="32">
        <f>IF(NOT(AND($A156&lt;&gt;"",OR($G156="",$G156="Active"))),"",IF(OR(IFERROR(LOOKUP(2,1/(ISNUMBER($M156:$U156)+($M156:$U156="DNA")),$M156:$U156),"")="DNA",AND(ISNUMBER(IFERROR(LOOKUP(2,1/(ISNUMBER($M156:$U156)+($M156:$U156="DNA")),$M156:$U156),"")),IFERROR(LOOKUP(2,1/(ISNUMBER($M156:$U156)+($M156:$U156="DNA")),$M156:$U156),"")&lt;TODAY())),1,0)+COUNTIF($V156:$Z156,"&lt;"&amp;TODAY()))</f>
        <v/>
      </c>
      <c r="J156" s="32">
        <f>IF(NOT(AND($A156&lt;&gt;"",OR($G156="",$G156="Active"))),"",COUNTIFS($M156:$U156,"&gt;="&amp;TODAY(),$M156:$U156,"&lt;="&amp;TODAY()+7)+COUNTIFS($V156:$Z156,"&gt;="&amp;TODAY(),$V156:$Z156,"&lt;="&amp;TODAY()+7))</f>
        <v/>
      </c>
      <c r="K156" s="32">
        <f>IF(NOT(AND($A156&lt;&gt;"",OR($G156="",$G156="Active"))),"",IF($L156&lt;&gt;"",IF($L156=$M156,"Booking",INDEX($N$4:$U$4,MATCH($L156,$N156:$U156,0))),IF(IFERROR(LOOKUP(2,1/(ISNUMBER($M156:$U156)+($M156:$U156="DNA")),$M156:$U156),"")="DNA","Rebook DNA",IF(ISNUMBER(IFERROR(LOOKUP(2,1/(ISNUMBER($M156:$U156)+($M156:$U156="DNA")),$M156:$U156),"")),IF(ISNUMBER($U156),"Update status","Missed/not booked?"),""))))</f>
        <v/>
      </c>
      <c r="L156" s="33">
        <f>IF(NOT(AND($A156&lt;&gt;"",OR($G156="",$G156="Active"))),"",IFERROR(SMALL($M156:$U156,COUNTIF($M156:$U156,"&lt;"&amp;TODAY())+1),""))</f>
        <v/>
      </c>
      <c r="M156" s="31" t="n"/>
      <c r="N156" s="31" t="n"/>
      <c r="O156" s="31" t="n"/>
      <c r="P156" s="31" t="n"/>
      <c r="Q156" s="31" t="n"/>
      <c r="R156" s="31" t="n"/>
      <c r="S156" s="31" t="n"/>
      <c r="T156" s="31" t="n"/>
      <c r="U156" s="31" t="n"/>
      <c r="V156" s="31" t="n"/>
      <c r="W156" s="31" t="n"/>
      <c r="X156" s="31" t="n"/>
      <c r="Y156" s="31" t="n"/>
      <c r="Z156" s="31" t="n"/>
      <c r="AA156" s="34" t="n"/>
      <c r="AB156" s="29" t="n"/>
      <c r="AC156" s="31" t="n"/>
    </row>
    <row r="157">
      <c r="A157" s="29" t="n"/>
      <c r="B157" s="30" t="n"/>
      <c r="C157" s="31" t="n"/>
      <c r="D157" s="29" t="n"/>
      <c r="E157" s="29" t="n"/>
      <c r="F157" s="31" t="n"/>
      <c r="G157" s="29" t="n"/>
      <c r="H157" s="32">
        <f>IF(OR(NOT(AND($A157&lt;&gt;"",OR($G157="",$G157="Active"))),$F157=""),"",INT((TODAY()-$F157+280)/7)&amp;"+"&amp;MOD(TODAY()-$F157+280,7))</f>
        <v/>
      </c>
      <c r="I157" s="32">
        <f>IF(NOT(AND($A157&lt;&gt;"",OR($G157="",$G157="Active"))),"",IF(OR(IFERROR(LOOKUP(2,1/(ISNUMBER($M157:$U157)+($M157:$U157="DNA")),$M157:$U157),"")="DNA",AND(ISNUMBER(IFERROR(LOOKUP(2,1/(ISNUMBER($M157:$U157)+($M157:$U157="DNA")),$M157:$U157),"")),IFERROR(LOOKUP(2,1/(ISNUMBER($M157:$U157)+($M157:$U157="DNA")),$M157:$U157),"")&lt;TODAY())),1,0)+COUNTIF($V157:$Z157,"&lt;"&amp;TODAY()))</f>
        <v/>
      </c>
      <c r="J157" s="32">
        <f>IF(NOT(AND($A157&lt;&gt;"",OR($G157="",$G157="Active"))),"",COUNTIFS($M157:$U157,"&gt;="&amp;TODAY(),$M157:$U157,"&lt;="&amp;TODAY()+7)+COUNTIFS($V157:$Z157,"&gt;="&amp;TODAY(),$V157:$Z157,"&lt;="&amp;TODAY()+7))</f>
        <v/>
      </c>
      <c r="K157" s="32">
        <f>IF(NOT(AND($A157&lt;&gt;"",OR($G157="",$G157="Active"))),"",IF($L157&lt;&gt;"",IF($L157=$M157,"Booking",INDEX($N$4:$U$4,MATCH($L157,$N157:$U157,0))),IF(IFERROR(LOOKUP(2,1/(ISNUMBER($M157:$U157)+($M157:$U157="DNA")),$M157:$U157),"")="DNA","Rebook DNA",IF(ISNUMBER(IFERROR(LOOKUP(2,1/(ISNUMBER($M157:$U157)+($M157:$U157="DNA")),$M157:$U157),"")),IF(ISNUMBER($U157),"Update status","Missed/not booked?"),""))))</f>
        <v/>
      </c>
      <c r="L157" s="33">
        <f>IF(NOT(AND($A157&lt;&gt;"",OR($G157="",$G157="Active"))),"",IFERROR(SMALL($M157:$U157,COUNTIF($M157:$U157,"&lt;"&amp;TODAY())+1),""))</f>
        <v/>
      </c>
      <c r="M157" s="31" t="n"/>
      <c r="N157" s="31" t="n"/>
      <c r="O157" s="31" t="n"/>
      <c r="P157" s="31" t="n"/>
      <c r="Q157" s="31" t="n"/>
      <c r="R157" s="31" t="n"/>
      <c r="S157" s="31" t="n"/>
      <c r="T157" s="31" t="n"/>
      <c r="U157" s="31" t="n"/>
      <c r="V157" s="31" t="n"/>
      <c r="W157" s="31" t="n"/>
      <c r="X157" s="31" t="n"/>
      <c r="Y157" s="31" t="n"/>
      <c r="Z157" s="31" t="n"/>
      <c r="AA157" s="34" t="n"/>
      <c r="AB157" s="29" t="n"/>
      <c r="AC157" s="31" t="n"/>
    </row>
    <row r="158">
      <c r="A158" s="29" t="n"/>
      <c r="B158" s="30" t="n"/>
      <c r="C158" s="31" t="n"/>
      <c r="D158" s="29" t="n"/>
      <c r="E158" s="29" t="n"/>
      <c r="F158" s="31" t="n"/>
      <c r="G158" s="29" t="n"/>
      <c r="H158" s="32">
        <f>IF(OR(NOT(AND($A158&lt;&gt;"",OR($G158="",$G158="Active"))),$F158=""),"",INT((TODAY()-$F158+280)/7)&amp;"+"&amp;MOD(TODAY()-$F158+280,7))</f>
        <v/>
      </c>
      <c r="I158" s="32">
        <f>IF(NOT(AND($A158&lt;&gt;"",OR($G158="",$G158="Active"))),"",IF(OR(IFERROR(LOOKUP(2,1/(ISNUMBER($M158:$U158)+($M158:$U158="DNA")),$M158:$U158),"")="DNA",AND(ISNUMBER(IFERROR(LOOKUP(2,1/(ISNUMBER($M158:$U158)+($M158:$U158="DNA")),$M158:$U158),"")),IFERROR(LOOKUP(2,1/(ISNUMBER($M158:$U158)+($M158:$U158="DNA")),$M158:$U158),"")&lt;TODAY())),1,0)+COUNTIF($V158:$Z158,"&lt;"&amp;TODAY()))</f>
        <v/>
      </c>
      <c r="J158" s="32">
        <f>IF(NOT(AND($A158&lt;&gt;"",OR($G158="",$G158="Active"))),"",COUNTIFS($M158:$U158,"&gt;="&amp;TODAY(),$M158:$U158,"&lt;="&amp;TODAY()+7)+COUNTIFS($V158:$Z158,"&gt;="&amp;TODAY(),$V158:$Z158,"&lt;="&amp;TODAY()+7))</f>
        <v/>
      </c>
      <c r="K158" s="32">
        <f>IF(NOT(AND($A158&lt;&gt;"",OR($G158="",$G158="Active"))),"",IF($L158&lt;&gt;"",IF($L158=$M158,"Booking",INDEX($N$4:$U$4,MATCH($L158,$N158:$U158,0))),IF(IFERROR(LOOKUP(2,1/(ISNUMBER($M158:$U158)+($M158:$U158="DNA")),$M158:$U158),"")="DNA","Rebook DNA",IF(ISNUMBER(IFERROR(LOOKUP(2,1/(ISNUMBER($M158:$U158)+($M158:$U158="DNA")),$M158:$U158),"")),IF(ISNUMBER($U158),"Update status","Missed/not booked?"),""))))</f>
        <v/>
      </c>
      <c r="L158" s="33">
        <f>IF(NOT(AND($A158&lt;&gt;"",OR($G158="",$G158="Active"))),"",IFERROR(SMALL($M158:$U158,COUNTIF($M158:$U158,"&lt;"&amp;TODAY())+1),""))</f>
        <v/>
      </c>
      <c r="M158" s="31" t="n"/>
      <c r="N158" s="31" t="n"/>
      <c r="O158" s="31" t="n"/>
      <c r="P158" s="31" t="n"/>
      <c r="Q158" s="31" t="n"/>
      <c r="R158" s="31" t="n"/>
      <c r="S158" s="31" t="n"/>
      <c r="T158" s="31" t="n"/>
      <c r="U158" s="31" t="n"/>
      <c r="V158" s="31" t="n"/>
      <c r="W158" s="31" t="n"/>
      <c r="X158" s="31" t="n"/>
      <c r="Y158" s="31" t="n"/>
      <c r="Z158" s="31" t="n"/>
      <c r="AA158" s="34" t="n"/>
      <c r="AB158" s="29" t="n"/>
      <c r="AC158" s="31" t="n"/>
    </row>
    <row r="159">
      <c r="A159" s="29" t="n"/>
      <c r="B159" s="30" t="n"/>
      <c r="C159" s="31" t="n"/>
      <c r="D159" s="29" t="n"/>
      <c r="E159" s="29" t="n"/>
      <c r="F159" s="31" t="n"/>
      <c r="G159" s="29" t="n"/>
      <c r="H159" s="32">
        <f>IF(OR(NOT(AND($A159&lt;&gt;"",OR($G159="",$G159="Active"))),$F159=""),"",INT((TODAY()-$F159+280)/7)&amp;"+"&amp;MOD(TODAY()-$F159+280,7))</f>
        <v/>
      </c>
      <c r="I159" s="32">
        <f>IF(NOT(AND($A159&lt;&gt;"",OR($G159="",$G159="Active"))),"",IF(OR(IFERROR(LOOKUP(2,1/(ISNUMBER($M159:$U159)+($M159:$U159="DNA")),$M159:$U159),"")="DNA",AND(ISNUMBER(IFERROR(LOOKUP(2,1/(ISNUMBER($M159:$U159)+($M159:$U159="DNA")),$M159:$U159),"")),IFERROR(LOOKUP(2,1/(ISNUMBER($M159:$U159)+($M159:$U159="DNA")),$M159:$U159),"")&lt;TODAY())),1,0)+COUNTIF($V159:$Z159,"&lt;"&amp;TODAY()))</f>
        <v/>
      </c>
      <c r="J159" s="32">
        <f>IF(NOT(AND($A159&lt;&gt;"",OR($G159="",$G159="Active"))),"",COUNTIFS($M159:$U159,"&gt;="&amp;TODAY(),$M159:$U159,"&lt;="&amp;TODAY()+7)+COUNTIFS($V159:$Z159,"&gt;="&amp;TODAY(),$V159:$Z159,"&lt;="&amp;TODAY()+7))</f>
        <v/>
      </c>
      <c r="K159" s="32">
        <f>IF(NOT(AND($A159&lt;&gt;"",OR($G159="",$G159="Active"))),"",IF($L159&lt;&gt;"",IF($L159=$M159,"Booking",INDEX($N$4:$U$4,MATCH($L159,$N159:$U159,0))),IF(IFERROR(LOOKUP(2,1/(ISNUMBER($M159:$U159)+($M159:$U159="DNA")),$M159:$U159),"")="DNA","Rebook DNA",IF(ISNUMBER(IFERROR(LOOKUP(2,1/(ISNUMBER($M159:$U159)+($M159:$U159="DNA")),$M159:$U159),"")),IF(ISNUMBER($U159),"Update status","Missed/not booked?"),""))))</f>
        <v/>
      </c>
      <c r="L159" s="33">
        <f>IF(NOT(AND($A159&lt;&gt;"",OR($G159="",$G159="Active"))),"",IFERROR(SMALL($M159:$U159,COUNTIF($M159:$U159,"&lt;"&amp;TODAY())+1),""))</f>
        <v/>
      </c>
      <c r="M159" s="31" t="n"/>
      <c r="N159" s="31" t="n"/>
      <c r="O159" s="31" t="n"/>
      <c r="P159" s="31" t="n"/>
      <c r="Q159" s="31" t="n"/>
      <c r="R159" s="31" t="n"/>
      <c r="S159" s="31" t="n"/>
      <c r="T159" s="31" t="n"/>
      <c r="U159" s="31" t="n"/>
      <c r="V159" s="31" t="n"/>
      <c r="W159" s="31" t="n"/>
      <c r="X159" s="31" t="n"/>
      <c r="Y159" s="31" t="n"/>
      <c r="Z159" s="31" t="n"/>
      <c r="AA159" s="34" t="n"/>
      <c r="AB159" s="29" t="n"/>
      <c r="AC159" s="31" t="n"/>
    </row>
    <row r="160">
      <c r="A160" s="29" t="n"/>
      <c r="B160" s="30" t="n"/>
      <c r="C160" s="31" t="n"/>
      <c r="D160" s="29" t="n"/>
      <c r="E160" s="29" t="n"/>
      <c r="F160" s="31" t="n"/>
      <c r="G160" s="29" t="n"/>
      <c r="H160" s="32">
        <f>IF(OR(NOT(AND($A160&lt;&gt;"",OR($G160="",$G160="Active"))),$F160=""),"",INT((TODAY()-$F160+280)/7)&amp;"+"&amp;MOD(TODAY()-$F160+280,7))</f>
        <v/>
      </c>
      <c r="I160" s="32">
        <f>IF(NOT(AND($A160&lt;&gt;"",OR($G160="",$G160="Active"))),"",IF(OR(IFERROR(LOOKUP(2,1/(ISNUMBER($M160:$U160)+($M160:$U160="DNA")),$M160:$U160),"")="DNA",AND(ISNUMBER(IFERROR(LOOKUP(2,1/(ISNUMBER($M160:$U160)+($M160:$U160="DNA")),$M160:$U160),"")),IFERROR(LOOKUP(2,1/(ISNUMBER($M160:$U160)+($M160:$U160="DNA")),$M160:$U160),"")&lt;TODAY())),1,0)+COUNTIF($V160:$Z160,"&lt;"&amp;TODAY()))</f>
        <v/>
      </c>
      <c r="J160" s="32">
        <f>IF(NOT(AND($A160&lt;&gt;"",OR($G160="",$G160="Active"))),"",COUNTIFS($M160:$U160,"&gt;="&amp;TODAY(),$M160:$U160,"&lt;="&amp;TODAY()+7)+COUNTIFS($V160:$Z160,"&gt;="&amp;TODAY(),$V160:$Z160,"&lt;="&amp;TODAY()+7))</f>
        <v/>
      </c>
      <c r="K160" s="32">
        <f>IF(NOT(AND($A160&lt;&gt;"",OR($G160="",$G160="Active"))),"",IF($L160&lt;&gt;"",IF($L160=$M160,"Booking",INDEX($N$4:$U$4,MATCH($L160,$N160:$U160,0))),IF(IFERROR(LOOKUP(2,1/(ISNUMBER($M160:$U160)+($M160:$U160="DNA")),$M160:$U160),"")="DNA","Rebook DNA",IF(ISNUMBER(IFERROR(LOOKUP(2,1/(ISNUMBER($M160:$U160)+($M160:$U160="DNA")),$M160:$U160),"")),IF(ISNUMBER($U160),"Update status","Missed/not booked?"),""))))</f>
        <v/>
      </c>
      <c r="L160" s="33">
        <f>IF(NOT(AND($A160&lt;&gt;"",OR($G160="",$G160="Active"))),"",IFERROR(SMALL($M160:$U160,COUNTIF($M160:$U160,"&lt;"&amp;TODAY())+1),""))</f>
        <v/>
      </c>
      <c r="M160" s="31" t="n"/>
      <c r="N160" s="31" t="n"/>
      <c r="O160" s="31" t="n"/>
      <c r="P160" s="31" t="n"/>
      <c r="Q160" s="31" t="n"/>
      <c r="R160" s="31" t="n"/>
      <c r="S160" s="31" t="n"/>
      <c r="T160" s="31" t="n"/>
      <c r="U160" s="31" t="n"/>
      <c r="V160" s="31" t="n"/>
      <c r="W160" s="31" t="n"/>
      <c r="X160" s="31" t="n"/>
      <c r="Y160" s="31" t="n"/>
      <c r="Z160" s="31" t="n"/>
      <c r="AA160" s="34" t="n"/>
      <c r="AB160" s="29" t="n"/>
      <c r="AC160" s="31" t="n"/>
    </row>
    <row r="161">
      <c r="A161" s="29" t="n"/>
      <c r="B161" s="30" t="n"/>
      <c r="C161" s="31" t="n"/>
      <c r="D161" s="29" t="n"/>
      <c r="E161" s="29" t="n"/>
      <c r="F161" s="31" t="n"/>
      <c r="G161" s="29" t="n"/>
      <c r="H161" s="32">
        <f>IF(OR(NOT(AND($A161&lt;&gt;"",OR($G161="",$G161="Active"))),$F161=""),"",INT((TODAY()-$F161+280)/7)&amp;"+"&amp;MOD(TODAY()-$F161+280,7))</f>
        <v/>
      </c>
      <c r="I161" s="32">
        <f>IF(NOT(AND($A161&lt;&gt;"",OR($G161="",$G161="Active"))),"",IF(OR(IFERROR(LOOKUP(2,1/(ISNUMBER($M161:$U161)+($M161:$U161="DNA")),$M161:$U161),"")="DNA",AND(ISNUMBER(IFERROR(LOOKUP(2,1/(ISNUMBER($M161:$U161)+($M161:$U161="DNA")),$M161:$U161),"")),IFERROR(LOOKUP(2,1/(ISNUMBER($M161:$U161)+($M161:$U161="DNA")),$M161:$U161),"")&lt;TODAY())),1,0)+COUNTIF($V161:$Z161,"&lt;"&amp;TODAY()))</f>
        <v/>
      </c>
      <c r="J161" s="32">
        <f>IF(NOT(AND($A161&lt;&gt;"",OR($G161="",$G161="Active"))),"",COUNTIFS($M161:$U161,"&gt;="&amp;TODAY(),$M161:$U161,"&lt;="&amp;TODAY()+7)+COUNTIFS($V161:$Z161,"&gt;="&amp;TODAY(),$V161:$Z161,"&lt;="&amp;TODAY()+7))</f>
        <v/>
      </c>
      <c r="K161" s="32">
        <f>IF(NOT(AND($A161&lt;&gt;"",OR($G161="",$G161="Active"))),"",IF($L161&lt;&gt;"",IF($L161=$M161,"Booking",INDEX($N$4:$U$4,MATCH($L161,$N161:$U161,0))),IF(IFERROR(LOOKUP(2,1/(ISNUMBER($M161:$U161)+($M161:$U161="DNA")),$M161:$U161),"")="DNA","Rebook DNA",IF(ISNUMBER(IFERROR(LOOKUP(2,1/(ISNUMBER($M161:$U161)+($M161:$U161="DNA")),$M161:$U161),"")),IF(ISNUMBER($U161),"Update status","Missed/not booked?"),""))))</f>
        <v/>
      </c>
      <c r="L161" s="33">
        <f>IF(NOT(AND($A161&lt;&gt;"",OR($G161="",$G161="Active"))),"",IFERROR(SMALL($M161:$U161,COUNTIF($M161:$U161,"&lt;"&amp;TODAY())+1),""))</f>
        <v/>
      </c>
      <c r="M161" s="31" t="n"/>
      <c r="N161" s="31" t="n"/>
      <c r="O161" s="31" t="n"/>
      <c r="P161" s="31" t="n"/>
      <c r="Q161" s="31" t="n"/>
      <c r="R161" s="31" t="n"/>
      <c r="S161" s="31" t="n"/>
      <c r="T161" s="31" t="n"/>
      <c r="U161" s="31" t="n"/>
      <c r="V161" s="31" t="n"/>
      <c r="W161" s="31" t="n"/>
      <c r="X161" s="31" t="n"/>
      <c r="Y161" s="31" t="n"/>
      <c r="Z161" s="31" t="n"/>
      <c r="AA161" s="34" t="n"/>
      <c r="AB161" s="29" t="n"/>
      <c r="AC161" s="31" t="n"/>
    </row>
    <row r="162">
      <c r="A162" s="29" t="n"/>
      <c r="B162" s="30" t="n"/>
      <c r="C162" s="31" t="n"/>
      <c r="D162" s="29" t="n"/>
      <c r="E162" s="29" t="n"/>
      <c r="F162" s="31" t="n"/>
      <c r="G162" s="29" t="n"/>
      <c r="H162" s="32">
        <f>IF(OR(NOT(AND($A162&lt;&gt;"",OR($G162="",$G162="Active"))),$F162=""),"",INT((TODAY()-$F162+280)/7)&amp;"+"&amp;MOD(TODAY()-$F162+280,7))</f>
        <v/>
      </c>
      <c r="I162" s="32">
        <f>IF(NOT(AND($A162&lt;&gt;"",OR($G162="",$G162="Active"))),"",IF(OR(IFERROR(LOOKUP(2,1/(ISNUMBER($M162:$U162)+($M162:$U162="DNA")),$M162:$U162),"")="DNA",AND(ISNUMBER(IFERROR(LOOKUP(2,1/(ISNUMBER($M162:$U162)+($M162:$U162="DNA")),$M162:$U162),"")),IFERROR(LOOKUP(2,1/(ISNUMBER($M162:$U162)+($M162:$U162="DNA")),$M162:$U162),"")&lt;TODAY())),1,0)+COUNTIF($V162:$Z162,"&lt;"&amp;TODAY()))</f>
        <v/>
      </c>
      <c r="J162" s="32">
        <f>IF(NOT(AND($A162&lt;&gt;"",OR($G162="",$G162="Active"))),"",COUNTIFS($M162:$U162,"&gt;="&amp;TODAY(),$M162:$U162,"&lt;="&amp;TODAY()+7)+COUNTIFS($V162:$Z162,"&gt;="&amp;TODAY(),$V162:$Z162,"&lt;="&amp;TODAY()+7))</f>
        <v/>
      </c>
      <c r="K162" s="32">
        <f>IF(NOT(AND($A162&lt;&gt;"",OR($G162="",$G162="Active"))),"",IF($L162&lt;&gt;"",IF($L162=$M162,"Booking",INDEX($N$4:$U$4,MATCH($L162,$N162:$U162,0))),IF(IFERROR(LOOKUP(2,1/(ISNUMBER($M162:$U162)+($M162:$U162="DNA")),$M162:$U162),"")="DNA","Rebook DNA",IF(ISNUMBER(IFERROR(LOOKUP(2,1/(ISNUMBER($M162:$U162)+($M162:$U162="DNA")),$M162:$U162),"")),IF(ISNUMBER($U162),"Update status","Missed/not booked?"),""))))</f>
        <v/>
      </c>
      <c r="L162" s="33">
        <f>IF(NOT(AND($A162&lt;&gt;"",OR($G162="",$G162="Active"))),"",IFERROR(SMALL($M162:$U162,COUNTIF($M162:$U162,"&lt;"&amp;TODAY())+1),""))</f>
        <v/>
      </c>
      <c r="M162" s="31" t="n"/>
      <c r="N162" s="31" t="n"/>
      <c r="O162" s="31" t="n"/>
      <c r="P162" s="31" t="n"/>
      <c r="Q162" s="31" t="n"/>
      <c r="R162" s="31" t="n"/>
      <c r="S162" s="31" t="n"/>
      <c r="T162" s="31" t="n"/>
      <c r="U162" s="31" t="n"/>
      <c r="V162" s="31" t="n"/>
      <c r="W162" s="31" t="n"/>
      <c r="X162" s="31" t="n"/>
      <c r="Y162" s="31" t="n"/>
      <c r="Z162" s="31" t="n"/>
      <c r="AA162" s="34" t="n"/>
      <c r="AB162" s="29" t="n"/>
      <c r="AC162" s="31" t="n"/>
    </row>
    <row r="163">
      <c r="A163" s="29" t="n"/>
      <c r="B163" s="30" t="n"/>
      <c r="C163" s="31" t="n"/>
      <c r="D163" s="29" t="n"/>
      <c r="E163" s="29" t="n"/>
      <c r="F163" s="31" t="n"/>
      <c r="G163" s="29" t="n"/>
      <c r="H163" s="32">
        <f>IF(OR(NOT(AND($A163&lt;&gt;"",OR($G163="",$G163="Active"))),$F163=""),"",INT((TODAY()-$F163+280)/7)&amp;"+"&amp;MOD(TODAY()-$F163+280,7))</f>
        <v/>
      </c>
      <c r="I163" s="32">
        <f>IF(NOT(AND($A163&lt;&gt;"",OR($G163="",$G163="Active"))),"",IF(OR(IFERROR(LOOKUP(2,1/(ISNUMBER($M163:$U163)+($M163:$U163="DNA")),$M163:$U163),"")="DNA",AND(ISNUMBER(IFERROR(LOOKUP(2,1/(ISNUMBER($M163:$U163)+($M163:$U163="DNA")),$M163:$U163),"")),IFERROR(LOOKUP(2,1/(ISNUMBER($M163:$U163)+($M163:$U163="DNA")),$M163:$U163),"")&lt;TODAY())),1,0)+COUNTIF($V163:$Z163,"&lt;"&amp;TODAY()))</f>
        <v/>
      </c>
      <c r="J163" s="32">
        <f>IF(NOT(AND($A163&lt;&gt;"",OR($G163="",$G163="Active"))),"",COUNTIFS($M163:$U163,"&gt;="&amp;TODAY(),$M163:$U163,"&lt;="&amp;TODAY()+7)+COUNTIFS($V163:$Z163,"&gt;="&amp;TODAY(),$V163:$Z163,"&lt;="&amp;TODAY()+7))</f>
        <v/>
      </c>
      <c r="K163" s="32">
        <f>IF(NOT(AND($A163&lt;&gt;"",OR($G163="",$G163="Active"))),"",IF($L163&lt;&gt;"",IF($L163=$M163,"Booking",INDEX($N$4:$U$4,MATCH($L163,$N163:$U163,0))),IF(IFERROR(LOOKUP(2,1/(ISNUMBER($M163:$U163)+($M163:$U163="DNA")),$M163:$U163),"")="DNA","Rebook DNA",IF(ISNUMBER(IFERROR(LOOKUP(2,1/(ISNUMBER($M163:$U163)+($M163:$U163="DNA")),$M163:$U163),"")),IF(ISNUMBER($U163),"Update status","Missed/not booked?"),""))))</f>
        <v/>
      </c>
      <c r="L163" s="33">
        <f>IF(NOT(AND($A163&lt;&gt;"",OR($G163="",$G163="Active"))),"",IFERROR(SMALL($M163:$U163,COUNTIF($M163:$U163,"&lt;"&amp;TODAY())+1),""))</f>
        <v/>
      </c>
      <c r="M163" s="31" t="n"/>
      <c r="N163" s="31" t="n"/>
      <c r="O163" s="31" t="n"/>
      <c r="P163" s="31" t="n"/>
      <c r="Q163" s="31" t="n"/>
      <c r="R163" s="31" t="n"/>
      <c r="S163" s="31" t="n"/>
      <c r="T163" s="31" t="n"/>
      <c r="U163" s="31" t="n"/>
      <c r="V163" s="31" t="n"/>
      <c r="W163" s="31" t="n"/>
      <c r="X163" s="31" t="n"/>
      <c r="Y163" s="31" t="n"/>
      <c r="Z163" s="31" t="n"/>
      <c r="AA163" s="34" t="n"/>
      <c r="AB163" s="29" t="n"/>
      <c r="AC163" s="31" t="n"/>
    </row>
    <row r="164">
      <c r="A164" s="29" t="n"/>
      <c r="B164" s="30" t="n"/>
      <c r="C164" s="31" t="n"/>
      <c r="D164" s="29" t="n"/>
      <c r="E164" s="29" t="n"/>
      <c r="F164" s="31" t="n"/>
      <c r="G164" s="29" t="n"/>
      <c r="H164" s="32">
        <f>IF(OR(NOT(AND($A164&lt;&gt;"",OR($G164="",$G164="Active"))),$F164=""),"",INT((TODAY()-$F164+280)/7)&amp;"+"&amp;MOD(TODAY()-$F164+280,7))</f>
        <v/>
      </c>
      <c r="I164" s="32">
        <f>IF(NOT(AND($A164&lt;&gt;"",OR($G164="",$G164="Active"))),"",IF(OR(IFERROR(LOOKUP(2,1/(ISNUMBER($M164:$U164)+($M164:$U164="DNA")),$M164:$U164),"")="DNA",AND(ISNUMBER(IFERROR(LOOKUP(2,1/(ISNUMBER($M164:$U164)+($M164:$U164="DNA")),$M164:$U164),"")),IFERROR(LOOKUP(2,1/(ISNUMBER($M164:$U164)+($M164:$U164="DNA")),$M164:$U164),"")&lt;TODAY())),1,0)+COUNTIF($V164:$Z164,"&lt;"&amp;TODAY()))</f>
        <v/>
      </c>
      <c r="J164" s="32">
        <f>IF(NOT(AND($A164&lt;&gt;"",OR($G164="",$G164="Active"))),"",COUNTIFS($M164:$U164,"&gt;="&amp;TODAY(),$M164:$U164,"&lt;="&amp;TODAY()+7)+COUNTIFS($V164:$Z164,"&gt;="&amp;TODAY(),$V164:$Z164,"&lt;="&amp;TODAY()+7))</f>
        <v/>
      </c>
      <c r="K164" s="32">
        <f>IF(NOT(AND($A164&lt;&gt;"",OR($G164="",$G164="Active"))),"",IF($L164&lt;&gt;"",IF($L164=$M164,"Booking",INDEX($N$4:$U$4,MATCH($L164,$N164:$U164,0))),IF(IFERROR(LOOKUP(2,1/(ISNUMBER($M164:$U164)+($M164:$U164="DNA")),$M164:$U164),"")="DNA","Rebook DNA",IF(ISNUMBER(IFERROR(LOOKUP(2,1/(ISNUMBER($M164:$U164)+($M164:$U164="DNA")),$M164:$U164),"")),IF(ISNUMBER($U164),"Update status","Missed/not booked?"),""))))</f>
        <v/>
      </c>
      <c r="L164" s="33">
        <f>IF(NOT(AND($A164&lt;&gt;"",OR($G164="",$G164="Active"))),"",IFERROR(SMALL($M164:$U164,COUNTIF($M164:$U164,"&lt;"&amp;TODAY())+1),""))</f>
        <v/>
      </c>
      <c r="M164" s="31" t="n"/>
      <c r="N164" s="31" t="n"/>
      <c r="O164" s="31" t="n"/>
      <c r="P164" s="31" t="n"/>
      <c r="Q164" s="31" t="n"/>
      <c r="R164" s="31" t="n"/>
      <c r="S164" s="31" t="n"/>
      <c r="T164" s="31" t="n"/>
      <c r="U164" s="31" t="n"/>
      <c r="V164" s="31" t="n"/>
      <c r="W164" s="31" t="n"/>
      <c r="X164" s="31" t="n"/>
      <c r="Y164" s="31" t="n"/>
      <c r="Z164" s="31" t="n"/>
      <c r="AA164" s="34" t="n"/>
      <c r="AB164" s="29" t="n"/>
      <c r="AC164" s="31" t="n"/>
    </row>
    <row r="165">
      <c r="A165" s="29" t="n"/>
      <c r="B165" s="30" t="n"/>
      <c r="C165" s="31" t="n"/>
      <c r="D165" s="29" t="n"/>
      <c r="E165" s="29" t="n"/>
      <c r="F165" s="31" t="n"/>
      <c r="G165" s="29" t="n"/>
      <c r="H165" s="32">
        <f>IF(OR(NOT(AND($A165&lt;&gt;"",OR($G165="",$G165="Active"))),$F165=""),"",INT((TODAY()-$F165+280)/7)&amp;"+"&amp;MOD(TODAY()-$F165+280,7))</f>
        <v/>
      </c>
      <c r="I165" s="32">
        <f>IF(NOT(AND($A165&lt;&gt;"",OR($G165="",$G165="Active"))),"",IF(OR(IFERROR(LOOKUP(2,1/(ISNUMBER($M165:$U165)+($M165:$U165="DNA")),$M165:$U165),"")="DNA",AND(ISNUMBER(IFERROR(LOOKUP(2,1/(ISNUMBER($M165:$U165)+($M165:$U165="DNA")),$M165:$U165),"")),IFERROR(LOOKUP(2,1/(ISNUMBER($M165:$U165)+($M165:$U165="DNA")),$M165:$U165),"")&lt;TODAY())),1,0)+COUNTIF($V165:$Z165,"&lt;"&amp;TODAY()))</f>
        <v/>
      </c>
      <c r="J165" s="32">
        <f>IF(NOT(AND($A165&lt;&gt;"",OR($G165="",$G165="Active"))),"",COUNTIFS($M165:$U165,"&gt;="&amp;TODAY(),$M165:$U165,"&lt;="&amp;TODAY()+7)+COUNTIFS($V165:$Z165,"&gt;="&amp;TODAY(),$V165:$Z165,"&lt;="&amp;TODAY()+7))</f>
        <v/>
      </c>
      <c r="K165" s="32">
        <f>IF(NOT(AND($A165&lt;&gt;"",OR($G165="",$G165="Active"))),"",IF($L165&lt;&gt;"",IF($L165=$M165,"Booking",INDEX($N$4:$U$4,MATCH($L165,$N165:$U165,0))),IF(IFERROR(LOOKUP(2,1/(ISNUMBER($M165:$U165)+($M165:$U165="DNA")),$M165:$U165),"")="DNA","Rebook DNA",IF(ISNUMBER(IFERROR(LOOKUP(2,1/(ISNUMBER($M165:$U165)+($M165:$U165="DNA")),$M165:$U165),"")),IF(ISNUMBER($U165),"Update status","Missed/not booked?"),""))))</f>
        <v/>
      </c>
      <c r="L165" s="33">
        <f>IF(NOT(AND($A165&lt;&gt;"",OR($G165="",$G165="Active"))),"",IFERROR(SMALL($M165:$U165,COUNTIF($M165:$U165,"&lt;"&amp;TODAY())+1),""))</f>
        <v/>
      </c>
      <c r="M165" s="31" t="n"/>
      <c r="N165" s="31" t="n"/>
      <c r="O165" s="31" t="n"/>
      <c r="P165" s="31" t="n"/>
      <c r="Q165" s="31" t="n"/>
      <c r="R165" s="31" t="n"/>
      <c r="S165" s="31" t="n"/>
      <c r="T165" s="31" t="n"/>
      <c r="U165" s="31" t="n"/>
      <c r="V165" s="31" t="n"/>
      <c r="W165" s="31" t="n"/>
      <c r="X165" s="31" t="n"/>
      <c r="Y165" s="31" t="n"/>
      <c r="Z165" s="31" t="n"/>
      <c r="AA165" s="34" t="n"/>
      <c r="AB165" s="29" t="n"/>
      <c r="AC165" s="31" t="n"/>
    </row>
    <row r="166">
      <c r="A166" s="29" t="n"/>
      <c r="B166" s="30" t="n"/>
      <c r="C166" s="31" t="n"/>
      <c r="D166" s="29" t="n"/>
      <c r="E166" s="29" t="n"/>
      <c r="F166" s="31" t="n"/>
      <c r="G166" s="29" t="n"/>
      <c r="H166" s="32">
        <f>IF(OR(NOT(AND($A166&lt;&gt;"",OR($G166="",$G166="Active"))),$F166=""),"",INT((TODAY()-$F166+280)/7)&amp;"+"&amp;MOD(TODAY()-$F166+280,7))</f>
        <v/>
      </c>
      <c r="I166" s="32">
        <f>IF(NOT(AND($A166&lt;&gt;"",OR($G166="",$G166="Active"))),"",IF(OR(IFERROR(LOOKUP(2,1/(ISNUMBER($M166:$U166)+($M166:$U166="DNA")),$M166:$U166),"")="DNA",AND(ISNUMBER(IFERROR(LOOKUP(2,1/(ISNUMBER($M166:$U166)+($M166:$U166="DNA")),$M166:$U166),"")),IFERROR(LOOKUP(2,1/(ISNUMBER($M166:$U166)+($M166:$U166="DNA")),$M166:$U166),"")&lt;TODAY())),1,0)+COUNTIF($V166:$Z166,"&lt;"&amp;TODAY()))</f>
        <v/>
      </c>
      <c r="J166" s="32">
        <f>IF(NOT(AND($A166&lt;&gt;"",OR($G166="",$G166="Active"))),"",COUNTIFS($M166:$U166,"&gt;="&amp;TODAY(),$M166:$U166,"&lt;="&amp;TODAY()+7)+COUNTIFS($V166:$Z166,"&gt;="&amp;TODAY(),$V166:$Z166,"&lt;="&amp;TODAY()+7))</f>
        <v/>
      </c>
      <c r="K166" s="32">
        <f>IF(NOT(AND($A166&lt;&gt;"",OR($G166="",$G166="Active"))),"",IF($L166&lt;&gt;"",IF($L166=$M166,"Booking",INDEX($N$4:$U$4,MATCH($L166,$N166:$U166,0))),IF(IFERROR(LOOKUP(2,1/(ISNUMBER($M166:$U166)+($M166:$U166="DNA")),$M166:$U166),"")="DNA","Rebook DNA",IF(ISNUMBER(IFERROR(LOOKUP(2,1/(ISNUMBER($M166:$U166)+($M166:$U166="DNA")),$M166:$U166),"")),IF(ISNUMBER($U166),"Update status","Missed/not booked?"),""))))</f>
        <v/>
      </c>
      <c r="L166" s="33">
        <f>IF(NOT(AND($A166&lt;&gt;"",OR($G166="",$G166="Active"))),"",IFERROR(SMALL($M166:$U166,COUNTIF($M166:$U166,"&lt;"&amp;TODAY())+1),""))</f>
        <v/>
      </c>
      <c r="M166" s="31" t="n"/>
      <c r="N166" s="31" t="n"/>
      <c r="O166" s="31" t="n"/>
      <c r="P166" s="31" t="n"/>
      <c r="Q166" s="31" t="n"/>
      <c r="R166" s="31" t="n"/>
      <c r="S166" s="31" t="n"/>
      <c r="T166" s="31" t="n"/>
      <c r="U166" s="31" t="n"/>
      <c r="V166" s="31" t="n"/>
      <c r="W166" s="31" t="n"/>
      <c r="X166" s="31" t="n"/>
      <c r="Y166" s="31" t="n"/>
      <c r="Z166" s="31" t="n"/>
      <c r="AA166" s="34" t="n"/>
      <c r="AB166" s="29" t="n"/>
      <c r="AC166" s="31" t="n"/>
    </row>
    <row r="167">
      <c r="A167" s="29" t="n"/>
      <c r="B167" s="30" t="n"/>
      <c r="C167" s="31" t="n"/>
      <c r="D167" s="29" t="n"/>
      <c r="E167" s="29" t="n"/>
      <c r="F167" s="31" t="n"/>
      <c r="G167" s="29" t="n"/>
      <c r="H167" s="32">
        <f>IF(OR(NOT(AND($A167&lt;&gt;"",OR($G167="",$G167="Active"))),$F167=""),"",INT((TODAY()-$F167+280)/7)&amp;"+"&amp;MOD(TODAY()-$F167+280,7))</f>
        <v/>
      </c>
      <c r="I167" s="32">
        <f>IF(NOT(AND($A167&lt;&gt;"",OR($G167="",$G167="Active"))),"",IF(OR(IFERROR(LOOKUP(2,1/(ISNUMBER($M167:$U167)+($M167:$U167="DNA")),$M167:$U167),"")="DNA",AND(ISNUMBER(IFERROR(LOOKUP(2,1/(ISNUMBER($M167:$U167)+($M167:$U167="DNA")),$M167:$U167),"")),IFERROR(LOOKUP(2,1/(ISNUMBER($M167:$U167)+($M167:$U167="DNA")),$M167:$U167),"")&lt;TODAY())),1,0)+COUNTIF($V167:$Z167,"&lt;"&amp;TODAY()))</f>
        <v/>
      </c>
      <c r="J167" s="32">
        <f>IF(NOT(AND($A167&lt;&gt;"",OR($G167="",$G167="Active"))),"",COUNTIFS($M167:$U167,"&gt;="&amp;TODAY(),$M167:$U167,"&lt;="&amp;TODAY()+7)+COUNTIFS($V167:$Z167,"&gt;="&amp;TODAY(),$V167:$Z167,"&lt;="&amp;TODAY()+7))</f>
        <v/>
      </c>
      <c r="K167" s="32">
        <f>IF(NOT(AND($A167&lt;&gt;"",OR($G167="",$G167="Active"))),"",IF($L167&lt;&gt;"",IF($L167=$M167,"Booking",INDEX($N$4:$U$4,MATCH($L167,$N167:$U167,0))),IF(IFERROR(LOOKUP(2,1/(ISNUMBER($M167:$U167)+($M167:$U167="DNA")),$M167:$U167),"")="DNA","Rebook DNA",IF(ISNUMBER(IFERROR(LOOKUP(2,1/(ISNUMBER($M167:$U167)+($M167:$U167="DNA")),$M167:$U167),"")),IF(ISNUMBER($U167),"Update status","Missed/not booked?"),""))))</f>
        <v/>
      </c>
      <c r="L167" s="33">
        <f>IF(NOT(AND($A167&lt;&gt;"",OR($G167="",$G167="Active"))),"",IFERROR(SMALL($M167:$U167,COUNTIF($M167:$U167,"&lt;"&amp;TODAY())+1),""))</f>
        <v/>
      </c>
      <c r="M167" s="31" t="n"/>
      <c r="N167" s="31" t="n"/>
      <c r="O167" s="31" t="n"/>
      <c r="P167" s="31" t="n"/>
      <c r="Q167" s="31" t="n"/>
      <c r="R167" s="31" t="n"/>
      <c r="S167" s="31" t="n"/>
      <c r="T167" s="31" t="n"/>
      <c r="U167" s="31" t="n"/>
      <c r="V167" s="31" t="n"/>
      <c r="W167" s="31" t="n"/>
      <c r="X167" s="31" t="n"/>
      <c r="Y167" s="31" t="n"/>
      <c r="Z167" s="31" t="n"/>
      <c r="AA167" s="34" t="n"/>
      <c r="AB167" s="29" t="n"/>
      <c r="AC167" s="31" t="n"/>
    </row>
    <row r="168">
      <c r="A168" s="29" t="n"/>
      <c r="B168" s="30" t="n"/>
      <c r="C168" s="31" t="n"/>
      <c r="D168" s="29" t="n"/>
      <c r="E168" s="29" t="n"/>
      <c r="F168" s="31" t="n"/>
      <c r="G168" s="29" t="n"/>
      <c r="H168" s="32">
        <f>IF(OR(NOT(AND($A168&lt;&gt;"",OR($G168="",$G168="Active"))),$F168=""),"",INT((TODAY()-$F168+280)/7)&amp;"+"&amp;MOD(TODAY()-$F168+280,7))</f>
        <v/>
      </c>
      <c r="I168" s="32">
        <f>IF(NOT(AND($A168&lt;&gt;"",OR($G168="",$G168="Active"))),"",IF(OR(IFERROR(LOOKUP(2,1/(ISNUMBER($M168:$U168)+($M168:$U168="DNA")),$M168:$U168),"")="DNA",AND(ISNUMBER(IFERROR(LOOKUP(2,1/(ISNUMBER($M168:$U168)+($M168:$U168="DNA")),$M168:$U168),"")),IFERROR(LOOKUP(2,1/(ISNUMBER($M168:$U168)+($M168:$U168="DNA")),$M168:$U168),"")&lt;TODAY())),1,0)+COUNTIF($V168:$Z168,"&lt;"&amp;TODAY()))</f>
        <v/>
      </c>
      <c r="J168" s="32">
        <f>IF(NOT(AND($A168&lt;&gt;"",OR($G168="",$G168="Active"))),"",COUNTIFS($M168:$U168,"&gt;="&amp;TODAY(),$M168:$U168,"&lt;="&amp;TODAY()+7)+COUNTIFS($V168:$Z168,"&gt;="&amp;TODAY(),$V168:$Z168,"&lt;="&amp;TODAY()+7))</f>
        <v/>
      </c>
      <c r="K168" s="32">
        <f>IF(NOT(AND($A168&lt;&gt;"",OR($G168="",$G168="Active"))),"",IF($L168&lt;&gt;"",IF($L168=$M168,"Booking",INDEX($N$4:$U$4,MATCH($L168,$N168:$U168,0))),IF(IFERROR(LOOKUP(2,1/(ISNUMBER($M168:$U168)+($M168:$U168="DNA")),$M168:$U168),"")="DNA","Rebook DNA",IF(ISNUMBER(IFERROR(LOOKUP(2,1/(ISNUMBER($M168:$U168)+($M168:$U168="DNA")),$M168:$U168),"")),IF(ISNUMBER($U168),"Update status","Missed/not booked?"),""))))</f>
        <v/>
      </c>
      <c r="L168" s="33">
        <f>IF(NOT(AND($A168&lt;&gt;"",OR($G168="",$G168="Active"))),"",IFERROR(SMALL($M168:$U168,COUNTIF($M168:$U168,"&lt;"&amp;TODAY())+1),""))</f>
        <v/>
      </c>
      <c r="M168" s="31" t="n"/>
      <c r="N168" s="31" t="n"/>
      <c r="O168" s="31" t="n"/>
      <c r="P168" s="31" t="n"/>
      <c r="Q168" s="31" t="n"/>
      <c r="R168" s="31" t="n"/>
      <c r="S168" s="31" t="n"/>
      <c r="T168" s="31" t="n"/>
      <c r="U168" s="31" t="n"/>
      <c r="V168" s="31" t="n"/>
      <c r="W168" s="31" t="n"/>
      <c r="X168" s="31" t="n"/>
      <c r="Y168" s="31" t="n"/>
      <c r="Z168" s="31" t="n"/>
      <c r="AA168" s="34" t="n"/>
      <c r="AB168" s="29" t="n"/>
      <c r="AC168" s="31" t="n"/>
    </row>
    <row r="169">
      <c r="A169" s="29" t="n"/>
      <c r="B169" s="30" t="n"/>
      <c r="C169" s="31" t="n"/>
      <c r="D169" s="29" t="n"/>
      <c r="E169" s="29" t="n"/>
      <c r="F169" s="31" t="n"/>
      <c r="G169" s="29" t="n"/>
      <c r="H169" s="32">
        <f>IF(OR(NOT(AND($A169&lt;&gt;"",OR($G169="",$G169="Active"))),$F169=""),"",INT((TODAY()-$F169+280)/7)&amp;"+"&amp;MOD(TODAY()-$F169+280,7))</f>
        <v/>
      </c>
      <c r="I169" s="32">
        <f>IF(NOT(AND($A169&lt;&gt;"",OR($G169="",$G169="Active"))),"",IF(OR(IFERROR(LOOKUP(2,1/(ISNUMBER($M169:$U169)+($M169:$U169="DNA")),$M169:$U169),"")="DNA",AND(ISNUMBER(IFERROR(LOOKUP(2,1/(ISNUMBER($M169:$U169)+($M169:$U169="DNA")),$M169:$U169),"")),IFERROR(LOOKUP(2,1/(ISNUMBER($M169:$U169)+($M169:$U169="DNA")),$M169:$U169),"")&lt;TODAY())),1,0)+COUNTIF($V169:$Z169,"&lt;"&amp;TODAY()))</f>
        <v/>
      </c>
      <c r="J169" s="32">
        <f>IF(NOT(AND($A169&lt;&gt;"",OR($G169="",$G169="Active"))),"",COUNTIFS($M169:$U169,"&gt;="&amp;TODAY(),$M169:$U169,"&lt;="&amp;TODAY()+7)+COUNTIFS($V169:$Z169,"&gt;="&amp;TODAY(),$V169:$Z169,"&lt;="&amp;TODAY()+7))</f>
        <v/>
      </c>
      <c r="K169" s="32">
        <f>IF(NOT(AND($A169&lt;&gt;"",OR($G169="",$G169="Active"))),"",IF($L169&lt;&gt;"",IF($L169=$M169,"Booking",INDEX($N$4:$U$4,MATCH($L169,$N169:$U169,0))),IF(IFERROR(LOOKUP(2,1/(ISNUMBER($M169:$U169)+($M169:$U169="DNA")),$M169:$U169),"")="DNA","Rebook DNA",IF(ISNUMBER(IFERROR(LOOKUP(2,1/(ISNUMBER($M169:$U169)+($M169:$U169="DNA")),$M169:$U169),"")),IF(ISNUMBER($U169),"Update status","Missed/not booked?"),""))))</f>
        <v/>
      </c>
      <c r="L169" s="33">
        <f>IF(NOT(AND($A169&lt;&gt;"",OR($G169="",$G169="Active"))),"",IFERROR(SMALL($M169:$U169,COUNTIF($M169:$U169,"&lt;"&amp;TODAY())+1),""))</f>
        <v/>
      </c>
      <c r="M169" s="31" t="n"/>
      <c r="N169" s="31" t="n"/>
      <c r="O169" s="31" t="n"/>
      <c r="P169" s="31" t="n"/>
      <c r="Q169" s="31" t="n"/>
      <c r="R169" s="31" t="n"/>
      <c r="S169" s="31" t="n"/>
      <c r="T169" s="31" t="n"/>
      <c r="U169" s="31" t="n"/>
      <c r="V169" s="31" t="n"/>
      <c r="W169" s="31" t="n"/>
      <c r="X169" s="31" t="n"/>
      <c r="Y169" s="31" t="n"/>
      <c r="Z169" s="31" t="n"/>
      <c r="AA169" s="34" t="n"/>
      <c r="AB169" s="29" t="n"/>
      <c r="AC169" s="31" t="n"/>
    </row>
    <row r="170">
      <c r="A170" s="29" t="n"/>
      <c r="B170" s="30" t="n"/>
      <c r="C170" s="31" t="n"/>
      <c r="D170" s="29" t="n"/>
      <c r="E170" s="29" t="n"/>
      <c r="F170" s="31" t="n"/>
      <c r="G170" s="29" t="n"/>
      <c r="H170" s="32">
        <f>IF(OR(NOT(AND($A170&lt;&gt;"",OR($G170="",$G170="Active"))),$F170=""),"",INT((TODAY()-$F170+280)/7)&amp;"+"&amp;MOD(TODAY()-$F170+280,7))</f>
        <v/>
      </c>
      <c r="I170" s="32">
        <f>IF(NOT(AND($A170&lt;&gt;"",OR($G170="",$G170="Active"))),"",IF(OR(IFERROR(LOOKUP(2,1/(ISNUMBER($M170:$U170)+($M170:$U170="DNA")),$M170:$U170),"")="DNA",AND(ISNUMBER(IFERROR(LOOKUP(2,1/(ISNUMBER($M170:$U170)+($M170:$U170="DNA")),$M170:$U170),"")),IFERROR(LOOKUP(2,1/(ISNUMBER($M170:$U170)+($M170:$U170="DNA")),$M170:$U170),"")&lt;TODAY())),1,0)+COUNTIF($V170:$Z170,"&lt;"&amp;TODAY()))</f>
        <v/>
      </c>
      <c r="J170" s="32">
        <f>IF(NOT(AND($A170&lt;&gt;"",OR($G170="",$G170="Active"))),"",COUNTIFS($M170:$U170,"&gt;="&amp;TODAY(),$M170:$U170,"&lt;="&amp;TODAY()+7)+COUNTIFS($V170:$Z170,"&gt;="&amp;TODAY(),$V170:$Z170,"&lt;="&amp;TODAY()+7))</f>
        <v/>
      </c>
      <c r="K170" s="32">
        <f>IF(NOT(AND($A170&lt;&gt;"",OR($G170="",$G170="Active"))),"",IF($L170&lt;&gt;"",IF($L170=$M170,"Booking",INDEX($N$4:$U$4,MATCH($L170,$N170:$U170,0))),IF(IFERROR(LOOKUP(2,1/(ISNUMBER($M170:$U170)+($M170:$U170="DNA")),$M170:$U170),"")="DNA","Rebook DNA",IF(ISNUMBER(IFERROR(LOOKUP(2,1/(ISNUMBER($M170:$U170)+($M170:$U170="DNA")),$M170:$U170),"")),IF(ISNUMBER($U170),"Update status","Missed/not booked?"),""))))</f>
        <v/>
      </c>
      <c r="L170" s="33">
        <f>IF(NOT(AND($A170&lt;&gt;"",OR($G170="",$G170="Active"))),"",IFERROR(SMALL($M170:$U170,COUNTIF($M170:$U170,"&lt;"&amp;TODAY())+1),""))</f>
        <v/>
      </c>
      <c r="M170" s="31" t="n"/>
      <c r="N170" s="31" t="n"/>
      <c r="O170" s="31" t="n"/>
      <c r="P170" s="31" t="n"/>
      <c r="Q170" s="31" t="n"/>
      <c r="R170" s="31" t="n"/>
      <c r="S170" s="31" t="n"/>
      <c r="T170" s="31" t="n"/>
      <c r="U170" s="31" t="n"/>
      <c r="V170" s="31" t="n"/>
      <c r="W170" s="31" t="n"/>
      <c r="X170" s="31" t="n"/>
      <c r="Y170" s="31" t="n"/>
      <c r="Z170" s="31" t="n"/>
      <c r="AA170" s="34" t="n"/>
      <c r="AB170" s="29" t="n"/>
      <c r="AC170" s="31" t="n"/>
    </row>
    <row r="171">
      <c r="A171" s="29" t="n"/>
      <c r="B171" s="30" t="n"/>
      <c r="C171" s="31" t="n"/>
      <c r="D171" s="29" t="n"/>
      <c r="E171" s="29" t="n"/>
      <c r="F171" s="31" t="n"/>
      <c r="G171" s="29" t="n"/>
      <c r="H171" s="32">
        <f>IF(OR(NOT(AND($A171&lt;&gt;"",OR($G171="",$G171="Active"))),$F171=""),"",INT((TODAY()-$F171+280)/7)&amp;"+"&amp;MOD(TODAY()-$F171+280,7))</f>
        <v/>
      </c>
      <c r="I171" s="32">
        <f>IF(NOT(AND($A171&lt;&gt;"",OR($G171="",$G171="Active"))),"",IF(OR(IFERROR(LOOKUP(2,1/(ISNUMBER($M171:$U171)+($M171:$U171="DNA")),$M171:$U171),"")="DNA",AND(ISNUMBER(IFERROR(LOOKUP(2,1/(ISNUMBER($M171:$U171)+($M171:$U171="DNA")),$M171:$U171),"")),IFERROR(LOOKUP(2,1/(ISNUMBER($M171:$U171)+($M171:$U171="DNA")),$M171:$U171),"")&lt;TODAY())),1,0)+COUNTIF($V171:$Z171,"&lt;"&amp;TODAY()))</f>
        <v/>
      </c>
      <c r="J171" s="32">
        <f>IF(NOT(AND($A171&lt;&gt;"",OR($G171="",$G171="Active"))),"",COUNTIFS($M171:$U171,"&gt;="&amp;TODAY(),$M171:$U171,"&lt;="&amp;TODAY()+7)+COUNTIFS($V171:$Z171,"&gt;="&amp;TODAY(),$V171:$Z171,"&lt;="&amp;TODAY()+7))</f>
        <v/>
      </c>
      <c r="K171" s="32">
        <f>IF(NOT(AND($A171&lt;&gt;"",OR($G171="",$G171="Active"))),"",IF($L171&lt;&gt;"",IF($L171=$M171,"Booking",INDEX($N$4:$U$4,MATCH($L171,$N171:$U171,0))),IF(IFERROR(LOOKUP(2,1/(ISNUMBER($M171:$U171)+($M171:$U171="DNA")),$M171:$U171),"")="DNA","Rebook DNA",IF(ISNUMBER(IFERROR(LOOKUP(2,1/(ISNUMBER($M171:$U171)+($M171:$U171="DNA")),$M171:$U171),"")),IF(ISNUMBER($U171),"Update status","Missed/not booked?"),""))))</f>
        <v/>
      </c>
      <c r="L171" s="33">
        <f>IF(NOT(AND($A171&lt;&gt;"",OR($G171="",$G171="Active"))),"",IFERROR(SMALL($M171:$U171,COUNTIF($M171:$U171,"&lt;"&amp;TODAY())+1),""))</f>
        <v/>
      </c>
      <c r="M171" s="31" t="n"/>
      <c r="N171" s="31" t="n"/>
      <c r="O171" s="31" t="n"/>
      <c r="P171" s="31" t="n"/>
      <c r="Q171" s="31" t="n"/>
      <c r="R171" s="31" t="n"/>
      <c r="S171" s="31" t="n"/>
      <c r="T171" s="31" t="n"/>
      <c r="U171" s="31" t="n"/>
      <c r="V171" s="31" t="n"/>
      <c r="W171" s="31" t="n"/>
      <c r="X171" s="31" t="n"/>
      <c r="Y171" s="31" t="n"/>
      <c r="Z171" s="31" t="n"/>
      <c r="AA171" s="34" t="n"/>
      <c r="AB171" s="29" t="n"/>
      <c r="AC171" s="31" t="n"/>
    </row>
    <row r="172">
      <c r="A172" s="29" t="n"/>
      <c r="B172" s="30" t="n"/>
      <c r="C172" s="31" t="n"/>
      <c r="D172" s="29" t="n"/>
      <c r="E172" s="29" t="n"/>
      <c r="F172" s="31" t="n"/>
      <c r="G172" s="29" t="n"/>
      <c r="H172" s="32">
        <f>IF(OR(NOT(AND($A172&lt;&gt;"",OR($G172="",$G172="Active"))),$F172=""),"",INT((TODAY()-$F172+280)/7)&amp;"+"&amp;MOD(TODAY()-$F172+280,7))</f>
        <v/>
      </c>
      <c r="I172" s="32">
        <f>IF(NOT(AND($A172&lt;&gt;"",OR($G172="",$G172="Active"))),"",IF(OR(IFERROR(LOOKUP(2,1/(ISNUMBER($M172:$U172)+($M172:$U172="DNA")),$M172:$U172),"")="DNA",AND(ISNUMBER(IFERROR(LOOKUP(2,1/(ISNUMBER($M172:$U172)+($M172:$U172="DNA")),$M172:$U172),"")),IFERROR(LOOKUP(2,1/(ISNUMBER($M172:$U172)+($M172:$U172="DNA")),$M172:$U172),"")&lt;TODAY())),1,0)+COUNTIF($V172:$Z172,"&lt;"&amp;TODAY()))</f>
        <v/>
      </c>
      <c r="J172" s="32">
        <f>IF(NOT(AND($A172&lt;&gt;"",OR($G172="",$G172="Active"))),"",COUNTIFS($M172:$U172,"&gt;="&amp;TODAY(),$M172:$U172,"&lt;="&amp;TODAY()+7)+COUNTIFS($V172:$Z172,"&gt;="&amp;TODAY(),$V172:$Z172,"&lt;="&amp;TODAY()+7))</f>
        <v/>
      </c>
      <c r="K172" s="32">
        <f>IF(NOT(AND($A172&lt;&gt;"",OR($G172="",$G172="Active"))),"",IF($L172&lt;&gt;"",IF($L172=$M172,"Booking",INDEX($N$4:$U$4,MATCH($L172,$N172:$U172,0))),IF(IFERROR(LOOKUP(2,1/(ISNUMBER($M172:$U172)+($M172:$U172="DNA")),$M172:$U172),"")="DNA","Rebook DNA",IF(ISNUMBER(IFERROR(LOOKUP(2,1/(ISNUMBER($M172:$U172)+($M172:$U172="DNA")),$M172:$U172),"")),IF(ISNUMBER($U172),"Update status","Missed/not booked?"),""))))</f>
        <v/>
      </c>
      <c r="L172" s="33">
        <f>IF(NOT(AND($A172&lt;&gt;"",OR($G172="",$G172="Active"))),"",IFERROR(SMALL($M172:$U172,COUNTIF($M172:$U172,"&lt;"&amp;TODAY())+1),""))</f>
        <v/>
      </c>
      <c r="M172" s="31" t="n"/>
      <c r="N172" s="31" t="n"/>
      <c r="O172" s="31" t="n"/>
      <c r="P172" s="31" t="n"/>
      <c r="Q172" s="31" t="n"/>
      <c r="R172" s="31" t="n"/>
      <c r="S172" s="31" t="n"/>
      <c r="T172" s="31" t="n"/>
      <c r="U172" s="31" t="n"/>
      <c r="V172" s="31" t="n"/>
      <c r="W172" s="31" t="n"/>
      <c r="X172" s="31" t="n"/>
      <c r="Y172" s="31" t="n"/>
      <c r="Z172" s="31" t="n"/>
      <c r="AA172" s="34" t="n"/>
      <c r="AB172" s="29" t="n"/>
      <c r="AC172" s="31" t="n"/>
    </row>
    <row r="173">
      <c r="A173" s="29" t="n"/>
      <c r="B173" s="30" t="n"/>
      <c r="C173" s="31" t="n"/>
      <c r="D173" s="29" t="n"/>
      <c r="E173" s="29" t="n"/>
      <c r="F173" s="31" t="n"/>
      <c r="G173" s="29" t="n"/>
      <c r="H173" s="32">
        <f>IF(OR(NOT(AND($A173&lt;&gt;"",OR($G173="",$G173="Active"))),$F173=""),"",INT((TODAY()-$F173+280)/7)&amp;"+"&amp;MOD(TODAY()-$F173+280,7))</f>
        <v/>
      </c>
      <c r="I173" s="32">
        <f>IF(NOT(AND($A173&lt;&gt;"",OR($G173="",$G173="Active"))),"",IF(OR(IFERROR(LOOKUP(2,1/(ISNUMBER($M173:$U173)+($M173:$U173="DNA")),$M173:$U173),"")="DNA",AND(ISNUMBER(IFERROR(LOOKUP(2,1/(ISNUMBER($M173:$U173)+($M173:$U173="DNA")),$M173:$U173),"")),IFERROR(LOOKUP(2,1/(ISNUMBER($M173:$U173)+($M173:$U173="DNA")),$M173:$U173),"")&lt;TODAY())),1,0)+COUNTIF($V173:$Z173,"&lt;"&amp;TODAY()))</f>
        <v/>
      </c>
      <c r="J173" s="32">
        <f>IF(NOT(AND($A173&lt;&gt;"",OR($G173="",$G173="Active"))),"",COUNTIFS($M173:$U173,"&gt;="&amp;TODAY(),$M173:$U173,"&lt;="&amp;TODAY()+7)+COUNTIFS($V173:$Z173,"&gt;="&amp;TODAY(),$V173:$Z173,"&lt;="&amp;TODAY()+7))</f>
        <v/>
      </c>
      <c r="K173" s="32">
        <f>IF(NOT(AND($A173&lt;&gt;"",OR($G173="",$G173="Active"))),"",IF($L173&lt;&gt;"",IF($L173=$M173,"Booking",INDEX($N$4:$U$4,MATCH($L173,$N173:$U173,0))),IF(IFERROR(LOOKUP(2,1/(ISNUMBER($M173:$U173)+($M173:$U173="DNA")),$M173:$U173),"")="DNA","Rebook DNA",IF(ISNUMBER(IFERROR(LOOKUP(2,1/(ISNUMBER($M173:$U173)+($M173:$U173="DNA")),$M173:$U173),"")),IF(ISNUMBER($U173),"Update status","Missed/not booked?"),""))))</f>
        <v/>
      </c>
      <c r="L173" s="33">
        <f>IF(NOT(AND($A173&lt;&gt;"",OR($G173="",$G173="Active"))),"",IFERROR(SMALL($M173:$U173,COUNTIF($M173:$U173,"&lt;"&amp;TODAY())+1),""))</f>
        <v/>
      </c>
      <c r="M173" s="31" t="n"/>
      <c r="N173" s="31" t="n"/>
      <c r="O173" s="31" t="n"/>
      <c r="P173" s="31" t="n"/>
      <c r="Q173" s="31" t="n"/>
      <c r="R173" s="31" t="n"/>
      <c r="S173" s="31" t="n"/>
      <c r="T173" s="31" t="n"/>
      <c r="U173" s="31" t="n"/>
      <c r="V173" s="31" t="n"/>
      <c r="W173" s="31" t="n"/>
      <c r="X173" s="31" t="n"/>
      <c r="Y173" s="31" t="n"/>
      <c r="Z173" s="31" t="n"/>
      <c r="AA173" s="34" t="n"/>
      <c r="AB173" s="29" t="n"/>
      <c r="AC173" s="31" t="n"/>
    </row>
    <row r="174">
      <c r="A174" s="29" t="n"/>
      <c r="B174" s="30" t="n"/>
      <c r="C174" s="31" t="n"/>
      <c r="D174" s="29" t="n"/>
      <c r="E174" s="29" t="n"/>
      <c r="F174" s="31" t="n"/>
      <c r="G174" s="29" t="n"/>
      <c r="H174" s="32">
        <f>IF(OR(NOT(AND($A174&lt;&gt;"",OR($G174="",$G174="Active"))),$F174=""),"",INT((TODAY()-$F174+280)/7)&amp;"+"&amp;MOD(TODAY()-$F174+280,7))</f>
        <v/>
      </c>
      <c r="I174" s="32">
        <f>IF(NOT(AND($A174&lt;&gt;"",OR($G174="",$G174="Active"))),"",IF(OR(IFERROR(LOOKUP(2,1/(ISNUMBER($M174:$U174)+($M174:$U174="DNA")),$M174:$U174),"")="DNA",AND(ISNUMBER(IFERROR(LOOKUP(2,1/(ISNUMBER($M174:$U174)+($M174:$U174="DNA")),$M174:$U174),"")),IFERROR(LOOKUP(2,1/(ISNUMBER($M174:$U174)+($M174:$U174="DNA")),$M174:$U174),"")&lt;TODAY())),1,0)+COUNTIF($V174:$Z174,"&lt;"&amp;TODAY()))</f>
        <v/>
      </c>
      <c r="J174" s="32">
        <f>IF(NOT(AND($A174&lt;&gt;"",OR($G174="",$G174="Active"))),"",COUNTIFS($M174:$U174,"&gt;="&amp;TODAY(),$M174:$U174,"&lt;="&amp;TODAY()+7)+COUNTIFS($V174:$Z174,"&gt;="&amp;TODAY(),$V174:$Z174,"&lt;="&amp;TODAY()+7))</f>
        <v/>
      </c>
      <c r="K174" s="32">
        <f>IF(NOT(AND($A174&lt;&gt;"",OR($G174="",$G174="Active"))),"",IF($L174&lt;&gt;"",IF($L174=$M174,"Booking",INDEX($N$4:$U$4,MATCH($L174,$N174:$U174,0))),IF(IFERROR(LOOKUP(2,1/(ISNUMBER($M174:$U174)+($M174:$U174="DNA")),$M174:$U174),"")="DNA","Rebook DNA",IF(ISNUMBER(IFERROR(LOOKUP(2,1/(ISNUMBER($M174:$U174)+($M174:$U174="DNA")),$M174:$U174),"")),IF(ISNUMBER($U174),"Update status","Missed/not booked?"),""))))</f>
        <v/>
      </c>
      <c r="L174" s="33">
        <f>IF(NOT(AND($A174&lt;&gt;"",OR($G174="",$G174="Active"))),"",IFERROR(SMALL($M174:$U174,COUNTIF($M174:$U174,"&lt;"&amp;TODAY())+1),""))</f>
        <v/>
      </c>
      <c r="M174" s="31" t="n"/>
      <c r="N174" s="31" t="n"/>
      <c r="O174" s="31" t="n"/>
      <c r="P174" s="31" t="n"/>
      <c r="Q174" s="31" t="n"/>
      <c r="R174" s="31" t="n"/>
      <c r="S174" s="31" t="n"/>
      <c r="T174" s="31" t="n"/>
      <c r="U174" s="31" t="n"/>
      <c r="V174" s="31" t="n"/>
      <c r="W174" s="31" t="n"/>
      <c r="X174" s="31" t="n"/>
      <c r="Y174" s="31" t="n"/>
      <c r="Z174" s="31" t="n"/>
      <c r="AA174" s="34" t="n"/>
      <c r="AB174" s="29" t="n"/>
      <c r="AC174" s="31" t="n"/>
    </row>
    <row r="175">
      <c r="A175" s="29" t="n"/>
      <c r="B175" s="30" t="n"/>
      <c r="C175" s="31" t="n"/>
      <c r="D175" s="29" t="n"/>
      <c r="E175" s="29" t="n"/>
      <c r="F175" s="31" t="n"/>
      <c r="G175" s="29" t="n"/>
      <c r="H175" s="32">
        <f>IF(OR(NOT(AND($A175&lt;&gt;"",OR($G175="",$G175="Active"))),$F175=""),"",INT((TODAY()-$F175+280)/7)&amp;"+"&amp;MOD(TODAY()-$F175+280,7))</f>
        <v/>
      </c>
      <c r="I175" s="32">
        <f>IF(NOT(AND($A175&lt;&gt;"",OR($G175="",$G175="Active"))),"",IF(OR(IFERROR(LOOKUP(2,1/(ISNUMBER($M175:$U175)+($M175:$U175="DNA")),$M175:$U175),"")="DNA",AND(ISNUMBER(IFERROR(LOOKUP(2,1/(ISNUMBER($M175:$U175)+($M175:$U175="DNA")),$M175:$U175),"")),IFERROR(LOOKUP(2,1/(ISNUMBER($M175:$U175)+($M175:$U175="DNA")),$M175:$U175),"")&lt;TODAY())),1,0)+COUNTIF($V175:$Z175,"&lt;"&amp;TODAY()))</f>
        <v/>
      </c>
      <c r="J175" s="32">
        <f>IF(NOT(AND($A175&lt;&gt;"",OR($G175="",$G175="Active"))),"",COUNTIFS($M175:$U175,"&gt;="&amp;TODAY(),$M175:$U175,"&lt;="&amp;TODAY()+7)+COUNTIFS($V175:$Z175,"&gt;="&amp;TODAY(),$V175:$Z175,"&lt;="&amp;TODAY()+7))</f>
        <v/>
      </c>
      <c r="K175" s="32">
        <f>IF(NOT(AND($A175&lt;&gt;"",OR($G175="",$G175="Active"))),"",IF($L175&lt;&gt;"",IF($L175=$M175,"Booking",INDEX($N$4:$U$4,MATCH($L175,$N175:$U175,0))),IF(IFERROR(LOOKUP(2,1/(ISNUMBER($M175:$U175)+($M175:$U175="DNA")),$M175:$U175),"")="DNA","Rebook DNA",IF(ISNUMBER(IFERROR(LOOKUP(2,1/(ISNUMBER($M175:$U175)+($M175:$U175="DNA")),$M175:$U175),"")),IF(ISNUMBER($U175),"Update status","Missed/not booked?"),""))))</f>
        <v/>
      </c>
      <c r="L175" s="33">
        <f>IF(NOT(AND($A175&lt;&gt;"",OR($G175="",$G175="Active"))),"",IFERROR(SMALL($M175:$U175,COUNTIF($M175:$U175,"&lt;"&amp;TODAY())+1),""))</f>
        <v/>
      </c>
      <c r="M175" s="31" t="n"/>
      <c r="N175" s="31" t="n"/>
      <c r="O175" s="31" t="n"/>
      <c r="P175" s="31" t="n"/>
      <c r="Q175" s="31" t="n"/>
      <c r="R175" s="31" t="n"/>
      <c r="S175" s="31" t="n"/>
      <c r="T175" s="31" t="n"/>
      <c r="U175" s="31" t="n"/>
      <c r="V175" s="31" t="n"/>
      <c r="W175" s="31" t="n"/>
      <c r="X175" s="31" t="n"/>
      <c r="Y175" s="31" t="n"/>
      <c r="Z175" s="31" t="n"/>
      <c r="AA175" s="34" t="n"/>
      <c r="AB175" s="29" t="n"/>
      <c r="AC175" s="31" t="n"/>
    </row>
    <row r="176">
      <c r="A176" s="29" t="n"/>
      <c r="B176" s="30" t="n"/>
      <c r="C176" s="31" t="n"/>
      <c r="D176" s="29" t="n"/>
      <c r="E176" s="29" t="n"/>
      <c r="F176" s="31" t="n"/>
      <c r="G176" s="29" t="n"/>
      <c r="H176" s="32">
        <f>IF(OR(NOT(AND($A176&lt;&gt;"",OR($G176="",$G176="Active"))),$F176=""),"",INT((TODAY()-$F176+280)/7)&amp;"+"&amp;MOD(TODAY()-$F176+280,7))</f>
        <v/>
      </c>
      <c r="I176" s="32">
        <f>IF(NOT(AND($A176&lt;&gt;"",OR($G176="",$G176="Active"))),"",IF(OR(IFERROR(LOOKUP(2,1/(ISNUMBER($M176:$U176)+($M176:$U176="DNA")),$M176:$U176),"")="DNA",AND(ISNUMBER(IFERROR(LOOKUP(2,1/(ISNUMBER($M176:$U176)+($M176:$U176="DNA")),$M176:$U176),"")),IFERROR(LOOKUP(2,1/(ISNUMBER($M176:$U176)+($M176:$U176="DNA")),$M176:$U176),"")&lt;TODAY())),1,0)+COUNTIF($V176:$Z176,"&lt;"&amp;TODAY()))</f>
        <v/>
      </c>
      <c r="J176" s="32">
        <f>IF(NOT(AND($A176&lt;&gt;"",OR($G176="",$G176="Active"))),"",COUNTIFS($M176:$U176,"&gt;="&amp;TODAY(),$M176:$U176,"&lt;="&amp;TODAY()+7)+COUNTIFS($V176:$Z176,"&gt;="&amp;TODAY(),$V176:$Z176,"&lt;="&amp;TODAY()+7))</f>
        <v/>
      </c>
      <c r="K176" s="32">
        <f>IF(NOT(AND($A176&lt;&gt;"",OR($G176="",$G176="Active"))),"",IF($L176&lt;&gt;"",IF($L176=$M176,"Booking",INDEX($N$4:$U$4,MATCH($L176,$N176:$U176,0))),IF(IFERROR(LOOKUP(2,1/(ISNUMBER($M176:$U176)+($M176:$U176="DNA")),$M176:$U176),"")="DNA","Rebook DNA",IF(ISNUMBER(IFERROR(LOOKUP(2,1/(ISNUMBER($M176:$U176)+($M176:$U176="DNA")),$M176:$U176),"")),IF(ISNUMBER($U176),"Update status","Missed/not booked?"),""))))</f>
        <v/>
      </c>
      <c r="L176" s="33">
        <f>IF(NOT(AND($A176&lt;&gt;"",OR($G176="",$G176="Active"))),"",IFERROR(SMALL($M176:$U176,COUNTIF($M176:$U176,"&lt;"&amp;TODAY())+1),""))</f>
        <v/>
      </c>
      <c r="M176" s="31" t="n"/>
      <c r="N176" s="31" t="n"/>
      <c r="O176" s="31" t="n"/>
      <c r="P176" s="31" t="n"/>
      <c r="Q176" s="31" t="n"/>
      <c r="R176" s="31" t="n"/>
      <c r="S176" s="31" t="n"/>
      <c r="T176" s="31" t="n"/>
      <c r="U176" s="31" t="n"/>
      <c r="V176" s="31" t="n"/>
      <c r="W176" s="31" t="n"/>
      <c r="X176" s="31" t="n"/>
      <c r="Y176" s="31" t="n"/>
      <c r="Z176" s="31" t="n"/>
      <c r="AA176" s="34" t="n"/>
      <c r="AB176" s="29" t="n"/>
      <c r="AC176" s="31" t="n"/>
    </row>
    <row r="177">
      <c r="A177" s="29" t="n"/>
      <c r="B177" s="30" t="n"/>
      <c r="C177" s="31" t="n"/>
      <c r="D177" s="29" t="n"/>
      <c r="E177" s="29" t="n"/>
      <c r="F177" s="31" t="n"/>
      <c r="G177" s="29" t="n"/>
      <c r="H177" s="32">
        <f>IF(OR(NOT(AND($A177&lt;&gt;"",OR($G177="",$G177="Active"))),$F177=""),"",INT((TODAY()-$F177+280)/7)&amp;"+"&amp;MOD(TODAY()-$F177+280,7))</f>
        <v/>
      </c>
      <c r="I177" s="32">
        <f>IF(NOT(AND($A177&lt;&gt;"",OR($G177="",$G177="Active"))),"",IF(OR(IFERROR(LOOKUP(2,1/(ISNUMBER($M177:$U177)+($M177:$U177="DNA")),$M177:$U177),"")="DNA",AND(ISNUMBER(IFERROR(LOOKUP(2,1/(ISNUMBER($M177:$U177)+($M177:$U177="DNA")),$M177:$U177),"")),IFERROR(LOOKUP(2,1/(ISNUMBER($M177:$U177)+($M177:$U177="DNA")),$M177:$U177),"")&lt;TODAY())),1,0)+COUNTIF($V177:$Z177,"&lt;"&amp;TODAY()))</f>
        <v/>
      </c>
      <c r="J177" s="32">
        <f>IF(NOT(AND($A177&lt;&gt;"",OR($G177="",$G177="Active"))),"",COUNTIFS($M177:$U177,"&gt;="&amp;TODAY(),$M177:$U177,"&lt;="&amp;TODAY()+7)+COUNTIFS($V177:$Z177,"&gt;="&amp;TODAY(),$V177:$Z177,"&lt;="&amp;TODAY()+7))</f>
        <v/>
      </c>
      <c r="K177" s="32">
        <f>IF(NOT(AND($A177&lt;&gt;"",OR($G177="",$G177="Active"))),"",IF($L177&lt;&gt;"",IF($L177=$M177,"Booking",INDEX($N$4:$U$4,MATCH($L177,$N177:$U177,0))),IF(IFERROR(LOOKUP(2,1/(ISNUMBER($M177:$U177)+($M177:$U177="DNA")),$M177:$U177),"")="DNA","Rebook DNA",IF(ISNUMBER(IFERROR(LOOKUP(2,1/(ISNUMBER($M177:$U177)+($M177:$U177="DNA")),$M177:$U177),"")),IF(ISNUMBER($U177),"Update status","Missed/not booked?"),""))))</f>
        <v/>
      </c>
      <c r="L177" s="33">
        <f>IF(NOT(AND($A177&lt;&gt;"",OR($G177="",$G177="Active"))),"",IFERROR(SMALL($M177:$U177,COUNTIF($M177:$U177,"&lt;"&amp;TODAY())+1),""))</f>
        <v/>
      </c>
      <c r="M177" s="31" t="n"/>
      <c r="N177" s="31" t="n"/>
      <c r="O177" s="31" t="n"/>
      <c r="P177" s="31" t="n"/>
      <c r="Q177" s="31" t="n"/>
      <c r="R177" s="31" t="n"/>
      <c r="S177" s="31" t="n"/>
      <c r="T177" s="31" t="n"/>
      <c r="U177" s="31" t="n"/>
      <c r="V177" s="31" t="n"/>
      <c r="W177" s="31" t="n"/>
      <c r="X177" s="31" t="n"/>
      <c r="Y177" s="31" t="n"/>
      <c r="Z177" s="31" t="n"/>
      <c r="AA177" s="34" t="n"/>
      <c r="AB177" s="29" t="n"/>
      <c r="AC177" s="31" t="n"/>
    </row>
    <row r="178">
      <c r="A178" s="29" t="n"/>
      <c r="B178" s="30" t="n"/>
      <c r="C178" s="31" t="n"/>
      <c r="D178" s="29" t="n"/>
      <c r="E178" s="29" t="n"/>
      <c r="F178" s="31" t="n"/>
      <c r="G178" s="29" t="n"/>
      <c r="H178" s="32">
        <f>IF(OR(NOT(AND($A178&lt;&gt;"",OR($G178="",$G178="Active"))),$F178=""),"",INT((TODAY()-$F178+280)/7)&amp;"+"&amp;MOD(TODAY()-$F178+280,7))</f>
        <v/>
      </c>
      <c r="I178" s="32">
        <f>IF(NOT(AND($A178&lt;&gt;"",OR($G178="",$G178="Active"))),"",IF(OR(IFERROR(LOOKUP(2,1/(ISNUMBER($M178:$U178)+($M178:$U178="DNA")),$M178:$U178),"")="DNA",AND(ISNUMBER(IFERROR(LOOKUP(2,1/(ISNUMBER($M178:$U178)+($M178:$U178="DNA")),$M178:$U178),"")),IFERROR(LOOKUP(2,1/(ISNUMBER($M178:$U178)+($M178:$U178="DNA")),$M178:$U178),"")&lt;TODAY())),1,0)+COUNTIF($V178:$Z178,"&lt;"&amp;TODAY()))</f>
        <v/>
      </c>
      <c r="J178" s="32">
        <f>IF(NOT(AND($A178&lt;&gt;"",OR($G178="",$G178="Active"))),"",COUNTIFS($M178:$U178,"&gt;="&amp;TODAY(),$M178:$U178,"&lt;="&amp;TODAY()+7)+COUNTIFS($V178:$Z178,"&gt;="&amp;TODAY(),$V178:$Z178,"&lt;="&amp;TODAY()+7))</f>
        <v/>
      </c>
      <c r="K178" s="32">
        <f>IF(NOT(AND($A178&lt;&gt;"",OR($G178="",$G178="Active"))),"",IF($L178&lt;&gt;"",IF($L178=$M178,"Booking",INDEX($N$4:$U$4,MATCH($L178,$N178:$U178,0))),IF(IFERROR(LOOKUP(2,1/(ISNUMBER($M178:$U178)+($M178:$U178="DNA")),$M178:$U178),"")="DNA","Rebook DNA",IF(ISNUMBER(IFERROR(LOOKUP(2,1/(ISNUMBER($M178:$U178)+($M178:$U178="DNA")),$M178:$U178),"")),IF(ISNUMBER($U178),"Update status","Missed/not booked?"),""))))</f>
        <v/>
      </c>
      <c r="L178" s="33">
        <f>IF(NOT(AND($A178&lt;&gt;"",OR($G178="",$G178="Active"))),"",IFERROR(SMALL($M178:$U178,COUNTIF($M178:$U178,"&lt;"&amp;TODAY())+1),""))</f>
        <v/>
      </c>
      <c r="M178" s="31" t="n"/>
      <c r="N178" s="31" t="n"/>
      <c r="O178" s="31" t="n"/>
      <c r="P178" s="31" t="n"/>
      <c r="Q178" s="31" t="n"/>
      <c r="R178" s="31" t="n"/>
      <c r="S178" s="31" t="n"/>
      <c r="T178" s="31" t="n"/>
      <c r="U178" s="31" t="n"/>
      <c r="V178" s="31" t="n"/>
      <c r="W178" s="31" t="n"/>
      <c r="X178" s="31" t="n"/>
      <c r="Y178" s="31" t="n"/>
      <c r="Z178" s="31" t="n"/>
      <c r="AA178" s="34" t="n"/>
      <c r="AB178" s="29" t="n"/>
      <c r="AC178" s="31" t="n"/>
    </row>
    <row r="179">
      <c r="A179" s="29" t="n"/>
      <c r="B179" s="30" t="n"/>
      <c r="C179" s="31" t="n"/>
      <c r="D179" s="29" t="n"/>
      <c r="E179" s="29" t="n"/>
      <c r="F179" s="31" t="n"/>
      <c r="G179" s="29" t="n"/>
      <c r="H179" s="32">
        <f>IF(OR(NOT(AND($A179&lt;&gt;"",OR($G179="",$G179="Active"))),$F179=""),"",INT((TODAY()-$F179+280)/7)&amp;"+"&amp;MOD(TODAY()-$F179+280,7))</f>
        <v/>
      </c>
      <c r="I179" s="32">
        <f>IF(NOT(AND($A179&lt;&gt;"",OR($G179="",$G179="Active"))),"",IF(OR(IFERROR(LOOKUP(2,1/(ISNUMBER($M179:$U179)+($M179:$U179="DNA")),$M179:$U179),"")="DNA",AND(ISNUMBER(IFERROR(LOOKUP(2,1/(ISNUMBER($M179:$U179)+($M179:$U179="DNA")),$M179:$U179),"")),IFERROR(LOOKUP(2,1/(ISNUMBER($M179:$U179)+($M179:$U179="DNA")),$M179:$U179),"")&lt;TODAY())),1,0)+COUNTIF($V179:$Z179,"&lt;"&amp;TODAY()))</f>
        <v/>
      </c>
      <c r="J179" s="32">
        <f>IF(NOT(AND($A179&lt;&gt;"",OR($G179="",$G179="Active"))),"",COUNTIFS($M179:$U179,"&gt;="&amp;TODAY(),$M179:$U179,"&lt;="&amp;TODAY()+7)+COUNTIFS($V179:$Z179,"&gt;="&amp;TODAY(),$V179:$Z179,"&lt;="&amp;TODAY()+7))</f>
        <v/>
      </c>
      <c r="K179" s="32">
        <f>IF(NOT(AND($A179&lt;&gt;"",OR($G179="",$G179="Active"))),"",IF($L179&lt;&gt;"",IF($L179=$M179,"Booking",INDEX($N$4:$U$4,MATCH($L179,$N179:$U179,0))),IF(IFERROR(LOOKUP(2,1/(ISNUMBER($M179:$U179)+($M179:$U179="DNA")),$M179:$U179),"")="DNA","Rebook DNA",IF(ISNUMBER(IFERROR(LOOKUP(2,1/(ISNUMBER($M179:$U179)+($M179:$U179="DNA")),$M179:$U179),"")),IF(ISNUMBER($U179),"Update status","Missed/not booked?"),""))))</f>
        <v/>
      </c>
      <c r="L179" s="33">
        <f>IF(NOT(AND($A179&lt;&gt;"",OR($G179="",$G179="Active"))),"",IFERROR(SMALL($M179:$U179,COUNTIF($M179:$U179,"&lt;"&amp;TODAY())+1),""))</f>
        <v/>
      </c>
      <c r="M179" s="31" t="n"/>
      <c r="N179" s="31" t="n"/>
      <c r="O179" s="31" t="n"/>
      <c r="P179" s="31" t="n"/>
      <c r="Q179" s="31" t="n"/>
      <c r="R179" s="31" t="n"/>
      <c r="S179" s="31" t="n"/>
      <c r="T179" s="31" t="n"/>
      <c r="U179" s="31" t="n"/>
      <c r="V179" s="31" t="n"/>
      <c r="W179" s="31" t="n"/>
      <c r="X179" s="31" t="n"/>
      <c r="Y179" s="31" t="n"/>
      <c r="Z179" s="31" t="n"/>
      <c r="AA179" s="34" t="n"/>
      <c r="AB179" s="29" t="n"/>
      <c r="AC179" s="31" t="n"/>
    </row>
    <row r="180">
      <c r="A180" s="29" t="n"/>
      <c r="B180" s="30" t="n"/>
      <c r="C180" s="31" t="n"/>
      <c r="D180" s="29" t="n"/>
      <c r="E180" s="29" t="n"/>
      <c r="F180" s="31" t="n"/>
      <c r="G180" s="29" t="n"/>
      <c r="H180" s="32">
        <f>IF(OR(NOT(AND($A180&lt;&gt;"",OR($G180="",$G180="Active"))),$F180=""),"",INT((TODAY()-$F180+280)/7)&amp;"+"&amp;MOD(TODAY()-$F180+280,7))</f>
        <v/>
      </c>
      <c r="I180" s="32">
        <f>IF(NOT(AND($A180&lt;&gt;"",OR($G180="",$G180="Active"))),"",IF(OR(IFERROR(LOOKUP(2,1/(ISNUMBER($M180:$U180)+($M180:$U180="DNA")),$M180:$U180),"")="DNA",AND(ISNUMBER(IFERROR(LOOKUP(2,1/(ISNUMBER($M180:$U180)+($M180:$U180="DNA")),$M180:$U180),"")),IFERROR(LOOKUP(2,1/(ISNUMBER($M180:$U180)+($M180:$U180="DNA")),$M180:$U180),"")&lt;TODAY())),1,0)+COUNTIF($V180:$Z180,"&lt;"&amp;TODAY()))</f>
        <v/>
      </c>
      <c r="J180" s="32">
        <f>IF(NOT(AND($A180&lt;&gt;"",OR($G180="",$G180="Active"))),"",COUNTIFS($M180:$U180,"&gt;="&amp;TODAY(),$M180:$U180,"&lt;="&amp;TODAY()+7)+COUNTIFS($V180:$Z180,"&gt;="&amp;TODAY(),$V180:$Z180,"&lt;="&amp;TODAY()+7))</f>
        <v/>
      </c>
      <c r="K180" s="32">
        <f>IF(NOT(AND($A180&lt;&gt;"",OR($G180="",$G180="Active"))),"",IF($L180&lt;&gt;"",IF($L180=$M180,"Booking",INDEX($N$4:$U$4,MATCH($L180,$N180:$U180,0))),IF(IFERROR(LOOKUP(2,1/(ISNUMBER($M180:$U180)+($M180:$U180="DNA")),$M180:$U180),"")="DNA","Rebook DNA",IF(ISNUMBER(IFERROR(LOOKUP(2,1/(ISNUMBER($M180:$U180)+($M180:$U180="DNA")),$M180:$U180),"")),IF(ISNUMBER($U180),"Update status","Missed/not booked?"),""))))</f>
        <v/>
      </c>
      <c r="L180" s="33">
        <f>IF(NOT(AND($A180&lt;&gt;"",OR($G180="",$G180="Active"))),"",IFERROR(SMALL($M180:$U180,COUNTIF($M180:$U180,"&lt;"&amp;TODAY())+1),""))</f>
        <v/>
      </c>
      <c r="M180" s="31" t="n"/>
      <c r="N180" s="31" t="n"/>
      <c r="O180" s="31" t="n"/>
      <c r="P180" s="31" t="n"/>
      <c r="Q180" s="31" t="n"/>
      <c r="R180" s="31" t="n"/>
      <c r="S180" s="31" t="n"/>
      <c r="T180" s="31" t="n"/>
      <c r="U180" s="31" t="n"/>
      <c r="V180" s="31" t="n"/>
      <c r="W180" s="31" t="n"/>
      <c r="X180" s="31" t="n"/>
      <c r="Y180" s="31" t="n"/>
      <c r="Z180" s="31" t="n"/>
      <c r="AA180" s="34" t="n"/>
      <c r="AB180" s="29" t="n"/>
      <c r="AC180" s="31" t="n"/>
    </row>
    <row r="181">
      <c r="A181" s="29" t="n"/>
      <c r="B181" s="30" t="n"/>
      <c r="C181" s="31" t="n"/>
      <c r="D181" s="29" t="n"/>
      <c r="E181" s="29" t="n"/>
      <c r="F181" s="31" t="n"/>
      <c r="G181" s="29" t="n"/>
      <c r="H181" s="32">
        <f>IF(OR(NOT(AND($A181&lt;&gt;"",OR($G181="",$G181="Active"))),$F181=""),"",INT((TODAY()-$F181+280)/7)&amp;"+"&amp;MOD(TODAY()-$F181+280,7))</f>
        <v/>
      </c>
      <c r="I181" s="32">
        <f>IF(NOT(AND($A181&lt;&gt;"",OR($G181="",$G181="Active"))),"",IF(OR(IFERROR(LOOKUP(2,1/(ISNUMBER($M181:$U181)+($M181:$U181="DNA")),$M181:$U181),"")="DNA",AND(ISNUMBER(IFERROR(LOOKUP(2,1/(ISNUMBER($M181:$U181)+($M181:$U181="DNA")),$M181:$U181),"")),IFERROR(LOOKUP(2,1/(ISNUMBER($M181:$U181)+($M181:$U181="DNA")),$M181:$U181),"")&lt;TODAY())),1,0)+COUNTIF($V181:$Z181,"&lt;"&amp;TODAY()))</f>
        <v/>
      </c>
      <c r="J181" s="32">
        <f>IF(NOT(AND($A181&lt;&gt;"",OR($G181="",$G181="Active"))),"",COUNTIFS($M181:$U181,"&gt;="&amp;TODAY(),$M181:$U181,"&lt;="&amp;TODAY()+7)+COUNTIFS($V181:$Z181,"&gt;="&amp;TODAY(),$V181:$Z181,"&lt;="&amp;TODAY()+7))</f>
        <v/>
      </c>
      <c r="K181" s="32">
        <f>IF(NOT(AND($A181&lt;&gt;"",OR($G181="",$G181="Active"))),"",IF($L181&lt;&gt;"",IF($L181=$M181,"Booking",INDEX($N$4:$U$4,MATCH($L181,$N181:$U181,0))),IF(IFERROR(LOOKUP(2,1/(ISNUMBER($M181:$U181)+($M181:$U181="DNA")),$M181:$U181),"")="DNA","Rebook DNA",IF(ISNUMBER(IFERROR(LOOKUP(2,1/(ISNUMBER($M181:$U181)+($M181:$U181="DNA")),$M181:$U181),"")),IF(ISNUMBER($U181),"Update status","Missed/not booked?"),""))))</f>
        <v/>
      </c>
      <c r="L181" s="33">
        <f>IF(NOT(AND($A181&lt;&gt;"",OR($G181="",$G181="Active"))),"",IFERROR(SMALL($M181:$U181,COUNTIF($M181:$U181,"&lt;"&amp;TODAY())+1),""))</f>
        <v/>
      </c>
      <c r="M181" s="31" t="n"/>
      <c r="N181" s="31" t="n"/>
      <c r="O181" s="31" t="n"/>
      <c r="P181" s="31" t="n"/>
      <c r="Q181" s="31" t="n"/>
      <c r="R181" s="31" t="n"/>
      <c r="S181" s="31" t="n"/>
      <c r="T181" s="31" t="n"/>
      <c r="U181" s="31" t="n"/>
      <c r="V181" s="31" t="n"/>
      <c r="W181" s="31" t="n"/>
      <c r="X181" s="31" t="n"/>
      <c r="Y181" s="31" t="n"/>
      <c r="Z181" s="31" t="n"/>
      <c r="AA181" s="34" t="n"/>
      <c r="AB181" s="29" t="n"/>
      <c r="AC181" s="31" t="n"/>
    </row>
    <row r="182">
      <c r="A182" s="29" t="n"/>
      <c r="B182" s="30" t="n"/>
      <c r="C182" s="31" t="n"/>
      <c r="D182" s="29" t="n"/>
      <c r="E182" s="29" t="n"/>
      <c r="F182" s="31" t="n"/>
      <c r="G182" s="29" t="n"/>
      <c r="H182" s="32">
        <f>IF(OR(NOT(AND($A182&lt;&gt;"",OR($G182="",$G182="Active"))),$F182=""),"",INT((TODAY()-$F182+280)/7)&amp;"+"&amp;MOD(TODAY()-$F182+280,7))</f>
        <v/>
      </c>
      <c r="I182" s="32">
        <f>IF(NOT(AND($A182&lt;&gt;"",OR($G182="",$G182="Active"))),"",IF(OR(IFERROR(LOOKUP(2,1/(ISNUMBER($M182:$U182)+($M182:$U182="DNA")),$M182:$U182),"")="DNA",AND(ISNUMBER(IFERROR(LOOKUP(2,1/(ISNUMBER($M182:$U182)+($M182:$U182="DNA")),$M182:$U182),"")),IFERROR(LOOKUP(2,1/(ISNUMBER($M182:$U182)+($M182:$U182="DNA")),$M182:$U182),"")&lt;TODAY())),1,0)+COUNTIF($V182:$Z182,"&lt;"&amp;TODAY()))</f>
        <v/>
      </c>
      <c r="J182" s="32">
        <f>IF(NOT(AND($A182&lt;&gt;"",OR($G182="",$G182="Active"))),"",COUNTIFS($M182:$U182,"&gt;="&amp;TODAY(),$M182:$U182,"&lt;="&amp;TODAY()+7)+COUNTIFS($V182:$Z182,"&gt;="&amp;TODAY(),$V182:$Z182,"&lt;="&amp;TODAY()+7))</f>
        <v/>
      </c>
      <c r="K182" s="32">
        <f>IF(NOT(AND($A182&lt;&gt;"",OR($G182="",$G182="Active"))),"",IF($L182&lt;&gt;"",IF($L182=$M182,"Booking",INDEX($N$4:$U$4,MATCH($L182,$N182:$U182,0))),IF(IFERROR(LOOKUP(2,1/(ISNUMBER($M182:$U182)+($M182:$U182="DNA")),$M182:$U182),"")="DNA","Rebook DNA",IF(ISNUMBER(IFERROR(LOOKUP(2,1/(ISNUMBER($M182:$U182)+($M182:$U182="DNA")),$M182:$U182),"")),IF(ISNUMBER($U182),"Update status","Missed/not booked?"),""))))</f>
        <v/>
      </c>
      <c r="L182" s="33">
        <f>IF(NOT(AND($A182&lt;&gt;"",OR($G182="",$G182="Active"))),"",IFERROR(SMALL($M182:$U182,COUNTIF($M182:$U182,"&lt;"&amp;TODAY())+1),""))</f>
        <v/>
      </c>
      <c r="M182" s="31" t="n"/>
      <c r="N182" s="31" t="n"/>
      <c r="O182" s="31" t="n"/>
      <c r="P182" s="31" t="n"/>
      <c r="Q182" s="31" t="n"/>
      <c r="R182" s="31" t="n"/>
      <c r="S182" s="31" t="n"/>
      <c r="T182" s="31" t="n"/>
      <c r="U182" s="31" t="n"/>
      <c r="V182" s="31" t="n"/>
      <c r="W182" s="31" t="n"/>
      <c r="X182" s="31" t="n"/>
      <c r="Y182" s="31" t="n"/>
      <c r="Z182" s="31" t="n"/>
      <c r="AA182" s="34" t="n"/>
      <c r="AB182" s="29" t="n"/>
      <c r="AC182" s="31" t="n"/>
    </row>
    <row r="183">
      <c r="A183" s="29" t="n"/>
      <c r="B183" s="30" t="n"/>
      <c r="C183" s="31" t="n"/>
      <c r="D183" s="29" t="n"/>
      <c r="E183" s="29" t="n"/>
      <c r="F183" s="31" t="n"/>
      <c r="G183" s="29" t="n"/>
      <c r="H183" s="32">
        <f>IF(OR(NOT(AND($A183&lt;&gt;"",OR($G183="",$G183="Active"))),$F183=""),"",INT((TODAY()-$F183+280)/7)&amp;"+"&amp;MOD(TODAY()-$F183+280,7))</f>
        <v/>
      </c>
      <c r="I183" s="32">
        <f>IF(NOT(AND($A183&lt;&gt;"",OR($G183="",$G183="Active"))),"",IF(OR(IFERROR(LOOKUP(2,1/(ISNUMBER($M183:$U183)+($M183:$U183="DNA")),$M183:$U183),"")="DNA",AND(ISNUMBER(IFERROR(LOOKUP(2,1/(ISNUMBER($M183:$U183)+($M183:$U183="DNA")),$M183:$U183),"")),IFERROR(LOOKUP(2,1/(ISNUMBER($M183:$U183)+($M183:$U183="DNA")),$M183:$U183),"")&lt;TODAY())),1,0)+COUNTIF($V183:$Z183,"&lt;"&amp;TODAY()))</f>
        <v/>
      </c>
      <c r="J183" s="32">
        <f>IF(NOT(AND($A183&lt;&gt;"",OR($G183="",$G183="Active"))),"",COUNTIFS($M183:$U183,"&gt;="&amp;TODAY(),$M183:$U183,"&lt;="&amp;TODAY()+7)+COUNTIFS($V183:$Z183,"&gt;="&amp;TODAY(),$V183:$Z183,"&lt;="&amp;TODAY()+7))</f>
        <v/>
      </c>
      <c r="K183" s="32">
        <f>IF(NOT(AND($A183&lt;&gt;"",OR($G183="",$G183="Active"))),"",IF($L183&lt;&gt;"",IF($L183=$M183,"Booking",INDEX($N$4:$U$4,MATCH($L183,$N183:$U183,0))),IF(IFERROR(LOOKUP(2,1/(ISNUMBER($M183:$U183)+($M183:$U183="DNA")),$M183:$U183),"")="DNA","Rebook DNA",IF(ISNUMBER(IFERROR(LOOKUP(2,1/(ISNUMBER($M183:$U183)+($M183:$U183="DNA")),$M183:$U183),"")),IF(ISNUMBER($U183),"Update status","Missed/not booked?"),""))))</f>
        <v/>
      </c>
      <c r="L183" s="33">
        <f>IF(NOT(AND($A183&lt;&gt;"",OR($G183="",$G183="Active"))),"",IFERROR(SMALL($M183:$U183,COUNTIF($M183:$U183,"&lt;"&amp;TODAY())+1),""))</f>
        <v/>
      </c>
      <c r="M183" s="31" t="n"/>
      <c r="N183" s="31" t="n"/>
      <c r="O183" s="31" t="n"/>
      <c r="P183" s="31" t="n"/>
      <c r="Q183" s="31" t="n"/>
      <c r="R183" s="31" t="n"/>
      <c r="S183" s="31" t="n"/>
      <c r="T183" s="31" t="n"/>
      <c r="U183" s="31" t="n"/>
      <c r="V183" s="31" t="n"/>
      <c r="W183" s="31" t="n"/>
      <c r="X183" s="31" t="n"/>
      <c r="Y183" s="31" t="n"/>
      <c r="Z183" s="31" t="n"/>
      <c r="AA183" s="34" t="n"/>
      <c r="AB183" s="29" t="n"/>
      <c r="AC183" s="31" t="n"/>
    </row>
    <row r="184">
      <c r="A184" s="29" t="n"/>
      <c r="B184" s="30" t="n"/>
      <c r="C184" s="31" t="n"/>
      <c r="D184" s="29" t="n"/>
      <c r="E184" s="29" t="n"/>
      <c r="F184" s="31" t="n"/>
      <c r="G184" s="29" t="n"/>
      <c r="H184" s="32">
        <f>IF(OR(NOT(AND($A184&lt;&gt;"",OR($G184="",$G184="Active"))),$F184=""),"",INT((TODAY()-$F184+280)/7)&amp;"+"&amp;MOD(TODAY()-$F184+280,7))</f>
        <v/>
      </c>
      <c r="I184" s="32">
        <f>IF(NOT(AND($A184&lt;&gt;"",OR($G184="",$G184="Active"))),"",IF(OR(IFERROR(LOOKUP(2,1/(ISNUMBER($M184:$U184)+($M184:$U184="DNA")),$M184:$U184),"")="DNA",AND(ISNUMBER(IFERROR(LOOKUP(2,1/(ISNUMBER($M184:$U184)+($M184:$U184="DNA")),$M184:$U184),"")),IFERROR(LOOKUP(2,1/(ISNUMBER($M184:$U184)+($M184:$U184="DNA")),$M184:$U184),"")&lt;TODAY())),1,0)+COUNTIF($V184:$Z184,"&lt;"&amp;TODAY()))</f>
        <v/>
      </c>
      <c r="J184" s="32">
        <f>IF(NOT(AND($A184&lt;&gt;"",OR($G184="",$G184="Active"))),"",COUNTIFS($M184:$U184,"&gt;="&amp;TODAY(),$M184:$U184,"&lt;="&amp;TODAY()+7)+COUNTIFS($V184:$Z184,"&gt;="&amp;TODAY(),$V184:$Z184,"&lt;="&amp;TODAY()+7))</f>
        <v/>
      </c>
      <c r="K184" s="32">
        <f>IF(NOT(AND($A184&lt;&gt;"",OR($G184="",$G184="Active"))),"",IF($L184&lt;&gt;"",IF($L184=$M184,"Booking",INDEX($N$4:$U$4,MATCH($L184,$N184:$U184,0))),IF(IFERROR(LOOKUP(2,1/(ISNUMBER($M184:$U184)+($M184:$U184="DNA")),$M184:$U184),"")="DNA","Rebook DNA",IF(ISNUMBER(IFERROR(LOOKUP(2,1/(ISNUMBER($M184:$U184)+($M184:$U184="DNA")),$M184:$U184),"")),IF(ISNUMBER($U184),"Update status","Missed/not booked?"),""))))</f>
        <v/>
      </c>
      <c r="L184" s="33">
        <f>IF(NOT(AND($A184&lt;&gt;"",OR($G184="",$G184="Active"))),"",IFERROR(SMALL($M184:$U184,COUNTIF($M184:$U184,"&lt;"&amp;TODAY())+1),""))</f>
        <v/>
      </c>
      <c r="M184" s="31" t="n"/>
      <c r="N184" s="31" t="n"/>
      <c r="O184" s="31" t="n"/>
      <c r="P184" s="31" t="n"/>
      <c r="Q184" s="31" t="n"/>
      <c r="R184" s="31" t="n"/>
      <c r="S184" s="31" t="n"/>
      <c r="T184" s="31" t="n"/>
      <c r="U184" s="31" t="n"/>
      <c r="V184" s="31" t="n"/>
      <c r="W184" s="31" t="n"/>
      <c r="X184" s="31" t="n"/>
      <c r="Y184" s="31" t="n"/>
      <c r="Z184" s="31" t="n"/>
      <c r="AA184" s="34" t="n"/>
      <c r="AB184" s="29" t="n"/>
      <c r="AC184" s="31" t="n"/>
    </row>
    <row r="185">
      <c r="A185" s="29" t="n"/>
      <c r="B185" s="30" t="n"/>
      <c r="C185" s="31" t="n"/>
      <c r="D185" s="29" t="n"/>
      <c r="E185" s="29" t="n"/>
      <c r="F185" s="31" t="n"/>
      <c r="G185" s="29" t="n"/>
      <c r="H185" s="32">
        <f>IF(OR(NOT(AND($A185&lt;&gt;"",OR($G185="",$G185="Active"))),$F185=""),"",INT((TODAY()-$F185+280)/7)&amp;"+"&amp;MOD(TODAY()-$F185+280,7))</f>
        <v/>
      </c>
      <c r="I185" s="32">
        <f>IF(NOT(AND($A185&lt;&gt;"",OR($G185="",$G185="Active"))),"",IF(OR(IFERROR(LOOKUP(2,1/(ISNUMBER($M185:$U185)+($M185:$U185="DNA")),$M185:$U185),"")="DNA",AND(ISNUMBER(IFERROR(LOOKUP(2,1/(ISNUMBER($M185:$U185)+($M185:$U185="DNA")),$M185:$U185),"")),IFERROR(LOOKUP(2,1/(ISNUMBER($M185:$U185)+($M185:$U185="DNA")),$M185:$U185),"")&lt;TODAY())),1,0)+COUNTIF($V185:$Z185,"&lt;"&amp;TODAY()))</f>
        <v/>
      </c>
      <c r="J185" s="32">
        <f>IF(NOT(AND($A185&lt;&gt;"",OR($G185="",$G185="Active"))),"",COUNTIFS($M185:$U185,"&gt;="&amp;TODAY(),$M185:$U185,"&lt;="&amp;TODAY()+7)+COUNTIFS($V185:$Z185,"&gt;="&amp;TODAY(),$V185:$Z185,"&lt;="&amp;TODAY()+7))</f>
        <v/>
      </c>
      <c r="K185" s="32">
        <f>IF(NOT(AND($A185&lt;&gt;"",OR($G185="",$G185="Active"))),"",IF($L185&lt;&gt;"",IF($L185=$M185,"Booking",INDEX($N$4:$U$4,MATCH($L185,$N185:$U185,0))),IF(IFERROR(LOOKUP(2,1/(ISNUMBER($M185:$U185)+($M185:$U185="DNA")),$M185:$U185),"")="DNA","Rebook DNA",IF(ISNUMBER(IFERROR(LOOKUP(2,1/(ISNUMBER($M185:$U185)+($M185:$U185="DNA")),$M185:$U185),"")),IF(ISNUMBER($U185),"Update status","Missed/not booked?"),""))))</f>
        <v/>
      </c>
      <c r="L185" s="33">
        <f>IF(NOT(AND($A185&lt;&gt;"",OR($G185="",$G185="Active"))),"",IFERROR(SMALL($M185:$U185,COUNTIF($M185:$U185,"&lt;"&amp;TODAY())+1),""))</f>
        <v/>
      </c>
      <c r="M185" s="31" t="n"/>
      <c r="N185" s="31" t="n"/>
      <c r="O185" s="31" t="n"/>
      <c r="P185" s="31" t="n"/>
      <c r="Q185" s="31" t="n"/>
      <c r="R185" s="31" t="n"/>
      <c r="S185" s="31" t="n"/>
      <c r="T185" s="31" t="n"/>
      <c r="U185" s="31" t="n"/>
      <c r="V185" s="31" t="n"/>
      <c r="W185" s="31" t="n"/>
      <c r="X185" s="31" t="n"/>
      <c r="Y185" s="31" t="n"/>
      <c r="Z185" s="31" t="n"/>
      <c r="AA185" s="34" t="n"/>
      <c r="AB185" s="29" t="n"/>
      <c r="AC185" s="31" t="n"/>
    </row>
    <row r="186">
      <c r="A186" s="29" t="n"/>
      <c r="B186" s="30" t="n"/>
      <c r="C186" s="31" t="n"/>
      <c r="D186" s="29" t="n"/>
      <c r="E186" s="29" t="n"/>
      <c r="F186" s="31" t="n"/>
      <c r="G186" s="29" t="n"/>
      <c r="H186" s="32">
        <f>IF(OR(NOT(AND($A186&lt;&gt;"",OR($G186="",$G186="Active"))),$F186=""),"",INT((TODAY()-$F186+280)/7)&amp;"+"&amp;MOD(TODAY()-$F186+280,7))</f>
        <v/>
      </c>
      <c r="I186" s="32">
        <f>IF(NOT(AND($A186&lt;&gt;"",OR($G186="",$G186="Active"))),"",IF(OR(IFERROR(LOOKUP(2,1/(ISNUMBER($M186:$U186)+($M186:$U186="DNA")),$M186:$U186),"")="DNA",AND(ISNUMBER(IFERROR(LOOKUP(2,1/(ISNUMBER($M186:$U186)+($M186:$U186="DNA")),$M186:$U186),"")),IFERROR(LOOKUP(2,1/(ISNUMBER($M186:$U186)+($M186:$U186="DNA")),$M186:$U186),"")&lt;TODAY())),1,0)+COUNTIF($V186:$Z186,"&lt;"&amp;TODAY()))</f>
        <v/>
      </c>
      <c r="J186" s="32">
        <f>IF(NOT(AND($A186&lt;&gt;"",OR($G186="",$G186="Active"))),"",COUNTIFS($M186:$U186,"&gt;="&amp;TODAY(),$M186:$U186,"&lt;="&amp;TODAY()+7)+COUNTIFS($V186:$Z186,"&gt;="&amp;TODAY(),$V186:$Z186,"&lt;="&amp;TODAY()+7))</f>
        <v/>
      </c>
      <c r="K186" s="32">
        <f>IF(NOT(AND($A186&lt;&gt;"",OR($G186="",$G186="Active"))),"",IF($L186&lt;&gt;"",IF($L186=$M186,"Booking",INDEX($N$4:$U$4,MATCH($L186,$N186:$U186,0))),IF(IFERROR(LOOKUP(2,1/(ISNUMBER($M186:$U186)+($M186:$U186="DNA")),$M186:$U186),"")="DNA","Rebook DNA",IF(ISNUMBER(IFERROR(LOOKUP(2,1/(ISNUMBER($M186:$U186)+($M186:$U186="DNA")),$M186:$U186),"")),IF(ISNUMBER($U186),"Update status","Missed/not booked?"),""))))</f>
        <v/>
      </c>
      <c r="L186" s="33">
        <f>IF(NOT(AND($A186&lt;&gt;"",OR($G186="",$G186="Active"))),"",IFERROR(SMALL($M186:$U186,COUNTIF($M186:$U186,"&lt;"&amp;TODAY())+1),""))</f>
        <v/>
      </c>
      <c r="M186" s="31" t="n"/>
      <c r="N186" s="31" t="n"/>
      <c r="O186" s="31" t="n"/>
      <c r="P186" s="31" t="n"/>
      <c r="Q186" s="31" t="n"/>
      <c r="R186" s="31" t="n"/>
      <c r="S186" s="31" t="n"/>
      <c r="T186" s="31" t="n"/>
      <c r="U186" s="31" t="n"/>
      <c r="V186" s="31" t="n"/>
      <c r="W186" s="31" t="n"/>
      <c r="X186" s="31" t="n"/>
      <c r="Y186" s="31" t="n"/>
      <c r="Z186" s="31" t="n"/>
      <c r="AA186" s="34" t="n"/>
      <c r="AB186" s="29" t="n"/>
      <c r="AC186" s="31" t="n"/>
    </row>
    <row r="187">
      <c r="A187" s="29" t="n"/>
      <c r="B187" s="30" t="n"/>
      <c r="C187" s="31" t="n"/>
      <c r="D187" s="29" t="n"/>
      <c r="E187" s="29" t="n"/>
      <c r="F187" s="31" t="n"/>
      <c r="G187" s="29" t="n"/>
      <c r="H187" s="32">
        <f>IF(OR(NOT(AND($A187&lt;&gt;"",OR($G187="",$G187="Active"))),$F187=""),"",INT((TODAY()-$F187+280)/7)&amp;"+"&amp;MOD(TODAY()-$F187+280,7))</f>
        <v/>
      </c>
      <c r="I187" s="32">
        <f>IF(NOT(AND($A187&lt;&gt;"",OR($G187="",$G187="Active"))),"",IF(OR(IFERROR(LOOKUP(2,1/(ISNUMBER($M187:$U187)+($M187:$U187="DNA")),$M187:$U187),"")="DNA",AND(ISNUMBER(IFERROR(LOOKUP(2,1/(ISNUMBER($M187:$U187)+($M187:$U187="DNA")),$M187:$U187),"")),IFERROR(LOOKUP(2,1/(ISNUMBER($M187:$U187)+($M187:$U187="DNA")),$M187:$U187),"")&lt;TODAY())),1,0)+COUNTIF($V187:$Z187,"&lt;"&amp;TODAY()))</f>
        <v/>
      </c>
      <c r="J187" s="32">
        <f>IF(NOT(AND($A187&lt;&gt;"",OR($G187="",$G187="Active"))),"",COUNTIFS($M187:$U187,"&gt;="&amp;TODAY(),$M187:$U187,"&lt;="&amp;TODAY()+7)+COUNTIFS($V187:$Z187,"&gt;="&amp;TODAY(),$V187:$Z187,"&lt;="&amp;TODAY()+7))</f>
        <v/>
      </c>
      <c r="K187" s="32">
        <f>IF(NOT(AND($A187&lt;&gt;"",OR($G187="",$G187="Active"))),"",IF($L187&lt;&gt;"",IF($L187=$M187,"Booking",INDEX($N$4:$U$4,MATCH($L187,$N187:$U187,0))),IF(IFERROR(LOOKUP(2,1/(ISNUMBER($M187:$U187)+($M187:$U187="DNA")),$M187:$U187),"")="DNA","Rebook DNA",IF(ISNUMBER(IFERROR(LOOKUP(2,1/(ISNUMBER($M187:$U187)+($M187:$U187="DNA")),$M187:$U187),"")),IF(ISNUMBER($U187),"Update status","Missed/not booked?"),""))))</f>
        <v/>
      </c>
      <c r="L187" s="33">
        <f>IF(NOT(AND($A187&lt;&gt;"",OR($G187="",$G187="Active"))),"",IFERROR(SMALL($M187:$U187,COUNTIF($M187:$U187,"&lt;"&amp;TODAY())+1),""))</f>
        <v/>
      </c>
      <c r="M187" s="31" t="n"/>
      <c r="N187" s="31" t="n"/>
      <c r="O187" s="31" t="n"/>
      <c r="P187" s="31" t="n"/>
      <c r="Q187" s="31" t="n"/>
      <c r="R187" s="31" t="n"/>
      <c r="S187" s="31" t="n"/>
      <c r="T187" s="31" t="n"/>
      <c r="U187" s="31" t="n"/>
      <c r="V187" s="31" t="n"/>
      <c r="W187" s="31" t="n"/>
      <c r="X187" s="31" t="n"/>
      <c r="Y187" s="31" t="n"/>
      <c r="Z187" s="31" t="n"/>
      <c r="AA187" s="34" t="n"/>
      <c r="AB187" s="29" t="n"/>
      <c r="AC187" s="31" t="n"/>
    </row>
    <row r="188">
      <c r="A188" s="29" t="n"/>
      <c r="B188" s="30" t="n"/>
      <c r="C188" s="31" t="n"/>
      <c r="D188" s="29" t="n"/>
      <c r="E188" s="29" t="n"/>
      <c r="F188" s="31" t="n"/>
      <c r="G188" s="29" t="n"/>
      <c r="H188" s="32">
        <f>IF(OR(NOT(AND($A188&lt;&gt;"",OR($G188="",$G188="Active"))),$F188=""),"",INT((TODAY()-$F188+280)/7)&amp;"+"&amp;MOD(TODAY()-$F188+280,7))</f>
        <v/>
      </c>
      <c r="I188" s="32">
        <f>IF(NOT(AND($A188&lt;&gt;"",OR($G188="",$G188="Active"))),"",IF(OR(IFERROR(LOOKUP(2,1/(ISNUMBER($M188:$U188)+($M188:$U188="DNA")),$M188:$U188),"")="DNA",AND(ISNUMBER(IFERROR(LOOKUP(2,1/(ISNUMBER($M188:$U188)+($M188:$U188="DNA")),$M188:$U188),"")),IFERROR(LOOKUP(2,1/(ISNUMBER($M188:$U188)+($M188:$U188="DNA")),$M188:$U188),"")&lt;TODAY())),1,0)+COUNTIF($V188:$Z188,"&lt;"&amp;TODAY()))</f>
        <v/>
      </c>
      <c r="J188" s="32">
        <f>IF(NOT(AND($A188&lt;&gt;"",OR($G188="",$G188="Active"))),"",COUNTIFS($M188:$U188,"&gt;="&amp;TODAY(),$M188:$U188,"&lt;="&amp;TODAY()+7)+COUNTIFS($V188:$Z188,"&gt;="&amp;TODAY(),$V188:$Z188,"&lt;="&amp;TODAY()+7))</f>
        <v/>
      </c>
      <c r="K188" s="32">
        <f>IF(NOT(AND($A188&lt;&gt;"",OR($G188="",$G188="Active"))),"",IF($L188&lt;&gt;"",IF($L188=$M188,"Booking",INDEX($N$4:$U$4,MATCH($L188,$N188:$U188,0))),IF(IFERROR(LOOKUP(2,1/(ISNUMBER($M188:$U188)+($M188:$U188="DNA")),$M188:$U188),"")="DNA","Rebook DNA",IF(ISNUMBER(IFERROR(LOOKUP(2,1/(ISNUMBER($M188:$U188)+($M188:$U188="DNA")),$M188:$U188),"")),IF(ISNUMBER($U188),"Update status","Missed/not booked?"),""))))</f>
        <v/>
      </c>
      <c r="L188" s="33">
        <f>IF(NOT(AND($A188&lt;&gt;"",OR($G188="",$G188="Active"))),"",IFERROR(SMALL($M188:$U188,COUNTIF($M188:$U188,"&lt;"&amp;TODAY())+1),""))</f>
        <v/>
      </c>
      <c r="M188" s="31" t="n"/>
      <c r="N188" s="31" t="n"/>
      <c r="O188" s="31" t="n"/>
      <c r="P188" s="31" t="n"/>
      <c r="Q188" s="31" t="n"/>
      <c r="R188" s="31" t="n"/>
      <c r="S188" s="31" t="n"/>
      <c r="T188" s="31" t="n"/>
      <c r="U188" s="31" t="n"/>
      <c r="V188" s="31" t="n"/>
      <c r="W188" s="31" t="n"/>
      <c r="X188" s="31" t="n"/>
      <c r="Y188" s="31" t="n"/>
      <c r="Z188" s="31" t="n"/>
      <c r="AA188" s="34" t="n"/>
      <c r="AB188" s="29" t="n"/>
      <c r="AC188" s="31" t="n"/>
    </row>
    <row r="189">
      <c r="A189" s="29" t="n"/>
      <c r="B189" s="30" t="n"/>
      <c r="C189" s="31" t="n"/>
      <c r="D189" s="29" t="n"/>
      <c r="E189" s="29" t="n"/>
      <c r="F189" s="31" t="n"/>
      <c r="G189" s="29" t="n"/>
      <c r="H189" s="32">
        <f>IF(OR(NOT(AND($A189&lt;&gt;"",OR($G189="",$G189="Active"))),$F189=""),"",INT((TODAY()-$F189+280)/7)&amp;"+"&amp;MOD(TODAY()-$F189+280,7))</f>
        <v/>
      </c>
      <c r="I189" s="32">
        <f>IF(NOT(AND($A189&lt;&gt;"",OR($G189="",$G189="Active"))),"",IF(OR(IFERROR(LOOKUP(2,1/(ISNUMBER($M189:$U189)+($M189:$U189="DNA")),$M189:$U189),"")="DNA",AND(ISNUMBER(IFERROR(LOOKUP(2,1/(ISNUMBER($M189:$U189)+($M189:$U189="DNA")),$M189:$U189),"")),IFERROR(LOOKUP(2,1/(ISNUMBER($M189:$U189)+($M189:$U189="DNA")),$M189:$U189),"")&lt;TODAY())),1,0)+COUNTIF($V189:$Z189,"&lt;"&amp;TODAY()))</f>
        <v/>
      </c>
      <c r="J189" s="32">
        <f>IF(NOT(AND($A189&lt;&gt;"",OR($G189="",$G189="Active"))),"",COUNTIFS($M189:$U189,"&gt;="&amp;TODAY(),$M189:$U189,"&lt;="&amp;TODAY()+7)+COUNTIFS($V189:$Z189,"&gt;="&amp;TODAY(),$V189:$Z189,"&lt;="&amp;TODAY()+7))</f>
        <v/>
      </c>
      <c r="K189" s="32">
        <f>IF(NOT(AND($A189&lt;&gt;"",OR($G189="",$G189="Active"))),"",IF($L189&lt;&gt;"",IF($L189=$M189,"Booking",INDEX($N$4:$U$4,MATCH($L189,$N189:$U189,0))),IF(IFERROR(LOOKUP(2,1/(ISNUMBER($M189:$U189)+($M189:$U189="DNA")),$M189:$U189),"")="DNA","Rebook DNA",IF(ISNUMBER(IFERROR(LOOKUP(2,1/(ISNUMBER($M189:$U189)+($M189:$U189="DNA")),$M189:$U189),"")),IF(ISNUMBER($U189),"Update status","Missed/not booked?"),""))))</f>
        <v/>
      </c>
      <c r="L189" s="33">
        <f>IF(NOT(AND($A189&lt;&gt;"",OR($G189="",$G189="Active"))),"",IFERROR(SMALL($M189:$U189,COUNTIF($M189:$U189,"&lt;"&amp;TODAY())+1),""))</f>
        <v/>
      </c>
      <c r="M189" s="31" t="n"/>
      <c r="N189" s="31" t="n"/>
      <c r="O189" s="31" t="n"/>
      <c r="P189" s="31" t="n"/>
      <c r="Q189" s="31" t="n"/>
      <c r="R189" s="31" t="n"/>
      <c r="S189" s="31" t="n"/>
      <c r="T189" s="31" t="n"/>
      <c r="U189" s="31" t="n"/>
      <c r="V189" s="31" t="n"/>
      <c r="W189" s="31" t="n"/>
      <c r="X189" s="31" t="n"/>
      <c r="Y189" s="31" t="n"/>
      <c r="Z189" s="31" t="n"/>
      <c r="AA189" s="34" t="n"/>
      <c r="AB189" s="29" t="n"/>
      <c r="AC189" s="31" t="n"/>
    </row>
    <row r="190">
      <c r="A190" s="29" t="n"/>
      <c r="B190" s="30" t="n"/>
      <c r="C190" s="31" t="n"/>
      <c r="D190" s="29" t="n"/>
      <c r="E190" s="29" t="n"/>
      <c r="F190" s="31" t="n"/>
      <c r="G190" s="29" t="n"/>
      <c r="H190" s="32">
        <f>IF(OR(NOT(AND($A190&lt;&gt;"",OR($G190="",$G190="Active"))),$F190=""),"",INT((TODAY()-$F190+280)/7)&amp;"+"&amp;MOD(TODAY()-$F190+280,7))</f>
        <v/>
      </c>
      <c r="I190" s="32">
        <f>IF(NOT(AND($A190&lt;&gt;"",OR($G190="",$G190="Active"))),"",IF(OR(IFERROR(LOOKUP(2,1/(ISNUMBER($M190:$U190)+($M190:$U190="DNA")),$M190:$U190),"")="DNA",AND(ISNUMBER(IFERROR(LOOKUP(2,1/(ISNUMBER($M190:$U190)+($M190:$U190="DNA")),$M190:$U190),"")),IFERROR(LOOKUP(2,1/(ISNUMBER($M190:$U190)+($M190:$U190="DNA")),$M190:$U190),"")&lt;TODAY())),1,0)+COUNTIF($V190:$Z190,"&lt;"&amp;TODAY()))</f>
        <v/>
      </c>
      <c r="J190" s="32">
        <f>IF(NOT(AND($A190&lt;&gt;"",OR($G190="",$G190="Active"))),"",COUNTIFS($M190:$U190,"&gt;="&amp;TODAY(),$M190:$U190,"&lt;="&amp;TODAY()+7)+COUNTIFS($V190:$Z190,"&gt;="&amp;TODAY(),$V190:$Z190,"&lt;="&amp;TODAY()+7))</f>
        <v/>
      </c>
      <c r="K190" s="32">
        <f>IF(NOT(AND($A190&lt;&gt;"",OR($G190="",$G190="Active"))),"",IF($L190&lt;&gt;"",IF($L190=$M190,"Booking",INDEX($N$4:$U$4,MATCH($L190,$N190:$U190,0))),IF(IFERROR(LOOKUP(2,1/(ISNUMBER($M190:$U190)+($M190:$U190="DNA")),$M190:$U190),"")="DNA","Rebook DNA",IF(ISNUMBER(IFERROR(LOOKUP(2,1/(ISNUMBER($M190:$U190)+($M190:$U190="DNA")),$M190:$U190),"")),IF(ISNUMBER($U190),"Update status","Missed/not booked?"),""))))</f>
        <v/>
      </c>
      <c r="L190" s="33">
        <f>IF(NOT(AND($A190&lt;&gt;"",OR($G190="",$G190="Active"))),"",IFERROR(SMALL($M190:$U190,COUNTIF($M190:$U190,"&lt;"&amp;TODAY())+1),""))</f>
        <v/>
      </c>
      <c r="M190" s="31" t="n"/>
      <c r="N190" s="31" t="n"/>
      <c r="O190" s="31" t="n"/>
      <c r="P190" s="31" t="n"/>
      <c r="Q190" s="31" t="n"/>
      <c r="R190" s="31" t="n"/>
      <c r="S190" s="31" t="n"/>
      <c r="T190" s="31" t="n"/>
      <c r="U190" s="31" t="n"/>
      <c r="V190" s="31" t="n"/>
      <c r="W190" s="31" t="n"/>
      <c r="X190" s="31" t="n"/>
      <c r="Y190" s="31" t="n"/>
      <c r="Z190" s="31" t="n"/>
      <c r="AA190" s="34" t="n"/>
      <c r="AB190" s="29" t="n"/>
      <c r="AC190" s="31" t="n"/>
    </row>
    <row r="191">
      <c r="A191" s="29" t="n"/>
      <c r="B191" s="30" t="n"/>
      <c r="C191" s="31" t="n"/>
      <c r="D191" s="29" t="n"/>
      <c r="E191" s="29" t="n"/>
      <c r="F191" s="31" t="n"/>
      <c r="G191" s="29" t="n"/>
      <c r="H191" s="32">
        <f>IF(OR(NOT(AND($A191&lt;&gt;"",OR($G191="",$G191="Active"))),$F191=""),"",INT((TODAY()-$F191+280)/7)&amp;"+"&amp;MOD(TODAY()-$F191+280,7))</f>
        <v/>
      </c>
      <c r="I191" s="32">
        <f>IF(NOT(AND($A191&lt;&gt;"",OR($G191="",$G191="Active"))),"",IF(OR(IFERROR(LOOKUP(2,1/(ISNUMBER($M191:$U191)+($M191:$U191="DNA")),$M191:$U191),"")="DNA",AND(ISNUMBER(IFERROR(LOOKUP(2,1/(ISNUMBER($M191:$U191)+($M191:$U191="DNA")),$M191:$U191),"")),IFERROR(LOOKUP(2,1/(ISNUMBER($M191:$U191)+($M191:$U191="DNA")),$M191:$U191),"")&lt;TODAY())),1,0)+COUNTIF($V191:$Z191,"&lt;"&amp;TODAY()))</f>
        <v/>
      </c>
      <c r="J191" s="32">
        <f>IF(NOT(AND($A191&lt;&gt;"",OR($G191="",$G191="Active"))),"",COUNTIFS($M191:$U191,"&gt;="&amp;TODAY(),$M191:$U191,"&lt;="&amp;TODAY()+7)+COUNTIFS($V191:$Z191,"&gt;="&amp;TODAY(),$V191:$Z191,"&lt;="&amp;TODAY()+7))</f>
        <v/>
      </c>
      <c r="K191" s="32">
        <f>IF(NOT(AND($A191&lt;&gt;"",OR($G191="",$G191="Active"))),"",IF($L191&lt;&gt;"",IF($L191=$M191,"Booking",INDEX($N$4:$U$4,MATCH($L191,$N191:$U191,0))),IF(IFERROR(LOOKUP(2,1/(ISNUMBER($M191:$U191)+($M191:$U191="DNA")),$M191:$U191),"")="DNA","Rebook DNA",IF(ISNUMBER(IFERROR(LOOKUP(2,1/(ISNUMBER($M191:$U191)+($M191:$U191="DNA")),$M191:$U191),"")),IF(ISNUMBER($U191),"Update status","Missed/not booked?"),""))))</f>
        <v/>
      </c>
      <c r="L191" s="33">
        <f>IF(NOT(AND($A191&lt;&gt;"",OR($G191="",$G191="Active"))),"",IFERROR(SMALL($M191:$U191,COUNTIF($M191:$U191,"&lt;"&amp;TODAY())+1),""))</f>
        <v/>
      </c>
      <c r="M191" s="31" t="n"/>
      <c r="N191" s="31" t="n"/>
      <c r="O191" s="31" t="n"/>
      <c r="P191" s="31" t="n"/>
      <c r="Q191" s="31" t="n"/>
      <c r="R191" s="31" t="n"/>
      <c r="S191" s="31" t="n"/>
      <c r="T191" s="31" t="n"/>
      <c r="U191" s="31" t="n"/>
      <c r="V191" s="31" t="n"/>
      <c r="W191" s="31" t="n"/>
      <c r="X191" s="31" t="n"/>
      <c r="Y191" s="31" t="n"/>
      <c r="Z191" s="31" t="n"/>
      <c r="AA191" s="34" t="n"/>
      <c r="AB191" s="29" t="n"/>
      <c r="AC191" s="31" t="n"/>
    </row>
    <row r="192">
      <c r="A192" s="29" t="n"/>
      <c r="B192" s="30" t="n"/>
      <c r="C192" s="31" t="n"/>
      <c r="D192" s="29" t="n"/>
      <c r="E192" s="29" t="n"/>
      <c r="F192" s="31" t="n"/>
      <c r="G192" s="29" t="n"/>
      <c r="H192" s="32">
        <f>IF(OR(NOT(AND($A192&lt;&gt;"",OR($G192="",$G192="Active"))),$F192=""),"",INT((TODAY()-$F192+280)/7)&amp;"+"&amp;MOD(TODAY()-$F192+280,7))</f>
        <v/>
      </c>
      <c r="I192" s="32">
        <f>IF(NOT(AND($A192&lt;&gt;"",OR($G192="",$G192="Active"))),"",IF(OR(IFERROR(LOOKUP(2,1/(ISNUMBER($M192:$U192)+($M192:$U192="DNA")),$M192:$U192),"")="DNA",AND(ISNUMBER(IFERROR(LOOKUP(2,1/(ISNUMBER($M192:$U192)+($M192:$U192="DNA")),$M192:$U192),"")),IFERROR(LOOKUP(2,1/(ISNUMBER($M192:$U192)+($M192:$U192="DNA")),$M192:$U192),"")&lt;TODAY())),1,0)+COUNTIF($V192:$Z192,"&lt;"&amp;TODAY()))</f>
        <v/>
      </c>
      <c r="J192" s="32">
        <f>IF(NOT(AND($A192&lt;&gt;"",OR($G192="",$G192="Active"))),"",COUNTIFS($M192:$U192,"&gt;="&amp;TODAY(),$M192:$U192,"&lt;="&amp;TODAY()+7)+COUNTIFS($V192:$Z192,"&gt;="&amp;TODAY(),$V192:$Z192,"&lt;="&amp;TODAY()+7))</f>
        <v/>
      </c>
      <c r="K192" s="32">
        <f>IF(NOT(AND($A192&lt;&gt;"",OR($G192="",$G192="Active"))),"",IF($L192&lt;&gt;"",IF($L192=$M192,"Booking",INDEX($N$4:$U$4,MATCH($L192,$N192:$U192,0))),IF(IFERROR(LOOKUP(2,1/(ISNUMBER($M192:$U192)+($M192:$U192="DNA")),$M192:$U192),"")="DNA","Rebook DNA",IF(ISNUMBER(IFERROR(LOOKUP(2,1/(ISNUMBER($M192:$U192)+($M192:$U192="DNA")),$M192:$U192),"")),IF(ISNUMBER($U192),"Update status","Missed/not booked?"),""))))</f>
        <v/>
      </c>
      <c r="L192" s="33">
        <f>IF(NOT(AND($A192&lt;&gt;"",OR($G192="",$G192="Active"))),"",IFERROR(SMALL($M192:$U192,COUNTIF($M192:$U192,"&lt;"&amp;TODAY())+1),""))</f>
        <v/>
      </c>
      <c r="M192" s="31" t="n"/>
      <c r="N192" s="31" t="n"/>
      <c r="O192" s="31" t="n"/>
      <c r="P192" s="31" t="n"/>
      <c r="Q192" s="31" t="n"/>
      <c r="R192" s="31" t="n"/>
      <c r="S192" s="31" t="n"/>
      <c r="T192" s="31" t="n"/>
      <c r="U192" s="31" t="n"/>
      <c r="V192" s="31" t="n"/>
      <c r="W192" s="31" t="n"/>
      <c r="X192" s="31" t="n"/>
      <c r="Y192" s="31" t="n"/>
      <c r="Z192" s="31" t="n"/>
      <c r="AA192" s="34" t="n"/>
      <c r="AB192" s="29" t="n"/>
      <c r="AC192" s="31" t="n"/>
    </row>
    <row r="193">
      <c r="A193" s="29" t="n"/>
      <c r="B193" s="30" t="n"/>
      <c r="C193" s="31" t="n"/>
      <c r="D193" s="29" t="n"/>
      <c r="E193" s="29" t="n"/>
      <c r="F193" s="31" t="n"/>
      <c r="G193" s="29" t="n"/>
      <c r="H193" s="32">
        <f>IF(OR(NOT(AND($A193&lt;&gt;"",OR($G193="",$G193="Active"))),$F193=""),"",INT((TODAY()-$F193+280)/7)&amp;"+"&amp;MOD(TODAY()-$F193+280,7))</f>
        <v/>
      </c>
      <c r="I193" s="32">
        <f>IF(NOT(AND($A193&lt;&gt;"",OR($G193="",$G193="Active"))),"",IF(OR(IFERROR(LOOKUP(2,1/(ISNUMBER($M193:$U193)+($M193:$U193="DNA")),$M193:$U193),"")="DNA",AND(ISNUMBER(IFERROR(LOOKUP(2,1/(ISNUMBER($M193:$U193)+($M193:$U193="DNA")),$M193:$U193),"")),IFERROR(LOOKUP(2,1/(ISNUMBER($M193:$U193)+($M193:$U193="DNA")),$M193:$U193),"")&lt;TODAY())),1,0)+COUNTIF($V193:$Z193,"&lt;"&amp;TODAY()))</f>
        <v/>
      </c>
      <c r="J193" s="32">
        <f>IF(NOT(AND($A193&lt;&gt;"",OR($G193="",$G193="Active"))),"",COUNTIFS($M193:$U193,"&gt;="&amp;TODAY(),$M193:$U193,"&lt;="&amp;TODAY()+7)+COUNTIFS($V193:$Z193,"&gt;="&amp;TODAY(),$V193:$Z193,"&lt;="&amp;TODAY()+7))</f>
        <v/>
      </c>
      <c r="K193" s="32">
        <f>IF(NOT(AND($A193&lt;&gt;"",OR($G193="",$G193="Active"))),"",IF($L193&lt;&gt;"",IF($L193=$M193,"Booking",INDEX($N$4:$U$4,MATCH($L193,$N193:$U193,0))),IF(IFERROR(LOOKUP(2,1/(ISNUMBER($M193:$U193)+($M193:$U193="DNA")),$M193:$U193),"")="DNA","Rebook DNA",IF(ISNUMBER(IFERROR(LOOKUP(2,1/(ISNUMBER($M193:$U193)+($M193:$U193="DNA")),$M193:$U193),"")),IF(ISNUMBER($U193),"Update status","Missed/not booked?"),""))))</f>
        <v/>
      </c>
      <c r="L193" s="33">
        <f>IF(NOT(AND($A193&lt;&gt;"",OR($G193="",$G193="Active"))),"",IFERROR(SMALL($M193:$U193,COUNTIF($M193:$U193,"&lt;"&amp;TODAY())+1),""))</f>
        <v/>
      </c>
      <c r="M193" s="31" t="n"/>
      <c r="N193" s="31" t="n"/>
      <c r="O193" s="31" t="n"/>
      <c r="P193" s="31" t="n"/>
      <c r="Q193" s="31" t="n"/>
      <c r="R193" s="31" t="n"/>
      <c r="S193" s="31" t="n"/>
      <c r="T193" s="31" t="n"/>
      <c r="U193" s="31" t="n"/>
      <c r="V193" s="31" t="n"/>
      <c r="W193" s="31" t="n"/>
      <c r="X193" s="31" t="n"/>
      <c r="Y193" s="31" t="n"/>
      <c r="Z193" s="31" t="n"/>
      <c r="AA193" s="34" t="n"/>
      <c r="AB193" s="29" t="n"/>
      <c r="AC193" s="31" t="n"/>
    </row>
    <row r="194">
      <c r="A194" s="29" t="n"/>
      <c r="B194" s="30" t="n"/>
      <c r="C194" s="31" t="n"/>
      <c r="D194" s="29" t="n"/>
      <c r="E194" s="29" t="n"/>
      <c r="F194" s="31" t="n"/>
      <c r="G194" s="29" t="n"/>
      <c r="H194" s="32">
        <f>IF(OR(NOT(AND($A194&lt;&gt;"",OR($G194="",$G194="Active"))),$F194=""),"",INT((TODAY()-$F194+280)/7)&amp;"+"&amp;MOD(TODAY()-$F194+280,7))</f>
        <v/>
      </c>
      <c r="I194" s="32">
        <f>IF(NOT(AND($A194&lt;&gt;"",OR($G194="",$G194="Active"))),"",IF(OR(IFERROR(LOOKUP(2,1/(ISNUMBER($M194:$U194)+($M194:$U194="DNA")),$M194:$U194),"")="DNA",AND(ISNUMBER(IFERROR(LOOKUP(2,1/(ISNUMBER($M194:$U194)+($M194:$U194="DNA")),$M194:$U194),"")),IFERROR(LOOKUP(2,1/(ISNUMBER($M194:$U194)+($M194:$U194="DNA")),$M194:$U194),"")&lt;TODAY())),1,0)+COUNTIF($V194:$Z194,"&lt;"&amp;TODAY()))</f>
        <v/>
      </c>
      <c r="J194" s="32">
        <f>IF(NOT(AND($A194&lt;&gt;"",OR($G194="",$G194="Active"))),"",COUNTIFS($M194:$U194,"&gt;="&amp;TODAY(),$M194:$U194,"&lt;="&amp;TODAY()+7)+COUNTIFS($V194:$Z194,"&gt;="&amp;TODAY(),$V194:$Z194,"&lt;="&amp;TODAY()+7))</f>
        <v/>
      </c>
      <c r="K194" s="32">
        <f>IF(NOT(AND($A194&lt;&gt;"",OR($G194="",$G194="Active"))),"",IF($L194&lt;&gt;"",IF($L194=$M194,"Booking",INDEX($N$4:$U$4,MATCH($L194,$N194:$U194,0))),IF(IFERROR(LOOKUP(2,1/(ISNUMBER($M194:$U194)+($M194:$U194="DNA")),$M194:$U194),"")="DNA","Rebook DNA",IF(ISNUMBER(IFERROR(LOOKUP(2,1/(ISNUMBER($M194:$U194)+($M194:$U194="DNA")),$M194:$U194),"")),IF(ISNUMBER($U194),"Update status","Missed/not booked?"),""))))</f>
        <v/>
      </c>
      <c r="L194" s="33">
        <f>IF(NOT(AND($A194&lt;&gt;"",OR($G194="",$G194="Active"))),"",IFERROR(SMALL($M194:$U194,COUNTIF($M194:$U194,"&lt;"&amp;TODAY())+1),""))</f>
        <v/>
      </c>
      <c r="M194" s="31" t="n"/>
      <c r="N194" s="31" t="n"/>
      <c r="O194" s="31" t="n"/>
      <c r="P194" s="31" t="n"/>
      <c r="Q194" s="31" t="n"/>
      <c r="R194" s="31" t="n"/>
      <c r="S194" s="31" t="n"/>
      <c r="T194" s="31" t="n"/>
      <c r="U194" s="31" t="n"/>
      <c r="V194" s="31" t="n"/>
      <c r="W194" s="31" t="n"/>
      <c r="X194" s="31" t="n"/>
      <c r="Y194" s="31" t="n"/>
      <c r="Z194" s="31" t="n"/>
      <c r="AA194" s="34" t="n"/>
      <c r="AB194" s="29" t="n"/>
      <c r="AC194" s="31" t="n"/>
    </row>
    <row r="195">
      <c r="A195" s="29" t="n"/>
      <c r="B195" s="30" t="n"/>
      <c r="C195" s="31" t="n"/>
      <c r="D195" s="29" t="n"/>
      <c r="E195" s="29" t="n"/>
      <c r="F195" s="31" t="n"/>
      <c r="G195" s="29" t="n"/>
      <c r="H195" s="32">
        <f>IF(OR(NOT(AND($A195&lt;&gt;"",OR($G195="",$G195="Active"))),$F195=""),"",INT((TODAY()-$F195+280)/7)&amp;"+"&amp;MOD(TODAY()-$F195+280,7))</f>
        <v/>
      </c>
      <c r="I195" s="32">
        <f>IF(NOT(AND($A195&lt;&gt;"",OR($G195="",$G195="Active"))),"",IF(OR(IFERROR(LOOKUP(2,1/(ISNUMBER($M195:$U195)+($M195:$U195="DNA")),$M195:$U195),"")="DNA",AND(ISNUMBER(IFERROR(LOOKUP(2,1/(ISNUMBER($M195:$U195)+($M195:$U195="DNA")),$M195:$U195),"")),IFERROR(LOOKUP(2,1/(ISNUMBER($M195:$U195)+($M195:$U195="DNA")),$M195:$U195),"")&lt;TODAY())),1,0)+COUNTIF($V195:$Z195,"&lt;"&amp;TODAY()))</f>
        <v/>
      </c>
      <c r="J195" s="32">
        <f>IF(NOT(AND($A195&lt;&gt;"",OR($G195="",$G195="Active"))),"",COUNTIFS($M195:$U195,"&gt;="&amp;TODAY(),$M195:$U195,"&lt;="&amp;TODAY()+7)+COUNTIFS($V195:$Z195,"&gt;="&amp;TODAY(),$V195:$Z195,"&lt;="&amp;TODAY()+7))</f>
        <v/>
      </c>
      <c r="K195" s="32">
        <f>IF(NOT(AND($A195&lt;&gt;"",OR($G195="",$G195="Active"))),"",IF($L195&lt;&gt;"",IF($L195=$M195,"Booking",INDEX($N$4:$U$4,MATCH($L195,$N195:$U195,0))),IF(IFERROR(LOOKUP(2,1/(ISNUMBER($M195:$U195)+($M195:$U195="DNA")),$M195:$U195),"")="DNA","Rebook DNA",IF(ISNUMBER(IFERROR(LOOKUP(2,1/(ISNUMBER($M195:$U195)+($M195:$U195="DNA")),$M195:$U195),"")),IF(ISNUMBER($U195),"Update status","Missed/not booked?"),""))))</f>
        <v/>
      </c>
      <c r="L195" s="33">
        <f>IF(NOT(AND($A195&lt;&gt;"",OR($G195="",$G195="Active"))),"",IFERROR(SMALL($M195:$U195,COUNTIF($M195:$U195,"&lt;"&amp;TODAY())+1),""))</f>
        <v/>
      </c>
      <c r="M195" s="31" t="n"/>
      <c r="N195" s="31" t="n"/>
      <c r="O195" s="31" t="n"/>
      <c r="P195" s="31" t="n"/>
      <c r="Q195" s="31" t="n"/>
      <c r="R195" s="31" t="n"/>
      <c r="S195" s="31" t="n"/>
      <c r="T195" s="31" t="n"/>
      <c r="U195" s="31" t="n"/>
      <c r="V195" s="31" t="n"/>
      <c r="W195" s="31" t="n"/>
      <c r="X195" s="31" t="n"/>
      <c r="Y195" s="31" t="n"/>
      <c r="Z195" s="31" t="n"/>
      <c r="AA195" s="34" t="n"/>
      <c r="AB195" s="29" t="n"/>
      <c r="AC195" s="31" t="n"/>
    </row>
    <row r="196">
      <c r="A196" s="29" t="n"/>
      <c r="B196" s="30" t="n"/>
      <c r="C196" s="31" t="n"/>
      <c r="D196" s="29" t="n"/>
      <c r="E196" s="29" t="n"/>
      <c r="F196" s="31" t="n"/>
      <c r="G196" s="29" t="n"/>
      <c r="H196" s="32">
        <f>IF(OR(NOT(AND($A196&lt;&gt;"",OR($G196="",$G196="Active"))),$F196=""),"",INT((TODAY()-$F196+280)/7)&amp;"+"&amp;MOD(TODAY()-$F196+280,7))</f>
        <v/>
      </c>
      <c r="I196" s="32">
        <f>IF(NOT(AND($A196&lt;&gt;"",OR($G196="",$G196="Active"))),"",IF(OR(IFERROR(LOOKUP(2,1/(ISNUMBER($M196:$U196)+($M196:$U196="DNA")),$M196:$U196),"")="DNA",AND(ISNUMBER(IFERROR(LOOKUP(2,1/(ISNUMBER($M196:$U196)+($M196:$U196="DNA")),$M196:$U196),"")),IFERROR(LOOKUP(2,1/(ISNUMBER($M196:$U196)+($M196:$U196="DNA")),$M196:$U196),"")&lt;TODAY())),1,0)+COUNTIF($V196:$Z196,"&lt;"&amp;TODAY()))</f>
        <v/>
      </c>
      <c r="J196" s="32">
        <f>IF(NOT(AND($A196&lt;&gt;"",OR($G196="",$G196="Active"))),"",COUNTIFS($M196:$U196,"&gt;="&amp;TODAY(),$M196:$U196,"&lt;="&amp;TODAY()+7)+COUNTIFS($V196:$Z196,"&gt;="&amp;TODAY(),$V196:$Z196,"&lt;="&amp;TODAY()+7))</f>
        <v/>
      </c>
      <c r="K196" s="32">
        <f>IF(NOT(AND($A196&lt;&gt;"",OR($G196="",$G196="Active"))),"",IF($L196&lt;&gt;"",IF($L196=$M196,"Booking",INDEX($N$4:$U$4,MATCH($L196,$N196:$U196,0))),IF(IFERROR(LOOKUP(2,1/(ISNUMBER($M196:$U196)+($M196:$U196="DNA")),$M196:$U196),"")="DNA","Rebook DNA",IF(ISNUMBER(IFERROR(LOOKUP(2,1/(ISNUMBER($M196:$U196)+($M196:$U196="DNA")),$M196:$U196),"")),IF(ISNUMBER($U196),"Update status","Missed/not booked?"),""))))</f>
        <v/>
      </c>
      <c r="L196" s="33">
        <f>IF(NOT(AND($A196&lt;&gt;"",OR($G196="",$G196="Active"))),"",IFERROR(SMALL($M196:$U196,COUNTIF($M196:$U196,"&lt;"&amp;TODAY())+1),""))</f>
        <v/>
      </c>
      <c r="M196" s="31" t="n"/>
      <c r="N196" s="31" t="n"/>
      <c r="O196" s="31" t="n"/>
      <c r="P196" s="31" t="n"/>
      <c r="Q196" s="31" t="n"/>
      <c r="R196" s="31" t="n"/>
      <c r="S196" s="31" t="n"/>
      <c r="T196" s="31" t="n"/>
      <c r="U196" s="31" t="n"/>
      <c r="V196" s="31" t="n"/>
      <c r="W196" s="31" t="n"/>
      <c r="X196" s="31" t="n"/>
      <c r="Y196" s="31" t="n"/>
      <c r="Z196" s="31" t="n"/>
      <c r="AA196" s="34" t="n"/>
      <c r="AB196" s="29" t="n"/>
      <c r="AC196" s="31" t="n"/>
    </row>
    <row r="197">
      <c r="A197" s="29" t="n"/>
      <c r="B197" s="30" t="n"/>
      <c r="C197" s="31" t="n"/>
      <c r="D197" s="29" t="n"/>
      <c r="E197" s="29" t="n"/>
      <c r="F197" s="31" t="n"/>
      <c r="G197" s="29" t="n"/>
      <c r="H197" s="32">
        <f>IF(OR(NOT(AND($A197&lt;&gt;"",OR($G197="",$G197="Active"))),$F197=""),"",INT((TODAY()-$F197+280)/7)&amp;"+"&amp;MOD(TODAY()-$F197+280,7))</f>
        <v/>
      </c>
      <c r="I197" s="32">
        <f>IF(NOT(AND($A197&lt;&gt;"",OR($G197="",$G197="Active"))),"",IF(OR(IFERROR(LOOKUP(2,1/(ISNUMBER($M197:$U197)+($M197:$U197="DNA")),$M197:$U197),"")="DNA",AND(ISNUMBER(IFERROR(LOOKUP(2,1/(ISNUMBER($M197:$U197)+($M197:$U197="DNA")),$M197:$U197),"")),IFERROR(LOOKUP(2,1/(ISNUMBER($M197:$U197)+($M197:$U197="DNA")),$M197:$U197),"")&lt;TODAY())),1,0)+COUNTIF($V197:$Z197,"&lt;"&amp;TODAY()))</f>
        <v/>
      </c>
      <c r="J197" s="32">
        <f>IF(NOT(AND($A197&lt;&gt;"",OR($G197="",$G197="Active"))),"",COUNTIFS($M197:$U197,"&gt;="&amp;TODAY(),$M197:$U197,"&lt;="&amp;TODAY()+7)+COUNTIFS($V197:$Z197,"&gt;="&amp;TODAY(),$V197:$Z197,"&lt;="&amp;TODAY()+7))</f>
        <v/>
      </c>
      <c r="K197" s="32">
        <f>IF(NOT(AND($A197&lt;&gt;"",OR($G197="",$G197="Active"))),"",IF($L197&lt;&gt;"",IF($L197=$M197,"Booking",INDEX($N$4:$U$4,MATCH($L197,$N197:$U197,0))),IF(IFERROR(LOOKUP(2,1/(ISNUMBER($M197:$U197)+($M197:$U197="DNA")),$M197:$U197),"")="DNA","Rebook DNA",IF(ISNUMBER(IFERROR(LOOKUP(2,1/(ISNUMBER($M197:$U197)+($M197:$U197="DNA")),$M197:$U197),"")),IF(ISNUMBER($U197),"Update status","Missed/not booked?"),""))))</f>
        <v/>
      </c>
      <c r="L197" s="33">
        <f>IF(NOT(AND($A197&lt;&gt;"",OR($G197="",$G197="Active"))),"",IFERROR(SMALL($M197:$U197,COUNTIF($M197:$U197,"&lt;"&amp;TODAY())+1),""))</f>
        <v/>
      </c>
      <c r="M197" s="31" t="n"/>
      <c r="N197" s="31" t="n"/>
      <c r="O197" s="31" t="n"/>
      <c r="P197" s="31" t="n"/>
      <c r="Q197" s="31" t="n"/>
      <c r="R197" s="31" t="n"/>
      <c r="S197" s="31" t="n"/>
      <c r="T197" s="31" t="n"/>
      <c r="U197" s="31" t="n"/>
      <c r="V197" s="31" t="n"/>
      <c r="W197" s="31" t="n"/>
      <c r="X197" s="31" t="n"/>
      <c r="Y197" s="31" t="n"/>
      <c r="Z197" s="31" t="n"/>
      <c r="AA197" s="34" t="n"/>
      <c r="AB197" s="29" t="n"/>
      <c r="AC197" s="31" t="n"/>
    </row>
    <row r="198">
      <c r="A198" s="29" t="n"/>
      <c r="B198" s="30" t="n"/>
      <c r="C198" s="31" t="n"/>
      <c r="D198" s="29" t="n"/>
      <c r="E198" s="29" t="n"/>
      <c r="F198" s="31" t="n"/>
      <c r="G198" s="29" t="n"/>
      <c r="H198" s="32">
        <f>IF(OR(NOT(AND($A198&lt;&gt;"",OR($G198="",$G198="Active"))),$F198=""),"",INT((TODAY()-$F198+280)/7)&amp;"+"&amp;MOD(TODAY()-$F198+280,7))</f>
        <v/>
      </c>
      <c r="I198" s="32">
        <f>IF(NOT(AND($A198&lt;&gt;"",OR($G198="",$G198="Active"))),"",IF(OR(IFERROR(LOOKUP(2,1/(ISNUMBER($M198:$U198)+($M198:$U198="DNA")),$M198:$U198),"")="DNA",AND(ISNUMBER(IFERROR(LOOKUP(2,1/(ISNUMBER($M198:$U198)+($M198:$U198="DNA")),$M198:$U198),"")),IFERROR(LOOKUP(2,1/(ISNUMBER($M198:$U198)+($M198:$U198="DNA")),$M198:$U198),"")&lt;TODAY())),1,0)+COUNTIF($V198:$Z198,"&lt;"&amp;TODAY()))</f>
        <v/>
      </c>
      <c r="J198" s="32">
        <f>IF(NOT(AND($A198&lt;&gt;"",OR($G198="",$G198="Active"))),"",COUNTIFS($M198:$U198,"&gt;="&amp;TODAY(),$M198:$U198,"&lt;="&amp;TODAY()+7)+COUNTIFS($V198:$Z198,"&gt;="&amp;TODAY(),$V198:$Z198,"&lt;="&amp;TODAY()+7))</f>
        <v/>
      </c>
      <c r="K198" s="32">
        <f>IF(NOT(AND($A198&lt;&gt;"",OR($G198="",$G198="Active"))),"",IF($L198&lt;&gt;"",IF($L198=$M198,"Booking",INDEX($N$4:$U$4,MATCH($L198,$N198:$U198,0))),IF(IFERROR(LOOKUP(2,1/(ISNUMBER($M198:$U198)+($M198:$U198="DNA")),$M198:$U198),"")="DNA","Rebook DNA",IF(ISNUMBER(IFERROR(LOOKUP(2,1/(ISNUMBER($M198:$U198)+($M198:$U198="DNA")),$M198:$U198),"")),IF(ISNUMBER($U198),"Update status","Missed/not booked?"),""))))</f>
        <v/>
      </c>
      <c r="L198" s="33">
        <f>IF(NOT(AND($A198&lt;&gt;"",OR($G198="",$G198="Active"))),"",IFERROR(SMALL($M198:$U198,COUNTIF($M198:$U198,"&lt;"&amp;TODAY())+1),""))</f>
        <v/>
      </c>
      <c r="M198" s="31" t="n"/>
      <c r="N198" s="31" t="n"/>
      <c r="O198" s="31" t="n"/>
      <c r="P198" s="31" t="n"/>
      <c r="Q198" s="31" t="n"/>
      <c r="R198" s="31" t="n"/>
      <c r="S198" s="31" t="n"/>
      <c r="T198" s="31" t="n"/>
      <c r="U198" s="31" t="n"/>
      <c r="V198" s="31" t="n"/>
      <c r="W198" s="31" t="n"/>
      <c r="X198" s="31" t="n"/>
      <c r="Y198" s="31" t="n"/>
      <c r="Z198" s="31" t="n"/>
      <c r="AA198" s="34" t="n"/>
      <c r="AB198" s="29" t="n"/>
      <c r="AC198" s="31" t="n"/>
    </row>
    <row r="199">
      <c r="A199" s="29" t="n"/>
      <c r="B199" s="30" t="n"/>
      <c r="C199" s="31" t="n"/>
      <c r="D199" s="29" t="n"/>
      <c r="E199" s="29" t="n"/>
      <c r="F199" s="31" t="n"/>
      <c r="G199" s="29" t="n"/>
      <c r="H199" s="32">
        <f>IF(OR(NOT(AND($A199&lt;&gt;"",OR($G199="",$G199="Active"))),$F199=""),"",INT((TODAY()-$F199+280)/7)&amp;"+"&amp;MOD(TODAY()-$F199+280,7))</f>
        <v/>
      </c>
      <c r="I199" s="32">
        <f>IF(NOT(AND($A199&lt;&gt;"",OR($G199="",$G199="Active"))),"",IF(OR(IFERROR(LOOKUP(2,1/(ISNUMBER($M199:$U199)+($M199:$U199="DNA")),$M199:$U199),"")="DNA",AND(ISNUMBER(IFERROR(LOOKUP(2,1/(ISNUMBER($M199:$U199)+($M199:$U199="DNA")),$M199:$U199),"")),IFERROR(LOOKUP(2,1/(ISNUMBER($M199:$U199)+($M199:$U199="DNA")),$M199:$U199),"")&lt;TODAY())),1,0)+COUNTIF($V199:$Z199,"&lt;"&amp;TODAY()))</f>
        <v/>
      </c>
      <c r="J199" s="32">
        <f>IF(NOT(AND($A199&lt;&gt;"",OR($G199="",$G199="Active"))),"",COUNTIFS($M199:$U199,"&gt;="&amp;TODAY(),$M199:$U199,"&lt;="&amp;TODAY()+7)+COUNTIFS($V199:$Z199,"&gt;="&amp;TODAY(),$V199:$Z199,"&lt;="&amp;TODAY()+7))</f>
        <v/>
      </c>
      <c r="K199" s="32">
        <f>IF(NOT(AND($A199&lt;&gt;"",OR($G199="",$G199="Active"))),"",IF($L199&lt;&gt;"",IF($L199=$M199,"Booking",INDEX($N$4:$U$4,MATCH($L199,$N199:$U199,0))),IF(IFERROR(LOOKUP(2,1/(ISNUMBER($M199:$U199)+($M199:$U199="DNA")),$M199:$U199),"")="DNA","Rebook DNA",IF(ISNUMBER(IFERROR(LOOKUP(2,1/(ISNUMBER($M199:$U199)+($M199:$U199="DNA")),$M199:$U199),"")),IF(ISNUMBER($U199),"Update status","Missed/not booked?"),""))))</f>
        <v/>
      </c>
      <c r="L199" s="33">
        <f>IF(NOT(AND($A199&lt;&gt;"",OR($G199="",$G199="Active"))),"",IFERROR(SMALL($M199:$U199,COUNTIF($M199:$U199,"&lt;"&amp;TODAY())+1),""))</f>
        <v/>
      </c>
      <c r="M199" s="31" t="n"/>
      <c r="N199" s="31" t="n"/>
      <c r="O199" s="31" t="n"/>
      <c r="P199" s="31" t="n"/>
      <c r="Q199" s="31" t="n"/>
      <c r="R199" s="31" t="n"/>
      <c r="S199" s="31" t="n"/>
      <c r="T199" s="31" t="n"/>
      <c r="U199" s="31" t="n"/>
      <c r="V199" s="31" t="n"/>
      <c r="W199" s="31" t="n"/>
      <c r="X199" s="31" t="n"/>
      <c r="Y199" s="31" t="n"/>
      <c r="Z199" s="31" t="n"/>
      <c r="AA199" s="34" t="n"/>
      <c r="AB199" s="29" t="n"/>
      <c r="AC199" s="31" t="n"/>
    </row>
    <row r="200">
      <c r="A200" s="29" t="n"/>
      <c r="B200" s="30" t="n"/>
      <c r="C200" s="31" t="n"/>
      <c r="D200" s="29" t="n"/>
      <c r="E200" s="29" t="n"/>
      <c r="F200" s="31" t="n"/>
      <c r="G200" s="29" t="n"/>
      <c r="H200" s="32">
        <f>IF(OR(NOT(AND($A200&lt;&gt;"",OR($G200="",$G200="Active"))),$F200=""),"",INT((TODAY()-$F200+280)/7)&amp;"+"&amp;MOD(TODAY()-$F200+280,7))</f>
        <v/>
      </c>
      <c r="I200" s="32">
        <f>IF(NOT(AND($A200&lt;&gt;"",OR($G200="",$G200="Active"))),"",IF(OR(IFERROR(LOOKUP(2,1/(ISNUMBER($M200:$U200)+($M200:$U200="DNA")),$M200:$U200),"")="DNA",AND(ISNUMBER(IFERROR(LOOKUP(2,1/(ISNUMBER($M200:$U200)+($M200:$U200="DNA")),$M200:$U200),"")),IFERROR(LOOKUP(2,1/(ISNUMBER($M200:$U200)+($M200:$U200="DNA")),$M200:$U200),"")&lt;TODAY())),1,0)+COUNTIF($V200:$Z200,"&lt;"&amp;TODAY()))</f>
        <v/>
      </c>
      <c r="J200" s="32">
        <f>IF(NOT(AND($A200&lt;&gt;"",OR($G200="",$G200="Active"))),"",COUNTIFS($M200:$U200,"&gt;="&amp;TODAY(),$M200:$U200,"&lt;="&amp;TODAY()+7)+COUNTIFS($V200:$Z200,"&gt;="&amp;TODAY(),$V200:$Z200,"&lt;="&amp;TODAY()+7))</f>
        <v/>
      </c>
      <c r="K200" s="32">
        <f>IF(NOT(AND($A200&lt;&gt;"",OR($G200="",$G200="Active"))),"",IF($L200&lt;&gt;"",IF($L200=$M200,"Booking",INDEX($N$4:$U$4,MATCH($L200,$N200:$U200,0))),IF(IFERROR(LOOKUP(2,1/(ISNUMBER($M200:$U200)+($M200:$U200="DNA")),$M200:$U200),"")="DNA","Rebook DNA",IF(ISNUMBER(IFERROR(LOOKUP(2,1/(ISNUMBER($M200:$U200)+($M200:$U200="DNA")),$M200:$U200),"")),IF(ISNUMBER($U200),"Update status","Missed/not booked?"),""))))</f>
        <v/>
      </c>
      <c r="L200" s="33">
        <f>IF(NOT(AND($A200&lt;&gt;"",OR($G200="",$G200="Active"))),"",IFERROR(SMALL($M200:$U200,COUNTIF($M200:$U200,"&lt;"&amp;TODAY())+1),""))</f>
        <v/>
      </c>
      <c r="M200" s="31" t="n"/>
      <c r="N200" s="31" t="n"/>
      <c r="O200" s="31" t="n"/>
      <c r="P200" s="31" t="n"/>
      <c r="Q200" s="31" t="n"/>
      <c r="R200" s="31" t="n"/>
      <c r="S200" s="31" t="n"/>
      <c r="T200" s="31" t="n"/>
      <c r="U200" s="31" t="n"/>
      <c r="V200" s="31" t="n"/>
      <c r="W200" s="31" t="n"/>
      <c r="X200" s="31" t="n"/>
      <c r="Y200" s="31" t="n"/>
      <c r="Z200" s="31" t="n"/>
      <c r="AA200" s="34" t="n"/>
      <c r="AB200" s="29" t="n"/>
      <c r="AC200" s="31" t="n"/>
    </row>
    <row r="201">
      <c r="A201" s="29" t="n"/>
      <c r="B201" s="30" t="n"/>
      <c r="C201" s="31" t="n"/>
      <c r="D201" s="29" t="n"/>
      <c r="E201" s="29" t="n"/>
      <c r="F201" s="31" t="n"/>
      <c r="G201" s="29" t="n"/>
      <c r="H201" s="32">
        <f>IF(OR(NOT(AND($A201&lt;&gt;"",OR($G201="",$G201="Active"))),$F201=""),"",INT((TODAY()-$F201+280)/7)&amp;"+"&amp;MOD(TODAY()-$F201+280,7))</f>
        <v/>
      </c>
      <c r="I201" s="32">
        <f>IF(NOT(AND($A201&lt;&gt;"",OR($G201="",$G201="Active"))),"",IF(OR(IFERROR(LOOKUP(2,1/(ISNUMBER($M201:$U201)+($M201:$U201="DNA")),$M201:$U201),"")="DNA",AND(ISNUMBER(IFERROR(LOOKUP(2,1/(ISNUMBER($M201:$U201)+($M201:$U201="DNA")),$M201:$U201),"")),IFERROR(LOOKUP(2,1/(ISNUMBER($M201:$U201)+($M201:$U201="DNA")),$M201:$U201),"")&lt;TODAY())),1,0)+COUNTIF($V201:$Z201,"&lt;"&amp;TODAY()))</f>
        <v/>
      </c>
      <c r="J201" s="32">
        <f>IF(NOT(AND($A201&lt;&gt;"",OR($G201="",$G201="Active"))),"",COUNTIFS($M201:$U201,"&gt;="&amp;TODAY(),$M201:$U201,"&lt;="&amp;TODAY()+7)+COUNTIFS($V201:$Z201,"&gt;="&amp;TODAY(),$V201:$Z201,"&lt;="&amp;TODAY()+7))</f>
        <v/>
      </c>
      <c r="K201" s="32">
        <f>IF(NOT(AND($A201&lt;&gt;"",OR($G201="",$G201="Active"))),"",IF($L201&lt;&gt;"",IF($L201=$M201,"Booking",INDEX($N$4:$U$4,MATCH($L201,$N201:$U201,0))),IF(IFERROR(LOOKUP(2,1/(ISNUMBER($M201:$U201)+($M201:$U201="DNA")),$M201:$U201),"")="DNA","Rebook DNA",IF(ISNUMBER(IFERROR(LOOKUP(2,1/(ISNUMBER($M201:$U201)+($M201:$U201="DNA")),$M201:$U201),"")),IF(ISNUMBER($U201),"Update status","Missed/not booked?"),""))))</f>
        <v/>
      </c>
      <c r="L201" s="33">
        <f>IF(NOT(AND($A201&lt;&gt;"",OR($G201="",$G201="Active"))),"",IFERROR(SMALL($M201:$U201,COUNTIF($M201:$U201,"&lt;"&amp;TODAY())+1),""))</f>
        <v/>
      </c>
      <c r="M201" s="31" t="n"/>
      <c r="N201" s="31" t="n"/>
      <c r="O201" s="31" t="n"/>
      <c r="P201" s="31" t="n"/>
      <c r="Q201" s="31" t="n"/>
      <c r="R201" s="31" t="n"/>
      <c r="S201" s="31" t="n"/>
      <c r="T201" s="31" t="n"/>
      <c r="U201" s="31" t="n"/>
      <c r="V201" s="31" t="n"/>
      <c r="W201" s="31" t="n"/>
      <c r="X201" s="31" t="n"/>
      <c r="Y201" s="31" t="n"/>
      <c r="Z201" s="31" t="n"/>
      <c r="AA201" s="34" t="n"/>
      <c r="AB201" s="29" t="n"/>
      <c r="AC201" s="31" t="n"/>
    </row>
    <row r="202">
      <c r="A202" s="29" t="n"/>
      <c r="B202" s="30" t="n"/>
      <c r="C202" s="31" t="n"/>
      <c r="D202" s="29" t="n"/>
      <c r="E202" s="29" t="n"/>
      <c r="F202" s="31" t="n"/>
      <c r="G202" s="29" t="n"/>
      <c r="H202" s="32">
        <f>IF(OR(NOT(AND($A202&lt;&gt;"",OR($G202="",$G202="Active"))),$F202=""),"",INT((TODAY()-$F202+280)/7)&amp;"+"&amp;MOD(TODAY()-$F202+280,7))</f>
        <v/>
      </c>
      <c r="I202" s="32">
        <f>IF(NOT(AND($A202&lt;&gt;"",OR($G202="",$G202="Active"))),"",IF(OR(IFERROR(LOOKUP(2,1/(ISNUMBER($M202:$U202)+($M202:$U202="DNA")),$M202:$U202),"")="DNA",AND(ISNUMBER(IFERROR(LOOKUP(2,1/(ISNUMBER($M202:$U202)+($M202:$U202="DNA")),$M202:$U202),"")),IFERROR(LOOKUP(2,1/(ISNUMBER($M202:$U202)+($M202:$U202="DNA")),$M202:$U202),"")&lt;TODAY())),1,0)+COUNTIF($V202:$Z202,"&lt;"&amp;TODAY()))</f>
        <v/>
      </c>
      <c r="J202" s="32">
        <f>IF(NOT(AND($A202&lt;&gt;"",OR($G202="",$G202="Active"))),"",COUNTIFS($M202:$U202,"&gt;="&amp;TODAY(),$M202:$U202,"&lt;="&amp;TODAY()+7)+COUNTIFS($V202:$Z202,"&gt;="&amp;TODAY(),$V202:$Z202,"&lt;="&amp;TODAY()+7))</f>
        <v/>
      </c>
      <c r="K202" s="32">
        <f>IF(NOT(AND($A202&lt;&gt;"",OR($G202="",$G202="Active"))),"",IF($L202&lt;&gt;"",IF($L202=$M202,"Booking",INDEX($N$4:$U$4,MATCH($L202,$N202:$U202,0))),IF(IFERROR(LOOKUP(2,1/(ISNUMBER($M202:$U202)+($M202:$U202="DNA")),$M202:$U202),"")="DNA","Rebook DNA",IF(ISNUMBER(IFERROR(LOOKUP(2,1/(ISNUMBER($M202:$U202)+($M202:$U202="DNA")),$M202:$U202),"")),IF(ISNUMBER($U202),"Update status","Missed/not booked?"),""))))</f>
        <v/>
      </c>
      <c r="L202" s="33">
        <f>IF(NOT(AND($A202&lt;&gt;"",OR($G202="",$G202="Active"))),"",IFERROR(SMALL($M202:$U202,COUNTIF($M202:$U202,"&lt;"&amp;TODAY())+1),""))</f>
        <v/>
      </c>
      <c r="M202" s="31" t="n"/>
      <c r="N202" s="31" t="n"/>
      <c r="O202" s="31" t="n"/>
      <c r="P202" s="31" t="n"/>
      <c r="Q202" s="31" t="n"/>
      <c r="R202" s="31" t="n"/>
      <c r="S202" s="31" t="n"/>
      <c r="T202" s="31" t="n"/>
      <c r="U202" s="31" t="n"/>
      <c r="V202" s="31" t="n"/>
      <c r="W202" s="31" t="n"/>
      <c r="X202" s="31" t="n"/>
      <c r="Y202" s="31" t="n"/>
      <c r="Z202" s="31" t="n"/>
      <c r="AA202" s="34" t="n"/>
      <c r="AB202" s="29" t="n"/>
      <c r="AC202" s="31" t="n"/>
    </row>
    <row r="203">
      <c r="A203" s="29" t="n"/>
      <c r="B203" s="30" t="n"/>
      <c r="C203" s="31" t="n"/>
      <c r="D203" s="29" t="n"/>
      <c r="E203" s="29" t="n"/>
      <c r="F203" s="31" t="n"/>
      <c r="G203" s="29" t="n"/>
      <c r="H203" s="32">
        <f>IF(OR(NOT(AND($A203&lt;&gt;"",OR($G203="",$G203="Active"))),$F203=""),"",INT((TODAY()-$F203+280)/7)&amp;"+"&amp;MOD(TODAY()-$F203+280,7))</f>
        <v/>
      </c>
      <c r="I203" s="32">
        <f>IF(NOT(AND($A203&lt;&gt;"",OR($G203="",$G203="Active"))),"",IF(OR(IFERROR(LOOKUP(2,1/(ISNUMBER($M203:$U203)+($M203:$U203="DNA")),$M203:$U203),"")="DNA",AND(ISNUMBER(IFERROR(LOOKUP(2,1/(ISNUMBER($M203:$U203)+($M203:$U203="DNA")),$M203:$U203),"")),IFERROR(LOOKUP(2,1/(ISNUMBER($M203:$U203)+($M203:$U203="DNA")),$M203:$U203),"")&lt;TODAY())),1,0)+COUNTIF($V203:$Z203,"&lt;"&amp;TODAY()))</f>
        <v/>
      </c>
      <c r="J203" s="32">
        <f>IF(NOT(AND($A203&lt;&gt;"",OR($G203="",$G203="Active"))),"",COUNTIFS($M203:$U203,"&gt;="&amp;TODAY(),$M203:$U203,"&lt;="&amp;TODAY()+7)+COUNTIFS($V203:$Z203,"&gt;="&amp;TODAY(),$V203:$Z203,"&lt;="&amp;TODAY()+7))</f>
        <v/>
      </c>
      <c r="K203" s="32">
        <f>IF(NOT(AND($A203&lt;&gt;"",OR($G203="",$G203="Active"))),"",IF($L203&lt;&gt;"",IF($L203=$M203,"Booking",INDEX($N$4:$U$4,MATCH($L203,$N203:$U203,0))),IF(IFERROR(LOOKUP(2,1/(ISNUMBER($M203:$U203)+($M203:$U203="DNA")),$M203:$U203),"")="DNA","Rebook DNA",IF(ISNUMBER(IFERROR(LOOKUP(2,1/(ISNUMBER($M203:$U203)+($M203:$U203="DNA")),$M203:$U203),"")),IF(ISNUMBER($U203),"Update status","Missed/not booked?"),""))))</f>
        <v/>
      </c>
      <c r="L203" s="33">
        <f>IF(NOT(AND($A203&lt;&gt;"",OR($G203="",$G203="Active"))),"",IFERROR(SMALL($M203:$U203,COUNTIF($M203:$U203,"&lt;"&amp;TODAY())+1),""))</f>
        <v/>
      </c>
      <c r="M203" s="31" t="n"/>
      <c r="N203" s="31" t="n"/>
      <c r="O203" s="31" t="n"/>
      <c r="P203" s="31" t="n"/>
      <c r="Q203" s="31" t="n"/>
      <c r="R203" s="31" t="n"/>
      <c r="S203" s="31" t="n"/>
      <c r="T203" s="31" t="n"/>
      <c r="U203" s="31" t="n"/>
      <c r="V203" s="31" t="n"/>
      <c r="W203" s="31" t="n"/>
      <c r="X203" s="31" t="n"/>
      <c r="Y203" s="31" t="n"/>
      <c r="Z203" s="31" t="n"/>
      <c r="AA203" s="34" t="n"/>
      <c r="AB203" s="29" t="n"/>
      <c r="AC203" s="31" t="n"/>
    </row>
    <row r="204">
      <c r="A204" s="29" t="n"/>
      <c r="B204" s="30" t="n"/>
      <c r="C204" s="31" t="n"/>
      <c r="D204" s="29" t="n"/>
      <c r="E204" s="29" t="n"/>
      <c r="F204" s="31" t="n"/>
      <c r="G204" s="29" t="n"/>
      <c r="H204" s="32">
        <f>IF(OR(NOT(AND($A204&lt;&gt;"",OR($G204="",$G204="Active"))),$F204=""),"",INT((TODAY()-$F204+280)/7)&amp;"+"&amp;MOD(TODAY()-$F204+280,7))</f>
        <v/>
      </c>
      <c r="I204" s="32">
        <f>IF(NOT(AND($A204&lt;&gt;"",OR($G204="",$G204="Active"))),"",IF(OR(IFERROR(LOOKUP(2,1/(ISNUMBER($M204:$U204)+($M204:$U204="DNA")),$M204:$U204),"")="DNA",AND(ISNUMBER(IFERROR(LOOKUP(2,1/(ISNUMBER($M204:$U204)+($M204:$U204="DNA")),$M204:$U204),"")),IFERROR(LOOKUP(2,1/(ISNUMBER($M204:$U204)+($M204:$U204="DNA")),$M204:$U204),"")&lt;TODAY())),1,0)+COUNTIF($V204:$Z204,"&lt;"&amp;TODAY()))</f>
        <v/>
      </c>
      <c r="J204" s="32">
        <f>IF(NOT(AND($A204&lt;&gt;"",OR($G204="",$G204="Active"))),"",COUNTIFS($M204:$U204,"&gt;="&amp;TODAY(),$M204:$U204,"&lt;="&amp;TODAY()+7)+COUNTIFS($V204:$Z204,"&gt;="&amp;TODAY(),$V204:$Z204,"&lt;="&amp;TODAY()+7))</f>
        <v/>
      </c>
      <c r="K204" s="32">
        <f>IF(NOT(AND($A204&lt;&gt;"",OR($G204="",$G204="Active"))),"",IF($L204&lt;&gt;"",IF($L204=$M204,"Booking",INDEX($N$4:$U$4,MATCH($L204,$N204:$U204,0))),IF(IFERROR(LOOKUP(2,1/(ISNUMBER($M204:$U204)+($M204:$U204="DNA")),$M204:$U204),"")="DNA","Rebook DNA",IF(ISNUMBER(IFERROR(LOOKUP(2,1/(ISNUMBER($M204:$U204)+($M204:$U204="DNA")),$M204:$U204),"")),IF(ISNUMBER($U204),"Update status","Missed/not booked?"),""))))</f>
        <v/>
      </c>
      <c r="L204" s="33">
        <f>IF(NOT(AND($A204&lt;&gt;"",OR($G204="",$G204="Active"))),"",IFERROR(SMALL($M204:$U204,COUNTIF($M204:$U204,"&lt;"&amp;TODAY())+1),""))</f>
        <v/>
      </c>
      <c r="M204" s="31" t="n"/>
      <c r="N204" s="31" t="n"/>
      <c r="O204" s="31" t="n"/>
      <c r="P204" s="31" t="n"/>
      <c r="Q204" s="31" t="n"/>
      <c r="R204" s="31" t="n"/>
      <c r="S204" s="31" t="n"/>
      <c r="T204" s="31" t="n"/>
      <c r="U204" s="31" t="n"/>
      <c r="V204" s="31" t="n"/>
      <c r="W204" s="31" t="n"/>
      <c r="X204" s="31" t="n"/>
      <c r="Y204" s="31" t="n"/>
      <c r="Z204" s="31" t="n"/>
      <c r="AA204" s="34" t="n"/>
      <c r="AB204" s="29" t="n"/>
      <c r="AC204" s="31" t="n"/>
    </row>
    <row r="205">
      <c r="A205" s="29" t="n"/>
      <c r="B205" s="30" t="n"/>
      <c r="C205" s="31" t="n"/>
      <c r="D205" s="29" t="n"/>
      <c r="E205" s="29" t="n"/>
      <c r="F205" s="31" t="n"/>
      <c r="G205" s="29" t="n"/>
      <c r="H205" s="32">
        <f>IF(OR(NOT(AND($A205&lt;&gt;"",OR($G205="",$G205="Active"))),$F205=""),"",INT((TODAY()-$F205+280)/7)&amp;"+"&amp;MOD(TODAY()-$F205+280,7))</f>
        <v/>
      </c>
      <c r="I205" s="32">
        <f>IF(NOT(AND($A205&lt;&gt;"",OR($G205="",$G205="Active"))),"",IF(OR(IFERROR(LOOKUP(2,1/(ISNUMBER($M205:$U205)+($M205:$U205="DNA")),$M205:$U205),"")="DNA",AND(ISNUMBER(IFERROR(LOOKUP(2,1/(ISNUMBER($M205:$U205)+($M205:$U205="DNA")),$M205:$U205),"")),IFERROR(LOOKUP(2,1/(ISNUMBER($M205:$U205)+($M205:$U205="DNA")),$M205:$U205),"")&lt;TODAY())),1,0)+COUNTIF($V205:$Z205,"&lt;"&amp;TODAY()))</f>
        <v/>
      </c>
      <c r="J205" s="32">
        <f>IF(NOT(AND($A205&lt;&gt;"",OR($G205="",$G205="Active"))),"",COUNTIFS($M205:$U205,"&gt;="&amp;TODAY(),$M205:$U205,"&lt;="&amp;TODAY()+7)+COUNTIFS($V205:$Z205,"&gt;="&amp;TODAY(),$V205:$Z205,"&lt;="&amp;TODAY()+7))</f>
        <v/>
      </c>
      <c r="K205" s="32">
        <f>IF(NOT(AND($A205&lt;&gt;"",OR($G205="",$G205="Active"))),"",IF($L205&lt;&gt;"",IF($L205=$M205,"Booking",INDEX($N$4:$U$4,MATCH($L205,$N205:$U205,0))),IF(IFERROR(LOOKUP(2,1/(ISNUMBER($M205:$U205)+($M205:$U205="DNA")),$M205:$U205),"")="DNA","Rebook DNA",IF(ISNUMBER(IFERROR(LOOKUP(2,1/(ISNUMBER($M205:$U205)+($M205:$U205="DNA")),$M205:$U205),"")),IF(ISNUMBER($U205),"Update status","Missed/not booked?"),""))))</f>
        <v/>
      </c>
      <c r="L205" s="33">
        <f>IF(NOT(AND($A205&lt;&gt;"",OR($G205="",$G205="Active"))),"",IFERROR(SMALL($M205:$U205,COUNTIF($M205:$U205,"&lt;"&amp;TODAY())+1),""))</f>
        <v/>
      </c>
      <c r="M205" s="31" t="n"/>
      <c r="N205" s="31" t="n"/>
      <c r="O205" s="31" t="n"/>
      <c r="P205" s="31" t="n"/>
      <c r="Q205" s="31" t="n"/>
      <c r="R205" s="31" t="n"/>
      <c r="S205" s="31" t="n"/>
      <c r="T205" s="31" t="n"/>
      <c r="U205" s="31" t="n"/>
      <c r="V205" s="31" t="n"/>
      <c r="W205" s="31" t="n"/>
      <c r="X205" s="31" t="n"/>
      <c r="Y205" s="31" t="n"/>
      <c r="Z205" s="31" t="n"/>
      <c r="AA205" s="34" t="n"/>
      <c r="AB205" s="29" t="n"/>
      <c r="AC205" s="31" t="n"/>
    </row>
    <row r="206">
      <c r="A206" s="29" t="n"/>
      <c r="B206" s="30" t="n"/>
      <c r="C206" s="31" t="n"/>
      <c r="D206" s="29" t="n"/>
      <c r="E206" s="29" t="n"/>
      <c r="F206" s="31" t="n"/>
      <c r="G206" s="29" t="n"/>
      <c r="H206" s="32">
        <f>IF(OR(NOT(AND($A206&lt;&gt;"",OR($G206="",$G206="Active"))),$F206=""),"",INT((TODAY()-$F206+280)/7)&amp;"+"&amp;MOD(TODAY()-$F206+280,7))</f>
        <v/>
      </c>
      <c r="I206" s="32">
        <f>IF(NOT(AND($A206&lt;&gt;"",OR($G206="",$G206="Active"))),"",IF(OR(IFERROR(LOOKUP(2,1/(ISNUMBER($M206:$U206)+($M206:$U206="DNA")),$M206:$U206),"")="DNA",AND(ISNUMBER(IFERROR(LOOKUP(2,1/(ISNUMBER($M206:$U206)+($M206:$U206="DNA")),$M206:$U206),"")),IFERROR(LOOKUP(2,1/(ISNUMBER($M206:$U206)+($M206:$U206="DNA")),$M206:$U206),"")&lt;TODAY())),1,0)+COUNTIF($V206:$Z206,"&lt;"&amp;TODAY()))</f>
        <v/>
      </c>
      <c r="J206" s="32">
        <f>IF(NOT(AND($A206&lt;&gt;"",OR($G206="",$G206="Active"))),"",COUNTIFS($M206:$U206,"&gt;="&amp;TODAY(),$M206:$U206,"&lt;="&amp;TODAY()+7)+COUNTIFS($V206:$Z206,"&gt;="&amp;TODAY(),$V206:$Z206,"&lt;="&amp;TODAY()+7))</f>
        <v/>
      </c>
      <c r="K206" s="32">
        <f>IF(NOT(AND($A206&lt;&gt;"",OR($G206="",$G206="Active"))),"",IF($L206&lt;&gt;"",IF($L206=$M206,"Booking",INDEX($N$4:$U$4,MATCH($L206,$N206:$U206,0))),IF(IFERROR(LOOKUP(2,1/(ISNUMBER($M206:$U206)+($M206:$U206="DNA")),$M206:$U206),"")="DNA","Rebook DNA",IF(ISNUMBER(IFERROR(LOOKUP(2,1/(ISNUMBER($M206:$U206)+($M206:$U206="DNA")),$M206:$U206),"")),IF(ISNUMBER($U206),"Update status","Missed/not booked?"),""))))</f>
        <v/>
      </c>
      <c r="L206" s="33">
        <f>IF(NOT(AND($A206&lt;&gt;"",OR($G206="",$G206="Active"))),"",IFERROR(SMALL($M206:$U206,COUNTIF($M206:$U206,"&lt;"&amp;TODAY())+1),""))</f>
        <v/>
      </c>
      <c r="M206" s="31" t="n"/>
      <c r="N206" s="31" t="n"/>
      <c r="O206" s="31" t="n"/>
      <c r="P206" s="31" t="n"/>
      <c r="Q206" s="31" t="n"/>
      <c r="R206" s="31" t="n"/>
      <c r="S206" s="31" t="n"/>
      <c r="T206" s="31" t="n"/>
      <c r="U206" s="31" t="n"/>
      <c r="V206" s="31" t="n"/>
      <c r="W206" s="31" t="n"/>
      <c r="X206" s="31" t="n"/>
      <c r="Y206" s="31" t="n"/>
      <c r="Z206" s="31" t="n"/>
      <c r="AA206" s="34" t="n"/>
      <c r="AB206" s="29" t="n"/>
      <c r="AC206" s="31" t="n"/>
    </row>
    <row r="207">
      <c r="A207" s="29" t="n"/>
      <c r="B207" s="30" t="n"/>
      <c r="C207" s="31" t="n"/>
      <c r="D207" s="29" t="n"/>
      <c r="E207" s="29" t="n"/>
      <c r="F207" s="31" t="n"/>
      <c r="G207" s="29" t="n"/>
      <c r="H207" s="32">
        <f>IF(OR(NOT(AND($A207&lt;&gt;"",OR($G207="",$G207="Active"))),$F207=""),"",INT((TODAY()-$F207+280)/7)&amp;"+"&amp;MOD(TODAY()-$F207+280,7))</f>
        <v/>
      </c>
      <c r="I207" s="32">
        <f>IF(NOT(AND($A207&lt;&gt;"",OR($G207="",$G207="Active"))),"",IF(OR(IFERROR(LOOKUP(2,1/(ISNUMBER($M207:$U207)+($M207:$U207="DNA")),$M207:$U207),"")="DNA",AND(ISNUMBER(IFERROR(LOOKUP(2,1/(ISNUMBER($M207:$U207)+($M207:$U207="DNA")),$M207:$U207),"")),IFERROR(LOOKUP(2,1/(ISNUMBER($M207:$U207)+($M207:$U207="DNA")),$M207:$U207),"")&lt;TODAY())),1,0)+COUNTIF($V207:$Z207,"&lt;"&amp;TODAY()))</f>
        <v/>
      </c>
      <c r="J207" s="32">
        <f>IF(NOT(AND($A207&lt;&gt;"",OR($G207="",$G207="Active"))),"",COUNTIFS($M207:$U207,"&gt;="&amp;TODAY(),$M207:$U207,"&lt;="&amp;TODAY()+7)+COUNTIFS($V207:$Z207,"&gt;="&amp;TODAY(),$V207:$Z207,"&lt;="&amp;TODAY()+7))</f>
        <v/>
      </c>
      <c r="K207" s="32">
        <f>IF(NOT(AND($A207&lt;&gt;"",OR($G207="",$G207="Active"))),"",IF($L207&lt;&gt;"",IF($L207=$M207,"Booking",INDEX($N$4:$U$4,MATCH($L207,$N207:$U207,0))),IF(IFERROR(LOOKUP(2,1/(ISNUMBER($M207:$U207)+($M207:$U207="DNA")),$M207:$U207),"")="DNA","Rebook DNA",IF(ISNUMBER(IFERROR(LOOKUP(2,1/(ISNUMBER($M207:$U207)+($M207:$U207="DNA")),$M207:$U207),"")),IF(ISNUMBER($U207),"Update status","Missed/not booked?"),""))))</f>
        <v/>
      </c>
      <c r="L207" s="33">
        <f>IF(NOT(AND($A207&lt;&gt;"",OR($G207="",$G207="Active"))),"",IFERROR(SMALL($M207:$U207,COUNTIF($M207:$U207,"&lt;"&amp;TODAY())+1),""))</f>
        <v/>
      </c>
      <c r="M207" s="31" t="n"/>
      <c r="N207" s="31" t="n"/>
      <c r="O207" s="31" t="n"/>
      <c r="P207" s="31" t="n"/>
      <c r="Q207" s="31" t="n"/>
      <c r="R207" s="31" t="n"/>
      <c r="S207" s="31" t="n"/>
      <c r="T207" s="31" t="n"/>
      <c r="U207" s="31" t="n"/>
      <c r="V207" s="31" t="n"/>
      <c r="W207" s="31" t="n"/>
      <c r="X207" s="31" t="n"/>
      <c r="Y207" s="31" t="n"/>
      <c r="Z207" s="31" t="n"/>
      <c r="AA207" s="34" t="n"/>
      <c r="AB207" s="29" t="n"/>
      <c r="AC207" s="31" t="n"/>
    </row>
    <row r="208">
      <c r="A208" s="29" t="n"/>
      <c r="B208" s="30" t="n"/>
      <c r="C208" s="31" t="n"/>
      <c r="D208" s="29" t="n"/>
      <c r="E208" s="29" t="n"/>
      <c r="F208" s="31" t="n"/>
      <c r="G208" s="29" t="n"/>
      <c r="H208" s="32">
        <f>IF(OR(NOT(AND($A208&lt;&gt;"",OR($G208="",$G208="Active"))),$F208=""),"",INT((TODAY()-$F208+280)/7)&amp;"+"&amp;MOD(TODAY()-$F208+280,7))</f>
        <v/>
      </c>
      <c r="I208" s="32">
        <f>IF(NOT(AND($A208&lt;&gt;"",OR($G208="",$G208="Active"))),"",IF(OR(IFERROR(LOOKUP(2,1/(ISNUMBER($M208:$U208)+($M208:$U208="DNA")),$M208:$U208),"")="DNA",AND(ISNUMBER(IFERROR(LOOKUP(2,1/(ISNUMBER($M208:$U208)+($M208:$U208="DNA")),$M208:$U208),"")),IFERROR(LOOKUP(2,1/(ISNUMBER($M208:$U208)+($M208:$U208="DNA")),$M208:$U208),"")&lt;TODAY())),1,0)+COUNTIF($V208:$Z208,"&lt;"&amp;TODAY()))</f>
        <v/>
      </c>
      <c r="J208" s="32">
        <f>IF(NOT(AND($A208&lt;&gt;"",OR($G208="",$G208="Active"))),"",COUNTIFS($M208:$U208,"&gt;="&amp;TODAY(),$M208:$U208,"&lt;="&amp;TODAY()+7)+COUNTIFS($V208:$Z208,"&gt;="&amp;TODAY(),$V208:$Z208,"&lt;="&amp;TODAY()+7))</f>
        <v/>
      </c>
      <c r="K208" s="32">
        <f>IF(NOT(AND($A208&lt;&gt;"",OR($G208="",$G208="Active"))),"",IF($L208&lt;&gt;"",IF($L208=$M208,"Booking",INDEX($N$4:$U$4,MATCH($L208,$N208:$U208,0))),IF(IFERROR(LOOKUP(2,1/(ISNUMBER($M208:$U208)+($M208:$U208="DNA")),$M208:$U208),"")="DNA","Rebook DNA",IF(ISNUMBER(IFERROR(LOOKUP(2,1/(ISNUMBER($M208:$U208)+($M208:$U208="DNA")),$M208:$U208),"")),IF(ISNUMBER($U208),"Update status","Missed/not booked?"),""))))</f>
        <v/>
      </c>
      <c r="L208" s="33">
        <f>IF(NOT(AND($A208&lt;&gt;"",OR($G208="",$G208="Active"))),"",IFERROR(SMALL($M208:$U208,COUNTIF($M208:$U208,"&lt;"&amp;TODAY())+1),""))</f>
        <v/>
      </c>
      <c r="M208" s="31" t="n"/>
      <c r="N208" s="31" t="n"/>
      <c r="O208" s="31" t="n"/>
      <c r="P208" s="31" t="n"/>
      <c r="Q208" s="31" t="n"/>
      <c r="R208" s="31" t="n"/>
      <c r="S208" s="31" t="n"/>
      <c r="T208" s="31" t="n"/>
      <c r="U208" s="31" t="n"/>
      <c r="V208" s="31" t="n"/>
      <c r="W208" s="31" t="n"/>
      <c r="X208" s="31" t="n"/>
      <c r="Y208" s="31" t="n"/>
      <c r="Z208" s="31" t="n"/>
      <c r="AA208" s="34" t="n"/>
      <c r="AB208" s="29" t="n"/>
      <c r="AC208" s="31" t="n"/>
    </row>
    <row r="209">
      <c r="A209" s="29" t="n"/>
      <c r="B209" s="30" t="n"/>
      <c r="C209" s="31" t="n"/>
      <c r="D209" s="29" t="n"/>
      <c r="E209" s="29" t="n"/>
      <c r="F209" s="31" t="n"/>
      <c r="G209" s="29" t="n"/>
      <c r="H209" s="32">
        <f>IF(OR(NOT(AND($A209&lt;&gt;"",OR($G209="",$G209="Active"))),$F209=""),"",INT((TODAY()-$F209+280)/7)&amp;"+"&amp;MOD(TODAY()-$F209+280,7))</f>
        <v/>
      </c>
      <c r="I209" s="32">
        <f>IF(NOT(AND($A209&lt;&gt;"",OR($G209="",$G209="Active"))),"",IF(OR(IFERROR(LOOKUP(2,1/(ISNUMBER($M209:$U209)+($M209:$U209="DNA")),$M209:$U209),"")="DNA",AND(ISNUMBER(IFERROR(LOOKUP(2,1/(ISNUMBER($M209:$U209)+($M209:$U209="DNA")),$M209:$U209),"")),IFERROR(LOOKUP(2,1/(ISNUMBER($M209:$U209)+($M209:$U209="DNA")),$M209:$U209),"")&lt;TODAY())),1,0)+COUNTIF($V209:$Z209,"&lt;"&amp;TODAY()))</f>
        <v/>
      </c>
      <c r="J209" s="32">
        <f>IF(NOT(AND($A209&lt;&gt;"",OR($G209="",$G209="Active"))),"",COUNTIFS($M209:$U209,"&gt;="&amp;TODAY(),$M209:$U209,"&lt;="&amp;TODAY()+7)+COUNTIFS($V209:$Z209,"&gt;="&amp;TODAY(),$V209:$Z209,"&lt;="&amp;TODAY()+7))</f>
        <v/>
      </c>
      <c r="K209" s="32">
        <f>IF(NOT(AND($A209&lt;&gt;"",OR($G209="",$G209="Active"))),"",IF($L209&lt;&gt;"",IF($L209=$M209,"Booking",INDEX($N$4:$U$4,MATCH($L209,$N209:$U209,0))),IF(IFERROR(LOOKUP(2,1/(ISNUMBER($M209:$U209)+($M209:$U209="DNA")),$M209:$U209),"")="DNA","Rebook DNA",IF(ISNUMBER(IFERROR(LOOKUP(2,1/(ISNUMBER($M209:$U209)+($M209:$U209="DNA")),$M209:$U209),"")),IF(ISNUMBER($U209),"Update status","Missed/not booked?"),""))))</f>
        <v/>
      </c>
      <c r="L209" s="33">
        <f>IF(NOT(AND($A209&lt;&gt;"",OR($G209="",$G209="Active"))),"",IFERROR(SMALL($M209:$U209,COUNTIF($M209:$U209,"&lt;"&amp;TODAY())+1),""))</f>
        <v/>
      </c>
      <c r="M209" s="31" t="n"/>
      <c r="N209" s="31" t="n"/>
      <c r="O209" s="31" t="n"/>
      <c r="P209" s="31" t="n"/>
      <c r="Q209" s="31" t="n"/>
      <c r="R209" s="31" t="n"/>
      <c r="S209" s="31" t="n"/>
      <c r="T209" s="31" t="n"/>
      <c r="U209" s="31" t="n"/>
      <c r="V209" s="31" t="n"/>
      <c r="W209" s="31" t="n"/>
      <c r="X209" s="31" t="n"/>
      <c r="Y209" s="31" t="n"/>
      <c r="Z209" s="31" t="n"/>
      <c r="AA209" s="34" t="n"/>
      <c r="AB209" s="29" t="n"/>
      <c r="AC209" s="31" t="n"/>
    </row>
    <row r="210">
      <c r="A210" s="29" t="n"/>
      <c r="B210" s="30" t="n"/>
      <c r="C210" s="31" t="n"/>
      <c r="D210" s="29" t="n"/>
      <c r="E210" s="29" t="n"/>
      <c r="F210" s="31" t="n"/>
      <c r="G210" s="29" t="n"/>
      <c r="H210" s="32">
        <f>IF(OR(NOT(AND($A210&lt;&gt;"",OR($G210="",$G210="Active"))),$F210=""),"",INT((TODAY()-$F210+280)/7)&amp;"+"&amp;MOD(TODAY()-$F210+280,7))</f>
        <v/>
      </c>
      <c r="I210" s="32">
        <f>IF(NOT(AND($A210&lt;&gt;"",OR($G210="",$G210="Active"))),"",IF(OR(IFERROR(LOOKUP(2,1/(ISNUMBER($M210:$U210)+($M210:$U210="DNA")),$M210:$U210),"")="DNA",AND(ISNUMBER(IFERROR(LOOKUP(2,1/(ISNUMBER($M210:$U210)+($M210:$U210="DNA")),$M210:$U210),"")),IFERROR(LOOKUP(2,1/(ISNUMBER($M210:$U210)+($M210:$U210="DNA")),$M210:$U210),"")&lt;TODAY())),1,0)+COUNTIF($V210:$Z210,"&lt;"&amp;TODAY()))</f>
        <v/>
      </c>
      <c r="J210" s="32">
        <f>IF(NOT(AND($A210&lt;&gt;"",OR($G210="",$G210="Active"))),"",COUNTIFS($M210:$U210,"&gt;="&amp;TODAY(),$M210:$U210,"&lt;="&amp;TODAY()+7)+COUNTIFS($V210:$Z210,"&gt;="&amp;TODAY(),$V210:$Z210,"&lt;="&amp;TODAY()+7))</f>
        <v/>
      </c>
      <c r="K210" s="32">
        <f>IF(NOT(AND($A210&lt;&gt;"",OR($G210="",$G210="Active"))),"",IF($L210&lt;&gt;"",IF($L210=$M210,"Booking",INDEX($N$4:$U$4,MATCH($L210,$N210:$U210,0))),IF(IFERROR(LOOKUP(2,1/(ISNUMBER($M210:$U210)+($M210:$U210="DNA")),$M210:$U210),"")="DNA","Rebook DNA",IF(ISNUMBER(IFERROR(LOOKUP(2,1/(ISNUMBER($M210:$U210)+($M210:$U210="DNA")),$M210:$U210),"")),IF(ISNUMBER($U210),"Update status","Missed/not booked?"),""))))</f>
        <v/>
      </c>
      <c r="L210" s="33">
        <f>IF(NOT(AND($A210&lt;&gt;"",OR($G210="",$G210="Active"))),"",IFERROR(SMALL($M210:$U210,COUNTIF($M210:$U210,"&lt;"&amp;TODAY())+1),""))</f>
        <v/>
      </c>
      <c r="M210" s="31" t="n"/>
      <c r="N210" s="31" t="n"/>
      <c r="O210" s="31" t="n"/>
      <c r="P210" s="31" t="n"/>
      <c r="Q210" s="31" t="n"/>
      <c r="R210" s="31" t="n"/>
      <c r="S210" s="31" t="n"/>
      <c r="T210" s="31" t="n"/>
      <c r="U210" s="31" t="n"/>
      <c r="V210" s="31" t="n"/>
      <c r="W210" s="31" t="n"/>
      <c r="X210" s="31" t="n"/>
      <c r="Y210" s="31" t="n"/>
      <c r="Z210" s="31" t="n"/>
      <c r="AA210" s="34" t="n"/>
      <c r="AB210" s="29" t="n"/>
      <c r="AC210" s="31" t="n"/>
    </row>
    <row r="211">
      <c r="A211" s="29" t="n"/>
      <c r="B211" s="30" t="n"/>
      <c r="C211" s="31" t="n"/>
      <c r="D211" s="29" t="n"/>
      <c r="E211" s="29" t="n"/>
      <c r="F211" s="31" t="n"/>
      <c r="G211" s="29" t="n"/>
      <c r="H211" s="32">
        <f>IF(OR(NOT(AND($A211&lt;&gt;"",OR($G211="",$G211="Active"))),$F211=""),"",INT((TODAY()-$F211+280)/7)&amp;"+"&amp;MOD(TODAY()-$F211+280,7))</f>
        <v/>
      </c>
      <c r="I211" s="32">
        <f>IF(NOT(AND($A211&lt;&gt;"",OR($G211="",$G211="Active"))),"",IF(OR(IFERROR(LOOKUP(2,1/(ISNUMBER($M211:$U211)+($M211:$U211="DNA")),$M211:$U211),"")="DNA",AND(ISNUMBER(IFERROR(LOOKUP(2,1/(ISNUMBER($M211:$U211)+($M211:$U211="DNA")),$M211:$U211),"")),IFERROR(LOOKUP(2,1/(ISNUMBER($M211:$U211)+($M211:$U211="DNA")),$M211:$U211),"")&lt;TODAY())),1,0)+COUNTIF($V211:$Z211,"&lt;"&amp;TODAY()))</f>
        <v/>
      </c>
      <c r="J211" s="32">
        <f>IF(NOT(AND($A211&lt;&gt;"",OR($G211="",$G211="Active"))),"",COUNTIFS($M211:$U211,"&gt;="&amp;TODAY(),$M211:$U211,"&lt;="&amp;TODAY()+7)+COUNTIFS($V211:$Z211,"&gt;="&amp;TODAY(),$V211:$Z211,"&lt;="&amp;TODAY()+7))</f>
        <v/>
      </c>
      <c r="K211" s="32">
        <f>IF(NOT(AND($A211&lt;&gt;"",OR($G211="",$G211="Active"))),"",IF($L211&lt;&gt;"",IF($L211=$M211,"Booking",INDEX($N$4:$U$4,MATCH($L211,$N211:$U211,0))),IF(IFERROR(LOOKUP(2,1/(ISNUMBER($M211:$U211)+($M211:$U211="DNA")),$M211:$U211),"")="DNA","Rebook DNA",IF(ISNUMBER(IFERROR(LOOKUP(2,1/(ISNUMBER($M211:$U211)+($M211:$U211="DNA")),$M211:$U211),"")),IF(ISNUMBER($U211),"Update status","Missed/not booked?"),""))))</f>
        <v/>
      </c>
      <c r="L211" s="33">
        <f>IF(NOT(AND($A211&lt;&gt;"",OR($G211="",$G211="Active"))),"",IFERROR(SMALL($M211:$U211,COUNTIF($M211:$U211,"&lt;"&amp;TODAY())+1),""))</f>
        <v/>
      </c>
      <c r="M211" s="31" t="n"/>
      <c r="N211" s="31" t="n"/>
      <c r="O211" s="31" t="n"/>
      <c r="P211" s="31" t="n"/>
      <c r="Q211" s="31" t="n"/>
      <c r="R211" s="31" t="n"/>
      <c r="S211" s="31" t="n"/>
      <c r="T211" s="31" t="n"/>
      <c r="U211" s="31" t="n"/>
      <c r="V211" s="31" t="n"/>
      <c r="W211" s="31" t="n"/>
      <c r="X211" s="31" t="n"/>
      <c r="Y211" s="31" t="n"/>
      <c r="Z211" s="31" t="n"/>
      <c r="AA211" s="34" t="n"/>
      <c r="AB211" s="29" t="n"/>
      <c r="AC211" s="31" t="n"/>
    </row>
    <row r="212">
      <c r="A212" s="29" t="n"/>
      <c r="B212" s="30" t="n"/>
      <c r="C212" s="31" t="n"/>
      <c r="D212" s="29" t="n"/>
      <c r="E212" s="29" t="n"/>
      <c r="F212" s="31" t="n"/>
      <c r="G212" s="29" t="n"/>
      <c r="H212" s="32">
        <f>IF(OR(NOT(AND($A212&lt;&gt;"",OR($G212="",$G212="Active"))),$F212=""),"",INT((TODAY()-$F212+280)/7)&amp;"+"&amp;MOD(TODAY()-$F212+280,7))</f>
        <v/>
      </c>
      <c r="I212" s="32">
        <f>IF(NOT(AND($A212&lt;&gt;"",OR($G212="",$G212="Active"))),"",IF(OR(IFERROR(LOOKUP(2,1/(ISNUMBER($M212:$U212)+($M212:$U212="DNA")),$M212:$U212),"")="DNA",AND(ISNUMBER(IFERROR(LOOKUP(2,1/(ISNUMBER($M212:$U212)+($M212:$U212="DNA")),$M212:$U212),"")),IFERROR(LOOKUP(2,1/(ISNUMBER($M212:$U212)+($M212:$U212="DNA")),$M212:$U212),"")&lt;TODAY())),1,0)+COUNTIF($V212:$Z212,"&lt;"&amp;TODAY()))</f>
        <v/>
      </c>
      <c r="J212" s="32">
        <f>IF(NOT(AND($A212&lt;&gt;"",OR($G212="",$G212="Active"))),"",COUNTIFS($M212:$U212,"&gt;="&amp;TODAY(),$M212:$U212,"&lt;="&amp;TODAY()+7)+COUNTIFS($V212:$Z212,"&gt;="&amp;TODAY(),$V212:$Z212,"&lt;="&amp;TODAY()+7))</f>
        <v/>
      </c>
      <c r="K212" s="32">
        <f>IF(NOT(AND($A212&lt;&gt;"",OR($G212="",$G212="Active"))),"",IF($L212&lt;&gt;"",IF($L212=$M212,"Booking",INDEX($N$4:$U$4,MATCH($L212,$N212:$U212,0))),IF(IFERROR(LOOKUP(2,1/(ISNUMBER($M212:$U212)+($M212:$U212="DNA")),$M212:$U212),"")="DNA","Rebook DNA",IF(ISNUMBER(IFERROR(LOOKUP(2,1/(ISNUMBER($M212:$U212)+($M212:$U212="DNA")),$M212:$U212),"")),IF(ISNUMBER($U212),"Update status","Missed/not booked?"),""))))</f>
        <v/>
      </c>
      <c r="L212" s="33">
        <f>IF(NOT(AND($A212&lt;&gt;"",OR($G212="",$G212="Active"))),"",IFERROR(SMALL($M212:$U212,COUNTIF($M212:$U212,"&lt;"&amp;TODAY())+1),""))</f>
        <v/>
      </c>
      <c r="M212" s="31" t="n"/>
      <c r="N212" s="31" t="n"/>
      <c r="O212" s="31" t="n"/>
      <c r="P212" s="31" t="n"/>
      <c r="Q212" s="31" t="n"/>
      <c r="R212" s="31" t="n"/>
      <c r="S212" s="31" t="n"/>
      <c r="T212" s="31" t="n"/>
      <c r="U212" s="31" t="n"/>
      <c r="V212" s="31" t="n"/>
      <c r="W212" s="31" t="n"/>
      <c r="X212" s="31" t="n"/>
      <c r="Y212" s="31" t="n"/>
      <c r="Z212" s="31" t="n"/>
      <c r="AA212" s="34" t="n"/>
      <c r="AB212" s="29" t="n"/>
      <c r="AC212" s="31" t="n"/>
    </row>
    <row r="213">
      <c r="A213" s="29" t="n"/>
      <c r="B213" s="30" t="n"/>
      <c r="C213" s="31" t="n"/>
      <c r="D213" s="29" t="n"/>
      <c r="E213" s="29" t="n"/>
      <c r="F213" s="31" t="n"/>
      <c r="G213" s="29" t="n"/>
      <c r="H213" s="32">
        <f>IF(OR(NOT(AND($A213&lt;&gt;"",OR($G213="",$G213="Active"))),$F213=""),"",INT((TODAY()-$F213+280)/7)&amp;"+"&amp;MOD(TODAY()-$F213+280,7))</f>
        <v/>
      </c>
      <c r="I213" s="32">
        <f>IF(NOT(AND($A213&lt;&gt;"",OR($G213="",$G213="Active"))),"",IF(OR(IFERROR(LOOKUP(2,1/(ISNUMBER($M213:$U213)+($M213:$U213="DNA")),$M213:$U213),"")="DNA",AND(ISNUMBER(IFERROR(LOOKUP(2,1/(ISNUMBER($M213:$U213)+($M213:$U213="DNA")),$M213:$U213),"")),IFERROR(LOOKUP(2,1/(ISNUMBER($M213:$U213)+($M213:$U213="DNA")),$M213:$U213),"")&lt;TODAY())),1,0)+COUNTIF($V213:$Z213,"&lt;"&amp;TODAY()))</f>
        <v/>
      </c>
      <c r="J213" s="32">
        <f>IF(NOT(AND($A213&lt;&gt;"",OR($G213="",$G213="Active"))),"",COUNTIFS($M213:$U213,"&gt;="&amp;TODAY(),$M213:$U213,"&lt;="&amp;TODAY()+7)+COUNTIFS($V213:$Z213,"&gt;="&amp;TODAY(),$V213:$Z213,"&lt;="&amp;TODAY()+7))</f>
        <v/>
      </c>
      <c r="K213" s="32">
        <f>IF(NOT(AND($A213&lt;&gt;"",OR($G213="",$G213="Active"))),"",IF($L213&lt;&gt;"",IF($L213=$M213,"Booking",INDEX($N$4:$U$4,MATCH($L213,$N213:$U213,0))),IF(IFERROR(LOOKUP(2,1/(ISNUMBER($M213:$U213)+($M213:$U213="DNA")),$M213:$U213),"")="DNA","Rebook DNA",IF(ISNUMBER(IFERROR(LOOKUP(2,1/(ISNUMBER($M213:$U213)+($M213:$U213="DNA")),$M213:$U213),"")),IF(ISNUMBER($U213),"Update status","Missed/not booked?"),""))))</f>
        <v/>
      </c>
      <c r="L213" s="33">
        <f>IF(NOT(AND($A213&lt;&gt;"",OR($G213="",$G213="Active"))),"",IFERROR(SMALL($M213:$U213,COUNTIF($M213:$U213,"&lt;"&amp;TODAY())+1),""))</f>
        <v/>
      </c>
      <c r="M213" s="31" t="n"/>
      <c r="N213" s="31" t="n"/>
      <c r="O213" s="31" t="n"/>
      <c r="P213" s="31" t="n"/>
      <c r="Q213" s="31" t="n"/>
      <c r="R213" s="31" t="n"/>
      <c r="S213" s="31" t="n"/>
      <c r="T213" s="31" t="n"/>
      <c r="U213" s="31" t="n"/>
      <c r="V213" s="31" t="n"/>
      <c r="W213" s="31" t="n"/>
      <c r="X213" s="31" t="n"/>
      <c r="Y213" s="31" t="n"/>
      <c r="Z213" s="31" t="n"/>
      <c r="AA213" s="34" t="n"/>
      <c r="AB213" s="29" t="n"/>
      <c r="AC213" s="31" t="n"/>
    </row>
    <row r="214">
      <c r="A214" s="29" t="n"/>
      <c r="B214" s="30" t="n"/>
      <c r="C214" s="31" t="n"/>
      <c r="D214" s="29" t="n"/>
      <c r="E214" s="29" t="n"/>
      <c r="F214" s="31" t="n"/>
      <c r="G214" s="29" t="n"/>
      <c r="H214" s="32">
        <f>IF(OR(NOT(AND($A214&lt;&gt;"",OR($G214="",$G214="Active"))),$F214=""),"",INT((TODAY()-$F214+280)/7)&amp;"+"&amp;MOD(TODAY()-$F214+280,7))</f>
        <v/>
      </c>
      <c r="I214" s="32">
        <f>IF(NOT(AND($A214&lt;&gt;"",OR($G214="",$G214="Active"))),"",IF(OR(IFERROR(LOOKUP(2,1/(ISNUMBER($M214:$U214)+($M214:$U214="DNA")),$M214:$U214),"")="DNA",AND(ISNUMBER(IFERROR(LOOKUP(2,1/(ISNUMBER($M214:$U214)+($M214:$U214="DNA")),$M214:$U214),"")),IFERROR(LOOKUP(2,1/(ISNUMBER($M214:$U214)+($M214:$U214="DNA")),$M214:$U214),"")&lt;TODAY())),1,0)+COUNTIF($V214:$Z214,"&lt;"&amp;TODAY()))</f>
        <v/>
      </c>
      <c r="J214" s="32">
        <f>IF(NOT(AND($A214&lt;&gt;"",OR($G214="",$G214="Active"))),"",COUNTIFS($M214:$U214,"&gt;="&amp;TODAY(),$M214:$U214,"&lt;="&amp;TODAY()+7)+COUNTIFS($V214:$Z214,"&gt;="&amp;TODAY(),$V214:$Z214,"&lt;="&amp;TODAY()+7))</f>
        <v/>
      </c>
      <c r="K214" s="32">
        <f>IF(NOT(AND($A214&lt;&gt;"",OR($G214="",$G214="Active"))),"",IF($L214&lt;&gt;"",IF($L214=$M214,"Booking",INDEX($N$4:$U$4,MATCH($L214,$N214:$U214,0))),IF(IFERROR(LOOKUP(2,1/(ISNUMBER($M214:$U214)+($M214:$U214="DNA")),$M214:$U214),"")="DNA","Rebook DNA",IF(ISNUMBER(IFERROR(LOOKUP(2,1/(ISNUMBER($M214:$U214)+($M214:$U214="DNA")),$M214:$U214),"")),IF(ISNUMBER($U214),"Update status","Missed/not booked?"),""))))</f>
        <v/>
      </c>
      <c r="L214" s="33">
        <f>IF(NOT(AND($A214&lt;&gt;"",OR($G214="",$G214="Active"))),"",IFERROR(SMALL($M214:$U214,COUNTIF($M214:$U214,"&lt;"&amp;TODAY())+1),""))</f>
        <v/>
      </c>
      <c r="M214" s="31" t="n"/>
      <c r="N214" s="31" t="n"/>
      <c r="O214" s="31" t="n"/>
      <c r="P214" s="31" t="n"/>
      <c r="Q214" s="31" t="n"/>
      <c r="R214" s="31" t="n"/>
      <c r="S214" s="31" t="n"/>
      <c r="T214" s="31" t="n"/>
      <c r="U214" s="31" t="n"/>
      <c r="V214" s="31" t="n"/>
      <c r="W214" s="31" t="n"/>
      <c r="X214" s="31" t="n"/>
      <c r="Y214" s="31" t="n"/>
      <c r="Z214" s="31" t="n"/>
      <c r="AA214" s="34" t="n"/>
      <c r="AB214" s="29" t="n"/>
      <c r="AC214" s="31" t="n"/>
    </row>
    <row r="215">
      <c r="A215" s="29" t="n"/>
      <c r="B215" s="30" t="n"/>
      <c r="C215" s="31" t="n"/>
      <c r="D215" s="29" t="n"/>
      <c r="E215" s="29" t="n"/>
      <c r="F215" s="31" t="n"/>
      <c r="G215" s="29" t="n"/>
      <c r="H215" s="32">
        <f>IF(OR(NOT(AND($A215&lt;&gt;"",OR($G215="",$G215="Active"))),$F215=""),"",INT((TODAY()-$F215+280)/7)&amp;"+"&amp;MOD(TODAY()-$F215+280,7))</f>
        <v/>
      </c>
      <c r="I215" s="32">
        <f>IF(NOT(AND($A215&lt;&gt;"",OR($G215="",$G215="Active"))),"",IF(OR(IFERROR(LOOKUP(2,1/(ISNUMBER($M215:$U215)+($M215:$U215="DNA")),$M215:$U215),"")="DNA",AND(ISNUMBER(IFERROR(LOOKUP(2,1/(ISNUMBER($M215:$U215)+($M215:$U215="DNA")),$M215:$U215),"")),IFERROR(LOOKUP(2,1/(ISNUMBER($M215:$U215)+($M215:$U215="DNA")),$M215:$U215),"")&lt;TODAY())),1,0)+COUNTIF($V215:$Z215,"&lt;"&amp;TODAY()))</f>
        <v/>
      </c>
      <c r="J215" s="32">
        <f>IF(NOT(AND($A215&lt;&gt;"",OR($G215="",$G215="Active"))),"",COUNTIFS($M215:$U215,"&gt;="&amp;TODAY(),$M215:$U215,"&lt;="&amp;TODAY()+7)+COUNTIFS($V215:$Z215,"&gt;="&amp;TODAY(),$V215:$Z215,"&lt;="&amp;TODAY()+7))</f>
        <v/>
      </c>
      <c r="K215" s="32">
        <f>IF(NOT(AND($A215&lt;&gt;"",OR($G215="",$G215="Active"))),"",IF($L215&lt;&gt;"",IF($L215=$M215,"Booking",INDEX($N$4:$U$4,MATCH($L215,$N215:$U215,0))),IF(IFERROR(LOOKUP(2,1/(ISNUMBER($M215:$U215)+($M215:$U215="DNA")),$M215:$U215),"")="DNA","Rebook DNA",IF(ISNUMBER(IFERROR(LOOKUP(2,1/(ISNUMBER($M215:$U215)+($M215:$U215="DNA")),$M215:$U215),"")),IF(ISNUMBER($U215),"Update status","Missed/not booked?"),""))))</f>
        <v/>
      </c>
      <c r="L215" s="33">
        <f>IF(NOT(AND($A215&lt;&gt;"",OR($G215="",$G215="Active"))),"",IFERROR(SMALL($M215:$U215,COUNTIF($M215:$U215,"&lt;"&amp;TODAY())+1),""))</f>
        <v/>
      </c>
      <c r="M215" s="31" t="n"/>
      <c r="N215" s="31" t="n"/>
      <c r="O215" s="31" t="n"/>
      <c r="P215" s="31" t="n"/>
      <c r="Q215" s="31" t="n"/>
      <c r="R215" s="31" t="n"/>
      <c r="S215" s="31" t="n"/>
      <c r="T215" s="31" t="n"/>
      <c r="U215" s="31" t="n"/>
      <c r="V215" s="31" t="n"/>
      <c r="W215" s="31" t="n"/>
      <c r="X215" s="31" t="n"/>
      <c r="Y215" s="31" t="n"/>
      <c r="Z215" s="31" t="n"/>
      <c r="AA215" s="34" t="n"/>
      <c r="AB215" s="29" t="n"/>
      <c r="AC215" s="31" t="n"/>
    </row>
    <row r="216">
      <c r="A216" s="29" t="n"/>
      <c r="B216" s="30" t="n"/>
      <c r="C216" s="31" t="n"/>
      <c r="D216" s="29" t="n"/>
      <c r="E216" s="29" t="n"/>
      <c r="F216" s="31" t="n"/>
      <c r="G216" s="29" t="n"/>
      <c r="H216" s="32">
        <f>IF(OR(NOT(AND($A216&lt;&gt;"",OR($G216="",$G216="Active"))),$F216=""),"",INT((TODAY()-$F216+280)/7)&amp;"+"&amp;MOD(TODAY()-$F216+280,7))</f>
        <v/>
      </c>
      <c r="I216" s="32">
        <f>IF(NOT(AND($A216&lt;&gt;"",OR($G216="",$G216="Active"))),"",IF(OR(IFERROR(LOOKUP(2,1/(ISNUMBER($M216:$U216)+($M216:$U216="DNA")),$M216:$U216),"")="DNA",AND(ISNUMBER(IFERROR(LOOKUP(2,1/(ISNUMBER($M216:$U216)+($M216:$U216="DNA")),$M216:$U216),"")),IFERROR(LOOKUP(2,1/(ISNUMBER($M216:$U216)+($M216:$U216="DNA")),$M216:$U216),"")&lt;TODAY())),1,0)+COUNTIF($V216:$Z216,"&lt;"&amp;TODAY()))</f>
        <v/>
      </c>
      <c r="J216" s="32">
        <f>IF(NOT(AND($A216&lt;&gt;"",OR($G216="",$G216="Active"))),"",COUNTIFS($M216:$U216,"&gt;="&amp;TODAY(),$M216:$U216,"&lt;="&amp;TODAY()+7)+COUNTIFS($V216:$Z216,"&gt;="&amp;TODAY(),$V216:$Z216,"&lt;="&amp;TODAY()+7))</f>
        <v/>
      </c>
      <c r="K216" s="32">
        <f>IF(NOT(AND($A216&lt;&gt;"",OR($G216="",$G216="Active"))),"",IF($L216&lt;&gt;"",IF($L216=$M216,"Booking",INDEX($N$4:$U$4,MATCH($L216,$N216:$U216,0))),IF(IFERROR(LOOKUP(2,1/(ISNUMBER($M216:$U216)+($M216:$U216="DNA")),$M216:$U216),"")="DNA","Rebook DNA",IF(ISNUMBER(IFERROR(LOOKUP(2,1/(ISNUMBER($M216:$U216)+($M216:$U216="DNA")),$M216:$U216),"")),IF(ISNUMBER($U216),"Update status","Missed/not booked?"),""))))</f>
        <v/>
      </c>
      <c r="L216" s="33">
        <f>IF(NOT(AND($A216&lt;&gt;"",OR($G216="",$G216="Active"))),"",IFERROR(SMALL($M216:$U216,COUNTIF($M216:$U216,"&lt;"&amp;TODAY())+1),""))</f>
        <v/>
      </c>
      <c r="M216" s="31" t="n"/>
      <c r="N216" s="31" t="n"/>
      <c r="O216" s="31" t="n"/>
      <c r="P216" s="31" t="n"/>
      <c r="Q216" s="31" t="n"/>
      <c r="R216" s="31" t="n"/>
      <c r="S216" s="31" t="n"/>
      <c r="T216" s="31" t="n"/>
      <c r="U216" s="31" t="n"/>
      <c r="V216" s="31" t="n"/>
      <c r="W216" s="31" t="n"/>
      <c r="X216" s="31" t="n"/>
      <c r="Y216" s="31" t="n"/>
      <c r="Z216" s="31" t="n"/>
      <c r="AA216" s="34" t="n"/>
      <c r="AB216" s="29" t="n"/>
      <c r="AC216" s="31" t="n"/>
    </row>
    <row r="217">
      <c r="A217" s="29" t="n"/>
      <c r="B217" s="30" t="n"/>
      <c r="C217" s="31" t="n"/>
      <c r="D217" s="29" t="n"/>
      <c r="E217" s="29" t="n"/>
      <c r="F217" s="31" t="n"/>
      <c r="G217" s="29" t="n"/>
      <c r="H217" s="32">
        <f>IF(OR(NOT(AND($A217&lt;&gt;"",OR($G217="",$G217="Active"))),$F217=""),"",INT((TODAY()-$F217+280)/7)&amp;"+"&amp;MOD(TODAY()-$F217+280,7))</f>
        <v/>
      </c>
      <c r="I217" s="32">
        <f>IF(NOT(AND($A217&lt;&gt;"",OR($G217="",$G217="Active"))),"",IF(OR(IFERROR(LOOKUP(2,1/(ISNUMBER($M217:$U217)+($M217:$U217="DNA")),$M217:$U217),"")="DNA",AND(ISNUMBER(IFERROR(LOOKUP(2,1/(ISNUMBER($M217:$U217)+($M217:$U217="DNA")),$M217:$U217),"")),IFERROR(LOOKUP(2,1/(ISNUMBER($M217:$U217)+($M217:$U217="DNA")),$M217:$U217),"")&lt;TODAY())),1,0)+COUNTIF($V217:$Z217,"&lt;"&amp;TODAY()))</f>
        <v/>
      </c>
      <c r="J217" s="32">
        <f>IF(NOT(AND($A217&lt;&gt;"",OR($G217="",$G217="Active"))),"",COUNTIFS($M217:$U217,"&gt;="&amp;TODAY(),$M217:$U217,"&lt;="&amp;TODAY()+7)+COUNTIFS($V217:$Z217,"&gt;="&amp;TODAY(),$V217:$Z217,"&lt;="&amp;TODAY()+7))</f>
        <v/>
      </c>
      <c r="K217" s="32">
        <f>IF(NOT(AND($A217&lt;&gt;"",OR($G217="",$G217="Active"))),"",IF($L217&lt;&gt;"",IF($L217=$M217,"Booking",INDEX($N$4:$U$4,MATCH($L217,$N217:$U217,0))),IF(IFERROR(LOOKUP(2,1/(ISNUMBER($M217:$U217)+($M217:$U217="DNA")),$M217:$U217),"")="DNA","Rebook DNA",IF(ISNUMBER(IFERROR(LOOKUP(2,1/(ISNUMBER($M217:$U217)+($M217:$U217="DNA")),$M217:$U217),"")),IF(ISNUMBER($U217),"Update status","Missed/not booked?"),""))))</f>
        <v/>
      </c>
      <c r="L217" s="33">
        <f>IF(NOT(AND($A217&lt;&gt;"",OR($G217="",$G217="Active"))),"",IFERROR(SMALL($M217:$U217,COUNTIF($M217:$U217,"&lt;"&amp;TODAY())+1),""))</f>
        <v/>
      </c>
      <c r="M217" s="31" t="n"/>
      <c r="N217" s="31" t="n"/>
      <c r="O217" s="31" t="n"/>
      <c r="P217" s="31" t="n"/>
      <c r="Q217" s="31" t="n"/>
      <c r="R217" s="31" t="n"/>
      <c r="S217" s="31" t="n"/>
      <c r="T217" s="31" t="n"/>
      <c r="U217" s="31" t="n"/>
      <c r="V217" s="31" t="n"/>
      <c r="W217" s="31" t="n"/>
      <c r="X217" s="31" t="n"/>
      <c r="Y217" s="31" t="n"/>
      <c r="Z217" s="31" t="n"/>
      <c r="AA217" s="34" t="n"/>
      <c r="AB217" s="29" t="n"/>
      <c r="AC217" s="31" t="n"/>
    </row>
    <row r="218">
      <c r="A218" s="29" t="n"/>
      <c r="B218" s="30" t="n"/>
      <c r="C218" s="31" t="n"/>
      <c r="D218" s="29" t="n"/>
      <c r="E218" s="29" t="n"/>
      <c r="F218" s="31" t="n"/>
      <c r="G218" s="29" t="n"/>
      <c r="H218" s="32">
        <f>IF(OR(NOT(AND($A218&lt;&gt;"",OR($G218="",$G218="Active"))),$F218=""),"",INT((TODAY()-$F218+280)/7)&amp;"+"&amp;MOD(TODAY()-$F218+280,7))</f>
        <v/>
      </c>
      <c r="I218" s="32">
        <f>IF(NOT(AND($A218&lt;&gt;"",OR($G218="",$G218="Active"))),"",IF(OR(IFERROR(LOOKUP(2,1/(ISNUMBER($M218:$U218)+($M218:$U218="DNA")),$M218:$U218),"")="DNA",AND(ISNUMBER(IFERROR(LOOKUP(2,1/(ISNUMBER($M218:$U218)+($M218:$U218="DNA")),$M218:$U218),"")),IFERROR(LOOKUP(2,1/(ISNUMBER($M218:$U218)+($M218:$U218="DNA")),$M218:$U218),"")&lt;TODAY())),1,0)+COUNTIF($V218:$Z218,"&lt;"&amp;TODAY()))</f>
        <v/>
      </c>
      <c r="J218" s="32">
        <f>IF(NOT(AND($A218&lt;&gt;"",OR($G218="",$G218="Active"))),"",COUNTIFS($M218:$U218,"&gt;="&amp;TODAY(),$M218:$U218,"&lt;="&amp;TODAY()+7)+COUNTIFS($V218:$Z218,"&gt;="&amp;TODAY(),$V218:$Z218,"&lt;="&amp;TODAY()+7))</f>
        <v/>
      </c>
      <c r="K218" s="32">
        <f>IF(NOT(AND($A218&lt;&gt;"",OR($G218="",$G218="Active"))),"",IF($L218&lt;&gt;"",IF($L218=$M218,"Booking",INDEX($N$4:$U$4,MATCH($L218,$N218:$U218,0))),IF(IFERROR(LOOKUP(2,1/(ISNUMBER($M218:$U218)+($M218:$U218="DNA")),$M218:$U218),"")="DNA","Rebook DNA",IF(ISNUMBER(IFERROR(LOOKUP(2,1/(ISNUMBER($M218:$U218)+($M218:$U218="DNA")),$M218:$U218),"")),IF(ISNUMBER($U218),"Update status","Missed/not booked?"),""))))</f>
        <v/>
      </c>
      <c r="L218" s="33">
        <f>IF(NOT(AND($A218&lt;&gt;"",OR($G218="",$G218="Active"))),"",IFERROR(SMALL($M218:$U218,COUNTIF($M218:$U218,"&lt;"&amp;TODAY())+1),""))</f>
        <v/>
      </c>
      <c r="M218" s="31" t="n"/>
      <c r="N218" s="31" t="n"/>
      <c r="O218" s="31" t="n"/>
      <c r="P218" s="31" t="n"/>
      <c r="Q218" s="31" t="n"/>
      <c r="R218" s="31" t="n"/>
      <c r="S218" s="31" t="n"/>
      <c r="T218" s="31" t="n"/>
      <c r="U218" s="31" t="n"/>
      <c r="V218" s="31" t="n"/>
      <c r="W218" s="31" t="n"/>
      <c r="X218" s="31" t="n"/>
      <c r="Y218" s="31" t="n"/>
      <c r="Z218" s="31" t="n"/>
      <c r="AA218" s="34" t="n"/>
      <c r="AB218" s="29" t="n"/>
      <c r="AC218" s="31" t="n"/>
    </row>
    <row r="219">
      <c r="A219" s="29" t="n"/>
      <c r="B219" s="30" t="n"/>
      <c r="C219" s="31" t="n"/>
      <c r="D219" s="29" t="n"/>
      <c r="E219" s="29" t="n"/>
      <c r="F219" s="31" t="n"/>
      <c r="G219" s="29" t="n"/>
      <c r="H219" s="32">
        <f>IF(OR(NOT(AND($A219&lt;&gt;"",OR($G219="",$G219="Active"))),$F219=""),"",INT((TODAY()-$F219+280)/7)&amp;"+"&amp;MOD(TODAY()-$F219+280,7))</f>
        <v/>
      </c>
      <c r="I219" s="32">
        <f>IF(NOT(AND($A219&lt;&gt;"",OR($G219="",$G219="Active"))),"",IF(OR(IFERROR(LOOKUP(2,1/(ISNUMBER($M219:$U219)+($M219:$U219="DNA")),$M219:$U219),"")="DNA",AND(ISNUMBER(IFERROR(LOOKUP(2,1/(ISNUMBER($M219:$U219)+($M219:$U219="DNA")),$M219:$U219),"")),IFERROR(LOOKUP(2,1/(ISNUMBER($M219:$U219)+($M219:$U219="DNA")),$M219:$U219),"")&lt;TODAY())),1,0)+COUNTIF($V219:$Z219,"&lt;"&amp;TODAY()))</f>
        <v/>
      </c>
      <c r="J219" s="32">
        <f>IF(NOT(AND($A219&lt;&gt;"",OR($G219="",$G219="Active"))),"",COUNTIFS($M219:$U219,"&gt;="&amp;TODAY(),$M219:$U219,"&lt;="&amp;TODAY()+7)+COUNTIFS($V219:$Z219,"&gt;="&amp;TODAY(),$V219:$Z219,"&lt;="&amp;TODAY()+7))</f>
        <v/>
      </c>
      <c r="K219" s="32">
        <f>IF(NOT(AND($A219&lt;&gt;"",OR($G219="",$G219="Active"))),"",IF($L219&lt;&gt;"",IF($L219=$M219,"Booking",INDEX($N$4:$U$4,MATCH($L219,$N219:$U219,0))),IF(IFERROR(LOOKUP(2,1/(ISNUMBER($M219:$U219)+($M219:$U219="DNA")),$M219:$U219),"")="DNA","Rebook DNA",IF(ISNUMBER(IFERROR(LOOKUP(2,1/(ISNUMBER($M219:$U219)+($M219:$U219="DNA")),$M219:$U219),"")),IF(ISNUMBER($U219),"Update status","Missed/not booked?"),""))))</f>
        <v/>
      </c>
      <c r="L219" s="33">
        <f>IF(NOT(AND($A219&lt;&gt;"",OR($G219="",$G219="Active"))),"",IFERROR(SMALL($M219:$U219,COUNTIF($M219:$U219,"&lt;"&amp;TODAY())+1),""))</f>
        <v/>
      </c>
      <c r="M219" s="31" t="n"/>
      <c r="N219" s="31" t="n"/>
      <c r="O219" s="31" t="n"/>
      <c r="P219" s="31" t="n"/>
      <c r="Q219" s="31" t="n"/>
      <c r="R219" s="31" t="n"/>
      <c r="S219" s="31" t="n"/>
      <c r="T219" s="31" t="n"/>
      <c r="U219" s="31" t="n"/>
      <c r="V219" s="31" t="n"/>
      <c r="W219" s="31" t="n"/>
      <c r="X219" s="31" t="n"/>
      <c r="Y219" s="31" t="n"/>
      <c r="Z219" s="31" t="n"/>
      <c r="AA219" s="34" t="n"/>
      <c r="AB219" s="29" t="n"/>
      <c r="AC219" s="31" t="n"/>
    </row>
    <row r="220">
      <c r="A220" s="29" t="n"/>
      <c r="B220" s="30" t="n"/>
      <c r="C220" s="31" t="n"/>
      <c r="D220" s="29" t="n"/>
      <c r="E220" s="29" t="n"/>
      <c r="F220" s="31" t="n"/>
      <c r="G220" s="29" t="n"/>
      <c r="H220" s="32">
        <f>IF(OR(NOT(AND($A220&lt;&gt;"",OR($G220="",$G220="Active"))),$F220=""),"",INT((TODAY()-$F220+280)/7)&amp;"+"&amp;MOD(TODAY()-$F220+280,7))</f>
        <v/>
      </c>
      <c r="I220" s="32">
        <f>IF(NOT(AND($A220&lt;&gt;"",OR($G220="",$G220="Active"))),"",IF(OR(IFERROR(LOOKUP(2,1/(ISNUMBER($M220:$U220)+($M220:$U220="DNA")),$M220:$U220),"")="DNA",AND(ISNUMBER(IFERROR(LOOKUP(2,1/(ISNUMBER($M220:$U220)+($M220:$U220="DNA")),$M220:$U220),"")),IFERROR(LOOKUP(2,1/(ISNUMBER($M220:$U220)+($M220:$U220="DNA")),$M220:$U220),"")&lt;TODAY())),1,0)+COUNTIF($V220:$Z220,"&lt;"&amp;TODAY()))</f>
        <v/>
      </c>
      <c r="J220" s="32">
        <f>IF(NOT(AND($A220&lt;&gt;"",OR($G220="",$G220="Active"))),"",COUNTIFS($M220:$U220,"&gt;="&amp;TODAY(),$M220:$U220,"&lt;="&amp;TODAY()+7)+COUNTIFS($V220:$Z220,"&gt;="&amp;TODAY(),$V220:$Z220,"&lt;="&amp;TODAY()+7))</f>
        <v/>
      </c>
      <c r="K220" s="32">
        <f>IF(NOT(AND($A220&lt;&gt;"",OR($G220="",$G220="Active"))),"",IF($L220&lt;&gt;"",IF($L220=$M220,"Booking",INDEX($N$4:$U$4,MATCH($L220,$N220:$U220,0))),IF(IFERROR(LOOKUP(2,1/(ISNUMBER($M220:$U220)+($M220:$U220="DNA")),$M220:$U220),"")="DNA","Rebook DNA",IF(ISNUMBER(IFERROR(LOOKUP(2,1/(ISNUMBER($M220:$U220)+($M220:$U220="DNA")),$M220:$U220),"")),IF(ISNUMBER($U220),"Update status","Missed/not booked?"),""))))</f>
        <v/>
      </c>
      <c r="L220" s="33">
        <f>IF(NOT(AND($A220&lt;&gt;"",OR($G220="",$G220="Active"))),"",IFERROR(SMALL($M220:$U220,COUNTIF($M220:$U220,"&lt;"&amp;TODAY())+1),""))</f>
        <v/>
      </c>
      <c r="M220" s="31" t="n"/>
      <c r="N220" s="31" t="n"/>
      <c r="O220" s="31" t="n"/>
      <c r="P220" s="31" t="n"/>
      <c r="Q220" s="31" t="n"/>
      <c r="R220" s="31" t="n"/>
      <c r="S220" s="31" t="n"/>
      <c r="T220" s="31" t="n"/>
      <c r="U220" s="31" t="n"/>
      <c r="V220" s="31" t="n"/>
      <c r="W220" s="31" t="n"/>
      <c r="X220" s="31" t="n"/>
      <c r="Y220" s="31" t="n"/>
      <c r="Z220" s="31" t="n"/>
      <c r="AA220" s="34" t="n"/>
      <c r="AB220" s="29" t="n"/>
      <c r="AC220" s="31" t="n"/>
    </row>
    <row r="221">
      <c r="A221" s="29" t="n"/>
      <c r="B221" s="30" t="n"/>
      <c r="C221" s="31" t="n"/>
      <c r="D221" s="29" t="n"/>
      <c r="E221" s="29" t="n"/>
      <c r="F221" s="31" t="n"/>
      <c r="G221" s="29" t="n"/>
      <c r="H221" s="32">
        <f>IF(OR(NOT(AND($A221&lt;&gt;"",OR($G221="",$G221="Active"))),$F221=""),"",INT((TODAY()-$F221+280)/7)&amp;"+"&amp;MOD(TODAY()-$F221+280,7))</f>
        <v/>
      </c>
      <c r="I221" s="32">
        <f>IF(NOT(AND($A221&lt;&gt;"",OR($G221="",$G221="Active"))),"",IF(OR(IFERROR(LOOKUP(2,1/(ISNUMBER($M221:$U221)+($M221:$U221="DNA")),$M221:$U221),"")="DNA",AND(ISNUMBER(IFERROR(LOOKUP(2,1/(ISNUMBER($M221:$U221)+($M221:$U221="DNA")),$M221:$U221),"")),IFERROR(LOOKUP(2,1/(ISNUMBER($M221:$U221)+($M221:$U221="DNA")),$M221:$U221),"")&lt;TODAY())),1,0)+COUNTIF($V221:$Z221,"&lt;"&amp;TODAY()))</f>
        <v/>
      </c>
      <c r="J221" s="32">
        <f>IF(NOT(AND($A221&lt;&gt;"",OR($G221="",$G221="Active"))),"",COUNTIFS($M221:$U221,"&gt;="&amp;TODAY(),$M221:$U221,"&lt;="&amp;TODAY()+7)+COUNTIFS($V221:$Z221,"&gt;="&amp;TODAY(),$V221:$Z221,"&lt;="&amp;TODAY()+7))</f>
        <v/>
      </c>
      <c r="K221" s="32">
        <f>IF(NOT(AND($A221&lt;&gt;"",OR($G221="",$G221="Active"))),"",IF($L221&lt;&gt;"",IF($L221=$M221,"Booking",INDEX($N$4:$U$4,MATCH($L221,$N221:$U221,0))),IF(IFERROR(LOOKUP(2,1/(ISNUMBER($M221:$U221)+($M221:$U221="DNA")),$M221:$U221),"")="DNA","Rebook DNA",IF(ISNUMBER(IFERROR(LOOKUP(2,1/(ISNUMBER($M221:$U221)+($M221:$U221="DNA")),$M221:$U221),"")),IF(ISNUMBER($U221),"Update status","Missed/not booked?"),""))))</f>
        <v/>
      </c>
      <c r="L221" s="33">
        <f>IF(NOT(AND($A221&lt;&gt;"",OR($G221="",$G221="Active"))),"",IFERROR(SMALL($M221:$U221,COUNTIF($M221:$U221,"&lt;"&amp;TODAY())+1),""))</f>
        <v/>
      </c>
      <c r="M221" s="31" t="n"/>
      <c r="N221" s="31" t="n"/>
      <c r="O221" s="31" t="n"/>
      <c r="P221" s="31" t="n"/>
      <c r="Q221" s="31" t="n"/>
      <c r="R221" s="31" t="n"/>
      <c r="S221" s="31" t="n"/>
      <c r="T221" s="31" t="n"/>
      <c r="U221" s="31" t="n"/>
      <c r="V221" s="31" t="n"/>
      <c r="W221" s="31" t="n"/>
      <c r="X221" s="31" t="n"/>
      <c r="Y221" s="31" t="n"/>
      <c r="Z221" s="31" t="n"/>
      <c r="AA221" s="34" t="n"/>
      <c r="AB221" s="29" t="n"/>
      <c r="AC221" s="31" t="n"/>
    </row>
    <row r="222">
      <c r="A222" s="29" t="n"/>
      <c r="B222" s="30" t="n"/>
      <c r="C222" s="31" t="n"/>
      <c r="D222" s="29" t="n"/>
      <c r="E222" s="29" t="n"/>
      <c r="F222" s="31" t="n"/>
      <c r="G222" s="29" t="n"/>
      <c r="H222" s="32">
        <f>IF(OR(NOT(AND($A222&lt;&gt;"",OR($G222="",$G222="Active"))),$F222=""),"",INT((TODAY()-$F222+280)/7)&amp;"+"&amp;MOD(TODAY()-$F222+280,7))</f>
        <v/>
      </c>
      <c r="I222" s="32">
        <f>IF(NOT(AND($A222&lt;&gt;"",OR($G222="",$G222="Active"))),"",IF(OR(IFERROR(LOOKUP(2,1/(ISNUMBER($M222:$U222)+($M222:$U222="DNA")),$M222:$U222),"")="DNA",AND(ISNUMBER(IFERROR(LOOKUP(2,1/(ISNUMBER($M222:$U222)+($M222:$U222="DNA")),$M222:$U222),"")),IFERROR(LOOKUP(2,1/(ISNUMBER($M222:$U222)+($M222:$U222="DNA")),$M222:$U222),"")&lt;TODAY())),1,0)+COUNTIF($V222:$Z222,"&lt;"&amp;TODAY()))</f>
        <v/>
      </c>
      <c r="J222" s="32">
        <f>IF(NOT(AND($A222&lt;&gt;"",OR($G222="",$G222="Active"))),"",COUNTIFS($M222:$U222,"&gt;="&amp;TODAY(),$M222:$U222,"&lt;="&amp;TODAY()+7)+COUNTIFS($V222:$Z222,"&gt;="&amp;TODAY(),$V222:$Z222,"&lt;="&amp;TODAY()+7))</f>
        <v/>
      </c>
      <c r="K222" s="32">
        <f>IF(NOT(AND($A222&lt;&gt;"",OR($G222="",$G222="Active"))),"",IF($L222&lt;&gt;"",IF($L222=$M222,"Booking",INDEX($N$4:$U$4,MATCH($L222,$N222:$U222,0))),IF(IFERROR(LOOKUP(2,1/(ISNUMBER($M222:$U222)+($M222:$U222="DNA")),$M222:$U222),"")="DNA","Rebook DNA",IF(ISNUMBER(IFERROR(LOOKUP(2,1/(ISNUMBER($M222:$U222)+($M222:$U222="DNA")),$M222:$U222),"")),IF(ISNUMBER($U222),"Update status","Missed/not booked?"),""))))</f>
        <v/>
      </c>
      <c r="L222" s="33">
        <f>IF(NOT(AND($A222&lt;&gt;"",OR($G222="",$G222="Active"))),"",IFERROR(SMALL($M222:$U222,COUNTIF($M222:$U222,"&lt;"&amp;TODAY())+1),""))</f>
        <v/>
      </c>
      <c r="M222" s="31" t="n"/>
      <c r="N222" s="31" t="n"/>
      <c r="O222" s="31" t="n"/>
      <c r="P222" s="31" t="n"/>
      <c r="Q222" s="31" t="n"/>
      <c r="R222" s="31" t="n"/>
      <c r="S222" s="31" t="n"/>
      <c r="T222" s="31" t="n"/>
      <c r="U222" s="31" t="n"/>
      <c r="V222" s="31" t="n"/>
      <c r="W222" s="31" t="n"/>
      <c r="X222" s="31" t="n"/>
      <c r="Y222" s="31" t="n"/>
      <c r="Z222" s="31" t="n"/>
      <c r="AA222" s="34" t="n"/>
      <c r="AB222" s="29" t="n"/>
      <c r="AC222" s="31" t="n"/>
    </row>
    <row r="223">
      <c r="A223" s="29" t="n"/>
      <c r="B223" s="30" t="n"/>
      <c r="C223" s="31" t="n"/>
      <c r="D223" s="29" t="n"/>
      <c r="E223" s="29" t="n"/>
      <c r="F223" s="31" t="n"/>
      <c r="G223" s="29" t="n"/>
      <c r="H223" s="32">
        <f>IF(OR(NOT(AND($A223&lt;&gt;"",OR($G223="",$G223="Active"))),$F223=""),"",INT((TODAY()-$F223+280)/7)&amp;"+"&amp;MOD(TODAY()-$F223+280,7))</f>
        <v/>
      </c>
      <c r="I223" s="32">
        <f>IF(NOT(AND($A223&lt;&gt;"",OR($G223="",$G223="Active"))),"",IF(OR(IFERROR(LOOKUP(2,1/(ISNUMBER($M223:$U223)+($M223:$U223="DNA")),$M223:$U223),"")="DNA",AND(ISNUMBER(IFERROR(LOOKUP(2,1/(ISNUMBER($M223:$U223)+($M223:$U223="DNA")),$M223:$U223),"")),IFERROR(LOOKUP(2,1/(ISNUMBER($M223:$U223)+($M223:$U223="DNA")),$M223:$U223),"")&lt;TODAY())),1,0)+COUNTIF($V223:$Z223,"&lt;"&amp;TODAY()))</f>
        <v/>
      </c>
      <c r="J223" s="32">
        <f>IF(NOT(AND($A223&lt;&gt;"",OR($G223="",$G223="Active"))),"",COUNTIFS($M223:$U223,"&gt;="&amp;TODAY(),$M223:$U223,"&lt;="&amp;TODAY()+7)+COUNTIFS($V223:$Z223,"&gt;="&amp;TODAY(),$V223:$Z223,"&lt;="&amp;TODAY()+7))</f>
        <v/>
      </c>
      <c r="K223" s="32">
        <f>IF(NOT(AND($A223&lt;&gt;"",OR($G223="",$G223="Active"))),"",IF($L223&lt;&gt;"",IF($L223=$M223,"Booking",INDEX($N$4:$U$4,MATCH($L223,$N223:$U223,0))),IF(IFERROR(LOOKUP(2,1/(ISNUMBER($M223:$U223)+($M223:$U223="DNA")),$M223:$U223),"")="DNA","Rebook DNA",IF(ISNUMBER(IFERROR(LOOKUP(2,1/(ISNUMBER($M223:$U223)+($M223:$U223="DNA")),$M223:$U223),"")),IF(ISNUMBER($U223),"Update status","Missed/not booked?"),""))))</f>
        <v/>
      </c>
      <c r="L223" s="33">
        <f>IF(NOT(AND($A223&lt;&gt;"",OR($G223="",$G223="Active"))),"",IFERROR(SMALL($M223:$U223,COUNTIF($M223:$U223,"&lt;"&amp;TODAY())+1),""))</f>
        <v/>
      </c>
      <c r="M223" s="31" t="n"/>
      <c r="N223" s="31" t="n"/>
      <c r="O223" s="31" t="n"/>
      <c r="P223" s="31" t="n"/>
      <c r="Q223" s="31" t="n"/>
      <c r="R223" s="31" t="n"/>
      <c r="S223" s="31" t="n"/>
      <c r="T223" s="31" t="n"/>
      <c r="U223" s="31" t="n"/>
      <c r="V223" s="31" t="n"/>
      <c r="W223" s="31" t="n"/>
      <c r="X223" s="31" t="n"/>
      <c r="Y223" s="31" t="n"/>
      <c r="Z223" s="31" t="n"/>
      <c r="AA223" s="34" t="n"/>
      <c r="AB223" s="29" t="n"/>
      <c r="AC223" s="31" t="n"/>
    </row>
    <row r="224">
      <c r="A224" s="29" t="n"/>
      <c r="B224" s="30" t="n"/>
      <c r="C224" s="31" t="n"/>
      <c r="D224" s="29" t="n"/>
      <c r="E224" s="29" t="n"/>
      <c r="F224" s="31" t="n"/>
      <c r="G224" s="29" t="n"/>
      <c r="H224" s="32">
        <f>IF(OR(NOT(AND($A224&lt;&gt;"",OR($G224="",$G224="Active"))),$F224=""),"",INT((TODAY()-$F224+280)/7)&amp;"+"&amp;MOD(TODAY()-$F224+280,7))</f>
        <v/>
      </c>
      <c r="I224" s="32">
        <f>IF(NOT(AND($A224&lt;&gt;"",OR($G224="",$G224="Active"))),"",IF(OR(IFERROR(LOOKUP(2,1/(ISNUMBER($M224:$U224)+($M224:$U224="DNA")),$M224:$U224),"")="DNA",AND(ISNUMBER(IFERROR(LOOKUP(2,1/(ISNUMBER($M224:$U224)+($M224:$U224="DNA")),$M224:$U224),"")),IFERROR(LOOKUP(2,1/(ISNUMBER($M224:$U224)+($M224:$U224="DNA")),$M224:$U224),"")&lt;TODAY())),1,0)+COUNTIF($V224:$Z224,"&lt;"&amp;TODAY()))</f>
        <v/>
      </c>
      <c r="J224" s="32">
        <f>IF(NOT(AND($A224&lt;&gt;"",OR($G224="",$G224="Active"))),"",COUNTIFS($M224:$U224,"&gt;="&amp;TODAY(),$M224:$U224,"&lt;="&amp;TODAY()+7)+COUNTIFS($V224:$Z224,"&gt;="&amp;TODAY(),$V224:$Z224,"&lt;="&amp;TODAY()+7))</f>
        <v/>
      </c>
      <c r="K224" s="32">
        <f>IF(NOT(AND($A224&lt;&gt;"",OR($G224="",$G224="Active"))),"",IF($L224&lt;&gt;"",IF($L224=$M224,"Booking",INDEX($N$4:$U$4,MATCH($L224,$N224:$U224,0))),IF(IFERROR(LOOKUP(2,1/(ISNUMBER($M224:$U224)+($M224:$U224="DNA")),$M224:$U224),"")="DNA","Rebook DNA",IF(ISNUMBER(IFERROR(LOOKUP(2,1/(ISNUMBER($M224:$U224)+($M224:$U224="DNA")),$M224:$U224),"")),IF(ISNUMBER($U224),"Update status","Missed/not booked?"),""))))</f>
        <v/>
      </c>
      <c r="L224" s="33">
        <f>IF(NOT(AND($A224&lt;&gt;"",OR($G224="",$G224="Active"))),"",IFERROR(SMALL($M224:$U224,COUNTIF($M224:$U224,"&lt;"&amp;TODAY())+1),""))</f>
        <v/>
      </c>
      <c r="M224" s="31" t="n"/>
      <c r="N224" s="31" t="n"/>
      <c r="O224" s="31" t="n"/>
      <c r="P224" s="31" t="n"/>
      <c r="Q224" s="31" t="n"/>
      <c r="R224" s="31" t="n"/>
      <c r="S224" s="31" t="n"/>
      <c r="T224" s="31" t="n"/>
      <c r="U224" s="31" t="n"/>
      <c r="V224" s="31" t="n"/>
      <c r="W224" s="31" t="n"/>
      <c r="X224" s="31" t="n"/>
      <c r="Y224" s="31" t="n"/>
      <c r="Z224" s="31" t="n"/>
      <c r="AA224" s="34" t="n"/>
      <c r="AB224" s="29" t="n"/>
      <c r="AC224" s="31" t="n"/>
    </row>
    <row r="225">
      <c r="A225" s="29" t="n"/>
      <c r="B225" s="30" t="n"/>
      <c r="C225" s="31" t="n"/>
      <c r="D225" s="29" t="n"/>
      <c r="E225" s="29" t="n"/>
      <c r="F225" s="31" t="n"/>
      <c r="G225" s="29" t="n"/>
      <c r="H225" s="32">
        <f>IF(OR(NOT(AND($A225&lt;&gt;"",OR($G225="",$G225="Active"))),$F225=""),"",INT((TODAY()-$F225+280)/7)&amp;"+"&amp;MOD(TODAY()-$F225+280,7))</f>
        <v/>
      </c>
      <c r="I225" s="32">
        <f>IF(NOT(AND($A225&lt;&gt;"",OR($G225="",$G225="Active"))),"",IF(OR(IFERROR(LOOKUP(2,1/(ISNUMBER($M225:$U225)+($M225:$U225="DNA")),$M225:$U225),"")="DNA",AND(ISNUMBER(IFERROR(LOOKUP(2,1/(ISNUMBER($M225:$U225)+($M225:$U225="DNA")),$M225:$U225),"")),IFERROR(LOOKUP(2,1/(ISNUMBER($M225:$U225)+($M225:$U225="DNA")),$M225:$U225),"")&lt;TODAY())),1,0)+COUNTIF($V225:$Z225,"&lt;"&amp;TODAY()))</f>
        <v/>
      </c>
      <c r="J225" s="32">
        <f>IF(NOT(AND($A225&lt;&gt;"",OR($G225="",$G225="Active"))),"",COUNTIFS($M225:$U225,"&gt;="&amp;TODAY(),$M225:$U225,"&lt;="&amp;TODAY()+7)+COUNTIFS($V225:$Z225,"&gt;="&amp;TODAY(),$V225:$Z225,"&lt;="&amp;TODAY()+7))</f>
        <v/>
      </c>
      <c r="K225" s="32">
        <f>IF(NOT(AND($A225&lt;&gt;"",OR($G225="",$G225="Active"))),"",IF($L225&lt;&gt;"",IF($L225=$M225,"Booking",INDEX($N$4:$U$4,MATCH($L225,$N225:$U225,0))),IF(IFERROR(LOOKUP(2,1/(ISNUMBER($M225:$U225)+($M225:$U225="DNA")),$M225:$U225),"")="DNA","Rebook DNA",IF(ISNUMBER(IFERROR(LOOKUP(2,1/(ISNUMBER($M225:$U225)+($M225:$U225="DNA")),$M225:$U225),"")),IF(ISNUMBER($U225),"Update status","Missed/not booked?"),""))))</f>
        <v/>
      </c>
      <c r="L225" s="33">
        <f>IF(NOT(AND($A225&lt;&gt;"",OR($G225="",$G225="Active"))),"",IFERROR(SMALL($M225:$U225,COUNTIF($M225:$U225,"&lt;"&amp;TODAY())+1),""))</f>
        <v/>
      </c>
      <c r="M225" s="31" t="n"/>
      <c r="N225" s="31" t="n"/>
      <c r="O225" s="31" t="n"/>
      <c r="P225" s="31" t="n"/>
      <c r="Q225" s="31" t="n"/>
      <c r="R225" s="31" t="n"/>
      <c r="S225" s="31" t="n"/>
      <c r="T225" s="31" t="n"/>
      <c r="U225" s="31" t="n"/>
      <c r="V225" s="31" t="n"/>
      <c r="W225" s="31" t="n"/>
      <c r="X225" s="31" t="n"/>
      <c r="Y225" s="31" t="n"/>
      <c r="Z225" s="31" t="n"/>
      <c r="AA225" s="34" t="n"/>
      <c r="AB225" s="29" t="n"/>
      <c r="AC225" s="31" t="n"/>
    </row>
    <row r="226">
      <c r="A226" s="29" t="n"/>
      <c r="B226" s="30" t="n"/>
      <c r="C226" s="31" t="n"/>
      <c r="D226" s="29" t="n"/>
      <c r="E226" s="29" t="n"/>
      <c r="F226" s="31" t="n"/>
      <c r="G226" s="29" t="n"/>
      <c r="H226" s="32">
        <f>IF(OR(NOT(AND($A226&lt;&gt;"",OR($G226="",$G226="Active"))),$F226=""),"",INT((TODAY()-$F226+280)/7)&amp;"+"&amp;MOD(TODAY()-$F226+280,7))</f>
        <v/>
      </c>
      <c r="I226" s="32">
        <f>IF(NOT(AND($A226&lt;&gt;"",OR($G226="",$G226="Active"))),"",IF(OR(IFERROR(LOOKUP(2,1/(ISNUMBER($M226:$U226)+($M226:$U226="DNA")),$M226:$U226),"")="DNA",AND(ISNUMBER(IFERROR(LOOKUP(2,1/(ISNUMBER($M226:$U226)+($M226:$U226="DNA")),$M226:$U226),"")),IFERROR(LOOKUP(2,1/(ISNUMBER($M226:$U226)+($M226:$U226="DNA")),$M226:$U226),"")&lt;TODAY())),1,0)+COUNTIF($V226:$Z226,"&lt;"&amp;TODAY()))</f>
        <v/>
      </c>
      <c r="J226" s="32">
        <f>IF(NOT(AND($A226&lt;&gt;"",OR($G226="",$G226="Active"))),"",COUNTIFS($M226:$U226,"&gt;="&amp;TODAY(),$M226:$U226,"&lt;="&amp;TODAY()+7)+COUNTIFS($V226:$Z226,"&gt;="&amp;TODAY(),$V226:$Z226,"&lt;="&amp;TODAY()+7))</f>
        <v/>
      </c>
      <c r="K226" s="32">
        <f>IF(NOT(AND($A226&lt;&gt;"",OR($G226="",$G226="Active"))),"",IF($L226&lt;&gt;"",IF($L226=$M226,"Booking",INDEX($N$4:$U$4,MATCH($L226,$N226:$U226,0))),IF(IFERROR(LOOKUP(2,1/(ISNUMBER($M226:$U226)+($M226:$U226="DNA")),$M226:$U226),"")="DNA","Rebook DNA",IF(ISNUMBER(IFERROR(LOOKUP(2,1/(ISNUMBER($M226:$U226)+($M226:$U226="DNA")),$M226:$U226),"")),IF(ISNUMBER($U226),"Update status","Missed/not booked?"),""))))</f>
        <v/>
      </c>
      <c r="L226" s="33">
        <f>IF(NOT(AND($A226&lt;&gt;"",OR($G226="",$G226="Active"))),"",IFERROR(SMALL($M226:$U226,COUNTIF($M226:$U226,"&lt;"&amp;TODAY())+1),""))</f>
        <v/>
      </c>
      <c r="M226" s="31" t="n"/>
      <c r="N226" s="31" t="n"/>
      <c r="O226" s="31" t="n"/>
      <c r="P226" s="31" t="n"/>
      <c r="Q226" s="31" t="n"/>
      <c r="R226" s="31" t="n"/>
      <c r="S226" s="31" t="n"/>
      <c r="T226" s="31" t="n"/>
      <c r="U226" s="31" t="n"/>
      <c r="V226" s="31" t="n"/>
      <c r="W226" s="31" t="n"/>
      <c r="X226" s="31" t="n"/>
      <c r="Y226" s="31" t="n"/>
      <c r="Z226" s="31" t="n"/>
      <c r="AA226" s="34" t="n"/>
      <c r="AB226" s="29" t="n"/>
      <c r="AC226" s="31" t="n"/>
    </row>
    <row r="227">
      <c r="A227" s="29" t="n"/>
      <c r="B227" s="30" t="n"/>
      <c r="C227" s="31" t="n"/>
      <c r="D227" s="29" t="n"/>
      <c r="E227" s="29" t="n"/>
      <c r="F227" s="31" t="n"/>
      <c r="G227" s="29" t="n"/>
      <c r="H227" s="32">
        <f>IF(OR(NOT(AND($A227&lt;&gt;"",OR($G227="",$G227="Active"))),$F227=""),"",INT((TODAY()-$F227+280)/7)&amp;"+"&amp;MOD(TODAY()-$F227+280,7))</f>
        <v/>
      </c>
      <c r="I227" s="32">
        <f>IF(NOT(AND($A227&lt;&gt;"",OR($G227="",$G227="Active"))),"",IF(OR(IFERROR(LOOKUP(2,1/(ISNUMBER($M227:$U227)+($M227:$U227="DNA")),$M227:$U227),"")="DNA",AND(ISNUMBER(IFERROR(LOOKUP(2,1/(ISNUMBER($M227:$U227)+($M227:$U227="DNA")),$M227:$U227),"")),IFERROR(LOOKUP(2,1/(ISNUMBER($M227:$U227)+($M227:$U227="DNA")),$M227:$U227),"")&lt;TODAY())),1,0)+COUNTIF($V227:$Z227,"&lt;"&amp;TODAY()))</f>
        <v/>
      </c>
      <c r="J227" s="32">
        <f>IF(NOT(AND($A227&lt;&gt;"",OR($G227="",$G227="Active"))),"",COUNTIFS($M227:$U227,"&gt;="&amp;TODAY(),$M227:$U227,"&lt;="&amp;TODAY()+7)+COUNTIFS($V227:$Z227,"&gt;="&amp;TODAY(),$V227:$Z227,"&lt;="&amp;TODAY()+7))</f>
        <v/>
      </c>
      <c r="K227" s="32">
        <f>IF(NOT(AND($A227&lt;&gt;"",OR($G227="",$G227="Active"))),"",IF($L227&lt;&gt;"",IF($L227=$M227,"Booking",INDEX($N$4:$U$4,MATCH($L227,$N227:$U227,0))),IF(IFERROR(LOOKUP(2,1/(ISNUMBER($M227:$U227)+($M227:$U227="DNA")),$M227:$U227),"")="DNA","Rebook DNA",IF(ISNUMBER(IFERROR(LOOKUP(2,1/(ISNUMBER($M227:$U227)+($M227:$U227="DNA")),$M227:$U227),"")),IF(ISNUMBER($U227),"Update status","Missed/not booked?"),""))))</f>
        <v/>
      </c>
      <c r="L227" s="33">
        <f>IF(NOT(AND($A227&lt;&gt;"",OR($G227="",$G227="Active"))),"",IFERROR(SMALL($M227:$U227,COUNTIF($M227:$U227,"&lt;"&amp;TODAY())+1),""))</f>
        <v/>
      </c>
      <c r="M227" s="31" t="n"/>
      <c r="N227" s="31" t="n"/>
      <c r="O227" s="31" t="n"/>
      <c r="P227" s="31" t="n"/>
      <c r="Q227" s="31" t="n"/>
      <c r="R227" s="31" t="n"/>
      <c r="S227" s="31" t="n"/>
      <c r="T227" s="31" t="n"/>
      <c r="U227" s="31" t="n"/>
      <c r="V227" s="31" t="n"/>
      <c r="W227" s="31" t="n"/>
      <c r="X227" s="31" t="n"/>
      <c r="Y227" s="31" t="n"/>
      <c r="Z227" s="31" t="n"/>
      <c r="AA227" s="34" t="n"/>
      <c r="AB227" s="29" t="n"/>
      <c r="AC227" s="31" t="n"/>
    </row>
    <row r="228">
      <c r="A228" s="29" t="n"/>
      <c r="B228" s="30" t="n"/>
      <c r="C228" s="31" t="n"/>
      <c r="D228" s="29" t="n"/>
      <c r="E228" s="29" t="n"/>
      <c r="F228" s="31" t="n"/>
      <c r="G228" s="29" t="n"/>
      <c r="H228" s="32">
        <f>IF(OR(NOT(AND($A228&lt;&gt;"",OR($G228="",$G228="Active"))),$F228=""),"",INT((TODAY()-$F228+280)/7)&amp;"+"&amp;MOD(TODAY()-$F228+280,7))</f>
        <v/>
      </c>
      <c r="I228" s="32">
        <f>IF(NOT(AND($A228&lt;&gt;"",OR($G228="",$G228="Active"))),"",IF(OR(IFERROR(LOOKUP(2,1/(ISNUMBER($M228:$U228)+($M228:$U228="DNA")),$M228:$U228),"")="DNA",AND(ISNUMBER(IFERROR(LOOKUP(2,1/(ISNUMBER($M228:$U228)+($M228:$U228="DNA")),$M228:$U228),"")),IFERROR(LOOKUP(2,1/(ISNUMBER($M228:$U228)+($M228:$U228="DNA")),$M228:$U228),"")&lt;TODAY())),1,0)+COUNTIF($V228:$Z228,"&lt;"&amp;TODAY()))</f>
        <v/>
      </c>
      <c r="J228" s="32">
        <f>IF(NOT(AND($A228&lt;&gt;"",OR($G228="",$G228="Active"))),"",COUNTIFS($M228:$U228,"&gt;="&amp;TODAY(),$M228:$U228,"&lt;="&amp;TODAY()+7)+COUNTIFS($V228:$Z228,"&gt;="&amp;TODAY(),$V228:$Z228,"&lt;="&amp;TODAY()+7))</f>
        <v/>
      </c>
      <c r="K228" s="32">
        <f>IF(NOT(AND($A228&lt;&gt;"",OR($G228="",$G228="Active"))),"",IF($L228&lt;&gt;"",IF($L228=$M228,"Booking",INDEX($N$4:$U$4,MATCH($L228,$N228:$U228,0))),IF(IFERROR(LOOKUP(2,1/(ISNUMBER($M228:$U228)+($M228:$U228="DNA")),$M228:$U228),"")="DNA","Rebook DNA",IF(ISNUMBER(IFERROR(LOOKUP(2,1/(ISNUMBER($M228:$U228)+($M228:$U228="DNA")),$M228:$U228),"")),IF(ISNUMBER($U228),"Update status","Missed/not booked?"),""))))</f>
        <v/>
      </c>
      <c r="L228" s="33">
        <f>IF(NOT(AND($A228&lt;&gt;"",OR($G228="",$G228="Active"))),"",IFERROR(SMALL($M228:$U228,COUNTIF($M228:$U228,"&lt;"&amp;TODAY())+1),""))</f>
        <v/>
      </c>
      <c r="M228" s="31" t="n"/>
      <c r="N228" s="31" t="n"/>
      <c r="O228" s="31" t="n"/>
      <c r="P228" s="31" t="n"/>
      <c r="Q228" s="31" t="n"/>
      <c r="R228" s="31" t="n"/>
      <c r="S228" s="31" t="n"/>
      <c r="T228" s="31" t="n"/>
      <c r="U228" s="31" t="n"/>
      <c r="V228" s="31" t="n"/>
      <c r="W228" s="31" t="n"/>
      <c r="X228" s="31" t="n"/>
      <c r="Y228" s="31" t="n"/>
      <c r="Z228" s="31" t="n"/>
      <c r="AA228" s="34" t="n"/>
      <c r="AB228" s="29" t="n"/>
      <c r="AC228" s="31" t="n"/>
    </row>
    <row r="229">
      <c r="A229" s="29" t="n"/>
      <c r="B229" s="30" t="n"/>
      <c r="C229" s="31" t="n"/>
      <c r="D229" s="29" t="n"/>
      <c r="E229" s="29" t="n"/>
      <c r="F229" s="31" t="n"/>
      <c r="G229" s="29" t="n"/>
      <c r="H229" s="32">
        <f>IF(OR(NOT(AND($A229&lt;&gt;"",OR($G229="",$G229="Active"))),$F229=""),"",INT((TODAY()-$F229+280)/7)&amp;"+"&amp;MOD(TODAY()-$F229+280,7))</f>
        <v/>
      </c>
      <c r="I229" s="32">
        <f>IF(NOT(AND($A229&lt;&gt;"",OR($G229="",$G229="Active"))),"",IF(OR(IFERROR(LOOKUP(2,1/(ISNUMBER($M229:$U229)+($M229:$U229="DNA")),$M229:$U229),"")="DNA",AND(ISNUMBER(IFERROR(LOOKUP(2,1/(ISNUMBER($M229:$U229)+($M229:$U229="DNA")),$M229:$U229),"")),IFERROR(LOOKUP(2,1/(ISNUMBER($M229:$U229)+($M229:$U229="DNA")),$M229:$U229),"")&lt;TODAY())),1,0)+COUNTIF($V229:$Z229,"&lt;"&amp;TODAY()))</f>
        <v/>
      </c>
      <c r="J229" s="32">
        <f>IF(NOT(AND($A229&lt;&gt;"",OR($G229="",$G229="Active"))),"",COUNTIFS($M229:$U229,"&gt;="&amp;TODAY(),$M229:$U229,"&lt;="&amp;TODAY()+7)+COUNTIFS($V229:$Z229,"&gt;="&amp;TODAY(),$V229:$Z229,"&lt;="&amp;TODAY()+7))</f>
        <v/>
      </c>
      <c r="K229" s="32">
        <f>IF(NOT(AND($A229&lt;&gt;"",OR($G229="",$G229="Active"))),"",IF($L229&lt;&gt;"",IF($L229=$M229,"Booking",INDEX($N$4:$U$4,MATCH($L229,$N229:$U229,0))),IF(IFERROR(LOOKUP(2,1/(ISNUMBER($M229:$U229)+($M229:$U229="DNA")),$M229:$U229),"")="DNA","Rebook DNA",IF(ISNUMBER(IFERROR(LOOKUP(2,1/(ISNUMBER($M229:$U229)+($M229:$U229="DNA")),$M229:$U229),"")),IF(ISNUMBER($U229),"Update status","Missed/not booked?"),""))))</f>
        <v/>
      </c>
      <c r="L229" s="33">
        <f>IF(NOT(AND($A229&lt;&gt;"",OR($G229="",$G229="Active"))),"",IFERROR(SMALL($M229:$U229,COUNTIF($M229:$U229,"&lt;"&amp;TODAY())+1),""))</f>
        <v/>
      </c>
      <c r="M229" s="31" t="n"/>
      <c r="N229" s="31" t="n"/>
      <c r="O229" s="31" t="n"/>
      <c r="P229" s="31" t="n"/>
      <c r="Q229" s="31" t="n"/>
      <c r="R229" s="31" t="n"/>
      <c r="S229" s="31" t="n"/>
      <c r="T229" s="31" t="n"/>
      <c r="U229" s="31" t="n"/>
      <c r="V229" s="31" t="n"/>
      <c r="W229" s="31" t="n"/>
      <c r="X229" s="31" t="n"/>
      <c r="Y229" s="31" t="n"/>
      <c r="Z229" s="31" t="n"/>
      <c r="AA229" s="34" t="n"/>
      <c r="AB229" s="29" t="n"/>
      <c r="AC229" s="31" t="n"/>
    </row>
    <row r="230">
      <c r="A230" s="29" t="n"/>
      <c r="B230" s="30" t="n"/>
      <c r="C230" s="31" t="n"/>
      <c r="D230" s="29" t="n"/>
      <c r="E230" s="29" t="n"/>
      <c r="F230" s="31" t="n"/>
      <c r="G230" s="29" t="n"/>
      <c r="H230" s="32">
        <f>IF(OR(NOT(AND($A230&lt;&gt;"",OR($G230="",$G230="Active"))),$F230=""),"",INT((TODAY()-$F230+280)/7)&amp;"+"&amp;MOD(TODAY()-$F230+280,7))</f>
        <v/>
      </c>
      <c r="I230" s="32">
        <f>IF(NOT(AND($A230&lt;&gt;"",OR($G230="",$G230="Active"))),"",IF(OR(IFERROR(LOOKUP(2,1/(ISNUMBER($M230:$U230)+($M230:$U230="DNA")),$M230:$U230),"")="DNA",AND(ISNUMBER(IFERROR(LOOKUP(2,1/(ISNUMBER($M230:$U230)+($M230:$U230="DNA")),$M230:$U230),"")),IFERROR(LOOKUP(2,1/(ISNUMBER($M230:$U230)+($M230:$U230="DNA")),$M230:$U230),"")&lt;TODAY())),1,0)+COUNTIF($V230:$Z230,"&lt;"&amp;TODAY()))</f>
        <v/>
      </c>
      <c r="J230" s="32">
        <f>IF(NOT(AND($A230&lt;&gt;"",OR($G230="",$G230="Active"))),"",COUNTIFS($M230:$U230,"&gt;="&amp;TODAY(),$M230:$U230,"&lt;="&amp;TODAY()+7)+COUNTIFS($V230:$Z230,"&gt;="&amp;TODAY(),$V230:$Z230,"&lt;="&amp;TODAY()+7))</f>
        <v/>
      </c>
      <c r="K230" s="32">
        <f>IF(NOT(AND($A230&lt;&gt;"",OR($G230="",$G230="Active"))),"",IF($L230&lt;&gt;"",IF($L230=$M230,"Booking",INDEX($N$4:$U$4,MATCH($L230,$N230:$U230,0))),IF(IFERROR(LOOKUP(2,1/(ISNUMBER($M230:$U230)+($M230:$U230="DNA")),$M230:$U230),"")="DNA","Rebook DNA",IF(ISNUMBER(IFERROR(LOOKUP(2,1/(ISNUMBER($M230:$U230)+($M230:$U230="DNA")),$M230:$U230),"")),IF(ISNUMBER($U230),"Update status","Missed/not booked?"),""))))</f>
        <v/>
      </c>
      <c r="L230" s="33">
        <f>IF(NOT(AND($A230&lt;&gt;"",OR($G230="",$G230="Active"))),"",IFERROR(SMALL($M230:$U230,COUNTIF($M230:$U230,"&lt;"&amp;TODAY())+1),""))</f>
        <v/>
      </c>
      <c r="M230" s="31" t="n"/>
      <c r="N230" s="31" t="n"/>
      <c r="O230" s="31" t="n"/>
      <c r="P230" s="31" t="n"/>
      <c r="Q230" s="31" t="n"/>
      <c r="R230" s="31" t="n"/>
      <c r="S230" s="31" t="n"/>
      <c r="T230" s="31" t="n"/>
      <c r="U230" s="31" t="n"/>
      <c r="V230" s="31" t="n"/>
      <c r="W230" s="31" t="n"/>
      <c r="X230" s="31" t="n"/>
      <c r="Y230" s="31" t="n"/>
      <c r="Z230" s="31" t="n"/>
      <c r="AA230" s="34" t="n"/>
      <c r="AB230" s="29" t="n"/>
      <c r="AC230" s="31" t="n"/>
    </row>
    <row r="231">
      <c r="A231" s="29" t="n"/>
      <c r="B231" s="30" t="n"/>
      <c r="C231" s="31" t="n"/>
      <c r="D231" s="29" t="n"/>
      <c r="E231" s="29" t="n"/>
      <c r="F231" s="31" t="n"/>
      <c r="G231" s="29" t="n"/>
      <c r="H231" s="32">
        <f>IF(OR(NOT(AND($A231&lt;&gt;"",OR($G231="",$G231="Active"))),$F231=""),"",INT((TODAY()-$F231+280)/7)&amp;"+"&amp;MOD(TODAY()-$F231+280,7))</f>
        <v/>
      </c>
      <c r="I231" s="32">
        <f>IF(NOT(AND($A231&lt;&gt;"",OR($G231="",$G231="Active"))),"",IF(OR(IFERROR(LOOKUP(2,1/(ISNUMBER($M231:$U231)+($M231:$U231="DNA")),$M231:$U231),"")="DNA",AND(ISNUMBER(IFERROR(LOOKUP(2,1/(ISNUMBER($M231:$U231)+($M231:$U231="DNA")),$M231:$U231),"")),IFERROR(LOOKUP(2,1/(ISNUMBER($M231:$U231)+($M231:$U231="DNA")),$M231:$U231),"")&lt;TODAY())),1,0)+COUNTIF($V231:$Z231,"&lt;"&amp;TODAY()))</f>
        <v/>
      </c>
      <c r="J231" s="32">
        <f>IF(NOT(AND($A231&lt;&gt;"",OR($G231="",$G231="Active"))),"",COUNTIFS($M231:$U231,"&gt;="&amp;TODAY(),$M231:$U231,"&lt;="&amp;TODAY()+7)+COUNTIFS($V231:$Z231,"&gt;="&amp;TODAY(),$V231:$Z231,"&lt;="&amp;TODAY()+7))</f>
        <v/>
      </c>
      <c r="K231" s="32">
        <f>IF(NOT(AND($A231&lt;&gt;"",OR($G231="",$G231="Active"))),"",IF($L231&lt;&gt;"",IF($L231=$M231,"Booking",INDEX($N$4:$U$4,MATCH($L231,$N231:$U231,0))),IF(IFERROR(LOOKUP(2,1/(ISNUMBER($M231:$U231)+($M231:$U231="DNA")),$M231:$U231),"")="DNA","Rebook DNA",IF(ISNUMBER(IFERROR(LOOKUP(2,1/(ISNUMBER($M231:$U231)+($M231:$U231="DNA")),$M231:$U231),"")),IF(ISNUMBER($U231),"Update status","Missed/not booked?"),""))))</f>
        <v/>
      </c>
      <c r="L231" s="33">
        <f>IF(NOT(AND($A231&lt;&gt;"",OR($G231="",$G231="Active"))),"",IFERROR(SMALL($M231:$U231,COUNTIF($M231:$U231,"&lt;"&amp;TODAY())+1),""))</f>
        <v/>
      </c>
      <c r="M231" s="31" t="n"/>
      <c r="N231" s="31" t="n"/>
      <c r="O231" s="31" t="n"/>
      <c r="P231" s="31" t="n"/>
      <c r="Q231" s="31" t="n"/>
      <c r="R231" s="31" t="n"/>
      <c r="S231" s="31" t="n"/>
      <c r="T231" s="31" t="n"/>
      <c r="U231" s="31" t="n"/>
      <c r="V231" s="31" t="n"/>
      <c r="W231" s="31" t="n"/>
      <c r="X231" s="31" t="n"/>
      <c r="Y231" s="31" t="n"/>
      <c r="Z231" s="31" t="n"/>
      <c r="AA231" s="34" t="n"/>
      <c r="AB231" s="29" t="n"/>
      <c r="AC231" s="31" t="n"/>
    </row>
    <row r="232">
      <c r="A232" s="29" t="n"/>
      <c r="B232" s="30" t="n"/>
      <c r="C232" s="31" t="n"/>
      <c r="D232" s="29" t="n"/>
      <c r="E232" s="29" t="n"/>
      <c r="F232" s="31" t="n"/>
      <c r="G232" s="29" t="n"/>
      <c r="H232" s="32">
        <f>IF(OR(NOT(AND($A232&lt;&gt;"",OR($G232="",$G232="Active"))),$F232=""),"",INT((TODAY()-$F232+280)/7)&amp;"+"&amp;MOD(TODAY()-$F232+280,7))</f>
        <v/>
      </c>
      <c r="I232" s="32">
        <f>IF(NOT(AND($A232&lt;&gt;"",OR($G232="",$G232="Active"))),"",IF(OR(IFERROR(LOOKUP(2,1/(ISNUMBER($M232:$U232)+($M232:$U232="DNA")),$M232:$U232),"")="DNA",AND(ISNUMBER(IFERROR(LOOKUP(2,1/(ISNUMBER($M232:$U232)+($M232:$U232="DNA")),$M232:$U232),"")),IFERROR(LOOKUP(2,1/(ISNUMBER($M232:$U232)+($M232:$U232="DNA")),$M232:$U232),"")&lt;TODAY())),1,0)+COUNTIF($V232:$Z232,"&lt;"&amp;TODAY()))</f>
        <v/>
      </c>
      <c r="J232" s="32">
        <f>IF(NOT(AND($A232&lt;&gt;"",OR($G232="",$G232="Active"))),"",COUNTIFS($M232:$U232,"&gt;="&amp;TODAY(),$M232:$U232,"&lt;="&amp;TODAY()+7)+COUNTIFS($V232:$Z232,"&gt;="&amp;TODAY(),$V232:$Z232,"&lt;="&amp;TODAY()+7))</f>
        <v/>
      </c>
      <c r="K232" s="32">
        <f>IF(NOT(AND($A232&lt;&gt;"",OR($G232="",$G232="Active"))),"",IF($L232&lt;&gt;"",IF($L232=$M232,"Booking",INDEX($N$4:$U$4,MATCH($L232,$N232:$U232,0))),IF(IFERROR(LOOKUP(2,1/(ISNUMBER($M232:$U232)+($M232:$U232="DNA")),$M232:$U232),"")="DNA","Rebook DNA",IF(ISNUMBER(IFERROR(LOOKUP(2,1/(ISNUMBER($M232:$U232)+($M232:$U232="DNA")),$M232:$U232),"")),IF(ISNUMBER($U232),"Update status","Missed/not booked?"),""))))</f>
        <v/>
      </c>
      <c r="L232" s="33">
        <f>IF(NOT(AND($A232&lt;&gt;"",OR($G232="",$G232="Active"))),"",IFERROR(SMALL($M232:$U232,COUNTIF($M232:$U232,"&lt;"&amp;TODAY())+1),""))</f>
        <v/>
      </c>
      <c r="M232" s="31" t="n"/>
      <c r="N232" s="31" t="n"/>
      <c r="O232" s="31" t="n"/>
      <c r="P232" s="31" t="n"/>
      <c r="Q232" s="31" t="n"/>
      <c r="R232" s="31" t="n"/>
      <c r="S232" s="31" t="n"/>
      <c r="T232" s="31" t="n"/>
      <c r="U232" s="31" t="n"/>
      <c r="V232" s="31" t="n"/>
      <c r="W232" s="31" t="n"/>
      <c r="X232" s="31" t="n"/>
      <c r="Y232" s="31" t="n"/>
      <c r="Z232" s="31" t="n"/>
      <c r="AA232" s="34" t="n"/>
      <c r="AB232" s="29" t="n"/>
      <c r="AC232" s="31" t="n"/>
    </row>
    <row r="233">
      <c r="A233" s="29" t="n"/>
      <c r="B233" s="30" t="n"/>
      <c r="C233" s="31" t="n"/>
      <c r="D233" s="29" t="n"/>
      <c r="E233" s="29" t="n"/>
      <c r="F233" s="31" t="n"/>
      <c r="G233" s="29" t="n"/>
      <c r="H233" s="32">
        <f>IF(OR(NOT(AND($A233&lt;&gt;"",OR($G233="",$G233="Active"))),$F233=""),"",INT((TODAY()-$F233+280)/7)&amp;"+"&amp;MOD(TODAY()-$F233+280,7))</f>
        <v/>
      </c>
      <c r="I233" s="32">
        <f>IF(NOT(AND($A233&lt;&gt;"",OR($G233="",$G233="Active"))),"",IF(OR(IFERROR(LOOKUP(2,1/(ISNUMBER($M233:$U233)+($M233:$U233="DNA")),$M233:$U233),"")="DNA",AND(ISNUMBER(IFERROR(LOOKUP(2,1/(ISNUMBER($M233:$U233)+($M233:$U233="DNA")),$M233:$U233),"")),IFERROR(LOOKUP(2,1/(ISNUMBER($M233:$U233)+($M233:$U233="DNA")),$M233:$U233),"")&lt;TODAY())),1,0)+COUNTIF($V233:$Z233,"&lt;"&amp;TODAY()))</f>
        <v/>
      </c>
      <c r="J233" s="32">
        <f>IF(NOT(AND($A233&lt;&gt;"",OR($G233="",$G233="Active"))),"",COUNTIFS($M233:$U233,"&gt;="&amp;TODAY(),$M233:$U233,"&lt;="&amp;TODAY()+7)+COUNTIFS($V233:$Z233,"&gt;="&amp;TODAY(),$V233:$Z233,"&lt;="&amp;TODAY()+7))</f>
        <v/>
      </c>
      <c r="K233" s="32">
        <f>IF(NOT(AND($A233&lt;&gt;"",OR($G233="",$G233="Active"))),"",IF($L233&lt;&gt;"",IF($L233=$M233,"Booking",INDEX($N$4:$U$4,MATCH($L233,$N233:$U233,0))),IF(IFERROR(LOOKUP(2,1/(ISNUMBER($M233:$U233)+($M233:$U233="DNA")),$M233:$U233),"")="DNA","Rebook DNA",IF(ISNUMBER(IFERROR(LOOKUP(2,1/(ISNUMBER($M233:$U233)+($M233:$U233="DNA")),$M233:$U233),"")),IF(ISNUMBER($U233),"Update status","Missed/not booked?"),""))))</f>
        <v/>
      </c>
      <c r="L233" s="33">
        <f>IF(NOT(AND($A233&lt;&gt;"",OR($G233="",$G233="Active"))),"",IFERROR(SMALL($M233:$U233,COUNTIF($M233:$U233,"&lt;"&amp;TODAY())+1),""))</f>
        <v/>
      </c>
      <c r="M233" s="31" t="n"/>
      <c r="N233" s="31" t="n"/>
      <c r="O233" s="31" t="n"/>
      <c r="P233" s="31" t="n"/>
      <c r="Q233" s="31" t="n"/>
      <c r="R233" s="31" t="n"/>
      <c r="S233" s="31" t="n"/>
      <c r="T233" s="31" t="n"/>
      <c r="U233" s="31" t="n"/>
      <c r="V233" s="31" t="n"/>
      <c r="W233" s="31" t="n"/>
      <c r="X233" s="31" t="n"/>
      <c r="Y233" s="31" t="n"/>
      <c r="Z233" s="31" t="n"/>
      <c r="AA233" s="34" t="n"/>
      <c r="AB233" s="29" t="n"/>
      <c r="AC233" s="31" t="n"/>
    </row>
    <row r="234">
      <c r="A234" s="29" t="n"/>
      <c r="B234" s="30" t="n"/>
      <c r="C234" s="31" t="n"/>
      <c r="D234" s="29" t="n"/>
      <c r="E234" s="29" t="n"/>
      <c r="F234" s="31" t="n"/>
      <c r="G234" s="29" t="n"/>
      <c r="H234" s="32">
        <f>IF(OR(NOT(AND($A234&lt;&gt;"",OR($G234="",$G234="Active"))),$F234=""),"",INT((TODAY()-$F234+280)/7)&amp;"+"&amp;MOD(TODAY()-$F234+280,7))</f>
        <v/>
      </c>
      <c r="I234" s="32">
        <f>IF(NOT(AND($A234&lt;&gt;"",OR($G234="",$G234="Active"))),"",IF(OR(IFERROR(LOOKUP(2,1/(ISNUMBER($M234:$U234)+($M234:$U234="DNA")),$M234:$U234),"")="DNA",AND(ISNUMBER(IFERROR(LOOKUP(2,1/(ISNUMBER($M234:$U234)+($M234:$U234="DNA")),$M234:$U234),"")),IFERROR(LOOKUP(2,1/(ISNUMBER($M234:$U234)+($M234:$U234="DNA")),$M234:$U234),"")&lt;TODAY())),1,0)+COUNTIF($V234:$Z234,"&lt;"&amp;TODAY()))</f>
        <v/>
      </c>
      <c r="J234" s="32">
        <f>IF(NOT(AND($A234&lt;&gt;"",OR($G234="",$G234="Active"))),"",COUNTIFS($M234:$U234,"&gt;="&amp;TODAY(),$M234:$U234,"&lt;="&amp;TODAY()+7)+COUNTIFS($V234:$Z234,"&gt;="&amp;TODAY(),$V234:$Z234,"&lt;="&amp;TODAY()+7))</f>
        <v/>
      </c>
      <c r="K234" s="32">
        <f>IF(NOT(AND($A234&lt;&gt;"",OR($G234="",$G234="Active"))),"",IF($L234&lt;&gt;"",IF($L234=$M234,"Booking",INDEX($N$4:$U$4,MATCH($L234,$N234:$U234,0))),IF(IFERROR(LOOKUP(2,1/(ISNUMBER($M234:$U234)+($M234:$U234="DNA")),$M234:$U234),"")="DNA","Rebook DNA",IF(ISNUMBER(IFERROR(LOOKUP(2,1/(ISNUMBER($M234:$U234)+($M234:$U234="DNA")),$M234:$U234),"")),IF(ISNUMBER($U234),"Update status","Missed/not booked?"),""))))</f>
        <v/>
      </c>
      <c r="L234" s="33">
        <f>IF(NOT(AND($A234&lt;&gt;"",OR($G234="",$G234="Active"))),"",IFERROR(SMALL($M234:$U234,COUNTIF($M234:$U234,"&lt;"&amp;TODAY())+1),""))</f>
        <v/>
      </c>
      <c r="M234" s="31" t="n"/>
      <c r="N234" s="31" t="n"/>
      <c r="O234" s="31" t="n"/>
      <c r="P234" s="31" t="n"/>
      <c r="Q234" s="31" t="n"/>
      <c r="R234" s="31" t="n"/>
      <c r="S234" s="31" t="n"/>
      <c r="T234" s="31" t="n"/>
      <c r="U234" s="31" t="n"/>
      <c r="V234" s="31" t="n"/>
      <c r="W234" s="31" t="n"/>
      <c r="X234" s="31" t="n"/>
      <c r="Y234" s="31" t="n"/>
      <c r="Z234" s="31" t="n"/>
      <c r="AA234" s="34" t="n"/>
      <c r="AB234" s="29" t="n"/>
      <c r="AC234" s="31" t="n"/>
    </row>
    <row r="235">
      <c r="A235" s="29" t="n"/>
      <c r="B235" s="30" t="n"/>
      <c r="C235" s="31" t="n"/>
      <c r="D235" s="29" t="n"/>
      <c r="E235" s="29" t="n"/>
      <c r="F235" s="31" t="n"/>
      <c r="G235" s="29" t="n"/>
      <c r="H235" s="32">
        <f>IF(OR(NOT(AND($A235&lt;&gt;"",OR($G235="",$G235="Active"))),$F235=""),"",INT((TODAY()-$F235+280)/7)&amp;"+"&amp;MOD(TODAY()-$F235+280,7))</f>
        <v/>
      </c>
      <c r="I235" s="32">
        <f>IF(NOT(AND($A235&lt;&gt;"",OR($G235="",$G235="Active"))),"",IF(OR(IFERROR(LOOKUP(2,1/(ISNUMBER($M235:$U235)+($M235:$U235="DNA")),$M235:$U235),"")="DNA",AND(ISNUMBER(IFERROR(LOOKUP(2,1/(ISNUMBER($M235:$U235)+($M235:$U235="DNA")),$M235:$U235),"")),IFERROR(LOOKUP(2,1/(ISNUMBER($M235:$U235)+($M235:$U235="DNA")),$M235:$U235),"")&lt;TODAY())),1,0)+COUNTIF($V235:$Z235,"&lt;"&amp;TODAY()))</f>
        <v/>
      </c>
      <c r="J235" s="32">
        <f>IF(NOT(AND($A235&lt;&gt;"",OR($G235="",$G235="Active"))),"",COUNTIFS($M235:$U235,"&gt;="&amp;TODAY(),$M235:$U235,"&lt;="&amp;TODAY()+7)+COUNTIFS($V235:$Z235,"&gt;="&amp;TODAY(),$V235:$Z235,"&lt;="&amp;TODAY()+7))</f>
        <v/>
      </c>
      <c r="K235" s="32">
        <f>IF(NOT(AND($A235&lt;&gt;"",OR($G235="",$G235="Active"))),"",IF($L235&lt;&gt;"",IF($L235=$M235,"Booking",INDEX($N$4:$U$4,MATCH($L235,$N235:$U235,0))),IF(IFERROR(LOOKUP(2,1/(ISNUMBER($M235:$U235)+($M235:$U235="DNA")),$M235:$U235),"")="DNA","Rebook DNA",IF(ISNUMBER(IFERROR(LOOKUP(2,1/(ISNUMBER($M235:$U235)+($M235:$U235="DNA")),$M235:$U235),"")),IF(ISNUMBER($U235),"Update status","Missed/not booked?"),""))))</f>
        <v/>
      </c>
      <c r="L235" s="33">
        <f>IF(NOT(AND($A235&lt;&gt;"",OR($G235="",$G235="Active"))),"",IFERROR(SMALL($M235:$U235,COUNTIF($M235:$U235,"&lt;"&amp;TODAY())+1),""))</f>
        <v/>
      </c>
      <c r="M235" s="31" t="n"/>
      <c r="N235" s="31" t="n"/>
      <c r="O235" s="31" t="n"/>
      <c r="P235" s="31" t="n"/>
      <c r="Q235" s="31" t="n"/>
      <c r="R235" s="31" t="n"/>
      <c r="S235" s="31" t="n"/>
      <c r="T235" s="31" t="n"/>
      <c r="U235" s="31" t="n"/>
      <c r="V235" s="31" t="n"/>
      <c r="W235" s="31" t="n"/>
      <c r="X235" s="31" t="n"/>
      <c r="Y235" s="31" t="n"/>
      <c r="Z235" s="31" t="n"/>
      <c r="AA235" s="34" t="n"/>
      <c r="AB235" s="29" t="n"/>
      <c r="AC235" s="31" t="n"/>
    </row>
    <row r="236">
      <c r="A236" s="29" t="n"/>
      <c r="B236" s="30" t="n"/>
      <c r="C236" s="31" t="n"/>
      <c r="D236" s="29" t="n"/>
      <c r="E236" s="29" t="n"/>
      <c r="F236" s="31" t="n"/>
      <c r="G236" s="29" t="n"/>
      <c r="H236" s="32">
        <f>IF(OR(NOT(AND($A236&lt;&gt;"",OR($G236="",$G236="Active"))),$F236=""),"",INT((TODAY()-$F236+280)/7)&amp;"+"&amp;MOD(TODAY()-$F236+280,7))</f>
        <v/>
      </c>
      <c r="I236" s="32">
        <f>IF(NOT(AND($A236&lt;&gt;"",OR($G236="",$G236="Active"))),"",IF(OR(IFERROR(LOOKUP(2,1/(ISNUMBER($M236:$U236)+($M236:$U236="DNA")),$M236:$U236),"")="DNA",AND(ISNUMBER(IFERROR(LOOKUP(2,1/(ISNUMBER($M236:$U236)+($M236:$U236="DNA")),$M236:$U236),"")),IFERROR(LOOKUP(2,1/(ISNUMBER($M236:$U236)+($M236:$U236="DNA")),$M236:$U236),"")&lt;TODAY())),1,0)+COUNTIF($V236:$Z236,"&lt;"&amp;TODAY()))</f>
        <v/>
      </c>
      <c r="J236" s="32">
        <f>IF(NOT(AND($A236&lt;&gt;"",OR($G236="",$G236="Active"))),"",COUNTIFS($M236:$U236,"&gt;="&amp;TODAY(),$M236:$U236,"&lt;="&amp;TODAY()+7)+COUNTIFS($V236:$Z236,"&gt;="&amp;TODAY(),$V236:$Z236,"&lt;="&amp;TODAY()+7))</f>
        <v/>
      </c>
      <c r="K236" s="32">
        <f>IF(NOT(AND($A236&lt;&gt;"",OR($G236="",$G236="Active"))),"",IF($L236&lt;&gt;"",IF($L236=$M236,"Booking",INDEX($N$4:$U$4,MATCH($L236,$N236:$U236,0))),IF(IFERROR(LOOKUP(2,1/(ISNUMBER($M236:$U236)+($M236:$U236="DNA")),$M236:$U236),"")="DNA","Rebook DNA",IF(ISNUMBER(IFERROR(LOOKUP(2,1/(ISNUMBER($M236:$U236)+($M236:$U236="DNA")),$M236:$U236),"")),IF(ISNUMBER($U236),"Update status","Missed/not booked?"),""))))</f>
        <v/>
      </c>
      <c r="L236" s="33">
        <f>IF(NOT(AND($A236&lt;&gt;"",OR($G236="",$G236="Active"))),"",IFERROR(SMALL($M236:$U236,COUNTIF($M236:$U236,"&lt;"&amp;TODAY())+1),""))</f>
        <v/>
      </c>
      <c r="M236" s="31" t="n"/>
      <c r="N236" s="31" t="n"/>
      <c r="O236" s="31" t="n"/>
      <c r="P236" s="31" t="n"/>
      <c r="Q236" s="31" t="n"/>
      <c r="R236" s="31" t="n"/>
      <c r="S236" s="31" t="n"/>
      <c r="T236" s="31" t="n"/>
      <c r="U236" s="31" t="n"/>
      <c r="V236" s="31" t="n"/>
      <c r="W236" s="31" t="n"/>
      <c r="X236" s="31" t="n"/>
      <c r="Y236" s="31" t="n"/>
      <c r="Z236" s="31" t="n"/>
      <c r="AA236" s="34" t="n"/>
      <c r="AB236" s="29" t="n"/>
      <c r="AC236" s="31" t="n"/>
    </row>
    <row r="237">
      <c r="A237" s="29" t="n"/>
      <c r="B237" s="30" t="n"/>
      <c r="C237" s="31" t="n"/>
      <c r="D237" s="29" t="n"/>
      <c r="E237" s="29" t="n"/>
      <c r="F237" s="31" t="n"/>
      <c r="G237" s="29" t="n"/>
      <c r="H237" s="32">
        <f>IF(OR(NOT(AND($A237&lt;&gt;"",OR($G237="",$G237="Active"))),$F237=""),"",INT((TODAY()-$F237+280)/7)&amp;"+"&amp;MOD(TODAY()-$F237+280,7))</f>
        <v/>
      </c>
      <c r="I237" s="32">
        <f>IF(NOT(AND($A237&lt;&gt;"",OR($G237="",$G237="Active"))),"",IF(OR(IFERROR(LOOKUP(2,1/(ISNUMBER($M237:$U237)+($M237:$U237="DNA")),$M237:$U237),"")="DNA",AND(ISNUMBER(IFERROR(LOOKUP(2,1/(ISNUMBER($M237:$U237)+($M237:$U237="DNA")),$M237:$U237),"")),IFERROR(LOOKUP(2,1/(ISNUMBER($M237:$U237)+($M237:$U237="DNA")),$M237:$U237),"")&lt;TODAY())),1,0)+COUNTIF($V237:$Z237,"&lt;"&amp;TODAY()))</f>
        <v/>
      </c>
      <c r="J237" s="32">
        <f>IF(NOT(AND($A237&lt;&gt;"",OR($G237="",$G237="Active"))),"",COUNTIFS($M237:$U237,"&gt;="&amp;TODAY(),$M237:$U237,"&lt;="&amp;TODAY()+7)+COUNTIFS($V237:$Z237,"&gt;="&amp;TODAY(),$V237:$Z237,"&lt;="&amp;TODAY()+7))</f>
        <v/>
      </c>
      <c r="K237" s="32">
        <f>IF(NOT(AND($A237&lt;&gt;"",OR($G237="",$G237="Active"))),"",IF($L237&lt;&gt;"",IF($L237=$M237,"Booking",INDEX($N$4:$U$4,MATCH($L237,$N237:$U237,0))),IF(IFERROR(LOOKUP(2,1/(ISNUMBER($M237:$U237)+($M237:$U237="DNA")),$M237:$U237),"")="DNA","Rebook DNA",IF(ISNUMBER(IFERROR(LOOKUP(2,1/(ISNUMBER($M237:$U237)+($M237:$U237="DNA")),$M237:$U237),"")),IF(ISNUMBER($U237),"Update status","Missed/not booked?"),""))))</f>
        <v/>
      </c>
      <c r="L237" s="33">
        <f>IF(NOT(AND($A237&lt;&gt;"",OR($G237="",$G237="Active"))),"",IFERROR(SMALL($M237:$U237,COUNTIF($M237:$U237,"&lt;"&amp;TODAY())+1),""))</f>
        <v/>
      </c>
      <c r="M237" s="31" t="n"/>
      <c r="N237" s="31" t="n"/>
      <c r="O237" s="31" t="n"/>
      <c r="P237" s="31" t="n"/>
      <c r="Q237" s="31" t="n"/>
      <c r="R237" s="31" t="n"/>
      <c r="S237" s="31" t="n"/>
      <c r="T237" s="31" t="n"/>
      <c r="U237" s="31" t="n"/>
      <c r="V237" s="31" t="n"/>
      <c r="W237" s="31" t="n"/>
      <c r="X237" s="31" t="n"/>
      <c r="Y237" s="31" t="n"/>
      <c r="Z237" s="31" t="n"/>
      <c r="AA237" s="34" t="n"/>
      <c r="AB237" s="29" t="n"/>
      <c r="AC237" s="31" t="n"/>
    </row>
    <row r="238">
      <c r="A238" s="29" t="n"/>
      <c r="B238" s="30" t="n"/>
      <c r="C238" s="31" t="n"/>
      <c r="D238" s="29" t="n"/>
      <c r="E238" s="29" t="n"/>
      <c r="F238" s="31" t="n"/>
      <c r="G238" s="29" t="n"/>
      <c r="H238" s="32">
        <f>IF(OR(NOT(AND($A238&lt;&gt;"",OR($G238="",$G238="Active"))),$F238=""),"",INT((TODAY()-$F238+280)/7)&amp;"+"&amp;MOD(TODAY()-$F238+280,7))</f>
        <v/>
      </c>
      <c r="I238" s="32">
        <f>IF(NOT(AND($A238&lt;&gt;"",OR($G238="",$G238="Active"))),"",IF(OR(IFERROR(LOOKUP(2,1/(ISNUMBER($M238:$U238)+($M238:$U238="DNA")),$M238:$U238),"")="DNA",AND(ISNUMBER(IFERROR(LOOKUP(2,1/(ISNUMBER($M238:$U238)+($M238:$U238="DNA")),$M238:$U238),"")),IFERROR(LOOKUP(2,1/(ISNUMBER($M238:$U238)+($M238:$U238="DNA")),$M238:$U238),"")&lt;TODAY())),1,0)+COUNTIF($V238:$Z238,"&lt;"&amp;TODAY()))</f>
        <v/>
      </c>
      <c r="J238" s="32">
        <f>IF(NOT(AND($A238&lt;&gt;"",OR($G238="",$G238="Active"))),"",COUNTIFS($M238:$U238,"&gt;="&amp;TODAY(),$M238:$U238,"&lt;="&amp;TODAY()+7)+COUNTIFS($V238:$Z238,"&gt;="&amp;TODAY(),$V238:$Z238,"&lt;="&amp;TODAY()+7))</f>
        <v/>
      </c>
      <c r="K238" s="32">
        <f>IF(NOT(AND($A238&lt;&gt;"",OR($G238="",$G238="Active"))),"",IF($L238&lt;&gt;"",IF($L238=$M238,"Booking",INDEX($N$4:$U$4,MATCH($L238,$N238:$U238,0))),IF(IFERROR(LOOKUP(2,1/(ISNUMBER($M238:$U238)+($M238:$U238="DNA")),$M238:$U238),"")="DNA","Rebook DNA",IF(ISNUMBER(IFERROR(LOOKUP(2,1/(ISNUMBER($M238:$U238)+($M238:$U238="DNA")),$M238:$U238),"")),IF(ISNUMBER($U238),"Update status","Missed/not booked?"),""))))</f>
        <v/>
      </c>
      <c r="L238" s="33">
        <f>IF(NOT(AND($A238&lt;&gt;"",OR($G238="",$G238="Active"))),"",IFERROR(SMALL($M238:$U238,COUNTIF($M238:$U238,"&lt;"&amp;TODAY())+1),""))</f>
        <v/>
      </c>
      <c r="M238" s="31" t="n"/>
      <c r="N238" s="31" t="n"/>
      <c r="O238" s="31" t="n"/>
      <c r="P238" s="31" t="n"/>
      <c r="Q238" s="31" t="n"/>
      <c r="R238" s="31" t="n"/>
      <c r="S238" s="31" t="n"/>
      <c r="T238" s="31" t="n"/>
      <c r="U238" s="31" t="n"/>
      <c r="V238" s="31" t="n"/>
      <c r="W238" s="31" t="n"/>
      <c r="X238" s="31" t="n"/>
      <c r="Y238" s="31" t="n"/>
      <c r="Z238" s="31" t="n"/>
      <c r="AA238" s="34" t="n"/>
      <c r="AB238" s="29" t="n"/>
      <c r="AC238" s="31" t="n"/>
    </row>
    <row r="239">
      <c r="A239" s="29" t="n"/>
      <c r="B239" s="30" t="n"/>
      <c r="C239" s="31" t="n"/>
      <c r="D239" s="29" t="n"/>
      <c r="E239" s="29" t="n"/>
      <c r="F239" s="31" t="n"/>
      <c r="G239" s="29" t="n"/>
      <c r="H239" s="32">
        <f>IF(OR(NOT(AND($A239&lt;&gt;"",OR($G239="",$G239="Active"))),$F239=""),"",INT((TODAY()-$F239+280)/7)&amp;"+"&amp;MOD(TODAY()-$F239+280,7))</f>
        <v/>
      </c>
      <c r="I239" s="32">
        <f>IF(NOT(AND($A239&lt;&gt;"",OR($G239="",$G239="Active"))),"",IF(OR(IFERROR(LOOKUP(2,1/(ISNUMBER($M239:$U239)+($M239:$U239="DNA")),$M239:$U239),"")="DNA",AND(ISNUMBER(IFERROR(LOOKUP(2,1/(ISNUMBER($M239:$U239)+($M239:$U239="DNA")),$M239:$U239),"")),IFERROR(LOOKUP(2,1/(ISNUMBER($M239:$U239)+($M239:$U239="DNA")),$M239:$U239),"")&lt;TODAY())),1,0)+COUNTIF($V239:$Z239,"&lt;"&amp;TODAY()))</f>
        <v/>
      </c>
      <c r="J239" s="32">
        <f>IF(NOT(AND($A239&lt;&gt;"",OR($G239="",$G239="Active"))),"",COUNTIFS($M239:$U239,"&gt;="&amp;TODAY(),$M239:$U239,"&lt;="&amp;TODAY()+7)+COUNTIFS($V239:$Z239,"&gt;="&amp;TODAY(),$V239:$Z239,"&lt;="&amp;TODAY()+7))</f>
        <v/>
      </c>
      <c r="K239" s="32">
        <f>IF(NOT(AND($A239&lt;&gt;"",OR($G239="",$G239="Active"))),"",IF($L239&lt;&gt;"",IF($L239=$M239,"Booking",INDEX($N$4:$U$4,MATCH($L239,$N239:$U239,0))),IF(IFERROR(LOOKUP(2,1/(ISNUMBER($M239:$U239)+($M239:$U239="DNA")),$M239:$U239),"")="DNA","Rebook DNA",IF(ISNUMBER(IFERROR(LOOKUP(2,1/(ISNUMBER($M239:$U239)+($M239:$U239="DNA")),$M239:$U239),"")),IF(ISNUMBER($U239),"Update status","Missed/not booked?"),""))))</f>
        <v/>
      </c>
      <c r="L239" s="33">
        <f>IF(NOT(AND($A239&lt;&gt;"",OR($G239="",$G239="Active"))),"",IFERROR(SMALL($M239:$U239,COUNTIF($M239:$U239,"&lt;"&amp;TODAY())+1),""))</f>
        <v/>
      </c>
      <c r="M239" s="31" t="n"/>
      <c r="N239" s="31" t="n"/>
      <c r="O239" s="31" t="n"/>
      <c r="P239" s="31" t="n"/>
      <c r="Q239" s="31" t="n"/>
      <c r="R239" s="31" t="n"/>
      <c r="S239" s="31" t="n"/>
      <c r="T239" s="31" t="n"/>
      <c r="U239" s="31" t="n"/>
      <c r="V239" s="31" t="n"/>
      <c r="W239" s="31" t="n"/>
      <c r="X239" s="31" t="n"/>
      <c r="Y239" s="31" t="n"/>
      <c r="Z239" s="31" t="n"/>
      <c r="AA239" s="34" t="n"/>
      <c r="AB239" s="29" t="n"/>
      <c r="AC239" s="31" t="n"/>
    </row>
    <row r="240">
      <c r="A240" s="29" t="n"/>
      <c r="B240" s="30" t="n"/>
      <c r="C240" s="31" t="n"/>
      <c r="D240" s="29" t="n"/>
      <c r="E240" s="29" t="n"/>
      <c r="F240" s="31" t="n"/>
      <c r="G240" s="29" t="n"/>
      <c r="H240" s="32">
        <f>IF(OR(NOT(AND($A240&lt;&gt;"",OR($G240="",$G240="Active"))),$F240=""),"",INT((TODAY()-$F240+280)/7)&amp;"+"&amp;MOD(TODAY()-$F240+280,7))</f>
        <v/>
      </c>
      <c r="I240" s="32">
        <f>IF(NOT(AND($A240&lt;&gt;"",OR($G240="",$G240="Active"))),"",IF(OR(IFERROR(LOOKUP(2,1/(ISNUMBER($M240:$U240)+($M240:$U240="DNA")),$M240:$U240),"")="DNA",AND(ISNUMBER(IFERROR(LOOKUP(2,1/(ISNUMBER($M240:$U240)+($M240:$U240="DNA")),$M240:$U240),"")),IFERROR(LOOKUP(2,1/(ISNUMBER($M240:$U240)+($M240:$U240="DNA")),$M240:$U240),"")&lt;TODAY())),1,0)+COUNTIF($V240:$Z240,"&lt;"&amp;TODAY()))</f>
        <v/>
      </c>
      <c r="J240" s="32">
        <f>IF(NOT(AND($A240&lt;&gt;"",OR($G240="",$G240="Active"))),"",COUNTIFS($M240:$U240,"&gt;="&amp;TODAY(),$M240:$U240,"&lt;="&amp;TODAY()+7)+COUNTIFS($V240:$Z240,"&gt;="&amp;TODAY(),$V240:$Z240,"&lt;="&amp;TODAY()+7))</f>
        <v/>
      </c>
      <c r="K240" s="32">
        <f>IF(NOT(AND($A240&lt;&gt;"",OR($G240="",$G240="Active"))),"",IF($L240&lt;&gt;"",IF($L240=$M240,"Booking",INDEX($N$4:$U$4,MATCH($L240,$N240:$U240,0))),IF(IFERROR(LOOKUP(2,1/(ISNUMBER($M240:$U240)+($M240:$U240="DNA")),$M240:$U240),"")="DNA","Rebook DNA",IF(ISNUMBER(IFERROR(LOOKUP(2,1/(ISNUMBER($M240:$U240)+($M240:$U240="DNA")),$M240:$U240),"")),IF(ISNUMBER($U240),"Update status","Missed/not booked?"),""))))</f>
        <v/>
      </c>
      <c r="L240" s="33">
        <f>IF(NOT(AND($A240&lt;&gt;"",OR($G240="",$G240="Active"))),"",IFERROR(SMALL($M240:$U240,COUNTIF($M240:$U240,"&lt;"&amp;TODAY())+1),""))</f>
        <v/>
      </c>
      <c r="M240" s="31" t="n"/>
      <c r="N240" s="31" t="n"/>
      <c r="O240" s="31" t="n"/>
      <c r="P240" s="31" t="n"/>
      <c r="Q240" s="31" t="n"/>
      <c r="R240" s="31" t="n"/>
      <c r="S240" s="31" t="n"/>
      <c r="T240" s="31" t="n"/>
      <c r="U240" s="31" t="n"/>
      <c r="V240" s="31" t="n"/>
      <c r="W240" s="31" t="n"/>
      <c r="X240" s="31" t="n"/>
      <c r="Y240" s="31" t="n"/>
      <c r="Z240" s="31" t="n"/>
      <c r="AA240" s="34" t="n"/>
      <c r="AB240" s="29" t="n"/>
      <c r="AC240" s="31" t="n"/>
    </row>
    <row r="241">
      <c r="A241" s="29" t="n"/>
      <c r="B241" s="30" t="n"/>
      <c r="C241" s="31" t="n"/>
      <c r="D241" s="29" t="n"/>
      <c r="E241" s="29" t="n"/>
      <c r="F241" s="31" t="n"/>
      <c r="G241" s="29" t="n"/>
      <c r="H241" s="32">
        <f>IF(OR(NOT(AND($A241&lt;&gt;"",OR($G241="",$G241="Active"))),$F241=""),"",INT((TODAY()-$F241+280)/7)&amp;"+"&amp;MOD(TODAY()-$F241+280,7))</f>
        <v/>
      </c>
      <c r="I241" s="32">
        <f>IF(NOT(AND($A241&lt;&gt;"",OR($G241="",$G241="Active"))),"",IF(OR(IFERROR(LOOKUP(2,1/(ISNUMBER($M241:$U241)+($M241:$U241="DNA")),$M241:$U241),"")="DNA",AND(ISNUMBER(IFERROR(LOOKUP(2,1/(ISNUMBER($M241:$U241)+($M241:$U241="DNA")),$M241:$U241),"")),IFERROR(LOOKUP(2,1/(ISNUMBER($M241:$U241)+($M241:$U241="DNA")),$M241:$U241),"")&lt;TODAY())),1,0)+COUNTIF($V241:$Z241,"&lt;"&amp;TODAY()))</f>
        <v/>
      </c>
      <c r="J241" s="32">
        <f>IF(NOT(AND($A241&lt;&gt;"",OR($G241="",$G241="Active"))),"",COUNTIFS($M241:$U241,"&gt;="&amp;TODAY(),$M241:$U241,"&lt;="&amp;TODAY()+7)+COUNTIFS($V241:$Z241,"&gt;="&amp;TODAY(),$V241:$Z241,"&lt;="&amp;TODAY()+7))</f>
        <v/>
      </c>
      <c r="K241" s="32">
        <f>IF(NOT(AND($A241&lt;&gt;"",OR($G241="",$G241="Active"))),"",IF($L241&lt;&gt;"",IF($L241=$M241,"Booking",INDEX($N$4:$U$4,MATCH($L241,$N241:$U241,0))),IF(IFERROR(LOOKUP(2,1/(ISNUMBER($M241:$U241)+($M241:$U241="DNA")),$M241:$U241),"")="DNA","Rebook DNA",IF(ISNUMBER(IFERROR(LOOKUP(2,1/(ISNUMBER($M241:$U241)+($M241:$U241="DNA")),$M241:$U241),"")),IF(ISNUMBER($U241),"Update status","Missed/not booked?"),""))))</f>
        <v/>
      </c>
      <c r="L241" s="33">
        <f>IF(NOT(AND($A241&lt;&gt;"",OR($G241="",$G241="Active"))),"",IFERROR(SMALL($M241:$U241,COUNTIF($M241:$U241,"&lt;"&amp;TODAY())+1),""))</f>
        <v/>
      </c>
      <c r="M241" s="31" t="n"/>
      <c r="N241" s="31" t="n"/>
      <c r="O241" s="31" t="n"/>
      <c r="P241" s="31" t="n"/>
      <c r="Q241" s="31" t="n"/>
      <c r="R241" s="31" t="n"/>
      <c r="S241" s="31" t="n"/>
      <c r="T241" s="31" t="n"/>
      <c r="U241" s="31" t="n"/>
      <c r="V241" s="31" t="n"/>
      <c r="W241" s="31" t="n"/>
      <c r="X241" s="31" t="n"/>
      <c r="Y241" s="31" t="n"/>
      <c r="Z241" s="31" t="n"/>
      <c r="AA241" s="34" t="n"/>
      <c r="AB241" s="29" t="n"/>
      <c r="AC241" s="31" t="n"/>
    </row>
    <row r="242">
      <c r="A242" s="29" t="n"/>
      <c r="B242" s="30" t="n"/>
      <c r="C242" s="31" t="n"/>
      <c r="D242" s="29" t="n"/>
      <c r="E242" s="29" t="n"/>
      <c r="F242" s="31" t="n"/>
      <c r="G242" s="29" t="n"/>
      <c r="H242" s="32">
        <f>IF(OR(NOT(AND($A242&lt;&gt;"",OR($G242="",$G242="Active"))),$F242=""),"",INT((TODAY()-$F242+280)/7)&amp;"+"&amp;MOD(TODAY()-$F242+280,7))</f>
        <v/>
      </c>
      <c r="I242" s="32">
        <f>IF(NOT(AND($A242&lt;&gt;"",OR($G242="",$G242="Active"))),"",IF(OR(IFERROR(LOOKUP(2,1/(ISNUMBER($M242:$U242)+($M242:$U242="DNA")),$M242:$U242),"")="DNA",AND(ISNUMBER(IFERROR(LOOKUP(2,1/(ISNUMBER($M242:$U242)+($M242:$U242="DNA")),$M242:$U242),"")),IFERROR(LOOKUP(2,1/(ISNUMBER($M242:$U242)+($M242:$U242="DNA")),$M242:$U242),"")&lt;TODAY())),1,0)+COUNTIF($V242:$Z242,"&lt;"&amp;TODAY()))</f>
        <v/>
      </c>
      <c r="J242" s="32">
        <f>IF(NOT(AND($A242&lt;&gt;"",OR($G242="",$G242="Active"))),"",COUNTIFS($M242:$U242,"&gt;="&amp;TODAY(),$M242:$U242,"&lt;="&amp;TODAY()+7)+COUNTIFS($V242:$Z242,"&gt;="&amp;TODAY(),$V242:$Z242,"&lt;="&amp;TODAY()+7))</f>
        <v/>
      </c>
      <c r="K242" s="32">
        <f>IF(NOT(AND($A242&lt;&gt;"",OR($G242="",$G242="Active"))),"",IF($L242&lt;&gt;"",IF($L242=$M242,"Booking",INDEX($N$4:$U$4,MATCH($L242,$N242:$U242,0))),IF(IFERROR(LOOKUP(2,1/(ISNUMBER($M242:$U242)+($M242:$U242="DNA")),$M242:$U242),"")="DNA","Rebook DNA",IF(ISNUMBER(IFERROR(LOOKUP(2,1/(ISNUMBER($M242:$U242)+($M242:$U242="DNA")),$M242:$U242),"")),IF(ISNUMBER($U242),"Update status","Missed/not booked?"),""))))</f>
        <v/>
      </c>
      <c r="L242" s="33">
        <f>IF(NOT(AND($A242&lt;&gt;"",OR($G242="",$G242="Active"))),"",IFERROR(SMALL($M242:$U242,COUNTIF($M242:$U242,"&lt;"&amp;TODAY())+1),""))</f>
        <v/>
      </c>
      <c r="M242" s="31" t="n"/>
      <c r="N242" s="31" t="n"/>
      <c r="O242" s="31" t="n"/>
      <c r="P242" s="31" t="n"/>
      <c r="Q242" s="31" t="n"/>
      <c r="R242" s="31" t="n"/>
      <c r="S242" s="31" t="n"/>
      <c r="T242" s="31" t="n"/>
      <c r="U242" s="31" t="n"/>
      <c r="V242" s="31" t="n"/>
      <c r="W242" s="31" t="n"/>
      <c r="X242" s="31" t="n"/>
      <c r="Y242" s="31" t="n"/>
      <c r="Z242" s="31" t="n"/>
      <c r="AA242" s="34" t="n"/>
      <c r="AB242" s="29" t="n"/>
      <c r="AC242" s="31" t="n"/>
    </row>
    <row r="243">
      <c r="A243" s="29" t="n"/>
      <c r="B243" s="30" t="n"/>
      <c r="C243" s="31" t="n"/>
      <c r="D243" s="29" t="n"/>
      <c r="E243" s="29" t="n"/>
      <c r="F243" s="31" t="n"/>
      <c r="G243" s="29" t="n"/>
      <c r="H243" s="32">
        <f>IF(OR(NOT(AND($A243&lt;&gt;"",OR($G243="",$G243="Active"))),$F243=""),"",INT((TODAY()-$F243+280)/7)&amp;"+"&amp;MOD(TODAY()-$F243+280,7))</f>
        <v/>
      </c>
      <c r="I243" s="32">
        <f>IF(NOT(AND($A243&lt;&gt;"",OR($G243="",$G243="Active"))),"",IF(OR(IFERROR(LOOKUP(2,1/(ISNUMBER($M243:$U243)+($M243:$U243="DNA")),$M243:$U243),"")="DNA",AND(ISNUMBER(IFERROR(LOOKUP(2,1/(ISNUMBER($M243:$U243)+($M243:$U243="DNA")),$M243:$U243),"")),IFERROR(LOOKUP(2,1/(ISNUMBER($M243:$U243)+($M243:$U243="DNA")),$M243:$U243),"")&lt;TODAY())),1,0)+COUNTIF($V243:$Z243,"&lt;"&amp;TODAY()))</f>
        <v/>
      </c>
      <c r="J243" s="32">
        <f>IF(NOT(AND($A243&lt;&gt;"",OR($G243="",$G243="Active"))),"",COUNTIFS($M243:$U243,"&gt;="&amp;TODAY(),$M243:$U243,"&lt;="&amp;TODAY()+7)+COUNTIFS($V243:$Z243,"&gt;="&amp;TODAY(),$V243:$Z243,"&lt;="&amp;TODAY()+7))</f>
        <v/>
      </c>
      <c r="K243" s="32">
        <f>IF(NOT(AND($A243&lt;&gt;"",OR($G243="",$G243="Active"))),"",IF($L243&lt;&gt;"",IF($L243=$M243,"Booking",INDEX($N$4:$U$4,MATCH($L243,$N243:$U243,0))),IF(IFERROR(LOOKUP(2,1/(ISNUMBER($M243:$U243)+($M243:$U243="DNA")),$M243:$U243),"")="DNA","Rebook DNA",IF(ISNUMBER(IFERROR(LOOKUP(2,1/(ISNUMBER($M243:$U243)+($M243:$U243="DNA")),$M243:$U243),"")),IF(ISNUMBER($U243),"Update status","Missed/not booked?"),""))))</f>
        <v/>
      </c>
      <c r="L243" s="33">
        <f>IF(NOT(AND($A243&lt;&gt;"",OR($G243="",$G243="Active"))),"",IFERROR(SMALL($M243:$U243,COUNTIF($M243:$U243,"&lt;"&amp;TODAY())+1),""))</f>
        <v/>
      </c>
      <c r="M243" s="31" t="n"/>
      <c r="N243" s="31" t="n"/>
      <c r="O243" s="31" t="n"/>
      <c r="P243" s="31" t="n"/>
      <c r="Q243" s="31" t="n"/>
      <c r="R243" s="31" t="n"/>
      <c r="S243" s="31" t="n"/>
      <c r="T243" s="31" t="n"/>
      <c r="U243" s="31" t="n"/>
      <c r="V243" s="31" t="n"/>
      <c r="W243" s="31" t="n"/>
      <c r="X243" s="31" t="n"/>
      <c r="Y243" s="31" t="n"/>
      <c r="Z243" s="31" t="n"/>
      <c r="AA243" s="34" t="n"/>
      <c r="AB243" s="29" t="n"/>
      <c r="AC243" s="31" t="n"/>
    </row>
    <row r="244">
      <c r="A244" s="29" t="n"/>
      <c r="B244" s="30" t="n"/>
      <c r="C244" s="31" t="n"/>
      <c r="D244" s="29" t="n"/>
      <c r="E244" s="29" t="n"/>
      <c r="F244" s="31" t="n"/>
      <c r="G244" s="29" t="n"/>
      <c r="H244" s="32">
        <f>IF(OR(NOT(AND($A244&lt;&gt;"",OR($G244="",$G244="Active"))),$F244=""),"",INT((TODAY()-$F244+280)/7)&amp;"+"&amp;MOD(TODAY()-$F244+280,7))</f>
        <v/>
      </c>
      <c r="I244" s="32">
        <f>IF(NOT(AND($A244&lt;&gt;"",OR($G244="",$G244="Active"))),"",IF(OR(IFERROR(LOOKUP(2,1/(ISNUMBER($M244:$U244)+($M244:$U244="DNA")),$M244:$U244),"")="DNA",AND(ISNUMBER(IFERROR(LOOKUP(2,1/(ISNUMBER($M244:$U244)+($M244:$U244="DNA")),$M244:$U244),"")),IFERROR(LOOKUP(2,1/(ISNUMBER($M244:$U244)+($M244:$U244="DNA")),$M244:$U244),"")&lt;TODAY())),1,0)+COUNTIF($V244:$Z244,"&lt;"&amp;TODAY()))</f>
        <v/>
      </c>
      <c r="J244" s="32">
        <f>IF(NOT(AND($A244&lt;&gt;"",OR($G244="",$G244="Active"))),"",COUNTIFS($M244:$U244,"&gt;="&amp;TODAY(),$M244:$U244,"&lt;="&amp;TODAY()+7)+COUNTIFS($V244:$Z244,"&gt;="&amp;TODAY(),$V244:$Z244,"&lt;="&amp;TODAY()+7))</f>
        <v/>
      </c>
      <c r="K244" s="32">
        <f>IF(NOT(AND($A244&lt;&gt;"",OR($G244="",$G244="Active"))),"",IF($L244&lt;&gt;"",IF($L244=$M244,"Booking",INDEX($N$4:$U$4,MATCH($L244,$N244:$U244,0))),IF(IFERROR(LOOKUP(2,1/(ISNUMBER($M244:$U244)+($M244:$U244="DNA")),$M244:$U244),"")="DNA","Rebook DNA",IF(ISNUMBER(IFERROR(LOOKUP(2,1/(ISNUMBER($M244:$U244)+($M244:$U244="DNA")),$M244:$U244),"")),IF(ISNUMBER($U244),"Update status","Missed/not booked?"),""))))</f>
        <v/>
      </c>
      <c r="L244" s="33">
        <f>IF(NOT(AND($A244&lt;&gt;"",OR($G244="",$G244="Active"))),"",IFERROR(SMALL($M244:$U244,COUNTIF($M244:$U244,"&lt;"&amp;TODAY())+1),""))</f>
        <v/>
      </c>
      <c r="M244" s="31" t="n"/>
      <c r="N244" s="31" t="n"/>
      <c r="O244" s="31" t="n"/>
      <c r="P244" s="31" t="n"/>
      <c r="Q244" s="31" t="n"/>
      <c r="R244" s="31" t="n"/>
      <c r="S244" s="31" t="n"/>
      <c r="T244" s="31" t="n"/>
      <c r="U244" s="31" t="n"/>
      <c r="V244" s="31" t="n"/>
      <c r="W244" s="31" t="n"/>
      <c r="X244" s="31" t="n"/>
      <c r="Y244" s="31" t="n"/>
      <c r="Z244" s="31" t="n"/>
      <c r="AA244" s="34" t="n"/>
      <c r="AB244" s="29" t="n"/>
      <c r="AC244" s="31" t="n"/>
    </row>
    <row r="245">
      <c r="A245" s="29" t="n"/>
      <c r="B245" s="30" t="n"/>
      <c r="C245" s="31" t="n"/>
      <c r="D245" s="29" t="n"/>
      <c r="E245" s="29" t="n"/>
      <c r="F245" s="31" t="n"/>
      <c r="G245" s="29" t="n"/>
      <c r="H245" s="32">
        <f>IF(OR(NOT(AND($A245&lt;&gt;"",OR($G245="",$G245="Active"))),$F245=""),"",INT((TODAY()-$F245+280)/7)&amp;"+"&amp;MOD(TODAY()-$F245+280,7))</f>
        <v/>
      </c>
      <c r="I245" s="32">
        <f>IF(NOT(AND($A245&lt;&gt;"",OR($G245="",$G245="Active"))),"",IF(OR(IFERROR(LOOKUP(2,1/(ISNUMBER($M245:$U245)+($M245:$U245="DNA")),$M245:$U245),"")="DNA",AND(ISNUMBER(IFERROR(LOOKUP(2,1/(ISNUMBER($M245:$U245)+($M245:$U245="DNA")),$M245:$U245),"")),IFERROR(LOOKUP(2,1/(ISNUMBER($M245:$U245)+($M245:$U245="DNA")),$M245:$U245),"")&lt;TODAY())),1,0)+COUNTIF($V245:$Z245,"&lt;"&amp;TODAY()))</f>
        <v/>
      </c>
      <c r="J245" s="32">
        <f>IF(NOT(AND($A245&lt;&gt;"",OR($G245="",$G245="Active"))),"",COUNTIFS($M245:$U245,"&gt;="&amp;TODAY(),$M245:$U245,"&lt;="&amp;TODAY()+7)+COUNTIFS($V245:$Z245,"&gt;="&amp;TODAY(),$V245:$Z245,"&lt;="&amp;TODAY()+7))</f>
        <v/>
      </c>
      <c r="K245" s="32">
        <f>IF(NOT(AND($A245&lt;&gt;"",OR($G245="",$G245="Active"))),"",IF($L245&lt;&gt;"",IF($L245=$M245,"Booking",INDEX($N$4:$U$4,MATCH($L245,$N245:$U245,0))),IF(IFERROR(LOOKUP(2,1/(ISNUMBER($M245:$U245)+($M245:$U245="DNA")),$M245:$U245),"")="DNA","Rebook DNA",IF(ISNUMBER(IFERROR(LOOKUP(2,1/(ISNUMBER($M245:$U245)+($M245:$U245="DNA")),$M245:$U245),"")),IF(ISNUMBER($U245),"Update status","Missed/not booked?"),""))))</f>
        <v/>
      </c>
      <c r="L245" s="33">
        <f>IF(NOT(AND($A245&lt;&gt;"",OR($G245="",$G245="Active"))),"",IFERROR(SMALL($M245:$U245,COUNTIF($M245:$U245,"&lt;"&amp;TODAY())+1),""))</f>
        <v/>
      </c>
      <c r="M245" s="31" t="n"/>
      <c r="N245" s="31" t="n"/>
      <c r="O245" s="31" t="n"/>
      <c r="P245" s="31" t="n"/>
      <c r="Q245" s="31" t="n"/>
      <c r="R245" s="31" t="n"/>
      <c r="S245" s="31" t="n"/>
      <c r="T245" s="31" t="n"/>
      <c r="U245" s="31" t="n"/>
      <c r="V245" s="31" t="n"/>
      <c r="W245" s="31" t="n"/>
      <c r="X245" s="31" t="n"/>
      <c r="Y245" s="31" t="n"/>
      <c r="Z245" s="31" t="n"/>
      <c r="AA245" s="34" t="n"/>
      <c r="AB245" s="29" t="n"/>
      <c r="AC245" s="31" t="n"/>
    </row>
    <row r="246">
      <c r="A246" s="29" t="n"/>
      <c r="B246" s="30" t="n"/>
      <c r="C246" s="31" t="n"/>
      <c r="D246" s="29" t="n"/>
      <c r="E246" s="29" t="n"/>
      <c r="F246" s="31" t="n"/>
      <c r="G246" s="29" t="n"/>
      <c r="H246" s="32">
        <f>IF(OR(NOT(AND($A246&lt;&gt;"",OR($G246="",$G246="Active"))),$F246=""),"",INT((TODAY()-$F246+280)/7)&amp;"+"&amp;MOD(TODAY()-$F246+280,7))</f>
        <v/>
      </c>
      <c r="I246" s="32">
        <f>IF(NOT(AND($A246&lt;&gt;"",OR($G246="",$G246="Active"))),"",IF(OR(IFERROR(LOOKUP(2,1/(ISNUMBER($M246:$U246)+($M246:$U246="DNA")),$M246:$U246),"")="DNA",AND(ISNUMBER(IFERROR(LOOKUP(2,1/(ISNUMBER($M246:$U246)+($M246:$U246="DNA")),$M246:$U246),"")),IFERROR(LOOKUP(2,1/(ISNUMBER($M246:$U246)+($M246:$U246="DNA")),$M246:$U246),"")&lt;TODAY())),1,0)+COUNTIF($V246:$Z246,"&lt;"&amp;TODAY()))</f>
        <v/>
      </c>
      <c r="J246" s="32">
        <f>IF(NOT(AND($A246&lt;&gt;"",OR($G246="",$G246="Active"))),"",COUNTIFS($M246:$U246,"&gt;="&amp;TODAY(),$M246:$U246,"&lt;="&amp;TODAY()+7)+COUNTIFS($V246:$Z246,"&gt;="&amp;TODAY(),$V246:$Z246,"&lt;="&amp;TODAY()+7))</f>
        <v/>
      </c>
      <c r="K246" s="32">
        <f>IF(NOT(AND($A246&lt;&gt;"",OR($G246="",$G246="Active"))),"",IF($L246&lt;&gt;"",IF($L246=$M246,"Booking",INDEX($N$4:$U$4,MATCH($L246,$N246:$U246,0))),IF(IFERROR(LOOKUP(2,1/(ISNUMBER($M246:$U246)+($M246:$U246="DNA")),$M246:$U246),"")="DNA","Rebook DNA",IF(ISNUMBER(IFERROR(LOOKUP(2,1/(ISNUMBER($M246:$U246)+($M246:$U246="DNA")),$M246:$U246),"")),IF(ISNUMBER($U246),"Update status","Missed/not booked?"),""))))</f>
        <v/>
      </c>
      <c r="L246" s="33">
        <f>IF(NOT(AND($A246&lt;&gt;"",OR($G246="",$G246="Active"))),"",IFERROR(SMALL($M246:$U246,COUNTIF($M246:$U246,"&lt;"&amp;TODAY())+1),""))</f>
        <v/>
      </c>
      <c r="M246" s="31" t="n"/>
      <c r="N246" s="31" t="n"/>
      <c r="O246" s="31" t="n"/>
      <c r="P246" s="31" t="n"/>
      <c r="Q246" s="31" t="n"/>
      <c r="R246" s="31" t="n"/>
      <c r="S246" s="31" t="n"/>
      <c r="T246" s="31" t="n"/>
      <c r="U246" s="31" t="n"/>
      <c r="V246" s="31" t="n"/>
      <c r="W246" s="31" t="n"/>
      <c r="X246" s="31" t="n"/>
      <c r="Y246" s="31" t="n"/>
      <c r="Z246" s="31" t="n"/>
      <c r="AA246" s="34" t="n"/>
      <c r="AB246" s="29" t="n"/>
      <c r="AC246" s="31" t="n"/>
    </row>
    <row r="247">
      <c r="A247" s="29" t="n"/>
      <c r="B247" s="30" t="n"/>
      <c r="C247" s="31" t="n"/>
      <c r="D247" s="29" t="n"/>
      <c r="E247" s="29" t="n"/>
      <c r="F247" s="31" t="n"/>
      <c r="G247" s="29" t="n"/>
      <c r="H247" s="32">
        <f>IF(OR(NOT(AND($A247&lt;&gt;"",OR($G247="",$G247="Active"))),$F247=""),"",INT((TODAY()-$F247+280)/7)&amp;"+"&amp;MOD(TODAY()-$F247+280,7))</f>
        <v/>
      </c>
      <c r="I247" s="32">
        <f>IF(NOT(AND($A247&lt;&gt;"",OR($G247="",$G247="Active"))),"",IF(OR(IFERROR(LOOKUP(2,1/(ISNUMBER($M247:$U247)+($M247:$U247="DNA")),$M247:$U247),"")="DNA",AND(ISNUMBER(IFERROR(LOOKUP(2,1/(ISNUMBER($M247:$U247)+($M247:$U247="DNA")),$M247:$U247),"")),IFERROR(LOOKUP(2,1/(ISNUMBER($M247:$U247)+($M247:$U247="DNA")),$M247:$U247),"")&lt;TODAY())),1,0)+COUNTIF($V247:$Z247,"&lt;"&amp;TODAY()))</f>
        <v/>
      </c>
      <c r="J247" s="32">
        <f>IF(NOT(AND($A247&lt;&gt;"",OR($G247="",$G247="Active"))),"",COUNTIFS($M247:$U247,"&gt;="&amp;TODAY(),$M247:$U247,"&lt;="&amp;TODAY()+7)+COUNTIFS($V247:$Z247,"&gt;="&amp;TODAY(),$V247:$Z247,"&lt;="&amp;TODAY()+7))</f>
        <v/>
      </c>
      <c r="K247" s="32">
        <f>IF(NOT(AND($A247&lt;&gt;"",OR($G247="",$G247="Active"))),"",IF($L247&lt;&gt;"",IF($L247=$M247,"Booking",INDEX($N$4:$U$4,MATCH($L247,$N247:$U247,0))),IF(IFERROR(LOOKUP(2,1/(ISNUMBER($M247:$U247)+($M247:$U247="DNA")),$M247:$U247),"")="DNA","Rebook DNA",IF(ISNUMBER(IFERROR(LOOKUP(2,1/(ISNUMBER($M247:$U247)+($M247:$U247="DNA")),$M247:$U247),"")),IF(ISNUMBER($U247),"Update status","Missed/not booked?"),""))))</f>
        <v/>
      </c>
      <c r="L247" s="33">
        <f>IF(NOT(AND($A247&lt;&gt;"",OR($G247="",$G247="Active"))),"",IFERROR(SMALL($M247:$U247,COUNTIF($M247:$U247,"&lt;"&amp;TODAY())+1),""))</f>
        <v/>
      </c>
      <c r="M247" s="31" t="n"/>
      <c r="N247" s="31" t="n"/>
      <c r="O247" s="31" t="n"/>
      <c r="P247" s="31" t="n"/>
      <c r="Q247" s="31" t="n"/>
      <c r="R247" s="31" t="n"/>
      <c r="S247" s="31" t="n"/>
      <c r="T247" s="31" t="n"/>
      <c r="U247" s="31" t="n"/>
      <c r="V247" s="31" t="n"/>
      <c r="W247" s="31" t="n"/>
      <c r="X247" s="31" t="n"/>
      <c r="Y247" s="31" t="n"/>
      <c r="Z247" s="31" t="n"/>
      <c r="AA247" s="34" t="n"/>
      <c r="AB247" s="29" t="n"/>
      <c r="AC247" s="31" t="n"/>
    </row>
    <row r="248">
      <c r="A248" s="29" t="n"/>
      <c r="B248" s="30" t="n"/>
      <c r="C248" s="31" t="n"/>
      <c r="D248" s="29" t="n"/>
      <c r="E248" s="29" t="n"/>
      <c r="F248" s="31" t="n"/>
      <c r="G248" s="29" t="n"/>
      <c r="H248" s="32">
        <f>IF(OR(NOT(AND($A248&lt;&gt;"",OR($G248="",$G248="Active"))),$F248=""),"",INT((TODAY()-$F248+280)/7)&amp;"+"&amp;MOD(TODAY()-$F248+280,7))</f>
        <v/>
      </c>
      <c r="I248" s="32">
        <f>IF(NOT(AND($A248&lt;&gt;"",OR($G248="",$G248="Active"))),"",IF(OR(IFERROR(LOOKUP(2,1/(ISNUMBER($M248:$U248)+($M248:$U248="DNA")),$M248:$U248),"")="DNA",AND(ISNUMBER(IFERROR(LOOKUP(2,1/(ISNUMBER($M248:$U248)+($M248:$U248="DNA")),$M248:$U248),"")),IFERROR(LOOKUP(2,1/(ISNUMBER($M248:$U248)+($M248:$U248="DNA")),$M248:$U248),"")&lt;TODAY())),1,0)+COUNTIF($V248:$Z248,"&lt;"&amp;TODAY()))</f>
        <v/>
      </c>
      <c r="J248" s="32">
        <f>IF(NOT(AND($A248&lt;&gt;"",OR($G248="",$G248="Active"))),"",COUNTIFS($M248:$U248,"&gt;="&amp;TODAY(),$M248:$U248,"&lt;="&amp;TODAY()+7)+COUNTIFS($V248:$Z248,"&gt;="&amp;TODAY(),$V248:$Z248,"&lt;="&amp;TODAY()+7))</f>
        <v/>
      </c>
      <c r="K248" s="32">
        <f>IF(NOT(AND($A248&lt;&gt;"",OR($G248="",$G248="Active"))),"",IF($L248&lt;&gt;"",IF($L248=$M248,"Booking",INDEX($N$4:$U$4,MATCH($L248,$N248:$U248,0))),IF(IFERROR(LOOKUP(2,1/(ISNUMBER($M248:$U248)+($M248:$U248="DNA")),$M248:$U248),"")="DNA","Rebook DNA",IF(ISNUMBER(IFERROR(LOOKUP(2,1/(ISNUMBER($M248:$U248)+($M248:$U248="DNA")),$M248:$U248),"")),IF(ISNUMBER($U248),"Update status","Missed/not booked?"),""))))</f>
        <v/>
      </c>
      <c r="L248" s="33">
        <f>IF(NOT(AND($A248&lt;&gt;"",OR($G248="",$G248="Active"))),"",IFERROR(SMALL($M248:$U248,COUNTIF($M248:$U248,"&lt;"&amp;TODAY())+1),""))</f>
        <v/>
      </c>
      <c r="M248" s="31" t="n"/>
      <c r="N248" s="31" t="n"/>
      <c r="O248" s="31" t="n"/>
      <c r="P248" s="31" t="n"/>
      <c r="Q248" s="31" t="n"/>
      <c r="R248" s="31" t="n"/>
      <c r="S248" s="31" t="n"/>
      <c r="T248" s="31" t="n"/>
      <c r="U248" s="31" t="n"/>
      <c r="V248" s="31" t="n"/>
      <c r="W248" s="31" t="n"/>
      <c r="X248" s="31" t="n"/>
      <c r="Y248" s="31" t="n"/>
      <c r="Z248" s="31" t="n"/>
      <c r="AA248" s="34" t="n"/>
      <c r="AB248" s="29" t="n"/>
      <c r="AC248" s="31" t="n"/>
    </row>
    <row r="249">
      <c r="A249" s="29" t="n"/>
      <c r="B249" s="30" t="n"/>
      <c r="C249" s="31" t="n"/>
      <c r="D249" s="29" t="n"/>
      <c r="E249" s="29" t="n"/>
      <c r="F249" s="31" t="n"/>
      <c r="G249" s="29" t="n"/>
      <c r="H249" s="32">
        <f>IF(OR(NOT(AND($A249&lt;&gt;"",OR($G249="",$G249="Active"))),$F249=""),"",INT((TODAY()-$F249+280)/7)&amp;"+"&amp;MOD(TODAY()-$F249+280,7))</f>
        <v/>
      </c>
      <c r="I249" s="32">
        <f>IF(NOT(AND($A249&lt;&gt;"",OR($G249="",$G249="Active"))),"",IF(OR(IFERROR(LOOKUP(2,1/(ISNUMBER($M249:$U249)+($M249:$U249="DNA")),$M249:$U249),"")="DNA",AND(ISNUMBER(IFERROR(LOOKUP(2,1/(ISNUMBER($M249:$U249)+($M249:$U249="DNA")),$M249:$U249),"")),IFERROR(LOOKUP(2,1/(ISNUMBER($M249:$U249)+($M249:$U249="DNA")),$M249:$U249),"")&lt;TODAY())),1,0)+COUNTIF($V249:$Z249,"&lt;"&amp;TODAY()))</f>
        <v/>
      </c>
      <c r="J249" s="32">
        <f>IF(NOT(AND($A249&lt;&gt;"",OR($G249="",$G249="Active"))),"",COUNTIFS($M249:$U249,"&gt;="&amp;TODAY(),$M249:$U249,"&lt;="&amp;TODAY()+7)+COUNTIFS($V249:$Z249,"&gt;="&amp;TODAY(),$V249:$Z249,"&lt;="&amp;TODAY()+7))</f>
        <v/>
      </c>
      <c r="K249" s="32">
        <f>IF(NOT(AND($A249&lt;&gt;"",OR($G249="",$G249="Active"))),"",IF($L249&lt;&gt;"",IF($L249=$M249,"Booking",INDEX($N$4:$U$4,MATCH($L249,$N249:$U249,0))),IF(IFERROR(LOOKUP(2,1/(ISNUMBER($M249:$U249)+($M249:$U249="DNA")),$M249:$U249),"")="DNA","Rebook DNA",IF(ISNUMBER(IFERROR(LOOKUP(2,1/(ISNUMBER($M249:$U249)+($M249:$U249="DNA")),$M249:$U249),"")),IF(ISNUMBER($U249),"Update status","Missed/not booked?"),""))))</f>
        <v/>
      </c>
      <c r="L249" s="33">
        <f>IF(NOT(AND($A249&lt;&gt;"",OR($G249="",$G249="Active"))),"",IFERROR(SMALL($M249:$U249,COUNTIF($M249:$U249,"&lt;"&amp;TODAY())+1),""))</f>
        <v/>
      </c>
      <c r="M249" s="31" t="n"/>
      <c r="N249" s="31" t="n"/>
      <c r="O249" s="31" t="n"/>
      <c r="P249" s="31" t="n"/>
      <c r="Q249" s="31" t="n"/>
      <c r="R249" s="31" t="n"/>
      <c r="S249" s="31" t="n"/>
      <c r="T249" s="31" t="n"/>
      <c r="U249" s="31" t="n"/>
      <c r="V249" s="31" t="n"/>
      <c r="W249" s="31" t="n"/>
      <c r="X249" s="31" t="n"/>
      <c r="Y249" s="31" t="n"/>
      <c r="Z249" s="31" t="n"/>
      <c r="AA249" s="34" t="n"/>
      <c r="AB249" s="29" t="n"/>
      <c r="AC249" s="31" t="n"/>
    </row>
    <row r="250">
      <c r="A250" s="29" t="n"/>
      <c r="B250" s="30" t="n"/>
      <c r="C250" s="31" t="n"/>
      <c r="D250" s="29" t="n"/>
      <c r="E250" s="29" t="n"/>
      <c r="F250" s="31" t="n"/>
      <c r="G250" s="29" t="n"/>
      <c r="H250" s="32">
        <f>IF(OR(NOT(AND($A250&lt;&gt;"",OR($G250="",$G250="Active"))),$F250=""),"",INT((TODAY()-$F250+280)/7)&amp;"+"&amp;MOD(TODAY()-$F250+280,7))</f>
        <v/>
      </c>
      <c r="I250" s="32">
        <f>IF(NOT(AND($A250&lt;&gt;"",OR($G250="",$G250="Active"))),"",IF(OR(IFERROR(LOOKUP(2,1/(ISNUMBER($M250:$U250)+($M250:$U250="DNA")),$M250:$U250),"")="DNA",AND(ISNUMBER(IFERROR(LOOKUP(2,1/(ISNUMBER($M250:$U250)+($M250:$U250="DNA")),$M250:$U250),"")),IFERROR(LOOKUP(2,1/(ISNUMBER($M250:$U250)+($M250:$U250="DNA")),$M250:$U250),"")&lt;TODAY())),1,0)+COUNTIF($V250:$Z250,"&lt;"&amp;TODAY()))</f>
        <v/>
      </c>
      <c r="J250" s="32">
        <f>IF(NOT(AND($A250&lt;&gt;"",OR($G250="",$G250="Active"))),"",COUNTIFS($M250:$U250,"&gt;="&amp;TODAY(),$M250:$U250,"&lt;="&amp;TODAY()+7)+COUNTIFS($V250:$Z250,"&gt;="&amp;TODAY(),$V250:$Z250,"&lt;="&amp;TODAY()+7))</f>
        <v/>
      </c>
      <c r="K250" s="32">
        <f>IF(NOT(AND($A250&lt;&gt;"",OR($G250="",$G250="Active"))),"",IF($L250&lt;&gt;"",IF($L250=$M250,"Booking",INDEX($N$4:$U$4,MATCH($L250,$N250:$U250,0))),IF(IFERROR(LOOKUP(2,1/(ISNUMBER($M250:$U250)+($M250:$U250="DNA")),$M250:$U250),"")="DNA","Rebook DNA",IF(ISNUMBER(IFERROR(LOOKUP(2,1/(ISNUMBER($M250:$U250)+($M250:$U250="DNA")),$M250:$U250),"")),IF(ISNUMBER($U250),"Update status","Missed/not booked?"),""))))</f>
        <v/>
      </c>
      <c r="L250" s="33">
        <f>IF(NOT(AND($A250&lt;&gt;"",OR($G250="",$G250="Active"))),"",IFERROR(SMALL($M250:$U250,COUNTIF($M250:$U250,"&lt;"&amp;TODAY())+1),""))</f>
        <v/>
      </c>
      <c r="M250" s="31" t="n"/>
      <c r="N250" s="31" t="n"/>
      <c r="O250" s="31" t="n"/>
      <c r="P250" s="31" t="n"/>
      <c r="Q250" s="31" t="n"/>
      <c r="R250" s="31" t="n"/>
      <c r="S250" s="31" t="n"/>
      <c r="T250" s="31" t="n"/>
      <c r="U250" s="31" t="n"/>
      <c r="V250" s="31" t="n"/>
      <c r="W250" s="31" t="n"/>
      <c r="X250" s="31" t="n"/>
      <c r="Y250" s="31" t="n"/>
      <c r="Z250" s="31" t="n"/>
      <c r="AA250" s="34" t="n"/>
      <c r="AB250" s="29" t="n"/>
      <c r="AC250" s="31" t="n"/>
    </row>
    <row r="251">
      <c r="A251" s="29" t="n"/>
      <c r="B251" s="30" t="n"/>
      <c r="C251" s="31" t="n"/>
      <c r="D251" s="29" t="n"/>
      <c r="E251" s="29" t="n"/>
      <c r="F251" s="31" t="n"/>
      <c r="G251" s="29" t="n"/>
      <c r="H251" s="32">
        <f>IF(OR(NOT(AND($A251&lt;&gt;"",OR($G251="",$G251="Active"))),$F251=""),"",INT((TODAY()-$F251+280)/7)&amp;"+"&amp;MOD(TODAY()-$F251+280,7))</f>
        <v/>
      </c>
      <c r="I251" s="32">
        <f>IF(NOT(AND($A251&lt;&gt;"",OR($G251="",$G251="Active"))),"",IF(OR(IFERROR(LOOKUP(2,1/(ISNUMBER($M251:$U251)+($M251:$U251="DNA")),$M251:$U251),"")="DNA",AND(ISNUMBER(IFERROR(LOOKUP(2,1/(ISNUMBER($M251:$U251)+($M251:$U251="DNA")),$M251:$U251),"")),IFERROR(LOOKUP(2,1/(ISNUMBER($M251:$U251)+($M251:$U251="DNA")),$M251:$U251),"")&lt;TODAY())),1,0)+COUNTIF($V251:$Z251,"&lt;"&amp;TODAY()))</f>
        <v/>
      </c>
      <c r="J251" s="32">
        <f>IF(NOT(AND($A251&lt;&gt;"",OR($G251="",$G251="Active"))),"",COUNTIFS($M251:$U251,"&gt;="&amp;TODAY(),$M251:$U251,"&lt;="&amp;TODAY()+7)+COUNTIFS($V251:$Z251,"&gt;="&amp;TODAY(),$V251:$Z251,"&lt;="&amp;TODAY()+7))</f>
        <v/>
      </c>
      <c r="K251" s="32">
        <f>IF(NOT(AND($A251&lt;&gt;"",OR($G251="",$G251="Active"))),"",IF($L251&lt;&gt;"",IF($L251=$M251,"Booking",INDEX($N$4:$U$4,MATCH($L251,$N251:$U251,0))),IF(IFERROR(LOOKUP(2,1/(ISNUMBER($M251:$U251)+($M251:$U251="DNA")),$M251:$U251),"")="DNA","Rebook DNA",IF(ISNUMBER(IFERROR(LOOKUP(2,1/(ISNUMBER($M251:$U251)+($M251:$U251="DNA")),$M251:$U251),"")),IF(ISNUMBER($U251),"Update status","Missed/not booked?"),""))))</f>
        <v/>
      </c>
      <c r="L251" s="33">
        <f>IF(NOT(AND($A251&lt;&gt;"",OR($G251="",$G251="Active"))),"",IFERROR(SMALL($M251:$U251,COUNTIF($M251:$U251,"&lt;"&amp;TODAY())+1),""))</f>
        <v/>
      </c>
      <c r="M251" s="31" t="n"/>
      <c r="N251" s="31" t="n"/>
      <c r="O251" s="31" t="n"/>
      <c r="P251" s="31" t="n"/>
      <c r="Q251" s="31" t="n"/>
      <c r="R251" s="31" t="n"/>
      <c r="S251" s="31" t="n"/>
      <c r="T251" s="31" t="n"/>
      <c r="U251" s="31" t="n"/>
      <c r="V251" s="31" t="n"/>
      <c r="W251" s="31" t="n"/>
      <c r="X251" s="31" t="n"/>
      <c r="Y251" s="31" t="n"/>
      <c r="Z251" s="31" t="n"/>
      <c r="AA251" s="34" t="n"/>
      <c r="AB251" s="29" t="n"/>
      <c r="AC251" s="31" t="n"/>
    </row>
    <row r="252">
      <c r="A252" s="29" t="n"/>
      <c r="B252" s="30" t="n"/>
      <c r="C252" s="31" t="n"/>
      <c r="D252" s="29" t="n"/>
      <c r="E252" s="29" t="n"/>
      <c r="F252" s="31" t="n"/>
      <c r="G252" s="29" t="n"/>
      <c r="H252" s="32">
        <f>IF(OR(NOT(AND($A252&lt;&gt;"",OR($G252="",$G252="Active"))),$F252=""),"",INT((TODAY()-$F252+280)/7)&amp;"+"&amp;MOD(TODAY()-$F252+280,7))</f>
        <v/>
      </c>
      <c r="I252" s="32">
        <f>IF(NOT(AND($A252&lt;&gt;"",OR($G252="",$G252="Active"))),"",IF(OR(IFERROR(LOOKUP(2,1/(ISNUMBER($M252:$U252)+($M252:$U252="DNA")),$M252:$U252),"")="DNA",AND(ISNUMBER(IFERROR(LOOKUP(2,1/(ISNUMBER($M252:$U252)+($M252:$U252="DNA")),$M252:$U252),"")),IFERROR(LOOKUP(2,1/(ISNUMBER($M252:$U252)+($M252:$U252="DNA")),$M252:$U252),"")&lt;TODAY())),1,0)+COUNTIF($V252:$Z252,"&lt;"&amp;TODAY()))</f>
        <v/>
      </c>
      <c r="J252" s="32">
        <f>IF(NOT(AND($A252&lt;&gt;"",OR($G252="",$G252="Active"))),"",COUNTIFS($M252:$U252,"&gt;="&amp;TODAY(),$M252:$U252,"&lt;="&amp;TODAY()+7)+COUNTIFS($V252:$Z252,"&gt;="&amp;TODAY(),$V252:$Z252,"&lt;="&amp;TODAY()+7))</f>
        <v/>
      </c>
      <c r="K252" s="32">
        <f>IF(NOT(AND($A252&lt;&gt;"",OR($G252="",$G252="Active"))),"",IF($L252&lt;&gt;"",IF($L252=$M252,"Booking",INDEX($N$4:$U$4,MATCH($L252,$N252:$U252,0))),IF(IFERROR(LOOKUP(2,1/(ISNUMBER($M252:$U252)+($M252:$U252="DNA")),$M252:$U252),"")="DNA","Rebook DNA",IF(ISNUMBER(IFERROR(LOOKUP(2,1/(ISNUMBER($M252:$U252)+($M252:$U252="DNA")),$M252:$U252),"")),IF(ISNUMBER($U252),"Update status","Missed/not booked?"),""))))</f>
        <v/>
      </c>
      <c r="L252" s="33">
        <f>IF(NOT(AND($A252&lt;&gt;"",OR($G252="",$G252="Active"))),"",IFERROR(SMALL($M252:$U252,COUNTIF($M252:$U252,"&lt;"&amp;TODAY())+1),""))</f>
        <v/>
      </c>
      <c r="M252" s="31" t="n"/>
      <c r="N252" s="31" t="n"/>
      <c r="O252" s="31" t="n"/>
      <c r="P252" s="31" t="n"/>
      <c r="Q252" s="31" t="n"/>
      <c r="R252" s="31" t="n"/>
      <c r="S252" s="31" t="n"/>
      <c r="T252" s="31" t="n"/>
      <c r="U252" s="31" t="n"/>
      <c r="V252" s="31" t="n"/>
      <c r="W252" s="31" t="n"/>
      <c r="X252" s="31" t="n"/>
      <c r="Y252" s="31" t="n"/>
      <c r="Z252" s="31" t="n"/>
      <c r="AA252" s="34" t="n"/>
      <c r="AB252" s="29" t="n"/>
      <c r="AC252" s="31" t="n"/>
    </row>
    <row r="253">
      <c r="A253" s="29" t="n"/>
      <c r="B253" s="30" t="n"/>
      <c r="C253" s="31" t="n"/>
      <c r="D253" s="29" t="n"/>
      <c r="E253" s="29" t="n"/>
      <c r="F253" s="31" t="n"/>
      <c r="G253" s="29" t="n"/>
      <c r="H253" s="32">
        <f>IF(OR(NOT(AND($A253&lt;&gt;"",OR($G253="",$G253="Active"))),$F253=""),"",INT((TODAY()-$F253+280)/7)&amp;"+"&amp;MOD(TODAY()-$F253+280,7))</f>
        <v/>
      </c>
      <c r="I253" s="32">
        <f>IF(NOT(AND($A253&lt;&gt;"",OR($G253="",$G253="Active"))),"",IF(OR(IFERROR(LOOKUP(2,1/(ISNUMBER($M253:$U253)+($M253:$U253="DNA")),$M253:$U253),"")="DNA",AND(ISNUMBER(IFERROR(LOOKUP(2,1/(ISNUMBER($M253:$U253)+($M253:$U253="DNA")),$M253:$U253),"")),IFERROR(LOOKUP(2,1/(ISNUMBER($M253:$U253)+($M253:$U253="DNA")),$M253:$U253),"")&lt;TODAY())),1,0)+COUNTIF($V253:$Z253,"&lt;"&amp;TODAY()))</f>
        <v/>
      </c>
      <c r="J253" s="32">
        <f>IF(NOT(AND($A253&lt;&gt;"",OR($G253="",$G253="Active"))),"",COUNTIFS($M253:$U253,"&gt;="&amp;TODAY(),$M253:$U253,"&lt;="&amp;TODAY()+7)+COUNTIFS($V253:$Z253,"&gt;="&amp;TODAY(),$V253:$Z253,"&lt;="&amp;TODAY()+7))</f>
        <v/>
      </c>
      <c r="K253" s="32">
        <f>IF(NOT(AND($A253&lt;&gt;"",OR($G253="",$G253="Active"))),"",IF($L253&lt;&gt;"",IF($L253=$M253,"Booking",INDEX($N$4:$U$4,MATCH($L253,$N253:$U253,0))),IF(IFERROR(LOOKUP(2,1/(ISNUMBER($M253:$U253)+($M253:$U253="DNA")),$M253:$U253),"")="DNA","Rebook DNA",IF(ISNUMBER(IFERROR(LOOKUP(2,1/(ISNUMBER($M253:$U253)+($M253:$U253="DNA")),$M253:$U253),"")),IF(ISNUMBER($U253),"Update status","Missed/not booked?"),""))))</f>
        <v/>
      </c>
      <c r="L253" s="33">
        <f>IF(NOT(AND($A253&lt;&gt;"",OR($G253="",$G253="Active"))),"",IFERROR(SMALL($M253:$U253,COUNTIF($M253:$U253,"&lt;"&amp;TODAY())+1),""))</f>
        <v/>
      </c>
      <c r="M253" s="31" t="n"/>
      <c r="N253" s="31" t="n"/>
      <c r="O253" s="31" t="n"/>
      <c r="P253" s="31" t="n"/>
      <c r="Q253" s="31" t="n"/>
      <c r="R253" s="31" t="n"/>
      <c r="S253" s="31" t="n"/>
      <c r="T253" s="31" t="n"/>
      <c r="U253" s="31" t="n"/>
      <c r="V253" s="31" t="n"/>
      <c r="W253" s="31" t="n"/>
      <c r="X253" s="31" t="n"/>
      <c r="Y253" s="31" t="n"/>
      <c r="Z253" s="31" t="n"/>
      <c r="AA253" s="34" t="n"/>
      <c r="AB253" s="29" t="n"/>
      <c r="AC253" s="31" t="n"/>
    </row>
    <row r="254">
      <c r="A254" s="29" t="n"/>
      <c r="B254" s="30" t="n"/>
      <c r="C254" s="31" t="n"/>
      <c r="D254" s="29" t="n"/>
      <c r="E254" s="29" t="n"/>
      <c r="F254" s="31" t="n"/>
      <c r="G254" s="29" t="n"/>
      <c r="H254" s="32">
        <f>IF(OR(NOT(AND($A254&lt;&gt;"",OR($G254="",$G254="Active"))),$F254=""),"",INT((TODAY()-$F254+280)/7)&amp;"+"&amp;MOD(TODAY()-$F254+280,7))</f>
        <v/>
      </c>
      <c r="I254" s="32">
        <f>IF(NOT(AND($A254&lt;&gt;"",OR($G254="",$G254="Active"))),"",IF(OR(IFERROR(LOOKUP(2,1/(ISNUMBER($M254:$U254)+($M254:$U254="DNA")),$M254:$U254),"")="DNA",AND(ISNUMBER(IFERROR(LOOKUP(2,1/(ISNUMBER($M254:$U254)+($M254:$U254="DNA")),$M254:$U254),"")),IFERROR(LOOKUP(2,1/(ISNUMBER($M254:$U254)+($M254:$U254="DNA")),$M254:$U254),"")&lt;TODAY())),1,0)+COUNTIF($V254:$Z254,"&lt;"&amp;TODAY()))</f>
        <v/>
      </c>
      <c r="J254" s="32">
        <f>IF(NOT(AND($A254&lt;&gt;"",OR($G254="",$G254="Active"))),"",COUNTIFS($M254:$U254,"&gt;="&amp;TODAY(),$M254:$U254,"&lt;="&amp;TODAY()+7)+COUNTIFS($V254:$Z254,"&gt;="&amp;TODAY(),$V254:$Z254,"&lt;="&amp;TODAY()+7))</f>
        <v/>
      </c>
      <c r="K254" s="32">
        <f>IF(NOT(AND($A254&lt;&gt;"",OR($G254="",$G254="Active"))),"",IF($L254&lt;&gt;"",IF($L254=$M254,"Booking",INDEX($N$4:$U$4,MATCH($L254,$N254:$U254,0))),IF(IFERROR(LOOKUP(2,1/(ISNUMBER($M254:$U254)+($M254:$U254="DNA")),$M254:$U254),"")="DNA","Rebook DNA",IF(ISNUMBER(IFERROR(LOOKUP(2,1/(ISNUMBER($M254:$U254)+($M254:$U254="DNA")),$M254:$U254),"")),IF(ISNUMBER($U254),"Update status","Missed/not booked?"),""))))</f>
        <v/>
      </c>
      <c r="L254" s="33">
        <f>IF(NOT(AND($A254&lt;&gt;"",OR($G254="",$G254="Active"))),"",IFERROR(SMALL($M254:$U254,COUNTIF($M254:$U254,"&lt;"&amp;TODAY())+1),""))</f>
        <v/>
      </c>
      <c r="M254" s="31" t="n"/>
      <c r="N254" s="31" t="n"/>
      <c r="O254" s="31" t="n"/>
      <c r="P254" s="31" t="n"/>
      <c r="Q254" s="31" t="n"/>
      <c r="R254" s="31" t="n"/>
      <c r="S254" s="31" t="n"/>
      <c r="T254" s="31" t="n"/>
      <c r="U254" s="31" t="n"/>
      <c r="V254" s="31" t="n"/>
      <c r="W254" s="31" t="n"/>
      <c r="X254" s="31" t="n"/>
      <c r="Y254" s="31" t="n"/>
      <c r="Z254" s="31" t="n"/>
      <c r="AA254" s="34" t="n"/>
      <c r="AB254" s="29" t="n"/>
      <c r="AC254" s="31" t="n"/>
    </row>
    <row r="255">
      <c r="A255" s="29" t="n"/>
      <c r="B255" s="30" t="n"/>
      <c r="C255" s="31" t="n"/>
      <c r="D255" s="29" t="n"/>
      <c r="E255" s="29" t="n"/>
      <c r="F255" s="31" t="n"/>
      <c r="G255" s="29" t="n"/>
      <c r="H255" s="32">
        <f>IF(OR(NOT(AND($A255&lt;&gt;"",OR($G255="",$G255="Active"))),$F255=""),"",INT((TODAY()-$F255+280)/7)&amp;"+"&amp;MOD(TODAY()-$F255+280,7))</f>
        <v/>
      </c>
      <c r="I255" s="32">
        <f>IF(NOT(AND($A255&lt;&gt;"",OR($G255="",$G255="Active"))),"",IF(OR(IFERROR(LOOKUP(2,1/(ISNUMBER($M255:$U255)+($M255:$U255="DNA")),$M255:$U255),"")="DNA",AND(ISNUMBER(IFERROR(LOOKUP(2,1/(ISNUMBER($M255:$U255)+($M255:$U255="DNA")),$M255:$U255),"")),IFERROR(LOOKUP(2,1/(ISNUMBER($M255:$U255)+($M255:$U255="DNA")),$M255:$U255),"")&lt;TODAY())),1,0)+COUNTIF($V255:$Z255,"&lt;"&amp;TODAY()))</f>
        <v/>
      </c>
      <c r="J255" s="32">
        <f>IF(NOT(AND($A255&lt;&gt;"",OR($G255="",$G255="Active"))),"",COUNTIFS($M255:$U255,"&gt;="&amp;TODAY(),$M255:$U255,"&lt;="&amp;TODAY()+7)+COUNTIFS($V255:$Z255,"&gt;="&amp;TODAY(),$V255:$Z255,"&lt;="&amp;TODAY()+7))</f>
        <v/>
      </c>
      <c r="K255" s="32">
        <f>IF(NOT(AND($A255&lt;&gt;"",OR($G255="",$G255="Active"))),"",IF($L255&lt;&gt;"",IF($L255=$M255,"Booking",INDEX($N$4:$U$4,MATCH($L255,$N255:$U255,0))),IF(IFERROR(LOOKUP(2,1/(ISNUMBER($M255:$U255)+($M255:$U255="DNA")),$M255:$U255),"")="DNA","Rebook DNA",IF(ISNUMBER(IFERROR(LOOKUP(2,1/(ISNUMBER($M255:$U255)+($M255:$U255="DNA")),$M255:$U255),"")),IF(ISNUMBER($U255),"Update status","Missed/not booked?"),""))))</f>
        <v/>
      </c>
      <c r="L255" s="33">
        <f>IF(NOT(AND($A255&lt;&gt;"",OR($G255="",$G255="Active"))),"",IFERROR(SMALL($M255:$U255,COUNTIF($M255:$U255,"&lt;"&amp;TODAY())+1),""))</f>
        <v/>
      </c>
      <c r="M255" s="31" t="n"/>
      <c r="N255" s="31" t="n"/>
      <c r="O255" s="31" t="n"/>
      <c r="P255" s="31" t="n"/>
      <c r="Q255" s="31" t="n"/>
      <c r="R255" s="31" t="n"/>
      <c r="S255" s="31" t="n"/>
      <c r="T255" s="31" t="n"/>
      <c r="U255" s="31" t="n"/>
      <c r="V255" s="31" t="n"/>
      <c r="W255" s="31" t="n"/>
      <c r="X255" s="31" t="n"/>
      <c r="Y255" s="31" t="n"/>
      <c r="Z255" s="31" t="n"/>
      <c r="AA255" s="34" t="n"/>
      <c r="AB255" s="29" t="n"/>
      <c r="AC255" s="31" t="n"/>
    </row>
    <row r="256">
      <c r="A256" s="29" t="n"/>
      <c r="B256" s="30" t="n"/>
      <c r="C256" s="31" t="n"/>
      <c r="D256" s="29" t="n"/>
      <c r="E256" s="29" t="n"/>
      <c r="F256" s="31" t="n"/>
      <c r="G256" s="29" t="n"/>
      <c r="H256" s="32">
        <f>IF(OR(NOT(AND($A256&lt;&gt;"",OR($G256="",$G256="Active"))),$F256=""),"",INT((TODAY()-$F256+280)/7)&amp;"+"&amp;MOD(TODAY()-$F256+280,7))</f>
        <v/>
      </c>
      <c r="I256" s="32">
        <f>IF(NOT(AND($A256&lt;&gt;"",OR($G256="",$G256="Active"))),"",IF(OR(IFERROR(LOOKUP(2,1/(ISNUMBER($M256:$U256)+($M256:$U256="DNA")),$M256:$U256),"")="DNA",AND(ISNUMBER(IFERROR(LOOKUP(2,1/(ISNUMBER($M256:$U256)+($M256:$U256="DNA")),$M256:$U256),"")),IFERROR(LOOKUP(2,1/(ISNUMBER($M256:$U256)+($M256:$U256="DNA")),$M256:$U256),"")&lt;TODAY())),1,0)+COUNTIF($V256:$Z256,"&lt;"&amp;TODAY()))</f>
        <v/>
      </c>
      <c r="J256" s="32">
        <f>IF(NOT(AND($A256&lt;&gt;"",OR($G256="",$G256="Active"))),"",COUNTIFS($M256:$U256,"&gt;="&amp;TODAY(),$M256:$U256,"&lt;="&amp;TODAY()+7)+COUNTIFS($V256:$Z256,"&gt;="&amp;TODAY(),$V256:$Z256,"&lt;="&amp;TODAY()+7))</f>
        <v/>
      </c>
      <c r="K256" s="32">
        <f>IF(NOT(AND($A256&lt;&gt;"",OR($G256="",$G256="Active"))),"",IF($L256&lt;&gt;"",IF($L256=$M256,"Booking",INDEX($N$4:$U$4,MATCH($L256,$N256:$U256,0))),IF(IFERROR(LOOKUP(2,1/(ISNUMBER($M256:$U256)+($M256:$U256="DNA")),$M256:$U256),"")="DNA","Rebook DNA",IF(ISNUMBER(IFERROR(LOOKUP(2,1/(ISNUMBER($M256:$U256)+($M256:$U256="DNA")),$M256:$U256),"")),IF(ISNUMBER($U256),"Update status","Missed/not booked?"),""))))</f>
        <v/>
      </c>
      <c r="L256" s="33">
        <f>IF(NOT(AND($A256&lt;&gt;"",OR($G256="",$G256="Active"))),"",IFERROR(SMALL($M256:$U256,COUNTIF($M256:$U256,"&lt;"&amp;TODAY())+1),""))</f>
        <v/>
      </c>
      <c r="M256" s="31" t="n"/>
      <c r="N256" s="31" t="n"/>
      <c r="O256" s="31" t="n"/>
      <c r="P256" s="31" t="n"/>
      <c r="Q256" s="31" t="n"/>
      <c r="R256" s="31" t="n"/>
      <c r="S256" s="31" t="n"/>
      <c r="T256" s="31" t="n"/>
      <c r="U256" s="31" t="n"/>
      <c r="V256" s="31" t="n"/>
      <c r="W256" s="31" t="n"/>
      <c r="X256" s="31" t="n"/>
      <c r="Y256" s="31" t="n"/>
      <c r="Z256" s="31" t="n"/>
      <c r="AA256" s="34" t="n"/>
      <c r="AB256" s="29" t="n"/>
      <c r="AC256" s="31" t="n"/>
    </row>
    <row r="257">
      <c r="A257" s="29" t="n"/>
      <c r="B257" s="30" t="n"/>
      <c r="C257" s="31" t="n"/>
      <c r="D257" s="29" t="n"/>
      <c r="E257" s="29" t="n"/>
      <c r="F257" s="31" t="n"/>
      <c r="G257" s="29" t="n"/>
      <c r="H257" s="32">
        <f>IF(OR(NOT(AND($A257&lt;&gt;"",OR($G257="",$G257="Active"))),$F257=""),"",INT((TODAY()-$F257+280)/7)&amp;"+"&amp;MOD(TODAY()-$F257+280,7))</f>
        <v/>
      </c>
      <c r="I257" s="32">
        <f>IF(NOT(AND($A257&lt;&gt;"",OR($G257="",$G257="Active"))),"",IF(OR(IFERROR(LOOKUP(2,1/(ISNUMBER($M257:$U257)+($M257:$U257="DNA")),$M257:$U257),"")="DNA",AND(ISNUMBER(IFERROR(LOOKUP(2,1/(ISNUMBER($M257:$U257)+($M257:$U257="DNA")),$M257:$U257),"")),IFERROR(LOOKUP(2,1/(ISNUMBER($M257:$U257)+($M257:$U257="DNA")),$M257:$U257),"")&lt;TODAY())),1,0)+COUNTIF($V257:$Z257,"&lt;"&amp;TODAY()))</f>
        <v/>
      </c>
      <c r="J257" s="32">
        <f>IF(NOT(AND($A257&lt;&gt;"",OR($G257="",$G257="Active"))),"",COUNTIFS($M257:$U257,"&gt;="&amp;TODAY(),$M257:$U257,"&lt;="&amp;TODAY()+7)+COUNTIFS($V257:$Z257,"&gt;="&amp;TODAY(),$V257:$Z257,"&lt;="&amp;TODAY()+7))</f>
        <v/>
      </c>
      <c r="K257" s="32">
        <f>IF(NOT(AND($A257&lt;&gt;"",OR($G257="",$G257="Active"))),"",IF($L257&lt;&gt;"",IF($L257=$M257,"Booking",INDEX($N$4:$U$4,MATCH($L257,$N257:$U257,0))),IF(IFERROR(LOOKUP(2,1/(ISNUMBER($M257:$U257)+($M257:$U257="DNA")),$M257:$U257),"")="DNA","Rebook DNA",IF(ISNUMBER(IFERROR(LOOKUP(2,1/(ISNUMBER($M257:$U257)+($M257:$U257="DNA")),$M257:$U257),"")),IF(ISNUMBER($U257),"Update status","Missed/not booked?"),""))))</f>
        <v/>
      </c>
      <c r="L257" s="33">
        <f>IF(NOT(AND($A257&lt;&gt;"",OR($G257="",$G257="Active"))),"",IFERROR(SMALL($M257:$U257,COUNTIF($M257:$U257,"&lt;"&amp;TODAY())+1),""))</f>
        <v/>
      </c>
      <c r="M257" s="31" t="n"/>
      <c r="N257" s="31" t="n"/>
      <c r="O257" s="31" t="n"/>
      <c r="P257" s="31" t="n"/>
      <c r="Q257" s="31" t="n"/>
      <c r="R257" s="31" t="n"/>
      <c r="S257" s="31" t="n"/>
      <c r="T257" s="31" t="n"/>
      <c r="U257" s="31" t="n"/>
      <c r="V257" s="31" t="n"/>
      <c r="W257" s="31" t="n"/>
      <c r="X257" s="31" t="n"/>
      <c r="Y257" s="31" t="n"/>
      <c r="Z257" s="31" t="n"/>
      <c r="AA257" s="34" t="n"/>
      <c r="AB257" s="29" t="n"/>
      <c r="AC257" s="31" t="n"/>
    </row>
    <row r="258">
      <c r="A258" s="29" t="n"/>
      <c r="B258" s="30" t="n"/>
      <c r="C258" s="31" t="n"/>
      <c r="D258" s="29" t="n"/>
      <c r="E258" s="29" t="n"/>
      <c r="F258" s="31" t="n"/>
      <c r="G258" s="29" t="n"/>
      <c r="H258" s="32">
        <f>IF(OR(NOT(AND($A258&lt;&gt;"",OR($G258="",$G258="Active"))),$F258=""),"",INT((TODAY()-$F258+280)/7)&amp;"+"&amp;MOD(TODAY()-$F258+280,7))</f>
        <v/>
      </c>
      <c r="I258" s="32">
        <f>IF(NOT(AND($A258&lt;&gt;"",OR($G258="",$G258="Active"))),"",IF(OR(IFERROR(LOOKUP(2,1/(ISNUMBER($M258:$U258)+($M258:$U258="DNA")),$M258:$U258),"")="DNA",AND(ISNUMBER(IFERROR(LOOKUP(2,1/(ISNUMBER($M258:$U258)+($M258:$U258="DNA")),$M258:$U258),"")),IFERROR(LOOKUP(2,1/(ISNUMBER($M258:$U258)+($M258:$U258="DNA")),$M258:$U258),"")&lt;TODAY())),1,0)+COUNTIF($V258:$Z258,"&lt;"&amp;TODAY()))</f>
        <v/>
      </c>
      <c r="J258" s="32">
        <f>IF(NOT(AND($A258&lt;&gt;"",OR($G258="",$G258="Active"))),"",COUNTIFS($M258:$U258,"&gt;="&amp;TODAY(),$M258:$U258,"&lt;="&amp;TODAY()+7)+COUNTIFS($V258:$Z258,"&gt;="&amp;TODAY(),$V258:$Z258,"&lt;="&amp;TODAY()+7))</f>
        <v/>
      </c>
      <c r="K258" s="32">
        <f>IF(NOT(AND($A258&lt;&gt;"",OR($G258="",$G258="Active"))),"",IF($L258&lt;&gt;"",IF($L258=$M258,"Booking",INDEX($N$4:$U$4,MATCH($L258,$N258:$U258,0))),IF(IFERROR(LOOKUP(2,1/(ISNUMBER($M258:$U258)+($M258:$U258="DNA")),$M258:$U258),"")="DNA","Rebook DNA",IF(ISNUMBER(IFERROR(LOOKUP(2,1/(ISNUMBER($M258:$U258)+($M258:$U258="DNA")),$M258:$U258),"")),IF(ISNUMBER($U258),"Update status","Missed/not booked?"),""))))</f>
        <v/>
      </c>
      <c r="L258" s="33">
        <f>IF(NOT(AND($A258&lt;&gt;"",OR($G258="",$G258="Active"))),"",IFERROR(SMALL($M258:$U258,COUNTIF($M258:$U258,"&lt;"&amp;TODAY())+1),""))</f>
        <v/>
      </c>
      <c r="M258" s="31" t="n"/>
      <c r="N258" s="31" t="n"/>
      <c r="O258" s="31" t="n"/>
      <c r="P258" s="31" t="n"/>
      <c r="Q258" s="31" t="n"/>
      <c r="R258" s="31" t="n"/>
      <c r="S258" s="31" t="n"/>
      <c r="T258" s="31" t="n"/>
      <c r="U258" s="31" t="n"/>
      <c r="V258" s="31" t="n"/>
      <c r="W258" s="31" t="n"/>
      <c r="X258" s="31" t="n"/>
      <c r="Y258" s="31" t="n"/>
      <c r="Z258" s="31" t="n"/>
      <c r="AA258" s="34" t="n"/>
      <c r="AB258" s="29" t="n"/>
      <c r="AC258" s="31" t="n"/>
    </row>
    <row r="259">
      <c r="A259" s="29" t="n"/>
      <c r="B259" s="30" t="n"/>
      <c r="C259" s="31" t="n"/>
      <c r="D259" s="29" t="n"/>
      <c r="E259" s="29" t="n"/>
      <c r="F259" s="31" t="n"/>
      <c r="G259" s="29" t="n"/>
      <c r="H259" s="32">
        <f>IF(OR(NOT(AND($A259&lt;&gt;"",OR($G259="",$G259="Active"))),$F259=""),"",INT((TODAY()-$F259+280)/7)&amp;"+"&amp;MOD(TODAY()-$F259+280,7))</f>
        <v/>
      </c>
      <c r="I259" s="32">
        <f>IF(NOT(AND($A259&lt;&gt;"",OR($G259="",$G259="Active"))),"",IF(OR(IFERROR(LOOKUP(2,1/(ISNUMBER($M259:$U259)+($M259:$U259="DNA")),$M259:$U259),"")="DNA",AND(ISNUMBER(IFERROR(LOOKUP(2,1/(ISNUMBER($M259:$U259)+($M259:$U259="DNA")),$M259:$U259),"")),IFERROR(LOOKUP(2,1/(ISNUMBER($M259:$U259)+($M259:$U259="DNA")),$M259:$U259),"")&lt;TODAY())),1,0)+COUNTIF($V259:$Z259,"&lt;"&amp;TODAY()))</f>
        <v/>
      </c>
      <c r="J259" s="32">
        <f>IF(NOT(AND($A259&lt;&gt;"",OR($G259="",$G259="Active"))),"",COUNTIFS($M259:$U259,"&gt;="&amp;TODAY(),$M259:$U259,"&lt;="&amp;TODAY()+7)+COUNTIFS($V259:$Z259,"&gt;="&amp;TODAY(),$V259:$Z259,"&lt;="&amp;TODAY()+7))</f>
        <v/>
      </c>
      <c r="K259" s="32">
        <f>IF(NOT(AND($A259&lt;&gt;"",OR($G259="",$G259="Active"))),"",IF($L259&lt;&gt;"",IF($L259=$M259,"Booking",INDEX($N$4:$U$4,MATCH($L259,$N259:$U259,0))),IF(IFERROR(LOOKUP(2,1/(ISNUMBER($M259:$U259)+($M259:$U259="DNA")),$M259:$U259),"")="DNA","Rebook DNA",IF(ISNUMBER(IFERROR(LOOKUP(2,1/(ISNUMBER($M259:$U259)+($M259:$U259="DNA")),$M259:$U259),"")),IF(ISNUMBER($U259),"Update status","Missed/not booked?"),""))))</f>
        <v/>
      </c>
      <c r="L259" s="33">
        <f>IF(NOT(AND($A259&lt;&gt;"",OR($G259="",$G259="Active"))),"",IFERROR(SMALL($M259:$U259,COUNTIF($M259:$U259,"&lt;"&amp;TODAY())+1),""))</f>
        <v/>
      </c>
      <c r="M259" s="31" t="n"/>
      <c r="N259" s="31" t="n"/>
      <c r="O259" s="31" t="n"/>
      <c r="P259" s="31" t="n"/>
      <c r="Q259" s="31" t="n"/>
      <c r="R259" s="31" t="n"/>
      <c r="S259" s="31" t="n"/>
      <c r="T259" s="31" t="n"/>
      <c r="U259" s="31" t="n"/>
      <c r="V259" s="31" t="n"/>
      <c r="W259" s="31" t="n"/>
      <c r="X259" s="31" t="n"/>
      <c r="Y259" s="31" t="n"/>
      <c r="Z259" s="31" t="n"/>
      <c r="AA259" s="34" t="n"/>
      <c r="AB259" s="29" t="n"/>
      <c r="AC259" s="31" t="n"/>
    </row>
    <row r="260">
      <c r="A260" s="29" t="n"/>
      <c r="B260" s="30" t="n"/>
      <c r="C260" s="31" t="n"/>
      <c r="D260" s="29" t="n"/>
      <c r="E260" s="29" t="n"/>
      <c r="F260" s="31" t="n"/>
      <c r="G260" s="29" t="n"/>
      <c r="H260" s="32">
        <f>IF(OR(NOT(AND($A260&lt;&gt;"",OR($G260="",$G260="Active"))),$F260=""),"",INT((TODAY()-$F260+280)/7)&amp;"+"&amp;MOD(TODAY()-$F260+280,7))</f>
        <v/>
      </c>
      <c r="I260" s="32">
        <f>IF(NOT(AND($A260&lt;&gt;"",OR($G260="",$G260="Active"))),"",IF(OR(IFERROR(LOOKUP(2,1/(ISNUMBER($M260:$U260)+($M260:$U260="DNA")),$M260:$U260),"")="DNA",AND(ISNUMBER(IFERROR(LOOKUP(2,1/(ISNUMBER($M260:$U260)+($M260:$U260="DNA")),$M260:$U260),"")),IFERROR(LOOKUP(2,1/(ISNUMBER($M260:$U260)+($M260:$U260="DNA")),$M260:$U260),"")&lt;TODAY())),1,0)+COUNTIF($V260:$Z260,"&lt;"&amp;TODAY()))</f>
        <v/>
      </c>
      <c r="J260" s="32">
        <f>IF(NOT(AND($A260&lt;&gt;"",OR($G260="",$G260="Active"))),"",COUNTIFS($M260:$U260,"&gt;="&amp;TODAY(),$M260:$U260,"&lt;="&amp;TODAY()+7)+COUNTIFS($V260:$Z260,"&gt;="&amp;TODAY(),$V260:$Z260,"&lt;="&amp;TODAY()+7))</f>
        <v/>
      </c>
      <c r="K260" s="32">
        <f>IF(NOT(AND($A260&lt;&gt;"",OR($G260="",$G260="Active"))),"",IF($L260&lt;&gt;"",IF($L260=$M260,"Booking",INDEX($N$4:$U$4,MATCH($L260,$N260:$U260,0))),IF(IFERROR(LOOKUP(2,1/(ISNUMBER($M260:$U260)+($M260:$U260="DNA")),$M260:$U260),"")="DNA","Rebook DNA",IF(ISNUMBER(IFERROR(LOOKUP(2,1/(ISNUMBER($M260:$U260)+($M260:$U260="DNA")),$M260:$U260),"")),IF(ISNUMBER($U260),"Update status","Missed/not booked?"),""))))</f>
        <v/>
      </c>
      <c r="L260" s="33">
        <f>IF(NOT(AND($A260&lt;&gt;"",OR($G260="",$G260="Active"))),"",IFERROR(SMALL($M260:$U260,COUNTIF($M260:$U260,"&lt;"&amp;TODAY())+1),""))</f>
        <v/>
      </c>
      <c r="M260" s="31" t="n"/>
      <c r="N260" s="31" t="n"/>
      <c r="O260" s="31" t="n"/>
      <c r="P260" s="31" t="n"/>
      <c r="Q260" s="31" t="n"/>
      <c r="R260" s="31" t="n"/>
      <c r="S260" s="31" t="n"/>
      <c r="T260" s="31" t="n"/>
      <c r="U260" s="31" t="n"/>
      <c r="V260" s="31" t="n"/>
      <c r="W260" s="31" t="n"/>
      <c r="X260" s="31" t="n"/>
      <c r="Y260" s="31" t="n"/>
      <c r="Z260" s="31" t="n"/>
      <c r="AA260" s="34" t="n"/>
      <c r="AB260" s="29" t="n"/>
      <c r="AC260" s="31" t="n"/>
    </row>
    <row r="261">
      <c r="A261" s="29" t="n"/>
      <c r="B261" s="30" t="n"/>
      <c r="C261" s="31" t="n"/>
      <c r="D261" s="29" t="n"/>
      <c r="E261" s="29" t="n"/>
      <c r="F261" s="31" t="n"/>
      <c r="G261" s="29" t="n"/>
      <c r="H261" s="32">
        <f>IF(OR(NOT(AND($A261&lt;&gt;"",OR($G261="",$G261="Active"))),$F261=""),"",INT((TODAY()-$F261+280)/7)&amp;"+"&amp;MOD(TODAY()-$F261+280,7))</f>
        <v/>
      </c>
      <c r="I261" s="32">
        <f>IF(NOT(AND($A261&lt;&gt;"",OR($G261="",$G261="Active"))),"",IF(OR(IFERROR(LOOKUP(2,1/(ISNUMBER($M261:$U261)+($M261:$U261="DNA")),$M261:$U261),"")="DNA",AND(ISNUMBER(IFERROR(LOOKUP(2,1/(ISNUMBER($M261:$U261)+($M261:$U261="DNA")),$M261:$U261),"")),IFERROR(LOOKUP(2,1/(ISNUMBER($M261:$U261)+($M261:$U261="DNA")),$M261:$U261),"")&lt;TODAY())),1,0)+COUNTIF($V261:$Z261,"&lt;"&amp;TODAY()))</f>
        <v/>
      </c>
      <c r="J261" s="32">
        <f>IF(NOT(AND($A261&lt;&gt;"",OR($G261="",$G261="Active"))),"",COUNTIFS($M261:$U261,"&gt;="&amp;TODAY(),$M261:$U261,"&lt;="&amp;TODAY()+7)+COUNTIFS($V261:$Z261,"&gt;="&amp;TODAY(),$V261:$Z261,"&lt;="&amp;TODAY()+7))</f>
        <v/>
      </c>
      <c r="K261" s="32">
        <f>IF(NOT(AND($A261&lt;&gt;"",OR($G261="",$G261="Active"))),"",IF($L261&lt;&gt;"",IF($L261=$M261,"Booking",INDEX($N$4:$U$4,MATCH($L261,$N261:$U261,0))),IF(IFERROR(LOOKUP(2,1/(ISNUMBER($M261:$U261)+($M261:$U261="DNA")),$M261:$U261),"")="DNA","Rebook DNA",IF(ISNUMBER(IFERROR(LOOKUP(2,1/(ISNUMBER($M261:$U261)+($M261:$U261="DNA")),$M261:$U261),"")),IF(ISNUMBER($U261),"Update status","Missed/not booked?"),""))))</f>
        <v/>
      </c>
      <c r="L261" s="33">
        <f>IF(NOT(AND($A261&lt;&gt;"",OR($G261="",$G261="Active"))),"",IFERROR(SMALL($M261:$U261,COUNTIF($M261:$U261,"&lt;"&amp;TODAY())+1),""))</f>
        <v/>
      </c>
      <c r="M261" s="31" t="n"/>
      <c r="N261" s="31" t="n"/>
      <c r="O261" s="31" t="n"/>
      <c r="P261" s="31" t="n"/>
      <c r="Q261" s="31" t="n"/>
      <c r="R261" s="31" t="n"/>
      <c r="S261" s="31" t="n"/>
      <c r="T261" s="31" t="n"/>
      <c r="U261" s="31" t="n"/>
      <c r="V261" s="31" t="n"/>
      <c r="W261" s="31" t="n"/>
      <c r="X261" s="31" t="n"/>
      <c r="Y261" s="31" t="n"/>
      <c r="Z261" s="31" t="n"/>
      <c r="AA261" s="34" t="n"/>
      <c r="AB261" s="29" t="n"/>
      <c r="AC261" s="31" t="n"/>
    </row>
    <row r="262">
      <c r="A262" s="29" t="n"/>
      <c r="B262" s="30" t="n"/>
      <c r="C262" s="31" t="n"/>
      <c r="D262" s="29" t="n"/>
      <c r="E262" s="29" t="n"/>
      <c r="F262" s="31" t="n"/>
      <c r="G262" s="29" t="n"/>
      <c r="H262" s="32">
        <f>IF(OR(NOT(AND($A262&lt;&gt;"",OR($G262="",$G262="Active"))),$F262=""),"",INT((TODAY()-$F262+280)/7)&amp;"+"&amp;MOD(TODAY()-$F262+280,7))</f>
        <v/>
      </c>
      <c r="I262" s="32">
        <f>IF(NOT(AND($A262&lt;&gt;"",OR($G262="",$G262="Active"))),"",IF(OR(IFERROR(LOOKUP(2,1/(ISNUMBER($M262:$U262)+($M262:$U262="DNA")),$M262:$U262),"")="DNA",AND(ISNUMBER(IFERROR(LOOKUP(2,1/(ISNUMBER($M262:$U262)+($M262:$U262="DNA")),$M262:$U262),"")),IFERROR(LOOKUP(2,1/(ISNUMBER($M262:$U262)+($M262:$U262="DNA")),$M262:$U262),"")&lt;TODAY())),1,0)+COUNTIF($V262:$Z262,"&lt;"&amp;TODAY()))</f>
        <v/>
      </c>
      <c r="J262" s="32">
        <f>IF(NOT(AND($A262&lt;&gt;"",OR($G262="",$G262="Active"))),"",COUNTIFS($M262:$U262,"&gt;="&amp;TODAY(),$M262:$U262,"&lt;="&amp;TODAY()+7)+COUNTIFS($V262:$Z262,"&gt;="&amp;TODAY(),$V262:$Z262,"&lt;="&amp;TODAY()+7))</f>
        <v/>
      </c>
      <c r="K262" s="32">
        <f>IF(NOT(AND($A262&lt;&gt;"",OR($G262="",$G262="Active"))),"",IF($L262&lt;&gt;"",IF($L262=$M262,"Booking",INDEX($N$4:$U$4,MATCH($L262,$N262:$U262,0))),IF(IFERROR(LOOKUP(2,1/(ISNUMBER($M262:$U262)+($M262:$U262="DNA")),$M262:$U262),"")="DNA","Rebook DNA",IF(ISNUMBER(IFERROR(LOOKUP(2,1/(ISNUMBER($M262:$U262)+($M262:$U262="DNA")),$M262:$U262),"")),IF(ISNUMBER($U262),"Update status","Missed/not booked?"),""))))</f>
        <v/>
      </c>
      <c r="L262" s="33">
        <f>IF(NOT(AND($A262&lt;&gt;"",OR($G262="",$G262="Active"))),"",IFERROR(SMALL($M262:$U262,COUNTIF($M262:$U262,"&lt;"&amp;TODAY())+1),""))</f>
        <v/>
      </c>
      <c r="M262" s="31" t="n"/>
      <c r="N262" s="31" t="n"/>
      <c r="O262" s="31" t="n"/>
      <c r="P262" s="31" t="n"/>
      <c r="Q262" s="31" t="n"/>
      <c r="R262" s="31" t="n"/>
      <c r="S262" s="31" t="n"/>
      <c r="T262" s="31" t="n"/>
      <c r="U262" s="31" t="n"/>
      <c r="V262" s="31" t="n"/>
      <c r="W262" s="31" t="n"/>
      <c r="X262" s="31" t="n"/>
      <c r="Y262" s="31" t="n"/>
      <c r="Z262" s="31" t="n"/>
      <c r="AA262" s="34" t="n"/>
      <c r="AB262" s="29" t="n"/>
      <c r="AC262" s="31" t="n"/>
    </row>
    <row r="263">
      <c r="A263" s="29" t="n"/>
      <c r="B263" s="30" t="n"/>
      <c r="C263" s="31" t="n"/>
      <c r="D263" s="29" t="n"/>
      <c r="E263" s="29" t="n"/>
      <c r="F263" s="31" t="n"/>
      <c r="G263" s="29" t="n"/>
      <c r="H263" s="32">
        <f>IF(OR(NOT(AND($A263&lt;&gt;"",OR($G263="",$G263="Active"))),$F263=""),"",INT((TODAY()-$F263+280)/7)&amp;"+"&amp;MOD(TODAY()-$F263+280,7))</f>
        <v/>
      </c>
      <c r="I263" s="32">
        <f>IF(NOT(AND($A263&lt;&gt;"",OR($G263="",$G263="Active"))),"",IF(OR(IFERROR(LOOKUP(2,1/(ISNUMBER($M263:$U263)+($M263:$U263="DNA")),$M263:$U263),"")="DNA",AND(ISNUMBER(IFERROR(LOOKUP(2,1/(ISNUMBER($M263:$U263)+($M263:$U263="DNA")),$M263:$U263),"")),IFERROR(LOOKUP(2,1/(ISNUMBER($M263:$U263)+($M263:$U263="DNA")),$M263:$U263),"")&lt;TODAY())),1,0)+COUNTIF($V263:$Z263,"&lt;"&amp;TODAY()))</f>
        <v/>
      </c>
      <c r="J263" s="32">
        <f>IF(NOT(AND($A263&lt;&gt;"",OR($G263="",$G263="Active"))),"",COUNTIFS($M263:$U263,"&gt;="&amp;TODAY(),$M263:$U263,"&lt;="&amp;TODAY()+7)+COUNTIFS($V263:$Z263,"&gt;="&amp;TODAY(),$V263:$Z263,"&lt;="&amp;TODAY()+7))</f>
        <v/>
      </c>
      <c r="K263" s="32">
        <f>IF(NOT(AND($A263&lt;&gt;"",OR($G263="",$G263="Active"))),"",IF($L263&lt;&gt;"",IF($L263=$M263,"Booking",INDEX($N$4:$U$4,MATCH($L263,$N263:$U263,0))),IF(IFERROR(LOOKUP(2,1/(ISNUMBER($M263:$U263)+($M263:$U263="DNA")),$M263:$U263),"")="DNA","Rebook DNA",IF(ISNUMBER(IFERROR(LOOKUP(2,1/(ISNUMBER($M263:$U263)+($M263:$U263="DNA")),$M263:$U263),"")),IF(ISNUMBER($U263),"Update status","Missed/not booked?"),""))))</f>
        <v/>
      </c>
      <c r="L263" s="33">
        <f>IF(NOT(AND($A263&lt;&gt;"",OR($G263="",$G263="Active"))),"",IFERROR(SMALL($M263:$U263,COUNTIF($M263:$U263,"&lt;"&amp;TODAY())+1),""))</f>
        <v/>
      </c>
      <c r="M263" s="31" t="n"/>
      <c r="N263" s="31" t="n"/>
      <c r="O263" s="31" t="n"/>
      <c r="P263" s="31" t="n"/>
      <c r="Q263" s="31" t="n"/>
      <c r="R263" s="31" t="n"/>
      <c r="S263" s="31" t="n"/>
      <c r="T263" s="31" t="n"/>
      <c r="U263" s="31" t="n"/>
      <c r="V263" s="31" t="n"/>
      <c r="W263" s="31" t="n"/>
      <c r="X263" s="31" t="n"/>
      <c r="Y263" s="31" t="n"/>
      <c r="Z263" s="31" t="n"/>
      <c r="AA263" s="34" t="n"/>
      <c r="AB263" s="29" t="n"/>
      <c r="AC263" s="31" t="n"/>
    </row>
    <row r="264">
      <c r="A264" s="29" t="n"/>
      <c r="B264" s="30" t="n"/>
      <c r="C264" s="31" t="n"/>
      <c r="D264" s="29" t="n"/>
      <c r="E264" s="29" t="n"/>
      <c r="F264" s="31" t="n"/>
      <c r="G264" s="29" t="n"/>
      <c r="H264" s="32">
        <f>IF(OR(NOT(AND($A264&lt;&gt;"",OR($G264="",$G264="Active"))),$F264=""),"",INT((TODAY()-$F264+280)/7)&amp;"+"&amp;MOD(TODAY()-$F264+280,7))</f>
        <v/>
      </c>
      <c r="I264" s="32">
        <f>IF(NOT(AND($A264&lt;&gt;"",OR($G264="",$G264="Active"))),"",IF(OR(IFERROR(LOOKUP(2,1/(ISNUMBER($M264:$U264)+($M264:$U264="DNA")),$M264:$U264),"")="DNA",AND(ISNUMBER(IFERROR(LOOKUP(2,1/(ISNUMBER($M264:$U264)+($M264:$U264="DNA")),$M264:$U264),"")),IFERROR(LOOKUP(2,1/(ISNUMBER($M264:$U264)+($M264:$U264="DNA")),$M264:$U264),"")&lt;TODAY())),1,0)+COUNTIF($V264:$Z264,"&lt;"&amp;TODAY()))</f>
        <v/>
      </c>
      <c r="J264" s="32">
        <f>IF(NOT(AND($A264&lt;&gt;"",OR($G264="",$G264="Active"))),"",COUNTIFS($M264:$U264,"&gt;="&amp;TODAY(),$M264:$U264,"&lt;="&amp;TODAY()+7)+COUNTIFS($V264:$Z264,"&gt;="&amp;TODAY(),$V264:$Z264,"&lt;="&amp;TODAY()+7))</f>
        <v/>
      </c>
      <c r="K264" s="32">
        <f>IF(NOT(AND($A264&lt;&gt;"",OR($G264="",$G264="Active"))),"",IF($L264&lt;&gt;"",IF($L264=$M264,"Booking",INDEX($N$4:$U$4,MATCH($L264,$N264:$U264,0))),IF(IFERROR(LOOKUP(2,1/(ISNUMBER($M264:$U264)+($M264:$U264="DNA")),$M264:$U264),"")="DNA","Rebook DNA",IF(ISNUMBER(IFERROR(LOOKUP(2,1/(ISNUMBER($M264:$U264)+($M264:$U264="DNA")),$M264:$U264),"")),IF(ISNUMBER($U264),"Update status","Missed/not booked?"),""))))</f>
        <v/>
      </c>
      <c r="L264" s="33">
        <f>IF(NOT(AND($A264&lt;&gt;"",OR($G264="",$G264="Active"))),"",IFERROR(SMALL($M264:$U264,COUNTIF($M264:$U264,"&lt;"&amp;TODAY())+1),""))</f>
        <v/>
      </c>
      <c r="M264" s="31" t="n"/>
      <c r="N264" s="31" t="n"/>
      <c r="O264" s="31" t="n"/>
      <c r="P264" s="31" t="n"/>
      <c r="Q264" s="31" t="n"/>
      <c r="R264" s="31" t="n"/>
      <c r="S264" s="31" t="n"/>
      <c r="T264" s="31" t="n"/>
      <c r="U264" s="31" t="n"/>
      <c r="V264" s="31" t="n"/>
      <c r="W264" s="31" t="n"/>
      <c r="X264" s="31" t="n"/>
      <c r="Y264" s="31" t="n"/>
      <c r="Z264" s="31" t="n"/>
      <c r="AA264" s="34" t="n"/>
      <c r="AB264" s="29" t="n"/>
      <c r="AC264" s="31" t="n"/>
    </row>
    <row r="265">
      <c r="A265" s="29" t="n"/>
      <c r="B265" s="30" t="n"/>
      <c r="C265" s="31" t="n"/>
      <c r="D265" s="29" t="n"/>
      <c r="E265" s="29" t="n"/>
      <c r="F265" s="31" t="n"/>
      <c r="G265" s="29" t="n"/>
      <c r="H265" s="32">
        <f>IF(OR(NOT(AND($A265&lt;&gt;"",OR($G265="",$G265="Active"))),$F265=""),"",INT((TODAY()-$F265+280)/7)&amp;"+"&amp;MOD(TODAY()-$F265+280,7))</f>
        <v/>
      </c>
      <c r="I265" s="32">
        <f>IF(NOT(AND($A265&lt;&gt;"",OR($G265="",$G265="Active"))),"",IF(OR(IFERROR(LOOKUP(2,1/(ISNUMBER($M265:$U265)+($M265:$U265="DNA")),$M265:$U265),"")="DNA",AND(ISNUMBER(IFERROR(LOOKUP(2,1/(ISNUMBER($M265:$U265)+($M265:$U265="DNA")),$M265:$U265),"")),IFERROR(LOOKUP(2,1/(ISNUMBER($M265:$U265)+($M265:$U265="DNA")),$M265:$U265),"")&lt;TODAY())),1,0)+COUNTIF($V265:$Z265,"&lt;"&amp;TODAY()))</f>
        <v/>
      </c>
      <c r="J265" s="32">
        <f>IF(NOT(AND($A265&lt;&gt;"",OR($G265="",$G265="Active"))),"",COUNTIFS($M265:$U265,"&gt;="&amp;TODAY(),$M265:$U265,"&lt;="&amp;TODAY()+7)+COUNTIFS($V265:$Z265,"&gt;="&amp;TODAY(),$V265:$Z265,"&lt;="&amp;TODAY()+7))</f>
        <v/>
      </c>
      <c r="K265" s="32">
        <f>IF(NOT(AND($A265&lt;&gt;"",OR($G265="",$G265="Active"))),"",IF($L265&lt;&gt;"",IF($L265=$M265,"Booking",INDEX($N$4:$U$4,MATCH($L265,$N265:$U265,0))),IF(IFERROR(LOOKUP(2,1/(ISNUMBER($M265:$U265)+($M265:$U265="DNA")),$M265:$U265),"")="DNA","Rebook DNA",IF(ISNUMBER(IFERROR(LOOKUP(2,1/(ISNUMBER($M265:$U265)+($M265:$U265="DNA")),$M265:$U265),"")),IF(ISNUMBER($U265),"Update status","Missed/not booked?"),""))))</f>
        <v/>
      </c>
      <c r="L265" s="33">
        <f>IF(NOT(AND($A265&lt;&gt;"",OR($G265="",$G265="Active"))),"",IFERROR(SMALL($M265:$U265,COUNTIF($M265:$U265,"&lt;"&amp;TODAY())+1),""))</f>
        <v/>
      </c>
      <c r="M265" s="31" t="n"/>
      <c r="N265" s="31" t="n"/>
      <c r="O265" s="31" t="n"/>
      <c r="P265" s="31" t="n"/>
      <c r="Q265" s="31" t="n"/>
      <c r="R265" s="31" t="n"/>
      <c r="S265" s="31" t="n"/>
      <c r="T265" s="31" t="n"/>
      <c r="U265" s="31" t="n"/>
      <c r="V265" s="31" t="n"/>
      <c r="W265" s="31" t="n"/>
      <c r="X265" s="31" t="n"/>
      <c r="Y265" s="31" t="n"/>
      <c r="Z265" s="31" t="n"/>
      <c r="AA265" s="34" t="n"/>
      <c r="AB265" s="29" t="n"/>
      <c r="AC265" s="31" t="n"/>
    </row>
    <row r="266">
      <c r="A266" s="29" t="n"/>
      <c r="B266" s="30" t="n"/>
      <c r="C266" s="31" t="n"/>
      <c r="D266" s="29" t="n"/>
      <c r="E266" s="29" t="n"/>
      <c r="F266" s="31" t="n"/>
      <c r="G266" s="29" t="n"/>
      <c r="H266" s="32">
        <f>IF(OR(NOT(AND($A266&lt;&gt;"",OR($G266="",$G266="Active"))),$F266=""),"",INT((TODAY()-$F266+280)/7)&amp;"+"&amp;MOD(TODAY()-$F266+280,7))</f>
        <v/>
      </c>
      <c r="I266" s="32">
        <f>IF(NOT(AND($A266&lt;&gt;"",OR($G266="",$G266="Active"))),"",IF(OR(IFERROR(LOOKUP(2,1/(ISNUMBER($M266:$U266)+($M266:$U266="DNA")),$M266:$U266),"")="DNA",AND(ISNUMBER(IFERROR(LOOKUP(2,1/(ISNUMBER($M266:$U266)+($M266:$U266="DNA")),$M266:$U266),"")),IFERROR(LOOKUP(2,1/(ISNUMBER($M266:$U266)+($M266:$U266="DNA")),$M266:$U266),"")&lt;TODAY())),1,0)+COUNTIF($V266:$Z266,"&lt;"&amp;TODAY()))</f>
        <v/>
      </c>
      <c r="J266" s="32">
        <f>IF(NOT(AND($A266&lt;&gt;"",OR($G266="",$G266="Active"))),"",COUNTIFS($M266:$U266,"&gt;="&amp;TODAY(),$M266:$U266,"&lt;="&amp;TODAY()+7)+COUNTIFS($V266:$Z266,"&gt;="&amp;TODAY(),$V266:$Z266,"&lt;="&amp;TODAY()+7))</f>
        <v/>
      </c>
      <c r="K266" s="32">
        <f>IF(NOT(AND($A266&lt;&gt;"",OR($G266="",$G266="Active"))),"",IF($L266&lt;&gt;"",IF($L266=$M266,"Booking",INDEX($N$4:$U$4,MATCH($L266,$N266:$U266,0))),IF(IFERROR(LOOKUP(2,1/(ISNUMBER($M266:$U266)+($M266:$U266="DNA")),$M266:$U266),"")="DNA","Rebook DNA",IF(ISNUMBER(IFERROR(LOOKUP(2,1/(ISNUMBER($M266:$U266)+($M266:$U266="DNA")),$M266:$U266),"")),IF(ISNUMBER($U266),"Update status","Missed/not booked?"),""))))</f>
        <v/>
      </c>
      <c r="L266" s="33">
        <f>IF(NOT(AND($A266&lt;&gt;"",OR($G266="",$G266="Active"))),"",IFERROR(SMALL($M266:$U266,COUNTIF($M266:$U266,"&lt;"&amp;TODAY())+1),""))</f>
        <v/>
      </c>
      <c r="M266" s="31" t="n"/>
      <c r="N266" s="31" t="n"/>
      <c r="O266" s="31" t="n"/>
      <c r="P266" s="31" t="n"/>
      <c r="Q266" s="31" t="n"/>
      <c r="R266" s="31" t="n"/>
      <c r="S266" s="31" t="n"/>
      <c r="T266" s="31" t="n"/>
      <c r="U266" s="31" t="n"/>
      <c r="V266" s="31" t="n"/>
      <c r="W266" s="31" t="n"/>
      <c r="X266" s="31" t="n"/>
      <c r="Y266" s="31" t="n"/>
      <c r="Z266" s="31" t="n"/>
      <c r="AA266" s="34" t="n"/>
      <c r="AB266" s="29" t="n"/>
      <c r="AC266" s="31" t="n"/>
    </row>
    <row r="267">
      <c r="A267" s="29" t="n"/>
      <c r="B267" s="30" t="n"/>
      <c r="C267" s="31" t="n"/>
      <c r="D267" s="29" t="n"/>
      <c r="E267" s="29" t="n"/>
      <c r="F267" s="31" t="n"/>
      <c r="G267" s="29" t="n"/>
      <c r="H267" s="32">
        <f>IF(OR(NOT(AND($A267&lt;&gt;"",OR($G267="",$G267="Active"))),$F267=""),"",INT((TODAY()-$F267+280)/7)&amp;"+"&amp;MOD(TODAY()-$F267+280,7))</f>
        <v/>
      </c>
      <c r="I267" s="32">
        <f>IF(NOT(AND($A267&lt;&gt;"",OR($G267="",$G267="Active"))),"",IF(OR(IFERROR(LOOKUP(2,1/(ISNUMBER($M267:$U267)+($M267:$U267="DNA")),$M267:$U267),"")="DNA",AND(ISNUMBER(IFERROR(LOOKUP(2,1/(ISNUMBER($M267:$U267)+($M267:$U267="DNA")),$M267:$U267),"")),IFERROR(LOOKUP(2,1/(ISNUMBER($M267:$U267)+($M267:$U267="DNA")),$M267:$U267),"")&lt;TODAY())),1,0)+COUNTIF($V267:$Z267,"&lt;"&amp;TODAY()))</f>
        <v/>
      </c>
      <c r="J267" s="32">
        <f>IF(NOT(AND($A267&lt;&gt;"",OR($G267="",$G267="Active"))),"",COUNTIFS($M267:$U267,"&gt;="&amp;TODAY(),$M267:$U267,"&lt;="&amp;TODAY()+7)+COUNTIFS($V267:$Z267,"&gt;="&amp;TODAY(),$V267:$Z267,"&lt;="&amp;TODAY()+7))</f>
        <v/>
      </c>
      <c r="K267" s="32">
        <f>IF(NOT(AND($A267&lt;&gt;"",OR($G267="",$G267="Active"))),"",IF($L267&lt;&gt;"",IF($L267=$M267,"Booking",INDEX($N$4:$U$4,MATCH($L267,$N267:$U267,0))),IF(IFERROR(LOOKUP(2,1/(ISNUMBER($M267:$U267)+($M267:$U267="DNA")),$M267:$U267),"")="DNA","Rebook DNA",IF(ISNUMBER(IFERROR(LOOKUP(2,1/(ISNUMBER($M267:$U267)+($M267:$U267="DNA")),$M267:$U267),"")),IF(ISNUMBER($U267),"Update status","Missed/not booked?"),""))))</f>
        <v/>
      </c>
      <c r="L267" s="33">
        <f>IF(NOT(AND($A267&lt;&gt;"",OR($G267="",$G267="Active"))),"",IFERROR(SMALL($M267:$U267,COUNTIF($M267:$U267,"&lt;"&amp;TODAY())+1),""))</f>
        <v/>
      </c>
      <c r="M267" s="31" t="n"/>
      <c r="N267" s="31" t="n"/>
      <c r="O267" s="31" t="n"/>
      <c r="P267" s="31" t="n"/>
      <c r="Q267" s="31" t="n"/>
      <c r="R267" s="31" t="n"/>
      <c r="S267" s="31" t="n"/>
      <c r="T267" s="31" t="n"/>
      <c r="U267" s="31" t="n"/>
      <c r="V267" s="31" t="n"/>
      <c r="W267" s="31" t="n"/>
      <c r="X267" s="31" t="n"/>
      <c r="Y267" s="31" t="n"/>
      <c r="Z267" s="31" t="n"/>
      <c r="AA267" s="34" t="n"/>
      <c r="AB267" s="29" t="n"/>
      <c r="AC267" s="31" t="n"/>
    </row>
    <row r="268">
      <c r="A268" s="29" t="n"/>
      <c r="B268" s="30" t="n"/>
      <c r="C268" s="31" t="n"/>
      <c r="D268" s="29" t="n"/>
      <c r="E268" s="29" t="n"/>
      <c r="F268" s="31" t="n"/>
      <c r="G268" s="29" t="n"/>
      <c r="H268" s="32">
        <f>IF(OR(NOT(AND($A268&lt;&gt;"",OR($G268="",$G268="Active"))),$F268=""),"",INT((TODAY()-$F268+280)/7)&amp;"+"&amp;MOD(TODAY()-$F268+280,7))</f>
        <v/>
      </c>
      <c r="I268" s="32">
        <f>IF(NOT(AND($A268&lt;&gt;"",OR($G268="",$G268="Active"))),"",IF(OR(IFERROR(LOOKUP(2,1/(ISNUMBER($M268:$U268)+($M268:$U268="DNA")),$M268:$U268),"")="DNA",AND(ISNUMBER(IFERROR(LOOKUP(2,1/(ISNUMBER($M268:$U268)+($M268:$U268="DNA")),$M268:$U268),"")),IFERROR(LOOKUP(2,1/(ISNUMBER($M268:$U268)+($M268:$U268="DNA")),$M268:$U268),"")&lt;TODAY())),1,0)+COUNTIF($V268:$Z268,"&lt;"&amp;TODAY()))</f>
        <v/>
      </c>
      <c r="J268" s="32">
        <f>IF(NOT(AND($A268&lt;&gt;"",OR($G268="",$G268="Active"))),"",COUNTIFS($M268:$U268,"&gt;="&amp;TODAY(),$M268:$U268,"&lt;="&amp;TODAY()+7)+COUNTIFS($V268:$Z268,"&gt;="&amp;TODAY(),$V268:$Z268,"&lt;="&amp;TODAY()+7))</f>
        <v/>
      </c>
      <c r="K268" s="32">
        <f>IF(NOT(AND($A268&lt;&gt;"",OR($G268="",$G268="Active"))),"",IF($L268&lt;&gt;"",IF($L268=$M268,"Booking",INDEX($N$4:$U$4,MATCH($L268,$N268:$U268,0))),IF(IFERROR(LOOKUP(2,1/(ISNUMBER($M268:$U268)+($M268:$U268="DNA")),$M268:$U268),"")="DNA","Rebook DNA",IF(ISNUMBER(IFERROR(LOOKUP(2,1/(ISNUMBER($M268:$U268)+($M268:$U268="DNA")),$M268:$U268),"")),IF(ISNUMBER($U268),"Update status","Missed/not booked?"),""))))</f>
        <v/>
      </c>
      <c r="L268" s="33">
        <f>IF(NOT(AND($A268&lt;&gt;"",OR($G268="",$G268="Active"))),"",IFERROR(SMALL($M268:$U268,COUNTIF($M268:$U268,"&lt;"&amp;TODAY())+1),""))</f>
        <v/>
      </c>
      <c r="M268" s="31" t="n"/>
      <c r="N268" s="31" t="n"/>
      <c r="O268" s="31" t="n"/>
      <c r="P268" s="31" t="n"/>
      <c r="Q268" s="31" t="n"/>
      <c r="R268" s="31" t="n"/>
      <c r="S268" s="31" t="n"/>
      <c r="T268" s="31" t="n"/>
      <c r="U268" s="31" t="n"/>
      <c r="V268" s="31" t="n"/>
      <c r="W268" s="31" t="n"/>
      <c r="X268" s="31" t="n"/>
      <c r="Y268" s="31" t="n"/>
      <c r="Z268" s="31" t="n"/>
      <c r="AA268" s="34" t="n"/>
      <c r="AB268" s="29" t="n"/>
      <c r="AC268" s="31" t="n"/>
    </row>
    <row r="269">
      <c r="A269" s="29" t="n"/>
      <c r="B269" s="30" t="n"/>
      <c r="C269" s="31" t="n"/>
      <c r="D269" s="29" t="n"/>
      <c r="E269" s="29" t="n"/>
      <c r="F269" s="31" t="n"/>
      <c r="G269" s="29" t="n"/>
      <c r="H269" s="32">
        <f>IF(OR(NOT(AND($A269&lt;&gt;"",OR($G269="",$G269="Active"))),$F269=""),"",INT((TODAY()-$F269+280)/7)&amp;"+"&amp;MOD(TODAY()-$F269+280,7))</f>
        <v/>
      </c>
      <c r="I269" s="32">
        <f>IF(NOT(AND($A269&lt;&gt;"",OR($G269="",$G269="Active"))),"",IF(OR(IFERROR(LOOKUP(2,1/(ISNUMBER($M269:$U269)+($M269:$U269="DNA")),$M269:$U269),"")="DNA",AND(ISNUMBER(IFERROR(LOOKUP(2,1/(ISNUMBER($M269:$U269)+($M269:$U269="DNA")),$M269:$U269),"")),IFERROR(LOOKUP(2,1/(ISNUMBER($M269:$U269)+($M269:$U269="DNA")),$M269:$U269),"")&lt;TODAY())),1,0)+COUNTIF($V269:$Z269,"&lt;"&amp;TODAY()))</f>
        <v/>
      </c>
      <c r="J269" s="32">
        <f>IF(NOT(AND($A269&lt;&gt;"",OR($G269="",$G269="Active"))),"",COUNTIFS($M269:$U269,"&gt;="&amp;TODAY(),$M269:$U269,"&lt;="&amp;TODAY()+7)+COUNTIFS($V269:$Z269,"&gt;="&amp;TODAY(),$V269:$Z269,"&lt;="&amp;TODAY()+7))</f>
        <v/>
      </c>
      <c r="K269" s="32">
        <f>IF(NOT(AND($A269&lt;&gt;"",OR($G269="",$G269="Active"))),"",IF($L269&lt;&gt;"",IF($L269=$M269,"Booking",INDEX($N$4:$U$4,MATCH($L269,$N269:$U269,0))),IF(IFERROR(LOOKUP(2,1/(ISNUMBER($M269:$U269)+($M269:$U269="DNA")),$M269:$U269),"")="DNA","Rebook DNA",IF(ISNUMBER(IFERROR(LOOKUP(2,1/(ISNUMBER($M269:$U269)+($M269:$U269="DNA")),$M269:$U269),"")),IF(ISNUMBER($U269),"Update status","Missed/not booked?"),""))))</f>
        <v/>
      </c>
      <c r="L269" s="33">
        <f>IF(NOT(AND($A269&lt;&gt;"",OR($G269="",$G269="Active"))),"",IFERROR(SMALL($M269:$U269,COUNTIF($M269:$U269,"&lt;"&amp;TODAY())+1),""))</f>
        <v/>
      </c>
      <c r="M269" s="31" t="n"/>
      <c r="N269" s="31" t="n"/>
      <c r="O269" s="31" t="n"/>
      <c r="P269" s="31" t="n"/>
      <c r="Q269" s="31" t="n"/>
      <c r="R269" s="31" t="n"/>
      <c r="S269" s="31" t="n"/>
      <c r="T269" s="31" t="n"/>
      <c r="U269" s="31" t="n"/>
      <c r="V269" s="31" t="n"/>
      <c r="W269" s="31" t="n"/>
      <c r="X269" s="31" t="n"/>
      <c r="Y269" s="31" t="n"/>
      <c r="Z269" s="31" t="n"/>
      <c r="AA269" s="34" t="n"/>
      <c r="AB269" s="29" t="n"/>
      <c r="AC269" s="31" t="n"/>
    </row>
    <row r="270">
      <c r="A270" s="29" t="n"/>
      <c r="B270" s="30" t="n"/>
      <c r="C270" s="31" t="n"/>
      <c r="D270" s="29" t="n"/>
      <c r="E270" s="29" t="n"/>
      <c r="F270" s="31" t="n"/>
      <c r="G270" s="29" t="n"/>
      <c r="H270" s="32">
        <f>IF(OR(NOT(AND($A270&lt;&gt;"",OR($G270="",$G270="Active"))),$F270=""),"",INT((TODAY()-$F270+280)/7)&amp;"+"&amp;MOD(TODAY()-$F270+280,7))</f>
        <v/>
      </c>
      <c r="I270" s="32">
        <f>IF(NOT(AND($A270&lt;&gt;"",OR($G270="",$G270="Active"))),"",IF(OR(IFERROR(LOOKUP(2,1/(ISNUMBER($M270:$U270)+($M270:$U270="DNA")),$M270:$U270),"")="DNA",AND(ISNUMBER(IFERROR(LOOKUP(2,1/(ISNUMBER($M270:$U270)+($M270:$U270="DNA")),$M270:$U270),"")),IFERROR(LOOKUP(2,1/(ISNUMBER($M270:$U270)+($M270:$U270="DNA")),$M270:$U270),"")&lt;TODAY())),1,0)+COUNTIF($V270:$Z270,"&lt;"&amp;TODAY()))</f>
        <v/>
      </c>
      <c r="J270" s="32">
        <f>IF(NOT(AND($A270&lt;&gt;"",OR($G270="",$G270="Active"))),"",COUNTIFS($M270:$U270,"&gt;="&amp;TODAY(),$M270:$U270,"&lt;="&amp;TODAY()+7)+COUNTIFS($V270:$Z270,"&gt;="&amp;TODAY(),$V270:$Z270,"&lt;="&amp;TODAY()+7))</f>
        <v/>
      </c>
      <c r="K270" s="32">
        <f>IF(NOT(AND($A270&lt;&gt;"",OR($G270="",$G270="Active"))),"",IF($L270&lt;&gt;"",IF($L270=$M270,"Booking",INDEX($N$4:$U$4,MATCH($L270,$N270:$U270,0))),IF(IFERROR(LOOKUP(2,1/(ISNUMBER($M270:$U270)+($M270:$U270="DNA")),$M270:$U270),"")="DNA","Rebook DNA",IF(ISNUMBER(IFERROR(LOOKUP(2,1/(ISNUMBER($M270:$U270)+($M270:$U270="DNA")),$M270:$U270),"")),IF(ISNUMBER($U270),"Update status","Missed/not booked?"),""))))</f>
        <v/>
      </c>
      <c r="L270" s="33">
        <f>IF(NOT(AND($A270&lt;&gt;"",OR($G270="",$G270="Active"))),"",IFERROR(SMALL($M270:$U270,COUNTIF($M270:$U270,"&lt;"&amp;TODAY())+1),""))</f>
        <v/>
      </c>
      <c r="M270" s="31" t="n"/>
      <c r="N270" s="31" t="n"/>
      <c r="O270" s="31" t="n"/>
      <c r="P270" s="31" t="n"/>
      <c r="Q270" s="31" t="n"/>
      <c r="R270" s="31" t="n"/>
      <c r="S270" s="31" t="n"/>
      <c r="T270" s="31" t="n"/>
      <c r="U270" s="31" t="n"/>
      <c r="V270" s="31" t="n"/>
      <c r="W270" s="31" t="n"/>
      <c r="X270" s="31" t="n"/>
      <c r="Y270" s="31" t="n"/>
      <c r="Z270" s="31" t="n"/>
      <c r="AA270" s="34" t="n"/>
      <c r="AB270" s="29" t="n"/>
      <c r="AC270" s="31" t="n"/>
    </row>
    <row r="271">
      <c r="A271" s="29" t="n"/>
      <c r="B271" s="30" t="n"/>
      <c r="C271" s="31" t="n"/>
      <c r="D271" s="29" t="n"/>
      <c r="E271" s="29" t="n"/>
      <c r="F271" s="31" t="n"/>
      <c r="G271" s="29" t="n"/>
      <c r="H271" s="32">
        <f>IF(OR(NOT(AND($A271&lt;&gt;"",OR($G271="",$G271="Active"))),$F271=""),"",INT((TODAY()-$F271+280)/7)&amp;"+"&amp;MOD(TODAY()-$F271+280,7))</f>
        <v/>
      </c>
      <c r="I271" s="32">
        <f>IF(NOT(AND($A271&lt;&gt;"",OR($G271="",$G271="Active"))),"",IF(OR(IFERROR(LOOKUP(2,1/(ISNUMBER($M271:$U271)+($M271:$U271="DNA")),$M271:$U271),"")="DNA",AND(ISNUMBER(IFERROR(LOOKUP(2,1/(ISNUMBER($M271:$U271)+($M271:$U271="DNA")),$M271:$U271),"")),IFERROR(LOOKUP(2,1/(ISNUMBER($M271:$U271)+($M271:$U271="DNA")),$M271:$U271),"")&lt;TODAY())),1,0)+COUNTIF($V271:$Z271,"&lt;"&amp;TODAY()))</f>
        <v/>
      </c>
      <c r="J271" s="32">
        <f>IF(NOT(AND($A271&lt;&gt;"",OR($G271="",$G271="Active"))),"",COUNTIFS($M271:$U271,"&gt;="&amp;TODAY(),$M271:$U271,"&lt;="&amp;TODAY()+7)+COUNTIFS($V271:$Z271,"&gt;="&amp;TODAY(),$V271:$Z271,"&lt;="&amp;TODAY()+7))</f>
        <v/>
      </c>
      <c r="K271" s="32">
        <f>IF(NOT(AND($A271&lt;&gt;"",OR($G271="",$G271="Active"))),"",IF($L271&lt;&gt;"",IF($L271=$M271,"Booking",INDEX($N$4:$U$4,MATCH($L271,$N271:$U271,0))),IF(IFERROR(LOOKUP(2,1/(ISNUMBER($M271:$U271)+($M271:$U271="DNA")),$M271:$U271),"")="DNA","Rebook DNA",IF(ISNUMBER(IFERROR(LOOKUP(2,1/(ISNUMBER($M271:$U271)+($M271:$U271="DNA")),$M271:$U271),"")),IF(ISNUMBER($U271),"Update status","Missed/not booked?"),""))))</f>
        <v/>
      </c>
      <c r="L271" s="33">
        <f>IF(NOT(AND($A271&lt;&gt;"",OR($G271="",$G271="Active"))),"",IFERROR(SMALL($M271:$U271,COUNTIF($M271:$U271,"&lt;"&amp;TODAY())+1),""))</f>
        <v/>
      </c>
      <c r="M271" s="31" t="n"/>
      <c r="N271" s="31" t="n"/>
      <c r="O271" s="31" t="n"/>
      <c r="P271" s="31" t="n"/>
      <c r="Q271" s="31" t="n"/>
      <c r="R271" s="31" t="n"/>
      <c r="S271" s="31" t="n"/>
      <c r="T271" s="31" t="n"/>
      <c r="U271" s="31" t="n"/>
      <c r="V271" s="31" t="n"/>
      <c r="W271" s="31" t="n"/>
      <c r="X271" s="31" t="n"/>
      <c r="Y271" s="31" t="n"/>
      <c r="Z271" s="31" t="n"/>
      <c r="AA271" s="34" t="n"/>
      <c r="AB271" s="29" t="n"/>
      <c r="AC271" s="31" t="n"/>
    </row>
    <row r="272">
      <c r="A272" s="29" t="n"/>
      <c r="B272" s="30" t="n"/>
      <c r="C272" s="31" t="n"/>
      <c r="D272" s="29" t="n"/>
      <c r="E272" s="29" t="n"/>
      <c r="F272" s="31" t="n"/>
      <c r="G272" s="29" t="n"/>
      <c r="H272" s="32">
        <f>IF(OR(NOT(AND($A272&lt;&gt;"",OR($G272="",$G272="Active"))),$F272=""),"",INT((TODAY()-$F272+280)/7)&amp;"+"&amp;MOD(TODAY()-$F272+280,7))</f>
        <v/>
      </c>
      <c r="I272" s="32">
        <f>IF(NOT(AND($A272&lt;&gt;"",OR($G272="",$G272="Active"))),"",IF(OR(IFERROR(LOOKUP(2,1/(ISNUMBER($M272:$U272)+($M272:$U272="DNA")),$M272:$U272),"")="DNA",AND(ISNUMBER(IFERROR(LOOKUP(2,1/(ISNUMBER($M272:$U272)+($M272:$U272="DNA")),$M272:$U272),"")),IFERROR(LOOKUP(2,1/(ISNUMBER($M272:$U272)+($M272:$U272="DNA")),$M272:$U272),"")&lt;TODAY())),1,0)+COUNTIF($V272:$Z272,"&lt;"&amp;TODAY()))</f>
        <v/>
      </c>
      <c r="J272" s="32">
        <f>IF(NOT(AND($A272&lt;&gt;"",OR($G272="",$G272="Active"))),"",COUNTIFS($M272:$U272,"&gt;="&amp;TODAY(),$M272:$U272,"&lt;="&amp;TODAY()+7)+COUNTIFS($V272:$Z272,"&gt;="&amp;TODAY(),$V272:$Z272,"&lt;="&amp;TODAY()+7))</f>
        <v/>
      </c>
      <c r="K272" s="32">
        <f>IF(NOT(AND($A272&lt;&gt;"",OR($G272="",$G272="Active"))),"",IF($L272&lt;&gt;"",IF($L272=$M272,"Booking",INDEX($N$4:$U$4,MATCH($L272,$N272:$U272,0))),IF(IFERROR(LOOKUP(2,1/(ISNUMBER($M272:$U272)+($M272:$U272="DNA")),$M272:$U272),"")="DNA","Rebook DNA",IF(ISNUMBER(IFERROR(LOOKUP(2,1/(ISNUMBER($M272:$U272)+($M272:$U272="DNA")),$M272:$U272),"")),IF(ISNUMBER($U272),"Update status","Missed/not booked?"),""))))</f>
        <v/>
      </c>
      <c r="L272" s="33">
        <f>IF(NOT(AND($A272&lt;&gt;"",OR($G272="",$G272="Active"))),"",IFERROR(SMALL($M272:$U272,COUNTIF($M272:$U272,"&lt;"&amp;TODAY())+1),""))</f>
        <v/>
      </c>
      <c r="M272" s="31" t="n"/>
      <c r="N272" s="31" t="n"/>
      <c r="O272" s="31" t="n"/>
      <c r="P272" s="31" t="n"/>
      <c r="Q272" s="31" t="n"/>
      <c r="R272" s="31" t="n"/>
      <c r="S272" s="31" t="n"/>
      <c r="T272" s="31" t="n"/>
      <c r="U272" s="31" t="n"/>
      <c r="V272" s="31" t="n"/>
      <c r="W272" s="31" t="n"/>
      <c r="X272" s="31" t="n"/>
      <c r="Y272" s="31" t="n"/>
      <c r="Z272" s="31" t="n"/>
      <c r="AA272" s="34" t="n"/>
      <c r="AB272" s="29" t="n"/>
      <c r="AC272" s="31" t="n"/>
    </row>
    <row r="273">
      <c r="A273" s="29" t="n"/>
      <c r="B273" s="30" t="n"/>
      <c r="C273" s="31" t="n"/>
      <c r="D273" s="29" t="n"/>
      <c r="E273" s="29" t="n"/>
      <c r="F273" s="31" t="n"/>
      <c r="G273" s="29" t="n"/>
      <c r="H273" s="32">
        <f>IF(OR(NOT(AND($A273&lt;&gt;"",OR($G273="",$G273="Active"))),$F273=""),"",INT((TODAY()-$F273+280)/7)&amp;"+"&amp;MOD(TODAY()-$F273+280,7))</f>
        <v/>
      </c>
      <c r="I273" s="32">
        <f>IF(NOT(AND($A273&lt;&gt;"",OR($G273="",$G273="Active"))),"",IF(OR(IFERROR(LOOKUP(2,1/(ISNUMBER($M273:$U273)+($M273:$U273="DNA")),$M273:$U273),"")="DNA",AND(ISNUMBER(IFERROR(LOOKUP(2,1/(ISNUMBER($M273:$U273)+($M273:$U273="DNA")),$M273:$U273),"")),IFERROR(LOOKUP(2,1/(ISNUMBER($M273:$U273)+($M273:$U273="DNA")),$M273:$U273),"")&lt;TODAY())),1,0)+COUNTIF($V273:$Z273,"&lt;"&amp;TODAY()))</f>
        <v/>
      </c>
      <c r="J273" s="32">
        <f>IF(NOT(AND($A273&lt;&gt;"",OR($G273="",$G273="Active"))),"",COUNTIFS($M273:$U273,"&gt;="&amp;TODAY(),$M273:$U273,"&lt;="&amp;TODAY()+7)+COUNTIFS($V273:$Z273,"&gt;="&amp;TODAY(),$V273:$Z273,"&lt;="&amp;TODAY()+7))</f>
        <v/>
      </c>
      <c r="K273" s="32">
        <f>IF(NOT(AND($A273&lt;&gt;"",OR($G273="",$G273="Active"))),"",IF($L273&lt;&gt;"",IF($L273=$M273,"Booking",INDEX($N$4:$U$4,MATCH($L273,$N273:$U273,0))),IF(IFERROR(LOOKUP(2,1/(ISNUMBER($M273:$U273)+($M273:$U273="DNA")),$M273:$U273),"")="DNA","Rebook DNA",IF(ISNUMBER(IFERROR(LOOKUP(2,1/(ISNUMBER($M273:$U273)+($M273:$U273="DNA")),$M273:$U273),"")),IF(ISNUMBER($U273),"Update status","Missed/not booked?"),""))))</f>
        <v/>
      </c>
      <c r="L273" s="33">
        <f>IF(NOT(AND($A273&lt;&gt;"",OR($G273="",$G273="Active"))),"",IFERROR(SMALL($M273:$U273,COUNTIF($M273:$U273,"&lt;"&amp;TODAY())+1),""))</f>
        <v/>
      </c>
      <c r="M273" s="31" t="n"/>
      <c r="N273" s="31" t="n"/>
      <c r="O273" s="31" t="n"/>
      <c r="P273" s="31" t="n"/>
      <c r="Q273" s="31" t="n"/>
      <c r="R273" s="31" t="n"/>
      <c r="S273" s="31" t="n"/>
      <c r="T273" s="31" t="n"/>
      <c r="U273" s="31" t="n"/>
      <c r="V273" s="31" t="n"/>
      <c r="W273" s="31" t="n"/>
      <c r="X273" s="31" t="n"/>
      <c r="Y273" s="31" t="n"/>
      <c r="Z273" s="31" t="n"/>
      <c r="AA273" s="34" t="n"/>
      <c r="AB273" s="29" t="n"/>
      <c r="AC273" s="31" t="n"/>
    </row>
    <row r="274">
      <c r="A274" s="29" t="n"/>
      <c r="B274" s="30" t="n"/>
      <c r="C274" s="31" t="n"/>
      <c r="D274" s="29" t="n"/>
      <c r="E274" s="29" t="n"/>
      <c r="F274" s="31" t="n"/>
      <c r="G274" s="29" t="n"/>
      <c r="H274" s="32">
        <f>IF(OR(NOT(AND($A274&lt;&gt;"",OR($G274="",$G274="Active"))),$F274=""),"",INT((TODAY()-$F274+280)/7)&amp;"+"&amp;MOD(TODAY()-$F274+280,7))</f>
        <v/>
      </c>
      <c r="I274" s="32">
        <f>IF(NOT(AND($A274&lt;&gt;"",OR($G274="",$G274="Active"))),"",IF(OR(IFERROR(LOOKUP(2,1/(ISNUMBER($M274:$U274)+($M274:$U274="DNA")),$M274:$U274),"")="DNA",AND(ISNUMBER(IFERROR(LOOKUP(2,1/(ISNUMBER($M274:$U274)+($M274:$U274="DNA")),$M274:$U274),"")),IFERROR(LOOKUP(2,1/(ISNUMBER($M274:$U274)+($M274:$U274="DNA")),$M274:$U274),"")&lt;TODAY())),1,0)+COUNTIF($V274:$Z274,"&lt;"&amp;TODAY()))</f>
        <v/>
      </c>
      <c r="J274" s="32">
        <f>IF(NOT(AND($A274&lt;&gt;"",OR($G274="",$G274="Active"))),"",COUNTIFS($M274:$U274,"&gt;="&amp;TODAY(),$M274:$U274,"&lt;="&amp;TODAY()+7)+COUNTIFS($V274:$Z274,"&gt;="&amp;TODAY(),$V274:$Z274,"&lt;="&amp;TODAY()+7))</f>
        <v/>
      </c>
      <c r="K274" s="32">
        <f>IF(NOT(AND($A274&lt;&gt;"",OR($G274="",$G274="Active"))),"",IF($L274&lt;&gt;"",IF($L274=$M274,"Booking",INDEX($N$4:$U$4,MATCH($L274,$N274:$U274,0))),IF(IFERROR(LOOKUP(2,1/(ISNUMBER($M274:$U274)+($M274:$U274="DNA")),$M274:$U274),"")="DNA","Rebook DNA",IF(ISNUMBER(IFERROR(LOOKUP(2,1/(ISNUMBER($M274:$U274)+($M274:$U274="DNA")),$M274:$U274),"")),IF(ISNUMBER($U274),"Update status","Missed/not booked?"),""))))</f>
        <v/>
      </c>
      <c r="L274" s="33">
        <f>IF(NOT(AND($A274&lt;&gt;"",OR($G274="",$G274="Active"))),"",IFERROR(SMALL($M274:$U274,COUNTIF($M274:$U274,"&lt;"&amp;TODAY())+1),""))</f>
        <v/>
      </c>
      <c r="M274" s="31" t="n"/>
      <c r="N274" s="31" t="n"/>
      <c r="O274" s="31" t="n"/>
      <c r="P274" s="31" t="n"/>
      <c r="Q274" s="31" t="n"/>
      <c r="R274" s="31" t="n"/>
      <c r="S274" s="31" t="n"/>
      <c r="T274" s="31" t="n"/>
      <c r="U274" s="31" t="n"/>
      <c r="V274" s="31" t="n"/>
      <c r="W274" s="31" t="n"/>
      <c r="X274" s="31" t="n"/>
      <c r="Y274" s="31" t="n"/>
      <c r="Z274" s="31" t="n"/>
      <c r="AA274" s="34" t="n"/>
      <c r="AB274" s="29" t="n"/>
      <c r="AC274" s="31" t="n"/>
    </row>
    <row r="275">
      <c r="A275" s="29" t="n"/>
      <c r="B275" s="30" t="n"/>
      <c r="C275" s="31" t="n"/>
      <c r="D275" s="29" t="n"/>
      <c r="E275" s="29" t="n"/>
      <c r="F275" s="31" t="n"/>
      <c r="G275" s="29" t="n"/>
      <c r="H275" s="32">
        <f>IF(OR(NOT(AND($A275&lt;&gt;"",OR($G275="",$G275="Active"))),$F275=""),"",INT((TODAY()-$F275+280)/7)&amp;"+"&amp;MOD(TODAY()-$F275+280,7))</f>
        <v/>
      </c>
      <c r="I275" s="32">
        <f>IF(NOT(AND($A275&lt;&gt;"",OR($G275="",$G275="Active"))),"",IF(OR(IFERROR(LOOKUP(2,1/(ISNUMBER($M275:$U275)+($M275:$U275="DNA")),$M275:$U275),"")="DNA",AND(ISNUMBER(IFERROR(LOOKUP(2,1/(ISNUMBER($M275:$U275)+($M275:$U275="DNA")),$M275:$U275),"")),IFERROR(LOOKUP(2,1/(ISNUMBER($M275:$U275)+($M275:$U275="DNA")),$M275:$U275),"")&lt;TODAY())),1,0)+COUNTIF($V275:$Z275,"&lt;"&amp;TODAY()))</f>
        <v/>
      </c>
      <c r="J275" s="32">
        <f>IF(NOT(AND($A275&lt;&gt;"",OR($G275="",$G275="Active"))),"",COUNTIFS($M275:$U275,"&gt;="&amp;TODAY(),$M275:$U275,"&lt;="&amp;TODAY()+7)+COUNTIFS($V275:$Z275,"&gt;="&amp;TODAY(),$V275:$Z275,"&lt;="&amp;TODAY()+7))</f>
        <v/>
      </c>
      <c r="K275" s="32">
        <f>IF(NOT(AND($A275&lt;&gt;"",OR($G275="",$G275="Active"))),"",IF($L275&lt;&gt;"",IF($L275=$M275,"Booking",INDEX($N$4:$U$4,MATCH($L275,$N275:$U275,0))),IF(IFERROR(LOOKUP(2,1/(ISNUMBER($M275:$U275)+($M275:$U275="DNA")),$M275:$U275),"")="DNA","Rebook DNA",IF(ISNUMBER(IFERROR(LOOKUP(2,1/(ISNUMBER($M275:$U275)+($M275:$U275="DNA")),$M275:$U275),"")),IF(ISNUMBER($U275),"Update status","Missed/not booked?"),""))))</f>
        <v/>
      </c>
      <c r="L275" s="33">
        <f>IF(NOT(AND($A275&lt;&gt;"",OR($G275="",$G275="Active"))),"",IFERROR(SMALL($M275:$U275,COUNTIF($M275:$U275,"&lt;"&amp;TODAY())+1),""))</f>
        <v/>
      </c>
      <c r="M275" s="31" t="n"/>
      <c r="N275" s="31" t="n"/>
      <c r="O275" s="31" t="n"/>
      <c r="P275" s="31" t="n"/>
      <c r="Q275" s="31" t="n"/>
      <c r="R275" s="31" t="n"/>
      <c r="S275" s="31" t="n"/>
      <c r="T275" s="31" t="n"/>
      <c r="U275" s="31" t="n"/>
      <c r="V275" s="31" t="n"/>
      <c r="W275" s="31" t="n"/>
      <c r="X275" s="31" t="n"/>
      <c r="Y275" s="31" t="n"/>
      <c r="Z275" s="31" t="n"/>
      <c r="AA275" s="34" t="n"/>
      <c r="AB275" s="29" t="n"/>
      <c r="AC275" s="31" t="n"/>
    </row>
    <row r="276">
      <c r="A276" s="29" t="n"/>
      <c r="B276" s="30" t="n"/>
      <c r="C276" s="31" t="n"/>
      <c r="D276" s="29" t="n"/>
      <c r="E276" s="29" t="n"/>
      <c r="F276" s="31" t="n"/>
      <c r="G276" s="29" t="n"/>
      <c r="H276" s="32">
        <f>IF(OR(NOT(AND($A276&lt;&gt;"",OR($G276="",$G276="Active"))),$F276=""),"",INT((TODAY()-$F276+280)/7)&amp;"+"&amp;MOD(TODAY()-$F276+280,7))</f>
        <v/>
      </c>
      <c r="I276" s="32">
        <f>IF(NOT(AND($A276&lt;&gt;"",OR($G276="",$G276="Active"))),"",IF(OR(IFERROR(LOOKUP(2,1/(ISNUMBER($M276:$U276)+($M276:$U276="DNA")),$M276:$U276),"")="DNA",AND(ISNUMBER(IFERROR(LOOKUP(2,1/(ISNUMBER($M276:$U276)+($M276:$U276="DNA")),$M276:$U276),"")),IFERROR(LOOKUP(2,1/(ISNUMBER($M276:$U276)+($M276:$U276="DNA")),$M276:$U276),"")&lt;TODAY())),1,0)+COUNTIF($V276:$Z276,"&lt;"&amp;TODAY()))</f>
        <v/>
      </c>
      <c r="J276" s="32">
        <f>IF(NOT(AND($A276&lt;&gt;"",OR($G276="",$G276="Active"))),"",COUNTIFS($M276:$U276,"&gt;="&amp;TODAY(),$M276:$U276,"&lt;="&amp;TODAY()+7)+COUNTIFS($V276:$Z276,"&gt;="&amp;TODAY(),$V276:$Z276,"&lt;="&amp;TODAY()+7))</f>
        <v/>
      </c>
      <c r="K276" s="32">
        <f>IF(NOT(AND($A276&lt;&gt;"",OR($G276="",$G276="Active"))),"",IF($L276&lt;&gt;"",IF($L276=$M276,"Booking",INDEX($N$4:$U$4,MATCH($L276,$N276:$U276,0))),IF(IFERROR(LOOKUP(2,1/(ISNUMBER($M276:$U276)+($M276:$U276="DNA")),$M276:$U276),"")="DNA","Rebook DNA",IF(ISNUMBER(IFERROR(LOOKUP(2,1/(ISNUMBER($M276:$U276)+($M276:$U276="DNA")),$M276:$U276),"")),IF(ISNUMBER($U276),"Update status","Missed/not booked?"),""))))</f>
        <v/>
      </c>
      <c r="L276" s="33">
        <f>IF(NOT(AND($A276&lt;&gt;"",OR($G276="",$G276="Active"))),"",IFERROR(SMALL($M276:$U276,COUNTIF($M276:$U276,"&lt;"&amp;TODAY())+1),""))</f>
        <v/>
      </c>
      <c r="M276" s="31" t="n"/>
      <c r="N276" s="31" t="n"/>
      <c r="O276" s="31" t="n"/>
      <c r="P276" s="31" t="n"/>
      <c r="Q276" s="31" t="n"/>
      <c r="R276" s="31" t="n"/>
      <c r="S276" s="31" t="n"/>
      <c r="T276" s="31" t="n"/>
      <c r="U276" s="31" t="n"/>
      <c r="V276" s="31" t="n"/>
      <c r="W276" s="31" t="n"/>
      <c r="X276" s="31" t="n"/>
      <c r="Y276" s="31" t="n"/>
      <c r="Z276" s="31" t="n"/>
      <c r="AA276" s="34" t="n"/>
      <c r="AB276" s="29" t="n"/>
      <c r="AC276" s="31" t="n"/>
    </row>
    <row r="277">
      <c r="A277" s="29" t="n"/>
      <c r="B277" s="30" t="n"/>
      <c r="C277" s="31" t="n"/>
      <c r="D277" s="29" t="n"/>
      <c r="E277" s="29" t="n"/>
      <c r="F277" s="31" t="n"/>
      <c r="G277" s="29" t="n"/>
      <c r="H277" s="32">
        <f>IF(OR(NOT(AND($A277&lt;&gt;"",OR($G277="",$G277="Active"))),$F277=""),"",INT((TODAY()-$F277+280)/7)&amp;"+"&amp;MOD(TODAY()-$F277+280,7))</f>
        <v/>
      </c>
      <c r="I277" s="32">
        <f>IF(NOT(AND($A277&lt;&gt;"",OR($G277="",$G277="Active"))),"",IF(OR(IFERROR(LOOKUP(2,1/(ISNUMBER($M277:$U277)+($M277:$U277="DNA")),$M277:$U277),"")="DNA",AND(ISNUMBER(IFERROR(LOOKUP(2,1/(ISNUMBER($M277:$U277)+($M277:$U277="DNA")),$M277:$U277),"")),IFERROR(LOOKUP(2,1/(ISNUMBER($M277:$U277)+($M277:$U277="DNA")),$M277:$U277),"")&lt;TODAY())),1,0)+COUNTIF($V277:$Z277,"&lt;"&amp;TODAY()))</f>
        <v/>
      </c>
      <c r="J277" s="32">
        <f>IF(NOT(AND($A277&lt;&gt;"",OR($G277="",$G277="Active"))),"",COUNTIFS($M277:$U277,"&gt;="&amp;TODAY(),$M277:$U277,"&lt;="&amp;TODAY()+7)+COUNTIFS($V277:$Z277,"&gt;="&amp;TODAY(),$V277:$Z277,"&lt;="&amp;TODAY()+7))</f>
        <v/>
      </c>
      <c r="K277" s="32">
        <f>IF(NOT(AND($A277&lt;&gt;"",OR($G277="",$G277="Active"))),"",IF($L277&lt;&gt;"",IF($L277=$M277,"Booking",INDEX($N$4:$U$4,MATCH($L277,$N277:$U277,0))),IF(IFERROR(LOOKUP(2,1/(ISNUMBER($M277:$U277)+($M277:$U277="DNA")),$M277:$U277),"")="DNA","Rebook DNA",IF(ISNUMBER(IFERROR(LOOKUP(2,1/(ISNUMBER($M277:$U277)+($M277:$U277="DNA")),$M277:$U277),"")),IF(ISNUMBER($U277),"Update status","Missed/not booked?"),""))))</f>
        <v/>
      </c>
      <c r="L277" s="33">
        <f>IF(NOT(AND($A277&lt;&gt;"",OR($G277="",$G277="Active"))),"",IFERROR(SMALL($M277:$U277,COUNTIF($M277:$U277,"&lt;"&amp;TODAY())+1),""))</f>
        <v/>
      </c>
      <c r="M277" s="31" t="n"/>
      <c r="N277" s="31" t="n"/>
      <c r="O277" s="31" t="n"/>
      <c r="P277" s="31" t="n"/>
      <c r="Q277" s="31" t="n"/>
      <c r="R277" s="31" t="n"/>
      <c r="S277" s="31" t="n"/>
      <c r="T277" s="31" t="n"/>
      <c r="U277" s="31" t="n"/>
      <c r="V277" s="31" t="n"/>
      <c r="W277" s="31" t="n"/>
      <c r="X277" s="31" t="n"/>
      <c r="Y277" s="31" t="n"/>
      <c r="Z277" s="31" t="n"/>
      <c r="AA277" s="34" t="n"/>
      <c r="AB277" s="29" t="n"/>
      <c r="AC277" s="31" t="n"/>
    </row>
    <row r="278">
      <c r="A278" s="29" t="n"/>
      <c r="B278" s="30" t="n"/>
      <c r="C278" s="31" t="n"/>
      <c r="D278" s="29" t="n"/>
      <c r="E278" s="29" t="n"/>
      <c r="F278" s="31" t="n"/>
      <c r="G278" s="29" t="n"/>
      <c r="H278" s="32">
        <f>IF(OR(NOT(AND($A278&lt;&gt;"",OR($G278="",$G278="Active"))),$F278=""),"",INT((TODAY()-$F278+280)/7)&amp;"+"&amp;MOD(TODAY()-$F278+280,7))</f>
        <v/>
      </c>
      <c r="I278" s="32">
        <f>IF(NOT(AND($A278&lt;&gt;"",OR($G278="",$G278="Active"))),"",IF(OR(IFERROR(LOOKUP(2,1/(ISNUMBER($M278:$U278)+($M278:$U278="DNA")),$M278:$U278),"")="DNA",AND(ISNUMBER(IFERROR(LOOKUP(2,1/(ISNUMBER($M278:$U278)+($M278:$U278="DNA")),$M278:$U278),"")),IFERROR(LOOKUP(2,1/(ISNUMBER($M278:$U278)+($M278:$U278="DNA")),$M278:$U278),"")&lt;TODAY())),1,0)+COUNTIF($V278:$Z278,"&lt;"&amp;TODAY()))</f>
        <v/>
      </c>
      <c r="J278" s="32">
        <f>IF(NOT(AND($A278&lt;&gt;"",OR($G278="",$G278="Active"))),"",COUNTIFS($M278:$U278,"&gt;="&amp;TODAY(),$M278:$U278,"&lt;="&amp;TODAY()+7)+COUNTIFS($V278:$Z278,"&gt;="&amp;TODAY(),$V278:$Z278,"&lt;="&amp;TODAY()+7))</f>
        <v/>
      </c>
      <c r="K278" s="32">
        <f>IF(NOT(AND($A278&lt;&gt;"",OR($G278="",$G278="Active"))),"",IF($L278&lt;&gt;"",IF($L278=$M278,"Booking",INDEX($N$4:$U$4,MATCH($L278,$N278:$U278,0))),IF(IFERROR(LOOKUP(2,1/(ISNUMBER($M278:$U278)+($M278:$U278="DNA")),$M278:$U278),"")="DNA","Rebook DNA",IF(ISNUMBER(IFERROR(LOOKUP(2,1/(ISNUMBER($M278:$U278)+($M278:$U278="DNA")),$M278:$U278),"")),IF(ISNUMBER($U278),"Update status","Missed/not booked?"),""))))</f>
        <v/>
      </c>
      <c r="L278" s="33">
        <f>IF(NOT(AND($A278&lt;&gt;"",OR($G278="",$G278="Active"))),"",IFERROR(SMALL($M278:$U278,COUNTIF($M278:$U278,"&lt;"&amp;TODAY())+1),""))</f>
        <v/>
      </c>
      <c r="M278" s="31" t="n"/>
      <c r="N278" s="31" t="n"/>
      <c r="O278" s="31" t="n"/>
      <c r="P278" s="31" t="n"/>
      <c r="Q278" s="31" t="n"/>
      <c r="R278" s="31" t="n"/>
      <c r="S278" s="31" t="n"/>
      <c r="T278" s="31" t="n"/>
      <c r="U278" s="31" t="n"/>
      <c r="V278" s="31" t="n"/>
      <c r="W278" s="31" t="n"/>
      <c r="X278" s="31" t="n"/>
      <c r="Y278" s="31" t="n"/>
      <c r="Z278" s="31" t="n"/>
      <c r="AA278" s="34" t="n"/>
      <c r="AB278" s="29" t="n"/>
      <c r="AC278" s="31" t="n"/>
    </row>
    <row r="279">
      <c r="A279" s="29" t="n"/>
      <c r="B279" s="30" t="n"/>
      <c r="C279" s="31" t="n"/>
      <c r="D279" s="29" t="n"/>
      <c r="E279" s="29" t="n"/>
      <c r="F279" s="31" t="n"/>
      <c r="G279" s="29" t="n"/>
      <c r="H279" s="32">
        <f>IF(OR(NOT(AND($A279&lt;&gt;"",OR($G279="",$G279="Active"))),$F279=""),"",INT((TODAY()-$F279+280)/7)&amp;"+"&amp;MOD(TODAY()-$F279+280,7))</f>
        <v/>
      </c>
      <c r="I279" s="32">
        <f>IF(NOT(AND($A279&lt;&gt;"",OR($G279="",$G279="Active"))),"",IF(OR(IFERROR(LOOKUP(2,1/(ISNUMBER($M279:$U279)+($M279:$U279="DNA")),$M279:$U279),"")="DNA",AND(ISNUMBER(IFERROR(LOOKUP(2,1/(ISNUMBER($M279:$U279)+($M279:$U279="DNA")),$M279:$U279),"")),IFERROR(LOOKUP(2,1/(ISNUMBER($M279:$U279)+($M279:$U279="DNA")),$M279:$U279),"")&lt;TODAY())),1,0)+COUNTIF($V279:$Z279,"&lt;"&amp;TODAY()))</f>
        <v/>
      </c>
      <c r="J279" s="32">
        <f>IF(NOT(AND($A279&lt;&gt;"",OR($G279="",$G279="Active"))),"",COUNTIFS($M279:$U279,"&gt;="&amp;TODAY(),$M279:$U279,"&lt;="&amp;TODAY()+7)+COUNTIFS($V279:$Z279,"&gt;="&amp;TODAY(),$V279:$Z279,"&lt;="&amp;TODAY()+7))</f>
        <v/>
      </c>
      <c r="K279" s="32">
        <f>IF(NOT(AND($A279&lt;&gt;"",OR($G279="",$G279="Active"))),"",IF($L279&lt;&gt;"",IF($L279=$M279,"Booking",INDEX($N$4:$U$4,MATCH($L279,$N279:$U279,0))),IF(IFERROR(LOOKUP(2,1/(ISNUMBER($M279:$U279)+($M279:$U279="DNA")),$M279:$U279),"")="DNA","Rebook DNA",IF(ISNUMBER(IFERROR(LOOKUP(2,1/(ISNUMBER($M279:$U279)+($M279:$U279="DNA")),$M279:$U279),"")),IF(ISNUMBER($U279),"Update status","Missed/not booked?"),""))))</f>
        <v/>
      </c>
      <c r="L279" s="33">
        <f>IF(NOT(AND($A279&lt;&gt;"",OR($G279="",$G279="Active"))),"",IFERROR(SMALL($M279:$U279,COUNTIF($M279:$U279,"&lt;"&amp;TODAY())+1),""))</f>
        <v/>
      </c>
      <c r="M279" s="31" t="n"/>
      <c r="N279" s="31" t="n"/>
      <c r="O279" s="31" t="n"/>
      <c r="P279" s="31" t="n"/>
      <c r="Q279" s="31" t="n"/>
      <c r="R279" s="31" t="n"/>
      <c r="S279" s="31" t="n"/>
      <c r="T279" s="31" t="n"/>
      <c r="U279" s="31" t="n"/>
      <c r="V279" s="31" t="n"/>
      <c r="W279" s="31" t="n"/>
      <c r="X279" s="31" t="n"/>
      <c r="Y279" s="31" t="n"/>
      <c r="Z279" s="31" t="n"/>
      <c r="AA279" s="34" t="n"/>
      <c r="AB279" s="29" t="n"/>
      <c r="AC279" s="31" t="n"/>
    </row>
    <row r="280">
      <c r="A280" s="29" t="n"/>
      <c r="B280" s="30" t="n"/>
      <c r="C280" s="31" t="n"/>
      <c r="D280" s="29" t="n"/>
      <c r="E280" s="29" t="n"/>
      <c r="F280" s="31" t="n"/>
      <c r="G280" s="29" t="n"/>
      <c r="H280" s="32">
        <f>IF(OR(NOT(AND($A280&lt;&gt;"",OR($G280="",$G280="Active"))),$F280=""),"",INT((TODAY()-$F280+280)/7)&amp;"+"&amp;MOD(TODAY()-$F280+280,7))</f>
        <v/>
      </c>
      <c r="I280" s="32">
        <f>IF(NOT(AND($A280&lt;&gt;"",OR($G280="",$G280="Active"))),"",IF(OR(IFERROR(LOOKUP(2,1/(ISNUMBER($M280:$U280)+($M280:$U280="DNA")),$M280:$U280),"")="DNA",AND(ISNUMBER(IFERROR(LOOKUP(2,1/(ISNUMBER($M280:$U280)+($M280:$U280="DNA")),$M280:$U280),"")),IFERROR(LOOKUP(2,1/(ISNUMBER($M280:$U280)+($M280:$U280="DNA")),$M280:$U280),"")&lt;TODAY())),1,0)+COUNTIF($V280:$Z280,"&lt;"&amp;TODAY()))</f>
        <v/>
      </c>
      <c r="J280" s="32">
        <f>IF(NOT(AND($A280&lt;&gt;"",OR($G280="",$G280="Active"))),"",COUNTIFS($M280:$U280,"&gt;="&amp;TODAY(),$M280:$U280,"&lt;="&amp;TODAY()+7)+COUNTIFS($V280:$Z280,"&gt;="&amp;TODAY(),$V280:$Z280,"&lt;="&amp;TODAY()+7))</f>
        <v/>
      </c>
      <c r="K280" s="32">
        <f>IF(NOT(AND($A280&lt;&gt;"",OR($G280="",$G280="Active"))),"",IF($L280&lt;&gt;"",IF($L280=$M280,"Booking",INDEX($N$4:$U$4,MATCH($L280,$N280:$U280,0))),IF(IFERROR(LOOKUP(2,1/(ISNUMBER($M280:$U280)+($M280:$U280="DNA")),$M280:$U280),"")="DNA","Rebook DNA",IF(ISNUMBER(IFERROR(LOOKUP(2,1/(ISNUMBER($M280:$U280)+($M280:$U280="DNA")),$M280:$U280),"")),IF(ISNUMBER($U280),"Update status","Missed/not booked?"),""))))</f>
        <v/>
      </c>
      <c r="L280" s="33">
        <f>IF(NOT(AND($A280&lt;&gt;"",OR($G280="",$G280="Active"))),"",IFERROR(SMALL($M280:$U280,COUNTIF($M280:$U280,"&lt;"&amp;TODAY())+1),""))</f>
        <v/>
      </c>
      <c r="M280" s="31" t="n"/>
      <c r="N280" s="31" t="n"/>
      <c r="O280" s="31" t="n"/>
      <c r="P280" s="31" t="n"/>
      <c r="Q280" s="31" t="n"/>
      <c r="R280" s="31" t="n"/>
      <c r="S280" s="31" t="n"/>
      <c r="T280" s="31" t="n"/>
      <c r="U280" s="31" t="n"/>
      <c r="V280" s="31" t="n"/>
      <c r="W280" s="31" t="n"/>
      <c r="X280" s="31" t="n"/>
      <c r="Y280" s="31" t="n"/>
      <c r="Z280" s="31" t="n"/>
      <c r="AA280" s="34" t="n"/>
      <c r="AB280" s="29" t="n"/>
      <c r="AC280" s="31" t="n"/>
    </row>
    <row r="281">
      <c r="A281" s="29" t="n"/>
      <c r="B281" s="30" t="n"/>
      <c r="C281" s="31" t="n"/>
      <c r="D281" s="29" t="n"/>
      <c r="E281" s="29" t="n"/>
      <c r="F281" s="31" t="n"/>
      <c r="G281" s="29" t="n"/>
      <c r="H281" s="32">
        <f>IF(OR(NOT(AND($A281&lt;&gt;"",OR($G281="",$G281="Active"))),$F281=""),"",INT((TODAY()-$F281+280)/7)&amp;"+"&amp;MOD(TODAY()-$F281+280,7))</f>
        <v/>
      </c>
      <c r="I281" s="32">
        <f>IF(NOT(AND($A281&lt;&gt;"",OR($G281="",$G281="Active"))),"",IF(OR(IFERROR(LOOKUP(2,1/(ISNUMBER($M281:$U281)+($M281:$U281="DNA")),$M281:$U281),"")="DNA",AND(ISNUMBER(IFERROR(LOOKUP(2,1/(ISNUMBER($M281:$U281)+($M281:$U281="DNA")),$M281:$U281),"")),IFERROR(LOOKUP(2,1/(ISNUMBER($M281:$U281)+($M281:$U281="DNA")),$M281:$U281),"")&lt;TODAY())),1,0)+COUNTIF($V281:$Z281,"&lt;"&amp;TODAY()))</f>
        <v/>
      </c>
      <c r="J281" s="32">
        <f>IF(NOT(AND($A281&lt;&gt;"",OR($G281="",$G281="Active"))),"",COUNTIFS($M281:$U281,"&gt;="&amp;TODAY(),$M281:$U281,"&lt;="&amp;TODAY()+7)+COUNTIFS($V281:$Z281,"&gt;="&amp;TODAY(),$V281:$Z281,"&lt;="&amp;TODAY()+7))</f>
        <v/>
      </c>
      <c r="K281" s="32">
        <f>IF(NOT(AND($A281&lt;&gt;"",OR($G281="",$G281="Active"))),"",IF($L281&lt;&gt;"",IF($L281=$M281,"Booking",INDEX($N$4:$U$4,MATCH($L281,$N281:$U281,0))),IF(IFERROR(LOOKUP(2,1/(ISNUMBER($M281:$U281)+($M281:$U281="DNA")),$M281:$U281),"")="DNA","Rebook DNA",IF(ISNUMBER(IFERROR(LOOKUP(2,1/(ISNUMBER($M281:$U281)+($M281:$U281="DNA")),$M281:$U281),"")),IF(ISNUMBER($U281),"Update status","Missed/not booked?"),""))))</f>
        <v/>
      </c>
      <c r="L281" s="33">
        <f>IF(NOT(AND($A281&lt;&gt;"",OR($G281="",$G281="Active"))),"",IFERROR(SMALL($M281:$U281,COUNTIF($M281:$U281,"&lt;"&amp;TODAY())+1),""))</f>
        <v/>
      </c>
      <c r="M281" s="31" t="n"/>
      <c r="N281" s="31" t="n"/>
      <c r="O281" s="31" t="n"/>
      <c r="P281" s="31" t="n"/>
      <c r="Q281" s="31" t="n"/>
      <c r="R281" s="31" t="n"/>
      <c r="S281" s="31" t="n"/>
      <c r="T281" s="31" t="n"/>
      <c r="U281" s="31" t="n"/>
      <c r="V281" s="31" t="n"/>
      <c r="W281" s="31" t="n"/>
      <c r="X281" s="31" t="n"/>
      <c r="Y281" s="31" t="n"/>
      <c r="Z281" s="31" t="n"/>
      <c r="AA281" s="34" t="n"/>
      <c r="AB281" s="29" t="n"/>
      <c r="AC281" s="31" t="n"/>
    </row>
    <row r="282">
      <c r="A282" s="29" t="n"/>
      <c r="B282" s="30" t="n"/>
      <c r="C282" s="31" t="n"/>
      <c r="D282" s="29" t="n"/>
      <c r="E282" s="29" t="n"/>
      <c r="F282" s="31" t="n"/>
      <c r="G282" s="29" t="n"/>
      <c r="H282" s="32">
        <f>IF(OR(NOT(AND($A282&lt;&gt;"",OR($G282="",$G282="Active"))),$F282=""),"",INT((TODAY()-$F282+280)/7)&amp;"+"&amp;MOD(TODAY()-$F282+280,7))</f>
        <v/>
      </c>
      <c r="I282" s="32">
        <f>IF(NOT(AND($A282&lt;&gt;"",OR($G282="",$G282="Active"))),"",IF(OR(IFERROR(LOOKUP(2,1/(ISNUMBER($M282:$U282)+($M282:$U282="DNA")),$M282:$U282),"")="DNA",AND(ISNUMBER(IFERROR(LOOKUP(2,1/(ISNUMBER($M282:$U282)+($M282:$U282="DNA")),$M282:$U282),"")),IFERROR(LOOKUP(2,1/(ISNUMBER($M282:$U282)+($M282:$U282="DNA")),$M282:$U282),"")&lt;TODAY())),1,0)+COUNTIF($V282:$Z282,"&lt;"&amp;TODAY()))</f>
        <v/>
      </c>
      <c r="J282" s="32">
        <f>IF(NOT(AND($A282&lt;&gt;"",OR($G282="",$G282="Active"))),"",COUNTIFS($M282:$U282,"&gt;="&amp;TODAY(),$M282:$U282,"&lt;="&amp;TODAY()+7)+COUNTIFS($V282:$Z282,"&gt;="&amp;TODAY(),$V282:$Z282,"&lt;="&amp;TODAY()+7))</f>
        <v/>
      </c>
      <c r="K282" s="32">
        <f>IF(NOT(AND($A282&lt;&gt;"",OR($G282="",$G282="Active"))),"",IF($L282&lt;&gt;"",IF($L282=$M282,"Booking",INDEX($N$4:$U$4,MATCH($L282,$N282:$U282,0))),IF(IFERROR(LOOKUP(2,1/(ISNUMBER($M282:$U282)+($M282:$U282="DNA")),$M282:$U282),"")="DNA","Rebook DNA",IF(ISNUMBER(IFERROR(LOOKUP(2,1/(ISNUMBER($M282:$U282)+($M282:$U282="DNA")),$M282:$U282),"")),IF(ISNUMBER($U282),"Update status","Missed/not booked?"),""))))</f>
        <v/>
      </c>
      <c r="L282" s="33">
        <f>IF(NOT(AND($A282&lt;&gt;"",OR($G282="",$G282="Active"))),"",IFERROR(SMALL($M282:$U282,COUNTIF($M282:$U282,"&lt;"&amp;TODAY())+1),""))</f>
        <v/>
      </c>
      <c r="M282" s="31" t="n"/>
      <c r="N282" s="31" t="n"/>
      <c r="O282" s="31" t="n"/>
      <c r="P282" s="31" t="n"/>
      <c r="Q282" s="31" t="n"/>
      <c r="R282" s="31" t="n"/>
      <c r="S282" s="31" t="n"/>
      <c r="T282" s="31" t="n"/>
      <c r="U282" s="31" t="n"/>
      <c r="V282" s="31" t="n"/>
      <c r="W282" s="31" t="n"/>
      <c r="X282" s="31" t="n"/>
      <c r="Y282" s="31" t="n"/>
      <c r="Z282" s="31" t="n"/>
      <c r="AA282" s="34" t="n"/>
      <c r="AB282" s="29" t="n"/>
      <c r="AC282" s="31" t="n"/>
    </row>
    <row r="283">
      <c r="A283" s="29" t="n"/>
      <c r="B283" s="30" t="n"/>
      <c r="C283" s="31" t="n"/>
      <c r="D283" s="29" t="n"/>
      <c r="E283" s="29" t="n"/>
      <c r="F283" s="31" t="n"/>
      <c r="G283" s="29" t="n"/>
      <c r="H283" s="32">
        <f>IF(OR(NOT(AND($A283&lt;&gt;"",OR($G283="",$G283="Active"))),$F283=""),"",INT((TODAY()-$F283+280)/7)&amp;"+"&amp;MOD(TODAY()-$F283+280,7))</f>
        <v/>
      </c>
      <c r="I283" s="32">
        <f>IF(NOT(AND($A283&lt;&gt;"",OR($G283="",$G283="Active"))),"",IF(OR(IFERROR(LOOKUP(2,1/(ISNUMBER($M283:$U283)+($M283:$U283="DNA")),$M283:$U283),"")="DNA",AND(ISNUMBER(IFERROR(LOOKUP(2,1/(ISNUMBER($M283:$U283)+($M283:$U283="DNA")),$M283:$U283),"")),IFERROR(LOOKUP(2,1/(ISNUMBER($M283:$U283)+($M283:$U283="DNA")),$M283:$U283),"")&lt;TODAY())),1,0)+COUNTIF($V283:$Z283,"&lt;"&amp;TODAY()))</f>
        <v/>
      </c>
      <c r="J283" s="32">
        <f>IF(NOT(AND($A283&lt;&gt;"",OR($G283="",$G283="Active"))),"",COUNTIFS($M283:$U283,"&gt;="&amp;TODAY(),$M283:$U283,"&lt;="&amp;TODAY()+7)+COUNTIFS($V283:$Z283,"&gt;="&amp;TODAY(),$V283:$Z283,"&lt;="&amp;TODAY()+7))</f>
        <v/>
      </c>
      <c r="K283" s="32">
        <f>IF(NOT(AND($A283&lt;&gt;"",OR($G283="",$G283="Active"))),"",IF($L283&lt;&gt;"",IF($L283=$M283,"Booking",INDEX($N$4:$U$4,MATCH($L283,$N283:$U283,0))),IF(IFERROR(LOOKUP(2,1/(ISNUMBER($M283:$U283)+($M283:$U283="DNA")),$M283:$U283),"")="DNA","Rebook DNA",IF(ISNUMBER(IFERROR(LOOKUP(2,1/(ISNUMBER($M283:$U283)+($M283:$U283="DNA")),$M283:$U283),"")),IF(ISNUMBER($U283),"Update status","Missed/not booked?"),""))))</f>
        <v/>
      </c>
      <c r="L283" s="33">
        <f>IF(NOT(AND($A283&lt;&gt;"",OR($G283="",$G283="Active"))),"",IFERROR(SMALL($M283:$U283,COUNTIF($M283:$U283,"&lt;"&amp;TODAY())+1),""))</f>
        <v/>
      </c>
      <c r="M283" s="31" t="n"/>
      <c r="N283" s="31" t="n"/>
      <c r="O283" s="31" t="n"/>
      <c r="P283" s="31" t="n"/>
      <c r="Q283" s="31" t="n"/>
      <c r="R283" s="31" t="n"/>
      <c r="S283" s="31" t="n"/>
      <c r="T283" s="31" t="n"/>
      <c r="U283" s="31" t="n"/>
      <c r="V283" s="31" t="n"/>
      <c r="W283" s="31" t="n"/>
      <c r="X283" s="31" t="n"/>
      <c r="Y283" s="31" t="n"/>
      <c r="Z283" s="31" t="n"/>
      <c r="AA283" s="34" t="n"/>
      <c r="AB283" s="29" t="n"/>
      <c r="AC283" s="31" t="n"/>
    </row>
    <row r="284">
      <c r="A284" s="29" t="n"/>
      <c r="B284" s="30" t="n"/>
      <c r="C284" s="31" t="n"/>
      <c r="D284" s="29" t="n"/>
      <c r="E284" s="29" t="n"/>
      <c r="F284" s="31" t="n"/>
      <c r="G284" s="29" t="n"/>
      <c r="H284" s="32">
        <f>IF(OR(NOT(AND($A284&lt;&gt;"",OR($G284="",$G284="Active"))),$F284=""),"",INT((TODAY()-$F284+280)/7)&amp;"+"&amp;MOD(TODAY()-$F284+280,7))</f>
        <v/>
      </c>
      <c r="I284" s="32">
        <f>IF(NOT(AND($A284&lt;&gt;"",OR($G284="",$G284="Active"))),"",IF(OR(IFERROR(LOOKUP(2,1/(ISNUMBER($M284:$U284)+($M284:$U284="DNA")),$M284:$U284),"")="DNA",AND(ISNUMBER(IFERROR(LOOKUP(2,1/(ISNUMBER($M284:$U284)+($M284:$U284="DNA")),$M284:$U284),"")),IFERROR(LOOKUP(2,1/(ISNUMBER($M284:$U284)+($M284:$U284="DNA")),$M284:$U284),"")&lt;TODAY())),1,0)+COUNTIF($V284:$Z284,"&lt;"&amp;TODAY()))</f>
        <v/>
      </c>
      <c r="J284" s="32">
        <f>IF(NOT(AND($A284&lt;&gt;"",OR($G284="",$G284="Active"))),"",COUNTIFS($M284:$U284,"&gt;="&amp;TODAY(),$M284:$U284,"&lt;="&amp;TODAY()+7)+COUNTIFS($V284:$Z284,"&gt;="&amp;TODAY(),$V284:$Z284,"&lt;="&amp;TODAY()+7))</f>
        <v/>
      </c>
      <c r="K284" s="32">
        <f>IF(NOT(AND($A284&lt;&gt;"",OR($G284="",$G284="Active"))),"",IF($L284&lt;&gt;"",IF($L284=$M284,"Booking",INDEX($N$4:$U$4,MATCH($L284,$N284:$U284,0))),IF(IFERROR(LOOKUP(2,1/(ISNUMBER($M284:$U284)+($M284:$U284="DNA")),$M284:$U284),"")="DNA","Rebook DNA",IF(ISNUMBER(IFERROR(LOOKUP(2,1/(ISNUMBER($M284:$U284)+($M284:$U284="DNA")),$M284:$U284),"")),IF(ISNUMBER($U284),"Update status","Missed/not booked?"),""))))</f>
        <v/>
      </c>
      <c r="L284" s="33">
        <f>IF(NOT(AND($A284&lt;&gt;"",OR($G284="",$G284="Active"))),"",IFERROR(SMALL($M284:$U284,COUNTIF($M284:$U284,"&lt;"&amp;TODAY())+1),""))</f>
        <v/>
      </c>
      <c r="M284" s="31" t="n"/>
      <c r="N284" s="31" t="n"/>
      <c r="O284" s="31" t="n"/>
      <c r="P284" s="31" t="n"/>
      <c r="Q284" s="31" t="n"/>
      <c r="R284" s="31" t="n"/>
      <c r="S284" s="31" t="n"/>
      <c r="T284" s="31" t="n"/>
      <c r="U284" s="31" t="n"/>
      <c r="V284" s="31" t="n"/>
      <c r="W284" s="31" t="n"/>
      <c r="X284" s="31" t="n"/>
      <c r="Y284" s="31" t="n"/>
      <c r="Z284" s="31" t="n"/>
      <c r="AA284" s="34" t="n"/>
      <c r="AB284" s="29" t="n"/>
      <c r="AC284" s="31" t="n"/>
    </row>
    <row r="285">
      <c r="A285" s="29" t="n"/>
      <c r="B285" s="30" t="n"/>
      <c r="C285" s="31" t="n"/>
      <c r="D285" s="29" t="n"/>
      <c r="E285" s="29" t="n"/>
      <c r="F285" s="31" t="n"/>
      <c r="G285" s="29" t="n"/>
      <c r="H285" s="32">
        <f>IF(OR(NOT(AND($A285&lt;&gt;"",OR($G285="",$G285="Active"))),$F285=""),"",INT((TODAY()-$F285+280)/7)&amp;"+"&amp;MOD(TODAY()-$F285+280,7))</f>
        <v/>
      </c>
      <c r="I285" s="32">
        <f>IF(NOT(AND($A285&lt;&gt;"",OR($G285="",$G285="Active"))),"",IF(OR(IFERROR(LOOKUP(2,1/(ISNUMBER($M285:$U285)+($M285:$U285="DNA")),$M285:$U285),"")="DNA",AND(ISNUMBER(IFERROR(LOOKUP(2,1/(ISNUMBER($M285:$U285)+($M285:$U285="DNA")),$M285:$U285),"")),IFERROR(LOOKUP(2,1/(ISNUMBER($M285:$U285)+($M285:$U285="DNA")),$M285:$U285),"")&lt;TODAY())),1,0)+COUNTIF($V285:$Z285,"&lt;"&amp;TODAY()))</f>
        <v/>
      </c>
      <c r="J285" s="32">
        <f>IF(NOT(AND($A285&lt;&gt;"",OR($G285="",$G285="Active"))),"",COUNTIFS($M285:$U285,"&gt;="&amp;TODAY(),$M285:$U285,"&lt;="&amp;TODAY()+7)+COUNTIFS($V285:$Z285,"&gt;="&amp;TODAY(),$V285:$Z285,"&lt;="&amp;TODAY()+7))</f>
        <v/>
      </c>
      <c r="K285" s="32">
        <f>IF(NOT(AND($A285&lt;&gt;"",OR($G285="",$G285="Active"))),"",IF($L285&lt;&gt;"",IF($L285=$M285,"Booking",INDEX($N$4:$U$4,MATCH($L285,$N285:$U285,0))),IF(IFERROR(LOOKUP(2,1/(ISNUMBER($M285:$U285)+($M285:$U285="DNA")),$M285:$U285),"")="DNA","Rebook DNA",IF(ISNUMBER(IFERROR(LOOKUP(2,1/(ISNUMBER($M285:$U285)+($M285:$U285="DNA")),$M285:$U285),"")),IF(ISNUMBER($U285),"Update status","Missed/not booked?"),""))))</f>
        <v/>
      </c>
      <c r="L285" s="33">
        <f>IF(NOT(AND($A285&lt;&gt;"",OR($G285="",$G285="Active"))),"",IFERROR(SMALL($M285:$U285,COUNTIF($M285:$U285,"&lt;"&amp;TODAY())+1),""))</f>
        <v/>
      </c>
      <c r="M285" s="31" t="n"/>
      <c r="N285" s="31" t="n"/>
      <c r="O285" s="31" t="n"/>
      <c r="P285" s="31" t="n"/>
      <c r="Q285" s="31" t="n"/>
      <c r="R285" s="31" t="n"/>
      <c r="S285" s="31" t="n"/>
      <c r="T285" s="31" t="n"/>
      <c r="U285" s="31" t="n"/>
      <c r="V285" s="31" t="n"/>
      <c r="W285" s="31" t="n"/>
      <c r="X285" s="31" t="n"/>
      <c r="Y285" s="31" t="n"/>
      <c r="Z285" s="31" t="n"/>
      <c r="AA285" s="34" t="n"/>
      <c r="AB285" s="29" t="n"/>
      <c r="AC285" s="31" t="n"/>
    </row>
    <row r="286">
      <c r="A286" s="29" t="n"/>
      <c r="B286" s="30" t="n"/>
      <c r="C286" s="31" t="n"/>
      <c r="D286" s="29" t="n"/>
      <c r="E286" s="29" t="n"/>
      <c r="F286" s="31" t="n"/>
      <c r="G286" s="29" t="n"/>
      <c r="H286" s="32">
        <f>IF(OR(NOT(AND($A286&lt;&gt;"",OR($G286="",$G286="Active"))),$F286=""),"",INT((TODAY()-$F286+280)/7)&amp;"+"&amp;MOD(TODAY()-$F286+280,7))</f>
        <v/>
      </c>
      <c r="I286" s="32">
        <f>IF(NOT(AND($A286&lt;&gt;"",OR($G286="",$G286="Active"))),"",IF(OR(IFERROR(LOOKUP(2,1/(ISNUMBER($M286:$U286)+($M286:$U286="DNA")),$M286:$U286),"")="DNA",AND(ISNUMBER(IFERROR(LOOKUP(2,1/(ISNUMBER($M286:$U286)+($M286:$U286="DNA")),$M286:$U286),"")),IFERROR(LOOKUP(2,1/(ISNUMBER($M286:$U286)+($M286:$U286="DNA")),$M286:$U286),"")&lt;TODAY())),1,0)+COUNTIF($V286:$Z286,"&lt;"&amp;TODAY()))</f>
        <v/>
      </c>
      <c r="J286" s="32">
        <f>IF(NOT(AND($A286&lt;&gt;"",OR($G286="",$G286="Active"))),"",COUNTIFS($M286:$U286,"&gt;="&amp;TODAY(),$M286:$U286,"&lt;="&amp;TODAY()+7)+COUNTIFS($V286:$Z286,"&gt;="&amp;TODAY(),$V286:$Z286,"&lt;="&amp;TODAY()+7))</f>
        <v/>
      </c>
      <c r="K286" s="32">
        <f>IF(NOT(AND($A286&lt;&gt;"",OR($G286="",$G286="Active"))),"",IF($L286&lt;&gt;"",IF($L286=$M286,"Booking",INDEX($N$4:$U$4,MATCH($L286,$N286:$U286,0))),IF(IFERROR(LOOKUP(2,1/(ISNUMBER($M286:$U286)+($M286:$U286="DNA")),$M286:$U286),"")="DNA","Rebook DNA",IF(ISNUMBER(IFERROR(LOOKUP(2,1/(ISNUMBER($M286:$U286)+($M286:$U286="DNA")),$M286:$U286),"")),IF(ISNUMBER($U286),"Update status","Missed/not booked?"),""))))</f>
        <v/>
      </c>
      <c r="L286" s="33">
        <f>IF(NOT(AND($A286&lt;&gt;"",OR($G286="",$G286="Active"))),"",IFERROR(SMALL($M286:$U286,COUNTIF($M286:$U286,"&lt;"&amp;TODAY())+1),""))</f>
        <v/>
      </c>
      <c r="M286" s="31" t="n"/>
      <c r="N286" s="31" t="n"/>
      <c r="O286" s="31" t="n"/>
      <c r="P286" s="31" t="n"/>
      <c r="Q286" s="31" t="n"/>
      <c r="R286" s="31" t="n"/>
      <c r="S286" s="31" t="n"/>
      <c r="T286" s="31" t="n"/>
      <c r="U286" s="31" t="n"/>
      <c r="V286" s="31" t="n"/>
      <c r="W286" s="31" t="n"/>
      <c r="X286" s="31" t="n"/>
      <c r="Y286" s="31" t="n"/>
      <c r="Z286" s="31" t="n"/>
      <c r="AA286" s="34" t="n"/>
      <c r="AB286" s="29" t="n"/>
      <c r="AC286" s="31" t="n"/>
    </row>
    <row r="287">
      <c r="A287" s="29" t="n"/>
      <c r="B287" s="30" t="n"/>
      <c r="C287" s="31" t="n"/>
      <c r="D287" s="29" t="n"/>
      <c r="E287" s="29" t="n"/>
      <c r="F287" s="31" t="n"/>
      <c r="G287" s="29" t="n"/>
      <c r="H287" s="32">
        <f>IF(OR(NOT(AND($A287&lt;&gt;"",OR($G287="",$G287="Active"))),$F287=""),"",INT((TODAY()-$F287+280)/7)&amp;"+"&amp;MOD(TODAY()-$F287+280,7))</f>
        <v/>
      </c>
      <c r="I287" s="32">
        <f>IF(NOT(AND($A287&lt;&gt;"",OR($G287="",$G287="Active"))),"",IF(OR(IFERROR(LOOKUP(2,1/(ISNUMBER($M287:$U287)+($M287:$U287="DNA")),$M287:$U287),"")="DNA",AND(ISNUMBER(IFERROR(LOOKUP(2,1/(ISNUMBER($M287:$U287)+($M287:$U287="DNA")),$M287:$U287),"")),IFERROR(LOOKUP(2,1/(ISNUMBER($M287:$U287)+($M287:$U287="DNA")),$M287:$U287),"")&lt;TODAY())),1,0)+COUNTIF($V287:$Z287,"&lt;"&amp;TODAY()))</f>
        <v/>
      </c>
      <c r="J287" s="32">
        <f>IF(NOT(AND($A287&lt;&gt;"",OR($G287="",$G287="Active"))),"",COUNTIFS($M287:$U287,"&gt;="&amp;TODAY(),$M287:$U287,"&lt;="&amp;TODAY()+7)+COUNTIFS($V287:$Z287,"&gt;="&amp;TODAY(),$V287:$Z287,"&lt;="&amp;TODAY()+7))</f>
        <v/>
      </c>
      <c r="K287" s="32">
        <f>IF(NOT(AND($A287&lt;&gt;"",OR($G287="",$G287="Active"))),"",IF($L287&lt;&gt;"",IF($L287=$M287,"Booking",INDEX($N$4:$U$4,MATCH($L287,$N287:$U287,0))),IF(IFERROR(LOOKUP(2,1/(ISNUMBER($M287:$U287)+($M287:$U287="DNA")),$M287:$U287),"")="DNA","Rebook DNA",IF(ISNUMBER(IFERROR(LOOKUP(2,1/(ISNUMBER($M287:$U287)+($M287:$U287="DNA")),$M287:$U287),"")),IF(ISNUMBER($U287),"Update status","Missed/not booked?"),""))))</f>
        <v/>
      </c>
      <c r="L287" s="33">
        <f>IF(NOT(AND($A287&lt;&gt;"",OR($G287="",$G287="Active"))),"",IFERROR(SMALL($M287:$U287,COUNTIF($M287:$U287,"&lt;"&amp;TODAY())+1),""))</f>
        <v/>
      </c>
      <c r="M287" s="31" t="n"/>
      <c r="N287" s="31" t="n"/>
      <c r="O287" s="31" t="n"/>
      <c r="P287" s="31" t="n"/>
      <c r="Q287" s="31" t="n"/>
      <c r="R287" s="31" t="n"/>
      <c r="S287" s="31" t="n"/>
      <c r="T287" s="31" t="n"/>
      <c r="U287" s="31" t="n"/>
      <c r="V287" s="31" t="n"/>
      <c r="W287" s="31" t="n"/>
      <c r="X287" s="31" t="n"/>
      <c r="Y287" s="31" t="n"/>
      <c r="Z287" s="31" t="n"/>
      <c r="AA287" s="34" t="n"/>
      <c r="AB287" s="29" t="n"/>
      <c r="AC287" s="31" t="n"/>
    </row>
    <row r="288">
      <c r="A288" s="29" t="n"/>
      <c r="B288" s="30" t="n"/>
      <c r="C288" s="31" t="n"/>
      <c r="D288" s="29" t="n"/>
      <c r="E288" s="29" t="n"/>
      <c r="F288" s="31" t="n"/>
      <c r="G288" s="29" t="n"/>
      <c r="H288" s="32">
        <f>IF(OR(NOT(AND($A288&lt;&gt;"",OR($G288="",$G288="Active"))),$F288=""),"",INT((TODAY()-$F288+280)/7)&amp;"+"&amp;MOD(TODAY()-$F288+280,7))</f>
        <v/>
      </c>
      <c r="I288" s="32">
        <f>IF(NOT(AND($A288&lt;&gt;"",OR($G288="",$G288="Active"))),"",IF(OR(IFERROR(LOOKUP(2,1/(ISNUMBER($M288:$U288)+($M288:$U288="DNA")),$M288:$U288),"")="DNA",AND(ISNUMBER(IFERROR(LOOKUP(2,1/(ISNUMBER($M288:$U288)+($M288:$U288="DNA")),$M288:$U288),"")),IFERROR(LOOKUP(2,1/(ISNUMBER($M288:$U288)+($M288:$U288="DNA")),$M288:$U288),"")&lt;TODAY())),1,0)+COUNTIF($V288:$Z288,"&lt;"&amp;TODAY()))</f>
        <v/>
      </c>
      <c r="J288" s="32">
        <f>IF(NOT(AND($A288&lt;&gt;"",OR($G288="",$G288="Active"))),"",COUNTIFS($M288:$U288,"&gt;="&amp;TODAY(),$M288:$U288,"&lt;="&amp;TODAY()+7)+COUNTIFS($V288:$Z288,"&gt;="&amp;TODAY(),$V288:$Z288,"&lt;="&amp;TODAY()+7))</f>
        <v/>
      </c>
      <c r="K288" s="32">
        <f>IF(NOT(AND($A288&lt;&gt;"",OR($G288="",$G288="Active"))),"",IF($L288&lt;&gt;"",IF($L288=$M288,"Booking",INDEX($N$4:$U$4,MATCH($L288,$N288:$U288,0))),IF(IFERROR(LOOKUP(2,1/(ISNUMBER($M288:$U288)+($M288:$U288="DNA")),$M288:$U288),"")="DNA","Rebook DNA",IF(ISNUMBER(IFERROR(LOOKUP(2,1/(ISNUMBER($M288:$U288)+($M288:$U288="DNA")),$M288:$U288),"")),IF(ISNUMBER($U288),"Update status","Missed/not booked?"),""))))</f>
        <v/>
      </c>
      <c r="L288" s="33">
        <f>IF(NOT(AND($A288&lt;&gt;"",OR($G288="",$G288="Active"))),"",IFERROR(SMALL($M288:$U288,COUNTIF($M288:$U288,"&lt;"&amp;TODAY())+1),""))</f>
        <v/>
      </c>
      <c r="M288" s="31" t="n"/>
      <c r="N288" s="31" t="n"/>
      <c r="O288" s="31" t="n"/>
      <c r="P288" s="31" t="n"/>
      <c r="Q288" s="31" t="n"/>
      <c r="R288" s="31" t="n"/>
      <c r="S288" s="31" t="n"/>
      <c r="T288" s="31" t="n"/>
      <c r="U288" s="31" t="n"/>
      <c r="V288" s="31" t="n"/>
      <c r="W288" s="31" t="n"/>
      <c r="X288" s="31" t="n"/>
      <c r="Y288" s="31" t="n"/>
      <c r="Z288" s="31" t="n"/>
      <c r="AA288" s="34" t="n"/>
      <c r="AB288" s="29" t="n"/>
      <c r="AC288" s="31" t="n"/>
    </row>
    <row r="289">
      <c r="A289" s="29" t="n"/>
      <c r="B289" s="30" t="n"/>
      <c r="C289" s="31" t="n"/>
      <c r="D289" s="29" t="n"/>
      <c r="E289" s="29" t="n"/>
      <c r="F289" s="31" t="n"/>
      <c r="G289" s="29" t="n"/>
      <c r="H289" s="32">
        <f>IF(OR(NOT(AND($A289&lt;&gt;"",OR($G289="",$G289="Active"))),$F289=""),"",INT((TODAY()-$F289+280)/7)&amp;"+"&amp;MOD(TODAY()-$F289+280,7))</f>
        <v/>
      </c>
      <c r="I289" s="32">
        <f>IF(NOT(AND($A289&lt;&gt;"",OR($G289="",$G289="Active"))),"",IF(OR(IFERROR(LOOKUP(2,1/(ISNUMBER($M289:$U289)+($M289:$U289="DNA")),$M289:$U289),"")="DNA",AND(ISNUMBER(IFERROR(LOOKUP(2,1/(ISNUMBER($M289:$U289)+($M289:$U289="DNA")),$M289:$U289),"")),IFERROR(LOOKUP(2,1/(ISNUMBER($M289:$U289)+($M289:$U289="DNA")),$M289:$U289),"")&lt;TODAY())),1,0)+COUNTIF($V289:$Z289,"&lt;"&amp;TODAY()))</f>
        <v/>
      </c>
      <c r="J289" s="32">
        <f>IF(NOT(AND($A289&lt;&gt;"",OR($G289="",$G289="Active"))),"",COUNTIFS($M289:$U289,"&gt;="&amp;TODAY(),$M289:$U289,"&lt;="&amp;TODAY()+7)+COUNTIFS($V289:$Z289,"&gt;="&amp;TODAY(),$V289:$Z289,"&lt;="&amp;TODAY()+7))</f>
        <v/>
      </c>
      <c r="K289" s="32">
        <f>IF(NOT(AND($A289&lt;&gt;"",OR($G289="",$G289="Active"))),"",IF($L289&lt;&gt;"",IF($L289=$M289,"Booking",INDEX($N$4:$U$4,MATCH($L289,$N289:$U289,0))),IF(IFERROR(LOOKUP(2,1/(ISNUMBER($M289:$U289)+($M289:$U289="DNA")),$M289:$U289),"")="DNA","Rebook DNA",IF(ISNUMBER(IFERROR(LOOKUP(2,1/(ISNUMBER($M289:$U289)+($M289:$U289="DNA")),$M289:$U289),"")),IF(ISNUMBER($U289),"Update status","Missed/not booked?"),""))))</f>
        <v/>
      </c>
      <c r="L289" s="33">
        <f>IF(NOT(AND($A289&lt;&gt;"",OR($G289="",$G289="Active"))),"",IFERROR(SMALL($M289:$U289,COUNTIF($M289:$U289,"&lt;"&amp;TODAY())+1),""))</f>
        <v/>
      </c>
      <c r="M289" s="31" t="n"/>
      <c r="N289" s="31" t="n"/>
      <c r="O289" s="31" t="n"/>
      <c r="P289" s="31" t="n"/>
      <c r="Q289" s="31" t="n"/>
      <c r="R289" s="31" t="n"/>
      <c r="S289" s="31" t="n"/>
      <c r="T289" s="31" t="n"/>
      <c r="U289" s="31" t="n"/>
      <c r="V289" s="31" t="n"/>
      <c r="W289" s="31" t="n"/>
      <c r="X289" s="31" t="n"/>
      <c r="Y289" s="31" t="n"/>
      <c r="Z289" s="31" t="n"/>
      <c r="AA289" s="34" t="n"/>
      <c r="AB289" s="29" t="n"/>
      <c r="AC289" s="31" t="n"/>
    </row>
    <row r="290">
      <c r="A290" s="29" t="n"/>
      <c r="B290" s="30" t="n"/>
      <c r="C290" s="31" t="n"/>
      <c r="D290" s="29" t="n"/>
      <c r="E290" s="29" t="n"/>
      <c r="F290" s="31" t="n"/>
      <c r="G290" s="29" t="n"/>
      <c r="H290" s="32">
        <f>IF(OR(NOT(AND($A290&lt;&gt;"",OR($G290="",$G290="Active"))),$F290=""),"",INT((TODAY()-$F290+280)/7)&amp;"+"&amp;MOD(TODAY()-$F290+280,7))</f>
        <v/>
      </c>
      <c r="I290" s="32">
        <f>IF(NOT(AND($A290&lt;&gt;"",OR($G290="",$G290="Active"))),"",IF(OR(IFERROR(LOOKUP(2,1/(ISNUMBER($M290:$U290)+($M290:$U290="DNA")),$M290:$U290),"")="DNA",AND(ISNUMBER(IFERROR(LOOKUP(2,1/(ISNUMBER($M290:$U290)+($M290:$U290="DNA")),$M290:$U290),"")),IFERROR(LOOKUP(2,1/(ISNUMBER($M290:$U290)+($M290:$U290="DNA")),$M290:$U290),"")&lt;TODAY())),1,0)+COUNTIF($V290:$Z290,"&lt;"&amp;TODAY()))</f>
        <v/>
      </c>
      <c r="J290" s="32">
        <f>IF(NOT(AND($A290&lt;&gt;"",OR($G290="",$G290="Active"))),"",COUNTIFS($M290:$U290,"&gt;="&amp;TODAY(),$M290:$U290,"&lt;="&amp;TODAY()+7)+COUNTIFS($V290:$Z290,"&gt;="&amp;TODAY(),$V290:$Z290,"&lt;="&amp;TODAY()+7))</f>
        <v/>
      </c>
      <c r="K290" s="32">
        <f>IF(NOT(AND($A290&lt;&gt;"",OR($G290="",$G290="Active"))),"",IF($L290&lt;&gt;"",IF($L290=$M290,"Booking",INDEX($N$4:$U$4,MATCH($L290,$N290:$U290,0))),IF(IFERROR(LOOKUP(2,1/(ISNUMBER($M290:$U290)+($M290:$U290="DNA")),$M290:$U290),"")="DNA","Rebook DNA",IF(ISNUMBER(IFERROR(LOOKUP(2,1/(ISNUMBER($M290:$U290)+($M290:$U290="DNA")),$M290:$U290),"")),IF(ISNUMBER($U290),"Update status","Missed/not booked?"),""))))</f>
        <v/>
      </c>
      <c r="L290" s="33">
        <f>IF(NOT(AND($A290&lt;&gt;"",OR($G290="",$G290="Active"))),"",IFERROR(SMALL($M290:$U290,COUNTIF($M290:$U290,"&lt;"&amp;TODAY())+1),""))</f>
        <v/>
      </c>
      <c r="M290" s="31" t="n"/>
      <c r="N290" s="31" t="n"/>
      <c r="O290" s="31" t="n"/>
      <c r="P290" s="31" t="n"/>
      <c r="Q290" s="31" t="n"/>
      <c r="R290" s="31" t="n"/>
      <c r="S290" s="31" t="n"/>
      <c r="T290" s="31" t="n"/>
      <c r="U290" s="31" t="n"/>
      <c r="V290" s="31" t="n"/>
      <c r="W290" s="31" t="n"/>
      <c r="X290" s="31" t="n"/>
      <c r="Y290" s="31" t="n"/>
      <c r="Z290" s="31" t="n"/>
      <c r="AA290" s="34" t="n"/>
      <c r="AB290" s="29" t="n"/>
      <c r="AC290" s="31" t="n"/>
    </row>
    <row r="291">
      <c r="A291" s="29" t="n"/>
      <c r="B291" s="30" t="n"/>
      <c r="C291" s="31" t="n"/>
      <c r="D291" s="29" t="n"/>
      <c r="E291" s="29" t="n"/>
      <c r="F291" s="31" t="n"/>
      <c r="G291" s="29" t="n"/>
      <c r="H291" s="32">
        <f>IF(OR(NOT(AND($A291&lt;&gt;"",OR($G291="",$G291="Active"))),$F291=""),"",INT((TODAY()-$F291+280)/7)&amp;"+"&amp;MOD(TODAY()-$F291+280,7))</f>
        <v/>
      </c>
      <c r="I291" s="32">
        <f>IF(NOT(AND($A291&lt;&gt;"",OR($G291="",$G291="Active"))),"",IF(OR(IFERROR(LOOKUP(2,1/(ISNUMBER($M291:$U291)+($M291:$U291="DNA")),$M291:$U291),"")="DNA",AND(ISNUMBER(IFERROR(LOOKUP(2,1/(ISNUMBER($M291:$U291)+($M291:$U291="DNA")),$M291:$U291),"")),IFERROR(LOOKUP(2,1/(ISNUMBER($M291:$U291)+($M291:$U291="DNA")),$M291:$U291),"")&lt;TODAY())),1,0)+COUNTIF($V291:$Z291,"&lt;"&amp;TODAY()))</f>
        <v/>
      </c>
      <c r="J291" s="32">
        <f>IF(NOT(AND($A291&lt;&gt;"",OR($G291="",$G291="Active"))),"",COUNTIFS($M291:$U291,"&gt;="&amp;TODAY(),$M291:$U291,"&lt;="&amp;TODAY()+7)+COUNTIFS($V291:$Z291,"&gt;="&amp;TODAY(),$V291:$Z291,"&lt;="&amp;TODAY()+7))</f>
        <v/>
      </c>
      <c r="K291" s="32">
        <f>IF(NOT(AND($A291&lt;&gt;"",OR($G291="",$G291="Active"))),"",IF($L291&lt;&gt;"",IF($L291=$M291,"Booking",INDEX($N$4:$U$4,MATCH($L291,$N291:$U291,0))),IF(IFERROR(LOOKUP(2,1/(ISNUMBER($M291:$U291)+($M291:$U291="DNA")),$M291:$U291),"")="DNA","Rebook DNA",IF(ISNUMBER(IFERROR(LOOKUP(2,1/(ISNUMBER($M291:$U291)+($M291:$U291="DNA")),$M291:$U291),"")),IF(ISNUMBER($U291),"Update status","Missed/not booked?"),""))))</f>
        <v/>
      </c>
      <c r="L291" s="33">
        <f>IF(NOT(AND($A291&lt;&gt;"",OR($G291="",$G291="Active"))),"",IFERROR(SMALL($M291:$U291,COUNTIF($M291:$U291,"&lt;"&amp;TODAY())+1),""))</f>
        <v/>
      </c>
      <c r="M291" s="31" t="n"/>
      <c r="N291" s="31" t="n"/>
      <c r="O291" s="31" t="n"/>
      <c r="P291" s="31" t="n"/>
      <c r="Q291" s="31" t="n"/>
      <c r="R291" s="31" t="n"/>
      <c r="S291" s="31" t="n"/>
      <c r="T291" s="31" t="n"/>
      <c r="U291" s="31" t="n"/>
      <c r="V291" s="31" t="n"/>
      <c r="W291" s="31" t="n"/>
      <c r="X291" s="31" t="n"/>
      <c r="Y291" s="31" t="n"/>
      <c r="Z291" s="31" t="n"/>
      <c r="AA291" s="34" t="n"/>
      <c r="AB291" s="29" t="n"/>
      <c r="AC291" s="31" t="n"/>
    </row>
    <row r="292">
      <c r="A292" s="29" t="n"/>
      <c r="B292" s="30" t="n"/>
      <c r="C292" s="31" t="n"/>
      <c r="D292" s="29" t="n"/>
      <c r="E292" s="29" t="n"/>
      <c r="F292" s="31" t="n"/>
      <c r="G292" s="29" t="n"/>
      <c r="H292" s="32">
        <f>IF(OR(NOT(AND($A292&lt;&gt;"",OR($G292="",$G292="Active"))),$F292=""),"",INT((TODAY()-$F292+280)/7)&amp;"+"&amp;MOD(TODAY()-$F292+280,7))</f>
        <v/>
      </c>
      <c r="I292" s="32">
        <f>IF(NOT(AND($A292&lt;&gt;"",OR($G292="",$G292="Active"))),"",IF(OR(IFERROR(LOOKUP(2,1/(ISNUMBER($M292:$U292)+($M292:$U292="DNA")),$M292:$U292),"")="DNA",AND(ISNUMBER(IFERROR(LOOKUP(2,1/(ISNUMBER($M292:$U292)+($M292:$U292="DNA")),$M292:$U292),"")),IFERROR(LOOKUP(2,1/(ISNUMBER($M292:$U292)+($M292:$U292="DNA")),$M292:$U292),"")&lt;TODAY())),1,0)+COUNTIF($V292:$Z292,"&lt;"&amp;TODAY()))</f>
        <v/>
      </c>
      <c r="J292" s="32">
        <f>IF(NOT(AND($A292&lt;&gt;"",OR($G292="",$G292="Active"))),"",COUNTIFS($M292:$U292,"&gt;="&amp;TODAY(),$M292:$U292,"&lt;="&amp;TODAY()+7)+COUNTIFS($V292:$Z292,"&gt;="&amp;TODAY(),$V292:$Z292,"&lt;="&amp;TODAY()+7))</f>
        <v/>
      </c>
      <c r="K292" s="32">
        <f>IF(NOT(AND($A292&lt;&gt;"",OR($G292="",$G292="Active"))),"",IF($L292&lt;&gt;"",IF($L292=$M292,"Booking",INDEX($N$4:$U$4,MATCH($L292,$N292:$U292,0))),IF(IFERROR(LOOKUP(2,1/(ISNUMBER($M292:$U292)+($M292:$U292="DNA")),$M292:$U292),"")="DNA","Rebook DNA",IF(ISNUMBER(IFERROR(LOOKUP(2,1/(ISNUMBER($M292:$U292)+($M292:$U292="DNA")),$M292:$U292),"")),IF(ISNUMBER($U292),"Update status","Missed/not booked?"),""))))</f>
        <v/>
      </c>
      <c r="L292" s="33">
        <f>IF(NOT(AND($A292&lt;&gt;"",OR($G292="",$G292="Active"))),"",IFERROR(SMALL($M292:$U292,COUNTIF($M292:$U292,"&lt;"&amp;TODAY())+1),""))</f>
        <v/>
      </c>
      <c r="M292" s="31" t="n"/>
      <c r="N292" s="31" t="n"/>
      <c r="O292" s="31" t="n"/>
      <c r="P292" s="31" t="n"/>
      <c r="Q292" s="31" t="n"/>
      <c r="R292" s="31" t="n"/>
      <c r="S292" s="31" t="n"/>
      <c r="T292" s="31" t="n"/>
      <c r="U292" s="31" t="n"/>
      <c r="V292" s="31" t="n"/>
      <c r="W292" s="31" t="n"/>
      <c r="X292" s="31" t="n"/>
      <c r="Y292" s="31" t="n"/>
      <c r="Z292" s="31" t="n"/>
      <c r="AA292" s="34" t="n"/>
      <c r="AB292" s="29" t="n"/>
      <c r="AC292" s="31" t="n"/>
    </row>
    <row r="293">
      <c r="A293" s="29" t="n"/>
      <c r="B293" s="30" t="n"/>
      <c r="C293" s="31" t="n"/>
      <c r="D293" s="29" t="n"/>
      <c r="E293" s="29" t="n"/>
      <c r="F293" s="31" t="n"/>
      <c r="G293" s="29" t="n"/>
      <c r="H293" s="32">
        <f>IF(OR(NOT(AND($A293&lt;&gt;"",OR($G293="",$G293="Active"))),$F293=""),"",INT((TODAY()-$F293+280)/7)&amp;"+"&amp;MOD(TODAY()-$F293+280,7))</f>
        <v/>
      </c>
      <c r="I293" s="32">
        <f>IF(NOT(AND($A293&lt;&gt;"",OR($G293="",$G293="Active"))),"",IF(OR(IFERROR(LOOKUP(2,1/(ISNUMBER($M293:$U293)+($M293:$U293="DNA")),$M293:$U293),"")="DNA",AND(ISNUMBER(IFERROR(LOOKUP(2,1/(ISNUMBER($M293:$U293)+($M293:$U293="DNA")),$M293:$U293),"")),IFERROR(LOOKUP(2,1/(ISNUMBER($M293:$U293)+($M293:$U293="DNA")),$M293:$U293),"")&lt;TODAY())),1,0)+COUNTIF($V293:$Z293,"&lt;"&amp;TODAY()))</f>
        <v/>
      </c>
      <c r="J293" s="32">
        <f>IF(NOT(AND($A293&lt;&gt;"",OR($G293="",$G293="Active"))),"",COUNTIFS($M293:$U293,"&gt;="&amp;TODAY(),$M293:$U293,"&lt;="&amp;TODAY()+7)+COUNTIFS($V293:$Z293,"&gt;="&amp;TODAY(),$V293:$Z293,"&lt;="&amp;TODAY()+7))</f>
        <v/>
      </c>
      <c r="K293" s="32">
        <f>IF(NOT(AND($A293&lt;&gt;"",OR($G293="",$G293="Active"))),"",IF($L293&lt;&gt;"",IF($L293=$M293,"Booking",INDEX($N$4:$U$4,MATCH($L293,$N293:$U293,0))),IF(IFERROR(LOOKUP(2,1/(ISNUMBER($M293:$U293)+($M293:$U293="DNA")),$M293:$U293),"")="DNA","Rebook DNA",IF(ISNUMBER(IFERROR(LOOKUP(2,1/(ISNUMBER($M293:$U293)+($M293:$U293="DNA")),$M293:$U293),"")),IF(ISNUMBER($U293),"Update status","Missed/not booked?"),""))))</f>
        <v/>
      </c>
      <c r="L293" s="33">
        <f>IF(NOT(AND($A293&lt;&gt;"",OR($G293="",$G293="Active"))),"",IFERROR(SMALL($M293:$U293,COUNTIF($M293:$U293,"&lt;"&amp;TODAY())+1),""))</f>
        <v/>
      </c>
      <c r="M293" s="31" t="n"/>
      <c r="N293" s="31" t="n"/>
      <c r="O293" s="31" t="n"/>
      <c r="P293" s="31" t="n"/>
      <c r="Q293" s="31" t="n"/>
      <c r="R293" s="31" t="n"/>
      <c r="S293" s="31" t="n"/>
      <c r="T293" s="31" t="n"/>
      <c r="U293" s="31" t="n"/>
      <c r="V293" s="31" t="n"/>
      <c r="W293" s="31" t="n"/>
      <c r="X293" s="31" t="n"/>
      <c r="Y293" s="31" t="n"/>
      <c r="Z293" s="31" t="n"/>
      <c r="AA293" s="34" t="n"/>
      <c r="AB293" s="29" t="n"/>
      <c r="AC293" s="31" t="n"/>
    </row>
    <row r="294">
      <c r="A294" s="29" t="n"/>
      <c r="B294" s="30" t="n"/>
      <c r="C294" s="31" t="n"/>
      <c r="D294" s="29" t="n"/>
      <c r="E294" s="29" t="n"/>
      <c r="F294" s="31" t="n"/>
      <c r="G294" s="29" t="n"/>
      <c r="H294" s="32">
        <f>IF(OR(NOT(AND($A294&lt;&gt;"",OR($G294="",$G294="Active"))),$F294=""),"",INT((TODAY()-$F294+280)/7)&amp;"+"&amp;MOD(TODAY()-$F294+280,7))</f>
        <v/>
      </c>
      <c r="I294" s="32">
        <f>IF(NOT(AND($A294&lt;&gt;"",OR($G294="",$G294="Active"))),"",IF(OR(IFERROR(LOOKUP(2,1/(ISNUMBER($M294:$U294)+($M294:$U294="DNA")),$M294:$U294),"")="DNA",AND(ISNUMBER(IFERROR(LOOKUP(2,1/(ISNUMBER($M294:$U294)+($M294:$U294="DNA")),$M294:$U294),"")),IFERROR(LOOKUP(2,1/(ISNUMBER($M294:$U294)+($M294:$U294="DNA")),$M294:$U294),"")&lt;TODAY())),1,0)+COUNTIF($V294:$Z294,"&lt;"&amp;TODAY()))</f>
        <v/>
      </c>
      <c r="J294" s="32">
        <f>IF(NOT(AND($A294&lt;&gt;"",OR($G294="",$G294="Active"))),"",COUNTIFS($M294:$U294,"&gt;="&amp;TODAY(),$M294:$U294,"&lt;="&amp;TODAY()+7)+COUNTIFS($V294:$Z294,"&gt;="&amp;TODAY(),$V294:$Z294,"&lt;="&amp;TODAY()+7))</f>
        <v/>
      </c>
      <c r="K294" s="32">
        <f>IF(NOT(AND($A294&lt;&gt;"",OR($G294="",$G294="Active"))),"",IF($L294&lt;&gt;"",IF($L294=$M294,"Booking",INDEX($N$4:$U$4,MATCH($L294,$N294:$U294,0))),IF(IFERROR(LOOKUP(2,1/(ISNUMBER($M294:$U294)+($M294:$U294="DNA")),$M294:$U294),"")="DNA","Rebook DNA",IF(ISNUMBER(IFERROR(LOOKUP(2,1/(ISNUMBER($M294:$U294)+($M294:$U294="DNA")),$M294:$U294),"")),IF(ISNUMBER($U294),"Update status","Missed/not booked?"),""))))</f>
        <v/>
      </c>
      <c r="L294" s="33">
        <f>IF(NOT(AND($A294&lt;&gt;"",OR($G294="",$G294="Active"))),"",IFERROR(SMALL($M294:$U294,COUNTIF($M294:$U294,"&lt;"&amp;TODAY())+1),""))</f>
        <v/>
      </c>
      <c r="M294" s="31" t="n"/>
      <c r="N294" s="31" t="n"/>
      <c r="O294" s="31" t="n"/>
      <c r="P294" s="31" t="n"/>
      <c r="Q294" s="31" t="n"/>
      <c r="R294" s="31" t="n"/>
      <c r="S294" s="31" t="n"/>
      <c r="T294" s="31" t="n"/>
      <c r="U294" s="31" t="n"/>
      <c r="V294" s="31" t="n"/>
      <c r="W294" s="31" t="n"/>
      <c r="X294" s="31" t="n"/>
      <c r="Y294" s="31" t="n"/>
      <c r="Z294" s="31" t="n"/>
      <c r="AA294" s="34" t="n"/>
      <c r="AB294" s="29" t="n"/>
      <c r="AC294" s="31" t="n"/>
    </row>
    <row r="295">
      <c r="A295" s="29" t="n"/>
      <c r="B295" s="30" t="n"/>
      <c r="C295" s="31" t="n"/>
      <c r="D295" s="29" t="n"/>
      <c r="E295" s="29" t="n"/>
      <c r="F295" s="31" t="n"/>
      <c r="G295" s="29" t="n"/>
      <c r="H295" s="32">
        <f>IF(OR(NOT(AND($A295&lt;&gt;"",OR($G295="",$G295="Active"))),$F295=""),"",INT((TODAY()-$F295+280)/7)&amp;"+"&amp;MOD(TODAY()-$F295+280,7))</f>
        <v/>
      </c>
      <c r="I295" s="32">
        <f>IF(NOT(AND($A295&lt;&gt;"",OR($G295="",$G295="Active"))),"",IF(OR(IFERROR(LOOKUP(2,1/(ISNUMBER($M295:$U295)+($M295:$U295="DNA")),$M295:$U295),"")="DNA",AND(ISNUMBER(IFERROR(LOOKUP(2,1/(ISNUMBER($M295:$U295)+($M295:$U295="DNA")),$M295:$U295),"")),IFERROR(LOOKUP(2,1/(ISNUMBER($M295:$U295)+($M295:$U295="DNA")),$M295:$U295),"")&lt;TODAY())),1,0)+COUNTIF($V295:$Z295,"&lt;"&amp;TODAY()))</f>
        <v/>
      </c>
      <c r="J295" s="32">
        <f>IF(NOT(AND($A295&lt;&gt;"",OR($G295="",$G295="Active"))),"",COUNTIFS($M295:$U295,"&gt;="&amp;TODAY(),$M295:$U295,"&lt;="&amp;TODAY()+7)+COUNTIFS($V295:$Z295,"&gt;="&amp;TODAY(),$V295:$Z295,"&lt;="&amp;TODAY()+7))</f>
        <v/>
      </c>
      <c r="K295" s="32">
        <f>IF(NOT(AND($A295&lt;&gt;"",OR($G295="",$G295="Active"))),"",IF($L295&lt;&gt;"",IF($L295=$M295,"Booking",INDEX($N$4:$U$4,MATCH($L295,$N295:$U295,0))),IF(IFERROR(LOOKUP(2,1/(ISNUMBER($M295:$U295)+($M295:$U295="DNA")),$M295:$U295),"")="DNA","Rebook DNA",IF(ISNUMBER(IFERROR(LOOKUP(2,1/(ISNUMBER($M295:$U295)+($M295:$U295="DNA")),$M295:$U295),"")),IF(ISNUMBER($U295),"Update status","Missed/not booked?"),""))))</f>
        <v/>
      </c>
      <c r="L295" s="33">
        <f>IF(NOT(AND($A295&lt;&gt;"",OR($G295="",$G295="Active"))),"",IFERROR(SMALL($M295:$U295,COUNTIF($M295:$U295,"&lt;"&amp;TODAY())+1),""))</f>
        <v/>
      </c>
      <c r="M295" s="31" t="n"/>
      <c r="N295" s="31" t="n"/>
      <c r="O295" s="31" t="n"/>
      <c r="P295" s="31" t="n"/>
      <c r="Q295" s="31" t="n"/>
      <c r="R295" s="31" t="n"/>
      <c r="S295" s="31" t="n"/>
      <c r="T295" s="31" t="n"/>
      <c r="U295" s="31" t="n"/>
      <c r="V295" s="31" t="n"/>
      <c r="W295" s="31" t="n"/>
      <c r="X295" s="31" t="n"/>
      <c r="Y295" s="31" t="n"/>
      <c r="Z295" s="31" t="n"/>
      <c r="AA295" s="34" t="n"/>
      <c r="AB295" s="29" t="n"/>
      <c r="AC295" s="31" t="n"/>
    </row>
    <row r="296">
      <c r="A296" s="29" t="n"/>
      <c r="B296" s="30" t="n"/>
      <c r="C296" s="31" t="n"/>
      <c r="D296" s="29" t="n"/>
      <c r="E296" s="29" t="n"/>
      <c r="F296" s="31" t="n"/>
      <c r="G296" s="29" t="n"/>
      <c r="H296" s="32">
        <f>IF(OR(NOT(AND($A296&lt;&gt;"",OR($G296="",$G296="Active"))),$F296=""),"",INT((TODAY()-$F296+280)/7)&amp;"+"&amp;MOD(TODAY()-$F296+280,7))</f>
        <v/>
      </c>
      <c r="I296" s="32">
        <f>IF(NOT(AND($A296&lt;&gt;"",OR($G296="",$G296="Active"))),"",IF(OR(IFERROR(LOOKUP(2,1/(ISNUMBER($M296:$U296)+($M296:$U296="DNA")),$M296:$U296),"")="DNA",AND(ISNUMBER(IFERROR(LOOKUP(2,1/(ISNUMBER($M296:$U296)+($M296:$U296="DNA")),$M296:$U296),"")),IFERROR(LOOKUP(2,1/(ISNUMBER($M296:$U296)+($M296:$U296="DNA")),$M296:$U296),"")&lt;TODAY())),1,0)+COUNTIF($V296:$Z296,"&lt;"&amp;TODAY()))</f>
        <v/>
      </c>
      <c r="J296" s="32">
        <f>IF(NOT(AND($A296&lt;&gt;"",OR($G296="",$G296="Active"))),"",COUNTIFS($M296:$U296,"&gt;="&amp;TODAY(),$M296:$U296,"&lt;="&amp;TODAY()+7)+COUNTIFS($V296:$Z296,"&gt;="&amp;TODAY(),$V296:$Z296,"&lt;="&amp;TODAY()+7))</f>
        <v/>
      </c>
      <c r="K296" s="32">
        <f>IF(NOT(AND($A296&lt;&gt;"",OR($G296="",$G296="Active"))),"",IF($L296&lt;&gt;"",IF($L296=$M296,"Booking",INDEX($N$4:$U$4,MATCH($L296,$N296:$U296,0))),IF(IFERROR(LOOKUP(2,1/(ISNUMBER($M296:$U296)+($M296:$U296="DNA")),$M296:$U296),"")="DNA","Rebook DNA",IF(ISNUMBER(IFERROR(LOOKUP(2,1/(ISNUMBER($M296:$U296)+($M296:$U296="DNA")),$M296:$U296),"")),IF(ISNUMBER($U296),"Update status","Missed/not booked?"),""))))</f>
        <v/>
      </c>
      <c r="L296" s="33">
        <f>IF(NOT(AND($A296&lt;&gt;"",OR($G296="",$G296="Active"))),"",IFERROR(SMALL($M296:$U296,COUNTIF($M296:$U296,"&lt;"&amp;TODAY())+1),""))</f>
        <v/>
      </c>
      <c r="M296" s="31" t="n"/>
      <c r="N296" s="31" t="n"/>
      <c r="O296" s="31" t="n"/>
      <c r="P296" s="31" t="n"/>
      <c r="Q296" s="31" t="n"/>
      <c r="R296" s="31" t="n"/>
      <c r="S296" s="31" t="n"/>
      <c r="T296" s="31" t="n"/>
      <c r="U296" s="31" t="n"/>
      <c r="V296" s="31" t="n"/>
      <c r="W296" s="31" t="n"/>
      <c r="X296" s="31" t="n"/>
      <c r="Y296" s="31" t="n"/>
      <c r="Z296" s="31" t="n"/>
      <c r="AA296" s="34" t="n"/>
      <c r="AB296" s="29" t="n"/>
      <c r="AC296" s="31" t="n"/>
    </row>
    <row r="297">
      <c r="A297" s="29" t="n"/>
      <c r="B297" s="30" t="n"/>
      <c r="C297" s="31" t="n"/>
      <c r="D297" s="29" t="n"/>
      <c r="E297" s="29" t="n"/>
      <c r="F297" s="31" t="n"/>
      <c r="G297" s="29" t="n"/>
      <c r="H297" s="32">
        <f>IF(OR(NOT(AND($A297&lt;&gt;"",OR($G297="",$G297="Active"))),$F297=""),"",INT((TODAY()-$F297+280)/7)&amp;"+"&amp;MOD(TODAY()-$F297+280,7))</f>
        <v/>
      </c>
      <c r="I297" s="32">
        <f>IF(NOT(AND($A297&lt;&gt;"",OR($G297="",$G297="Active"))),"",IF(OR(IFERROR(LOOKUP(2,1/(ISNUMBER($M297:$U297)+($M297:$U297="DNA")),$M297:$U297),"")="DNA",AND(ISNUMBER(IFERROR(LOOKUP(2,1/(ISNUMBER($M297:$U297)+($M297:$U297="DNA")),$M297:$U297),"")),IFERROR(LOOKUP(2,1/(ISNUMBER($M297:$U297)+($M297:$U297="DNA")),$M297:$U297),"")&lt;TODAY())),1,0)+COUNTIF($V297:$Z297,"&lt;"&amp;TODAY()))</f>
        <v/>
      </c>
      <c r="J297" s="32">
        <f>IF(NOT(AND($A297&lt;&gt;"",OR($G297="",$G297="Active"))),"",COUNTIFS($M297:$U297,"&gt;="&amp;TODAY(),$M297:$U297,"&lt;="&amp;TODAY()+7)+COUNTIFS($V297:$Z297,"&gt;="&amp;TODAY(),$V297:$Z297,"&lt;="&amp;TODAY()+7))</f>
        <v/>
      </c>
      <c r="K297" s="32">
        <f>IF(NOT(AND($A297&lt;&gt;"",OR($G297="",$G297="Active"))),"",IF($L297&lt;&gt;"",IF($L297=$M297,"Booking",INDEX($N$4:$U$4,MATCH($L297,$N297:$U297,0))),IF(IFERROR(LOOKUP(2,1/(ISNUMBER($M297:$U297)+($M297:$U297="DNA")),$M297:$U297),"")="DNA","Rebook DNA",IF(ISNUMBER(IFERROR(LOOKUP(2,1/(ISNUMBER($M297:$U297)+($M297:$U297="DNA")),$M297:$U297),"")),IF(ISNUMBER($U297),"Update status","Missed/not booked?"),""))))</f>
        <v/>
      </c>
      <c r="L297" s="33">
        <f>IF(NOT(AND($A297&lt;&gt;"",OR($G297="",$G297="Active"))),"",IFERROR(SMALL($M297:$U297,COUNTIF($M297:$U297,"&lt;"&amp;TODAY())+1),""))</f>
        <v/>
      </c>
      <c r="M297" s="31" t="n"/>
      <c r="N297" s="31" t="n"/>
      <c r="O297" s="31" t="n"/>
      <c r="P297" s="31" t="n"/>
      <c r="Q297" s="31" t="n"/>
      <c r="R297" s="31" t="n"/>
      <c r="S297" s="31" t="n"/>
      <c r="T297" s="31" t="n"/>
      <c r="U297" s="31" t="n"/>
      <c r="V297" s="31" t="n"/>
      <c r="W297" s="31" t="n"/>
      <c r="X297" s="31" t="n"/>
      <c r="Y297" s="31" t="n"/>
      <c r="Z297" s="31" t="n"/>
      <c r="AA297" s="34" t="n"/>
      <c r="AB297" s="29" t="n"/>
      <c r="AC297" s="31" t="n"/>
    </row>
    <row r="298">
      <c r="A298" s="29" t="n"/>
      <c r="B298" s="30" t="n"/>
      <c r="C298" s="31" t="n"/>
      <c r="D298" s="29" t="n"/>
      <c r="E298" s="29" t="n"/>
      <c r="F298" s="31" t="n"/>
      <c r="G298" s="29" t="n"/>
      <c r="H298" s="32">
        <f>IF(OR(NOT(AND($A298&lt;&gt;"",OR($G298="",$G298="Active"))),$F298=""),"",INT((TODAY()-$F298+280)/7)&amp;"+"&amp;MOD(TODAY()-$F298+280,7))</f>
        <v/>
      </c>
      <c r="I298" s="32">
        <f>IF(NOT(AND($A298&lt;&gt;"",OR($G298="",$G298="Active"))),"",IF(OR(IFERROR(LOOKUP(2,1/(ISNUMBER($M298:$U298)+($M298:$U298="DNA")),$M298:$U298),"")="DNA",AND(ISNUMBER(IFERROR(LOOKUP(2,1/(ISNUMBER($M298:$U298)+($M298:$U298="DNA")),$M298:$U298),"")),IFERROR(LOOKUP(2,1/(ISNUMBER($M298:$U298)+($M298:$U298="DNA")),$M298:$U298),"")&lt;TODAY())),1,0)+COUNTIF($V298:$Z298,"&lt;"&amp;TODAY()))</f>
        <v/>
      </c>
      <c r="J298" s="32">
        <f>IF(NOT(AND($A298&lt;&gt;"",OR($G298="",$G298="Active"))),"",COUNTIFS($M298:$U298,"&gt;="&amp;TODAY(),$M298:$U298,"&lt;="&amp;TODAY()+7)+COUNTIFS($V298:$Z298,"&gt;="&amp;TODAY(),$V298:$Z298,"&lt;="&amp;TODAY()+7))</f>
        <v/>
      </c>
      <c r="K298" s="32">
        <f>IF(NOT(AND($A298&lt;&gt;"",OR($G298="",$G298="Active"))),"",IF($L298&lt;&gt;"",IF($L298=$M298,"Booking",INDEX($N$4:$U$4,MATCH($L298,$N298:$U298,0))),IF(IFERROR(LOOKUP(2,1/(ISNUMBER($M298:$U298)+($M298:$U298="DNA")),$M298:$U298),"")="DNA","Rebook DNA",IF(ISNUMBER(IFERROR(LOOKUP(2,1/(ISNUMBER($M298:$U298)+($M298:$U298="DNA")),$M298:$U298),"")),IF(ISNUMBER($U298),"Update status","Missed/not booked?"),""))))</f>
        <v/>
      </c>
      <c r="L298" s="33">
        <f>IF(NOT(AND($A298&lt;&gt;"",OR($G298="",$G298="Active"))),"",IFERROR(SMALL($M298:$U298,COUNTIF($M298:$U298,"&lt;"&amp;TODAY())+1),""))</f>
        <v/>
      </c>
      <c r="M298" s="31" t="n"/>
      <c r="N298" s="31" t="n"/>
      <c r="O298" s="31" t="n"/>
      <c r="P298" s="31" t="n"/>
      <c r="Q298" s="31" t="n"/>
      <c r="R298" s="31" t="n"/>
      <c r="S298" s="31" t="n"/>
      <c r="T298" s="31" t="n"/>
      <c r="U298" s="31" t="n"/>
      <c r="V298" s="31" t="n"/>
      <c r="W298" s="31" t="n"/>
      <c r="X298" s="31" t="n"/>
      <c r="Y298" s="31" t="n"/>
      <c r="Z298" s="31" t="n"/>
      <c r="AA298" s="34" t="n"/>
      <c r="AB298" s="29" t="n"/>
      <c r="AC298" s="31" t="n"/>
    </row>
    <row r="299">
      <c r="A299" s="29" t="n"/>
      <c r="B299" s="30" t="n"/>
      <c r="C299" s="31" t="n"/>
      <c r="D299" s="29" t="n"/>
      <c r="E299" s="29" t="n"/>
      <c r="F299" s="31" t="n"/>
      <c r="G299" s="29" t="n"/>
      <c r="H299" s="32">
        <f>IF(OR(NOT(AND($A299&lt;&gt;"",OR($G299="",$G299="Active"))),$F299=""),"",INT((TODAY()-$F299+280)/7)&amp;"+"&amp;MOD(TODAY()-$F299+280,7))</f>
        <v/>
      </c>
      <c r="I299" s="32">
        <f>IF(NOT(AND($A299&lt;&gt;"",OR($G299="",$G299="Active"))),"",IF(OR(IFERROR(LOOKUP(2,1/(ISNUMBER($M299:$U299)+($M299:$U299="DNA")),$M299:$U299),"")="DNA",AND(ISNUMBER(IFERROR(LOOKUP(2,1/(ISNUMBER($M299:$U299)+($M299:$U299="DNA")),$M299:$U299),"")),IFERROR(LOOKUP(2,1/(ISNUMBER($M299:$U299)+($M299:$U299="DNA")),$M299:$U299),"")&lt;TODAY())),1,0)+COUNTIF($V299:$Z299,"&lt;"&amp;TODAY()))</f>
        <v/>
      </c>
      <c r="J299" s="32">
        <f>IF(NOT(AND($A299&lt;&gt;"",OR($G299="",$G299="Active"))),"",COUNTIFS($M299:$U299,"&gt;="&amp;TODAY(),$M299:$U299,"&lt;="&amp;TODAY()+7)+COUNTIFS($V299:$Z299,"&gt;="&amp;TODAY(),$V299:$Z299,"&lt;="&amp;TODAY()+7))</f>
        <v/>
      </c>
      <c r="K299" s="32">
        <f>IF(NOT(AND($A299&lt;&gt;"",OR($G299="",$G299="Active"))),"",IF($L299&lt;&gt;"",IF($L299=$M299,"Booking",INDEX($N$4:$U$4,MATCH($L299,$N299:$U299,0))),IF(IFERROR(LOOKUP(2,1/(ISNUMBER($M299:$U299)+($M299:$U299="DNA")),$M299:$U299),"")="DNA","Rebook DNA",IF(ISNUMBER(IFERROR(LOOKUP(2,1/(ISNUMBER($M299:$U299)+($M299:$U299="DNA")),$M299:$U299),"")),IF(ISNUMBER($U299),"Update status","Missed/not booked?"),""))))</f>
        <v/>
      </c>
      <c r="L299" s="33">
        <f>IF(NOT(AND($A299&lt;&gt;"",OR($G299="",$G299="Active"))),"",IFERROR(SMALL($M299:$U299,COUNTIF($M299:$U299,"&lt;"&amp;TODAY())+1),""))</f>
        <v/>
      </c>
      <c r="M299" s="31" t="n"/>
      <c r="N299" s="31" t="n"/>
      <c r="O299" s="31" t="n"/>
      <c r="P299" s="31" t="n"/>
      <c r="Q299" s="31" t="n"/>
      <c r="R299" s="31" t="n"/>
      <c r="S299" s="31" t="n"/>
      <c r="T299" s="31" t="n"/>
      <c r="U299" s="31" t="n"/>
      <c r="V299" s="31" t="n"/>
      <c r="W299" s="31" t="n"/>
      <c r="X299" s="31" t="n"/>
      <c r="Y299" s="31" t="n"/>
      <c r="Z299" s="31" t="n"/>
      <c r="AA299" s="34" t="n"/>
      <c r="AB299" s="29" t="n"/>
      <c r="AC299" s="31" t="n"/>
    </row>
    <row r="300">
      <c r="A300" s="29" t="n"/>
      <c r="B300" s="30" t="n"/>
      <c r="C300" s="31" t="n"/>
      <c r="D300" s="29" t="n"/>
      <c r="E300" s="29" t="n"/>
      <c r="F300" s="31" t="n"/>
      <c r="G300" s="29" t="n"/>
      <c r="H300" s="32">
        <f>IF(OR(NOT(AND($A300&lt;&gt;"",OR($G300="",$G300="Active"))),$F300=""),"",INT((TODAY()-$F300+280)/7)&amp;"+"&amp;MOD(TODAY()-$F300+280,7))</f>
        <v/>
      </c>
      <c r="I300" s="32">
        <f>IF(NOT(AND($A300&lt;&gt;"",OR($G300="",$G300="Active"))),"",IF(OR(IFERROR(LOOKUP(2,1/(ISNUMBER($M300:$U300)+($M300:$U300="DNA")),$M300:$U300),"")="DNA",AND(ISNUMBER(IFERROR(LOOKUP(2,1/(ISNUMBER($M300:$U300)+($M300:$U300="DNA")),$M300:$U300),"")),IFERROR(LOOKUP(2,1/(ISNUMBER($M300:$U300)+($M300:$U300="DNA")),$M300:$U300),"")&lt;TODAY())),1,0)+COUNTIF($V300:$Z300,"&lt;"&amp;TODAY()))</f>
        <v/>
      </c>
      <c r="J300" s="32">
        <f>IF(NOT(AND($A300&lt;&gt;"",OR($G300="",$G300="Active"))),"",COUNTIFS($M300:$U300,"&gt;="&amp;TODAY(),$M300:$U300,"&lt;="&amp;TODAY()+7)+COUNTIFS($V300:$Z300,"&gt;="&amp;TODAY(),$V300:$Z300,"&lt;="&amp;TODAY()+7))</f>
        <v/>
      </c>
      <c r="K300" s="32">
        <f>IF(NOT(AND($A300&lt;&gt;"",OR($G300="",$G300="Active"))),"",IF($L300&lt;&gt;"",IF($L300=$M300,"Booking",INDEX($N$4:$U$4,MATCH($L300,$N300:$U300,0))),IF(IFERROR(LOOKUP(2,1/(ISNUMBER($M300:$U300)+($M300:$U300="DNA")),$M300:$U300),"")="DNA","Rebook DNA",IF(ISNUMBER(IFERROR(LOOKUP(2,1/(ISNUMBER($M300:$U300)+($M300:$U300="DNA")),$M300:$U300),"")),IF(ISNUMBER($U300),"Update status","Missed/not booked?"),""))))</f>
        <v/>
      </c>
      <c r="L300" s="33">
        <f>IF(NOT(AND($A300&lt;&gt;"",OR($G300="",$G300="Active"))),"",IFERROR(SMALL($M300:$U300,COUNTIF($M300:$U300,"&lt;"&amp;TODAY())+1),""))</f>
        <v/>
      </c>
      <c r="M300" s="31" t="n"/>
      <c r="N300" s="31" t="n"/>
      <c r="O300" s="31" t="n"/>
      <c r="P300" s="31" t="n"/>
      <c r="Q300" s="31" t="n"/>
      <c r="R300" s="31" t="n"/>
      <c r="S300" s="31" t="n"/>
      <c r="T300" s="31" t="n"/>
      <c r="U300" s="31" t="n"/>
      <c r="V300" s="31" t="n"/>
      <c r="W300" s="31" t="n"/>
      <c r="X300" s="31" t="n"/>
      <c r="Y300" s="31" t="n"/>
      <c r="Z300" s="31" t="n"/>
      <c r="AA300" s="34" t="n"/>
      <c r="AB300" s="29" t="n"/>
      <c r="AC300" s="31" t="n"/>
    </row>
    <row r="301">
      <c r="A301" s="29" t="n"/>
      <c r="B301" s="30" t="n"/>
      <c r="C301" s="31" t="n"/>
      <c r="D301" s="29" t="n"/>
      <c r="E301" s="29" t="n"/>
      <c r="F301" s="31" t="n"/>
      <c r="G301" s="29" t="n"/>
      <c r="H301" s="32">
        <f>IF(OR(NOT(AND($A301&lt;&gt;"",OR($G301="",$G301="Active"))),$F301=""),"",INT((TODAY()-$F301+280)/7)&amp;"+"&amp;MOD(TODAY()-$F301+280,7))</f>
        <v/>
      </c>
      <c r="I301" s="32">
        <f>IF(NOT(AND($A301&lt;&gt;"",OR($G301="",$G301="Active"))),"",IF(OR(IFERROR(LOOKUP(2,1/(ISNUMBER($M301:$U301)+($M301:$U301="DNA")),$M301:$U301),"")="DNA",AND(ISNUMBER(IFERROR(LOOKUP(2,1/(ISNUMBER($M301:$U301)+($M301:$U301="DNA")),$M301:$U301),"")),IFERROR(LOOKUP(2,1/(ISNUMBER($M301:$U301)+($M301:$U301="DNA")),$M301:$U301),"")&lt;TODAY())),1,0)+COUNTIF($V301:$Z301,"&lt;"&amp;TODAY()))</f>
        <v/>
      </c>
      <c r="J301" s="32">
        <f>IF(NOT(AND($A301&lt;&gt;"",OR($G301="",$G301="Active"))),"",COUNTIFS($M301:$U301,"&gt;="&amp;TODAY(),$M301:$U301,"&lt;="&amp;TODAY()+7)+COUNTIFS($V301:$Z301,"&gt;="&amp;TODAY(),$V301:$Z301,"&lt;="&amp;TODAY()+7))</f>
        <v/>
      </c>
      <c r="K301" s="32">
        <f>IF(NOT(AND($A301&lt;&gt;"",OR($G301="",$G301="Active"))),"",IF($L301&lt;&gt;"",IF($L301=$M301,"Booking",INDEX($N$4:$U$4,MATCH($L301,$N301:$U301,0))),IF(IFERROR(LOOKUP(2,1/(ISNUMBER($M301:$U301)+($M301:$U301="DNA")),$M301:$U301),"")="DNA","Rebook DNA",IF(ISNUMBER(IFERROR(LOOKUP(2,1/(ISNUMBER($M301:$U301)+($M301:$U301="DNA")),$M301:$U301),"")),IF(ISNUMBER($U301),"Update status","Missed/not booked?"),""))))</f>
        <v/>
      </c>
      <c r="L301" s="33">
        <f>IF(NOT(AND($A301&lt;&gt;"",OR($G301="",$G301="Active"))),"",IFERROR(SMALL($M301:$U301,COUNTIF($M301:$U301,"&lt;"&amp;TODAY())+1),""))</f>
        <v/>
      </c>
      <c r="M301" s="31" t="n"/>
      <c r="N301" s="31" t="n"/>
      <c r="O301" s="31" t="n"/>
      <c r="P301" s="31" t="n"/>
      <c r="Q301" s="31" t="n"/>
      <c r="R301" s="31" t="n"/>
      <c r="S301" s="31" t="n"/>
      <c r="T301" s="31" t="n"/>
      <c r="U301" s="31" t="n"/>
      <c r="V301" s="31" t="n"/>
      <c r="W301" s="31" t="n"/>
      <c r="X301" s="31" t="n"/>
      <c r="Y301" s="31" t="n"/>
      <c r="Z301" s="31" t="n"/>
      <c r="AA301" s="34" t="n"/>
      <c r="AB301" s="29" t="n"/>
      <c r="AC301" s="31" t="n"/>
    </row>
    <row r="302">
      <c r="A302" s="29" t="n"/>
      <c r="B302" s="30" t="n"/>
      <c r="C302" s="31" t="n"/>
      <c r="D302" s="29" t="n"/>
      <c r="E302" s="29" t="n"/>
      <c r="F302" s="31" t="n"/>
      <c r="G302" s="29" t="n"/>
      <c r="H302" s="32">
        <f>IF(OR(NOT(AND($A302&lt;&gt;"",OR($G302="",$G302="Active"))),$F302=""),"",INT((TODAY()-$F302+280)/7)&amp;"+"&amp;MOD(TODAY()-$F302+280,7))</f>
        <v/>
      </c>
      <c r="I302" s="32">
        <f>IF(NOT(AND($A302&lt;&gt;"",OR($G302="",$G302="Active"))),"",IF(OR(IFERROR(LOOKUP(2,1/(ISNUMBER($M302:$U302)+($M302:$U302="DNA")),$M302:$U302),"")="DNA",AND(ISNUMBER(IFERROR(LOOKUP(2,1/(ISNUMBER($M302:$U302)+($M302:$U302="DNA")),$M302:$U302),"")),IFERROR(LOOKUP(2,1/(ISNUMBER($M302:$U302)+($M302:$U302="DNA")),$M302:$U302),"")&lt;TODAY())),1,0)+COUNTIF($V302:$Z302,"&lt;"&amp;TODAY()))</f>
        <v/>
      </c>
      <c r="J302" s="32">
        <f>IF(NOT(AND($A302&lt;&gt;"",OR($G302="",$G302="Active"))),"",COUNTIFS($M302:$U302,"&gt;="&amp;TODAY(),$M302:$U302,"&lt;="&amp;TODAY()+7)+COUNTIFS($V302:$Z302,"&gt;="&amp;TODAY(),$V302:$Z302,"&lt;="&amp;TODAY()+7))</f>
        <v/>
      </c>
      <c r="K302" s="32">
        <f>IF(NOT(AND($A302&lt;&gt;"",OR($G302="",$G302="Active"))),"",IF($L302&lt;&gt;"",IF($L302=$M302,"Booking",INDEX($N$4:$U$4,MATCH($L302,$N302:$U302,0))),IF(IFERROR(LOOKUP(2,1/(ISNUMBER($M302:$U302)+($M302:$U302="DNA")),$M302:$U302),"")="DNA","Rebook DNA",IF(ISNUMBER(IFERROR(LOOKUP(2,1/(ISNUMBER($M302:$U302)+($M302:$U302="DNA")),$M302:$U302),"")),IF(ISNUMBER($U302),"Update status","Missed/not booked?"),""))))</f>
        <v/>
      </c>
      <c r="L302" s="33">
        <f>IF(NOT(AND($A302&lt;&gt;"",OR($G302="",$G302="Active"))),"",IFERROR(SMALL($M302:$U302,COUNTIF($M302:$U302,"&lt;"&amp;TODAY())+1),""))</f>
        <v/>
      </c>
      <c r="M302" s="31" t="n"/>
      <c r="N302" s="31" t="n"/>
      <c r="O302" s="31" t="n"/>
      <c r="P302" s="31" t="n"/>
      <c r="Q302" s="31" t="n"/>
      <c r="R302" s="31" t="n"/>
      <c r="S302" s="31" t="n"/>
      <c r="T302" s="31" t="n"/>
      <c r="U302" s="31" t="n"/>
      <c r="V302" s="31" t="n"/>
      <c r="W302" s="31" t="n"/>
      <c r="X302" s="31" t="n"/>
      <c r="Y302" s="31" t="n"/>
      <c r="Z302" s="31" t="n"/>
      <c r="AA302" s="34" t="n"/>
      <c r="AB302" s="29" t="n"/>
      <c r="AC302" s="31" t="n"/>
    </row>
    <row r="303">
      <c r="A303" s="29" t="n"/>
      <c r="B303" s="30" t="n"/>
      <c r="C303" s="31" t="n"/>
      <c r="D303" s="29" t="n"/>
      <c r="E303" s="29" t="n"/>
      <c r="F303" s="31" t="n"/>
      <c r="G303" s="29" t="n"/>
      <c r="H303" s="32">
        <f>IF(OR(NOT(AND($A303&lt;&gt;"",OR($G303="",$G303="Active"))),$F303=""),"",INT((TODAY()-$F303+280)/7)&amp;"+"&amp;MOD(TODAY()-$F303+280,7))</f>
        <v/>
      </c>
      <c r="I303" s="32">
        <f>IF(NOT(AND($A303&lt;&gt;"",OR($G303="",$G303="Active"))),"",IF(OR(IFERROR(LOOKUP(2,1/(ISNUMBER($M303:$U303)+($M303:$U303="DNA")),$M303:$U303),"")="DNA",AND(ISNUMBER(IFERROR(LOOKUP(2,1/(ISNUMBER($M303:$U303)+($M303:$U303="DNA")),$M303:$U303),"")),IFERROR(LOOKUP(2,1/(ISNUMBER($M303:$U303)+($M303:$U303="DNA")),$M303:$U303),"")&lt;TODAY())),1,0)+COUNTIF($V303:$Z303,"&lt;"&amp;TODAY()))</f>
        <v/>
      </c>
      <c r="J303" s="32">
        <f>IF(NOT(AND($A303&lt;&gt;"",OR($G303="",$G303="Active"))),"",COUNTIFS($M303:$U303,"&gt;="&amp;TODAY(),$M303:$U303,"&lt;="&amp;TODAY()+7)+COUNTIFS($V303:$Z303,"&gt;="&amp;TODAY(),$V303:$Z303,"&lt;="&amp;TODAY()+7))</f>
        <v/>
      </c>
      <c r="K303" s="32">
        <f>IF(NOT(AND($A303&lt;&gt;"",OR($G303="",$G303="Active"))),"",IF($L303&lt;&gt;"",IF($L303=$M303,"Booking",INDEX($N$4:$U$4,MATCH($L303,$N303:$U303,0))),IF(IFERROR(LOOKUP(2,1/(ISNUMBER($M303:$U303)+($M303:$U303="DNA")),$M303:$U303),"")="DNA","Rebook DNA",IF(ISNUMBER(IFERROR(LOOKUP(2,1/(ISNUMBER($M303:$U303)+($M303:$U303="DNA")),$M303:$U303),"")),IF(ISNUMBER($U303),"Update status","Missed/not booked?"),""))))</f>
        <v/>
      </c>
      <c r="L303" s="33">
        <f>IF(NOT(AND($A303&lt;&gt;"",OR($G303="",$G303="Active"))),"",IFERROR(SMALL($M303:$U303,COUNTIF($M303:$U303,"&lt;"&amp;TODAY())+1),""))</f>
        <v/>
      </c>
      <c r="M303" s="31" t="n"/>
      <c r="N303" s="31" t="n"/>
      <c r="O303" s="31" t="n"/>
      <c r="P303" s="31" t="n"/>
      <c r="Q303" s="31" t="n"/>
      <c r="R303" s="31" t="n"/>
      <c r="S303" s="31" t="n"/>
      <c r="T303" s="31" t="n"/>
      <c r="U303" s="31" t="n"/>
      <c r="V303" s="31" t="n"/>
      <c r="W303" s="31" t="n"/>
      <c r="X303" s="31" t="n"/>
      <c r="Y303" s="31" t="n"/>
      <c r="Z303" s="31" t="n"/>
      <c r="AA303" s="34" t="n"/>
      <c r="AB303" s="29" t="n"/>
      <c r="AC303" s="31" t="n"/>
    </row>
    <row r="304">
      <c r="A304" s="29" t="n"/>
      <c r="B304" s="30" t="n"/>
      <c r="C304" s="31" t="n"/>
      <c r="D304" s="29" t="n"/>
      <c r="E304" s="29" t="n"/>
      <c r="F304" s="31" t="n"/>
      <c r="G304" s="29" t="n"/>
      <c r="H304" s="32">
        <f>IF(OR(NOT(AND($A304&lt;&gt;"",OR($G304="",$G304="Active"))),$F304=""),"",INT((TODAY()-$F304+280)/7)&amp;"+"&amp;MOD(TODAY()-$F304+280,7))</f>
        <v/>
      </c>
      <c r="I304" s="32">
        <f>IF(NOT(AND($A304&lt;&gt;"",OR($G304="",$G304="Active"))),"",IF(OR(IFERROR(LOOKUP(2,1/(ISNUMBER($M304:$U304)+($M304:$U304="DNA")),$M304:$U304),"")="DNA",AND(ISNUMBER(IFERROR(LOOKUP(2,1/(ISNUMBER($M304:$U304)+($M304:$U304="DNA")),$M304:$U304),"")),IFERROR(LOOKUP(2,1/(ISNUMBER($M304:$U304)+($M304:$U304="DNA")),$M304:$U304),"")&lt;TODAY())),1,0)+COUNTIF($V304:$Z304,"&lt;"&amp;TODAY()))</f>
        <v/>
      </c>
      <c r="J304" s="32">
        <f>IF(NOT(AND($A304&lt;&gt;"",OR($G304="",$G304="Active"))),"",COUNTIFS($M304:$U304,"&gt;="&amp;TODAY(),$M304:$U304,"&lt;="&amp;TODAY()+7)+COUNTIFS($V304:$Z304,"&gt;="&amp;TODAY(),$V304:$Z304,"&lt;="&amp;TODAY()+7))</f>
        <v/>
      </c>
      <c r="K304" s="32">
        <f>IF(NOT(AND($A304&lt;&gt;"",OR($G304="",$G304="Active"))),"",IF($L304&lt;&gt;"",IF($L304=$M304,"Booking",INDEX($N$4:$U$4,MATCH($L304,$N304:$U304,0))),IF(IFERROR(LOOKUP(2,1/(ISNUMBER($M304:$U304)+($M304:$U304="DNA")),$M304:$U304),"")="DNA","Rebook DNA",IF(ISNUMBER(IFERROR(LOOKUP(2,1/(ISNUMBER($M304:$U304)+($M304:$U304="DNA")),$M304:$U304),"")),IF(ISNUMBER($U304),"Update status","Missed/not booked?"),""))))</f>
        <v/>
      </c>
      <c r="L304" s="33">
        <f>IF(NOT(AND($A304&lt;&gt;"",OR($G304="",$G304="Active"))),"",IFERROR(SMALL($M304:$U304,COUNTIF($M304:$U304,"&lt;"&amp;TODAY())+1),""))</f>
        <v/>
      </c>
      <c r="M304" s="31" t="n"/>
      <c r="N304" s="31" t="n"/>
      <c r="O304" s="31" t="n"/>
      <c r="P304" s="31" t="n"/>
      <c r="Q304" s="31" t="n"/>
      <c r="R304" s="31" t="n"/>
      <c r="S304" s="31" t="n"/>
      <c r="T304" s="31" t="n"/>
      <c r="U304" s="31" t="n"/>
      <c r="V304" s="31" t="n"/>
      <c r="W304" s="31" t="n"/>
      <c r="X304" s="31" t="n"/>
      <c r="Y304" s="31" t="n"/>
      <c r="Z304" s="31" t="n"/>
      <c r="AA304" s="34" t="n"/>
      <c r="AB304" s="29" t="n"/>
      <c r="AC304" s="31" t="n"/>
    </row>
    <row r="305">
      <c r="A305" s="29" t="n"/>
      <c r="B305" s="30" t="n"/>
      <c r="C305" s="31" t="n"/>
      <c r="D305" s="29" t="n"/>
      <c r="E305" s="29" t="n"/>
      <c r="F305" s="31" t="n"/>
      <c r="G305" s="29" t="n"/>
      <c r="H305" s="32">
        <f>IF(OR(NOT(AND($A305&lt;&gt;"",OR($G305="",$G305="Active"))),$F305=""),"",INT((TODAY()-$F305+280)/7)&amp;"+"&amp;MOD(TODAY()-$F305+280,7))</f>
        <v/>
      </c>
      <c r="I305" s="32">
        <f>IF(NOT(AND($A305&lt;&gt;"",OR($G305="",$G305="Active"))),"",IF(OR(IFERROR(LOOKUP(2,1/(ISNUMBER($M305:$U305)+($M305:$U305="DNA")),$M305:$U305),"")="DNA",AND(ISNUMBER(IFERROR(LOOKUP(2,1/(ISNUMBER($M305:$U305)+($M305:$U305="DNA")),$M305:$U305),"")),IFERROR(LOOKUP(2,1/(ISNUMBER($M305:$U305)+($M305:$U305="DNA")),$M305:$U305),"")&lt;TODAY())),1,0)+COUNTIF($V305:$Z305,"&lt;"&amp;TODAY()))</f>
        <v/>
      </c>
      <c r="J305" s="32">
        <f>IF(NOT(AND($A305&lt;&gt;"",OR($G305="",$G305="Active"))),"",COUNTIFS($M305:$U305,"&gt;="&amp;TODAY(),$M305:$U305,"&lt;="&amp;TODAY()+7)+COUNTIFS($V305:$Z305,"&gt;="&amp;TODAY(),$V305:$Z305,"&lt;="&amp;TODAY()+7))</f>
        <v/>
      </c>
      <c r="K305" s="32">
        <f>IF(NOT(AND($A305&lt;&gt;"",OR($G305="",$G305="Active"))),"",IF($L305&lt;&gt;"",IF($L305=$M305,"Booking",INDEX($N$4:$U$4,MATCH($L305,$N305:$U305,0))),IF(IFERROR(LOOKUP(2,1/(ISNUMBER($M305:$U305)+($M305:$U305="DNA")),$M305:$U305),"")="DNA","Rebook DNA",IF(ISNUMBER(IFERROR(LOOKUP(2,1/(ISNUMBER($M305:$U305)+($M305:$U305="DNA")),$M305:$U305),"")),IF(ISNUMBER($U305),"Update status","Missed/not booked?"),""))))</f>
        <v/>
      </c>
      <c r="L305" s="33">
        <f>IF(NOT(AND($A305&lt;&gt;"",OR($G305="",$G305="Active"))),"",IFERROR(SMALL($M305:$U305,COUNTIF($M305:$U305,"&lt;"&amp;TODAY())+1),""))</f>
        <v/>
      </c>
      <c r="M305" s="31" t="n"/>
      <c r="N305" s="31" t="n"/>
      <c r="O305" s="31" t="n"/>
      <c r="P305" s="31" t="n"/>
      <c r="Q305" s="31" t="n"/>
      <c r="R305" s="31" t="n"/>
      <c r="S305" s="31" t="n"/>
      <c r="T305" s="31" t="n"/>
      <c r="U305" s="31" t="n"/>
      <c r="V305" s="31" t="n"/>
      <c r="W305" s="31" t="n"/>
      <c r="X305" s="31" t="n"/>
      <c r="Y305" s="31" t="n"/>
      <c r="Z305" s="31" t="n"/>
      <c r="AA305" s="34" t="n"/>
      <c r="AB305" s="29" t="n"/>
      <c r="AC305" s="31" t="n"/>
    </row>
    <row r="306">
      <c r="A306" s="29" t="n"/>
      <c r="B306" s="30" t="n"/>
      <c r="C306" s="31" t="n"/>
      <c r="D306" s="29" t="n"/>
      <c r="E306" s="29" t="n"/>
      <c r="F306" s="31" t="n"/>
      <c r="G306" s="29" t="n"/>
      <c r="H306" s="32">
        <f>IF(OR(NOT(AND($A306&lt;&gt;"",OR($G306="",$G306="Active"))),$F306=""),"",INT((TODAY()-$F306+280)/7)&amp;"+"&amp;MOD(TODAY()-$F306+280,7))</f>
        <v/>
      </c>
      <c r="I306" s="32">
        <f>IF(NOT(AND($A306&lt;&gt;"",OR($G306="",$G306="Active"))),"",IF(OR(IFERROR(LOOKUP(2,1/(ISNUMBER($M306:$U306)+($M306:$U306="DNA")),$M306:$U306),"")="DNA",AND(ISNUMBER(IFERROR(LOOKUP(2,1/(ISNUMBER($M306:$U306)+($M306:$U306="DNA")),$M306:$U306),"")),IFERROR(LOOKUP(2,1/(ISNUMBER($M306:$U306)+($M306:$U306="DNA")),$M306:$U306),"")&lt;TODAY())),1,0)+COUNTIF($V306:$Z306,"&lt;"&amp;TODAY()))</f>
        <v/>
      </c>
      <c r="J306" s="32">
        <f>IF(NOT(AND($A306&lt;&gt;"",OR($G306="",$G306="Active"))),"",COUNTIFS($M306:$U306,"&gt;="&amp;TODAY(),$M306:$U306,"&lt;="&amp;TODAY()+7)+COUNTIFS($V306:$Z306,"&gt;="&amp;TODAY(),$V306:$Z306,"&lt;="&amp;TODAY()+7))</f>
        <v/>
      </c>
      <c r="K306" s="32">
        <f>IF(NOT(AND($A306&lt;&gt;"",OR($G306="",$G306="Active"))),"",IF($L306&lt;&gt;"",IF($L306=$M306,"Booking",INDEX($N$4:$U$4,MATCH($L306,$N306:$U306,0))),IF(IFERROR(LOOKUP(2,1/(ISNUMBER($M306:$U306)+($M306:$U306="DNA")),$M306:$U306),"")="DNA","Rebook DNA",IF(ISNUMBER(IFERROR(LOOKUP(2,1/(ISNUMBER($M306:$U306)+($M306:$U306="DNA")),$M306:$U306),"")),IF(ISNUMBER($U306),"Update status","Missed/not booked?"),""))))</f>
        <v/>
      </c>
      <c r="L306" s="33">
        <f>IF(NOT(AND($A306&lt;&gt;"",OR($G306="",$G306="Active"))),"",IFERROR(SMALL($M306:$U306,COUNTIF($M306:$U306,"&lt;"&amp;TODAY())+1),""))</f>
        <v/>
      </c>
      <c r="M306" s="31" t="n"/>
      <c r="N306" s="31" t="n"/>
      <c r="O306" s="31" t="n"/>
      <c r="P306" s="31" t="n"/>
      <c r="Q306" s="31" t="n"/>
      <c r="R306" s="31" t="n"/>
      <c r="S306" s="31" t="n"/>
      <c r="T306" s="31" t="n"/>
      <c r="U306" s="31" t="n"/>
      <c r="V306" s="31" t="n"/>
      <c r="W306" s="31" t="n"/>
      <c r="X306" s="31" t="n"/>
      <c r="Y306" s="31" t="n"/>
      <c r="Z306" s="31" t="n"/>
      <c r="AA306" s="34" t="n"/>
      <c r="AB306" s="29" t="n"/>
      <c r="AC306" s="31" t="n"/>
    </row>
    <row r="307">
      <c r="A307" s="29" t="n"/>
      <c r="B307" s="30" t="n"/>
      <c r="C307" s="31" t="n"/>
      <c r="D307" s="29" t="n"/>
      <c r="E307" s="29" t="n"/>
      <c r="F307" s="31" t="n"/>
      <c r="G307" s="29" t="n"/>
      <c r="H307" s="32">
        <f>IF(OR(NOT(AND($A307&lt;&gt;"",OR($G307="",$G307="Active"))),$F307=""),"",INT((TODAY()-$F307+280)/7)&amp;"+"&amp;MOD(TODAY()-$F307+280,7))</f>
        <v/>
      </c>
      <c r="I307" s="32">
        <f>IF(NOT(AND($A307&lt;&gt;"",OR($G307="",$G307="Active"))),"",IF(OR(IFERROR(LOOKUP(2,1/(ISNUMBER($M307:$U307)+($M307:$U307="DNA")),$M307:$U307),"")="DNA",AND(ISNUMBER(IFERROR(LOOKUP(2,1/(ISNUMBER($M307:$U307)+($M307:$U307="DNA")),$M307:$U307),"")),IFERROR(LOOKUP(2,1/(ISNUMBER($M307:$U307)+($M307:$U307="DNA")),$M307:$U307),"")&lt;TODAY())),1,0)+COUNTIF($V307:$Z307,"&lt;"&amp;TODAY()))</f>
        <v/>
      </c>
      <c r="J307" s="32">
        <f>IF(NOT(AND($A307&lt;&gt;"",OR($G307="",$G307="Active"))),"",COUNTIFS($M307:$U307,"&gt;="&amp;TODAY(),$M307:$U307,"&lt;="&amp;TODAY()+7)+COUNTIFS($V307:$Z307,"&gt;="&amp;TODAY(),$V307:$Z307,"&lt;="&amp;TODAY()+7))</f>
        <v/>
      </c>
      <c r="K307" s="32">
        <f>IF(NOT(AND($A307&lt;&gt;"",OR($G307="",$G307="Active"))),"",IF($L307&lt;&gt;"",IF($L307=$M307,"Booking",INDEX($N$4:$U$4,MATCH($L307,$N307:$U307,0))),IF(IFERROR(LOOKUP(2,1/(ISNUMBER($M307:$U307)+($M307:$U307="DNA")),$M307:$U307),"")="DNA","Rebook DNA",IF(ISNUMBER(IFERROR(LOOKUP(2,1/(ISNUMBER($M307:$U307)+($M307:$U307="DNA")),$M307:$U307),"")),IF(ISNUMBER($U307),"Update status","Missed/not booked?"),""))))</f>
        <v/>
      </c>
      <c r="L307" s="33">
        <f>IF(NOT(AND($A307&lt;&gt;"",OR($G307="",$G307="Active"))),"",IFERROR(SMALL($M307:$U307,COUNTIF($M307:$U307,"&lt;"&amp;TODAY())+1),""))</f>
        <v/>
      </c>
      <c r="M307" s="31" t="n"/>
      <c r="N307" s="31" t="n"/>
      <c r="O307" s="31" t="n"/>
      <c r="P307" s="31" t="n"/>
      <c r="Q307" s="31" t="n"/>
      <c r="R307" s="31" t="n"/>
      <c r="S307" s="31" t="n"/>
      <c r="T307" s="31" t="n"/>
      <c r="U307" s="31" t="n"/>
      <c r="V307" s="31" t="n"/>
      <c r="W307" s="31" t="n"/>
      <c r="X307" s="31" t="n"/>
      <c r="Y307" s="31" t="n"/>
      <c r="Z307" s="31" t="n"/>
      <c r="AA307" s="34" t="n"/>
      <c r="AB307" s="29" t="n"/>
      <c r="AC307" s="31" t="n"/>
    </row>
    <row r="308">
      <c r="A308" s="29" t="n"/>
      <c r="B308" s="30" t="n"/>
      <c r="C308" s="31" t="n"/>
      <c r="D308" s="29" t="n"/>
      <c r="E308" s="29" t="n"/>
      <c r="F308" s="31" t="n"/>
      <c r="G308" s="29" t="n"/>
      <c r="H308" s="32">
        <f>IF(OR(NOT(AND($A308&lt;&gt;"",OR($G308="",$G308="Active"))),$F308=""),"",INT((TODAY()-$F308+280)/7)&amp;"+"&amp;MOD(TODAY()-$F308+280,7))</f>
        <v/>
      </c>
      <c r="I308" s="32">
        <f>IF(NOT(AND($A308&lt;&gt;"",OR($G308="",$G308="Active"))),"",IF(OR(IFERROR(LOOKUP(2,1/(ISNUMBER($M308:$U308)+($M308:$U308="DNA")),$M308:$U308),"")="DNA",AND(ISNUMBER(IFERROR(LOOKUP(2,1/(ISNUMBER($M308:$U308)+($M308:$U308="DNA")),$M308:$U308),"")),IFERROR(LOOKUP(2,1/(ISNUMBER($M308:$U308)+($M308:$U308="DNA")),$M308:$U308),"")&lt;TODAY())),1,0)+COUNTIF($V308:$Z308,"&lt;"&amp;TODAY()))</f>
        <v/>
      </c>
      <c r="J308" s="32">
        <f>IF(NOT(AND($A308&lt;&gt;"",OR($G308="",$G308="Active"))),"",COUNTIFS($M308:$U308,"&gt;="&amp;TODAY(),$M308:$U308,"&lt;="&amp;TODAY()+7)+COUNTIFS($V308:$Z308,"&gt;="&amp;TODAY(),$V308:$Z308,"&lt;="&amp;TODAY()+7))</f>
        <v/>
      </c>
      <c r="K308" s="32">
        <f>IF(NOT(AND($A308&lt;&gt;"",OR($G308="",$G308="Active"))),"",IF($L308&lt;&gt;"",IF($L308=$M308,"Booking",INDEX($N$4:$U$4,MATCH($L308,$N308:$U308,0))),IF(IFERROR(LOOKUP(2,1/(ISNUMBER($M308:$U308)+($M308:$U308="DNA")),$M308:$U308),"")="DNA","Rebook DNA",IF(ISNUMBER(IFERROR(LOOKUP(2,1/(ISNUMBER($M308:$U308)+($M308:$U308="DNA")),$M308:$U308),"")),IF(ISNUMBER($U308),"Update status","Missed/not booked?"),""))))</f>
        <v/>
      </c>
      <c r="L308" s="33">
        <f>IF(NOT(AND($A308&lt;&gt;"",OR($G308="",$G308="Active"))),"",IFERROR(SMALL($M308:$U308,COUNTIF($M308:$U308,"&lt;"&amp;TODAY())+1),""))</f>
        <v/>
      </c>
      <c r="M308" s="31" t="n"/>
      <c r="N308" s="31" t="n"/>
      <c r="O308" s="31" t="n"/>
      <c r="P308" s="31" t="n"/>
      <c r="Q308" s="31" t="n"/>
      <c r="R308" s="31" t="n"/>
      <c r="S308" s="31" t="n"/>
      <c r="T308" s="31" t="n"/>
      <c r="U308" s="31" t="n"/>
      <c r="V308" s="31" t="n"/>
      <c r="W308" s="31" t="n"/>
      <c r="X308" s="31" t="n"/>
      <c r="Y308" s="31" t="n"/>
      <c r="Z308" s="31" t="n"/>
      <c r="AA308" s="34" t="n"/>
      <c r="AB308" s="29" t="n"/>
      <c r="AC308" s="31" t="n"/>
    </row>
    <row r="309">
      <c r="A309" s="29" t="n"/>
      <c r="B309" s="30" t="n"/>
      <c r="C309" s="31" t="n"/>
      <c r="D309" s="29" t="n"/>
      <c r="E309" s="29" t="n"/>
      <c r="F309" s="31" t="n"/>
      <c r="G309" s="29" t="n"/>
      <c r="H309" s="32">
        <f>IF(OR(NOT(AND($A309&lt;&gt;"",OR($G309="",$G309="Active"))),$F309=""),"",INT((TODAY()-$F309+280)/7)&amp;"+"&amp;MOD(TODAY()-$F309+280,7))</f>
        <v/>
      </c>
      <c r="I309" s="32">
        <f>IF(NOT(AND($A309&lt;&gt;"",OR($G309="",$G309="Active"))),"",IF(OR(IFERROR(LOOKUP(2,1/(ISNUMBER($M309:$U309)+($M309:$U309="DNA")),$M309:$U309),"")="DNA",AND(ISNUMBER(IFERROR(LOOKUP(2,1/(ISNUMBER($M309:$U309)+($M309:$U309="DNA")),$M309:$U309),"")),IFERROR(LOOKUP(2,1/(ISNUMBER($M309:$U309)+($M309:$U309="DNA")),$M309:$U309),"")&lt;TODAY())),1,0)+COUNTIF($V309:$Z309,"&lt;"&amp;TODAY()))</f>
        <v/>
      </c>
      <c r="J309" s="32">
        <f>IF(NOT(AND($A309&lt;&gt;"",OR($G309="",$G309="Active"))),"",COUNTIFS($M309:$U309,"&gt;="&amp;TODAY(),$M309:$U309,"&lt;="&amp;TODAY()+7)+COUNTIFS($V309:$Z309,"&gt;="&amp;TODAY(),$V309:$Z309,"&lt;="&amp;TODAY()+7))</f>
        <v/>
      </c>
      <c r="K309" s="32">
        <f>IF(NOT(AND($A309&lt;&gt;"",OR($G309="",$G309="Active"))),"",IF($L309&lt;&gt;"",IF($L309=$M309,"Booking",INDEX($N$4:$U$4,MATCH($L309,$N309:$U309,0))),IF(IFERROR(LOOKUP(2,1/(ISNUMBER($M309:$U309)+($M309:$U309="DNA")),$M309:$U309),"")="DNA","Rebook DNA",IF(ISNUMBER(IFERROR(LOOKUP(2,1/(ISNUMBER($M309:$U309)+($M309:$U309="DNA")),$M309:$U309),"")),IF(ISNUMBER($U309),"Update status","Missed/not booked?"),""))))</f>
        <v/>
      </c>
      <c r="L309" s="33">
        <f>IF(NOT(AND($A309&lt;&gt;"",OR($G309="",$G309="Active"))),"",IFERROR(SMALL($M309:$U309,COUNTIF($M309:$U309,"&lt;"&amp;TODAY())+1),""))</f>
        <v/>
      </c>
      <c r="M309" s="31" t="n"/>
      <c r="N309" s="31" t="n"/>
      <c r="O309" s="31" t="n"/>
      <c r="P309" s="31" t="n"/>
      <c r="Q309" s="31" t="n"/>
      <c r="R309" s="31" t="n"/>
      <c r="S309" s="31" t="n"/>
      <c r="T309" s="31" t="n"/>
      <c r="U309" s="31" t="n"/>
      <c r="V309" s="31" t="n"/>
      <c r="W309" s="31" t="n"/>
      <c r="X309" s="31" t="n"/>
      <c r="Y309" s="31" t="n"/>
      <c r="Z309" s="31" t="n"/>
      <c r="AA309" s="34" t="n"/>
      <c r="AB309" s="29" t="n"/>
      <c r="AC309" s="31" t="n"/>
    </row>
    <row r="310">
      <c r="A310" s="29" t="n"/>
      <c r="B310" s="30" t="n"/>
      <c r="C310" s="31" t="n"/>
      <c r="D310" s="29" t="n"/>
      <c r="E310" s="29" t="n"/>
      <c r="F310" s="31" t="n"/>
      <c r="G310" s="29" t="n"/>
      <c r="H310" s="32">
        <f>IF(OR(NOT(AND($A310&lt;&gt;"",OR($G310="",$G310="Active"))),$F310=""),"",INT((TODAY()-$F310+280)/7)&amp;"+"&amp;MOD(TODAY()-$F310+280,7))</f>
        <v/>
      </c>
      <c r="I310" s="32">
        <f>IF(NOT(AND($A310&lt;&gt;"",OR($G310="",$G310="Active"))),"",IF(OR(IFERROR(LOOKUP(2,1/(ISNUMBER($M310:$U310)+($M310:$U310="DNA")),$M310:$U310),"")="DNA",AND(ISNUMBER(IFERROR(LOOKUP(2,1/(ISNUMBER($M310:$U310)+($M310:$U310="DNA")),$M310:$U310),"")),IFERROR(LOOKUP(2,1/(ISNUMBER($M310:$U310)+($M310:$U310="DNA")),$M310:$U310),"")&lt;TODAY())),1,0)+COUNTIF($V310:$Z310,"&lt;"&amp;TODAY()))</f>
        <v/>
      </c>
      <c r="J310" s="32">
        <f>IF(NOT(AND($A310&lt;&gt;"",OR($G310="",$G310="Active"))),"",COUNTIFS($M310:$U310,"&gt;="&amp;TODAY(),$M310:$U310,"&lt;="&amp;TODAY()+7)+COUNTIFS($V310:$Z310,"&gt;="&amp;TODAY(),$V310:$Z310,"&lt;="&amp;TODAY()+7))</f>
        <v/>
      </c>
      <c r="K310" s="32">
        <f>IF(NOT(AND($A310&lt;&gt;"",OR($G310="",$G310="Active"))),"",IF($L310&lt;&gt;"",IF($L310=$M310,"Booking",INDEX($N$4:$U$4,MATCH($L310,$N310:$U310,0))),IF(IFERROR(LOOKUP(2,1/(ISNUMBER($M310:$U310)+($M310:$U310="DNA")),$M310:$U310),"")="DNA","Rebook DNA",IF(ISNUMBER(IFERROR(LOOKUP(2,1/(ISNUMBER($M310:$U310)+($M310:$U310="DNA")),$M310:$U310),"")),IF(ISNUMBER($U310),"Update status","Missed/not booked?"),""))))</f>
        <v/>
      </c>
      <c r="L310" s="33">
        <f>IF(NOT(AND($A310&lt;&gt;"",OR($G310="",$G310="Active"))),"",IFERROR(SMALL($M310:$U310,COUNTIF($M310:$U310,"&lt;"&amp;TODAY())+1),""))</f>
        <v/>
      </c>
      <c r="M310" s="31" t="n"/>
      <c r="N310" s="31" t="n"/>
      <c r="O310" s="31" t="n"/>
      <c r="P310" s="31" t="n"/>
      <c r="Q310" s="31" t="n"/>
      <c r="R310" s="31" t="n"/>
      <c r="S310" s="31" t="n"/>
      <c r="T310" s="31" t="n"/>
      <c r="U310" s="31" t="n"/>
      <c r="V310" s="31" t="n"/>
      <c r="W310" s="31" t="n"/>
      <c r="X310" s="31" t="n"/>
      <c r="Y310" s="31" t="n"/>
      <c r="Z310" s="31" t="n"/>
      <c r="AA310" s="34" t="n"/>
      <c r="AB310" s="29" t="n"/>
      <c r="AC310" s="31" t="n"/>
    </row>
    <row r="311">
      <c r="A311" s="29" t="n"/>
      <c r="B311" s="30" t="n"/>
      <c r="C311" s="31" t="n"/>
      <c r="D311" s="29" t="n"/>
      <c r="E311" s="29" t="n"/>
      <c r="F311" s="31" t="n"/>
      <c r="G311" s="29" t="n"/>
      <c r="H311" s="32">
        <f>IF(OR(NOT(AND($A311&lt;&gt;"",OR($G311="",$G311="Active"))),$F311=""),"",INT((TODAY()-$F311+280)/7)&amp;"+"&amp;MOD(TODAY()-$F311+280,7))</f>
        <v/>
      </c>
      <c r="I311" s="32">
        <f>IF(NOT(AND($A311&lt;&gt;"",OR($G311="",$G311="Active"))),"",IF(OR(IFERROR(LOOKUP(2,1/(ISNUMBER($M311:$U311)+($M311:$U311="DNA")),$M311:$U311),"")="DNA",AND(ISNUMBER(IFERROR(LOOKUP(2,1/(ISNUMBER($M311:$U311)+($M311:$U311="DNA")),$M311:$U311),"")),IFERROR(LOOKUP(2,1/(ISNUMBER($M311:$U311)+($M311:$U311="DNA")),$M311:$U311),"")&lt;TODAY())),1,0)+COUNTIF($V311:$Z311,"&lt;"&amp;TODAY()))</f>
        <v/>
      </c>
      <c r="J311" s="32">
        <f>IF(NOT(AND($A311&lt;&gt;"",OR($G311="",$G311="Active"))),"",COUNTIFS($M311:$U311,"&gt;="&amp;TODAY(),$M311:$U311,"&lt;="&amp;TODAY()+7)+COUNTIFS($V311:$Z311,"&gt;="&amp;TODAY(),$V311:$Z311,"&lt;="&amp;TODAY()+7))</f>
        <v/>
      </c>
      <c r="K311" s="32">
        <f>IF(NOT(AND($A311&lt;&gt;"",OR($G311="",$G311="Active"))),"",IF($L311&lt;&gt;"",IF($L311=$M311,"Booking",INDEX($N$4:$U$4,MATCH($L311,$N311:$U311,0))),IF(IFERROR(LOOKUP(2,1/(ISNUMBER($M311:$U311)+($M311:$U311="DNA")),$M311:$U311),"")="DNA","Rebook DNA",IF(ISNUMBER(IFERROR(LOOKUP(2,1/(ISNUMBER($M311:$U311)+($M311:$U311="DNA")),$M311:$U311),"")),IF(ISNUMBER($U311),"Update status","Missed/not booked?"),""))))</f>
        <v/>
      </c>
      <c r="L311" s="33">
        <f>IF(NOT(AND($A311&lt;&gt;"",OR($G311="",$G311="Active"))),"",IFERROR(SMALL($M311:$U311,COUNTIF($M311:$U311,"&lt;"&amp;TODAY())+1),""))</f>
        <v/>
      </c>
      <c r="M311" s="31" t="n"/>
      <c r="N311" s="31" t="n"/>
      <c r="O311" s="31" t="n"/>
      <c r="P311" s="31" t="n"/>
      <c r="Q311" s="31" t="n"/>
      <c r="R311" s="31" t="n"/>
      <c r="S311" s="31" t="n"/>
      <c r="T311" s="31" t="n"/>
      <c r="U311" s="31" t="n"/>
      <c r="V311" s="31" t="n"/>
      <c r="W311" s="31" t="n"/>
      <c r="X311" s="31" t="n"/>
      <c r="Y311" s="31" t="n"/>
      <c r="Z311" s="31" t="n"/>
      <c r="AA311" s="34" t="n"/>
      <c r="AB311" s="29" t="n"/>
      <c r="AC311" s="31" t="n"/>
    </row>
    <row r="312">
      <c r="A312" s="29" t="n"/>
      <c r="B312" s="30" t="n"/>
      <c r="C312" s="31" t="n"/>
      <c r="D312" s="29" t="n"/>
      <c r="E312" s="29" t="n"/>
      <c r="F312" s="31" t="n"/>
      <c r="G312" s="29" t="n"/>
      <c r="H312" s="32">
        <f>IF(OR(NOT(AND($A312&lt;&gt;"",OR($G312="",$G312="Active"))),$F312=""),"",INT((TODAY()-$F312+280)/7)&amp;"+"&amp;MOD(TODAY()-$F312+280,7))</f>
        <v/>
      </c>
      <c r="I312" s="32">
        <f>IF(NOT(AND($A312&lt;&gt;"",OR($G312="",$G312="Active"))),"",IF(OR(IFERROR(LOOKUP(2,1/(ISNUMBER($M312:$U312)+($M312:$U312="DNA")),$M312:$U312),"")="DNA",AND(ISNUMBER(IFERROR(LOOKUP(2,1/(ISNUMBER($M312:$U312)+($M312:$U312="DNA")),$M312:$U312),"")),IFERROR(LOOKUP(2,1/(ISNUMBER($M312:$U312)+($M312:$U312="DNA")),$M312:$U312),"")&lt;TODAY())),1,0)+COUNTIF($V312:$Z312,"&lt;"&amp;TODAY()))</f>
        <v/>
      </c>
      <c r="J312" s="32">
        <f>IF(NOT(AND($A312&lt;&gt;"",OR($G312="",$G312="Active"))),"",COUNTIFS($M312:$U312,"&gt;="&amp;TODAY(),$M312:$U312,"&lt;="&amp;TODAY()+7)+COUNTIFS($V312:$Z312,"&gt;="&amp;TODAY(),$V312:$Z312,"&lt;="&amp;TODAY()+7))</f>
        <v/>
      </c>
      <c r="K312" s="32">
        <f>IF(NOT(AND($A312&lt;&gt;"",OR($G312="",$G312="Active"))),"",IF($L312&lt;&gt;"",IF($L312=$M312,"Booking",INDEX($N$4:$U$4,MATCH($L312,$N312:$U312,0))),IF(IFERROR(LOOKUP(2,1/(ISNUMBER($M312:$U312)+($M312:$U312="DNA")),$M312:$U312),"")="DNA","Rebook DNA",IF(ISNUMBER(IFERROR(LOOKUP(2,1/(ISNUMBER($M312:$U312)+($M312:$U312="DNA")),$M312:$U312),"")),IF(ISNUMBER($U312),"Update status","Missed/not booked?"),""))))</f>
        <v/>
      </c>
      <c r="L312" s="33">
        <f>IF(NOT(AND($A312&lt;&gt;"",OR($G312="",$G312="Active"))),"",IFERROR(SMALL($M312:$U312,COUNTIF($M312:$U312,"&lt;"&amp;TODAY())+1),""))</f>
        <v/>
      </c>
      <c r="M312" s="31" t="n"/>
      <c r="N312" s="31" t="n"/>
      <c r="O312" s="31" t="n"/>
      <c r="P312" s="31" t="n"/>
      <c r="Q312" s="31" t="n"/>
      <c r="R312" s="31" t="n"/>
      <c r="S312" s="31" t="n"/>
      <c r="T312" s="31" t="n"/>
      <c r="U312" s="31" t="n"/>
      <c r="V312" s="31" t="n"/>
      <c r="W312" s="31" t="n"/>
      <c r="X312" s="31" t="n"/>
      <c r="Y312" s="31" t="n"/>
      <c r="Z312" s="31" t="n"/>
      <c r="AA312" s="34" t="n"/>
      <c r="AB312" s="29" t="n"/>
      <c r="AC312" s="31" t="n"/>
    </row>
    <row r="313">
      <c r="A313" s="29" t="n"/>
      <c r="B313" s="30" t="n"/>
      <c r="C313" s="31" t="n"/>
      <c r="D313" s="29" t="n"/>
      <c r="E313" s="29" t="n"/>
      <c r="F313" s="31" t="n"/>
      <c r="G313" s="29" t="n"/>
      <c r="H313" s="32">
        <f>IF(OR(NOT(AND($A313&lt;&gt;"",OR($G313="",$G313="Active"))),$F313=""),"",INT((TODAY()-$F313+280)/7)&amp;"+"&amp;MOD(TODAY()-$F313+280,7))</f>
        <v/>
      </c>
      <c r="I313" s="32">
        <f>IF(NOT(AND($A313&lt;&gt;"",OR($G313="",$G313="Active"))),"",IF(OR(IFERROR(LOOKUP(2,1/(ISNUMBER($M313:$U313)+($M313:$U313="DNA")),$M313:$U313),"")="DNA",AND(ISNUMBER(IFERROR(LOOKUP(2,1/(ISNUMBER($M313:$U313)+($M313:$U313="DNA")),$M313:$U313),"")),IFERROR(LOOKUP(2,1/(ISNUMBER($M313:$U313)+($M313:$U313="DNA")),$M313:$U313),"")&lt;TODAY())),1,0)+COUNTIF($V313:$Z313,"&lt;"&amp;TODAY()))</f>
        <v/>
      </c>
      <c r="J313" s="32">
        <f>IF(NOT(AND($A313&lt;&gt;"",OR($G313="",$G313="Active"))),"",COUNTIFS($M313:$U313,"&gt;="&amp;TODAY(),$M313:$U313,"&lt;="&amp;TODAY()+7)+COUNTIFS($V313:$Z313,"&gt;="&amp;TODAY(),$V313:$Z313,"&lt;="&amp;TODAY()+7))</f>
        <v/>
      </c>
      <c r="K313" s="32">
        <f>IF(NOT(AND($A313&lt;&gt;"",OR($G313="",$G313="Active"))),"",IF($L313&lt;&gt;"",IF($L313=$M313,"Booking",INDEX($N$4:$U$4,MATCH($L313,$N313:$U313,0))),IF(IFERROR(LOOKUP(2,1/(ISNUMBER($M313:$U313)+($M313:$U313="DNA")),$M313:$U313),"")="DNA","Rebook DNA",IF(ISNUMBER(IFERROR(LOOKUP(2,1/(ISNUMBER($M313:$U313)+($M313:$U313="DNA")),$M313:$U313),"")),IF(ISNUMBER($U313),"Update status","Missed/not booked?"),""))))</f>
        <v/>
      </c>
      <c r="L313" s="33">
        <f>IF(NOT(AND($A313&lt;&gt;"",OR($G313="",$G313="Active"))),"",IFERROR(SMALL($M313:$U313,COUNTIF($M313:$U313,"&lt;"&amp;TODAY())+1),""))</f>
        <v/>
      </c>
      <c r="M313" s="31" t="n"/>
      <c r="N313" s="31" t="n"/>
      <c r="O313" s="31" t="n"/>
      <c r="P313" s="31" t="n"/>
      <c r="Q313" s="31" t="n"/>
      <c r="R313" s="31" t="n"/>
      <c r="S313" s="31" t="n"/>
      <c r="T313" s="31" t="n"/>
      <c r="U313" s="31" t="n"/>
      <c r="V313" s="31" t="n"/>
      <c r="W313" s="31" t="n"/>
      <c r="X313" s="31" t="n"/>
      <c r="Y313" s="31" t="n"/>
      <c r="Z313" s="31" t="n"/>
      <c r="AA313" s="34" t="n"/>
      <c r="AB313" s="29" t="n"/>
      <c r="AC313" s="31" t="n"/>
    </row>
    <row r="314">
      <c r="A314" s="29" t="n"/>
      <c r="B314" s="30" t="n"/>
      <c r="C314" s="31" t="n"/>
      <c r="D314" s="29" t="n"/>
      <c r="E314" s="29" t="n"/>
      <c r="F314" s="31" t="n"/>
      <c r="G314" s="29" t="n"/>
      <c r="H314" s="32">
        <f>IF(OR(NOT(AND($A314&lt;&gt;"",OR($G314="",$G314="Active"))),$F314=""),"",INT((TODAY()-$F314+280)/7)&amp;"+"&amp;MOD(TODAY()-$F314+280,7))</f>
        <v/>
      </c>
      <c r="I314" s="32">
        <f>IF(NOT(AND($A314&lt;&gt;"",OR($G314="",$G314="Active"))),"",IF(OR(IFERROR(LOOKUP(2,1/(ISNUMBER($M314:$U314)+($M314:$U314="DNA")),$M314:$U314),"")="DNA",AND(ISNUMBER(IFERROR(LOOKUP(2,1/(ISNUMBER($M314:$U314)+($M314:$U314="DNA")),$M314:$U314),"")),IFERROR(LOOKUP(2,1/(ISNUMBER($M314:$U314)+($M314:$U314="DNA")),$M314:$U314),"")&lt;TODAY())),1,0)+COUNTIF($V314:$Z314,"&lt;"&amp;TODAY()))</f>
        <v/>
      </c>
      <c r="J314" s="32">
        <f>IF(NOT(AND($A314&lt;&gt;"",OR($G314="",$G314="Active"))),"",COUNTIFS($M314:$U314,"&gt;="&amp;TODAY(),$M314:$U314,"&lt;="&amp;TODAY()+7)+COUNTIFS($V314:$Z314,"&gt;="&amp;TODAY(),$V314:$Z314,"&lt;="&amp;TODAY()+7))</f>
        <v/>
      </c>
      <c r="K314" s="32">
        <f>IF(NOT(AND($A314&lt;&gt;"",OR($G314="",$G314="Active"))),"",IF($L314&lt;&gt;"",IF($L314=$M314,"Booking",INDEX($N$4:$U$4,MATCH($L314,$N314:$U314,0))),IF(IFERROR(LOOKUP(2,1/(ISNUMBER($M314:$U314)+($M314:$U314="DNA")),$M314:$U314),"")="DNA","Rebook DNA",IF(ISNUMBER(IFERROR(LOOKUP(2,1/(ISNUMBER($M314:$U314)+($M314:$U314="DNA")),$M314:$U314),"")),IF(ISNUMBER($U314),"Update status","Missed/not booked?"),""))))</f>
        <v/>
      </c>
      <c r="L314" s="33">
        <f>IF(NOT(AND($A314&lt;&gt;"",OR($G314="",$G314="Active"))),"",IFERROR(SMALL($M314:$U314,COUNTIF($M314:$U314,"&lt;"&amp;TODAY())+1),""))</f>
        <v/>
      </c>
      <c r="M314" s="31" t="n"/>
      <c r="N314" s="31" t="n"/>
      <c r="O314" s="31" t="n"/>
      <c r="P314" s="31" t="n"/>
      <c r="Q314" s="31" t="n"/>
      <c r="R314" s="31" t="n"/>
      <c r="S314" s="31" t="n"/>
      <c r="T314" s="31" t="n"/>
      <c r="U314" s="31" t="n"/>
      <c r="V314" s="31" t="n"/>
      <c r="W314" s="31" t="n"/>
      <c r="X314" s="31" t="n"/>
      <c r="Y314" s="31" t="n"/>
      <c r="Z314" s="31" t="n"/>
      <c r="AA314" s="34" t="n"/>
      <c r="AB314" s="29" t="n"/>
      <c r="AC314" s="31" t="n"/>
    </row>
    <row r="315">
      <c r="A315" s="29" t="n"/>
      <c r="B315" s="30" t="n"/>
      <c r="C315" s="31" t="n"/>
      <c r="D315" s="29" t="n"/>
      <c r="E315" s="29" t="n"/>
      <c r="F315" s="31" t="n"/>
      <c r="G315" s="29" t="n"/>
      <c r="H315" s="32">
        <f>IF(OR(NOT(AND($A315&lt;&gt;"",OR($G315="",$G315="Active"))),$F315=""),"",INT((TODAY()-$F315+280)/7)&amp;"+"&amp;MOD(TODAY()-$F315+280,7))</f>
        <v/>
      </c>
      <c r="I315" s="32">
        <f>IF(NOT(AND($A315&lt;&gt;"",OR($G315="",$G315="Active"))),"",IF(OR(IFERROR(LOOKUP(2,1/(ISNUMBER($M315:$U315)+($M315:$U315="DNA")),$M315:$U315),"")="DNA",AND(ISNUMBER(IFERROR(LOOKUP(2,1/(ISNUMBER($M315:$U315)+($M315:$U315="DNA")),$M315:$U315),"")),IFERROR(LOOKUP(2,1/(ISNUMBER($M315:$U315)+($M315:$U315="DNA")),$M315:$U315),"")&lt;TODAY())),1,0)+COUNTIF($V315:$Z315,"&lt;"&amp;TODAY()))</f>
        <v/>
      </c>
      <c r="J315" s="32">
        <f>IF(NOT(AND($A315&lt;&gt;"",OR($G315="",$G315="Active"))),"",COUNTIFS($M315:$U315,"&gt;="&amp;TODAY(),$M315:$U315,"&lt;="&amp;TODAY()+7)+COUNTIFS($V315:$Z315,"&gt;="&amp;TODAY(),$V315:$Z315,"&lt;="&amp;TODAY()+7))</f>
        <v/>
      </c>
      <c r="K315" s="32">
        <f>IF(NOT(AND($A315&lt;&gt;"",OR($G315="",$G315="Active"))),"",IF($L315&lt;&gt;"",IF($L315=$M315,"Booking",INDEX($N$4:$U$4,MATCH($L315,$N315:$U315,0))),IF(IFERROR(LOOKUP(2,1/(ISNUMBER($M315:$U315)+($M315:$U315="DNA")),$M315:$U315),"")="DNA","Rebook DNA",IF(ISNUMBER(IFERROR(LOOKUP(2,1/(ISNUMBER($M315:$U315)+($M315:$U315="DNA")),$M315:$U315),"")),IF(ISNUMBER($U315),"Update status","Missed/not booked?"),""))))</f>
        <v/>
      </c>
      <c r="L315" s="33">
        <f>IF(NOT(AND($A315&lt;&gt;"",OR($G315="",$G315="Active"))),"",IFERROR(SMALL($M315:$U315,COUNTIF($M315:$U315,"&lt;"&amp;TODAY())+1),""))</f>
        <v/>
      </c>
      <c r="M315" s="31" t="n"/>
      <c r="N315" s="31" t="n"/>
      <c r="O315" s="31" t="n"/>
      <c r="P315" s="31" t="n"/>
      <c r="Q315" s="31" t="n"/>
      <c r="R315" s="31" t="n"/>
      <c r="S315" s="31" t="n"/>
      <c r="T315" s="31" t="n"/>
      <c r="U315" s="31" t="n"/>
      <c r="V315" s="31" t="n"/>
      <c r="W315" s="31" t="n"/>
      <c r="X315" s="31" t="n"/>
      <c r="Y315" s="31" t="n"/>
      <c r="Z315" s="31" t="n"/>
      <c r="AA315" s="34" t="n"/>
      <c r="AB315" s="29" t="n"/>
      <c r="AC315" s="31" t="n"/>
    </row>
    <row r="316">
      <c r="A316" s="29" t="n"/>
      <c r="B316" s="30" t="n"/>
      <c r="C316" s="31" t="n"/>
      <c r="D316" s="29" t="n"/>
      <c r="E316" s="29" t="n"/>
      <c r="F316" s="31" t="n"/>
      <c r="G316" s="29" t="n"/>
      <c r="H316" s="32">
        <f>IF(OR(NOT(AND($A316&lt;&gt;"",OR($G316="",$G316="Active"))),$F316=""),"",INT((TODAY()-$F316+280)/7)&amp;"+"&amp;MOD(TODAY()-$F316+280,7))</f>
        <v/>
      </c>
      <c r="I316" s="32">
        <f>IF(NOT(AND($A316&lt;&gt;"",OR($G316="",$G316="Active"))),"",IF(OR(IFERROR(LOOKUP(2,1/(ISNUMBER($M316:$U316)+($M316:$U316="DNA")),$M316:$U316),"")="DNA",AND(ISNUMBER(IFERROR(LOOKUP(2,1/(ISNUMBER($M316:$U316)+($M316:$U316="DNA")),$M316:$U316),"")),IFERROR(LOOKUP(2,1/(ISNUMBER($M316:$U316)+($M316:$U316="DNA")),$M316:$U316),"")&lt;TODAY())),1,0)+COUNTIF($V316:$Z316,"&lt;"&amp;TODAY()))</f>
        <v/>
      </c>
      <c r="J316" s="32">
        <f>IF(NOT(AND($A316&lt;&gt;"",OR($G316="",$G316="Active"))),"",COUNTIFS($M316:$U316,"&gt;="&amp;TODAY(),$M316:$U316,"&lt;="&amp;TODAY()+7)+COUNTIFS($V316:$Z316,"&gt;="&amp;TODAY(),$V316:$Z316,"&lt;="&amp;TODAY()+7))</f>
        <v/>
      </c>
      <c r="K316" s="32">
        <f>IF(NOT(AND($A316&lt;&gt;"",OR($G316="",$G316="Active"))),"",IF($L316&lt;&gt;"",IF($L316=$M316,"Booking",INDEX($N$4:$U$4,MATCH($L316,$N316:$U316,0))),IF(IFERROR(LOOKUP(2,1/(ISNUMBER($M316:$U316)+($M316:$U316="DNA")),$M316:$U316),"")="DNA","Rebook DNA",IF(ISNUMBER(IFERROR(LOOKUP(2,1/(ISNUMBER($M316:$U316)+($M316:$U316="DNA")),$M316:$U316),"")),IF(ISNUMBER($U316),"Update status","Missed/not booked?"),""))))</f>
        <v/>
      </c>
      <c r="L316" s="33">
        <f>IF(NOT(AND($A316&lt;&gt;"",OR($G316="",$G316="Active"))),"",IFERROR(SMALL($M316:$U316,COUNTIF($M316:$U316,"&lt;"&amp;TODAY())+1),""))</f>
        <v/>
      </c>
      <c r="M316" s="31" t="n"/>
      <c r="N316" s="31" t="n"/>
      <c r="O316" s="31" t="n"/>
      <c r="P316" s="31" t="n"/>
      <c r="Q316" s="31" t="n"/>
      <c r="R316" s="31" t="n"/>
      <c r="S316" s="31" t="n"/>
      <c r="T316" s="31" t="n"/>
      <c r="U316" s="31" t="n"/>
      <c r="V316" s="31" t="n"/>
      <c r="W316" s="31" t="n"/>
      <c r="X316" s="31" t="n"/>
      <c r="Y316" s="31" t="n"/>
      <c r="Z316" s="31" t="n"/>
      <c r="AA316" s="34" t="n"/>
      <c r="AB316" s="29" t="n"/>
      <c r="AC316" s="31" t="n"/>
    </row>
    <row r="317">
      <c r="A317" s="29" t="n"/>
      <c r="B317" s="30" t="n"/>
      <c r="C317" s="31" t="n"/>
      <c r="D317" s="29" t="n"/>
      <c r="E317" s="29" t="n"/>
      <c r="F317" s="31" t="n"/>
      <c r="G317" s="29" t="n"/>
      <c r="H317" s="32">
        <f>IF(OR(NOT(AND($A317&lt;&gt;"",OR($G317="",$G317="Active"))),$F317=""),"",INT((TODAY()-$F317+280)/7)&amp;"+"&amp;MOD(TODAY()-$F317+280,7))</f>
        <v/>
      </c>
      <c r="I317" s="32">
        <f>IF(NOT(AND($A317&lt;&gt;"",OR($G317="",$G317="Active"))),"",IF(OR(IFERROR(LOOKUP(2,1/(ISNUMBER($M317:$U317)+($M317:$U317="DNA")),$M317:$U317),"")="DNA",AND(ISNUMBER(IFERROR(LOOKUP(2,1/(ISNUMBER($M317:$U317)+($M317:$U317="DNA")),$M317:$U317),"")),IFERROR(LOOKUP(2,1/(ISNUMBER($M317:$U317)+($M317:$U317="DNA")),$M317:$U317),"")&lt;TODAY())),1,0)+COUNTIF($V317:$Z317,"&lt;"&amp;TODAY()))</f>
        <v/>
      </c>
      <c r="J317" s="32">
        <f>IF(NOT(AND($A317&lt;&gt;"",OR($G317="",$G317="Active"))),"",COUNTIFS($M317:$U317,"&gt;="&amp;TODAY(),$M317:$U317,"&lt;="&amp;TODAY()+7)+COUNTIFS($V317:$Z317,"&gt;="&amp;TODAY(),$V317:$Z317,"&lt;="&amp;TODAY()+7))</f>
        <v/>
      </c>
      <c r="K317" s="32">
        <f>IF(NOT(AND($A317&lt;&gt;"",OR($G317="",$G317="Active"))),"",IF($L317&lt;&gt;"",IF($L317=$M317,"Booking",INDEX($N$4:$U$4,MATCH($L317,$N317:$U317,0))),IF(IFERROR(LOOKUP(2,1/(ISNUMBER($M317:$U317)+($M317:$U317="DNA")),$M317:$U317),"")="DNA","Rebook DNA",IF(ISNUMBER(IFERROR(LOOKUP(2,1/(ISNUMBER($M317:$U317)+($M317:$U317="DNA")),$M317:$U317),"")),IF(ISNUMBER($U317),"Update status","Missed/not booked?"),""))))</f>
        <v/>
      </c>
      <c r="L317" s="33">
        <f>IF(NOT(AND($A317&lt;&gt;"",OR($G317="",$G317="Active"))),"",IFERROR(SMALL($M317:$U317,COUNTIF($M317:$U317,"&lt;"&amp;TODAY())+1),""))</f>
        <v/>
      </c>
      <c r="M317" s="31" t="n"/>
      <c r="N317" s="31" t="n"/>
      <c r="O317" s="31" t="n"/>
      <c r="P317" s="31" t="n"/>
      <c r="Q317" s="31" t="n"/>
      <c r="R317" s="31" t="n"/>
      <c r="S317" s="31" t="n"/>
      <c r="T317" s="31" t="n"/>
      <c r="U317" s="31" t="n"/>
      <c r="V317" s="31" t="n"/>
      <c r="W317" s="31" t="n"/>
      <c r="X317" s="31" t="n"/>
      <c r="Y317" s="31" t="n"/>
      <c r="Z317" s="31" t="n"/>
      <c r="AA317" s="34" t="n"/>
      <c r="AB317" s="29" t="n"/>
      <c r="AC317" s="31" t="n"/>
    </row>
    <row r="318">
      <c r="A318" s="29" t="n"/>
      <c r="B318" s="30" t="n"/>
      <c r="C318" s="31" t="n"/>
      <c r="D318" s="29" t="n"/>
      <c r="E318" s="29" t="n"/>
      <c r="F318" s="31" t="n"/>
      <c r="G318" s="29" t="n"/>
      <c r="H318" s="32">
        <f>IF(OR(NOT(AND($A318&lt;&gt;"",OR($G318="",$G318="Active"))),$F318=""),"",INT((TODAY()-$F318+280)/7)&amp;"+"&amp;MOD(TODAY()-$F318+280,7))</f>
        <v/>
      </c>
      <c r="I318" s="32">
        <f>IF(NOT(AND($A318&lt;&gt;"",OR($G318="",$G318="Active"))),"",IF(OR(IFERROR(LOOKUP(2,1/(ISNUMBER($M318:$U318)+($M318:$U318="DNA")),$M318:$U318),"")="DNA",AND(ISNUMBER(IFERROR(LOOKUP(2,1/(ISNUMBER($M318:$U318)+($M318:$U318="DNA")),$M318:$U318),"")),IFERROR(LOOKUP(2,1/(ISNUMBER($M318:$U318)+($M318:$U318="DNA")),$M318:$U318),"")&lt;TODAY())),1,0)+COUNTIF($V318:$Z318,"&lt;"&amp;TODAY()))</f>
        <v/>
      </c>
      <c r="J318" s="32">
        <f>IF(NOT(AND($A318&lt;&gt;"",OR($G318="",$G318="Active"))),"",COUNTIFS($M318:$U318,"&gt;="&amp;TODAY(),$M318:$U318,"&lt;="&amp;TODAY()+7)+COUNTIFS($V318:$Z318,"&gt;="&amp;TODAY(),$V318:$Z318,"&lt;="&amp;TODAY()+7))</f>
        <v/>
      </c>
      <c r="K318" s="32">
        <f>IF(NOT(AND($A318&lt;&gt;"",OR($G318="",$G318="Active"))),"",IF($L318&lt;&gt;"",IF($L318=$M318,"Booking",INDEX($N$4:$U$4,MATCH($L318,$N318:$U318,0))),IF(IFERROR(LOOKUP(2,1/(ISNUMBER($M318:$U318)+($M318:$U318="DNA")),$M318:$U318),"")="DNA","Rebook DNA",IF(ISNUMBER(IFERROR(LOOKUP(2,1/(ISNUMBER($M318:$U318)+($M318:$U318="DNA")),$M318:$U318),"")),IF(ISNUMBER($U318),"Update status","Missed/not booked?"),""))))</f>
        <v/>
      </c>
      <c r="L318" s="33">
        <f>IF(NOT(AND($A318&lt;&gt;"",OR($G318="",$G318="Active"))),"",IFERROR(SMALL($M318:$U318,COUNTIF($M318:$U318,"&lt;"&amp;TODAY())+1),""))</f>
        <v/>
      </c>
      <c r="M318" s="31" t="n"/>
      <c r="N318" s="31" t="n"/>
      <c r="O318" s="31" t="n"/>
      <c r="P318" s="31" t="n"/>
      <c r="Q318" s="31" t="n"/>
      <c r="R318" s="31" t="n"/>
      <c r="S318" s="31" t="n"/>
      <c r="T318" s="31" t="n"/>
      <c r="U318" s="31" t="n"/>
      <c r="V318" s="31" t="n"/>
      <c r="W318" s="31" t="n"/>
      <c r="X318" s="31" t="n"/>
      <c r="Y318" s="31" t="n"/>
      <c r="Z318" s="31" t="n"/>
      <c r="AA318" s="34" t="n"/>
      <c r="AB318" s="29" t="n"/>
      <c r="AC318" s="31" t="n"/>
    </row>
    <row r="319">
      <c r="A319" s="29" t="n"/>
      <c r="B319" s="30" t="n"/>
      <c r="C319" s="31" t="n"/>
      <c r="D319" s="29" t="n"/>
      <c r="E319" s="29" t="n"/>
      <c r="F319" s="31" t="n"/>
      <c r="G319" s="29" t="n"/>
      <c r="H319" s="32">
        <f>IF(OR(NOT(AND($A319&lt;&gt;"",OR($G319="",$G319="Active"))),$F319=""),"",INT((TODAY()-$F319+280)/7)&amp;"+"&amp;MOD(TODAY()-$F319+280,7))</f>
        <v/>
      </c>
      <c r="I319" s="32">
        <f>IF(NOT(AND($A319&lt;&gt;"",OR($G319="",$G319="Active"))),"",IF(OR(IFERROR(LOOKUP(2,1/(ISNUMBER($M319:$U319)+($M319:$U319="DNA")),$M319:$U319),"")="DNA",AND(ISNUMBER(IFERROR(LOOKUP(2,1/(ISNUMBER($M319:$U319)+($M319:$U319="DNA")),$M319:$U319),"")),IFERROR(LOOKUP(2,1/(ISNUMBER($M319:$U319)+($M319:$U319="DNA")),$M319:$U319),"")&lt;TODAY())),1,0)+COUNTIF($V319:$Z319,"&lt;"&amp;TODAY()))</f>
        <v/>
      </c>
      <c r="J319" s="32">
        <f>IF(NOT(AND($A319&lt;&gt;"",OR($G319="",$G319="Active"))),"",COUNTIFS($M319:$U319,"&gt;="&amp;TODAY(),$M319:$U319,"&lt;="&amp;TODAY()+7)+COUNTIFS($V319:$Z319,"&gt;="&amp;TODAY(),$V319:$Z319,"&lt;="&amp;TODAY()+7))</f>
        <v/>
      </c>
      <c r="K319" s="32">
        <f>IF(NOT(AND($A319&lt;&gt;"",OR($G319="",$G319="Active"))),"",IF($L319&lt;&gt;"",IF($L319=$M319,"Booking",INDEX($N$4:$U$4,MATCH($L319,$N319:$U319,0))),IF(IFERROR(LOOKUP(2,1/(ISNUMBER($M319:$U319)+($M319:$U319="DNA")),$M319:$U319),"")="DNA","Rebook DNA",IF(ISNUMBER(IFERROR(LOOKUP(2,1/(ISNUMBER($M319:$U319)+($M319:$U319="DNA")),$M319:$U319),"")),IF(ISNUMBER($U319),"Update status","Missed/not booked?"),""))))</f>
        <v/>
      </c>
      <c r="L319" s="33">
        <f>IF(NOT(AND($A319&lt;&gt;"",OR($G319="",$G319="Active"))),"",IFERROR(SMALL($M319:$U319,COUNTIF($M319:$U319,"&lt;"&amp;TODAY())+1),""))</f>
        <v/>
      </c>
      <c r="M319" s="31" t="n"/>
      <c r="N319" s="31" t="n"/>
      <c r="O319" s="31" t="n"/>
      <c r="P319" s="31" t="n"/>
      <c r="Q319" s="31" t="n"/>
      <c r="R319" s="31" t="n"/>
      <c r="S319" s="31" t="n"/>
      <c r="T319" s="31" t="n"/>
      <c r="U319" s="31" t="n"/>
      <c r="V319" s="31" t="n"/>
      <c r="W319" s="31" t="n"/>
      <c r="X319" s="31" t="n"/>
      <c r="Y319" s="31" t="n"/>
      <c r="Z319" s="31" t="n"/>
      <c r="AA319" s="34" t="n"/>
      <c r="AB319" s="29" t="n"/>
      <c r="AC319" s="31" t="n"/>
    </row>
    <row r="320">
      <c r="A320" s="29" t="n"/>
      <c r="B320" s="30" t="n"/>
      <c r="C320" s="31" t="n"/>
      <c r="D320" s="29" t="n"/>
      <c r="E320" s="29" t="n"/>
      <c r="F320" s="31" t="n"/>
      <c r="G320" s="29" t="n"/>
      <c r="H320" s="32">
        <f>IF(OR(NOT(AND($A320&lt;&gt;"",OR($G320="",$G320="Active"))),$F320=""),"",INT((TODAY()-$F320+280)/7)&amp;"+"&amp;MOD(TODAY()-$F320+280,7))</f>
        <v/>
      </c>
      <c r="I320" s="32">
        <f>IF(NOT(AND($A320&lt;&gt;"",OR($G320="",$G320="Active"))),"",IF(OR(IFERROR(LOOKUP(2,1/(ISNUMBER($M320:$U320)+($M320:$U320="DNA")),$M320:$U320),"")="DNA",AND(ISNUMBER(IFERROR(LOOKUP(2,1/(ISNUMBER($M320:$U320)+($M320:$U320="DNA")),$M320:$U320),"")),IFERROR(LOOKUP(2,1/(ISNUMBER($M320:$U320)+($M320:$U320="DNA")),$M320:$U320),"")&lt;TODAY())),1,0)+COUNTIF($V320:$Z320,"&lt;"&amp;TODAY()))</f>
        <v/>
      </c>
      <c r="J320" s="32">
        <f>IF(NOT(AND($A320&lt;&gt;"",OR($G320="",$G320="Active"))),"",COUNTIFS($M320:$U320,"&gt;="&amp;TODAY(),$M320:$U320,"&lt;="&amp;TODAY()+7)+COUNTIFS($V320:$Z320,"&gt;="&amp;TODAY(),$V320:$Z320,"&lt;="&amp;TODAY()+7))</f>
        <v/>
      </c>
      <c r="K320" s="32">
        <f>IF(NOT(AND($A320&lt;&gt;"",OR($G320="",$G320="Active"))),"",IF($L320&lt;&gt;"",IF($L320=$M320,"Booking",INDEX($N$4:$U$4,MATCH($L320,$N320:$U320,0))),IF(IFERROR(LOOKUP(2,1/(ISNUMBER($M320:$U320)+($M320:$U320="DNA")),$M320:$U320),"")="DNA","Rebook DNA",IF(ISNUMBER(IFERROR(LOOKUP(2,1/(ISNUMBER($M320:$U320)+($M320:$U320="DNA")),$M320:$U320),"")),IF(ISNUMBER($U320),"Update status","Missed/not booked?"),""))))</f>
        <v/>
      </c>
      <c r="L320" s="33">
        <f>IF(NOT(AND($A320&lt;&gt;"",OR($G320="",$G320="Active"))),"",IFERROR(SMALL($M320:$U320,COUNTIF($M320:$U320,"&lt;"&amp;TODAY())+1),""))</f>
        <v/>
      </c>
      <c r="M320" s="31" t="n"/>
      <c r="N320" s="31" t="n"/>
      <c r="O320" s="31" t="n"/>
      <c r="P320" s="31" t="n"/>
      <c r="Q320" s="31" t="n"/>
      <c r="R320" s="31" t="n"/>
      <c r="S320" s="31" t="n"/>
      <c r="T320" s="31" t="n"/>
      <c r="U320" s="31" t="n"/>
      <c r="V320" s="31" t="n"/>
      <c r="W320" s="31" t="n"/>
      <c r="X320" s="31" t="n"/>
      <c r="Y320" s="31" t="n"/>
      <c r="Z320" s="31" t="n"/>
      <c r="AA320" s="34" t="n"/>
      <c r="AB320" s="29" t="n"/>
      <c r="AC320" s="31" t="n"/>
    </row>
    <row r="321">
      <c r="A321" s="29" t="n"/>
      <c r="B321" s="30" t="n"/>
      <c r="C321" s="31" t="n"/>
      <c r="D321" s="29" t="n"/>
      <c r="E321" s="29" t="n"/>
      <c r="F321" s="31" t="n"/>
      <c r="G321" s="29" t="n"/>
      <c r="H321" s="32">
        <f>IF(OR(NOT(AND($A321&lt;&gt;"",OR($G321="",$G321="Active"))),$F321=""),"",INT((TODAY()-$F321+280)/7)&amp;"+"&amp;MOD(TODAY()-$F321+280,7))</f>
        <v/>
      </c>
      <c r="I321" s="32">
        <f>IF(NOT(AND($A321&lt;&gt;"",OR($G321="",$G321="Active"))),"",IF(OR(IFERROR(LOOKUP(2,1/(ISNUMBER($M321:$U321)+($M321:$U321="DNA")),$M321:$U321),"")="DNA",AND(ISNUMBER(IFERROR(LOOKUP(2,1/(ISNUMBER($M321:$U321)+($M321:$U321="DNA")),$M321:$U321),"")),IFERROR(LOOKUP(2,1/(ISNUMBER($M321:$U321)+($M321:$U321="DNA")),$M321:$U321),"")&lt;TODAY())),1,0)+COUNTIF($V321:$Z321,"&lt;"&amp;TODAY()))</f>
        <v/>
      </c>
      <c r="J321" s="32">
        <f>IF(NOT(AND($A321&lt;&gt;"",OR($G321="",$G321="Active"))),"",COUNTIFS($M321:$U321,"&gt;="&amp;TODAY(),$M321:$U321,"&lt;="&amp;TODAY()+7)+COUNTIFS($V321:$Z321,"&gt;="&amp;TODAY(),$V321:$Z321,"&lt;="&amp;TODAY()+7))</f>
        <v/>
      </c>
      <c r="K321" s="32">
        <f>IF(NOT(AND($A321&lt;&gt;"",OR($G321="",$G321="Active"))),"",IF($L321&lt;&gt;"",IF($L321=$M321,"Booking",INDEX($N$4:$U$4,MATCH($L321,$N321:$U321,0))),IF(IFERROR(LOOKUP(2,1/(ISNUMBER($M321:$U321)+($M321:$U321="DNA")),$M321:$U321),"")="DNA","Rebook DNA",IF(ISNUMBER(IFERROR(LOOKUP(2,1/(ISNUMBER($M321:$U321)+($M321:$U321="DNA")),$M321:$U321),"")),IF(ISNUMBER($U321),"Update status","Missed/not booked?"),""))))</f>
        <v/>
      </c>
      <c r="L321" s="33">
        <f>IF(NOT(AND($A321&lt;&gt;"",OR($G321="",$G321="Active"))),"",IFERROR(SMALL($M321:$U321,COUNTIF($M321:$U321,"&lt;"&amp;TODAY())+1),""))</f>
        <v/>
      </c>
      <c r="M321" s="31" t="n"/>
      <c r="N321" s="31" t="n"/>
      <c r="O321" s="31" t="n"/>
      <c r="P321" s="31" t="n"/>
      <c r="Q321" s="31" t="n"/>
      <c r="R321" s="31" t="n"/>
      <c r="S321" s="31" t="n"/>
      <c r="T321" s="31" t="n"/>
      <c r="U321" s="31" t="n"/>
      <c r="V321" s="31" t="n"/>
      <c r="W321" s="31" t="n"/>
      <c r="X321" s="31" t="n"/>
      <c r="Y321" s="31" t="n"/>
      <c r="Z321" s="31" t="n"/>
      <c r="AA321" s="34" t="n"/>
      <c r="AB321" s="29" t="n"/>
      <c r="AC321" s="31" t="n"/>
    </row>
    <row r="322">
      <c r="A322" s="29" t="n"/>
      <c r="B322" s="30" t="n"/>
      <c r="C322" s="31" t="n"/>
      <c r="D322" s="29" t="n"/>
      <c r="E322" s="29" t="n"/>
      <c r="F322" s="31" t="n"/>
      <c r="G322" s="29" t="n"/>
      <c r="H322" s="32">
        <f>IF(OR(NOT(AND($A322&lt;&gt;"",OR($G322="",$G322="Active"))),$F322=""),"",INT((TODAY()-$F322+280)/7)&amp;"+"&amp;MOD(TODAY()-$F322+280,7))</f>
        <v/>
      </c>
      <c r="I322" s="32">
        <f>IF(NOT(AND($A322&lt;&gt;"",OR($G322="",$G322="Active"))),"",IF(OR(IFERROR(LOOKUP(2,1/(ISNUMBER($M322:$U322)+($M322:$U322="DNA")),$M322:$U322),"")="DNA",AND(ISNUMBER(IFERROR(LOOKUP(2,1/(ISNUMBER($M322:$U322)+($M322:$U322="DNA")),$M322:$U322),"")),IFERROR(LOOKUP(2,1/(ISNUMBER($M322:$U322)+($M322:$U322="DNA")),$M322:$U322),"")&lt;TODAY())),1,0)+COUNTIF($V322:$Z322,"&lt;"&amp;TODAY()))</f>
        <v/>
      </c>
      <c r="J322" s="32">
        <f>IF(NOT(AND($A322&lt;&gt;"",OR($G322="",$G322="Active"))),"",COUNTIFS($M322:$U322,"&gt;="&amp;TODAY(),$M322:$U322,"&lt;="&amp;TODAY()+7)+COUNTIFS($V322:$Z322,"&gt;="&amp;TODAY(),$V322:$Z322,"&lt;="&amp;TODAY()+7))</f>
        <v/>
      </c>
      <c r="K322" s="32">
        <f>IF(NOT(AND($A322&lt;&gt;"",OR($G322="",$G322="Active"))),"",IF($L322&lt;&gt;"",IF($L322=$M322,"Booking",INDEX($N$4:$U$4,MATCH($L322,$N322:$U322,0))),IF(IFERROR(LOOKUP(2,1/(ISNUMBER($M322:$U322)+($M322:$U322="DNA")),$M322:$U322),"")="DNA","Rebook DNA",IF(ISNUMBER(IFERROR(LOOKUP(2,1/(ISNUMBER($M322:$U322)+($M322:$U322="DNA")),$M322:$U322),"")),IF(ISNUMBER($U322),"Update status","Missed/not booked?"),""))))</f>
        <v/>
      </c>
      <c r="L322" s="33">
        <f>IF(NOT(AND($A322&lt;&gt;"",OR($G322="",$G322="Active"))),"",IFERROR(SMALL($M322:$U322,COUNTIF($M322:$U322,"&lt;"&amp;TODAY())+1),""))</f>
        <v/>
      </c>
      <c r="M322" s="31" t="n"/>
      <c r="N322" s="31" t="n"/>
      <c r="O322" s="31" t="n"/>
      <c r="P322" s="31" t="n"/>
      <c r="Q322" s="31" t="n"/>
      <c r="R322" s="31" t="n"/>
      <c r="S322" s="31" t="n"/>
      <c r="T322" s="31" t="n"/>
      <c r="U322" s="31" t="n"/>
      <c r="V322" s="31" t="n"/>
      <c r="W322" s="31" t="n"/>
      <c r="X322" s="31" t="n"/>
      <c r="Y322" s="31" t="n"/>
      <c r="Z322" s="31" t="n"/>
      <c r="AA322" s="34" t="n"/>
      <c r="AB322" s="29" t="n"/>
      <c r="AC322" s="31" t="n"/>
    </row>
    <row r="323">
      <c r="A323" s="29" t="n"/>
      <c r="B323" s="30" t="n"/>
      <c r="C323" s="31" t="n"/>
      <c r="D323" s="29" t="n"/>
      <c r="E323" s="29" t="n"/>
      <c r="F323" s="31" t="n"/>
      <c r="G323" s="29" t="n"/>
      <c r="H323" s="32">
        <f>IF(OR(NOT(AND($A323&lt;&gt;"",OR($G323="",$G323="Active"))),$F323=""),"",INT((TODAY()-$F323+280)/7)&amp;"+"&amp;MOD(TODAY()-$F323+280,7))</f>
        <v/>
      </c>
      <c r="I323" s="32">
        <f>IF(NOT(AND($A323&lt;&gt;"",OR($G323="",$G323="Active"))),"",IF(OR(IFERROR(LOOKUP(2,1/(ISNUMBER($M323:$U323)+($M323:$U323="DNA")),$M323:$U323),"")="DNA",AND(ISNUMBER(IFERROR(LOOKUP(2,1/(ISNUMBER($M323:$U323)+($M323:$U323="DNA")),$M323:$U323),"")),IFERROR(LOOKUP(2,1/(ISNUMBER($M323:$U323)+($M323:$U323="DNA")),$M323:$U323),"")&lt;TODAY())),1,0)+COUNTIF($V323:$Z323,"&lt;"&amp;TODAY()))</f>
        <v/>
      </c>
      <c r="J323" s="32">
        <f>IF(NOT(AND($A323&lt;&gt;"",OR($G323="",$G323="Active"))),"",COUNTIFS($M323:$U323,"&gt;="&amp;TODAY(),$M323:$U323,"&lt;="&amp;TODAY()+7)+COUNTIFS($V323:$Z323,"&gt;="&amp;TODAY(),$V323:$Z323,"&lt;="&amp;TODAY()+7))</f>
        <v/>
      </c>
      <c r="K323" s="32">
        <f>IF(NOT(AND($A323&lt;&gt;"",OR($G323="",$G323="Active"))),"",IF($L323&lt;&gt;"",IF($L323=$M323,"Booking",INDEX($N$4:$U$4,MATCH($L323,$N323:$U323,0))),IF(IFERROR(LOOKUP(2,1/(ISNUMBER($M323:$U323)+($M323:$U323="DNA")),$M323:$U323),"")="DNA","Rebook DNA",IF(ISNUMBER(IFERROR(LOOKUP(2,1/(ISNUMBER($M323:$U323)+($M323:$U323="DNA")),$M323:$U323),"")),IF(ISNUMBER($U323),"Update status","Missed/not booked?"),""))))</f>
        <v/>
      </c>
      <c r="L323" s="33">
        <f>IF(NOT(AND($A323&lt;&gt;"",OR($G323="",$G323="Active"))),"",IFERROR(SMALL($M323:$U323,COUNTIF($M323:$U323,"&lt;"&amp;TODAY())+1),""))</f>
        <v/>
      </c>
      <c r="M323" s="31" t="n"/>
      <c r="N323" s="31" t="n"/>
      <c r="O323" s="31" t="n"/>
      <c r="P323" s="31" t="n"/>
      <c r="Q323" s="31" t="n"/>
      <c r="R323" s="31" t="n"/>
      <c r="S323" s="31" t="n"/>
      <c r="T323" s="31" t="n"/>
      <c r="U323" s="31" t="n"/>
      <c r="V323" s="31" t="n"/>
      <c r="W323" s="31" t="n"/>
      <c r="X323" s="31" t="n"/>
      <c r="Y323" s="31" t="n"/>
      <c r="Z323" s="31" t="n"/>
      <c r="AA323" s="34" t="n"/>
      <c r="AB323" s="29" t="n"/>
      <c r="AC323" s="31" t="n"/>
    </row>
    <row r="324">
      <c r="A324" s="29" t="n"/>
      <c r="B324" s="30" t="n"/>
      <c r="C324" s="31" t="n"/>
      <c r="D324" s="29" t="n"/>
      <c r="E324" s="29" t="n"/>
      <c r="F324" s="31" t="n"/>
      <c r="G324" s="29" t="n"/>
      <c r="H324" s="32">
        <f>IF(OR(NOT(AND($A324&lt;&gt;"",OR($G324="",$G324="Active"))),$F324=""),"",INT((TODAY()-$F324+280)/7)&amp;"+"&amp;MOD(TODAY()-$F324+280,7))</f>
        <v/>
      </c>
      <c r="I324" s="32">
        <f>IF(NOT(AND($A324&lt;&gt;"",OR($G324="",$G324="Active"))),"",IF(OR(IFERROR(LOOKUP(2,1/(ISNUMBER($M324:$U324)+($M324:$U324="DNA")),$M324:$U324),"")="DNA",AND(ISNUMBER(IFERROR(LOOKUP(2,1/(ISNUMBER($M324:$U324)+($M324:$U324="DNA")),$M324:$U324),"")),IFERROR(LOOKUP(2,1/(ISNUMBER($M324:$U324)+($M324:$U324="DNA")),$M324:$U324),"")&lt;TODAY())),1,0)+COUNTIF($V324:$Z324,"&lt;"&amp;TODAY()))</f>
        <v/>
      </c>
      <c r="J324" s="32">
        <f>IF(NOT(AND($A324&lt;&gt;"",OR($G324="",$G324="Active"))),"",COUNTIFS($M324:$U324,"&gt;="&amp;TODAY(),$M324:$U324,"&lt;="&amp;TODAY()+7)+COUNTIFS($V324:$Z324,"&gt;="&amp;TODAY(),$V324:$Z324,"&lt;="&amp;TODAY()+7))</f>
        <v/>
      </c>
      <c r="K324" s="32">
        <f>IF(NOT(AND($A324&lt;&gt;"",OR($G324="",$G324="Active"))),"",IF($L324&lt;&gt;"",IF($L324=$M324,"Booking",INDEX($N$4:$U$4,MATCH($L324,$N324:$U324,0))),IF(IFERROR(LOOKUP(2,1/(ISNUMBER($M324:$U324)+($M324:$U324="DNA")),$M324:$U324),"")="DNA","Rebook DNA",IF(ISNUMBER(IFERROR(LOOKUP(2,1/(ISNUMBER($M324:$U324)+($M324:$U324="DNA")),$M324:$U324),"")),IF(ISNUMBER($U324),"Update status","Missed/not booked?"),""))))</f>
        <v/>
      </c>
      <c r="L324" s="33">
        <f>IF(NOT(AND($A324&lt;&gt;"",OR($G324="",$G324="Active"))),"",IFERROR(SMALL($M324:$U324,COUNTIF($M324:$U324,"&lt;"&amp;TODAY())+1),""))</f>
        <v/>
      </c>
      <c r="M324" s="31" t="n"/>
      <c r="N324" s="31" t="n"/>
      <c r="O324" s="31" t="n"/>
      <c r="P324" s="31" t="n"/>
      <c r="Q324" s="31" t="n"/>
      <c r="R324" s="31" t="n"/>
      <c r="S324" s="31" t="n"/>
      <c r="T324" s="31" t="n"/>
      <c r="U324" s="31" t="n"/>
      <c r="V324" s="31" t="n"/>
      <c r="W324" s="31" t="n"/>
      <c r="X324" s="31" t="n"/>
      <c r="Y324" s="31" t="n"/>
      <c r="Z324" s="31" t="n"/>
      <c r="AA324" s="34" t="n"/>
      <c r="AB324" s="29" t="n"/>
      <c r="AC324" s="31" t="n"/>
    </row>
    <row r="325">
      <c r="A325" s="29" t="n"/>
      <c r="B325" s="30" t="n"/>
      <c r="C325" s="31" t="n"/>
      <c r="D325" s="29" t="n"/>
      <c r="E325" s="29" t="n"/>
      <c r="F325" s="31" t="n"/>
      <c r="G325" s="29" t="n"/>
      <c r="H325" s="32">
        <f>IF(OR(NOT(AND($A325&lt;&gt;"",OR($G325="",$G325="Active"))),$F325=""),"",INT((TODAY()-$F325+280)/7)&amp;"+"&amp;MOD(TODAY()-$F325+280,7))</f>
        <v/>
      </c>
      <c r="I325" s="32">
        <f>IF(NOT(AND($A325&lt;&gt;"",OR($G325="",$G325="Active"))),"",IF(OR(IFERROR(LOOKUP(2,1/(ISNUMBER($M325:$U325)+($M325:$U325="DNA")),$M325:$U325),"")="DNA",AND(ISNUMBER(IFERROR(LOOKUP(2,1/(ISNUMBER($M325:$U325)+($M325:$U325="DNA")),$M325:$U325),"")),IFERROR(LOOKUP(2,1/(ISNUMBER($M325:$U325)+($M325:$U325="DNA")),$M325:$U325),"")&lt;TODAY())),1,0)+COUNTIF($V325:$Z325,"&lt;"&amp;TODAY()))</f>
        <v/>
      </c>
      <c r="J325" s="32">
        <f>IF(NOT(AND($A325&lt;&gt;"",OR($G325="",$G325="Active"))),"",COUNTIFS($M325:$U325,"&gt;="&amp;TODAY(),$M325:$U325,"&lt;="&amp;TODAY()+7)+COUNTIFS($V325:$Z325,"&gt;="&amp;TODAY(),$V325:$Z325,"&lt;="&amp;TODAY()+7))</f>
        <v/>
      </c>
      <c r="K325" s="32">
        <f>IF(NOT(AND($A325&lt;&gt;"",OR($G325="",$G325="Active"))),"",IF($L325&lt;&gt;"",IF($L325=$M325,"Booking",INDEX($N$4:$U$4,MATCH($L325,$N325:$U325,0))),IF(IFERROR(LOOKUP(2,1/(ISNUMBER($M325:$U325)+($M325:$U325="DNA")),$M325:$U325),"")="DNA","Rebook DNA",IF(ISNUMBER(IFERROR(LOOKUP(2,1/(ISNUMBER($M325:$U325)+($M325:$U325="DNA")),$M325:$U325),"")),IF(ISNUMBER($U325),"Update status","Missed/not booked?"),""))))</f>
        <v/>
      </c>
      <c r="L325" s="33">
        <f>IF(NOT(AND($A325&lt;&gt;"",OR($G325="",$G325="Active"))),"",IFERROR(SMALL($M325:$U325,COUNTIF($M325:$U325,"&lt;"&amp;TODAY())+1),""))</f>
        <v/>
      </c>
      <c r="M325" s="31" t="n"/>
      <c r="N325" s="31" t="n"/>
      <c r="O325" s="31" t="n"/>
      <c r="P325" s="31" t="n"/>
      <c r="Q325" s="31" t="n"/>
      <c r="R325" s="31" t="n"/>
      <c r="S325" s="31" t="n"/>
      <c r="T325" s="31" t="n"/>
      <c r="U325" s="31" t="n"/>
      <c r="V325" s="31" t="n"/>
      <c r="W325" s="31" t="n"/>
      <c r="X325" s="31" t="n"/>
      <c r="Y325" s="31" t="n"/>
      <c r="Z325" s="31" t="n"/>
      <c r="AA325" s="34" t="n"/>
      <c r="AB325" s="29" t="n"/>
      <c r="AC325" s="31" t="n"/>
    </row>
    <row r="326">
      <c r="A326" s="29" t="n"/>
      <c r="B326" s="30" t="n"/>
      <c r="C326" s="31" t="n"/>
      <c r="D326" s="29" t="n"/>
      <c r="E326" s="29" t="n"/>
      <c r="F326" s="31" t="n"/>
      <c r="G326" s="29" t="n"/>
      <c r="H326" s="32">
        <f>IF(OR(NOT(AND($A326&lt;&gt;"",OR($G326="",$G326="Active"))),$F326=""),"",INT((TODAY()-$F326+280)/7)&amp;"+"&amp;MOD(TODAY()-$F326+280,7))</f>
        <v/>
      </c>
      <c r="I326" s="32">
        <f>IF(NOT(AND($A326&lt;&gt;"",OR($G326="",$G326="Active"))),"",IF(OR(IFERROR(LOOKUP(2,1/(ISNUMBER($M326:$U326)+($M326:$U326="DNA")),$M326:$U326),"")="DNA",AND(ISNUMBER(IFERROR(LOOKUP(2,1/(ISNUMBER($M326:$U326)+($M326:$U326="DNA")),$M326:$U326),"")),IFERROR(LOOKUP(2,1/(ISNUMBER($M326:$U326)+($M326:$U326="DNA")),$M326:$U326),"")&lt;TODAY())),1,0)+COUNTIF($V326:$Z326,"&lt;"&amp;TODAY()))</f>
        <v/>
      </c>
      <c r="J326" s="32">
        <f>IF(NOT(AND($A326&lt;&gt;"",OR($G326="",$G326="Active"))),"",COUNTIFS($M326:$U326,"&gt;="&amp;TODAY(),$M326:$U326,"&lt;="&amp;TODAY()+7)+COUNTIFS($V326:$Z326,"&gt;="&amp;TODAY(),$V326:$Z326,"&lt;="&amp;TODAY()+7))</f>
        <v/>
      </c>
      <c r="K326" s="32">
        <f>IF(NOT(AND($A326&lt;&gt;"",OR($G326="",$G326="Active"))),"",IF($L326&lt;&gt;"",IF($L326=$M326,"Booking",INDEX($N$4:$U$4,MATCH($L326,$N326:$U326,0))),IF(IFERROR(LOOKUP(2,1/(ISNUMBER($M326:$U326)+($M326:$U326="DNA")),$M326:$U326),"")="DNA","Rebook DNA",IF(ISNUMBER(IFERROR(LOOKUP(2,1/(ISNUMBER($M326:$U326)+($M326:$U326="DNA")),$M326:$U326),"")),IF(ISNUMBER($U326),"Update status","Missed/not booked?"),""))))</f>
        <v/>
      </c>
      <c r="L326" s="33">
        <f>IF(NOT(AND($A326&lt;&gt;"",OR($G326="",$G326="Active"))),"",IFERROR(SMALL($M326:$U326,COUNTIF($M326:$U326,"&lt;"&amp;TODAY())+1),""))</f>
        <v/>
      </c>
      <c r="M326" s="31" t="n"/>
      <c r="N326" s="31" t="n"/>
      <c r="O326" s="31" t="n"/>
      <c r="P326" s="31" t="n"/>
      <c r="Q326" s="31" t="n"/>
      <c r="R326" s="31" t="n"/>
      <c r="S326" s="31" t="n"/>
      <c r="T326" s="31" t="n"/>
      <c r="U326" s="31" t="n"/>
      <c r="V326" s="31" t="n"/>
      <c r="W326" s="31" t="n"/>
      <c r="X326" s="31" t="n"/>
      <c r="Y326" s="31" t="n"/>
      <c r="Z326" s="31" t="n"/>
      <c r="AA326" s="34" t="n"/>
      <c r="AB326" s="29" t="n"/>
      <c r="AC326" s="31" t="n"/>
    </row>
    <row r="327">
      <c r="A327" s="29" t="n"/>
      <c r="B327" s="30" t="n"/>
      <c r="C327" s="31" t="n"/>
      <c r="D327" s="29" t="n"/>
      <c r="E327" s="29" t="n"/>
      <c r="F327" s="31" t="n"/>
      <c r="G327" s="29" t="n"/>
      <c r="H327" s="32">
        <f>IF(OR(NOT(AND($A327&lt;&gt;"",OR($G327="",$G327="Active"))),$F327=""),"",INT((TODAY()-$F327+280)/7)&amp;"+"&amp;MOD(TODAY()-$F327+280,7))</f>
        <v/>
      </c>
      <c r="I327" s="32">
        <f>IF(NOT(AND($A327&lt;&gt;"",OR($G327="",$G327="Active"))),"",IF(OR(IFERROR(LOOKUP(2,1/(ISNUMBER($M327:$U327)+($M327:$U327="DNA")),$M327:$U327),"")="DNA",AND(ISNUMBER(IFERROR(LOOKUP(2,1/(ISNUMBER($M327:$U327)+($M327:$U327="DNA")),$M327:$U327),"")),IFERROR(LOOKUP(2,1/(ISNUMBER($M327:$U327)+($M327:$U327="DNA")),$M327:$U327),"")&lt;TODAY())),1,0)+COUNTIF($V327:$Z327,"&lt;"&amp;TODAY()))</f>
        <v/>
      </c>
      <c r="J327" s="32">
        <f>IF(NOT(AND($A327&lt;&gt;"",OR($G327="",$G327="Active"))),"",COUNTIFS($M327:$U327,"&gt;="&amp;TODAY(),$M327:$U327,"&lt;="&amp;TODAY()+7)+COUNTIFS($V327:$Z327,"&gt;="&amp;TODAY(),$V327:$Z327,"&lt;="&amp;TODAY()+7))</f>
        <v/>
      </c>
      <c r="K327" s="32">
        <f>IF(NOT(AND($A327&lt;&gt;"",OR($G327="",$G327="Active"))),"",IF($L327&lt;&gt;"",IF($L327=$M327,"Booking",INDEX($N$4:$U$4,MATCH($L327,$N327:$U327,0))),IF(IFERROR(LOOKUP(2,1/(ISNUMBER($M327:$U327)+($M327:$U327="DNA")),$M327:$U327),"")="DNA","Rebook DNA",IF(ISNUMBER(IFERROR(LOOKUP(2,1/(ISNUMBER($M327:$U327)+($M327:$U327="DNA")),$M327:$U327),"")),IF(ISNUMBER($U327),"Update status","Missed/not booked?"),""))))</f>
        <v/>
      </c>
      <c r="L327" s="33">
        <f>IF(NOT(AND($A327&lt;&gt;"",OR($G327="",$G327="Active"))),"",IFERROR(SMALL($M327:$U327,COUNTIF($M327:$U327,"&lt;"&amp;TODAY())+1),""))</f>
        <v/>
      </c>
      <c r="M327" s="31" t="n"/>
      <c r="N327" s="31" t="n"/>
      <c r="O327" s="31" t="n"/>
      <c r="P327" s="31" t="n"/>
      <c r="Q327" s="31" t="n"/>
      <c r="R327" s="31" t="n"/>
      <c r="S327" s="31" t="n"/>
      <c r="T327" s="31" t="n"/>
      <c r="U327" s="31" t="n"/>
      <c r="V327" s="31" t="n"/>
      <c r="W327" s="31" t="n"/>
      <c r="X327" s="31" t="n"/>
      <c r="Y327" s="31" t="n"/>
      <c r="Z327" s="31" t="n"/>
      <c r="AA327" s="34" t="n"/>
      <c r="AB327" s="29" t="n"/>
      <c r="AC327" s="31" t="n"/>
    </row>
    <row r="328">
      <c r="A328" s="29" t="n"/>
      <c r="B328" s="30" t="n"/>
      <c r="C328" s="31" t="n"/>
      <c r="D328" s="29" t="n"/>
      <c r="E328" s="29" t="n"/>
      <c r="F328" s="31" t="n"/>
      <c r="G328" s="29" t="n"/>
      <c r="H328" s="32">
        <f>IF(OR(NOT(AND($A328&lt;&gt;"",OR($G328="",$G328="Active"))),$F328=""),"",INT((TODAY()-$F328+280)/7)&amp;"+"&amp;MOD(TODAY()-$F328+280,7))</f>
        <v/>
      </c>
      <c r="I328" s="32">
        <f>IF(NOT(AND($A328&lt;&gt;"",OR($G328="",$G328="Active"))),"",IF(OR(IFERROR(LOOKUP(2,1/(ISNUMBER($M328:$U328)+($M328:$U328="DNA")),$M328:$U328),"")="DNA",AND(ISNUMBER(IFERROR(LOOKUP(2,1/(ISNUMBER($M328:$U328)+($M328:$U328="DNA")),$M328:$U328),"")),IFERROR(LOOKUP(2,1/(ISNUMBER($M328:$U328)+($M328:$U328="DNA")),$M328:$U328),"")&lt;TODAY())),1,0)+COUNTIF($V328:$Z328,"&lt;"&amp;TODAY()))</f>
        <v/>
      </c>
      <c r="J328" s="32">
        <f>IF(NOT(AND($A328&lt;&gt;"",OR($G328="",$G328="Active"))),"",COUNTIFS($M328:$U328,"&gt;="&amp;TODAY(),$M328:$U328,"&lt;="&amp;TODAY()+7)+COUNTIFS($V328:$Z328,"&gt;="&amp;TODAY(),$V328:$Z328,"&lt;="&amp;TODAY()+7))</f>
        <v/>
      </c>
      <c r="K328" s="32">
        <f>IF(NOT(AND($A328&lt;&gt;"",OR($G328="",$G328="Active"))),"",IF($L328&lt;&gt;"",IF($L328=$M328,"Booking",INDEX($N$4:$U$4,MATCH($L328,$N328:$U328,0))),IF(IFERROR(LOOKUP(2,1/(ISNUMBER($M328:$U328)+($M328:$U328="DNA")),$M328:$U328),"")="DNA","Rebook DNA",IF(ISNUMBER(IFERROR(LOOKUP(2,1/(ISNUMBER($M328:$U328)+($M328:$U328="DNA")),$M328:$U328),"")),IF(ISNUMBER($U328),"Update status","Missed/not booked?"),""))))</f>
        <v/>
      </c>
      <c r="L328" s="33">
        <f>IF(NOT(AND($A328&lt;&gt;"",OR($G328="",$G328="Active"))),"",IFERROR(SMALL($M328:$U328,COUNTIF($M328:$U328,"&lt;"&amp;TODAY())+1),""))</f>
        <v/>
      </c>
      <c r="M328" s="31" t="n"/>
      <c r="N328" s="31" t="n"/>
      <c r="O328" s="31" t="n"/>
      <c r="P328" s="31" t="n"/>
      <c r="Q328" s="31" t="n"/>
      <c r="R328" s="31" t="n"/>
      <c r="S328" s="31" t="n"/>
      <c r="T328" s="31" t="n"/>
      <c r="U328" s="31" t="n"/>
      <c r="V328" s="31" t="n"/>
      <c r="W328" s="31" t="n"/>
      <c r="X328" s="31" t="n"/>
      <c r="Y328" s="31" t="n"/>
      <c r="Z328" s="31" t="n"/>
      <c r="AA328" s="34" t="n"/>
      <c r="AB328" s="29" t="n"/>
      <c r="AC328" s="31" t="n"/>
    </row>
    <row r="329">
      <c r="A329" s="29" t="n"/>
      <c r="B329" s="30" t="n"/>
      <c r="C329" s="31" t="n"/>
      <c r="D329" s="29" t="n"/>
      <c r="E329" s="29" t="n"/>
      <c r="F329" s="31" t="n"/>
      <c r="G329" s="29" t="n"/>
      <c r="H329" s="32">
        <f>IF(OR(NOT(AND($A329&lt;&gt;"",OR($G329="",$G329="Active"))),$F329=""),"",INT((TODAY()-$F329+280)/7)&amp;"+"&amp;MOD(TODAY()-$F329+280,7))</f>
        <v/>
      </c>
      <c r="I329" s="32">
        <f>IF(NOT(AND($A329&lt;&gt;"",OR($G329="",$G329="Active"))),"",IF(OR(IFERROR(LOOKUP(2,1/(ISNUMBER($M329:$U329)+($M329:$U329="DNA")),$M329:$U329),"")="DNA",AND(ISNUMBER(IFERROR(LOOKUP(2,1/(ISNUMBER($M329:$U329)+($M329:$U329="DNA")),$M329:$U329),"")),IFERROR(LOOKUP(2,1/(ISNUMBER($M329:$U329)+($M329:$U329="DNA")),$M329:$U329),"")&lt;TODAY())),1,0)+COUNTIF($V329:$Z329,"&lt;"&amp;TODAY()))</f>
        <v/>
      </c>
      <c r="J329" s="32">
        <f>IF(NOT(AND($A329&lt;&gt;"",OR($G329="",$G329="Active"))),"",COUNTIFS($M329:$U329,"&gt;="&amp;TODAY(),$M329:$U329,"&lt;="&amp;TODAY()+7)+COUNTIFS($V329:$Z329,"&gt;="&amp;TODAY(),$V329:$Z329,"&lt;="&amp;TODAY()+7))</f>
        <v/>
      </c>
      <c r="K329" s="32">
        <f>IF(NOT(AND($A329&lt;&gt;"",OR($G329="",$G329="Active"))),"",IF($L329&lt;&gt;"",IF($L329=$M329,"Booking",INDEX($N$4:$U$4,MATCH($L329,$N329:$U329,0))),IF(IFERROR(LOOKUP(2,1/(ISNUMBER($M329:$U329)+($M329:$U329="DNA")),$M329:$U329),"")="DNA","Rebook DNA",IF(ISNUMBER(IFERROR(LOOKUP(2,1/(ISNUMBER($M329:$U329)+($M329:$U329="DNA")),$M329:$U329),"")),IF(ISNUMBER($U329),"Update status","Missed/not booked?"),""))))</f>
        <v/>
      </c>
      <c r="L329" s="33">
        <f>IF(NOT(AND($A329&lt;&gt;"",OR($G329="",$G329="Active"))),"",IFERROR(SMALL($M329:$U329,COUNTIF($M329:$U329,"&lt;"&amp;TODAY())+1),""))</f>
        <v/>
      </c>
      <c r="M329" s="31" t="n"/>
      <c r="N329" s="31" t="n"/>
      <c r="O329" s="31" t="n"/>
      <c r="P329" s="31" t="n"/>
      <c r="Q329" s="31" t="n"/>
      <c r="R329" s="31" t="n"/>
      <c r="S329" s="31" t="n"/>
      <c r="T329" s="31" t="n"/>
      <c r="U329" s="31" t="n"/>
      <c r="V329" s="31" t="n"/>
      <c r="W329" s="31" t="n"/>
      <c r="X329" s="31" t="n"/>
      <c r="Y329" s="31" t="n"/>
      <c r="Z329" s="31" t="n"/>
      <c r="AA329" s="34" t="n"/>
      <c r="AB329" s="29" t="n"/>
      <c r="AC329" s="31" t="n"/>
    </row>
    <row r="330">
      <c r="A330" s="29" t="n"/>
      <c r="B330" s="30" t="n"/>
      <c r="C330" s="31" t="n"/>
      <c r="D330" s="29" t="n"/>
      <c r="E330" s="29" t="n"/>
      <c r="F330" s="31" t="n"/>
      <c r="G330" s="29" t="n"/>
      <c r="H330" s="32">
        <f>IF(OR(NOT(AND($A330&lt;&gt;"",OR($G330="",$G330="Active"))),$F330=""),"",INT((TODAY()-$F330+280)/7)&amp;"+"&amp;MOD(TODAY()-$F330+280,7))</f>
        <v/>
      </c>
      <c r="I330" s="32">
        <f>IF(NOT(AND($A330&lt;&gt;"",OR($G330="",$G330="Active"))),"",IF(OR(IFERROR(LOOKUP(2,1/(ISNUMBER($M330:$U330)+($M330:$U330="DNA")),$M330:$U330),"")="DNA",AND(ISNUMBER(IFERROR(LOOKUP(2,1/(ISNUMBER($M330:$U330)+($M330:$U330="DNA")),$M330:$U330),"")),IFERROR(LOOKUP(2,1/(ISNUMBER($M330:$U330)+($M330:$U330="DNA")),$M330:$U330),"")&lt;TODAY())),1,0)+COUNTIF($V330:$Z330,"&lt;"&amp;TODAY()))</f>
        <v/>
      </c>
      <c r="J330" s="32">
        <f>IF(NOT(AND($A330&lt;&gt;"",OR($G330="",$G330="Active"))),"",COUNTIFS($M330:$U330,"&gt;="&amp;TODAY(),$M330:$U330,"&lt;="&amp;TODAY()+7)+COUNTIFS($V330:$Z330,"&gt;="&amp;TODAY(),$V330:$Z330,"&lt;="&amp;TODAY()+7))</f>
        <v/>
      </c>
      <c r="K330" s="32">
        <f>IF(NOT(AND($A330&lt;&gt;"",OR($G330="",$G330="Active"))),"",IF($L330&lt;&gt;"",IF($L330=$M330,"Booking",INDEX($N$4:$U$4,MATCH($L330,$N330:$U330,0))),IF(IFERROR(LOOKUP(2,1/(ISNUMBER($M330:$U330)+($M330:$U330="DNA")),$M330:$U330),"")="DNA","Rebook DNA",IF(ISNUMBER(IFERROR(LOOKUP(2,1/(ISNUMBER($M330:$U330)+($M330:$U330="DNA")),$M330:$U330),"")),IF(ISNUMBER($U330),"Update status","Missed/not booked?"),""))))</f>
        <v/>
      </c>
      <c r="L330" s="33">
        <f>IF(NOT(AND($A330&lt;&gt;"",OR($G330="",$G330="Active"))),"",IFERROR(SMALL($M330:$U330,COUNTIF($M330:$U330,"&lt;"&amp;TODAY())+1),""))</f>
        <v/>
      </c>
      <c r="M330" s="31" t="n"/>
      <c r="N330" s="31" t="n"/>
      <c r="O330" s="31" t="n"/>
      <c r="P330" s="31" t="n"/>
      <c r="Q330" s="31" t="n"/>
      <c r="R330" s="31" t="n"/>
      <c r="S330" s="31" t="n"/>
      <c r="T330" s="31" t="n"/>
      <c r="U330" s="31" t="n"/>
      <c r="V330" s="31" t="n"/>
      <c r="W330" s="31" t="n"/>
      <c r="X330" s="31" t="n"/>
      <c r="Y330" s="31" t="n"/>
      <c r="Z330" s="31" t="n"/>
      <c r="AA330" s="34" t="n"/>
      <c r="AB330" s="29" t="n"/>
      <c r="AC330" s="31" t="n"/>
    </row>
    <row r="331">
      <c r="A331" s="29" t="n"/>
      <c r="B331" s="30" t="n"/>
      <c r="C331" s="31" t="n"/>
      <c r="D331" s="29" t="n"/>
      <c r="E331" s="29" t="n"/>
      <c r="F331" s="31" t="n"/>
      <c r="G331" s="29" t="n"/>
      <c r="H331" s="32">
        <f>IF(OR(NOT(AND($A331&lt;&gt;"",OR($G331="",$G331="Active"))),$F331=""),"",INT((TODAY()-$F331+280)/7)&amp;"+"&amp;MOD(TODAY()-$F331+280,7))</f>
        <v/>
      </c>
      <c r="I331" s="32">
        <f>IF(NOT(AND($A331&lt;&gt;"",OR($G331="",$G331="Active"))),"",IF(OR(IFERROR(LOOKUP(2,1/(ISNUMBER($M331:$U331)+($M331:$U331="DNA")),$M331:$U331),"")="DNA",AND(ISNUMBER(IFERROR(LOOKUP(2,1/(ISNUMBER($M331:$U331)+($M331:$U331="DNA")),$M331:$U331),"")),IFERROR(LOOKUP(2,1/(ISNUMBER($M331:$U331)+($M331:$U331="DNA")),$M331:$U331),"")&lt;TODAY())),1,0)+COUNTIF($V331:$Z331,"&lt;"&amp;TODAY()))</f>
        <v/>
      </c>
      <c r="J331" s="32">
        <f>IF(NOT(AND($A331&lt;&gt;"",OR($G331="",$G331="Active"))),"",COUNTIFS($M331:$U331,"&gt;="&amp;TODAY(),$M331:$U331,"&lt;="&amp;TODAY()+7)+COUNTIFS($V331:$Z331,"&gt;="&amp;TODAY(),$V331:$Z331,"&lt;="&amp;TODAY()+7))</f>
        <v/>
      </c>
      <c r="K331" s="32">
        <f>IF(NOT(AND($A331&lt;&gt;"",OR($G331="",$G331="Active"))),"",IF($L331&lt;&gt;"",IF($L331=$M331,"Booking",INDEX($N$4:$U$4,MATCH($L331,$N331:$U331,0))),IF(IFERROR(LOOKUP(2,1/(ISNUMBER($M331:$U331)+($M331:$U331="DNA")),$M331:$U331),"")="DNA","Rebook DNA",IF(ISNUMBER(IFERROR(LOOKUP(2,1/(ISNUMBER($M331:$U331)+($M331:$U331="DNA")),$M331:$U331),"")),IF(ISNUMBER($U331),"Update status","Missed/not booked?"),""))))</f>
        <v/>
      </c>
      <c r="L331" s="33">
        <f>IF(NOT(AND($A331&lt;&gt;"",OR($G331="",$G331="Active"))),"",IFERROR(SMALL($M331:$U331,COUNTIF($M331:$U331,"&lt;"&amp;TODAY())+1),""))</f>
        <v/>
      </c>
      <c r="M331" s="31" t="n"/>
      <c r="N331" s="31" t="n"/>
      <c r="O331" s="31" t="n"/>
      <c r="P331" s="31" t="n"/>
      <c r="Q331" s="31" t="n"/>
      <c r="R331" s="31" t="n"/>
      <c r="S331" s="31" t="n"/>
      <c r="T331" s="31" t="n"/>
      <c r="U331" s="31" t="n"/>
      <c r="V331" s="31" t="n"/>
      <c r="W331" s="31" t="n"/>
      <c r="X331" s="31" t="n"/>
      <c r="Y331" s="31" t="n"/>
      <c r="Z331" s="31" t="n"/>
      <c r="AA331" s="34" t="n"/>
      <c r="AB331" s="29" t="n"/>
      <c r="AC331" s="31" t="n"/>
    </row>
    <row r="332">
      <c r="A332" s="29" t="n"/>
      <c r="B332" s="30" t="n"/>
      <c r="C332" s="31" t="n"/>
      <c r="D332" s="29" t="n"/>
      <c r="E332" s="29" t="n"/>
      <c r="F332" s="31" t="n"/>
      <c r="G332" s="29" t="n"/>
      <c r="H332" s="32">
        <f>IF(OR(NOT(AND($A332&lt;&gt;"",OR($G332="",$G332="Active"))),$F332=""),"",INT((TODAY()-$F332+280)/7)&amp;"+"&amp;MOD(TODAY()-$F332+280,7))</f>
        <v/>
      </c>
      <c r="I332" s="32">
        <f>IF(NOT(AND($A332&lt;&gt;"",OR($G332="",$G332="Active"))),"",IF(OR(IFERROR(LOOKUP(2,1/(ISNUMBER($M332:$U332)+($M332:$U332="DNA")),$M332:$U332),"")="DNA",AND(ISNUMBER(IFERROR(LOOKUP(2,1/(ISNUMBER($M332:$U332)+($M332:$U332="DNA")),$M332:$U332),"")),IFERROR(LOOKUP(2,1/(ISNUMBER($M332:$U332)+($M332:$U332="DNA")),$M332:$U332),"")&lt;TODAY())),1,0)+COUNTIF($V332:$Z332,"&lt;"&amp;TODAY()))</f>
        <v/>
      </c>
      <c r="J332" s="32">
        <f>IF(NOT(AND($A332&lt;&gt;"",OR($G332="",$G332="Active"))),"",COUNTIFS($M332:$U332,"&gt;="&amp;TODAY(),$M332:$U332,"&lt;="&amp;TODAY()+7)+COUNTIFS($V332:$Z332,"&gt;="&amp;TODAY(),$V332:$Z332,"&lt;="&amp;TODAY()+7))</f>
        <v/>
      </c>
      <c r="K332" s="32">
        <f>IF(NOT(AND($A332&lt;&gt;"",OR($G332="",$G332="Active"))),"",IF($L332&lt;&gt;"",IF($L332=$M332,"Booking",INDEX($N$4:$U$4,MATCH($L332,$N332:$U332,0))),IF(IFERROR(LOOKUP(2,1/(ISNUMBER($M332:$U332)+($M332:$U332="DNA")),$M332:$U332),"")="DNA","Rebook DNA",IF(ISNUMBER(IFERROR(LOOKUP(2,1/(ISNUMBER($M332:$U332)+($M332:$U332="DNA")),$M332:$U332),"")),IF(ISNUMBER($U332),"Update status","Missed/not booked?"),""))))</f>
        <v/>
      </c>
      <c r="L332" s="33">
        <f>IF(NOT(AND($A332&lt;&gt;"",OR($G332="",$G332="Active"))),"",IFERROR(SMALL($M332:$U332,COUNTIF($M332:$U332,"&lt;"&amp;TODAY())+1),""))</f>
        <v/>
      </c>
      <c r="M332" s="31" t="n"/>
      <c r="N332" s="31" t="n"/>
      <c r="O332" s="31" t="n"/>
      <c r="P332" s="31" t="n"/>
      <c r="Q332" s="31" t="n"/>
      <c r="R332" s="31" t="n"/>
      <c r="S332" s="31" t="n"/>
      <c r="T332" s="31" t="n"/>
      <c r="U332" s="31" t="n"/>
      <c r="V332" s="31" t="n"/>
      <c r="W332" s="31" t="n"/>
      <c r="X332" s="31" t="n"/>
      <c r="Y332" s="31" t="n"/>
      <c r="Z332" s="31" t="n"/>
      <c r="AA332" s="34" t="n"/>
      <c r="AB332" s="29" t="n"/>
      <c r="AC332" s="31" t="n"/>
    </row>
    <row r="333">
      <c r="A333" s="29" t="n"/>
      <c r="B333" s="30" t="n"/>
      <c r="C333" s="31" t="n"/>
      <c r="D333" s="29" t="n"/>
      <c r="E333" s="29" t="n"/>
      <c r="F333" s="31" t="n"/>
      <c r="G333" s="29" t="n"/>
      <c r="H333" s="32">
        <f>IF(OR(NOT(AND($A333&lt;&gt;"",OR($G333="",$G333="Active"))),$F333=""),"",INT((TODAY()-$F333+280)/7)&amp;"+"&amp;MOD(TODAY()-$F333+280,7))</f>
        <v/>
      </c>
      <c r="I333" s="32">
        <f>IF(NOT(AND($A333&lt;&gt;"",OR($G333="",$G333="Active"))),"",IF(OR(IFERROR(LOOKUP(2,1/(ISNUMBER($M333:$U333)+($M333:$U333="DNA")),$M333:$U333),"")="DNA",AND(ISNUMBER(IFERROR(LOOKUP(2,1/(ISNUMBER($M333:$U333)+($M333:$U333="DNA")),$M333:$U333),"")),IFERROR(LOOKUP(2,1/(ISNUMBER($M333:$U333)+($M333:$U333="DNA")),$M333:$U333),"")&lt;TODAY())),1,0)+COUNTIF($V333:$Z333,"&lt;"&amp;TODAY()))</f>
        <v/>
      </c>
      <c r="J333" s="32">
        <f>IF(NOT(AND($A333&lt;&gt;"",OR($G333="",$G333="Active"))),"",COUNTIFS($M333:$U333,"&gt;="&amp;TODAY(),$M333:$U333,"&lt;="&amp;TODAY()+7)+COUNTIFS($V333:$Z333,"&gt;="&amp;TODAY(),$V333:$Z333,"&lt;="&amp;TODAY()+7))</f>
        <v/>
      </c>
      <c r="K333" s="32">
        <f>IF(NOT(AND($A333&lt;&gt;"",OR($G333="",$G333="Active"))),"",IF($L333&lt;&gt;"",IF($L333=$M333,"Booking",INDEX($N$4:$U$4,MATCH($L333,$N333:$U333,0))),IF(IFERROR(LOOKUP(2,1/(ISNUMBER($M333:$U333)+($M333:$U333="DNA")),$M333:$U333),"")="DNA","Rebook DNA",IF(ISNUMBER(IFERROR(LOOKUP(2,1/(ISNUMBER($M333:$U333)+($M333:$U333="DNA")),$M333:$U333),"")),IF(ISNUMBER($U333),"Update status","Missed/not booked?"),""))))</f>
        <v/>
      </c>
      <c r="L333" s="33">
        <f>IF(NOT(AND($A333&lt;&gt;"",OR($G333="",$G333="Active"))),"",IFERROR(SMALL($M333:$U333,COUNTIF($M333:$U333,"&lt;"&amp;TODAY())+1),""))</f>
        <v/>
      </c>
      <c r="M333" s="31" t="n"/>
      <c r="N333" s="31" t="n"/>
      <c r="O333" s="31" t="n"/>
      <c r="P333" s="31" t="n"/>
      <c r="Q333" s="31" t="n"/>
      <c r="R333" s="31" t="n"/>
      <c r="S333" s="31" t="n"/>
      <c r="T333" s="31" t="n"/>
      <c r="U333" s="31" t="n"/>
      <c r="V333" s="31" t="n"/>
      <c r="W333" s="31" t="n"/>
      <c r="X333" s="31" t="n"/>
      <c r="Y333" s="31" t="n"/>
      <c r="Z333" s="31" t="n"/>
      <c r="AA333" s="34" t="n"/>
      <c r="AB333" s="29" t="n"/>
      <c r="AC333" s="31" t="n"/>
    </row>
    <row r="334">
      <c r="A334" s="29" t="n"/>
      <c r="B334" s="30" t="n"/>
      <c r="C334" s="31" t="n"/>
      <c r="D334" s="29" t="n"/>
      <c r="E334" s="29" t="n"/>
      <c r="F334" s="31" t="n"/>
      <c r="G334" s="29" t="n"/>
      <c r="H334" s="32">
        <f>IF(OR(NOT(AND($A334&lt;&gt;"",OR($G334="",$G334="Active"))),$F334=""),"",INT((TODAY()-$F334+280)/7)&amp;"+"&amp;MOD(TODAY()-$F334+280,7))</f>
        <v/>
      </c>
      <c r="I334" s="32">
        <f>IF(NOT(AND($A334&lt;&gt;"",OR($G334="",$G334="Active"))),"",IF(OR(IFERROR(LOOKUP(2,1/(ISNUMBER($M334:$U334)+($M334:$U334="DNA")),$M334:$U334),"")="DNA",AND(ISNUMBER(IFERROR(LOOKUP(2,1/(ISNUMBER($M334:$U334)+($M334:$U334="DNA")),$M334:$U334),"")),IFERROR(LOOKUP(2,1/(ISNUMBER($M334:$U334)+($M334:$U334="DNA")),$M334:$U334),"")&lt;TODAY())),1,0)+COUNTIF($V334:$Z334,"&lt;"&amp;TODAY()))</f>
        <v/>
      </c>
      <c r="J334" s="32">
        <f>IF(NOT(AND($A334&lt;&gt;"",OR($G334="",$G334="Active"))),"",COUNTIFS($M334:$U334,"&gt;="&amp;TODAY(),$M334:$U334,"&lt;="&amp;TODAY()+7)+COUNTIFS($V334:$Z334,"&gt;="&amp;TODAY(),$V334:$Z334,"&lt;="&amp;TODAY()+7))</f>
        <v/>
      </c>
      <c r="K334" s="32">
        <f>IF(NOT(AND($A334&lt;&gt;"",OR($G334="",$G334="Active"))),"",IF($L334&lt;&gt;"",IF($L334=$M334,"Booking",INDEX($N$4:$U$4,MATCH($L334,$N334:$U334,0))),IF(IFERROR(LOOKUP(2,1/(ISNUMBER($M334:$U334)+($M334:$U334="DNA")),$M334:$U334),"")="DNA","Rebook DNA",IF(ISNUMBER(IFERROR(LOOKUP(2,1/(ISNUMBER($M334:$U334)+($M334:$U334="DNA")),$M334:$U334),"")),IF(ISNUMBER($U334),"Update status","Missed/not booked?"),""))))</f>
        <v/>
      </c>
      <c r="L334" s="33">
        <f>IF(NOT(AND($A334&lt;&gt;"",OR($G334="",$G334="Active"))),"",IFERROR(SMALL($M334:$U334,COUNTIF($M334:$U334,"&lt;"&amp;TODAY())+1),""))</f>
        <v/>
      </c>
      <c r="M334" s="31" t="n"/>
      <c r="N334" s="31" t="n"/>
      <c r="O334" s="31" t="n"/>
      <c r="P334" s="31" t="n"/>
      <c r="Q334" s="31" t="n"/>
      <c r="R334" s="31" t="n"/>
      <c r="S334" s="31" t="n"/>
      <c r="T334" s="31" t="n"/>
      <c r="U334" s="31" t="n"/>
      <c r="V334" s="31" t="n"/>
      <c r="W334" s="31" t="n"/>
      <c r="X334" s="31" t="n"/>
      <c r="Y334" s="31" t="n"/>
      <c r="Z334" s="31" t="n"/>
      <c r="AA334" s="34" t="n"/>
      <c r="AB334" s="29" t="n"/>
      <c r="AC334" s="31" t="n"/>
    </row>
    <row r="335">
      <c r="A335" s="29" t="n"/>
      <c r="B335" s="30" t="n"/>
      <c r="C335" s="31" t="n"/>
      <c r="D335" s="29" t="n"/>
      <c r="E335" s="29" t="n"/>
      <c r="F335" s="31" t="n"/>
      <c r="G335" s="29" t="n"/>
      <c r="H335" s="32">
        <f>IF(OR(NOT(AND($A335&lt;&gt;"",OR($G335="",$G335="Active"))),$F335=""),"",INT((TODAY()-$F335+280)/7)&amp;"+"&amp;MOD(TODAY()-$F335+280,7))</f>
        <v/>
      </c>
      <c r="I335" s="32">
        <f>IF(NOT(AND($A335&lt;&gt;"",OR($G335="",$G335="Active"))),"",IF(OR(IFERROR(LOOKUP(2,1/(ISNUMBER($M335:$U335)+($M335:$U335="DNA")),$M335:$U335),"")="DNA",AND(ISNUMBER(IFERROR(LOOKUP(2,1/(ISNUMBER($M335:$U335)+($M335:$U335="DNA")),$M335:$U335),"")),IFERROR(LOOKUP(2,1/(ISNUMBER($M335:$U335)+($M335:$U335="DNA")),$M335:$U335),"")&lt;TODAY())),1,0)+COUNTIF($V335:$Z335,"&lt;"&amp;TODAY()))</f>
        <v/>
      </c>
      <c r="J335" s="32">
        <f>IF(NOT(AND($A335&lt;&gt;"",OR($G335="",$G335="Active"))),"",COUNTIFS($M335:$U335,"&gt;="&amp;TODAY(),$M335:$U335,"&lt;="&amp;TODAY()+7)+COUNTIFS($V335:$Z335,"&gt;="&amp;TODAY(),$V335:$Z335,"&lt;="&amp;TODAY()+7))</f>
        <v/>
      </c>
      <c r="K335" s="32">
        <f>IF(NOT(AND($A335&lt;&gt;"",OR($G335="",$G335="Active"))),"",IF($L335&lt;&gt;"",IF($L335=$M335,"Booking",INDEX($N$4:$U$4,MATCH($L335,$N335:$U335,0))),IF(IFERROR(LOOKUP(2,1/(ISNUMBER($M335:$U335)+($M335:$U335="DNA")),$M335:$U335),"")="DNA","Rebook DNA",IF(ISNUMBER(IFERROR(LOOKUP(2,1/(ISNUMBER($M335:$U335)+($M335:$U335="DNA")),$M335:$U335),"")),IF(ISNUMBER($U335),"Update status","Missed/not booked?"),""))))</f>
        <v/>
      </c>
      <c r="L335" s="33">
        <f>IF(NOT(AND($A335&lt;&gt;"",OR($G335="",$G335="Active"))),"",IFERROR(SMALL($M335:$U335,COUNTIF($M335:$U335,"&lt;"&amp;TODAY())+1),""))</f>
        <v/>
      </c>
      <c r="M335" s="31" t="n"/>
      <c r="N335" s="31" t="n"/>
      <c r="O335" s="31" t="n"/>
      <c r="P335" s="31" t="n"/>
      <c r="Q335" s="31" t="n"/>
      <c r="R335" s="31" t="n"/>
      <c r="S335" s="31" t="n"/>
      <c r="T335" s="31" t="n"/>
      <c r="U335" s="31" t="n"/>
      <c r="V335" s="31" t="n"/>
      <c r="W335" s="31" t="n"/>
      <c r="X335" s="31" t="n"/>
      <c r="Y335" s="31" t="n"/>
      <c r="Z335" s="31" t="n"/>
      <c r="AA335" s="34" t="n"/>
      <c r="AB335" s="29" t="n"/>
      <c r="AC335" s="31" t="n"/>
    </row>
    <row r="336">
      <c r="A336" s="29" t="n"/>
      <c r="B336" s="30" t="n"/>
      <c r="C336" s="31" t="n"/>
      <c r="D336" s="29" t="n"/>
      <c r="E336" s="29" t="n"/>
      <c r="F336" s="31" t="n"/>
      <c r="G336" s="29" t="n"/>
      <c r="H336" s="32">
        <f>IF(OR(NOT(AND($A336&lt;&gt;"",OR($G336="",$G336="Active"))),$F336=""),"",INT((TODAY()-$F336+280)/7)&amp;"+"&amp;MOD(TODAY()-$F336+280,7))</f>
        <v/>
      </c>
      <c r="I336" s="32">
        <f>IF(NOT(AND($A336&lt;&gt;"",OR($G336="",$G336="Active"))),"",IF(OR(IFERROR(LOOKUP(2,1/(ISNUMBER($M336:$U336)+($M336:$U336="DNA")),$M336:$U336),"")="DNA",AND(ISNUMBER(IFERROR(LOOKUP(2,1/(ISNUMBER($M336:$U336)+($M336:$U336="DNA")),$M336:$U336),"")),IFERROR(LOOKUP(2,1/(ISNUMBER($M336:$U336)+($M336:$U336="DNA")),$M336:$U336),"")&lt;TODAY())),1,0)+COUNTIF($V336:$Z336,"&lt;"&amp;TODAY()))</f>
        <v/>
      </c>
      <c r="J336" s="32">
        <f>IF(NOT(AND($A336&lt;&gt;"",OR($G336="",$G336="Active"))),"",COUNTIFS($M336:$U336,"&gt;="&amp;TODAY(),$M336:$U336,"&lt;="&amp;TODAY()+7)+COUNTIFS($V336:$Z336,"&gt;="&amp;TODAY(),$V336:$Z336,"&lt;="&amp;TODAY()+7))</f>
        <v/>
      </c>
      <c r="K336" s="32">
        <f>IF(NOT(AND($A336&lt;&gt;"",OR($G336="",$G336="Active"))),"",IF($L336&lt;&gt;"",IF($L336=$M336,"Booking",INDEX($N$4:$U$4,MATCH($L336,$N336:$U336,0))),IF(IFERROR(LOOKUP(2,1/(ISNUMBER($M336:$U336)+($M336:$U336="DNA")),$M336:$U336),"")="DNA","Rebook DNA",IF(ISNUMBER(IFERROR(LOOKUP(2,1/(ISNUMBER($M336:$U336)+($M336:$U336="DNA")),$M336:$U336),"")),IF(ISNUMBER($U336),"Update status","Missed/not booked?"),""))))</f>
        <v/>
      </c>
      <c r="L336" s="33">
        <f>IF(NOT(AND($A336&lt;&gt;"",OR($G336="",$G336="Active"))),"",IFERROR(SMALL($M336:$U336,COUNTIF($M336:$U336,"&lt;"&amp;TODAY())+1),""))</f>
        <v/>
      </c>
      <c r="M336" s="31" t="n"/>
      <c r="N336" s="31" t="n"/>
      <c r="O336" s="31" t="n"/>
      <c r="P336" s="31" t="n"/>
      <c r="Q336" s="31" t="n"/>
      <c r="R336" s="31" t="n"/>
      <c r="S336" s="31" t="n"/>
      <c r="T336" s="31" t="n"/>
      <c r="U336" s="31" t="n"/>
      <c r="V336" s="31" t="n"/>
      <c r="W336" s="31" t="n"/>
      <c r="X336" s="31" t="n"/>
      <c r="Y336" s="31" t="n"/>
      <c r="Z336" s="31" t="n"/>
      <c r="AA336" s="34" t="n"/>
      <c r="AB336" s="29" t="n"/>
      <c r="AC336" s="31" t="n"/>
    </row>
    <row r="337">
      <c r="A337" s="29" t="n"/>
      <c r="B337" s="30" t="n"/>
      <c r="C337" s="31" t="n"/>
      <c r="D337" s="29" t="n"/>
      <c r="E337" s="29" t="n"/>
      <c r="F337" s="31" t="n"/>
      <c r="G337" s="29" t="n"/>
      <c r="H337" s="32">
        <f>IF(OR(NOT(AND($A337&lt;&gt;"",OR($G337="",$G337="Active"))),$F337=""),"",INT((TODAY()-$F337+280)/7)&amp;"+"&amp;MOD(TODAY()-$F337+280,7))</f>
        <v/>
      </c>
      <c r="I337" s="32">
        <f>IF(NOT(AND($A337&lt;&gt;"",OR($G337="",$G337="Active"))),"",IF(OR(IFERROR(LOOKUP(2,1/(ISNUMBER($M337:$U337)+($M337:$U337="DNA")),$M337:$U337),"")="DNA",AND(ISNUMBER(IFERROR(LOOKUP(2,1/(ISNUMBER($M337:$U337)+($M337:$U337="DNA")),$M337:$U337),"")),IFERROR(LOOKUP(2,1/(ISNUMBER($M337:$U337)+($M337:$U337="DNA")),$M337:$U337),"")&lt;TODAY())),1,0)+COUNTIF($V337:$Z337,"&lt;"&amp;TODAY()))</f>
        <v/>
      </c>
      <c r="J337" s="32">
        <f>IF(NOT(AND($A337&lt;&gt;"",OR($G337="",$G337="Active"))),"",COUNTIFS($M337:$U337,"&gt;="&amp;TODAY(),$M337:$U337,"&lt;="&amp;TODAY()+7)+COUNTIFS($V337:$Z337,"&gt;="&amp;TODAY(),$V337:$Z337,"&lt;="&amp;TODAY()+7))</f>
        <v/>
      </c>
      <c r="K337" s="32">
        <f>IF(NOT(AND($A337&lt;&gt;"",OR($G337="",$G337="Active"))),"",IF($L337&lt;&gt;"",IF($L337=$M337,"Booking",INDEX($N$4:$U$4,MATCH($L337,$N337:$U337,0))),IF(IFERROR(LOOKUP(2,1/(ISNUMBER($M337:$U337)+($M337:$U337="DNA")),$M337:$U337),"")="DNA","Rebook DNA",IF(ISNUMBER(IFERROR(LOOKUP(2,1/(ISNUMBER($M337:$U337)+($M337:$U337="DNA")),$M337:$U337),"")),IF(ISNUMBER($U337),"Update status","Missed/not booked?"),""))))</f>
        <v/>
      </c>
      <c r="L337" s="33">
        <f>IF(NOT(AND($A337&lt;&gt;"",OR($G337="",$G337="Active"))),"",IFERROR(SMALL($M337:$U337,COUNTIF($M337:$U337,"&lt;"&amp;TODAY())+1),""))</f>
        <v/>
      </c>
      <c r="M337" s="31" t="n"/>
      <c r="N337" s="31" t="n"/>
      <c r="O337" s="31" t="n"/>
      <c r="P337" s="31" t="n"/>
      <c r="Q337" s="31" t="n"/>
      <c r="R337" s="31" t="n"/>
      <c r="S337" s="31" t="n"/>
      <c r="T337" s="31" t="n"/>
      <c r="U337" s="31" t="n"/>
      <c r="V337" s="31" t="n"/>
      <c r="W337" s="31" t="n"/>
      <c r="X337" s="31" t="n"/>
      <c r="Y337" s="31" t="n"/>
      <c r="Z337" s="31" t="n"/>
      <c r="AA337" s="34" t="n"/>
      <c r="AB337" s="29" t="n"/>
      <c r="AC337" s="31" t="n"/>
    </row>
    <row r="338">
      <c r="A338" s="29" t="n"/>
      <c r="B338" s="30" t="n"/>
      <c r="C338" s="31" t="n"/>
      <c r="D338" s="29" t="n"/>
      <c r="E338" s="29" t="n"/>
      <c r="F338" s="31" t="n"/>
      <c r="G338" s="29" t="n"/>
      <c r="H338" s="32">
        <f>IF(OR(NOT(AND($A338&lt;&gt;"",OR($G338="",$G338="Active"))),$F338=""),"",INT((TODAY()-$F338+280)/7)&amp;"+"&amp;MOD(TODAY()-$F338+280,7))</f>
        <v/>
      </c>
      <c r="I338" s="32">
        <f>IF(NOT(AND($A338&lt;&gt;"",OR($G338="",$G338="Active"))),"",IF(OR(IFERROR(LOOKUP(2,1/(ISNUMBER($M338:$U338)+($M338:$U338="DNA")),$M338:$U338),"")="DNA",AND(ISNUMBER(IFERROR(LOOKUP(2,1/(ISNUMBER($M338:$U338)+($M338:$U338="DNA")),$M338:$U338),"")),IFERROR(LOOKUP(2,1/(ISNUMBER($M338:$U338)+($M338:$U338="DNA")),$M338:$U338),"")&lt;TODAY())),1,0)+COUNTIF($V338:$Z338,"&lt;"&amp;TODAY()))</f>
        <v/>
      </c>
      <c r="J338" s="32">
        <f>IF(NOT(AND($A338&lt;&gt;"",OR($G338="",$G338="Active"))),"",COUNTIFS($M338:$U338,"&gt;="&amp;TODAY(),$M338:$U338,"&lt;="&amp;TODAY()+7)+COUNTIFS($V338:$Z338,"&gt;="&amp;TODAY(),$V338:$Z338,"&lt;="&amp;TODAY()+7))</f>
        <v/>
      </c>
      <c r="K338" s="32">
        <f>IF(NOT(AND($A338&lt;&gt;"",OR($G338="",$G338="Active"))),"",IF($L338&lt;&gt;"",IF($L338=$M338,"Booking",INDEX($N$4:$U$4,MATCH($L338,$N338:$U338,0))),IF(IFERROR(LOOKUP(2,1/(ISNUMBER($M338:$U338)+($M338:$U338="DNA")),$M338:$U338),"")="DNA","Rebook DNA",IF(ISNUMBER(IFERROR(LOOKUP(2,1/(ISNUMBER($M338:$U338)+($M338:$U338="DNA")),$M338:$U338),"")),IF(ISNUMBER($U338),"Update status","Missed/not booked?"),""))))</f>
        <v/>
      </c>
      <c r="L338" s="33">
        <f>IF(NOT(AND($A338&lt;&gt;"",OR($G338="",$G338="Active"))),"",IFERROR(SMALL($M338:$U338,COUNTIF($M338:$U338,"&lt;"&amp;TODAY())+1),""))</f>
        <v/>
      </c>
      <c r="M338" s="31" t="n"/>
      <c r="N338" s="31" t="n"/>
      <c r="O338" s="31" t="n"/>
      <c r="P338" s="31" t="n"/>
      <c r="Q338" s="31" t="n"/>
      <c r="R338" s="31" t="n"/>
      <c r="S338" s="31" t="n"/>
      <c r="T338" s="31" t="n"/>
      <c r="U338" s="31" t="n"/>
      <c r="V338" s="31" t="n"/>
      <c r="W338" s="31" t="n"/>
      <c r="X338" s="31" t="n"/>
      <c r="Y338" s="31" t="n"/>
      <c r="Z338" s="31" t="n"/>
      <c r="AA338" s="34" t="n"/>
      <c r="AB338" s="29" t="n"/>
      <c r="AC338" s="31" t="n"/>
    </row>
    <row r="339">
      <c r="A339" s="29" t="n"/>
      <c r="B339" s="30" t="n"/>
      <c r="C339" s="31" t="n"/>
      <c r="D339" s="29" t="n"/>
      <c r="E339" s="29" t="n"/>
      <c r="F339" s="31" t="n"/>
      <c r="G339" s="29" t="n"/>
      <c r="H339" s="32">
        <f>IF(OR(NOT(AND($A339&lt;&gt;"",OR($G339="",$G339="Active"))),$F339=""),"",INT((TODAY()-$F339+280)/7)&amp;"+"&amp;MOD(TODAY()-$F339+280,7))</f>
        <v/>
      </c>
      <c r="I339" s="32">
        <f>IF(NOT(AND($A339&lt;&gt;"",OR($G339="",$G339="Active"))),"",IF(OR(IFERROR(LOOKUP(2,1/(ISNUMBER($M339:$U339)+($M339:$U339="DNA")),$M339:$U339),"")="DNA",AND(ISNUMBER(IFERROR(LOOKUP(2,1/(ISNUMBER($M339:$U339)+($M339:$U339="DNA")),$M339:$U339),"")),IFERROR(LOOKUP(2,1/(ISNUMBER($M339:$U339)+($M339:$U339="DNA")),$M339:$U339),"")&lt;TODAY())),1,0)+COUNTIF($V339:$Z339,"&lt;"&amp;TODAY()))</f>
        <v/>
      </c>
      <c r="J339" s="32">
        <f>IF(NOT(AND($A339&lt;&gt;"",OR($G339="",$G339="Active"))),"",COUNTIFS($M339:$U339,"&gt;="&amp;TODAY(),$M339:$U339,"&lt;="&amp;TODAY()+7)+COUNTIFS($V339:$Z339,"&gt;="&amp;TODAY(),$V339:$Z339,"&lt;="&amp;TODAY()+7))</f>
        <v/>
      </c>
      <c r="K339" s="32">
        <f>IF(NOT(AND($A339&lt;&gt;"",OR($G339="",$G339="Active"))),"",IF($L339&lt;&gt;"",IF($L339=$M339,"Booking",INDEX($N$4:$U$4,MATCH($L339,$N339:$U339,0))),IF(IFERROR(LOOKUP(2,1/(ISNUMBER($M339:$U339)+($M339:$U339="DNA")),$M339:$U339),"")="DNA","Rebook DNA",IF(ISNUMBER(IFERROR(LOOKUP(2,1/(ISNUMBER($M339:$U339)+($M339:$U339="DNA")),$M339:$U339),"")),IF(ISNUMBER($U339),"Update status","Missed/not booked?"),""))))</f>
        <v/>
      </c>
      <c r="L339" s="33">
        <f>IF(NOT(AND($A339&lt;&gt;"",OR($G339="",$G339="Active"))),"",IFERROR(SMALL($M339:$U339,COUNTIF($M339:$U339,"&lt;"&amp;TODAY())+1),""))</f>
        <v/>
      </c>
      <c r="M339" s="31" t="n"/>
      <c r="N339" s="31" t="n"/>
      <c r="O339" s="31" t="n"/>
      <c r="P339" s="31" t="n"/>
      <c r="Q339" s="31" t="n"/>
      <c r="R339" s="31" t="n"/>
      <c r="S339" s="31" t="n"/>
      <c r="T339" s="31" t="n"/>
      <c r="U339" s="31" t="n"/>
      <c r="V339" s="31" t="n"/>
      <c r="W339" s="31" t="n"/>
      <c r="X339" s="31" t="n"/>
      <c r="Y339" s="31" t="n"/>
      <c r="Z339" s="31" t="n"/>
      <c r="AA339" s="34" t="n"/>
      <c r="AB339" s="29" t="n"/>
      <c r="AC339" s="31" t="n"/>
    </row>
    <row r="340">
      <c r="A340" s="29" t="n"/>
      <c r="B340" s="30" t="n"/>
      <c r="C340" s="31" t="n"/>
      <c r="D340" s="29" t="n"/>
      <c r="E340" s="29" t="n"/>
      <c r="F340" s="31" t="n"/>
      <c r="G340" s="29" t="n"/>
      <c r="H340" s="32">
        <f>IF(OR(NOT(AND($A340&lt;&gt;"",OR($G340="",$G340="Active"))),$F340=""),"",INT((TODAY()-$F340+280)/7)&amp;"+"&amp;MOD(TODAY()-$F340+280,7))</f>
        <v/>
      </c>
      <c r="I340" s="32">
        <f>IF(NOT(AND($A340&lt;&gt;"",OR($G340="",$G340="Active"))),"",IF(OR(IFERROR(LOOKUP(2,1/(ISNUMBER($M340:$U340)+($M340:$U340="DNA")),$M340:$U340),"")="DNA",AND(ISNUMBER(IFERROR(LOOKUP(2,1/(ISNUMBER($M340:$U340)+($M340:$U340="DNA")),$M340:$U340),"")),IFERROR(LOOKUP(2,1/(ISNUMBER($M340:$U340)+($M340:$U340="DNA")),$M340:$U340),"")&lt;TODAY())),1,0)+COUNTIF($V340:$Z340,"&lt;"&amp;TODAY()))</f>
        <v/>
      </c>
      <c r="J340" s="32">
        <f>IF(NOT(AND($A340&lt;&gt;"",OR($G340="",$G340="Active"))),"",COUNTIFS($M340:$U340,"&gt;="&amp;TODAY(),$M340:$U340,"&lt;="&amp;TODAY()+7)+COUNTIFS($V340:$Z340,"&gt;="&amp;TODAY(),$V340:$Z340,"&lt;="&amp;TODAY()+7))</f>
        <v/>
      </c>
      <c r="K340" s="32">
        <f>IF(NOT(AND($A340&lt;&gt;"",OR($G340="",$G340="Active"))),"",IF($L340&lt;&gt;"",IF($L340=$M340,"Booking",INDEX($N$4:$U$4,MATCH($L340,$N340:$U340,0))),IF(IFERROR(LOOKUP(2,1/(ISNUMBER($M340:$U340)+($M340:$U340="DNA")),$M340:$U340),"")="DNA","Rebook DNA",IF(ISNUMBER(IFERROR(LOOKUP(2,1/(ISNUMBER($M340:$U340)+($M340:$U340="DNA")),$M340:$U340),"")),IF(ISNUMBER($U340),"Update status","Missed/not booked?"),""))))</f>
        <v/>
      </c>
      <c r="L340" s="33">
        <f>IF(NOT(AND($A340&lt;&gt;"",OR($G340="",$G340="Active"))),"",IFERROR(SMALL($M340:$U340,COUNTIF($M340:$U340,"&lt;"&amp;TODAY())+1),""))</f>
        <v/>
      </c>
      <c r="M340" s="31" t="n"/>
      <c r="N340" s="31" t="n"/>
      <c r="O340" s="31" t="n"/>
      <c r="P340" s="31" t="n"/>
      <c r="Q340" s="31" t="n"/>
      <c r="R340" s="31" t="n"/>
      <c r="S340" s="31" t="n"/>
      <c r="T340" s="31" t="n"/>
      <c r="U340" s="31" t="n"/>
      <c r="V340" s="31" t="n"/>
      <c r="W340" s="31" t="n"/>
      <c r="X340" s="31" t="n"/>
      <c r="Y340" s="31" t="n"/>
      <c r="Z340" s="31" t="n"/>
      <c r="AA340" s="34" t="n"/>
      <c r="AB340" s="29" t="n"/>
      <c r="AC340" s="31" t="n"/>
    </row>
    <row r="341">
      <c r="A341" s="29" t="n"/>
      <c r="B341" s="30" t="n"/>
      <c r="C341" s="31" t="n"/>
      <c r="D341" s="29" t="n"/>
      <c r="E341" s="29" t="n"/>
      <c r="F341" s="31" t="n"/>
      <c r="G341" s="29" t="n"/>
      <c r="H341" s="32">
        <f>IF(OR(NOT(AND($A341&lt;&gt;"",OR($G341="",$G341="Active"))),$F341=""),"",INT((TODAY()-$F341+280)/7)&amp;"+"&amp;MOD(TODAY()-$F341+280,7))</f>
        <v/>
      </c>
      <c r="I341" s="32">
        <f>IF(NOT(AND($A341&lt;&gt;"",OR($G341="",$G341="Active"))),"",IF(OR(IFERROR(LOOKUP(2,1/(ISNUMBER($M341:$U341)+($M341:$U341="DNA")),$M341:$U341),"")="DNA",AND(ISNUMBER(IFERROR(LOOKUP(2,1/(ISNUMBER($M341:$U341)+($M341:$U341="DNA")),$M341:$U341),"")),IFERROR(LOOKUP(2,1/(ISNUMBER($M341:$U341)+($M341:$U341="DNA")),$M341:$U341),"")&lt;TODAY())),1,0)+COUNTIF($V341:$Z341,"&lt;"&amp;TODAY()))</f>
        <v/>
      </c>
      <c r="J341" s="32">
        <f>IF(NOT(AND($A341&lt;&gt;"",OR($G341="",$G341="Active"))),"",COUNTIFS($M341:$U341,"&gt;="&amp;TODAY(),$M341:$U341,"&lt;="&amp;TODAY()+7)+COUNTIFS($V341:$Z341,"&gt;="&amp;TODAY(),$V341:$Z341,"&lt;="&amp;TODAY()+7))</f>
        <v/>
      </c>
      <c r="K341" s="32">
        <f>IF(NOT(AND($A341&lt;&gt;"",OR($G341="",$G341="Active"))),"",IF($L341&lt;&gt;"",IF($L341=$M341,"Booking",INDEX($N$4:$U$4,MATCH($L341,$N341:$U341,0))),IF(IFERROR(LOOKUP(2,1/(ISNUMBER($M341:$U341)+($M341:$U341="DNA")),$M341:$U341),"")="DNA","Rebook DNA",IF(ISNUMBER(IFERROR(LOOKUP(2,1/(ISNUMBER($M341:$U341)+($M341:$U341="DNA")),$M341:$U341),"")),IF(ISNUMBER($U341),"Update status","Missed/not booked?"),""))))</f>
        <v/>
      </c>
      <c r="L341" s="33">
        <f>IF(NOT(AND($A341&lt;&gt;"",OR($G341="",$G341="Active"))),"",IFERROR(SMALL($M341:$U341,COUNTIF($M341:$U341,"&lt;"&amp;TODAY())+1),""))</f>
        <v/>
      </c>
      <c r="M341" s="31" t="n"/>
      <c r="N341" s="31" t="n"/>
      <c r="O341" s="31" t="n"/>
      <c r="P341" s="31" t="n"/>
      <c r="Q341" s="31" t="n"/>
      <c r="R341" s="31" t="n"/>
      <c r="S341" s="31" t="n"/>
      <c r="T341" s="31" t="n"/>
      <c r="U341" s="31" t="n"/>
      <c r="V341" s="31" t="n"/>
      <c r="W341" s="31" t="n"/>
      <c r="X341" s="31" t="n"/>
      <c r="Y341" s="31" t="n"/>
      <c r="Z341" s="31" t="n"/>
      <c r="AA341" s="34" t="n"/>
      <c r="AB341" s="29" t="n"/>
      <c r="AC341" s="31" t="n"/>
    </row>
    <row r="342">
      <c r="A342" s="29" t="n"/>
      <c r="B342" s="30" t="n"/>
      <c r="C342" s="31" t="n"/>
      <c r="D342" s="29" t="n"/>
      <c r="E342" s="29" t="n"/>
      <c r="F342" s="31" t="n"/>
      <c r="G342" s="29" t="n"/>
      <c r="H342" s="32">
        <f>IF(OR(NOT(AND($A342&lt;&gt;"",OR($G342="",$G342="Active"))),$F342=""),"",INT((TODAY()-$F342+280)/7)&amp;"+"&amp;MOD(TODAY()-$F342+280,7))</f>
        <v/>
      </c>
      <c r="I342" s="32">
        <f>IF(NOT(AND($A342&lt;&gt;"",OR($G342="",$G342="Active"))),"",IF(OR(IFERROR(LOOKUP(2,1/(ISNUMBER($M342:$U342)+($M342:$U342="DNA")),$M342:$U342),"")="DNA",AND(ISNUMBER(IFERROR(LOOKUP(2,1/(ISNUMBER($M342:$U342)+($M342:$U342="DNA")),$M342:$U342),"")),IFERROR(LOOKUP(2,1/(ISNUMBER($M342:$U342)+($M342:$U342="DNA")),$M342:$U342),"")&lt;TODAY())),1,0)+COUNTIF($V342:$Z342,"&lt;"&amp;TODAY()))</f>
        <v/>
      </c>
      <c r="J342" s="32">
        <f>IF(NOT(AND($A342&lt;&gt;"",OR($G342="",$G342="Active"))),"",COUNTIFS($M342:$U342,"&gt;="&amp;TODAY(),$M342:$U342,"&lt;="&amp;TODAY()+7)+COUNTIFS($V342:$Z342,"&gt;="&amp;TODAY(),$V342:$Z342,"&lt;="&amp;TODAY()+7))</f>
        <v/>
      </c>
      <c r="K342" s="32">
        <f>IF(NOT(AND($A342&lt;&gt;"",OR($G342="",$G342="Active"))),"",IF($L342&lt;&gt;"",IF($L342=$M342,"Booking",INDEX($N$4:$U$4,MATCH($L342,$N342:$U342,0))),IF(IFERROR(LOOKUP(2,1/(ISNUMBER($M342:$U342)+($M342:$U342="DNA")),$M342:$U342),"")="DNA","Rebook DNA",IF(ISNUMBER(IFERROR(LOOKUP(2,1/(ISNUMBER($M342:$U342)+($M342:$U342="DNA")),$M342:$U342),"")),IF(ISNUMBER($U342),"Update status","Missed/not booked?"),""))))</f>
        <v/>
      </c>
      <c r="L342" s="33">
        <f>IF(NOT(AND($A342&lt;&gt;"",OR($G342="",$G342="Active"))),"",IFERROR(SMALL($M342:$U342,COUNTIF($M342:$U342,"&lt;"&amp;TODAY())+1),""))</f>
        <v/>
      </c>
      <c r="M342" s="31" t="n"/>
      <c r="N342" s="31" t="n"/>
      <c r="O342" s="31" t="n"/>
      <c r="P342" s="31" t="n"/>
      <c r="Q342" s="31" t="n"/>
      <c r="R342" s="31" t="n"/>
      <c r="S342" s="31" t="n"/>
      <c r="T342" s="31" t="n"/>
      <c r="U342" s="31" t="n"/>
      <c r="V342" s="31" t="n"/>
      <c r="W342" s="31" t="n"/>
      <c r="X342" s="31" t="n"/>
      <c r="Y342" s="31" t="n"/>
      <c r="Z342" s="31" t="n"/>
      <c r="AA342" s="34" t="n"/>
      <c r="AB342" s="29" t="n"/>
      <c r="AC342" s="31" t="n"/>
    </row>
    <row r="343">
      <c r="A343" s="29" t="n"/>
      <c r="B343" s="30" t="n"/>
      <c r="C343" s="31" t="n"/>
      <c r="D343" s="29" t="n"/>
      <c r="E343" s="29" t="n"/>
      <c r="F343" s="31" t="n"/>
      <c r="G343" s="29" t="n"/>
      <c r="H343" s="32">
        <f>IF(OR(NOT(AND($A343&lt;&gt;"",OR($G343="",$G343="Active"))),$F343=""),"",INT((TODAY()-$F343+280)/7)&amp;"+"&amp;MOD(TODAY()-$F343+280,7))</f>
        <v/>
      </c>
      <c r="I343" s="32">
        <f>IF(NOT(AND($A343&lt;&gt;"",OR($G343="",$G343="Active"))),"",IF(OR(IFERROR(LOOKUP(2,1/(ISNUMBER($M343:$U343)+($M343:$U343="DNA")),$M343:$U343),"")="DNA",AND(ISNUMBER(IFERROR(LOOKUP(2,1/(ISNUMBER($M343:$U343)+($M343:$U343="DNA")),$M343:$U343),"")),IFERROR(LOOKUP(2,1/(ISNUMBER($M343:$U343)+($M343:$U343="DNA")),$M343:$U343),"")&lt;TODAY())),1,0)+COUNTIF($V343:$Z343,"&lt;"&amp;TODAY()))</f>
        <v/>
      </c>
      <c r="J343" s="32">
        <f>IF(NOT(AND($A343&lt;&gt;"",OR($G343="",$G343="Active"))),"",COUNTIFS($M343:$U343,"&gt;="&amp;TODAY(),$M343:$U343,"&lt;="&amp;TODAY()+7)+COUNTIFS($V343:$Z343,"&gt;="&amp;TODAY(),$V343:$Z343,"&lt;="&amp;TODAY()+7))</f>
        <v/>
      </c>
      <c r="K343" s="32">
        <f>IF(NOT(AND($A343&lt;&gt;"",OR($G343="",$G343="Active"))),"",IF($L343&lt;&gt;"",IF($L343=$M343,"Booking",INDEX($N$4:$U$4,MATCH($L343,$N343:$U343,0))),IF(IFERROR(LOOKUP(2,1/(ISNUMBER($M343:$U343)+($M343:$U343="DNA")),$M343:$U343),"")="DNA","Rebook DNA",IF(ISNUMBER(IFERROR(LOOKUP(2,1/(ISNUMBER($M343:$U343)+($M343:$U343="DNA")),$M343:$U343),"")),IF(ISNUMBER($U343),"Update status","Missed/not booked?"),""))))</f>
        <v/>
      </c>
      <c r="L343" s="33">
        <f>IF(NOT(AND($A343&lt;&gt;"",OR($G343="",$G343="Active"))),"",IFERROR(SMALL($M343:$U343,COUNTIF($M343:$U343,"&lt;"&amp;TODAY())+1),""))</f>
        <v/>
      </c>
      <c r="M343" s="31" t="n"/>
      <c r="N343" s="31" t="n"/>
      <c r="O343" s="31" t="n"/>
      <c r="P343" s="31" t="n"/>
      <c r="Q343" s="31" t="n"/>
      <c r="R343" s="31" t="n"/>
      <c r="S343" s="31" t="n"/>
      <c r="T343" s="31" t="n"/>
      <c r="U343" s="31" t="n"/>
      <c r="V343" s="31" t="n"/>
      <c r="W343" s="31" t="n"/>
      <c r="X343" s="31" t="n"/>
      <c r="Y343" s="31" t="n"/>
      <c r="Z343" s="31" t="n"/>
      <c r="AA343" s="34" t="n"/>
      <c r="AB343" s="29" t="n"/>
      <c r="AC343" s="31" t="n"/>
    </row>
    <row r="344">
      <c r="A344" s="29" t="n"/>
      <c r="B344" s="30" t="n"/>
      <c r="C344" s="31" t="n"/>
      <c r="D344" s="29" t="n"/>
      <c r="E344" s="29" t="n"/>
      <c r="F344" s="31" t="n"/>
      <c r="G344" s="29" t="n"/>
      <c r="H344" s="32">
        <f>IF(OR(NOT(AND($A344&lt;&gt;"",OR($G344="",$G344="Active"))),$F344=""),"",INT((TODAY()-$F344+280)/7)&amp;"+"&amp;MOD(TODAY()-$F344+280,7))</f>
        <v/>
      </c>
      <c r="I344" s="32">
        <f>IF(NOT(AND($A344&lt;&gt;"",OR($G344="",$G344="Active"))),"",IF(OR(IFERROR(LOOKUP(2,1/(ISNUMBER($M344:$U344)+($M344:$U344="DNA")),$M344:$U344),"")="DNA",AND(ISNUMBER(IFERROR(LOOKUP(2,1/(ISNUMBER($M344:$U344)+($M344:$U344="DNA")),$M344:$U344),"")),IFERROR(LOOKUP(2,1/(ISNUMBER($M344:$U344)+($M344:$U344="DNA")),$M344:$U344),"")&lt;TODAY())),1,0)+COUNTIF($V344:$Z344,"&lt;"&amp;TODAY()))</f>
        <v/>
      </c>
      <c r="J344" s="32">
        <f>IF(NOT(AND($A344&lt;&gt;"",OR($G344="",$G344="Active"))),"",COUNTIFS($M344:$U344,"&gt;="&amp;TODAY(),$M344:$U344,"&lt;="&amp;TODAY()+7)+COUNTIFS($V344:$Z344,"&gt;="&amp;TODAY(),$V344:$Z344,"&lt;="&amp;TODAY()+7))</f>
        <v/>
      </c>
      <c r="K344" s="32">
        <f>IF(NOT(AND($A344&lt;&gt;"",OR($G344="",$G344="Active"))),"",IF($L344&lt;&gt;"",IF($L344=$M344,"Booking",INDEX($N$4:$U$4,MATCH($L344,$N344:$U344,0))),IF(IFERROR(LOOKUP(2,1/(ISNUMBER($M344:$U344)+($M344:$U344="DNA")),$M344:$U344),"")="DNA","Rebook DNA",IF(ISNUMBER(IFERROR(LOOKUP(2,1/(ISNUMBER($M344:$U344)+($M344:$U344="DNA")),$M344:$U344),"")),IF(ISNUMBER($U344),"Update status","Missed/not booked?"),""))))</f>
        <v/>
      </c>
      <c r="L344" s="33">
        <f>IF(NOT(AND($A344&lt;&gt;"",OR($G344="",$G344="Active"))),"",IFERROR(SMALL($M344:$U344,COUNTIF($M344:$U344,"&lt;"&amp;TODAY())+1),""))</f>
        <v/>
      </c>
      <c r="M344" s="31" t="n"/>
      <c r="N344" s="31" t="n"/>
      <c r="O344" s="31" t="n"/>
      <c r="P344" s="31" t="n"/>
      <c r="Q344" s="31" t="n"/>
      <c r="R344" s="31" t="n"/>
      <c r="S344" s="31" t="n"/>
      <c r="T344" s="31" t="n"/>
      <c r="U344" s="31" t="n"/>
      <c r="V344" s="31" t="n"/>
      <c r="W344" s="31" t="n"/>
      <c r="X344" s="31" t="n"/>
      <c r="Y344" s="31" t="n"/>
      <c r="Z344" s="31" t="n"/>
      <c r="AA344" s="34" t="n"/>
      <c r="AB344" s="29" t="n"/>
      <c r="AC344" s="31" t="n"/>
    </row>
    <row r="345">
      <c r="A345" s="29" t="n"/>
      <c r="B345" s="30" t="n"/>
      <c r="C345" s="31" t="n"/>
      <c r="D345" s="29" t="n"/>
      <c r="E345" s="29" t="n"/>
      <c r="F345" s="31" t="n"/>
      <c r="G345" s="29" t="n"/>
      <c r="H345" s="32">
        <f>IF(OR(NOT(AND($A345&lt;&gt;"",OR($G345="",$G345="Active"))),$F345=""),"",INT((TODAY()-$F345+280)/7)&amp;"+"&amp;MOD(TODAY()-$F345+280,7))</f>
        <v/>
      </c>
      <c r="I345" s="32">
        <f>IF(NOT(AND($A345&lt;&gt;"",OR($G345="",$G345="Active"))),"",IF(OR(IFERROR(LOOKUP(2,1/(ISNUMBER($M345:$U345)+($M345:$U345="DNA")),$M345:$U345),"")="DNA",AND(ISNUMBER(IFERROR(LOOKUP(2,1/(ISNUMBER($M345:$U345)+($M345:$U345="DNA")),$M345:$U345),"")),IFERROR(LOOKUP(2,1/(ISNUMBER($M345:$U345)+($M345:$U345="DNA")),$M345:$U345),"")&lt;TODAY())),1,0)+COUNTIF($V345:$Z345,"&lt;"&amp;TODAY()))</f>
        <v/>
      </c>
      <c r="J345" s="32">
        <f>IF(NOT(AND($A345&lt;&gt;"",OR($G345="",$G345="Active"))),"",COUNTIFS($M345:$U345,"&gt;="&amp;TODAY(),$M345:$U345,"&lt;="&amp;TODAY()+7)+COUNTIFS($V345:$Z345,"&gt;="&amp;TODAY(),$V345:$Z345,"&lt;="&amp;TODAY()+7))</f>
        <v/>
      </c>
      <c r="K345" s="32">
        <f>IF(NOT(AND($A345&lt;&gt;"",OR($G345="",$G345="Active"))),"",IF($L345&lt;&gt;"",IF($L345=$M345,"Booking",INDEX($N$4:$U$4,MATCH($L345,$N345:$U345,0))),IF(IFERROR(LOOKUP(2,1/(ISNUMBER($M345:$U345)+($M345:$U345="DNA")),$M345:$U345),"")="DNA","Rebook DNA",IF(ISNUMBER(IFERROR(LOOKUP(2,1/(ISNUMBER($M345:$U345)+($M345:$U345="DNA")),$M345:$U345),"")),IF(ISNUMBER($U345),"Update status","Missed/not booked?"),""))))</f>
        <v/>
      </c>
      <c r="L345" s="33">
        <f>IF(NOT(AND($A345&lt;&gt;"",OR($G345="",$G345="Active"))),"",IFERROR(SMALL($M345:$U345,COUNTIF($M345:$U345,"&lt;"&amp;TODAY())+1),""))</f>
        <v/>
      </c>
      <c r="M345" s="31" t="n"/>
      <c r="N345" s="31" t="n"/>
      <c r="O345" s="31" t="n"/>
      <c r="P345" s="31" t="n"/>
      <c r="Q345" s="31" t="n"/>
      <c r="R345" s="31" t="n"/>
      <c r="S345" s="31" t="n"/>
      <c r="T345" s="31" t="n"/>
      <c r="U345" s="31" t="n"/>
      <c r="V345" s="31" t="n"/>
      <c r="W345" s="31" t="n"/>
      <c r="X345" s="31" t="n"/>
      <c r="Y345" s="31" t="n"/>
      <c r="Z345" s="31" t="n"/>
      <c r="AA345" s="34" t="n"/>
      <c r="AB345" s="29" t="n"/>
      <c r="AC345" s="31" t="n"/>
    </row>
    <row r="346">
      <c r="A346" s="29" t="n"/>
      <c r="B346" s="30" t="n"/>
      <c r="C346" s="31" t="n"/>
      <c r="D346" s="29" t="n"/>
      <c r="E346" s="29" t="n"/>
      <c r="F346" s="31" t="n"/>
      <c r="G346" s="29" t="n"/>
      <c r="H346" s="32">
        <f>IF(OR(NOT(AND($A346&lt;&gt;"",OR($G346="",$G346="Active"))),$F346=""),"",INT((TODAY()-$F346+280)/7)&amp;"+"&amp;MOD(TODAY()-$F346+280,7))</f>
        <v/>
      </c>
      <c r="I346" s="32">
        <f>IF(NOT(AND($A346&lt;&gt;"",OR($G346="",$G346="Active"))),"",IF(OR(IFERROR(LOOKUP(2,1/(ISNUMBER($M346:$U346)+($M346:$U346="DNA")),$M346:$U346),"")="DNA",AND(ISNUMBER(IFERROR(LOOKUP(2,1/(ISNUMBER($M346:$U346)+($M346:$U346="DNA")),$M346:$U346),"")),IFERROR(LOOKUP(2,1/(ISNUMBER($M346:$U346)+($M346:$U346="DNA")),$M346:$U346),"")&lt;TODAY())),1,0)+COUNTIF($V346:$Z346,"&lt;"&amp;TODAY()))</f>
        <v/>
      </c>
      <c r="J346" s="32">
        <f>IF(NOT(AND($A346&lt;&gt;"",OR($G346="",$G346="Active"))),"",COUNTIFS($M346:$U346,"&gt;="&amp;TODAY(),$M346:$U346,"&lt;="&amp;TODAY()+7)+COUNTIFS($V346:$Z346,"&gt;="&amp;TODAY(),$V346:$Z346,"&lt;="&amp;TODAY()+7))</f>
        <v/>
      </c>
      <c r="K346" s="32">
        <f>IF(NOT(AND($A346&lt;&gt;"",OR($G346="",$G346="Active"))),"",IF($L346&lt;&gt;"",IF($L346=$M346,"Booking",INDEX($N$4:$U$4,MATCH($L346,$N346:$U346,0))),IF(IFERROR(LOOKUP(2,1/(ISNUMBER($M346:$U346)+($M346:$U346="DNA")),$M346:$U346),"")="DNA","Rebook DNA",IF(ISNUMBER(IFERROR(LOOKUP(2,1/(ISNUMBER($M346:$U346)+($M346:$U346="DNA")),$M346:$U346),"")),IF(ISNUMBER($U346),"Update status","Missed/not booked?"),""))))</f>
        <v/>
      </c>
      <c r="L346" s="33">
        <f>IF(NOT(AND($A346&lt;&gt;"",OR($G346="",$G346="Active"))),"",IFERROR(SMALL($M346:$U346,COUNTIF($M346:$U346,"&lt;"&amp;TODAY())+1),""))</f>
        <v/>
      </c>
      <c r="M346" s="31" t="n"/>
      <c r="N346" s="31" t="n"/>
      <c r="O346" s="31" t="n"/>
      <c r="P346" s="31" t="n"/>
      <c r="Q346" s="31" t="n"/>
      <c r="R346" s="31" t="n"/>
      <c r="S346" s="31" t="n"/>
      <c r="T346" s="31" t="n"/>
      <c r="U346" s="31" t="n"/>
      <c r="V346" s="31" t="n"/>
      <c r="W346" s="31" t="n"/>
      <c r="X346" s="31" t="n"/>
      <c r="Y346" s="31" t="n"/>
      <c r="Z346" s="31" t="n"/>
      <c r="AA346" s="34" t="n"/>
      <c r="AB346" s="29" t="n"/>
      <c r="AC346" s="31" t="n"/>
    </row>
    <row r="347">
      <c r="A347" s="29" t="n"/>
      <c r="B347" s="30" t="n"/>
      <c r="C347" s="31" t="n"/>
      <c r="D347" s="29" t="n"/>
      <c r="E347" s="29" t="n"/>
      <c r="F347" s="31" t="n"/>
      <c r="G347" s="29" t="n"/>
      <c r="H347" s="32">
        <f>IF(OR(NOT(AND($A347&lt;&gt;"",OR($G347="",$G347="Active"))),$F347=""),"",INT((TODAY()-$F347+280)/7)&amp;"+"&amp;MOD(TODAY()-$F347+280,7))</f>
        <v/>
      </c>
      <c r="I347" s="32">
        <f>IF(NOT(AND($A347&lt;&gt;"",OR($G347="",$G347="Active"))),"",IF(OR(IFERROR(LOOKUP(2,1/(ISNUMBER($M347:$U347)+($M347:$U347="DNA")),$M347:$U347),"")="DNA",AND(ISNUMBER(IFERROR(LOOKUP(2,1/(ISNUMBER($M347:$U347)+($M347:$U347="DNA")),$M347:$U347),"")),IFERROR(LOOKUP(2,1/(ISNUMBER($M347:$U347)+($M347:$U347="DNA")),$M347:$U347),"")&lt;TODAY())),1,0)+COUNTIF($V347:$Z347,"&lt;"&amp;TODAY()))</f>
        <v/>
      </c>
      <c r="J347" s="32">
        <f>IF(NOT(AND($A347&lt;&gt;"",OR($G347="",$G347="Active"))),"",COUNTIFS($M347:$U347,"&gt;="&amp;TODAY(),$M347:$U347,"&lt;="&amp;TODAY()+7)+COUNTIFS($V347:$Z347,"&gt;="&amp;TODAY(),$V347:$Z347,"&lt;="&amp;TODAY()+7))</f>
        <v/>
      </c>
      <c r="K347" s="32">
        <f>IF(NOT(AND($A347&lt;&gt;"",OR($G347="",$G347="Active"))),"",IF($L347&lt;&gt;"",IF($L347=$M347,"Booking",INDEX($N$4:$U$4,MATCH($L347,$N347:$U347,0))),IF(IFERROR(LOOKUP(2,1/(ISNUMBER($M347:$U347)+($M347:$U347="DNA")),$M347:$U347),"")="DNA","Rebook DNA",IF(ISNUMBER(IFERROR(LOOKUP(2,1/(ISNUMBER($M347:$U347)+($M347:$U347="DNA")),$M347:$U347),"")),IF(ISNUMBER($U347),"Update status","Missed/not booked?"),""))))</f>
        <v/>
      </c>
      <c r="L347" s="33">
        <f>IF(NOT(AND($A347&lt;&gt;"",OR($G347="",$G347="Active"))),"",IFERROR(SMALL($M347:$U347,COUNTIF($M347:$U347,"&lt;"&amp;TODAY())+1),""))</f>
        <v/>
      </c>
      <c r="M347" s="31" t="n"/>
      <c r="N347" s="31" t="n"/>
      <c r="O347" s="31" t="n"/>
      <c r="P347" s="31" t="n"/>
      <c r="Q347" s="31" t="n"/>
      <c r="R347" s="31" t="n"/>
      <c r="S347" s="31" t="n"/>
      <c r="T347" s="31" t="n"/>
      <c r="U347" s="31" t="n"/>
      <c r="V347" s="31" t="n"/>
      <c r="W347" s="31" t="n"/>
      <c r="X347" s="31" t="n"/>
      <c r="Y347" s="31" t="n"/>
      <c r="Z347" s="31" t="n"/>
      <c r="AA347" s="34" t="n"/>
      <c r="AB347" s="29" t="n"/>
      <c r="AC347" s="31" t="n"/>
    </row>
    <row r="348">
      <c r="A348" s="29" t="n"/>
      <c r="B348" s="30" t="n"/>
      <c r="C348" s="31" t="n"/>
      <c r="D348" s="29" t="n"/>
      <c r="E348" s="29" t="n"/>
      <c r="F348" s="31" t="n"/>
      <c r="G348" s="29" t="n"/>
      <c r="H348" s="32">
        <f>IF(OR(NOT(AND($A348&lt;&gt;"",OR($G348="",$G348="Active"))),$F348=""),"",INT((TODAY()-$F348+280)/7)&amp;"+"&amp;MOD(TODAY()-$F348+280,7))</f>
        <v/>
      </c>
      <c r="I348" s="32">
        <f>IF(NOT(AND($A348&lt;&gt;"",OR($G348="",$G348="Active"))),"",IF(OR(IFERROR(LOOKUP(2,1/(ISNUMBER($M348:$U348)+($M348:$U348="DNA")),$M348:$U348),"")="DNA",AND(ISNUMBER(IFERROR(LOOKUP(2,1/(ISNUMBER($M348:$U348)+($M348:$U348="DNA")),$M348:$U348),"")),IFERROR(LOOKUP(2,1/(ISNUMBER($M348:$U348)+($M348:$U348="DNA")),$M348:$U348),"")&lt;TODAY())),1,0)+COUNTIF($V348:$Z348,"&lt;"&amp;TODAY()))</f>
        <v/>
      </c>
      <c r="J348" s="32">
        <f>IF(NOT(AND($A348&lt;&gt;"",OR($G348="",$G348="Active"))),"",COUNTIFS($M348:$U348,"&gt;="&amp;TODAY(),$M348:$U348,"&lt;="&amp;TODAY()+7)+COUNTIFS($V348:$Z348,"&gt;="&amp;TODAY(),$V348:$Z348,"&lt;="&amp;TODAY()+7))</f>
        <v/>
      </c>
      <c r="K348" s="32">
        <f>IF(NOT(AND($A348&lt;&gt;"",OR($G348="",$G348="Active"))),"",IF($L348&lt;&gt;"",IF($L348=$M348,"Booking",INDEX($N$4:$U$4,MATCH($L348,$N348:$U348,0))),IF(IFERROR(LOOKUP(2,1/(ISNUMBER($M348:$U348)+($M348:$U348="DNA")),$M348:$U348),"")="DNA","Rebook DNA",IF(ISNUMBER(IFERROR(LOOKUP(2,1/(ISNUMBER($M348:$U348)+($M348:$U348="DNA")),$M348:$U348),"")),IF(ISNUMBER($U348),"Update status","Missed/not booked?"),""))))</f>
        <v/>
      </c>
      <c r="L348" s="33">
        <f>IF(NOT(AND($A348&lt;&gt;"",OR($G348="",$G348="Active"))),"",IFERROR(SMALL($M348:$U348,COUNTIF($M348:$U348,"&lt;"&amp;TODAY())+1),""))</f>
        <v/>
      </c>
      <c r="M348" s="31" t="n"/>
      <c r="N348" s="31" t="n"/>
      <c r="O348" s="31" t="n"/>
      <c r="P348" s="31" t="n"/>
      <c r="Q348" s="31" t="n"/>
      <c r="R348" s="31" t="n"/>
      <c r="S348" s="31" t="n"/>
      <c r="T348" s="31" t="n"/>
      <c r="U348" s="31" t="n"/>
      <c r="V348" s="31" t="n"/>
      <c r="W348" s="31" t="n"/>
      <c r="X348" s="31" t="n"/>
      <c r="Y348" s="31" t="n"/>
      <c r="Z348" s="31" t="n"/>
      <c r="AA348" s="34" t="n"/>
      <c r="AB348" s="29" t="n"/>
      <c r="AC348" s="31" t="n"/>
    </row>
    <row r="349">
      <c r="A349" s="29" t="n"/>
      <c r="B349" s="30" t="n"/>
      <c r="C349" s="31" t="n"/>
      <c r="D349" s="29" t="n"/>
      <c r="E349" s="29" t="n"/>
      <c r="F349" s="31" t="n"/>
      <c r="G349" s="29" t="n"/>
      <c r="H349" s="32">
        <f>IF(OR(NOT(AND($A349&lt;&gt;"",OR($G349="",$G349="Active"))),$F349=""),"",INT((TODAY()-$F349+280)/7)&amp;"+"&amp;MOD(TODAY()-$F349+280,7))</f>
        <v/>
      </c>
      <c r="I349" s="32">
        <f>IF(NOT(AND($A349&lt;&gt;"",OR($G349="",$G349="Active"))),"",IF(OR(IFERROR(LOOKUP(2,1/(ISNUMBER($M349:$U349)+($M349:$U349="DNA")),$M349:$U349),"")="DNA",AND(ISNUMBER(IFERROR(LOOKUP(2,1/(ISNUMBER($M349:$U349)+($M349:$U349="DNA")),$M349:$U349),"")),IFERROR(LOOKUP(2,1/(ISNUMBER($M349:$U349)+($M349:$U349="DNA")),$M349:$U349),"")&lt;TODAY())),1,0)+COUNTIF($V349:$Z349,"&lt;"&amp;TODAY()))</f>
        <v/>
      </c>
      <c r="J349" s="32">
        <f>IF(NOT(AND($A349&lt;&gt;"",OR($G349="",$G349="Active"))),"",COUNTIFS($M349:$U349,"&gt;="&amp;TODAY(),$M349:$U349,"&lt;="&amp;TODAY()+7)+COUNTIFS($V349:$Z349,"&gt;="&amp;TODAY(),$V349:$Z349,"&lt;="&amp;TODAY()+7))</f>
        <v/>
      </c>
      <c r="K349" s="32">
        <f>IF(NOT(AND($A349&lt;&gt;"",OR($G349="",$G349="Active"))),"",IF($L349&lt;&gt;"",IF($L349=$M349,"Booking",INDEX($N$4:$U$4,MATCH($L349,$N349:$U349,0))),IF(IFERROR(LOOKUP(2,1/(ISNUMBER($M349:$U349)+($M349:$U349="DNA")),$M349:$U349),"")="DNA","Rebook DNA",IF(ISNUMBER(IFERROR(LOOKUP(2,1/(ISNUMBER($M349:$U349)+($M349:$U349="DNA")),$M349:$U349),"")),IF(ISNUMBER($U349),"Update status","Missed/not booked?"),""))))</f>
        <v/>
      </c>
      <c r="L349" s="33">
        <f>IF(NOT(AND($A349&lt;&gt;"",OR($G349="",$G349="Active"))),"",IFERROR(SMALL($M349:$U349,COUNTIF($M349:$U349,"&lt;"&amp;TODAY())+1),""))</f>
        <v/>
      </c>
      <c r="M349" s="31" t="n"/>
      <c r="N349" s="31" t="n"/>
      <c r="O349" s="31" t="n"/>
      <c r="P349" s="31" t="n"/>
      <c r="Q349" s="31" t="n"/>
      <c r="R349" s="31" t="n"/>
      <c r="S349" s="31" t="n"/>
      <c r="T349" s="31" t="n"/>
      <c r="U349" s="31" t="n"/>
      <c r="V349" s="31" t="n"/>
      <c r="W349" s="31" t="n"/>
      <c r="X349" s="31" t="n"/>
      <c r="Y349" s="31" t="n"/>
      <c r="Z349" s="31" t="n"/>
      <c r="AA349" s="34" t="n"/>
      <c r="AB349" s="29" t="n"/>
      <c r="AC349" s="31" t="n"/>
    </row>
    <row r="350">
      <c r="A350" s="29" t="n"/>
      <c r="B350" s="30" t="n"/>
      <c r="C350" s="31" t="n"/>
      <c r="D350" s="29" t="n"/>
      <c r="E350" s="29" t="n"/>
      <c r="F350" s="31" t="n"/>
      <c r="G350" s="29" t="n"/>
      <c r="H350" s="32">
        <f>IF(OR(NOT(AND($A350&lt;&gt;"",OR($G350="",$G350="Active"))),$F350=""),"",INT((TODAY()-$F350+280)/7)&amp;"+"&amp;MOD(TODAY()-$F350+280,7))</f>
        <v/>
      </c>
      <c r="I350" s="32">
        <f>IF(NOT(AND($A350&lt;&gt;"",OR($G350="",$G350="Active"))),"",IF(OR(IFERROR(LOOKUP(2,1/(ISNUMBER($M350:$U350)+($M350:$U350="DNA")),$M350:$U350),"")="DNA",AND(ISNUMBER(IFERROR(LOOKUP(2,1/(ISNUMBER($M350:$U350)+($M350:$U350="DNA")),$M350:$U350),"")),IFERROR(LOOKUP(2,1/(ISNUMBER($M350:$U350)+($M350:$U350="DNA")),$M350:$U350),"")&lt;TODAY())),1,0)+COUNTIF($V350:$Z350,"&lt;"&amp;TODAY()))</f>
        <v/>
      </c>
      <c r="J350" s="32">
        <f>IF(NOT(AND($A350&lt;&gt;"",OR($G350="",$G350="Active"))),"",COUNTIFS($M350:$U350,"&gt;="&amp;TODAY(),$M350:$U350,"&lt;="&amp;TODAY()+7)+COUNTIFS($V350:$Z350,"&gt;="&amp;TODAY(),$V350:$Z350,"&lt;="&amp;TODAY()+7))</f>
        <v/>
      </c>
      <c r="K350" s="32">
        <f>IF(NOT(AND($A350&lt;&gt;"",OR($G350="",$G350="Active"))),"",IF($L350&lt;&gt;"",IF($L350=$M350,"Booking",INDEX($N$4:$U$4,MATCH($L350,$N350:$U350,0))),IF(IFERROR(LOOKUP(2,1/(ISNUMBER($M350:$U350)+($M350:$U350="DNA")),$M350:$U350),"")="DNA","Rebook DNA",IF(ISNUMBER(IFERROR(LOOKUP(2,1/(ISNUMBER($M350:$U350)+($M350:$U350="DNA")),$M350:$U350),"")),IF(ISNUMBER($U350),"Update status","Missed/not booked?"),""))))</f>
        <v/>
      </c>
      <c r="L350" s="33">
        <f>IF(NOT(AND($A350&lt;&gt;"",OR($G350="",$G350="Active"))),"",IFERROR(SMALL($M350:$U350,COUNTIF($M350:$U350,"&lt;"&amp;TODAY())+1),""))</f>
        <v/>
      </c>
      <c r="M350" s="31" t="n"/>
      <c r="N350" s="31" t="n"/>
      <c r="O350" s="31" t="n"/>
      <c r="P350" s="31" t="n"/>
      <c r="Q350" s="31" t="n"/>
      <c r="R350" s="31" t="n"/>
      <c r="S350" s="31" t="n"/>
      <c r="T350" s="31" t="n"/>
      <c r="U350" s="31" t="n"/>
      <c r="V350" s="31" t="n"/>
      <c r="W350" s="31" t="n"/>
      <c r="X350" s="31" t="n"/>
      <c r="Y350" s="31" t="n"/>
      <c r="Z350" s="31" t="n"/>
      <c r="AA350" s="34" t="n"/>
      <c r="AB350" s="29" t="n"/>
      <c r="AC350" s="31" t="n"/>
    </row>
    <row r="351">
      <c r="A351" s="29" t="n"/>
      <c r="B351" s="30" t="n"/>
      <c r="C351" s="31" t="n"/>
      <c r="D351" s="29" t="n"/>
      <c r="E351" s="29" t="n"/>
      <c r="F351" s="31" t="n"/>
      <c r="G351" s="29" t="n"/>
      <c r="H351" s="32">
        <f>IF(OR(NOT(AND($A351&lt;&gt;"",OR($G351="",$G351="Active"))),$F351=""),"",INT((TODAY()-$F351+280)/7)&amp;"+"&amp;MOD(TODAY()-$F351+280,7))</f>
        <v/>
      </c>
      <c r="I351" s="32">
        <f>IF(NOT(AND($A351&lt;&gt;"",OR($G351="",$G351="Active"))),"",IF(OR(IFERROR(LOOKUP(2,1/(ISNUMBER($M351:$U351)+($M351:$U351="DNA")),$M351:$U351),"")="DNA",AND(ISNUMBER(IFERROR(LOOKUP(2,1/(ISNUMBER($M351:$U351)+($M351:$U351="DNA")),$M351:$U351),"")),IFERROR(LOOKUP(2,1/(ISNUMBER($M351:$U351)+($M351:$U351="DNA")),$M351:$U351),"")&lt;TODAY())),1,0)+COUNTIF($V351:$Z351,"&lt;"&amp;TODAY()))</f>
        <v/>
      </c>
      <c r="J351" s="32">
        <f>IF(NOT(AND($A351&lt;&gt;"",OR($G351="",$G351="Active"))),"",COUNTIFS($M351:$U351,"&gt;="&amp;TODAY(),$M351:$U351,"&lt;="&amp;TODAY()+7)+COUNTIFS($V351:$Z351,"&gt;="&amp;TODAY(),$V351:$Z351,"&lt;="&amp;TODAY()+7))</f>
        <v/>
      </c>
      <c r="K351" s="32">
        <f>IF(NOT(AND($A351&lt;&gt;"",OR($G351="",$G351="Active"))),"",IF($L351&lt;&gt;"",IF($L351=$M351,"Booking",INDEX($N$4:$U$4,MATCH($L351,$N351:$U351,0))),IF(IFERROR(LOOKUP(2,1/(ISNUMBER($M351:$U351)+($M351:$U351="DNA")),$M351:$U351),"")="DNA","Rebook DNA",IF(ISNUMBER(IFERROR(LOOKUP(2,1/(ISNUMBER($M351:$U351)+($M351:$U351="DNA")),$M351:$U351),"")),IF(ISNUMBER($U351),"Update status","Missed/not booked?"),""))))</f>
        <v/>
      </c>
      <c r="L351" s="33">
        <f>IF(NOT(AND($A351&lt;&gt;"",OR($G351="",$G351="Active"))),"",IFERROR(SMALL($M351:$U351,COUNTIF($M351:$U351,"&lt;"&amp;TODAY())+1),""))</f>
        <v/>
      </c>
      <c r="M351" s="31" t="n"/>
      <c r="N351" s="31" t="n"/>
      <c r="O351" s="31" t="n"/>
      <c r="P351" s="31" t="n"/>
      <c r="Q351" s="31" t="n"/>
      <c r="R351" s="31" t="n"/>
      <c r="S351" s="31" t="n"/>
      <c r="T351" s="31" t="n"/>
      <c r="U351" s="31" t="n"/>
      <c r="V351" s="31" t="n"/>
      <c r="W351" s="31" t="n"/>
      <c r="X351" s="31" t="n"/>
      <c r="Y351" s="31" t="n"/>
      <c r="Z351" s="31" t="n"/>
      <c r="AA351" s="34" t="n"/>
      <c r="AB351" s="29" t="n"/>
      <c r="AC351" s="31" t="n"/>
    </row>
    <row r="352">
      <c r="A352" s="29" t="n"/>
      <c r="B352" s="30" t="n"/>
      <c r="C352" s="31" t="n"/>
      <c r="D352" s="29" t="n"/>
      <c r="E352" s="29" t="n"/>
      <c r="F352" s="31" t="n"/>
      <c r="G352" s="29" t="n"/>
      <c r="H352" s="32">
        <f>IF(OR(NOT(AND($A352&lt;&gt;"",OR($G352="",$G352="Active"))),$F352=""),"",INT((TODAY()-$F352+280)/7)&amp;"+"&amp;MOD(TODAY()-$F352+280,7))</f>
        <v/>
      </c>
      <c r="I352" s="32">
        <f>IF(NOT(AND($A352&lt;&gt;"",OR($G352="",$G352="Active"))),"",IF(OR(IFERROR(LOOKUP(2,1/(ISNUMBER($M352:$U352)+($M352:$U352="DNA")),$M352:$U352),"")="DNA",AND(ISNUMBER(IFERROR(LOOKUP(2,1/(ISNUMBER($M352:$U352)+($M352:$U352="DNA")),$M352:$U352),"")),IFERROR(LOOKUP(2,1/(ISNUMBER($M352:$U352)+($M352:$U352="DNA")),$M352:$U352),"")&lt;TODAY())),1,0)+COUNTIF($V352:$Z352,"&lt;"&amp;TODAY()))</f>
        <v/>
      </c>
      <c r="J352" s="32">
        <f>IF(NOT(AND($A352&lt;&gt;"",OR($G352="",$G352="Active"))),"",COUNTIFS($M352:$U352,"&gt;="&amp;TODAY(),$M352:$U352,"&lt;="&amp;TODAY()+7)+COUNTIFS($V352:$Z352,"&gt;="&amp;TODAY(),$V352:$Z352,"&lt;="&amp;TODAY()+7))</f>
        <v/>
      </c>
      <c r="K352" s="32">
        <f>IF(NOT(AND($A352&lt;&gt;"",OR($G352="",$G352="Active"))),"",IF($L352&lt;&gt;"",IF($L352=$M352,"Booking",INDEX($N$4:$U$4,MATCH($L352,$N352:$U352,0))),IF(IFERROR(LOOKUP(2,1/(ISNUMBER($M352:$U352)+($M352:$U352="DNA")),$M352:$U352),"")="DNA","Rebook DNA",IF(ISNUMBER(IFERROR(LOOKUP(2,1/(ISNUMBER($M352:$U352)+($M352:$U352="DNA")),$M352:$U352),"")),IF(ISNUMBER($U352),"Update status","Missed/not booked?"),""))))</f>
        <v/>
      </c>
      <c r="L352" s="33">
        <f>IF(NOT(AND($A352&lt;&gt;"",OR($G352="",$G352="Active"))),"",IFERROR(SMALL($M352:$U352,COUNTIF($M352:$U352,"&lt;"&amp;TODAY())+1),""))</f>
        <v/>
      </c>
      <c r="M352" s="31" t="n"/>
      <c r="N352" s="31" t="n"/>
      <c r="O352" s="31" t="n"/>
      <c r="P352" s="31" t="n"/>
      <c r="Q352" s="31" t="n"/>
      <c r="R352" s="31" t="n"/>
      <c r="S352" s="31" t="n"/>
      <c r="T352" s="31" t="n"/>
      <c r="U352" s="31" t="n"/>
      <c r="V352" s="31" t="n"/>
      <c r="W352" s="31" t="n"/>
      <c r="X352" s="31" t="n"/>
      <c r="Y352" s="31" t="n"/>
      <c r="Z352" s="31" t="n"/>
      <c r="AA352" s="34" t="n"/>
      <c r="AB352" s="29" t="n"/>
      <c r="AC352" s="31" t="n"/>
    </row>
    <row r="353">
      <c r="A353" s="29" t="n"/>
      <c r="B353" s="30" t="n"/>
      <c r="C353" s="31" t="n"/>
      <c r="D353" s="29" t="n"/>
      <c r="E353" s="29" t="n"/>
      <c r="F353" s="31" t="n"/>
      <c r="G353" s="29" t="n"/>
      <c r="H353" s="32">
        <f>IF(OR(NOT(AND($A353&lt;&gt;"",OR($G353="",$G353="Active"))),$F353=""),"",INT((TODAY()-$F353+280)/7)&amp;"+"&amp;MOD(TODAY()-$F353+280,7))</f>
        <v/>
      </c>
      <c r="I353" s="32">
        <f>IF(NOT(AND($A353&lt;&gt;"",OR($G353="",$G353="Active"))),"",IF(OR(IFERROR(LOOKUP(2,1/(ISNUMBER($M353:$U353)+($M353:$U353="DNA")),$M353:$U353),"")="DNA",AND(ISNUMBER(IFERROR(LOOKUP(2,1/(ISNUMBER($M353:$U353)+($M353:$U353="DNA")),$M353:$U353),"")),IFERROR(LOOKUP(2,1/(ISNUMBER($M353:$U353)+($M353:$U353="DNA")),$M353:$U353),"")&lt;TODAY())),1,0)+COUNTIF($V353:$Z353,"&lt;"&amp;TODAY()))</f>
        <v/>
      </c>
      <c r="J353" s="32">
        <f>IF(NOT(AND($A353&lt;&gt;"",OR($G353="",$G353="Active"))),"",COUNTIFS($M353:$U353,"&gt;="&amp;TODAY(),$M353:$U353,"&lt;="&amp;TODAY()+7)+COUNTIFS($V353:$Z353,"&gt;="&amp;TODAY(),$V353:$Z353,"&lt;="&amp;TODAY()+7))</f>
        <v/>
      </c>
      <c r="K353" s="32">
        <f>IF(NOT(AND($A353&lt;&gt;"",OR($G353="",$G353="Active"))),"",IF($L353&lt;&gt;"",IF($L353=$M353,"Booking",INDEX($N$4:$U$4,MATCH($L353,$N353:$U353,0))),IF(IFERROR(LOOKUP(2,1/(ISNUMBER($M353:$U353)+($M353:$U353="DNA")),$M353:$U353),"")="DNA","Rebook DNA",IF(ISNUMBER(IFERROR(LOOKUP(2,1/(ISNUMBER($M353:$U353)+($M353:$U353="DNA")),$M353:$U353),"")),IF(ISNUMBER($U353),"Update status","Missed/not booked?"),""))))</f>
        <v/>
      </c>
      <c r="L353" s="33">
        <f>IF(NOT(AND($A353&lt;&gt;"",OR($G353="",$G353="Active"))),"",IFERROR(SMALL($M353:$U353,COUNTIF($M353:$U353,"&lt;"&amp;TODAY())+1),""))</f>
        <v/>
      </c>
      <c r="M353" s="31" t="n"/>
      <c r="N353" s="31" t="n"/>
      <c r="O353" s="31" t="n"/>
      <c r="P353" s="31" t="n"/>
      <c r="Q353" s="31" t="n"/>
      <c r="R353" s="31" t="n"/>
      <c r="S353" s="31" t="n"/>
      <c r="T353" s="31" t="n"/>
      <c r="U353" s="31" t="n"/>
      <c r="V353" s="31" t="n"/>
      <c r="W353" s="31" t="n"/>
      <c r="X353" s="31" t="n"/>
      <c r="Y353" s="31" t="n"/>
      <c r="Z353" s="31" t="n"/>
      <c r="AA353" s="34" t="n"/>
      <c r="AB353" s="29" t="n"/>
      <c r="AC353" s="31" t="n"/>
    </row>
    <row r="354">
      <c r="A354" s="29" t="n"/>
      <c r="B354" s="30" t="n"/>
      <c r="C354" s="31" t="n"/>
      <c r="D354" s="29" t="n"/>
      <c r="E354" s="29" t="n"/>
      <c r="F354" s="31" t="n"/>
      <c r="G354" s="29" t="n"/>
      <c r="H354" s="32">
        <f>IF(OR(NOT(AND($A354&lt;&gt;"",OR($G354="",$G354="Active"))),$F354=""),"",INT((TODAY()-$F354+280)/7)&amp;"+"&amp;MOD(TODAY()-$F354+280,7))</f>
        <v/>
      </c>
      <c r="I354" s="32">
        <f>IF(NOT(AND($A354&lt;&gt;"",OR($G354="",$G354="Active"))),"",IF(OR(IFERROR(LOOKUP(2,1/(ISNUMBER($M354:$U354)+($M354:$U354="DNA")),$M354:$U354),"")="DNA",AND(ISNUMBER(IFERROR(LOOKUP(2,1/(ISNUMBER($M354:$U354)+($M354:$U354="DNA")),$M354:$U354),"")),IFERROR(LOOKUP(2,1/(ISNUMBER($M354:$U354)+($M354:$U354="DNA")),$M354:$U354),"")&lt;TODAY())),1,0)+COUNTIF($V354:$Z354,"&lt;"&amp;TODAY()))</f>
        <v/>
      </c>
      <c r="J354" s="32">
        <f>IF(NOT(AND($A354&lt;&gt;"",OR($G354="",$G354="Active"))),"",COUNTIFS($M354:$U354,"&gt;="&amp;TODAY(),$M354:$U354,"&lt;="&amp;TODAY()+7)+COUNTIFS($V354:$Z354,"&gt;="&amp;TODAY(),$V354:$Z354,"&lt;="&amp;TODAY()+7))</f>
        <v/>
      </c>
      <c r="K354" s="32">
        <f>IF(NOT(AND($A354&lt;&gt;"",OR($G354="",$G354="Active"))),"",IF($L354&lt;&gt;"",IF($L354=$M354,"Booking",INDEX($N$4:$U$4,MATCH($L354,$N354:$U354,0))),IF(IFERROR(LOOKUP(2,1/(ISNUMBER($M354:$U354)+($M354:$U354="DNA")),$M354:$U354),"")="DNA","Rebook DNA",IF(ISNUMBER(IFERROR(LOOKUP(2,1/(ISNUMBER($M354:$U354)+($M354:$U354="DNA")),$M354:$U354),"")),IF(ISNUMBER($U354),"Update status","Missed/not booked?"),""))))</f>
        <v/>
      </c>
      <c r="L354" s="33">
        <f>IF(NOT(AND($A354&lt;&gt;"",OR($G354="",$G354="Active"))),"",IFERROR(SMALL($M354:$U354,COUNTIF($M354:$U354,"&lt;"&amp;TODAY())+1),""))</f>
        <v/>
      </c>
      <c r="M354" s="31" t="n"/>
      <c r="N354" s="31" t="n"/>
      <c r="O354" s="31" t="n"/>
      <c r="P354" s="31" t="n"/>
      <c r="Q354" s="31" t="n"/>
      <c r="R354" s="31" t="n"/>
      <c r="S354" s="31" t="n"/>
      <c r="T354" s="31" t="n"/>
      <c r="U354" s="31" t="n"/>
      <c r="V354" s="31" t="n"/>
      <c r="W354" s="31" t="n"/>
      <c r="X354" s="31" t="n"/>
      <c r="Y354" s="31" t="n"/>
      <c r="Z354" s="31" t="n"/>
      <c r="AA354" s="34" t="n"/>
      <c r="AB354" s="29" t="n"/>
      <c r="AC354" s="31" t="n"/>
    </row>
    <row r="355">
      <c r="A355" s="29" t="n"/>
      <c r="B355" s="30" t="n"/>
      <c r="C355" s="31" t="n"/>
      <c r="D355" s="29" t="n"/>
      <c r="E355" s="29" t="n"/>
      <c r="F355" s="31" t="n"/>
      <c r="G355" s="29" t="n"/>
      <c r="H355" s="32">
        <f>IF(OR(NOT(AND($A355&lt;&gt;"",OR($G355="",$G355="Active"))),$F355=""),"",INT((TODAY()-$F355+280)/7)&amp;"+"&amp;MOD(TODAY()-$F355+280,7))</f>
        <v/>
      </c>
      <c r="I355" s="32">
        <f>IF(NOT(AND($A355&lt;&gt;"",OR($G355="",$G355="Active"))),"",IF(OR(IFERROR(LOOKUP(2,1/(ISNUMBER($M355:$U355)+($M355:$U355="DNA")),$M355:$U355),"")="DNA",AND(ISNUMBER(IFERROR(LOOKUP(2,1/(ISNUMBER($M355:$U355)+($M355:$U355="DNA")),$M355:$U355),"")),IFERROR(LOOKUP(2,1/(ISNUMBER($M355:$U355)+($M355:$U355="DNA")),$M355:$U355),"")&lt;TODAY())),1,0)+COUNTIF($V355:$Z355,"&lt;"&amp;TODAY()))</f>
        <v/>
      </c>
      <c r="J355" s="32">
        <f>IF(NOT(AND($A355&lt;&gt;"",OR($G355="",$G355="Active"))),"",COUNTIFS($M355:$U355,"&gt;="&amp;TODAY(),$M355:$U355,"&lt;="&amp;TODAY()+7)+COUNTIFS($V355:$Z355,"&gt;="&amp;TODAY(),$V355:$Z355,"&lt;="&amp;TODAY()+7))</f>
        <v/>
      </c>
      <c r="K355" s="32">
        <f>IF(NOT(AND($A355&lt;&gt;"",OR($G355="",$G355="Active"))),"",IF($L355&lt;&gt;"",IF($L355=$M355,"Booking",INDEX($N$4:$U$4,MATCH($L355,$N355:$U355,0))),IF(IFERROR(LOOKUP(2,1/(ISNUMBER($M355:$U355)+($M355:$U355="DNA")),$M355:$U355),"")="DNA","Rebook DNA",IF(ISNUMBER(IFERROR(LOOKUP(2,1/(ISNUMBER($M355:$U355)+($M355:$U355="DNA")),$M355:$U355),"")),IF(ISNUMBER($U355),"Update status","Missed/not booked?"),""))))</f>
        <v/>
      </c>
      <c r="L355" s="33">
        <f>IF(NOT(AND($A355&lt;&gt;"",OR($G355="",$G355="Active"))),"",IFERROR(SMALL($M355:$U355,COUNTIF($M355:$U355,"&lt;"&amp;TODAY())+1),""))</f>
        <v/>
      </c>
      <c r="M355" s="31" t="n"/>
      <c r="N355" s="31" t="n"/>
      <c r="O355" s="31" t="n"/>
      <c r="P355" s="31" t="n"/>
      <c r="Q355" s="31" t="n"/>
      <c r="R355" s="31" t="n"/>
      <c r="S355" s="31" t="n"/>
      <c r="T355" s="31" t="n"/>
      <c r="U355" s="31" t="n"/>
      <c r="V355" s="31" t="n"/>
      <c r="W355" s="31" t="n"/>
      <c r="X355" s="31" t="n"/>
      <c r="Y355" s="31" t="n"/>
      <c r="Z355" s="31" t="n"/>
      <c r="AA355" s="34" t="n"/>
      <c r="AB355" s="29" t="n"/>
      <c r="AC355" s="31" t="n"/>
    </row>
    <row r="356">
      <c r="A356" s="29" t="n"/>
      <c r="B356" s="30" t="n"/>
      <c r="C356" s="31" t="n"/>
      <c r="D356" s="29" t="n"/>
      <c r="E356" s="29" t="n"/>
      <c r="F356" s="31" t="n"/>
      <c r="G356" s="29" t="n"/>
      <c r="H356" s="32">
        <f>IF(OR(NOT(AND($A356&lt;&gt;"",OR($G356="",$G356="Active"))),$F356=""),"",INT((TODAY()-$F356+280)/7)&amp;"+"&amp;MOD(TODAY()-$F356+280,7))</f>
        <v/>
      </c>
      <c r="I356" s="32">
        <f>IF(NOT(AND($A356&lt;&gt;"",OR($G356="",$G356="Active"))),"",IF(OR(IFERROR(LOOKUP(2,1/(ISNUMBER($M356:$U356)+($M356:$U356="DNA")),$M356:$U356),"")="DNA",AND(ISNUMBER(IFERROR(LOOKUP(2,1/(ISNUMBER($M356:$U356)+($M356:$U356="DNA")),$M356:$U356),"")),IFERROR(LOOKUP(2,1/(ISNUMBER($M356:$U356)+($M356:$U356="DNA")),$M356:$U356),"")&lt;TODAY())),1,0)+COUNTIF($V356:$Z356,"&lt;"&amp;TODAY()))</f>
        <v/>
      </c>
      <c r="J356" s="32">
        <f>IF(NOT(AND($A356&lt;&gt;"",OR($G356="",$G356="Active"))),"",COUNTIFS($M356:$U356,"&gt;="&amp;TODAY(),$M356:$U356,"&lt;="&amp;TODAY()+7)+COUNTIFS($V356:$Z356,"&gt;="&amp;TODAY(),$V356:$Z356,"&lt;="&amp;TODAY()+7))</f>
        <v/>
      </c>
      <c r="K356" s="32">
        <f>IF(NOT(AND($A356&lt;&gt;"",OR($G356="",$G356="Active"))),"",IF($L356&lt;&gt;"",IF($L356=$M356,"Booking",INDEX($N$4:$U$4,MATCH($L356,$N356:$U356,0))),IF(IFERROR(LOOKUP(2,1/(ISNUMBER($M356:$U356)+($M356:$U356="DNA")),$M356:$U356),"")="DNA","Rebook DNA",IF(ISNUMBER(IFERROR(LOOKUP(2,1/(ISNUMBER($M356:$U356)+($M356:$U356="DNA")),$M356:$U356),"")),IF(ISNUMBER($U356),"Update status","Missed/not booked?"),""))))</f>
        <v/>
      </c>
      <c r="L356" s="33">
        <f>IF(NOT(AND($A356&lt;&gt;"",OR($G356="",$G356="Active"))),"",IFERROR(SMALL($M356:$U356,COUNTIF($M356:$U356,"&lt;"&amp;TODAY())+1),""))</f>
        <v/>
      </c>
      <c r="M356" s="31" t="n"/>
      <c r="N356" s="31" t="n"/>
      <c r="O356" s="31" t="n"/>
      <c r="P356" s="31" t="n"/>
      <c r="Q356" s="31" t="n"/>
      <c r="R356" s="31" t="n"/>
      <c r="S356" s="31" t="n"/>
      <c r="T356" s="31" t="n"/>
      <c r="U356" s="31" t="n"/>
      <c r="V356" s="31" t="n"/>
      <c r="W356" s="31" t="n"/>
      <c r="X356" s="31" t="n"/>
      <c r="Y356" s="31" t="n"/>
      <c r="Z356" s="31" t="n"/>
      <c r="AA356" s="34" t="n"/>
      <c r="AB356" s="29" t="n"/>
      <c r="AC356" s="31" t="n"/>
    </row>
    <row r="357">
      <c r="A357" s="29" t="n"/>
      <c r="B357" s="30" t="n"/>
      <c r="C357" s="31" t="n"/>
      <c r="D357" s="29" t="n"/>
      <c r="E357" s="29" t="n"/>
      <c r="F357" s="31" t="n"/>
      <c r="G357" s="29" t="n"/>
      <c r="H357" s="32">
        <f>IF(OR(NOT(AND($A357&lt;&gt;"",OR($G357="",$G357="Active"))),$F357=""),"",INT((TODAY()-$F357+280)/7)&amp;"+"&amp;MOD(TODAY()-$F357+280,7))</f>
        <v/>
      </c>
      <c r="I357" s="32">
        <f>IF(NOT(AND($A357&lt;&gt;"",OR($G357="",$G357="Active"))),"",IF(OR(IFERROR(LOOKUP(2,1/(ISNUMBER($M357:$U357)+($M357:$U357="DNA")),$M357:$U357),"")="DNA",AND(ISNUMBER(IFERROR(LOOKUP(2,1/(ISNUMBER($M357:$U357)+($M357:$U357="DNA")),$M357:$U357),"")),IFERROR(LOOKUP(2,1/(ISNUMBER($M357:$U357)+($M357:$U357="DNA")),$M357:$U357),"")&lt;TODAY())),1,0)+COUNTIF($V357:$Z357,"&lt;"&amp;TODAY()))</f>
        <v/>
      </c>
      <c r="J357" s="32">
        <f>IF(NOT(AND($A357&lt;&gt;"",OR($G357="",$G357="Active"))),"",COUNTIFS($M357:$U357,"&gt;="&amp;TODAY(),$M357:$U357,"&lt;="&amp;TODAY()+7)+COUNTIFS($V357:$Z357,"&gt;="&amp;TODAY(),$V357:$Z357,"&lt;="&amp;TODAY()+7))</f>
        <v/>
      </c>
      <c r="K357" s="32">
        <f>IF(NOT(AND($A357&lt;&gt;"",OR($G357="",$G357="Active"))),"",IF($L357&lt;&gt;"",IF($L357=$M357,"Booking",INDEX($N$4:$U$4,MATCH($L357,$N357:$U357,0))),IF(IFERROR(LOOKUP(2,1/(ISNUMBER($M357:$U357)+($M357:$U357="DNA")),$M357:$U357),"")="DNA","Rebook DNA",IF(ISNUMBER(IFERROR(LOOKUP(2,1/(ISNUMBER($M357:$U357)+($M357:$U357="DNA")),$M357:$U357),"")),IF(ISNUMBER($U357),"Update status","Missed/not booked?"),""))))</f>
        <v/>
      </c>
      <c r="L357" s="33">
        <f>IF(NOT(AND($A357&lt;&gt;"",OR($G357="",$G357="Active"))),"",IFERROR(SMALL($M357:$U357,COUNTIF($M357:$U357,"&lt;"&amp;TODAY())+1),""))</f>
        <v/>
      </c>
      <c r="M357" s="31" t="n"/>
      <c r="N357" s="31" t="n"/>
      <c r="O357" s="31" t="n"/>
      <c r="P357" s="31" t="n"/>
      <c r="Q357" s="31" t="n"/>
      <c r="R357" s="31" t="n"/>
      <c r="S357" s="31" t="n"/>
      <c r="T357" s="31" t="n"/>
      <c r="U357" s="31" t="n"/>
      <c r="V357" s="31" t="n"/>
      <c r="W357" s="31" t="n"/>
      <c r="X357" s="31" t="n"/>
      <c r="Y357" s="31" t="n"/>
      <c r="Z357" s="31" t="n"/>
      <c r="AA357" s="34" t="n"/>
      <c r="AB357" s="29" t="n"/>
      <c r="AC357" s="31" t="n"/>
    </row>
    <row r="358">
      <c r="A358" s="29" t="n"/>
      <c r="B358" s="30" t="n"/>
      <c r="C358" s="31" t="n"/>
      <c r="D358" s="29" t="n"/>
      <c r="E358" s="29" t="n"/>
      <c r="F358" s="31" t="n"/>
      <c r="G358" s="29" t="n"/>
      <c r="H358" s="32">
        <f>IF(OR(NOT(AND($A358&lt;&gt;"",OR($G358="",$G358="Active"))),$F358=""),"",INT((TODAY()-$F358+280)/7)&amp;"+"&amp;MOD(TODAY()-$F358+280,7))</f>
        <v/>
      </c>
      <c r="I358" s="32">
        <f>IF(NOT(AND($A358&lt;&gt;"",OR($G358="",$G358="Active"))),"",IF(OR(IFERROR(LOOKUP(2,1/(ISNUMBER($M358:$U358)+($M358:$U358="DNA")),$M358:$U358),"")="DNA",AND(ISNUMBER(IFERROR(LOOKUP(2,1/(ISNUMBER($M358:$U358)+($M358:$U358="DNA")),$M358:$U358),"")),IFERROR(LOOKUP(2,1/(ISNUMBER($M358:$U358)+($M358:$U358="DNA")),$M358:$U358),"")&lt;TODAY())),1,0)+COUNTIF($V358:$Z358,"&lt;"&amp;TODAY()))</f>
        <v/>
      </c>
      <c r="J358" s="32">
        <f>IF(NOT(AND($A358&lt;&gt;"",OR($G358="",$G358="Active"))),"",COUNTIFS($M358:$U358,"&gt;="&amp;TODAY(),$M358:$U358,"&lt;="&amp;TODAY()+7)+COUNTIFS($V358:$Z358,"&gt;="&amp;TODAY(),$V358:$Z358,"&lt;="&amp;TODAY()+7))</f>
        <v/>
      </c>
      <c r="K358" s="32">
        <f>IF(NOT(AND($A358&lt;&gt;"",OR($G358="",$G358="Active"))),"",IF($L358&lt;&gt;"",IF($L358=$M358,"Booking",INDEX($N$4:$U$4,MATCH($L358,$N358:$U358,0))),IF(IFERROR(LOOKUP(2,1/(ISNUMBER($M358:$U358)+($M358:$U358="DNA")),$M358:$U358),"")="DNA","Rebook DNA",IF(ISNUMBER(IFERROR(LOOKUP(2,1/(ISNUMBER($M358:$U358)+($M358:$U358="DNA")),$M358:$U358),"")),IF(ISNUMBER($U358),"Update status","Missed/not booked?"),""))))</f>
        <v/>
      </c>
      <c r="L358" s="33">
        <f>IF(NOT(AND($A358&lt;&gt;"",OR($G358="",$G358="Active"))),"",IFERROR(SMALL($M358:$U358,COUNTIF($M358:$U358,"&lt;"&amp;TODAY())+1),""))</f>
        <v/>
      </c>
      <c r="M358" s="31" t="n"/>
      <c r="N358" s="31" t="n"/>
      <c r="O358" s="31" t="n"/>
      <c r="P358" s="31" t="n"/>
      <c r="Q358" s="31" t="n"/>
      <c r="R358" s="31" t="n"/>
      <c r="S358" s="31" t="n"/>
      <c r="T358" s="31" t="n"/>
      <c r="U358" s="31" t="n"/>
      <c r="V358" s="31" t="n"/>
      <c r="W358" s="31" t="n"/>
      <c r="X358" s="31" t="n"/>
      <c r="Y358" s="31" t="n"/>
      <c r="Z358" s="31" t="n"/>
      <c r="AA358" s="34" t="n"/>
      <c r="AB358" s="29" t="n"/>
      <c r="AC358" s="31" t="n"/>
    </row>
    <row r="359">
      <c r="A359" s="29" t="n"/>
      <c r="B359" s="30" t="n"/>
      <c r="C359" s="31" t="n"/>
      <c r="D359" s="29" t="n"/>
      <c r="E359" s="29" t="n"/>
      <c r="F359" s="31" t="n"/>
      <c r="G359" s="29" t="n"/>
      <c r="H359" s="32">
        <f>IF(OR(NOT(AND($A359&lt;&gt;"",OR($G359="",$G359="Active"))),$F359=""),"",INT((TODAY()-$F359+280)/7)&amp;"+"&amp;MOD(TODAY()-$F359+280,7))</f>
        <v/>
      </c>
      <c r="I359" s="32">
        <f>IF(NOT(AND($A359&lt;&gt;"",OR($G359="",$G359="Active"))),"",IF(OR(IFERROR(LOOKUP(2,1/(ISNUMBER($M359:$U359)+($M359:$U359="DNA")),$M359:$U359),"")="DNA",AND(ISNUMBER(IFERROR(LOOKUP(2,1/(ISNUMBER($M359:$U359)+($M359:$U359="DNA")),$M359:$U359),"")),IFERROR(LOOKUP(2,1/(ISNUMBER($M359:$U359)+($M359:$U359="DNA")),$M359:$U359),"")&lt;TODAY())),1,0)+COUNTIF($V359:$Z359,"&lt;"&amp;TODAY()))</f>
        <v/>
      </c>
      <c r="J359" s="32">
        <f>IF(NOT(AND($A359&lt;&gt;"",OR($G359="",$G359="Active"))),"",COUNTIFS($M359:$U359,"&gt;="&amp;TODAY(),$M359:$U359,"&lt;="&amp;TODAY()+7)+COUNTIFS($V359:$Z359,"&gt;="&amp;TODAY(),$V359:$Z359,"&lt;="&amp;TODAY()+7))</f>
        <v/>
      </c>
      <c r="K359" s="32">
        <f>IF(NOT(AND($A359&lt;&gt;"",OR($G359="",$G359="Active"))),"",IF($L359&lt;&gt;"",IF($L359=$M359,"Booking",INDEX($N$4:$U$4,MATCH($L359,$N359:$U359,0))),IF(IFERROR(LOOKUP(2,1/(ISNUMBER($M359:$U359)+($M359:$U359="DNA")),$M359:$U359),"")="DNA","Rebook DNA",IF(ISNUMBER(IFERROR(LOOKUP(2,1/(ISNUMBER($M359:$U359)+($M359:$U359="DNA")),$M359:$U359),"")),IF(ISNUMBER($U359),"Update status","Missed/not booked?"),""))))</f>
        <v/>
      </c>
      <c r="L359" s="33">
        <f>IF(NOT(AND($A359&lt;&gt;"",OR($G359="",$G359="Active"))),"",IFERROR(SMALL($M359:$U359,COUNTIF($M359:$U359,"&lt;"&amp;TODAY())+1),""))</f>
        <v/>
      </c>
      <c r="M359" s="31" t="n"/>
      <c r="N359" s="31" t="n"/>
      <c r="O359" s="31" t="n"/>
      <c r="P359" s="31" t="n"/>
      <c r="Q359" s="31" t="n"/>
      <c r="R359" s="31" t="n"/>
      <c r="S359" s="31" t="n"/>
      <c r="T359" s="31" t="n"/>
      <c r="U359" s="31" t="n"/>
      <c r="V359" s="31" t="n"/>
      <c r="W359" s="31" t="n"/>
      <c r="X359" s="31" t="n"/>
      <c r="Y359" s="31" t="n"/>
      <c r="Z359" s="31" t="n"/>
      <c r="AA359" s="34" t="n"/>
      <c r="AB359" s="29" t="n"/>
      <c r="AC359" s="31" t="n"/>
    </row>
    <row r="360">
      <c r="A360" s="29" t="n"/>
      <c r="B360" s="30" t="n"/>
      <c r="C360" s="31" t="n"/>
      <c r="D360" s="29" t="n"/>
      <c r="E360" s="29" t="n"/>
      <c r="F360" s="31" t="n"/>
      <c r="G360" s="29" t="n"/>
      <c r="H360" s="32">
        <f>IF(OR(NOT(AND($A360&lt;&gt;"",OR($G360="",$G360="Active"))),$F360=""),"",INT((TODAY()-$F360+280)/7)&amp;"+"&amp;MOD(TODAY()-$F360+280,7))</f>
        <v/>
      </c>
      <c r="I360" s="32">
        <f>IF(NOT(AND($A360&lt;&gt;"",OR($G360="",$G360="Active"))),"",IF(OR(IFERROR(LOOKUP(2,1/(ISNUMBER($M360:$U360)+($M360:$U360="DNA")),$M360:$U360),"")="DNA",AND(ISNUMBER(IFERROR(LOOKUP(2,1/(ISNUMBER($M360:$U360)+($M360:$U360="DNA")),$M360:$U360),"")),IFERROR(LOOKUP(2,1/(ISNUMBER($M360:$U360)+($M360:$U360="DNA")),$M360:$U360),"")&lt;TODAY())),1,0)+COUNTIF($V360:$Z360,"&lt;"&amp;TODAY()))</f>
        <v/>
      </c>
      <c r="J360" s="32">
        <f>IF(NOT(AND($A360&lt;&gt;"",OR($G360="",$G360="Active"))),"",COUNTIFS($M360:$U360,"&gt;="&amp;TODAY(),$M360:$U360,"&lt;="&amp;TODAY()+7)+COUNTIFS($V360:$Z360,"&gt;="&amp;TODAY(),$V360:$Z360,"&lt;="&amp;TODAY()+7))</f>
        <v/>
      </c>
      <c r="K360" s="32">
        <f>IF(NOT(AND($A360&lt;&gt;"",OR($G360="",$G360="Active"))),"",IF($L360&lt;&gt;"",IF($L360=$M360,"Booking",INDEX($N$4:$U$4,MATCH($L360,$N360:$U360,0))),IF(IFERROR(LOOKUP(2,1/(ISNUMBER($M360:$U360)+($M360:$U360="DNA")),$M360:$U360),"")="DNA","Rebook DNA",IF(ISNUMBER(IFERROR(LOOKUP(2,1/(ISNUMBER($M360:$U360)+($M360:$U360="DNA")),$M360:$U360),"")),IF(ISNUMBER($U360),"Update status","Missed/not booked?"),""))))</f>
        <v/>
      </c>
      <c r="L360" s="33">
        <f>IF(NOT(AND($A360&lt;&gt;"",OR($G360="",$G360="Active"))),"",IFERROR(SMALL($M360:$U360,COUNTIF($M360:$U360,"&lt;"&amp;TODAY())+1),""))</f>
        <v/>
      </c>
      <c r="M360" s="31" t="n"/>
      <c r="N360" s="31" t="n"/>
      <c r="O360" s="31" t="n"/>
      <c r="P360" s="31" t="n"/>
      <c r="Q360" s="31" t="n"/>
      <c r="R360" s="31" t="n"/>
      <c r="S360" s="31" t="n"/>
      <c r="T360" s="31" t="n"/>
      <c r="U360" s="31" t="n"/>
      <c r="V360" s="31" t="n"/>
      <c r="W360" s="31" t="n"/>
      <c r="X360" s="31" t="n"/>
      <c r="Y360" s="31" t="n"/>
      <c r="Z360" s="31" t="n"/>
      <c r="AA360" s="34" t="n"/>
      <c r="AB360" s="29" t="n"/>
      <c r="AC360" s="31" t="n"/>
    </row>
    <row r="361">
      <c r="A361" s="29" t="n"/>
      <c r="B361" s="30" t="n"/>
      <c r="C361" s="31" t="n"/>
      <c r="D361" s="29" t="n"/>
      <c r="E361" s="29" t="n"/>
      <c r="F361" s="31" t="n"/>
      <c r="G361" s="29" t="n"/>
      <c r="H361" s="32">
        <f>IF(OR(NOT(AND($A361&lt;&gt;"",OR($G361="",$G361="Active"))),$F361=""),"",INT((TODAY()-$F361+280)/7)&amp;"+"&amp;MOD(TODAY()-$F361+280,7))</f>
        <v/>
      </c>
      <c r="I361" s="32">
        <f>IF(NOT(AND($A361&lt;&gt;"",OR($G361="",$G361="Active"))),"",IF(OR(IFERROR(LOOKUP(2,1/(ISNUMBER($M361:$U361)+($M361:$U361="DNA")),$M361:$U361),"")="DNA",AND(ISNUMBER(IFERROR(LOOKUP(2,1/(ISNUMBER($M361:$U361)+($M361:$U361="DNA")),$M361:$U361),"")),IFERROR(LOOKUP(2,1/(ISNUMBER($M361:$U361)+($M361:$U361="DNA")),$M361:$U361),"")&lt;TODAY())),1,0)+COUNTIF($V361:$Z361,"&lt;"&amp;TODAY()))</f>
        <v/>
      </c>
      <c r="J361" s="32">
        <f>IF(NOT(AND($A361&lt;&gt;"",OR($G361="",$G361="Active"))),"",COUNTIFS($M361:$U361,"&gt;="&amp;TODAY(),$M361:$U361,"&lt;="&amp;TODAY()+7)+COUNTIFS($V361:$Z361,"&gt;="&amp;TODAY(),$V361:$Z361,"&lt;="&amp;TODAY()+7))</f>
        <v/>
      </c>
      <c r="K361" s="32">
        <f>IF(NOT(AND($A361&lt;&gt;"",OR($G361="",$G361="Active"))),"",IF($L361&lt;&gt;"",IF($L361=$M361,"Booking",INDEX($N$4:$U$4,MATCH($L361,$N361:$U361,0))),IF(IFERROR(LOOKUP(2,1/(ISNUMBER($M361:$U361)+($M361:$U361="DNA")),$M361:$U361),"")="DNA","Rebook DNA",IF(ISNUMBER(IFERROR(LOOKUP(2,1/(ISNUMBER($M361:$U361)+($M361:$U361="DNA")),$M361:$U361),"")),IF(ISNUMBER($U361),"Update status","Missed/not booked?"),""))))</f>
        <v/>
      </c>
      <c r="L361" s="33">
        <f>IF(NOT(AND($A361&lt;&gt;"",OR($G361="",$G361="Active"))),"",IFERROR(SMALL($M361:$U361,COUNTIF($M361:$U361,"&lt;"&amp;TODAY())+1),""))</f>
        <v/>
      </c>
      <c r="M361" s="31" t="n"/>
      <c r="N361" s="31" t="n"/>
      <c r="O361" s="31" t="n"/>
      <c r="P361" s="31" t="n"/>
      <c r="Q361" s="31" t="n"/>
      <c r="R361" s="31" t="n"/>
      <c r="S361" s="31" t="n"/>
      <c r="T361" s="31" t="n"/>
      <c r="U361" s="31" t="n"/>
      <c r="V361" s="31" t="n"/>
      <c r="W361" s="31" t="n"/>
      <c r="X361" s="31" t="n"/>
      <c r="Y361" s="31" t="n"/>
      <c r="Z361" s="31" t="n"/>
      <c r="AA361" s="34" t="n"/>
      <c r="AB361" s="29" t="n"/>
      <c r="AC361" s="31" t="n"/>
    </row>
    <row r="362">
      <c r="A362" s="29" t="n"/>
      <c r="B362" s="30" t="n"/>
      <c r="C362" s="31" t="n"/>
      <c r="D362" s="29" t="n"/>
      <c r="E362" s="29" t="n"/>
      <c r="F362" s="31" t="n"/>
      <c r="G362" s="29" t="n"/>
      <c r="H362" s="32">
        <f>IF(OR(NOT(AND($A362&lt;&gt;"",OR($G362="",$G362="Active"))),$F362=""),"",INT((TODAY()-$F362+280)/7)&amp;"+"&amp;MOD(TODAY()-$F362+280,7))</f>
        <v/>
      </c>
      <c r="I362" s="32">
        <f>IF(NOT(AND($A362&lt;&gt;"",OR($G362="",$G362="Active"))),"",IF(OR(IFERROR(LOOKUP(2,1/(ISNUMBER($M362:$U362)+($M362:$U362="DNA")),$M362:$U362),"")="DNA",AND(ISNUMBER(IFERROR(LOOKUP(2,1/(ISNUMBER($M362:$U362)+($M362:$U362="DNA")),$M362:$U362),"")),IFERROR(LOOKUP(2,1/(ISNUMBER($M362:$U362)+($M362:$U362="DNA")),$M362:$U362),"")&lt;TODAY())),1,0)+COUNTIF($V362:$Z362,"&lt;"&amp;TODAY()))</f>
        <v/>
      </c>
      <c r="J362" s="32">
        <f>IF(NOT(AND($A362&lt;&gt;"",OR($G362="",$G362="Active"))),"",COUNTIFS($M362:$U362,"&gt;="&amp;TODAY(),$M362:$U362,"&lt;="&amp;TODAY()+7)+COUNTIFS($V362:$Z362,"&gt;="&amp;TODAY(),$V362:$Z362,"&lt;="&amp;TODAY()+7))</f>
        <v/>
      </c>
      <c r="K362" s="32">
        <f>IF(NOT(AND($A362&lt;&gt;"",OR($G362="",$G362="Active"))),"",IF($L362&lt;&gt;"",IF($L362=$M362,"Booking",INDEX($N$4:$U$4,MATCH($L362,$N362:$U362,0))),IF(IFERROR(LOOKUP(2,1/(ISNUMBER($M362:$U362)+($M362:$U362="DNA")),$M362:$U362),"")="DNA","Rebook DNA",IF(ISNUMBER(IFERROR(LOOKUP(2,1/(ISNUMBER($M362:$U362)+($M362:$U362="DNA")),$M362:$U362),"")),IF(ISNUMBER($U362),"Update status","Missed/not booked?"),""))))</f>
        <v/>
      </c>
      <c r="L362" s="33">
        <f>IF(NOT(AND($A362&lt;&gt;"",OR($G362="",$G362="Active"))),"",IFERROR(SMALL($M362:$U362,COUNTIF($M362:$U362,"&lt;"&amp;TODAY())+1),""))</f>
        <v/>
      </c>
      <c r="M362" s="31" t="n"/>
      <c r="N362" s="31" t="n"/>
      <c r="O362" s="31" t="n"/>
      <c r="P362" s="31" t="n"/>
      <c r="Q362" s="31" t="n"/>
      <c r="R362" s="31" t="n"/>
      <c r="S362" s="31" t="n"/>
      <c r="T362" s="31" t="n"/>
      <c r="U362" s="31" t="n"/>
      <c r="V362" s="31" t="n"/>
      <c r="W362" s="31" t="n"/>
      <c r="X362" s="31" t="n"/>
      <c r="Y362" s="31" t="n"/>
      <c r="Z362" s="31" t="n"/>
      <c r="AA362" s="34" t="n"/>
      <c r="AB362" s="29" t="n"/>
      <c r="AC362" s="31" t="n"/>
    </row>
    <row r="363">
      <c r="A363" s="29" t="n"/>
      <c r="B363" s="30" t="n"/>
      <c r="C363" s="31" t="n"/>
      <c r="D363" s="29" t="n"/>
      <c r="E363" s="29" t="n"/>
      <c r="F363" s="31" t="n"/>
      <c r="G363" s="29" t="n"/>
      <c r="H363" s="32">
        <f>IF(OR(NOT(AND($A363&lt;&gt;"",OR($G363="",$G363="Active"))),$F363=""),"",INT((TODAY()-$F363+280)/7)&amp;"+"&amp;MOD(TODAY()-$F363+280,7))</f>
        <v/>
      </c>
      <c r="I363" s="32">
        <f>IF(NOT(AND($A363&lt;&gt;"",OR($G363="",$G363="Active"))),"",IF(OR(IFERROR(LOOKUP(2,1/(ISNUMBER($M363:$U363)+($M363:$U363="DNA")),$M363:$U363),"")="DNA",AND(ISNUMBER(IFERROR(LOOKUP(2,1/(ISNUMBER($M363:$U363)+($M363:$U363="DNA")),$M363:$U363),"")),IFERROR(LOOKUP(2,1/(ISNUMBER($M363:$U363)+($M363:$U363="DNA")),$M363:$U363),"")&lt;TODAY())),1,0)+COUNTIF($V363:$Z363,"&lt;"&amp;TODAY()))</f>
        <v/>
      </c>
      <c r="J363" s="32">
        <f>IF(NOT(AND($A363&lt;&gt;"",OR($G363="",$G363="Active"))),"",COUNTIFS($M363:$U363,"&gt;="&amp;TODAY(),$M363:$U363,"&lt;="&amp;TODAY()+7)+COUNTIFS($V363:$Z363,"&gt;="&amp;TODAY(),$V363:$Z363,"&lt;="&amp;TODAY()+7))</f>
        <v/>
      </c>
      <c r="K363" s="32">
        <f>IF(NOT(AND($A363&lt;&gt;"",OR($G363="",$G363="Active"))),"",IF($L363&lt;&gt;"",IF($L363=$M363,"Booking",INDEX($N$4:$U$4,MATCH($L363,$N363:$U363,0))),IF(IFERROR(LOOKUP(2,1/(ISNUMBER($M363:$U363)+($M363:$U363="DNA")),$M363:$U363),"")="DNA","Rebook DNA",IF(ISNUMBER(IFERROR(LOOKUP(2,1/(ISNUMBER($M363:$U363)+($M363:$U363="DNA")),$M363:$U363),"")),IF(ISNUMBER($U363),"Update status","Missed/not booked?"),""))))</f>
        <v/>
      </c>
      <c r="L363" s="33">
        <f>IF(NOT(AND($A363&lt;&gt;"",OR($G363="",$G363="Active"))),"",IFERROR(SMALL($M363:$U363,COUNTIF($M363:$U363,"&lt;"&amp;TODAY())+1),""))</f>
        <v/>
      </c>
      <c r="M363" s="31" t="n"/>
      <c r="N363" s="31" t="n"/>
      <c r="O363" s="31" t="n"/>
      <c r="P363" s="31" t="n"/>
      <c r="Q363" s="31" t="n"/>
      <c r="R363" s="31" t="n"/>
      <c r="S363" s="31" t="n"/>
      <c r="T363" s="31" t="n"/>
      <c r="U363" s="31" t="n"/>
      <c r="V363" s="31" t="n"/>
      <c r="W363" s="31" t="n"/>
      <c r="X363" s="31" t="n"/>
      <c r="Y363" s="31" t="n"/>
      <c r="Z363" s="31" t="n"/>
      <c r="AA363" s="34" t="n"/>
      <c r="AB363" s="29" t="n"/>
      <c r="AC363" s="31" t="n"/>
    </row>
    <row r="364">
      <c r="A364" s="29" t="n"/>
      <c r="B364" s="30" t="n"/>
      <c r="C364" s="31" t="n"/>
      <c r="D364" s="29" t="n"/>
      <c r="E364" s="29" t="n"/>
      <c r="F364" s="31" t="n"/>
      <c r="G364" s="29" t="n"/>
      <c r="H364" s="32">
        <f>IF(OR(NOT(AND($A364&lt;&gt;"",OR($G364="",$G364="Active"))),$F364=""),"",INT((TODAY()-$F364+280)/7)&amp;"+"&amp;MOD(TODAY()-$F364+280,7))</f>
        <v/>
      </c>
      <c r="I364" s="32">
        <f>IF(NOT(AND($A364&lt;&gt;"",OR($G364="",$G364="Active"))),"",IF(OR(IFERROR(LOOKUP(2,1/(ISNUMBER($M364:$U364)+($M364:$U364="DNA")),$M364:$U364),"")="DNA",AND(ISNUMBER(IFERROR(LOOKUP(2,1/(ISNUMBER($M364:$U364)+($M364:$U364="DNA")),$M364:$U364),"")),IFERROR(LOOKUP(2,1/(ISNUMBER($M364:$U364)+($M364:$U364="DNA")),$M364:$U364),"")&lt;TODAY())),1,0)+COUNTIF($V364:$Z364,"&lt;"&amp;TODAY()))</f>
        <v/>
      </c>
      <c r="J364" s="32">
        <f>IF(NOT(AND($A364&lt;&gt;"",OR($G364="",$G364="Active"))),"",COUNTIFS($M364:$U364,"&gt;="&amp;TODAY(),$M364:$U364,"&lt;="&amp;TODAY()+7)+COUNTIFS($V364:$Z364,"&gt;="&amp;TODAY(),$V364:$Z364,"&lt;="&amp;TODAY()+7))</f>
        <v/>
      </c>
      <c r="K364" s="32">
        <f>IF(NOT(AND($A364&lt;&gt;"",OR($G364="",$G364="Active"))),"",IF($L364&lt;&gt;"",IF($L364=$M364,"Booking",INDEX($N$4:$U$4,MATCH($L364,$N364:$U364,0))),IF(IFERROR(LOOKUP(2,1/(ISNUMBER($M364:$U364)+($M364:$U364="DNA")),$M364:$U364),"")="DNA","Rebook DNA",IF(ISNUMBER(IFERROR(LOOKUP(2,1/(ISNUMBER($M364:$U364)+($M364:$U364="DNA")),$M364:$U364),"")),IF(ISNUMBER($U364),"Update status","Missed/not booked?"),""))))</f>
        <v/>
      </c>
      <c r="L364" s="33">
        <f>IF(NOT(AND($A364&lt;&gt;"",OR($G364="",$G364="Active"))),"",IFERROR(SMALL($M364:$U364,COUNTIF($M364:$U364,"&lt;"&amp;TODAY())+1),""))</f>
        <v/>
      </c>
      <c r="M364" s="31" t="n"/>
      <c r="N364" s="31" t="n"/>
      <c r="O364" s="31" t="n"/>
      <c r="P364" s="31" t="n"/>
      <c r="Q364" s="31" t="n"/>
      <c r="R364" s="31" t="n"/>
      <c r="S364" s="31" t="n"/>
      <c r="T364" s="31" t="n"/>
      <c r="U364" s="31" t="n"/>
      <c r="V364" s="31" t="n"/>
      <c r="W364" s="31" t="n"/>
      <c r="X364" s="31" t="n"/>
      <c r="Y364" s="31" t="n"/>
      <c r="Z364" s="31" t="n"/>
      <c r="AA364" s="34" t="n"/>
      <c r="AB364" s="29" t="n"/>
      <c r="AC364" s="31" t="n"/>
    </row>
    <row r="365">
      <c r="A365" s="29" t="n"/>
      <c r="B365" s="30" t="n"/>
      <c r="C365" s="31" t="n"/>
      <c r="D365" s="29" t="n"/>
      <c r="E365" s="29" t="n"/>
      <c r="F365" s="31" t="n"/>
      <c r="G365" s="29" t="n"/>
      <c r="H365" s="32">
        <f>IF(OR(NOT(AND($A365&lt;&gt;"",OR($G365="",$G365="Active"))),$F365=""),"",INT((TODAY()-$F365+280)/7)&amp;"+"&amp;MOD(TODAY()-$F365+280,7))</f>
        <v/>
      </c>
      <c r="I365" s="32">
        <f>IF(NOT(AND($A365&lt;&gt;"",OR($G365="",$G365="Active"))),"",IF(OR(IFERROR(LOOKUP(2,1/(ISNUMBER($M365:$U365)+($M365:$U365="DNA")),$M365:$U365),"")="DNA",AND(ISNUMBER(IFERROR(LOOKUP(2,1/(ISNUMBER($M365:$U365)+($M365:$U365="DNA")),$M365:$U365),"")),IFERROR(LOOKUP(2,1/(ISNUMBER($M365:$U365)+($M365:$U365="DNA")),$M365:$U365),"")&lt;TODAY())),1,0)+COUNTIF($V365:$Z365,"&lt;"&amp;TODAY()))</f>
        <v/>
      </c>
      <c r="J365" s="32">
        <f>IF(NOT(AND($A365&lt;&gt;"",OR($G365="",$G365="Active"))),"",COUNTIFS($M365:$U365,"&gt;="&amp;TODAY(),$M365:$U365,"&lt;="&amp;TODAY()+7)+COUNTIFS($V365:$Z365,"&gt;="&amp;TODAY(),$V365:$Z365,"&lt;="&amp;TODAY()+7))</f>
        <v/>
      </c>
      <c r="K365" s="32">
        <f>IF(NOT(AND($A365&lt;&gt;"",OR($G365="",$G365="Active"))),"",IF($L365&lt;&gt;"",IF($L365=$M365,"Booking",INDEX($N$4:$U$4,MATCH($L365,$N365:$U365,0))),IF(IFERROR(LOOKUP(2,1/(ISNUMBER($M365:$U365)+($M365:$U365="DNA")),$M365:$U365),"")="DNA","Rebook DNA",IF(ISNUMBER(IFERROR(LOOKUP(2,1/(ISNUMBER($M365:$U365)+($M365:$U365="DNA")),$M365:$U365),"")),IF(ISNUMBER($U365),"Update status","Missed/not booked?"),""))))</f>
        <v/>
      </c>
      <c r="L365" s="33">
        <f>IF(NOT(AND($A365&lt;&gt;"",OR($G365="",$G365="Active"))),"",IFERROR(SMALL($M365:$U365,COUNTIF($M365:$U365,"&lt;"&amp;TODAY())+1),""))</f>
        <v/>
      </c>
      <c r="M365" s="31" t="n"/>
      <c r="N365" s="31" t="n"/>
      <c r="O365" s="31" t="n"/>
      <c r="P365" s="31" t="n"/>
      <c r="Q365" s="31" t="n"/>
      <c r="R365" s="31" t="n"/>
      <c r="S365" s="31" t="n"/>
      <c r="T365" s="31" t="n"/>
      <c r="U365" s="31" t="n"/>
      <c r="V365" s="31" t="n"/>
      <c r="W365" s="31" t="n"/>
      <c r="X365" s="31" t="n"/>
      <c r="Y365" s="31" t="n"/>
      <c r="Z365" s="31" t="n"/>
      <c r="AA365" s="34" t="n"/>
      <c r="AB365" s="29" t="n"/>
      <c r="AC365" s="31" t="n"/>
    </row>
    <row r="366">
      <c r="A366" s="29" t="n"/>
      <c r="B366" s="30" t="n"/>
      <c r="C366" s="31" t="n"/>
      <c r="D366" s="29" t="n"/>
      <c r="E366" s="29" t="n"/>
      <c r="F366" s="31" t="n"/>
      <c r="G366" s="29" t="n"/>
      <c r="H366" s="32">
        <f>IF(OR(NOT(AND($A366&lt;&gt;"",OR($G366="",$G366="Active"))),$F366=""),"",INT((TODAY()-$F366+280)/7)&amp;"+"&amp;MOD(TODAY()-$F366+280,7))</f>
        <v/>
      </c>
      <c r="I366" s="32">
        <f>IF(NOT(AND($A366&lt;&gt;"",OR($G366="",$G366="Active"))),"",IF(OR(IFERROR(LOOKUP(2,1/(ISNUMBER($M366:$U366)+($M366:$U366="DNA")),$M366:$U366),"")="DNA",AND(ISNUMBER(IFERROR(LOOKUP(2,1/(ISNUMBER($M366:$U366)+($M366:$U366="DNA")),$M366:$U366),"")),IFERROR(LOOKUP(2,1/(ISNUMBER($M366:$U366)+($M366:$U366="DNA")),$M366:$U366),"")&lt;TODAY())),1,0)+COUNTIF($V366:$Z366,"&lt;"&amp;TODAY()))</f>
        <v/>
      </c>
      <c r="J366" s="32">
        <f>IF(NOT(AND($A366&lt;&gt;"",OR($G366="",$G366="Active"))),"",COUNTIFS($M366:$U366,"&gt;="&amp;TODAY(),$M366:$U366,"&lt;="&amp;TODAY()+7)+COUNTIFS($V366:$Z366,"&gt;="&amp;TODAY(),$V366:$Z366,"&lt;="&amp;TODAY()+7))</f>
        <v/>
      </c>
      <c r="K366" s="32">
        <f>IF(NOT(AND($A366&lt;&gt;"",OR($G366="",$G366="Active"))),"",IF($L366&lt;&gt;"",IF($L366=$M366,"Booking",INDEX($N$4:$U$4,MATCH($L366,$N366:$U366,0))),IF(IFERROR(LOOKUP(2,1/(ISNUMBER($M366:$U366)+($M366:$U366="DNA")),$M366:$U366),"")="DNA","Rebook DNA",IF(ISNUMBER(IFERROR(LOOKUP(2,1/(ISNUMBER($M366:$U366)+($M366:$U366="DNA")),$M366:$U366),"")),IF(ISNUMBER($U366),"Update status","Missed/not booked?"),""))))</f>
        <v/>
      </c>
      <c r="L366" s="33">
        <f>IF(NOT(AND($A366&lt;&gt;"",OR($G366="",$G366="Active"))),"",IFERROR(SMALL($M366:$U366,COUNTIF($M366:$U366,"&lt;"&amp;TODAY())+1),""))</f>
        <v/>
      </c>
      <c r="M366" s="31" t="n"/>
      <c r="N366" s="31" t="n"/>
      <c r="O366" s="31" t="n"/>
      <c r="P366" s="31" t="n"/>
      <c r="Q366" s="31" t="n"/>
      <c r="R366" s="31" t="n"/>
      <c r="S366" s="31" t="n"/>
      <c r="T366" s="31" t="n"/>
      <c r="U366" s="31" t="n"/>
      <c r="V366" s="31" t="n"/>
      <c r="W366" s="31" t="n"/>
      <c r="X366" s="31" t="n"/>
      <c r="Y366" s="31" t="n"/>
      <c r="Z366" s="31" t="n"/>
      <c r="AA366" s="34" t="n"/>
      <c r="AB366" s="29" t="n"/>
      <c r="AC366" s="31" t="n"/>
    </row>
    <row r="367">
      <c r="A367" s="29" t="n"/>
      <c r="B367" s="30" t="n"/>
      <c r="C367" s="31" t="n"/>
      <c r="D367" s="29" t="n"/>
      <c r="E367" s="29" t="n"/>
      <c r="F367" s="31" t="n"/>
      <c r="G367" s="29" t="n"/>
      <c r="H367" s="32">
        <f>IF(OR(NOT(AND($A367&lt;&gt;"",OR($G367="",$G367="Active"))),$F367=""),"",INT((TODAY()-$F367+280)/7)&amp;"+"&amp;MOD(TODAY()-$F367+280,7))</f>
        <v/>
      </c>
      <c r="I367" s="32">
        <f>IF(NOT(AND($A367&lt;&gt;"",OR($G367="",$G367="Active"))),"",IF(OR(IFERROR(LOOKUP(2,1/(ISNUMBER($M367:$U367)+($M367:$U367="DNA")),$M367:$U367),"")="DNA",AND(ISNUMBER(IFERROR(LOOKUP(2,1/(ISNUMBER($M367:$U367)+($M367:$U367="DNA")),$M367:$U367),"")),IFERROR(LOOKUP(2,1/(ISNUMBER($M367:$U367)+($M367:$U367="DNA")),$M367:$U367),"")&lt;TODAY())),1,0)+COUNTIF($V367:$Z367,"&lt;"&amp;TODAY()))</f>
        <v/>
      </c>
      <c r="J367" s="32">
        <f>IF(NOT(AND($A367&lt;&gt;"",OR($G367="",$G367="Active"))),"",COUNTIFS($M367:$U367,"&gt;="&amp;TODAY(),$M367:$U367,"&lt;="&amp;TODAY()+7)+COUNTIFS($V367:$Z367,"&gt;="&amp;TODAY(),$V367:$Z367,"&lt;="&amp;TODAY()+7))</f>
        <v/>
      </c>
      <c r="K367" s="32">
        <f>IF(NOT(AND($A367&lt;&gt;"",OR($G367="",$G367="Active"))),"",IF($L367&lt;&gt;"",IF($L367=$M367,"Booking",INDEX($N$4:$U$4,MATCH($L367,$N367:$U367,0))),IF(IFERROR(LOOKUP(2,1/(ISNUMBER($M367:$U367)+($M367:$U367="DNA")),$M367:$U367),"")="DNA","Rebook DNA",IF(ISNUMBER(IFERROR(LOOKUP(2,1/(ISNUMBER($M367:$U367)+($M367:$U367="DNA")),$M367:$U367),"")),IF(ISNUMBER($U367),"Update status","Missed/not booked?"),""))))</f>
        <v/>
      </c>
      <c r="L367" s="33">
        <f>IF(NOT(AND($A367&lt;&gt;"",OR($G367="",$G367="Active"))),"",IFERROR(SMALL($M367:$U367,COUNTIF($M367:$U367,"&lt;"&amp;TODAY())+1),""))</f>
        <v/>
      </c>
      <c r="M367" s="31" t="n"/>
      <c r="N367" s="31" t="n"/>
      <c r="O367" s="31" t="n"/>
      <c r="P367" s="31" t="n"/>
      <c r="Q367" s="31" t="n"/>
      <c r="R367" s="31" t="n"/>
      <c r="S367" s="31" t="n"/>
      <c r="T367" s="31" t="n"/>
      <c r="U367" s="31" t="n"/>
      <c r="V367" s="31" t="n"/>
      <c r="W367" s="31" t="n"/>
      <c r="X367" s="31" t="n"/>
      <c r="Y367" s="31" t="n"/>
      <c r="Z367" s="31" t="n"/>
      <c r="AA367" s="34" t="n"/>
      <c r="AB367" s="29" t="n"/>
      <c r="AC367" s="31" t="n"/>
    </row>
    <row r="368">
      <c r="A368" s="29" t="n"/>
      <c r="B368" s="30" t="n"/>
      <c r="C368" s="31" t="n"/>
      <c r="D368" s="29" t="n"/>
      <c r="E368" s="29" t="n"/>
      <c r="F368" s="31" t="n"/>
      <c r="G368" s="29" t="n"/>
      <c r="H368" s="32">
        <f>IF(OR(NOT(AND($A368&lt;&gt;"",OR($G368="",$G368="Active"))),$F368=""),"",INT((TODAY()-$F368+280)/7)&amp;"+"&amp;MOD(TODAY()-$F368+280,7))</f>
        <v/>
      </c>
      <c r="I368" s="32">
        <f>IF(NOT(AND($A368&lt;&gt;"",OR($G368="",$G368="Active"))),"",IF(OR(IFERROR(LOOKUP(2,1/(ISNUMBER($M368:$U368)+($M368:$U368="DNA")),$M368:$U368),"")="DNA",AND(ISNUMBER(IFERROR(LOOKUP(2,1/(ISNUMBER($M368:$U368)+($M368:$U368="DNA")),$M368:$U368),"")),IFERROR(LOOKUP(2,1/(ISNUMBER($M368:$U368)+($M368:$U368="DNA")),$M368:$U368),"")&lt;TODAY())),1,0)+COUNTIF($V368:$Z368,"&lt;"&amp;TODAY()))</f>
        <v/>
      </c>
      <c r="J368" s="32">
        <f>IF(NOT(AND($A368&lt;&gt;"",OR($G368="",$G368="Active"))),"",COUNTIFS($M368:$U368,"&gt;="&amp;TODAY(),$M368:$U368,"&lt;="&amp;TODAY()+7)+COUNTIFS($V368:$Z368,"&gt;="&amp;TODAY(),$V368:$Z368,"&lt;="&amp;TODAY()+7))</f>
        <v/>
      </c>
      <c r="K368" s="32">
        <f>IF(NOT(AND($A368&lt;&gt;"",OR($G368="",$G368="Active"))),"",IF($L368&lt;&gt;"",IF($L368=$M368,"Booking",INDEX($N$4:$U$4,MATCH($L368,$N368:$U368,0))),IF(IFERROR(LOOKUP(2,1/(ISNUMBER($M368:$U368)+($M368:$U368="DNA")),$M368:$U368),"")="DNA","Rebook DNA",IF(ISNUMBER(IFERROR(LOOKUP(2,1/(ISNUMBER($M368:$U368)+($M368:$U368="DNA")),$M368:$U368),"")),IF(ISNUMBER($U368),"Update status","Missed/not booked?"),""))))</f>
        <v/>
      </c>
      <c r="L368" s="33">
        <f>IF(NOT(AND($A368&lt;&gt;"",OR($G368="",$G368="Active"))),"",IFERROR(SMALL($M368:$U368,COUNTIF($M368:$U368,"&lt;"&amp;TODAY())+1),""))</f>
        <v/>
      </c>
      <c r="M368" s="31" t="n"/>
      <c r="N368" s="31" t="n"/>
      <c r="O368" s="31" t="n"/>
      <c r="P368" s="31" t="n"/>
      <c r="Q368" s="31" t="n"/>
      <c r="R368" s="31" t="n"/>
      <c r="S368" s="31" t="n"/>
      <c r="T368" s="31" t="n"/>
      <c r="U368" s="31" t="n"/>
      <c r="V368" s="31" t="n"/>
      <c r="W368" s="31" t="n"/>
      <c r="X368" s="31" t="n"/>
      <c r="Y368" s="31" t="n"/>
      <c r="Z368" s="31" t="n"/>
      <c r="AA368" s="34" t="n"/>
      <c r="AB368" s="29" t="n"/>
      <c r="AC368" s="31" t="n"/>
    </row>
    <row r="369">
      <c r="A369" s="29" t="n"/>
      <c r="B369" s="30" t="n"/>
      <c r="C369" s="31" t="n"/>
      <c r="D369" s="29" t="n"/>
      <c r="E369" s="29" t="n"/>
      <c r="F369" s="31" t="n"/>
      <c r="G369" s="29" t="n"/>
      <c r="H369" s="32">
        <f>IF(OR(NOT(AND($A369&lt;&gt;"",OR($G369="",$G369="Active"))),$F369=""),"",INT((TODAY()-$F369+280)/7)&amp;"+"&amp;MOD(TODAY()-$F369+280,7))</f>
        <v/>
      </c>
      <c r="I369" s="32">
        <f>IF(NOT(AND($A369&lt;&gt;"",OR($G369="",$G369="Active"))),"",IF(OR(IFERROR(LOOKUP(2,1/(ISNUMBER($M369:$U369)+($M369:$U369="DNA")),$M369:$U369),"")="DNA",AND(ISNUMBER(IFERROR(LOOKUP(2,1/(ISNUMBER($M369:$U369)+($M369:$U369="DNA")),$M369:$U369),"")),IFERROR(LOOKUP(2,1/(ISNUMBER($M369:$U369)+($M369:$U369="DNA")),$M369:$U369),"")&lt;TODAY())),1,0)+COUNTIF($V369:$Z369,"&lt;"&amp;TODAY()))</f>
        <v/>
      </c>
      <c r="J369" s="32">
        <f>IF(NOT(AND($A369&lt;&gt;"",OR($G369="",$G369="Active"))),"",COUNTIFS($M369:$U369,"&gt;="&amp;TODAY(),$M369:$U369,"&lt;="&amp;TODAY()+7)+COUNTIFS($V369:$Z369,"&gt;="&amp;TODAY(),$V369:$Z369,"&lt;="&amp;TODAY()+7))</f>
        <v/>
      </c>
      <c r="K369" s="32">
        <f>IF(NOT(AND($A369&lt;&gt;"",OR($G369="",$G369="Active"))),"",IF($L369&lt;&gt;"",IF($L369=$M369,"Booking",INDEX($N$4:$U$4,MATCH($L369,$N369:$U369,0))),IF(IFERROR(LOOKUP(2,1/(ISNUMBER($M369:$U369)+($M369:$U369="DNA")),$M369:$U369),"")="DNA","Rebook DNA",IF(ISNUMBER(IFERROR(LOOKUP(2,1/(ISNUMBER($M369:$U369)+($M369:$U369="DNA")),$M369:$U369),"")),IF(ISNUMBER($U369),"Update status","Missed/not booked?"),""))))</f>
        <v/>
      </c>
      <c r="L369" s="33">
        <f>IF(NOT(AND($A369&lt;&gt;"",OR($G369="",$G369="Active"))),"",IFERROR(SMALL($M369:$U369,COUNTIF($M369:$U369,"&lt;"&amp;TODAY())+1),""))</f>
        <v/>
      </c>
      <c r="M369" s="31" t="n"/>
      <c r="N369" s="31" t="n"/>
      <c r="O369" s="31" t="n"/>
      <c r="P369" s="31" t="n"/>
      <c r="Q369" s="31" t="n"/>
      <c r="R369" s="31" t="n"/>
      <c r="S369" s="31" t="n"/>
      <c r="T369" s="31" t="n"/>
      <c r="U369" s="31" t="n"/>
      <c r="V369" s="31" t="n"/>
      <c r="W369" s="31" t="n"/>
      <c r="X369" s="31" t="n"/>
      <c r="Y369" s="31" t="n"/>
      <c r="Z369" s="31" t="n"/>
      <c r="AA369" s="34" t="n"/>
      <c r="AB369" s="29" t="n"/>
      <c r="AC369" s="31" t="n"/>
    </row>
    <row r="370">
      <c r="A370" s="29" t="n"/>
      <c r="B370" s="30" t="n"/>
      <c r="C370" s="31" t="n"/>
      <c r="D370" s="29" t="n"/>
      <c r="E370" s="29" t="n"/>
      <c r="F370" s="31" t="n"/>
      <c r="G370" s="29" t="n"/>
      <c r="H370" s="32">
        <f>IF(OR(NOT(AND($A370&lt;&gt;"",OR($G370="",$G370="Active"))),$F370=""),"",INT((TODAY()-$F370+280)/7)&amp;"+"&amp;MOD(TODAY()-$F370+280,7))</f>
        <v/>
      </c>
      <c r="I370" s="32">
        <f>IF(NOT(AND($A370&lt;&gt;"",OR($G370="",$G370="Active"))),"",IF(OR(IFERROR(LOOKUP(2,1/(ISNUMBER($M370:$U370)+($M370:$U370="DNA")),$M370:$U370),"")="DNA",AND(ISNUMBER(IFERROR(LOOKUP(2,1/(ISNUMBER($M370:$U370)+($M370:$U370="DNA")),$M370:$U370),"")),IFERROR(LOOKUP(2,1/(ISNUMBER($M370:$U370)+($M370:$U370="DNA")),$M370:$U370),"")&lt;TODAY())),1,0)+COUNTIF($V370:$Z370,"&lt;"&amp;TODAY()))</f>
        <v/>
      </c>
      <c r="J370" s="32">
        <f>IF(NOT(AND($A370&lt;&gt;"",OR($G370="",$G370="Active"))),"",COUNTIFS($M370:$U370,"&gt;="&amp;TODAY(),$M370:$U370,"&lt;="&amp;TODAY()+7)+COUNTIFS($V370:$Z370,"&gt;="&amp;TODAY(),$V370:$Z370,"&lt;="&amp;TODAY()+7))</f>
        <v/>
      </c>
      <c r="K370" s="32">
        <f>IF(NOT(AND($A370&lt;&gt;"",OR($G370="",$G370="Active"))),"",IF($L370&lt;&gt;"",IF($L370=$M370,"Booking",INDEX($N$4:$U$4,MATCH($L370,$N370:$U370,0))),IF(IFERROR(LOOKUP(2,1/(ISNUMBER($M370:$U370)+($M370:$U370="DNA")),$M370:$U370),"")="DNA","Rebook DNA",IF(ISNUMBER(IFERROR(LOOKUP(2,1/(ISNUMBER($M370:$U370)+($M370:$U370="DNA")),$M370:$U370),"")),IF(ISNUMBER($U370),"Update status","Missed/not booked?"),""))))</f>
        <v/>
      </c>
      <c r="L370" s="33">
        <f>IF(NOT(AND($A370&lt;&gt;"",OR($G370="",$G370="Active"))),"",IFERROR(SMALL($M370:$U370,COUNTIF($M370:$U370,"&lt;"&amp;TODAY())+1),""))</f>
        <v/>
      </c>
      <c r="M370" s="31" t="n"/>
      <c r="N370" s="31" t="n"/>
      <c r="O370" s="31" t="n"/>
      <c r="P370" s="31" t="n"/>
      <c r="Q370" s="31" t="n"/>
      <c r="R370" s="31" t="n"/>
      <c r="S370" s="31" t="n"/>
      <c r="T370" s="31" t="n"/>
      <c r="U370" s="31" t="n"/>
      <c r="V370" s="31" t="n"/>
      <c r="W370" s="31" t="n"/>
      <c r="X370" s="31" t="n"/>
      <c r="Y370" s="31" t="n"/>
      <c r="Z370" s="31" t="n"/>
      <c r="AA370" s="34" t="n"/>
      <c r="AB370" s="29" t="n"/>
      <c r="AC370" s="31" t="n"/>
    </row>
    <row r="371">
      <c r="A371" s="29" t="n"/>
      <c r="B371" s="30" t="n"/>
      <c r="C371" s="31" t="n"/>
      <c r="D371" s="29" t="n"/>
      <c r="E371" s="29" t="n"/>
      <c r="F371" s="31" t="n"/>
      <c r="G371" s="29" t="n"/>
      <c r="H371" s="32">
        <f>IF(OR(NOT(AND($A371&lt;&gt;"",OR($G371="",$G371="Active"))),$F371=""),"",INT((TODAY()-$F371+280)/7)&amp;"+"&amp;MOD(TODAY()-$F371+280,7))</f>
        <v/>
      </c>
      <c r="I371" s="32">
        <f>IF(NOT(AND($A371&lt;&gt;"",OR($G371="",$G371="Active"))),"",IF(OR(IFERROR(LOOKUP(2,1/(ISNUMBER($M371:$U371)+($M371:$U371="DNA")),$M371:$U371),"")="DNA",AND(ISNUMBER(IFERROR(LOOKUP(2,1/(ISNUMBER($M371:$U371)+($M371:$U371="DNA")),$M371:$U371),"")),IFERROR(LOOKUP(2,1/(ISNUMBER($M371:$U371)+($M371:$U371="DNA")),$M371:$U371),"")&lt;TODAY())),1,0)+COUNTIF($V371:$Z371,"&lt;"&amp;TODAY()))</f>
        <v/>
      </c>
      <c r="J371" s="32">
        <f>IF(NOT(AND($A371&lt;&gt;"",OR($G371="",$G371="Active"))),"",COUNTIFS($M371:$U371,"&gt;="&amp;TODAY(),$M371:$U371,"&lt;="&amp;TODAY()+7)+COUNTIFS($V371:$Z371,"&gt;="&amp;TODAY(),$V371:$Z371,"&lt;="&amp;TODAY()+7))</f>
        <v/>
      </c>
      <c r="K371" s="32">
        <f>IF(NOT(AND($A371&lt;&gt;"",OR($G371="",$G371="Active"))),"",IF($L371&lt;&gt;"",IF($L371=$M371,"Booking",INDEX($N$4:$U$4,MATCH($L371,$N371:$U371,0))),IF(IFERROR(LOOKUP(2,1/(ISNUMBER($M371:$U371)+($M371:$U371="DNA")),$M371:$U371),"")="DNA","Rebook DNA",IF(ISNUMBER(IFERROR(LOOKUP(2,1/(ISNUMBER($M371:$U371)+($M371:$U371="DNA")),$M371:$U371),"")),IF(ISNUMBER($U371),"Update status","Missed/not booked?"),""))))</f>
        <v/>
      </c>
      <c r="L371" s="33">
        <f>IF(NOT(AND($A371&lt;&gt;"",OR($G371="",$G371="Active"))),"",IFERROR(SMALL($M371:$U371,COUNTIF($M371:$U371,"&lt;"&amp;TODAY())+1),""))</f>
        <v/>
      </c>
      <c r="M371" s="31" t="n"/>
      <c r="N371" s="31" t="n"/>
      <c r="O371" s="31" t="n"/>
      <c r="P371" s="31" t="n"/>
      <c r="Q371" s="31" t="n"/>
      <c r="R371" s="31" t="n"/>
      <c r="S371" s="31" t="n"/>
      <c r="T371" s="31" t="n"/>
      <c r="U371" s="31" t="n"/>
      <c r="V371" s="31" t="n"/>
      <c r="W371" s="31" t="n"/>
      <c r="X371" s="31" t="n"/>
      <c r="Y371" s="31" t="n"/>
      <c r="Z371" s="31" t="n"/>
      <c r="AA371" s="34" t="n"/>
      <c r="AB371" s="29" t="n"/>
      <c r="AC371" s="31" t="n"/>
    </row>
    <row r="372">
      <c r="A372" s="29" t="n"/>
      <c r="B372" s="30" t="n"/>
      <c r="C372" s="31" t="n"/>
      <c r="D372" s="29" t="n"/>
      <c r="E372" s="29" t="n"/>
      <c r="F372" s="31" t="n"/>
      <c r="G372" s="29" t="n"/>
      <c r="H372" s="32">
        <f>IF(OR(NOT(AND($A372&lt;&gt;"",OR($G372="",$G372="Active"))),$F372=""),"",INT((TODAY()-$F372+280)/7)&amp;"+"&amp;MOD(TODAY()-$F372+280,7))</f>
        <v/>
      </c>
      <c r="I372" s="32">
        <f>IF(NOT(AND($A372&lt;&gt;"",OR($G372="",$G372="Active"))),"",IF(OR(IFERROR(LOOKUP(2,1/(ISNUMBER($M372:$U372)+($M372:$U372="DNA")),$M372:$U372),"")="DNA",AND(ISNUMBER(IFERROR(LOOKUP(2,1/(ISNUMBER($M372:$U372)+($M372:$U372="DNA")),$M372:$U372),"")),IFERROR(LOOKUP(2,1/(ISNUMBER($M372:$U372)+($M372:$U372="DNA")),$M372:$U372),"")&lt;TODAY())),1,0)+COUNTIF($V372:$Z372,"&lt;"&amp;TODAY()))</f>
        <v/>
      </c>
      <c r="J372" s="32">
        <f>IF(NOT(AND($A372&lt;&gt;"",OR($G372="",$G372="Active"))),"",COUNTIFS($M372:$U372,"&gt;="&amp;TODAY(),$M372:$U372,"&lt;="&amp;TODAY()+7)+COUNTIFS($V372:$Z372,"&gt;="&amp;TODAY(),$V372:$Z372,"&lt;="&amp;TODAY()+7))</f>
        <v/>
      </c>
      <c r="K372" s="32">
        <f>IF(NOT(AND($A372&lt;&gt;"",OR($G372="",$G372="Active"))),"",IF($L372&lt;&gt;"",IF($L372=$M372,"Booking",INDEX($N$4:$U$4,MATCH($L372,$N372:$U372,0))),IF(IFERROR(LOOKUP(2,1/(ISNUMBER($M372:$U372)+($M372:$U372="DNA")),$M372:$U372),"")="DNA","Rebook DNA",IF(ISNUMBER(IFERROR(LOOKUP(2,1/(ISNUMBER($M372:$U372)+($M372:$U372="DNA")),$M372:$U372),"")),IF(ISNUMBER($U372),"Update status","Missed/not booked?"),""))))</f>
        <v/>
      </c>
      <c r="L372" s="33">
        <f>IF(NOT(AND($A372&lt;&gt;"",OR($G372="",$G372="Active"))),"",IFERROR(SMALL($M372:$U372,COUNTIF($M372:$U372,"&lt;"&amp;TODAY())+1),""))</f>
        <v/>
      </c>
      <c r="M372" s="31" t="n"/>
      <c r="N372" s="31" t="n"/>
      <c r="O372" s="31" t="n"/>
      <c r="P372" s="31" t="n"/>
      <c r="Q372" s="31" t="n"/>
      <c r="R372" s="31" t="n"/>
      <c r="S372" s="31" t="n"/>
      <c r="T372" s="31" t="n"/>
      <c r="U372" s="31" t="n"/>
      <c r="V372" s="31" t="n"/>
      <c r="W372" s="31" t="n"/>
      <c r="X372" s="31" t="n"/>
      <c r="Y372" s="31" t="n"/>
      <c r="Z372" s="31" t="n"/>
      <c r="AA372" s="34" t="n"/>
      <c r="AB372" s="29" t="n"/>
      <c r="AC372" s="31" t="n"/>
    </row>
    <row r="373">
      <c r="A373" s="29" t="n"/>
      <c r="B373" s="30" t="n"/>
      <c r="C373" s="31" t="n"/>
      <c r="D373" s="29" t="n"/>
      <c r="E373" s="29" t="n"/>
      <c r="F373" s="31" t="n"/>
      <c r="G373" s="29" t="n"/>
      <c r="H373" s="32">
        <f>IF(OR(NOT(AND($A373&lt;&gt;"",OR($G373="",$G373="Active"))),$F373=""),"",INT((TODAY()-$F373+280)/7)&amp;"+"&amp;MOD(TODAY()-$F373+280,7))</f>
        <v/>
      </c>
      <c r="I373" s="32">
        <f>IF(NOT(AND($A373&lt;&gt;"",OR($G373="",$G373="Active"))),"",IF(OR(IFERROR(LOOKUP(2,1/(ISNUMBER($M373:$U373)+($M373:$U373="DNA")),$M373:$U373),"")="DNA",AND(ISNUMBER(IFERROR(LOOKUP(2,1/(ISNUMBER($M373:$U373)+($M373:$U373="DNA")),$M373:$U373),"")),IFERROR(LOOKUP(2,1/(ISNUMBER($M373:$U373)+($M373:$U373="DNA")),$M373:$U373),"")&lt;TODAY())),1,0)+COUNTIF($V373:$Z373,"&lt;"&amp;TODAY()))</f>
        <v/>
      </c>
      <c r="J373" s="32">
        <f>IF(NOT(AND($A373&lt;&gt;"",OR($G373="",$G373="Active"))),"",COUNTIFS($M373:$U373,"&gt;="&amp;TODAY(),$M373:$U373,"&lt;="&amp;TODAY()+7)+COUNTIFS($V373:$Z373,"&gt;="&amp;TODAY(),$V373:$Z373,"&lt;="&amp;TODAY()+7))</f>
        <v/>
      </c>
      <c r="K373" s="32">
        <f>IF(NOT(AND($A373&lt;&gt;"",OR($G373="",$G373="Active"))),"",IF($L373&lt;&gt;"",IF($L373=$M373,"Booking",INDEX($N$4:$U$4,MATCH($L373,$N373:$U373,0))),IF(IFERROR(LOOKUP(2,1/(ISNUMBER($M373:$U373)+($M373:$U373="DNA")),$M373:$U373),"")="DNA","Rebook DNA",IF(ISNUMBER(IFERROR(LOOKUP(2,1/(ISNUMBER($M373:$U373)+($M373:$U373="DNA")),$M373:$U373),"")),IF(ISNUMBER($U373),"Update status","Missed/not booked?"),""))))</f>
        <v/>
      </c>
      <c r="L373" s="33">
        <f>IF(NOT(AND($A373&lt;&gt;"",OR($G373="",$G373="Active"))),"",IFERROR(SMALL($M373:$U373,COUNTIF($M373:$U373,"&lt;"&amp;TODAY())+1),""))</f>
        <v/>
      </c>
      <c r="M373" s="31" t="n"/>
      <c r="N373" s="31" t="n"/>
      <c r="O373" s="31" t="n"/>
      <c r="P373" s="31" t="n"/>
      <c r="Q373" s="31" t="n"/>
      <c r="R373" s="31" t="n"/>
      <c r="S373" s="31" t="n"/>
      <c r="T373" s="31" t="n"/>
      <c r="U373" s="31" t="n"/>
      <c r="V373" s="31" t="n"/>
      <c r="W373" s="31" t="n"/>
      <c r="X373" s="31" t="n"/>
      <c r="Y373" s="31" t="n"/>
      <c r="Z373" s="31" t="n"/>
      <c r="AA373" s="34" t="n"/>
      <c r="AB373" s="29" t="n"/>
      <c r="AC373" s="31" t="n"/>
    </row>
    <row r="374">
      <c r="A374" s="29" t="n"/>
      <c r="B374" s="30" t="n"/>
      <c r="C374" s="31" t="n"/>
      <c r="D374" s="29" t="n"/>
      <c r="E374" s="29" t="n"/>
      <c r="F374" s="31" t="n"/>
      <c r="G374" s="29" t="n"/>
      <c r="H374" s="32">
        <f>IF(OR(NOT(AND($A374&lt;&gt;"",OR($G374="",$G374="Active"))),$F374=""),"",INT((TODAY()-$F374+280)/7)&amp;"+"&amp;MOD(TODAY()-$F374+280,7))</f>
        <v/>
      </c>
      <c r="I374" s="32">
        <f>IF(NOT(AND($A374&lt;&gt;"",OR($G374="",$G374="Active"))),"",IF(OR(IFERROR(LOOKUP(2,1/(ISNUMBER($M374:$U374)+($M374:$U374="DNA")),$M374:$U374),"")="DNA",AND(ISNUMBER(IFERROR(LOOKUP(2,1/(ISNUMBER($M374:$U374)+($M374:$U374="DNA")),$M374:$U374),"")),IFERROR(LOOKUP(2,1/(ISNUMBER($M374:$U374)+($M374:$U374="DNA")),$M374:$U374),"")&lt;TODAY())),1,0)+COUNTIF($V374:$Z374,"&lt;"&amp;TODAY()))</f>
        <v/>
      </c>
      <c r="J374" s="32">
        <f>IF(NOT(AND($A374&lt;&gt;"",OR($G374="",$G374="Active"))),"",COUNTIFS($M374:$U374,"&gt;="&amp;TODAY(),$M374:$U374,"&lt;="&amp;TODAY()+7)+COUNTIFS($V374:$Z374,"&gt;="&amp;TODAY(),$V374:$Z374,"&lt;="&amp;TODAY()+7))</f>
        <v/>
      </c>
      <c r="K374" s="32">
        <f>IF(NOT(AND($A374&lt;&gt;"",OR($G374="",$G374="Active"))),"",IF($L374&lt;&gt;"",IF($L374=$M374,"Booking",INDEX($N$4:$U$4,MATCH($L374,$N374:$U374,0))),IF(IFERROR(LOOKUP(2,1/(ISNUMBER($M374:$U374)+($M374:$U374="DNA")),$M374:$U374),"")="DNA","Rebook DNA",IF(ISNUMBER(IFERROR(LOOKUP(2,1/(ISNUMBER($M374:$U374)+($M374:$U374="DNA")),$M374:$U374),"")),IF(ISNUMBER($U374),"Update status","Missed/not booked?"),""))))</f>
        <v/>
      </c>
      <c r="L374" s="33">
        <f>IF(NOT(AND($A374&lt;&gt;"",OR($G374="",$G374="Active"))),"",IFERROR(SMALL($M374:$U374,COUNTIF($M374:$U374,"&lt;"&amp;TODAY())+1),""))</f>
        <v/>
      </c>
      <c r="M374" s="31" t="n"/>
      <c r="N374" s="31" t="n"/>
      <c r="O374" s="31" t="n"/>
      <c r="P374" s="31" t="n"/>
      <c r="Q374" s="31" t="n"/>
      <c r="R374" s="31" t="n"/>
      <c r="S374" s="31" t="n"/>
      <c r="T374" s="31" t="n"/>
      <c r="U374" s="31" t="n"/>
      <c r="V374" s="31" t="n"/>
      <c r="W374" s="31" t="n"/>
      <c r="X374" s="31" t="n"/>
      <c r="Y374" s="31" t="n"/>
      <c r="Z374" s="31" t="n"/>
      <c r="AA374" s="34" t="n"/>
      <c r="AB374" s="29" t="n"/>
      <c r="AC374" s="31" t="n"/>
    </row>
    <row r="375">
      <c r="A375" s="29" t="n"/>
      <c r="B375" s="30" t="n"/>
      <c r="C375" s="31" t="n"/>
      <c r="D375" s="29" t="n"/>
      <c r="E375" s="29" t="n"/>
      <c r="F375" s="31" t="n"/>
      <c r="G375" s="29" t="n"/>
      <c r="H375" s="32">
        <f>IF(OR(NOT(AND($A375&lt;&gt;"",OR($G375="",$G375="Active"))),$F375=""),"",INT((TODAY()-$F375+280)/7)&amp;"+"&amp;MOD(TODAY()-$F375+280,7))</f>
        <v/>
      </c>
      <c r="I375" s="32">
        <f>IF(NOT(AND($A375&lt;&gt;"",OR($G375="",$G375="Active"))),"",IF(OR(IFERROR(LOOKUP(2,1/(ISNUMBER($M375:$U375)+($M375:$U375="DNA")),$M375:$U375),"")="DNA",AND(ISNUMBER(IFERROR(LOOKUP(2,1/(ISNUMBER($M375:$U375)+($M375:$U375="DNA")),$M375:$U375),"")),IFERROR(LOOKUP(2,1/(ISNUMBER($M375:$U375)+($M375:$U375="DNA")),$M375:$U375),"")&lt;TODAY())),1,0)+COUNTIF($V375:$Z375,"&lt;"&amp;TODAY()))</f>
        <v/>
      </c>
      <c r="J375" s="32">
        <f>IF(NOT(AND($A375&lt;&gt;"",OR($G375="",$G375="Active"))),"",COUNTIFS($M375:$U375,"&gt;="&amp;TODAY(),$M375:$U375,"&lt;="&amp;TODAY()+7)+COUNTIFS($V375:$Z375,"&gt;="&amp;TODAY(),$V375:$Z375,"&lt;="&amp;TODAY()+7))</f>
        <v/>
      </c>
      <c r="K375" s="32">
        <f>IF(NOT(AND($A375&lt;&gt;"",OR($G375="",$G375="Active"))),"",IF($L375&lt;&gt;"",IF($L375=$M375,"Booking",INDEX($N$4:$U$4,MATCH($L375,$N375:$U375,0))),IF(IFERROR(LOOKUP(2,1/(ISNUMBER($M375:$U375)+($M375:$U375="DNA")),$M375:$U375),"")="DNA","Rebook DNA",IF(ISNUMBER(IFERROR(LOOKUP(2,1/(ISNUMBER($M375:$U375)+($M375:$U375="DNA")),$M375:$U375),"")),IF(ISNUMBER($U375),"Update status","Missed/not booked?"),""))))</f>
        <v/>
      </c>
      <c r="L375" s="33">
        <f>IF(NOT(AND($A375&lt;&gt;"",OR($G375="",$G375="Active"))),"",IFERROR(SMALL($M375:$U375,COUNTIF($M375:$U375,"&lt;"&amp;TODAY())+1),""))</f>
        <v/>
      </c>
      <c r="M375" s="31" t="n"/>
      <c r="N375" s="31" t="n"/>
      <c r="O375" s="31" t="n"/>
      <c r="P375" s="31" t="n"/>
      <c r="Q375" s="31" t="n"/>
      <c r="R375" s="31" t="n"/>
      <c r="S375" s="31" t="n"/>
      <c r="T375" s="31" t="n"/>
      <c r="U375" s="31" t="n"/>
      <c r="V375" s="31" t="n"/>
      <c r="W375" s="31" t="n"/>
      <c r="X375" s="31" t="n"/>
      <c r="Y375" s="31" t="n"/>
      <c r="Z375" s="31" t="n"/>
      <c r="AA375" s="34" t="n"/>
      <c r="AB375" s="29" t="n"/>
      <c r="AC375" s="31" t="n"/>
    </row>
    <row r="376">
      <c r="A376" s="29" t="n"/>
      <c r="B376" s="30" t="n"/>
      <c r="C376" s="31" t="n"/>
      <c r="D376" s="29" t="n"/>
      <c r="E376" s="29" t="n"/>
      <c r="F376" s="31" t="n"/>
      <c r="G376" s="29" t="n"/>
      <c r="H376" s="32">
        <f>IF(OR(NOT(AND($A376&lt;&gt;"",OR($G376="",$G376="Active"))),$F376=""),"",INT((TODAY()-$F376+280)/7)&amp;"+"&amp;MOD(TODAY()-$F376+280,7))</f>
        <v/>
      </c>
      <c r="I376" s="32">
        <f>IF(NOT(AND($A376&lt;&gt;"",OR($G376="",$G376="Active"))),"",IF(OR(IFERROR(LOOKUP(2,1/(ISNUMBER($M376:$U376)+($M376:$U376="DNA")),$M376:$U376),"")="DNA",AND(ISNUMBER(IFERROR(LOOKUP(2,1/(ISNUMBER($M376:$U376)+($M376:$U376="DNA")),$M376:$U376),"")),IFERROR(LOOKUP(2,1/(ISNUMBER($M376:$U376)+($M376:$U376="DNA")),$M376:$U376),"")&lt;TODAY())),1,0)+COUNTIF($V376:$Z376,"&lt;"&amp;TODAY()))</f>
        <v/>
      </c>
      <c r="J376" s="32">
        <f>IF(NOT(AND($A376&lt;&gt;"",OR($G376="",$G376="Active"))),"",COUNTIFS($M376:$U376,"&gt;="&amp;TODAY(),$M376:$U376,"&lt;="&amp;TODAY()+7)+COUNTIFS($V376:$Z376,"&gt;="&amp;TODAY(),$V376:$Z376,"&lt;="&amp;TODAY()+7))</f>
        <v/>
      </c>
      <c r="K376" s="32">
        <f>IF(NOT(AND($A376&lt;&gt;"",OR($G376="",$G376="Active"))),"",IF($L376&lt;&gt;"",IF($L376=$M376,"Booking",INDEX($N$4:$U$4,MATCH($L376,$N376:$U376,0))),IF(IFERROR(LOOKUP(2,1/(ISNUMBER($M376:$U376)+($M376:$U376="DNA")),$M376:$U376),"")="DNA","Rebook DNA",IF(ISNUMBER(IFERROR(LOOKUP(2,1/(ISNUMBER($M376:$U376)+($M376:$U376="DNA")),$M376:$U376),"")),IF(ISNUMBER($U376),"Update status","Missed/not booked?"),""))))</f>
        <v/>
      </c>
      <c r="L376" s="33">
        <f>IF(NOT(AND($A376&lt;&gt;"",OR($G376="",$G376="Active"))),"",IFERROR(SMALL($M376:$U376,COUNTIF($M376:$U376,"&lt;"&amp;TODAY())+1),""))</f>
        <v/>
      </c>
      <c r="M376" s="31" t="n"/>
      <c r="N376" s="31" t="n"/>
      <c r="O376" s="31" t="n"/>
      <c r="P376" s="31" t="n"/>
      <c r="Q376" s="31" t="n"/>
      <c r="R376" s="31" t="n"/>
      <c r="S376" s="31" t="n"/>
      <c r="T376" s="31" t="n"/>
      <c r="U376" s="31" t="n"/>
      <c r="V376" s="31" t="n"/>
      <c r="W376" s="31" t="n"/>
      <c r="X376" s="31" t="n"/>
      <c r="Y376" s="31" t="n"/>
      <c r="Z376" s="31" t="n"/>
      <c r="AA376" s="34" t="n"/>
      <c r="AB376" s="29" t="n"/>
      <c r="AC376" s="31" t="n"/>
    </row>
    <row r="377">
      <c r="A377" s="29" t="n"/>
      <c r="B377" s="30" t="n"/>
      <c r="C377" s="31" t="n"/>
      <c r="D377" s="29" t="n"/>
      <c r="E377" s="29" t="n"/>
      <c r="F377" s="31" t="n"/>
      <c r="G377" s="29" t="n"/>
      <c r="H377" s="32">
        <f>IF(OR(NOT(AND($A377&lt;&gt;"",OR($G377="",$G377="Active"))),$F377=""),"",INT((TODAY()-$F377+280)/7)&amp;"+"&amp;MOD(TODAY()-$F377+280,7))</f>
        <v/>
      </c>
      <c r="I377" s="32">
        <f>IF(NOT(AND($A377&lt;&gt;"",OR($G377="",$G377="Active"))),"",IF(OR(IFERROR(LOOKUP(2,1/(ISNUMBER($M377:$U377)+($M377:$U377="DNA")),$M377:$U377),"")="DNA",AND(ISNUMBER(IFERROR(LOOKUP(2,1/(ISNUMBER($M377:$U377)+($M377:$U377="DNA")),$M377:$U377),"")),IFERROR(LOOKUP(2,1/(ISNUMBER($M377:$U377)+($M377:$U377="DNA")),$M377:$U377),"")&lt;TODAY())),1,0)+COUNTIF($V377:$Z377,"&lt;"&amp;TODAY()))</f>
        <v/>
      </c>
      <c r="J377" s="32">
        <f>IF(NOT(AND($A377&lt;&gt;"",OR($G377="",$G377="Active"))),"",COUNTIFS($M377:$U377,"&gt;="&amp;TODAY(),$M377:$U377,"&lt;="&amp;TODAY()+7)+COUNTIFS($V377:$Z377,"&gt;="&amp;TODAY(),$V377:$Z377,"&lt;="&amp;TODAY()+7))</f>
        <v/>
      </c>
      <c r="K377" s="32">
        <f>IF(NOT(AND($A377&lt;&gt;"",OR($G377="",$G377="Active"))),"",IF($L377&lt;&gt;"",IF($L377=$M377,"Booking",INDEX($N$4:$U$4,MATCH($L377,$N377:$U377,0))),IF(IFERROR(LOOKUP(2,1/(ISNUMBER($M377:$U377)+($M377:$U377="DNA")),$M377:$U377),"")="DNA","Rebook DNA",IF(ISNUMBER(IFERROR(LOOKUP(2,1/(ISNUMBER($M377:$U377)+($M377:$U377="DNA")),$M377:$U377),"")),IF(ISNUMBER($U377),"Update status","Missed/not booked?"),""))))</f>
        <v/>
      </c>
      <c r="L377" s="33">
        <f>IF(NOT(AND($A377&lt;&gt;"",OR($G377="",$G377="Active"))),"",IFERROR(SMALL($M377:$U377,COUNTIF($M377:$U377,"&lt;"&amp;TODAY())+1),""))</f>
        <v/>
      </c>
      <c r="M377" s="31" t="n"/>
      <c r="N377" s="31" t="n"/>
      <c r="O377" s="31" t="n"/>
      <c r="P377" s="31" t="n"/>
      <c r="Q377" s="31" t="n"/>
      <c r="R377" s="31" t="n"/>
      <c r="S377" s="31" t="n"/>
      <c r="T377" s="31" t="n"/>
      <c r="U377" s="31" t="n"/>
      <c r="V377" s="31" t="n"/>
      <c r="W377" s="31" t="n"/>
      <c r="X377" s="31" t="n"/>
      <c r="Y377" s="31" t="n"/>
      <c r="Z377" s="31" t="n"/>
      <c r="AA377" s="34" t="n"/>
      <c r="AB377" s="29" t="n"/>
      <c r="AC377" s="31" t="n"/>
    </row>
    <row r="378">
      <c r="A378" s="29" t="n"/>
      <c r="B378" s="30" t="n"/>
      <c r="C378" s="31" t="n"/>
      <c r="D378" s="29" t="n"/>
      <c r="E378" s="29" t="n"/>
      <c r="F378" s="31" t="n"/>
      <c r="G378" s="29" t="n"/>
      <c r="H378" s="32">
        <f>IF(OR(NOT(AND($A378&lt;&gt;"",OR($G378="",$G378="Active"))),$F378=""),"",INT((TODAY()-$F378+280)/7)&amp;"+"&amp;MOD(TODAY()-$F378+280,7))</f>
        <v/>
      </c>
      <c r="I378" s="32">
        <f>IF(NOT(AND($A378&lt;&gt;"",OR($G378="",$G378="Active"))),"",IF(OR(IFERROR(LOOKUP(2,1/(ISNUMBER($M378:$U378)+($M378:$U378="DNA")),$M378:$U378),"")="DNA",AND(ISNUMBER(IFERROR(LOOKUP(2,1/(ISNUMBER($M378:$U378)+($M378:$U378="DNA")),$M378:$U378),"")),IFERROR(LOOKUP(2,1/(ISNUMBER($M378:$U378)+($M378:$U378="DNA")),$M378:$U378),"")&lt;TODAY())),1,0)+COUNTIF($V378:$Z378,"&lt;"&amp;TODAY()))</f>
        <v/>
      </c>
      <c r="J378" s="32">
        <f>IF(NOT(AND($A378&lt;&gt;"",OR($G378="",$G378="Active"))),"",COUNTIFS($M378:$U378,"&gt;="&amp;TODAY(),$M378:$U378,"&lt;="&amp;TODAY()+7)+COUNTIFS($V378:$Z378,"&gt;="&amp;TODAY(),$V378:$Z378,"&lt;="&amp;TODAY()+7))</f>
        <v/>
      </c>
      <c r="K378" s="32">
        <f>IF(NOT(AND($A378&lt;&gt;"",OR($G378="",$G378="Active"))),"",IF($L378&lt;&gt;"",IF($L378=$M378,"Booking",INDEX($N$4:$U$4,MATCH($L378,$N378:$U378,0))),IF(IFERROR(LOOKUP(2,1/(ISNUMBER($M378:$U378)+($M378:$U378="DNA")),$M378:$U378),"")="DNA","Rebook DNA",IF(ISNUMBER(IFERROR(LOOKUP(2,1/(ISNUMBER($M378:$U378)+($M378:$U378="DNA")),$M378:$U378),"")),IF(ISNUMBER($U378),"Update status","Missed/not booked?"),""))))</f>
        <v/>
      </c>
      <c r="L378" s="33">
        <f>IF(NOT(AND($A378&lt;&gt;"",OR($G378="",$G378="Active"))),"",IFERROR(SMALL($M378:$U378,COUNTIF($M378:$U378,"&lt;"&amp;TODAY())+1),""))</f>
        <v/>
      </c>
      <c r="M378" s="31" t="n"/>
      <c r="N378" s="31" t="n"/>
      <c r="O378" s="31" t="n"/>
      <c r="P378" s="31" t="n"/>
      <c r="Q378" s="31" t="n"/>
      <c r="R378" s="31" t="n"/>
      <c r="S378" s="31" t="n"/>
      <c r="T378" s="31" t="n"/>
      <c r="U378" s="31" t="n"/>
      <c r="V378" s="31" t="n"/>
      <c r="W378" s="31" t="n"/>
      <c r="X378" s="31" t="n"/>
      <c r="Y378" s="31" t="n"/>
      <c r="Z378" s="31" t="n"/>
      <c r="AA378" s="34" t="n"/>
      <c r="AB378" s="29" t="n"/>
      <c r="AC378" s="31" t="n"/>
    </row>
    <row r="379">
      <c r="A379" s="29" t="n"/>
      <c r="B379" s="30" t="n"/>
      <c r="C379" s="31" t="n"/>
      <c r="D379" s="29" t="n"/>
      <c r="E379" s="29" t="n"/>
      <c r="F379" s="31" t="n"/>
      <c r="G379" s="29" t="n"/>
      <c r="H379" s="32">
        <f>IF(OR(NOT(AND($A379&lt;&gt;"",OR($G379="",$G379="Active"))),$F379=""),"",INT((TODAY()-$F379+280)/7)&amp;"+"&amp;MOD(TODAY()-$F379+280,7))</f>
        <v/>
      </c>
      <c r="I379" s="32">
        <f>IF(NOT(AND($A379&lt;&gt;"",OR($G379="",$G379="Active"))),"",IF(OR(IFERROR(LOOKUP(2,1/(ISNUMBER($M379:$U379)+($M379:$U379="DNA")),$M379:$U379),"")="DNA",AND(ISNUMBER(IFERROR(LOOKUP(2,1/(ISNUMBER($M379:$U379)+($M379:$U379="DNA")),$M379:$U379),"")),IFERROR(LOOKUP(2,1/(ISNUMBER($M379:$U379)+($M379:$U379="DNA")),$M379:$U379),"")&lt;TODAY())),1,0)+COUNTIF($V379:$Z379,"&lt;"&amp;TODAY()))</f>
        <v/>
      </c>
      <c r="J379" s="32">
        <f>IF(NOT(AND($A379&lt;&gt;"",OR($G379="",$G379="Active"))),"",COUNTIFS($M379:$U379,"&gt;="&amp;TODAY(),$M379:$U379,"&lt;="&amp;TODAY()+7)+COUNTIFS($V379:$Z379,"&gt;="&amp;TODAY(),$V379:$Z379,"&lt;="&amp;TODAY()+7))</f>
        <v/>
      </c>
      <c r="K379" s="32">
        <f>IF(NOT(AND($A379&lt;&gt;"",OR($G379="",$G379="Active"))),"",IF($L379&lt;&gt;"",IF($L379=$M379,"Booking",INDEX($N$4:$U$4,MATCH($L379,$N379:$U379,0))),IF(IFERROR(LOOKUP(2,1/(ISNUMBER($M379:$U379)+($M379:$U379="DNA")),$M379:$U379),"")="DNA","Rebook DNA",IF(ISNUMBER(IFERROR(LOOKUP(2,1/(ISNUMBER($M379:$U379)+($M379:$U379="DNA")),$M379:$U379),"")),IF(ISNUMBER($U379),"Update status","Missed/not booked?"),""))))</f>
        <v/>
      </c>
      <c r="L379" s="33">
        <f>IF(NOT(AND($A379&lt;&gt;"",OR($G379="",$G379="Active"))),"",IFERROR(SMALL($M379:$U379,COUNTIF($M379:$U379,"&lt;"&amp;TODAY())+1),""))</f>
        <v/>
      </c>
      <c r="M379" s="31" t="n"/>
      <c r="N379" s="31" t="n"/>
      <c r="O379" s="31" t="n"/>
      <c r="P379" s="31" t="n"/>
      <c r="Q379" s="31" t="n"/>
      <c r="R379" s="31" t="n"/>
      <c r="S379" s="31" t="n"/>
      <c r="T379" s="31" t="n"/>
      <c r="U379" s="31" t="n"/>
      <c r="V379" s="31" t="n"/>
      <c r="W379" s="31" t="n"/>
      <c r="X379" s="31" t="n"/>
      <c r="Y379" s="31" t="n"/>
      <c r="Z379" s="31" t="n"/>
      <c r="AA379" s="34" t="n"/>
      <c r="AB379" s="29" t="n"/>
      <c r="AC379" s="31" t="n"/>
    </row>
    <row r="380">
      <c r="A380" s="29" t="n"/>
      <c r="B380" s="30" t="n"/>
      <c r="C380" s="31" t="n"/>
      <c r="D380" s="29" t="n"/>
      <c r="E380" s="29" t="n"/>
      <c r="F380" s="31" t="n"/>
      <c r="G380" s="29" t="n"/>
      <c r="H380" s="32">
        <f>IF(OR(NOT(AND($A380&lt;&gt;"",OR($G380="",$G380="Active"))),$F380=""),"",INT((TODAY()-$F380+280)/7)&amp;"+"&amp;MOD(TODAY()-$F380+280,7))</f>
        <v/>
      </c>
      <c r="I380" s="32">
        <f>IF(NOT(AND($A380&lt;&gt;"",OR($G380="",$G380="Active"))),"",IF(OR(IFERROR(LOOKUP(2,1/(ISNUMBER($M380:$U380)+($M380:$U380="DNA")),$M380:$U380),"")="DNA",AND(ISNUMBER(IFERROR(LOOKUP(2,1/(ISNUMBER($M380:$U380)+($M380:$U380="DNA")),$M380:$U380),"")),IFERROR(LOOKUP(2,1/(ISNUMBER($M380:$U380)+($M380:$U380="DNA")),$M380:$U380),"")&lt;TODAY())),1,0)+COUNTIF($V380:$Z380,"&lt;"&amp;TODAY()))</f>
        <v/>
      </c>
      <c r="J380" s="32">
        <f>IF(NOT(AND($A380&lt;&gt;"",OR($G380="",$G380="Active"))),"",COUNTIFS($M380:$U380,"&gt;="&amp;TODAY(),$M380:$U380,"&lt;="&amp;TODAY()+7)+COUNTIFS($V380:$Z380,"&gt;="&amp;TODAY(),$V380:$Z380,"&lt;="&amp;TODAY()+7))</f>
        <v/>
      </c>
      <c r="K380" s="32">
        <f>IF(NOT(AND($A380&lt;&gt;"",OR($G380="",$G380="Active"))),"",IF($L380&lt;&gt;"",IF($L380=$M380,"Booking",INDEX($N$4:$U$4,MATCH($L380,$N380:$U380,0))),IF(IFERROR(LOOKUP(2,1/(ISNUMBER($M380:$U380)+($M380:$U380="DNA")),$M380:$U380),"")="DNA","Rebook DNA",IF(ISNUMBER(IFERROR(LOOKUP(2,1/(ISNUMBER($M380:$U380)+($M380:$U380="DNA")),$M380:$U380),"")),IF(ISNUMBER($U380),"Update status","Missed/not booked?"),""))))</f>
        <v/>
      </c>
      <c r="L380" s="33">
        <f>IF(NOT(AND($A380&lt;&gt;"",OR($G380="",$G380="Active"))),"",IFERROR(SMALL($M380:$U380,COUNTIF($M380:$U380,"&lt;"&amp;TODAY())+1),""))</f>
        <v/>
      </c>
      <c r="M380" s="31" t="n"/>
      <c r="N380" s="31" t="n"/>
      <c r="O380" s="31" t="n"/>
      <c r="P380" s="31" t="n"/>
      <c r="Q380" s="31" t="n"/>
      <c r="R380" s="31" t="n"/>
      <c r="S380" s="31" t="n"/>
      <c r="T380" s="31" t="n"/>
      <c r="U380" s="31" t="n"/>
      <c r="V380" s="31" t="n"/>
      <c r="W380" s="31" t="n"/>
      <c r="X380" s="31" t="n"/>
      <c r="Y380" s="31" t="n"/>
      <c r="Z380" s="31" t="n"/>
      <c r="AA380" s="34" t="n"/>
      <c r="AB380" s="29" t="n"/>
      <c r="AC380" s="31" t="n"/>
    </row>
    <row r="381">
      <c r="A381" s="29" t="n"/>
      <c r="B381" s="30" t="n"/>
      <c r="C381" s="31" t="n"/>
      <c r="D381" s="29" t="n"/>
      <c r="E381" s="29" t="n"/>
      <c r="F381" s="31" t="n"/>
      <c r="G381" s="29" t="n"/>
      <c r="H381" s="32">
        <f>IF(OR(NOT(AND($A381&lt;&gt;"",OR($G381="",$G381="Active"))),$F381=""),"",INT((TODAY()-$F381+280)/7)&amp;"+"&amp;MOD(TODAY()-$F381+280,7))</f>
        <v/>
      </c>
      <c r="I381" s="32">
        <f>IF(NOT(AND($A381&lt;&gt;"",OR($G381="",$G381="Active"))),"",IF(OR(IFERROR(LOOKUP(2,1/(ISNUMBER($M381:$U381)+($M381:$U381="DNA")),$M381:$U381),"")="DNA",AND(ISNUMBER(IFERROR(LOOKUP(2,1/(ISNUMBER($M381:$U381)+($M381:$U381="DNA")),$M381:$U381),"")),IFERROR(LOOKUP(2,1/(ISNUMBER($M381:$U381)+($M381:$U381="DNA")),$M381:$U381),"")&lt;TODAY())),1,0)+COUNTIF($V381:$Z381,"&lt;"&amp;TODAY()))</f>
        <v/>
      </c>
      <c r="J381" s="32">
        <f>IF(NOT(AND($A381&lt;&gt;"",OR($G381="",$G381="Active"))),"",COUNTIFS($M381:$U381,"&gt;="&amp;TODAY(),$M381:$U381,"&lt;="&amp;TODAY()+7)+COUNTIFS($V381:$Z381,"&gt;="&amp;TODAY(),$V381:$Z381,"&lt;="&amp;TODAY()+7))</f>
        <v/>
      </c>
      <c r="K381" s="32">
        <f>IF(NOT(AND($A381&lt;&gt;"",OR($G381="",$G381="Active"))),"",IF($L381&lt;&gt;"",IF($L381=$M381,"Booking",INDEX($N$4:$U$4,MATCH($L381,$N381:$U381,0))),IF(IFERROR(LOOKUP(2,1/(ISNUMBER($M381:$U381)+($M381:$U381="DNA")),$M381:$U381),"")="DNA","Rebook DNA",IF(ISNUMBER(IFERROR(LOOKUP(2,1/(ISNUMBER($M381:$U381)+($M381:$U381="DNA")),$M381:$U381),"")),IF(ISNUMBER($U381),"Update status","Missed/not booked?"),""))))</f>
        <v/>
      </c>
      <c r="L381" s="33">
        <f>IF(NOT(AND($A381&lt;&gt;"",OR($G381="",$G381="Active"))),"",IFERROR(SMALL($M381:$U381,COUNTIF($M381:$U381,"&lt;"&amp;TODAY())+1),""))</f>
        <v/>
      </c>
      <c r="M381" s="31" t="n"/>
      <c r="N381" s="31" t="n"/>
      <c r="O381" s="31" t="n"/>
      <c r="P381" s="31" t="n"/>
      <c r="Q381" s="31" t="n"/>
      <c r="R381" s="31" t="n"/>
      <c r="S381" s="31" t="n"/>
      <c r="T381" s="31" t="n"/>
      <c r="U381" s="31" t="n"/>
      <c r="V381" s="31" t="n"/>
      <c r="W381" s="31" t="n"/>
      <c r="X381" s="31" t="n"/>
      <c r="Y381" s="31" t="n"/>
      <c r="Z381" s="31" t="n"/>
      <c r="AA381" s="34" t="n"/>
      <c r="AB381" s="29" t="n"/>
      <c r="AC381" s="31" t="n"/>
    </row>
    <row r="382">
      <c r="A382" s="29" t="n"/>
      <c r="B382" s="30" t="n"/>
      <c r="C382" s="31" t="n"/>
      <c r="D382" s="29" t="n"/>
      <c r="E382" s="29" t="n"/>
      <c r="F382" s="31" t="n"/>
      <c r="G382" s="29" t="n"/>
      <c r="H382" s="32">
        <f>IF(OR(NOT(AND($A382&lt;&gt;"",OR($G382="",$G382="Active"))),$F382=""),"",INT((TODAY()-$F382+280)/7)&amp;"+"&amp;MOD(TODAY()-$F382+280,7))</f>
        <v/>
      </c>
      <c r="I382" s="32">
        <f>IF(NOT(AND($A382&lt;&gt;"",OR($G382="",$G382="Active"))),"",IF(OR(IFERROR(LOOKUP(2,1/(ISNUMBER($M382:$U382)+($M382:$U382="DNA")),$M382:$U382),"")="DNA",AND(ISNUMBER(IFERROR(LOOKUP(2,1/(ISNUMBER($M382:$U382)+($M382:$U382="DNA")),$M382:$U382),"")),IFERROR(LOOKUP(2,1/(ISNUMBER($M382:$U382)+($M382:$U382="DNA")),$M382:$U382),"")&lt;TODAY())),1,0)+COUNTIF($V382:$Z382,"&lt;"&amp;TODAY()))</f>
        <v/>
      </c>
      <c r="J382" s="32">
        <f>IF(NOT(AND($A382&lt;&gt;"",OR($G382="",$G382="Active"))),"",COUNTIFS($M382:$U382,"&gt;="&amp;TODAY(),$M382:$U382,"&lt;="&amp;TODAY()+7)+COUNTIFS($V382:$Z382,"&gt;="&amp;TODAY(),$V382:$Z382,"&lt;="&amp;TODAY()+7))</f>
        <v/>
      </c>
      <c r="K382" s="32">
        <f>IF(NOT(AND($A382&lt;&gt;"",OR($G382="",$G382="Active"))),"",IF($L382&lt;&gt;"",IF($L382=$M382,"Booking",INDEX($N$4:$U$4,MATCH($L382,$N382:$U382,0))),IF(IFERROR(LOOKUP(2,1/(ISNUMBER($M382:$U382)+($M382:$U382="DNA")),$M382:$U382),"")="DNA","Rebook DNA",IF(ISNUMBER(IFERROR(LOOKUP(2,1/(ISNUMBER($M382:$U382)+($M382:$U382="DNA")),$M382:$U382),"")),IF(ISNUMBER($U382),"Update status","Missed/not booked?"),""))))</f>
        <v/>
      </c>
      <c r="L382" s="33">
        <f>IF(NOT(AND($A382&lt;&gt;"",OR($G382="",$G382="Active"))),"",IFERROR(SMALL($M382:$U382,COUNTIF($M382:$U382,"&lt;"&amp;TODAY())+1),""))</f>
        <v/>
      </c>
      <c r="M382" s="31" t="n"/>
      <c r="N382" s="31" t="n"/>
      <c r="O382" s="31" t="n"/>
      <c r="P382" s="31" t="n"/>
      <c r="Q382" s="31" t="n"/>
      <c r="R382" s="31" t="n"/>
      <c r="S382" s="31" t="n"/>
      <c r="T382" s="31" t="n"/>
      <c r="U382" s="31" t="n"/>
      <c r="V382" s="31" t="n"/>
      <c r="W382" s="31" t="n"/>
      <c r="X382" s="31" t="n"/>
      <c r="Y382" s="31" t="n"/>
      <c r="Z382" s="31" t="n"/>
      <c r="AA382" s="34" t="n"/>
      <c r="AB382" s="29" t="n"/>
      <c r="AC382" s="31" t="n"/>
    </row>
    <row r="383">
      <c r="A383" s="29" t="n"/>
      <c r="B383" s="30" t="n"/>
      <c r="C383" s="31" t="n"/>
      <c r="D383" s="29" t="n"/>
      <c r="E383" s="29" t="n"/>
      <c r="F383" s="31" t="n"/>
      <c r="G383" s="29" t="n"/>
      <c r="H383" s="32">
        <f>IF(OR(NOT(AND($A383&lt;&gt;"",OR($G383="",$G383="Active"))),$F383=""),"",INT((TODAY()-$F383+280)/7)&amp;"+"&amp;MOD(TODAY()-$F383+280,7))</f>
        <v/>
      </c>
      <c r="I383" s="32">
        <f>IF(NOT(AND($A383&lt;&gt;"",OR($G383="",$G383="Active"))),"",IF(OR(IFERROR(LOOKUP(2,1/(ISNUMBER($M383:$U383)+($M383:$U383="DNA")),$M383:$U383),"")="DNA",AND(ISNUMBER(IFERROR(LOOKUP(2,1/(ISNUMBER($M383:$U383)+($M383:$U383="DNA")),$M383:$U383),"")),IFERROR(LOOKUP(2,1/(ISNUMBER($M383:$U383)+($M383:$U383="DNA")),$M383:$U383),"")&lt;TODAY())),1,0)+COUNTIF($V383:$Z383,"&lt;"&amp;TODAY()))</f>
        <v/>
      </c>
      <c r="J383" s="32">
        <f>IF(NOT(AND($A383&lt;&gt;"",OR($G383="",$G383="Active"))),"",COUNTIFS($M383:$U383,"&gt;="&amp;TODAY(),$M383:$U383,"&lt;="&amp;TODAY()+7)+COUNTIFS($V383:$Z383,"&gt;="&amp;TODAY(),$V383:$Z383,"&lt;="&amp;TODAY()+7))</f>
        <v/>
      </c>
      <c r="K383" s="32">
        <f>IF(NOT(AND($A383&lt;&gt;"",OR($G383="",$G383="Active"))),"",IF($L383&lt;&gt;"",IF($L383=$M383,"Booking",INDEX($N$4:$U$4,MATCH($L383,$N383:$U383,0))),IF(IFERROR(LOOKUP(2,1/(ISNUMBER($M383:$U383)+($M383:$U383="DNA")),$M383:$U383),"")="DNA","Rebook DNA",IF(ISNUMBER(IFERROR(LOOKUP(2,1/(ISNUMBER($M383:$U383)+($M383:$U383="DNA")),$M383:$U383),"")),IF(ISNUMBER($U383),"Update status","Missed/not booked?"),""))))</f>
        <v/>
      </c>
      <c r="L383" s="33">
        <f>IF(NOT(AND($A383&lt;&gt;"",OR($G383="",$G383="Active"))),"",IFERROR(SMALL($M383:$U383,COUNTIF($M383:$U383,"&lt;"&amp;TODAY())+1),""))</f>
        <v/>
      </c>
      <c r="M383" s="31" t="n"/>
      <c r="N383" s="31" t="n"/>
      <c r="O383" s="31" t="n"/>
      <c r="P383" s="31" t="n"/>
      <c r="Q383" s="31" t="n"/>
      <c r="R383" s="31" t="n"/>
      <c r="S383" s="31" t="n"/>
      <c r="T383" s="31" t="n"/>
      <c r="U383" s="31" t="n"/>
      <c r="V383" s="31" t="n"/>
      <c r="W383" s="31" t="n"/>
      <c r="X383" s="31" t="n"/>
      <c r="Y383" s="31" t="n"/>
      <c r="Z383" s="31" t="n"/>
      <c r="AA383" s="34" t="n"/>
      <c r="AB383" s="29" t="n"/>
      <c r="AC383" s="31" t="n"/>
    </row>
    <row r="384">
      <c r="A384" s="29" t="n"/>
      <c r="B384" s="30" t="n"/>
      <c r="C384" s="31" t="n"/>
      <c r="D384" s="29" t="n"/>
      <c r="E384" s="29" t="n"/>
      <c r="F384" s="31" t="n"/>
      <c r="G384" s="29" t="n"/>
      <c r="H384" s="32">
        <f>IF(OR(NOT(AND($A384&lt;&gt;"",OR($G384="",$G384="Active"))),$F384=""),"",INT((TODAY()-$F384+280)/7)&amp;"+"&amp;MOD(TODAY()-$F384+280,7))</f>
        <v/>
      </c>
      <c r="I384" s="32">
        <f>IF(NOT(AND($A384&lt;&gt;"",OR($G384="",$G384="Active"))),"",IF(OR(IFERROR(LOOKUP(2,1/(ISNUMBER($M384:$U384)+($M384:$U384="DNA")),$M384:$U384),"")="DNA",AND(ISNUMBER(IFERROR(LOOKUP(2,1/(ISNUMBER($M384:$U384)+($M384:$U384="DNA")),$M384:$U384),"")),IFERROR(LOOKUP(2,1/(ISNUMBER($M384:$U384)+($M384:$U384="DNA")),$M384:$U384),"")&lt;TODAY())),1,0)+COUNTIF($V384:$Z384,"&lt;"&amp;TODAY()))</f>
        <v/>
      </c>
      <c r="J384" s="32">
        <f>IF(NOT(AND($A384&lt;&gt;"",OR($G384="",$G384="Active"))),"",COUNTIFS($M384:$U384,"&gt;="&amp;TODAY(),$M384:$U384,"&lt;="&amp;TODAY()+7)+COUNTIFS($V384:$Z384,"&gt;="&amp;TODAY(),$V384:$Z384,"&lt;="&amp;TODAY()+7))</f>
        <v/>
      </c>
      <c r="K384" s="32">
        <f>IF(NOT(AND($A384&lt;&gt;"",OR($G384="",$G384="Active"))),"",IF($L384&lt;&gt;"",IF($L384=$M384,"Booking",INDEX($N$4:$U$4,MATCH($L384,$N384:$U384,0))),IF(IFERROR(LOOKUP(2,1/(ISNUMBER($M384:$U384)+($M384:$U384="DNA")),$M384:$U384),"")="DNA","Rebook DNA",IF(ISNUMBER(IFERROR(LOOKUP(2,1/(ISNUMBER($M384:$U384)+($M384:$U384="DNA")),$M384:$U384),"")),IF(ISNUMBER($U384),"Update status","Missed/not booked?"),""))))</f>
        <v/>
      </c>
      <c r="L384" s="33">
        <f>IF(NOT(AND($A384&lt;&gt;"",OR($G384="",$G384="Active"))),"",IFERROR(SMALL($M384:$U384,COUNTIF($M384:$U384,"&lt;"&amp;TODAY())+1),""))</f>
        <v/>
      </c>
      <c r="M384" s="31" t="n"/>
      <c r="N384" s="31" t="n"/>
      <c r="O384" s="31" t="n"/>
      <c r="P384" s="31" t="n"/>
      <c r="Q384" s="31" t="n"/>
      <c r="R384" s="31" t="n"/>
      <c r="S384" s="31" t="n"/>
      <c r="T384" s="31" t="n"/>
      <c r="U384" s="31" t="n"/>
      <c r="V384" s="31" t="n"/>
      <c r="W384" s="31" t="n"/>
      <c r="X384" s="31" t="n"/>
      <c r="Y384" s="31" t="n"/>
      <c r="Z384" s="31" t="n"/>
      <c r="AA384" s="34" t="n"/>
      <c r="AB384" s="29" t="n"/>
      <c r="AC384" s="31" t="n"/>
    </row>
    <row r="385">
      <c r="A385" s="29" t="n"/>
      <c r="B385" s="30" t="n"/>
      <c r="C385" s="31" t="n"/>
      <c r="D385" s="29" t="n"/>
      <c r="E385" s="29" t="n"/>
      <c r="F385" s="31" t="n"/>
      <c r="G385" s="29" t="n"/>
      <c r="H385" s="32">
        <f>IF(OR(NOT(AND($A385&lt;&gt;"",OR($G385="",$G385="Active"))),$F385=""),"",INT((TODAY()-$F385+280)/7)&amp;"+"&amp;MOD(TODAY()-$F385+280,7))</f>
        <v/>
      </c>
      <c r="I385" s="32">
        <f>IF(NOT(AND($A385&lt;&gt;"",OR($G385="",$G385="Active"))),"",IF(OR(IFERROR(LOOKUP(2,1/(ISNUMBER($M385:$U385)+($M385:$U385="DNA")),$M385:$U385),"")="DNA",AND(ISNUMBER(IFERROR(LOOKUP(2,1/(ISNUMBER($M385:$U385)+($M385:$U385="DNA")),$M385:$U385),"")),IFERROR(LOOKUP(2,1/(ISNUMBER($M385:$U385)+($M385:$U385="DNA")),$M385:$U385),"")&lt;TODAY())),1,0)+COUNTIF($V385:$Z385,"&lt;"&amp;TODAY()))</f>
        <v/>
      </c>
      <c r="J385" s="32">
        <f>IF(NOT(AND($A385&lt;&gt;"",OR($G385="",$G385="Active"))),"",COUNTIFS($M385:$U385,"&gt;="&amp;TODAY(),$M385:$U385,"&lt;="&amp;TODAY()+7)+COUNTIFS($V385:$Z385,"&gt;="&amp;TODAY(),$V385:$Z385,"&lt;="&amp;TODAY()+7))</f>
        <v/>
      </c>
      <c r="K385" s="32">
        <f>IF(NOT(AND($A385&lt;&gt;"",OR($G385="",$G385="Active"))),"",IF($L385&lt;&gt;"",IF($L385=$M385,"Booking",INDEX($N$4:$U$4,MATCH($L385,$N385:$U385,0))),IF(IFERROR(LOOKUP(2,1/(ISNUMBER($M385:$U385)+($M385:$U385="DNA")),$M385:$U385),"")="DNA","Rebook DNA",IF(ISNUMBER(IFERROR(LOOKUP(2,1/(ISNUMBER($M385:$U385)+($M385:$U385="DNA")),$M385:$U385),"")),IF(ISNUMBER($U385),"Update status","Missed/not booked?"),""))))</f>
        <v/>
      </c>
      <c r="L385" s="33">
        <f>IF(NOT(AND($A385&lt;&gt;"",OR($G385="",$G385="Active"))),"",IFERROR(SMALL($M385:$U385,COUNTIF($M385:$U385,"&lt;"&amp;TODAY())+1),""))</f>
        <v/>
      </c>
      <c r="M385" s="31" t="n"/>
      <c r="N385" s="31" t="n"/>
      <c r="O385" s="31" t="n"/>
      <c r="P385" s="31" t="n"/>
      <c r="Q385" s="31" t="n"/>
      <c r="R385" s="31" t="n"/>
      <c r="S385" s="31" t="n"/>
      <c r="T385" s="31" t="n"/>
      <c r="U385" s="31" t="n"/>
      <c r="V385" s="31" t="n"/>
      <c r="W385" s="31" t="n"/>
      <c r="X385" s="31" t="n"/>
      <c r="Y385" s="31" t="n"/>
      <c r="Z385" s="31" t="n"/>
      <c r="AA385" s="34" t="n"/>
      <c r="AB385" s="29" t="n"/>
      <c r="AC385" s="31" t="n"/>
    </row>
    <row r="386">
      <c r="A386" s="29" t="n"/>
      <c r="B386" s="30" t="n"/>
      <c r="C386" s="31" t="n"/>
      <c r="D386" s="29" t="n"/>
      <c r="E386" s="29" t="n"/>
      <c r="F386" s="31" t="n"/>
      <c r="G386" s="29" t="n"/>
      <c r="H386" s="32">
        <f>IF(OR(NOT(AND($A386&lt;&gt;"",OR($G386="",$G386="Active"))),$F386=""),"",INT((TODAY()-$F386+280)/7)&amp;"+"&amp;MOD(TODAY()-$F386+280,7))</f>
        <v/>
      </c>
      <c r="I386" s="32">
        <f>IF(NOT(AND($A386&lt;&gt;"",OR($G386="",$G386="Active"))),"",IF(OR(IFERROR(LOOKUP(2,1/(ISNUMBER($M386:$U386)+($M386:$U386="DNA")),$M386:$U386),"")="DNA",AND(ISNUMBER(IFERROR(LOOKUP(2,1/(ISNUMBER($M386:$U386)+($M386:$U386="DNA")),$M386:$U386),"")),IFERROR(LOOKUP(2,1/(ISNUMBER($M386:$U386)+($M386:$U386="DNA")),$M386:$U386),"")&lt;TODAY())),1,0)+COUNTIF($V386:$Z386,"&lt;"&amp;TODAY()))</f>
        <v/>
      </c>
      <c r="J386" s="32">
        <f>IF(NOT(AND($A386&lt;&gt;"",OR($G386="",$G386="Active"))),"",COUNTIFS($M386:$U386,"&gt;="&amp;TODAY(),$M386:$U386,"&lt;="&amp;TODAY()+7)+COUNTIFS($V386:$Z386,"&gt;="&amp;TODAY(),$V386:$Z386,"&lt;="&amp;TODAY()+7))</f>
        <v/>
      </c>
      <c r="K386" s="32">
        <f>IF(NOT(AND($A386&lt;&gt;"",OR($G386="",$G386="Active"))),"",IF($L386&lt;&gt;"",IF($L386=$M386,"Booking",INDEX($N$4:$U$4,MATCH($L386,$N386:$U386,0))),IF(IFERROR(LOOKUP(2,1/(ISNUMBER($M386:$U386)+($M386:$U386="DNA")),$M386:$U386),"")="DNA","Rebook DNA",IF(ISNUMBER(IFERROR(LOOKUP(2,1/(ISNUMBER($M386:$U386)+($M386:$U386="DNA")),$M386:$U386),"")),IF(ISNUMBER($U386),"Update status","Missed/not booked?"),""))))</f>
        <v/>
      </c>
      <c r="L386" s="33">
        <f>IF(NOT(AND($A386&lt;&gt;"",OR($G386="",$G386="Active"))),"",IFERROR(SMALL($M386:$U386,COUNTIF($M386:$U386,"&lt;"&amp;TODAY())+1),""))</f>
        <v/>
      </c>
      <c r="M386" s="31" t="n"/>
      <c r="N386" s="31" t="n"/>
      <c r="O386" s="31" t="n"/>
      <c r="P386" s="31" t="n"/>
      <c r="Q386" s="31" t="n"/>
      <c r="R386" s="31" t="n"/>
      <c r="S386" s="31" t="n"/>
      <c r="T386" s="31" t="n"/>
      <c r="U386" s="31" t="n"/>
      <c r="V386" s="31" t="n"/>
      <c r="W386" s="31" t="n"/>
      <c r="X386" s="31" t="n"/>
      <c r="Y386" s="31" t="n"/>
      <c r="Z386" s="31" t="n"/>
      <c r="AA386" s="34" t="n"/>
      <c r="AB386" s="29" t="n"/>
      <c r="AC386" s="31" t="n"/>
    </row>
    <row r="387">
      <c r="A387" s="29" t="n"/>
      <c r="B387" s="30" t="n"/>
      <c r="C387" s="31" t="n"/>
      <c r="D387" s="29" t="n"/>
      <c r="E387" s="29" t="n"/>
      <c r="F387" s="31" t="n"/>
      <c r="G387" s="29" t="n"/>
      <c r="H387" s="32">
        <f>IF(OR(NOT(AND($A387&lt;&gt;"",OR($G387="",$G387="Active"))),$F387=""),"",INT((TODAY()-$F387+280)/7)&amp;"+"&amp;MOD(TODAY()-$F387+280,7))</f>
        <v/>
      </c>
      <c r="I387" s="32">
        <f>IF(NOT(AND($A387&lt;&gt;"",OR($G387="",$G387="Active"))),"",IF(OR(IFERROR(LOOKUP(2,1/(ISNUMBER($M387:$U387)+($M387:$U387="DNA")),$M387:$U387),"")="DNA",AND(ISNUMBER(IFERROR(LOOKUP(2,1/(ISNUMBER($M387:$U387)+($M387:$U387="DNA")),$M387:$U387),"")),IFERROR(LOOKUP(2,1/(ISNUMBER($M387:$U387)+($M387:$U387="DNA")),$M387:$U387),"")&lt;TODAY())),1,0)+COUNTIF($V387:$Z387,"&lt;"&amp;TODAY()))</f>
        <v/>
      </c>
      <c r="J387" s="32">
        <f>IF(NOT(AND($A387&lt;&gt;"",OR($G387="",$G387="Active"))),"",COUNTIFS($M387:$U387,"&gt;="&amp;TODAY(),$M387:$U387,"&lt;="&amp;TODAY()+7)+COUNTIFS($V387:$Z387,"&gt;="&amp;TODAY(),$V387:$Z387,"&lt;="&amp;TODAY()+7))</f>
        <v/>
      </c>
      <c r="K387" s="32">
        <f>IF(NOT(AND($A387&lt;&gt;"",OR($G387="",$G387="Active"))),"",IF($L387&lt;&gt;"",IF($L387=$M387,"Booking",INDEX($N$4:$U$4,MATCH($L387,$N387:$U387,0))),IF(IFERROR(LOOKUP(2,1/(ISNUMBER($M387:$U387)+($M387:$U387="DNA")),$M387:$U387),"")="DNA","Rebook DNA",IF(ISNUMBER(IFERROR(LOOKUP(2,1/(ISNUMBER($M387:$U387)+($M387:$U387="DNA")),$M387:$U387),"")),IF(ISNUMBER($U387),"Update status","Missed/not booked?"),""))))</f>
        <v/>
      </c>
      <c r="L387" s="33">
        <f>IF(NOT(AND($A387&lt;&gt;"",OR($G387="",$G387="Active"))),"",IFERROR(SMALL($M387:$U387,COUNTIF($M387:$U387,"&lt;"&amp;TODAY())+1),""))</f>
        <v/>
      </c>
      <c r="M387" s="31" t="n"/>
      <c r="N387" s="31" t="n"/>
      <c r="O387" s="31" t="n"/>
      <c r="P387" s="31" t="n"/>
      <c r="Q387" s="31" t="n"/>
      <c r="R387" s="31" t="n"/>
      <c r="S387" s="31" t="n"/>
      <c r="T387" s="31" t="n"/>
      <c r="U387" s="31" t="n"/>
      <c r="V387" s="31" t="n"/>
      <c r="W387" s="31" t="n"/>
      <c r="X387" s="31" t="n"/>
      <c r="Y387" s="31" t="n"/>
      <c r="Z387" s="31" t="n"/>
      <c r="AA387" s="34" t="n"/>
      <c r="AB387" s="29" t="n"/>
      <c r="AC387" s="31" t="n"/>
    </row>
    <row r="388">
      <c r="A388" s="29" t="n"/>
      <c r="B388" s="30" t="n"/>
      <c r="C388" s="31" t="n"/>
      <c r="D388" s="29" t="n"/>
      <c r="E388" s="29" t="n"/>
      <c r="F388" s="31" t="n"/>
      <c r="G388" s="29" t="n"/>
      <c r="H388" s="32">
        <f>IF(OR(NOT(AND($A388&lt;&gt;"",OR($G388="",$G388="Active"))),$F388=""),"",INT((TODAY()-$F388+280)/7)&amp;"+"&amp;MOD(TODAY()-$F388+280,7))</f>
        <v/>
      </c>
      <c r="I388" s="32">
        <f>IF(NOT(AND($A388&lt;&gt;"",OR($G388="",$G388="Active"))),"",IF(OR(IFERROR(LOOKUP(2,1/(ISNUMBER($M388:$U388)+($M388:$U388="DNA")),$M388:$U388),"")="DNA",AND(ISNUMBER(IFERROR(LOOKUP(2,1/(ISNUMBER($M388:$U388)+($M388:$U388="DNA")),$M388:$U388),"")),IFERROR(LOOKUP(2,1/(ISNUMBER($M388:$U388)+($M388:$U388="DNA")),$M388:$U388),"")&lt;TODAY())),1,0)+COUNTIF($V388:$Z388,"&lt;"&amp;TODAY()))</f>
        <v/>
      </c>
      <c r="J388" s="32">
        <f>IF(NOT(AND($A388&lt;&gt;"",OR($G388="",$G388="Active"))),"",COUNTIFS($M388:$U388,"&gt;="&amp;TODAY(),$M388:$U388,"&lt;="&amp;TODAY()+7)+COUNTIFS($V388:$Z388,"&gt;="&amp;TODAY(),$V388:$Z388,"&lt;="&amp;TODAY()+7))</f>
        <v/>
      </c>
      <c r="K388" s="32">
        <f>IF(NOT(AND($A388&lt;&gt;"",OR($G388="",$G388="Active"))),"",IF($L388&lt;&gt;"",IF($L388=$M388,"Booking",INDEX($N$4:$U$4,MATCH($L388,$N388:$U388,0))),IF(IFERROR(LOOKUP(2,1/(ISNUMBER($M388:$U388)+($M388:$U388="DNA")),$M388:$U388),"")="DNA","Rebook DNA",IF(ISNUMBER(IFERROR(LOOKUP(2,1/(ISNUMBER($M388:$U388)+($M388:$U388="DNA")),$M388:$U388),"")),IF(ISNUMBER($U388),"Update status","Missed/not booked?"),""))))</f>
        <v/>
      </c>
      <c r="L388" s="33">
        <f>IF(NOT(AND($A388&lt;&gt;"",OR($G388="",$G388="Active"))),"",IFERROR(SMALL($M388:$U388,COUNTIF($M388:$U388,"&lt;"&amp;TODAY())+1),""))</f>
        <v/>
      </c>
      <c r="M388" s="31" t="n"/>
      <c r="N388" s="31" t="n"/>
      <c r="O388" s="31" t="n"/>
      <c r="P388" s="31" t="n"/>
      <c r="Q388" s="31" t="n"/>
      <c r="R388" s="31" t="n"/>
      <c r="S388" s="31" t="n"/>
      <c r="T388" s="31" t="n"/>
      <c r="U388" s="31" t="n"/>
      <c r="V388" s="31" t="n"/>
      <c r="W388" s="31" t="n"/>
      <c r="X388" s="31" t="n"/>
      <c r="Y388" s="31" t="n"/>
      <c r="Z388" s="31" t="n"/>
      <c r="AA388" s="34" t="n"/>
      <c r="AB388" s="29" t="n"/>
      <c r="AC388" s="31" t="n"/>
    </row>
    <row r="389">
      <c r="A389" s="29" t="n"/>
      <c r="B389" s="30" t="n"/>
      <c r="C389" s="31" t="n"/>
      <c r="D389" s="29" t="n"/>
      <c r="E389" s="29" t="n"/>
      <c r="F389" s="31" t="n"/>
      <c r="G389" s="29" t="n"/>
      <c r="H389" s="32">
        <f>IF(OR(NOT(AND($A389&lt;&gt;"",OR($G389="",$G389="Active"))),$F389=""),"",INT((TODAY()-$F389+280)/7)&amp;"+"&amp;MOD(TODAY()-$F389+280,7))</f>
        <v/>
      </c>
      <c r="I389" s="32">
        <f>IF(NOT(AND($A389&lt;&gt;"",OR($G389="",$G389="Active"))),"",IF(OR(IFERROR(LOOKUP(2,1/(ISNUMBER($M389:$U389)+($M389:$U389="DNA")),$M389:$U389),"")="DNA",AND(ISNUMBER(IFERROR(LOOKUP(2,1/(ISNUMBER($M389:$U389)+($M389:$U389="DNA")),$M389:$U389),"")),IFERROR(LOOKUP(2,1/(ISNUMBER($M389:$U389)+($M389:$U389="DNA")),$M389:$U389),"")&lt;TODAY())),1,0)+COUNTIF($V389:$Z389,"&lt;"&amp;TODAY()))</f>
        <v/>
      </c>
      <c r="J389" s="32">
        <f>IF(NOT(AND($A389&lt;&gt;"",OR($G389="",$G389="Active"))),"",COUNTIFS($M389:$U389,"&gt;="&amp;TODAY(),$M389:$U389,"&lt;="&amp;TODAY()+7)+COUNTIFS($V389:$Z389,"&gt;="&amp;TODAY(),$V389:$Z389,"&lt;="&amp;TODAY()+7))</f>
        <v/>
      </c>
      <c r="K389" s="32">
        <f>IF(NOT(AND($A389&lt;&gt;"",OR($G389="",$G389="Active"))),"",IF($L389&lt;&gt;"",IF($L389=$M389,"Booking",INDEX($N$4:$U$4,MATCH($L389,$N389:$U389,0))),IF(IFERROR(LOOKUP(2,1/(ISNUMBER($M389:$U389)+($M389:$U389="DNA")),$M389:$U389),"")="DNA","Rebook DNA",IF(ISNUMBER(IFERROR(LOOKUP(2,1/(ISNUMBER($M389:$U389)+($M389:$U389="DNA")),$M389:$U389),"")),IF(ISNUMBER($U389),"Update status","Missed/not booked?"),""))))</f>
        <v/>
      </c>
      <c r="L389" s="33">
        <f>IF(NOT(AND($A389&lt;&gt;"",OR($G389="",$G389="Active"))),"",IFERROR(SMALL($M389:$U389,COUNTIF($M389:$U389,"&lt;"&amp;TODAY())+1),""))</f>
        <v/>
      </c>
      <c r="M389" s="31" t="n"/>
      <c r="N389" s="31" t="n"/>
      <c r="O389" s="31" t="n"/>
      <c r="P389" s="31" t="n"/>
      <c r="Q389" s="31" t="n"/>
      <c r="R389" s="31" t="n"/>
      <c r="S389" s="31" t="n"/>
      <c r="T389" s="31" t="n"/>
      <c r="U389" s="31" t="n"/>
      <c r="V389" s="31" t="n"/>
      <c r="W389" s="31" t="n"/>
      <c r="X389" s="31" t="n"/>
      <c r="Y389" s="31" t="n"/>
      <c r="Z389" s="31" t="n"/>
      <c r="AA389" s="34" t="n"/>
      <c r="AB389" s="29" t="n"/>
      <c r="AC389" s="31" t="n"/>
    </row>
    <row r="390">
      <c r="A390" s="29" t="n"/>
      <c r="B390" s="30" t="n"/>
      <c r="C390" s="31" t="n"/>
      <c r="D390" s="29" t="n"/>
      <c r="E390" s="29" t="n"/>
      <c r="F390" s="31" t="n"/>
      <c r="G390" s="29" t="n"/>
      <c r="H390" s="32">
        <f>IF(OR(NOT(AND($A390&lt;&gt;"",OR($G390="",$G390="Active"))),$F390=""),"",INT((TODAY()-$F390+280)/7)&amp;"+"&amp;MOD(TODAY()-$F390+280,7))</f>
        <v/>
      </c>
      <c r="I390" s="32">
        <f>IF(NOT(AND($A390&lt;&gt;"",OR($G390="",$G390="Active"))),"",IF(OR(IFERROR(LOOKUP(2,1/(ISNUMBER($M390:$U390)+($M390:$U390="DNA")),$M390:$U390),"")="DNA",AND(ISNUMBER(IFERROR(LOOKUP(2,1/(ISNUMBER($M390:$U390)+($M390:$U390="DNA")),$M390:$U390),"")),IFERROR(LOOKUP(2,1/(ISNUMBER($M390:$U390)+($M390:$U390="DNA")),$M390:$U390),"")&lt;TODAY())),1,0)+COUNTIF($V390:$Z390,"&lt;"&amp;TODAY()))</f>
        <v/>
      </c>
      <c r="J390" s="32">
        <f>IF(NOT(AND($A390&lt;&gt;"",OR($G390="",$G390="Active"))),"",COUNTIFS($M390:$U390,"&gt;="&amp;TODAY(),$M390:$U390,"&lt;="&amp;TODAY()+7)+COUNTIFS($V390:$Z390,"&gt;="&amp;TODAY(),$V390:$Z390,"&lt;="&amp;TODAY()+7))</f>
        <v/>
      </c>
      <c r="K390" s="32">
        <f>IF(NOT(AND($A390&lt;&gt;"",OR($G390="",$G390="Active"))),"",IF($L390&lt;&gt;"",IF($L390=$M390,"Booking",INDEX($N$4:$U$4,MATCH($L390,$N390:$U390,0))),IF(IFERROR(LOOKUP(2,1/(ISNUMBER($M390:$U390)+($M390:$U390="DNA")),$M390:$U390),"")="DNA","Rebook DNA",IF(ISNUMBER(IFERROR(LOOKUP(2,1/(ISNUMBER($M390:$U390)+($M390:$U390="DNA")),$M390:$U390),"")),IF(ISNUMBER($U390),"Update status","Missed/not booked?"),""))))</f>
        <v/>
      </c>
      <c r="L390" s="33">
        <f>IF(NOT(AND($A390&lt;&gt;"",OR($G390="",$G390="Active"))),"",IFERROR(SMALL($M390:$U390,COUNTIF($M390:$U390,"&lt;"&amp;TODAY())+1),""))</f>
        <v/>
      </c>
      <c r="M390" s="31" t="n"/>
      <c r="N390" s="31" t="n"/>
      <c r="O390" s="31" t="n"/>
      <c r="P390" s="31" t="n"/>
      <c r="Q390" s="31" t="n"/>
      <c r="R390" s="31" t="n"/>
      <c r="S390" s="31" t="n"/>
      <c r="T390" s="31" t="n"/>
      <c r="U390" s="31" t="n"/>
      <c r="V390" s="31" t="n"/>
      <c r="W390" s="31" t="n"/>
      <c r="X390" s="31" t="n"/>
      <c r="Y390" s="31" t="n"/>
      <c r="Z390" s="31" t="n"/>
      <c r="AA390" s="34" t="n"/>
      <c r="AB390" s="29" t="n"/>
      <c r="AC390" s="31" t="n"/>
    </row>
    <row r="391">
      <c r="A391" s="29" t="n"/>
      <c r="B391" s="30" t="n"/>
      <c r="C391" s="31" t="n"/>
      <c r="D391" s="29" t="n"/>
      <c r="E391" s="29" t="n"/>
      <c r="F391" s="31" t="n"/>
      <c r="G391" s="29" t="n"/>
      <c r="H391" s="32">
        <f>IF(OR(NOT(AND($A391&lt;&gt;"",OR($G391="",$G391="Active"))),$F391=""),"",INT((TODAY()-$F391+280)/7)&amp;"+"&amp;MOD(TODAY()-$F391+280,7))</f>
        <v/>
      </c>
      <c r="I391" s="32">
        <f>IF(NOT(AND($A391&lt;&gt;"",OR($G391="",$G391="Active"))),"",IF(OR(IFERROR(LOOKUP(2,1/(ISNUMBER($M391:$U391)+($M391:$U391="DNA")),$M391:$U391),"")="DNA",AND(ISNUMBER(IFERROR(LOOKUP(2,1/(ISNUMBER($M391:$U391)+($M391:$U391="DNA")),$M391:$U391),"")),IFERROR(LOOKUP(2,1/(ISNUMBER($M391:$U391)+($M391:$U391="DNA")),$M391:$U391),"")&lt;TODAY())),1,0)+COUNTIF($V391:$Z391,"&lt;"&amp;TODAY()))</f>
        <v/>
      </c>
      <c r="J391" s="32">
        <f>IF(NOT(AND($A391&lt;&gt;"",OR($G391="",$G391="Active"))),"",COUNTIFS($M391:$U391,"&gt;="&amp;TODAY(),$M391:$U391,"&lt;="&amp;TODAY()+7)+COUNTIFS($V391:$Z391,"&gt;="&amp;TODAY(),$V391:$Z391,"&lt;="&amp;TODAY()+7))</f>
        <v/>
      </c>
      <c r="K391" s="32">
        <f>IF(NOT(AND($A391&lt;&gt;"",OR($G391="",$G391="Active"))),"",IF($L391&lt;&gt;"",IF($L391=$M391,"Booking",INDEX($N$4:$U$4,MATCH($L391,$N391:$U391,0))),IF(IFERROR(LOOKUP(2,1/(ISNUMBER($M391:$U391)+($M391:$U391="DNA")),$M391:$U391),"")="DNA","Rebook DNA",IF(ISNUMBER(IFERROR(LOOKUP(2,1/(ISNUMBER($M391:$U391)+($M391:$U391="DNA")),$M391:$U391),"")),IF(ISNUMBER($U391),"Update status","Missed/not booked?"),""))))</f>
        <v/>
      </c>
      <c r="L391" s="33">
        <f>IF(NOT(AND($A391&lt;&gt;"",OR($G391="",$G391="Active"))),"",IFERROR(SMALL($M391:$U391,COUNTIF($M391:$U391,"&lt;"&amp;TODAY())+1),""))</f>
        <v/>
      </c>
      <c r="M391" s="31" t="n"/>
      <c r="N391" s="31" t="n"/>
      <c r="O391" s="31" t="n"/>
      <c r="P391" s="31" t="n"/>
      <c r="Q391" s="31" t="n"/>
      <c r="R391" s="31" t="n"/>
      <c r="S391" s="31" t="n"/>
      <c r="T391" s="31" t="n"/>
      <c r="U391" s="31" t="n"/>
      <c r="V391" s="31" t="n"/>
      <c r="W391" s="31" t="n"/>
      <c r="X391" s="31" t="n"/>
      <c r="Y391" s="31" t="n"/>
      <c r="Z391" s="31" t="n"/>
      <c r="AA391" s="34" t="n"/>
      <c r="AB391" s="29" t="n"/>
      <c r="AC391" s="31" t="n"/>
    </row>
    <row r="392">
      <c r="A392" s="29" t="n"/>
      <c r="B392" s="30" t="n"/>
      <c r="C392" s="31" t="n"/>
      <c r="D392" s="29" t="n"/>
      <c r="E392" s="29" t="n"/>
      <c r="F392" s="31" t="n"/>
      <c r="G392" s="29" t="n"/>
      <c r="H392" s="32">
        <f>IF(OR(NOT(AND($A392&lt;&gt;"",OR($G392="",$G392="Active"))),$F392=""),"",INT((TODAY()-$F392+280)/7)&amp;"+"&amp;MOD(TODAY()-$F392+280,7))</f>
        <v/>
      </c>
      <c r="I392" s="32">
        <f>IF(NOT(AND($A392&lt;&gt;"",OR($G392="",$G392="Active"))),"",IF(OR(IFERROR(LOOKUP(2,1/(ISNUMBER($M392:$U392)+($M392:$U392="DNA")),$M392:$U392),"")="DNA",AND(ISNUMBER(IFERROR(LOOKUP(2,1/(ISNUMBER($M392:$U392)+($M392:$U392="DNA")),$M392:$U392),"")),IFERROR(LOOKUP(2,1/(ISNUMBER($M392:$U392)+($M392:$U392="DNA")),$M392:$U392),"")&lt;TODAY())),1,0)+COUNTIF($V392:$Z392,"&lt;"&amp;TODAY()))</f>
        <v/>
      </c>
      <c r="J392" s="32">
        <f>IF(NOT(AND($A392&lt;&gt;"",OR($G392="",$G392="Active"))),"",COUNTIFS($M392:$U392,"&gt;="&amp;TODAY(),$M392:$U392,"&lt;="&amp;TODAY()+7)+COUNTIFS($V392:$Z392,"&gt;="&amp;TODAY(),$V392:$Z392,"&lt;="&amp;TODAY()+7))</f>
        <v/>
      </c>
      <c r="K392" s="32">
        <f>IF(NOT(AND($A392&lt;&gt;"",OR($G392="",$G392="Active"))),"",IF($L392&lt;&gt;"",IF($L392=$M392,"Booking",INDEX($N$4:$U$4,MATCH($L392,$N392:$U392,0))),IF(IFERROR(LOOKUP(2,1/(ISNUMBER($M392:$U392)+($M392:$U392="DNA")),$M392:$U392),"")="DNA","Rebook DNA",IF(ISNUMBER(IFERROR(LOOKUP(2,1/(ISNUMBER($M392:$U392)+($M392:$U392="DNA")),$M392:$U392),"")),IF(ISNUMBER($U392),"Update status","Missed/not booked?"),""))))</f>
        <v/>
      </c>
      <c r="L392" s="33">
        <f>IF(NOT(AND($A392&lt;&gt;"",OR($G392="",$G392="Active"))),"",IFERROR(SMALL($M392:$U392,COUNTIF($M392:$U392,"&lt;"&amp;TODAY())+1),""))</f>
        <v/>
      </c>
      <c r="M392" s="31" t="n"/>
      <c r="N392" s="31" t="n"/>
      <c r="O392" s="31" t="n"/>
      <c r="P392" s="31" t="n"/>
      <c r="Q392" s="31" t="n"/>
      <c r="R392" s="31" t="n"/>
      <c r="S392" s="31" t="n"/>
      <c r="T392" s="31" t="n"/>
      <c r="U392" s="31" t="n"/>
      <c r="V392" s="31" t="n"/>
      <c r="W392" s="31" t="n"/>
      <c r="X392" s="31" t="n"/>
      <c r="Y392" s="31" t="n"/>
      <c r="Z392" s="31" t="n"/>
      <c r="AA392" s="34" t="n"/>
      <c r="AB392" s="29" t="n"/>
      <c r="AC392" s="31" t="n"/>
    </row>
    <row r="393">
      <c r="A393" s="29" t="n"/>
      <c r="B393" s="30" t="n"/>
      <c r="C393" s="31" t="n"/>
      <c r="D393" s="29" t="n"/>
      <c r="E393" s="29" t="n"/>
      <c r="F393" s="31" t="n"/>
      <c r="G393" s="29" t="n"/>
      <c r="H393" s="32">
        <f>IF(OR(NOT(AND($A393&lt;&gt;"",OR($G393="",$G393="Active"))),$F393=""),"",INT((TODAY()-$F393+280)/7)&amp;"+"&amp;MOD(TODAY()-$F393+280,7))</f>
        <v/>
      </c>
      <c r="I393" s="32">
        <f>IF(NOT(AND($A393&lt;&gt;"",OR($G393="",$G393="Active"))),"",IF(OR(IFERROR(LOOKUP(2,1/(ISNUMBER($M393:$U393)+($M393:$U393="DNA")),$M393:$U393),"")="DNA",AND(ISNUMBER(IFERROR(LOOKUP(2,1/(ISNUMBER($M393:$U393)+($M393:$U393="DNA")),$M393:$U393),"")),IFERROR(LOOKUP(2,1/(ISNUMBER($M393:$U393)+($M393:$U393="DNA")),$M393:$U393),"")&lt;TODAY())),1,0)+COUNTIF($V393:$Z393,"&lt;"&amp;TODAY()))</f>
        <v/>
      </c>
      <c r="J393" s="32">
        <f>IF(NOT(AND($A393&lt;&gt;"",OR($G393="",$G393="Active"))),"",COUNTIFS($M393:$U393,"&gt;="&amp;TODAY(),$M393:$U393,"&lt;="&amp;TODAY()+7)+COUNTIFS($V393:$Z393,"&gt;="&amp;TODAY(),$V393:$Z393,"&lt;="&amp;TODAY()+7))</f>
        <v/>
      </c>
      <c r="K393" s="32">
        <f>IF(NOT(AND($A393&lt;&gt;"",OR($G393="",$G393="Active"))),"",IF($L393&lt;&gt;"",IF($L393=$M393,"Booking",INDEX($N$4:$U$4,MATCH($L393,$N393:$U393,0))),IF(IFERROR(LOOKUP(2,1/(ISNUMBER($M393:$U393)+($M393:$U393="DNA")),$M393:$U393),"")="DNA","Rebook DNA",IF(ISNUMBER(IFERROR(LOOKUP(2,1/(ISNUMBER($M393:$U393)+($M393:$U393="DNA")),$M393:$U393),"")),IF(ISNUMBER($U393),"Update status","Missed/not booked?"),""))))</f>
        <v/>
      </c>
      <c r="L393" s="33">
        <f>IF(NOT(AND($A393&lt;&gt;"",OR($G393="",$G393="Active"))),"",IFERROR(SMALL($M393:$U393,COUNTIF($M393:$U393,"&lt;"&amp;TODAY())+1),""))</f>
        <v/>
      </c>
      <c r="M393" s="31" t="n"/>
      <c r="N393" s="31" t="n"/>
      <c r="O393" s="31" t="n"/>
      <c r="P393" s="31" t="n"/>
      <c r="Q393" s="31" t="n"/>
      <c r="R393" s="31" t="n"/>
      <c r="S393" s="31" t="n"/>
      <c r="T393" s="31" t="n"/>
      <c r="U393" s="31" t="n"/>
      <c r="V393" s="31" t="n"/>
      <c r="W393" s="31" t="n"/>
      <c r="X393" s="31" t="n"/>
      <c r="Y393" s="31" t="n"/>
      <c r="Z393" s="31" t="n"/>
      <c r="AA393" s="34" t="n"/>
      <c r="AB393" s="29" t="n"/>
      <c r="AC393" s="31" t="n"/>
    </row>
    <row r="394">
      <c r="A394" s="29" t="n"/>
      <c r="B394" s="30" t="n"/>
      <c r="C394" s="31" t="n"/>
      <c r="D394" s="29" t="n"/>
      <c r="E394" s="29" t="n"/>
      <c r="F394" s="31" t="n"/>
      <c r="G394" s="29" t="n"/>
      <c r="H394" s="32">
        <f>IF(OR(NOT(AND($A394&lt;&gt;"",OR($G394="",$G394="Active"))),$F394=""),"",INT((TODAY()-$F394+280)/7)&amp;"+"&amp;MOD(TODAY()-$F394+280,7))</f>
        <v/>
      </c>
      <c r="I394" s="32">
        <f>IF(NOT(AND($A394&lt;&gt;"",OR($G394="",$G394="Active"))),"",IF(OR(IFERROR(LOOKUP(2,1/(ISNUMBER($M394:$U394)+($M394:$U394="DNA")),$M394:$U394),"")="DNA",AND(ISNUMBER(IFERROR(LOOKUP(2,1/(ISNUMBER($M394:$U394)+($M394:$U394="DNA")),$M394:$U394),"")),IFERROR(LOOKUP(2,1/(ISNUMBER($M394:$U394)+($M394:$U394="DNA")),$M394:$U394),"")&lt;TODAY())),1,0)+COUNTIF($V394:$Z394,"&lt;"&amp;TODAY()))</f>
        <v/>
      </c>
      <c r="J394" s="32">
        <f>IF(NOT(AND($A394&lt;&gt;"",OR($G394="",$G394="Active"))),"",COUNTIFS($M394:$U394,"&gt;="&amp;TODAY(),$M394:$U394,"&lt;="&amp;TODAY()+7)+COUNTIFS($V394:$Z394,"&gt;="&amp;TODAY(),$V394:$Z394,"&lt;="&amp;TODAY()+7))</f>
        <v/>
      </c>
      <c r="K394" s="32">
        <f>IF(NOT(AND($A394&lt;&gt;"",OR($G394="",$G394="Active"))),"",IF($L394&lt;&gt;"",IF($L394=$M394,"Booking",INDEX($N$4:$U$4,MATCH($L394,$N394:$U394,0))),IF(IFERROR(LOOKUP(2,1/(ISNUMBER($M394:$U394)+($M394:$U394="DNA")),$M394:$U394),"")="DNA","Rebook DNA",IF(ISNUMBER(IFERROR(LOOKUP(2,1/(ISNUMBER($M394:$U394)+($M394:$U394="DNA")),$M394:$U394),"")),IF(ISNUMBER($U394),"Update status","Missed/not booked?"),""))))</f>
        <v/>
      </c>
      <c r="L394" s="33">
        <f>IF(NOT(AND($A394&lt;&gt;"",OR($G394="",$G394="Active"))),"",IFERROR(SMALL($M394:$U394,COUNTIF($M394:$U394,"&lt;"&amp;TODAY())+1),""))</f>
        <v/>
      </c>
      <c r="M394" s="31" t="n"/>
      <c r="N394" s="31" t="n"/>
      <c r="O394" s="31" t="n"/>
      <c r="P394" s="31" t="n"/>
      <c r="Q394" s="31" t="n"/>
      <c r="R394" s="31" t="n"/>
      <c r="S394" s="31" t="n"/>
      <c r="T394" s="31" t="n"/>
      <c r="U394" s="31" t="n"/>
      <c r="V394" s="31" t="n"/>
      <c r="W394" s="31" t="n"/>
      <c r="X394" s="31" t="n"/>
      <c r="Y394" s="31" t="n"/>
      <c r="Z394" s="31" t="n"/>
      <c r="AA394" s="34" t="n"/>
      <c r="AB394" s="29" t="n"/>
      <c r="AC394" s="31" t="n"/>
    </row>
    <row r="395">
      <c r="A395" s="29" t="n"/>
      <c r="B395" s="30" t="n"/>
      <c r="C395" s="31" t="n"/>
      <c r="D395" s="29" t="n"/>
      <c r="E395" s="29" t="n"/>
      <c r="F395" s="31" t="n"/>
      <c r="G395" s="29" t="n"/>
      <c r="H395" s="32">
        <f>IF(OR(NOT(AND($A395&lt;&gt;"",OR($G395="",$G395="Active"))),$F395=""),"",INT((TODAY()-$F395+280)/7)&amp;"+"&amp;MOD(TODAY()-$F395+280,7))</f>
        <v/>
      </c>
      <c r="I395" s="32">
        <f>IF(NOT(AND($A395&lt;&gt;"",OR($G395="",$G395="Active"))),"",IF(OR(IFERROR(LOOKUP(2,1/(ISNUMBER($M395:$U395)+($M395:$U395="DNA")),$M395:$U395),"")="DNA",AND(ISNUMBER(IFERROR(LOOKUP(2,1/(ISNUMBER($M395:$U395)+($M395:$U395="DNA")),$M395:$U395),"")),IFERROR(LOOKUP(2,1/(ISNUMBER($M395:$U395)+($M395:$U395="DNA")),$M395:$U395),"")&lt;TODAY())),1,0)+COUNTIF($V395:$Z395,"&lt;"&amp;TODAY()))</f>
        <v/>
      </c>
      <c r="J395" s="32">
        <f>IF(NOT(AND($A395&lt;&gt;"",OR($G395="",$G395="Active"))),"",COUNTIFS($M395:$U395,"&gt;="&amp;TODAY(),$M395:$U395,"&lt;="&amp;TODAY()+7)+COUNTIFS($V395:$Z395,"&gt;="&amp;TODAY(),$V395:$Z395,"&lt;="&amp;TODAY()+7))</f>
        <v/>
      </c>
      <c r="K395" s="32">
        <f>IF(NOT(AND($A395&lt;&gt;"",OR($G395="",$G395="Active"))),"",IF($L395&lt;&gt;"",IF($L395=$M395,"Booking",INDEX($N$4:$U$4,MATCH($L395,$N395:$U395,0))),IF(IFERROR(LOOKUP(2,1/(ISNUMBER($M395:$U395)+($M395:$U395="DNA")),$M395:$U395),"")="DNA","Rebook DNA",IF(ISNUMBER(IFERROR(LOOKUP(2,1/(ISNUMBER($M395:$U395)+($M395:$U395="DNA")),$M395:$U395),"")),IF(ISNUMBER($U395),"Update status","Missed/not booked?"),""))))</f>
        <v/>
      </c>
      <c r="L395" s="33">
        <f>IF(NOT(AND($A395&lt;&gt;"",OR($G395="",$G395="Active"))),"",IFERROR(SMALL($M395:$U395,COUNTIF($M395:$U395,"&lt;"&amp;TODAY())+1),""))</f>
        <v/>
      </c>
      <c r="M395" s="31" t="n"/>
      <c r="N395" s="31" t="n"/>
      <c r="O395" s="31" t="n"/>
      <c r="P395" s="31" t="n"/>
      <c r="Q395" s="31" t="n"/>
      <c r="R395" s="31" t="n"/>
      <c r="S395" s="31" t="n"/>
      <c r="T395" s="31" t="n"/>
      <c r="U395" s="31" t="n"/>
      <c r="V395" s="31" t="n"/>
      <c r="W395" s="31" t="n"/>
      <c r="X395" s="31" t="n"/>
      <c r="Y395" s="31" t="n"/>
      <c r="Z395" s="31" t="n"/>
      <c r="AA395" s="34" t="n"/>
      <c r="AB395" s="29" t="n"/>
      <c r="AC395" s="31" t="n"/>
    </row>
    <row r="396">
      <c r="A396" s="29" t="n"/>
      <c r="B396" s="30" t="n"/>
      <c r="C396" s="31" t="n"/>
      <c r="D396" s="29" t="n"/>
      <c r="E396" s="29" t="n"/>
      <c r="F396" s="31" t="n"/>
      <c r="G396" s="29" t="n"/>
      <c r="H396" s="32">
        <f>IF(OR(NOT(AND($A396&lt;&gt;"",OR($G396="",$G396="Active"))),$F396=""),"",INT((TODAY()-$F396+280)/7)&amp;"+"&amp;MOD(TODAY()-$F396+280,7))</f>
        <v/>
      </c>
      <c r="I396" s="32">
        <f>IF(NOT(AND($A396&lt;&gt;"",OR($G396="",$G396="Active"))),"",IF(OR(IFERROR(LOOKUP(2,1/(ISNUMBER($M396:$U396)+($M396:$U396="DNA")),$M396:$U396),"")="DNA",AND(ISNUMBER(IFERROR(LOOKUP(2,1/(ISNUMBER($M396:$U396)+($M396:$U396="DNA")),$M396:$U396),"")),IFERROR(LOOKUP(2,1/(ISNUMBER($M396:$U396)+($M396:$U396="DNA")),$M396:$U396),"")&lt;TODAY())),1,0)+COUNTIF($V396:$Z396,"&lt;"&amp;TODAY()))</f>
        <v/>
      </c>
      <c r="J396" s="32">
        <f>IF(NOT(AND($A396&lt;&gt;"",OR($G396="",$G396="Active"))),"",COUNTIFS($M396:$U396,"&gt;="&amp;TODAY(),$M396:$U396,"&lt;="&amp;TODAY()+7)+COUNTIFS($V396:$Z396,"&gt;="&amp;TODAY(),$V396:$Z396,"&lt;="&amp;TODAY()+7))</f>
        <v/>
      </c>
      <c r="K396" s="32">
        <f>IF(NOT(AND($A396&lt;&gt;"",OR($G396="",$G396="Active"))),"",IF($L396&lt;&gt;"",IF($L396=$M396,"Booking",INDEX($N$4:$U$4,MATCH($L396,$N396:$U396,0))),IF(IFERROR(LOOKUP(2,1/(ISNUMBER($M396:$U396)+($M396:$U396="DNA")),$M396:$U396),"")="DNA","Rebook DNA",IF(ISNUMBER(IFERROR(LOOKUP(2,1/(ISNUMBER($M396:$U396)+($M396:$U396="DNA")),$M396:$U396),"")),IF(ISNUMBER($U396),"Update status","Missed/not booked?"),""))))</f>
        <v/>
      </c>
      <c r="L396" s="33">
        <f>IF(NOT(AND($A396&lt;&gt;"",OR($G396="",$G396="Active"))),"",IFERROR(SMALL($M396:$U396,COUNTIF($M396:$U396,"&lt;"&amp;TODAY())+1),""))</f>
        <v/>
      </c>
      <c r="M396" s="31" t="n"/>
      <c r="N396" s="31" t="n"/>
      <c r="O396" s="31" t="n"/>
      <c r="P396" s="31" t="n"/>
      <c r="Q396" s="31" t="n"/>
      <c r="R396" s="31" t="n"/>
      <c r="S396" s="31" t="n"/>
      <c r="T396" s="31" t="n"/>
      <c r="U396" s="31" t="n"/>
      <c r="V396" s="31" t="n"/>
      <c r="W396" s="31" t="n"/>
      <c r="X396" s="31" t="n"/>
      <c r="Y396" s="31" t="n"/>
      <c r="Z396" s="31" t="n"/>
      <c r="AA396" s="34" t="n"/>
      <c r="AB396" s="29" t="n"/>
      <c r="AC396" s="31" t="n"/>
    </row>
    <row r="397">
      <c r="A397" s="29" t="n"/>
      <c r="B397" s="30" t="n"/>
      <c r="C397" s="31" t="n"/>
      <c r="D397" s="29" t="n"/>
      <c r="E397" s="29" t="n"/>
      <c r="F397" s="31" t="n"/>
      <c r="G397" s="29" t="n"/>
      <c r="H397" s="32">
        <f>IF(OR(NOT(AND($A397&lt;&gt;"",OR($G397="",$G397="Active"))),$F397=""),"",INT((TODAY()-$F397+280)/7)&amp;"+"&amp;MOD(TODAY()-$F397+280,7))</f>
        <v/>
      </c>
      <c r="I397" s="32">
        <f>IF(NOT(AND($A397&lt;&gt;"",OR($G397="",$G397="Active"))),"",IF(OR(IFERROR(LOOKUP(2,1/(ISNUMBER($M397:$U397)+($M397:$U397="DNA")),$M397:$U397),"")="DNA",AND(ISNUMBER(IFERROR(LOOKUP(2,1/(ISNUMBER($M397:$U397)+($M397:$U397="DNA")),$M397:$U397),"")),IFERROR(LOOKUP(2,1/(ISNUMBER($M397:$U397)+($M397:$U397="DNA")),$M397:$U397),"")&lt;TODAY())),1,0)+COUNTIF($V397:$Z397,"&lt;"&amp;TODAY()))</f>
        <v/>
      </c>
      <c r="J397" s="32">
        <f>IF(NOT(AND($A397&lt;&gt;"",OR($G397="",$G397="Active"))),"",COUNTIFS($M397:$U397,"&gt;="&amp;TODAY(),$M397:$U397,"&lt;="&amp;TODAY()+7)+COUNTIFS($V397:$Z397,"&gt;="&amp;TODAY(),$V397:$Z397,"&lt;="&amp;TODAY()+7))</f>
        <v/>
      </c>
      <c r="K397" s="32">
        <f>IF(NOT(AND($A397&lt;&gt;"",OR($G397="",$G397="Active"))),"",IF($L397&lt;&gt;"",IF($L397=$M397,"Booking",INDEX($N$4:$U$4,MATCH($L397,$N397:$U397,0))),IF(IFERROR(LOOKUP(2,1/(ISNUMBER($M397:$U397)+($M397:$U397="DNA")),$M397:$U397),"")="DNA","Rebook DNA",IF(ISNUMBER(IFERROR(LOOKUP(2,1/(ISNUMBER($M397:$U397)+($M397:$U397="DNA")),$M397:$U397),"")),IF(ISNUMBER($U397),"Update status","Missed/not booked?"),""))))</f>
        <v/>
      </c>
      <c r="L397" s="33">
        <f>IF(NOT(AND($A397&lt;&gt;"",OR($G397="",$G397="Active"))),"",IFERROR(SMALL($M397:$U397,COUNTIF($M397:$U397,"&lt;"&amp;TODAY())+1),""))</f>
        <v/>
      </c>
      <c r="M397" s="31" t="n"/>
      <c r="N397" s="31" t="n"/>
      <c r="O397" s="31" t="n"/>
      <c r="P397" s="31" t="n"/>
      <c r="Q397" s="31" t="n"/>
      <c r="R397" s="31" t="n"/>
      <c r="S397" s="31" t="n"/>
      <c r="T397" s="31" t="n"/>
      <c r="U397" s="31" t="n"/>
      <c r="V397" s="31" t="n"/>
      <c r="W397" s="31" t="n"/>
      <c r="X397" s="31" t="n"/>
      <c r="Y397" s="31" t="n"/>
      <c r="Z397" s="31" t="n"/>
      <c r="AA397" s="34" t="n"/>
      <c r="AB397" s="29" t="n"/>
      <c r="AC397" s="31" t="n"/>
    </row>
    <row r="398">
      <c r="A398" s="29" t="n"/>
      <c r="B398" s="30" t="n"/>
      <c r="C398" s="31" t="n"/>
      <c r="D398" s="29" t="n"/>
      <c r="E398" s="29" t="n"/>
      <c r="F398" s="31" t="n"/>
      <c r="G398" s="29" t="n"/>
      <c r="H398" s="32">
        <f>IF(OR(NOT(AND($A398&lt;&gt;"",OR($G398="",$G398="Active"))),$F398=""),"",INT((TODAY()-$F398+280)/7)&amp;"+"&amp;MOD(TODAY()-$F398+280,7))</f>
        <v/>
      </c>
      <c r="I398" s="32">
        <f>IF(NOT(AND($A398&lt;&gt;"",OR($G398="",$G398="Active"))),"",IF(OR(IFERROR(LOOKUP(2,1/(ISNUMBER($M398:$U398)+($M398:$U398="DNA")),$M398:$U398),"")="DNA",AND(ISNUMBER(IFERROR(LOOKUP(2,1/(ISNUMBER($M398:$U398)+($M398:$U398="DNA")),$M398:$U398),"")),IFERROR(LOOKUP(2,1/(ISNUMBER($M398:$U398)+($M398:$U398="DNA")),$M398:$U398),"")&lt;TODAY())),1,0)+COUNTIF($V398:$Z398,"&lt;"&amp;TODAY()))</f>
        <v/>
      </c>
      <c r="J398" s="32">
        <f>IF(NOT(AND($A398&lt;&gt;"",OR($G398="",$G398="Active"))),"",COUNTIFS($M398:$U398,"&gt;="&amp;TODAY(),$M398:$U398,"&lt;="&amp;TODAY()+7)+COUNTIFS($V398:$Z398,"&gt;="&amp;TODAY(),$V398:$Z398,"&lt;="&amp;TODAY()+7))</f>
        <v/>
      </c>
      <c r="K398" s="32">
        <f>IF(NOT(AND($A398&lt;&gt;"",OR($G398="",$G398="Active"))),"",IF($L398&lt;&gt;"",IF($L398=$M398,"Booking",INDEX($N$4:$U$4,MATCH($L398,$N398:$U398,0))),IF(IFERROR(LOOKUP(2,1/(ISNUMBER($M398:$U398)+($M398:$U398="DNA")),$M398:$U398),"")="DNA","Rebook DNA",IF(ISNUMBER(IFERROR(LOOKUP(2,1/(ISNUMBER($M398:$U398)+($M398:$U398="DNA")),$M398:$U398),"")),IF(ISNUMBER($U398),"Update status","Missed/not booked?"),""))))</f>
        <v/>
      </c>
      <c r="L398" s="33">
        <f>IF(NOT(AND($A398&lt;&gt;"",OR($G398="",$G398="Active"))),"",IFERROR(SMALL($M398:$U398,COUNTIF($M398:$U398,"&lt;"&amp;TODAY())+1),""))</f>
        <v/>
      </c>
      <c r="M398" s="31" t="n"/>
      <c r="N398" s="31" t="n"/>
      <c r="O398" s="31" t="n"/>
      <c r="P398" s="31" t="n"/>
      <c r="Q398" s="31" t="n"/>
      <c r="R398" s="31" t="n"/>
      <c r="S398" s="31" t="n"/>
      <c r="T398" s="31" t="n"/>
      <c r="U398" s="31" t="n"/>
      <c r="V398" s="31" t="n"/>
      <c r="W398" s="31" t="n"/>
      <c r="X398" s="31" t="n"/>
      <c r="Y398" s="31" t="n"/>
      <c r="Z398" s="31" t="n"/>
      <c r="AA398" s="34" t="n"/>
      <c r="AB398" s="29" t="n"/>
      <c r="AC398" s="31" t="n"/>
    </row>
    <row r="399">
      <c r="A399" s="29" t="n"/>
      <c r="B399" s="30" t="n"/>
      <c r="C399" s="31" t="n"/>
      <c r="D399" s="29" t="n"/>
      <c r="E399" s="29" t="n"/>
      <c r="F399" s="31" t="n"/>
      <c r="G399" s="29" t="n"/>
      <c r="H399" s="32">
        <f>IF(OR(NOT(AND($A399&lt;&gt;"",OR($G399="",$G399="Active"))),$F399=""),"",INT((TODAY()-$F399+280)/7)&amp;"+"&amp;MOD(TODAY()-$F399+280,7))</f>
        <v/>
      </c>
      <c r="I399" s="32">
        <f>IF(NOT(AND($A399&lt;&gt;"",OR($G399="",$G399="Active"))),"",IF(OR(IFERROR(LOOKUP(2,1/(ISNUMBER($M399:$U399)+($M399:$U399="DNA")),$M399:$U399),"")="DNA",AND(ISNUMBER(IFERROR(LOOKUP(2,1/(ISNUMBER($M399:$U399)+($M399:$U399="DNA")),$M399:$U399),"")),IFERROR(LOOKUP(2,1/(ISNUMBER($M399:$U399)+($M399:$U399="DNA")),$M399:$U399),"")&lt;TODAY())),1,0)+COUNTIF($V399:$Z399,"&lt;"&amp;TODAY()))</f>
        <v/>
      </c>
      <c r="J399" s="32">
        <f>IF(NOT(AND($A399&lt;&gt;"",OR($G399="",$G399="Active"))),"",COUNTIFS($M399:$U399,"&gt;="&amp;TODAY(),$M399:$U399,"&lt;="&amp;TODAY()+7)+COUNTIFS($V399:$Z399,"&gt;="&amp;TODAY(),$V399:$Z399,"&lt;="&amp;TODAY()+7))</f>
        <v/>
      </c>
      <c r="K399" s="32">
        <f>IF(NOT(AND($A399&lt;&gt;"",OR($G399="",$G399="Active"))),"",IF($L399&lt;&gt;"",IF($L399=$M399,"Booking",INDEX($N$4:$U$4,MATCH($L399,$N399:$U399,0))),IF(IFERROR(LOOKUP(2,1/(ISNUMBER($M399:$U399)+($M399:$U399="DNA")),$M399:$U399),"")="DNA","Rebook DNA",IF(ISNUMBER(IFERROR(LOOKUP(2,1/(ISNUMBER($M399:$U399)+($M399:$U399="DNA")),$M399:$U399),"")),IF(ISNUMBER($U399),"Update status","Missed/not booked?"),""))))</f>
        <v/>
      </c>
      <c r="L399" s="33">
        <f>IF(NOT(AND($A399&lt;&gt;"",OR($G399="",$G399="Active"))),"",IFERROR(SMALL($M399:$U399,COUNTIF($M399:$U399,"&lt;"&amp;TODAY())+1),""))</f>
        <v/>
      </c>
      <c r="M399" s="31" t="n"/>
      <c r="N399" s="31" t="n"/>
      <c r="O399" s="31" t="n"/>
      <c r="P399" s="31" t="n"/>
      <c r="Q399" s="31" t="n"/>
      <c r="R399" s="31" t="n"/>
      <c r="S399" s="31" t="n"/>
      <c r="T399" s="31" t="n"/>
      <c r="U399" s="31" t="n"/>
      <c r="V399" s="31" t="n"/>
      <c r="W399" s="31" t="n"/>
      <c r="X399" s="31" t="n"/>
      <c r="Y399" s="31" t="n"/>
      <c r="Z399" s="31" t="n"/>
      <c r="AA399" s="34" t="n"/>
      <c r="AB399" s="29" t="n"/>
      <c r="AC399" s="31" t="n"/>
    </row>
    <row r="400">
      <c r="A400" s="29" t="n"/>
      <c r="B400" s="30" t="n"/>
      <c r="C400" s="31" t="n"/>
      <c r="D400" s="29" t="n"/>
      <c r="E400" s="29" t="n"/>
      <c r="F400" s="31" t="n"/>
      <c r="G400" s="29" t="n"/>
      <c r="H400" s="32">
        <f>IF(OR(NOT(AND($A400&lt;&gt;"",OR($G400="",$G400="Active"))),$F400=""),"",INT((TODAY()-$F400+280)/7)&amp;"+"&amp;MOD(TODAY()-$F400+280,7))</f>
        <v/>
      </c>
      <c r="I400" s="32">
        <f>IF(NOT(AND($A400&lt;&gt;"",OR($G400="",$G400="Active"))),"",IF(OR(IFERROR(LOOKUP(2,1/(ISNUMBER($M400:$U400)+($M400:$U400="DNA")),$M400:$U400),"")="DNA",AND(ISNUMBER(IFERROR(LOOKUP(2,1/(ISNUMBER($M400:$U400)+($M400:$U400="DNA")),$M400:$U400),"")),IFERROR(LOOKUP(2,1/(ISNUMBER($M400:$U400)+($M400:$U400="DNA")),$M400:$U400),"")&lt;TODAY())),1,0)+COUNTIF($V400:$Z400,"&lt;"&amp;TODAY()))</f>
        <v/>
      </c>
      <c r="J400" s="32">
        <f>IF(NOT(AND($A400&lt;&gt;"",OR($G400="",$G400="Active"))),"",COUNTIFS($M400:$U400,"&gt;="&amp;TODAY(),$M400:$U400,"&lt;="&amp;TODAY()+7)+COUNTIFS($V400:$Z400,"&gt;="&amp;TODAY(),$V400:$Z400,"&lt;="&amp;TODAY()+7))</f>
        <v/>
      </c>
      <c r="K400" s="32">
        <f>IF(NOT(AND($A400&lt;&gt;"",OR($G400="",$G400="Active"))),"",IF($L400&lt;&gt;"",IF($L400=$M400,"Booking",INDEX($N$4:$U$4,MATCH($L400,$N400:$U400,0))),IF(IFERROR(LOOKUP(2,1/(ISNUMBER($M400:$U400)+($M400:$U400="DNA")),$M400:$U400),"")="DNA","Rebook DNA",IF(ISNUMBER(IFERROR(LOOKUP(2,1/(ISNUMBER($M400:$U400)+($M400:$U400="DNA")),$M400:$U400),"")),IF(ISNUMBER($U400),"Update status","Missed/not booked?"),""))))</f>
        <v/>
      </c>
      <c r="L400" s="33">
        <f>IF(NOT(AND($A400&lt;&gt;"",OR($G400="",$G400="Active"))),"",IFERROR(SMALL($M400:$U400,COUNTIF($M400:$U400,"&lt;"&amp;TODAY())+1),""))</f>
        <v/>
      </c>
      <c r="M400" s="31" t="n"/>
      <c r="N400" s="31" t="n"/>
      <c r="O400" s="31" t="n"/>
      <c r="P400" s="31" t="n"/>
      <c r="Q400" s="31" t="n"/>
      <c r="R400" s="31" t="n"/>
      <c r="S400" s="31" t="n"/>
      <c r="T400" s="31" t="n"/>
      <c r="U400" s="31" t="n"/>
      <c r="V400" s="31" t="n"/>
      <c r="W400" s="31" t="n"/>
      <c r="X400" s="31" t="n"/>
      <c r="Y400" s="31" t="n"/>
      <c r="Z400" s="31" t="n"/>
      <c r="AA400" s="34" t="n"/>
      <c r="AB400" s="29" t="n"/>
      <c r="AC400" s="31" t="n"/>
    </row>
    <row r="401">
      <c r="A401" s="29" t="n"/>
      <c r="B401" s="30" t="n"/>
      <c r="C401" s="31" t="n"/>
      <c r="D401" s="29" t="n"/>
      <c r="E401" s="29" t="n"/>
      <c r="F401" s="31" t="n"/>
      <c r="G401" s="29" t="n"/>
      <c r="H401" s="32">
        <f>IF(OR(NOT(AND($A401&lt;&gt;"",OR($G401="",$G401="Active"))),$F401=""),"",INT((TODAY()-$F401+280)/7)&amp;"+"&amp;MOD(TODAY()-$F401+280,7))</f>
        <v/>
      </c>
      <c r="I401" s="32">
        <f>IF(NOT(AND($A401&lt;&gt;"",OR($G401="",$G401="Active"))),"",IF(OR(IFERROR(LOOKUP(2,1/(ISNUMBER($M401:$U401)+($M401:$U401="DNA")),$M401:$U401),"")="DNA",AND(ISNUMBER(IFERROR(LOOKUP(2,1/(ISNUMBER($M401:$U401)+($M401:$U401="DNA")),$M401:$U401),"")),IFERROR(LOOKUP(2,1/(ISNUMBER($M401:$U401)+($M401:$U401="DNA")),$M401:$U401),"")&lt;TODAY())),1,0)+COUNTIF($V401:$Z401,"&lt;"&amp;TODAY()))</f>
        <v/>
      </c>
      <c r="J401" s="32">
        <f>IF(NOT(AND($A401&lt;&gt;"",OR($G401="",$G401="Active"))),"",COUNTIFS($M401:$U401,"&gt;="&amp;TODAY(),$M401:$U401,"&lt;="&amp;TODAY()+7)+COUNTIFS($V401:$Z401,"&gt;="&amp;TODAY(),$V401:$Z401,"&lt;="&amp;TODAY()+7))</f>
        <v/>
      </c>
      <c r="K401" s="32">
        <f>IF(NOT(AND($A401&lt;&gt;"",OR($G401="",$G401="Active"))),"",IF($L401&lt;&gt;"",IF($L401=$M401,"Booking",INDEX($N$4:$U$4,MATCH($L401,$N401:$U401,0))),IF(IFERROR(LOOKUP(2,1/(ISNUMBER($M401:$U401)+($M401:$U401="DNA")),$M401:$U401),"")="DNA","Rebook DNA",IF(ISNUMBER(IFERROR(LOOKUP(2,1/(ISNUMBER($M401:$U401)+($M401:$U401="DNA")),$M401:$U401),"")),IF(ISNUMBER($U401),"Update status","Missed/not booked?"),""))))</f>
        <v/>
      </c>
      <c r="L401" s="33">
        <f>IF(NOT(AND($A401&lt;&gt;"",OR($G401="",$G401="Active"))),"",IFERROR(SMALL($M401:$U401,COUNTIF($M401:$U401,"&lt;"&amp;TODAY())+1),""))</f>
        <v/>
      </c>
      <c r="M401" s="31" t="n"/>
      <c r="N401" s="31" t="n"/>
      <c r="O401" s="31" t="n"/>
      <c r="P401" s="31" t="n"/>
      <c r="Q401" s="31" t="n"/>
      <c r="R401" s="31" t="n"/>
      <c r="S401" s="31" t="n"/>
      <c r="T401" s="31" t="n"/>
      <c r="U401" s="31" t="n"/>
      <c r="V401" s="31" t="n"/>
      <c r="W401" s="31" t="n"/>
      <c r="X401" s="31" t="n"/>
      <c r="Y401" s="31" t="n"/>
      <c r="Z401" s="31" t="n"/>
      <c r="AA401" s="34" t="n"/>
      <c r="AB401" s="29" t="n"/>
      <c r="AC401" s="31" t="n"/>
    </row>
    <row r="402">
      <c r="A402" s="29" t="n"/>
      <c r="B402" s="30" t="n"/>
      <c r="C402" s="31" t="n"/>
      <c r="D402" s="29" t="n"/>
      <c r="E402" s="29" t="n"/>
      <c r="F402" s="31" t="n"/>
      <c r="G402" s="29" t="n"/>
      <c r="H402" s="32">
        <f>IF(OR(NOT(AND($A402&lt;&gt;"",OR($G402="",$G402="Active"))),$F402=""),"",INT((TODAY()-$F402+280)/7)&amp;"+"&amp;MOD(TODAY()-$F402+280,7))</f>
        <v/>
      </c>
      <c r="I402" s="32">
        <f>IF(NOT(AND($A402&lt;&gt;"",OR($G402="",$G402="Active"))),"",IF(OR(IFERROR(LOOKUP(2,1/(ISNUMBER($M402:$U402)+($M402:$U402="DNA")),$M402:$U402),"")="DNA",AND(ISNUMBER(IFERROR(LOOKUP(2,1/(ISNUMBER($M402:$U402)+($M402:$U402="DNA")),$M402:$U402),"")),IFERROR(LOOKUP(2,1/(ISNUMBER($M402:$U402)+($M402:$U402="DNA")),$M402:$U402),"")&lt;TODAY())),1,0)+COUNTIF($V402:$Z402,"&lt;"&amp;TODAY()))</f>
        <v/>
      </c>
      <c r="J402" s="32">
        <f>IF(NOT(AND($A402&lt;&gt;"",OR($G402="",$G402="Active"))),"",COUNTIFS($M402:$U402,"&gt;="&amp;TODAY(),$M402:$U402,"&lt;="&amp;TODAY()+7)+COUNTIFS($V402:$Z402,"&gt;="&amp;TODAY(),$V402:$Z402,"&lt;="&amp;TODAY()+7))</f>
        <v/>
      </c>
      <c r="K402" s="32">
        <f>IF(NOT(AND($A402&lt;&gt;"",OR($G402="",$G402="Active"))),"",IF($L402&lt;&gt;"",IF($L402=$M402,"Booking",INDEX($N$4:$U$4,MATCH($L402,$N402:$U402,0))),IF(IFERROR(LOOKUP(2,1/(ISNUMBER($M402:$U402)+($M402:$U402="DNA")),$M402:$U402),"")="DNA","Rebook DNA",IF(ISNUMBER(IFERROR(LOOKUP(2,1/(ISNUMBER($M402:$U402)+($M402:$U402="DNA")),$M402:$U402),"")),IF(ISNUMBER($U402),"Update status","Missed/not booked?"),""))))</f>
        <v/>
      </c>
      <c r="L402" s="33">
        <f>IF(NOT(AND($A402&lt;&gt;"",OR($G402="",$G402="Active"))),"",IFERROR(SMALL($M402:$U402,COUNTIF($M402:$U402,"&lt;"&amp;TODAY())+1),""))</f>
        <v/>
      </c>
      <c r="M402" s="31" t="n"/>
      <c r="N402" s="31" t="n"/>
      <c r="O402" s="31" t="n"/>
      <c r="P402" s="31" t="n"/>
      <c r="Q402" s="31" t="n"/>
      <c r="R402" s="31" t="n"/>
      <c r="S402" s="31" t="n"/>
      <c r="T402" s="31" t="n"/>
      <c r="U402" s="31" t="n"/>
      <c r="V402" s="31" t="n"/>
      <c r="W402" s="31" t="n"/>
      <c r="X402" s="31" t="n"/>
      <c r="Y402" s="31" t="n"/>
      <c r="Z402" s="31" t="n"/>
      <c r="AA402" s="34" t="n"/>
      <c r="AB402" s="29" t="n"/>
      <c r="AC402" s="31" t="n"/>
    </row>
    <row r="403">
      <c r="A403" s="29" t="n"/>
      <c r="B403" s="30" t="n"/>
      <c r="C403" s="31" t="n"/>
      <c r="D403" s="29" t="n"/>
      <c r="E403" s="29" t="n"/>
      <c r="F403" s="31" t="n"/>
      <c r="G403" s="29" t="n"/>
      <c r="H403" s="32">
        <f>IF(OR(NOT(AND($A403&lt;&gt;"",OR($G403="",$G403="Active"))),$F403=""),"",INT((TODAY()-$F403+280)/7)&amp;"+"&amp;MOD(TODAY()-$F403+280,7))</f>
        <v/>
      </c>
      <c r="I403" s="32">
        <f>IF(NOT(AND($A403&lt;&gt;"",OR($G403="",$G403="Active"))),"",IF(OR(IFERROR(LOOKUP(2,1/(ISNUMBER($M403:$U403)+($M403:$U403="DNA")),$M403:$U403),"")="DNA",AND(ISNUMBER(IFERROR(LOOKUP(2,1/(ISNUMBER($M403:$U403)+($M403:$U403="DNA")),$M403:$U403),"")),IFERROR(LOOKUP(2,1/(ISNUMBER($M403:$U403)+($M403:$U403="DNA")),$M403:$U403),"")&lt;TODAY())),1,0)+COUNTIF($V403:$Z403,"&lt;"&amp;TODAY()))</f>
        <v/>
      </c>
      <c r="J403" s="32">
        <f>IF(NOT(AND($A403&lt;&gt;"",OR($G403="",$G403="Active"))),"",COUNTIFS($M403:$U403,"&gt;="&amp;TODAY(),$M403:$U403,"&lt;="&amp;TODAY()+7)+COUNTIFS($V403:$Z403,"&gt;="&amp;TODAY(),$V403:$Z403,"&lt;="&amp;TODAY()+7))</f>
        <v/>
      </c>
      <c r="K403" s="32">
        <f>IF(NOT(AND($A403&lt;&gt;"",OR($G403="",$G403="Active"))),"",IF($L403&lt;&gt;"",IF($L403=$M403,"Booking",INDEX($N$4:$U$4,MATCH($L403,$N403:$U403,0))),IF(IFERROR(LOOKUP(2,1/(ISNUMBER($M403:$U403)+($M403:$U403="DNA")),$M403:$U403),"")="DNA","Rebook DNA",IF(ISNUMBER(IFERROR(LOOKUP(2,1/(ISNUMBER($M403:$U403)+($M403:$U403="DNA")),$M403:$U403),"")),IF(ISNUMBER($U403),"Update status","Missed/not booked?"),""))))</f>
        <v/>
      </c>
      <c r="L403" s="33">
        <f>IF(NOT(AND($A403&lt;&gt;"",OR($G403="",$G403="Active"))),"",IFERROR(SMALL($M403:$U403,COUNTIF($M403:$U403,"&lt;"&amp;TODAY())+1),""))</f>
        <v/>
      </c>
      <c r="M403" s="31" t="n"/>
      <c r="N403" s="31" t="n"/>
      <c r="O403" s="31" t="n"/>
      <c r="P403" s="31" t="n"/>
      <c r="Q403" s="31" t="n"/>
      <c r="R403" s="31" t="n"/>
      <c r="S403" s="31" t="n"/>
      <c r="T403" s="31" t="n"/>
      <c r="U403" s="31" t="n"/>
      <c r="V403" s="31" t="n"/>
      <c r="W403" s="31" t="n"/>
      <c r="X403" s="31" t="n"/>
      <c r="Y403" s="31" t="n"/>
      <c r="Z403" s="31" t="n"/>
      <c r="AA403" s="34" t="n"/>
      <c r="AB403" s="29" t="n"/>
      <c r="AC403" s="31" t="n"/>
    </row>
    <row r="404">
      <c r="A404" s="29" t="n"/>
      <c r="B404" s="30" t="n"/>
      <c r="C404" s="31" t="n"/>
      <c r="D404" s="29" t="n"/>
      <c r="E404" s="29" t="n"/>
      <c r="F404" s="31" t="n"/>
      <c r="G404" s="29" t="n"/>
      <c r="H404" s="32">
        <f>IF(OR(NOT(AND($A404&lt;&gt;"",OR($G404="",$G404="Active"))),$F404=""),"",INT((TODAY()-$F404+280)/7)&amp;"+"&amp;MOD(TODAY()-$F404+280,7))</f>
        <v/>
      </c>
      <c r="I404" s="32">
        <f>IF(NOT(AND($A404&lt;&gt;"",OR($G404="",$G404="Active"))),"",IF(OR(IFERROR(LOOKUP(2,1/(ISNUMBER($M404:$U404)+($M404:$U404="DNA")),$M404:$U404),"")="DNA",AND(ISNUMBER(IFERROR(LOOKUP(2,1/(ISNUMBER($M404:$U404)+($M404:$U404="DNA")),$M404:$U404),"")),IFERROR(LOOKUP(2,1/(ISNUMBER($M404:$U404)+($M404:$U404="DNA")),$M404:$U404),"")&lt;TODAY())),1,0)+COUNTIF($V404:$Z404,"&lt;"&amp;TODAY()))</f>
        <v/>
      </c>
      <c r="J404" s="32">
        <f>IF(NOT(AND($A404&lt;&gt;"",OR($G404="",$G404="Active"))),"",COUNTIFS($M404:$U404,"&gt;="&amp;TODAY(),$M404:$U404,"&lt;="&amp;TODAY()+7)+COUNTIFS($V404:$Z404,"&gt;="&amp;TODAY(),$V404:$Z404,"&lt;="&amp;TODAY()+7))</f>
        <v/>
      </c>
      <c r="K404" s="32">
        <f>IF(NOT(AND($A404&lt;&gt;"",OR($G404="",$G404="Active"))),"",IF($L404&lt;&gt;"",IF($L404=$M404,"Booking",INDEX($N$4:$U$4,MATCH($L404,$N404:$U404,0))),IF(IFERROR(LOOKUP(2,1/(ISNUMBER($M404:$U404)+($M404:$U404="DNA")),$M404:$U404),"")="DNA","Rebook DNA",IF(ISNUMBER(IFERROR(LOOKUP(2,1/(ISNUMBER($M404:$U404)+($M404:$U404="DNA")),$M404:$U404),"")),IF(ISNUMBER($U404),"Update status","Missed/not booked?"),""))))</f>
        <v/>
      </c>
      <c r="L404" s="33">
        <f>IF(NOT(AND($A404&lt;&gt;"",OR($G404="",$G404="Active"))),"",IFERROR(SMALL($M404:$U404,COUNTIF($M404:$U404,"&lt;"&amp;TODAY())+1),""))</f>
        <v/>
      </c>
      <c r="M404" s="31" t="n"/>
      <c r="N404" s="31" t="n"/>
      <c r="O404" s="31" t="n"/>
      <c r="P404" s="31" t="n"/>
      <c r="Q404" s="31" t="n"/>
      <c r="R404" s="31" t="n"/>
      <c r="S404" s="31" t="n"/>
      <c r="T404" s="31" t="n"/>
      <c r="U404" s="31" t="n"/>
      <c r="V404" s="31" t="n"/>
      <c r="W404" s="31" t="n"/>
      <c r="X404" s="31" t="n"/>
      <c r="Y404" s="31" t="n"/>
      <c r="Z404" s="31" t="n"/>
      <c r="AA404" s="34" t="n"/>
      <c r="AB404" s="29" t="n"/>
      <c r="AC404" s="31" t="n"/>
    </row>
  </sheetData>
  <conditionalFormatting sqref="M5:T404">
    <cfRule type="expression" priority="1" dxfId="0" stopIfTrue="1">
      <formula>M5="N/A"</formula>
    </cfRule>
    <cfRule type="expression" priority="2" dxfId="1" stopIfTrue="1">
      <formula>AND(M5="DNA",(COUNT(N5:$U5)+COUNTIF(N5:$U5,"DNA"))&gt;0)</formula>
    </cfRule>
    <cfRule type="expression" priority="3" dxfId="2" stopIfTrue="1">
      <formula>AND(AND($A5&lt;&gt;"",OR($G5="",$G5="Active")),M5="DNA")</formula>
    </cfRule>
    <cfRule type="expression" priority="4" dxfId="2" stopIfTrue="1">
      <formula>AND(AND($A5&lt;&gt;"",OR($G5="",$G5="Active")),ISNUMBER(M5),M5&lt;TODAY(),NOT((COUNT(N5:$U5)+COUNTIF(N5:$U5,"DNA"))&gt;0))</formula>
    </cfRule>
    <cfRule type="expression" priority="5" dxfId="3" stopIfTrue="1">
      <formula>AND(AND($A5&lt;&gt;"",OR($G5="",$G5="Active")),ISNUMBER(M5),M5&gt;=TODAY(),M5&lt;=TODAY()+7)</formula>
    </cfRule>
    <cfRule type="expression" priority="6" dxfId="4" stopIfTrue="1">
      <formula>AND(ISNUMBER(M5),M5&lt;TODAY())</formula>
    </cfRule>
  </conditionalFormatting>
  <conditionalFormatting sqref="U5:U404">
    <cfRule type="expression" priority="7" dxfId="0" stopIfTrue="1">
      <formula>U5="N/A"</formula>
    </cfRule>
    <cfRule type="expression" priority="8" dxfId="1" stopIfTrue="1">
      <formula>AND(U5="DNA",FALSE)</formula>
    </cfRule>
    <cfRule type="expression" priority="9" dxfId="2" stopIfTrue="1">
      <formula>AND(AND($A5&lt;&gt;"",OR($G5="",$G5="Active")),U5="DNA")</formula>
    </cfRule>
    <cfRule type="expression" priority="10" dxfId="2" stopIfTrue="1">
      <formula>AND(AND($A5&lt;&gt;"",OR($G5="",$G5="Active")),ISNUMBER(U5),U5&lt;TODAY(),NOT(FALSE))</formula>
    </cfRule>
    <cfRule type="expression" priority="11" dxfId="3" stopIfTrue="1">
      <formula>AND(AND($A5&lt;&gt;"",OR($G5="",$G5="Active")),ISNUMBER(U5),U5&gt;=TODAY(),U5&lt;=TODAY()+7)</formula>
    </cfRule>
    <cfRule type="expression" priority="12" dxfId="4" stopIfTrue="1">
      <formula>AND(ISNUMBER(U5),U5&lt;TODAY())</formula>
    </cfRule>
  </conditionalFormatting>
  <conditionalFormatting sqref="V5:Z404">
    <cfRule type="expression" priority="13" dxfId="0" stopIfTrue="1">
      <formula>V5="N/A"</formula>
    </cfRule>
    <cfRule type="expression" priority="14" dxfId="5" stopIfTrue="1">
      <formula>AND(AND($A5&lt;&gt;"",OR($G5="",$G5="Active")),ISNUMBER(V5),V5&lt;TODAY())</formula>
    </cfRule>
    <cfRule type="expression" priority="15" dxfId="6" stopIfTrue="1">
      <formula>AND(AND($A5&lt;&gt;"",OR($G5="",$G5="Active")),ISNUMBER(V5),V5&gt;=TODAY(),V5&lt;=TODAY()+7)</formula>
    </cfRule>
    <cfRule type="expression" priority="16" dxfId="4" stopIfTrue="1">
      <formula>AND(ISTEXT(V5),V5&lt;&gt;"")</formula>
    </cfRule>
  </conditionalFormatting>
  <conditionalFormatting sqref="I5:I404">
    <cfRule type="expression" priority="17" dxfId="2" stopIfTrue="1">
      <formula>AND(ISNUMBER(I5),I5&gt;0)</formula>
    </cfRule>
  </conditionalFormatting>
  <conditionalFormatting sqref="J5:J404">
    <cfRule type="expression" priority="18" dxfId="3" stopIfTrue="1">
      <formula>AND(ISNUMBER(J5),J5&gt;0)</formula>
    </cfRule>
  </conditionalFormatting>
  <conditionalFormatting sqref="K5:K404">
    <cfRule type="expression" priority="19" dxfId="2" stopIfTrue="1">
      <formula>OR(K5="Missed/not booked?",K5="Rebook DNA",K5="Update status")</formula>
    </cfRule>
  </conditionalFormatting>
  <conditionalFormatting sqref="L5:L404">
    <cfRule type="expression" priority="20" dxfId="3" stopIfTrue="1">
      <formula>AND(ISNUMBER(L5),L5&lt;=TODAY()+7)</formula>
    </cfRule>
  </conditionalFormatting>
  <conditionalFormatting sqref="F5:F404">
    <cfRule type="expression" priority="21" dxfId="3" stopIfTrue="1">
      <formula>AND(AND($A5&lt;&gt;"",OR($G5="",$G5="Active")),ISNUMBER(F5),F5&lt;TODAY())</formula>
    </cfRule>
  </conditionalFormatting>
  <conditionalFormatting sqref="B5:B404">
    <cfRule type="expression" priority="22" dxfId="7" stopIfTrue="1">
      <formula>AND(B5&lt;&gt;"",NOT(IFERROR(AND(LEN(SUBSTITUTE(B5," ",""))=10,ISNUMBER(VALUE(SUBSTITUTE(B5," ",""))),MOD(11-MOD(MID(SUBSTITUTE(B5," ",""),1,1)*10+MID(SUBSTITUTE(B5," ",""),2,1)*9+MID(SUBSTITUTE(B5," ",""),3,1)*8+MID(SUBSTITUTE(B5," ",""),4,1)*7+MID(SUBSTITUTE(B5," ",""),5,1)*6+MID(SUBSTITUTE(B5," ",""),6,1)*5+MID(SUBSTITUTE(B5," ",""),7,1)*4+MID(SUBSTITUTE(B5," ",""),8,1)*3+MID(SUBSTITUTE(B5," ",""),9,1)*2,11),11)=VALUE(RIGHT(SUBSTITUTE(B5," ",""),1))),FALSE)))</formula>
    </cfRule>
    <cfRule type="expression" priority="23" dxfId="8" stopIfTrue="1">
      <formula>AND(B5&lt;&gt;"",COUNTIF($B$5:$B$404,B5)&gt;1)</formula>
    </cfRule>
  </conditionalFormatting>
  <conditionalFormatting sqref="A5:A404">
    <cfRule type="expression" priority="24" dxfId="9" stopIfTrue="1">
      <formula>AND(ISNUMBER($B$2),ISNUMBER($AC5),$AC5&gt;=$B$2)</formula>
    </cfRule>
  </conditionalFormatting>
  <conditionalFormatting sqref="AB5:AC404">
    <cfRule type="expression" priority="25" dxfId="9" stopIfTrue="1">
      <formula>AND(ISNUMBER($B$2),ISNUMBER($AC5),$AC5&gt;=$B$2)</formula>
    </cfRule>
  </conditionalFormatting>
  <conditionalFormatting sqref="A5:AC404">
    <cfRule type="expression" priority="26" dxfId="10" stopIfTrue="1">
      <formula>AND($A5&lt;&gt;"",$G5&lt;&gt;"",$G5&lt;&gt;"Active")</formula>
    </cfRule>
  </conditionalFormatting>
  <dataValidations count="10">
    <dataValidation sqref="E5:E404" showDropDown="0" showInputMessage="0" showErrorMessage="0" allowBlank="1" type="list">
      <formula1>"MLC,CLC"</formula1>
    </dataValidation>
    <dataValidation sqref="G5:G404" showDropDown="0" showInputMessage="1" showErrorMessage="0" allowBlank="1" promptTitle="Status" prompt="Blank counts as Active. Anything else stops the flags for this patient." type="list">
      <formula1>StatusList</formula1>
    </dataValidation>
    <dataValidation sqref="AB5:AB404" showDropDown="0" showInputMessage="1" showErrorMessage="0" allowBlank="1" promptTitle="Who updated this row?" prompt="Pick your name (names live on the Staff tab)." type="list">
      <formula1>StaffList</formula1>
    </dataValidation>
    <dataValidation sqref="C5:C404" showDropDown="0" showInputMessage="0" showErrorMessage="1" allowBlank="1" errorTitle="Not a date" error="Enter a date like 14/03/2026." type="date" errorStyle="warning" operator="between">
      <formula1>DATE(1900,1,1)</formula1>
      <formula2>DATE(2100,12,31)</formula2>
    </dataValidation>
    <dataValidation sqref="F5:F404" showDropDown="0" showInputMessage="0" showErrorMessage="1" allowBlank="1" errorTitle="Not a date" error="Enter a date like 14/03/2026." type="date" errorStyle="warning" operator="between">
      <formula1>DATE(1900,1,1)</formula1>
      <formula2>DATE(2100,12,31)</formula2>
    </dataValidation>
    <dataValidation sqref="M5:M404" showDropDown="0" showInputMessage="0" showErrorMessage="1" allowBlank="1" errorTitle="Not a date" error="Enter a date like 14/03/2026." type="date" errorStyle="warning" operator="between">
      <formula1>DATE(1900,1,1)</formula1>
      <formula2>DATE(2100,12,31)</formula2>
    </dataValidation>
    <dataValidation sqref="AC5:AC404" showDropDown="0" showInputMessage="1" showErrorMessage="1" allowBlank="1" errorTitle="Not a date" error="Enter a date like 14/03/2026." promptTitle="Date you changed this row" prompt="Ctrl + ; enters today's date." type="date" errorStyle="warning" operator="between">
      <formula1>DATE(1900,1,1)</formula1>
      <formula2>DATE(2100,12,31)</formula2>
    </dataValidation>
    <dataValidation sqref="N5:U404" showDropDown="0" showInputMessage="1" showErrorMessage="1" allowBlank="1" errorTitle="Appointment" error="Expected a date, DNA or N/A." promptTitle="Appointment" prompt="Enter the date once it's booked (usually at the previous appointment). Adding it confirms the previous one happened. DNA if missed. N/A if not needed." type="custom" errorStyle="warning">
      <formula1>OR(N5="",ISNUMBER(N5),N5="DNA",N5="N/A")</formula1>
    </dataValidation>
    <dataValidation sqref="V5:Z404" showDropDown="0" showInputMessage="1" showErrorMessage="0" allowBlank="1" promptTitle="Action" prompt="Enter the date booked/due. Once complete, type Done (or e.g. 'Done 12/3 SW'). N/A if not needed." type="custom">
      <formula1>TRUE</formula1>
    </dataValidation>
    <dataValidation sqref="B2" showDropDown="0" showInputMessage="0" showErrorMessage="0" allowBlank="1" type="date" operator="greaterThan">
      <formula1>DATE(2000,1,1)</formula1>
    </dataValidation>
  </dataValidations>
  <pageMargins left="0.75" right="0.75" top="1" bottom="1" header="0.5" footer="0.5"/>
  <pageSetup orientation="landscape" fitToHeight="0" fitToWidth="1"/>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E50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22" customWidth="1" min="3" max="3"/>
    <col width="14" customWidth="1" min="4" max="4"/>
    <col width="70" customWidth="1" min="5" max="5"/>
  </cols>
  <sheetData>
    <row r="1">
      <c r="A1" s="35" t="inlineStr">
        <is>
          <t>Update log: one line per action taken, newest at the bottom</t>
        </is>
      </c>
    </row>
    <row r="3">
      <c r="A3" s="36" t="inlineStr">
        <is>
          <t>Date</t>
        </is>
      </c>
      <c r="B3" s="36" t="inlineStr">
        <is>
          <t>Staff</t>
        </is>
      </c>
      <c r="C3" s="36" t="inlineStr">
        <is>
          <t>Patient name</t>
        </is>
      </c>
      <c r="D3" s="36" t="inlineStr">
        <is>
          <t>NHS number</t>
        </is>
      </c>
      <c r="E3" s="36" t="inlineStr">
        <is>
          <t>What was done / changed</t>
        </is>
      </c>
    </row>
    <row r="4">
      <c r="A4" s="37" t="n"/>
      <c r="B4" s="29" t="n"/>
      <c r="C4" s="29" t="n"/>
      <c r="D4" s="30" t="n"/>
      <c r="E4" s="38" t="n"/>
    </row>
    <row r="5">
      <c r="A5" s="37" t="n"/>
      <c r="B5" s="29" t="n"/>
      <c r="C5" s="29" t="n"/>
      <c r="D5" s="30" t="n"/>
      <c r="E5" s="38" t="n"/>
    </row>
    <row r="6">
      <c r="A6" s="37" t="n"/>
      <c r="B6" s="29" t="n"/>
      <c r="C6" s="29" t="n"/>
      <c r="D6" s="30" t="n"/>
      <c r="E6" s="38" t="n"/>
    </row>
    <row r="7">
      <c r="A7" s="37" t="n"/>
      <c r="B7" s="29" t="n"/>
      <c r="C7" s="29" t="n"/>
      <c r="D7" s="30" t="n"/>
      <c r="E7" s="38" t="n"/>
    </row>
    <row r="8">
      <c r="A8" s="37" t="n"/>
      <c r="B8" s="29" t="n"/>
      <c r="C8" s="29" t="n"/>
      <c r="D8" s="30" t="n"/>
      <c r="E8" s="38" t="n"/>
    </row>
    <row r="9">
      <c r="A9" s="37" t="n"/>
      <c r="B9" s="29" t="n"/>
      <c r="C9" s="29" t="n"/>
      <c r="D9" s="30" t="n"/>
      <c r="E9" s="38" t="n"/>
    </row>
    <row r="10">
      <c r="A10" s="37" t="n"/>
      <c r="B10" s="29" t="n"/>
      <c r="C10" s="29" t="n"/>
      <c r="D10" s="30" t="n"/>
      <c r="E10" s="38" t="n"/>
    </row>
    <row r="11">
      <c r="A11" s="37" t="n"/>
      <c r="B11" s="29" t="n"/>
      <c r="C11" s="29" t="n"/>
      <c r="D11" s="30" t="n"/>
      <c r="E11" s="38" t="n"/>
    </row>
    <row r="12">
      <c r="A12" s="37" t="n"/>
      <c r="B12" s="29" t="n"/>
      <c r="C12" s="29" t="n"/>
      <c r="D12" s="30" t="n"/>
      <c r="E12" s="38" t="n"/>
    </row>
    <row r="13">
      <c r="A13" s="37" t="n"/>
      <c r="B13" s="29" t="n"/>
      <c r="C13" s="29" t="n"/>
      <c r="D13" s="30" t="n"/>
      <c r="E13" s="38" t="n"/>
    </row>
    <row r="14">
      <c r="A14" s="37" t="n"/>
      <c r="B14" s="29" t="n"/>
      <c r="C14" s="29" t="n"/>
      <c r="D14" s="30" t="n"/>
      <c r="E14" s="38" t="n"/>
    </row>
    <row r="15">
      <c r="A15" s="37" t="n"/>
      <c r="B15" s="29" t="n"/>
      <c r="C15" s="29" t="n"/>
      <c r="D15" s="30" t="n"/>
      <c r="E15" s="38" t="n"/>
    </row>
    <row r="16">
      <c r="A16" s="37" t="n"/>
      <c r="B16" s="29" t="n"/>
      <c r="C16" s="29" t="n"/>
      <c r="D16" s="30" t="n"/>
      <c r="E16" s="38" t="n"/>
    </row>
    <row r="17">
      <c r="A17" s="37" t="n"/>
      <c r="B17" s="29" t="n"/>
      <c r="C17" s="29" t="n"/>
      <c r="D17" s="30" t="n"/>
      <c r="E17" s="38" t="n"/>
    </row>
    <row r="18">
      <c r="A18" s="37" t="n"/>
      <c r="B18" s="29" t="n"/>
      <c r="C18" s="29" t="n"/>
      <c r="D18" s="30" t="n"/>
      <c r="E18" s="38" t="n"/>
    </row>
    <row r="19">
      <c r="A19" s="37" t="n"/>
      <c r="B19" s="29" t="n"/>
      <c r="C19" s="29" t="n"/>
      <c r="D19" s="30" t="n"/>
      <c r="E19" s="38" t="n"/>
    </row>
    <row r="20">
      <c r="A20" s="37" t="n"/>
      <c r="B20" s="29" t="n"/>
      <c r="C20" s="29" t="n"/>
      <c r="D20" s="30" t="n"/>
      <c r="E20" s="38" t="n"/>
    </row>
    <row r="21">
      <c r="A21" s="37" t="n"/>
      <c r="B21" s="29" t="n"/>
      <c r="C21" s="29" t="n"/>
      <c r="D21" s="30" t="n"/>
      <c r="E21" s="38" t="n"/>
    </row>
    <row r="22">
      <c r="A22" s="37" t="n"/>
      <c r="B22" s="29" t="n"/>
      <c r="C22" s="29" t="n"/>
      <c r="D22" s="30" t="n"/>
      <c r="E22" s="38" t="n"/>
    </row>
    <row r="23">
      <c r="A23" s="37" t="n"/>
      <c r="B23" s="29" t="n"/>
      <c r="C23" s="29" t="n"/>
      <c r="D23" s="30" t="n"/>
      <c r="E23" s="38" t="n"/>
    </row>
    <row r="24">
      <c r="A24" s="37" t="n"/>
      <c r="B24" s="29" t="n"/>
      <c r="C24" s="29" t="n"/>
      <c r="D24" s="30" t="n"/>
      <c r="E24" s="38" t="n"/>
    </row>
    <row r="25">
      <c r="A25" s="37" t="n"/>
      <c r="B25" s="29" t="n"/>
      <c r="C25" s="29" t="n"/>
      <c r="D25" s="30" t="n"/>
      <c r="E25" s="38" t="n"/>
    </row>
    <row r="26">
      <c r="A26" s="37" t="n"/>
      <c r="B26" s="29" t="n"/>
      <c r="C26" s="29" t="n"/>
      <c r="D26" s="30" t="n"/>
      <c r="E26" s="38" t="n"/>
    </row>
    <row r="27">
      <c r="A27" s="37" t="n"/>
      <c r="B27" s="29" t="n"/>
      <c r="C27" s="29" t="n"/>
      <c r="D27" s="30" t="n"/>
      <c r="E27" s="38" t="n"/>
    </row>
    <row r="28">
      <c r="A28" s="37" t="n"/>
      <c r="B28" s="29" t="n"/>
      <c r="C28" s="29" t="n"/>
      <c r="D28" s="30" t="n"/>
      <c r="E28" s="38" t="n"/>
    </row>
    <row r="29">
      <c r="A29" s="37" t="n"/>
      <c r="B29" s="29" t="n"/>
      <c r="C29" s="29" t="n"/>
      <c r="D29" s="30" t="n"/>
      <c r="E29" s="38" t="n"/>
    </row>
    <row r="30">
      <c r="A30" s="37" t="n"/>
      <c r="B30" s="29" t="n"/>
      <c r="C30" s="29" t="n"/>
      <c r="D30" s="30" t="n"/>
      <c r="E30" s="38" t="n"/>
    </row>
    <row r="31">
      <c r="A31" s="37" t="n"/>
      <c r="B31" s="29" t="n"/>
      <c r="C31" s="29" t="n"/>
      <c r="D31" s="30" t="n"/>
      <c r="E31" s="38" t="n"/>
    </row>
    <row r="32">
      <c r="A32" s="37" t="n"/>
      <c r="B32" s="29" t="n"/>
      <c r="C32" s="29" t="n"/>
      <c r="D32" s="30" t="n"/>
      <c r="E32" s="38" t="n"/>
    </row>
    <row r="33">
      <c r="A33" s="37" t="n"/>
      <c r="B33" s="29" t="n"/>
      <c r="C33" s="29" t="n"/>
      <c r="D33" s="30" t="n"/>
      <c r="E33" s="38" t="n"/>
    </row>
    <row r="34">
      <c r="A34" s="37" t="n"/>
      <c r="B34" s="29" t="n"/>
      <c r="C34" s="29" t="n"/>
      <c r="D34" s="30" t="n"/>
      <c r="E34" s="38" t="n"/>
    </row>
    <row r="35">
      <c r="A35" s="37" t="n"/>
      <c r="B35" s="29" t="n"/>
      <c r="C35" s="29" t="n"/>
      <c r="D35" s="30" t="n"/>
      <c r="E35" s="38" t="n"/>
    </row>
    <row r="36">
      <c r="A36" s="37" t="n"/>
      <c r="B36" s="29" t="n"/>
      <c r="C36" s="29" t="n"/>
      <c r="D36" s="30" t="n"/>
      <c r="E36" s="38" t="n"/>
    </row>
    <row r="37">
      <c r="A37" s="37" t="n"/>
      <c r="B37" s="29" t="n"/>
      <c r="C37" s="29" t="n"/>
      <c r="D37" s="30" t="n"/>
      <c r="E37" s="38" t="n"/>
    </row>
    <row r="38">
      <c r="A38" s="37" t="n"/>
      <c r="B38" s="29" t="n"/>
      <c r="C38" s="29" t="n"/>
      <c r="D38" s="30" t="n"/>
      <c r="E38" s="38" t="n"/>
    </row>
    <row r="39">
      <c r="A39" s="37" t="n"/>
      <c r="B39" s="29" t="n"/>
      <c r="C39" s="29" t="n"/>
      <c r="D39" s="30" t="n"/>
      <c r="E39" s="38" t="n"/>
    </row>
    <row r="40">
      <c r="A40" s="37" t="n"/>
      <c r="B40" s="29" t="n"/>
      <c r="C40" s="29" t="n"/>
      <c r="D40" s="30" t="n"/>
      <c r="E40" s="38" t="n"/>
    </row>
    <row r="41">
      <c r="A41" s="37" t="n"/>
      <c r="B41" s="29" t="n"/>
      <c r="C41" s="29" t="n"/>
      <c r="D41" s="30" t="n"/>
      <c r="E41" s="38" t="n"/>
    </row>
    <row r="42">
      <c r="A42" s="37" t="n"/>
      <c r="B42" s="29" t="n"/>
      <c r="C42" s="29" t="n"/>
      <c r="D42" s="30" t="n"/>
      <c r="E42" s="38" t="n"/>
    </row>
    <row r="43">
      <c r="A43" s="37" t="n"/>
      <c r="B43" s="29" t="n"/>
      <c r="C43" s="29" t="n"/>
      <c r="D43" s="30" t="n"/>
      <c r="E43" s="38" t="n"/>
    </row>
    <row r="44">
      <c r="A44" s="37" t="n"/>
      <c r="B44" s="29" t="n"/>
      <c r="C44" s="29" t="n"/>
      <c r="D44" s="30" t="n"/>
      <c r="E44" s="38" t="n"/>
    </row>
    <row r="45">
      <c r="A45" s="37" t="n"/>
      <c r="B45" s="29" t="n"/>
      <c r="C45" s="29" t="n"/>
      <c r="D45" s="30" t="n"/>
      <c r="E45" s="38" t="n"/>
    </row>
    <row r="46">
      <c r="A46" s="37" t="n"/>
      <c r="B46" s="29" t="n"/>
      <c r="C46" s="29" t="n"/>
      <c r="D46" s="30" t="n"/>
      <c r="E46" s="38" t="n"/>
    </row>
    <row r="47">
      <c r="A47" s="37" t="n"/>
      <c r="B47" s="29" t="n"/>
      <c r="C47" s="29" t="n"/>
      <c r="D47" s="30" t="n"/>
      <c r="E47" s="38" t="n"/>
    </row>
    <row r="48">
      <c r="A48" s="37" t="n"/>
      <c r="B48" s="29" t="n"/>
      <c r="C48" s="29" t="n"/>
      <c r="D48" s="30" t="n"/>
      <c r="E48" s="38" t="n"/>
    </row>
    <row r="49">
      <c r="A49" s="37" t="n"/>
      <c r="B49" s="29" t="n"/>
      <c r="C49" s="29" t="n"/>
      <c r="D49" s="30" t="n"/>
      <c r="E49" s="38" t="n"/>
    </row>
    <row r="50">
      <c r="A50" s="37" t="n"/>
      <c r="B50" s="29" t="n"/>
      <c r="C50" s="29" t="n"/>
      <c r="D50" s="30" t="n"/>
      <c r="E50" s="38" t="n"/>
    </row>
    <row r="51">
      <c r="A51" s="37" t="n"/>
      <c r="B51" s="29" t="n"/>
      <c r="C51" s="29" t="n"/>
      <c r="D51" s="30" t="n"/>
      <c r="E51" s="38" t="n"/>
    </row>
    <row r="52">
      <c r="A52" s="37" t="n"/>
      <c r="B52" s="29" t="n"/>
      <c r="C52" s="29" t="n"/>
      <c r="D52" s="30" t="n"/>
      <c r="E52" s="38" t="n"/>
    </row>
    <row r="53">
      <c r="A53" s="37" t="n"/>
      <c r="B53" s="29" t="n"/>
      <c r="C53" s="29" t="n"/>
      <c r="D53" s="30" t="n"/>
      <c r="E53" s="38" t="n"/>
    </row>
    <row r="54">
      <c r="A54" s="37" t="n"/>
      <c r="B54" s="29" t="n"/>
      <c r="C54" s="29" t="n"/>
      <c r="D54" s="30" t="n"/>
      <c r="E54" s="38" t="n"/>
    </row>
    <row r="55">
      <c r="A55" s="37" t="n"/>
      <c r="B55" s="29" t="n"/>
      <c r="C55" s="29" t="n"/>
      <c r="D55" s="30" t="n"/>
      <c r="E55" s="38" t="n"/>
    </row>
    <row r="56">
      <c r="A56" s="37" t="n"/>
      <c r="B56" s="29" t="n"/>
      <c r="C56" s="29" t="n"/>
      <c r="D56" s="30" t="n"/>
      <c r="E56" s="38" t="n"/>
    </row>
    <row r="57">
      <c r="A57" s="37" t="n"/>
      <c r="B57" s="29" t="n"/>
      <c r="C57" s="29" t="n"/>
      <c r="D57" s="30" t="n"/>
      <c r="E57" s="38" t="n"/>
    </row>
    <row r="58">
      <c r="A58" s="37" t="n"/>
      <c r="B58" s="29" t="n"/>
      <c r="C58" s="29" t="n"/>
      <c r="D58" s="30" t="n"/>
      <c r="E58" s="38" t="n"/>
    </row>
    <row r="59">
      <c r="A59" s="37" t="n"/>
      <c r="B59" s="29" t="n"/>
      <c r="C59" s="29" t="n"/>
      <c r="D59" s="30" t="n"/>
      <c r="E59" s="38" t="n"/>
    </row>
    <row r="60">
      <c r="A60" s="37" t="n"/>
      <c r="B60" s="29" t="n"/>
      <c r="C60" s="29" t="n"/>
      <c r="D60" s="30" t="n"/>
      <c r="E60" s="38" t="n"/>
    </row>
    <row r="61">
      <c r="A61" s="37" t="n"/>
      <c r="B61" s="29" t="n"/>
      <c r="C61" s="29" t="n"/>
      <c r="D61" s="30" t="n"/>
      <c r="E61" s="38" t="n"/>
    </row>
    <row r="62">
      <c r="A62" s="37" t="n"/>
      <c r="B62" s="29" t="n"/>
      <c r="C62" s="29" t="n"/>
      <c r="D62" s="30" t="n"/>
      <c r="E62" s="38" t="n"/>
    </row>
    <row r="63">
      <c r="A63" s="37" t="n"/>
      <c r="B63" s="29" t="n"/>
      <c r="C63" s="29" t="n"/>
      <c r="D63" s="30" t="n"/>
      <c r="E63" s="38" t="n"/>
    </row>
    <row r="64">
      <c r="A64" s="37" t="n"/>
      <c r="B64" s="29" t="n"/>
      <c r="C64" s="29" t="n"/>
      <c r="D64" s="30" t="n"/>
      <c r="E64" s="38" t="n"/>
    </row>
    <row r="65">
      <c r="A65" s="37" t="n"/>
      <c r="B65" s="29" t="n"/>
      <c r="C65" s="29" t="n"/>
      <c r="D65" s="30" t="n"/>
      <c r="E65" s="38" t="n"/>
    </row>
    <row r="66">
      <c r="A66" s="37" t="n"/>
      <c r="B66" s="29" t="n"/>
      <c r="C66" s="29" t="n"/>
      <c r="D66" s="30" t="n"/>
      <c r="E66" s="38" t="n"/>
    </row>
    <row r="67">
      <c r="A67" s="37" t="n"/>
      <c r="B67" s="29" t="n"/>
      <c r="C67" s="29" t="n"/>
      <c r="D67" s="30" t="n"/>
      <c r="E67" s="38" t="n"/>
    </row>
    <row r="68">
      <c r="A68" s="37" t="n"/>
      <c r="B68" s="29" t="n"/>
      <c r="C68" s="29" t="n"/>
      <c r="D68" s="30" t="n"/>
      <c r="E68" s="38" t="n"/>
    </row>
    <row r="69">
      <c r="A69" s="37" t="n"/>
      <c r="B69" s="29" t="n"/>
      <c r="C69" s="29" t="n"/>
      <c r="D69" s="30" t="n"/>
      <c r="E69" s="38" t="n"/>
    </row>
    <row r="70">
      <c r="A70" s="37" t="n"/>
      <c r="B70" s="29" t="n"/>
      <c r="C70" s="29" t="n"/>
      <c r="D70" s="30" t="n"/>
      <c r="E70" s="38" t="n"/>
    </row>
    <row r="71">
      <c r="A71" s="37" t="n"/>
      <c r="B71" s="29" t="n"/>
      <c r="C71" s="29" t="n"/>
      <c r="D71" s="30" t="n"/>
      <c r="E71" s="38" t="n"/>
    </row>
    <row r="72">
      <c r="A72" s="37" t="n"/>
      <c r="B72" s="29" t="n"/>
      <c r="C72" s="29" t="n"/>
      <c r="D72" s="30" t="n"/>
      <c r="E72" s="38" t="n"/>
    </row>
    <row r="73">
      <c r="A73" s="37" t="n"/>
      <c r="B73" s="29" t="n"/>
      <c r="C73" s="29" t="n"/>
      <c r="D73" s="30" t="n"/>
      <c r="E73" s="38" t="n"/>
    </row>
    <row r="74">
      <c r="A74" s="37" t="n"/>
      <c r="B74" s="29" t="n"/>
      <c r="C74" s="29" t="n"/>
      <c r="D74" s="30" t="n"/>
      <c r="E74" s="38" t="n"/>
    </row>
    <row r="75">
      <c r="A75" s="37" t="n"/>
      <c r="B75" s="29" t="n"/>
      <c r="C75" s="29" t="n"/>
      <c r="D75" s="30" t="n"/>
      <c r="E75" s="38" t="n"/>
    </row>
    <row r="76">
      <c r="A76" s="37" t="n"/>
      <c r="B76" s="29" t="n"/>
      <c r="C76" s="29" t="n"/>
      <c r="D76" s="30" t="n"/>
      <c r="E76" s="38" t="n"/>
    </row>
    <row r="77">
      <c r="A77" s="37" t="n"/>
      <c r="B77" s="29" t="n"/>
      <c r="C77" s="29" t="n"/>
      <c r="D77" s="30" t="n"/>
      <c r="E77" s="38" t="n"/>
    </row>
    <row r="78">
      <c r="A78" s="37" t="n"/>
      <c r="B78" s="29" t="n"/>
      <c r="C78" s="29" t="n"/>
      <c r="D78" s="30" t="n"/>
      <c r="E78" s="38" t="n"/>
    </row>
    <row r="79">
      <c r="A79" s="37" t="n"/>
      <c r="B79" s="29" t="n"/>
      <c r="C79" s="29" t="n"/>
      <c r="D79" s="30" t="n"/>
      <c r="E79" s="38" t="n"/>
    </row>
    <row r="80">
      <c r="A80" s="37" t="n"/>
      <c r="B80" s="29" t="n"/>
      <c r="C80" s="29" t="n"/>
      <c r="D80" s="30" t="n"/>
      <c r="E80" s="38" t="n"/>
    </row>
    <row r="81">
      <c r="A81" s="37" t="n"/>
      <c r="B81" s="29" t="n"/>
      <c r="C81" s="29" t="n"/>
      <c r="D81" s="30" t="n"/>
      <c r="E81" s="38" t="n"/>
    </row>
    <row r="82">
      <c r="A82" s="37" t="n"/>
      <c r="B82" s="29" t="n"/>
      <c r="C82" s="29" t="n"/>
      <c r="D82" s="30" t="n"/>
      <c r="E82" s="38" t="n"/>
    </row>
    <row r="83">
      <c r="A83" s="37" t="n"/>
      <c r="B83" s="29" t="n"/>
      <c r="C83" s="29" t="n"/>
      <c r="D83" s="30" t="n"/>
      <c r="E83" s="38" t="n"/>
    </row>
    <row r="84">
      <c r="A84" s="37" t="n"/>
      <c r="B84" s="29" t="n"/>
      <c r="C84" s="29" t="n"/>
      <c r="D84" s="30" t="n"/>
      <c r="E84" s="38" t="n"/>
    </row>
    <row r="85">
      <c r="A85" s="37" t="n"/>
      <c r="B85" s="29" t="n"/>
      <c r="C85" s="29" t="n"/>
      <c r="D85" s="30" t="n"/>
      <c r="E85" s="38" t="n"/>
    </row>
    <row r="86">
      <c r="A86" s="37" t="n"/>
      <c r="B86" s="29" t="n"/>
      <c r="C86" s="29" t="n"/>
      <c r="D86" s="30" t="n"/>
      <c r="E86" s="38" t="n"/>
    </row>
    <row r="87">
      <c r="A87" s="37" t="n"/>
      <c r="B87" s="29" t="n"/>
      <c r="C87" s="29" t="n"/>
      <c r="D87" s="30" t="n"/>
      <c r="E87" s="38" t="n"/>
    </row>
    <row r="88">
      <c r="A88" s="37" t="n"/>
      <c r="B88" s="29" t="n"/>
      <c r="C88" s="29" t="n"/>
      <c r="D88" s="30" t="n"/>
      <c r="E88" s="38" t="n"/>
    </row>
    <row r="89">
      <c r="A89" s="37" t="n"/>
      <c r="B89" s="29" t="n"/>
      <c r="C89" s="29" t="n"/>
      <c r="D89" s="30" t="n"/>
      <c r="E89" s="38" t="n"/>
    </row>
    <row r="90">
      <c r="A90" s="37" t="n"/>
      <c r="B90" s="29" t="n"/>
      <c r="C90" s="29" t="n"/>
      <c r="D90" s="30" t="n"/>
      <c r="E90" s="38" t="n"/>
    </row>
    <row r="91">
      <c r="A91" s="37" t="n"/>
      <c r="B91" s="29" t="n"/>
      <c r="C91" s="29" t="n"/>
      <c r="D91" s="30" t="n"/>
      <c r="E91" s="38" t="n"/>
    </row>
    <row r="92">
      <c r="A92" s="37" t="n"/>
      <c r="B92" s="29" t="n"/>
      <c r="C92" s="29" t="n"/>
      <c r="D92" s="30" t="n"/>
      <c r="E92" s="38" t="n"/>
    </row>
    <row r="93">
      <c r="A93" s="37" t="n"/>
      <c r="B93" s="29" t="n"/>
      <c r="C93" s="29" t="n"/>
      <c r="D93" s="30" t="n"/>
      <c r="E93" s="38" t="n"/>
    </row>
    <row r="94">
      <c r="A94" s="37" t="n"/>
      <c r="B94" s="29" t="n"/>
      <c r="C94" s="29" t="n"/>
      <c r="D94" s="30" t="n"/>
      <c r="E94" s="38" t="n"/>
    </row>
    <row r="95">
      <c r="A95" s="37" t="n"/>
      <c r="B95" s="29" t="n"/>
      <c r="C95" s="29" t="n"/>
      <c r="D95" s="30" t="n"/>
      <c r="E95" s="38" t="n"/>
    </row>
    <row r="96">
      <c r="A96" s="37" t="n"/>
      <c r="B96" s="29" t="n"/>
      <c r="C96" s="29" t="n"/>
      <c r="D96" s="30" t="n"/>
      <c r="E96" s="38" t="n"/>
    </row>
    <row r="97">
      <c r="A97" s="37" t="n"/>
      <c r="B97" s="29" t="n"/>
      <c r="C97" s="29" t="n"/>
      <c r="D97" s="30" t="n"/>
      <c r="E97" s="38" t="n"/>
    </row>
    <row r="98">
      <c r="A98" s="37" t="n"/>
      <c r="B98" s="29" t="n"/>
      <c r="C98" s="29" t="n"/>
      <c r="D98" s="30" t="n"/>
      <c r="E98" s="38" t="n"/>
    </row>
    <row r="99">
      <c r="A99" s="37" t="n"/>
      <c r="B99" s="29" t="n"/>
      <c r="C99" s="29" t="n"/>
      <c r="D99" s="30" t="n"/>
      <c r="E99" s="38" t="n"/>
    </row>
    <row r="100">
      <c r="A100" s="37" t="n"/>
      <c r="B100" s="29" t="n"/>
      <c r="C100" s="29" t="n"/>
      <c r="D100" s="30" t="n"/>
      <c r="E100" s="38" t="n"/>
    </row>
    <row r="101">
      <c r="A101" s="37" t="n"/>
      <c r="B101" s="29" t="n"/>
      <c r="C101" s="29" t="n"/>
      <c r="D101" s="30" t="n"/>
      <c r="E101" s="38" t="n"/>
    </row>
    <row r="102">
      <c r="A102" s="37" t="n"/>
      <c r="B102" s="29" t="n"/>
      <c r="C102" s="29" t="n"/>
      <c r="D102" s="30" t="n"/>
      <c r="E102" s="38" t="n"/>
    </row>
    <row r="103">
      <c r="A103" s="37" t="n"/>
      <c r="B103" s="29" t="n"/>
      <c r="C103" s="29" t="n"/>
      <c r="D103" s="30" t="n"/>
      <c r="E103" s="38" t="n"/>
    </row>
    <row r="104">
      <c r="A104" s="37" t="n"/>
      <c r="B104" s="29" t="n"/>
      <c r="C104" s="29" t="n"/>
      <c r="D104" s="30" t="n"/>
      <c r="E104" s="38" t="n"/>
    </row>
    <row r="105">
      <c r="A105" s="37" t="n"/>
      <c r="B105" s="29" t="n"/>
      <c r="C105" s="29" t="n"/>
      <c r="D105" s="30" t="n"/>
      <c r="E105" s="38" t="n"/>
    </row>
    <row r="106">
      <c r="A106" s="37" t="n"/>
      <c r="B106" s="29" t="n"/>
      <c r="C106" s="29" t="n"/>
      <c r="D106" s="30" t="n"/>
      <c r="E106" s="38" t="n"/>
    </row>
    <row r="107">
      <c r="A107" s="37" t="n"/>
      <c r="B107" s="29" t="n"/>
      <c r="C107" s="29" t="n"/>
      <c r="D107" s="30" t="n"/>
      <c r="E107" s="38" t="n"/>
    </row>
    <row r="108">
      <c r="A108" s="37" t="n"/>
      <c r="B108" s="29" t="n"/>
      <c r="C108" s="29" t="n"/>
      <c r="D108" s="30" t="n"/>
      <c r="E108" s="38" t="n"/>
    </row>
    <row r="109">
      <c r="A109" s="37" t="n"/>
      <c r="B109" s="29" t="n"/>
      <c r="C109" s="29" t="n"/>
      <c r="D109" s="30" t="n"/>
      <c r="E109" s="38" t="n"/>
    </row>
    <row r="110">
      <c r="A110" s="37" t="n"/>
      <c r="B110" s="29" t="n"/>
      <c r="C110" s="29" t="n"/>
      <c r="D110" s="30" t="n"/>
      <c r="E110" s="38" t="n"/>
    </row>
    <row r="111">
      <c r="A111" s="37" t="n"/>
      <c r="B111" s="29" t="n"/>
      <c r="C111" s="29" t="n"/>
      <c r="D111" s="30" t="n"/>
      <c r="E111" s="38" t="n"/>
    </row>
    <row r="112">
      <c r="A112" s="37" t="n"/>
      <c r="B112" s="29" t="n"/>
      <c r="C112" s="29" t="n"/>
      <c r="D112" s="30" t="n"/>
      <c r="E112" s="38" t="n"/>
    </row>
    <row r="113">
      <c r="A113" s="37" t="n"/>
      <c r="B113" s="29" t="n"/>
      <c r="C113" s="29" t="n"/>
      <c r="D113" s="30" t="n"/>
      <c r="E113" s="38" t="n"/>
    </row>
    <row r="114">
      <c r="A114" s="37" t="n"/>
      <c r="B114" s="29" t="n"/>
      <c r="C114" s="29" t="n"/>
      <c r="D114" s="30" t="n"/>
      <c r="E114" s="38" t="n"/>
    </row>
    <row r="115">
      <c r="A115" s="37" t="n"/>
      <c r="B115" s="29" t="n"/>
      <c r="C115" s="29" t="n"/>
      <c r="D115" s="30" t="n"/>
      <c r="E115" s="38" t="n"/>
    </row>
    <row r="116">
      <c r="A116" s="37" t="n"/>
      <c r="B116" s="29" t="n"/>
      <c r="C116" s="29" t="n"/>
      <c r="D116" s="30" t="n"/>
      <c r="E116" s="38" t="n"/>
    </row>
    <row r="117">
      <c r="A117" s="37" t="n"/>
      <c r="B117" s="29" t="n"/>
      <c r="C117" s="29" t="n"/>
      <c r="D117" s="30" t="n"/>
      <c r="E117" s="38" t="n"/>
    </row>
    <row r="118">
      <c r="A118" s="37" t="n"/>
      <c r="B118" s="29" t="n"/>
      <c r="C118" s="29" t="n"/>
      <c r="D118" s="30" t="n"/>
      <c r="E118" s="38" t="n"/>
    </row>
    <row r="119">
      <c r="A119" s="37" t="n"/>
      <c r="B119" s="29" t="n"/>
      <c r="C119" s="29" t="n"/>
      <c r="D119" s="30" t="n"/>
      <c r="E119" s="38" t="n"/>
    </row>
    <row r="120">
      <c r="A120" s="37" t="n"/>
      <c r="B120" s="29" t="n"/>
      <c r="C120" s="29" t="n"/>
      <c r="D120" s="30" t="n"/>
      <c r="E120" s="38" t="n"/>
    </row>
    <row r="121">
      <c r="A121" s="37" t="n"/>
      <c r="B121" s="29" t="n"/>
      <c r="C121" s="29" t="n"/>
      <c r="D121" s="30" t="n"/>
      <c r="E121" s="38" t="n"/>
    </row>
    <row r="122">
      <c r="A122" s="37" t="n"/>
      <c r="B122" s="29" t="n"/>
      <c r="C122" s="29" t="n"/>
      <c r="D122" s="30" t="n"/>
      <c r="E122" s="38" t="n"/>
    </row>
    <row r="123">
      <c r="A123" s="37" t="n"/>
      <c r="B123" s="29" t="n"/>
      <c r="C123" s="29" t="n"/>
      <c r="D123" s="30" t="n"/>
      <c r="E123" s="38" t="n"/>
    </row>
    <row r="124">
      <c r="A124" s="37" t="n"/>
      <c r="B124" s="29" t="n"/>
      <c r="C124" s="29" t="n"/>
      <c r="D124" s="30" t="n"/>
      <c r="E124" s="38" t="n"/>
    </row>
    <row r="125">
      <c r="A125" s="37" t="n"/>
      <c r="B125" s="29" t="n"/>
      <c r="C125" s="29" t="n"/>
      <c r="D125" s="30" t="n"/>
      <c r="E125" s="38" t="n"/>
    </row>
    <row r="126">
      <c r="A126" s="37" t="n"/>
      <c r="B126" s="29" t="n"/>
      <c r="C126" s="29" t="n"/>
      <c r="D126" s="30" t="n"/>
      <c r="E126" s="38" t="n"/>
    </row>
    <row r="127">
      <c r="A127" s="37" t="n"/>
      <c r="B127" s="29" t="n"/>
      <c r="C127" s="29" t="n"/>
      <c r="D127" s="30" t="n"/>
      <c r="E127" s="38" t="n"/>
    </row>
    <row r="128">
      <c r="A128" s="37" t="n"/>
      <c r="B128" s="29" t="n"/>
      <c r="C128" s="29" t="n"/>
      <c r="D128" s="30" t="n"/>
      <c r="E128" s="38" t="n"/>
    </row>
    <row r="129">
      <c r="A129" s="37" t="n"/>
      <c r="B129" s="29" t="n"/>
      <c r="C129" s="29" t="n"/>
      <c r="D129" s="30" t="n"/>
      <c r="E129" s="38" t="n"/>
    </row>
    <row r="130">
      <c r="A130" s="37" t="n"/>
      <c r="B130" s="29" t="n"/>
      <c r="C130" s="29" t="n"/>
      <c r="D130" s="30" t="n"/>
      <c r="E130" s="38" t="n"/>
    </row>
    <row r="131">
      <c r="A131" s="37" t="n"/>
      <c r="B131" s="29" t="n"/>
      <c r="C131" s="29" t="n"/>
      <c r="D131" s="30" t="n"/>
      <c r="E131" s="38" t="n"/>
    </row>
    <row r="132">
      <c r="A132" s="37" t="n"/>
      <c r="B132" s="29" t="n"/>
      <c r="C132" s="29" t="n"/>
      <c r="D132" s="30" t="n"/>
      <c r="E132" s="38" t="n"/>
    </row>
    <row r="133">
      <c r="A133" s="37" t="n"/>
      <c r="B133" s="29" t="n"/>
      <c r="C133" s="29" t="n"/>
      <c r="D133" s="30" t="n"/>
      <c r="E133" s="38" t="n"/>
    </row>
    <row r="134">
      <c r="A134" s="37" t="n"/>
      <c r="B134" s="29" t="n"/>
      <c r="C134" s="29" t="n"/>
      <c r="D134" s="30" t="n"/>
      <c r="E134" s="38" t="n"/>
    </row>
    <row r="135">
      <c r="A135" s="37" t="n"/>
      <c r="B135" s="29" t="n"/>
      <c r="C135" s="29" t="n"/>
      <c r="D135" s="30" t="n"/>
      <c r="E135" s="38" t="n"/>
    </row>
    <row r="136">
      <c r="A136" s="37" t="n"/>
      <c r="B136" s="29" t="n"/>
      <c r="C136" s="29" t="n"/>
      <c r="D136" s="30" t="n"/>
      <c r="E136" s="38" t="n"/>
    </row>
    <row r="137">
      <c r="A137" s="37" t="n"/>
      <c r="B137" s="29" t="n"/>
      <c r="C137" s="29" t="n"/>
      <c r="D137" s="30" t="n"/>
      <c r="E137" s="38" t="n"/>
    </row>
    <row r="138">
      <c r="A138" s="37" t="n"/>
      <c r="B138" s="29" t="n"/>
      <c r="C138" s="29" t="n"/>
      <c r="D138" s="30" t="n"/>
      <c r="E138" s="38" t="n"/>
    </row>
    <row r="139">
      <c r="A139" s="37" t="n"/>
      <c r="B139" s="29" t="n"/>
      <c r="C139" s="29" t="n"/>
      <c r="D139" s="30" t="n"/>
      <c r="E139" s="38" t="n"/>
    </row>
    <row r="140">
      <c r="A140" s="37" t="n"/>
      <c r="B140" s="29" t="n"/>
      <c r="C140" s="29" t="n"/>
      <c r="D140" s="30" t="n"/>
      <c r="E140" s="38" t="n"/>
    </row>
    <row r="141">
      <c r="A141" s="37" t="n"/>
      <c r="B141" s="29" t="n"/>
      <c r="C141" s="29" t="n"/>
      <c r="D141" s="30" t="n"/>
      <c r="E141" s="38" t="n"/>
    </row>
    <row r="142">
      <c r="A142" s="37" t="n"/>
      <c r="B142" s="29" t="n"/>
      <c r="C142" s="29" t="n"/>
      <c r="D142" s="30" t="n"/>
      <c r="E142" s="38" t="n"/>
    </row>
    <row r="143">
      <c r="A143" s="37" t="n"/>
      <c r="B143" s="29" t="n"/>
      <c r="C143" s="29" t="n"/>
      <c r="D143" s="30" t="n"/>
      <c r="E143" s="38" t="n"/>
    </row>
    <row r="144">
      <c r="A144" s="37" t="n"/>
      <c r="B144" s="29" t="n"/>
      <c r="C144" s="29" t="n"/>
      <c r="D144" s="30" t="n"/>
      <c r="E144" s="38" t="n"/>
    </row>
    <row r="145">
      <c r="A145" s="37" t="n"/>
      <c r="B145" s="29" t="n"/>
      <c r="C145" s="29" t="n"/>
      <c r="D145" s="30" t="n"/>
      <c r="E145" s="38" t="n"/>
    </row>
    <row r="146">
      <c r="A146" s="37" t="n"/>
      <c r="B146" s="29" t="n"/>
      <c r="C146" s="29" t="n"/>
      <c r="D146" s="30" t="n"/>
      <c r="E146" s="38" t="n"/>
    </row>
    <row r="147">
      <c r="A147" s="37" t="n"/>
      <c r="B147" s="29" t="n"/>
      <c r="C147" s="29" t="n"/>
      <c r="D147" s="30" t="n"/>
      <c r="E147" s="38" t="n"/>
    </row>
    <row r="148">
      <c r="A148" s="37" t="n"/>
      <c r="B148" s="29" t="n"/>
      <c r="C148" s="29" t="n"/>
      <c r="D148" s="30" t="n"/>
      <c r="E148" s="38" t="n"/>
    </row>
    <row r="149">
      <c r="A149" s="37" t="n"/>
      <c r="B149" s="29" t="n"/>
      <c r="C149" s="29" t="n"/>
      <c r="D149" s="30" t="n"/>
      <c r="E149" s="38" t="n"/>
    </row>
    <row r="150">
      <c r="A150" s="37" t="n"/>
      <c r="B150" s="29" t="n"/>
      <c r="C150" s="29" t="n"/>
      <c r="D150" s="30" t="n"/>
      <c r="E150" s="38" t="n"/>
    </row>
    <row r="151">
      <c r="A151" s="37" t="n"/>
      <c r="B151" s="29" t="n"/>
      <c r="C151" s="29" t="n"/>
      <c r="D151" s="30" t="n"/>
      <c r="E151" s="38" t="n"/>
    </row>
    <row r="152">
      <c r="A152" s="37" t="n"/>
      <c r="B152" s="29" t="n"/>
      <c r="C152" s="29" t="n"/>
      <c r="D152" s="30" t="n"/>
      <c r="E152" s="38" t="n"/>
    </row>
    <row r="153">
      <c r="A153" s="37" t="n"/>
      <c r="B153" s="29" t="n"/>
      <c r="C153" s="29" t="n"/>
      <c r="D153" s="30" t="n"/>
      <c r="E153" s="38" t="n"/>
    </row>
    <row r="154">
      <c r="A154" s="37" t="n"/>
      <c r="B154" s="29" t="n"/>
      <c r="C154" s="29" t="n"/>
      <c r="D154" s="30" t="n"/>
      <c r="E154" s="38" t="n"/>
    </row>
    <row r="155">
      <c r="A155" s="37" t="n"/>
      <c r="B155" s="29" t="n"/>
      <c r="C155" s="29" t="n"/>
      <c r="D155" s="30" t="n"/>
      <c r="E155" s="38" t="n"/>
    </row>
    <row r="156">
      <c r="A156" s="37" t="n"/>
      <c r="B156" s="29" t="n"/>
      <c r="C156" s="29" t="n"/>
      <c r="D156" s="30" t="n"/>
      <c r="E156" s="38" t="n"/>
    </row>
    <row r="157">
      <c r="A157" s="37" t="n"/>
      <c r="B157" s="29" t="n"/>
      <c r="C157" s="29" t="n"/>
      <c r="D157" s="30" t="n"/>
      <c r="E157" s="38" t="n"/>
    </row>
    <row r="158">
      <c r="A158" s="37" t="n"/>
      <c r="B158" s="29" t="n"/>
      <c r="C158" s="29" t="n"/>
      <c r="D158" s="30" t="n"/>
      <c r="E158" s="38" t="n"/>
    </row>
    <row r="159">
      <c r="A159" s="37" t="n"/>
      <c r="B159" s="29" t="n"/>
      <c r="C159" s="29" t="n"/>
      <c r="D159" s="30" t="n"/>
      <c r="E159" s="38" t="n"/>
    </row>
    <row r="160">
      <c r="A160" s="37" t="n"/>
      <c r="B160" s="29" t="n"/>
      <c r="C160" s="29" t="n"/>
      <c r="D160" s="30" t="n"/>
      <c r="E160" s="38" t="n"/>
    </row>
    <row r="161">
      <c r="A161" s="37" t="n"/>
      <c r="B161" s="29" t="n"/>
      <c r="C161" s="29" t="n"/>
      <c r="D161" s="30" t="n"/>
      <c r="E161" s="38" t="n"/>
    </row>
    <row r="162">
      <c r="A162" s="37" t="n"/>
      <c r="B162" s="29" t="n"/>
      <c r="C162" s="29" t="n"/>
      <c r="D162" s="30" t="n"/>
      <c r="E162" s="38" t="n"/>
    </row>
    <row r="163">
      <c r="A163" s="37" t="n"/>
      <c r="B163" s="29" t="n"/>
      <c r="C163" s="29" t="n"/>
      <c r="D163" s="30" t="n"/>
      <c r="E163" s="38" t="n"/>
    </row>
    <row r="164">
      <c r="A164" s="37" t="n"/>
      <c r="B164" s="29" t="n"/>
      <c r="C164" s="29" t="n"/>
      <c r="D164" s="30" t="n"/>
      <c r="E164" s="38" t="n"/>
    </row>
    <row r="165">
      <c r="A165" s="37" t="n"/>
      <c r="B165" s="29" t="n"/>
      <c r="C165" s="29" t="n"/>
      <c r="D165" s="30" t="n"/>
      <c r="E165" s="38" t="n"/>
    </row>
    <row r="166">
      <c r="A166" s="37" t="n"/>
      <c r="B166" s="29" t="n"/>
      <c r="C166" s="29" t="n"/>
      <c r="D166" s="30" t="n"/>
      <c r="E166" s="38" t="n"/>
    </row>
    <row r="167">
      <c r="A167" s="37" t="n"/>
      <c r="B167" s="29" t="n"/>
      <c r="C167" s="29" t="n"/>
      <c r="D167" s="30" t="n"/>
      <c r="E167" s="38" t="n"/>
    </row>
    <row r="168">
      <c r="A168" s="37" t="n"/>
      <c r="B168" s="29" t="n"/>
      <c r="C168" s="29" t="n"/>
      <c r="D168" s="30" t="n"/>
      <c r="E168" s="38" t="n"/>
    </row>
    <row r="169">
      <c r="A169" s="37" t="n"/>
      <c r="B169" s="29" t="n"/>
      <c r="C169" s="29" t="n"/>
      <c r="D169" s="30" t="n"/>
      <c r="E169" s="38" t="n"/>
    </row>
    <row r="170">
      <c r="A170" s="37" t="n"/>
      <c r="B170" s="29" t="n"/>
      <c r="C170" s="29" t="n"/>
      <c r="D170" s="30" t="n"/>
      <c r="E170" s="38" t="n"/>
    </row>
    <row r="171">
      <c r="A171" s="37" t="n"/>
      <c r="B171" s="29" t="n"/>
      <c r="C171" s="29" t="n"/>
      <c r="D171" s="30" t="n"/>
      <c r="E171" s="38" t="n"/>
    </row>
    <row r="172">
      <c r="A172" s="37" t="n"/>
      <c r="B172" s="29" t="n"/>
      <c r="C172" s="29" t="n"/>
      <c r="D172" s="30" t="n"/>
      <c r="E172" s="38" t="n"/>
    </row>
    <row r="173">
      <c r="A173" s="37" t="n"/>
      <c r="B173" s="29" t="n"/>
      <c r="C173" s="29" t="n"/>
      <c r="D173" s="30" t="n"/>
      <c r="E173" s="38" t="n"/>
    </row>
    <row r="174">
      <c r="A174" s="37" t="n"/>
      <c r="B174" s="29" t="n"/>
      <c r="C174" s="29" t="n"/>
      <c r="D174" s="30" t="n"/>
      <c r="E174" s="38" t="n"/>
    </row>
    <row r="175">
      <c r="A175" s="37" t="n"/>
      <c r="B175" s="29" t="n"/>
      <c r="C175" s="29" t="n"/>
      <c r="D175" s="30" t="n"/>
      <c r="E175" s="38" t="n"/>
    </row>
    <row r="176">
      <c r="A176" s="37" t="n"/>
      <c r="B176" s="29" t="n"/>
      <c r="C176" s="29" t="n"/>
      <c r="D176" s="30" t="n"/>
      <c r="E176" s="38" t="n"/>
    </row>
    <row r="177">
      <c r="A177" s="37" t="n"/>
      <c r="B177" s="29" t="n"/>
      <c r="C177" s="29" t="n"/>
      <c r="D177" s="30" t="n"/>
      <c r="E177" s="38" t="n"/>
    </row>
    <row r="178">
      <c r="A178" s="37" t="n"/>
      <c r="B178" s="29" t="n"/>
      <c r="C178" s="29" t="n"/>
      <c r="D178" s="30" t="n"/>
      <c r="E178" s="38" t="n"/>
    </row>
    <row r="179">
      <c r="A179" s="37" t="n"/>
      <c r="B179" s="29" t="n"/>
      <c r="C179" s="29" t="n"/>
      <c r="D179" s="30" t="n"/>
      <c r="E179" s="38" t="n"/>
    </row>
    <row r="180">
      <c r="A180" s="37" t="n"/>
      <c r="B180" s="29" t="n"/>
      <c r="C180" s="29" t="n"/>
      <c r="D180" s="30" t="n"/>
      <c r="E180" s="38" t="n"/>
    </row>
    <row r="181">
      <c r="A181" s="37" t="n"/>
      <c r="B181" s="29" t="n"/>
      <c r="C181" s="29" t="n"/>
      <c r="D181" s="30" t="n"/>
      <c r="E181" s="38" t="n"/>
    </row>
    <row r="182">
      <c r="A182" s="37" t="n"/>
      <c r="B182" s="29" t="n"/>
      <c r="C182" s="29" t="n"/>
      <c r="D182" s="30" t="n"/>
      <c r="E182" s="38" t="n"/>
    </row>
    <row r="183">
      <c r="A183" s="37" t="n"/>
      <c r="B183" s="29" t="n"/>
      <c r="C183" s="29" t="n"/>
      <c r="D183" s="30" t="n"/>
      <c r="E183" s="38" t="n"/>
    </row>
    <row r="184">
      <c r="A184" s="37" t="n"/>
      <c r="B184" s="29" t="n"/>
      <c r="C184" s="29" t="n"/>
      <c r="D184" s="30" t="n"/>
      <c r="E184" s="38" t="n"/>
    </row>
    <row r="185">
      <c r="A185" s="37" t="n"/>
      <c r="B185" s="29" t="n"/>
      <c r="C185" s="29" t="n"/>
      <c r="D185" s="30" t="n"/>
      <c r="E185" s="38" t="n"/>
    </row>
    <row r="186">
      <c r="A186" s="37" t="n"/>
      <c r="B186" s="29" t="n"/>
      <c r="C186" s="29" t="n"/>
      <c r="D186" s="30" t="n"/>
      <c r="E186" s="38" t="n"/>
    </row>
    <row r="187">
      <c r="A187" s="37" t="n"/>
      <c r="B187" s="29" t="n"/>
      <c r="C187" s="29" t="n"/>
      <c r="D187" s="30" t="n"/>
      <c r="E187" s="38" t="n"/>
    </row>
    <row r="188">
      <c r="A188" s="37" t="n"/>
      <c r="B188" s="29" t="n"/>
      <c r="C188" s="29" t="n"/>
      <c r="D188" s="30" t="n"/>
      <c r="E188" s="38" t="n"/>
    </row>
    <row r="189">
      <c r="A189" s="37" t="n"/>
      <c r="B189" s="29" t="n"/>
      <c r="C189" s="29" t="n"/>
      <c r="D189" s="30" t="n"/>
      <c r="E189" s="38" t="n"/>
    </row>
    <row r="190">
      <c r="A190" s="37" t="n"/>
      <c r="B190" s="29" t="n"/>
      <c r="C190" s="29" t="n"/>
      <c r="D190" s="30" t="n"/>
      <c r="E190" s="38" t="n"/>
    </row>
    <row r="191">
      <c r="A191" s="37" t="n"/>
      <c r="B191" s="29" t="n"/>
      <c r="C191" s="29" t="n"/>
      <c r="D191" s="30" t="n"/>
      <c r="E191" s="38" t="n"/>
    </row>
    <row r="192">
      <c r="A192" s="37" t="n"/>
      <c r="B192" s="29" t="n"/>
      <c r="C192" s="29" t="n"/>
      <c r="D192" s="30" t="n"/>
      <c r="E192" s="38" t="n"/>
    </row>
    <row r="193">
      <c r="A193" s="37" t="n"/>
      <c r="B193" s="29" t="n"/>
      <c r="C193" s="29" t="n"/>
      <c r="D193" s="30" t="n"/>
      <c r="E193" s="38" t="n"/>
    </row>
    <row r="194">
      <c r="A194" s="37" t="n"/>
      <c r="B194" s="29" t="n"/>
      <c r="C194" s="29" t="n"/>
      <c r="D194" s="30" t="n"/>
      <c r="E194" s="38" t="n"/>
    </row>
    <row r="195">
      <c r="A195" s="37" t="n"/>
      <c r="B195" s="29" t="n"/>
      <c r="C195" s="29" t="n"/>
      <c r="D195" s="30" t="n"/>
      <c r="E195" s="38" t="n"/>
    </row>
    <row r="196">
      <c r="A196" s="37" t="n"/>
      <c r="B196" s="29" t="n"/>
      <c r="C196" s="29" t="n"/>
      <c r="D196" s="30" t="n"/>
      <c r="E196" s="38" t="n"/>
    </row>
    <row r="197">
      <c r="A197" s="37" t="n"/>
      <c r="B197" s="29" t="n"/>
      <c r="C197" s="29" t="n"/>
      <c r="D197" s="30" t="n"/>
      <c r="E197" s="38" t="n"/>
    </row>
    <row r="198">
      <c r="A198" s="37" t="n"/>
      <c r="B198" s="29" t="n"/>
      <c r="C198" s="29" t="n"/>
      <c r="D198" s="30" t="n"/>
      <c r="E198" s="38" t="n"/>
    </row>
    <row r="199">
      <c r="A199" s="37" t="n"/>
      <c r="B199" s="29" t="n"/>
      <c r="C199" s="29" t="n"/>
      <c r="D199" s="30" t="n"/>
      <c r="E199" s="38" t="n"/>
    </row>
    <row r="200">
      <c r="A200" s="37" t="n"/>
      <c r="B200" s="29" t="n"/>
      <c r="C200" s="29" t="n"/>
      <c r="D200" s="30" t="n"/>
      <c r="E200" s="38" t="n"/>
    </row>
    <row r="201">
      <c r="A201" s="37" t="n"/>
      <c r="B201" s="29" t="n"/>
      <c r="C201" s="29" t="n"/>
      <c r="D201" s="30" t="n"/>
      <c r="E201" s="38" t="n"/>
    </row>
    <row r="202">
      <c r="A202" s="37" t="n"/>
      <c r="B202" s="29" t="n"/>
      <c r="C202" s="29" t="n"/>
      <c r="D202" s="30" t="n"/>
      <c r="E202" s="38" t="n"/>
    </row>
    <row r="203">
      <c r="A203" s="37" t="n"/>
      <c r="B203" s="29" t="n"/>
      <c r="C203" s="29" t="n"/>
      <c r="D203" s="30" t="n"/>
      <c r="E203" s="38" t="n"/>
    </row>
    <row r="204">
      <c r="A204" s="37" t="n"/>
      <c r="B204" s="29" t="n"/>
      <c r="C204" s="29" t="n"/>
      <c r="D204" s="30" t="n"/>
      <c r="E204" s="38" t="n"/>
    </row>
    <row r="205">
      <c r="A205" s="37" t="n"/>
      <c r="B205" s="29" t="n"/>
      <c r="C205" s="29" t="n"/>
      <c r="D205" s="30" t="n"/>
      <c r="E205" s="38" t="n"/>
    </row>
    <row r="206">
      <c r="A206" s="37" t="n"/>
      <c r="B206" s="29" t="n"/>
      <c r="C206" s="29" t="n"/>
      <c r="D206" s="30" t="n"/>
      <c r="E206" s="38" t="n"/>
    </row>
    <row r="207">
      <c r="A207" s="37" t="n"/>
      <c r="B207" s="29" t="n"/>
      <c r="C207" s="29" t="n"/>
      <c r="D207" s="30" t="n"/>
      <c r="E207" s="38" t="n"/>
    </row>
    <row r="208">
      <c r="A208" s="37" t="n"/>
      <c r="B208" s="29" t="n"/>
      <c r="C208" s="29" t="n"/>
      <c r="D208" s="30" t="n"/>
      <c r="E208" s="38" t="n"/>
    </row>
    <row r="209">
      <c r="A209" s="37" t="n"/>
      <c r="B209" s="29" t="n"/>
      <c r="C209" s="29" t="n"/>
      <c r="D209" s="30" t="n"/>
      <c r="E209" s="38" t="n"/>
    </row>
    <row r="210">
      <c r="A210" s="37" t="n"/>
      <c r="B210" s="29" t="n"/>
      <c r="C210" s="29" t="n"/>
      <c r="D210" s="30" t="n"/>
      <c r="E210" s="38" t="n"/>
    </row>
    <row r="211">
      <c r="A211" s="37" t="n"/>
      <c r="B211" s="29" t="n"/>
      <c r="C211" s="29" t="n"/>
      <c r="D211" s="30" t="n"/>
      <c r="E211" s="38" t="n"/>
    </row>
    <row r="212">
      <c r="A212" s="37" t="n"/>
      <c r="B212" s="29" t="n"/>
      <c r="C212" s="29" t="n"/>
      <c r="D212" s="30" t="n"/>
      <c r="E212" s="38" t="n"/>
    </row>
    <row r="213">
      <c r="A213" s="37" t="n"/>
      <c r="B213" s="29" t="n"/>
      <c r="C213" s="29" t="n"/>
      <c r="D213" s="30" t="n"/>
      <c r="E213" s="38" t="n"/>
    </row>
    <row r="214">
      <c r="A214" s="37" t="n"/>
      <c r="B214" s="29" t="n"/>
      <c r="C214" s="29" t="n"/>
      <c r="D214" s="30" t="n"/>
      <c r="E214" s="38" t="n"/>
    </row>
    <row r="215">
      <c r="A215" s="37" t="n"/>
      <c r="B215" s="29" t="n"/>
      <c r="C215" s="29" t="n"/>
      <c r="D215" s="30" t="n"/>
      <c r="E215" s="38" t="n"/>
    </row>
    <row r="216">
      <c r="A216" s="37" t="n"/>
      <c r="B216" s="29" t="n"/>
      <c r="C216" s="29" t="n"/>
      <c r="D216" s="30" t="n"/>
      <c r="E216" s="38" t="n"/>
    </row>
    <row r="217">
      <c r="A217" s="37" t="n"/>
      <c r="B217" s="29" t="n"/>
      <c r="C217" s="29" t="n"/>
      <c r="D217" s="30" t="n"/>
      <c r="E217" s="38" t="n"/>
    </row>
    <row r="218">
      <c r="A218" s="37" t="n"/>
      <c r="B218" s="29" t="n"/>
      <c r="C218" s="29" t="n"/>
      <c r="D218" s="30" t="n"/>
      <c r="E218" s="38" t="n"/>
    </row>
    <row r="219">
      <c r="A219" s="37" t="n"/>
      <c r="B219" s="29" t="n"/>
      <c r="C219" s="29" t="n"/>
      <c r="D219" s="30" t="n"/>
      <c r="E219" s="38" t="n"/>
    </row>
    <row r="220">
      <c r="A220" s="37" t="n"/>
      <c r="B220" s="29" t="n"/>
      <c r="C220" s="29" t="n"/>
      <c r="D220" s="30" t="n"/>
      <c r="E220" s="38" t="n"/>
    </row>
    <row r="221">
      <c r="A221" s="37" t="n"/>
      <c r="B221" s="29" t="n"/>
      <c r="C221" s="29" t="n"/>
      <c r="D221" s="30" t="n"/>
      <c r="E221" s="38" t="n"/>
    </row>
    <row r="222">
      <c r="A222" s="37" t="n"/>
      <c r="B222" s="29" t="n"/>
      <c r="C222" s="29" t="n"/>
      <c r="D222" s="30" t="n"/>
      <c r="E222" s="38" t="n"/>
    </row>
    <row r="223">
      <c r="A223" s="37" t="n"/>
      <c r="B223" s="29" t="n"/>
      <c r="C223" s="29" t="n"/>
      <c r="D223" s="30" t="n"/>
      <c r="E223" s="38" t="n"/>
    </row>
    <row r="224">
      <c r="A224" s="37" t="n"/>
      <c r="B224" s="29" t="n"/>
      <c r="C224" s="29" t="n"/>
      <c r="D224" s="30" t="n"/>
      <c r="E224" s="38" t="n"/>
    </row>
    <row r="225">
      <c r="A225" s="37" t="n"/>
      <c r="B225" s="29" t="n"/>
      <c r="C225" s="29" t="n"/>
      <c r="D225" s="30" t="n"/>
      <c r="E225" s="38" t="n"/>
    </row>
    <row r="226">
      <c r="A226" s="37" t="n"/>
      <c r="B226" s="29" t="n"/>
      <c r="C226" s="29" t="n"/>
      <c r="D226" s="30" t="n"/>
      <c r="E226" s="38" t="n"/>
    </row>
    <row r="227">
      <c r="A227" s="37" t="n"/>
      <c r="B227" s="29" t="n"/>
      <c r="C227" s="29" t="n"/>
      <c r="D227" s="30" t="n"/>
      <c r="E227" s="38" t="n"/>
    </row>
    <row r="228">
      <c r="A228" s="37" t="n"/>
      <c r="B228" s="29" t="n"/>
      <c r="C228" s="29" t="n"/>
      <c r="D228" s="30" t="n"/>
      <c r="E228" s="38" t="n"/>
    </row>
    <row r="229">
      <c r="A229" s="37" t="n"/>
      <c r="B229" s="29" t="n"/>
      <c r="C229" s="29" t="n"/>
      <c r="D229" s="30" t="n"/>
      <c r="E229" s="38" t="n"/>
    </row>
    <row r="230">
      <c r="A230" s="37" t="n"/>
      <c r="B230" s="29" t="n"/>
      <c r="C230" s="29" t="n"/>
      <c r="D230" s="30" t="n"/>
      <c r="E230" s="38" t="n"/>
    </row>
    <row r="231">
      <c r="A231" s="37" t="n"/>
      <c r="B231" s="29" t="n"/>
      <c r="C231" s="29" t="n"/>
      <c r="D231" s="30" t="n"/>
      <c r="E231" s="38" t="n"/>
    </row>
    <row r="232">
      <c r="A232" s="37" t="n"/>
      <c r="B232" s="29" t="n"/>
      <c r="C232" s="29" t="n"/>
      <c r="D232" s="30" t="n"/>
      <c r="E232" s="38" t="n"/>
    </row>
    <row r="233">
      <c r="A233" s="37" t="n"/>
      <c r="B233" s="29" t="n"/>
      <c r="C233" s="29" t="n"/>
      <c r="D233" s="30" t="n"/>
      <c r="E233" s="38" t="n"/>
    </row>
    <row r="234">
      <c r="A234" s="37" t="n"/>
      <c r="B234" s="29" t="n"/>
      <c r="C234" s="29" t="n"/>
      <c r="D234" s="30" t="n"/>
      <c r="E234" s="38" t="n"/>
    </row>
    <row r="235">
      <c r="A235" s="37" t="n"/>
      <c r="B235" s="29" t="n"/>
      <c r="C235" s="29" t="n"/>
      <c r="D235" s="30" t="n"/>
      <c r="E235" s="38" t="n"/>
    </row>
    <row r="236">
      <c r="A236" s="37" t="n"/>
      <c r="B236" s="29" t="n"/>
      <c r="C236" s="29" t="n"/>
      <c r="D236" s="30" t="n"/>
      <c r="E236" s="38" t="n"/>
    </row>
    <row r="237">
      <c r="A237" s="37" t="n"/>
      <c r="B237" s="29" t="n"/>
      <c r="C237" s="29" t="n"/>
      <c r="D237" s="30" t="n"/>
      <c r="E237" s="38" t="n"/>
    </row>
    <row r="238">
      <c r="A238" s="37" t="n"/>
      <c r="B238" s="29" t="n"/>
      <c r="C238" s="29" t="n"/>
      <c r="D238" s="30" t="n"/>
      <c r="E238" s="38" t="n"/>
    </row>
    <row r="239">
      <c r="A239" s="37" t="n"/>
      <c r="B239" s="29" t="n"/>
      <c r="C239" s="29" t="n"/>
      <c r="D239" s="30" t="n"/>
      <c r="E239" s="38" t="n"/>
    </row>
    <row r="240">
      <c r="A240" s="37" t="n"/>
      <c r="B240" s="29" t="n"/>
      <c r="C240" s="29" t="n"/>
      <c r="D240" s="30" t="n"/>
      <c r="E240" s="38" t="n"/>
    </row>
    <row r="241">
      <c r="A241" s="37" t="n"/>
      <c r="B241" s="29" t="n"/>
      <c r="C241" s="29" t="n"/>
      <c r="D241" s="30" t="n"/>
      <c r="E241" s="38" t="n"/>
    </row>
    <row r="242">
      <c r="A242" s="37" t="n"/>
      <c r="B242" s="29" t="n"/>
      <c r="C242" s="29" t="n"/>
      <c r="D242" s="30" t="n"/>
      <c r="E242" s="38" t="n"/>
    </row>
    <row r="243">
      <c r="A243" s="37" t="n"/>
      <c r="B243" s="29" t="n"/>
      <c r="C243" s="29" t="n"/>
      <c r="D243" s="30" t="n"/>
      <c r="E243" s="38" t="n"/>
    </row>
    <row r="244">
      <c r="A244" s="37" t="n"/>
      <c r="B244" s="29" t="n"/>
      <c r="C244" s="29" t="n"/>
      <c r="D244" s="30" t="n"/>
      <c r="E244" s="38" t="n"/>
    </row>
    <row r="245">
      <c r="A245" s="37" t="n"/>
      <c r="B245" s="29" t="n"/>
      <c r="C245" s="29" t="n"/>
      <c r="D245" s="30" t="n"/>
      <c r="E245" s="38" t="n"/>
    </row>
    <row r="246">
      <c r="A246" s="37" t="n"/>
      <c r="B246" s="29" t="n"/>
      <c r="C246" s="29" t="n"/>
      <c r="D246" s="30" t="n"/>
      <c r="E246" s="38" t="n"/>
    </row>
    <row r="247">
      <c r="A247" s="37" t="n"/>
      <c r="B247" s="29" t="n"/>
      <c r="C247" s="29" t="n"/>
      <c r="D247" s="30" t="n"/>
      <c r="E247" s="38" t="n"/>
    </row>
    <row r="248">
      <c r="A248" s="37" t="n"/>
      <c r="B248" s="29" t="n"/>
      <c r="C248" s="29" t="n"/>
      <c r="D248" s="30" t="n"/>
      <c r="E248" s="38" t="n"/>
    </row>
    <row r="249">
      <c r="A249" s="37" t="n"/>
      <c r="B249" s="29" t="n"/>
      <c r="C249" s="29" t="n"/>
      <c r="D249" s="30" t="n"/>
      <c r="E249" s="38" t="n"/>
    </row>
    <row r="250">
      <c r="A250" s="37" t="n"/>
      <c r="B250" s="29" t="n"/>
      <c r="C250" s="29" t="n"/>
      <c r="D250" s="30" t="n"/>
      <c r="E250" s="38" t="n"/>
    </row>
    <row r="251">
      <c r="A251" s="37" t="n"/>
      <c r="B251" s="29" t="n"/>
      <c r="C251" s="29" t="n"/>
      <c r="D251" s="30" t="n"/>
      <c r="E251" s="38" t="n"/>
    </row>
    <row r="252">
      <c r="A252" s="37" t="n"/>
      <c r="B252" s="29" t="n"/>
      <c r="C252" s="29" t="n"/>
      <c r="D252" s="30" t="n"/>
      <c r="E252" s="38" t="n"/>
    </row>
    <row r="253">
      <c r="A253" s="37" t="n"/>
      <c r="B253" s="29" t="n"/>
      <c r="C253" s="29" t="n"/>
      <c r="D253" s="30" t="n"/>
      <c r="E253" s="38" t="n"/>
    </row>
    <row r="254">
      <c r="A254" s="37" t="n"/>
      <c r="B254" s="29" t="n"/>
      <c r="C254" s="29" t="n"/>
      <c r="D254" s="30" t="n"/>
      <c r="E254" s="38" t="n"/>
    </row>
    <row r="255">
      <c r="A255" s="37" t="n"/>
      <c r="B255" s="29" t="n"/>
      <c r="C255" s="29" t="n"/>
      <c r="D255" s="30" t="n"/>
      <c r="E255" s="38" t="n"/>
    </row>
    <row r="256">
      <c r="A256" s="37" t="n"/>
      <c r="B256" s="29" t="n"/>
      <c r="C256" s="29" t="n"/>
      <c r="D256" s="30" t="n"/>
      <c r="E256" s="38" t="n"/>
    </row>
    <row r="257">
      <c r="A257" s="37" t="n"/>
      <c r="B257" s="29" t="n"/>
      <c r="C257" s="29" t="n"/>
      <c r="D257" s="30" t="n"/>
      <c r="E257" s="38" t="n"/>
    </row>
    <row r="258">
      <c r="A258" s="37" t="n"/>
      <c r="B258" s="29" t="n"/>
      <c r="C258" s="29" t="n"/>
      <c r="D258" s="30" t="n"/>
      <c r="E258" s="38" t="n"/>
    </row>
    <row r="259">
      <c r="A259" s="37" t="n"/>
      <c r="B259" s="29" t="n"/>
      <c r="C259" s="29" t="n"/>
      <c r="D259" s="30" t="n"/>
      <c r="E259" s="38" t="n"/>
    </row>
    <row r="260">
      <c r="A260" s="37" t="n"/>
      <c r="B260" s="29" t="n"/>
      <c r="C260" s="29" t="n"/>
      <c r="D260" s="30" t="n"/>
      <c r="E260" s="38" t="n"/>
    </row>
    <row r="261">
      <c r="A261" s="37" t="n"/>
      <c r="B261" s="29" t="n"/>
      <c r="C261" s="29" t="n"/>
      <c r="D261" s="30" t="n"/>
      <c r="E261" s="38" t="n"/>
    </row>
    <row r="262">
      <c r="A262" s="37" t="n"/>
      <c r="B262" s="29" t="n"/>
      <c r="C262" s="29" t="n"/>
      <c r="D262" s="30" t="n"/>
      <c r="E262" s="38" t="n"/>
    </row>
    <row r="263">
      <c r="A263" s="37" t="n"/>
      <c r="B263" s="29" t="n"/>
      <c r="C263" s="29" t="n"/>
      <c r="D263" s="30" t="n"/>
      <c r="E263" s="38" t="n"/>
    </row>
    <row r="264">
      <c r="A264" s="37" t="n"/>
      <c r="B264" s="29" t="n"/>
      <c r="C264" s="29" t="n"/>
      <c r="D264" s="30" t="n"/>
      <c r="E264" s="38" t="n"/>
    </row>
    <row r="265">
      <c r="A265" s="37" t="n"/>
      <c r="B265" s="29" t="n"/>
      <c r="C265" s="29" t="n"/>
      <c r="D265" s="30" t="n"/>
      <c r="E265" s="38" t="n"/>
    </row>
    <row r="266">
      <c r="A266" s="37" t="n"/>
      <c r="B266" s="29" t="n"/>
      <c r="C266" s="29" t="n"/>
      <c r="D266" s="30" t="n"/>
      <c r="E266" s="38" t="n"/>
    </row>
    <row r="267">
      <c r="A267" s="37" t="n"/>
      <c r="B267" s="29" t="n"/>
      <c r="C267" s="29" t="n"/>
      <c r="D267" s="30" t="n"/>
      <c r="E267" s="38" t="n"/>
    </row>
    <row r="268">
      <c r="A268" s="37" t="n"/>
      <c r="B268" s="29" t="n"/>
      <c r="C268" s="29" t="n"/>
      <c r="D268" s="30" t="n"/>
      <c r="E268" s="38" t="n"/>
    </row>
    <row r="269">
      <c r="A269" s="37" t="n"/>
      <c r="B269" s="29" t="n"/>
      <c r="C269" s="29" t="n"/>
      <c r="D269" s="30" t="n"/>
      <c r="E269" s="38" t="n"/>
    </row>
    <row r="270">
      <c r="A270" s="37" t="n"/>
      <c r="B270" s="29" t="n"/>
      <c r="C270" s="29" t="n"/>
      <c r="D270" s="30" t="n"/>
      <c r="E270" s="38" t="n"/>
    </row>
    <row r="271">
      <c r="A271" s="37" t="n"/>
      <c r="B271" s="29" t="n"/>
      <c r="C271" s="29" t="n"/>
      <c r="D271" s="30" t="n"/>
      <c r="E271" s="38" t="n"/>
    </row>
    <row r="272">
      <c r="A272" s="37" t="n"/>
      <c r="B272" s="29" t="n"/>
      <c r="C272" s="29" t="n"/>
      <c r="D272" s="30" t="n"/>
      <c r="E272" s="38" t="n"/>
    </row>
    <row r="273">
      <c r="A273" s="37" t="n"/>
      <c r="B273" s="29" t="n"/>
      <c r="C273" s="29" t="n"/>
      <c r="D273" s="30" t="n"/>
      <c r="E273" s="38" t="n"/>
    </row>
    <row r="274">
      <c r="A274" s="37" t="n"/>
      <c r="B274" s="29" t="n"/>
      <c r="C274" s="29" t="n"/>
      <c r="D274" s="30" t="n"/>
      <c r="E274" s="38" t="n"/>
    </row>
    <row r="275">
      <c r="A275" s="37" t="n"/>
      <c r="B275" s="29" t="n"/>
      <c r="C275" s="29" t="n"/>
      <c r="D275" s="30" t="n"/>
      <c r="E275" s="38" t="n"/>
    </row>
    <row r="276">
      <c r="A276" s="37" t="n"/>
      <c r="B276" s="29" t="n"/>
      <c r="C276" s="29" t="n"/>
      <c r="D276" s="30" t="n"/>
      <c r="E276" s="38" t="n"/>
    </row>
    <row r="277">
      <c r="A277" s="37" t="n"/>
      <c r="B277" s="29" t="n"/>
      <c r="C277" s="29" t="n"/>
      <c r="D277" s="30" t="n"/>
      <c r="E277" s="38" t="n"/>
    </row>
    <row r="278">
      <c r="A278" s="37" t="n"/>
      <c r="B278" s="29" t="n"/>
      <c r="C278" s="29" t="n"/>
      <c r="D278" s="30" t="n"/>
      <c r="E278" s="38" t="n"/>
    </row>
    <row r="279">
      <c r="A279" s="37" t="n"/>
      <c r="B279" s="29" t="n"/>
      <c r="C279" s="29" t="n"/>
      <c r="D279" s="30" t="n"/>
      <c r="E279" s="38" t="n"/>
    </row>
    <row r="280">
      <c r="A280" s="37" t="n"/>
      <c r="B280" s="29" t="n"/>
      <c r="C280" s="29" t="n"/>
      <c r="D280" s="30" t="n"/>
      <c r="E280" s="38" t="n"/>
    </row>
    <row r="281">
      <c r="A281" s="37" t="n"/>
      <c r="B281" s="29" t="n"/>
      <c r="C281" s="29" t="n"/>
      <c r="D281" s="30" t="n"/>
      <c r="E281" s="38" t="n"/>
    </row>
    <row r="282">
      <c r="A282" s="37" t="n"/>
      <c r="B282" s="29" t="n"/>
      <c r="C282" s="29" t="n"/>
      <c r="D282" s="30" t="n"/>
      <c r="E282" s="38" t="n"/>
    </row>
    <row r="283">
      <c r="A283" s="37" t="n"/>
      <c r="B283" s="29" t="n"/>
      <c r="C283" s="29" t="n"/>
      <c r="D283" s="30" t="n"/>
      <c r="E283" s="38" t="n"/>
    </row>
    <row r="284">
      <c r="A284" s="37" t="n"/>
      <c r="B284" s="29" t="n"/>
      <c r="C284" s="29" t="n"/>
      <c r="D284" s="30" t="n"/>
      <c r="E284" s="38" t="n"/>
    </row>
    <row r="285">
      <c r="A285" s="37" t="n"/>
      <c r="B285" s="29" t="n"/>
      <c r="C285" s="29" t="n"/>
      <c r="D285" s="30" t="n"/>
      <c r="E285" s="38" t="n"/>
    </row>
    <row r="286">
      <c r="A286" s="37" t="n"/>
      <c r="B286" s="29" t="n"/>
      <c r="C286" s="29" t="n"/>
      <c r="D286" s="30" t="n"/>
      <c r="E286" s="38" t="n"/>
    </row>
    <row r="287">
      <c r="A287" s="37" t="n"/>
      <c r="B287" s="29" t="n"/>
      <c r="C287" s="29" t="n"/>
      <c r="D287" s="30" t="n"/>
      <c r="E287" s="38" t="n"/>
    </row>
    <row r="288">
      <c r="A288" s="37" t="n"/>
      <c r="B288" s="29" t="n"/>
      <c r="C288" s="29" t="n"/>
      <c r="D288" s="30" t="n"/>
      <c r="E288" s="38" t="n"/>
    </row>
    <row r="289">
      <c r="A289" s="37" t="n"/>
      <c r="B289" s="29" t="n"/>
      <c r="C289" s="29" t="n"/>
      <c r="D289" s="30" t="n"/>
      <c r="E289" s="38" t="n"/>
    </row>
    <row r="290">
      <c r="A290" s="37" t="n"/>
      <c r="B290" s="29" t="n"/>
      <c r="C290" s="29" t="n"/>
      <c r="D290" s="30" t="n"/>
      <c r="E290" s="38" t="n"/>
    </row>
    <row r="291">
      <c r="A291" s="37" t="n"/>
      <c r="B291" s="29" t="n"/>
      <c r="C291" s="29" t="n"/>
      <c r="D291" s="30" t="n"/>
      <c r="E291" s="38" t="n"/>
    </row>
    <row r="292">
      <c r="A292" s="37" t="n"/>
      <c r="B292" s="29" t="n"/>
      <c r="C292" s="29" t="n"/>
      <c r="D292" s="30" t="n"/>
      <c r="E292" s="38" t="n"/>
    </row>
    <row r="293">
      <c r="A293" s="37" t="n"/>
      <c r="B293" s="29" t="n"/>
      <c r="C293" s="29" t="n"/>
      <c r="D293" s="30" t="n"/>
      <c r="E293" s="38" t="n"/>
    </row>
    <row r="294">
      <c r="A294" s="37" t="n"/>
      <c r="B294" s="29" t="n"/>
      <c r="C294" s="29" t="n"/>
      <c r="D294" s="30" t="n"/>
      <c r="E294" s="38" t="n"/>
    </row>
    <row r="295">
      <c r="A295" s="37" t="n"/>
      <c r="B295" s="29" t="n"/>
      <c r="C295" s="29" t="n"/>
      <c r="D295" s="30" t="n"/>
      <c r="E295" s="38" t="n"/>
    </row>
    <row r="296">
      <c r="A296" s="37" t="n"/>
      <c r="B296" s="29" t="n"/>
      <c r="C296" s="29" t="n"/>
      <c r="D296" s="30" t="n"/>
      <c r="E296" s="38" t="n"/>
    </row>
    <row r="297">
      <c r="A297" s="37" t="n"/>
      <c r="B297" s="29" t="n"/>
      <c r="C297" s="29" t="n"/>
      <c r="D297" s="30" t="n"/>
      <c r="E297" s="38" t="n"/>
    </row>
    <row r="298">
      <c r="A298" s="37" t="n"/>
      <c r="B298" s="29" t="n"/>
      <c r="C298" s="29" t="n"/>
      <c r="D298" s="30" t="n"/>
      <c r="E298" s="38" t="n"/>
    </row>
    <row r="299">
      <c r="A299" s="37" t="n"/>
      <c r="B299" s="29" t="n"/>
      <c r="C299" s="29" t="n"/>
      <c r="D299" s="30" t="n"/>
      <c r="E299" s="38" t="n"/>
    </row>
    <row r="300">
      <c r="A300" s="37" t="n"/>
      <c r="B300" s="29" t="n"/>
      <c r="C300" s="29" t="n"/>
      <c r="D300" s="30" t="n"/>
      <c r="E300" s="38" t="n"/>
    </row>
    <row r="301">
      <c r="A301" s="37" t="n"/>
      <c r="B301" s="29" t="n"/>
      <c r="C301" s="29" t="n"/>
      <c r="D301" s="30" t="n"/>
      <c r="E301" s="38" t="n"/>
    </row>
    <row r="302">
      <c r="A302" s="37" t="n"/>
      <c r="B302" s="29" t="n"/>
      <c r="C302" s="29" t="n"/>
      <c r="D302" s="30" t="n"/>
      <c r="E302" s="38" t="n"/>
    </row>
    <row r="303">
      <c r="A303" s="37" t="n"/>
      <c r="B303" s="29" t="n"/>
      <c r="C303" s="29" t="n"/>
      <c r="D303" s="30" t="n"/>
      <c r="E303" s="38" t="n"/>
    </row>
    <row r="304">
      <c r="A304" s="37" t="n"/>
      <c r="B304" s="29" t="n"/>
      <c r="C304" s="29" t="n"/>
      <c r="D304" s="30" t="n"/>
      <c r="E304" s="38" t="n"/>
    </row>
    <row r="305">
      <c r="A305" s="37" t="n"/>
      <c r="B305" s="29" t="n"/>
      <c r="C305" s="29" t="n"/>
      <c r="D305" s="30" t="n"/>
      <c r="E305" s="38" t="n"/>
    </row>
    <row r="306">
      <c r="A306" s="37" t="n"/>
      <c r="B306" s="29" t="n"/>
      <c r="C306" s="29" t="n"/>
      <c r="D306" s="30" t="n"/>
      <c r="E306" s="38" t="n"/>
    </row>
    <row r="307">
      <c r="A307" s="37" t="n"/>
      <c r="B307" s="29" t="n"/>
      <c r="C307" s="29" t="n"/>
      <c r="D307" s="30" t="n"/>
      <c r="E307" s="38" t="n"/>
    </row>
    <row r="308">
      <c r="A308" s="37" t="n"/>
      <c r="B308" s="29" t="n"/>
      <c r="C308" s="29" t="n"/>
      <c r="D308" s="30" t="n"/>
      <c r="E308" s="38" t="n"/>
    </row>
    <row r="309">
      <c r="A309" s="37" t="n"/>
      <c r="B309" s="29" t="n"/>
      <c r="C309" s="29" t="n"/>
      <c r="D309" s="30" t="n"/>
      <c r="E309" s="38" t="n"/>
    </row>
    <row r="310">
      <c r="A310" s="37" t="n"/>
      <c r="B310" s="29" t="n"/>
      <c r="C310" s="29" t="n"/>
      <c r="D310" s="30" t="n"/>
      <c r="E310" s="38" t="n"/>
    </row>
    <row r="311">
      <c r="A311" s="37" t="n"/>
      <c r="B311" s="29" t="n"/>
      <c r="C311" s="29" t="n"/>
      <c r="D311" s="30" t="n"/>
      <c r="E311" s="38" t="n"/>
    </row>
    <row r="312">
      <c r="A312" s="37" t="n"/>
      <c r="B312" s="29" t="n"/>
      <c r="C312" s="29" t="n"/>
      <c r="D312" s="30" t="n"/>
      <c r="E312" s="38" t="n"/>
    </row>
    <row r="313">
      <c r="A313" s="37" t="n"/>
      <c r="B313" s="29" t="n"/>
      <c r="C313" s="29" t="n"/>
      <c r="D313" s="30" t="n"/>
      <c r="E313" s="38" t="n"/>
    </row>
    <row r="314">
      <c r="A314" s="37" t="n"/>
      <c r="B314" s="29" t="n"/>
      <c r="C314" s="29" t="n"/>
      <c r="D314" s="30" t="n"/>
      <c r="E314" s="38" t="n"/>
    </row>
    <row r="315">
      <c r="A315" s="37" t="n"/>
      <c r="B315" s="29" t="n"/>
      <c r="C315" s="29" t="n"/>
      <c r="D315" s="30" t="n"/>
      <c r="E315" s="38" t="n"/>
    </row>
    <row r="316">
      <c r="A316" s="37" t="n"/>
      <c r="B316" s="29" t="n"/>
      <c r="C316" s="29" t="n"/>
      <c r="D316" s="30" t="n"/>
      <c r="E316" s="38" t="n"/>
    </row>
    <row r="317">
      <c r="A317" s="37" t="n"/>
      <c r="B317" s="29" t="n"/>
      <c r="C317" s="29" t="n"/>
      <c r="D317" s="30" t="n"/>
      <c r="E317" s="38" t="n"/>
    </row>
    <row r="318">
      <c r="A318" s="37" t="n"/>
      <c r="B318" s="29" t="n"/>
      <c r="C318" s="29" t="n"/>
      <c r="D318" s="30" t="n"/>
      <c r="E318" s="38" t="n"/>
    </row>
    <row r="319">
      <c r="A319" s="37" t="n"/>
      <c r="B319" s="29" t="n"/>
      <c r="C319" s="29" t="n"/>
      <c r="D319" s="30" t="n"/>
      <c r="E319" s="38" t="n"/>
    </row>
    <row r="320">
      <c r="A320" s="37" t="n"/>
      <c r="B320" s="29" t="n"/>
      <c r="C320" s="29" t="n"/>
      <c r="D320" s="30" t="n"/>
      <c r="E320" s="38" t="n"/>
    </row>
    <row r="321">
      <c r="A321" s="37" t="n"/>
      <c r="B321" s="29" t="n"/>
      <c r="C321" s="29" t="n"/>
      <c r="D321" s="30" t="n"/>
      <c r="E321" s="38" t="n"/>
    </row>
    <row r="322">
      <c r="A322" s="37" t="n"/>
      <c r="B322" s="29" t="n"/>
      <c r="C322" s="29" t="n"/>
      <c r="D322" s="30" t="n"/>
      <c r="E322" s="38" t="n"/>
    </row>
    <row r="323">
      <c r="A323" s="37" t="n"/>
      <c r="B323" s="29" t="n"/>
      <c r="C323" s="29" t="n"/>
      <c r="D323" s="30" t="n"/>
      <c r="E323" s="38" t="n"/>
    </row>
    <row r="324">
      <c r="A324" s="37" t="n"/>
      <c r="B324" s="29" t="n"/>
      <c r="C324" s="29" t="n"/>
      <c r="D324" s="30" t="n"/>
      <c r="E324" s="38" t="n"/>
    </row>
    <row r="325">
      <c r="A325" s="37" t="n"/>
      <c r="B325" s="29" t="n"/>
      <c r="C325" s="29" t="n"/>
      <c r="D325" s="30" t="n"/>
      <c r="E325" s="38" t="n"/>
    </row>
    <row r="326">
      <c r="A326" s="37" t="n"/>
      <c r="B326" s="29" t="n"/>
      <c r="C326" s="29" t="n"/>
      <c r="D326" s="30" t="n"/>
      <c r="E326" s="38" t="n"/>
    </row>
    <row r="327">
      <c r="A327" s="37" t="n"/>
      <c r="B327" s="29" t="n"/>
      <c r="C327" s="29" t="n"/>
      <c r="D327" s="30" t="n"/>
      <c r="E327" s="38" t="n"/>
    </row>
    <row r="328">
      <c r="A328" s="37" t="n"/>
      <c r="B328" s="29" t="n"/>
      <c r="C328" s="29" t="n"/>
      <c r="D328" s="30" t="n"/>
      <c r="E328" s="38" t="n"/>
    </row>
    <row r="329">
      <c r="A329" s="37" t="n"/>
      <c r="B329" s="29" t="n"/>
      <c r="C329" s="29" t="n"/>
      <c r="D329" s="30" t="n"/>
      <c r="E329" s="38" t="n"/>
    </row>
    <row r="330">
      <c r="A330" s="37" t="n"/>
      <c r="B330" s="29" t="n"/>
      <c r="C330" s="29" t="n"/>
      <c r="D330" s="30" t="n"/>
      <c r="E330" s="38" t="n"/>
    </row>
    <row r="331">
      <c r="A331" s="37" t="n"/>
      <c r="B331" s="29" t="n"/>
      <c r="C331" s="29" t="n"/>
      <c r="D331" s="30" t="n"/>
      <c r="E331" s="38" t="n"/>
    </row>
    <row r="332">
      <c r="A332" s="37" t="n"/>
      <c r="B332" s="29" t="n"/>
      <c r="C332" s="29" t="n"/>
      <c r="D332" s="30" t="n"/>
      <c r="E332" s="38" t="n"/>
    </row>
    <row r="333">
      <c r="A333" s="37" t="n"/>
      <c r="B333" s="29" t="n"/>
      <c r="C333" s="29" t="n"/>
      <c r="D333" s="30" t="n"/>
      <c r="E333" s="38" t="n"/>
    </row>
    <row r="334">
      <c r="A334" s="37" t="n"/>
      <c r="B334" s="29" t="n"/>
      <c r="C334" s="29" t="n"/>
      <c r="D334" s="30" t="n"/>
      <c r="E334" s="38" t="n"/>
    </row>
    <row r="335">
      <c r="A335" s="37" t="n"/>
      <c r="B335" s="29" t="n"/>
      <c r="C335" s="29" t="n"/>
      <c r="D335" s="30" t="n"/>
      <c r="E335" s="38" t="n"/>
    </row>
    <row r="336">
      <c r="A336" s="37" t="n"/>
      <c r="B336" s="29" t="n"/>
      <c r="C336" s="29" t="n"/>
      <c r="D336" s="30" t="n"/>
      <c r="E336" s="38" t="n"/>
    </row>
    <row r="337">
      <c r="A337" s="37" t="n"/>
      <c r="B337" s="29" t="n"/>
      <c r="C337" s="29" t="n"/>
      <c r="D337" s="30" t="n"/>
      <c r="E337" s="38" t="n"/>
    </row>
    <row r="338">
      <c r="A338" s="37" t="n"/>
      <c r="B338" s="29" t="n"/>
      <c r="C338" s="29" t="n"/>
      <c r="D338" s="30" t="n"/>
      <c r="E338" s="38" t="n"/>
    </row>
    <row r="339">
      <c r="A339" s="37" t="n"/>
      <c r="B339" s="29" t="n"/>
      <c r="C339" s="29" t="n"/>
      <c r="D339" s="30" t="n"/>
      <c r="E339" s="38" t="n"/>
    </row>
    <row r="340">
      <c r="A340" s="37" t="n"/>
      <c r="B340" s="29" t="n"/>
      <c r="C340" s="29" t="n"/>
      <c r="D340" s="30" t="n"/>
      <c r="E340" s="38" t="n"/>
    </row>
    <row r="341">
      <c r="A341" s="37" t="n"/>
      <c r="B341" s="29" t="n"/>
      <c r="C341" s="29" t="n"/>
      <c r="D341" s="30" t="n"/>
      <c r="E341" s="38" t="n"/>
    </row>
    <row r="342">
      <c r="A342" s="37" t="n"/>
      <c r="B342" s="29" t="n"/>
      <c r="C342" s="29" t="n"/>
      <c r="D342" s="30" t="n"/>
      <c r="E342" s="38" t="n"/>
    </row>
    <row r="343">
      <c r="A343" s="37" t="n"/>
      <c r="B343" s="29" t="n"/>
      <c r="C343" s="29" t="n"/>
      <c r="D343" s="30" t="n"/>
      <c r="E343" s="38" t="n"/>
    </row>
    <row r="344">
      <c r="A344" s="37" t="n"/>
      <c r="B344" s="29" t="n"/>
      <c r="C344" s="29" t="n"/>
      <c r="D344" s="30" t="n"/>
      <c r="E344" s="38" t="n"/>
    </row>
    <row r="345">
      <c r="A345" s="37" t="n"/>
      <c r="B345" s="29" t="n"/>
      <c r="C345" s="29" t="n"/>
      <c r="D345" s="30" t="n"/>
      <c r="E345" s="38" t="n"/>
    </row>
    <row r="346">
      <c r="A346" s="37" t="n"/>
      <c r="B346" s="29" t="n"/>
      <c r="C346" s="29" t="n"/>
      <c r="D346" s="30" t="n"/>
      <c r="E346" s="38" t="n"/>
    </row>
    <row r="347">
      <c r="A347" s="37" t="n"/>
      <c r="B347" s="29" t="n"/>
      <c r="C347" s="29" t="n"/>
      <c r="D347" s="30" t="n"/>
      <c r="E347" s="38" t="n"/>
    </row>
    <row r="348">
      <c r="A348" s="37" t="n"/>
      <c r="B348" s="29" t="n"/>
      <c r="C348" s="29" t="n"/>
      <c r="D348" s="30" t="n"/>
      <c r="E348" s="38" t="n"/>
    </row>
    <row r="349">
      <c r="A349" s="37" t="n"/>
      <c r="B349" s="29" t="n"/>
      <c r="C349" s="29" t="n"/>
      <c r="D349" s="30" t="n"/>
      <c r="E349" s="38" t="n"/>
    </row>
    <row r="350">
      <c r="A350" s="37" t="n"/>
      <c r="B350" s="29" t="n"/>
      <c r="C350" s="29" t="n"/>
      <c r="D350" s="30" t="n"/>
      <c r="E350" s="38" t="n"/>
    </row>
    <row r="351">
      <c r="A351" s="37" t="n"/>
      <c r="B351" s="29" t="n"/>
      <c r="C351" s="29" t="n"/>
      <c r="D351" s="30" t="n"/>
      <c r="E351" s="38" t="n"/>
    </row>
    <row r="352">
      <c r="A352" s="37" t="n"/>
      <c r="B352" s="29" t="n"/>
      <c r="C352" s="29" t="n"/>
      <c r="D352" s="30" t="n"/>
      <c r="E352" s="38" t="n"/>
    </row>
    <row r="353">
      <c r="A353" s="37" t="n"/>
      <c r="B353" s="29" t="n"/>
      <c r="C353" s="29" t="n"/>
      <c r="D353" s="30" t="n"/>
      <c r="E353" s="38" t="n"/>
    </row>
    <row r="354">
      <c r="A354" s="37" t="n"/>
      <c r="B354" s="29" t="n"/>
      <c r="C354" s="29" t="n"/>
      <c r="D354" s="30" t="n"/>
      <c r="E354" s="38" t="n"/>
    </row>
    <row r="355">
      <c r="A355" s="37" t="n"/>
      <c r="B355" s="29" t="n"/>
      <c r="C355" s="29" t="n"/>
      <c r="D355" s="30" t="n"/>
      <c r="E355" s="38" t="n"/>
    </row>
    <row r="356">
      <c r="A356" s="37" t="n"/>
      <c r="B356" s="29" t="n"/>
      <c r="C356" s="29" t="n"/>
      <c r="D356" s="30" t="n"/>
      <c r="E356" s="38" t="n"/>
    </row>
    <row r="357">
      <c r="A357" s="37" t="n"/>
      <c r="B357" s="29" t="n"/>
      <c r="C357" s="29" t="n"/>
      <c r="D357" s="30" t="n"/>
      <c r="E357" s="38" t="n"/>
    </row>
    <row r="358">
      <c r="A358" s="37" t="n"/>
      <c r="B358" s="29" t="n"/>
      <c r="C358" s="29" t="n"/>
      <c r="D358" s="30" t="n"/>
      <c r="E358" s="38" t="n"/>
    </row>
    <row r="359">
      <c r="A359" s="37" t="n"/>
      <c r="B359" s="29" t="n"/>
      <c r="C359" s="29" t="n"/>
      <c r="D359" s="30" t="n"/>
      <c r="E359" s="38" t="n"/>
    </row>
    <row r="360">
      <c r="A360" s="37" t="n"/>
      <c r="B360" s="29" t="n"/>
      <c r="C360" s="29" t="n"/>
      <c r="D360" s="30" t="n"/>
      <c r="E360" s="38" t="n"/>
    </row>
    <row r="361">
      <c r="A361" s="37" t="n"/>
      <c r="B361" s="29" t="n"/>
      <c r="C361" s="29" t="n"/>
      <c r="D361" s="30" t="n"/>
      <c r="E361" s="38" t="n"/>
    </row>
    <row r="362">
      <c r="A362" s="37" t="n"/>
      <c r="B362" s="29" t="n"/>
      <c r="C362" s="29" t="n"/>
      <c r="D362" s="30" t="n"/>
      <c r="E362" s="38" t="n"/>
    </row>
    <row r="363">
      <c r="A363" s="37" t="n"/>
      <c r="B363" s="29" t="n"/>
      <c r="C363" s="29" t="n"/>
      <c r="D363" s="30" t="n"/>
      <c r="E363" s="38" t="n"/>
    </row>
    <row r="364">
      <c r="A364" s="37" t="n"/>
      <c r="B364" s="29" t="n"/>
      <c r="C364" s="29" t="n"/>
      <c r="D364" s="30" t="n"/>
      <c r="E364" s="38" t="n"/>
    </row>
    <row r="365">
      <c r="A365" s="37" t="n"/>
      <c r="B365" s="29" t="n"/>
      <c r="C365" s="29" t="n"/>
      <c r="D365" s="30" t="n"/>
      <c r="E365" s="38" t="n"/>
    </row>
    <row r="366">
      <c r="A366" s="37" t="n"/>
      <c r="B366" s="29" t="n"/>
      <c r="C366" s="29" t="n"/>
      <c r="D366" s="30" t="n"/>
      <c r="E366" s="38" t="n"/>
    </row>
    <row r="367">
      <c r="A367" s="37" t="n"/>
      <c r="B367" s="29" t="n"/>
      <c r="C367" s="29" t="n"/>
      <c r="D367" s="30" t="n"/>
      <c r="E367" s="38" t="n"/>
    </row>
    <row r="368">
      <c r="A368" s="37" t="n"/>
      <c r="B368" s="29" t="n"/>
      <c r="C368" s="29" t="n"/>
      <c r="D368" s="30" t="n"/>
      <c r="E368" s="38" t="n"/>
    </row>
    <row r="369">
      <c r="A369" s="37" t="n"/>
      <c r="B369" s="29" t="n"/>
      <c r="C369" s="29" t="n"/>
      <c r="D369" s="30" t="n"/>
      <c r="E369" s="38" t="n"/>
    </row>
    <row r="370">
      <c r="A370" s="37" t="n"/>
      <c r="B370" s="29" t="n"/>
      <c r="C370" s="29" t="n"/>
      <c r="D370" s="30" t="n"/>
      <c r="E370" s="38" t="n"/>
    </row>
    <row r="371">
      <c r="A371" s="37" t="n"/>
      <c r="B371" s="29" t="n"/>
      <c r="C371" s="29" t="n"/>
      <c r="D371" s="30" t="n"/>
      <c r="E371" s="38" t="n"/>
    </row>
    <row r="372">
      <c r="A372" s="37" t="n"/>
      <c r="B372" s="29" t="n"/>
      <c r="C372" s="29" t="n"/>
      <c r="D372" s="30" t="n"/>
      <c r="E372" s="38" t="n"/>
    </row>
    <row r="373">
      <c r="A373" s="37" t="n"/>
      <c r="B373" s="29" t="n"/>
      <c r="C373" s="29" t="n"/>
      <c r="D373" s="30" t="n"/>
      <c r="E373" s="38" t="n"/>
    </row>
    <row r="374">
      <c r="A374" s="37" t="n"/>
      <c r="B374" s="29" t="n"/>
      <c r="C374" s="29" t="n"/>
      <c r="D374" s="30" t="n"/>
      <c r="E374" s="38" t="n"/>
    </row>
    <row r="375">
      <c r="A375" s="37" t="n"/>
      <c r="B375" s="29" t="n"/>
      <c r="C375" s="29" t="n"/>
      <c r="D375" s="30" t="n"/>
      <c r="E375" s="38" t="n"/>
    </row>
    <row r="376">
      <c r="A376" s="37" t="n"/>
      <c r="B376" s="29" t="n"/>
      <c r="C376" s="29" t="n"/>
      <c r="D376" s="30" t="n"/>
      <c r="E376" s="38" t="n"/>
    </row>
    <row r="377">
      <c r="A377" s="37" t="n"/>
      <c r="B377" s="29" t="n"/>
      <c r="C377" s="29" t="n"/>
      <c r="D377" s="30" t="n"/>
      <c r="E377" s="38" t="n"/>
    </row>
    <row r="378">
      <c r="A378" s="37" t="n"/>
      <c r="B378" s="29" t="n"/>
      <c r="C378" s="29" t="n"/>
      <c r="D378" s="30" t="n"/>
      <c r="E378" s="38" t="n"/>
    </row>
    <row r="379">
      <c r="A379" s="37" t="n"/>
      <c r="B379" s="29" t="n"/>
      <c r="C379" s="29" t="n"/>
      <c r="D379" s="30" t="n"/>
      <c r="E379" s="38" t="n"/>
    </row>
    <row r="380">
      <c r="A380" s="37" t="n"/>
      <c r="B380" s="29" t="n"/>
      <c r="C380" s="29" t="n"/>
      <c r="D380" s="30" t="n"/>
      <c r="E380" s="38" t="n"/>
    </row>
    <row r="381">
      <c r="A381" s="37" t="n"/>
      <c r="B381" s="29" t="n"/>
      <c r="C381" s="29" t="n"/>
      <c r="D381" s="30" t="n"/>
      <c r="E381" s="38" t="n"/>
    </row>
    <row r="382">
      <c r="A382" s="37" t="n"/>
      <c r="B382" s="29" t="n"/>
      <c r="C382" s="29" t="n"/>
      <c r="D382" s="30" t="n"/>
      <c r="E382" s="38" t="n"/>
    </row>
    <row r="383">
      <c r="A383" s="37" t="n"/>
      <c r="B383" s="29" t="n"/>
      <c r="C383" s="29" t="n"/>
      <c r="D383" s="30" t="n"/>
      <c r="E383" s="38" t="n"/>
    </row>
    <row r="384">
      <c r="A384" s="37" t="n"/>
      <c r="B384" s="29" t="n"/>
      <c r="C384" s="29" t="n"/>
      <c r="D384" s="30" t="n"/>
      <c r="E384" s="38" t="n"/>
    </row>
    <row r="385">
      <c r="A385" s="37" t="n"/>
      <c r="B385" s="29" t="n"/>
      <c r="C385" s="29" t="n"/>
      <c r="D385" s="30" t="n"/>
      <c r="E385" s="38" t="n"/>
    </row>
    <row r="386">
      <c r="A386" s="37" t="n"/>
      <c r="B386" s="29" t="n"/>
      <c r="C386" s="29" t="n"/>
      <c r="D386" s="30" t="n"/>
      <c r="E386" s="38" t="n"/>
    </row>
    <row r="387">
      <c r="A387" s="37" t="n"/>
      <c r="B387" s="29" t="n"/>
      <c r="C387" s="29" t="n"/>
      <c r="D387" s="30" t="n"/>
      <c r="E387" s="38" t="n"/>
    </row>
    <row r="388">
      <c r="A388" s="37" t="n"/>
      <c r="B388" s="29" t="n"/>
      <c r="C388" s="29" t="n"/>
      <c r="D388" s="30" t="n"/>
      <c r="E388" s="38" t="n"/>
    </row>
    <row r="389">
      <c r="A389" s="37" t="n"/>
      <c r="B389" s="29" t="n"/>
      <c r="C389" s="29" t="n"/>
      <c r="D389" s="30" t="n"/>
      <c r="E389" s="38" t="n"/>
    </row>
    <row r="390">
      <c r="A390" s="37" t="n"/>
      <c r="B390" s="29" t="n"/>
      <c r="C390" s="29" t="n"/>
      <c r="D390" s="30" t="n"/>
      <c r="E390" s="38" t="n"/>
    </row>
    <row r="391">
      <c r="A391" s="37" t="n"/>
      <c r="B391" s="29" t="n"/>
      <c r="C391" s="29" t="n"/>
      <c r="D391" s="30" t="n"/>
      <c r="E391" s="38" t="n"/>
    </row>
    <row r="392">
      <c r="A392" s="37" t="n"/>
      <c r="B392" s="29" t="n"/>
      <c r="C392" s="29" t="n"/>
      <c r="D392" s="30" t="n"/>
      <c r="E392" s="38" t="n"/>
    </row>
    <row r="393">
      <c r="A393" s="37" t="n"/>
      <c r="B393" s="29" t="n"/>
      <c r="C393" s="29" t="n"/>
      <c r="D393" s="30" t="n"/>
      <c r="E393" s="38" t="n"/>
    </row>
    <row r="394">
      <c r="A394" s="37" t="n"/>
      <c r="B394" s="29" t="n"/>
      <c r="C394" s="29" t="n"/>
      <c r="D394" s="30" t="n"/>
      <c r="E394" s="38" t="n"/>
    </row>
    <row r="395">
      <c r="A395" s="37" t="n"/>
      <c r="B395" s="29" t="n"/>
      <c r="C395" s="29" t="n"/>
      <c r="D395" s="30" t="n"/>
      <c r="E395" s="38" t="n"/>
    </row>
    <row r="396">
      <c r="A396" s="37" t="n"/>
      <c r="B396" s="29" t="n"/>
      <c r="C396" s="29" t="n"/>
      <c r="D396" s="30" t="n"/>
      <c r="E396" s="38" t="n"/>
    </row>
    <row r="397">
      <c r="A397" s="37" t="n"/>
      <c r="B397" s="29" t="n"/>
      <c r="C397" s="29" t="n"/>
      <c r="D397" s="30" t="n"/>
      <c r="E397" s="38" t="n"/>
    </row>
    <row r="398">
      <c r="A398" s="37" t="n"/>
      <c r="B398" s="29" t="n"/>
      <c r="C398" s="29" t="n"/>
      <c r="D398" s="30" t="n"/>
      <c r="E398" s="38" t="n"/>
    </row>
    <row r="399">
      <c r="A399" s="37" t="n"/>
      <c r="B399" s="29" t="n"/>
      <c r="C399" s="29" t="n"/>
      <c r="D399" s="30" t="n"/>
      <c r="E399" s="38" t="n"/>
    </row>
    <row r="400">
      <c r="A400" s="37" t="n"/>
      <c r="B400" s="29" t="n"/>
      <c r="C400" s="29" t="n"/>
      <c r="D400" s="30" t="n"/>
      <c r="E400" s="38" t="n"/>
    </row>
    <row r="401">
      <c r="A401" s="37" t="n"/>
      <c r="B401" s="29" t="n"/>
      <c r="C401" s="29" t="n"/>
      <c r="D401" s="30" t="n"/>
      <c r="E401" s="38" t="n"/>
    </row>
    <row r="402">
      <c r="A402" s="37" t="n"/>
      <c r="B402" s="29" t="n"/>
      <c r="C402" s="29" t="n"/>
      <c r="D402" s="30" t="n"/>
      <c r="E402" s="38" t="n"/>
    </row>
    <row r="403">
      <c r="A403" s="37" t="n"/>
      <c r="B403" s="29" t="n"/>
      <c r="C403" s="29" t="n"/>
      <c r="D403" s="30" t="n"/>
      <c r="E403" s="38" t="n"/>
    </row>
    <row r="404">
      <c r="A404" s="37" t="n"/>
      <c r="B404" s="29" t="n"/>
      <c r="C404" s="29" t="n"/>
      <c r="D404" s="30" t="n"/>
      <c r="E404" s="38" t="n"/>
    </row>
    <row r="405">
      <c r="A405" s="37" t="n"/>
      <c r="B405" s="29" t="n"/>
      <c r="C405" s="29" t="n"/>
      <c r="D405" s="30" t="n"/>
      <c r="E405" s="38" t="n"/>
    </row>
    <row r="406">
      <c r="A406" s="37" t="n"/>
      <c r="B406" s="29" t="n"/>
      <c r="C406" s="29" t="n"/>
      <c r="D406" s="30" t="n"/>
      <c r="E406" s="38" t="n"/>
    </row>
    <row r="407">
      <c r="A407" s="37" t="n"/>
      <c r="B407" s="29" t="n"/>
      <c r="C407" s="29" t="n"/>
      <c r="D407" s="30" t="n"/>
      <c r="E407" s="38" t="n"/>
    </row>
    <row r="408">
      <c r="A408" s="37" t="n"/>
      <c r="B408" s="29" t="n"/>
      <c r="C408" s="29" t="n"/>
      <c r="D408" s="30" t="n"/>
      <c r="E408" s="38" t="n"/>
    </row>
    <row r="409">
      <c r="A409" s="37" t="n"/>
      <c r="B409" s="29" t="n"/>
      <c r="C409" s="29" t="n"/>
      <c r="D409" s="30" t="n"/>
      <c r="E409" s="38" t="n"/>
    </row>
    <row r="410">
      <c r="A410" s="37" t="n"/>
      <c r="B410" s="29" t="n"/>
      <c r="C410" s="29" t="n"/>
      <c r="D410" s="30" t="n"/>
      <c r="E410" s="38" t="n"/>
    </row>
    <row r="411">
      <c r="A411" s="37" t="n"/>
      <c r="B411" s="29" t="n"/>
      <c r="C411" s="29" t="n"/>
      <c r="D411" s="30" t="n"/>
      <c r="E411" s="38" t="n"/>
    </row>
    <row r="412">
      <c r="A412" s="37" t="n"/>
      <c r="B412" s="29" t="n"/>
      <c r="C412" s="29" t="n"/>
      <c r="D412" s="30" t="n"/>
      <c r="E412" s="38" t="n"/>
    </row>
    <row r="413">
      <c r="A413" s="37" t="n"/>
      <c r="B413" s="29" t="n"/>
      <c r="C413" s="29" t="n"/>
      <c r="D413" s="30" t="n"/>
      <c r="E413" s="38" t="n"/>
    </row>
    <row r="414">
      <c r="A414" s="37" t="n"/>
      <c r="B414" s="29" t="n"/>
      <c r="C414" s="29" t="n"/>
      <c r="D414" s="30" t="n"/>
      <c r="E414" s="38" t="n"/>
    </row>
    <row r="415">
      <c r="A415" s="37" t="n"/>
      <c r="B415" s="29" t="n"/>
      <c r="C415" s="29" t="n"/>
      <c r="D415" s="30" t="n"/>
      <c r="E415" s="38" t="n"/>
    </row>
    <row r="416">
      <c r="A416" s="37" t="n"/>
      <c r="B416" s="29" t="n"/>
      <c r="C416" s="29" t="n"/>
      <c r="D416" s="30" t="n"/>
      <c r="E416" s="38" t="n"/>
    </row>
    <row r="417">
      <c r="A417" s="37" t="n"/>
      <c r="B417" s="29" t="n"/>
      <c r="C417" s="29" t="n"/>
      <c r="D417" s="30" t="n"/>
      <c r="E417" s="38" t="n"/>
    </row>
    <row r="418">
      <c r="A418" s="37" t="n"/>
      <c r="B418" s="29" t="n"/>
      <c r="C418" s="29" t="n"/>
      <c r="D418" s="30" t="n"/>
      <c r="E418" s="38" t="n"/>
    </row>
    <row r="419">
      <c r="A419" s="37" t="n"/>
      <c r="B419" s="29" t="n"/>
      <c r="C419" s="29" t="n"/>
      <c r="D419" s="30" t="n"/>
      <c r="E419" s="38" t="n"/>
    </row>
    <row r="420">
      <c r="A420" s="37" t="n"/>
      <c r="B420" s="29" t="n"/>
      <c r="C420" s="29" t="n"/>
      <c r="D420" s="30" t="n"/>
      <c r="E420" s="38" t="n"/>
    </row>
    <row r="421">
      <c r="A421" s="37" t="n"/>
      <c r="B421" s="29" t="n"/>
      <c r="C421" s="29" t="n"/>
      <c r="D421" s="30" t="n"/>
      <c r="E421" s="38" t="n"/>
    </row>
    <row r="422">
      <c r="A422" s="37" t="n"/>
      <c r="B422" s="29" t="n"/>
      <c r="C422" s="29" t="n"/>
      <c r="D422" s="30" t="n"/>
      <c r="E422" s="38" t="n"/>
    </row>
    <row r="423">
      <c r="A423" s="37" t="n"/>
      <c r="B423" s="29" t="n"/>
      <c r="C423" s="29" t="n"/>
      <c r="D423" s="30" t="n"/>
      <c r="E423" s="38" t="n"/>
    </row>
    <row r="424">
      <c r="A424" s="37" t="n"/>
      <c r="B424" s="29" t="n"/>
      <c r="C424" s="29" t="n"/>
      <c r="D424" s="30" t="n"/>
      <c r="E424" s="38" t="n"/>
    </row>
    <row r="425">
      <c r="A425" s="37" t="n"/>
      <c r="B425" s="29" t="n"/>
      <c r="C425" s="29" t="n"/>
      <c r="D425" s="30" t="n"/>
      <c r="E425" s="38" t="n"/>
    </row>
    <row r="426">
      <c r="A426" s="37" t="n"/>
      <c r="B426" s="29" t="n"/>
      <c r="C426" s="29" t="n"/>
      <c r="D426" s="30" t="n"/>
      <c r="E426" s="38" t="n"/>
    </row>
    <row r="427">
      <c r="A427" s="37" t="n"/>
      <c r="B427" s="29" t="n"/>
      <c r="C427" s="29" t="n"/>
      <c r="D427" s="30" t="n"/>
      <c r="E427" s="38" t="n"/>
    </row>
    <row r="428">
      <c r="A428" s="37" t="n"/>
      <c r="B428" s="29" t="n"/>
      <c r="C428" s="29" t="n"/>
      <c r="D428" s="30" t="n"/>
      <c r="E428" s="38" t="n"/>
    </row>
    <row r="429">
      <c r="A429" s="37" t="n"/>
      <c r="B429" s="29" t="n"/>
      <c r="C429" s="29" t="n"/>
      <c r="D429" s="30" t="n"/>
      <c r="E429" s="38" t="n"/>
    </row>
    <row r="430">
      <c r="A430" s="37" t="n"/>
      <c r="B430" s="29" t="n"/>
      <c r="C430" s="29" t="n"/>
      <c r="D430" s="30" t="n"/>
      <c r="E430" s="38" t="n"/>
    </row>
    <row r="431">
      <c r="A431" s="37" t="n"/>
      <c r="B431" s="29" t="n"/>
      <c r="C431" s="29" t="n"/>
      <c r="D431" s="30" t="n"/>
      <c r="E431" s="38" t="n"/>
    </row>
    <row r="432">
      <c r="A432" s="37" t="n"/>
      <c r="B432" s="29" t="n"/>
      <c r="C432" s="29" t="n"/>
      <c r="D432" s="30" t="n"/>
      <c r="E432" s="38" t="n"/>
    </row>
    <row r="433">
      <c r="A433" s="37" t="n"/>
      <c r="B433" s="29" t="n"/>
      <c r="C433" s="29" t="n"/>
      <c r="D433" s="30" t="n"/>
      <c r="E433" s="38" t="n"/>
    </row>
    <row r="434">
      <c r="A434" s="37" t="n"/>
      <c r="B434" s="29" t="n"/>
      <c r="C434" s="29" t="n"/>
      <c r="D434" s="30" t="n"/>
      <c r="E434" s="38" t="n"/>
    </row>
    <row r="435">
      <c r="A435" s="37" t="n"/>
      <c r="B435" s="29" t="n"/>
      <c r="C435" s="29" t="n"/>
      <c r="D435" s="30" t="n"/>
      <c r="E435" s="38" t="n"/>
    </row>
    <row r="436">
      <c r="A436" s="37" t="n"/>
      <c r="B436" s="29" t="n"/>
      <c r="C436" s="29" t="n"/>
      <c r="D436" s="30" t="n"/>
      <c r="E436" s="38" t="n"/>
    </row>
    <row r="437">
      <c r="A437" s="37" t="n"/>
      <c r="B437" s="29" t="n"/>
      <c r="C437" s="29" t="n"/>
      <c r="D437" s="30" t="n"/>
      <c r="E437" s="38" t="n"/>
    </row>
    <row r="438">
      <c r="A438" s="37" t="n"/>
      <c r="B438" s="29" t="n"/>
      <c r="C438" s="29" t="n"/>
      <c r="D438" s="30" t="n"/>
      <c r="E438" s="38" t="n"/>
    </row>
    <row r="439">
      <c r="A439" s="37" t="n"/>
      <c r="B439" s="29" t="n"/>
      <c r="C439" s="29" t="n"/>
      <c r="D439" s="30" t="n"/>
      <c r="E439" s="38" t="n"/>
    </row>
    <row r="440">
      <c r="A440" s="37" t="n"/>
      <c r="B440" s="29" t="n"/>
      <c r="C440" s="29" t="n"/>
      <c r="D440" s="30" t="n"/>
      <c r="E440" s="38" t="n"/>
    </row>
    <row r="441">
      <c r="A441" s="37" t="n"/>
      <c r="B441" s="29" t="n"/>
      <c r="C441" s="29" t="n"/>
      <c r="D441" s="30" t="n"/>
      <c r="E441" s="38" t="n"/>
    </row>
    <row r="442">
      <c r="A442" s="37" t="n"/>
      <c r="B442" s="29" t="n"/>
      <c r="C442" s="29" t="n"/>
      <c r="D442" s="30" t="n"/>
      <c r="E442" s="38" t="n"/>
    </row>
    <row r="443">
      <c r="A443" s="37" t="n"/>
      <c r="B443" s="29" t="n"/>
      <c r="C443" s="29" t="n"/>
      <c r="D443" s="30" t="n"/>
      <c r="E443" s="38" t="n"/>
    </row>
    <row r="444">
      <c r="A444" s="37" t="n"/>
      <c r="B444" s="29" t="n"/>
      <c r="C444" s="29" t="n"/>
      <c r="D444" s="30" t="n"/>
      <c r="E444" s="38" t="n"/>
    </row>
    <row r="445">
      <c r="A445" s="37" t="n"/>
      <c r="B445" s="29" t="n"/>
      <c r="C445" s="29" t="n"/>
      <c r="D445" s="30" t="n"/>
      <c r="E445" s="38" t="n"/>
    </row>
    <row r="446">
      <c r="A446" s="37" t="n"/>
      <c r="B446" s="29" t="n"/>
      <c r="C446" s="29" t="n"/>
      <c r="D446" s="30" t="n"/>
      <c r="E446" s="38" t="n"/>
    </row>
    <row r="447">
      <c r="A447" s="37" t="n"/>
      <c r="B447" s="29" t="n"/>
      <c r="C447" s="29" t="n"/>
      <c r="D447" s="30" t="n"/>
      <c r="E447" s="38" t="n"/>
    </row>
    <row r="448">
      <c r="A448" s="37" t="n"/>
      <c r="B448" s="29" t="n"/>
      <c r="C448" s="29" t="n"/>
      <c r="D448" s="30" t="n"/>
      <c r="E448" s="38" t="n"/>
    </row>
    <row r="449">
      <c r="A449" s="37" t="n"/>
      <c r="B449" s="29" t="n"/>
      <c r="C449" s="29" t="n"/>
      <c r="D449" s="30" t="n"/>
      <c r="E449" s="38" t="n"/>
    </row>
    <row r="450">
      <c r="A450" s="37" t="n"/>
      <c r="B450" s="29" t="n"/>
      <c r="C450" s="29" t="n"/>
      <c r="D450" s="30" t="n"/>
      <c r="E450" s="38" t="n"/>
    </row>
    <row r="451">
      <c r="A451" s="37" t="n"/>
      <c r="B451" s="29" t="n"/>
      <c r="C451" s="29" t="n"/>
      <c r="D451" s="30" t="n"/>
      <c r="E451" s="38" t="n"/>
    </row>
    <row r="452">
      <c r="A452" s="37" t="n"/>
      <c r="B452" s="29" t="n"/>
      <c r="C452" s="29" t="n"/>
      <c r="D452" s="30" t="n"/>
      <c r="E452" s="38" t="n"/>
    </row>
    <row r="453">
      <c r="A453" s="37" t="n"/>
      <c r="B453" s="29" t="n"/>
      <c r="C453" s="29" t="n"/>
      <c r="D453" s="30" t="n"/>
      <c r="E453" s="38" t="n"/>
    </row>
    <row r="454">
      <c r="A454" s="37" t="n"/>
      <c r="B454" s="29" t="n"/>
      <c r="C454" s="29" t="n"/>
      <c r="D454" s="30" t="n"/>
      <c r="E454" s="38" t="n"/>
    </row>
    <row r="455">
      <c r="A455" s="37" t="n"/>
      <c r="B455" s="29" t="n"/>
      <c r="C455" s="29" t="n"/>
      <c r="D455" s="30" t="n"/>
      <c r="E455" s="38" t="n"/>
    </row>
    <row r="456">
      <c r="A456" s="37" t="n"/>
      <c r="B456" s="29" t="n"/>
      <c r="C456" s="29" t="n"/>
      <c r="D456" s="30" t="n"/>
      <c r="E456" s="38" t="n"/>
    </row>
    <row r="457">
      <c r="A457" s="37" t="n"/>
      <c r="B457" s="29" t="n"/>
      <c r="C457" s="29" t="n"/>
      <c r="D457" s="30" t="n"/>
      <c r="E457" s="38" t="n"/>
    </row>
    <row r="458">
      <c r="A458" s="37" t="n"/>
      <c r="B458" s="29" t="n"/>
      <c r="C458" s="29" t="n"/>
      <c r="D458" s="30" t="n"/>
      <c r="E458" s="38" t="n"/>
    </row>
    <row r="459">
      <c r="A459" s="37" t="n"/>
      <c r="B459" s="29" t="n"/>
      <c r="C459" s="29" t="n"/>
      <c r="D459" s="30" t="n"/>
      <c r="E459" s="38" t="n"/>
    </row>
    <row r="460">
      <c r="A460" s="37" t="n"/>
      <c r="B460" s="29" t="n"/>
      <c r="C460" s="29" t="n"/>
      <c r="D460" s="30" t="n"/>
      <c r="E460" s="38" t="n"/>
    </row>
    <row r="461">
      <c r="A461" s="37" t="n"/>
      <c r="B461" s="29" t="n"/>
      <c r="C461" s="29" t="n"/>
      <c r="D461" s="30" t="n"/>
      <c r="E461" s="38" t="n"/>
    </row>
    <row r="462">
      <c r="A462" s="37" t="n"/>
      <c r="B462" s="29" t="n"/>
      <c r="C462" s="29" t="n"/>
      <c r="D462" s="30" t="n"/>
      <c r="E462" s="38" t="n"/>
    </row>
    <row r="463">
      <c r="A463" s="37" t="n"/>
      <c r="B463" s="29" t="n"/>
      <c r="C463" s="29" t="n"/>
      <c r="D463" s="30" t="n"/>
      <c r="E463" s="38" t="n"/>
    </row>
    <row r="464">
      <c r="A464" s="37" t="n"/>
      <c r="B464" s="29" t="n"/>
      <c r="C464" s="29" t="n"/>
      <c r="D464" s="30" t="n"/>
      <c r="E464" s="38" t="n"/>
    </row>
    <row r="465">
      <c r="A465" s="37" t="n"/>
      <c r="B465" s="29" t="n"/>
      <c r="C465" s="29" t="n"/>
      <c r="D465" s="30" t="n"/>
      <c r="E465" s="38" t="n"/>
    </row>
    <row r="466">
      <c r="A466" s="37" t="n"/>
      <c r="B466" s="29" t="n"/>
      <c r="C466" s="29" t="n"/>
      <c r="D466" s="30" t="n"/>
      <c r="E466" s="38" t="n"/>
    </row>
    <row r="467">
      <c r="A467" s="37" t="n"/>
      <c r="B467" s="29" t="n"/>
      <c r="C467" s="29" t="n"/>
      <c r="D467" s="30" t="n"/>
      <c r="E467" s="38" t="n"/>
    </row>
    <row r="468">
      <c r="A468" s="37" t="n"/>
      <c r="B468" s="29" t="n"/>
      <c r="C468" s="29" t="n"/>
      <c r="D468" s="30" t="n"/>
      <c r="E468" s="38" t="n"/>
    </row>
    <row r="469">
      <c r="A469" s="37" t="n"/>
      <c r="B469" s="29" t="n"/>
      <c r="C469" s="29" t="n"/>
      <c r="D469" s="30" t="n"/>
      <c r="E469" s="38" t="n"/>
    </row>
    <row r="470">
      <c r="A470" s="37" t="n"/>
      <c r="B470" s="29" t="n"/>
      <c r="C470" s="29" t="n"/>
      <c r="D470" s="30" t="n"/>
      <c r="E470" s="38" t="n"/>
    </row>
    <row r="471">
      <c r="A471" s="37" t="n"/>
      <c r="B471" s="29" t="n"/>
      <c r="C471" s="29" t="n"/>
      <c r="D471" s="30" t="n"/>
      <c r="E471" s="38" t="n"/>
    </row>
    <row r="472">
      <c r="A472" s="37" t="n"/>
      <c r="B472" s="29" t="n"/>
      <c r="C472" s="29" t="n"/>
      <c r="D472" s="30" t="n"/>
      <c r="E472" s="38" t="n"/>
    </row>
    <row r="473">
      <c r="A473" s="37" t="n"/>
      <c r="B473" s="29" t="n"/>
      <c r="C473" s="29" t="n"/>
      <c r="D473" s="30" t="n"/>
      <c r="E473" s="38" t="n"/>
    </row>
    <row r="474">
      <c r="A474" s="37" t="n"/>
      <c r="B474" s="29" t="n"/>
      <c r="C474" s="29" t="n"/>
      <c r="D474" s="30" t="n"/>
      <c r="E474" s="38" t="n"/>
    </row>
    <row r="475">
      <c r="A475" s="37" t="n"/>
      <c r="B475" s="29" t="n"/>
      <c r="C475" s="29" t="n"/>
      <c r="D475" s="30" t="n"/>
      <c r="E475" s="38" t="n"/>
    </row>
    <row r="476">
      <c r="A476" s="37" t="n"/>
      <c r="B476" s="29" t="n"/>
      <c r="C476" s="29" t="n"/>
      <c r="D476" s="30" t="n"/>
      <c r="E476" s="38" t="n"/>
    </row>
    <row r="477">
      <c r="A477" s="37" t="n"/>
      <c r="B477" s="29" t="n"/>
      <c r="C477" s="29" t="n"/>
      <c r="D477" s="30" t="n"/>
      <c r="E477" s="38" t="n"/>
    </row>
    <row r="478">
      <c r="A478" s="37" t="n"/>
      <c r="B478" s="29" t="n"/>
      <c r="C478" s="29" t="n"/>
      <c r="D478" s="30" t="n"/>
      <c r="E478" s="38" t="n"/>
    </row>
    <row r="479">
      <c r="A479" s="37" t="n"/>
      <c r="B479" s="29" t="n"/>
      <c r="C479" s="29" t="n"/>
      <c r="D479" s="30" t="n"/>
      <c r="E479" s="38" t="n"/>
    </row>
    <row r="480">
      <c r="A480" s="37" t="n"/>
      <c r="B480" s="29" t="n"/>
      <c r="C480" s="29" t="n"/>
      <c r="D480" s="30" t="n"/>
      <c r="E480" s="38" t="n"/>
    </row>
    <row r="481">
      <c r="A481" s="37" t="n"/>
      <c r="B481" s="29" t="n"/>
      <c r="C481" s="29" t="n"/>
      <c r="D481" s="30" t="n"/>
      <c r="E481" s="38" t="n"/>
    </row>
    <row r="482">
      <c r="A482" s="37" t="n"/>
      <c r="B482" s="29" t="n"/>
      <c r="C482" s="29" t="n"/>
      <c r="D482" s="30" t="n"/>
      <c r="E482" s="38" t="n"/>
    </row>
    <row r="483">
      <c r="A483" s="37" t="n"/>
      <c r="B483" s="29" t="n"/>
      <c r="C483" s="29" t="n"/>
      <c r="D483" s="30" t="n"/>
      <c r="E483" s="38" t="n"/>
    </row>
    <row r="484">
      <c r="A484" s="37" t="n"/>
      <c r="B484" s="29" t="n"/>
      <c r="C484" s="29" t="n"/>
      <c r="D484" s="30" t="n"/>
      <c r="E484" s="38" t="n"/>
    </row>
    <row r="485">
      <c r="A485" s="37" t="n"/>
      <c r="B485" s="29" t="n"/>
      <c r="C485" s="29" t="n"/>
      <c r="D485" s="30" t="n"/>
      <c r="E485" s="38" t="n"/>
    </row>
    <row r="486">
      <c r="A486" s="37" t="n"/>
      <c r="B486" s="29" t="n"/>
      <c r="C486" s="29" t="n"/>
      <c r="D486" s="30" t="n"/>
      <c r="E486" s="38" t="n"/>
    </row>
    <row r="487">
      <c r="A487" s="37" t="n"/>
      <c r="B487" s="29" t="n"/>
      <c r="C487" s="29" t="n"/>
      <c r="D487" s="30" t="n"/>
      <c r="E487" s="38" t="n"/>
    </row>
    <row r="488">
      <c r="A488" s="37" t="n"/>
      <c r="B488" s="29" t="n"/>
      <c r="C488" s="29" t="n"/>
      <c r="D488" s="30" t="n"/>
      <c r="E488" s="38" t="n"/>
    </row>
    <row r="489">
      <c r="A489" s="37" t="n"/>
      <c r="B489" s="29" t="n"/>
      <c r="C489" s="29" t="n"/>
      <c r="D489" s="30" t="n"/>
      <c r="E489" s="38" t="n"/>
    </row>
    <row r="490">
      <c r="A490" s="37" t="n"/>
      <c r="B490" s="29" t="n"/>
      <c r="C490" s="29" t="n"/>
      <c r="D490" s="30" t="n"/>
      <c r="E490" s="38" t="n"/>
    </row>
    <row r="491">
      <c r="A491" s="37" t="n"/>
      <c r="B491" s="29" t="n"/>
      <c r="C491" s="29" t="n"/>
      <c r="D491" s="30" t="n"/>
      <c r="E491" s="38" t="n"/>
    </row>
    <row r="492">
      <c r="A492" s="37" t="n"/>
      <c r="B492" s="29" t="n"/>
      <c r="C492" s="29" t="n"/>
      <c r="D492" s="30" t="n"/>
      <c r="E492" s="38" t="n"/>
    </row>
    <row r="493">
      <c r="A493" s="37" t="n"/>
      <c r="B493" s="29" t="n"/>
      <c r="C493" s="29" t="n"/>
      <c r="D493" s="30" t="n"/>
      <c r="E493" s="38" t="n"/>
    </row>
    <row r="494">
      <c r="A494" s="37" t="n"/>
      <c r="B494" s="29" t="n"/>
      <c r="C494" s="29" t="n"/>
      <c r="D494" s="30" t="n"/>
      <c r="E494" s="38" t="n"/>
    </row>
    <row r="495">
      <c r="A495" s="37" t="n"/>
      <c r="B495" s="29" t="n"/>
      <c r="C495" s="29" t="n"/>
      <c r="D495" s="30" t="n"/>
      <c r="E495" s="38" t="n"/>
    </row>
    <row r="496">
      <c r="A496" s="37" t="n"/>
      <c r="B496" s="29" t="n"/>
      <c r="C496" s="29" t="n"/>
      <c r="D496" s="30" t="n"/>
      <c r="E496" s="38" t="n"/>
    </row>
    <row r="497">
      <c r="A497" s="37" t="n"/>
      <c r="B497" s="29" t="n"/>
      <c r="C497" s="29" t="n"/>
      <c r="D497" s="30" t="n"/>
      <c r="E497" s="38" t="n"/>
    </row>
    <row r="498">
      <c r="A498" s="37" t="n"/>
      <c r="B498" s="29" t="n"/>
      <c r="C498" s="29" t="n"/>
      <c r="D498" s="30" t="n"/>
      <c r="E498" s="38" t="n"/>
    </row>
    <row r="499">
      <c r="A499" s="37" t="n"/>
      <c r="B499" s="29" t="n"/>
      <c r="C499" s="29" t="n"/>
      <c r="D499" s="30" t="n"/>
      <c r="E499" s="38" t="n"/>
    </row>
    <row r="500">
      <c r="A500" s="37" t="n"/>
      <c r="B500" s="29" t="n"/>
      <c r="C500" s="29" t="n"/>
      <c r="D500" s="30" t="n"/>
      <c r="E500" s="38" t="n"/>
    </row>
    <row r="501">
      <c r="A501" s="37" t="n"/>
      <c r="B501" s="29" t="n"/>
      <c r="C501" s="29" t="n"/>
      <c r="D501" s="30" t="n"/>
      <c r="E501" s="38" t="n"/>
    </row>
    <row r="502">
      <c r="A502" s="37" t="n"/>
      <c r="B502" s="29" t="n"/>
      <c r="C502" s="29" t="n"/>
      <c r="D502" s="30" t="n"/>
      <c r="E502" s="38" t="n"/>
    </row>
    <row r="503">
      <c r="A503" s="37" t="n"/>
      <c r="B503" s="29" t="n"/>
      <c r="C503" s="29" t="n"/>
      <c r="D503" s="30" t="n"/>
      <c r="E503" s="38" t="n"/>
    </row>
  </sheetData>
  <dataValidations count="2">
    <dataValidation sqref="A4:A503" showDropDown="0" showInputMessage="0" showErrorMessage="0" allowBlank="1" type="date" operator="greaterThan">
      <formula1>DATE(2000,1,1)</formula1>
    </dataValidation>
    <dataValidation sqref="B4:B503" showDropDown="0" showInputMessage="0" showErrorMessage="0" allowBlank="1" type="list">
      <formula1>StaffList</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01"/>
  <sheetViews>
    <sheetView workbookViewId="0">
      <selection activeCell="A1" sqref="A1"/>
    </sheetView>
  </sheetViews>
  <sheetFormatPr baseColWidth="8" defaultRowHeight="15"/>
  <cols>
    <col width="24" customWidth="1" min="1" max="1"/>
    <col width="18" customWidth="1" min="3" max="3"/>
  </cols>
  <sheetData>
    <row r="1">
      <c r="A1" s="36" t="inlineStr">
        <is>
          <t>Staff names</t>
        </is>
      </c>
      <c r="C1" s="36" t="inlineStr">
        <is>
          <t>Status options</t>
        </is>
      </c>
      <c r="E1" s="39" t="inlineStr">
        <is>
          <t>Type one name per row in column A with no gaps. They appear in the 'Last updated by' and Log dropdowns automatically.</t>
        </is>
      </c>
    </row>
    <row r="2">
      <c r="A2" s="40" t="n"/>
      <c r="C2" s="29" t="inlineStr">
        <is>
          <t>Active</t>
        </is>
      </c>
    </row>
    <row r="3">
      <c r="A3" s="40" t="n"/>
      <c r="C3" s="29" t="inlineStr">
        <is>
          <t>Delivered</t>
        </is>
      </c>
    </row>
    <row r="4">
      <c r="A4" s="40" t="n"/>
      <c r="C4" s="29" t="inlineStr">
        <is>
          <t>Transferred out</t>
        </is>
      </c>
    </row>
    <row r="5">
      <c r="A5" s="40" t="n"/>
      <c r="C5" s="29" t="inlineStr">
        <is>
          <t>Care ended</t>
        </is>
      </c>
    </row>
    <row r="6">
      <c r="A6" s="40" t="n"/>
    </row>
    <row r="7">
      <c r="A7" s="40" t="n"/>
    </row>
    <row r="8">
      <c r="A8" s="40" t="n"/>
    </row>
    <row r="9">
      <c r="A9" s="40" t="n"/>
    </row>
    <row r="10">
      <c r="A10" s="40" t="n"/>
    </row>
    <row r="11">
      <c r="A11" s="40" t="n"/>
    </row>
    <row r="12">
      <c r="A12" s="40" t="n"/>
    </row>
    <row r="13">
      <c r="A13" s="40" t="n"/>
    </row>
    <row r="14">
      <c r="A14" s="40" t="n"/>
    </row>
    <row r="15">
      <c r="A15" s="40" t="n"/>
    </row>
    <row r="16">
      <c r="A16" s="40" t="n"/>
    </row>
    <row r="17">
      <c r="A17" s="40" t="n"/>
    </row>
    <row r="18">
      <c r="A18" s="40" t="n"/>
    </row>
    <row r="19">
      <c r="A19" s="40" t="n"/>
    </row>
    <row r="20">
      <c r="A20" s="40" t="n"/>
    </row>
    <row r="21">
      <c r="A21" s="40" t="n"/>
    </row>
    <row r="22">
      <c r="A22" s="40" t="n"/>
    </row>
    <row r="23">
      <c r="A23" s="40" t="n"/>
    </row>
    <row r="24">
      <c r="A24" s="40" t="n"/>
    </row>
    <row r="25">
      <c r="A25" s="40" t="n"/>
    </row>
    <row r="26">
      <c r="A26" s="40" t="n"/>
    </row>
    <row r="27">
      <c r="A27" s="40" t="n"/>
    </row>
    <row r="28">
      <c r="A28" s="40" t="n"/>
    </row>
    <row r="29">
      <c r="A29" s="40" t="n"/>
    </row>
    <row r="30">
      <c r="A30" s="40" t="n"/>
    </row>
    <row r="31">
      <c r="A31" s="40" t="n"/>
    </row>
    <row r="32">
      <c r="A32" s="40" t="n"/>
    </row>
    <row r="33">
      <c r="A33" s="40" t="n"/>
    </row>
    <row r="34">
      <c r="A34" s="40" t="n"/>
    </row>
    <row r="35">
      <c r="A35" s="40" t="n"/>
    </row>
    <row r="36">
      <c r="A36" s="40" t="n"/>
    </row>
    <row r="37">
      <c r="A37" s="40" t="n"/>
    </row>
    <row r="38">
      <c r="A38" s="40" t="n"/>
    </row>
    <row r="39">
      <c r="A39" s="40" t="n"/>
    </row>
    <row r="40">
      <c r="A40" s="40" t="n"/>
    </row>
    <row r="41">
      <c r="A41" s="40" t="n"/>
    </row>
    <row r="42">
      <c r="A42" s="40" t="n"/>
    </row>
    <row r="43">
      <c r="A43" s="40" t="n"/>
    </row>
    <row r="44">
      <c r="A44" s="40" t="n"/>
    </row>
    <row r="45">
      <c r="A45" s="40" t="n"/>
    </row>
    <row r="46">
      <c r="A46" s="40" t="n"/>
    </row>
    <row r="47">
      <c r="A47" s="40" t="n"/>
    </row>
    <row r="48">
      <c r="A48" s="40" t="n"/>
    </row>
    <row r="49">
      <c r="A49" s="40" t="n"/>
    </row>
    <row r="50">
      <c r="A50" s="40" t="n"/>
    </row>
    <row r="51">
      <c r="A51" s="40" t="n"/>
    </row>
    <row r="52">
      <c r="A52" s="40" t="n"/>
    </row>
    <row r="53">
      <c r="A53" s="40" t="n"/>
    </row>
    <row r="54">
      <c r="A54" s="40" t="n"/>
    </row>
    <row r="55">
      <c r="A55" s="40" t="n"/>
    </row>
    <row r="56">
      <c r="A56" s="40" t="n"/>
    </row>
    <row r="57">
      <c r="A57" s="40" t="n"/>
    </row>
    <row r="58">
      <c r="A58" s="40" t="n"/>
    </row>
    <row r="59">
      <c r="A59" s="40" t="n"/>
    </row>
    <row r="60">
      <c r="A60" s="40" t="n"/>
    </row>
    <row r="61">
      <c r="A61" s="40" t="n"/>
    </row>
    <row r="62">
      <c r="A62" s="40" t="n"/>
    </row>
    <row r="63">
      <c r="A63" s="40" t="n"/>
    </row>
    <row r="64">
      <c r="A64" s="40" t="n"/>
    </row>
    <row r="65">
      <c r="A65" s="40" t="n"/>
    </row>
    <row r="66">
      <c r="A66" s="40" t="n"/>
    </row>
    <row r="67">
      <c r="A67" s="40" t="n"/>
    </row>
    <row r="68">
      <c r="A68" s="40" t="n"/>
    </row>
    <row r="69">
      <c r="A69" s="40" t="n"/>
    </row>
    <row r="70">
      <c r="A70" s="40" t="n"/>
    </row>
    <row r="71">
      <c r="A71" s="40" t="n"/>
    </row>
    <row r="72">
      <c r="A72" s="40" t="n"/>
    </row>
    <row r="73">
      <c r="A73" s="40" t="n"/>
    </row>
    <row r="74">
      <c r="A74" s="40" t="n"/>
    </row>
    <row r="75">
      <c r="A75" s="40" t="n"/>
    </row>
    <row r="76">
      <c r="A76" s="40" t="n"/>
    </row>
    <row r="77">
      <c r="A77" s="40" t="n"/>
    </row>
    <row r="78">
      <c r="A78" s="40" t="n"/>
    </row>
    <row r="79">
      <c r="A79" s="40" t="n"/>
    </row>
    <row r="80">
      <c r="A80" s="40" t="n"/>
    </row>
    <row r="81">
      <c r="A81" s="40" t="n"/>
    </row>
    <row r="82">
      <c r="A82" s="40" t="n"/>
    </row>
    <row r="83">
      <c r="A83" s="40" t="n"/>
    </row>
    <row r="84">
      <c r="A84" s="40" t="n"/>
    </row>
    <row r="85">
      <c r="A85" s="40" t="n"/>
    </row>
    <row r="86">
      <c r="A86" s="40" t="n"/>
    </row>
    <row r="87">
      <c r="A87" s="40" t="n"/>
    </row>
    <row r="88">
      <c r="A88" s="40" t="n"/>
    </row>
    <row r="89">
      <c r="A89" s="40" t="n"/>
    </row>
    <row r="90">
      <c r="A90" s="40" t="n"/>
    </row>
    <row r="91">
      <c r="A91" s="40" t="n"/>
    </row>
    <row r="92">
      <c r="A92" s="40" t="n"/>
    </row>
    <row r="93">
      <c r="A93" s="40" t="n"/>
    </row>
    <row r="94">
      <c r="A94" s="40" t="n"/>
    </row>
    <row r="95">
      <c r="A95" s="40" t="n"/>
    </row>
    <row r="96">
      <c r="A96" s="40" t="n"/>
    </row>
    <row r="97">
      <c r="A97" s="40" t="n"/>
    </row>
    <row r="98">
      <c r="A98" s="40" t="n"/>
    </row>
    <row r="99">
      <c r="A99" s="40" t="n"/>
    </row>
    <row r="100">
      <c r="A100" s="40" t="n"/>
    </row>
    <row r="101">
      <c r="A101" s="40"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2:B38"/>
  <sheetViews>
    <sheetView workbookViewId="0">
      <selection activeCell="A1" sqref="A1"/>
    </sheetView>
  </sheetViews>
  <sheetFormatPr baseColWidth="8" defaultRowHeight="15"/>
  <cols>
    <col width="3" customWidth="1" min="1" max="1"/>
    <col width="110" customWidth="1" min="2" max="2"/>
  </cols>
  <sheetData>
    <row r="2">
      <c r="B2" s="41" t="inlineStr">
        <is>
          <t>How to use the caseload tracker</t>
        </is>
      </c>
    </row>
    <row r="3">
      <c r="B3" s="34" t="inlineStr">
        <is>
          <t>Nothing here uses macros, so it works in Excel desktop, Excel Online and Teams, including with several people editing at once.</t>
        </is>
      </c>
    </row>
    <row r="4" ht="22" customHeight="1">
      <c r="B4" s="42" t="inlineStr">
        <is>
          <t>Daily use</t>
        </is>
      </c>
    </row>
    <row r="5">
      <c r="B5" s="34" t="inlineStr">
        <is>
          <t>1. Sort or filter the 'Overdue', 'Next appt' or 'Next appt due' column to see who needs something first. The counts along the top show the totals.</t>
        </is>
      </c>
    </row>
    <row r="6">
      <c r="B6" s="34" t="inlineStr">
        <is>
          <t>2. When you change a row, pick your name in 'Last updated by' and press Ctrl + ; in 'Last updated on'. That's the only way anyone can see you touched it.</t>
        </is>
      </c>
    </row>
    <row r="7">
      <c r="B7" s="34" t="inlineStr">
        <is>
          <t>3. For anything more than a date, add a line to the Log tab (date, name, patient, what you did).</t>
        </is>
      </c>
    </row>
    <row r="8">
      <c r="B8" s="34" t="inlineStr">
        <is>
          <t>4. To see what's changed since you last looked: type that date in the yellow box at the top of Caseload (cell B2). Changed rows turn blue and the 'Updated since' count shows how many.</t>
        </is>
      </c>
    </row>
    <row r="9" ht="22" customHeight="1">
      <c r="B9" s="42" t="inlineStr">
        <is>
          <t>What to type where</t>
        </is>
      </c>
    </row>
    <row r="10">
      <c r="B10" s="34" t="inlineStr">
        <is>
          <t>• Patient columns (Name to Status): as now. EDD drives the gestation. Leave Status blank or set Active while pregnant. Setting Delivered, Transferred out or Care ended greys out the row and stops its flags.</t>
        </is>
      </c>
    </row>
    <row r="11">
      <c r="B11" s="34" t="inlineStr">
        <is>
          <t>• Grey columns (Gestation, Overdue, Due in 7 days, Next appt, Next appt due) are calculated, so don't type in them.</t>
        </is>
      </c>
    </row>
    <row r="12">
      <c r="B12" s="34" t="inlineStr">
        <is>
          <t>• Booking date and appointments (16/40 to 40/40): enter each date when it's booked. 16/40 is added at booking, 25/40 at the 16/40 appointment, and so on. Empty future columns are fine.</t>
        </is>
      </c>
    </row>
    <row r="13">
      <c r="B13" s="34" t="inlineStr">
        <is>
          <t xml:space="preserve">  – An appointment only counts as attended once a later date has been entered, because the next date can only be booked at that appointment. So a past date turns green only when something is entered after it.</t>
        </is>
      </c>
    </row>
    <row r="14">
      <c r="B14" s="34" t="inlineStr">
        <is>
          <t xml:space="preserve">  – Red date: the appointment date has passed and nothing later has been entered. Either it was missed (type DNA over it) or the next appointment hasn't been booked yet (add it). 'Next appt' shows 'Missed/not booked?'.</t>
        </is>
      </c>
    </row>
    <row r="15">
      <c r="B15" s="34" t="inlineStr">
        <is>
          <t xml:space="preserve">  – Amber: the appointment is in the next 7 days. Plain: booked, more than a week away. N/A slots are skipped (e.g. 25/40 or 31/40 for multips).</t>
        </is>
      </c>
    </row>
    <row r="16">
      <c r="B16" s="34" t="inlineStr">
        <is>
          <t xml:space="preserve">  – DNA: red until a later date is entered. Either type the rebooked date over the DNA, or leave DNA in place and put the new date in the next column; the DNA then stays visible in grey.</t>
        </is>
      </c>
    </row>
    <row r="17">
      <c r="B17" s="34" t="inlineStr">
        <is>
          <t xml:space="preserve">  – 40/40 has nothing after it, so once it has passed it stays red ('Update status') until Status is changed, e.g. to Delivered.</t>
        </is>
      </c>
    </row>
    <row r="18">
      <c r="B18" s="34" t="inlineStr">
        <is>
          <t>• Action columns (GTT, Anti-D, BP, Bloods, IOL): enter the date it's booked or due. It turns amber within 7 days and red once the date has passed. When it's done, overwrite it with 'Done' (or 'Done 12/3 SW'), which turns it green. N/A turns it grey.</t>
        </is>
      </c>
    </row>
    <row r="19">
      <c r="B19" s="34" t="inlineStr">
        <is>
          <t>• NHS number: orange means it isn't a valid 10-digit NHS number (checksum). Purple means it appears twice.</t>
        </is>
      </c>
    </row>
    <row r="20">
      <c r="B20" s="34" t="inlineStr">
        <is>
          <t>• EDD turns amber if it has passed and the patient is still Active, as a reminder to update Status.</t>
        </is>
      </c>
    </row>
    <row r="21" ht="22" customHeight="1">
      <c r="B21" s="42" t="inlineStr">
        <is>
          <t>Colour key</t>
        </is>
      </c>
    </row>
    <row r="22">
      <c r="B22" s="43" t="inlineStr">
        <is>
          <t>Red: appointment passed but not confirmed (nothing entered after it), DNA not yet rebooked, or an action date that has passed and isn't marked Done</t>
        </is>
      </c>
    </row>
    <row r="23">
      <c r="B23" s="44" t="inlineStr">
        <is>
          <t>Amber: due in the next 7 days</t>
        </is>
      </c>
    </row>
    <row r="24">
      <c r="B24" s="45" t="inlineStr">
        <is>
          <t>Green: appointment confirmed (a later date has been entered) or action Done</t>
        </is>
      </c>
    </row>
    <row r="25">
      <c r="B25" s="46" t="inlineStr">
        <is>
          <t>Grey: N/A, or the patient is no longer active</t>
        </is>
      </c>
    </row>
    <row r="26">
      <c r="B26" s="47" t="inlineStr">
        <is>
          <t>Blue: row updated on or after the date in cell B2</t>
        </is>
      </c>
    </row>
    <row r="27" ht="22" customHeight="1">
      <c r="B27" s="42" t="inlineStr">
        <is>
          <t>Example row (format only, fictional)</t>
        </is>
      </c>
    </row>
    <row r="28">
      <c r="B28" s="34" t="inlineStr">
        <is>
          <t>Jane Example | 943 476 5919 | 02/05/1994 | G2P1 | MLC | 10/01/2027 | (Status blank) | Booking date: 18/06/2026 | 16/40: 11/08/2026 | 25/40: N/A | 28/40: 01/10/2026 | GTT booked: 14/10/2026 | Anti-D ordered: Done 20/09 | BP fortnightly: N/A | Last updated by: (your name) | Last updated on: 26/09/2026</t>
        </is>
      </c>
    </row>
    <row r="29" ht="22" customHeight="1">
      <c r="B29" s="42" t="inlineStr">
        <is>
          <t>Seeing exactly who changed what</t>
        </is>
      </c>
    </row>
    <row r="30">
      <c r="B30" s="34" t="inlineStr">
        <is>
          <t>If the file is stored on SharePoint, OneDrive or Teams (not a shared drive), Excel keeps a full audit trail automatically:</t>
        </is>
      </c>
    </row>
    <row r="31">
      <c r="B31" s="34" t="inlineStr">
        <is>
          <t>• Review ▸ Show Changes lists every edit with who made it and when. Right-click a cell and choose Show Changes to see that cell's history.</t>
        </is>
      </c>
    </row>
    <row r="32">
      <c r="B32" s="34" t="inlineStr">
        <is>
          <t>• File ▸ Info ▸ Version History lets you open or restore any earlier version.</t>
        </is>
      </c>
    </row>
    <row r="33">
      <c r="B33" s="34" t="inlineStr">
        <is>
          <t>• @mentioning a colleague in a comment (Review ▸ New Comment) sends them an email.</t>
        </is>
      </c>
    </row>
    <row r="34">
      <c r="B34" s="34" t="inlineStr">
        <is>
          <t>The 'Last updated by' columns and the Log are the human-readable layer on top of that.</t>
        </is>
      </c>
    </row>
    <row r="35" ht="22" customHeight="1">
      <c r="B35" s="42" t="inlineStr">
        <is>
          <t>Adding rows</t>
        </is>
      </c>
    </row>
    <row r="36">
      <c r="B36" s="34" t="inlineStr">
        <is>
          <t>The table is pre-formatted for 400 patients. Don't insert or reorder columns between Booking date and 40/40, because the confirmation check reads them left to right.</t>
        </is>
      </c>
    </row>
    <row r="37" ht="22" customHeight="1">
      <c r="B37" s="42" t="inlineStr">
        <is>
          <t>Information governance</t>
        </is>
      </c>
    </row>
    <row r="38">
      <c r="B38" s="34" t="inlineStr">
        <is>
          <t>This holds patient-identifiable data. Keep it in the approved team location with access limited to the team, and follow your trust's IG policy.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2026-09-26T21:01:53Z</dcterms:created>
  <dcterms:modified xmlns:dcterms="http://purl.org/dc/terms/" xmlns:xsi="http://www.w3.org/2001/XMLSchema-instance" xsi:type="dcterms:W3CDTF">2026-09-26T21:01:54Z</dcterms:modified>
</cp:coreProperties>
</file>