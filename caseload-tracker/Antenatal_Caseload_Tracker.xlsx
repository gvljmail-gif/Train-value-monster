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load" sheetId="1" state="visible" r:id="rId1"/>
    <sheet xmlns:r="http://schemas.openxmlformats.org/officeDocument/2006/relationships" name="Log" sheetId="2" state="visible" r:id="rId2"/>
    <sheet xmlns:r="http://schemas.openxmlformats.org/officeDocument/2006/relationships" name="Staff" sheetId="3" state="visible" r:id="rId3"/>
    <sheet xmlns:r="http://schemas.openxmlformats.org/officeDocument/2006/relationships" name="How to use" sheetId="4" state="visible" r:id="rId4"/>
  </sheets>
  <definedNames>
    <definedName name="StaffList">OFFSET(Staff!$A$2,0,0,MAX(1,COUNTA(Staff!$A$2:$A$101)),1)</definedName>
    <definedName name="StatusList">Staff!$C$2:$C$5</definedName>
    <definedName name="_xlnm.Print_Titles" localSheetId="0">'Caseload'!$4:$4</definedName>
  </definedNames>
  <calcPr calcId="124519" fullCalcOnLoad="1"/>
</workbook>
</file>

<file path=xl/styles.xml><?xml version="1.0" encoding="utf-8"?>
<styleSheet xmlns="http://schemas.openxmlformats.org/spreadsheetml/2006/main">
  <numFmts count="1">
    <numFmt numFmtId="164" formatCode="dd/mm/yyyy"/>
  </numFmts>
  <fonts count="24">
    <font>
      <name val="Calibri"/>
      <family val="2"/>
      <color theme="1"/>
      <sz val="11"/>
      <scheme val="minor"/>
    </font>
    <font>
      <name val="Arial"/>
      <b val="1"/>
      <color rgb="001F4E79"/>
      <sz val="14"/>
    </font>
    <font>
      <name val="Arial"/>
      <color rgb="00595959"/>
      <sz val="8"/>
    </font>
    <font>
      <name val="Arial"/>
      <b val="1"/>
      <sz val="12"/>
    </font>
    <font>
      <name val="Arial"/>
      <b val="1"/>
      <sz val="10"/>
    </font>
    <font>
      <name val="Arial"/>
      <b val="1"/>
      <color rgb="009C0006"/>
      <sz val="12"/>
    </font>
    <font>
      <name val="Arial"/>
      <b val="1"/>
      <color rgb="007F6000"/>
      <sz val="12"/>
    </font>
    <font>
      <name val="Arial"/>
      <b val="1"/>
      <sz val="9"/>
    </font>
    <font>
      <name val="Arial"/>
      <color rgb="009C0006"/>
      <sz val="8"/>
    </font>
    <font>
      <name val="Arial"/>
      <color rgb="007F6000"/>
      <sz val="8"/>
    </font>
    <font>
      <name val="Arial"/>
      <color rgb="00006100"/>
      <sz val="8"/>
    </font>
    <font>
      <name val="Arial"/>
      <color rgb="00808080"/>
      <sz val="8"/>
    </font>
    <font>
      <name val="Arial"/>
      <color rgb="00403151"/>
      <sz val="8"/>
    </font>
    <font>
      <name val="Arial"/>
      <b val="1"/>
      <color rgb="00404040"/>
      <sz val="9"/>
    </font>
    <font>
      <name val="Arial"/>
      <b val="1"/>
      <color rgb="00FFFFFF"/>
      <sz val="10"/>
    </font>
    <font>
      <name val="Arial"/>
      <sz val="10"/>
    </font>
    <font>
      <name val="Arial"/>
      <b val="1"/>
      <color rgb="001F4E79"/>
      <sz val="12"/>
    </font>
    <font>
      <name val="Arial"/>
      <i val="1"/>
      <color rgb="00595959"/>
      <sz val="9"/>
    </font>
    <font>
      <name val="Arial"/>
      <b val="1"/>
      <color rgb="001F4E79"/>
      <sz val="11"/>
    </font>
    <font>
      <name val="Arial"/>
      <color rgb="009C0006"/>
      <sz val="10"/>
    </font>
    <font>
      <name val="Arial"/>
      <color rgb="007F6000"/>
      <sz val="10"/>
    </font>
    <font>
      <name val="Arial"/>
      <color rgb="00006100"/>
      <sz val="10"/>
    </font>
    <font>
      <name val="Arial"/>
      <color rgb="00595959"/>
      <sz val="10"/>
    </font>
    <font>
      <name val="Arial"/>
      <color rgb="00808080"/>
      <sz val="10"/>
    </font>
  </fonts>
  <fills count="15">
    <fill>
      <patternFill/>
    </fill>
    <fill>
      <patternFill patternType="gray125"/>
    </fill>
    <fill>
      <patternFill patternType="solid">
        <fgColor rgb="00F8CBCB"/>
        <bgColor rgb="00F8CBCB"/>
      </patternFill>
    </fill>
    <fill>
      <patternFill patternType="solid">
        <fgColor rgb="00FFE699"/>
        <bgColor rgb="00FFE699"/>
      </patternFill>
    </fill>
    <fill>
      <patternFill patternType="solid">
        <fgColor rgb="00C6EFCE"/>
        <bgColor rgb="00C6EFCE"/>
      </patternFill>
    </fill>
    <fill>
      <patternFill patternType="solid">
        <fgColor rgb="00E7E6E6"/>
        <bgColor rgb="00E7E6E6"/>
      </patternFill>
    </fill>
    <fill>
      <patternFill patternType="solid">
        <fgColor rgb="00D0CECE"/>
        <bgColor rgb="00D0CECE"/>
      </patternFill>
    </fill>
    <fill>
      <patternFill patternType="solid">
        <fgColor rgb="00E4DFEC"/>
        <bgColor rgb="00E4DFEC"/>
      </patternFill>
    </fill>
    <fill>
      <patternFill patternType="solid">
        <fgColor rgb="00DDEBF7"/>
        <bgColor rgb="00DDEBF7"/>
      </patternFill>
    </fill>
    <fill>
      <patternFill patternType="solid">
        <fgColor rgb="001F4E79"/>
        <bgColor rgb="001F4E79"/>
      </patternFill>
    </fill>
    <fill>
      <patternFill patternType="solid">
        <fgColor rgb="00EDEDED"/>
        <bgColor rgb="00EDEDED"/>
      </patternFill>
    </fill>
    <fill>
      <patternFill patternType="solid">
        <fgColor rgb="00E2EFDA"/>
        <bgColor rgb="00E2EFDA"/>
      </patternFill>
    </fill>
    <fill>
      <patternFill patternType="solid">
        <fgColor rgb="00FCE4D6"/>
        <bgColor rgb="00FCE4D6"/>
      </patternFill>
    </fill>
    <fill>
      <patternFill patternType="solid">
        <fgColor rgb="00FFF2CC"/>
        <bgColor rgb="00FFF2CC"/>
      </patternFill>
    </fill>
    <fill>
      <patternFill patternType="solid">
        <fgColor rgb="00F2F2F2"/>
        <bgColor rgb="00F2F2F2"/>
      </patternFill>
    </fill>
  </fills>
  <borders count="1">
    <border>
      <left/>
      <right/>
      <top/>
      <bottom/>
      <diagonal/>
    </border>
  </borders>
  <cellStyleXfs count="1">
    <xf numFmtId="0" fontId="0" fillId="0" borderId="0"/>
  </cellStyleXfs>
  <cellXfs count="44">
    <xf numFmtId="0" fontId="0" fillId="0" borderId="0" pivotButton="0" quotePrefix="0" xfId="0"/>
    <xf numFmtId="0" fontId="1" fillId="0" borderId="0" pivotButton="0" quotePrefix="0" xfId="0"/>
    <xf numFmtId="0" fontId="2" fillId="0" borderId="0" applyAlignment="1" pivotButton="0" quotePrefix="0" xfId="0">
      <alignment horizontal="center"/>
    </xf>
    <xf numFmtId="0" fontId="7" fillId="0" borderId="0" pivotButton="0" quotePrefix="0" xfId="0"/>
    <xf numFmtId="164" fontId="4" fillId="0" borderId="0" applyAlignment="1" pivotButton="0" quotePrefix="0" xfId="0">
      <alignment horizontal="center"/>
    </xf>
    <xf numFmtId="0" fontId="3" fillId="0" borderId="0" applyAlignment="1" pivotButton="0" quotePrefix="0" xfId="0">
      <alignment horizontal="center"/>
    </xf>
    <xf numFmtId="0" fontId="5" fillId="0" borderId="0" applyAlignment="1" pivotButton="0" quotePrefix="0" xfId="0">
      <alignment horizontal="center"/>
    </xf>
    <xf numFmtId="0" fontId="6" fillId="0" borderId="0" applyAlignment="1" pivotButton="0" quotePrefix="0" xfId="0">
      <alignment horizontal="center"/>
    </xf>
    <xf numFmtId="0" fontId="8" fillId="2" borderId="0" applyAlignment="1" pivotButton="0" quotePrefix="0" xfId="0">
      <alignment horizontal="center" vertical="center" wrapText="1"/>
    </xf>
    <xf numFmtId="0" fontId="9" fillId="3" borderId="0" applyAlignment="1" pivotButton="0" quotePrefix="0" xfId="0">
      <alignment horizontal="center" vertical="center" wrapText="1"/>
    </xf>
    <xf numFmtId="0" fontId="10" fillId="4" borderId="0" applyAlignment="1" pivotButton="0" quotePrefix="0" xfId="0">
      <alignment horizontal="center" vertical="center" wrapText="1"/>
    </xf>
    <xf numFmtId="0" fontId="2" fillId="5" borderId="0" applyAlignment="1" pivotButton="0" quotePrefix="0" xfId="0">
      <alignment horizontal="center" vertical="center" wrapText="1"/>
    </xf>
    <xf numFmtId="0" fontId="11" fillId="6" borderId="0" applyAlignment="1" pivotButton="0" quotePrefix="0" xfId="0">
      <alignment horizontal="center" vertical="center" wrapText="1"/>
    </xf>
    <xf numFmtId="0" fontId="12" fillId="7" borderId="0" applyAlignment="1" pivotButton="0" quotePrefix="0" xfId="0">
      <alignment horizontal="center" vertical="center" wrapText="1"/>
    </xf>
    <xf numFmtId="0" fontId="13" fillId="8" borderId="0" pivotButton="0" quotePrefix="0" xfId="0"/>
    <xf numFmtId="0" fontId="0" fillId="8" borderId="0" pivotButton="0" quotePrefix="0" xfId="0"/>
    <xf numFmtId="0" fontId="13" fillId="10" borderId="0" pivotButton="0" quotePrefix="0" xfId="0"/>
    <xf numFmtId="0" fontId="0" fillId="10" borderId="0" pivotButton="0" quotePrefix="0" xfId="0"/>
    <xf numFmtId="0" fontId="13" fillId="11" borderId="0" pivotButton="0" quotePrefix="0" xfId="0"/>
    <xf numFmtId="0" fontId="0" fillId="11" borderId="0" pivotButton="0" quotePrefix="0" xfId="0"/>
    <xf numFmtId="0" fontId="13" fillId="12" borderId="0" pivotButton="0" quotePrefix="0" xfId="0"/>
    <xf numFmtId="0" fontId="0" fillId="12" borderId="0" pivotButton="0" quotePrefix="0" xfId="0"/>
    <xf numFmtId="0" fontId="13" fillId="13" borderId="0" pivotButton="0" quotePrefix="0" xfId="0"/>
    <xf numFmtId="0" fontId="0" fillId="13" borderId="0" pivotButton="0" quotePrefix="0" xfId="0"/>
    <xf numFmtId="0" fontId="14" fillId="9" borderId="0" applyAlignment="1" pivotButton="0" quotePrefix="0" xfId="0">
      <alignment horizontal="center" vertical="center" wrapText="1"/>
    </xf>
    <xf numFmtId="0" fontId="15" fillId="0" borderId="0" pivotButton="0" quotePrefix="0" xfId="0"/>
    <xf numFmtId="49" fontId="15" fillId="0" borderId="0" pivotButton="0" quotePrefix="0" xfId="0"/>
    <xf numFmtId="164" fontId="15" fillId="0" borderId="0" applyAlignment="1" pivotButton="0" quotePrefix="0" xfId="0">
      <alignment horizontal="center"/>
    </xf>
    <xf numFmtId="0" fontId="15" fillId="14" borderId="0" applyAlignment="1" pivotButton="0" quotePrefix="0" xfId="0">
      <alignment horizontal="center"/>
    </xf>
    <xf numFmtId="164" fontId="15" fillId="14" borderId="0" applyAlignment="1" pivotButton="0" quotePrefix="0" xfId="0">
      <alignment horizontal="center"/>
    </xf>
    <xf numFmtId="0" fontId="15" fillId="0" borderId="0" applyAlignment="1" pivotButton="0" quotePrefix="0" xfId="0">
      <alignment vertical="top" wrapText="1"/>
    </xf>
    <xf numFmtId="0" fontId="16" fillId="0" borderId="0" pivotButton="0" quotePrefix="0" xfId="0"/>
    <xf numFmtId="0" fontId="14" fillId="9" borderId="0" pivotButton="0" quotePrefix="0" xfId="0"/>
    <xf numFmtId="164" fontId="15" fillId="0" borderId="0" pivotButton="0" quotePrefix="0" xfId="0"/>
    <xf numFmtId="0" fontId="15" fillId="0" borderId="0" applyAlignment="1" pivotButton="0" quotePrefix="0" xfId="0">
      <alignment wrapText="1"/>
    </xf>
    <xf numFmtId="0" fontId="17" fillId="0" borderId="0" pivotButton="0" quotePrefix="0" xfId="0"/>
    <xf numFmtId="0" fontId="15" fillId="13" borderId="0" pivotButton="0" quotePrefix="0" xfId="0"/>
    <xf numFmtId="0" fontId="1" fillId="0" borderId="0" applyAlignment="1" pivotButton="0" quotePrefix="0" xfId="0">
      <alignment vertical="top" wrapText="1"/>
    </xf>
    <xf numFmtId="0" fontId="18" fillId="0" borderId="0" applyAlignment="1" pivotButton="0" quotePrefix="0" xfId="0">
      <alignment vertical="top" wrapText="1"/>
    </xf>
    <xf numFmtId="0" fontId="19" fillId="2" borderId="0" applyAlignment="1" pivotButton="0" quotePrefix="0" xfId="0">
      <alignment vertical="top" wrapText="1"/>
    </xf>
    <xf numFmtId="0" fontId="20" fillId="3" borderId="0" applyAlignment="1" pivotButton="0" quotePrefix="0" xfId="0">
      <alignment vertical="top" wrapText="1"/>
    </xf>
    <xf numFmtId="0" fontId="21" fillId="4" borderId="0" applyAlignment="1" pivotButton="0" quotePrefix="0" xfId="0">
      <alignment vertical="top" wrapText="1"/>
    </xf>
    <xf numFmtId="0" fontId="22" fillId="5" borderId="0" applyAlignment="1" pivotButton="0" quotePrefix="0" xfId="0">
      <alignment vertical="top" wrapText="1"/>
    </xf>
    <xf numFmtId="0" fontId="23" fillId="6" borderId="0" applyAlignment="1" pivotButton="0" quotePrefix="0" xfId="0">
      <alignment vertical="top" wrapText="1"/>
    </xf>
  </cellXfs>
  <cellStyles count="1">
    <cellStyle name="Normal" xfId="0" builtinId="0" hidden="0"/>
  </cellStyles>
  <dxfs count="9">
    <dxf>
      <font>
        <i val="1"/>
        <color rgb="00808080"/>
      </font>
      <fill>
        <patternFill patternType="solid">
          <fgColor rgb="00D0CECE"/>
          <bgColor rgb="00D0CECE"/>
        </patternFill>
      </fill>
    </dxf>
    <dxf>
      <font>
        <color rgb="00595959"/>
      </font>
      <fill>
        <patternFill patternType="solid">
          <fgColor rgb="00E7E6E6"/>
          <bgColor rgb="00E7E6E6"/>
        </patternFill>
      </fill>
    </dxf>
    <dxf>
      <font>
        <color rgb="009C0006"/>
      </font>
      <fill>
        <patternFill patternType="solid">
          <fgColor rgb="00E7E6E6"/>
          <bgColor rgb="00E7E6E6"/>
        </patternFill>
      </fill>
    </dxf>
    <dxf>
      <font>
        <b val="1"/>
        <color rgb="009C0006"/>
      </font>
      <fill>
        <patternFill patternType="solid">
          <fgColor rgb="00F8CBCB"/>
          <bgColor rgb="00F8CBCB"/>
        </patternFill>
      </fill>
    </dxf>
    <dxf>
      <font>
        <b val="1"/>
        <color rgb="007F6000"/>
      </font>
      <fill>
        <patternFill patternType="solid">
          <fgColor rgb="00FFE699"/>
          <bgColor rgb="00FFE699"/>
        </patternFill>
      </fill>
    </dxf>
    <dxf>
      <font>
        <color rgb="00006100"/>
      </font>
      <fill>
        <patternFill patternType="solid">
          <fgColor rgb="00C6EFCE"/>
          <bgColor rgb="00C6EFCE"/>
        </patternFill>
      </fill>
    </dxf>
    <dxf>
      <font>
        <color rgb="009C0006"/>
      </font>
      <fill>
        <patternFill patternType="solid">
          <fgColor rgb="00F8CBCB"/>
          <bgColor rgb="00F8CBCB"/>
        </patternFill>
      </fill>
    </dxf>
    <dxf>
      <font>
        <color rgb="007F6000"/>
      </font>
      <fill>
        <patternFill patternType="solid">
          <fgColor rgb="00FFE699"/>
          <bgColor rgb="00FFE699"/>
        </patternFill>
      </fill>
    </dxf>
    <dxf>
      <font>
        <color rgb="00403151"/>
      </font>
      <fill>
        <patternFill patternType="solid">
          <fgColor rgb="00E4DFEC"/>
          <b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CaseloadTable" displayName="CaseloadTable" ref="A4:AB404" headerRowCount="1">
  <autoFilter ref="A4:AB404"/>
  <tableColumns count="28">
    <tableColumn id="1" name="Name"/>
    <tableColumn id="2" name="NHS number"/>
    <tableColumn id="3" name="DOB"/>
    <tableColumn id="4" name="Parity"/>
    <tableColumn id="5" name="MLC/CLC"/>
    <tableColumn id="6" name="EDD"/>
    <tableColumn id="7" name="Status"/>
    <tableColumn id="8" name="Gestation today"/>
    <tableColumn id="9" name="Due in 7 days"/>
    <tableColumn id="10" name="Next appt"/>
    <tableColumn id="11" name="Next appt due"/>
    <tableColumn id="12" name="Booking date"/>
    <tableColumn id="13" name="16/40"/>
    <tableColumn id="14" name="25/40"/>
    <tableColumn id="15" name="GTT booked"/>
    <tableColumn id="16" name="Anti-D ordered"/>
    <tableColumn id="17" name="28/40"/>
    <tableColumn id="18" name="31/40"/>
    <tableColumn id="19" name="34/40"/>
    <tableColumn id="20" name="36/40"/>
    <tableColumn id="21" name="38/40"/>
    <tableColumn id="22" name="40/40"/>
    <tableColumn id="23" name="IOL booked"/>
    <tableColumn id="24" name="BP fortnightly"/>
    <tableColumn id="25" name="BP weekly"/>
    <tableColumn id="26" name="Risks"/>
    <tableColumn id="27" name="Last updated by"/>
    <tableColumn id="28" name="Overdue"/>
  </tableColumns>
  <tableStyleInfo name="TableStyleLight1" showRowStripes="1"/>
</table>
</file>

<file path=xl/tables/table2.xml><?xml version="1.0" encoding="utf-8"?>
<table xmlns="http://schemas.openxmlformats.org/spreadsheetml/2006/main" id="2" name="UpdateLog" displayName="UpdateLog" ref="A3:E503" headerRowCount="1">
  <autoFilter ref="A3:E503"/>
  <tableColumns count="5">
    <tableColumn id="1" name="Date"/>
    <tableColumn id="2" name="Staff"/>
    <tableColumn id="3" name="Patient name"/>
    <tableColumn id="4" name="NHS number"/>
    <tableColumn id="5" name="What was done / changed"/>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fitToPage="1"/>
  </sheetPr>
  <dimension ref="A1:AB40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14" customWidth="1" min="2" max="2"/>
    <col width="11" customWidth="1" min="3" max="3"/>
    <col width="8" customWidth="1" min="4" max="4"/>
    <col width="9" customWidth="1" min="5" max="5"/>
    <col width="11" customWidth="1" min="6" max="6"/>
    <col width="13" customWidth="1" min="7" max="7"/>
    <col width="10" customWidth="1" min="8" max="8"/>
    <col width="9" customWidth="1" min="9" max="9"/>
    <col width="11" customWidth="1" min="10" max="10"/>
    <col width="11" customWidth="1" min="11" max="11"/>
    <col width="11" customWidth="1" min="12" max="12"/>
    <col width="10" customWidth="1" min="13" max="13"/>
    <col width="10" customWidth="1" min="14" max="14"/>
    <col width="11" customWidth="1" min="15" max="15"/>
    <col width="11" customWidth="1" min="16" max="16"/>
    <col width="10" customWidth="1" min="17" max="17"/>
    <col width="10" customWidth="1" min="18" max="18"/>
    <col width="10" customWidth="1" min="19" max="19"/>
    <col width="10" customWidth="1" min="20" max="20"/>
    <col width="10" customWidth="1" min="21" max="21"/>
    <col width="10" customWidth="1" min="22" max="22"/>
    <col width="9" customWidth="1" min="23" max="23"/>
    <col width="11" customWidth="1" min="24" max="24"/>
    <col width="11" customWidth="1" min="25" max="25"/>
    <col width="40" customWidth="1" min="26" max="26"/>
    <col width="15" customWidth="1" min="27" max="27"/>
    <col width="9" customWidth="1" min="28" max="28"/>
  </cols>
  <sheetData>
    <row r="1">
      <c r="A1" s="1" t="inlineStr">
        <is>
          <t>Antenatal Caseload Tracker</t>
        </is>
      </c>
      <c r="C1" s="2" t="inlineStr">
        <is>
          <t>Today</t>
        </is>
      </c>
      <c r="D1" s="2" t="inlineStr">
        <is>
          <t>Active</t>
        </is>
      </c>
      <c r="E1" s="2" t="inlineStr">
        <is>
          <t>Pts overdue</t>
        </is>
      </c>
      <c r="F1" s="2" t="inlineStr">
        <is>
          <t>Pts due ≤7d</t>
        </is>
      </c>
      <c r="L1" s="3" t="inlineStr">
        <is>
          <t>Key:</t>
        </is>
      </c>
    </row>
    <row r="2" ht="26" customHeight="1">
      <c r="C2" s="4">
        <f>TODAY()</f>
        <v/>
      </c>
      <c r="D2" s="5">
        <f>SUMPRODUCT(($A$5:$A$404&lt;&gt;"")*(($G$5:$G$404="")+($G$5:$G$404="Active")))</f>
        <v/>
      </c>
      <c r="E2" s="6">
        <f>COUNTIF($AB$5:$AB$404,"&gt;0")</f>
        <v/>
      </c>
      <c r="F2" s="7">
        <f>COUNTIF($I$5:$I$404,"&gt;0")</f>
        <v/>
      </c>
      <c r="L2" s="8" t="inlineStr">
        <is>
          <t>Overdue / not confirmed</t>
        </is>
      </c>
      <c r="M2" s="9" t="inlineStr">
        <is>
          <t>Due in next 7 days</t>
        </is>
      </c>
      <c r="N2" s="10" t="inlineStr">
        <is>
          <t>Confirmed / done</t>
        </is>
      </c>
      <c r="O2" s="11" t="inlineStr">
        <is>
          <t>N/A</t>
        </is>
      </c>
      <c r="P2" s="12" t="inlineStr">
        <is>
          <t>Delivered / not active</t>
        </is>
      </c>
      <c r="Q2" s="13" t="inlineStr">
        <is>
          <t>NHS no. duplicate</t>
        </is>
      </c>
    </row>
    <row r="3">
      <c r="A3" s="14" t="inlineStr">
        <is>
          <t>Patient</t>
        </is>
      </c>
      <c r="B3" s="15" t="n"/>
      <c r="C3" s="15" t="n"/>
      <c r="D3" s="15" t="n"/>
      <c r="E3" s="15" t="n"/>
      <c r="F3" s="15" t="n"/>
      <c r="G3" s="15" t="n"/>
      <c r="H3" s="16" t="inlineStr">
        <is>
          <t>Auto (don't type)</t>
        </is>
      </c>
      <c r="I3" s="17" t="n"/>
      <c r="J3" s="17" t="n"/>
      <c r="K3" s="17" t="n"/>
      <c r="L3" s="18" t="inlineStr">
        <is>
          <t>Appointments: date booked, DNA or N/A</t>
        </is>
      </c>
      <c r="M3" s="19" t="n"/>
      <c r="N3" s="19" t="n"/>
      <c r="O3" s="20" t="inlineStr">
        <is>
          <t>Actions</t>
        </is>
      </c>
      <c r="P3" s="21" t="n"/>
      <c r="Q3" s="18" t="inlineStr">
        <is>
          <t>Appointments: date booked, DNA or N/A</t>
        </is>
      </c>
      <c r="R3" s="19" t="n"/>
      <c r="S3" s="19" t="n"/>
      <c r="T3" s="19" t="n"/>
      <c r="U3" s="19" t="n"/>
      <c r="V3" s="19" t="n"/>
      <c r="W3" s="20" t="inlineStr">
        <is>
          <t>Actions</t>
        </is>
      </c>
      <c r="X3" s="21" t="n"/>
      <c r="Y3" s="21" t="n"/>
      <c r="Z3" s="22" t="inlineStr">
        <is>
          <t>Notes &amp; audit</t>
        </is>
      </c>
      <c r="AA3" s="23" t="n"/>
      <c r="AB3" s="16" t="inlineStr">
        <is>
          <t>Auto (don't type)</t>
        </is>
      </c>
    </row>
    <row r="4" ht="30" customHeight="1">
      <c r="A4" s="24" t="inlineStr">
        <is>
          <t>Name</t>
        </is>
      </c>
      <c r="B4" s="24" t="inlineStr">
        <is>
          <t>NHS number</t>
        </is>
      </c>
      <c r="C4" s="24" t="inlineStr">
        <is>
          <t>DOB</t>
        </is>
      </c>
      <c r="D4" s="24" t="inlineStr">
        <is>
          <t>Parity</t>
        </is>
      </c>
      <c r="E4" s="24" t="inlineStr">
        <is>
          <t>MLC/CLC</t>
        </is>
      </c>
      <c r="F4" s="24" t="inlineStr">
        <is>
          <t>EDD</t>
        </is>
      </c>
      <c r="G4" s="24" t="inlineStr">
        <is>
          <t>Status</t>
        </is>
      </c>
      <c r="H4" s="24" t="inlineStr">
        <is>
          <t>Gestation today</t>
        </is>
      </c>
      <c r="I4" s="24" t="inlineStr">
        <is>
          <t>Due in 7 days</t>
        </is>
      </c>
      <c r="J4" s="24" t="inlineStr">
        <is>
          <t>Next appt</t>
        </is>
      </c>
      <c r="K4" s="24" t="inlineStr">
        <is>
          <t>Next appt due</t>
        </is>
      </c>
      <c r="L4" s="24" t="inlineStr">
        <is>
          <t>Booking date</t>
        </is>
      </c>
      <c r="M4" s="24" t="inlineStr">
        <is>
          <t>16/40</t>
        </is>
      </c>
      <c r="N4" s="24" t="inlineStr">
        <is>
          <t>25/40</t>
        </is>
      </c>
      <c r="O4" s="24" t="inlineStr">
        <is>
          <t>GTT booked</t>
        </is>
      </c>
      <c r="P4" s="24" t="inlineStr">
        <is>
          <t>Anti-D ordered</t>
        </is>
      </c>
      <c r="Q4" s="24" t="inlineStr">
        <is>
          <t>28/40</t>
        </is>
      </c>
      <c r="R4" s="24" t="inlineStr">
        <is>
          <t>31/40</t>
        </is>
      </c>
      <c r="S4" s="24" t="inlineStr">
        <is>
          <t>34/40</t>
        </is>
      </c>
      <c r="T4" s="24" t="inlineStr">
        <is>
          <t>36/40</t>
        </is>
      </c>
      <c r="U4" s="24" t="inlineStr">
        <is>
          <t>38/40</t>
        </is>
      </c>
      <c r="V4" s="24" t="inlineStr">
        <is>
          <t>40/40</t>
        </is>
      </c>
      <c r="W4" s="24" t="inlineStr">
        <is>
          <t>IOL booked</t>
        </is>
      </c>
      <c r="X4" s="24" t="inlineStr">
        <is>
          <t>BP fortnightly</t>
        </is>
      </c>
      <c r="Y4" s="24" t="inlineStr">
        <is>
          <t>BP weekly</t>
        </is>
      </c>
      <c r="Z4" s="24" t="inlineStr">
        <is>
          <t>Risks</t>
        </is>
      </c>
      <c r="AA4" s="24" t="inlineStr">
        <is>
          <t>Last updated by</t>
        </is>
      </c>
      <c r="AB4" s="24" t="inlineStr">
        <is>
          <t>Overdue</t>
        </is>
      </c>
    </row>
    <row r="5">
      <c r="A5" s="25" t="n"/>
      <c r="B5" s="26" t="n"/>
      <c r="C5" s="27" t="n"/>
      <c r="D5" s="25" t="n"/>
      <c r="E5" s="25" t="n"/>
      <c r="F5" s="27" t="n"/>
      <c r="G5" s="25" t="n"/>
      <c r="H5" s="28">
        <f>IF(OR(NOT(AND($A5&lt;&gt;"",OR($G5="",$G5="Active"))),$F5=""),"",INT((TODAY()-$F5+280)/7)&amp;"+"&amp;MOD(TODAY()-$F5+280,7))</f>
        <v/>
      </c>
      <c r="I5" s="28">
        <f>IF(NOT(AND($A5&lt;&gt;"",OR($G5="",$G5="Active"))),"",ISNUMBER($L5)*($L5&gt;=TODAY())*($L5&lt;=TODAY()+7)+ISNUMBER($M5)*($M5&gt;=TODAY())*($M5&lt;=TODAY()+7)+ISNUMBER($N5)*($N5&gt;=TODAY())*($N5&lt;=TODAY()+7)+ISNUMBER($Q5)*($Q5&gt;=TODAY())*($Q5&lt;=TODAY()+7)+ISNUMBER($R5)*($R5&gt;=TODAY())*($R5&lt;=TODAY()+7)+ISNUMBER($S5)*($S5&gt;=TODAY())*($S5&lt;=TODAY()+7)+ISNUMBER($T5)*($T5&gt;=TODAY())*($T5&lt;=TODAY()+7)+ISNUMBER($U5)*($U5&gt;=TODAY())*($U5&lt;=TODAY()+7)+ISNUMBER($V5)*($V5&gt;=TODAY())*($V5&lt;=TODAY()+7)+ISNUMBER($O5)*($O5&gt;=TODAY())*($O5&lt;=TODAY()+7)+ISNUMBER($P5)*($P5&gt;=TODAY())*($P5&lt;=TODAY()+7)+ISNUMBER($X5)*($X5&gt;=TODAY())*($X5&lt;=TODAY()+7)+ISNUMBER($Y5)*($Y5&gt;=TODAY())*($Y5&lt;=TODAY()+7))</f>
        <v/>
      </c>
      <c r="J5" s="28">
        <f>IF(NOT(AND($A5&lt;&gt;"",OR($G5="",$G5="Active"))),"",IF($K5&lt;&gt;"",IF($L5=$K5,"Booking",IF($M5=$K5,"16/40",IF($N5=$K5,"25/40",IF($Q5=$K5,"28/40",IF($R5=$K5,"31/40",IF($S5=$K5,"34/40",IF($T5=$K5,"36/40",IF($U5=$K5,"38/40",IF($V5=$K5,"40/40",""))))))))),IF(IF(OR(ISNUMBER($V5),$V5="DNA"),$V5,IF(OR(ISNUMBER($U5),$U5="DNA"),$U5,IF(OR(ISNUMBER($T5),$T5="DNA"),$T5,IF(OR(ISNUMBER($S5),$S5="DNA"),$S5,IF(OR(ISNUMBER($R5),$R5="DNA"),$R5,IF(OR(ISNUMBER($Q5),$Q5="DNA"),$Q5,IF(OR(ISNUMBER($N5),$N5="DNA"),$N5,IF(OR(ISNUMBER($M5),$M5="DNA"),$M5,IF(OR(ISNUMBER($L5),$L5="DNA"),$L5,"")))))))))="DNA","Rebook DNA",IF(ISNUMBER(IF(OR(ISNUMBER($V5),$V5="DNA"),$V5,IF(OR(ISNUMBER($U5),$U5="DNA"),$U5,IF(OR(ISNUMBER($T5),$T5="DNA"),$T5,IF(OR(ISNUMBER($S5),$S5="DNA"),$S5,IF(OR(ISNUMBER($R5),$R5="DNA"),$R5,IF(OR(ISNUMBER($Q5),$Q5="DNA"),$Q5,IF(OR(ISNUMBER($N5),$N5="DNA"),$N5,IF(OR(ISNUMBER($M5),$M5="DNA"),$M5,IF(OR(ISNUMBER($L5),$L5="DNA"),$L5,"")))))))))),IF(ISNUMBER($V5),"Update status","Missed/not booked?"),""))))</f>
        <v/>
      </c>
      <c r="K5" s="29">
        <f>IF(NOT(AND($A5&lt;&gt;"",OR($G5="",$G5="Active"))),"",IF(MIN(IF(AND(ISNUMBER($L5),$L5&gt;=TODAY()),$L5,99999),IF(AND(ISNUMBER($M5),$M5&gt;=TODAY()),$M5,99999),IF(AND(ISNUMBER($N5),$N5&gt;=TODAY()),$N5,99999),IF(AND(ISNUMBER($Q5),$Q5&gt;=TODAY()),$Q5,99999),IF(AND(ISNUMBER($R5),$R5&gt;=TODAY()),$R5,99999),IF(AND(ISNUMBER($S5),$S5&gt;=TODAY()),$S5,99999),IF(AND(ISNUMBER($T5),$T5&gt;=TODAY()),$T5,99999),IF(AND(ISNUMBER($U5),$U5&gt;=TODAY()),$U5,99999),IF(AND(ISNUMBER($V5),$V5&gt;=TODAY()),$V5,99999))=99999,"",MIN(IF(AND(ISNUMBER($L5),$L5&gt;=TODAY()),$L5,99999),IF(AND(ISNUMBER($M5),$M5&gt;=TODAY()),$M5,99999),IF(AND(ISNUMBER($N5),$N5&gt;=TODAY()),$N5,99999),IF(AND(ISNUMBER($Q5),$Q5&gt;=TODAY()),$Q5,99999),IF(AND(ISNUMBER($R5),$R5&gt;=TODAY()),$R5,99999),IF(AND(ISNUMBER($S5),$S5&gt;=TODAY()),$S5,99999),IF(AND(ISNUMBER($T5),$T5&gt;=TODAY()),$T5,99999),IF(AND(ISNUMBER($U5),$U5&gt;=TODAY()),$U5,99999),IF(AND(ISNUMBER($V5),$V5&gt;=TODAY()),$V5,99999))))</f>
        <v/>
      </c>
      <c r="L5" s="27" t="n"/>
      <c r="M5" s="27" t="n"/>
      <c r="N5" s="27" t="n"/>
      <c r="O5" s="27" t="n"/>
      <c r="P5" s="27" t="n"/>
      <c r="Q5" s="27" t="n"/>
      <c r="R5" s="27" t="n"/>
      <c r="S5" s="27" t="n"/>
      <c r="T5" s="27" t="n"/>
      <c r="U5" s="27" t="n"/>
      <c r="V5" s="27" t="n"/>
      <c r="W5" s="27" t="n"/>
      <c r="X5" s="27" t="n"/>
      <c r="Y5" s="27" t="n"/>
      <c r="Z5" s="30" t="n"/>
      <c r="AA5" s="25" t="n"/>
      <c r="AB5" s="28">
        <f>IF(NOT(AND($A5&lt;&gt;"",OR($G5="",$G5="Active"))),"",IF(OR(IF(OR(ISNUMBER($V5),$V5="DNA"),$V5,IF(OR(ISNUMBER($U5),$U5="DNA"),$U5,IF(OR(ISNUMBER($T5),$T5="DNA"),$T5,IF(OR(ISNUMBER($S5),$S5="DNA"),$S5,IF(OR(ISNUMBER($R5),$R5="DNA"),$R5,IF(OR(ISNUMBER($Q5),$Q5="DNA"),$Q5,IF(OR(ISNUMBER($N5),$N5="DNA"),$N5,IF(OR(ISNUMBER($M5),$M5="DNA"),$M5,IF(OR(ISNUMBER($L5),$L5="DNA"),$L5,"")))))))))="DNA",AND(ISNUMBER(IF(OR(ISNUMBER($V5),$V5="DNA"),$V5,IF(OR(ISNUMBER($U5),$U5="DNA"),$U5,IF(OR(ISNUMBER($T5),$T5="DNA"),$T5,IF(OR(ISNUMBER($S5),$S5="DNA"),$S5,IF(OR(ISNUMBER($R5),$R5="DNA"),$R5,IF(OR(ISNUMBER($Q5),$Q5="DNA"),$Q5,IF(OR(ISNUMBER($N5),$N5="DNA"),$N5,IF(OR(ISNUMBER($M5),$M5="DNA"),$M5,IF(OR(ISNUMBER($L5),$L5="DNA"),$L5,"")))))))))),IF(OR(ISNUMBER($V5),$V5="DNA"),$V5,IF(OR(ISNUMBER($U5),$U5="DNA"),$U5,IF(OR(ISNUMBER($T5),$T5="DNA"),$T5,IF(OR(ISNUMBER($S5),$S5="DNA"),$S5,IF(OR(ISNUMBER($R5),$R5="DNA"),$R5,IF(OR(ISNUMBER($Q5),$Q5="DNA"),$Q5,IF(OR(ISNUMBER($N5),$N5="DNA"),$N5,IF(OR(ISNUMBER($M5),$M5="DNA"),$M5,IF(OR(ISNUMBER($L5),$L5="DNA"),$L5,"")))))))))&lt;TODAY())),1,0)+ISNUMBER($O5)*($O5&lt;TODAY())+ISNUMBER($P5)*($P5&lt;TODAY())+ISNUMBER($X5)*($X5&lt;TODAY())+ISNUMBER($Y5)*($Y5&lt;TODAY()))</f>
        <v/>
      </c>
    </row>
    <row r="6">
      <c r="A6" s="25" t="n"/>
      <c r="B6" s="26" t="n"/>
      <c r="C6" s="27" t="n"/>
      <c r="D6" s="25" t="n"/>
      <c r="E6" s="25" t="n"/>
      <c r="F6" s="27" t="n"/>
      <c r="G6" s="25" t="n"/>
      <c r="H6" s="28">
        <f>IF(OR(NOT(AND($A6&lt;&gt;"",OR($G6="",$G6="Active"))),$F6=""),"",INT((TODAY()-$F6+280)/7)&amp;"+"&amp;MOD(TODAY()-$F6+280,7))</f>
        <v/>
      </c>
      <c r="I6" s="28">
        <f>IF(NOT(AND($A6&lt;&gt;"",OR($G6="",$G6="Active"))),"",ISNUMBER($L6)*($L6&gt;=TODAY())*($L6&lt;=TODAY()+7)+ISNUMBER($M6)*($M6&gt;=TODAY())*($M6&lt;=TODAY()+7)+ISNUMBER($N6)*($N6&gt;=TODAY())*($N6&lt;=TODAY()+7)+ISNUMBER($Q6)*($Q6&gt;=TODAY())*($Q6&lt;=TODAY()+7)+ISNUMBER($R6)*($R6&gt;=TODAY())*($R6&lt;=TODAY()+7)+ISNUMBER($S6)*($S6&gt;=TODAY())*($S6&lt;=TODAY()+7)+ISNUMBER($T6)*($T6&gt;=TODAY())*($T6&lt;=TODAY()+7)+ISNUMBER($U6)*($U6&gt;=TODAY())*($U6&lt;=TODAY()+7)+ISNUMBER($V6)*($V6&gt;=TODAY())*($V6&lt;=TODAY()+7)+ISNUMBER($O6)*($O6&gt;=TODAY())*($O6&lt;=TODAY()+7)+ISNUMBER($P6)*($P6&gt;=TODAY())*($P6&lt;=TODAY()+7)+ISNUMBER($X6)*($X6&gt;=TODAY())*($X6&lt;=TODAY()+7)+ISNUMBER($Y6)*($Y6&gt;=TODAY())*($Y6&lt;=TODAY()+7))</f>
        <v/>
      </c>
      <c r="J6" s="28">
        <f>IF(NOT(AND($A6&lt;&gt;"",OR($G6="",$G6="Active"))),"",IF($K6&lt;&gt;"",IF($L6=$K6,"Booking",IF($M6=$K6,"16/40",IF($N6=$K6,"25/40",IF($Q6=$K6,"28/40",IF($R6=$K6,"31/40",IF($S6=$K6,"34/40",IF($T6=$K6,"36/40",IF($U6=$K6,"38/40",IF($V6=$K6,"40/40",""))))))))),IF(IF(OR(ISNUMBER($V6),$V6="DNA"),$V6,IF(OR(ISNUMBER($U6),$U6="DNA"),$U6,IF(OR(ISNUMBER($T6),$T6="DNA"),$T6,IF(OR(ISNUMBER($S6),$S6="DNA"),$S6,IF(OR(ISNUMBER($R6),$R6="DNA"),$R6,IF(OR(ISNUMBER($Q6),$Q6="DNA"),$Q6,IF(OR(ISNUMBER($N6),$N6="DNA"),$N6,IF(OR(ISNUMBER($M6),$M6="DNA"),$M6,IF(OR(ISNUMBER($L6),$L6="DNA"),$L6,"")))))))))="DNA","Rebook DNA",IF(ISNUMBER(IF(OR(ISNUMBER($V6),$V6="DNA"),$V6,IF(OR(ISNUMBER($U6),$U6="DNA"),$U6,IF(OR(ISNUMBER($T6),$T6="DNA"),$T6,IF(OR(ISNUMBER($S6),$S6="DNA"),$S6,IF(OR(ISNUMBER($R6),$R6="DNA"),$R6,IF(OR(ISNUMBER($Q6),$Q6="DNA"),$Q6,IF(OR(ISNUMBER($N6),$N6="DNA"),$N6,IF(OR(ISNUMBER($M6),$M6="DNA"),$M6,IF(OR(ISNUMBER($L6),$L6="DNA"),$L6,"")))))))))),IF(ISNUMBER($V6),"Update status","Missed/not booked?"),""))))</f>
        <v/>
      </c>
      <c r="K6" s="29">
        <f>IF(NOT(AND($A6&lt;&gt;"",OR($G6="",$G6="Active"))),"",IF(MIN(IF(AND(ISNUMBER($L6),$L6&gt;=TODAY()),$L6,99999),IF(AND(ISNUMBER($M6),$M6&gt;=TODAY()),$M6,99999),IF(AND(ISNUMBER($N6),$N6&gt;=TODAY()),$N6,99999),IF(AND(ISNUMBER($Q6),$Q6&gt;=TODAY()),$Q6,99999),IF(AND(ISNUMBER($R6),$R6&gt;=TODAY()),$R6,99999),IF(AND(ISNUMBER($S6),$S6&gt;=TODAY()),$S6,99999),IF(AND(ISNUMBER($T6),$T6&gt;=TODAY()),$T6,99999),IF(AND(ISNUMBER($U6),$U6&gt;=TODAY()),$U6,99999),IF(AND(ISNUMBER($V6),$V6&gt;=TODAY()),$V6,99999))=99999,"",MIN(IF(AND(ISNUMBER($L6),$L6&gt;=TODAY()),$L6,99999),IF(AND(ISNUMBER($M6),$M6&gt;=TODAY()),$M6,99999),IF(AND(ISNUMBER($N6),$N6&gt;=TODAY()),$N6,99999),IF(AND(ISNUMBER($Q6),$Q6&gt;=TODAY()),$Q6,99999),IF(AND(ISNUMBER($R6),$R6&gt;=TODAY()),$R6,99999),IF(AND(ISNUMBER($S6),$S6&gt;=TODAY()),$S6,99999),IF(AND(ISNUMBER($T6),$T6&gt;=TODAY()),$T6,99999),IF(AND(ISNUMBER($U6),$U6&gt;=TODAY()),$U6,99999),IF(AND(ISNUMBER($V6),$V6&gt;=TODAY()),$V6,99999))))</f>
        <v/>
      </c>
      <c r="L6" s="27" t="n"/>
      <c r="M6" s="27" t="n"/>
      <c r="N6" s="27" t="n"/>
      <c r="O6" s="27" t="n"/>
      <c r="P6" s="27" t="n"/>
      <c r="Q6" s="27" t="n"/>
      <c r="R6" s="27" t="n"/>
      <c r="S6" s="27" t="n"/>
      <c r="T6" s="27" t="n"/>
      <c r="U6" s="27" t="n"/>
      <c r="V6" s="27" t="n"/>
      <c r="W6" s="27" t="n"/>
      <c r="X6" s="27" t="n"/>
      <c r="Y6" s="27" t="n"/>
      <c r="Z6" s="30" t="n"/>
      <c r="AA6" s="25" t="n"/>
      <c r="AB6" s="28">
        <f>IF(NOT(AND($A6&lt;&gt;"",OR($G6="",$G6="Active"))),"",IF(OR(IF(OR(ISNUMBER($V6),$V6="DNA"),$V6,IF(OR(ISNUMBER($U6),$U6="DNA"),$U6,IF(OR(ISNUMBER($T6),$T6="DNA"),$T6,IF(OR(ISNUMBER($S6),$S6="DNA"),$S6,IF(OR(ISNUMBER($R6),$R6="DNA"),$R6,IF(OR(ISNUMBER($Q6),$Q6="DNA"),$Q6,IF(OR(ISNUMBER($N6),$N6="DNA"),$N6,IF(OR(ISNUMBER($M6),$M6="DNA"),$M6,IF(OR(ISNUMBER($L6),$L6="DNA"),$L6,"")))))))))="DNA",AND(ISNUMBER(IF(OR(ISNUMBER($V6),$V6="DNA"),$V6,IF(OR(ISNUMBER($U6),$U6="DNA"),$U6,IF(OR(ISNUMBER($T6),$T6="DNA"),$T6,IF(OR(ISNUMBER($S6),$S6="DNA"),$S6,IF(OR(ISNUMBER($R6),$R6="DNA"),$R6,IF(OR(ISNUMBER($Q6),$Q6="DNA"),$Q6,IF(OR(ISNUMBER($N6),$N6="DNA"),$N6,IF(OR(ISNUMBER($M6),$M6="DNA"),$M6,IF(OR(ISNUMBER($L6),$L6="DNA"),$L6,"")))))))))),IF(OR(ISNUMBER($V6),$V6="DNA"),$V6,IF(OR(ISNUMBER($U6),$U6="DNA"),$U6,IF(OR(ISNUMBER($T6),$T6="DNA"),$T6,IF(OR(ISNUMBER($S6),$S6="DNA"),$S6,IF(OR(ISNUMBER($R6),$R6="DNA"),$R6,IF(OR(ISNUMBER($Q6),$Q6="DNA"),$Q6,IF(OR(ISNUMBER($N6),$N6="DNA"),$N6,IF(OR(ISNUMBER($M6),$M6="DNA"),$M6,IF(OR(ISNUMBER($L6),$L6="DNA"),$L6,"")))))))))&lt;TODAY())),1,0)+ISNUMBER($O6)*($O6&lt;TODAY())+ISNUMBER($P6)*($P6&lt;TODAY())+ISNUMBER($X6)*($X6&lt;TODAY())+ISNUMBER($Y6)*($Y6&lt;TODAY()))</f>
        <v/>
      </c>
    </row>
    <row r="7">
      <c r="A7" s="25" t="n"/>
      <c r="B7" s="26" t="n"/>
      <c r="C7" s="27" t="n"/>
      <c r="D7" s="25" t="n"/>
      <c r="E7" s="25" t="n"/>
      <c r="F7" s="27" t="n"/>
      <c r="G7" s="25" t="n"/>
      <c r="H7" s="28">
        <f>IF(OR(NOT(AND($A7&lt;&gt;"",OR($G7="",$G7="Active"))),$F7=""),"",INT((TODAY()-$F7+280)/7)&amp;"+"&amp;MOD(TODAY()-$F7+280,7))</f>
        <v/>
      </c>
      <c r="I7" s="28">
        <f>IF(NOT(AND($A7&lt;&gt;"",OR($G7="",$G7="Active"))),"",ISNUMBER($L7)*($L7&gt;=TODAY())*($L7&lt;=TODAY()+7)+ISNUMBER($M7)*($M7&gt;=TODAY())*($M7&lt;=TODAY()+7)+ISNUMBER($N7)*($N7&gt;=TODAY())*($N7&lt;=TODAY()+7)+ISNUMBER($Q7)*($Q7&gt;=TODAY())*($Q7&lt;=TODAY()+7)+ISNUMBER($R7)*($R7&gt;=TODAY())*($R7&lt;=TODAY()+7)+ISNUMBER($S7)*($S7&gt;=TODAY())*($S7&lt;=TODAY()+7)+ISNUMBER($T7)*($T7&gt;=TODAY())*($T7&lt;=TODAY()+7)+ISNUMBER($U7)*($U7&gt;=TODAY())*($U7&lt;=TODAY()+7)+ISNUMBER($V7)*($V7&gt;=TODAY())*($V7&lt;=TODAY()+7)+ISNUMBER($O7)*($O7&gt;=TODAY())*($O7&lt;=TODAY()+7)+ISNUMBER($P7)*($P7&gt;=TODAY())*($P7&lt;=TODAY()+7)+ISNUMBER($X7)*($X7&gt;=TODAY())*($X7&lt;=TODAY()+7)+ISNUMBER($Y7)*($Y7&gt;=TODAY())*($Y7&lt;=TODAY()+7))</f>
        <v/>
      </c>
      <c r="J7" s="28">
        <f>IF(NOT(AND($A7&lt;&gt;"",OR($G7="",$G7="Active"))),"",IF($K7&lt;&gt;"",IF($L7=$K7,"Booking",IF($M7=$K7,"16/40",IF($N7=$K7,"25/40",IF($Q7=$K7,"28/40",IF($R7=$K7,"31/40",IF($S7=$K7,"34/40",IF($T7=$K7,"36/40",IF($U7=$K7,"38/40",IF($V7=$K7,"40/40",""))))))))),IF(IF(OR(ISNUMBER($V7),$V7="DNA"),$V7,IF(OR(ISNUMBER($U7),$U7="DNA"),$U7,IF(OR(ISNUMBER($T7),$T7="DNA"),$T7,IF(OR(ISNUMBER($S7),$S7="DNA"),$S7,IF(OR(ISNUMBER($R7),$R7="DNA"),$R7,IF(OR(ISNUMBER($Q7),$Q7="DNA"),$Q7,IF(OR(ISNUMBER($N7),$N7="DNA"),$N7,IF(OR(ISNUMBER($M7),$M7="DNA"),$M7,IF(OR(ISNUMBER($L7),$L7="DNA"),$L7,"")))))))))="DNA","Rebook DNA",IF(ISNUMBER(IF(OR(ISNUMBER($V7),$V7="DNA"),$V7,IF(OR(ISNUMBER($U7),$U7="DNA"),$U7,IF(OR(ISNUMBER($T7),$T7="DNA"),$T7,IF(OR(ISNUMBER($S7),$S7="DNA"),$S7,IF(OR(ISNUMBER($R7),$R7="DNA"),$R7,IF(OR(ISNUMBER($Q7),$Q7="DNA"),$Q7,IF(OR(ISNUMBER($N7),$N7="DNA"),$N7,IF(OR(ISNUMBER($M7),$M7="DNA"),$M7,IF(OR(ISNUMBER($L7),$L7="DNA"),$L7,"")))))))))),IF(ISNUMBER($V7),"Update status","Missed/not booked?"),""))))</f>
        <v/>
      </c>
      <c r="K7" s="29">
        <f>IF(NOT(AND($A7&lt;&gt;"",OR($G7="",$G7="Active"))),"",IF(MIN(IF(AND(ISNUMBER($L7),$L7&gt;=TODAY()),$L7,99999),IF(AND(ISNUMBER($M7),$M7&gt;=TODAY()),$M7,99999),IF(AND(ISNUMBER($N7),$N7&gt;=TODAY()),$N7,99999),IF(AND(ISNUMBER($Q7),$Q7&gt;=TODAY()),$Q7,99999),IF(AND(ISNUMBER($R7),$R7&gt;=TODAY()),$R7,99999),IF(AND(ISNUMBER($S7),$S7&gt;=TODAY()),$S7,99999),IF(AND(ISNUMBER($T7),$T7&gt;=TODAY()),$T7,99999),IF(AND(ISNUMBER($U7),$U7&gt;=TODAY()),$U7,99999),IF(AND(ISNUMBER($V7),$V7&gt;=TODAY()),$V7,99999))=99999,"",MIN(IF(AND(ISNUMBER($L7),$L7&gt;=TODAY()),$L7,99999),IF(AND(ISNUMBER($M7),$M7&gt;=TODAY()),$M7,99999),IF(AND(ISNUMBER($N7),$N7&gt;=TODAY()),$N7,99999),IF(AND(ISNUMBER($Q7),$Q7&gt;=TODAY()),$Q7,99999),IF(AND(ISNUMBER($R7),$R7&gt;=TODAY()),$R7,99999),IF(AND(ISNUMBER($S7),$S7&gt;=TODAY()),$S7,99999),IF(AND(ISNUMBER($T7),$T7&gt;=TODAY()),$T7,99999),IF(AND(ISNUMBER($U7),$U7&gt;=TODAY()),$U7,99999),IF(AND(ISNUMBER($V7),$V7&gt;=TODAY()),$V7,99999))))</f>
        <v/>
      </c>
      <c r="L7" s="27" t="n"/>
      <c r="M7" s="27" t="n"/>
      <c r="N7" s="27" t="n"/>
      <c r="O7" s="27" t="n"/>
      <c r="P7" s="27" t="n"/>
      <c r="Q7" s="27" t="n"/>
      <c r="R7" s="27" t="n"/>
      <c r="S7" s="27" t="n"/>
      <c r="T7" s="27" t="n"/>
      <c r="U7" s="27" t="n"/>
      <c r="V7" s="27" t="n"/>
      <c r="W7" s="27" t="n"/>
      <c r="X7" s="27" t="n"/>
      <c r="Y7" s="27" t="n"/>
      <c r="Z7" s="30" t="n"/>
      <c r="AA7" s="25" t="n"/>
      <c r="AB7" s="28">
        <f>IF(NOT(AND($A7&lt;&gt;"",OR($G7="",$G7="Active"))),"",IF(OR(IF(OR(ISNUMBER($V7),$V7="DNA"),$V7,IF(OR(ISNUMBER($U7),$U7="DNA"),$U7,IF(OR(ISNUMBER($T7),$T7="DNA"),$T7,IF(OR(ISNUMBER($S7),$S7="DNA"),$S7,IF(OR(ISNUMBER($R7),$R7="DNA"),$R7,IF(OR(ISNUMBER($Q7),$Q7="DNA"),$Q7,IF(OR(ISNUMBER($N7),$N7="DNA"),$N7,IF(OR(ISNUMBER($M7),$M7="DNA"),$M7,IF(OR(ISNUMBER($L7),$L7="DNA"),$L7,"")))))))))="DNA",AND(ISNUMBER(IF(OR(ISNUMBER($V7),$V7="DNA"),$V7,IF(OR(ISNUMBER($U7),$U7="DNA"),$U7,IF(OR(ISNUMBER($T7),$T7="DNA"),$T7,IF(OR(ISNUMBER($S7),$S7="DNA"),$S7,IF(OR(ISNUMBER($R7),$R7="DNA"),$R7,IF(OR(ISNUMBER($Q7),$Q7="DNA"),$Q7,IF(OR(ISNUMBER($N7),$N7="DNA"),$N7,IF(OR(ISNUMBER($M7),$M7="DNA"),$M7,IF(OR(ISNUMBER($L7),$L7="DNA"),$L7,"")))))))))),IF(OR(ISNUMBER($V7),$V7="DNA"),$V7,IF(OR(ISNUMBER($U7),$U7="DNA"),$U7,IF(OR(ISNUMBER($T7),$T7="DNA"),$T7,IF(OR(ISNUMBER($S7),$S7="DNA"),$S7,IF(OR(ISNUMBER($R7),$R7="DNA"),$R7,IF(OR(ISNUMBER($Q7),$Q7="DNA"),$Q7,IF(OR(ISNUMBER($N7),$N7="DNA"),$N7,IF(OR(ISNUMBER($M7),$M7="DNA"),$M7,IF(OR(ISNUMBER($L7),$L7="DNA"),$L7,"")))))))))&lt;TODAY())),1,0)+ISNUMBER($O7)*($O7&lt;TODAY())+ISNUMBER($P7)*($P7&lt;TODAY())+ISNUMBER($X7)*($X7&lt;TODAY())+ISNUMBER($Y7)*($Y7&lt;TODAY()))</f>
        <v/>
      </c>
    </row>
    <row r="8">
      <c r="A8" s="25" t="n"/>
      <c r="B8" s="26" t="n"/>
      <c r="C8" s="27" t="n"/>
      <c r="D8" s="25" t="n"/>
      <c r="E8" s="25" t="n"/>
      <c r="F8" s="27" t="n"/>
      <c r="G8" s="25" t="n"/>
      <c r="H8" s="28">
        <f>IF(OR(NOT(AND($A8&lt;&gt;"",OR($G8="",$G8="Active"))),$F8=""),"",INT((TODAY()-$F8+280)/7)&amp;"+"&amp;MOD(TODAY()-$F8+280,7))</f>
        <v/>
      </c>
      <c r="I8" s="28">
        <f>IF(NOT(AND($A8&lt;&gt;"",OR($G8="",$G8="Active"))),"",ISNUMBER($L8)*($L8&gt;=TODAY())*($L8&lt;=TODAY()+7)+ISNUMBER($M8)*($M8&gt;=TODAY())*($M8&lt;=TODAY()+7)+ISNUMBER($N8)*($N8&gt;=TODAY())*($N8&lt;=TODAY()+7)+ISNUMBER($Q8)*($Q8&gt;=TODAY())*($Q8&lt;=TODAY()+7)+ISNUMBER($R8)*($R8&gt;=TODAY())*($R8&lt;=TODAY()+7)+ISNUMBER($S8)*($S8&gt;=TODAY())*($S8&lt;=TODAY()+7)+ISNUMBER($T8)*($T8&gt;=TODAY())*($T8&lt;=TODAY()+7)+ISNUMBER($U8)*($U8&gt;=TODAY())*($U8&lt;=TODAY()+7)+ISNUMBER($V8)*($V8&gt;=TODAY())*($V8&lt;=TODAY()+7)+ISNUMBER($O8)*($O8&gt;=TODAY())*($O8&lt;=TODAY()+7)+ISNUMBER($P8)*($P8&gt;=TODAY())*($P8&lt;=TODAY()+7)+ISNUMBER($X8)*($X8&gt;=TODAY())*($X8&lt;=TODAY()+7)+ISNUMBER($Y8)*($Y8&gt;=TODAY())*($Y8&lt;=TODAY()+7))</f>
        <v/>
      </c>
      <c r="J8" s="28">
        <f>IF(NOT(AND($A8&lt;&gt;"",OR($G8="",$G8="Active"))),"",IF($K8&lt;&gt;"",IF($L8=$K8,"Booking",IF($M8=$K8,"16/40",IF($N8=$K8,"25/40",IF($Q8=$K8,"28/40",IF($R8=$K8,"31/40",IF($S8=$K8,"34/40",IF($T8=$K8,"36/40",IF($U8=$K8,"38/40",IF($V8=$K8,"40/40",""))))))))),IF(IF(OR(ISNUMBER($V8),$V8="DNA"),$V8,IF(OR(ISNUMBER($U8),$U8="DNA"),$U8,IF(OR(ISNUMBER($T8),$T8="DNA"),$T8,IF(OR(ISNUMBER($S8),$S8="DNA"),$S8,IF(OR(ISNUMBER($R8),$R8="DNA"),$R8,IF(OR(ISNUMBER($Q8),$Q8="DNA"),$Q8,IF(OR(ISNUMBER($N8),$N8="DNA"),$N8,IF(OR(ISNUMBER($M8),$M8="DNA"),$M8,IF(OR(ISNUMBER($L8),$L8="DNA"),$L8,"")))))))))="DNA","Rebook DNA",IF(ISNUMBER(IF(OR(ISNUMBER($V8),$V8="DNA"),$V8,IF(OR(ISNUMBER($U8),$U8="DNA"),$U8,IF(OR(ISNUMBER($T8),$T8="DNA"),$T8,IF(OR(ISNUMBER($S8),$S8="DNA"),$S8,IF(OR(ISNUMBER($R8),$R8="DNA"),$R8,IF(OR(ISNUMBER($Q8),$Q8="DNA"),$Q8,IF(OR(ISNUMBER($N8),$N8="DNA"),$N8,IF(OR(ISNUMBER($M8),$M8="DNA"),$M8,IF(OR(ISNUMBER($L8),$L8="DNA"),$L8,"")))))))))),IF(ISNUMBER($V8),"Update status","Missed/not booked?"),""))))</f>
        <v/>
      </c>
      <c r="K8" s="29">
        <f>IF(NOT(AND($A8&lt;&gt;"",OR($G8="",$G8="Active"))),"",IF(MIN(IF(AND(ISNUMBER($L8),$L8&gt;=TODAY()),$L8,99999),IF(AND(ISNUMBER($M8),$M8&gt;=TODAY()),$M8,99999),IF(AND(ISNUMBER($N8),$N8&gt;=TODAY()),$N8,99999),IF(AND(ISNUMBER($Q8),$Q8&gt;=TODAY()),$Q8,99999),IF(AND(ISNUMBER($R8),$R8&gt;=TODAY()),$R8,99999),IF(AND(ISNUMBER($S8),$S8&gt;=TODAY()),$S8,99999),IF(AND(ISNUMBER($T8),$T8&gt;=TODAY()),$T8,99999),IF(AND(ISNUMBER($U8),$U8&gt;=TODAY()),$U8,99999),IF(AND(ISNUMBER($V8),$V8&gt;=TODAY()),$V8,99999))=99999,"",MIN(IF(AND(ISNUMBER($L8),$L8&gt;=TODAY()),$L8,99999),IF(AND(ISNUMBER($M8),$M8&gt;=TODAY()),$M8,99999),IF(AND(ISNUMBER($N8),$N8&gt;=TODAY()),$N8,99999),IF(AND(ISNUMBER($Q8),$Q8&gt;=TODAY()),$Q8,99999),IF(AND(ISNUMBER($R8),$R8&gt;=TODAY()),$R8,99999),IF(AND(ISNUMBER($S8),$S8&gt;=TODAY()),$S8,99999),IF(AND(ISNUMBER($T8),$T8&gt;=TODAY()),$T8,99999),IF(AND(ISNUMBER($U8),$U8&gt;=TODAY()),$U8,99999),IF(AND(ISNUMBER($V8),$V8&gt;=TODAY()),$V8,99999))))</f>
        <v/>
      </c>
      <c r="L8" s="27" t="n"/>
      <c r="M8" s="27" t="n"/>
      <c r="N8" s="27" t="n"/>
      <c r="O8" s="27" t="n"/>
      <c r="P8" s="27" t="n"/>
      <c r="Q8" s="27" t="n"/>
      <c r="R8" s="27" t="n"/>
      <c r="S8" s="27" t="n"/>
      <c r="T8" s="27" t="n"/>
      <c r="U8" s="27" t="n"/>
      <c r="V8" s="27" t="n"/>
      <c r="W8" s="27" t="n"/>
      <c r="X8" s="27" t="n"/>
      <c r="Y8" s="27" t="n"/>
      <c r="Z8" s="30" t="n"/>
      <c r="AA8" s="25" t="n"/>
      <c r="AB8" s="28">
        <f>IF(NOT(AND($A8&lt;&gt;"",OR($G8="",$G8="Active"))),"",IF(OR(IF(OR(ISNUMBER($V8),$V8="DNA"),$V8,IF(OR(ISNUMBER($U8),$U8="DNA"),$U8,IF(OR(ISNUMBER($T8),$T8="DNA"),$T8,IF(OR(ISNUMBER($S8),$S8="DNA"),$S8,IF(OR(ISNUMBER($R8),$R8="DNA"),$R8,IF(OR(ISNUMBER($Q8),$Q8="DNA"),$Q8,IF(OR(ISNUMBER($N8),$N8="DNA"),$N8,IF(OR(ISNUMBER($M8),$M8="DNA"),$M8,IF(OR(ISNUMBER($L8),$L8="DNA"),$L8,"")))))))))="DNA",AND(ISNUMBER(IF(OR(ISNUMBER($V8),$V8="DNA"),$V8,IF(OR(ISNUMBER($U8),$U8="DNA"),$U8,IF(OR(ISNUMBER($T8),$T8="DNA"),$T8,IF(OR(ISNUMBER($S8),$S8="DNA"),$S8,IF(OR(ISNUMBER($R8),$R8="DNA"),$R8,IF(OR(ISNUMBER($Q8),$Q8="DNA"),$Q8,IF(OR(ISNUMBER($N8),$N8="DNA"),$N8,IF(OR(ISNUMBER($M8),$M8="DNA"),$M8,IF(OR(ISNUMBER($L8),$L8="DNA"),$L8,"")))))))))),IF(OR(ISNUMBER($V8),$V8="DNA"),$V8,IF(OR(ISNUMBER($U8),$U8="DNA"),$U8,IF(OR(ISNUMBER($T8),$T8="DNA"),$T8,IF(OR(ISNUMBER($S8),$S8="DNA"),$S8,IF(OR(ISNUMBER($R8),$R8="DNA"),$R8,IF(OR(ISNUMBER($Q8),$Q8="DNA"),$Q8,IF(OR(ISNUMBER($N8),$N8="DNA"),$N8,IF(OR(ISNUMBER($M8),$M8="DNA"),$M8,IF(OR(ISNUMBER($L8),$L8="DNA"),$L8,"")))))))))&lt;TODAY())),1,0)+ISNUMBER($O8)*($O8&lt;TODAY())+ISNUMBER($P8)*($P8&lt;TODAY())+ISNUMBER($X8)*($X8&lt;TODAY())+ISNUMBER($Y8)*($Y8&lt;TODAY()))</f>
        <v/>
      </c>
    </row>
    <row r="9">
      <c r="A9" s="25" t="n"/>
      <c r="B9" s="26" t="n"/>
      <c r="C9" s="27" t="n"/>
      <c r="D9" s="25" t="n"/>
      <c r="E9" s="25" t="n"/>
      <c r="F9" s="27" t="n"/>
      <c r="G9" s="25" t="n"/>
      <c r="H9" s="28">
        <f>IF(OR(NOT(AND($A9&lt;&gt;"",OR($G9="",$G9="Active"))),$F9=""),"",INT((TODAY()-$F9+280)/7)&amp;"+"&amp;MOD(TODAY()-$F9+280,7))</f>
        <v/>
      </c>
      <c r="I9" s="28">
        <f>IF(NOT(AND($A9&lt;&gt;"",OR($G9="",$G9="Active"))),"",ISNUMBER($L9)*($L9&gt;=TODAY())*($L9&lt;=TODAY()+7)+ISNUMBER($M9)*($M9&gt;=TODAY())*($M9&lt;=TODAY()+7)+ISNUMBER($N9)*($N9&gt;=TODAY())*($N9&lt;=TODAY()+7)+ISNUMBER($Q9)*($Q9&gt;=TODAY())*($Q9&lt;=TODAY()+7)+ISNUMBER($R9)*($R9&gt;=TODAY())*($R9&lt;=TODAY()+7)+ISNUMBER($S9)*($S9&gt;=TODAY())*($S9&lt;=TODAY()+7)+ISNUMBER($T9)*($T9&gt;=TODAY())*($T9&lt;=TODAY()+7)+ISNUMBER($U9)*($U9&gt;=TODAY())*($U9&lt;=TODAY()+7)+ISNUMBER($V9)*($V9&gt;=TODAY())*($V9&lt;=TODAY()+7)+ISNUMBER($O9)*($O9&gt;=TODAY())*($O9&lt;=TODAY()+7)+ISNUMBER($P9)*($P9&gt;=TODAY())*($P9&lt;=TODAY()+7)+ISNUMBER($X9)*($X9&gt;=TODAY())*($X9&lt;=TODAY()+7)+ISNUMBER($Y9)*($Y9&gt;=TODAY())*($Y9&lt;=TODAY()+7))</f>
        <v/>
      </c>
      <c r="J9" s="28">
        <f>IF(NOT(AND($A9&lt;&gt;"",OR($G9="",$G9="Active"))),"",IF($K9&lt;&gt;"",IF($L9=$K9,"Booking",IF($M9=$K9,"16/40",IF($N9=$K9,"25/40",IF($Q9=$K9,"28/40",IF($R9=$K9,"31/40",IF($S9=$K9,"34/40",IF($T9=$K9,"36/40",IF($U9=$K9,"38/40",IF($V9=$K9,"40/40",""))))))))),IF(IF(OR(ISNUMBER($V9),$V9="DNA"),$V9,IF(OR(ISNUMBER($U9),$U9="DNA"),$U9,IF(OR(ISNUMBER($T9),$T9="DNA"),$T9,IF(OR(ISNUMBER($S9),$S9="DNA"),$S9,IF(OR(ISNUMBER($R9),$R9="DNA"),$R9,IF(OR(ISNUMBER($Q9),$Q9="DNA"),$Q9,IF(OR(ISNUMBER($N9),$N9="DNA"),$N9,IF(OR(ISNUMBER($M9),$M9="DNA"),$M9,IF(OR(ISNUMBER($L9),$L9="DNA"),$L9,"")))))))))="DNA","Rebook DNA",IF(ISNUMBER(IF(OR(ISNUMBER($V9),$V9="DNA"),$V9,IF(OR(ISNUMBER($U9),$U9="DNA"),$U9,IF(OR(ISNUMBER($T9),$T9="DNA"),$T9,IF(OR(ISNUMBER($S9),$S9="DNA"),$S9,IF(OR(ISNUMBER($R9),$R9="DNA"),$R9,IF(OR(ISNUMBER($Q9),$Q9="DNA"),$Q9,IF(OR(ISNUMBER($N9),$N9="DNA"),$N9,IF(OR(ISNUMBER($M9),$M9="DNA"),$M9,IF(OR(ISNUMBER($L9),$L9="DNA"),$L9,"")))))))))),IF(ISNUMBER($V9),"Update status","Missed/not booked?"),""))))</f>
        <v/>
      </c>
      <c r="K9" s="29">
        <f>IF(NOT(AND($A9&lt;&gt;"",OR($G9="",$G9="Active"))),"",IF(MIN(IF(AND(ISNUMBER($L9),$L9&gt;=TODAY()),$L9,99999),IF(AND(ISNUMBER($M9),$M9&gt;=TODAY()),$M9,99999),IF(AND(ISNUMBER($N9),$N9&gt;=TODAY()),$N9,99999),IF(AND(ISNUMBER($Q9),$Q9&gt;=TODAY()),$Q9,99999),IF(AND(ISNUMBER($R9),$R9&gt;=TODAY()),$R9,99999),IF(AND(ISNUMBER($S9),$S9&gt;=TODAY()),$S9,99999),IF(AND(ISNUMBER($T9),$T9&gt;=TODAY()),$T9,99999),IF(AND(ISNUMBER($U9),$U9&gt;=TODAY()),$U9,99999),IF(AND(ISNUMBER($V9),$V9&gt;=TODAY()),$V9,99999))=99999,"",MIN(IF(AND(ISNUMBER($L9),$L9&gt;=TODAY()),$L9,99999),IF(AND(ISNUMBER($M9),$M9&gt;=TODAY()),$M9,99999),IF(AND(ISNUMBER($N9),$N9&gt;=TODAY()),$N9,99999),IF(AND(ISNUMBER($Q9),$Q9&gt;=TODAY()),$Q9,99999),IF(AND(ISNUMBER($R9),$R9&gt;=TODAY()),$R9,99999),IF(AND(ISNUMBER($S9),$S9&gt;=TODAY()),$S9,99999),IF(AND(ISNUMBER($T9),$T9&gt;=TODAY()),$T9,99999),IF(AND(ISNUMBER($U9),$U9&gt;=TODAY()),$U9,99999),IF(AND(ISNUMBER($V9),$V9&gt;=TODAY()),$V9,99999))))</f>
        <v/>
      </c>
      <c r="L9" s="27" t="n"/>
      <c r="M9" s="27" t="n"/>
      <c r="N9" s="27" t="n"/>
      <c r="O9" s="27" t="n"/>
      <c r="P9" s="27" t="n"/>
      <c r="Q9" s="27" t="n"/>
      <c r="R9" s="27" t="n"/>
      <c r="S9" s="27" t="n"/>
      <c r="T9" s="27" t="n"/>
      <c r="U9" s="27" t="n"/>
      <c r="V9" s="27" t="n"/>
      <c r="W9" s="27" t="n"/>
      <c r="X9" s="27" t="n"/>
      <c r="Y9" s="27" t="n"/>
      <c r="Z9" s="30" t="n"/>
      <c r="AA9" s="25" t="n"/>
      <c r="AB9" s="28">
        <f>IF(NOT(AND($A9&lt;&gt;"",OR($G9="",$G9="Active"))),"",IF(OR(IF(OR(ISNUMBER($V9),$V9="DNA"),$V9,IF(OR(ISNUMBER($U9),$U9="DNA"),$U9,IF(OR(ISNUMBER($T9),$T9="DNA"),$T9,IF(OR(ISNUMBER($S9),$S9="DNA"),$S9,IF(OR(ISNUMBER($R9),$R9="DNA"),$R9,IF(OR(ISNUMBER($Q9),$Q9="DNA"),$Q9,IF(OR(ISNUMBER($N9),$N9="DNA"),$N9,IF(OR(ISNUMBER($M9),$M9="DNA"),$M9,IF(OR(ISNUMBER($L9),$L9="DNA"),$L9,"")))))))))="DNA",AND(ISNUMBER(IF(OR(ISNUMBER($V9),$V9="DNA"),$V9,IF(OR(ISNUMBER($U9),$U9="DNA"),$U9,IF(OR(ISNUMBER($T9),$T9="DNA"),$T9,IF(OR(ISNUMBER($S9),$S9="DNA"),$S9,IF(OR(ISNUMBER($R9),$R9="DNA"),$R9,IF(OR(ISNUMBER($Q9),$Q9="DNA"),$Q9,IF(OR(ISNUMBER($N9),$N9="DNA"),$N9,IF(OR(ISNUMBER($M9),$M9="DNA"),$M9,IF(OR(ISNUMBER($L9),$L9="DNA"),$L9,"")))))))))),IF(OR(ISNUMBER($V9),$V9="DNA"),$V9,IF(OR(ISNUMBER($U9),$U9="DNA"),$U9,IF(OR(ISNUMBER($T9),$T9="DNA"),$T9,IF(OR(ISNUMBER($S9),$S9="DNA"),$S9,IF(OR(ISNUMBER($R9),$R9="DNA"),$R9,IF(OR(ISNUMBER($Q9),$Q9="DNA"),$Q9,IF(OR(ISNUMBER($N9),$N9="DNA"),$N9,IF(OR(ISNUMBER($M9),$M9="DNA"),$M9,IF(OR(ISNUMBER($L9),$L9="DNA"),$L9,"")))))))))&lt;TODAY())),1,0)+ISNUMBER($O9)*($O9&lt;TODAY())+ISNUMBER($P9)*($P9&lt;TODAY())+ISNUMBER($X9)*($X9&lt;TODAY())+ISNUMBER($Y9)*($Y9&lt;TODAY()))</f>
        <v/>
      </c>
    </row>
    <row r="10">
      <c r="A10" s="25" t="n"/>
      <c r="B10" s="26" t="n"/>
      <c r="C10" s="27" t="n"/>
      <c r="D10" s="25" t="n"/>
      <c r="E10" s="25" t="n"/>
      <c r="F10" s="27" t="n"/>
      <c r="G10" s="25" t="n"/>
      <c r="H10" s="28">
        <f>IF(OR(NOT(AND($A10&lt;&gt;"",OR($G10="",$G10="Active"))),$F10=""),"",INT((TODAY()-$F10+280)/7)&amp;"+"&amp;MOD(TODAY()-$F10+280,7))</f>
        <v/>
      </c>
      <c r="I10" s="28">
        <f>IF(NOT(AND($A10&lt;&gt;"",OR($G10="",$G10="Active"))),"",ISNUMBER($L10)*($L10&gt;=TODAY())*($L10&lt;=TODAY()+7)+ISNUMBER($M10)*($M10&gt;=TODAY())*($M10&lt;=TODAY()+7)+ISNUMBER($N10)*($N10&gt;=TODAY())*($N10&lt;=TODAY()+7)+ISNUMBER($Q10)*($Q10&gt;=TODAY())*($Q10&lt;=TODAY()+7)+ISNUMBER($R10)*($R10&gt;=TODAY())*($R10&lt;=TODAY()+7)+ISNUMBER($S10)*($S10&gt;=TODAY())*($S10&lt;=TODAY()+7)+ISNUMBER($T10)*($T10&gt;=TODAY())*($T10&lt;=TODAY()+7)+ISNUMBER($U10)*($U10&gt;=TODAY())*($U10&lt;=TODAY()+7)+ISNUMBER($V10)*($V10&gt;=TODAY())*($V10&lt;=TODAY()+7)+ISNUMBER($O10)*($O10&gt;=TODAY())*($O10&lt;=TODAY()+7)+ISNUMBER($P10)*($P10&gt;=TODAY())*($P10&lt;=TODAY()+7)+ISNUMBER($X10)*($X10&gt;=TODAY())*($X10&lt;=TODAY()+7)+ISNUMBER($Y10)*($Y10&gt;=TODAY())*($Y10&lt;=TODAY()+7))</f>
        <v/>
      </c>
      <c r="J10" s="28">
        <f>IF(NOT(AND($A10&lt;&gt;"",OR($G10="",$G10="Active"))),"",IF($K10&lt;&gt;"",IF($L10=$K10,"Booking",IF($M10=$K10,"16/40",IF($N10=$K10,"25/40",IF($Q10=$K10,"28/40",IF($R10=$K10,"31/40",IF($S10=$K10,"34/40",IF($T10=$K10,"36/40",IF($U10=$K10,"38/40",IF($V10=$K10,"40/40",""))))))))),IF(IF(OR(ISNUMBER($V10),$V10="DNA"),$V10,IF(OR(ISNUMBER($U10),$U10="DNA"),$U10,IF(OR(ISNUMBER($T10),$T10="DNA"),$T10,IF(OR(ISNUMBER($S10),$S10="DNA"),$S10,IF(OR(ISNUMBER($R10),$R10="DNA"),$R10,IF(OR(ISNUMBER($Q10),$Q10="DNA"),$Q10,IF(OR(ISNUMBER($N10),$N10="DNA"),$N10,IF(OR(ISNUMBER($M10),$M10="DNA"),$M10,IF(OR(ISNUMBER($L10),$L10="DNA"),$L10,"")))))))))="DNA","Rebook DNA",IF(ISNUMBER(IF(OR(ISNUMBER($V10),$V10="DNA"),$V10,IF(OR(ISNUMBER($U10),$U10="DNA"),$U10,IF(OR(ISNUMBER($T10),$T10="DNA"),$T10,IF(OR(ISNUMBER($S10),$S10="DNA"),$S10,IF(OR(ISNUMBER($R10),$R10="DNA"),$R10,IF(OR(ISNUMBER($Q10),$Q10="DNA"),$Q10,IF(OR(ISNUMBER($N10),$N10="DNA"),$N10,IF(OR(ISNUMBER($M10),$M10="DNA"),$M10,IF(OR(ISNUMBER($L10),$L10="DNA"),$L10,"")))))))))),IF(ISNUMBER($V10),"Update status","Missed/not booked?"),""))))</f>
        <v/>
      </c>
      <c r="K10" s="29">
        <f>IF(NOT(AND($A10&lt;&gt;"",OR($G10="",$G10="Active"))),"",IF(MIN(IF(AND(ISNUMBER($L10),$L10&gt;=TODAY()),$L10,99999),IF(AND(ISNUMBER($M10),$M10&gt;=TODAY()),$M10,99999),IF(AND(ISNUMBER($N10),$N10&gt;=TODAY()),$N10,99999),IF(AND(ISNUMBER($Q10),$Q10&gt;=TODAY()),$Q10,99999),IF(AND(ISNUMBER($R10),$R10&gt;=TODAY()),$R10,99999),IF(AND(ISNUMBER($S10),$S10&gt;=TODAY()),$S10,99999),IF(AND(ISNUMBER($T10),$T10&gt;=TODAY()),$T10,99999),IF(AND(ISNUMBER($U10),$U10&gt;=TODAY()),$U10,99999),IF(AND(ISNUMBER($V10),$V10&gt;=TODAY()),$V10,99999))=99999,"",MIN(IF(AND(ISNUMBER($L10),$L10&gt;=TODAY()),$L10,99999),IF(AND(ISNUMBER($M10),$M10&gt;=TODAY()),$M10,99999),IF(AND(ISNUMBER($N10),$N10&gt;=TODAY()),$N10,99999),IF(AND(ISNUMBER($Q10),$Q10&gt;=TODAY()),$Q10,99999),IF(AND(ISNUMBER($R10),$R10&gt;=TODAY()),$R10,99999),IF(AND(ISNUMBER($S10),$S10&gt;=TODAY()),$S10,99999),IF(AND(ISNUMBER($T10),$T10&gt;=TODAY()),$T10,99999),IF(AND(ISNUMBER($U10),$U10&gt;=TODAY()),$U10,99999),IF(AND(ISNUMBER($V10),$V10&gt;=TODAY()),$V10,99999))))</f>
        <v/>
      </c>
      <c r="L10" s="27" t="n"/>
      <c r="M10" s="27" t="n"/>
      <c r="N10" s="27" t="n"/>
      <c r="O10" s="27" t="n"/>
      <c r="P10" s="27" t="n"/>
      <c r="Q10" s="27" t="n"/>
      <c r="R10" s="27" t="n"/>
      <c r="S10" s="27" t="n"/>
      <c r="T10" s="27" t="n"/>
      <c r="U10" s="27" t="n"/>
      <c r="V10" s="27" t="n"/>
      <c r="W10" s="27" t="n"/>
      <c r="X10" s="27" t="n"/>
      <c r="Y10" s="27" t="n"/>
      <c r="Z10" s="30" t="n"/>
      <c r="AA10" s="25" t="n"/>
      <c r="AB10" s="28">
        <f>IF(NOT(AND($A10&lt;&gt;"",OR($G10="",$G10="Active"))),"",IF(OR(IF(OR(ISNUMBER($V10),$V10="DNA"),$V10,IF(OR(ISNUMBER($U10),$U10="DNA"),$U10,IF(OR(ISNUMBER($T10),$T10="DNA"),$T10,IF(OR(ISNUMBER($S10),$S10="DNA"),$S10,IF(OR(ISNUMBER($R10),$R10="DNA"),$R10,IF(OR(ISNUMBER($Q10),$Q10="DNA"),$Q10,IF(OR(ISNUMBER($N10),$N10="DNA"),$N10,IF(OR(ISNUMBER($M10),$M10="DNA"),$M10,IF(OR(ISNUMBER($L10),$L10="DNA"),$L10,"")))))))))="DNA",AND(ISNUMBER(IF(OR(ISNUMBER($V10),$V10="DNA"),$V10,IF(OR(ISNUMBER($U10),$U10="DNA"),$U10,IF(OR(ISNUMBER($T10),$T10="DNA"),$T10,IF(OR(ISNUMBER($S10),$S10="DNA"),$S10,IF(OR(ISNUMBER($R10),$R10="DNA"),$R10,IF(OR(ISNUMBER($Q10),$Q10="DNA"),$Q10,IF(OR(ISNUMBER($N10),$N10="DNA"),$N10,IF(OR(ISNUMBER($M10),$M10="DNA"),$M10,IF(OR(ISNUMBER($L10),$L10="DNA"),$L10,"")))))))))),IF(OR(ISNUMBER($V10),$V10="DNA"),$V10,IF(OR(ISNUMBER($U10),$U10="DNA"),$U10,IF(OR(ISNUMBER($T10),$T10="DNA"),$T10,IF(OR(ISNUMBER($S10),$S10="DNA"),$S10,IF(OR(ISNUMBER($R10),$R10="DNA"),$R10,IF(OR(ISNUMBER($Q10),$Q10="DNA"),$Q10,IF(OR(ISNUMBER($N10),$N10="DNA"),$N10,IF(OR(ISNUMBER($M10),$M10="DNA"),$M10,IF(OR(ISNUMBER($L10),$L10="DNA"),$L10,"")))))))))&lt;TODAY())),1,0)+ISNUMBER($O10)*($O10&lt;TODAY())+ISNUMBER($P10)*($P10&lt;TODAY())+ISNUMBER($X10)*($X10&lt;TODAY())+ISNUMBER($Y10)*($Y10&lt;TODAY()))</f>
        <v/>
      </c>
    </row>
    <row r="11">
      <c r="A11" s="25" t="n"/>
      <c r="B11" s="26" t="n"/>
      <c r="C11" s="27" t="n"/>
      <c r="D11" s="25" t="n"/>
      <c r="E11" s="25" t="n"/>
      <c r="F11" s="27" t="n"/>
      <c r="G11" s="25" t="n"/>
      <c r="H11" s="28">
        <f>IF(OR(NOT(AND($A11&lt;&gt;"",OR($G11="",$G11="Active"))),$F11=""),"",INT((TODAY()-$F11+280)/7)&amp;"+"&amp;MOD(TODAY()-$F11+280,7))</f>
        <v/>
      </c>
      <c r="I11" s="28">
        <f>IF(NOT(AND($A11&lt;&gt;"",OR($G11="",$G11="Active"))),"",ISNUMBER($L11)*($L11&gt;=TODAY())*($L11&lt;=TODAY()+7)+ISNUMBER($M11)*($M11&gt;=TODAY())*($M11&lt;=TODAY()+7)+ISNUMBER($N11)*($N11&gt;=TODAY())*($N11&lt;=TODAY()+7)+ISNUMBER($Q11)*($Q11&gt;=TODAY())*($Q11&lt;=TODAY()+7)+ISNUMBER($R11)*($R11&gt;=TODAY())*($R11&lt;=TODAY()+7)+ISNUMBER($S11)*($S11&gt;=TODAY())*($S11&lt;=TODAY()+7)+ISNUMBER($T11)*($T11&gt;=TODAY())*($T11&lt;=TODAY()+7)+ISNUMBER($U11)*($U11&gt;=TODAY())*($U11&lt;=TODAY()+7)+ISNUMBER($V11)*($V11&gt;=TODAY())*($V11&lt;=TODAY()+7)+ISNUMBER($O11)*($O11&gt;=TODAY())*($O11&lt;=TODAY()+7)+ISNUMBER($P11)*($P11&gt;=TODAY())*($P11&lt;=TODAY()+7)+ISNUMBER($X11)*($X11&gt;=TODAY())*($X11&lt;=TODAY()+7)+ISNUMBER($Y11)*($Y11&gt;=TODAY())*($Y11&lt;=TODAY()+7))</f>
        <v/>
      </c>
      <c r="J11" s="28">
        <f>IF(NOT(AND($A11&lt;&gt;"",OR($G11="",$G11="Active"))),"",IF($K11&lt;&gt;"",IF($L11=$K11,"Booking",IF($M11=$K11,"16/40",IF($N11=$K11,"25/40",IF($Q11=$K11,"28/40",IF($R11=$K11,"31/40",IF($S11=$K11,"34/40",IF($T11=$K11,"36/40",IF($U11=$K11,"38/40",IF($V11=$K11,"40/40",""))))))))),IF(IF(OR(ISNUMBER($V11),$V11="DNA"),$V11,IF(OR(ISNUMBER($U11),$U11="DNA"),$U11,IF(OR(ISNUMBER($T11),$T11="DNA"),$T11,IF(OR(ISNUMBER($S11),$S11="DNA"),$S11,IF(OR(ISNUMBER($R11),$R11="DNA"),$R11,IF(OR(ISNUMBER($Q11),$Q11="DNA"),$Q11,IF(OR(ISNUMBER($N11),$N11="DNA"),$N11,IF(OR(ISNUMBER($M11),$M11="DNA"),$M11,IF(OR(ISNUMBER($L11),$L11="DNA"),$L11,"")))))))))="DNA","Rebook DNA",IF(ISNUMBER(IF(OR(ISNUMBER($V11),$V11="DNA"),$V11,IF(OR(ISNUMBER($U11),$U11="DNA"),$U11,IF(OR(ISNUMBER($T11),$T11="DNA"),$T11,IF(OR(ISNUMBER($S11),$S11="DNA"),$S11,IF(OR(ISNUMBER($R11),$R11="DNA"),$R11,IF(OR(ISNUMBER($Q11),$Q11="DNA"),$Q11,IF(OR(ISNUMBER($N11),$N11="DNA"),$N11,IF(OR(ISNUMBER($M11),$M11="DNA"),$M11,IF(OR(ISNUMBER($L11),$L11="DNA"),$L11,"")))))))))),IF(ISNUMBER($V11),"Update status","Missed/not booked?"),""))))</f>
        <v/>
      </c>
      <c r="K11" s="29">
        <f>IF(NOT(AND($A11&lt;&gt;"",OR($G11="",$G11="Active"))),"",IF(MIN(IF(AND(ISNUMBER($L11),$L11&gt;=TODAY()),$L11,99999),IF(AND(ISNUMBER($M11),$M11&gt;=TODAY()),$M11,99999),IF(AND(ISNUMBER($N11),$N11&gt;=TODAY()),$N11,99999),IF(AND(ISNUMBER($Q11),$Q11&gt;=TODAY()),$Q11,99999),IF(AND(ISNUMBER($R11),$R11&gt;=TODAY()),$R11,99999),IF(AND(ISNUMBER($S11),$S11&gt;=TODAY()),$S11,99999),IF(AND(ISNUMBER($T11),$T11&gt;=TODAY()),$T11,99999),IF(AND(ISNUMBER($U11),$U11&gt;=TODAY()),$U11,99999),IF(AND(ISNUMBER($V11),$V11&gt;=TODAY()),$V11,99999))=99999,"",MIN(IF(AND(ISNUMBER($L11),$L11&gt;=TODAY()),$L11,99999),IF(AND(ISNUMBER($M11),$M11&gt;=TODAY()),$M11,99999),IF(AND(ISNUMBER($N11),$N11&gt;=TODAY()),$N11,99999),IF(AND(ISNUMBER($Q11),$Q11&gt;=TODAY()),$Q11,99999),IF(AND(ISNUMBER($R11),$R11&gt;=TODAY()),$R11,99999),IF(AND(ISNUMBER($S11),$S11&gt;=TODAY()),$S11,99999),IF(AND(ISNUMBER($T11),$T11&gt;=TODAY()),$T11,99999),IF(AND(ISNUMBER($U11),$U11&gt;=TODAY()),$U11,99999),IF(AND(ISNUMBER($V11),$V11&gt;=TODAY()),$V11,99999))))</f>
        <v/>
      </c>
      <c r="L11" s="27" t="n"/>
      <c r="M11" s="27" t="n"/>
      <c r="N11" s="27" t="n"/>
      <c r="O11" s="27" t="n"/>
      <c r="P11" s="27" t="n"/>
      <c r="Q11" s="27" t="n"/>
      <c r="R11" s="27" t="n"/>
      <c r="S11" s="27" t="n"/>
      <c r="T11" s="27" t="n"/>
      <c r="U11" s="27" t="n"/>
      <c r="V11" s="27" t="n"/>
      <c r="W11" s="27" t="n"/>
      <c r="X11" s="27" t="n"/>
      <c r="Y11" s="27" t="n"/>
      <c r="Z11" s="30" t="n"/>
      <c r="AA11" s="25" t="n"/>
      <c r="AB11" s="28">
        <f>IF(NOT(AND($A11&lt;&gt;"",OR($G11="",$G11="Active"))),"",IF(OR(IF(OR(ISNUMBER($V11),$V11="DNA"),$V11,IF(OR(ISNUMBER($U11),$U11="DNA"),$U11,IF(OR(ISNUMBER($T11),$T11="DNA"),$T11,IF(OR(ISNUMBER($S11),$S11="DNA"),$S11,IF(OR(ISNUMBER($R11),$R11="DNA"),$R11,IF(OR(ISNUMBER($Q11),$Q11="DNA"),$Q11,IF(OR(ISNUMBER($N11),$N11="DNA"),$N11,IF(OR(ISNUMBER($M11),$M11="DNA"),$M11,IF(OR(ISNUMBER($L11),$L11="DNA"),$L11,"")))))))))="DNA",AND(ISNUMBER(IF(OR(ISNUMBER($V11),$V11="DNA"),$V11,IF(OR(ISNUMBER($U11),$U11="DNA"),$U11,IF(OR(ISNUMBER($T11),$T11="DNA"),$T11,IF(OR(ISNUMBER($S11),$S11="DNA"),$S11,IF(OR(ISNUMBER($R11),$R11="DNA"),$R11,IF(OR(ISNUMBER($Q11),$Q11="DNA"),$Q11,IF(OR(ISNUMBER($N11),$N11="DNA"),$N11,IF(OR(ISNUMBER($M11),$M11="DNA"),$M11,IF(OR(ISNUMBER($L11),$L11="DNA"),$L11,"")))))))))),IF(OR(ISNUMBER($V11),$V11="DNA"),$V11,IF(OR(ISNUMBER($U11),$U11="DNA"),$U11,IF(OR(ISNUMBER($T11),$T11="DNA"),$T11,IF(OR(ISNUMBER($S11),$S11="DNA"),$S11,IF(OR(ISNUMBER($R11),$R11="DNA"),$R11,IF(OR(ISNUMBER($Q11),$Q11="DNA"),$Q11,IF(OR(ISNUMBER($N11),$N11="DNA"),$N11,IF(OR(ISNUMBER($M11),$M11="DNA"),$M11,IF(OR(ISNUMBER($L11),$L11="DNA"),$L11,"")))))))))&lt;TODAY())),1,0)+ISNUMBER($O11)*($O11&lt;TODAY())+ISNUMBER($P11)*($P11&lt;TODAY())+ISNUMBER($X11)*($X11&lt;TODAY())+ISNUMBER($Y11)*($Y11&lt;TODAY()))</f>
        <v/>
      </c>
    </row>
    <row r="12">
      <c r="A12" s="25" t="n"/>
      <c r="B12" s="26" t="n"/>
      <c r="C12" s="27" t="n"/>
      <c r="D12" s="25" t="n"/>
      <c r="E12" s="25" t="n"/>
      <c r="F12" s="27" t="n"/>
      <c r="G12" s="25" t="n"/>
      <c r="H12" s="28">
        <f>IF(OR(NOT(AND($A12&lt;&gt;"",OR($G12="",$G12="Active"))),$F12=""),"",INT((TODAY()-$F12+280)/7)&amp;"+"&amp;MOD(TODAY()-$F12+280,7))</f>
        <v/>
      </c>
      <c r="I12" s="28">
        <f>IF(NOT(AND($A12&lt;&gt;"",OR($G12="",$G12="Active"))),"",ISNUMBER($L12)*($L12&gt;=TODAY())*($L12&lt;=TODAY()+7)+ISNUMBER($M12)*($M12&gt;=TODAY())*($M12&lt;=TODAY()+7)+ISNUMBER($N12)*($N12&gt;=TODAY())*($N12&lt;=TODAY()+7)+ISNUMBER($Q12)*($Q12&gt;=TODAY())*($Q12&lt;=TODAY()+7)+ISNUMBER($R12)*($R12&gt;=TODAY())*($R12&lt;=TODAY()+7)+ISNUMBER($S12)*($S12&gt;=TODAY())*($S12&lt;=TODAY()+7)+ISNUMBER($T12)*($T12&gt;=TODAY())*($T12&lt;=TODAY()+7)+ISNUMBER($U12)*($U12&gt;=TODAY())*($U12&lt;=TODAY()+7)+ISNUMBER($V12)*($V12&gt;=TODAY())*($V12&lt;=TODAY()+7)+ISNUMBER($O12)*($O12&gt;=TODAY())*($O12&lt;=TODAY()+7)+ISNUMBER($P12)*($P12&gt;=TODAY())*($P12&lt;=TODAY()+7)+ISNUMBER($X12)*($X12&gt;=TODAY())*($X12&lt;=TODAY()+7)+ISNUMBER($Y12)*($Y12&gt;=TODAY())*($Y12&lt;=TODAY()+7))</f>
        <v/>
      </c>
      <c r="J12" s="28">
        <f>IF(NOT(AND($A12&lt;&gt;"",OR($G12="",$G12="Active"))),"",IF($K12&lt;&gt;"",IF($L12=$K12,"Booking",IF($M12=$K12,"16/40",IF($N12=$K12,"25/40",IF($Q12=$K12,"28/40",IF($R12=$K12,"31/40",IF($S12=$K12,"34/40",IF($T12=$K12,"36/40",IF($U12=$K12,"38/40",IF($V12=$K12,"40/40",""))))))))),IF(IF(OR(ISNUMBER($V12),$V12="DNA"),$V12,IF(OR(ISNUMBER($U12),$U12="DNA"),$U12,IF(OR(ISNUMBER($T12),$T12="DNA"),$T12,IF(OR(ISNUMBER($S12),$S12="DNA"),$S12,IF(OR(ISNUMBER($R12),$R12="DNA"),$R12,IF(OR(ISNUMBER($Q12),$Q12="DNA"),$Q12,IF(OR(ISNUMBER($N12),$N12="DNA"),$N12,IF(OR(ISNUMBER($M12),$M12="DNA"),$M12,IF(OR(ISNUMBER($L12),$L12="DNA"),$L12,"")))))))))="DNA","Rebook DNA",IF(ISNUMBER(IF(OR(ISNUMBER($V12),$V12="DNA"),$V12,IF(OR(ISNUMBER($U12),$U12="DNA"),$U12,IF(OR(ISNUMBER($T12),$T12="DNA"),$T12,IF(OR(ISNUMBER($S12),$S12="DNA"),$S12,IF(OR(ISNUMBER($R12),$R12="DNA"),$R12,IF(OR(ISNUMBER($Q12),$Q12="DNA"),$Q12,IF(OR(ISNUMBER($N12),$N12="DNA"),$N12,IF(OR(ISNUMBER($M12),$M12="DNA"),$M12,IF(OR(ISNUMBER($L12),$L12="DNA"),$L12,"")))))))))),IF(ISNUMBER($V12),"Update status","Missed/not booked?"),""))))</f>
        <v/>
      </c>
      <c r="K12" s="29">
        <f>IF(NOT(AND($A12&lt;&gt;"",OR($G12="",$G12="Active"))),"",IF(MIN(IF(AND(ISNUMBER($L12),$L12&gt;=TODAY()),$L12,99999),IF(AND(ISNUMBER($M12),$M12&gt;=TODAY()),$M12,99999),IF(AND(ISNUMBER($N12),$N12&gt;=TODAY()),$N12,99999),IF(AND(ISNUMBER($Q12),$Q12&gt;=TODAY()),$Q12,99999),IF(AND(ISNUMBER($R12),$R12&gt;=TODAY()),$R12,99999),IF(AND(ISNUMBER($S12),$S12&gt;=TODAY()),$S12,99999),IF(AND(ISNUMBER($T12),$T12&gt;=TODAY()),$T12,99999),IF(AND(ISNUMBER($U12),$U12&gt;=TODAY()),$U12,99999),IF(AND(ISNUMBER($V12),$V12&gt;=TODAY()),$V12,99999))=99999,"",MIN(IF(AND(ISNUMBER($L12),$L12&gt;=TODAY()),$L12,99999),IF(AND(ISNUMBER($M12),$M12&gt;=TODAY()),$M12,99999),IF(AND(ISNUMBER($N12),$N12&gt;=TODAY()),$N12,99999),IF(AND(ISNUMBER($Q12),$Q12&gt;=TODAY()),$Q12,99999),IF(AND(ISNUMBER($R12),$R12&gt;=TODAY()),$R12,99999),IF(AND(ISNUMBER($S12),$S12&gt;=TODAY()),$S12,99999),IF(AND(ISNUMBER($T12),$T12&gt;=TODAY()),$T12,99999),IF(AND(ISNUMBER($U12),$U12&gt;=TODAY()),$U12,99999),IF(AND(ISNUMBER($V12),$V12&gt;=TODAY()),$V12,99999))))</f>
        <v/>
      </c>
      <c r="L12" s="27" t="n"/>
      <c r="M12" s="27" t="n"/>
      <c r="N12" s="27" t="n"/>
      <c r="O12" s="27" t="n"/>
      <c r="P12" s="27" t="n"/>
      <c r="Q12" s="27" t="n"/>
      <c r="R12" s="27" t="n"/>
      <c r="S12" s="27" t="n"/>
      <c r="T12" s="27" t="n"/>
      <c r="U12" s="27" t="n"/>
      <c r="V12" s="27" t="n"/>
      <c r="W12" s="27" t="n"/>
      <c r="X12" s="27" t="n"/>
      <c r="Y12" s="27" t="n"/>
      <c r="Z12" s="30" t="n"/>
      <c r="AA12" s="25" t="n"/>
      <c r="AB12" s="28">
        <f>IF(NOT(AND($A12&lt;&gt;"",OR($G12="",$G12="Active"))),"",IF(OR(IF(OR(ISNUMBER($V12),$V12="DNA"),$V12,IF(OR(ISNUMBER($U12),$U12="DNA"),$U12,IF(OR(ISNUMBER($T12),$T12="DNA"),$T12,IF(OR(ISNUMBER($S12),$S12="DNA"),$S12,IF(OR(ISNUMBER($R12),$R12="DNA"),$R12,IF(OR(ISNUMBER($Q12),$Q12="DNA"),$Q12,IF(OR(ISNUMBER($N12),$N12="DNA"),$N12,IF(OR(ISNUMBER($M12),$M12="DNA"),$M12,IF(OR(ISNUMBER($L12),$L12="DNA"),$L12,"")))))))))="DNA",AND(ISNUMBER(IF(OR(ISNUMBER($V12),$V12="DNA"),$V12,IF(OR(ISNUMBER($U12),$U12="DNA"),$U12,IF(OR(ISNUMBER($T12),$T12="DNA"),$T12,IF(OR(ISNUMBER($S12),$S12="DNA"),$S12,IF(OR(ISNUMBER($R12),$R12="DNA"),$R12,IF(OR(ISNUMBER($Q12),$Q12="DNA"),$Q12,IF(OR(ISNUMBER($N12),$N12="DNA"),$N12,IF(OR(ISNUMBER($M12),$M12="DNA"),$M12,IF(OR(ISNUMBER($L12),$L12="DNA"),$L12,"")))))))))),IF(OR(ISNUMBER($V12),$V12="DNA"),$V12,IF(OR(ISNUMBER($U12),$U12="DNA"),$U12,IF(OR(ISNUMBER($T12),$T12="DNA"),$T12,IF(OR(ISNUMBER($S12),$S12="DNA"),$S12,IF(OR(ISNUMBER($R12),$R12="DNA"),$R12,IF(OR(ISNUMBER($Q12),$Q12="DNA"),$Q12,IF(OR(ISNUMBER($N12),$N12="DNA"),$N12,IF(OR(ISNUMBER($M12),$M12="DNA"),$M12,IF(OR(ISNUMBER($L12),$L12="DNA"),$L12,"")))))))))&lt;TODAY())),1,0)+ISNUMBER($O12)*($O12&lt;TODAY())+ISNUMBER($P12)*($P12&lt;TODAY())+ISNUMBER($X12)*($X12&lt;TODAY())+ISNUMBER($Y12)*($Y12&lt;TODAY()))</f>
        <v/>
      </c>
    </row>
    <row r="13">
      <c r="A13" s="25" t="n"/>
      <c r="B13" s="26" t="n"/>
      <c r="C13" s="27" t="n"/>
      <c r="D13" s="25" t="n"/>
      <c r="E13" s="25" t="n"/>
      <c r="F13" s="27" t="n"/>
      <c r="G13" s="25" t="n"/>
      <c r="H13" s="28">
        <f>IF(OR(NOT(AND($A13&lt;&gt;"",OR($G13="",$G13="Active"))),$F13=""),"",INT((TODAY()-$F13+280)/7)&amp;"+"&amp;MOD(TODAY()-$F13+280,7))</f>
        <v/>
      </c>
      <c r="I13" s="28">
        <f>IF(NOT(AND($A13&lt;&gt;"",OR($G13="",$G13="Active"))),"",ISNUMBER($L13)*($L13&gt;=TODAY())*($L13&lt;=TODAY()+7)+ISNUMBER($M13)*($M13&gt;=TODAY())*($M13&lt;=TODAY()+7)+ISNUMBER($N13)*($N13&gt;=TODAY())*($N13&lt;=TODAY()+7)+ISNUMBER($Q13)*($Q13&gt;=TODAY())*($Q13&lt;=TODAY()+7)+ISNUMBER($R13)*($R13&gt;=TODAY())*($R13&lt;=TODAY()+7)+ISNUMBER($S13)*($S13&gt;=TODAY())*($S13&lt;=TODAY()+7)+ISNUMBER($T13)*($T13&gt;=TODAY())*($T13&lt;=TODAY()+7)+ISNUMBER($U13)*($U13&gt;=TODAY())*($U13&lt;=TODAY()+7)+ISNUMBER($V13)*($V13&gt;=TODAY())*($V13&lt;=TODAY()+7)+ISNUMBER($O13)*($O13&gt;=TODAY())*($O13&lt;=TODAY()+7)+ISNUMBER($P13)*($P13&gt;=TODAY())*($P13&lt;=TODAY()+7)+ISNUMBER($X13)*($X13&gt;=TODAY())*($X13&lt;=TODAY()+7)+ISNUMBER($Y13)*($Y13&gt;=TODAY())*($Y13&lt;=TODAY()+7))</f>
        <v/>
      </c>
      <c r="J13" s="28">
        <f>IF(NOT(AND($A13&lt;&gt;"",OR($G13="",$G13="Active"))),"",IF($K13&lt;&gt;"",IF($L13=$K13,"Booking",IF($M13=$K13,"16/40",IF($N13=$K13,"25/40",IF($Q13=$K13,"28/40",IF($R13=$K13,"31/40",IF($S13=$K13,"34/40",IF($T13=$K13,"36/40",IF($U13=$K13,"38/40",IF($V13=$K13,"40/40",""))))))))),IF(IF(OR(ISNUMBER($V13),$V13="DNA"),$V13,IF(OR(ISNUMBER($U13),$U13="DNA"),$U13,IF(OR(ISNUMBER($T13),$T13="DNA"),$T13,IF(OR(ISNUMBER($S13),$S13="DNA"),$S13,IF(OR(ISNUMBER($R13),$R13="DNA"),$R13,IF(OR(ISNUMBER($Q13),$Q13="DNA"),$Q13,IF(OR(ISNUMBER($N13),$N13="DNA"),$N13,IF(OR(ISNUMBER($M13),$M13="DNA"),$M13,IF(OR(ISNUMBER($L13),$L13="DNA"),$L13,"")))))))))="DNA","Rebook DNA",IF(ISNUMBER(IF(OR(ISNUMBER($V13),$V13="DNA"),$V13,IF(OR(ISNUMBER($U13),$U13="DNA"),$U13,IF(OR(ISNUMBER($T13),$T13="DNA"),$T13,IF(OR(ISNUMBER($S13),$S13="DNA"),$S13,IF(OR(ISNUMBER($R13),$R13="DNA"),$R13,IF(OR(ISNUMBER($Q13),$Q13="DNA"),$Q13,IF(OR(ISNUMBER($N13),$N13="DNA"),$N13,IF(OR(ISNUMBER($M13),$M13="DNA"),$M13,IF(OR(ISNUMBER($L13),$L13="DNA"),$L13,"")))))))))),IF(ISNUMBER($V13),"Update status","Missed/not booked?"),""))))</f>
        <v/>
      </c>
      <c r="K13" s="29">
        <f>IF(NOT(AND($A13&lt;&gt;"",OR($G13="",$G13="Active"))),"",IF(MIN(IF(AND(ISNUMBER($L13),$L13&gt;=TODAY()),$L13,99999),IF(AND(ISNUMBER($M13),$M13&gt;=TODAY()),$M13,99999),IF(AND(ISNUMBER($N13),$N13&gt;=TODAY()),$N13,99999),IF(AND(ISNUMBER($Q13),$Q13&gt;=TODAY()),$Q13,99999),IF(AND(ISNUMBER($R13),$R13&gt;=TODAY()),$R13,99999),IF(AND(ISNUMBER($S13),$S13&gt;=TODAY()),$S13,99999),IF(AND(ISNUMBER($T13),$T13&gt;=TODAY()),$T13,99999),IF(AND(ISNUMBER($U13),$U13&gt;=TODAY()),$U13,99999),IF(AND(ISNUMBER($V13),$V13&gt;=TODAY()),$V13,99999))=99999,"",MIN(IF(AND(ISNUMBER($L13),$L13&gt;=TODAY()),$L13,99999),IF(AND(ISNUMBER($M13),$M13&gt;=TODAY()),$M13,99999),IF(AND(ISNUMBER($N13),$N13&gt;=TODAY()),$N13,99999),IF(AND(ISNUMBER($Q13),$Q13&gt;=TODAY()),$Q13,99999),IF(AND(ISNUMBER($R13),$R13&gt;=TODAY()),$R13,99999),IF(AND(ISNUMBER($S13),$S13&gt;=TODAY()),$S13,99999),IF(AND(ISNUMBER($T13),$T13&gt;=TODAY()),$T13,99999),IF(AND(ISNUMBER($U13),$U13&gt;=TODAY()),$U13,99999),IF(AND(ISNUMBER($V13),$V13&gt;=TODAY()),$V13,99999))))</f>
        <v/>
      </c>
      <c r="L13" s="27" t="n"/>
      <c r="M13" s="27" t="n"/>
      <c r="N13" s="27" t="n"/>
      <c r="O13" s="27" t="n"/>
      <c r="P13" s="27" t="n"/>
      <c r="Q13" s="27" t="n"/>
      <c r="R13" s="27" t="n"/>
      <c r="S13" s="27" t="n"/>
      <c r="T13" s="27" t="n"/>
      <c r="U13" s="27" t="n"/>
      <c r="V13" s="27" t="n"/>
      <c r="W13" s="27" t="n"/>
      <c r="X13" s="27" t="n"/>
      <c r="Y13" s="27" t="n"/>
      <c r="Z13" s="30" t="n"/>
      <c r="AA13" s="25" t="n"/>
      <c r="AB13" s="28">
        <f>IF(NOT(AND($A13&lt;&gt;"",OR($G13="",$G13="Active"))),"",IF(OR(IF(OR(ISNUMBER($V13),$V13="DNA"),$V13,IF(OR(ISNUMBER($U13),$U13="DNA"),$U13,IF(OR(ISNUMBER($T13),$T13="DNA"),$T13,IF(OR(ISNUMBER($S13),$S13="DNA"),$S13,IF(OR(ISNUMBER($R13),$R13="DNA"),$R13,IF(OR(ISNUMBER($Q13),$Q13="DNA"),$Q13,IF(OR(ISNUMBER($N13),$N13="DNA"),$N13,IF(OR(ISNUMBER($M13),$M13="DNA"),$M13,IF(OR(ISNUMBER($L13),$L13="DNA"),$L13,"")))))))))="DNA",AND(ISNUMBER(IF(OR(ISNUMBER($V13),$V13="DNA"),$V13,IF(OR(ISNUMBER($U13),$U13="DNA"),$U13,IF(OR(ISNUMBER($T13),$T13="DNA"),$T13,IF(OR(ISNUMBER($S13),$S13="DNA"),$S13,IF(OR(ISNUMBER($R13),$R13="DNA"),$R13,IF(OR(ISNUMBER($Q13),$Q13="DNA"),$Q13,IF(OR(ISNUMBER($N13),$N13="DNA"),$N13,IF(OR(ISNUMBER($M13),$M13="DNA"),$M13,IF(OR(ISNUMBER($L13),$L13="DNA"),$L13,"")))))))))),IF(OR(ISNUMBER($V13),$V13="DNA"),$V13,IF(OR(ISNUMBER($U13),$U13="DNA"),$U13,IF(OR(ISNUMBER($T13),$T13="DNA"),$T13,IF(OR(ISNUMBER($S13),$S13="DNA"),$S13,IF(OR(ISNUMBER($R13),$R13="DNA"),$R13,IF(OR(ISNUMBER($Q13),$Q13="DNA"),$Q13,IF(OR(ISNUMBER($N13),$N13="DNA"),$N13,IF(OR(ISNUMBER($M13),$M13="DNA"),$M13,IF(OR(ISNUMBER($L13),$L13="DNA"),$L13,"")))))))))&lt;TODAY())),1,0)+ISNUMBER($O13)*($O13&lt;TODAY())+ISNUMBER($P13)*($P13&lt;TODAY())+ISNUMBER($X13)*($X13&lt;TODAY())+ISNUMBER($Y13)*($Y13&lt;TODAY()))</f>
        <v/>
      </c>
    </row>
    <row r="14">
      <c r="A14" s="25" t="n"/>
      <c r="B14" s="26" t="n"/>
      <c r="C14" s="27" t="n"/>
      <c r="D14" s="25" t="n"/>
      <c r="E14" s="25" t="n"/>
      <c r="F14" s="27" t="n"/>
      <c r="G14" s="25" t="n"/>
      <c r="H14" s="28">
        <f>IF(OR(NOT(AND($A14&lt;&gt;"",OR($G14="",$G14="Active"))),$F14=""),"",INT((TODAY()-$F14+280)/7)&amp;"+"&amp;MOD(TODAY()-$F14+280,7))</f>
        <v/>
      </c>
      <c r="I14" s="28">
        <f>IF(NOT(AND($A14&lt;&gt;"",OR($G14="",$G14="Active"))),"",ISNUMBER($L14)*($L14&gt;=TODAY())*($L14&lt;=TODAY()+7)+ISNUMBER($M14)*($M14&gt;=TODAY())*($M14&lt;=TODAY()+7)+ISNUMBER($N14)*($N14&gt;=TODAY())*($N14&lt;=TODAY()+7)+ISNUMBER($Q14)*($Q14&gt;=TODAY())*($Q14&lt;=TODAY()+7)+ISNUMBER($R14)*($R14&gt;=TODAY())*($R14&lt;=TODAY()+7)+ISNUMBER($S14)*($S14&gt;=TODAY())*($S14&lt;=TODAY()+7)+ISNUMBER($T14)*($T14&gt;=TODAY())*($T14&lt;=TODAY()+7)+ISNUMBER($U14)*($U14&gt;=TODAY())*($U14&lt;=TODAY()+7)+ISNUMBER($V14)*($V14&gt;=TODAY())*($V14&lt;=TODAY()+7)+ISNUMBER($O14)*($O14&gt;=TODAY())*($O14&lt;=TODAY()+7)+ISNUMBER($P14)*($P14&gt;=TODAY())*($P14&lt;=TODAY()+7)+ISNUMBER($X14)*($X14&gt;=TODAY())*($X14&lt;=TODAY()+7)+ISNUMBER($Y14)*($Y14&gt;=TODAY())*($Y14&lt;=TODAY()+7))</f>
        <v/>
      </c>
      <c r="J14" s="28">
        <f>IF(NOT(AND($A14&lt;&gt;"",OR($G14="",$G14="Active"))),"",IF($K14&lt;&gt;"",IF($L14=$K14,"Booking",IF($M14=$K14,"16/40",IF($N14=$K14,"25/40",IF($Q14=$K14,"28/40",IF($R14=$K14,"31/40",IF($S14=$K14,"34/40",IF($T14=$K14,"36/40",IF($U14=$K14,"38/40",IF($V14=$K14,"40/40",""))))))))),IF(IF(OR(ISNUMBER($V14),$V14="DNA"),$V14,IF(OR(ISNUMBER($U14),$U14="DNA"),$U14,IF(OR(ISNUMBER($T14),$T14="DNA"),$T14,IF(OR(ISNUMBER($S14),$S14="DNA"),$S14,IF(OR(ISNUMBER($R14),$R14="DNA"),$R14,IF(OR(ISNUMBER($Q14),$Q14="DNA"),$Q14,IF(OR(ISNUMBER($N14),$N14="DNA"),$N14,IF(OR(ISNUMBER($M14),$M14="DNA"),$M14,IF(OR(ISNUMBER($L14),$L14="DNA"),$L14,"")))))))))="DNA","Rebook DNA",IF(ISNUMBER(IF(OR(ISNUMBER($V14),$V14="DNA"),$V14,IF(OR(ISNUMBER($U14),$U14="DNA"),$U14,IF(OR(ISNUMBER($T14),$T14="DNA"),$T14,IF(OR(ISNUMBER($S14),$S14="DNA"),$S14,IF(OR(ISNUMBER($R14),$R14="DNA"),$R14,IF(OR(ISNUMBER($Q14),$Q14="DNA"),$Q14,IF(OR(ISNUMBER($N14),$N14="DNA"),$N14,IF(OR(ISNUMBER($M14),$M14="DNA"),$M14,IF(OR(ISNUMBER($L14),$L14="DNA"),$L14,"")))))))))),IF(ISNUMBER($V14),"Update status","Missed/not booked?"),""))))</f>
        <v/>
      </c>
      <c r="K14" s="29">
        <f>IF(NOT(AND($A14&lt;&gt;"",OR($G14="",$G14="Active"))),"",IF(MIN(IF(AND(ISNUMBER($L14),$L14&gt;=TODAY()),$L14,99999),IF(AND(ISNUMBER($M14),$M14&gt;=TODAY()),$M14,99999),IF(AND(ISNUMBER($N14),$N14&gt;=TODAY()),$N14,99999),IF(AND(ISNUMBER($Q14),$Q14&gt;=TODAY()),$Q14,99999),IF(AND(ISNUMBER($R14),$R14&gt;=TODAY()),$R14,99999),IF(AND(ISNUMBER($S14),$S14&gt;=TODAY()),$S14,99999),IF(AND(ISNUMBER($T14),$T14&gt;=TODAY()),$T14,99999),IF(AND(ISNUMBER($U14),$U14&gt;=TODAY()),$U14,99999),IF(AND(ISNUMBER($V14),$V14&gt;=TODAY()),$V14,99999))=99999,"",MIN(IF(AND(ISNUMBER($L14),$L14&gt;=TODAY()),$L14,99999),IF(AND(ISNUMBER($M14),$M14&gt;=TODAY()),$M14,99999),IF(AND(ISNUMBER($N14),$N14&gt;=TODAY()),$N14,99999),IF(AND(ISNUMBER($Q14),$Q14&gt;=TODAY()),$Q14,99999),IF(AND(ISNUMBER($R14),$R14&gt;=TODAY()),$R14,99999),IF(AND(ISNUMBER($S14),$S14&gt;=TODAY()),$S14,99999),IF(AND(ISNUMBER($T14),$T14&gt;=TODAY()),$T14,99999),IF(AND(ISNUMBER($U14),$U14&gt;=TODAY()),$U14,99999),IF(AND(ISNUMBER($V14),$V14&gt;=TODAY()),$V14,99999))))</f>
        <v/>
      </c>
      <c r="L14" s="27" t="n"/>
      <c r="M14" s="27" t="n"/>
      <c r="N14" s="27" t="n"/>
      <c r="O14" s="27" t="n"/>
      <c r="P14" s="27" t="n"/>
      <c r="Q14" s="27" t="n"/>
      <c r="R14" s="27" t="n"/>
      <c r="S14" s="27" t="n"/>
      <c r="T14" s="27" t="n"/>
      <c r="U14" s="27" t="n"/>
      <c r="V14" s="27" t="n"/>
      <c r="W14" s="27" t="n"/>
      <c r="X14" s="27" t="n"/>
      <c r="Y14" s="27" t="n"/>
      <c r="Z14" s="30" t="n"/>
      <c r="AA14" s="25" t="n"/>
      <c r="AB14" s="28">
        <f>IF(NOT(AND($A14&lt;&gt;"",OR($G14="",$G14="Active"))),"",IF(OR(IF(OR(ISNUMBER($V14),$V14="DNA"),$V14,IF(OR(ISNUMBER($U14),$U14="DNA"),$U14,IF(OR(ISNUMBER($T14),$T14="DNA"),$T14,IF(OR(ISNUMBER($S14),$S14="DNA"),$S14,IF(OR(ISNUMBER($R14),$R14="DNA"),$R14,IF(OR(ISNUMBER($Q14),$Q14="DNA"),$Q14,IF(OR(ISNUMBER($N14),$N14="DNA"),$N14,IF(OR(ISNUMBER($M14),$M14="DNA"),$M14,IF(OR(ISNUMBER($L14),$L14="DNA"),$L14,"")))))))))="DNA",AND(ISNUMBER(IF(OR(ISNUMBER($V14),$V14="DNA"),$V14,IF(OR(ISNUMBER($U14),$U14="DNA"),$U14,IF(OR(ISNUMBER($T14),$T14="DNA"),$T14,IF(OR(ISNUMBER($S14),$S14="DNA"),$S14,IF(OR(ISNUMBER($R14),$R14="DNA"),$R14,IF(OR(ISNUMBER($Q14),$Q14="DNA"),$Q14,IF(OR(ISNUMBER($N14),$N14="DNA"),$N14,IF(OR(ISNUMBER($M14),$M14="DNA"),$M14,IF(OR(ISNUMBER($L14),$L14="DNA"),$L14,"")))))))))),IF(OR(ISNUMBER($V14),$V14="DNA"),$V14,IF(OR(ISNUMBER($U14),$U14="DNA"),$U14,IF(OR(ISNUMBER($T14),$T14="DNA"),$T14,IF(OR(ISNUMBER($S14),$S14="DNA"),$S14,IF(OR(ISNUMBER($R14),$R14="DNA"),$R14,IF(OR(ISNUMBER($Q14),$Q14="DNA"),$Q14,IF(OR(ISNUMBER($N14),$N14="DNA"),$N14,IF(OR(ISNUMBER($M14),$M14="DNA"),$M14,IF(OR(ISNUMBER($L14),$L14="DNA"),$L14,"")))))))))&lt;TODAY())),1,0)+ISNUMBER($O14)*($O14&lt;TODAY())+ISNUMBER($P14)*($P14&lt;TODAY())+ISNUMBER($X14)*($X14&lt;TODAY())+ISNUMBER($Y14)*($Y14&lt;TODAY()))</f>
        <v/>
      </c>
    </row>
    <row r="15">
      <c r="A15" s="25" t="n"/>
      <c r="B15" s="26" t="n"/>
      <c r="C15" s="27" t="n"/>
      <c r="D15" s="25" t="n"/>
      <c r="E15" s="25" t="n"/>
      <c r="F15" s="27" t="n"/>
      <c r="G15" s="25" t="n"/>
      <c r="H15" s="28">
        <f>IF(OR(NOT(AND($A15&lt;&gt;"",OR($G15="",$G15="Active"))),$F15=""),"",INT((TODAY()-$F15+280)/7)&amp;"+"&amp;MOD(TODAY()-$F15+280,7))</f>
        <v/>
      </c>
      <c r="I15" s="28">
        <f>IF(NOT(AND($A15&lt;&gt;"",OR($G15="",$G15="Active"))),"",ISNUMBER($L15)*($L15&gt;=TODAY())*($L15&lt;=TODAY()+7)+ISNUMBER($M15)*($M15&gt;=TODAY())*($M15&lt;=TODAY()+7)+ISNUMBER($N15)*($N15&gt;=TODAY())*($N15&lt;=TODAY()+7)+ISNUMBER($Q15)*($Q15&gt;=TODAY())*($Q15&lt;=TODAY()+7)+ISNUMBER($R15)*($R15&gt;=TODAY())*($R15&lt;=TODAY()+7)+ISNUMBER($S15)*($S15&gt;=TODAY())*($S15&lt;=TODAY()+7)+ISNUMBER($T15)*($T15&gt;=TODAY())*($T15&lt;=TODAY()+7)+ISNUMBER($U15)*($U15&gt;=TODAY())*($U15&lt;=TODAY()+7)+ISNUMBER($V15)*($V15&gt;=TODAY())*($V15&lt;=TODAY()+7)+ISNUMBER($O15)*($O15&gt;=TODAY())*($O15&lt;=TODAY()+7)+ISNUMBER($P15)*($P15&gt;=TODAY())*($P15&lt;=TODAY()+7)+ISNUMBER($X15)*($X15&gt;=TODAY())*($X15&lt;=TODAY()+7)+ISNUMBER($Y15)*($Y15&gt;=TODAY())*($Y15&lt;=TODAY()+7))</f>
        <v/>
      </c>
      <c r="J15" s="28">
        <f>IF(NOT(AND($A15&lt;&gt;"",OR($G15="",$G15="Active"))),"",IF($K15&lt;&gt;"",IF($L15=$K15,"Booking",IF($M15=$K15,"16/40",IF($N15=$K15,"25/40",IF($Q15=$K15,"28/40",IF($R15=$K15,"31/40",IF($S15=$K15,"34/40",IF($T15=$K15,"36/40",IF($U15=$K15,"38/40",IF($V15=$K15,"40/40",""))))))))),IF(IF(OR(ISNUMBER($V15),$V15="DNA"),$V15,IF(OR(ISNUMBER($U15),$U15="DNA"),$U15,IF(OR(ISNUMBER($T15),$T15="DNA"),$T15,IF(OR(ISNUMBER($S15),$S15="DNA"),$S15,IF(OR(ISNUMBER($R15),$R15="DNA"),$R15,IF(OR(ISNUMBER($Q15),$Q15="DNA"),$Q15,IF(OR(ISNUMBER($N15),$N15="DNA"),$N15,IF(OR(ISNUMBER($M15),$M15="DNA"),$M15,IF(OR(ISNUMBER($L15),$L15="DNA"),$L15,"")))))))))="DNA","Rebook DNA",IF(ISNUMBER(IF(OR(ISNUMBER($V15),$V15="DNA"),$V15,IF(OR(ISNUMBER($U15),$U15="DNA"),$U15,IF(OR(ISNUMBER($T15),$T15="DNA"),$T15,IF(OR(ISNUMBER($S15),$S15="DNA"),$S15,IF(OR(ISNUMBER($R15),$R15="DNA"),$R15,IF(OR(ISNUMBER($Q15),$Q15="DNA"),$Q15,IF(OR(ISNUMBER($N15),$N15="DNA"),$N15,IF(OR(ISNUMBER($M15),$M15="DNA"),$M15,IF(OR(ISNUMBER($L15),$L15="DNA"),$L15,"")))))))))),IF(ISNUMBER($V15),"Update status","Missed/not booked?"),""))))</f>
        <v/>
      </c>
      <c r="K15" s="29">
        <f>IF(NOT(AND($A15&lt;&gt;"",OR($G15="",$G15="Active"))),"",IF(MIN(IF(AND(ISNUMBER($L15),$L15&gt;=TODAY()),$L15,99999),IF(AND(ISNUMBER($M15),$M15&gt;=TODAY()),$M15,99999),IF(AND(ISNUMBER($N15),$N15&gt;=TODAY()),$N15,99999),IF(AND(ISNUMBER($Q15),$Q15&gt;=TODAY()),$Q15,99999),IF(AND(ISNUMBER($R15),$R15&gt;=TODAY()),$R15,99999),IF(AND(ISNUMBER($S15),$S15&gt;=TODAY()),$S15,99999),IF(AND(ISNUMBER($T15),$T15&gt;=TODAY()),$T15,99999),IF(AND(ISNUMBER($U15),$U15&gt;=TODAY()),$U15,99999),IF(AND(ISNUMBER($V15),$V15&gt;=TODAY()),$V15,99999))=99999,"",MIN(IF(AND(ISNUMBER($L15),$L15&gt;=TODAY()),$L15,99999),IF(AND(ISNUMBER($M15),$M15&gt;=TODAY()),$M15,99999),IF(AND(ISNUMBER($N15),$N15&gt;=TODAY()),$N15,99999),IF(AND(ISNUMBER($Q15),$Q15&gt;=TODAY()),$Q15,99999),IF(AND(ISNUMBER($R15),$R15&gt;=TODAY()),$R15,99999),IF(AND(ISNUMBER($S15),$S15&gt;=TODAY()),$S15,99999),IF(AND(ISNUMBER($T15),$T15&gt;=TODAY()),$T15,99999),IF(AND(ISNUMBER($U15),$U15&gt;=TODAY()),$U15,99999),IF(AND(ISNUMBER($V15),$V15&gt;=TODAY()),$V15,99999))))</f>
        <v/>
      </c>
      <c r="L15" s="27" t="n"/>
      <c r="M15" s="27" t="n"/>
      <c r="N15" s="27" t="n"/>
      <c r="O15" s="27" t="n"/>
      <c r="P15" s="27" t="n"/>
      <c r="Q15" s="27" t="n"/>
      <c r="R15" s="27" t="n"/>
      <c r="S15" s="27" t="n"/>
      <c r="T15" s="27" t="n"/>
      <c r="U15" s="27" t="n"/>
      <c r="V15" s="27" t="n"/>
      <c r="W15" s="27" t="n"/>
      <c r="X15" s="27" t="n"/>
      <c r="Y15" s="27" t="n"/>
      <c r="Z15" s="30" t="n"/>
      <c r="AA15" s="25" t="n"/>
      <c r="AB15" s="28">
        <f>IF(NOT(AND($A15&lt;&gt;"",OR($G15="",$G15="Active"))),"",IF(OR(IF(OR(ISNUMBER($V15),$V15="DNA"),$V15,IF(OR(ISNUMBER($U15),$U15="DNA"),$U15,IF(OR(ISNUMBER($T15),$T15="DNA"),$T15,IF(OR(ISNUMBER($S15),$S15="DNA"),$S15,IF(OR(ISNUMBER($R15),$R15="DNA"),$R15,IF(OR(ISNUMBER($Q15),$Q15="DNA"),$Q15,IF(OR(ISNUMBER($N15),$N15="DNA"),$N15,IF(OR(ISNUMBER($M15),$M15="DNA"),$M15,IF(OR(ISNUMBER($L15),$L15="DNA"),$L15,"")))))))))="DNA",AND(ISNUMBER(IF(OR(ISNUMBER($V15),$V15="DNA"),$V15,IF(OR(ISNUMBER($U15),$U15="DNA"),$U15,IF(OR(ISNUMBER($T15),$T15="DNA"),$T15,IF(OR(ISNUMBER($S15),$S15="DNA"),$S15,IF(OR(ISNUMBER($R15),$R15="DNA"),$R15,IF(OR(ISNUMBER($Q15),$Q15="DNA"),$Q15,IF(OR(ISNUMBER($N15),$N15="DNA"),$N15,IF(OR(ISNUMBER($M15),$M15="DNA"),$M15,IF(OR(ISNUMBER($L15),$L15="DNA"),$L15,"")))))))))),IF(OR(ISNUMBER($V15),$V15="DNA"),$V15,IF(OR(ISNUMBER($U15),$U15="DNA"),$U15,IF(OR(ISNUMBER($T15),$T15="DNA"),$T15,IF(OR(ISNUMBER($S15),$S15="DNA"),$S15,IF(OR(ISNUMBER($R15),$R15="DNA"),$R15,IF(OR(ISNUMBER($Q15),$Q15="DNA"),$Q15,IF(OR(ISNUMBER($N15),$N15="DNA"),$N15,IF(OR(ISNUMBER($M15),$M15="DNA"),$M15,IF(OR(ISNUMBER($L15),$L15="DNA"),$L15,"")))))))))&lt;TODAY())),1,0)+ISNUMBER($O15)*($O15&lt;TODAY())+ISNUMBER($P15)*($P15&lt;TODAY())+ISNUMBER($X15)*($X15&lt;TODAY())+ISNUMBER($Y15)*($Y15&lt;TODAY()))</f>
        <v/>
      </c>
    </row>
    <row r="16">
      <c r="A16" s="25" t="n"/>
      <c r="B16" s="26" t="n"/>
      <c r="C16" s="27" t="n"/>
      <c r="D16" s="25" t="n"/>
      <c r="E16" s="25" t="n"/>
      <c r="F16" s="27" t="n"/>
      <c r="G16" s="25" t="n"/>
      <c r="H16" s="28">
        <f>IF(OR(NOT(AND($A16&lt;&gt;"",OR($G16="",$G16="Active"))),$F16=""),"",INT((TODAY()-$F16+280)/7)&amp;"+"&amp;MOD(TODAY()-$F16+280,7))</f>
        <v/>
      </c>
      <c r="I16" s="28">
        <f>IF(NOT(AND($A16&lt;&gt;"",OR($G16="",$G16="Active"))),"",ISNUMBER($L16)*($L16&gt;=TODAY())*($L16&lt;=TODAY()+7)+ISNUMBER($M16)*($M16&gt;=TODAY())*($M16&lt;=TODAY()+7)+ISNUMBER($N16)*($N16&gt;=TODAY())*($N16&lt;=TODAY()+7)+ISNUMBER($Q16)*($Q16&gt;=TODAY())*($Q16&lt;=TODAY()+7)+ISNUMBER($R16)*($R16&gt;=TODAY())*($R16&lt;=TODAY()+7)+ISNUMBER($S16)*($S16&gt;=TODAY())*($S16&lt;=TODAY()+7)+ISNUMBER($T16)*($T16&gt;=TODAY())*($T16&lt;=TODAY()+7)+ISNUMBER($U16)*($U16&gt;=TODAY())*($U16&lt;=TODAY()+7)+ISNUMBER($V16)*($V16&gt;=TODAY())*($V16&lt;=TODAY()+7)+ISNUMBER($O16)*($O16&gt;=TODAY())*($O16&lt;=TODAY()+7)+ISNUMBER($P16)*($P16&gt;=TODAY())*($P16&lt;=TODAY()+7)+ISNUMBER($X16)*($X16&gt;=TODAY())*($X16&lt;=TODAY()+7)+ISNUMBER($Y16)*($Y16&gt;=TODAY())*($Y16&lt;=TODAY()+7))</f>
        <v/>
      </c>
      <c r="J16" s="28">
        <f>IF(NOT(AND($A16&lt;&gt;"",OR($G16="",$G16="Active"))),"",IF($K16&lt;&gt;"",IF($L16=$K16,"Booking",IF($M16=$K16,"16/40",IF($N16=$K16,"25/40",IF($Q16=$K16,"28/40",IF($R16=$K16,"31/40",IF($S16=$K16,"34/40",IF($T16=$K16,"36/40",IF($U16=$K16,"38/40",IF($V16=$K16,"40/40",""))))))))),IF(IF(OR(ISNUMBER($V16),$V16="DNA"),$V16,IF(OR(ISNUMBER($U16),$U16="DNA"),$U16,IF(OR(ISNUMBER($T16),$T16="DNA"),$T16,IF(OR(ISNUMBER($S16),$S16="DNA"),$S16,IF(OR(ISNUMBER($R16),$R16="DNA"),$R16,IF(OR(ISNUMBER($Q16),$Q16="DNA"),$Q16,IF(OR(ISNUMBER($N16),$N16="DNA"),$N16,IF(OR(ISNUMBER($M16),$M16="DNA"),$M16,IF(OR(ISNUMBER($L16),$L16="DNA"),$L16,"")))))))))="DNA","Rebook DNA",IF(ISNUMBER(IF(OR(ISNUMBER($V16),$V16="DNA"),$V16,IF(OR(ISNUMBER($U16),$U16="DNA"),$U16,IF(OR(ISNUMBER($T16),$T16="DNA"),$T16,IF(OR(ISNUMBER($S16),$S16="DNA"),$S16,IF(OR(ISNUMBER($R16),$R16="DNA"),$R16,IF(OR(ISNUMBER($Q16),$Q16="DNA"),$Q16,IF(OR(ISNUMBER($N16),$N16="DNA"),$N16,IF(OR(ISNUMBER($M16),$M16="DNA"),$M16,IF(OR(ISNUMBER($L16),$L16="DNA"),$L16,"")))))))))),IF(ISNUMBER($V16),"Update status","Missed/not booked?"),""))))</f>
        <v/>
      </c>
      <c r="K16" s="29">
        <f>IF(NOT(AND($A16&lt;&gt;"",OR($G16="",$G16="Active"))),"",IF(MIN(IF(AND(ISNUMBER($L16),$L16&gt;=TODAY()),$L16,99999),IF(AND(ISNUMBER($M16),$M16&gt;=TODAY()),$M16,99999),IF(AND(ISNUMBER($N16),$N16&gt;=TODAY()),$N16,99999),IF(AND(ISNUMBER($Q16),$Q16&gt;=TODAY()),$Q16,99999),IF(AND(ISNUMBER($R16),$R16&gt;=TODAY()),$R16,99999),IF(AND(ISNUMBER($S16),$S16&gt;=TODAY()),$S16,99999),IF(AND(ISNUMBER($T16),$T16&gt;=TODAY()),$T16,99999),IF(AND(ISNUMBER($U16),$U16&gt;=TODAY()),$U16,99999),IF(AND(ISNUMBER($V16),$V16&gt;=TODAY()),$V16,99999))=99999,"",MIN(IF(AND(ISNUMBER($L16),$L16&gt;=TODAY()),$L16,99999),IF(AND(ISNUMBER($M16),$M16&gt;=TODAY()),$M16,99999),IF(AND(ISNUMBER($N16),$N16&gt;=TODAY()),$N16,99999),IF(AND(ISNUMBER($Q16),$Q16&gt;=TODAY()),$Q16,99999),IF(AND(ISNUMBER($R16),$R16&gt;=TODAY()),$R16,99999),IF(AND(ISNUMBER($S16),$S16&gt;=TODAY()),$S16,99999),IF(AND(ISNUMBER($T16),$T16&gt;=TODAY()),$T16,99999),IF(AND(ISNUMBER($U16),$U16&gt;=TODAY()),$U16,99999),IF(AND(ISNUMBER($V16),$V16&gt;=TODAY()),$V16,99999))))</f>
        <v/>
      </c>
      <c r="L16" s="27" t="n"/>
      <c r="M16" s="27" t="n"/>
      <c r="N16" s="27" t="n"/>
      <c r="O16" s="27" t="n"/>
      <c r="P16" s="27" t="n"/>
      <c r="Q16" s="27" t="n"/>
      <c r="R16" s="27" t="n"/>
      <c r="S16" s="27" t="n"/>
      <c r="T16" s="27" t="n"/>
      <c r="U16" s="27" t="n"/>
      <c r="V16" s="27" t="n"/>
      <c r="W16" s="27" t="n"/>
      <c r="X16" s="27" t="n"/>
      <c r="Y16" s="27" t="n"/>
      <c r="Z16" s="30" t="n"/>
      <c r="AA16" s="25" t="n"/>
      <c r="AB16" s="28">
        <f>IF(NOT(AND($A16&lt;&gt;"",OR($G16="",$G16="Active"))),"",IF(OR(IF(OR(ISNUMBER($V16),$V16="DNA"),$V16,IF(OR(ISNUMBER($U16),$U16="DNA"),$U16,IF(OR(ISNUMBER($T16),$T16="DNA"),$T16,IF(OR(ISNUMBER($S16),$S16="DNA"),$S16,IF(OR(ISNUMBER($R16),$R16="DNA"),$R16,IF(OR(ISNUMBER($Q16),$Q16="DNA"),$Q16,IF(OR(ISNUMBER($N16),$N16="DNA"),$N16,IF(OR(ISNUMBER($M16),$M16="DNA"),$M16,IF(OR(ISNUMBER($L16),$L16="DNA"),$L16,"")))))))))="DNA",AND(ISNUMBER(IF(OR(ISNUMBER($V16),$V16="DNA"),$V16,IF(OR(ISNUMBER($U16),$U16="DNA"),$U16,IF(OR(ISNUMBER($T16),$T16="DNA"),$T16,IF(OR(ISNUMBER($S16),$S16="DNA"),$S16,IF(OR(ISNUMBER($R16),$R16="DNA"),$R16,IF(OR(ISNUMBER($Q16),$Q16="DNA"),$Q16,IF(OR(ISNUMBER($N16),$N16="DNA"),$N16,IF(OR(ISNUMBER($M16),$M16="DNA"),$M16,IF(OR(ISNUMBER($L16),$L16="DNA"),$L16,"")))))))))),IF(OR(ISNUMBER($V16),$V16="DNA"),$V16,IF(OR(ISNUMBER($U16),$U16="DNA"),$U16,IF(OR(ISNUMBER($T16),$T16="DNA"),$T16,IF(OR(ISNUMBER($S16),$S16="DNA"),$S16,IF(OR(ISNUMBER($R16),$R16="DNA"),$R16,IF(OR(ISNUMBER($Q16),$Q16="DNA"),$Q16,IF(OR(ISNUMBER($N16),$N16="DNA"),$N16,IF(OR(ISNUMBER($M16),$M16="DNA"),$M16,IF(OR(ISNUMBER($L16),$L16="DNA"),$L16,"")))))))))&lt;TODAY())),1,0)+ISNUMBER($O16)*($O16&lt;TODAY())+ISNUMBER($P16)*($P16&lt;TODAY())+ISNUMBER($X16)*($X16&lt;TODAY())+ISNUMBER($Y16)*($Y16&lt;TODAY()))</f>
        <v/>
      </c>
    </row>
    <row r="17">
      <c r="A17" s="25" t="n"/>
      <c r="B17" s="26" t="n"/>
      <c r="C17" s="27" t="n"/>
      <c r="D17" s="25" t="n"/>
      <c r="E17" s="25" t="n"/>
      <c r="F17" s="27" t="n"/>
      <c r="G17" s="25" t="n"/>
      <c r="H17" s="28">
        <f>IF(OR(NOT(AND($A17&lt;&gt;"",OR($G17="",$G17="Active"))),$F17=""),"",INT((TODAY()-$F17+280)/7)&amp;"+"&amp;MOD(TODAY()-$F17+280,7))</f>
        <v/>
      </c>
      <c r="I17" s="28">
        <f>IF(NOT(AND($A17&lt;&gt;"",OR($G17="",$G17="Active"))),"",ISNUMBER($L17)*($L17&gt;=TODAY())*($L17&lt;=TODAY()+7)+ISNUMBER($M17)*($M17&gt;=TODAY())*($M17&lt;=TODAY()+7)+ISNUMBER($N17)*($N17&gt;=TODAY())*($N17&lt;=TODAY()+7)+ISNUMBER($Q17)*($Q17&gt;=TODAY())*($Q17&lt;=TODAY()+7)+ISNUMBER($R17)*($R17&gt;=TODAY())*($R17&lt;=TODAY()+7)+ISNUMBER($S17)*($S17&gt;=TODAY())*($S17&lt;=TODAY()+7)+ISNUMBER($T17)*($T17&gt;=TODAY())*($T17&lt;=TODAY()+7)+ISNUMBER($U17)*($U17&gt;=TODAY())*($U17&lt;=TODAY()+7)+ISNUMBER($V17)*($V17&gt;=TODAY())*($V17&lt;=TODAY()+7)+ISNUMBER($O17)*($O17&gt;=TODAY())*($O17&lt;=TODAY()+7)+ISNUMBER($P17)*($P17&gt;=TODAY())*($P17&lt;=TODAY()+7)+ISNUMBER($X17)*($X17&gt;=TODAY())*($X17&lt;=TODAY()+7)+ISNUMBER($Y17)*($Y17&gt;=TODAY())*($Y17&lt;=TODAY()+7))</f>
        <v/>
      </c>
      <c r="J17" s="28">
        <f>IF(NOT(AND($A17&lt;&gt;"",OR($G17="",$G17="Active"))),"",IF($K17&lt;&gt;"",IF($L17=$K17,"Booking",IF($M17=$K17,"16/40",IF($N17=$K17,"25/40",IF($Q17=$K17,"28/40",IF($R17=$K17,"31/40",IF($S17=$K17,"34/40",IF($T17=$K17,"36/40",IF($U17=$K17,"38/40",IF($V17=$K17,"40/40",""))))))))),IF(IF(OR(ISNUMBER($V17),$V17="DNA"),$V17,IF(OR(ISNUMBER($U17),$U17="DNA"),$U17,IF(OR(ISNUMBER($T17),$T17="DNA"),$T17,IF(OR(ISNUMBER($S17),$S17="DNA"),$S17,IF(OR(ISNUMBER($R17),$R17="DNA"),$R17,IF(OR(ISNUMBER($Q17),$Q17="DNA"),$Q17,IF(OR(ISNUMBER($N17),$N17="DNA"),$N17,IF(OR(ISNUMBER($M17),$M17="DNA"),$M17,IF(OR(ISNUMBER($L17),$L17="DNA"),$L17,"")))))))))="DNA","Rebook DNA",IF(ISNUMBER(IF(OR(ISNUMBER($V17),$V17="DNA"),$V17,IF(OR(ISNUMBER($U17),$U17="DNA"),$U17,IF(OR(ISNUMBER($T17),$T17="DNA"),$T17,IF(OR(ISNUMBER($S17),$S17="DNA"),$S17,IF(OR(ISNUMBER($R17),$R17="DNA"),$R17,IF(OR(ISNUMBER($Q17),$Q17="DNA"),$Q17,IF(OR(ISNUMBER($N17),$N17="DNA"),$N17,IF(OR(ISNUMBER($M17),$M17="DNA"),$M17,IF(OR(ISNUMBER($L17),$L17="DNA"),$L17,"")))))))))),IF(ISNUMBER($V17),"Update status","Missed/not booked?"),""))))</f>
        <v/>
      </c>
      <c r="K17" s="29">
        <f>IF(NOT(AND($A17&lt;&gt;"",OR($G17="",$G17="Active"))),"",IF(MIN(IF(AND(ISNUMBER($L17),$L17&gt;=TODAY()),$L17,99999),IF(AND(ISNUMBER($M17),$M17&gt;=TODAY()),$M17,99999),IF(AND(ISNUMBER($N17),$N17&gt;=TODAY()),$N17,99999),IF(AND(ISNUMBER($Q17),$Q17&gt;=TODAY()),$Q17,99999),IF(AND(ISNUMBER($R17),$R17&gt;=TODAY()),$R17,99999),IF(AND(ISNUMBER($S17),$S17&gt;=TODAY()),$S17,99999),IF(AND(ISNUMBER($T17),$T17&gt;=TODAY()),$T17,99999),IF(AND(ISNUMBER($U17),$U17&gt;=TODAY()),$U17,99999),IF(AND(ISNUMBER($V17),$V17&gt;=TODAY()),$V17,99999))=99999,"",MIN(IF(AND(ISNUMBER($L17),$L17&gt;=TODAY()),$L17,99999),IF(AND(ISNUMBER($M17),$M17&gt;=TODAY()),$M17,99999),IF(AND(ISNUMBER($N17),$N17&gt;=TODAY()),$N17,99999),IF(AND(ISNUMBER($Q17),$Q17&gt;=TODAY()),$Q17,99999),IF(AND(ISNUMBER($R17),$R17&gt;=TODAY()),$R17,99999),IF(AND(ISNUMBER($S17),$S17&gt;=TODAY()),$S17,99999),IF(AND(ISNUMBER($T17),$T17&gt;=TODAY()),$T17,99999),IF(AND(ISNUMBER($U17),$U17&gt;=TODAY()),$U17,99999),IF(AND(ISNUMBER($V17),$V17&gt;=TODAY()),$V17,99999))))</f>
        <v/>
      </c>
      <c r="L17" s="27" t="n"/>
      <c r="M17" s="27" t="n"/>
      <c r="N17" s="27" t="n"/>
      <c r="O17" s="27" t="n"/>
      <c r="P17" s="27" t="n"/>
      <c r="Q17" s="27" t="n"/>
      <c r="R17" s="27" t="n"/>
      <c r="S17" s="27" t="n"/>
      <c r="T17" s="27" t="n"/>
      <c r="U17" s="27" t="n"/>
      <c r="V17" s="27" t="n"/>
      <c r="W17" s="27" t="n"/>
      <c r="X17" s="27" t="n"/>
      <c r="Y17" s="27" t="n"/>
      <c r="Z17" s="30" t="n"/>
      <c r="AA17" s="25" t="n"/>
      <c r="AB17" s="28">
        <f>IF(NOT(AND($A17&lt;&gt;"",OR($G17="",$G17="Active"))),"",IF(OR(IF(OR(ISNUMBER($V17),$V17="DNA"),$V17,IF(OR(ISNUMBER($U17),$U17="DNA"),$U17,IF(OR(ISNUMBER($T17),$T17="DNA"),$T17,IF(OR(ISNUMBER($S17),$S17="DNA"),$S17,IF(OR(ISNUMBER($R17),$R17="DNA"),$R17,IF(OR(ISNUMBER($Q17),$Q17="DNA"),$Q17,IF(OR(ISNUMBER($N17),$N17="DNA"),$N17,IF(OR(ISNUMBER($M17),$M17="DNA"),$M17,IF(OR(ISNUMBER($L17),$L17="DNA"),$L17,"")))))))))="DNA",AND(ISNUMBER(IF(OR(ISNUMBER($V17),$V17="DNA"),$V17,IF(OR(ISNUMBER($U17),$U17="DNA"),$U17,IF(OR(ISNUMBER($T17),$T17="DNA"),$T17,IF(OR(ISNUMBER($S17),$S17="DNA"),$S17,IF(OR(ISNUMBER($R17),$R17="DNA"),$R17,IF(OR(ISNUMBER($Q17),$Q17="DNA"),$Q17,IF(OR(ISNUMBER($N17),$N17="DNA"),$N17,IF(OR(ISNUMBER($M17),$M17="DNA"),$M17,IF(OR(ISNUMBER($L17),$L17="DNA"),$L17,"")))))))))),IF(OR(ISNUMBER($V17),$V17="DNA"),$V17,IF(OR(ISNUMBER($U17),$U17="DNA"),$U17,IF(OR(ISNUMBER($T17),$T17="DNA"),$T17,IF(OR(ISNUMBER($S17),$S17="DNA"),$S17,IF(OR(ISNUMBER($R17),$R17="DNA"),$R17,IF(OR(ISNUMBER($Q17),$Q17="DNA"),$Q17,IF(OR(ISNUMBER($N17),$N17="DNA"),$N17,IF(OR(ISNUMBER($M17),$M17="DNA"),$M17,IF(OR(ISNUMBER($L17),$L17="DNA"),$L17,"")))))))))&lt;TODAY())),1,0)+ISNUMBER($O17)*($O17&lt;TODAY())+ISNUMBER($P17)*($P17&lt;TODAY())+ISNUMBER($X17)*($X17&lt;TODAY())+ISNUMBER($Y17)*($Y17&lt;TODAY()))</f>
        <v/>
      </c>
    </row>
    <row r="18">
      <c r="A18" s="25" t="n"/>
      <c r="B18" s="26" t="n"/>
      <c r="C18" s="27" t="n"/>
      <c r="D18" s="25" t="n"/>
      <c r="E18" s="25" t="n"/>
      <c r="F18" s="27" t="n"/>
      <c r="G18" s="25" t="n"/>
      <c r="H18" s="28">
        <f>IF(OR(NOT(AND($A18&lt;&gt;"",OR($G18="",$G18="Active"))),$F18=""),"",INT((TODAY()-$F18+280)/7)&amp;"+"&amp;MOD(TODAY()-$F18+280,7))</f>
        <v/>
      </c>
      <c r="I18" s="28">
        <f>IF(NOT(AND($A18&lt;&gt;"",OR($G18="",$G18="Active"))),"",ISNUMBER($L18)*($L18&gt;=TODAY())*($L18&lt;=TODAY()+7)+ISNUMBER($M18)*($M18&gt;=TODAY())*($M18&lt;=TODAY()+7)+ISNUMBER($N18)*($N18&gt;=TODAY())*($N18&lt;=TODAY()+7)+ISNUMBER($Q18)*($Q18&gt;=TODAY())*($Q18&lt;=TODAY()+7)+ISNUMBER($R18)*($R18&gt;=TODAY())*($R18&lt;=TODAY()+7)+ISNUMBER($S18)*($S18&gt;=TODAY())*($S18&lt;=TODAY()+7)+ISNUMBER($T18)*($T18&gt;=TODAY())*($T18&lt;=TODAY()+7)+ISNUMBER($U18)*($U18&gt;=TODAY())*($U18&lt;=TODAY()+7)+ISNUMBER($V18)*($V18&gt;=TODAY())*($V18&lt;=TODAY()+7)+ISNUMBER($O18)*($O18&gt;=TODAY())*($O18&lt;=TODAY()+7)+ISNUMBER($P18)*($P18&gt;=TODAY())*($P18&lt;=TODAY()+7)+ISNUMBER($X18)*($X18&gt;=TODAY())*($X18&lt;=TODAY()+7)+ISNUMBER($Y18)*($Y18&gt;=TODAY())*($Y18&lt;=TODAY()+7))</f>
        <v/>
      </c>
      <c r="J18" s="28">
        <f>IF(NOT(AND($A18&lt;&gt;"",OR($G18="",$G18="Active"))),"",IF($K18&lt;&gt;"",IF($L18=$K18,"Booking",IF($M18=$K18,"16/40",IF($N18=$K18,"25/40",IF($Q18=$K18,"28/40",IF($R18=$K18,"31/40",IF($S18=$K18,"34/40",IF($T18=$K18,"36/40",IF($U18=$K18,"38/40",IF($V18=$K18,"40/40",""))))))))),IF(IF(OR(ISNUMBER($V18),$V18="DNA"),$V18,IF(OR(ISNUMBER($U18),$U18="DNA"),$U18,IF(OR(ISNUMBER($T18),$T18="DNA"),$T18,IF(OR(ISNUMBER($S18),$S18="DNA"),$S18,IF(OR(ISNUMBER($R18),$R18="DNA"),$R18,IF(OR(ISNUMBER($Q18),$Q18="DNA"),$Q18,IF(OR(ISNUMBER($N18),$N18="DNA"),$N18,IF(OR(ISNUMBER($M18),$M18="DNA"),$M18,IF(OR(ISNUMBER($L18),$L18="DNA"),$L18,"")))))))))="DNA","Rebook DNA",IF(ISNUMBER(IF(OR(ISNUMBER($V18),$V18="DNA"),$V18,IF(OR(ISNUMBER($U18),$U18="DNA"),$U18,IF(OR(ISNUMBER($T18),$T18="DNA"),$T18,IF(OR(ISNUMBER($S18),$S18="DNA"),$S18,IF(OR(ISNUMBER($R18),$R18="DNA"),$R18,IF(OR(ISNUMBER($Q18),$Q18="DNA"),$Q18,IF(OR(ISNUMBER($N18),$N18="DNA"),$N18,IF(OR(ISNUMBER($M18),$M18="DNA"),$M18,IF(OR(ISNUMBER($L18),$L18="DNA"),$L18,"")))))))))),IF(ISNUMBER($V18),"Update status","Missed/not booked?"),""))))</f>
        <v/>
      </c>
      <c r="K18" s="29">
        <f>IF(NOT(AND($A18&lt;&gt;"",OR($G18="",$G18="Active"))),"",IF(MIN(IF(AND(ISNUMBER($L18),$L18&gt;=TODAY()),$L18,99999),IF(AND(ISNUMBER($M18),$M18&gt;=TODAY()),$M18,99999),IF(AND(ISNUMBER($N18),$N18&gt;=TODAY()),$N18,99999),IF(AND(ISNUMBER($Q18),$Q18&gt;=TODAY()),$Q18,99999),IF(AND(ISNUMBER($R18),$R18&gt;=TODAY()),$R18,99999),IF(AND(ISNUMBER($S18),$S18&gt;=TODAY()),$S18,99999),IF(AND(ISNUMBER($T18),$T18&gt;=TODAY()),$T18,99999),IF(AND(ISNUMBER($U18),$U18&gt;=TODAY()),$U18,99999),IF(AND(ISNUMBER($V18),$V18&gt;=TODAY()),$V18,99999))=99999,"",MIN(IF(AND(ISNUMBER($L18),$L18&gt;=TODAY()),$L18,99999),IF(AND(ISNUMBER($M18),$M18&gt;=TODAY()),$M18,99999),IF(AND(ISNUMBER($N18),$N18&gt;=TODAY()),$N18,99999),IF(AND(ISNUMBER($Q18),$Q18&gt;=TODAY()),$Q18,99999),IF(AND(ISNUMBER($R18),$R18&gt;=TODAY()),$R18,99999),IF(AND(ISNUMBER($S18),$S18&gt;=TODAY()),$S18,99999),IF(AND(ISNUMBER($T18),$T18&gt;=TODAY()),$T18,99999),IF(AND(ISNUMBER($U18),$U18&gt;=TODAY()),$U18,99999),IF(AND(ISNUMBER($V18),$V18&gt;=TODAY()),$V18,99999))))</f>
        <v/>
      </c>
      <c r="L18" s="27" t="n"/>
      <c r="M18" s="27" t="n"/>
      <c r="N18" s="27" t="n"/>
      <c r="O18" s="27" t="n"/>
      <c r="P18" s="27" t="n"/>
      <c r="Q18" s="27" t="n"/>
      <c r="R18" s="27" t="n"/>
      <c r="S18" s="27" t="n"/>
      <c r="T18" s="27" t="n"/>
      <c r="U18" s="27" t="n"/>
      <c r="V18" s="27" t="n"/>
      <c r="W18" s="27" t="n"/>
      <c r="X18" s="27" t="n"/>
      <c r="Y18" s="27" t="n"/>
      <c r="Z18" s="30" t="n"/>
      <c r="AA18" s="25" t="n"/>
      <c r="AB18" s="28">
        <f>IF(NOT(AND($A18&lt;&gt;"",OR($G18="",$G18="Active"))),"",IF(OR(IF(OR(ISNUMBER($V18),$V18="DNA"),$V18,IF(OR(ISNUMBER($U18),$U18="DNA"),$U18,IF(OR(ISNUMBER($T18),$T18="DNA"),$T18,IF(OR(ISNUMBER($S18),$S18="DNA"),$S18,IF(OR(ISNUMBER($R18),$R18="DNA"),$R18,IF(OR(ISNUMBER($Q18),$Q18="DNA"),$Q18,IF(OR(ISNUMBER($N18),$N18="DNA"),$N18,IF(OR(ISNUMBER($M18),$M18="DNA"),$M18,IF(OR(ISNUMBER($L18),$L18="DNA"),$L18,"")))))))))="DNA",AND(ISNUMBER(IF(OR(ISNUMBER($V18),$V18="DNA"),$V18,IF(OR(ISNUMBER($U18),$U18="DNA"),$U18,IF(OR(ISNUMBER($T18),$T18="DNA"),$T18,IF(OR(ISNUMBER($S18),$S18="DNA"),$S18,IF(OR(ISNUMBER($R18),$R18="DNA"),$R18,IF(OR(ISNUMBER($Q18),$Q18="DNA"),$Q18,IF(OR(ISNUMBER($N18),$N18="DNA"),$N18,IF(OR(ISNUMBER($M18),$M18="DNA"),$M18,IF(OR(ISNUMBER($L18),$L18="DNA"),$L18,"")))))))))),IF(OR(ISNUMBER($V18),$V18="DNA"),$V18,IF(OR(ISNUMBER($U18),$U18="DNA"),$U18,IF(OR(ISNUMBER($T18),$T18="DNA"),$T18,IF(OR(ISNUMBER($S18),$S18="DNA"),$S18,IF(OR(ISNUMBER($R18),$R18="DNA"),$R18,IF(OR(ISNUMBER($Q18),$Q18="DNA"),$Q18,IF(OR(ISNUMBER($N18),$N18="DNA"),$N18,IF(OR(ISNUMBER($M18),$M18="DNA"),$M18,IF(OR(ISNUMBER($L18),$L18="DNA"),$L18,"")))))))))&lt;TODAY())),1,0)+ISNUMBER($O18)*($O18&lt;TODAY())+ISNUMBER($P18)*($P18&lt;TODAY())+ISNUMBER($X18)*($X18&lt;TODAY())+ISNUMBER($Y18)*($Y18&lt;TODAY()))</f>
        <v/>
      </c>
    </row>
    <row r="19">
      <c r="A19" s="25" t="n"/>
      <c r="B19" s="26" t="n"/>
      <c r="C19" s="27" t="n"/>
      <c r="D19" s="25" t="n"/>
      <c r="E19" s="25" t="n"/>
      <c r="F19" s="27" t="n"/>
      <c r="G19" s="25" t="n"/>
      <c r="H19" s="28">
        <f>IF(OR(NOT(AND($A19&lt;&gt;"",OR($G19="",$G19="Active"))),$F19=""),"",INT((TODAY()-$F19+280)/7)&amp;"+"&amp;MOD(TODAY()-$F19+280,7))</f>
        <v/>
      </c>
      <c r="I19" s="28">
        <f>IF(NOT(AND($A19&lt;&gt;"",OR($G19="",$G19="Active"))),"",ISNUMBER($L19)*($L19&gt;=TODAY())*($L19&lt;=TODAY()+7)+ISNUMBER($M19)*($M19&gt;=TODAY())*($M19&lt;=TODAY()+7)+ISNUMBER($N19)*($N19&gt;=TODAY())*($N19&lt;=TODAY()+7)+ISNUMBER($Q19)*($Q19&gt;=TODAY())*($Q19&lt;=TODAY()+7)+ISNUMBER($R19)*($R19&gt;=TODAY())*($R19&lt;=TODAY()+7)+ISNUMBER($S19)*($S19&gt;=TODAY())*($S19&lt;=TODAY()+7)+ISNUMBER($T19)*($T19&gt;=TODAY())*($T19&lt;=TODAY()+7)+ISNUMBER($U19)*($U19&gt;=TODAY())*($U19&lt;=TODAY()+7)+ISNUMBER($V19)*($V19&gt;=TODAY())*($V19&lt;=TODAY()+7)+ISNUMBER($O19)*($O19&gt;=TODAY())*($O19&lt;=TODAY()+7)+ISNUMBER($P19)*($P19&gt;=TODAY())*($P19&lt;=TODAY()+7)+ISNUMBER($X19)*($X19&gt;=TODAY())*($X19&lt;=TODAY()+7)+ISNUMBER($Y19)*($Y19&gt;=TODAY())*($Y19&lt;=TODAY()+7))</f>
        <v/>
      </c>
      <c r="J19" s="28">
        <f>IF(NOT(AND($A19&lt;&gt;"",OR($G19="",$G19="Active"))),"",IF($K19&lt;&gt;"",IF($L19=$K19,"Booking",IF($M19=$K19,"16/40",IF($N19=$K19,"25/40",IF($Q19=$K19,"28/40",IF($R19=$K19,"31/40",IF($S19=$K19,"34/40",IF($T19=$K19,"36/40",IF($U19=$K19,"38/40",IF($V19=$K19,"40/40",""))))))))),IF(IF(OR(ISNUMBER($V19),$V19="DNA"),$V19,IF(OR(ISNUMBER($U19),$U19="DNA"),$U19,IF(OR(ISNUMBER($T19),$T19="DNA"),$T19,IF(OR(ISNUMBER($S19),$S19="DNA"),$S19,IF(OR(ISNUMBER($R19),$R19="DNA"),$R19,IF(OR(ISNUMBER($Q19),$Q19="DNA"),$Q19,IF(OR(ISNUMBER($N19),$N19="DNA"),$N19,IF(OR(ISNUMBER($M19),$M19="DNA"),$M19,IF(OR(ISNUMBER($L19),$L19="DNA"),$L19,"")))))))))="DNA","Rebook DNA",IF(ISNUMBER(IF(OR(ISNUMBER($V19),$V19="DNA"),$V19,IF(OR(ISNUMBER($U19),$U19="DNA"),$U19,IF(OR(ISNUMBER($T19),$T19="DNA"),$T19,IF(OR(ISNUMBER($S19),$S19="DNA"),$S19,IF(OR(ISNUMBER($R19),$R19="DNA"),$R19,IF(OR(ISNUMBER($Q19),$Q19="DNA"),$Q19,IF(OR(ISNUMBER($N19),$N19="DNA"),$N19,IF(OR(ISNUMBER($M19),$M19="DNA"),$M19,IF(OR(ISNUMBER($L19),$L19="DNA"),$L19,"")))))))))),IF(ISNUMBER($V19),"Update status","Missed/not booked?"),""))))</f>
        <v/>
      </c>
      <c r="K19" s="29">
        <f>IF(NOT(AND($A19&lt;&gt;"",OR($G19="",$G19="Active"))),"",IF(MIN(IF(AND(ISNUMBER($L19),$L19&gt;=TODAY()),$L19,99999),IF(AND(ISNUMBER($M19),$M19&gt;=TODAY()),$M19,99999),IF(AND(ISNUMBER($N19),$N19&gt;=TODAY()),$N19,99999),IF(AND(ISNUMBER($Q19),$Q19&gt;=TODAY()),$Q19,99999),IF(AND(ISNUMBER($R19),$R19&gt;=TODAY()),$R19,99999),IF(AND(ISNUMBER($S19),$S19&gt;=TODAY()),$S19,99999),IF(AND(ISNUMBER($T19),$T19&gt;=TODAY()),$T19,99999),IF(AND(ISNUMBER($U19),$U19&gt;=TODAY()),$U19,99999),IF(AND(ISNUMBER($V19),$V19&gt;=TODAY()),$V19,99999))=99999,"",MIN(IF(AND(ISNUMBER($L19),$L19&gt;=TODAY()),$L19,99999),IF(AND(ISNUMBER($M19),$M19&gt;=TODAY()),$M19,99999),IF(AND(ISNUMBER($N19),$N19&gt;=TODAY()),$N19,99999),IF(AND(ISNUMBER($Q19),$Q19&gt;=TODAY()),$Q19,99999),IF(AND(ISNUMBER($R19),$R19&gt;=TODAY()),$R19,99999),IF(AND(ISNUMBER($S19),$S19&gt;=TODAY()),$S19,99999),IF(AND(ISNUMBER($T19),$T19&gt;=TODAY()),$T19,99999),IF(AND(ISNUMBER($U19),$U19&gt;=TODAY()),$U19,99999),IF(AND(ISNUMBER($V19),$V19&gt;=TODAY()),$V19,99999))))</f>
        <v/>
      </c>
      <c r="L19" s="27" t="n"/>
      <c r="M19" s="27" t="n"/>
      <c r="N19" s="27" t="n"/>
      <c r="O19" s="27" t="n"/>
      <c r="P19" s="27" t="n"/>
      <c r="Q19" s="27" t="n"/>
      <c r="R19" s="27" t="n"/>
      <c r="S19" s="27" t="n"/>
      <c r="T19" s="27" t="n"/>
      <c r="U19" s="27" t="n"/>
      <c r="V19" s="27" t="n"/>
      <c r="W19" s="27" t="n"/>
      <c r="X19" s="27" t="n"/>
      <c r="Y19" s="27" t="n"/>
      <c r="Z19" s="30" t="n"/>
      <c r="AA19" s="25" t="n"/>
      <c r="AB19" s="28">
        <f>IF(NOT(AND($A19&lt;&gt;"",OR($G19="",$G19="Active"))),"",IF(OR(IF(OR(ISNUMBER($V19),$V19="DNA"),$V19,IF(OR(ISNUMBER($U19),$U19="DNA"),$U19,IF(OR(ISNUMBER($T19),$T19="DNA"),$T19,IF(OR(ISNUMBER($S19),$S19="DNA"),$S19,IF(OR(ISNUMBER($R19),$R19="DNA"),$R19,IF(OR(ISNUMBER($Q19),$Q19="DNA"),$Q19,IF(OR(ISNUMBER($N19),$N19="DNA"),$N19,IF(OR(ISNUMBER($M19),$M19="DNA"),$M19,IF(OR(ISNUMBER($L19),$L19="DNA"),$L19,"")))))))))="DNA",AND(ISNUMBER(IF(OR(ISNUMBER($V19),$V19="DNA"),$V19,IF(OR(ISNUMBER($U19),$U19="DNA"),$U19,IF(OR(ISNUMBER($T19),$T19="DNA"),$T19,IF(OR(ISNUMBER($S19),$S19="DNA"),$S19,IF(OR(ISNUMBER($R19),$R19="DNA"),$R19,IF(OR(ISNUMBER($Q19),$Q19="DNA"),$Q19,IF(OR(ISNUMBER($N19),$N19="DNA"),$N19,IF(OR(ISNUMBER($M19),$M19="DNA"),$M19,IF(OR(ISNUMBER($L19),$L19="DNA"),$L19,"")))))))))),IF(OR(ISNUMBER($V19),$V19="DNA"),$V19,IF(OR(ISNUMBER($U19),$U19="DNA"),$U19,IF(OR(ISNUMBER($T19),$T19="DNA"),$T19,IF(OR(ISNUMBER($S19),$S19="DNA"),$S19,IF(OR(ISNUMBER($R19),$R19="DNA"),$R19,IF(OR(ISNUMBER($Q19),$Q19="DNA"),$Q19,IF(OR(ISNUMBER($N19),$N19="DNA"),$N19,IF(OR(ISNUMBER($M19),$M19="DNA"),$M19,IF(OR(ISNUMBER($L19),$L19="DNA"),$L19,"")))))))))&lt;TODAY())),1,0)+ISNUMBER($O19)*($O19&lt;TODAY())+ISNUMBER($P19)*($P19&lt;TODAY())+ISNUMBER($X19)*($X19&lt;TODAY())+ISNUMBER($Y19)*($Y19&lt;TODAY()))</f>
        <v/>
      </c>
    </row>
    <row r="20">
      <c r="A20" s="25" t="n"/>
      <c r="B20" s="26" t="n"/>
      <c r="C20" s="27" t="n"/>
      <c r="D20" s="25" t="n"/>
      <c r="E20" s="25" t="n"/>
      <c r="F20" s="27" t="n"/>
      <c r="G20" s="25" t="n"/>
      <c r="H20" s="28">
        <f>IF(OR(NOT(AND($A20&lt;&gt;"",OR($G20="",$G20="Active"))),$F20=""),"",INT((TODAY()-$F20+280)/7)&amp;"+"&amp;MOD(TODAY()-$F20+280,7))</f>
        <v/>
      </c>
      <c r="I20" s="28">
        <f>IF(NOT(AND($A20&lt;&gt;"",OR($G20="",$G20="Active"))),"",ISNUMBER($L20)*($L20&gt;=TODAY())*($L20&lt;=TODAY()+7)+ISNUMBER($M20)*($M20&gt;=TODAY())*($M20&lt;=TODAY()+7)+ISNUMBER($N20)*($N20&gt;=TODAY())*($N20&lt;=TODAY()+7)+ISNUMBER($Q20)*($Q20&gt;=TODAY())*($Q20&lt;=TODAY()+7)+ISNUMBER($R20)*($R20&gt;=TODAY())*($R20&lt;=TODAY()+7)+ISNUMBER($S20)*($S20&gt;=TODAY())*($S20&lt;=TODAY()+7)+ISNUMBER($T20)*($T20&gt;=TODAY())*($T20&lt;=TODAY()+7)+ISNUMBER($U20)*($U20&gt;=TODAY())*($U20&lt;=TODAY()+7)+ISNUMBER($V20)*($V20&gt;=TODAY())*($V20&lt;=TODAY()+7)+ISNUMBER($O20)*($O20&gt;=TODAY())*($O20&lt;=TODAY()+7)+ISNUMBER($P20)*($P20&gt;=TODAY())*($P20&lt;=TODAY()+7)+ISNUMBER($X20)*($X20&gt;=TODAY())*($X20&lt;=TODAY()+7)+ISNUMBER($Y20)*($Y20&gt;=TODAY())*($Y20&lt;=TODAY()+7))</f>
        <v/>
      </c>
      <c r="J20" s="28">
        <f>IF(NOT(AND($A20&lt;&gt;"",OR($G20="",$G20="Active"))),"",IF($K20&lt;&gt;"",IF($L20=$K20,"Booking",IF($M20=$K20,"16/40",IF($N20=$K20,"25/40",IF($Q20=$K20,"28/40",IF($R20=$K20,"31/40",IF($S20=$K20,"34/40",IF($T20=$K20,"36/40",IF($U20=$K20,"38/40",IF($V20=$K20,"40/40",""))))))))),IF(IF(OR(ISNUMBER($V20),$V20="DNA"),$V20,IF(OR(ISNUMBER($U20),$U20="DNA"),$U20,IF(OR(ISNUMBER($T20),$T20="DNA"),$T20,IF(OR(ISNUMBER($S20),$S20="DNA"),$S20,IF(OR(ISNUMBER($R20),$R20="DNA"),$R20,IF(OR(ISNUMBER($Q20),$Q20="DNA"),$Q20,IF(OR(ISNUMBER($N20),$N20="DNA"),$N20,IF(OR(ISNUMBER($M20),$M20="DNA"),$M20,IF(OR(ISNUMBER($L20),$L20="DNA"),$L20,"")))))))))="DNA","Rebook DNA",IF(ISNUMBER(IF(OR(ISNUMBER($V20),$V20="DNA"),$V20,IF(OR(ISNUMBER($U20),$U20="DNA"),$U20,IF(OR(ISNUMBER($T20),$T20="DNA"),$T20,IF(OR(ISNUMBER($S20),$S20="DNA"),$S20,IF(OR(ISNUMBER($R20),$R20="DNA"),$R20,IF(OR(ISNUMBER($Q20),$Q20="DNA"),$Q20,IF(OR(ISNUMBER($N20),$N20="DNA"),$N20,IF(OR(ISNUMBER($M20),$M20="DNA"),$M20,IF(OR(ISNUMBER($L20),$L20="DNA"),$L20,"")))))))))),IF(ISNUMBER($V20),"Update status","Missed/not booked?"),""))))</f>
        <v/>
      </c>
      <c r="K20" s="29">
        <f>IF(NOT(AND($A20&lt;&gt;"",OR($G20="",$G20="Active"))),"",IF(MIN(IF(AND(ISNUMBER($L20),$L20&gt;=TODAY()),$L20,99999),IF(AND(ISNUMBER($M20),$M20&gt;=TODAY()),$M20,99999),IF(AND(ISNUMBER($N20),$N20&gt;=TODAY()),$N20,99999),IF(AND(ISNUMBER($Q20),$Q20&gt;=TODAY()),$Q20,99999),IF(AND(ISNUMBER($R20),$R20&gt;=TODAY()),$R20,99999),IF(AND(ISNUMBER($S20),$S20&gt;=TODAY()),$S20,99999),IF(AND(ISNUMBER($T20),$T20&gt;=TODAY()),$T20,99999),IF(AND(ISNUMBER($U20),$U20&gt;=TODAY()),$U20,99999),IF(AND(ISNUMBER($V20),$V20&gt;=TODAY()),$V20,99999))=99999,"",MIN(IF(AND(ISNUMBER($L20),$L20&gt;=TODAY()),$L20,99999),IF(AND(ISNUMBER($M20),$M20&gt;=TODAY()),$M20,99999),IF(AND(ISNUMBER($N20),$N20&gt;=TODAY()),$N20,99999),IF(AND(ISNUMBER($Q20),$Q20&gt;=TODAY()),$Q20,99999),IF(AND(ISNUMBER($R20),$R20&gt;=TODAY()),$R20,99999),IF(AND(ISNUMBER($S20),$S20&gt;=TODAY()),$S20,99999),IF(AND(ISNUMBER($T20),$T20&gt;=TODAY()),$T20,99999),IF(AND(ISNUMBER($U20),$U20&gt;=TODAY()),$U20,99999),IF(AND(ISNUMBER($V20),$V20&gt;=TODAY()),$V20,99999))))</f>
        <v/>
      </c>
      <c r="L20" s="27" t="n"/>
      <c r="M20" s="27" t="n"/>
      <c r="N20" s="27" t="n"/>
      <c r="O20" s="27" t="n"/>
      <c r="P20" s="27" t="n"/>
      <c r="Q20" s="27" t="n"/>
      <c r="R20" s="27" t="n"/>
      <c r="S20" s="27" t="n"/>
      <c r="T20" s="27" t="n"/>
      <c r="U20" s="27" t="n"/>
      <c r="V20" s="27" t="n"/>
      <c r="W20" s="27" t="n"/>
      <c r="X20" s="27" t="n"/>
      <c r="Y20" s="27" t="n"/>
      <c r="Z20" s="30" t="n"/>
      <c r="AA20" s="25" t="n"/>
      <c r="AB20" s="28">
        <f>IF(NOT(AND($A20&lt;&gt;"",OR($G20="",$G20="Active"))),"",IF(OR(IF(OR(ISNUMBER($V20),$V20="DNA"),$V20,IF(OR(ISNUMBER($U20),$U20="DNA"),$U20,IF(OR(ISNUMBER($T20),$T20="DNA"),$T20,IF(OR(ISNUMBER($S20),$S20="DNA"),$S20,IF(OR(ISNUMBER($R20),$R20="DNA"),$R20,IF(OR(ISNUMBER($Q20),$Q20="DNA"),$Q20,IF(OR(ISNUMBER($N20),$N20="DNA"),$N20,IF(OR(ISNUMBER($M20),$M20="DNA"),$M20,IF(OR(ISNUMBER($L20),$L20="DNA"),$L20,"")))))))))="DNA",AND(ISNUMBER(IF(OR(ISNUMBER($V20),$V20="DNA"),$V20,IF(OR(ISNUMBER($U20),$U20="DNA"),$U20,IF(OR(ISNUMBER($T20),$T20="DNA"),$T20,IF(OR(ISNUMBER($S20),$S20="DNA"),$S20,IF(OR(ISNUMBER($R20),$R20="DNA"),$R20,IF(OR(ISNUMBER($Q20),$Q20="DNA"),$Q20,IF(OR(ISNUMBER($N20),$N20="DNA"),$N20,IF(OR(ISNUMBER($M20),$M20="DNA"),$M20,IF(OR(ISNUMBER($L20),$L20="DNA"),$L20,"")))))))))),IF(OR(ISNUMBER($V20),$V20="DNA"),$V20,IF(OR(ISNUMBER($U20),$U20="DNA"),$U20,IF(OR(ISNUMBER($T20),$T20="DNA"),$T20,IF(OR(ISNUMBER($S20),$S20="DNA"),$S20,IF(OR(ISNUMBER($R20),$R20="DNA"),$R20,IF(OR(ISNUMBER($Q20),$Q20="DNA"),$Q20,IF(OR(ISNUMBER($N20),$N20="DNA"),$N20,IF(OR(ISNUMBER($M20),$M20="DNA"),$M20,IF(OR(ISNUMBER($L20),$L20="DNA"),$L20,"")))))))))&lt;TODAY())),1,0)+ISNUMBER($O20)*($O20&lt;TODAY())+ISNUMBER($P20)*($P20&lt;TODAY())+ISNUMBER($X20)*($X20&lt;TODAY())+ISNUMBER($Y20)*($Y20&lt;TODAY()))</f>
        <v/>
      </c>
    </row>
    <row r="21">
      <c r="A21" s="25" t="n"/>
      <c r="B21" s="26" t="n"/>
      <c r="C21" s="27" t="n"/>
      <c r="D21" s="25" t="n"/>
      <c r="E21" s="25" t="n"/>
      <c r="F21" s="27" t="n"/>
      <c r="G21" s="25" t="n"/>
      <c r="H21" s="28">
        <f>IF(OR(NOT(AND($A21&lt;&gt;"",OR($G21="",$G21="Active"))),$F21=""),"",INT((TODAY()-$F21+280)/7)&amp;"+"&amp;MOD(TODAY()-$F21+280,7))</f>
        <v/>
      </c>
      <c r="I21" s="28">
        <f>IF(NOT(AND($A21&lt;&gt;"",OR($G21="",$G21="Active"))),"",ISNUMBER($L21)*($L21&gt;=TODAY())*($L21&lt;=TODAY()+7)+ISNUMBER($M21)*($M21&gt;=TODAY())*($M21&lt;=TODAY()+7)+ISNUMBER($N21)*($N21&gt;=TODAY())*($N21&lt;=TODAY()+7)+ISNUMBER($Q21)*($Q21&gt;=TODAY())*($Q21&lt;=TODAY()+7)+ISNUMBER($R21)*($R21&gt;=TODAY())*($R21&lt;=TODAY()+7)+ISNUMBER($S21)*($S21&gt;=TODAY())*($S21&lt;=TODAY()+7)+ISNUMBER($T21)*($T21&gt;=TODAY())*($T21&lt;=TODAY()+7)+ISNUMBER($U21)*($U21&gt;=TODAY())*($U21&lt;=TODAY()+7)+ISNUMBER($V21)*($V21&gt;=TODAY())*($V21&lt;=TODAY()+7)+ISNUMBER($O21)*($O21&gt;=TODAY())*($O21&lt;=TODAY()+7)+ISNUMBER($P21)*($P21&gt;=TODAY())*($P21&lt;=TODAY()+7)+ISNUMBER($X21)*($X21&gt;=TODAY())*($X21&lt;=TODAY()+7)+ISNUMBER($Y21)*($Y21&gt;=TODAY())*($Y21&lt;=TODAY()+7))</f>
        <v/>
      </c>
      <c r="J21" s="28">
        <f>IF(NOT(AND($A21&lt;&gt;"",OR($G21="",$G21="Active"))),"",IF($K21&lt;&gt;"",IF($L21=$K21,"Booking",IF($M21=$K21,"16/40",IF($N21=$K21,"25/40",IF($Q21=$K21,"28/40",IF($R21=$K21,"31/40",IF($S21=$K21,"34/40",IF($T21=$K21,"36/40",IF($U21=$K21,"38/40",IF($V21=$K21,"40/40",""))))))))),IF(IF(OR(ISNUMBER($V21),$V21="DNA"),$V21,IF(OR(ISNUMBER($U21),$U21="DNA"),$U21,IF(OR(ISNUMBER($T21),$T21="DNA"),$T21,IF(OR(ISNUMBER($S21),$S21="DNA"),$S21,IF(OR(ISNUMBER($R21),$R21="DNA"),$R21,IF(OR(ISNUMBER($Q21),$Q21="DNA"),$Q21,IF(OR(ISNUMBER($N21),$N21="DNA"),$N21,IF(OR(ISNUMBER($M21),$M21="DNA"),$M21,IF(OR(ISNUMBER($L21),$L21="DNA"),$L21,"")))))))))="DNA","Rebook DNA",IF(ISNUMBER(IF(OR(ISNUMBER($V21),$V21="DNA"),$V21,IF(OR(ISNUMBER($U21),$U21="DNA"),$U21,IF(OR(ISNUMBER($T21),$T21="DNA"),$T21,IF(OR(ISNUMBER($S21),$S21="DNA"),$S21,IF(OR(ISNUMBER($R21),$R21="DNA"),$R21,IF(OR(ISNUMBER($Q21),$Q21="DNA"),$Q21,IF(OR(ISNUMBER($N21),$N21="DNA"),$N21,IF(OR(ISNUMBER($M21),$M21="DNA"),$M21,IF(OR(ISNUMBER($L21),$L21="DNA"),$L21,"")))))))))),IF(ISNUMBER($V21),"Update status","Missed/not booked?"),""))))</f>
        <v/>
      </c>
      <c r="K21" s="29">
        <f>IF(NOT(AND($A21&lt;&gt;"",OR($G21="",$G21="Active"))),"",IF(MIN(IF(AND(ISNUMBER($L21),$L21&gt;=TODAY()),$L21,99999),IF(AND(ISNUMBER($M21),$M21&gt;=TODAY()),$M21,99999),IF(AND(ISNUMBER($N21),$N21&gt;=TODAY()),$N21,99999),IF(AND(ISNUMBER($Q21),$Q21&gt;=TODAY()),$Q21,99999),IF(AND(ISNUMBER($R21),$R21&gt;=TODAY()),$R21,99999),IF(AND(ISNUMBER($S21),$S21&gt;=TODAY()),$S21,99999),IF(AND(ISNUMBER($T21),$T21&gt;=TODAY()),$T21,99999),IF(AND(ISNUMBER($U21),$U21&gt;=TODAY()),$U21,99999),IF(AND(ISNUMBER($V21),$V21&gt;=TODAY()),$V21,99999))=99999,"",MIN(IF(AND(ISNUMBER($L21),$L21&gt;=TODAY()),$L21,99999),IF(AND(ISNUMBER($M21),$M21&gt;=TODAY()),$M21,99999),IF(AND(ISNUMBER($N21),$N21&gt;=TODAY()),$N21,99999),IF(AND(ISNUMBER($Q21),$Q21&gt;=TODAY()),$Q21,99999),IF(AND(ISNUMBER($R21),$R21&gt;=TODAY()),$R21,99999),IF(AND(ISNUMBER($S21),$S21&gt;=TODAY()),$S21,99999),IF(AND(ISNUMBER($T21),$T21&gt;=TODAY()),$T21,99999),IF(AND(ISNUMBER($U21),$U21&gt;=TODAY()),$U21,99999),IF(AND(ISNUMBER($V21),$V21&gt;=TODAY()),$V21,99999))))</f>
        <v/>
      </c>
      <c r="L21" s="27" t="n"/>
      <c r="M21" s="27" t="n"/>
      <c r="N21" s="27" t="n"/>
      <c r="O21" s="27" t="n"/>
      <c r="P21" s="27" t="n"/>
      <c r="Q21" s="27" t="n"/>
      <c r="R21" s="27" t="n"/>
      <c r="S21" s="27" t="n"/>
      <c r="T21" s="27" t="n"/>
      <c r="U21" s="27" t="n"/>
      <c r="V21" s="27" t="n"/>
      <c r="W21" s="27" t="n"/>
      <c r="X21" s="27" t="n"/>
      <c r="Y21" s="27" t="n"/>
      <c r="Z21" s="30" t="n"/>
      <c r="AA21" s="25" t="n"/>
      <c r="AB21" s="28">
        <f>IF(NOT(AND($A21&lt;&gt;"",OR($G21="",$G21="Active"))),"",IF(OR(IF(OR(ISNUMBER($V21),$V21="DNA"),$V21,IF(OR(ISNUMBER($U21),$U21="DNA"),$U21,IF(OR(ISNUMBER($T21),$T21="DNA"),$T21,IF(OR(ISNUMBER($S21),$S21="DNA"),$S21,IF(OR(ISNUMBER($R21),$R21="DNA"),$R21,IF(OR(ISNUMBER($Q21),$Q21="DNA"),$Q21,IF(OR(ISNUMBER($N21),$N21="DNA"),$N21,IF(OR(ISNUMBER($M21),$M21="DNA"),$M21,IF(OR(ISNUMBER($L21),$L21="DNA"),$L21,"")))))))))="DNA",AND(ISNUMBER(IF(OR(ISNUMBER($V21),$V21="DNA"),$V21,IF(OR(ISNUMBER($U21),$U21="DNA"),$U21,IF(OR(ISNUMBER($T21),$T21="DNA"),$T21,IF(OR(ISNUMBER($S21),$S21="DNA"),$S21,IF(OR(ISNUMBER($R21),$R21="DNA"),$R21,IF(OR(ISNUMBER($Q21),$Q21="DNA"),$Q21,IF(OR(ISNUMBER($N21),$N21="DNA"),$N21,IF(OR(ISNUMBER($M21),$M21="DNA"),$M21,IF(OR(ISNUMBER($L21),$L21="DNA"),$L21,"")))))))))),IF(OR(ISNUMBER($V21),$V21="DNA"),$V21,IF(OR(ISNUMBER($U21),$U21="DNA"),$U21,IF(OR(ISNUMBER($T21),$T21="DNA"),$T21,IF(OR(ISNUMBER($S21),$S21="DNA"),$S21,IF(OR(ISNUMBER($R21),$R21="DNA"),$R21,IF(OR(ISNUMBER($Q21),$Q21="DNA"),$Q21,IF(OR(ISNUMBER($N21),$N21="DNA"),$N21,IF(OR(ISNUMBER($M21),$M21="DNA"),$M21,IF(OR(ISNUMBER($L21),$L21="DNA"),$L21,"")))))))))&lt;TODAY())),1,0)+ISNUMBER($O21)*($O21&lt;TODAY())+ISNUMBER($P21)*($P21&lt;TODAY())+ISNUMBER($X21)*($X21&lt;TODAY())+ISNUMBER($Y21)*($Y21&lt;TODAY()))</f>
        <v/>
      </c>
    </row>
    <row r="22">
      <c r="A22" s="25" t="n"/>
      <c r="B22" s="26" t="n"/>
      <c r="C22" s="27" t="n"/>
      <c r="D22" s="25" t="n"/>
      <c r="E22" s="25" t="n"/>
      <c r="F22" s="27" t="n"/>
      <c r="G22" s="25" t="n"/>
      <c r="H22" s="28">
        <f>IF(OR(NOT(AND($A22&lt;&gt;"",OR($G22="",$G22="Active"))),$F22=""),"",INT((TODAY()-$F22+280)/7)&amp;"+"&amp;MOD(TODAY()-$F22+280,7))</f>
        <v/>
      </c>
      <c r="I22" s="28">
        <f>IF(NOT(AND($A22&lt;&gt;"",OR($G22="",$G22="Active"))),"",ISNUMBER($L22)*($L22&gt;=TODAY())*($L22&lt;=TODAY()+7)+ISNUMBER($M22)*($M22&gt;=TODAY())*($M22&lt;=TODAY()+7)+ISNUMBER($N22)*($N22&gt;=TODAY())*($N22&lt;=TODAY()+7)+ISNUMBER($Q22)*($Q22&gt;=TODAY())*($Q22&lt;=TODAY()+7)+ISNUMBER($R22)*($R22&gt;=TODAY())*($R22&lt;=TODAY()+7)+ISNUMBER($S22)*($S22&gt;=TODAY())*($S22&lt;=TODAY()+7)+ISNUMBER($T22)*($T22&gt;=TODAY())*($T22&lt;=TODAY()+7)+ISNUMBER($U22)*($U22&gt;=TODAY())*($U22&lt;=TODAY()+7)+ISNUMBER($V22)*($V22&gt;=TODAY())*($V22&lt;=TODAY()+7)+ISNUMBER($O22)*($O22&gt;=TODAY())*($O22&lt;=TODAY()+7)+ISNUMBER($P22)*($P22&gt;=TODAY())*($P22&lt;=TODAY()+7)+ISNUMBER($X22)*($X22&gt;=TODAY())*($X22&lt;=TODAY()+7)+ISNUMBER($Y22)*($Y22&gt;=TODAY())*($Y22&lt;=TODAY()+7))</f>
        <v/>
      </c>
      <c r="J22" s="28">
        <f>IF(NOT(AND($A22&lt;&gt;"",OR($G22="",$G22="Active"))),"",IF($K22&lt;&gt;"",IF($L22=$K22,"Booking",IF($M22=$K22,"16/40",IF($N22=$K22,"25/40",IF($Q22=$K22,"28/40",IF($R22=$K22,"31/40",IF($S22=$K22,"34/40",IF($T22=$K22,"36/40",IF($U22=$K22,"38/40",IF($V22=$K22,"40/40",""))))))))),IF(IF(OR(ISNUMBER($V22),$V22="DNA"),$V22,IF(OR(ISNUMBER($U22),$U22="DNA"),$U22,IF(OR(ISNUMBER($T22),$T22="DNA"),$T22,IF(OR(ISNUMBER($S22),$S22="DNA"),$S22,IF(OR(ISNUMBER($R22),$R22="DNA"),$R22,IF(OR(ISNUMBER($Q22),$Q22="DNA"),$Q22,IF(OR(ISNUMBER($N22),$N22="DNA"),$N22,IF(OR(ISNUMBER($M22),$M22="DNA"),$M22,IF(OR(ISNUMBER($L22),$L22="DNA"),$L22,"")))))))))="DNA","Rebook DNA",IF(ISNUMBER(IF(OR(ISNUMBER($V22),$V22="DNA"),$V22,IF(OR(ISNUMBER($U22),$U22="DNA"),$U22,IF(OR(ISNUMBER($T22),$T22="DNA"),$T22,IF(OR(ISNUMBER($S22),$S22="DNA"),$S22,IF(OR(ISNUMBER($R22),$R22="DNA"),$R22,IF(OR(ISNUMBER($Q22),$Q22="DNA"),$Q22,IF(OR(ISNUMBER($N22),$N22="DNA"),$N22,IF(OR(ISNUMBER($M22),$M22="DNA"),$M22,IF(OR(ISNUMBER($L22),$L22="DNA"),$L22,"")))))))))),IF(ISNUMBER($V22),"Update status","Missed/not booked?"),""))))</f>
        <v/>
      </c>
      <c r="K22" s="29">
        <f>IF(NOT(AND($A22&lt;&gt;"",OR($G22="",$G22="Active"))),"",IF(MIN(IF(AND(ISNUMBER($L22),$L22&gt;=TODAY()),$L22,99999),IF(AND(ISNUMBER($M22),$M22&gt;=TODAY()),$M22,99999),IF(AND(ISNUMBER($N22),$N22&gt;=TODAY()),$N22,99999),IF(AND(ISNUMBER($Q22),$Q22&gt;=TODAY()),$Q22,99999),IF(AND(ISNUMBER($R22),$R22&gt;=TODAY()),$R22,99999),IF(AND(ISNUMBER($S22),$S22&gt;=TODAY()),$S22,99999),IF(AND(ISNUMBER($T22),$T22&gt;=TODAY()),$T22,99999),IF(AND(ISNUMBER($U22),$U22&gt;=TODAY()),$U22,99999),IF(AND(ISNUMBER($V22),$V22&gt;=TODAY()),$V22,99999))=99999,"",MIN(IF(AND(ISNUMBER($L22),$L22&gt;=TODAY()),$L22,99999),IF(AND(ISNUMBER($M22),$M22&gt;=TODAY()),$M22,99999),IF(AND(ISNUMBER($N22),$N22&gt;=TODAY()),$N22,99999),IF(AND(ISNUMBER($Q22),$Q22&gt;=TODAY()),$Q22,99999),IF(AND(ISNUMBER($R22),$R22&gt;=TODAY()),$R22,99999),IF(AND(ISNUMBER($S22),$S22&gt;=TODAY()),$S22,99999),IF(AND(ISNUMBER($T22),$T22&gt;=TODAY()),$T22,99999),IF(AND(ISNUMBER($U22),$U22&gt;=TODAY()),$U22,99999),IF(AND(ISNUMBER($V22),$V22&gt;=TODAY()),$V22,99999))))</f>
        <v/>
      </c>
      <c r="L22" s="27" t="n"/>
      <c r="M22" s="27" t="n"/>
      <c r="N22" s="27" t="n"/>
      <c r="O22" s="27" t="n"/>
      <c r="P22" s="27" t="n"/>
      <c r="Q22" s="27" t="n"/>
      <c r="R22" s="27" t="n"/>
      <c r="S22" s="27" t="n"/>
      <c r="T22" s="27" t="n"/>
      <c r="U22" s="27" t="n"/>
      <c r="V22" s="27" t="n"/>
      <c r="W22" s="27" t="n"/>
      <c r="X22" s="27" t="n"/>
      <c r="Y22" s="27" t="n"/>
      <c r="Z22" s="30" t="n"/>
      <c r="AA22" s="25" t="n"/>
      <c r="AB22" s="28">
        <f>IF(NOT(AND($A22&lt;&gt;"",OR($G22="",$G22="Active"))),"",IF(OR(IF(OR(ISNUMBER($V22),$V22="DNA"),$V22,IF(OR(ISNUMBER($U22),$U22="DNA"),$U22,IF(OR(ISNUMBER($T22),$T22="DNA"),$T22,IF(OR(ISNUMBER($S22),$S22="DNA"),$S22,IF(OR(ISNUMBER($R22),$R22="DNA"),$R22,IF(OR(ISNUMBER($Q22),$Q22="DNA"),$Q22,IF(OR(ISNUMBER($N22),$N22="DNA"),$N22,IF(OR(ISNUMBER($M22),$M22="DNA"),$M22,IF(OR(ISNUMBER($L22),$L22="DNA"),$L22,"")))))))))="DNA",AND(ISNUMBER(IF(OR(ISNUMBER($V22),$V22="DNA"),$V22,IF(OR(ISNUMBER($U22),$U22="DNA"),$U22,IF(OR(ISNUMBER($T22),$T22="DNA"),$T22,IF(OR(ISNUMBER($S22),$S22="DNA"),$S22,IF(OR(ISNUMBER($R22),$R22="DNA"),$R22,IF(OR(ISNUMBER($Q22),$Q22="DNA"),$Q22,IF(OR(ISNUMBER($N22),$N22="DNA"),$N22,IF(OR(ISNUMBER($M22),$M22="DNA"),$M22,IF(OR(ISNUMBER($L22),$L22="DNA"),$L22,"")))))))))),IF(OR(ISNUMBER($V22),$V22="DNA"),$V22,IF(OR(ISNUMBER($U22),$U22="DNA"),$U22,IF(OR(ISNUMBER($T22),$T22="DNA"),$T22,IF(OR(ISNUMBER($S22),$S22="DNA"),$S22,IF(OR(ISNUMBER($R22),$R22="DNA"),$R22,IF(OR(ISNUMBER($Q22),$Q22="DNA"),$Q22,IF(OR(ISNUMBER($N22),$N22="DNA"),$N22,IF(OR(ISNUMBER($M22),$M22="DNA"),$M22,IF(OR(ISNUMBER($L22),$L22="DNA"),$L22,"")))))))))&lt;TODAY())),1,0)+ISNUMBER($O22)*($O22&lt;TODAY())+ISNUMBER($P22)*($P22&lt;TODAY())+ISNUMBER($X22)*($X22&lt;TODAY())+ISNUMBER($Y22)*($Y22&lt;TODAY()))</f>
        <v/>
      </c>
    </row>
    <row r="23">
      <c r="A23" s="25" t="n"/>
      <c r="B23" s="26" t="n"/>
      <c r="C23" s="27" t="n"/>
      <c r="D23" s="25" t="n"/>
      <c r="E23" s="25" t="n"/>
      <c r="F23" s="27" t="n"/>
      <c r="G23" s="25" t="n"/>
      <c r="H23" s="28">
        <f>IF(OR(NOT(AND($A23&lt;&gt;"",OR($G23="",$G23="Active"))),$F23=""),"",INT((TODAY()-$F23+280)/7)&amp;"+"&amp;MOD(TODAY()-$F23+280,7))</f>
        <v/>
      </c>
      <c r="I23" s="28">
        <f>IF(NOT(AND($A23&lt;&gt;"",OR($G23="",$G23="Active"))),"",ISNUMBER($L23)*($L23&gt;=TODAY())*($L23&lt;=TODAY()+7)+ISNUMBER($M23)*($M23&gt;=TODAY())*($M23&lt;=TODAY()+7)+ISNUMBER($N23)*($N23&gt;=TODAY())*($N23&lt;=TODAY()+7)+ISNUMBER($Q23)*($Q23&gt;=TODAY())*($Q23&lt;=TODAY()+7)+ISNUMBER($R23)*($R23&gt;=TODAY())*($R23&lt;=TODAY()+7)+ISNUMBER($S23)*($S23&gt;=TODAY())*($S23&lt;=TODAY()+7)+ISNUMBER($T23)*($T23&gt;=TODAY())*($T23&lt;=TODAY()+7)+ISNUMBER($U23)*($U23&gt;=TODAY())*($U23&lt;=TODAY()+7)+ISNUMBER($V23)*($V23&gt;=TODAY())*($V23&lt;=TODAY()+7)+ISNUMBER($O23)*($O23&gt;=TODAY())*($O23&lt;=TODAY()+7)+ISNUMBER($P23)*($P23&gt;=TODAY())*($P23&lt;=TODAY()+7)+ISNUMBER($X23)*($X23&gt;=TODAY())*($X23&lt;=TODAY()+7)+ISNUMBER($Y23)*($Y23&gt;=TODAY())*($Y23&lt;=TODAY()+7))</f>
        <v/>
      </c>
      <c r="J23" s="28">
        <f>IF(NOT(AND($A23&lt;&gt;"",OR($G23="",$G23="Active"))),"",IF($K23&lt;&gt;"",IF($L23=$K23,"Booking",IF($M23=$K23,"16/40",IF($N23=$K23,"25/40",IF($Q23=$K23,"28/40",IF($R23=$K23,"31/40",IF($S23=$K23,"34/40",IF($T23=$K23,"36/40",IF($U23=$K23,"38/40",IF($V23=$K23,"40/40",""))))))))),IF(IF(OR(ISNUMBER($V23),$V23="DNA"),$V23,IF(OR(ISNUMBER($U23),$U23="DNA"),$U23,IF(OR(ISNUMBER($T23),$T23="DNA"),$T23,IF(OR(ISNUMBER($S23),$S23="DNA"),$S23,IF(OR(ISNUMBER($R23),$R23="DNA"),$R23,IF(OR(ISNUMBER($Q23),$Q23="DNA"),$Q23,IF(OR(ISNUMBER($N23),$N23="DNA"),$N23,IF(OR(ISNUMBER($M23),$M23="DNA"),$M23,IF(OR(ISNUMBER($L23),$L23="DNA"),$L23,"")))))))))="DNA","Rebook DNA",IF(ISNUMBER(IF(OR(ISNUMBER($V23),$V23="DNA"),$V23,IF(OR(ISNUMBER($U23),$U23="DNA"),$U23,IF(OR(ISNUMBER($T23),$T23="DNA"),$T23,IF(OR(ISNUMBER($S23),$S23="DNA"),$S23,IF(OR(ISNUMBER($R23),$R23="DNA"),$R23,IF(OR(ISNUMBER($Q23),$Q23="DNA"),$Q23,IF(OR(ISNUMBER($N23),$N23="DNA"),$N23,IF(OR(ISNUMBER($M23),$M23="DNA"),$M23,IF(OR(ISNUMBER($L23),$L23="DNA"),$L23,"")))))))))),IF(ISNUMBER($V23),"Update status","Missed/not booked?"),""))))</f>
        <v/>
      </c>
      <c r="K23" s="29">
        <f>IF(NOT(AND($A23&lt;&gt;"",OR($G23="",$G23="Active"))),"",IF(MIN(IF(AND(ISNUMBER($L23),$L23&gt;=TODAY()),$L23,99999),IF(AND(ISNUMBER($M23),$M23&gt;=TODAY()),$M23,99999),IF(AND(ISNUMBER($N23),$N23&gt;=TODAY()),$N23,99999),IF(AND(ISNUMBER($Q23),$Q23&gt;=TODAY()),$Q23,99999),IF(AND(ISNUMBER($R23),$R23&gt;=TODAY()),$R23,99999),IF(AND(ISNUMBER($S23),$S23&gt;=TODAY()),$S23,99999),IF(AND(ISNUMBER($T23),$T23&gt;=TODAY()),$T23,99999),IF(AND(ISNUMBER($U23),$U23&gt;=TODAY()),$U23,99999),IF(AND(ISNUMBER($V23),$V23&gt;=TODAY()),$V23,99999))=99999,"",MIN(IF(AND(ISNUMBER($L23),$L23&gt;=TODAY()),$L23,99999),IF(AND(ISNUMBER($M23),$M23&gt;=TODAY()),$M23,99999),IF(AND(ISNUMBER($N23),$N23&gt;=TODAY()),$N23,99999),IF(AND(ISNUMBER($Q23),$Q23&gt;=TODAY()),$Q23,99999),IF(AND(ISNUMBER($R23),$R23&gt;=TODAY()),$R23,99999),IF(AND(ISNUMBER($S23),$S23&gt;=TODAY()),$S23,99999),IF(AND(ISNUMBER($T23),$T23&gt;=TODAY()),$T23,99999),IF(AND(ISNUMBER($U23),$U23&gt;=TODAY()),$U23,99999),IF(AND(ISNUMBER($V23),$V23&gt;=TODAY()),$V23,99999))))</f>
        <v/>
      </c>
      <c r="L23" s="27" t="n"/>
      <c r="M23" s="27" t="n"/>
      <c r="N23" s="27" t="n"/>
      <c r="O23" s="27" t="n"/>
      <c r="P23" s="27" t="n"/>
      <c r="Q23" s="27" t="n"/>
      <c r="R23" s="27" t="n"/>
      <c r="S23" s="27" t="n"/>
      <c r="T23" s="27" t="n"/>
      <c r="U23" s="27" t="n"/>
      <c r="V23" s="27" t="n"/>
      <c r="W23" s="27" t="n"/>
      <c r="X23" s="27" t="n"/>
      <c r="Y23" s="27" t="n"/>
      <c r="Z23" s="30" t="n"/>
      <c r="AA23" s="25" t="n"/>
      <c r="AB23" s="28">
        <f>IF(NOT(AND($A23&lt;&gt;"",OR($G23="",$G23="Active"))),"",IF(OR(IF(OR(ISNUMBER($V23),$V23="DNA"),$V23,IF(OR(ISNUMBER($U23),$U23="DNA"),$U23,IF(OR(ISNUMBER($T23),$T23="DNA"),$T23,IF(OR(ISNUMBER($S23),$S23="DNA"),$S23,IF(OR(ISNUMBER($R23),$R23="DNA"),$R23,IF(OR(ISNUMBER($Q23),$Q23="DNA"),$Q23,IF(OR(ISNUMBER($N23),$N23="DNA"),$N23,IF(OR(ISNUMBER($M23),$M23="DNA"),$M23,IF(OR(ISNUMBER($L23),$L23="DNA"),$L23,"")))))))))="DNA",AND(ISNUMBER(IF(OR(ISNUMBER($V23),$V23="DNA"),$V23,IF(OR(ISNUMBER($U23),$U23="DNA"),$U23,IF(OR(ISNUMBER($T23),$T23="DNA"),$T23,IF(OR(ISNUMBER($S23),$S23="DNA"),$S23,IF(OR(ISNUMBER($R23),$R23="DNA"),$R23,IF(OR(ISNUMBER($Q23),$Q23="DNA"),$Q23,IF(OR(ISNUMBER($N23),$N23="DNA"),$N23,IF(OR(ISNUMBER($M23),$M23="DNA"),$M23,IF(OR(ISNUMBER($L23),$L23="DNA"),$L23,"")))))))))),IF(OR(ISNUMBER($V23),$V23="DNA"),$V23,IF(OR(ISNUMBER($U23),$U23="DNA"),$U23,IF(OR(ISNUMBER($T23),$T23="DNA"),$T23,IF(OR(ISNUMBER($S23),$S23="DNA"),$S23,IF(OR(ISNUMBER($R23),$R23="DNA"),$R23,IF(OR(ISNUMBER($Q23),$Q23="DNA"),$Q23,IF(OR(ISNUMBER($N23),$N23="DNA"),$N23,IF(OR(ISNUMBER($M23),$M23="DNA"),$M23,IF(OR(ISNUMBER($L23),$L23="DNA"),$L23,"")))))))))&lt;TODAY())),1,0)+ISNUMBER($O23)*($O23&lt;TODAY())+ISNUMBER($P23)*($P23&lt;TODAY())+ISNUMBER($X23)*($X23&lt;TODAY())+ISNUMBER($Y23)*($Y23&lt;TODAY()))</f>
        <v/>
      </c>
    </row>
    <row r="24">
      <c r="A24" s="25" t="n"/>
      <c r="B24" s="26" t="n"/>
      <c r="C24" s="27" t="n"/>
      <c r="D24" s="25" t="n"/>
      <c r="E24" s="25" t="n"/>
      <c r="F24" s="27" t="n"/>
      <c r="G24" s="25" t="n"/>
      <c r="H24" s="28">
        <f>IF(OR(NOT(AND($A24&lt;&gt;"",OR($G24="",$G24="Active"))),$F24=""),"",INT((TODAY()-$F24+280)/7)&amp;"+"&amp;MOD(TODAY()-$F24+280,7))</f>
        <v/>
      </c>
      <c r="I24" s="28">
        <f>IF(NOT(AND($A24&lt;&gt;"",OR($G24="",$G24="Active"))),"",ISNUMBER($L24)*($L24&gt;=TODAY())*($L24&lt;=TODAY()+7)+ISNUMBER($M24)*($M24&gt;=TODAY())*($M24&lt;=TODAY()+7)+ISNUMBER($N24)*($N24&gt;=TODAY())*($N24&lt;=TODAY()+7)+ISNUMBER($Q24)*($Q24&gt;=TODAY())*($Q24&lt;=TODAY()+7)+ISNUMBER($R24)*($R24&gt;=TODAY())*($R24&lt;=TODAY()+7)+ISNUMBER($S24)*($S24&gt;=TODAY())*($S24&lt;=TODAY()+7)+ISNUMBER($T24)*($T24&gt;=TODAY())*($T24&lt;=TODAY()+7)+ISNUMBER($U24)*($U24&gt;=TODAY())*($U24&lt;=TODAY()+7)+ISNUMBER($V24)*($V24&gt;=TODAY())*($V24&lt;=TODAY()+7)+ISNUMBER($O24)*($O24&gt;=TODAY())*($O24&lt;=TODAY()+7)+ISNUMBER($P24)*($P24&gt;=TODAY())*($P24&lt;=TODAY()+7)+ISNUMBER($X24)*($X24&gt;=TODAY())*($X24&lt;=TODAY()+7)+ISNUMBER($Y24)*($Y24&gt;=TODAY())*($Y24&lt;=TODAY()+7))</f>
        <v/>
      </c>
      <c r="J24" s="28">
        <f>IF(NOT(AND($A24&lt;&gt;"",OR($G24="",$G24="Active"))),"",IF($K24&lt;&gt;"",IF($L24=$K24,"Booking",IF($M24=$K24,"16/40",IF($N24=$K24,"25/40",IF($Q24=$K24,"28/40",IF($R24=$K24,"31/40",IF($S24=$K24,"34/40",IF($T24=$K24,"36/40",IF($U24=$K24,"38/40",IF($V24=$K24,"40/40",""))))))))),IF(IF(OR(ISNUMBER($V24),$V24="DNA"),$V24,IF(OR(ISNUMBER($U24),$U24="DNA"),$U24,IF(OR(ISNUMBER($T24),$T24="DNA"),$T24,IF(OR(ISNUMBER($S24),$S24="DNA"),$S24,IF(OR(ISNUMBER($R24),$R24="DNA"),$R24,IF(OR(ISNUMBER($Q24),$Q24="DNA"),$Q24,IF(OR(ISNUMBER($N24),$N24="DNA"),$N24,IF(OR(ISNUMBER($M24),$M24="DNA"),$M24,IF(OR(ISNUMBER($L24),$L24="DNA"),$L24,"")))))))))="DNA","Rebook DNA",IF(ISNUMBER(IF(OR(ISNUMBER($V24),$V24="DNA"),$V24,IF(OR(ISNUMBER($U24),$U24="DNA"),$U24,IF(OR(ISNUMBER($T24),$T24="DNA"),$T24,IF(OR(ISNUMBER($S24),$S24="DNA"),$S24,IF(OR(ISNUMBER($R24),$R24="DNA"),$R24,IF(OR(ISNUMBER($Q24),$Q24="DNA"),$Q24,IF(OR(ISNUMBER($N24),$N24="DNA"),$N24,IF(OR(ISNUMBER($M24),$M24="DNA"),$M24,IF(OR(ISNUMBER($L24),$L24="DNA"),$L24,"")))))))))),IF(ISNUMBER($V24),"Update status","Missed/not booked?"),""))))</f>
        <v/>
      </c>
      <c r="K24" s="29">
        <f>IF(NOT(AND($A24&lt;&gt;"",OR($G24="",$G24="Active"))),"",IF(MIN(IF(AND(ISNUMBER($L24),$L24&gt;=TODAY()),$L24,99999),IF(AND(ISNUMBER($M24),$M24&gt;=TODAY()),$M24,99999),IF(AND(ISNUMBER($N24),$N24&gt;=TODAY()),$N24,99999),IF(AND(ISNUMBER($Q24),$Q24&gt;=TODAY()),$Q24,99999),IF(AND(ISNUMBER($R24),$R24&gt;=TODAY()),$R24,99999),IF(AND(ISNUMBER($S24),$S24&gt;=TODAY()),$S24,99999),IF(AND(ISNUMBER($T24),$T24&gt;=TODAY()),$T24,99999),IF(AND(ISNUMBER($U24),$U24&gt;=TODAY()),$U24,99999),IF(AND(ISNUMBER($V24),$V24&gt;=TODAY()),$V24,99999))=99999,"",MIN(IF(AND(ISNUMBER($L24),$L24&gt;=TODAY()),$L24,99999),IF(AND(ISNUMBER($M24),$M24&gt;=TODAY()),$M24,99999),IF(AND(ISNUMBER($N24),$N24&gt;=TODAY()),$N24,99999),IF(AND(ISNUMBER($Q24),$Q24&gt;=TODAY()),$Q24,99999),IF(AND(ISNUMBER($R24),$R24&gt;=TODAY()),$R24,99999),IF(AND(ISNUMBER($S24),$S24&gt;=TODAY()),$S24,99999),IF(AND(ISNUMBER($T24),$T24&gt;=TODAY()),$T24,99999),IF(AND(ISNUMBER($U24),$U24&gt;=TODAY()),$U24,99999),IF(AND(ISNUMBER($V24),$V24&gt;=TODAY()),$V24,99999))))</f>
        <v/>
      </c>
      <c r="L24" s="27" t="n"/>
      <c r="M24" s="27" t="n"/>
      <c r="N24" s="27" t="n"/>
      <c r="O24" s="27" t="n"/>
      <c r="P24" s="27" t="n"/>
      <c r="Q24" s="27" t="n"/>
      <c r="R24" s="27" t="n"/>
      <c r="S24" s="27" t="n"/>
      <c r="T24" s="27" t="n"/>
      <c r="U24" s="27" t="n"/>
      <c r="V24" s="27" t="n"/>
      <c r="W24" s="27" t="n"/>
      <c r="X24" s="27" t="n"/>
      <c r="Y24" s="27" t="n"/>
      <c r="Z24" s="30" t="n"/>
      <c r="AA24" s="25" t="n"/>
      <c r="AB24" s="28">
        <f>IF(NOT(AND($A24&lt;&gt;"",OR($G24="",$G24="Active"))),"",IF(OR(IF(OR(ISNUMBER($V24),$V24="DNA"),$V24,IF(OR(ISNUMBER($U24),$U24="DNA"),$U24,IF(OR(ISNUMBER($T24),$T24="DNA"),$T24,IF(OR(ISNUMBER($S24),$S24="DNA"),$S24,IF(OR(ISNUMBER($R24),$R24="DNA"),$R24,IF(OR(ISNUMBER($Q24),$Q24="DNA"),$Q24,IF(OR(ISNUMBER($N24),$N24="DNA"),$N24,IF(OR(ISNUMBER($M24),$M24="DNA"),$M24,IF(OR(ISNUMBER($L24),$L24="DNA"),$L24,"")))))))))="DNA",AND(ISNUMBER(IF(OR(ISNUMBER($V24),$V24="DNA"),$V24,IF(OR(ISNUMBER($U24),$U24="DNA"),$U24,IF(OR(ISNUMBER($T24),$T24="DNA"),$T24,IF(OR(ISNUMBER($S24),$S24="DNA"),$S24,IF(OR(ISNUMBER($R24),$R24="DNA"),$R24,IF(OR(ISNUMBER($Q24),$Q24="DNA"),$Q24,IF(OR(ISNUMBER($N24),$N24="DNA"),$N24,IF(OR(ISNUMBER($M24),$M24="DNA"),$M24,IF(OR(ISNUMBER($L24),$L24="DNA"),$L24,"")))))))))),IF(OR(ISNUMBER($V24),$V24="DNA"),$V24,IF(OR(ISNUMBER($U24),$U24="DNA"),$U24,IF(OR(ISNUMBER($T24),$T24="DNA"),$T24,IF(OR(ISNUMBER($S24),$S24="DNA"),$S24,IF(OR(ISNUMBER($R24),$R24="DNA"),$R24,IF(OR(ISNUMBER($Q24),$Q24="DNA"),$Q24,IF(OR(ISNUMBER($N24),$N24="DNA"),$N24,IF(OR(ISNUMBER($M24),$M24="DNA"),$M24,IF(OR(ISNUMBER($L24),$L24="DNA"),$L24,"")))))))))&lt;TODAY())),1,0)+ISNUMBER($O24)*($O24&lt;TODAY())+ISNUMBER($P24)*($P24&lt;TODAY())+ISNUMBER($X24)*($X24&lt;TODAY())+ISNUMBER($Y24)*($Y24&lt;TODAY()))</f>
        <v/>
      </c>
    </row>
    <row r="25">
      <c r="A25" s="25" t="n"/>
      <c r="B25" s="26" t="n"/>
      <c r="C25" s="27" t="n"/>
      <c r="D25" s="25" t="n"/>
      <c r="E25" s="25" t="n"/>
      <c r="F25" s="27" t="n"/>
      <c r="G25" s="25" t="n"/>
      <c r="H25" s="28">
        <f>IF(OR(NOT(AND($A25&lt;&gt;"",OR($G25="",$G25="Active"))),$F25=""),"",INT((TODAY()-$F25+280)/7)&amp;"+"&amp;MOD(TODAY()-$F25+280,7))</f>
        <v/>
      </c>
      <c r="I25" s="28">
        <f>IF(NOT(AND($A25&lt;&gt;"",OR($G25="",$G25="Active"))),"",ISNUMBER($L25)*($L25&gt;=TODAY())*($L25&lt;=TODAY()+7)+ISNUMBER($M25)*($M25&gt;=TODAY())*($M25&lt;=TODAY()+7)+ISNUMBER($N25)*($N25&gt;=TODAY())*($N25&lt;=TODAY()+7)+ISNUMBER($Q25)*($Q25&gt;=TODAY())*($Q25&lt;=TODAY()+7)+ISNUMBER($R25)*($R25&gt;=TODAY())*($R25&lt;=TODAY()+7)+ISNUMBER($S25)*($S25&gt;=TODAY())*($S25&lt;=TODAY()+7)+ISNUMBER($T25)*($T25&gt;=TODAY())*($T25&lt;=TODAY()+7)+ISNUMBER($U25)*($U25&gt;=TODAY())*($U25&lt;=TODAY()+7)+ISNUMBER($V25)*($V25&gt;=TODAY())*($V25&lt;=TODAY()+7)+ISNUMBER($O25)*($O25&gt;=TODAY())*($O25&lt;=TODAY()+7)+ISNUMBER($P25)*($P25&gt;=TODAY())*($P25&lt;=TODAY()+7)+ISNUMBER($X25)*($X25&gt;=TODAY())*($X25&lt;=TODAY()+7)+ISNUMBER($Y25)*($Y25&gt;=TODAY())*($Y25&lt;=TODAY()+7))</f>
        <v/>
      </c>
      <c r="J25" s="28">
        <f>IF(NOT(AND($A25&lt;&gt;"",OR($G25="",$G25="Active"))),"",IF($K25&lt;&gt;"",IF($L25=$K25,"Booking",IF($M25=$K25,"16/40",IF($N25=$K25,"25/40",IF($Q25=$K25,"28/40",IF($R25=$K25,"31/40",IF($S25=$K25,"34/40",IF($T25=$K25,"36/40",IF($U25=$K25,"38/40",IF($V25=$K25,"40/40",""))))))))),IF(IF(OR(ISNUMBER($V25),$V25="DNA"),$V25,IF(OR(ISNUMBER($U25),$U25="DNA"),$U25,IF(OR(ISNUMBER($T25),$T25="DNA"),$T25,IF(OR(ISNUMBER($S25),$S25="DNA"),$S25,IF(OR(ISNUMBER($R25),$R25="DNA"),$R25,IF(OR(ISNUMBER($Q25),$Q25="DNA"),$Q25,IF(OR(ISNUMBER($N25),$N25="DNA"),$N25,IF(OR(ISNUMBER($M25),$M25="DNA"),$M25,IF(OR(ISNUMBER($L25),$L25="DNA"),$L25,"")))))))))="DNA","Rebook DNA",IF(ISNUMBER(IF(OR(ISNUMBER($V25),$V25="DNA"),$V25,IF(OR(ISNUMBER($U25),$U25="DNA"),$U25,IF(OR(ISNUMBER($T25),$T25="DNA"),$T25,IF(OR(ISNUMBER($S25),$S25="DNA"),$S25,IF(OR(ISNUMBER($R25),$R25="DNA"),$R25,IF(OR(ISNUMBER($Q25),$Q25="DNA"),$Q25,IF(OR(ISNUMBER($N25),$N25="DNA"),$N25,IF(OR(ISNUMBER($M25),$M25="DNA"),$M25,IF(OR(ISNUMBER($L25),$L25="DNA"),$L25,"")))))))))),IF(ISNUMBER($V25),"Update status","Missed/not booked?"),""))))</f>
        <v/>
      </c>
      <c r="K25" s="29">
        <f>IF(NOT(AND($A25&lt;&gt;"",OR($G25="",$G25="Active"))),"",IF(MIN(IF(AND(ISNUMBER($L25),$L25&gt;=TODAY()),$L25,99999),IF(AND(ISNUMBER($M25),$M25&gt;=TODAY()),$M25,99999),IF(AND(ISNUMBER($N25),$N25&gt;=TODAY()),$N25,99999),IF(AND(ISNUMBER($Q25),$Q25&gt;=TODAY()),$Q25,99999),IF(AND(ISNUMBER($R25),$R25&gt;=TODAY()),$R25,99999),IF(AND(ISNUMBER($S25),$S25&gt;=TODAY()),$S25,99999),IF(AND(ISNUMBER($T25),$T25&gt;=TODAY()),$T25,99999),IF(AND(ISNUMBER($U25),$U25&gt;=TODAY()),$U25,99999),IF(AND(ISNUMBER($V25),$V25&gt;=TODAY()),$V25,99999))=99999,"",MIN(IF(AND(ISNUMBER($L25),$L25&gt;=TODAY()),$L25,99999),IF(AND(ISNUMBER($M25),$M25&gt;=TODAY()),$M25,99999),IF(AND(ISNUMBER($N25),$N25&gt;=TODAY()),$N25,99999),IF(AND(ISNUMBER($Q25),$Q25&gt;=TODAY()),$Q25,99999),IF(AND(ISNUMBER($R25),$R25&gt;=TODAY()),$R25,99999),IF(AND(ISNUMBER($S25),$S25&gt;=TODAY()),$S25,99999),IF(AND(ISNUMBER($T25),$T25&gt;=TODAY()),$T25,99999),IF(AND(ISNUMBER($U25),$U25&gt;=TODAY()),$U25,99999),IF(AND(ISNUMBER($V25),$V25&gt;=TODAY()),$V25,99999))))</f>
        <v/>
      </c>
      <c r="L25" s="27" t="n"/>
      <c r="M25" s="27" t="n"/>
      <c r="N25" s="27" t="n"/>
      <c r="O25" s="27" t="n"/>
      <c r="P25" s="27" t="n"/>
      <c r="Q25" s="27" t="n"/>
      <c r="R25" s="27" t="n"/>
      <c r="S25" s="27" t="n"/>
      <c r="T25" s="27" t="n"/>
      <c r="U25" s="27" t="n"/>
      <c r="V25" s="27" t="n"/>
      <c r="W25" s="27" t="n"/>
      <c r="X25" s="27" t="n"/>
      <c r="Y25" s="27" t="n"/>
      <c r="Z25" s="30" t="n"/>
      <c r="AA25" s="25" t="n"/>
      <c r="AB25" s="28">
        <f>IF(NOT(AND($A25&lt;&gt;"",OR($G25="",$G25="Active"))),"",IF(OR(IF(OR(ISNUMBER($V25),$V25="DNA"),$V25,IF(OR(ISNUMBER($U25),$U25="DNA"),$U25,IF(OR(ISNUMBER($T25),$T25="DNA"),$T25,IF(OR(ISNUMBER($S25),$S25="DNA"),$S25,IF(OR(ISNUMBER($R25),$R25="DNA"),$R25,IF(OR(ISNUMBER($Q25),$Q25="DNA"),$Q25,IF(OR(ISNUMBER($N25),$N25="DNA"),$N25,IF(OR(ISNUMBER($M25),$M25="DNA"),$M25,IF(OR(ISNUMBER($L25),$L25="DNA"),$L25,"")))))))))="DNA",AND(ISNUMBER(IF(OR(ISNUMBER($V25),$V25="DNA"),$V25,IF(OR(ISNUMBER($U25),$U25="DNA"),$U25,IF(OR(ISNUMBER($T25),$T25="DNA"),$T25,IF(OR(ISNUMBER($S25),$S25="DNA"),$S25,IF(OR(ISNUMBER($R25),$R25="DNA"),$R25,IF(OR(ISNUMBER($Q25),$Q25="DNA"),$Q25,IF(OR(ISNUMBER($N25),$N25="DNA"),$N25,IF(OR(ISNUMBER($M25),$M25="DNA"),$M25,IF(OR(ISNUMBER($L25),$L25="DNA"),$L25,"")))))))))),IF(OR(ISNUMBER($V25),$V25="DNA"),$V25,IF(OR(ISNUMBER($U25),$U25="DNA"),$U25,IF(OR(ISNUMBER($T25),$T25="DNA"),$T25,IF(OR(ISNUMBER($S25),$S25="DNA"),$S25,IF(OR(ISNUMBER($R25),$R25="DNA"),$R25,IF(OR(ISNUMBER($Q25),$Q25="DNA"),$Q25,IF(OR(ISNUMBER($N25),$N25="DNA"),$N25,IF(OR(ISNUMBER($M25),$M25="DNA"),$M25,IF(OR(ISNUMBER($L25),$L25="DNA"),$L25,"")))))))))&lt;TODAY())),1,0)+ISNUMBER($O25)*($O25&lt;TODAY())+ISNUMBER($P25)*($P25&lt;TODAY())+ISNUMBER($X25)*($X25&lt;TODAY())+ISNUMBER($Y25)*($Y25&lt;TODAY()))</f>
        <v/>
      </c>
    </row>
    <row r="26">
      <c r="A26" s="25" t="n"/>
      <c r="B26" s="26" t="n"/>
      <c r="C26" s="27" t="n"/>
      <c r="D26" s="25" t="n"/>
      <c r="E26" s="25" t="n"/>
      <c r="F26" s="27" t="n"/>
      <c r="G26" s="25" t="n"/>
      <c r="H26" s="28">
        <f>IF(OR(NOT(AND($A26&lt;&gt;"",OR($G26="",$G26="Active"))),$F26=""),"",INT((TODAY()-$F26+280)/7)&amp;"+"&amp;MOD(TODAY()-$F26+280,7))</f>
        <v/>
      </c>
      <c r="I26" s="28">
        <f>IF(NOT(AND($A26&lt;&gt;"",OR($G26="",$G26="Active"))),"",ISNUMBER($L26)*($L26&gt;=TODAY())*($L26&lt;=TODAY()+7)+ISNUMBER($M26)*($M26&gt;=TODAY())*($M26&lt;=TODAY()+7)+ISNUMBER($N26)*($N26&gt;=TODAY())*($N26&lt;=TODAY()+7)+ISNUMBER($Q26)*($Q26&gt;=TODAY())*($Q26&lt;=TODAY()+7)+ISNUMBER($R26)*($R26&gt;=TODAY())*($R26&lt;=TODAY()+7)+ISNUMBER($S26)*($S26&gt;=TODAY())*($S26&lt;=TODAY()+7)+ISNUMBER($T26)*($T26&gt;=TODAY())*($T26&lt;=TODAY()+7)+ISNUMBER($U26)*($U26&gt;=TODAY())*($U26&lt;=TODAY()+7)+ISNUMBER($V26)*($V26&gt;=TODAY())*($V26&lt;=TODAY()+7)+ISNUMBER($O26)*($O26&gt;=TODAY())*($O26&lt;=TODAY()+7)+ISNUMBER($P26)*($P26&gt;=TODAY())*($P26&lt;=TODAY()+7)+ISNUMBER($X26)*($X26&gt;=TODAY())*($X26&lt;=TODAY()+7)+ISNUMBER($Y26)*($Y26&gt;=TODAY())*($Y26&lt;=TODAY()+7))</f>
        <v/>
      </c>
      <c r="J26" s="28">
        <f>IF(NOT(AND($A26&lt;&gt;"",OR($G26="",$G26="Active"))),"",IF($K26&lt;&gt;"",IF($L26=$K26,"Booking",IF($M26=$K26,"16/40",IF($N26=$K26,"25/40",IF($Q26=$K26,"28/40",IF($R26=$K26,"31/40",IF($S26=$K26,"34/40",IF($T26=$K26,"36/40",IF($U26=$K26,"38/40",IF($V26=$K26,"40/40",""))))))))),IF(IF(OR(ISNUMBER($V26),$V26="DNA"),$V26,IF(OR(ISNUMBER($U26),$U26="DNA"),$U26,IF(OR(ISNUMBER($T26),$T26="DNA"),$T26,IF(OR(ISNUMBER($S26),$S26="DNA"),$S26,IF(OR(ISNUMBER($R26),$R26="DNA"),$R26,IF(OR(ISNUMBER($Q26),$Q26="DNA"),$Q26,IF(OR(ISNUMBER($N26),$N26="DNA"),$N26,IF(OR(ISNUMBER($M26),$M26="DNA"),$M26,IF(OR(ISNUMBER($L26),$L26="DNA"),$L26,"")))))))))="DNA","Rebook DNA",IF(ISNUMBER(IF(OR(ISNUMBER($V26),$V26="DNA"),$V26,IF(OR(ISNUMBER($U26),$U26="DNA"),$U26,IF(OR(ISNUMBER($T26),$T26="DNA"),$T26,IF(OR(ISNUMBER($S26),$S26="DNA"),$S26,IF(OR(ISNUMBER($R26),$R26="DNA"),$R26,IF(OR(ISNUMBER($Q26),$Q26="DNA"),$Q26,IF(OR(ISNUMBER($N26),$N26="DNA"),$N26,IF(OR(ISNUMBER($M26),$M26="DNA"),$M26,IF(OR(ISNUMBER($L26),$L26="DNA"),$L26,"")))))))))),IF(ISNUMBER($V26),"Update status","Missed/not booked?"),""))))</f>
        <v/>
      </c>
      <c r="K26" s="29">
        <f>IF(NOT(AND($A26&lt;&gt;"",OR($G26="",$G26="Active"))),"",IF(MIN(IF(AND(ISNUMBER($L26),$L26&gt;=TODAY()),$L26,99999),IF(AND(ISNUMBER($M26),$M26&gt;=TODAY()),$M26,99999),IF(AND(ISNUMBER($N26),$N26&gt;=TODAY()),$N26,99999),IF(AND(ISNUMBER($Q26),$Q26&gt;=TODAY()),$Q26,99999),IF(AND(ISNUMBER($R26),$R26&gt;=TODAY()),$R26,99999),IF(AND(ISNUMBER($S26),$S26&gt;=TODAY()),$S26,99999),IF(AND(ISNUMBER($T26),$T26&gt;=TODAY()),$T26,99999),IF(AND(ISNUMBER($U26),$U26&gt;=TODAY()),$U26,99999),IF(AND(ISNUMBER($V26),$V26&gt;=TODAY()),$V26,99999))=99999,"",MIN(IF(AND(ISNUMBER($L26),$L26&gt;=TODAY()),$L26,99999),IF(AND(ISNUMBER($M26),$M26&gt;=TODAY()),$M26,99999),IF(AND(ISNUMBER($N26),$N26&gt;=TODAY()),$N26,99999),IF(AND(ISNUMBER($Q26),$Q26&gt;=TODAY()),$Q26,99999),IF(AND(ISNUMBER($R26),$R26&gt;=TODAY()),$R26,99999),IF(AND(ISNUMBER($S26),$S26&gt;=TODAY()),$S26,99999),IF(AND(ISNUMBER($T26),$T26&gt;=TODAY()),$T26,99999),IF(AND(ISNUMBER($U26),$U26&gt;=TODAY()),$U26,99999),IF(AND(ISNUMBER($V26),$V26&gt;=TODAY()),$V26,99999))))</f>
        <v/>
      </c>
      <c r="L26" s="27" t="n"/>
      <c r="M26" s="27" t="n"/>
      <c r="N26" s="27" t="n"/>
      <c r="O26" s="27" t="n"/>
      <c r="P26" s="27" t="n"/>
      <c r="Q26" s="27" t="n"/>
      <c r="R26" s="27" t="n"/>
      <c r="S26" s="27" t="n"/>
      <c r="T26" s="27" t="n"/>
      <c r="U26" s="27" t="n"/>
      <c r="V26" s="27" t="n"/>
      <c r="W26" s="27" t="n"/>
      <c r="X26" s="27" t="n"/>
      <c r="Y26" s="27" t="n"/>
      <c r="Z26" s="30" t="n"/>
      <c r="AA26" s="25" t="n"/>
      <c r="AB26" s="28">
        <f>IF(NOT(AND($A26&lt;&gt;"",OR($G26="",$G26="Active"))),"",IF(OR(IF(OR(ISNUMBER($V26),$V26="DNA"),$V26,IF(OR(ISNUMBER($U26),$U26="DNA"),$U26,IF(OR(ISNUMBER($T26),$T26="DNA"),$T26,IF(OR(ISNUMBER($S26),$S26="DNA"),$S26,IF(OR(ISNUMBER($R26),$R26="DNA"),$R26,IF(OR(ISNUMBER($Q26),$Q26="DNA"),$Q26,IF(OR(ISNUMBER($N26),$N26="DNA"),$N26,IF(OR(ISNUMBER($M26),$M26="DNA"),$M26,IF(OR(ISNUMBER($L26),$L26="DNA"),$L26,"")))))))))="DNA",AND(ISNUMBER(IF(OR(ISNUMBER($V26),$V26="DNA"),$V26,IF(OR(ISNUMBER($U26),$U26="DNA"),$U26,IF(OR(ISNUMBER($T26),$T26="DNA"),$T26,IF(OR(ISNUMBER($S26),$S26="DNA"),$S26,IF(OR(ISNUMBER($R26),$R26="DNA"),$R26,IF(OR(ISNUMBER($Q26),$Q26="DNA"),$Q26,IF(OR(ISNUMBER($N26),$N26="DNA"),$N26,IF(OR(ISNUMBER($M26),$M26="DNA"),$M26,IF(OR(ISNUMBER($L26),$L26="DNA"),$L26,"")))))))))),IF(OR(ISNUMBER($V26),$V26="DNA"),$V26,IF(OR(ISNUMBER($U26),$U26="DNA"),$U26,IF(OR(ISNUMBER($T26),$T26="DNA"),$T26,IF(OR(ISNUMBER($S26),$S26="DNA"),$S26,IF(OR(ISNUMBER($R26),$R26="DNA"),$R26,IF(OR(ISNUMBER($Q26),$Q26="DNA"),$Q26,IF(OR(ISNUMBER($N26),$N26="DNA"),$N26,IF(OR(ISNUMBER($M26),$M26="DNA"),$M26,IF(OR(ISNUMBER($L26),$L26="DNA"),$L26,"")))))))))&lt;TODAY())),1,0)+ISNUMBER($O26)*($O26&lt;TODAY())+ISNUMBER($P26)*($P26&lt;TODAY())+ISNUMBER($X26)*($X26&lt;TODAY())+ISNUMBER($Y26)*($Y26&lt;TODAY()))</f>
        <v/>
      </c>
    </row>
    <row r="27">
      <c r="A27" s="25" t="n"/>
      <c r="B27" s="26" t="n"/>
      <c r="C27" s="27" t="n"/>
      <c r="D27" s="25" t="n"/>
      <c r="E27" s="25" t="n"/>
      <c r="F27" s="27" t="n"/>
      <c r="G27" s="25" t="n"/>
      <c r="H27" s="28">
        <f>IF(OR(NOT(AND($A27&lt;&gt;"",OR($G27="",$G27="Active"))),$F27=""),"",INT((TODAY()-$F27+280)/7)&amp;"+"&amp;MOD(TODAY()-$F27+280,7))</f>
        <v/>
      </c>
      <c r="I27" s="28">
        <f>IF(NOT(AND($A27&lt;&gt;"",OR($G27="",$G27="Active"))),"",ISNUMBER($L27)*($L27&gt;=TODAY())*($L27&lt;=TODAY()+7)+ISNUMBER($M27)*($M27&gt;=TODAY())*($M27&lt;=TODAY()+7)+ISNUMBER($N27)*($N27&gt;=TODAY())*($N27&lt;=TODAY()+7)+ISNUMBER($Q27)*($Q27&gt;=TODAY())*($Q27&lt;=TODAY()+7)+ISNUMBER($R27)*($R27&gt;=TODAY())*($R27&lt;=TODAY()+7)+ISNUMBER($S27)*($S27&gt;=TODAY())*($S27&lt;=TODAY()+7)+ISNUMBER($T27)*($T27&gt;=TODAY())*($T27&lt;=TODAY()+7)+ISNUMBER($U27)*($U27&gt;=TODAY())*($U27&lt;=TODAY()+7)+ISNUMBER($V27)*($V27&gt;=TODAY())*($V27&lt;=TODAY()+7)+ISNUMBER($O27)*($O27&gt;=TODAY())*($O27&lt;=TODAY()+7)+ISNUMBER($P27)*($P27&gt;=TODAY())*($P27&lt;=TODAY()+7)+ISNUMBER($X27)*($X27&gt;=TODAY())*($X27&lt;=TODAY()+7)+ISNUMBER($Y27)*($Y27&gt;=TODAY())*($Y27&lt;=TODAY()+7))</f>
        <v/>
      </c>
      <c r="J27" s="28">
        <f>IF(NOT(AND($A27&lt;&gt;"",OR($G27="",$G27="Active"))),"",IF($K27&lt;&gt;"",IF($L27=$K27,"Booking",IF($M27=$K27,"16/40",IF($N27=$K27,"25/40",IF($Q27=$K27,"28/40",IF($R27=$K27,"31/40",IF($S27=$K27,"34/40",IF($T27=$K27,"36/40",IF($U27=$K27,"38/40",IF($V27=$K27,"40/40",""))))))))),IF(IF(OR(ISNUMBER($V27),$V27="DNA"),$V27,IF(OR(ISNUMBER($U27),$U27="DNA"),$U27,IF(OR(ISNUMBER($T27),$T27="DNA"),$T27,IF(OR(ISNUMBER($S27),$S27="DNA"),$S27,IF(OR(ISNUMBER($R27),$R27="DNA"),$R27,IF(OR(ISNUMBER($Q27),$Q27="DNA"),$Q27,IF(OR(ISNUMBER($N27),$N27="DNA"),$N27,IF(OR(ISNUMBER($M27),$M27="DNA"),$M27,IF(OR(ISNUMBER($L27),$L27="DNA"),$L27,"")))))))))="DNA","Rebook DNA",IF(ISNUMBER(IF(OR(ISNUMBER($V27),$V27="DNA"),$V27,IF(OR(ISNUMBER($U27),$U27="DNA"),$U27,IF(OR(ISNUMBER($T27),$T27="DNA"),$T27,IF(OR(ISNUMBER($S27),$S27="DNA"),$S27,IF(OR(ISNUMBER($R27),$R27="DNA"),$R27,IF(OR(ISNUMBER($Q27),$Q27="DNA"),$Q27,IF(OR(ISNUMBER($N27),$N27="DNA"),$N27,IF(OR(ISNUMBER($M27),$M27="DNA"),$M27,IF(OR(ISNUMBER($L27),$L27="DNA"),$L27,"")))))))))),IF(ISNUMBER($V27),"Update status","Missed/not booked?"),""))))</f>
        <v/>
      </c>
      <c r="K27" s="29">
        <f>IF(NOT(AND($A27&lt;&gt;"",OR($G27="",$G27="Active"))),"",IF(MIN(IF(AND(ISNUMBER($L27),$L27&gt;=TODAY()),$L27,99999),IF(AND(ISNUMBER($M27),$M27&gt;=TODAY()),$M27,99999),IF(AND(ISNUMBER($N27),$N27&gt;=TODAY()),$N27,99999),IF(AND(ISNUMBER($Q27),$Q27&gt;=TODAY()),$Q27,99999),IF(AND(ISNUMBER($R27),$R27&gt;=TODAY()),$R27,99999),IF(AND(ISNUMBER($S27),$S27&gt;=TODAY()),$S27,99999),IF(AND(ISNUMBER($T27),$T27&gt;=TODAY()),$T27,99999),IF(AND(ISNUMBER($U27),$U27&gt;=TODAY()),$U27,99999),IF(AND(ISNUMBER($V27),$V27&gt;=TODAY()),$V27,99999))=99999,"",MIN(IF(AND(ISNUMBER($L27),$L27&gt;=TODAY()),$L27,99999),IF(AND(ISNUMBER($M27),$M27&gt;=TODAY()),$M27,99999),IF(AND(ISNUMBER($N27),$N27&gt;=TODAY()),$N27,99999),IF(AND(ISNUMBER($Q27),$Q27&gt;=TODAY()),$Q27,99999),IF(AND(ISNUMBER($R27),$R27&gt;=TODAY()),$R27,99999),IF(AND(ISNUMBER($S27),$S27&gt;=TODAY()),$S27,99999),IF(AND(ISNUMBER($T27),$T27&gt;=TODAY()),$T27,99999),IF(AND(ISNUMBER($U27),$U27&gt;=TODAY()),$U27,99999),IF(AND(ISNUMBER($V27),$V27&gt;=TODAY()),$V27,99999))))</f>
        <v/>
      </c>
      <c r="L27" s="27" t="n"/>
      <c r="M27" s="27" t="n"/>
      <c r="N27" s="27" t="n"/>
      <c r="O27" s="27" t="n"/>
      <c r="P27" s="27" t="n"/>
      <c r="Q27" s="27" t="n"/>
      <c r="R27" s="27" t="n"/>
      <c r="S27" s="27" t="n"/>
      <c r="T27" s="27" t="n"/>
      <c r="U27" s="27" t="n"/>
      <c r="V27" s="27" t="n"/>
      <c r="W27" s="27" t="n"/>
      <c r="X27" s="27" t="n"/>
      <c r="Y27" s="27" t="n"/>
      <c r="Z27" s="30" t="n"/>
      <c r="AA27" s="25" t="n"/>
      <c r="AB27" s="28">
        <f>IF(NOT(AND($A27&lt;&gt;"",OR($G27="",$G27="Active"))),"",IF(OR(IF(OR(ISNUMBER($V27),$V27="DNA"),$V27,IF(OR(ISNUMBER($U27),$U27="DNA"),$U27,IF(OR(ISNUMBER($T27),$T27="DNA"),$T27,IF(OR(ISNUMBER($S27),$S27="DNA"),$S27,IF(OR(ISNUMBER($R27),$R27="DNA"),$R27,IF(OR(ISNUMBER($Q27),$Q27="DNA"),$Q27,IF(OR(ISNUMBER($N27),$N27="DNA"),$N27,IF(OR(ISNUMBER($M27),$M27="DNA"),$M27,IF(OR(ISNUMBER($L27),$L27="DNA"),$L27,"")))))))))="DNA",AND(ISNUMBER(IF(OR(ISNUMBER($V27),$V27="DNA"),$V27,IF(OR(ISNUMBER($U27),$U27="DNA"),$U27,IF(OR(ISNUMBER($T27),$T27="DNA"),$T27,IF(OR(ISNUMBER($S27),$S27="DNA"),$S27,IF(OR(ISNUMBER($R27),$R27="DNA"),$R27,IF(OR(ISNUMBER($Q27),$Q27="DNA"),$Q27,IF(OR(ISNUMBER($N27),$N27="DNA"),$N27,IF(OR(ISNUMBER($M27),$M27="DNA"),$M27,IF(OR(ISNUMBER($L27),$L27="DNA"),$L27,"")))))))))),IF(OR(ISNUMBER($V27),$V27="DNA"),$V27,IF(OR(ISNUMBER($U27),$U27="DNA"),$U27,IF(OR(ISNUMBER($T27),$T27="DNA"),$T27,IF(OR(ISNUMBER($S27),$S27="DNA"),$S27,IF(OR(ISNUMBER($R27),$R27="DNA"),$R27,IF(OR(ISNUMBER($Q27),$Q27="DNA"),$Q27,IF(OR(ISNUMBER($N27),$N27="DNA"),$N27,IF(OR(ISNUMBER($M27),$M27="DNA"),$M27,IF(OR(ISNUMBER($L27),$L27="DNA"),$L27,"")))))))))&lt;TODAY())),1,0)+ISNUMBER($O27)*($O27&lt;TODAY())+ISNUMBER($P27)*($P27&lt;TODAY())+ISNUMBER($X27)*($X27&lt;TODAY())+ISNUMBER($Y27)*($Y27&lt;TODAY()))</f>
        <v/>
      </c>
    </row>
    <row r="28">
      <c r="A28" s="25" t="n"/>
      <c r="B28" s="26" t="n"/>
      <c r="C28" s="27" t="n"/>
      <c r="D28" s="25" t="n"/>
      <c r="E28" s="25" t="n"/>
      <c r="F28" s="27" t="n"/>
      <c r="G28" s="25" t="n"/>
      <c r="H28" s="28">
        <f>IF(OR(NOT(AND($A28&lt;&gt;"",OR($G28="",$G28="Active"))),$F28=""),"",INT((TODAY()-$F28+280)/7)&amp;"+"&amp;MOD(TODAY()-$F28+280,7))</f>
        <v/>
      </c>
      <c r="I28" s="28">
        <f>IF(NOT(AND($A28&lt;&gt;"",OR($G28="",$G28="Active"))),"",ISNUMBER($L28)*($L28&gt;=TODAY())*($L28&lt;=TODAY()+7)+ISNUMBER($M28)*($M28&gt;=TODAY())*($M28&lt;=TODAY()+7)+ISNUMBER($N28)*($N28&gt;=TODAY())*($N28&lt;=TODAY()+7)+ISNUMBER($Q28)*($Q28&gt;=TODAY())*($Q28&lt;=TODAY()+7)+ISNUMBER($R28)*($R28&gt;=TODAY())*($R28&lt;=TODAY()+7)+ISNUMBER($S28)*($S28&gt;=TODAY())*($S28&lt;=TODAY()+7)+ISNUMBER($T28)*($T28&gt;=TODAY())*($T28&lt;=TODAY()+7)+ISNUMBER($U28)*($U28&gt;=TODAY())*($U28&lt;=TODAY()+7)+ISNUMBER($V28)*($V28&gt;=TODAY())*($V28&lt;=TODAY()+7)+ISNUMBER($O28)*($O28&gt;=TODAY())*($O28&lt;=TODAY()+7)+ISNUMBER($P28)*($P28&gt;=TODAY())*($P28&lt;=TODAY()+7)+ISNUMBER($X28)*($X28&gt;=TODAY())*($X28&lt;=TODAY()+7)+ISNUMBER($Y28)*($Y28&gt;=TODAY())*($Y28&lt;=TODAY()+7))</f>
        <v/>
      </c>
      <c r="J28" s="28">
        <f>IF(NOT(AND($A28&lt;&gt;"",OR($G28="",$G28="Active"))),"",IF($K28&lt;&gt;"",IF($L28=$K28,"Booking",IF($M28=$K28,"16/40",IF($N28=$K28,"25/40",IF($Q28=$K28,"28/40",IF($R28=$K28,"31/40",IF($S28=$K28,"34/40",IF($T28=$K28,"36/40",IF($U28=$K28,"38/40",IF($V28=$K28,"40/40",""))))))))),IF(IF(OR(ISNUMBER($V28),$V28="DNA"),$V28,IF(OR(ISNUMBER($U28),$U28="DNA"),$U28,IF(OR(ISNUMBER($T28),$T28="DNA"),$T28,IF(OR(ISNUMBER($S28),$S28="DNA"),$S28,IF(OR(ISNUMBER($R28),$R28="DNA"),$R28,IF(OR(ISNUMBER($Q28),$Q28="DNA"),$Q28,IF(OR(ISNUMBER($N28),$N28="DNA"),$N28,IF(OR(ISNUMBER($M28),$M28="DNA"),$M28,IF(OR(ISNUMBER($L28),$L28="DNA"),$L28,"")))))))))="DNA","Rebook DNA",IF(ISNUMBER(IF(OR(ISNUMBER($V28),$V28="DNA"),$V28,IF(OR(ISNUMBER($U28),$U28="DNA"),$U28,IF(OR(ISNUMBER($T28),$T28="DNA"),$T28,IF(OR(ISNUMBER($S28),$S28="DNA"),$S28,IF(OR(ISNUMBER($R28),$R28="DNA"),$R28,IF(OR(ISNUMBER($Q28),$Q28="DNA"),$Q28,IF(OR(ISNUMBER($N28),$N28="DNA"),$N28,IF(OR(ISNUMBER($M28),$M28="DNA"),$M28,IF(OR(ISNUMBER($L28),$L28="DNA"),$L28,"")))))))))),IF(ISNUMBER($V28),"Update status","Missed/not booked?"),""))))</f>
        <v/>
      </c>
      <c r="K28" s="29">
        <f>IF(NOT(AND($A28&lt;&gt;"",OR($G28="",$G28="Active"))),"",IF(MIN(IF(AND(ISNUMBER($L28),$L28&gt;=TODAY()),$L28,99999),IF(AND(ISNUMBER($M28),$M28&gt;=TODAY()),$M28,99999),IF(AND(ISNUMBER($N28),$N28&gt;=TODAY()),$N28,99999),IF(AND(ISNUMBER($Q28),$Q28&gt;=TODAY()),$Q28,99999),IF(AND(ISNUMBER($R28),$R28&gt;=TODAY()),$R28,99999),IF(AND(ISNUMBER($S28),$S28&gt;=TODAY()),$S28,99999),IF(AND(ISNUMBER($T28),$T28&gt;=TODAY()),$T28,99999),IF(AND(ISNUMBER($U28),$U28&gt;=TODAY()),$U28,99999),IF(AND(ISNUMBER($V28),$V28&gt;=TODAY()),$V28,99999))=99999,"",MIN(IF(AND(ISNUMBER($L28),$L28&gt;=TODAY()),$L28,99999),IF(AND(ISNUMBER($M28),$M28&gt;=TODAY()),$M28,99999),IF(AND(ISNUMBER($N28),$N28&gt;=TODAY()),$N28,99999),IF(AND(ISNUMBER($Q28),$Q28&gt;=TODAY()),$Q28,99999),IF(AND(ISNUMBER($R28),$R28&gt;=TODAY()),$R28,99999),IF(AND(ISNUMBER($S28),$S28&gt;=TODAY()),$S28,99999),IF(AND(ISNUMBER($T28),$T28&gt;=TODAY()),$T28,99999),IF(AND(ISNUMBER($U28),$U28&gt;=TODAY()),$U28,99999),IF(AND(ISNUMBER($V28),$V28&gt;=TODAY()),$V28,99999))))</f>
        <v/>
      </c>
      <c r="L28" s="27" t="n"/>
      <c r="M28" s="27" t="n"/>
      <c r="N28" s="27" t="n"/>
      <c r="O28" s="27" t="n"/>
      <c r="P28" s="27" t="n"/>
      <c r="Q28" s="27" t="n"/>
      <c r="R28" s="27" t="n"/>
      <c r="S28" s="27" t="n"/>
      <c r="T28" s="27" t="n"/>
      <c r="U28" s="27" t="n"/>
      <c r="V28" s="27" t="n"/>
      <c r="W28" s="27" t="n"/>
      <c r="X28" s="27" t="n"/>
      <c r="Y28" s="27" t="n"/>
      <c r="Z28" s="30" t="n"/>
      <c r="AA28" s="25" t="n"/>
      <c r="AB28" s="28">
        <f>IF(NOT(AND($A28&lt;&gt;"",OR($G28="",$G28="Active"))),"",IF(OR(IF(OR(ISNUMBER($V28),$V28="DNA"),$V28,IF(OR(ISNUMBER($U28),$U28="DNA"),$U28,IF(OR(ISNUMBER($T28),$T28="DNA"),$T28,IF(OR(ISNUMBER($S28),$S28="DNA"),$S28,IF(OR(ISNUMBER($R28),$R28="DNA"),$R28,IF(OR(ISNUMBER($Q28),$Q28="DNA"),$Q28,IF(OR(ISNUMBER($N28),$N28="DNA"),$N28,IF(OR(ISNUMBER($M28),$M28="DNA"),$M28,IF(OR(ISNUMBER($L28),$L28="DNA"),$L28,"")))))))))="DNA",AND(ISNUMBER(IF(OR(ISNUMBER($V28),$V28="DNA"),$V28,IF(OR(ISNUMBER($U28),$U28="DNA"),$U28,IF(OR(ISNUMBER($T28),$T28="DNA"),$T28,IF(OR(ISNUMBER($S28),$S28="DNA"),$S28,IF(OR(ISNUMBER($R28),$R28="DNA"),$R28,IF(OR(ISNUMBER($Q28),$Q28="DNA"),$Q28,IF(OR(ISNUMBER($N28),$N28="DNA"),$N28,IF(OR(ISNUMBER($M28),$M28="DNA"),$M28,IF(OR(ISNUMBER($L28),$L28="DNA"),$L28,"")))))))))),IF(OR(ISNUMBER($V28),$V28="DNA"),$V28,IF(OR(ISNUMBER($U28),$U28="DNA"),$U28,IF(OR(ISNUMBER($T28),$T28="DNA"),$T28,IF(OR(ISNUMBER($S28),$S28="DNA"),$S28,IF(OR(ISNUMBER($R28),$R28="DNA"),$R28,IF(OR(ISNUMBER($Q28),$Q28="DNA"),$Q28,IF(OR(ISNUMBER($N28),$N28="DNA"),$N28,IF(OR(ISNUMBER($M28),$M28="DNA"),$M28,IF(OR(ISNUMBER($L28),$L28="DNA"),$L28,"")))))))))&lt;TODAY())),1,0)+ISNUMBER($O28)*($O28&lt;TODAY())+ISNUMBER($P28)*($P28&lt;TODAY())+ISNUMBER($X28)*($X28&lt;TODAY())+ISNUMBER($Y28)*($Y28&lt;TODAY()))</f>
        <v/>
      </c>
    </row>
    <row r="29">
      <c r="A29" s="25" t="n"/>
      <c r="B29" s="26" t="n"/>
      <c r="C29" s="27" t="n"/>
      <c r="D29" s="25" t="n"/>
      <c r="E29" s="25" t="n"/>
      <c r="F29" s="27" t="n"/>
      <c r="G29" s="25" t="n"/>
      <c r="H29" s="28">
        <f>IF(OR(NOT(AND($A29&lt;&gt;"",OR($G29="",$G29="Active"))),$F29=""),"",INT((TODAY()-$F29+280)/7)&amp;"+"&amp;MOD(TODAY()-$F29+280,7))</f>
        <v/>
      </c>
      <c r="I29" s="28">
        <f>IF(NOT(AND($A29&lt;&gt;"",OR($G29="",$G29="Active"))),"",ISNUMBER($L29)*($L29&gt;=TODAY())*($L29&lt;=TODAY()+7)+ISNUMBER($M29)*($M29&gt;=TODAY())*($M29&lt;=TODAY()+7)+ISNUMBER($N29)*($N29&gt;=TODAY())*($N29&lt;=TODAY()+7)+ISNUMBER($Q29)*($Q29&gt;=TODAY())*($Q29&lt;=TODAY()+7)+ISNUMBER($R29)*($R29&gt;=TODAY())*($R29&lt;=TODAY()+7)+ISNUMBER($S29)*($S29&gt;=TODAY())*($S29&lt;=TODAY()+7)+ISNUMBER($T29)*($T29&gt;=TODAY())*($T29&lt;=TODAY()+7)+ISNUMBER($U29)*($U29&gt;=TODAY())*($U29&lt;=TODAY()+7)+ISNUMBER($V29)*($V29&gt;=TODAY())*($V29&lt;=TODAY()+7)+ISNUMBER($O29)*($O29&gt;=TODAY())*($O29&lt;=TODAY()+7)+ISNUMBER($P29)*($P29&gt;=TODAY())*($P29&lt;=TODAY()+7)+ISNUMBER($X29)*($X29&gt;=TODAY())*($X29&lt;=TODAY()+7)+ISNUMBER($Y29)*($Y29&gt;=TODAY())*($Y29&lt;=TODAY()+7))</f>
        <v/>
      </c>
      <c r="J29" s="28">
        <f>IF(NOT(AND($A29&lt;&gt;"",OR($G29="",$G29="Active"))),"",IF($K29&lt;&gt;"",IF($L29=$K29,"Booking",IF($M29=$K29,"16/40",IF($N29=$K29,"25/40",IF($Q29=$K29,"28/40",IF($R29=$K29,"31/40",IF($S29=$K29,"34/40",IF($T29=$K29,"36/40",IF($U29=$K29,"38/40",IF($V29=$K29,"40/40",""))))))))),IF(IF(OR(ISNUMBER($V29),$V29="DNA"),$V29,IF(OR(ISNUMBER($U29),$U29="DNA"),$U29,IF(OR(ISNUMBER($T29),$T29="DNA"),$T29,IF(OR(ISNUMBER($S29),$S29="DNA"),$S29,IF(OR(ISNUMBER($R29),$R29="DNA"),$R29,IF(OR(ISNUMBER($Q29),$Q29="DNA"),$Q29,IF(OR(ISNUMBER($N29),$N29="DNA"),$N29,IF(OR(ISNUMBER($M29),$M29="DNA"),$M29,IF(OR(ISNUMBER($L29),$L29="DNA"),$L29,"")))))))))="DNA","Rebook DNA",IF(ISNUMBER(IF(OR(ISNUMBER($V29),$V29="DNA"),$V29,IF(OR(ISNUMBER($U29),$U29="DNA"),$U29,IF(OR(ISNUMBER($T29),$T29="DNA"),$T29,IF(OR(ISNUMBER($S29),$S29="DNA"),$S29,IF(OR(ISNUMBER($R29),$R29="DNA"),$R29,IF(OR(ISNUMBER($Q29),$Q29="DNA"),$Q29,IF(OR(ISNUMBER($N29),$N29="DNA"),$N29,IF(OR(ISNUMBER($M29),$M29="DNA"),$M29,IF(OR(ISNUMBER($L29),$L29="DNA"),$L29,"")))))))))),IF(ISNUMBER($V29),"Update status","Missed/not booked?"),""))))</f>
        <v/>
      </c>
      <c r="K29" s="29">
        <f>IF(NOT(AND($A29&lt;&gt;"",OR($G29="",$G29="Active"))),"",IF(MIN(IF(AND(ISNUMBER($L29),$L29&gt;=TODAY()),$L29,99999),IF(AND(ISNUMBER($M29),$M29&gt;=TODAY()),$M29,99999),IF(AND(ISNUMBER($N29),$N29&gt;=TODAY()),$N29,99999),IF(AND(ISNUMBER($Q29),$Q29&gt;=TODAY()),$Q29,99999),IF(AND(ISNUMBER($R29),$R29&gt;=TODAY()),$R29,99999),IF(AND(ISNUMBER($S29),$S29&gt;=TODAY()),$S29,99999),IF(AND(ISNUMBER($T29),$T29&gt;=TODAY()),$T29,99999),IF(AND(ISNUMBER($U29),$U29&gt;=TODAY()),$U29,99999),IF(AND(ISNUMBER($V29),$V29&gt;=TODAY()),$V29,99999))=99999,"",MIN(IF(AND(ISNUMBER($L29),$L29&gt;=TODAY()),$L29,99999),IF(AND(ISNUMBER($M29),$M29&gt;=TODAY()),$M29,99999),IF(AND(ISNUMBER($N29),$N29&gt;=TODAY()),$N29,99999),IF(AND(ISNUMBER($Q29),$Q29&gt;=TODAY()),$Q29,99999),IF(AND(ISNUMBER($R29),$R29&gt;=TODAY()),$R29,99999),IF(AND(ISNUMBER($S29),$S29&gt;=TODAY()),$S29,99999),IF(AND(ISNUMBER($T29),$T29&gt;=TODAY()),$T29,99999),IF(AND(ISNUMBER($U29),$U29&gt;=TODAY()),$U29,99999),IF(AND(ISNUMBER($V29),$V29&gt;=TODAY()),$V29,99999))))</f>
        <v/>
      </c>
      <c r="L29" s="27" t="n"/>
      <c r="M29" s="27" t="n"/>
      <c r="N29" s="27" t="n"/>
      <c r="O29" s="27" t="n"/>
      <c r="P29" s="27" t="n"/>
      <c r="Q29" s="27" t="n"/>
      <c r="R29" s="27" t="n"/>
      <c r="S29" s="27" t="n"/>
      <c r="T29" s="27" t="n"/>
      <c r="U29" s="27" t="n"/>
      <c r="V29" s="27" t="n"/>
      <c r="W29" s="27" t="n"/>
      <c r="X29" s="27" t="n"/>
      <c r="Y29" s="27" t="n"/>
      <c r="Z29" s="30" t="n"/>
      <c r="AA29" s="25" t="n"/>
      <c r="AB29" s="28">
        <f>IF(NOT(AND($A29&lt;&gt;"",OR($G29="",$G29="Active"))),"",IF(OR(IF(OR(ISNUMBER($V29),$V29="DNA"),$V29,IF(OR(ISNUMBER($U29),$U29="DNA"),$U29,IF(OR(ISNUMBER($T29),$T29="DNA"),$T29,IF(OR(ISNUMBER($S29),$S29="DNA"),$S29,IF(OR(ISNUMBER($R29),$R29="DNA"),$R29,IF(OR(ISNUMBER($Q29),$Q29="DNA"),$Q29,IF(OR(ISNUMBER($N29),$N29="DNA"),$N29,IF(OR(ISNUMBER($M29),$M29="DNA"),$M29,IF(OR(ISNUMBER($L29),$L29="DNA"),$L29,"")))))))))="DNA",AND(ISNUMBER(IF(OR(ISNUMBER($V29),$V29="DNA"),$V29,IF(OR(ISNUMBER($U29),$U29="DNA"),$U29,IF(OR(ISNUMBER($T29),$T29="DNA"),$T29,IF(OR(ISNUMBER($S29),$S29="DNA"),$S29,IF(OR(ISNUMBER($R29),$R29="DNA"),$R29,IF(OR(ISNUMBER($Q29),$Q29="DNA"),$Q29,IF(OR(ISNUMBER($N29),$N29="DNA"),$N29,IF(OR(ISNUMBER($M29),$M29="DNA"),$M29,IF(OR(ISNUMBER($L29),$L29="DNA"),$L29,"")))))))))),IF(OR(ISNUMBER($V29),$V29="DNA"),$V29,IF(OR(ISNUMBER($U29),$U29="DNA"),$U29,IF(OR(ISNUMBER($T29),$T29="DNA"),$T29,IF(OR(ISNUMBER($S29),$S29="DNA"),$S29,IF(OR(ISNUMBER($R29),$R29="DNA"),$R29,IF(OR(ISNUMBER($Q29),$Q29="DNA"),$Q29,IF(OR(ISNUMBER($N29),$N29="DNA"),$N29,IF(OR(ISNUMBER($M29),$M29="DNA"),$M29,IF(OR(ISNUMBER($L29),$L29="DNA"),$L29,"")))))))))&lt;TODAY())),1,0)+ISNUMBER($O29)*($O29&lt;TODAY())+ISNUMBER($P29)*($P29&lt;TODAY())+ISNUMBER($X29)*($X29&lt;TODAY())+ISNUMBER($Y29)*($Y29&lt;TODAY()))</f>
        <v/>
      </c>
    </row>
    <row r="30">
      <c r="A30" s="25" t="n"/>
      <c r="B30" s="26" t="n"/>
      <c r="C30" s="27" t="n"/>
      <c r="D30" s="25" t="n"/>
      <c r="E30" s="25" t="n"/>
      <c r="F30" s="27" t="n"/>
      <c r="G30" s="25" t="n"/>
      <c r="H30" s="28">
        <f>IF(OR(NOT(AND($A30&lt;&gt;"",OR($G30="",$G30="Active"))),$F30=""),"",INT((TODAY()-$F30+280)/7)&amp;"+"&amp;MOD(TODAY()-$F30+280,7))</f>
        <v/>
      </c>
      <c r="I30" s="28">
        <f>IF(NOT(AND($A30&lt;&gt;"",OR($G30="",$G30="Active"))),"",ISNUMBER($L30)*($L30&gt;=TODAY())*($L30&lt;=TODAY()+7)+ISNUMBER($M30)*($M30&gt;=TODAY())*($M30&lt;=TODAY()+7)+ISNUMBER($N30)*($N30&gt;=TODAY())*($N30&lt;=TODAY()+7)+ISNUMBER($Q30)*($Q30&gt;=TODAY())*($Q30&lt;=TODAY()+7)+ISNUMBER($R30)*($R30&gt;=TODAY())*($R30&lt;=TODAY()+7)+ISNUMBER($S30)*($S30&gt;=TODAY())*($S30&lt;=TODAY()+7)+ISNUMBER($T30)*($T30&gt;=TODAY())*($T30&lt;=TODAY()+7)+ISNUMBER($U30)*($U30&gt;=TODAY())*($U30&lt;=TODAY()+7)+ISNUMBER($V30)*($V30&gt;=TODAY())*($V30&lt;=TODAY()+7)+ISNUMBER($O30)*($O30&gt;=TODAY())*($O30&lt;=TODAY()+7)+ISNUMBER($P30)*($P30&gt;=TODAY())*($P30&lt;=TODAY()+7)+ISNUMBER($X30)*($X30&gt;=TODAY())*($X30&lt;=TODAY()+7)+ISNUMBER($Y30)*($Y30&gt;=TODAY())*($Y30&lt;=TODAY()+7))</f>
        <v/>
      </c>
      <c r="J30" s="28">
        <f>IF(NOT(AND($A30&lt;&gt;"",OR($G30="",$G30="Active"))),"",IF($K30&lt;&gt;"",IF($L30=$K30,"Booking",IF($M30=$K30,"16/40",IF($N30=$K30,"25/40",IF($Q30=$K30,"28/40",IF($R30=$K30,"31/40",IF($S30=$K30,"34/40",IF($T30=$K30,"36/40",IF($U30=$K30,"38/40",IF($V30=$K30,"40/40",""))))))))),IF(IF(OR(ISNUMBER($V30),$V30="DNA"),$V30,IF(OR(ISNUMBER($U30),$U30="DNA"),$U30,IF(OR(ISNUMBER($T30),$T30="DNA"),$T30,IF(OR(ISNUMBER($S30),$S30="DNA"),$S30,IF(OR(ISNUMBER($R30),$R30="DNA"),$R30,IF(OR(ISNUMBER($Q30),$Q30="DNA"),$Q30,IF(OR(ISNUMBER($N30),$N30="DNA"),$N30,IF(OR(ISNUMBER($M30),$M30="DNA"),$M30,IF(OR(ISNUMBER($L30),$L30="DNA"),$L30,"")))))))))="DNA","Rebook DNA",IF(ISNUMBER(IF(OR(ISNUMBER($V30),$V30="DNA"),$V30,IF(OR(ISNUMBER($U30),$U30="DNA"),$U30,IF(OR(ISNUMBER($T30),$T30="DNA"),$T30,IF(OR(ISNUMBER($S30),$S30="DNA"),$S30,IF(OR(ISNUMBER($R30),$R30="DNA"),$R30,IF(OR(ISNUMBER($Q30),$Q30="DNA"),$Q30,IF(OR(ISNUMBER($N30),$N30="DNA"),$N30,IF(OR(ISNUMBER($M30),$M30="DNA"),$M30,IF(OR(ISNUMBER($L30),$L30="DNA"),$L30,"")))))))))),IF(ISNUMBER($V30),"Update status","Missed/not booked?"),""))))</f>
        <v/>
      </c>
      <c r="K30" s="29">
        <f>IF(NOT(AND($A30&lt;&gt;"",OR($G30="",$G30="Active"))),"",IF(MIN(IF(AND(ISNUMBER($L30),$L30&gt;=TODAY()),$L30,99999),IF(AND(ISNUMBER($M30),$M30&gt;=TODAY()),$M30,99999),IF(AND(ISNUMBER($N30),$N30&gt;=TODAY()),$N30,99999),IF(AND(ISNUMBER($Q30),$Q30&gt;=TODAY()),$Q30,99999),IF(AND(ISNUMBER($R30),$R30&gt;=TODAY()),$R30,99999),IF(AND(ISNUMBER($S30),$S30&gt;=TODAY()),$S30,99999),IF(AND(ISNUMBER($T30),$T30&gt;=TODAY()),$T30,99999),IF(AND(ISNUMBER($U30),$U30&gt;=TODAY()),$U30,99999),IF(AND(ISNUMBER($V30),$V30&gt;=TODAY()),$V30,99999))=99999,"",MIN(IF(AND(ISNUMBER($L30),$L30&gt;=TODAY()),$L30,99999),IF(AND(ISNUMBER($M30),$M30&gt;=TODAY()),$M30,99999),IF(AND(ISNUMBER($N30),$N30&gt;=TODAY()),$N30,99999),IF(AND(ISNUMBER($Q30),$Q30&gt;=TODAY()),$Q30,99999),IF(AND(ISNUMBER($R30),$R30&gt;=TODAY()),$R30,99999),IF(AND(ISNUMBER($S30),$S30&gt;=TODAY()),$S30,99999),IF(AND(ISNUMBER($T30),$T30&gt;=TODAY()),$T30,99999),IF(AND(ISNUMBER($U30),$U30&gt;=TODAY()),$U30,99999),IF(AND(ISNUMBER($V30),$V30&gt;=TODAY()),$V30,99999))))</f>
        <v/>
      </c>
      <c r="L30" s="27" t="n"/>
      <c r="M30" s="27" t="n"/>
      <c r="N30" s="27" t="n"/>
      <c r="O30" s="27" t="n"/>
      <c r="P30" s="27" t="n"/>
      <c r="Q30" s="27" t="n"/>
      <c r="R30" s="27" t="n"/>
      <c r="S30" s="27" t="n"/>
      <c r="T30" s="27" t="n"/>
      <c r="U30" s="27" t="n"/>
      <c r="V30" s="27" t="n"/>
      <c r="W30" s="27" t="n"/>
      <c r="X30" s="27" t="n"/>
      <c r="Y30" s="27" t="n"/>
      <c r="Z30" s="30" t="n"/>
      <c r="AA30" s="25" t="n"/>
      <c r="AB30" s="28">
        <f>IF(NOT(AND($A30&lt;&gt;"",OR($G30="",$G30="Active"))),"",IF(OR(IF(OR(ISNUMBER($V30),$V30="DNA"),$V30,IF(OR(ISNUMBER($U30),$U30="DNA"),$U30,IF(OR(ISNUMBER($T30),$T30="DNA"),$T30,IF(OR(ISNUMBER($S30),$S30="DNA"),$S30,IF(OR(ISNUMBER($R30),$R30="DNA"),$R30,IF(OR(ISNUMBER($Q30),$Q30="DNA"),$Q30,IF(OR(ISNUMBER($N30),$N30="DNA"),$N30,IF(OR(ISNUMBER($M30),$M30="DNA"),$M30,IF(OR(ISNUMBER($L30),$L30="DNA"),$L30,"")))))))))="DNA",AND(ISNUMBER(IF(OR(ISNUMBER($V30),$V30="DNA"),$V30,IF(OR(ISNUMBER($U30),$U30="DNA"),$U30,IF(OR(ISNUMBER($T30),$T30="DNA"),$T30,IF(OR(ISNUMBER($S30),$S30="DNA"),$S30,IF(OR(ISNUMBER($R30),$R30="DNA"),$R30,IF(OR(ISNUMBER($Q30),$Q30="DNA"),$Q30,IF(OR(ISNUMBER($N30),$N30="DNA"),$N30,IF(OR(ISNUMBER($M30),$M30="DNA"),$M30,IF(OR(ISNUMBER($L30),$L30="DNA"),$L30,"")))))))))),IF(OR(ISNUMBER($V30),$V30="DNA"),$V30,IF(OR(ISNUMBER($U30),$U30="DNA"),$U30,IF(OR(ISNUMBER($T30),$T30="DNA"),$T30,IF(OR(ISNUMBER($S30),$S30="DNA"),$S30,IF(OR(ISNUMBER($R30),$R30="DNA"),$R30,IF(OR(ISNUMBER($Q30),$Q30="DNA"),$Q30,IF(OR(ISNUMBER($N30),$N30="DNA"),$N30,IF(OR(ISNUMBER($M30),$M30="DNA"),$M30,IF(OR(ISNUMBER($L30),$L30="DNA"),$L30,"")))))))))&lt;TODAY())),1,0)+ISNUMBER($O30)*($O30&lt;TODAY())+ISNUMBER($P30)*($P30&lt;TODAY())+ISNUMBER($X30)*($X30&lt;TODAY())+ISNUMBER($Y30)*($Y30&lt;TODAY()))</f>
        <v/>
      </c>
    </row>
    <row r="31">
      <c r="A31" s="25" t="n"/>
      <c r="B31" s="26" t="n"/>
      <c r="C31" s="27" t="n"/>
      <c r="D31" s="25" t="n"/>
      <c r="E31" s="25" t="n"/>
      <c r="F31" s="27" t="n"/>
      <c r="G31" s="25" t="n"/>
      <c r="H31" s="28">
        <f>IF(OR(NOT(AND($A31&lt;&gt;"",OR($G31="",$G31="Active"))),$F31=""),"",INT((TODAY()-$F31+280)/7)&amp;"+"&amp;MOD(TODAY()-$F31+280,7))</f>
        <v/>
      </c>
      <c r="I31" s="28">
        <f>IF(NOT(AND($A31&lt;&gt;"",OR($G31="",$G31="Active"))),"",ISNUMBER($L31)*($L31&gt;=TODAY())*($L31&lt;=TODAY()+7)+ISNUMBER($M31)*($M31&gt;=TODAY())*($M31&lt;=TODAY()+7)+ISNUMBER($N31)*($N31&gt;=TODAY())*($N31&lt;=TODAY()+7)+ISNUMBER($Q31)*($Q31&gt;=TODAY())*($Q31&lt;=TODAY()+7)+ISNUMBER($R31)*($R31&gt;=TODAY())*($R31&lt;=TODAY()+7)+ISNUMBER($S31)*($S31&gt;=TODAY())*($S31&lt;=TODAY()+7)+ISNUMBER($T31)*($T31&gt;=TODAY())*($T31&lt;=TODAY()+7)+ISNUMBER($U31)*($U31&gt;=TODAY())*($U31&lt;=TODAY()+7)+ISNUMBER($V31)*($V31&gt;=TODAY())*($V31&lt;=TODAY()+7)+ISNUMBER($O31)*($O31&gt;=TODAY())*($O31&lt;=TODAY()+7)+ISNUMBER($P31)*($P31&gt;=TODAY())*($P31&lt;=TODAY()+7)+ISNUMBER($X31)*($X31&gt;=TODAY())*($X31&lt;=TODAY()+7)+ISNUMBER($Y31)*($Y31&gt;=TODAY())*($Y31&lt;=TODAY()+7))</f>
        <v/>
      </c>
      <c r="J31" s="28">
        <f>IF(NOT(AND($A31&lt;&gt;"",OR($G31="",$G31="Active"))),"",IF($K31&lt;&gt;"",IF($L31=$K31,"Booking",IF($M31=$K31,"16/40",IF($N31=$K31,"25/40",IF($Q31=$K31,"28/40",IF($R31=$K31,"31/40",IF($S31=$K31,"34/40",IF($T31=$K31,"36/40",IF($U31=$K31,"38/40",IF($V31=$K31,"40/40",""))))))))),IF(IF(OR(ISNUMBER($V31),$V31="DNA"),$V31,IF(OR(ISNUMBER($U31),$U31="DNA"),$U31,IF(OR(ISNUMBER($T31),$T31="DNA"),$T31,IF(OR(ISNUMBER($S31),$S31="DNA"),$S31,IF(OR(ISNUMBER($R31),$R31="DNA"),$R31,IF(OR(ISNUMBER($Q31),$Q31="DNA"),$Q31,IF(OR(ISNUMBER($N31),$N31="DNA"),$N31,IF(OR(ISNUMBER($M31),$M31="DNA"),$M31,IF(OR(ISNUMBER($L31),$L31="DNA"),$L31,"")))))))))="DNA","Rebook DNA",IF(ISNUMBER(IF(OR(ISNUMBER($V31),$V31="DNA"),$V31,IF(OR(ISNUMBER($U31),$U31="DNA"),$U31,IF(OR(ISNUMBER($T31),$T31="DNA"),$T31,IF(OR(ISNUMBER($S31),$S31="DNA"),$S31,IF(OR(ISNUMBER($R31),$R31="DNA"),$R31,IF(OR(ISNUMBER($Q31),$Q31="DNA"),$Q31,IF(OR(ISNUMBER($N31),$N31="DNA"),$N31,IF(OR(ISNUMBER($M31),$M31="DNA"),$M31,IF(OR(ISNUMBER($L31),$L31="DNA"),$L31,"")))))))))),IF(ISNUMBER($V31),"Update status","Missed/not booked?"),""))))</f>
        <v/>
      </c>
      <c r="K31" s="29">
        <f>IF(NOT(AND($A31&lt;&gt;"",OR($G31="",$G31="Active"))),"",IF(MIN(IF(AND(ISNUMBER($L31),$L31&gt;=TODAY()),$L31,99999),IF(AND(ISNUMBER($M31),$M31&gt;=TODAY()),$M31,99999),IF(AND(ISNUMBER($N31),$N31&gt;=TODAY()),$N31,99999),IF(AND(ISNUMBER($Q31),$Q31&gt;=TODAY()),$Q31,99999),IF(AND(ISNUMBER($R31),$R31&gt;=TODAY()),$R31,99999),IF(AND(ISNUMBER($S31),$S31&gt;=TODAY()),$S31,99999),IF(AND(ISNUMBER($T31),$T31&gt;=TODAY()),$T31,99999),IF(AND(ISNUMBER($U31),$U31&gt;=TODAY()),$U31,99999),IF(AND(ISNUMBER($V31),$V31&gt;=TODAY()),$V31,99999))=99999,"",MIN(IF(AND(ISNUMBER($L31),$L31&gt;=TODAY()),$L31,99999),IF(AND(ISNUMBER($M31),$M31&gt;=TODAY()),$M31,99999),IF(AND(ISNUMBER($N31),$N31&gt;=TODAY()),$N31,99999),IF(AND(ISNUMBER($Q31),$Q31&gt;=TODAY()),$Q31,99999),IF(AND(ISNUMBER($R31),$R31&gt;=TODAY()),$R31,99999),IF(AND(ISNUMBER($S31),$S31&gt;=TODAY()),$S31,99999),IF(AND(ISNUMBER($T31),$T31&gt;=TODAY()),$T31,99999),IF(AND(ISNUMBER($U31),$U31&gt;=TODAY()),$U31,99999),IF(AND(ISNUMBER($V31),$V31&gt;=TODAY()),$V31,99999))))</f>
        <v/>
      </c>
      <c r="L31" s="27" t="n"/>
      <c r="M31" s="27" t="n"/>
      <c r="N31" s="27" t="n"/>
      <c r="O31" s="27" t="n"/>
      <c r="P31" s="27" t="n"/>
      <c r="Q31" s="27" t="n"/>
      <c r="R31" s="27" t="n"/>
      <c r="S31" s="27" t="n"/>
      <c r="T31" s="27" t="n"/>
      <c r="U31" s="27" t="n"/>
      <c r="V31" s="27" t="n"/>
      <c r="W31" s="27" t="n"/>
      <c r="X31" s="27" t="n"/>
      <c r="Y31" s="27" t="n"/>
      <c r="Z31" s="30" t="n"/>
      <c r="AA31" s="25" t="n"/>
      <c r="AB31" s="28">
        <f>IF(NOT(AND($A31&lt;&gt;"",OR($G31="",$G31="Active"))),"",IF(OR(IF(OR(ISNUMBER($V31),$V31="DNA"),$V31,IF(OR(ISNUMBER($U31),$U31="DNA"),$U31,IF(OR(ISNUMBER($T31),$T31="DNA"),$T31,IF(OR(ISNUMBER($S31),$S31="DNA"),$S31,IF(OR(ISNUMBER($R31),$R31="DNA"),$R31,IF(OR(ISNUMBER($Q31),$Q31="DNA"),$Q31,IF(OR(ISNUMBER($N31),$N31="DNA"),$N31,IF(OR(ISNUMBER($M31),$M31="DNA"),$M31,IF(OR(ISNUMBER($L31),$L31="DNA"),$L31,"")))))))))="DNA",AND(ISNUMBER(IF(OR(ISNUMBER($V31),$V31="DNA"),$V31,IF(OR(ISNUMBER($U31),$U31="DNA"),$U31,IF(OR(ISNUMBER($T31),$T31="DNA"),$T31,IF(OR(ISNUMBER($S31),$S31="DNA"),$S31,IF(OR(ISNUMBER($R31),$R31="DNA"),$R31,IF(OR(ISNUMBER($Q31),$Q31="DNA"),$Q31,IF(OR(ISNUMBER($N31),$N31="DNA"),$N31,IF(OR(ISNUMBER($M31),$M31="DNA"),$M31,IF(OR(ISNUMBER($L31),$L31="DNA"),$L31,"")))))))))),IF(OR(ISNUMBER($V31),$V31="DNA"),$V31,IF(OR(ISNUMBER($U31),$U31="DNA"),$U31,IF(OR(ISNUMBER($T31),$T31="DNA"),$T31,IF(OR(ISNUMBER($S31),$S31="DNA"),$S31,IF(OR(ISNUMBER($R31),$R31="DNA"),$R31,IF(OR(ISNUMBER($Q31),$Q31="DNA"),$Q31,IF(OR(ISNUMBER($N31),$N31="DNA"),$N31,IF(OR(ISNUMBER($M31),$M31="DNA"),$M31,IF(OR(ISNUMBER($L31),$L31="DNA"),$L31,"")))))))))&lt;TODAY())),1,0)+ISNUMBER($O31)*($O31&lt;TODAY())+ISNUMBER($P31)*($P31&lt;TODAY())+ISNUMBER($X31)*($X31&lt;TODAY())+ISNUMBER($Y31)*($Y31&lt;TODAY()))</f>
        <v/>
      </c>
    </row>
    <row r="32">
      <c r="A32" s="25" t="n"/>
      <c r="B32" s="26" t="n"/>
      <c r="C32" s="27" t="n"/>
      <c r="D32" s="25" t="n"/>
      <c r="E32" s="25" t="n"/>
      <c r="F32" s="27" t="n"/>
      <c r="G32" s="25" t="n"/>
      <c r="H32" s="28">
        <f>IF(OR(NOT(AND($A32&lt;&gt;"",OR($G32="",$G32="Active"))),$F32=""),"",INT((TODAY()-$F32+280)/7)&amp;"+"&amp;MOD(TODAY()-$F32+280,7))</f>
        <v/>
      </c>
      <c r="I32" s="28">
        <f>IF(NOT(AND($A32&lt;&gt;"",OR($G32="",$G32="Active"))),"",ISNUMBER($L32)*($L32&gt;=TODAY())*($L32&lt;=TODAY()+7)+ISNUMBER($M32)*($M32&gt;=TODAY())*($M32&lt;=TODAY()+7)+ISNUMBER($N32)*($N32&gt;=TODAY())*($N32&lt;=TODAY()+7)+ISNUMBER($Q32)*($Q32&gt;=TODAY())*($Q32&lt;=TODAY()+7)+ISNUMBER($R32)*($R32&gt;=TODAY())*($R32&lt;=TODAY()+7)+ISNUMBER($S32)*($S32&gt;=TODAY())*($S32&lt;=TODAY()+7)+ISNUMBER($T32)*($T32&gt;=TODAY())*($T32&lt;=TODAY()+7)+ISNUMBER($U32)*($U32&gt;=TODAY())*($U32&lt;=TODAY()+7)+ISNUMBER($V32)*($V32&gt;=TODAY())*($V32&lt;=TODAY()+7)+ISNUMBER($O32)*($O32&gt;=TODAY())*($O32&lt;=TODAY()+7)+ISNUMBER($P32)*($P32&gt;=TODAY())*($P32&lt;=TODAY()+7)+ISNUMBER($X32)*($X32&gt;=TODAY())*($X32&lt;=TODAY()+7)+ISNUMBER($Y32)*($Y32&gt;=TODAY())*($Y32&lt;=TODAY()+7))</f>
        <v/>
      </c>
      <c r="J32" s="28">
        <f>IF(NOT(AND($A32&lt;&gt;"",OR($G32="",$G32="Active"))),"",IF($K32&lt;&gt;"",IF($L32=$K32,"Booking",IF($M32=$K32,"16/40",IF($N32=$K32,"25/40",IF($Q32=$K32,"28/40",IF($R32=$K32,"31/40",IF($S32=$K32,"34/40",IF($T32=$K32,"36/40",IF($U32=$K32,"38/40",IF($V32=$K32,"40/40",""))))))))),IF(IF(OR(ISNUMBER($V32),$V32="DNA"),$V32,IF(OR(ISNUMBER($U32),$U32="DNA"),$U32,IF(OR(ISNUMBER($T32),$T32="DNA"),$T32,IF(OR(ISNUMBER($S32),$S32="DNA"),$S32,IF(OR(ISNUMBER($R32),$R32="DNA"),$R32,IF(OR(ISNUMBER($Q32),$Q32="DNA"),$Q32,IF(OR(ISNUMBER($N32),$N32="DNA"),$N32,IF(OR(ISNUMBER($M32),$M32="DNA"),$M32,IF(OR(ISNUMBER($L32),$L32="DNA"),$L32,"")))))))))="DNA","Rebook DNA",IF(ISNUMBER(IF(OR(ISNUMBER($V32),$V32="DNA"),$V32,IF(OR(ISNUMBER($U32),$U32="DNA"),$U32,IF(OR(ISNUMBER($T32),$T32="DNA"),$T32,IF(OR(ISNUMBER($S32),$S32="DNA"),$S32,IF(OR(ISNUMBER($R32),$R32="DNA"),$R32,IF(OR(ISNUMBER($Q32),$Q32="DNA"),$Q32,IF(OR(ISNUMBER($N32),$N32="DNA"),$N32,IF(OR(ISNUMBER($M32),$M32="DNA"),$M32,IF(OR(ISNUMBER($L32),$L32="DNA"),$L32,"")))))))))),IF(ISNUMBER($V32),"Update status","Missed/not booked?"),""))))</f>
        <v/>
      </c>
      <c r="K32" s="29">
        <f>IF(NOT(AND($A32&lt;&gt;"",OR($G32="",$G32="Active"))),"",IF(MIN(IF(AND(ISNUMBER($L32),$L32&gt;=TODAY()),$L32,99999),IF(AND(ISNUMBER($M32),$M32&gt;=TODAY()),$M32,99999),IF(AND(ISNUMBER($N32),$N32&gt;=TODAY()),$N32,99999),IF(AND(ISNUMBER($Q32),$Q32&gt;=TODAY()),$Q32,99999),IF(AND(ISNUMBER($R32),$R32&gt;=TODAY()),$R32,99999),IF(AND(ISNUMBER($S32),$S32&gt;=TODAY()),$S32,99999),IF(AND(ISNUMBER($T32),$T32&gt;=TODAY()),$T32,99999),IF(AND(ISNUMBER($U32),$U32&gt;=TODAY()),$U32,99999),IF(AND(ISNUMBER($V32),$V32&gt;=TODAY()),$V32,99999))=99999,"",MIN(IF(AND(ISNUMBER($L32),$L32&gt;=TODAY()),$L32,99999),IF(AND(ISNUMBER($M32),$M32&gt;=TODAY()),$M32,99999),IF(AND(ISNUMBER($N32),$N32&gt;=TODAY()),$N32,99999),IF(AND(ISNUMBER($Q32),$Q32&gt;=TODAY()),$Q32,99999),IF(AND(ISNUMBER($R32),$R32&gt;=TODAY()),$R32,99999),IF(AND(ISNUMBER($S32),$S32&gt;=TODAY()),$S32,99999),IF(AND(ISNUMBER($T32),$T32&gt;=TODAY()),$T32,99999),IF(AND(ISNUMBER($U32),$U32&gt;=TODAY()),$U32,99999),IF(AND(ISNUMBER($V32),$V32&gt;=TODAY()),$V32,99999))))</f>
        <v/>
      </c>
      <c r="L32" s="27" t="n"/>
      <c r="M32" s="27" t="n"/>
      <c r="N32" s="27" t="n"/>
      <c r="O32" s="27" t="n"/>
      <c r="P32" s="27" t="n"/>
      <c r="Q32" s="27" t="n"/>
      <c r="R32" s="27" t="n"/>
      <c r="S32" s="27" t="n"/>
      <c r="T32" s="27" t="n"/>
      <c r="U32" s="27" t="n"/>
      <c r="V32" s="27" t="n"/>
      <c r="W32" s="27" t="n"/>
      <c r="X32" s="27" t="n"/>
      <c r="Y32" s="27" t="n"/>
      <c r="Z32" s="30" t="n"/>
      <c r="AA32" s="25" t="n"/>
      <c r="AB32" s="28">
        <f>IF(NOT(AND($A32&lt;&gt;"",OR($G32="",$G32="Active"))),"",IF(OR(IF(OR(ISNUMBER($V32),$V32="DNA"),$V32,IF(OR(ISNUMBER($U32),$U32="DNA"),$U32,IF(OR(ISNUMBER($T32),$T32="DNA"),$T32,IF(OR(ISNUMBER($S32),$S32="DNA"),$S32,IF(OR(ISNUMBER($R32),$R32="DNA"),$R32,IF(OR(ISNUMBER($Q32),$Q32="DNA"),$Q32,IF(OR(ISNUMBER($N32),$N32="DNA"),$N32,IF(OR(ISNUMBER($M32),$M32="DNA"),$M32,IF(OR(ISNUMBER($L32),$L32="DNA"),$L32,"")))))))))="DNA",AND(ISNUMBER(IF(OR(ISNUMBER($V32),$V32="DNA"),$V32,IF(OR(ISNUMBER($U32),$U32="DNA"),$U32,IF(OR(ISNUMBER($T32),$T32="DNA"),$T32,IF(OR(ISNUMBER($S32),$S32="DNA"),$S32,IF(OR(ISNUMBER($R32),$R32="DNA"),$R32,IF(OR(ISNUMBER($Q32),$Q32="DNA"),$Q32,IF(OR(ISNUMBER($N32),$N32="DNA"),$N32,IF(OR(ISNUMBER($M32),$M32="DNA"),$M32,IF(OR(ISNUMBER($L32),$L32="DNA"),$L32,"")))))))))),IF(OR(ISNUMBER($V32),$V32="DNA"),$V32,IF(OR(ISNUMBER($U32),$U32="DNA"),$U32,IF(OR(ISNUMBER($T32),$T32="DNA"),$T32,IF(OR(ISNUMBER($S32),$S32="DNA"),$S32,IF(OR(ISNUMBER($R32),$R32="DNA"),$R32,IF(OR(ISNUMBER($Q32),$Q32="DNA"),$Q32,IF(OR(ISNUMBER($N32),$N32="DNA"),$N32,IF(OR(ISNUMBER($M32),$M32="DNA"),$M32,IF(OR(ISNUMBER($L32),$L32="DNA"),$L32,"")))))))))&lt;TODAY())),1,0)+ISNUMBER($O32)*($O32&lt;TODAY())+ISNUMBER($P32)*($P32&lt;TODAY())+ISNUMBER($X32)*($X32&lt;TODAY())+ISNUMBER($Y32)*($Y32&lt;TODAY()))</f>
        <v/>
      </c>
    </row>
    <row r="33">
      <c r="A33" s="25" t="n"/>
      <c r="B33" s="26" t="n"/>
      <c r="C33" s="27" t="n"/>
      <c r="D33" s="25" t="n"/>
      <c r="E33" s="25" t="n"/>
      <c r="F33" s="27" t="n"/>
      <c r="G33" s="25" t="n"/>
      <c r="H33" s="28">
        <f>IF(OR(NOT(AND($A33&lt;&gt;"",OR($G33="",$G33="Active"))),$F33=""),"",INT((TODAY()-$F33+280)/7)&amp;"+"&amp;MOD(TODAY()-$F33+280,7))</f>
        <v/>
      </c>
      <c r="I33" s="28">
        <f>IF(NOT(AND($A33&lt;&gt;"",OR($G33="",$G33="Active"))),"",ISNUMBER($L33)*($L33&gt;=TODAY())*($L33&lt;=TODAY()+7)+ISNUMBER($M33)*($M33&gt;=TODAY())*($M33&lt;=TODAY()+7)+ISNUMBER($N33)*($N33&gt;=TODAY())*($N33&lt;=TODAY()+7)+ISNUMBER($Q33)*($Q33&gt;=TODAY())*($Q33&lt;=TODAY()+7)+ISNUMBER($R33)*($R33&gt;=TODAY())*($R33&lt;=TODAY()+7)+ISNUMBER($S33)*($S33&gt;=TODAY())*($S33&lt;=TODAY()+7)+ISNUMBER($T33)*($T33&gt;=TODAY())*($T33&lt;=TODAY()+7)+ISNUMBER($U33)*($U33&gt;=TODAY())*($U33&lt;=TODAY()+7)+ISNUMBER($V33)*($V33&gt;=TODAY())*($V33&lt;=TODAY()+7)+ISNUMBER($O33)*($O33&gt;=TODAY())*($O33&lt;=TODAY()+7)+ISNUMBER($P33)*($P33&gt;=TODAY())*($P33&lt;=TODAY()+7)+ISNUMBER($X33)*($X33&gt;=TODAY())*($X33&lt;=TODAY()+7)+ISNUMBER($Y33)*($Y33&gt;=TODAY())*($Y33&lt;=TODAY()+7))</f>
        <v/>
      </c>
      <c r="J33" s="28">
        <f>IF(NOT(AND($A33&lt;&gt;"",OR($G33="",$G33="Active"))),"",IF($K33&lt;&gt;"",IF($L33=$K33,"Booking",IF($M33=$K33,"16/40",IF($N33=$K33,"25/40",IF($Q33=$K33,"28/40",IF($R33=$K33,"31/40",IF($S33=$K33,"34/40",IF($T33=$K33,"36/40",IF($U33=$K33,"38/40",IF($V33=$K33,"40/40",""))))))))),IF(IF(OR(ISNUMBER($V33),$V33="DNA"),$V33,IF(OR(ISNUMBER($U33),$U33="DNA"),$U33,IF(OR(ISNUMBER($T33),$T33="DNA"),$T33,IF(OR(ISNUMBER($S33),$S33="DNA"),$S33,IF(OR(ISNUMBER($R33),$R33="DNA"),$R33,IF(OR(ISNUMBER($Q33),$Q33="DNA"),$Q33,IF(OR(ISNUMBER($N33),$N33="DNA"),$N33,IF(OR(ISNUMBER($M33),$M33="DNA"),$M33,IF(OR(ISNUMBER($L33),$L33="DNA"),$L33,"")))))))))="DNA","Rebook DNA",IF(ISNUMBER(IF(OR(ISNUMBER($V33),$V33="DNA"),$V33,IF(OR(ISNUMBER($U33),$U33="DNA"),$U33,IF(OR(ISNUMBER($T33),$T33="DNA"),$T33,IF(OR(ISNUMBER($S33),$S33="DNA"),$S33,IF(OR(ISNUMBER($R33),$R33="DNA"),$R33,IF(OR(ISNUMBER($Q33),$Q33="DNA"),$Q33,IF(OR(ISNUMBER($N33),$N33="DNA"),$N33,IF(OR(ISNUMBER($M33),$M33="DNA"),$M33,IF(OR(ISNUMBER($L33),$L33="DNA"),$L33,"")))))))))),IF(ISNUMBER($V33),"Update status","Missed/not booked?"),""))))</f>
        <v/>
      </c>
      <c r="K33" s="29">
        <f>IF(NOT(AND($A33&lt;&gt;"",OR($G33="",$G33="Active"))),"",IF(MIN(IF(AND(ISNUMBER($L33),$L33&gt;=TODAY()),$L33,99999),IF(AND(ISNUMBER($M33),$M33&gt;=TODAY()),$M33,99999),IF(AND(ISNUMBER($N33),$N33&gt;=TODAY()),$N33,99999),IF(AND(ISNUMBER($Q33),$Q33&gt;=TODAY()),$Q33,99999),IF(AND(ISNUMBER($R33),$R33&gt;=TODAY()),$R33,99999),IF(AND(ISNUMBER($S33),$S33&gt;=TODAY()),$S33,99999),IF(AND(ISNUMBER($T33),$T33&gt;=TODAY()),$T33,99999),IF(AND(ISNUMBER($U33),$U33&gt;=TODAY()),$U33,99999),IF(AND(ISNUMBER($V33),$V33&gt;=TODAY()),$V33,99999))=99999,"",MIN(IF(AND(ISNUMBER($L33),$L33&gt;=TODAY()),$L33,99999),IF(AND(ISNUMBER($M33),$M33&gt;=TODAY()),$M33,99999),IF(AND(ISNUMBER($N33),$N33&gt;=TODAY()),$N33,99999),IF(AND(ISNUMBER($Q33),$Q33&gt;=TODAY()),$Q33,99999),IF(AND(ISNUMBER($R33),$R33&gt;=TODAY()),$R33,99999),IF(AND(ISNUMBER($S33),$S33&gt;=TODAY()),$S33,99999),IF(AND(ISNUMBER($T33),$T33&gt;=TODAY()),$T33,99999),IF(AND(ISNUMBER($U33),$U33&gt;=TODAY()),$U33,99999),IF(AND(ISNUMBER($V33),$V33&gt;=TODAY()),$V33,99999))))</f>
        <v/>
      </c>
      <c r="L33" s="27" t="n"/>
      <c r="M33" s="27" t="n"/>
      <c r="N33" s="27" t="n"/>
      <c r="O33" s="27" t="n"/>
      <c r="P33" s="27" t="n"/>
      <c r="Q33" s="27" t="n"/>
      <c r="R33" s="27" t="n"/>
      <c r="S33" s="27" t="n"/>
      <c r="T33" s="27" t="n"/>
      <c r="U33" s="27" t="n"/>
      <c r="V33" s="27" t="n"/>
      <c r="W33" s="27" t="n"/>
      <c r="X33" s="27" t="n"/>
      <c r="Y33" s="27" t="n"/>
      <c r="Z33" s="30" t="n"/>
      <c r="AA33" s="25" t="n"/>
      <c r="AB33" s="28">
        <f>IF(NOT(AND($A33&lt;&gt;"",OR($G33="",$G33="Active"))),"",IF(OR(IF(OR(ISNUMBER($V33),$V33="DNA"),$V33,IF(OR(ISNUMBER($U33),$U33="DNA"),$U33,IF(OR(ISNUMBER($T33),$T33="DNA"),$T33,IF(OR(ISNUMBER($S33),$S33="DNA"),$S33,IF(OR(ISNUMBER($R33),$R33="DNA"),$R33,IF(OR(ISNUMBER($Q33),$Q33="DNA"),$Q33,IF(OR(ISNUMBER($N33),$N33="DNA"),$N33,IF(OR(ISNUMBER($M33),$M33="DNA"),$M33,IF(OR(ISNUMBER($L33),$L33="DNA"),$L33,"")))))))))="DNA",AND(ISNUMBER(IF(OR(ISNUMBER($V33),$V33="DNA"),$V33,IF(OR(ISNUMBER($U33),$U33="DNA"),$U33,IF(OR(ISNUMBER($T33),$T33="DNA"),$T33,IF(OR(ISNUMBER($S33),$S33="DNA"),$S33,IF(OR(ISNUMBER($R33),$R33="DNA"),$R33,IF(OR(ISNUMBER($Q33),$Q33="DNA"),$Q33,IF(OR(ISNUMBER($N33),$N33="DNA"),$N33,IF(OR(ISNUMBER($M33),$M33="DNA"),$M33,IF(OR(ISNUMBER($L33),$L33="DNA"),$L33,"")))))))))),IF(OR(ISNUMBER($V33),$V33="DNA"),$V33,IF(OR(ISNUMBER($U33),$U33="DNA"),$U33,IF(OR(ISNUMBER($T33),$T33="DNA"),$T33,IF(OR(ISNUMBER($S33),$S33="DNA"),$S33,IF(OR(ISNUMBER($R33),$R33="DNA"),$R33,IF(OR(ISNUMBER($Q33),$Q33="DNA"),$Q33,IF(OR(ISNUMBER($N33),$N33="DNA"),$N33,IF(OR(ISNUMBER($M33),$M33="DNA"),$M33,IF(OR(ISNUMBER($L33),$L33="DNA"),$L33,"")))))))))&lt;TODAY())),1,0)+ISNUMBER($O33)*($O33&lt;TODAY())+ISNUMBER($P33)*($P33&lt;TODAY())+ISNUMBER($X33)*($X33&lt;TODAY())+ISNUMBER($Y33)*($Y33&lt;TODAY()))</f>
        <v/>
      </c>
    </row>
    <row r="34">
      <c r="A34" s="25" t="n"/>
      <c r="B34" s="26" t="n"/>
      <c r="C34" s="27" t="n"/>
      <c r="D34" s="25" t="n"/>
      <c r="E34" s="25" t="n"/>
      <c r="F34" s="27" t="n"/>
      <c r="G34" s="25" t="n"/>
      <c r="H34" s="28">
        <f>IF(OR(NOT(AND($A34&lt;&gt;"",OR($G34="",$G34="Active"))),$F34=""),"",INT((TODAY()-$F34+280)/7)&amp;"+"&amp;MOD(TODAY()-$F34+280,7))</f>
        <v/>
      </c>
      <c r="I34" s="28">
        <f>IF(NOT(AND($A34&lt;&gt;"",OR($G34="",$G34="Active"))),"",ISNUMBER($L34)*($L34&gt;=TODAY())*($L34&lt;=TODAY()+7)+ISNUMBER($M34)*($M34&gt;=TODAY())*($M34&lt;=TODAY()+7)+ISNUMBER($N34)*($N34&gt;=TODAY())*($N34&lt;=TODAY()+7)+ISNUMBER($Q34)*($Q34&gt;=TODAY())*($Q34&lt;=TODAY()+7)+ISNUMBER($R34)*($R34&gt;=TODAY())*($R34&lt;=TODAY()+7)+ISNUMBER($S34)*($S34&gt;=TODAY())*($S34&lt;=TODAY()+7)+ISNUMBER($T34)*($T34&gt;=TODAY())*($T34&lt;=TODAY()+7)+ISNUMBER($U34)*($U34&gt;=TODAY())*($U34&lt;=TODAY()+7)+ISNUMBER($V34)*($V34&gt;=TODAY())*($V34&lt;=TODAY()+7)+ISNUMBER($O34)*($O34&gt;=TODAY())*($O34&lt;=TODAY()+7)+ISNUMBER($P34)*($P34&gt;=TODAY())*($P34&lt;=TODAY()+7)+ISNUMBER($X34)*($X34&gt;=TODAY())*($X34&lt;=TODAY()+7)+ISNUMBER($Y34)*($Y34&gt;=TODAY())*($Y34&lt;=TODAY()+7))</f>
        <v/>
      </c>
      <c r="J34" s="28">
        <f>IF(NOT(AND($A34&lt;&gt;"",OR($G34="",$G34="Active"))),"",IF($K34&lt;&gt;"",IF($L34=$K34,"Booking",IF($M34=$K34,"16/40",IF($N34=$K34,"25/40",IF($Q34=$K34,"28/40",IF($R34=$K34,"31/40",IF($S34=$K34,"34/40",IF($T34=$K34,"36/40",IF($U34=$K34,"38/40",IF($V34=$K34,"40/40",""))))))))),IF(IF(OR(ISNUMBER($V34),$V34="DNA"),$V34,IF(OR(ISNUMBER($U34),$U34="DNA"),$U34,IF(OR(ISNUMBER($T34),$T34="DNA"),$T34,IF(OR(ISNUMBER($S34),$S34="DNA"),$S34,IF(OR(ISNUMBER($R34),$R34="DNA"),$R34,IF(OR(ISNUMBER($Q34),$Q34="DNA"),$Q34,IF(OR(ISNUMBER($N34),$N34="DNA"),$N34,IF(OR(ISNUMBER($M34),$M34="DNA"),$M34,IF(OR(ISNUMBER($L34),$L34="DNA"),$L34,"")))))))))="DNA","Rebook DNA",IF(ISNUMBER(IF(OR(ISNUMBER($V34),$V34="DNA"),$V34,IF(OR(ISNUMBER($U34),$U34="DNA"),$U34,IF(OR(ISNUMBER($T34),$T34="DNA"),$T34,IF(OR(ISNUMBER($S34),$S34="DNA"),$S34,IF(OR(ISNUMBER($R34),$R34="DNA"),$R34,IF(OR(ISNUMBER($Q34),$Q34="DNA"),$Q34,IF(OR(ISNUMBER($N34),$N34="DNA"),$N34,IF(OR(ISNUMBER($M34),$M34="DNA"),$M34,IF(OR(ISNUMBER($L34),$L34="DNA"),$L34,"")))))))))),IF(ISNUMBER($V34),"Update status","Missed/not booked?"),""))))</f>
        <v/>
      </c>
      <c r="K34" s="29">
        <f>IF(NOT(AND($A34&lt;&gt;"",OR($G34="",$G34="Active"))),"",IF(MIN(IF(AND(ISNUMBER($L34),$L34&gt;=TODAY()),$L34,99999),IF(AND(ISNUMBER($M34),$M34&gt;=TODAY()),$M34,99999),IF(AND(ISNUMBER($N34),$N34&gt;=TODAY()),$N34,99999),IF(AND(ISNUMBER($Q34),$Q34&gt;=TODAY()),$Q34,99999),IF(AND(ISNUMBER($R34),$R34&gt;=TODAY()),$R34,99999),IF(AND(ISNUMBER($S34),$S34&gt;=TODAY()),$S34,99999),IF(AND(ISNUMBER($T34),$T34&gt;=TODAY()),$T34,99999),IF(AND(ISNUMBER($U34),$U34&gt;=TODAY()),$U34,99999),IF(AND(ISNUMBER($V34),$V34&gt;=TODAY()),$V34,99999))=99999,"",MIN(IF(AND(ISNUMBER($L34),$L34&gt;=TODAY()),$L34,99999),IF(AND(ISNUMBER($M34),$M34&gt;=TODAY()),$M34,99999),IF(AND(ISNUMBER($N34),$N34&gt;=TODAY()),$N34,99999),IF(AND(ISNUMBER($Q34),$Q34&gt;=TODAY()),$Q34,99999),IF(AND(ISNUMBER($R34),$R34&gt;=TODAY()),$R34,99999),IF(AND(ISNUMBER($S34),$S34&gt;=TODAY()),$S34,99999),IF(AND(ISNUMBER($T34),$T34&gt;=TODAY()),$T34,99999),IF(AND(ISNUMBER($U34),$U34&gt;=TODAY()),$U34,99999),IF(AND(ISNUMBER($V34),$V34&gt;=TODAY()),$V34,99999))))</f>
        <v/>
      </c>
      <c r="L34" s="27" t="n"/>
      <c r="M34" s="27" t="n"/>
      <c r="N34" s="27" t="n"/>
      <c r="O34" s="27" t="n"/>
      <c r="P34" s="27" t="n"/>
      <c r="Q34" s="27" t="n"/>
      <c r="R34" s="27" t="n"/>
      <c r="S34" s="27" t="n"/>
      <c r="T34" s="27" t="n"/>
      <c r="U34" s="27" t="n"/>
      <c r="V34" s="27" t="n"/>
      <c r="W34" s="27" t="n"/>
      <c r="X34" s="27" t="n"/>
      <c r="Y34" s="27" t="n"/>
      <c r="Z34" s="30" t="n"/>
      <c r="AA34" s="25" t="n"/>
      <c r="AB34" s="28">
        <f>IF(NOT(AND($A34&lt;&gt;"",OR($G34="",$G34="Active"))),"",IF(OR(IF(OR(ISNUMBER($V34),$V34="DNA"),$V34,IF(OR(ISNUMBER($U34),$U34="DNA"),$U34,IF(OR(ISNUMBER($T34),$T34="DNA"),$T34,IF(OR(ISNUMBER($S34),$S34="DNA"),$S34,IF(OR(ISNUMBER($R34),$R34="DNA"),$R34,IF(OR(ISNUMBER($Q34),$Q34="DNA"),$Q34,IF(OR(ISNUMBER($N34),$N34="DNA"),$N34,IF(OR(ISNUMBER($M34),$M34="DNA"),$M34,IF(OR(ISNUMBER($L34),$L34="DNA"),$L34,"")))))))))="DNA",AND(ISNUMBER(IF(OR(ISNUMBER($V34),$V34="DNA"),$V34,IF(OR(ISNUMBER($U34),$U34="DNA"),$U34,IF(OR(ISNUMBER($T34),$T34="DNA"),$T34,IF(OR(ISNUMBER($S34),$S34="DNA"),$S34,IF(OR(ISNUMBER($R34),$R34="DNA"),$R34,IF(OR(ISNUMBER($Q34),$Q34="DNA"),$Q34,IF(OR(ISNUMBER($N34),$N34="DNA"),$N34,IF(OR(ISNUMBER($M34),$M34="DNA"),$M34,IF(OR(ISNUMBER($L34),$L34="DNA"),$L34,"")))))))))),IF(OR(ISNUMBER($V34),$V34="DNA"),$V34,IF(OR(ISNUMBER($U34),$U34="DNA"),$U34,IF(OR(ISNUMBER($T34),$T34="DNA"),$T34,IF(OR(ISNUMBER($S34),$S34="DNA"),$S34,IF(OR(ISNUMBER($R34),$R34="DNA"),$R34,IF(OR(ISNUMBER($Q34),$Q34="DNA"),$Q34,IF(OR(ISNUMBER($N34),$N34="DNA"),$N34,IF(OR(ISNUMBER($M34),$M34="DNA"),$M34,IF(OR(ISNUMBER($L34),$L34="DNA"),$L34,"")))))))))&lt;TODAY())),1,0)+ISNUMBER($O34)*($O34&lt;TODAY())+ISNUMBER($P34)*($P34&lt;TODAY())+ISNUMBER($X34)*($X34&lt;TODAY())+ISNUMBER($Y34)*($Y34&lt;TODAY()))</f>
        <v/>
      </c>
    </row>
    <row r="35">
      <c r="A35" s="25" t="n"/>
      <c r="B35" s="26" t="n"/>
      <c r="C35" s="27" t="n"/>
      <c r="D35" s="25" t="n"/>
      <c r="E35" s="25" t="n"/>
      <c r="F35" s="27" t="n"/>
      <c r="G35" s="25" t="n"/>
      <c r="H35" s="28">
        <f>IF(OR(NOT(AND($A35&lt;&gt;"",OR($G35="",$G35="Active"))),$F35=""),"",INT((TODAY()-$F35+280)/7)&amp;"+"&amp;MOD(TODAY()-$F35+280,7))</f>
        <v/>
      </c>
      <c r="I35" s="28">
        <f>IF(NOT(AND($A35&lt;&gt;"",OR($G35="",$G35="Active"))),"",ISNUMBER($L35)*($L35&gt;=TODAY())*($L35&lt;=TODAY()+7)+ISNUMBER($M35)*($M35&gt;=TODAY())*($M35&lt;=TODAY()+7)+ISNUMBER($N35)*($N35&gt;=TODAY())*($N35&lt;=TODAY()+7)+ISNUMBER($Q35)*($Q35&gt;=TODAY())*($Q35&lt;=TODAY()+7)+ISNUMBER($R35)*($R35&gt;=TODAY())*($R35&lt;=TODAY()+7)+ISNUMBER($S35)*($S35&gt;=TODAY())*($S35&lt;=TODAY()+7)+ISNUMBER($T35)*($T35&gt;=TODAY())*($T35&lt;=TODAY()+7)+ISNUMBER($U35)*($U35&gt;=TODAY())*($U35&lt;=TODAY()+7)+ISNUMBER($V35)*($V35&gt;=TODAY())*($V35&lt;=TODAY()+7)+ISNUMBER($O35)*($O35&gt;=TODAY())*($O35&lt;=TODAY()+7)+ISNUMBER($P35)*($P35&gt;=TODAY())*($P35&lt;=TODAY()+7)+ISNUMBER($X35)*($X35&gt;=TODAY())*($X35&lt;=TODAY()+7)+ISNUMBER($Y35)*($Y35&gt;=TODAY())*($Y35&lt;=TODAY()+7))</f>
        <v/>
      </c>
      <c r="J35" s="28">
        <f>IF(NOT(AND($A35&lt;&gt;"",OR($G35="",$G35="Active"))),"",IF($K35&lt;&gt;"",IF($L35=$K35,"Booking",IF($M35=$K35,"16/40",IF($N35=$K35,"25/40",IF($Q35=$K35,"28/40",IF($R35=$K35,"31/40",IF($S35=$K35,"34/40",IF($T35=$K35,"36/40",IF($U35=$K35,"38/40",IF($V35=$K35,"40/40",""))))))))),IF(IF(OR(ISNUMBER($V35),$V35="DNA"),$V35,IF(OR(ISNUMBER($U35),$U35="DNA"),$U35,IF(OR(ISNUMBER($T35),$T35="DNA"),$T35,IF(OR(ISNUMBER($S35),$S35="DNA"),$S35,IF(OR(ISNUMBER($R35),$R35="DNA"),$R35,IF(OR(ISNUMBER($Q35),$Q35="DNA"),$Q35,IF(OR(ISNUMBER($N35),$N35="DNA"),$N35,IF(OR(ISNUMBER($M35),$M35="DNA"),$M35,IF(OR(ISNUMBER($L35),$L35="DNA"),$L35,"")))))))))="DNA","Rebook DNA",IF(ISNUMBER(IF(OR(ISNUMBER($V35),$V35="DNA"),$V35,IF(OR(ISNUMBER($U35),$U35="DNA"),$U35,IF(OR(ISNUMBER($T35),$T35="DNA"),$T35,IF(OR(ISNUMBER($S35),$S35="DNA"),$S35,IF(OR(ISNUMBER($R35),$R35="DNA"),$R35,IF(OR(ISNUMBER($Q35),$Q35="DNA"),$Q35,IF(OR(ISNUMBER($N35),$N35="DNA"),$N35,IF(OR(ISNUMBER($M35),$M35="DNA"),$M35,IF(OR(ISNUMBER($L35),$L35="DNA"),$L35,"")))))))))),IF(ISNUMBER($V35),"Update status","Missed/not booked?"),""))))</f>
        <v/>
      </c>
      <c r="K35" s="29">
        <f>IF(NOT(AND($A35&lt;&gt;"",OR($G35="",$G35="Active"))),"",IF(MIN(IF(AND(ISNUMBER($L35),$L35&gt;=TODAY()),$L35,99999),IF(AND(ISNUMBER($M35),$M35&gt;=TODAY()),$M35,99999),IF(AND(ISNUMBER($N35),$N35&gt;=TODAY()),$N35,99999),IF(AND(ISNUMBER($Q35),$Q35&gt;=TODAY()),$Q35,99999),IF(AND(ISNUMBER($R35),$R35&gt;=TODAY()),$R35,99999),IF(AND(ISNUMBER($S35),$S35&gt;=TODAY()),$S35,99999),IF(AND(ISNUMBER($T35),$T35&gt;=TODAY()),$T35,99999),IF(AND(ISNUMBER($U35),$U35&gt;=TODAY()),$U35,99999),IF(AND(ISNUMBER($V35),$V35&gt;=TODAY()),$V35,99999))=99999,"",MIN(IF(AND(ISNUMBER($L35),$L35&gt;=TODAY()),$L35,99999),IF(AND(ISNUMBER($M35),$M35&gt;=TODAY()),$M35,99999),IF(AND(ISNUMBER($N35),$N35&gt;=TODAY()),$N35,99999),IF(AND(ISNUMBER($Q35),$Q35&gt;=TODAY()),$Q35,99999),IF(AND(ISNUMBER($R35),$R35&gt;=TODAY()),$R35,99999),IF(AND(ISNUMBER($S35),$S35&gt;=TODAY()),$S35,99999),IF(AND(ISNUMBER($T35),$T35&gt;=TODAY()),$T35,99999),IF(AND(ISNUMBER($U35),$U35&gt;=TODAY()),$U35,99999),IF(AND(ISNUMBER($V35),$V35&gt;=TODAY()),$V35,99999))))</f>
        <v/>
      </c>
      <c r="L35" s="27" t="n"/>
      <c r="M35" s="27" t="n"/>
      <c r="N35" s="27" t="n"/>
      <c r="O35" s="27" t="n"/>
      <c r="P35" s="27" t="n"/>
      <c r="Q35" s="27" t="n"/>
      <c r="R35" s="27" t="n"/>
      <c r="S35" s="27" t="n"/>
      <c r="T35" s="27" t="n"/>
      <c r="U35" s="27" t="n"/>
      <c r="V35" s="27" t="n"/>
      <c r="W35" s="27" t="n"/>
      <c r="X35" s="27" t="n"/>
      <c r="Y35" s="27" t="n"/>
      <c r="Z35" s="30" t="n"/>
      <c r="AA35" s="25" t="n"/>
      <c r="AB35" s="28">
        <f>IF(NOT(AND($A35&lt;&gt;"",OR($G35="",$G35="Active"))),"",IF(OR(IF(OR(ISNUMBER($V35),$V35="DNA"),$V35,IF(OR(ISNUMBER($U35),$U35="DNA"),$U35,IF(OR(ISNUMBER($T35),$T35="DNA"),$T35,IF(OR(ISNUMBER($S35),$S35="DNA"),$S35,IF(OR(ISNUMBER($R35),$R35="DNA"),$R35,IF(OR(ISNUMBER($Q35),$Q35="DNA"),$Q35,IF(OR(ISNUMBER($N35),$N35="DNA"),$N35,IF(OR(ISNUMBER($M35),$M35="DNA"),$M35,IF(OR(ISNUMBER($L35),$L35="DNA"),$L35,"")))))))))="DNA",AND(ISNUMBER(IF(OR(ISNUMBER($V35),$V35="DNA"),$V35,IF(OR(ISNUMBER($U35),$U35="DNA"),$U35,IF(OR(ISNUMBER($T35),$T35="DNA"),$T35,IF(OR(ISNUMBER($S35),$S35="DNA"),$S35,IF(OR(ISNUMBER($R35),$R35="DNA"),$R35,IF(OR(ISNUMBER($Q35),$Q35="DNA"),$Q35,IF(OR(ISNUMBER($N35),$N35="DNA"),$N35,IF(OR(ISNUMBER($M35),$M35="DNA"),$M35,IF(OR(ISNUMBER($L35),$L35="DNA"),$L35,"")))))))))),IF(OR(ISNUMBER($V35),$V35="DNA"),$V35,IF(OR(ISNUMBER($U35),$U35="DNA"),$U35,IF(OR(ISNUMBER($T35),$T35="DNA"),$T35,IF(OR(ISNUMBER($S35),$S35="DNA"),$S35,IF(OR(ISNUMBER($R35),$R35="DNA"),$R35,IF(OR(ISNUMBER($Q35),$Q35="DNA"),$Q35,IF(OR(ISNUMBER($N35),$N35="DNA"),$N35,IF(OR(ISNUMBER($M35),$M35="DNA"),$M35,IF(OR(ISNUMBER($L35),$L35="DNA"),$L35,"")))))))))&lt;TODAY())),1,0)+ISNUMBER($O35)*($O35&lt;TODAY())+ISNUMBER($P35)*($P35&lt;TODAY())+ISNUMBER($X35)*($X35&lt;TODAY())+ISNUMBER($Y35)*($Y35&lt;TODAY()))</f>
        <v/>
      </c>
    </row>
    <row r="36">
      <c r="A36" s="25" t="n"/>
      <c r="B36" s="26" t="n"/>
      <c r="C36" s="27" t="n"/>
      <c r="D36" s="25" t="n"/>
      <c r="E36" s="25" t="n"/>
      <c r="F36" s="27" t="n"/>
      <c r="G36" s="25" t="n"/>
      <c r="H36" s="28">
        <f>IF(OR(NOT(AND($A36&lt;&gt;"",OR($G36="",$G36="Active"))),$F36=""),"",INT((TODAY()-$F36+280)/7)&amp;"+"&amp;MOD(TODAY()-$F36+280,7))</f>
        <v/>
      </c>
      <c r="I36" s="28">
        <f>IF(NOT(AND($A36&lt;&gt;"",OR($G36="",$G36="Active"))),"",ISNUMBER($L36)*($L36&gt;=TODAY())*($L36&lt;=TODAY()+7)+ISNUMBER($M36)*($M36&gt;=TODAY())*($M36&lt;=TODAY()+7)+ISNUMBER($N36)*($N36&gt;=TODAY())*($N36&lt;=TODAY()+7)+ISNUMBER($Q36)*($Q36&gt;=TODAY())*($Q36&lt;=TODAY()+7)+ISNUMBER($R36)*($R36&gt;=TODAY())*($R36&lt;=TODAY()+7)+ISNUMBER($S36)*($S36&gt;=TODAY())*($S36&lt;=TODAY()+7)+ISNUMBER($T36)*($T36&gt;=TODAY())*($T36&lt;=TODAY()+7)+ISNUMBER($U36)*($U36&gt;=TODAY())*($U36&lt;=TODAY()+7)+ISNUMBER($V36)*($V36&gt;=TODAY())*($V36&lt;=TODAY()+7)+ISNUMBER($O36)*($O36&gt;=TODAY())*($O36&lt;=TODAY()+7)+ISNUMBER($P36)*($P36&gt;=TODAY())*($P36&lt;=TODAY()+7)+ISNUMBER($X36)*($X36&gt;=TODAY())*($X36&lt;=TODAY()+7)+ISNUMBER($Y36)*($Y36&gt;=TODAY())*($Y36&lt;=TODAY()+7))</f>
        <v/>
      </c>
      <c r="J36" s="28">
        <f>IF(NOT(AND($A36&lt;&gt;"",OR($G36="",$G36="Active"))),"",IF($K36&lt;&gt;"",IF($L36=$K36,"Booking",IF($M36=$K36,"16/40",IF($N36=$K36,"25/40",IF($Q36=$K36,"28/40",IF($R36=$K36,"31/40",IF($S36=$K36,"34/40",IF($T36=$K36,"36/40",IF($U36=$K36,"38/40",IF($V36=$K36,"40/40",""))))))))),IF(IF(OR(ISNUMBER($V36),$V36="DNA"),$V36,IF(OR(ISNUMBER($U36),$U36="DNA"),$U36,IF(OR(ISNUMBER($T36),$T36="DNA"),$T36,IF(OR(ISNUMBER($S36),$S36="DNA"),$S36,IF(OR(ISNUMBER($R36),$R36="DNA"),$R36,IF(OR(ISNUMBER($Q36),$Q36="DNA"),$Q36,IF(OR(ISNUMBER($N36),$N36="DNA"),$N36,IF(OR(ISNUMBER($M36),$M36="DNA"),$M36,IF(OR(ISNUMBER($L36),$L36="DNA"),$L36,"")))))))))="DNA","Rebook DNA",IF(ISNUMBER(IF(OR(ISNUMBER($V36),$V36="DNA"),$V36,IF(OR(ISNUMBER($U36),$U36="DNA"),$U36,IF(OR(ISNUMBER($T36),$T36="DNA"),$T36,IF(OR(ISNUMBER($S36),$S36="DNA"),$S36,IF(OR(ISNUMBER($R36),$R36="DNA"),$R36,IF(OR(ISNUMBER($Q36),$Q36="DNA"),$Q36,IF(OR(ISNUMBER($N36),$N36="DNA"),$N36,IF(OR(ISNUMBER($M36),$M36="DNA"),$M36,IF(OR(ISNUMBER($L36),$L36="DNA"),$L36,"")))))))))),IF(ISNUMBER($V36),"Update status","Missed/not booked?"),""))))</f>
        <v/>
      </c>
      <c r="K36" s="29">
        <f>IF(NOT(AND($A36&lt;&gt;"",OR($G36="",$G36="Active"))),"",IF(MIN(IF(AND(ISNUMBER($L36),$L36&gt;=TODAY()),$L36,99999),IF(AND(ISNUMBER($M36),$M36&gt;=TODAY()),$M36,99999),IF(AND(ISNUMBER($N36),$N36&gt;=TODAY()),$N36,99999),IF(AND(ISNUMBER($Q36),$Q36&gt;=TODAY()),$Q36,99999),IF(AND(ISNUMBER($R36),$R36&gt;=TODAY()),$R36,99999),IF(AND(ISNUMBER($S36),$S36&gt;=TODAY()),$S36,99999),IF(AND(ISNUMBER($T36),$T36&gt;=TODAY()),$T36,99999),IF(AND(ISNUMBER($U36),$U36&gt;=TODAY()),$U36,99999),IF(AND(ISNUMBER($V36),$V36&gt;=TODAY()),$V36,99999))=99999,"",MIN(IF(AND(ISNUMBER($L36),$L36&gt;=TODAY()),$L36,99999),IF(AND(ISNUMBER($M36),$M36&gt;=TODAY()),$M36,99999),IF(AND(ISNUMBER($N36),$N36&gt;=TODAY()),$N36,99999),IF(AND(ISNUMBER($Q36),$Q36&gt;=TODAY()),$Q36,99999),IF(AND(ISNUMBER($R36),$R36&gt;=TODAY()),$R36,99999),IF(AND(ISNUMBER($S36),$S36&gt;=TODAY()),$S36,99999),IF(AND(ISNUMBER($T36),$T36&gt;=TODAY()),$T36,99999),IF(AND(ISNUMBER($U36),$U36&gt;=TODAY()),$U36,99999),IF(AND(ISNUMBER($V36),$V36&gt;=TODAY()),$V36,99999))))</f>
        <v/>
      </c>
      <c r="L36" s="27" t="n"/>
      <c r="M36" s="27" t="n"/>
      <c r="N36" s="27" t="n"/>
      <c r="O36" s="27" t="n"/>
      <c r="P36" s="27" t="n"/>
      <c r="Q36" s="27" t="n"/>
      <c r="R36" s="27" t="n"/>
      <c r="S36" s="27" t="n"/>
      <c r="T36" s="27" t="n"/>
      <c r="U36" s="27" t="n"/>
      <c r="V36" s="27" t="n"/>
      <c r="W36" s="27" t="n"/>
      <c r="X36" s="27" t="n"/>
      <c r="Y36" s="27" t="n"/>
      <c r="Z36" s="30" t="n"/>
      <c r="AA36" s="25" t="n"/>
      <c r="AB36" s="28">
        <f>IF(NOT(AND($A36&lt;&gt;"",OR($G36="",$G36="Active"))),"",IF(OR(IF(OR(ISNUMBER($V36),$V36="DNA"),$V36,IF(OR(ISNUMBER($U36),$U36="DNA"),$U36,IF(OR(ISNUMBER($T36),$T36="DNA"),$T36,IF(OR(ISNUMBER($S36),$S36="DNA"),$S36,IF(OR(ISNUMBER($R36),$R36="DNA"),$R36,IF(OR(ISNUMBER($Q36),$Q36="DNA"),$Q36,IF(OR(ISNUMBER($N36),$N36="DNA"),$N36,IF(OR(ISNUMBER($M36),$M36="DNA"),$M36,IF(OR(ISNUMBER($L36),$L36="DNA"),$L36,"")))))))))="DNA",AND(ISNUMBER(IF(OR(ISNUMBER($V36),$V36="DNA"),$V36,IF(OR(ISNUMBER($U36),$U36="DNA"),$U36,IF(OR(ISNUMBER($T36),$T36="DNA"),$T36,IF(OR(ISNUMBER($S36),$S36="DNA"),$S36,IF(OR(ISNUMBER($R36),$R36="DNA"),$R36,IF(OR(ISNUMBER($Q36),$Q36="DNA"),$Q36,IF(OR(ISNUMBER($N36),$N36="DNA"),$N36,IF(OR(ISNUMBER($M36),$M36="DNA"),$M36,IF(OR(ISNUMBER($L36),$L36="DNA"),$L36,"")))))))))),IF(OR(ISNUMBER($V36),$V36="DNA"),$V36,IF(OR(ISNUMBER($U36),$U36="DNA"),$U36,IF(OR(ISNUMBER($T36),$T36="DNA"),$T36,IF(OR(ISNUMBER($S36),$S36="DNA"),$S36,IF(OR(ISNUMBER($R36),$R36="DNA"),$R36,IF(OR(ISNUMBER($Q36),$Q36="DNA"),$Q36,IF(OR(ISNUMBER($N36),$N36="DNA"),$N36,IF(OR(ISNUMBER($M36),$M36="DNA"),$M36,IF(OR(ISNUMBER($L36),$L36="DNA"),$L36,"")))))))))&lt;TODAY())),1,0)+ISNUMBER($O36)*($O36&lt;TODAY())+ISNUMBER($P36)*($P36&lt;TODAY())+ISNUMBER($X36)*($X36&lt;TODAY())+ISNUMBER($Y36)*($Y36&lt;TODAY()))</f>
        <v/>
      </c>
    </row>
    <row r="37">
      <c r="A37" s="25" t="n"/>
      <c r="B37" s="26" t="n"/>
      <c r="C37" s="27" t="n"/>
      <c r="D37" s="25" t="n"/>
      <c r="E37" s="25" t="n"/>
      <c r="F37" s="27" t="n"/>
      <c r="G37" s="25" t="n"/>
      <c r="H37" s="28">
        <f>IF(OR(NOT(AND($A37&lt;&gt;"",OR($G37="",$G37="Active"))),$F37=""),"",INT((TODAY()-$F37+280)/7)&amp;"+"&amp;MOD(TODAY()-$F37+280,7))</f>
        <v/>
      </c>
      <c r="I37" s="28">
        <f>IF(NOT(AND($A37&lt;&gt;"",OR($G37="",$G37="Active"))),"",ISNUMBER($L37)*($L37&gt;=TODAY())*($L37&lt;=TODAY()+7)+ISNUMBER($M37)*($M37&gt;=TODAY())*($M37&lt;=TODAY()+7)+ISNUMBER($N37)*($N37&gt;=TODAY())*($N37&lt;=TODAY()+7)+ISNUMBER($Q37)*($Q37&gt;=TODAY())*($Q37&lt;=TODAY()+7)+ISNUMBER($R37)*($R37&gt;=TODAY())*($R37&lt;=TODAY()+7)+ISNUMBER($S37)*($S37&gt;=TODAY())*($S37&lt;=TODAY()+7)+ISNUMBER($T37)*($T37&gt;=TODAY())*($T37&lt;=TODAY()+7)+ISNUMBER($U37)*($U37&gt;=TODAY())*($U37&lt;=TODAY()+7)+ISNUMBER($V37)*($V37&gt;=TODAY())*($V37&lt;=TODAY()+7)+ISNUMBER($O37)*($O37&gt;=TODAY())*($O37&lt;=TODAY()+7)+ISNUMBER($P37)*($P37&gt;=TODAY())*($P37&lt;=TODAY()+7)+ISNUMBER($X37)*($X37&gt;=TODAY())*($X37&lt;=TODAY()+7)+ISNUMBER($Y37)*($Y37&gt;=TODAY())*($Y37&lt;=TODAY()+7))</f>
        <v/>
      </c>
      <c r="J37" s="28">
        <f>IF(NOT(AND($A37&lt;&gt;"",OR($G37="",$G37="Active"))),"",IF($K37&lt;&gt;"",IF($L37=$K37,"Booking",IF($M37=$K37,"16/40",IF($N37=$K37,"25/40",IF($Q37=$K37,"28/40",IF($R37=$K37,"31/40",IF($S37=$K37,"34/40",IF($T37=$K37,"36/40",IF($U37=$K37,"38/40",IF($V37=$K37,"40/40",""))))))))),IF(IF(OR(ISNUMBER($V37),$V37="DNA"),$V37,IF(OR(ISNUMBER($U37),$U37="DNA"),$U37,IF(OR(ISNUMBER($T37),$T37="DNA"),$T37,IF(OR(ISNUMBER($S37),$S37="DNA"),$S37,IF(OR(ISNUMBER($R37),$R37="DNA"),$R37,IF(OR(ISNUMBER($Q37),$Q37="DNA"),$Q37,IF(OR(ISNUMBER($N37),$N37="DNA"),$N37,IF(OR(ISNUMBER($M37),$M37="DNA"),$M37,IF(OR(ISNUMBER($L37),$L37="DNA"),$L37,"")))))))))="DNA","Rebook DNA",IF(ISNUMBER(IF(OR(ISNUMBER($V37),$V37="DNA"),$V37,IF(OR(ISNUMBER($U37),$U37="DNA"),$U37,IF(OR(ISNUMBER($T37),$T37="DNA"),$T37,IF(OR(ISNUMBER($S37),$S37="DNA"),$S37,IF(OR(ISNUMBER($R37),$R37="DNA"),$R37,IF(OR(ISNUMBER($Q37),$Q37="DNA"),$Q37,IF(OR(ISNUMBER($N37),$N37="DNA"),$N37,IF(OR(ISNUMBER($M37),$M37="DNA"),$M37,IF(OR(ISNUMBER($L37),$L37="DNA"),$L37,"")))))))))),IF(ISNUMBER($V37),"Update status","Missed/not booked?"),""))))</f>
        <v/>
      </c>
      <c r="K37" s="29">
        <f>IF(NOT(AND($A37&lt;&gt;"",OR($G37="",$G37="Active"))),"",IF(MIN(IF(AND(ISNUMBER($L37),$L37&gt;=TODAY()),$L37,99999),IF(AND(ISNUMBER($M37),$M37&gt;=TODAY()),$M37,99999),IF(AND(ISNUMBER($N37),$N37&gt;=TODAY()),$N37,99999),IF(AND(ISNUMBER($Q37),$Q37&gt;=TODAY()),$Q37,99999),IF(AND(ISNUMBER($R37),$R37&gt;=TODAY()),$R37,99999),IF(AND(ISNUMBER($S37),$S37&gt;=TODAY()),$S37,99999),IF(AND(ISNUMBER($T37),$T37&gt;=TODAY()),$T37,99999),IF(AND(ISNUMBER($U37),$U37&gt;=TODAY()),$U37,99999),IF(AND(ISNUMBER($V37),$V37&gt;=TODAY()),$V37,99999))=99999,"",MIN(IF(AND(ISNUMBER($L37),$L37&gt;=TODAY()),$L37,99999),IF(AND(ISNUMBER($M37),$M37&gt;=TODAY()),$M37,99999),IF(AND(ISNUMBER($N37),$N37&gt;=TODAY()),$N37,99999),IF(AND(ISNUMBER($Q37),$Q37&gt;=TODAY()),$Q37,99999),IF(AND(ISNUMBER($R37),$R37&gt;=TODAY()),$R37,99999),IF(AND(ISNUMBER($S37),$S37&gt;=TODAY()),$S37,99999),IF(AND(ISNUMBER($T37),$T37&gt;=TODAY()),$T37,99999),IF(AND(ISNUMBER($U37),$U37&gt;=TODAY()),$U37,99999),IF(AND(ISNUMBER($V37),$V37&gt;=TODAY()),$V37,99999))))</f>
        <v/>
      </c>
      <c r="L37" s="27" t="n"/>
      <c r="M37" s="27" t="n"/>
      <c r="N37" s="27" t="n"/>
      <c r="O37" s="27" t="n"/>
      <c r="P37" s="27" t="n"/>
      <c r="Q37" s="27" t="n"/>
      <c r="R37" s="27" t="n"/>
      <c r="S37" s="27" t="n"/>
      <c r="T37" s="27" t="n"/>
      <c r="U37" s="27" t="n"/>
      <c r="V37" s="27" t="n"/>
      <c r="W37" s="27" t="n"/>
      <c r="X37" s="27" t="n"/>
      <c r="Y37" s="27" t="n"/>
      <c r="Z37" s="30" t="n"/>
      <c r="AA37" s="25" t="n"/>
      <c r="AB37" s="28">
        <f>IF(NOT(AND($A37&lt;&gt;"",OR($G37="",$G37="Active"))),"",IF(OR(IF(OR(ISNUMBER($V37),$V37="DNA"),$V37,IF(OR(ISNUMBER($U37),$U37="DNA"),$U37,IF(OR(ISNUMBER($T37),$T37="DNA"),$T37,IF(OR(ISNUMBER($S37),$S37="DNA"),$S37,IF(OR(ISNUMBER($R37),$R37="DNA"),$R37,IF(OR(ISNUMBER($Q37),$Q37="DNA"),$Q37,IF(OR(ISNUMBER($N37),$N37="DNA"),$N37,IF(OR(ISNUMBER($M37),$M37="DNA"),$M37,IF(OR(ISNUMBER($L37),$L37="DNA"),$L37,"")))))))))="DNA",AND(ISNUMBER(IF(OR(ISNUMBER($V37),$V37="DNA"),$V37,IF(OR(ISNUMBER($U37),$U37="DNA"),$U37,IF(OR(ISNUMBER($T37),$T37="DNA"),$T37,IF(OR(ISNUMBER($S37),$S37="DNA"),$S37,IF(OR(ISNUMBER($R37),$R37="DNA"),$R37,IF(OR(ISNUMBER($Q37),$Q37="DNA"),$Q37,IF(OR(ISNUMBER($N37),$N37="DNA"),$N37,IF(OR(ISNUMBER($M37),$M37="DNA"),$M37,IF(OR(ISNUMBER($L37),$L37="DNA"),$L37,"")))))))))),IF(OR(ISNUMBER($V37),$V37="DNA"),$V37,IF(OR(ISNUMBER($U37),$U37="DNA"),$U37,IF(OR(ISNUMBER($T37),$T37="DNA"),$T37,IF(OR(ISNUMBER($S37),$S37="DNA"),$S37,IF(OR(ISNUMBER($R37),$R37="DNA"),$R37,IF(OR(ISNUMBER($Q37),$Q37="DNA"),$Q37,IF(OR(ISNUMBER($N37),$N37="DNA"),$N37,IF(OR(ISNUMBER($M37),$M37="DNA"),$M37,IF(OR(ISNUMBER($L37),$L37="DNA"),$L37,"")))))))))&lt;TODAY())),1,0)+ISNUMBER($O37)*($O37&lt;TODAY())+ISNUMBER($P37)*($P37&lt;TODAY())+ISNUMBER($X37)*($X37&lt;TODAY())+ISNUMBER($Y37)*($Y37&lt;TODAY()))</f>
        <v/>
      </c>
    </row>
    <row r="38">
      <c r="A38" s="25" t="n"/>
      <c r="B38" s="26" t="n"/>
      <c r="C38" s="27" t="n"/>
      <c r="D38" s="25" t="n"/>
      <c r="E38" s="25" t="n"/>
      <c r="F38" s="27" t="n"/>
      <c r="G38" s="25" t="n"/>
      <c r="H38" s="28">
        <f>IF(OR(NOT(AND($A38&lt;&gt;"",OR($G38="",$G38="Active"))),$F38=""),"",INT((TODAY()-$F38+280)/7)&amp;"+"&amp;MOD(TODAY()-$F38+280,7))</f>
        <v/>
      </c>
      <c r="I38" s="28">
        <f>IF(NOT(AND($A38&lt;&gt;"",OR($G38="",$G38="Active"))),"",ISNUMBER($L38)*($L38&gt;=TODAY())*($L38&lt;=TODAY()+7)+ISNUMBER($M38)*($M38&gt;=TODAY())*($M38&lt;=TODAY()+7)+ISNUMBER($N38)*($N38&gt;=TODAY())*($N38&lt;=TODAY()+7)+ISNUMBER($Q38)*($Q38&gt;=TODAY())*($Q38&lt;=TODAY()+7)+ISNUMBER($R38)*($R38&gt;=TODAY())*($R38&lt;=TODAY()+7)+ISNUMBER($S38)*($S38&gt;=TODAY())*($S38&lt;=TODAY()+7)+ISNUMBER($T38)*($T38&gt;=TODAY())*($T38&lt;=TODAY()+7)+ISNUMBER($U38)*($U38&gt;=TODAY())*($U38&lt;=TODAY()+7)+ISNUMBER($V38)*($V38&gt;=TODAY())*($V38&lt;=TODAY()+7)+ISNUMBER($O38)*($O38&gt;=TODAY())*($O38&lt;=TODAY()+7)+ISNUMBER($P38)*($P38&gt;=TODAY())*($P38&lt;=TODAY()+7)+ISNUMBER($X38)*($X38&gt;=TODAY())*($X38&lt;=TODAY()+7)+ISNUMBER($Y38)*($Y38&gt;=TODAY())*($Y38&lt;=TODAY()+7))</f>
        <v/>
      </c>
      <c r="J38" s="28">
        <f>IF(NOT(AND($A38&lt;&gt;"",OR($G38="",$G38="Active"))),"",IF($K38&lt;&gt;"",IF($L38=$K38,"Booking",IF($M38=$K38,"16/40",IF($N38=$K38,"25/40",IF($Q38=$K38,"28/40",IF($R38=$K38,"31/40",IF($S38=$K38,"34/40",IF($T38=$K38,"36/40",IF($U38=$K38,"38/40",IF($V38=$K38,"40/40",""))))))))),IF(IF(OR(ISNUMBER($V38),$V38="DNA"),$V38,IF(OR(ISNUMBER($U38),$U38="DNA"),$U38,IF(OR(ISNUMBER($T38),$T38="DNA"),$T38,IF(OR(ISNUMBER($S38),$S38="DNA"),$S38,IF(OR(ISNUMBER($R38),$R38="DNA"),$R38,IF(OR(ISNUMBER($Q38),$Q38="DNA"),$Q38,IF(OR(ISNUMBER($N38),$N38="DNA"),$N38,IF(OR(ISNUMBER($M38),$M38="DNA"),$M38,IF(OR(ISNUMBER($L38),$L38="DNA"),$L38,"")))))))))="DNA","Rebook DNA",IF(ISNUMBER(IF(OR(ISNUMBER($V38),$V38="DNA"),$V38,IF(OR(ISNUMBER($U38),$U38="DNA"),$U38,IF(OR(ISNUMBER($T38),$T38="DNA"),$T38,IF(OR(ISNUMBER($S38),$S38="DNA"),$S38,IF(OR(ISNUMBER($R38),$R38="DNA"),$R38,IF(OR(ISNUMBER($Q38),$Q38="DNA"),$Q38,IF(OR(ISNUMBER($N38),$N38="DNA"),$N38,IF(OR(ISNUMBER($M38),$M38="DNA"),$M38,IF(OR(ISNUMBER($L38),$L38="DNA"),$L38,"")))))))))),IF(ISNUMBER($V38),"Update status","Missed/not booked?"),""))))</f>
        <v/>
      </c>
      <c r="K38" s="29">
        <f>IF(NOT(AND($A38&lt;&gt;"",OR($G38="",$G38="Active"))),"",IF(MIN(IF(AND(ISNUMBER($L38),$L38&gt;=TODAY()),$L38,99999),IF(AND(ISNUMBER($M38),$M38&gt;=TODAY()),$M38,99999),IF(AND(ISNUMBER($N38),$N38&gt;=TODAY()),$N38,99999),IF(AND(ISNUMBER($Q38),$Q38&gt;=TODAY()),$Q38,99999),IF(AND(ISNUMBER($R38),$R38&gt;=TODAY()),$R38,99999),IF(AND(ISNUMBER($S38),$S38&gt;=TODAY()),$S38,99999),IF(AND(ISNUMBER($T38),$T38&gt;=TODAY()),$T38,99999),IF(AND(ISNUMBER($U38),$U38&gt;=TODAY()),$U38,99999),IF(AND(ISNUMBER($V38),$V38&gt;=TODAY()),$V38,99999))=99999,"",MIN(IF(AND(ISNUMBER($L38),$L38&gt;=TODAY()),$L38,99999),IF(AND(ISNUMBER($M38),$M38&gt;=TODAY()),$M38,99999),IF(AND(ISNUMBER($N38),$N38&gt;=TODAY()),$N38,99999),IF(AND(ISNUMBER($Q38),$Q38&gt;=TODAY()),$Q38,99999),IF(AND(ISNUMBER($R38),$R38&gt;=TODAY()),$R38,99999),IF(AND(ISNUMBER($S38),$S38&gt;=TODAY()),$S38,99999),IF(AND(ISNUMBER($T38),$T38&gt;=TODAY()),$T38,99999),IF(AND(ISNUMBER($U38),$U38&gt;=TODAY()),$U38,99999),IF(AND(ISNUMBER($V38),$V38&gt;=TODAY()),$V38,99999))))</f>
        <v/>
      </c>
      <c r="L38" s="27" t="n"/>
      <c r="M38" s="27" t="n"/>
      <c r="N38" s="27" t="n"/>
      <c r="O38" s="27" t="n"/>
      <c r="P38" s="27" t="n"/>
      <c r="Q38" s="27" t="n"/>
      <c r="R38" s="27" t="n"/>
      <c r="S38" s="27" t="n"/>
      <c r="T38" s="27" t="n"/>
      <c r="U38" s="27" t="n"/>
      <c r="V38" s="27" t="n"/>
      <c r="W38" s="27" t="n"/>
      <c r="X38" s="27" t="n"/>
      <c r="Y38" s="27" t="n"/>
      <c r="Z38" s="30" t="n"/>
      <c r="AA38" s="25" t="n"/>
      <c r="AB38" s="28">
        <f>IF(NOT(AND($A38&lt;&gt;"",OR($G38="",$G38="Active"))),"",IF(OR(IF(OR(ISNUMBER($V38),$V38="DNA"),$V38,IF(OR(ISNUMBER($U38),$U38="DNA"),$U38,IF(OR(ISNUMBER($T38),$T38="DNA"),$T38,IF(OR(ISNUMBER($S38),$S38="DNA"),$S38,IF(OR(ISNUMBER($R38),$R38="DNA"),$R38,IF(OR(ISNUMBER($Q38),$Q38="DNA"),$Q38,IF(OR(ISNUMBER($N38),$N38="DNA"),$N38,IF(OR(ISNUMBER($M38),$M38="DNA"),$M38,IF(OR(ISNUMBER($L38),$L38="DNA"),$L38,"")))))))))="DNA",AND(ISNUMBER(IF(OR(ISNUMBER($V38),$V38="DNA"),$V38,IF(OR(ISNUMBER($U38),$U38="DNA"),$U38,IF(OR(ISNUMBER($T38),$T38="DNA"),$T38,IF(OR(ISNUMBER($S38),$S38="DNA"),$S38,IF(OR(ISNUMBER($R38),$R38="DNA"),$R38,IF(OR(ISNUMBER($Q38),$Q38="DNA"),$Q38,IF(OR(ISNUMBER($N38),$N38="DNA"),$N38,IF(OR(ISNUMBER($M38),$M38="DNA"),$M38,IF(OR(ISNUMBER($L38),$L38="DNA"),$L38,"")))))))))),IF(OR(ISNUMBER($V38),$V38="DNA"),$V38,IF(OR(ISNUMBER($U38),$U38="DNA"),$U38,IF(OR(ISNUMBER($T38),$T38="DNA"),$T38,IF(OR(ISNUMBER($S38),$S38="DNA"),$S38,IF(OR(ISNUMBER($R38),$R38="DNA"),$R38,IF(OR(ISNUMBER($Q38),$Q38="DNA"),$Q38,IF(OR(ISNUMBER($N38),$N38="DNA"),$N38,IF(OR(ISNUMBER($M38),$M38="DNA"),$M38,IF(OR(ISNUMBER($L38),$L38="DNA"),$L38,"")))))))))&lt;TODAY())),1,0)+ISNUMBER($O38)*($O38&lt;TODAY())+ISNUMBER($P38)*($P38&lt;TODAY())+ISNUMBER($X38)*($X38&lt;TODAY())+ISNUMBER($Y38)*($Y38&lt;TODAY()))</f>
        <v/>
      </c>
    </row>
    <row r="39">
      <c r="A39" s="25" t="n"/>
      <c r="B39" s="26" t="n"/>
      <c r="C39" s="27" t="n"/>
      <c r="D39" s="25" t="n"/>
      <c r="E39" s="25" t="n"/>
      <c r="F39" s="27" t="n"/>
      <c r="G39" s="25" t="n"/>
      <c r="H39" s="28">
        <f>IF(OR(NOT(AND($A39&lt;&gt;"",OR($G39="",$G39="Active"))),$F39=""),"",INT((TODAY()-$F39+280)/7)&amp;"+"&amp;MOD(TODAY()-$F39+280,7))</f>
        <v/>
      </c>
      <c r="I39" s="28">
        <f>IF(NOT(AND($A39&lt;&gt;"",OR($G39="",$G39="Active"))),"",ISNUMBER($L39)*($L39&gt;=TODAY())*($L39&lt;=TODAY()+7)+ISNUMBER($M39)*($M39&gt;=TODAY())*($M39&lt;=TODAY()+7)+ISNUMBER($N39)*($N39&gt;=TODAY())*($N39&lt;=TODAY()+7)+ISNUMBER($Q39)*($Q39&gt;=TODAY())*($Q39&lt;=TODAY()+7)+ISNUMBER($R39)*($R39&gt;=TODAY())*($R39&lt;=TODAY()+7)+ISNUMBER($S39)*($S39&gt;=TODAY())*($S39&lt;=TODAY()+7)+ISNUMBER($T39)*($T39&gt;=TODAY())*($T39&lt;=TODAY()+7)+ISNUMBER($U39)*($U39&gt;=TODAY())*($U39&lt;=TODAY()+7)+ISNUMBER($V39)*($V39&gt;=TODAY())*($V39&lt;=TODAY()+7)+ISNUMBER($O39)*($O39&gt;=TODAY())*($O39&lt;=TODAY()+7)+ISNUMBER($P39)*($P39&gt;=TODAY())*($P39&lt;=TODAY()+7)+ISNUMBER($X39)*($X39&gt;=TODAY())*($X39&lt;=TODAY()+7)+ISNUMBER($Y39)*($Y39&gt;=TODAY())*($Y39&lt;=TODAY()+7))</f>
        <v/>
      </c>
      <c r="J39" s="28">
        <f>IF(NOT(AND($A39&lt;&gt;"",OR($G39="",$G39="Active"))),"",IF($K39&lt;&gt;"",IF($L39=$K39,"Booking",IF($M39=$K39,"16/40",IF($N39=$K39,"25/40",IF($Q39=$K39,"28/40",IF($R39=$K39,"31/40",IF($S39=$K39,"34/40",IF($T39=$K39,"36/40",IF($U39=$K39,"38/40",IF($V39=$K39,"40/40",""))))))))),IF(IF(OR(ISNUMBER($V39),$V39="DNA"),$V39,IF(OR(ISNUMBER($U39),$U39="DNA"),$U39,IF(OR(ISNUMBER($T39),$T39="DNA"),$T39,IF(OR(ISNUMBER($S39),$S39="DNA"),$S39,IF(OR(ISNUMBER($R39),$R39="DNA"),$R39,IF(OR(ISNUMBER($Q39),$Q39="DNA"),$Q39,IF(OR(ISNUMBER($N39),$N39="DNA"),$N39,IF(OR(ISNUMBER($M39),$M39="DNA"),$M39,IF(OR(ISNUMBER($L39),$L39="DNA"),$L39,"")))))))))="DNA","Rebook DNA",IF(ISNUMBER(IF(OR(ISNUMBER($V39),$V39="DNA"),$V39,IF(OR(ISNUMBER($U39),$U39="DNA"),$U39,IF(OR(ISNUMBER($T39),$T39="DNA"),$T39,IF(OR(ISNUMBER($S39),$S39="DNA"),$S39,IF(OR(ISNUMBER($R39),$R39="DNA"),$R39,IF(OR(ISNUMBER($Q39),$Q39="DNA"),$Q39,IF(OR(ISNUMBER($N39),$N39="DNA"),$N39,IF(OR(ISNUMBER($M39),$M39="DNA"),$M39,IF(OR(ISNUMBER($L39),$L39="DNA"),$L39,"")))))))))),IF(ISNUMBER($V39),"Update status","Missed/not booked?"),""))))</f>
        <v/>
      </c>
      <c r="K39" s="29">
        <f>IF(NOT(AND($A39&lt;&gt;"",OR($G39="",$G39="Active"))),"",IF(MIN(IF(AND(ISNUMBER($L39),$L39&gt;=TODAY()),$L39,99999),IF(AND(ISNUMBER($M39),$M39&gt;=TODAY()),$M39,99999),IF(AND(ISNUMBER($N39),$N39&gt;=TODAY()),$N39,99999),IF(AND(ISNUMBER($Q39),$Q39&gt;=TODAY()),$Q39,99999),IF(AND(ISNUMBER($R39),$R39&gt;=TODAY()),$R39,99999),IF(AND(ISNUMBER($S39),$S39&gt;=TODAY()),$S39,99999),IF(AND(ISNUMBER($T39),$T39&gt;=TODAY()),$T39,99999),IF(AND(ISNUMBER($U39),$U39&gt;=TODAY()),$U39,99999),IF(AND(ISNUMBER($V39),$V39&gt;=TODAY()),$V39,99999))=99999,"",MIN(IF(AND(ISNUMBER($L39),$L39&gt;=TODAY()),$L39,99999),IF(AND(ISNUMBER($M39),$M39&gt;=TODAY()),$M39,99999),IF(AND(ISNUMBER($N39),$N39&gt;=TODAY()),$N39,99999),IF(AND(ISNUMBER($Q39),$Q39&gt;=TODAY()),$Q39,99999),IF(AND(ISNUMBER($R39),$R39&gt;=TODAY()),$R39,99999),IF(AND(ISNUMBER($S39),$S39&gt;=TODAY()),$S39,99999),IF(AND(ISNUMBER($T39),$T39&gt;=TODAY()),$T39,99999),IF(AND(ISNUMBER($U39),$U39&gt;=TODAY()),$U39,99999),IF(AND(ISNUMBER($V39),$V39&gt;=TODAY()),$V39,99999))))</f>
        <v/>
      </c>
      <c r="L39" s="27" t="n"/>
      <c r="M39" s="27" t="n"/>
      <c r="N39" s="27" t="n"/>
      <c r="O39" s="27" t="n"/>
      <c r="P39" s="27" t="n"/>
      <c r="Q39" s="27" t="n"/>
      <c r="R39" s="27" t="n"/>
      <c r="S39" s="27" t="n"/>
      <c r="T39" s="27" t="n"/>
      <c r="U39" s="27" t="n"/>
      <c r="V39" s="27" t="n"/>
      <c r="W39" s="27" t="n"/>
      <c r="X39" s="27" t="n"/>
      <c r="Y39" s="27" t="n"/>
      <c r="Z39" s="30" t="n"/>
      <c r="AA39" s="25" t="n"/>
      <c r="AB39" s="28">
        <f>IF(NOT(AND($A39&lt;&gt;"",OR($G39="",$G39="Active"))),"",IF(OR(IF(OR(ISNUMBER($V39),$V39="DNA"),$V39,IF(OR(ISNUMBER($U39),$U39="DNA"),$U39,IF(OR(ISNUMBER($T39),$T39="DNA"),$T39,IF(OR(ISNUMBER($S39),$S39="DNA"),$S39,IF(OR(ISNUMBER($R39),$R39="DNA"),$R39,IF(OR(ISNUMBER($Q39),$Q39="DNA"),$Q39,IF(OR(ISNUMBER($N39),$N39="DNA"),$N39,IF(OR(ISNUMBER($M39),$M39="DNA"),$M39,IF(OR(ISNUMBER($L39),$L39="DNA"),$L39,"")))))))))="DNA",AND(ISNUMBER(IF(OR(ISNUMBER($V39),$V39="DNA"),$V39,IF(OR(ISNUMBER($U39),$U39="DNA"),$U39,IF(OR(ISNUMBER($T39),$T39="DNA"),$T39,IF(OR(ISNUMBER($S39),$S39="DNA"),$S39,IF(OR(ISNUMBER($R39),$R39="DNA"),$R39,IF(OR(ISNUMBER($Q39),$Q39="DNA"),$Q39,IF(OR(ISNUMBER($N39),$N39="DNA"),$N39,IF(OR(ISNUMBER($M39),$M39="DNA"),$M39,IF(OR(ISNUMBER($L39),$L39="DNA"),$L39,"")))))))))),IF(OR(ISNUMBER($V39),$V39="DNA"),$V39,IF(OR(ISNUMBER($U39),$U39="DNA"),$U39,IF(OR(ISNUMBER($T39),$T39="DNA"),$T39,IF(OR(ISNUMBER($S39),$S39="DNA"),$S39,IF(OR(ISNUMBER($R39),$R39="DNA"),$R39,IF(OR(ISNUMBER($Q39),$Q39="DNA"),$Q39,IF(OR(ISNUMBER($N39),$N39="DNA"),$N39,IF(OR(ISNUMBER($M39),$M39="DNA"),$M39,IF(OR(ISNUMBER($L39),$L39="DNA"),$L39,"")))))))))&lt;TODAY())),1,0)+ISNUMBER($O39)*($O39&lt;TODAY())+ISNUMBER($P39)*($P39&lt;TODAY())+ISNUMBER($X39)*($X39&lt;TODAY())+ISNUMBER($Y39)*($Y39&lt;TODAY()))</f>
        <v/>
      </c>
    </row>
    <row r="40">
      <c r="A40" s="25" t="n"/>
      <c r="B40" s="26" t="n"/>
      <c r="C40" s="27" t="n"/>
      <c r="D40" s="25" t="n"/>
      <c r="E40" s="25" t="n"/>
      <c r="F40" s="27" t="n"/>
      <c r="G40" s="25" t="n"/>
      <c r="H40" s="28">
        <f>IF(OR(NOT(AND($A40&lt;&gt;"",OR($G40="",$G40="Active"))),$F40=""),"",INT((TODAY()-$F40+280)/7)&amp;"+"&amp;MOD(TODAY()-$F40+280,7))</f>
        <v/>
      </c>
      <c r="I40" s="28">
        <f>IF(NOT(AND($A40&lt;&gt;"",OR($G40="",$G40="Active"))),"",ISNUMBER($L40)*($L40&gt;=TODAY())*($L40&lt;=TODAY()+7)+ISNUMBER($M40)*($M40&gt;=TODAY())*($M40&lt;=TODAY()+7)+ISNUMBER($N40)*($N40&gt;=TODAY())*($N40&lt;=TODAY()+7)+ISNUMBER($Q40)*($Q40&gt;=TODAY())*($Q40&lt;=TODAY()+7)+ISNUMBER($R40)*($R40&gt;=TODAY())*($R40&lt;=TODAY()+7)+ISNUMBER($S40)*($S40&gt;=TODAY())*($S40&lt;=TODAY()+7)+ISNUMBER($T40)*($T40&gt;=TODAY())*($T40&lt;=TODAY()+7)+ISNUMBER($U40)*($U40&gt;=TODAY())*($U40&lt;=TODAY()+7)+ISNUMBER($V40)*($V40&gt;=TODAY())*($V40&lt;=TODAY()+7)+ISNUMBER($O40)*($O40&gt;=TODAY())*($O40&lt;=TODAY()+7)+ISNUMBER($P40)*($P40&gt;=TODAY())*($P40&lt;=TODAY()+7)+ISNUMBER($X40)*($X40&gt;=TODAY())*($X40&lt;=TODAY()+7)+ISNUMBER($Y40)*($Y40&gt;=TODAY())*($Y40&lt;=TODAY()+7))</f>
        <v/>
      </c>
      <c r="J40" s="28">
        <f>IF(NOT(AND($A40&lt;&gt;"",OR($G40="",$G40="Active"))),"",IF($K40&lt;&gt;"",IF($L40=$K40,"Booking",IF($M40=$K40,"16/40",IF($N40=$K40,"25/40",IF($Q40=$K40,"28/40",IF($R40=$K40,"31/40",IF($S40=$K40,"34/40",IF($T40=$K40,"36/40",IF($U40=$K40,"38/40",IF($V40=$K40,"40/40",""))))))))),IF(IF(OR(ISNUMBER($V40),$V40="DNA"),$V40,IF(OR(ISNUMBER($U40),$U40="DNA"),$U40,IF(OR(ISNUMBER($T40),$T40="DNA"),$T40,IF(OR(ISNUMBER($S40),$S40="DNA"),$S40,IF(OR(ISNUMBER($R40),$R40="DNA"),$R40,IF(OR(ISNUMBER($Q40),$Q40="DNA"),$Q40,IF(OR(ISNUMBER($N40),$N40="DNA"),$N40,IF(OR(ISNUMBER($M40),$M40="DNA"),$M40,IF(OR(ISNUMBER($L40),$L40="DNA"),$L40,"")))))))))="DNA","Rebook DNA",IF(ISNUMBER(IF(OR(ISNUMBER($V40),$V40="DNA"),$V40,IF(OR(ISNUMBER($U40),$U40="DNA"),$U40,IF(OR(ISNUMBER($T40),$T40="DNA"),$T40,IF(OR(ISNUMBER($S40),$S40="DNA"),$S40,IF(OR(ISNUMBER($R40),$R40="DNA"),$R40,IF(OR(ISNUMBER($Q40),$Q40="DNA"),$Q40,IF(OR(ISNUMBER($N40),$N40="DNA"),$N40,IF(OR(ISNUMBER($M40),$M40="DNA"),$M40,IF(OR(ISNUMBER($L40),$L40="DNA"),$L40,"")))))))))),IF(ISNUMBER($V40),"Update status","Missed/not booked?"),""))))</f>
        <v/>
      </c>
      <c r="K40" s="29">
        <f>IF(NOT(AND($A40&lt;&gt;"",OR($G40="",$G40="Active"))),"",IF(MIN(IF(AND(ISNUMBER($L40),$L40&gt;=TODAY()),$L40,99999),IF(AND(ISNUMBER($M40),$M40&gt;=TODAY()),$M40,99999),IF(AND(ISNUMBER($N40),$N40&gt;=TODAY()),$N40,99999),IF(AND(ISNUMBER($Q40),$Q40&gt;=TODAY()),$Q40,99999),IF(AND(ISNUMBER($R40),$R40&gt;=TODAY()),$R40,99999),IF(AND(ISNUMBER($S40),$S40&gt;=TODAY()),$S40,99999),IF(AND(ISNUMBER($T40),$T40&gt;=TODAY()),$T40,99999),IF(AND(ISNUMBER($U40),$U40&gt;=TODAY()),$U40,99999),IF(AND(ISNUMBER($V40),$V40&gt;=TODAY()),$V40,99999))=99999,"",MIN(IF(AND(ISNUMBER($L40),$L40&gt;=TODAY()),$L40,99999),IF(AND(ISNUMBER($M40),$M40&gt;=TODAY()),$M40,99999),IF(AND(ISNUMBER($N40),$N40&gt;=TODAY()),$N40,99999),IF(AND(ISNUMBER($Q40),$Q40&gt;=TODAY()),$Q40,99999),IF(AND(ISNUMBER($R40),$R40&gt;=TODAY()),$R40,99999),IF(AND(ISNUMBER($S40),$S40&gt;=TODAY()),$S40,99999),IF(AND(ISNUMBER($T40),$T40&gt;=TODAY()),$T40,99999),IF(AND(ISNUMBER($U40),$U40&gt;=TODAY()),$U40,99999),IF(AND(ISNUMBER($V40),$V40&gt;=TODAY()),$V40,99999))))</f>
        <v/>
      </c>
      <c r="L40" s="27" t="n"/>
      <c r="M40" s="27" t="n"/>
      <c r="N40" s="27" t="n"/>
      <c r="O40" s="27" t="n"/>
      <c r="P40" s="27" t="n"/>
      <c r="Q40" s="27" t="n"/>
      <c r="R40" s="27" t="n"/>
      <c r="S40" s="27" t="n"/>
      <c r="T40" s="27" t="n"/>
      <c r="U40" s="27" t="n"/>
      <c r="V40" s="27" t="n"/>
      <c r="W40" s="27" t="n"/>
      <c r="X40" s="27" t="n"/>
      <c r="Y40" s="27" t="n"/>
      <c r="Z40" s="30" t="n"/>
      <c r="AA40" s="25" t="n"/>
      <c r="AB40" s="28">
        <f>IF(NOT(AND($A40&lt;&gt;"",OR($G40="",$G40="Active"))),"",IF(OR(IF(OR(ISNUMBER($V40),$V40="DNA"),$V40,IF(OR(ISNUMBER($U40),$U40="DNA"),$U40,IF(OR(ISNUMBER($T40),$T40="DNA"),$T40,IF(OR(ISNUMBER($S40),$S40="DNA"),$S40,IF(OR(ISNUMBER($R40),$R40="DNA"),$R40,IF(OR(ISNUMBER($Q40),$Q40="DNA"),$Q40,IF(OR(ISNUMBER($N40),$N40="DNA"),$N40,IF(OR(ISNUMBER($M40),$M40="DNA"),$M40,IF(OR(ISNUMBER($L40),$L40="DNA"),$L40,"")))))))))="DNA",AND(ISNUMBER(IF(OR(ISNUMBER($V40),$V40="DNA"),$V40,IF(OR(ISNUMBER($U40),$U40="DNA"),$U40,IF(OR(ISNUMBER($T40),$T40="DNA"),$T40,IF(OR(ISNUMBER($S40),$S40="DNA"),$S40,IF(OR(ISNUMBER($R40),$R40="DNA"),$R40,IF(OR(ISNUMBER($Q40),$Q40="DNA"),$Q40,IF(OR(ISNUMBER($N40),$N40="DNA"),$N40,IF(OR(ISNUMBER($M40),$M40="DNA"),$M40,IF(OR(ISNUMBER($L40),$L40="DNA"),$L40,"")))))))))),IF(OR(ISNUMBER($V40),$V40="DNA"),$V40,IF(OR(ISNUMBER($U40),$U40="DNA"),$U40,IF(OR(ISNUMBER($T40),$T40="DNA"),$T40,IF(OR(ISNUMBER($S40),$S40="DNA"),$S40,IF(OR(ISNUMBER($R40),$R40="DNA"),$R40,IF(OR(ISNUMBER($Q40),$Q40="DNA"),$Q40,IF(OR(ISNUMBER($N40),$N40="DNA"),$N40,IF(OR(ISNUMBER($M40),$M40="DNA"),$M40,IF(OR(ISNUMBER($L40),$L40="DNA"),$L40,"")))))))))&lt;TODAY())),1,0)+ISNUMBER($O40)*($O40&lt;TODAY())+ISNUMBER($P40)*($P40&lt;TODAY())+ISNUMBER($X40)*($X40&lt;TODAY())+ISNUMBER($Y40)*($Y40&lt;TODAY()))</f>
        <v/>
      </c>
    </row>
    <row r="41">
      <c r="A41" s="25" t="n"/>
      <c r="B41" s="26" t="n"/>
      <c r="C41" s="27" t="n"/>
      <c r="D41" s="25" t="n"/>
      <c r="E41" s="25" t="n"/>
      <c r="F41" s="27" t="n"/>
      <c r="G41" s="25" t="n"/>
      <c r="H41" s="28">
        <f>IF(OR(NOT(AND($A41&lt;&gt;"",OR($G41="",$G41="Active"))),$F41=""),"",INT((TODAY()-$F41+280)/7)&amp;"+"&amp;MOD(TODAY()-$F41+280,7))</f>
        <v/>
      </c>
      <c r="I41" s="28">
        <f>IF(NOT(AND($A41&lt;&gt;"",OR($G41="",$G41="Active"))),"",ISNUMBER($L41)*($L41&gt;=TODAY())*($L41&lt;=TODAY()+7)+ISNUMBER($M41)*($M41&gt;=TODAY())*($M41&lt;=TODAY()+7)+ISNUMBER($N41)*($N41&gt;=TODAY())*($N41&lt;=TODAY()+7)+ISNUMBER($Q41)*($Q41&gt;=TODAY())*($Q41&lt;=TODAY()+7)+ISNUMBER($R41)*($R41&gt;=TODAY())*($R41&lt;=TODAY()+7)+ISNUMBER($S41)*($S41&gt;=TODAY())*($S41&lt;=TODAY()+7)+ISNUMBER($T41)*($T41&gt;=TODAY())*($T41&lt;=TODAY()+7)+ISNUMBER($U41)*($U41&gt;=TODAY())*($U41&lt;=TODAY()+7)+ISNUMBER($V41)*($V41&gt;=TODAY())*($V41&lt;=TODAY()+7)+ISNUMBER($O41)*($O41&gt;=TODAY())*($O41&lt;=TODAY()+7)+ISNUMBER($P41)*($P41&gt;=TODAY())*($P41&lt;=TODAY()+7)+ISNUMBER($X41)*($X41&gt;=TODAY())*($X41&lt;=TODAY()+7)+ISNUMBER($Y41)*($Y41&gt;=TODAY())*($Y41&lt;=TODAY()+7))</f>
        <v/>
      </c>
      <c r="J41" s="28">
        <f>IF(NOT(AND($A41&lt;&gt;"",OR($G41="",$G41="Active"))),"",IF($K41&lt;&gt;"",IF($L41=$K41,"Booking",IF($M41=$K41,"16/40",IF($N41=$K41,"25/40",IF($Q41=$K41,"28/40",IF($R41=$K41,"31/40",IF($S41=$K41,"34/40",IF($T41=$K41,"36/40",IF($U41=$K41,"38/40",IF($V41=$K41,"40/40",""))))))))),IF(IF(OR(ISNUMBER($V41),$V41="DNA"),$V41,IF(OR(ISNUMBER($U41),$U41="DNA"),$U41,IF(OR(ISNUMBER($T41),$T41="DNA"),$T41,IF(OR(ISNUMBER($S41),$S41="DNA"),$S41,IF(OR(ISNUMBER($R41),$R41="DNA"),$R41,IF(OR(ISNUMBER($Q41),$Q41="DNA"),$Q41,IF(OR(ISNUMBER($N41),$N41="DNA"),$N41,IF(OR(ISNUMBER($M41),$M41="DNA"),$M41,IF(OR(ISNUMBER($L41),$L41="DNA"),$L41,"")))))))))="DNA","Rebook DNA",IF(ISNUMBER(IF(OR(ISNUMBER($V41),$V41="DNA"),$V41,IF(OR(ISNUMBER($U41),$U41="DNA"),$U41,IF(OR(ISNUMBER($T41),$T41="DNA"),$T41,IF(OR(ISNUMBER($S41),$S41="DNA"),$S41,IF(OR(ISNUMBER($R41),$R41="DNA"),$R41,IF(OR(ISNUMBER($Q41),$Q41="DNA"),$Q41,IF(OR(ISNUMBER($N41),$N41="DNA"),$N41,IF(OR(ISNUMBER($M41),$M41="DNA"),$M41,IF(OR(ISNUMBER($L41),$L41="DNA"),$L41,"")))))))))),IF(ISNUMBER($V41),"Update status","Missed/not booked?"),""))))</f>
        <v/>
      </c>
      <c r="K41" s="29">
        <f>IF(NOT(AND($A41&lt;&gt;"",OR($G41="",$G41="Active"))),"",IF(MIN(IF(AND(ISNUMBER($L41),$L41&gt;=TODAY()),$L41,99999),IF(AND(ISNUMBER($M41),$M41&gt;=TODAY()),$M41,99999),IF(AND(ISNUMBER($N41),$N41&gt;=TODAY()),$N41,99999),IF(AND(ISNUMBER($Q41),$Q41&gt;=TODAY()),$Q41,99999),IF(AND(ISNUMBER($R41),$R41&gt;=TODAY()),$R41,99999),IF(AND(ISNUMBER($S41),$S41&gt;=TODAY()),$S41,99999),IF(AND(ISNUMBER($T41),$T41&gt;=TODAY()),$T41,99999),IF(AND(ISNUMBER($U41),$U41&gt;=TODAY()),$U41,99999),IF(AND(ISNUMBER($V41),$V41&gt;=TODAY()),$V41,99999))=99999,"",MIN(IF(AND(ISNUMBER($L41),$L41&gt;=TODAY()),$L41,99999),IF(AND(ISNUMBER($M41),$M41&gt;=TODAY()),$M41,99999),IF(AND(ISNUMBER($N41),$N41&gt;=TODAY()),$N41,99999),IF(AND(ISNUMBER($Q41),$Q41&gt;=TODAY()),$Q41,99999),IF(AND(ISNUMBER($R41),$R41&gt;=TODAY()),$R41,99999),IF(AND(ISNUMBER($S41),$S41&gt;=TODAY()),$S41,99999),IF(AND(ISNUMBER($T41),$T41&gt;=TODAY()),$T41,99999),IF(AND(ISNUMBER($U41),$U41&gt;=TODAY()),$U41,99999),IF(AND(ISNUMBER($V41),$V41&gt;=TODAY()),$V41,99999))))</f>
        <v/>
      </c>
      <c r="L41" s="27" t="n"/>
      <c r="M41" s="27" t="n"/>
      <c r="N41" s="27" t="n"/>
      <c r="O41" s="27" t="n"/>
      <c r="P41" s="27" t="n"/>
      <c r="Q41" s="27" t="n"/>
      <c r="R41" s="27" t="n"/>
      <c r="S41" s="27" t="n"/>
      <c r="T41" s="27" t="n"/>
      <c r="U41" s="27" t="n"/>
      <c r="V41" s="27" t="n"/>
      <c r="W41" s="27" t="n"/>
      <c r="X41" s="27" t="n"/>
      <c r="Y41" s="27" t="n"/>
      <c r="Z41" s="30" t="n"/>
      <c r="AA41" s="25" t="n"/>
      <c r="AB41" s="28">
        <f>IF(NOT(AND($A41&lt;&gt;"",OR($G41="",$G41="Active"))),"",IF(OR(IF(OR(ISNUMBER($V41),$V41="DNA"),$V41,IF(OR(ISNUMBER($U41),$U41="DNA"),$U41,IF(OR(ISNUMBER($T41),$T41="DNA"),$T41,IF(OR(ISNUMBER($S41),$S41="DNA"),$S41,IF(OR(ISNUMBER($R41),$R41="DNA"),$R41,IF(OR(ISNUMBER($Q41),$Q41="DNA"),$Q41,IF(OR(ISNUMBER($N41),$N41="DNA"),$N41,IF(OR(ISNUMBER($M41),$M41="DNA"),$M41,IF(OR(ISNUMBER($L41),$L41="DNA"),$L41,"")))))))))="DNA",AND(ISNUMBER(IF(OR(ISNUMBER($V41),$V41="DNA"),$V41,IF(OR(ISNUMBER($U41),$U41="DNA"),$U41,IF(OR(ISNUMBER($T41),$T41="DNA"),$T41,IF(OR(ISNUMBER($S41),$S41="DNA"),$S41,IF(OR(ISNUMBER($R41),$R41="DNA"),$R41,IF(OR(ISNUMBER($Q41),$Q41="DNA"),$Q41,IF(OR(ISNUMBER($N41),$N41="DNA"),$N41,IF(OR(ISNUMBER($M41),$M41="DNA"),$M41,IF(OR(ISNUMBER($L41),$L41="DNA"),$L41,"")))))))))),IF(OR(ISNUMBER($V41),$V41="DNA"),$V41,IF(OR(ISNUMBER($U41),$U41="DNA"),$U41,IF(OR(ISNUMBER($T41),$T41="DNA"),$T41,IF(OR(ISNUMBER($S41),$S41="DNA"),$S41,IF(OR(ISNUMBER($R41),$R41="DNA"),$R41,IF(OR(ISNUMBER($Q41),$Q41="DNA"),$Q41,IF(OR(ISNUMBER($N41),$N41="DNA"),$N41,IF(OR(ISNUMBER($M41),$M41="DNA"),$M41,IF(OR(ISNUMBER($L41),$L41="DNA"),$L41,"")))))))))&lt;TODAY())),1,0)+ISNUMBER($O41)*($O41&lt;TODAY())+ISNUMBER($P41)*($P41&lt;TODAY())+ISNUMBER($X41)*($X41&lt;TODAY())+ISNUMBER($Y41)*($Y41&lt;TODAY()))</f>
        <v/>
      </c>
    </row>
    <row r="42">
      <c r="A42" s="25" t="n"/>
      <c r="B42" s="26" t="n"/>
      <c r="C42" s="27" t="n"/>
      <c r="D42" s="25" t="n"/>
      <c r="E42" s="25" t="n"/>
      <c r="F42" s="27" t="n"/>
      <c r="G42" s="25" t="n"/>
      <c r="H42" s="28">
        <f>IF(OR(NOT(AND($A42&lt;&gt;"",OR($G42="",$G42="Active"))),$F42=""),"",INT((TODAY()-$F42+280)/7)&amp;"+"&amp;MOD(TODAY()-$F42+280,7))</f>
        <v/>
      </c>
      <c r="I42" s="28">
        <f>IF(NOT(AND($A42&lt;&gt;"",OR($G42="",$G42="Active"))),"",ISNUMBER($L42)*($L42&gt;=TODAY())*($L42&lt;=TODAY()+7)+ISNUMBER($M42)*($M42&gt;=TODAY())*($M42&lt;=TODAY()+7)+ISNUMBER($N42)*($N42&gt;=TODAY())*($N42&lt;=TODAY()+7)+ISNUMBER($Q42)*($Q42&gt;=TODAY())*($Q42&lt;=TODAY()+7)+ISNUMBER($R42)*($R42&gt;=TODAY())*($R42&lt;=TODAY()+7)+ISNUMBER($S42)*($S42&gt;=TODAY())*($S42&lt;=TODAY()+7)+ISNUMBER($T42)*($T42&gt;=TODAY())*($T42&lt;=TODAY()+7)+ISNUMBER($U42)*($U42&gt;=TODAY())*($U42&lt;=TODAY()+7)+ISNUMBER($V42)*($V42&gt;=TODAY())*($V42&lt;=TODAY()+7)+ISNUMBER($O42)*($O42&gt;=TODAY())*($O42&lt;=TODAY()+7)+ISNUMBER($P42)*($P42&gt;=TODAY())*($P42&lt;=TODAY()+7)+ISNUMBER($X42)*($X42&gt;=TODAY())*($X42&lt;=TODAY()+7)+ISNUMBER($Y42)*($Y42&gt;=TODAY())*($Y42&lt;=TODAY()+7))</f>
        <v/>
      </c>
      <c r="J42" s="28">
        <f>IF(NOT(AND($A42&lt;&gt;"",OR($G42="",$G42="Active"))),"",IF($K42&lt;&gt;"",IF($L42=$K42,"Booking",IF($M42=$K42,"16/40",IF($N42=$K42,"25/40",IF($Q42=$K42,"28/40",IF($R42=$K42,"31/40",IF($S42=$K42,"34/40",IF($T42=$K42,"36/40",IF($U42=$K42,"38/40",IF($V42=$K42,"40/40",""))))))))),IF(IF(OR(ISNUMBER($V42),$V42="DNA"),$V42,IF(OR(ISNUMBER($U42),$U42="DNA"),$U42,IF(OR(ISNUMBER($T42),$T42="DNA"),$T42,IF(OR(ISNUMBER($S42),$S42="DNA"),$S42,IF(OR(ISNUMBER($R42),$R42="DNA"),$R42,IF(OR(ISNUMBER($Q42),$Q42="DNA"),$Q42,IF(OR(ISNUMBER($N42),$N42="DNA"),$N42,IF(OR(ISNUMBER($M42),$M42="DNA"),$M42,IF(OR(ISNUMBER($L42),$L42="DNA"),$L42,"")))))))))="DNA","Rebook DNA",IF(ISNUMBER(IF(OR(ISNUMBER($V42),$V42="DNA"),$V42,IF(OR(ISNUMBER($U42),$U42="DNA"),$U42,IF(OR(ISNUMBER($T42),$T42="DNA"),$T42,IF(OR(ISNUMBER($S42),$S42="DNA"),$S42,IF(OR(ISNUMBER($R42),$R42="DNA"),$R42,IF(OR(ISNUMBER($Q42),$Q42="DNA"),$Q42,IF(OR(ISNUMBER($N42),$N42="DNA"),$N42,IF(OR(ISNUMBER($M42),$M42="DNA"),$M42,IF(OR(ISNUMBER($L42),$L42="DNA"),$L42,"")))))))))),IF(ISNUMBER($V42),"Update status","Missed/not booked?"),""))))</f>
        <v/>
      </c>
      <c r="K42" s="29">
        <f>IF(NOT(AND($A42&lt;&gt;"",OR($G42="",$G42="Active"))),"",IF(MIN(IF(AND(ISNUMBER($L42),$L42&gt;=TODAY()),$L42,99999),IF(AND(ISNUMBER($M42),$M42&gt;=TODAY()),$M42,99999),IF(AND(ISNUMBER($N42),$N42&gt;=TODAY()),$N42,99999),IF(AND(ISNUMBER($Q42),$Q42&gt;=TODAY()),$Q42,99999),IF(AND(ISNUMBER($R42),$R42&gt;=TODAY()),$R42,99999),IF(AND(ISNUMBER($S42),$S42&gt;=TODAY()),$S42,99999),IF(AND(ISNUMBER($T42),$T42&gt;=TODAY()),$T42,99999),IF(AND(ISNUMBER($U42),$U42&gt;=TODAY()),$U42,99999),IF(AND(ISNUMBER($V42),$V42&gt;=TODAY()),$V42,99999))=99999,"",MIN(IF(AND(ISNUMBER($L42),$L42&gt;=TODAY()),$L42,99999),IF(AND(ISNUMBER($M42),$M42&gt;=TODAY()),$M42,99999),IF(AND(ISNUMBER($N42),$N42&gt;=TODAY()),$N42,99999),IF(AND(ISNUMBER($Q42),$Q42&gt;=TODAY()),$Q42,99999),IF(AND(ISNUMBER($R42),$R42&gt;=TODAY()),$R42,99999),IF(AND(ISNUMBER($S42),$S42&gt;=TODAY()),$S42,99999),IF(AND(ISNUMBER($T42),$T42&gt;=TODAY()),$T42,99999),IF(AND(ISNUMBER($U42),$U42&gt;=TODAY()),$U42,99999),IF(AND(ISNUMBER($V42),$V42&gt;=TODAY()),$V42,99999))))</f>
        <v/>
      </c>
      <c r="L42" s="27" t="n"/>
      <c r="M42" s="27" t="n"/>
      <c r="N42" s="27" t="n"/>
      <c r="O42" s="27" t="n"/>
      <c r="P42" s="27" t="n"/>
      <c r="Q42" s="27" t="n"/>
      <c r="R42" s="27" t="n"/>
      <c r="S42" s="27" t="n"/>
      <c r="T42" s="27" t="n"/>
      <c r="U42" s="27" t="n"/>
      <c r="V42" s="27" t="n"/>
      <c r="W42" s="27" t="n"/>
      <c r="X42" s="27" t="n"/>
      <c r="Y42" s="27" t="n"/>
      <c r="Z42" s="30" t="n"/>
      <c r="AA42" s="25" t="n"/>
      <c r="AB42" s="28">
        <f>IF(NOT(AND($A42&lt;&gt;"",OR($G42="",$G42="Active"))),"",IF(OR(IF(OR(ISNUMBER($V42),$V42="DNA"),$V42,IF(OR(ISNUMBER($U42),$U42="DNA"),$U42,IF(OR(ISNUMBER($T42),$T42="DNA"),$T42,IF(OR(ISNUMBER($S42),$S42="DNA"),$S42,IF(OR(ISNUMBER($R42),$R42="DNA"),$R42,IF(OR(ISNUMBER($Q42),$Q42="DNA"),$Q42,IF(OR(ISNUMBER($N42),$N42="DNA"),$N42,IF(OR(ISNUMBER($M42),$M42="DNA"),$M42,IF(OR(ISNUMBER($L42),$L42="DNA"),$L42,"")))))))))="DNA",AND(ISNUMBER(IF(OR(ISNUMBER($V42),$V42="DNA"),$V42,IF(OR(ISNUMBER($U42),$U42="DNA"),$U42,IF(OR(ISNUMBER($T42),$T42="DNA"),$T42,IF(OR(ISNUMBER($S42),$S42="DNA"),$S42,IF(OR(ISNUMBER($R42),$R42="DNA"),$R42,IF(OR(ISNUMBER($Q42),$Q42="DNA"),$Q42,IF(OR(ISNUMBER($N42),$N42="DNA"),$N42,IF(OR(ISNUMBER($M42),$M42="DNA"),$M42,IF(OR(ISNUMBER($L42),$L42="DNA"),$L42,"")))))))))),IF(OR(ISNUMBER($V42),$V42="DNA"),$V42,IF(OR(ISNUMBER($U42),$U42="DNA"),$U42,IF(OR(ISNUMBER($T42),$T42="DNA"),$T42,IF(OR(ISNUMBER($S42),$S42="DNA"),$S42,IF(OR(ISNUMBER($R42),$R42="DNA"),$R42,IF(OR(ISNUMBER($Q42),$Q42="DNA"),$Q42,IF(OR(ISNUMBER($N42),$N42="DNA"),$N42,IF(OR(ISNUMBER($M42),$M42="DNA"),$M42,IF(OR(ISNUMBER($L42),$L42="DNA"),$L42,"")))))))))&lt;TODAY())),1,0)+ISNUMBER($O42)*($O42&lt;TODAY())+ISNUMBER($P42)*($P42&lt;TODAY())+ISNUMBER($X42)*($X42&lt;TODAY())+ISNUMBER($Y42)*($Y42&lt;TODAY()))</f>
        <v/>
      </c>
    </row>
    <row r="43">
      <c r="A43" s="25" t="n"/>
      <c r="B43" s="26" t="n"/>
      <c r="C43" s="27" t="n"/>
      <c r="D43" s="25" t="n"/>
      <c r="E43" s="25" t="n"/>
      <c r="F43" s="27" t="n"/>
      <c r="G43" s="25" t="n"/>
      <c r="H43" s="28">
        <f>IF(OR(NOT(AND($A43&lt;&gt;"",OR($G43="",$G43="Active"))),$F43=""),"",INT((TODAY()-$F43+280)/7)&amp;"+"&amp;MOD(TODAY()-$F43+280,7))</f>
        <v/>
      </c>
      <c r="I43" s="28">
        <f>IF(NOT(AND($A43&lt;&gt;"",OR($G43="",$G43="Active"))),"",ISNUMBER($L43)*($L43&gt;=TODAY())*($L43&lt;=TODAY()+7)+ISNUMBER($M43)*($M43&gt;=TODAY())*($M43&lt;=TODAY()+7)+ISNUMBER($N43)*($N43&gt;=TODAY())*($N43&lt;=TODAY()+7)+ISNUMBER($Q43)*($Q43&gt;=TODAY())*($Q43&lt;=TODAY()+7)+ISNUMBER($R43)*($R43&gt;=TODAY())*($R43&lt;=TODAY()+7)+ISNUMBER($S43)*($S43&gt;=TODAY())*($S43&lt;=TODAY()+7)+ISNUMBER($T43)*($T43&gt;=TODAY())*($T43&lt;=TODAY()+7)+ISNUMBER($U43)*($U43&gt;=TODAY())*($U43&lt;=TODAY()+7)+ISNUMBER($V43)*($V43&gt;=TODAY())*($V43&lt;=TODAY()+7)+ISNUMBER($O43)*($O43&gt;=TODAY())*($O43&lt;=TODAY()+7)+ISNUMBER($P43)*($P43&gt;=TODAY())*($P43&lt;=TODAY()+7)+ISNUMBER($X43)*($X43&gt;=TODAY())*($X43&lt;=TODAY()+7)+ISNUMBER($Y43)*($Y43&gt;=TODAY())*($Y43&lt;=TODAY()+7))</f>
        <v/>
      </c>
      <c r="J43" s="28">
        <f>IF(NOT(AND($A43&lt;&gt;"",OR($G43="",$G43="Active"))),"",IF($K43&lt;&gt;"",IF($L43=$K43,"Booking",IF($M43=$K43,"16/40",IF($N43=$K43,"25/40",IF($Q43=$K43,"28/40",IF($R43=$K43,"31/40",IF($S43=$K43,"34/40",IF($T43=$K43,"36/40",IF($U43=$K43,"38/40",IF($V43=$K43,"40/40",""))))))))),IF(IF(OR(ISNUMBER($V43),$V43="DNA"),$V43,IF(OR(ISNUMBER($U43),$U43="DNA"),$U43,IF(OR(ISNUMBER($T43),$T43="DNA"),$T43,IF(OR(ISNUMBER($S43),$S43="DNA"),$S43,IF(OR(ISNUMBER($R43),$R43="DNA"),$R43,IF(OR(ISNUMBER($Q43),$Q43="DNA"),$Q43,IF(OR(ISNUMBER($N43),$N43="DNA"),$N43,IF(OR(ISNUMBER($M43),$M43="DNA"),$M43,IF(OR(ISNUMBER($L43),$L43="DNA"),$L43,"")))))))))="DNA","Rebook DNA",IF(ISNUMBER(IF(OR(ISNUMBER($V43),$V43="DNA"),$V43,IF(OR(ISNUMBER($U43),$U43="DNA"),$U43,IF(OR(ISNUMBER($T43),$T43="DNA"),$T43,IF(OR(ISNUMBER($S43),$S43="DNA"),$S43,IF(OR(ISNUMBER($R43),$R43="DNA"),$R43,IF(OR(ISNUMBER($Q43),$Q43="DNA"),$Q43,IF(OR(ISNUMBER($N43),$N43="DNA"),$N43,IF(OR(ISNUMBER($M43),$M43="DNA"),$M43,IF(OR(ISNUMBER($L43),$L43="DNA"),$L43,"")))))))))),IF(ISNUMBER($V43),"Update status","Missed/not booked?"),""))))</f>
        <v/>
      </c>
      <c r="K43" s="29">
        <f>IF(NOT(AND($A43&lt;&gt;"",OR($G43="",$G43="Active"))),"",IF(MIN(IF(AND(ISNUMBER($L43),$L43&gt;=TODAY()),$L43,99999),IF(AND(ISNUMBER($M43),$M43&gt;=TODAY()),$M43,99999),IF(AND(ISNUMBER($N43),$N43&gt;=TODAY()),$N43,99999),IF(AND(ISNUMBER($Q43),$Q43&gt;=TODAY()),$Q43,99999),IF(AND(ISNUMBER($R43),$R43&gt;=TODAY()),$R43,99999),IF(AND(ISNUMBER($S43),$S43&gt;=TODAY()),$S43,99999),IF(AND(ISNUMBER($T43),$T43&gt;=TODAY()),$T43,99999),IF(AND(ISNUMBER($U43),$U43&gt;=TODAY()),$U43,99999),IF(AND(ISNUMBER($V43),$V43&gt;=TODAY()),$V43,99999))=99999,"",MIN(IF(AND(ISNUMBER($L43),$L43&gt;=TODAY()),$L43,99999),IF(AND(ISNUMBER($M43),$M43&gt;=TODAY()),$M43,99999),IF(AND(ISNUMBER($N43),$N43&gt;=TODAY()),$N43,99999),IF(AND(ISNUMBER($Q43),$Q43&gt;=TODAY()),$Q43,99999),IF(AND(ISNUMBER($R43),$R43&gt;=TODAY()),$R43,99999),IF(AND(ISNUMBER($S43),$S43&gt;=TODAY()),$S43,99999),IF(AND(ISNUMBER($T43),$T43&gt;=TODAY()),$T43,99999),IF(AND(ISNUMBER($U43),$U43&gt;=TODAY()),$U43,99999),IF(AND(ISNUMBER($V43),$V43&gt;=TODAY()),$V43,99999))))</f>
        <v/>
      </c>
      <c r="L43" s="27" t="n"/>
      <c r="M43" s="27" t="n"/>
      <c r="N43" s="27" t="n"/>
      <c r="O43" s="27" t="n"/>
      <c r="P43" s="27" t="n"/>
      <c r="Q43" s="27" t="n"/>
      <c r="R43" s="27" t="n"/>
      <c r="S43" s="27" t="n"/>
      <c r="T43" s="27" t="n"/>
      <c r="U43" s="27" t="n"/>
      <c r="V43" s="27" t="n"/>
      <c r="W43" s="27" t="n"/>
      <c r="X43" s="27" t="n"/>
      <c r="Y43" s="27" t="n"/>
      <c r="Z43" s="30" t="n"/>
      <c r="AA43" s="25" t="n"/>
      <c r="AB43" s="28">
        <f>IF(NOT(AND($A43&lt;&gt;"",OR($G43="",$G43="Active"))),"",IF(OR(IF(OR(ISNUMBER($V43),$V43="DNA"),$V43,IF(OR(ISNUMBER($U43),$U43="DNA"),$U43,IF(OR(ISNUMBER($T43),$T43="DNA"),$T43,IF(OR(ISNUMBER($S43),$S43="DNA"),$S43,IF(OR(ISNUMBER($R43),$R43="DNA"),$R43,IF(OR(ISNUMBER($Q43),$Q43="DNA"),$Q43,IF(OR(ISNUMBER($N43),$N43="DNA"),$N43,IF(OR(ISNUMBER($M43),$M43="DNA"),$M43,IF(OR(ISNUMBER($L43),$L43="DNA"),$L43,"")))))))))="DNA",AND(ISNUMBER(IF(OR(ISNUMBER($V43),$V43="DNA"),$V43,IF(OR(ISNUMBER($U43),$U43="DNA"),$U43,IF(OR(ISNUMBER($T43),$T43="DNA"),$T43,IF(OR(ISNUMBER($S43),$S43="DNA"),$S43,IF(OR(ISNUMBER($R43),$R43="DNA"),$R43,IF(OR(ISNUMBER($Q43),$Q43="DNA"),$Q43,IF(OR(ISNUMBER($N43),$N43="DNA"),$N43,IF(OR(ISNUMBER($M43),$M43="DNA"),$M43,IF(OR(ISNUMBER($L43),$L43="DNA"),$L43,"")))))))))),IF(OR(ISNUMBER($V43),$V43="DNA"),$V43,IF(OR(ISNUMBER($U43),$U43="DNA"),$U43,IF(OR(ISNUMBER($T43),$T43="DNA"),$T43,IF(OR(ISNUMBER($S43),$S43="DNA"),$S43,IF(OR(ISNUMBER($R43),$R43="DNA"),$R43,IF(OR(ISNUMBER($Q43),$Q43="DNA"),$Q43,IF(OR(ISNUMBER($N43),$N43="DNA"),$N43,IF(OR(ISNUMBER($M43),$M43="DNA"),$M43,IF(OR(ISNUMBER($L43),$L43="DNA"),$L43,"")))))))))&lt;TODAY())),1,0)+ISNUMBER($O43)*($O43&lt;TODAY())+ISNUMBER($P43)*($P43&lt;TODAY())+ISNUMBER($X43)*($X43&lt;TODAY())+ISNUMBER($Y43)*($Y43&lt;TODAY()))</f>
        <v/>
      </c>
    </row>
    <row r="44">
      <c r="A44" s="25" t="n"/>
      <c r="B44" s="26" t="n"/>
      <c r="C44" s="27" t="n"/>
      <c r="D44" s="25" t="n"/>
      <c r="E44" s="25" t="n"/>
      <c r="F44" s="27" t="n"/>
      <c r="G44" s="25" t="n"/>
      <c r="H44" s="28">
        <f>IF(OR(NOT(AND($A44&lt;&gt;"",OR($G44="",$G44="Active"))),$F44=""),"",INT((TODAY()-$F44+280)/7)&amp;"+"&amp;MOD(TODAY()-$F44+280,7))</f>
        <v/>
      </c>
      <c r="I44" s="28">
        <f>IF(NOT(AND($A44&lt;&gt;"",OR($G44="",$G44="Active"))),"",ISNUMBER($L44)*($L44&gt;=TODAY())*($L44&lt;=TODAY()+7)+ISNUMBER($M44)*($M44&gt;=TODAY())*($M44&lt;=TODAY()+7)+ISNUMBER($N44)*($N44&gt;=TODAY())*($N44&lt;=TODAY()+7)+ISNUMBER($Q44)*($Q44&gt;=TODAY())*($Q44&lt;=TODAY()+7)+ISNUMBER($R44)*($R44&gt;=TODAY())*($R44&lt;=TODAY()+7)+ISNUMBER($S44)*($S44&gt;=TODAY())*($S44&lt;=TODAY()+7)+ISNUMBER($T44)*($T44&gt;=TODAY())*($T44&lt;=TODAY()+7)+ISNUMBER($U44)*($U44&gt;=TODAY())*($U44&lt;=TODAY()+7)+ISNUMBER($V44)*($V44&gt;=TODAY())*($V44&lt;=TODAY()+7)+ISNUMBER($O44)*($O44&gt;=TODAY())*($O44&lt;=TODAY()+7)+ISNUMBER($P44)*($P44&gt;=TODAY())*($P44&lt;=TODAY()+7)+ISNUMBER($X44)*($X44&gt;=TODAY())*($X44&lt;=TODAY()+7)+ISNUMBER($Y44)*($Y44&gt;=TODAY())*($Y44&lt;=TODAY()+7))</f>
        <v/>
      </c>
      <c r="J44" s="28">
        <f>IF(NOT(AND($A44&lt;&gt;"",OR($G44="",$G44="Active"))),"",IF($K44&lt;&gt;"",IF($L44=$K44,"Booking",IF($M44=$K44,"16/40",IF($N44=$K44,"25/40",IF($Q44=$K44,"28/40",IF($R44=$K44,"31/40",IF($S44=$K44,"34/40",IF($T44=$K44,"36/40",IF($U44=$K44,"38/40",IF($V44=$K44,"40/40",""))))))))),IF(IF(OR(ISNUMBER($V44),$V44="DNA"),$V44,IF(OR(ISNUMBER($U44),$U44="DNA"),$U44,IF(OR(ISNUMBER($T44),$T44="DNA"),$T44,IF(OR(ISNUMBER($S44),$S44="DNA"),$S44,IF(OR(ISNUMBER($R44),$R44="DNA"),$R44,IF(OR(ISNUMBER($Q44),$Q44="DNA"),$Q44,IF(OR(ISNUMBER($N44),$N44="DNA"),$N44,IF(OR(ISNUMBER($M44),$M44="DNA"),$M44,IF(OR(ISNUMBER($L44),$L44="DNA"),$L44,"")))))))))="DNA","Rebook DNA",IF(ISNUMBER(IF(OR(ISNUMBER($V44),$V44="DNA"),$V44,IF(OR(ISNUMBER($U44),$U44="DNA"),$U44,IF(OR(ISNUMBER($T44),$T44="DNA"),$T44,IF(OR(ISNUMBER($S44),$S44="DNA"),$S44,IF(OR(ISNUMBER($R44),$R44="DNA"),$R44,IF(OR(ISNUMBER($Q44),$Q44="DNA"),$Q44,IF(OR(ISNUMBER($N44),$N44="DNA"),$N44,IF(OR(ISNUMBER($M44),$M44="DNA"),$M44,IF(OR(ISNUMBER($L44),$L44="DNA"),$L44,"")))))))))),IF(ISNUMBER($V44),"Update status","Missed/not booked?"),""))))</f>
        <v/>
      </c>
      <c r="K44" s="29">
        <f>IF(NOT(AND($A44&lt;&gt;"",OR($G44="",$G44="Active"))),"",IF(MIN(IF(AND(ISNUMBER($L44),$L44&gt;=TODAY()),$L44,99999),IF(AND(ISNUMBER($M44),$M44&gt;=TODAY()),$M44,99999),IF(AND(ISNUMBER($N44),$N44&gt;=TODAY()),$N44,99999),IF(AND(ISNUMBER($Q44),$Q44&gt;=TODAY()),$Q44,99999),IF(AND(ISNUMBER($R44),$R44&gt;=TODAY()),$R44,99999),IF(AND(ISNUMBER($S44),$S44&gt;=TODAY()),$S44,99999),IF(AND(ISNUMBER($T44),$T44&gt;=TODAY()),$T44,99999),IF(AND(ISNUMBER($U44),$U44&gt;=TODAY()),$U44,99999),IF(AND(ISNUMBER($V44),$V44&gt;=TODAY()),$V44,99999))=99999,"",MIN(IF(AND(ISNUMBER($L44),$L44&gt;=TODAY()),$L44,99999),IF(AND(ISNUMBER($M44),$M44&gt;=TODAY()),$M44,99999),IF(AND(ISNUMBER($N44),$N44&gt;=TODAY()),$N44,99999),IF(AND(ISNUMBER($Q44),$Q44&gt;=TODAY()),$Q44,99999),IF(AND(ISNUMBER($R44),$R44&gt;=TODAY()),$R44,99999),IF(AND(ISNUMBER($S44),$S44&gt;=TODAY()),$S44,99999),IF(AND(ISNUMBER($T44),$T44&gt;=TODAY()),$T44,99999),IF(AND(ISNUMBER($U44),$U44&gt;=TODAY()),$U44,99999),IF(AND(ISNUMBER($V44),$V44&gt;=TODAY()),$V44,99999))))</f>
        <v/>
      </c>
      <c r="L44" s="27" t="n"/>
      <c r="M44" s="27" t="n"/>
      <c r="N44" s="27" t="n"/>
      <c r="O44" s="27" t="n"/>
      <c r="P44" s="27" t="n"/>
      <c r="Q44" s="27" t="n"/>
      <c r="R44" s="27" t="n"/>
      <c r="S44" s="27" t="n"/>
      <c r="T44" s="27" t="n"/>
      <c r="U44" s="27" t="n"/>
      <c r="V44" s="27" t="n"/>
      <c r="W44" s="27" t="n"/>
      <c r="X44" s="27" t="n"/>
      <c r="Y44" s="27" t="n"/>
      <c r="Z44" s="30" t="n"/>
      <c r="AA44" s="25" t="n"/>
      <c r="AB44" s="28">
        <f>IF(NOT(AND($A44&lt;&gt;"",OR($G44="",$G44="Active"))),"",IF(OR(IF(OR(ISNUMBER($V44),$V44="DNA"),$V44,IF(OR(ISNUMBER($U44),$U44="DNA"),$U44,IF(OR(ISNUMBER($T44),$T44="DNA"),$T44,IF(OR(ISNUMBER($S44),$S44="DNA"),$S44,IF(OR(ISNUMBER($R44),$R44="DNA"),$R44,IF(OR(ISNUMBER($Q44),$Q44="DNA"),$Q44,IF(OR(ISNUMBER($N44),$N44="DNA"),$N44,IF(OR(ISNUMBER($M44),$M44="DNA"),$M44,IF(OR(ISNUMBER($L44),$L44="DNA"),$L44,"")))))))))="DNA",AND(ISNUMBER(IF(OR(ISNUMBER($V44),$V44="DNA"),$V44,IF(OR(ISNUMBER($U44),$U44="DNA"),$U44,IF(OR(ISNUMBER($T44),$T44="DNA"),$T44,IF(OR(ISNUMBER($S44),$S44="DNA"),$S44,IF(OR(ISNUMBER($R44),$R44="DNA"),$R44,IF(OR(ISNUMBER($Q44),$Q44="DNA"),$Q44,IF(OR(ISNUMBER($N44),$N44="DNA"),$N44,IF(OR(ISNUMBER($M44),$M44="DNA"),$M44,IF(OR(ISNUMBER($L44),$L44="DNA"),$L44,"")))))))))),IF(OR(ISNUMBER($V44),$V44="DNA"),$V44,IF(OR(ISNUMBER($U44),$U44="DNA"),$U44,IF(OR(ISNUMBER($T44),$T44="DNA"),$T44,IF(OR(ISNUMBER($S44),$S44="DNA"),$S44,IF(OR(ISNUMBER($R44),$R44="DNA"),$R44,IF(OR(ISNUMBER($Q44),$Q44="DNA"),$Q44,IF(OR(ISNUMBER($N44),$N44="DNA"),$N44,IF(OR(ISNUMBER($M44),$M44="DNA"),$M44,IF(OR(ISNUMBER($L44),$L44="DNA"),$L44,"")))))))))&lt;TODAY())),1,0)+ISNUMBER($O44)*($O44&lt;TODAY())+ISNUMBER($P44)*($P44&lt;TODAY())+ISNUMBER($X44)*($X44&lt;TODAY())+ISNUMBER($Y44)*($Y44&lt;TODAY()))</f>
        <v/>
      </c>
    </row>
    <row r="45">
      <c r="A45" s="25" t="n"/>
      <c r="B45" s="26" t="n"/>
      <c r="C45" s="27" t="n"/>
      <c r="D45" s="25" t="n"/>
      <c r="E45" s="25" t="n"/>
      <c r="F45" s="27" t="n"/>
      <c r="G45" s="25" t="n"/>
      <c r="H45" s="28">
        <f>IF(OR(NOT(AND($A45&lt;&gt;"",OR($G45="",$G45="Active"))),$F45=""),"",INT((TODAY()-$F45+280)/7)&amp;"+"&amp;MOD(TODAY()-$F45+280,7))</f>
        <v/>
      </c>
      <c r="I45" s="28">
        <f>IF(NOT(AND($A45&lt;&gt;"",OR($G45="",$G45="Active"))),"",ISNUMBER($L45)*($L45&gt;=TODAY())*($L45&lt;=TODAY()+7)+ISNUMBER($M45)*($M45&gt;=TODAY())*($M45&lt;=TODAY()+7)+ISNUMBER($N45)*($N45&gt;=TODAY())*($N45&lt;=TODAY()+7)+ISNUMBER($Q45)*($Q45&gt;=TODAY())*($Q45&lt;=TODAY()+7)+ISNUMBER($R45)*($R45&gt;=TODAY())*($R45&lt;=TODAY()+7)+ISNUMBER($S45)*($S45&gt;=TODAY())*($S45&lt;=TODAY()+7)+ISNUMBER($T45)*($T45&gt;=TODAY())*($T45&lt;=TODAY()+7)+ISNUMBER($U45)*($U45&gt;=TODAY())*($U45&lt;=TODAY()+7)+ISNUMBER($V45)*($V45&gt;=TODAY())*($V45&lt;=TODAY()+7)+ISNUMBER($O45)*($O45&gt;=TODAY())*($O45&lt;=TODAY()+7)+ISNUMBER($P45)*($P45&gt;=TODAY())*($P45&lt;=TODAY()+7)+ISNUMBER($X45)*($X45&gt;=TODAY())*($X45&lt;=TODAY()+7)+ISNUMBER($Y45)*($Y45&gt;=TODAY())*($Y45&lt;=TODAY()+7))</f>
        <v/>
      </c>
      <c r="J45" s="28">
        <f>IF(NOT(AND($A45&lt;&gt;"",OR($G45="",$G45="Active"))),"",IF($K45&lt;&gt;"",IF($L45=$K45,"Booking",IF($M45=$K45,"16/40",IF($N45=$K45,"25/40",IF($Q45=$K45,"28/40",IF($R45=$K45,"31/40",IF($S45=$K45,"34/40",IF($T45=$K45,"36/40",IF($U45=$K45,"38/40",IF($V45=$K45,"40/40",""))))))))),IF(IF(OR(ISNUMBER($V45),$V45="DNA"),$V45,IF(OR(ISNUMBER($U45),$U45="DNA"),$U45,IF(OR(ISNUMBER($T45),$T45="DNA"),$T45,IF(OR(ISNUMBER($S45),$S45="DNA"),$S45,IF(OR(ISNUMBER($R45),$R45="DNA"),$R45,IF(OR(ISNUMBER($Q45),$Q45="DNA"),$Q45,IF(OR(ISNUMBER($N45),$N45="DNA"),$N45,IF(OR(ISNUMBER($M45),$M45="DNA"),$M45,IF(OR(ISNUMBER($L45),$L45="DNA"),$L45,"")))))))))="DNA","Rebook DNA",IF(ISNUMBER(IF(OR(ISNUMBER($V45),$V45="DNA"),$V45,IF(OR(ISNUMBER($U45),$U45="DNA"),$U45,IF(OR(ISNUMBER($T45),$T45="DNA"),$T45,IF(OR(ISNUMBER($S45),$S45="DNA"),$S45,IF(OR(ISNUMBER($R45),$R45="DNA"),$R45,IF(OR(ISNUMBER($Q45),$Q45="DNA"),$Q45,IF(OR(ISNUMBER($N45),$N45="DNA"),$N45,IF(OR(ISNUMBER($M45),$M45="DNA"),$M45,IF(OR(ISNUMBER($L45),$L45="DNA"),$L45,"")))))))))),IF(ISNUMBER($V45),"Update status","Missed/not booked?"),""))))</f>
        <v/>
      </c>
      <c r="K45" s="29">
        <f>IF(NOT(AND($A45&lt;&gt;"",OR($G45="",$G45="Active"))),"",IF(MIN(IF(AND(ISNUMBER($L45),$L45&gt;=TODAY()),$L45,99999),IF(AND(ISNUMBER($M45),$M45&gt;=TODAY()),$M45,99999),IF(AND(ISNUMBER($N45),$N45&gt;=TODAY()),$N45,99999),IF(AND(ISNUMBER($Q45),$Q45&gt;=TODAY()),$Q45,99999),IF(AND(ISNUMBER($R45),$R45&gt;=TODAY()),$R45,99999),IF(AND(ISNUMBER($S45),$S45&gt;=TODAY()),$S45,99999),IF(AND(ISNUMBER($T45),$T45&gt;=TODAY()),$T45,99999),IF(AND(ISNUMBER($U45),$U45&gt;=TODAY()),$U45,99999),IF(AND(ISNUMBER($V45),$V45&gt;=TODAY()),$V45,99999))=99999,"",MIN(IF(AND(ISNUMBER($L45),$L45&gt;=TODAY()),$L45,99999),IF(AND(ISNUMBER($M45),$M45&gt;=TODAY()),$M45,99999),IF(AND(ISNUMBER($N45),$N45&gt;=TODAY()),$N45,99999),IF(AND(ISNUMBER($Q45),$Q45&gt;=TODAY()),$Q45,99999),IF(AND(ISNUMBER($R45),$R45&gt;=TODAY()),$R45,99999),IF(AND(ISNUMBER($S45),$S45&gt;=TODAY()),$S45,99999),IF(AND(ISNUMBER($T45),$T45&gt;=TODAY()),$T45,99999),IF(AND(ISNUMBER($U45),$U45&gt;=TODAY()),$U45,99999),IF(AND(ISNUMBER($V45),$V45&gt;=TODAY()),$V45,99999))))</f>
        <v/>
      </c>
      <c r="L45" s="27" t="n"/>
      <c r="M45" s="27" t="n"/>
      <c r="N45" s="27" t="n"/>
      <c r="O45" s="27" t="n"/>
      <c r="P45" s="27" t="n"/>
      <c r="Q45" s="27" t="n"/>
      <c r="R45" s="27" t="n"/>
      <c r="S45" s="27" t="n"/>
      <c r="T45" s="27" t="n"/>
      <c r="U45" s="27" t="n"/>
      <c r="V45" s="27" t="n"/>
      <c r="W45" s="27" t="n"/>
      <c r="X45" s="27" t="n"/>
      <c r="Y45" s="27" t="n"/>
      <c r="Z45" s="30" t="n"/>
      <c r="AA45" s="25" t="n"/>
      <c r="AB45" s="28">
        <f>IF(NOT(AND($A45&lt;&gt;"",OR($G45="",$G45="Active"))),"",IF(OR(IF(OR(ISNUMBER($V45),$V45="DNA"),$V45,IF(OR(ISNUMBER($U45),$U45="DNA"),$U45,IF(OR(ISNUMBER($T45),$T45="DNA"),$T45,IF(OR(ISNUMBER($S45),$S45="DNA"),$S45,IF(OR(ISNUMBER($R45),$R45="DNA"),$R45,IF(OR(ISNUMBER($Q45),$Q45="DNA"),$Q45,IF(OR(ISNUMBER($N45),$N45="DNA"),$N45,IF(OR(ISNUMBER($M45),$M45="DNA"),$M45,IF(OR(ISNUMBER($L45),$L45="DNA"),$L45,"")))))))))="DNA",AND(ISNUMBER(IF(OR(ISNUMBER($V45),$V45="DNA"),$V45,IF(OR(ISNUMBER($U45),$U45="DNA"),$U45,IF(OR(ISNUMBER($T45),$T45="DNA"),$T45,IF(OR(ISNUMBER($S45),$S45="DNA"),$S45,IF(OR(ISNUMBER($R45),$R45="DNA"),$R45,IF(OR(ISNUMBER($Q45),$Q45="DNA"),$Q45,IF(OR(ISNUMBER($N45),$N45="DNA"),$N45,IF(OR(ISNUMBER($M45),$M45="DNA"),$M45,IF(OR(ISNUMBER($L45),$L45="DNA"),$L45,"")))))))))),IF(OR(ISNUMBER($V45),$V45="DNA"),$V45,IF(OR(ISNUMBER($U45),$U45="DNA"),$U45,IF(OR(ISNUMBER($T45),$T45="DNA"),$T45,IF(OR(ISNUMBER($S45),$S45="DNA"),$S45,IF(OR(ISNUMBER($R45),$R45="DNA"),$R45,IF(OR(ISNUMBER($Q45),$Q45="DNA"),$Q45,IF(OR(ISNUMBER($N45),$N45="DNA"),$N45,IF(OR(ISNUMBER($M45),$M45="DNA"),$M45,IF(OR(ISNUMBER($L45),$L45="DNA"),$L45,"")))))))))&lt;TODAY())),1,0)+ISNUMBER($O45)*($O45&lt;TODAY())+ISNUMBER($P45)*($P45&lt;TODAY())+ISNUMBER($X45)*($X45&lt;TODAY())+ISNUMBER($Y45)*($Y45&lt;TODAY()))</f>
        <v/>
      </c>
    </row>
    <row r="46">
      <c r="A46" s="25" t="n"/>
      <c r="B46" s="26" t="n"/>
      <c r="C46" s="27" t="n"/>
      <c r="D46" s="25" t="n"/>
      <c r="E46" s="25" t="n"/>
      <c r="F46" s="27" t="n"/>
      <c r="G46" s="25" t="n"/>
      <c r="H46" s="28">
        <f>IF(OR(NOT(AND($A46&lt;&gt;"",OR($G46="",$G46="Active"))),$F46=""),"",INT((TODAY()-$F46+280)/7)&amp;"+"&amp;MOD(TODAY()-$F46+280,7))</f>
        <v/>
      </c>
      <c r="I46" s="28">
        <f>IF(NOT(AND($A46&lt;&gt;"",OR($G46="",$G46="Active"))),"",ISNUMBER($L46)*($L46&gt;=TODAY())*($L46&lt;=TODAY()+7)+ISNUMBER($M46)*($M46&gt;=TODAY())*($M46&lt;=TODAY()+7)+ISNUMBER($N46)*($N46&gt;=TODAY())*($N46&lt;=TODAY()+7)+ISNUMBER($Q46)*($Q46&gt;=TODAY())*($Q46&lt;=TODAY()+7)+ISNUMBER($R46)*($R46&gt;=TODAY())*($R46&lt;=TODAY()+7)+ISNUMBER($S46)*($S46&gt;=TODAY())*($S46&lt;=TODAY()+7)+ISNUMBER($T46)*($T46&gt;=TODAY())*($T46&lt;=TODAY()+7)+ISNUMBER($U46)*($U46&gt;=TODAY())*($U46&lt;=TODAY()+7)+ISNUMBER($V46)*($V46&gt;=TODAY())*($V46&lt;=TODAY()+7)+ISNUMBER($O46)*($O46&gt;=TODAY())*($O46&lt;=TODAY()+7)+ISNUMBER($P46)*($P46&gt;=TODAY())*($P46&lt;=TODAY()+7)+ISNUMBER($X46)*($X46&gt;=TODAY())*($X46&lt;=TODAY()+7)+ISNUMBER($Y46)*($Y46&gt;=TODAY())*($Y46&lt;=TODAY()+7))</f>
        <v/>
      </c>
      <c r="J46" s="28">
        <f>IF(NOT(AND($A46&lt;&gt;"",OR($G46="",$G46="Active"))),"",IF($K46&lt;&gt;"",IF($L46=$K46,"Booking",IF($M46=$K46,"16/40",IF($N46=$K46,"25/40",IF($Q46=$K46,"28/40",IF($R46=$K46,"31/40",IF($S46=$K46,"34/40",IF($T46=$K46,"36/40",IF($U46=$K46,"38/40",IF($V46=$K46,"40/40",""))))))))),IF(IF(OR(ISNUMBER($V46),$V46="DNA"),$V46,IF(OR(ISNUMBER($U46),$U46="DNA"),$U46,IF(OR(ISNUMBER($T46),$T46="DNA"),$T46,IF(OR(ISNUMBER($S46),$S46="DNA"),$S46,IF(OR(ISNUMBER($R46),$R46="DNA"),$R46,IF(OR(ISNUMBER($Q46),$Q46="DNA"),$Q46,IF(OR(ISNUMBER($N46),$N46="DNA"),$N46,IF(OR(ISNUMBER($M46),$M46="DNA"),$M46,IF(OR(ISNUMBER($L46),$L46="DNA"),$L46,"")))))))))="DNA","Rebook DNA",IF(ISNUMBER(IF(OR(ISNUMBER($V46),$V46="DNA"),$V46,IF(OR(ISNUMBER($U46),$U46="DNA"),$U46,IF(OR(ISNUMBER($T46),$T46="DNA"),$T46,IF(OR(ISNUMBER($S46),$S46="DNA"),$S46,IF(OR(ISNUMBER($R46),$R46="DNA"),$R46,IF(OR(ISNUMBER($Q46),$Q46="DNA"),$Q46,IF(OR(ISNUMBER($N46),$N46="DNA"),$N46,IF(OR(ISNUMBER($M46),$M46="DNA"),$M46,IF(OR(ISNUMBER($L46),$L46="DNA"),$L46,"")))))))))),IF(ISNUMBER($V46),"Update status","Missed/not booked?"),""))))</f>
        <v/>
      </c>
      <c r="K46" s="29">
        <f>IF(NOT(AND($A46&lt;&gt;"",OR($G46="",$G46="Active"))),"",IF(MIN(IF(AND(ISNUMBER($L46),$L46&gt;=TODAY()),$L46,99999),IF(AND(ISNUMBER($M46),$M46&gt;=TODAY()),$M46,99999),IF(AND(ISNUMBER($N46),$N46&gt;=TODAY()),$N46,99999),IF(AND(ISNUMBER($Q46),$Q46&gt;=TODAY()),$Q46,99999),IF(AND(ISNUMBER($R46),$R46&gt;=TODAY()),$R46,99999),IF(AND(ISNUMBER($S46),$S46&gt;=TODAY()),$S46,99999),IF(AND(ISNUMBER($T46),$T46&gt;=TODAY()),$T46,99999),IF(AND(ISNUMBER($U46),$U46&gt;=TODAY()),$U46,99999),IF(AND(ISNUMBER($V46),$V46&gt;=TODAY()),$V46,99999))=99999,"",MIN(IF(AND(ISNUMBER($L46),$L46&gt;=TODAY()),$L46,99999),IF(AND(ISNUMBER($M46),$M46&gt;=TODAY()),$M46,99999),IF(AND(ISNUMBER($N46),$N46&gt;=TODAY()),$N46,99999),IF(AND(ISNUMBER($Q46),$Q46&gt;=TODAY()),$Q46,99999),IF(AND(ISNUMBER($R46),$R46&gt;=TODAY()),$R46,99999),IF(AND(ISNUMBER($S46),$S46&gt;=TODAY()),$S46,99999),IF(AND(ISNUMBER($T46),$T46&gt;=TODAY()),$T46,99999),IF(AND(ISNUMBER($U46),$U46&gt;=TODAY()),$U46,99999),IF(AND(ISNUMBER($V46),$V46&gt;=TODAY()),$V46,99999))))</f>
        <v/>
      </c>
      <c r="L46" s="27" t="n"/>
      <c r="M46" s="27" t="n"/>
      <c r="N46" s="27" t="n"/>
      <c r="O46" s="27" t="n"/>
      <c r="P46" s="27" t="n"/>
      <c r="Q46" s="27" t="n"/>
      <c r="R46" s="27" t="n"/>
      <c r="S46" s="27" t="n"/>
      <c r="T46" s="27" t="n"/>
      <c r="U46" s="27" t="n"/>
      <c r="V46" s="27" t="n"/>
      <c r="W46" s="27" t="n"/>
      <c r="X46" s="27" t="n"/>
      <c r="Y46" s="27" t="n"/>
      <c r="Z46" s="30" t="n"/>
      <c r="AA46" s="25" t="n"/>
      <c r="AB46" s="28">
        <f>IF(NOT(AND($A46&lt;&gt;"",OR($G46="",$G46="Active"))),"",IF(OR(IF(OR(ISNUMBER($V46),$V46="DNA"),$V46,IF(OR(ISNUMBER($U46),$U46="DNA"),$U46,IF(OR(ISNUMBER($T46),$T46="DNA"),$T46,IF(OR(ISNUMBER($S46),$S46="DNA"),$S46,IF(OR(ISNUMBER($R46),$R46="DNA"),$R46,IF(OR(ISNUMBER($Q46),$Q46="DNA"),$Q46,IF(OR(ISNUMBER($N46),$N46="DNA"),$N46,IF(OR(ISNUMBER($M46),$M46="DNA"),$M46,IF(OR(ISNUMBER($L46),$L46="DNA"),$L46,"")))))))))="DNA",AND(ISNUMBER(IF(OR(ISNUMBER($V46),$V46="DNA"),$V46,IF(OR(ISNUMBER($U46),$U46="DNA"),$U46,IF(OR(ISNUMBER($T46),$T46="DNA"),$T46,IF(OR(ISNUMBER($S46),$S46="DNA"),$S46,IF(OR(ISNUMBER($R46),$R46="DNA"),$R46,IF(OR(ISNUMBER($Q46),$Q46="DNA"),$Q46,IF(OR(ISNUMBER($N46),$N46="DNA"),$N46,IF(OR(ISNUMBER($M46),$M46="DNA"),$M46,IF(OR(ISNUMBER($L46),$L46="DNA"),$L46,"")))))))))),IF(OR(ISNUMBER($V46),$V46="DNA"),$V46,IF(OR(ISNUMBER($U46),$U46="DNA"),$U46,IF(OR(ISNUMBER($T46),$T46="DNA"),$T46,IF(OR(ISNUMBER($S46),$S46="DNA"),$S46,IF(OR(ISNUMBER($R46),$R46="DNA"),$R46,IF(OR(ISNUMBER($Q46),$Q46="DNA"),$Q46,IF(OR(ISNUMBER($N46),$N46="DNA"),$N46,IF(OR(ISNUMBER($M46),$M46="DNA"),$M46,IF(OR(ISNUMBER($L46),$L46="DNA"),$L46,"")))))))))&lt;TODAY())),1,0)+ISNUMBER($O46)*($O46&lt;TODAY())+ISNUMBER($P46)*($P46&lt;TODAY())+ISNUMBER($X46)*($X46&lt;TODAY())+ISNUMBER($Y46)*($Y46&lt;TODAY()))</f>
        <v/>
      </c>
    </row>
    <row r="47">
      <c r="A47" s="25" t="n"/>
      <c r="B47" s="26" t="n"/>
      <c r="C47" s="27" t="n"/>
      <c r="D47" s="25" t="n"/>
      <c r="E47" s="25" t="n"/>
      <c r="F47" s="27" t="n"/>
      <c r="G47" s="25" t="n"/>
      <c r="H47" s="28">
        <f>IF(OR(NOT(AND($A47&lt;&gt;"",OR($G47="",$G47="Active"))),$F47=""),"",INT((TODAY()-$F47+280)/7)&amp;"+"&amp;MOD(TODAY()-$F47+280,7))</f>
        <v/>
      </c>
      <c r="I47" s="28">
        <f>IF(NOT(AND($A47&lt;&gt;"",OR($G47="",$G47="Active"))),"",ISNUMBER($L47)*($L47&gt;=TODAY())*($L47&lt;=TODAY()+7)+ISNUMBER($M47)*($M47&gt;=TODAY())*($M47&lt;=TODAY()+7)+ISNUMBER($N47)*($N47&gt;=TODAY())*($N47&lt;=TODAY()+7)+ISNUMBER($Q47)*($Q47&gt;=TODAY())*($Q47&lt;=TODAY()+7)+ISNUMBER($R47)*($R47&gt;=TODAY())*($R47&lt;=TODAY()+7)+ISNUMBER($S47)*($S47&gt;=TODAY())*($S47&lt;=TODAY()+7)+ISNUMBER($T47)*($T47&gt;=TODAY())*($T47&lt;=TODAY()+7)+ISNUMBER($U47)*($U47&gt;=TODAY())*($U47&lt;=TODAY()+7)+ISNUMBER($V47)*($V47&gt;=TODAY())*($V47&lt;=TODAY()+7)+ISNUMBER($O47)*($O47&gt;=TODAY())*($O47&lt;=TODAY()+7)+ISNUMBER($P47)*($P47&gt;=TODAY())*($P47&lt;=TODAY()+7)+ISNUMBER($X47)*($X47&gt;=TODAY())*($X47&lt;=TODAY()+7)+ISNUMBER($Y47)*($Y47&gt;=TODAY())*($Y47&lt;=TODAY()+7))</f>
        <v/>
      </c>
      <c r="J47" s="28">
        <f>IF(NOT(AND($A47&lt;&gt;"",OR($G47="",$G47="Active"))),"",IF($K47&lt;&gt;"",IF($L47=$K47,"Booking",IF($M47=$K47,"16/40",IF($N47=$K47,"25/40",IF($Q47=$K47,"28/40",IF($R47=$K47,"31/40",IF($S47=$K47,"34/40",IF($T47=$K47,"36/40",IF($U47=$K47,"38/40",IF($V47=$K47,"40/40",""))))))))),IF(IF(OR(ISNUMBER($V47),$V47="DNA"),$V47,IF(OR(ISNUMBER($U47),$U47="DNA"),$U47,IF(OR(ISNUMBER($T47),$T47="DNA"),$T47,IF(OR(ISNUMBER($S47),$S47="DNA"),$S47,IF(OR(ISNUMBER($R47),$R47="DNA"),$R47,IF(OR(ISNUMBER($Q47),$Q47="DNA"),$Q47,IF(OR(ISNUMBER($N47),$N47="DNA"),$N47,IF(OR(ISNUMBER($M47),$M47="DNA"),$M47,IF(OR(ISNUMBER($L47),$L47="DNA"),$L47,"")))))))))="DNA","Rebook DNA",IF(ISNUMBER(IF(OR(ISNUMBER($V47),$V47="DNA"),$V47,IF(OR(ISNUMBER($U47),$U47="DNA"),$U47,IF(OR(ISNUMBER($T47),$T47="DNA"),$T47,IF(OR(ISNUMBER($S47),$S47="DNA"),$S47,IF(OR(ISNUMBER($R47),$R47="DNA"),$R47,IF(OR(ISNUMBER($Q47),$Q47="DNA"),$Q47,IF(OR(ISNUMBER($N47),$N47="DNA"),$N47,IF(OR(ISNUMBER($M47),$M47="DNA"),$M47,IF(OR(ISNUMBER($L47),$L47="DNA"),$L47,"")))))))))),IF(ISNUMBER($V47),"Update status","Missed/not booked?"),""))))</f>
        <v/>
      </c>
      <c r="K47" s="29">
        <f>IF(NOT(AND($A47&lt;&gt;"",OR($G47="",$G47="Active"))),"",IF(MIN(IF(AND(ISNUMBER($L47),$L47&gt;=TODAY()),$L47,99999),IF(AND(ISNUMBER($M47),$M47&gt;=TODAY()),$M47,99999),IF(AND(ISNUMBER($N47),$N47&gt;=TODAY()),$N47,99999),IF(AND(ISNUMBER($Q47),$Q47&gt;=TODAY()),$Q47,99999),IF(AND(ISNUMBER($R47),$R47&gt;=TODAY()),$R47,99999),IF(AND(ISNUMBER($S47),$S47&gt;=TODAY()),$S47,99999),IF(AND(ISNUMBER($T47),$T47&gt;=TODAY()),$T47,99999),IF(AND(ISNUMBER($U47),$U47&gt;=TODAY()),$U47,99999),IF(AND(ISNUMBER($V47),$V47&gt;=TODAY()),$V47,99999))=99999,"",MIN(IF(AND(ISNUMBER($L47),$L47&gt;=TODAY()),$L47,99999),IF(AND(ISNUMBER($M47),$M47&gt;=TODAY()),$M47,99999),IF(AND(ISNUMBER($N47),$N47&gt;=TODAY()),$N47,99999),IF(AND(ISNUMBER($Q47),$Q47&gt;=TODAY()),$Q47,99999),IF(AND(ISNUMBER($R47),$R47&gt;=TODAY()),$R47,99999),IF(AND(ISNUMBER($S47),$S47&gt;=TODAY()),$S47,99999),IF(AND(ISNUMBER($T47),$T47&gt;=TODAY()),$T47,99999),IF(AND(ISNUMBER($U47),$U47&gt;=TODAY()),$U47,99999),IF(AND(ISNUMBER($V47),$V47&gt;=TODAY()),$V47,99999))))</f>
        <v/>
      </c>
      <c r="L47" s="27" t="n"/>
      <c r="M47" s="27" t="n"/>
      <c r="N47" s="27" t="n"/>
      <c r="O47" s="27" t="n"/>
      <c r="P47" s="27" t="n"/>
      <c r="Q47" s="27" t="n"/>
      <c r="R47" s="27" t="n"/>
      <c r="S47" s="27" t="n"/>
      <c r="T47" s="27" t="n"/>
      <c r="U47" s="27" t="n"/>
      <c r="V47" s="27" t="n"/>
      <c r="W47" s="27" t="n"/>
      <c r="X47" s="27" t="n"/>
      <c r="Y47" s="27" t="n"/>
      <c r="Z47" s="30" t="n"/>
      <c r="AA47" s="25" t="n"/>
      <c r="AB47" s="28">
        <f>IF(NOT(AND($A47&lt;&gt;"",OR($G47="",$G47="Active"))),"",IF(OR(IF(OR(ISNUMBER($V47),$V47="DNA"),$V47,IF(OR(ISNUMBER($U47),$U47="DNA"),$U47,IF(OR(ISNUMBER($T47),$T47="DNA"),$T47,IF(OR(ISNUMBER($S47),$S47="DNA"),$S47,IF(OR(ISNUMBER($R47),$R47="DNA"),$R47,IF(OR(ISNUMBER($Q47),$Q47="DNA"),$Q47,IF(OR(ISNUMBER($N47),$N47="DNA"),$N47,IF(OR(ISNUMBER($M47),$M47="DNA"),$M47,IF(OR(ISNUMBER($L47),$L47="DNA"),$L47,"")))))))))="DNA",AND(ISNUMBER(IF(OR(ISNUMBER($V47),$V47="DNA"),$V47,IF(OR(ISNUMBER($U47),$U47="DNA"),$U47,IF(OR(ISNUMBER($T47),$T47="DNA"),$T47,IF(OR(ISNUMBER($S47),$S47="DNA"),$S47,IF(OR(ISNUMBER($R47),$R47="DNA"),$R47,IF(OR(ISNUMBER($Q47),$Q47="DNA"),$Q47,IF(OR(ISNUMBER($N47),$N47="DNA"),$N47,IF(OR(ISNUMBER($M47),$M47="DNA"),$M47,IF(OR(ISNUMBER($L47),$L47="DNA"),$L47,"")))))))))),IF(OR(ISNUMBER($V47),$V47="DNA"),$V47,IF(OR(ISNUMBER($U47),$U47="DNA"),$U47,IF(OR(ISNUMBER($T47),$T47="DNA"),$T47,IF(OR(ISNUMBER($S47),$S47="DNA"),$S47,IF(OR(ISNUMBER($R47),$R47="DNA"),$R47,IF(OR(ISNUMBER($Q47),$Q47="DNA"),$Q47,IF(OR(ISNUMBER($N47),$N47="DNA"),$N47,IF(OR(ISNUMBER($M47),$M47="DNA"),$M47,IF(OR(ISNUMBER($L47),$L47="DNA"),$L47,"")))))))))&lt;TODAY())),1,0)+ISNUMBER($O47)*($O47&lt;TODAY())+ISNUMBER($P47)*($P47&lt;TODAY())+ISNUMBER($X47)*($X47&lt;TODAY())+ISNUMBER($Y47)*($Y47&lt;TODAY()))</f>
        <v/>
      </c>
    </row>
    <row r="48">
      <c r="A48" s="25" t="n"/>
      <c r="B48" s="26" t="n"/>
      <c r="C48" s="27" t="n"/>
      <c r="D48" s="25" t="n"/>
      <c r="E48" s="25" t="n"/>
      <c r="F48" s="27" t="n"/>
      <c r="G48" s="25" t="n"/>
      <c r="H48" s="28">
        <f>IF(OR(NOT(AND($A48&lt;&gt;"",OR($G48="",$G48="Active"))),$F48=""),"",INT((TODAY()-$F48+280)/7)&amp;"+"&amp;MOD(TODAY()-$F48+280,7))</f>
        <v/>
      </c>
      <c r="I48" s="28">
        <f>IF(NOT(AND($A48&lt;&gt;"",OR($G48="",$G48="Active"))),"",ISNUMBER($L48)*($L48&gt;=TODAY())*($L48&lt;=TODAY()+7)+ISNUMBER($M48)*($M48&gt;=TODAY())*($M48&lt;=TODAY()+7)+ISNUMBER($N48)*($N48&gt;=TODAY())*($N48&lt;=TODAY()+7)+ISNUMBER($Q48)*($Q48&gt;=TODAY())*($Q48&lt;=TODAY()+7)+ISNUMBER($R48)*($R48&gt;=TODAY())*($R48&lt;=TODAY()+7)+ISNUMBER($S48)*($S48&gt;=TODAY())*($S48&lt;=TODAY()+7)+ISNUMBER($T48)*($T48&gt;=TODAY())*($T48&lt;=TODAY()+7)+ISNUMBER($U48)*($U48&gt;=TODAY())*($U48&lt;=TODAY()+7)+ISNUMBER($V48)*($V48&gt;=TODAY())*($V48&lt;=TODAY()+7)+ISNUMBER($O48)*($O48&gt;=TODAY())*($O48&lt;=TODAY()+7)+ISNUMBER($P48)*($P48&gt;=TODAY())*($P48&lt;=TODAY()+7)+ISNUMBER($X48)*($X48&gt;=TODAY())*($X48&lt;=TODAY()+7)+ISNUMBER($Y48)*($Y48&gt;=TODAY())*($Y48&lt;=TODAY()+7))</f>
        <v/>
      </c>
      <c r="J48" s="28">
        <f>IF(NOT(AND($A48&lt;&gt;"",OR($G48="",$G48="Active"))),"",IF($K48&lt;&gt;"",IF($L48=$K48,"Booking",IF($M48=$K48,"16/40",IF($N48=$K48,"25/40",IF($Q48=$K48,"28/40",IF($R48=$K48,"31/40",IF($S48=$K48,"34/40",IF($T48=$K48,"36/40",IF($U48=$K48,"38/40",IF($V48=$K48,"40/40",""))))))))),IF(IF(OR(ISNUMBER($V48),$V48="DNA"),$V48,IF(OR(ISNUMBER($U48),$U48="DNA"),$U48,IF(OR(ISNUMBER($T48),$T48="DNA"),$T48,IF(OR(ISNUMBER($S48),$S48="DNA"),$S48,IF(OR(ISNUMBER($R48),$R48="DNA"),$R48,IF(OR(ISNUMBER($Q48),$Q48="DNA"),$Q48,IF(OR(ISNUMBER($N48),$N48="DNA"),$N48,IF(OR(ISNUMBER($M48),$M48="DNA"),$M48,IF(OR(ISNUMBER($L48),$L48="DNA"),$L48,"")))))))))="DNA","Rebook DNA",IF(ISNUMBER(IF(OR(ISNUMBER($V48),$V48="DNA"),$V48,IF(OR(ISNUMBER($U48),$U48="DNA"),$U48,IF(OR(ISNUMBER($T48),$T48="DNA"),$T48,IF(OR(ISNUMBER($S48),$S48="DNA"),$S48,IF(OR(ISNUMBER($R48),$R48="DNA"),$R48,IF(OR(ISNUMBER($Q48),$Q48="DNA"),$Q48,IF(OR(ISNUMBER($N48),$N48="DNA"),$N48,IF(OR(ISNUMBER($M48),$M48="DNA"),$M48,IF(OR(ISNUMBER($L48),$L48="DNA"),$L48,"")))))))))),IF(ISNUMBER($V48),"Update status","Missed/not booked?"),""))))</f>
        <v/>
      </c>
      <c r="K48" s="29">
        <f>IF(NOT(AND($A48&lt;&gt;"",OR($G48="",$G48="Active"))),"",IF(MIN(IF(AND(ISNUMBER($L48),$L48&gt;=TODAY()),$L48,99999),IF(AND(ISNUMBER($M48),$M48&gt;=TODAY()),$M48,99999),IF(AND(ISNUMBER($N48),$N48&gt;=TODAY()),$N48,99999),IF(AND(ISNUMBER($Q48),$Q48&gt;=TODAY()),$Q48,99999),IF(AND(ISNUMBER($R48),$R48&gt;=TODAY()),$R48,99999),IF(AND(ISNUMBER($S48),$S48&gt;=TODAY()),$S48,99999),IF(AND(ISNUMBER($T48),$T48&gt;=TODAY()),$T48,99999),IF(AND(ISNUMBER($U48),$U48&gt;=TODAY()),$U48,99999),IF(AND(ISNUMBER($V48),$V48&gt;=TODAY()),$V48,99999))=99999,"",MIN(IF(AND(ISNUMBER($L48),$L48&gt;=TODAY()),$L48,99999),IF(AND(ISNUMBER($M48),$M48&gt;=TODAY()),$M48,99999),IF(AND(ISNUMBER($N48),$N48&gt;=TODAY()),$N48,99999),IF(AND(ISNUMBER($Q48),$Q48&gt;=TODAY()),$Q48,99999),IF(AND(ISNUMBER($R48),$R48&gt;=TODAY()),$R48,99999),IF(AND(ISNUMBER($S48),$S48&gt;=TODAY()),$S48,99999),IF(AND(ISNUMBER($T48),$T48&gt;=TODAY()),$T48,99999),IF(AND(ISNUMBER($U48),$U48&gt;=TODAY()),$U48,99999),IF(AND(ISNUMBER($V48),$V48&gt;=TODAY()),$V48,99999))))</f>
        <v/>
      </c>
      <c r="L48" s="27" t="n"/>
      <c r="M48" s="27" t="n"/>
      <c r="N48" s="27" t="n"/>
      <c r="O48" s="27" t="n"/>
      <c r="P48" s="27" t="n"/>
      <c r="Q48" s="27" t="n"/>
      <c r="R48" s="27" t="n"/>
      <c r="S48" s="27" t="n"/>
      <c r="T48" s="27" t="n"/>
      <c r="U48" s="27" t="n"/>
      <c r="V48" s="27" t="n"/>
      <c r="W48" s="27" t="n"/>
      <c r="X48" s="27" t="n"/>
      <c r="Y48" s="27" t="n"/>
      <c r="Z48" s="30" t="n"/>
      <c r="AA48" s="25" t="n"/>
      <c r="AB48" s="28">
        <f>IF(NOT(AND($A48&lt;&gt;"",OR($G48="",$G48="Active"))),"",IF(OR(IF(OR(ISNUMBER($V48),$V48="DNA"),$V48,IF(OR(ISNUMBER($U48),$U48="DNA"),$U48,IF(OR(ISNUMBER($T48),$T48="DNA"),$T48,IF(OR(ISNUMBER($S48),$S48="DNA"),$S48,IF(OR(ISNUMBER($R48),$R48="DNA"),$R48,IF(OR(ISNUMBER($Q48),$Q48="DNA"),$Q48,IF(OR(ISNUMBER($N48),$N48="DNA"),$N48,IF(OR(ISNUMBER($M48),$M48="DNA"),$M48,IF(OR(ISNUMBER($L48),$L48="DNA"),$L48,"")))))))))="DNA",AND(ISNUMBER(IF(OR(ISNUMBER($V48),$V48="DNA"),$V48,IF(OR(ISNUMBER($U48),$U48="DNA"),$U48,IF(OR(ISNUMBER($T48),$T48="DNA"),$T48,IF(OR(ISNUMBER($S48),$S48="DNA"),$S48,IF(OR(ISNUMBER($R48),$R48="DNA"),$R48,IF(OR(ISNUMBER($Q48),$Q48="DNA"),$Q48,IF(OR(ISNUMBER($N48),$N48="DNA"),$N48,IF(OR(ISNUMBER($M48),$M48="DNA"),$M48,IF(OR(ISNUMBER($L48),$L48="DNA"),$L48,"")))))))))),IF(OR(ISNUMBER($V48),$V48="DNA"),$V48,IF(OR(ISNUMBER($U48),$U48="DNA"),$U48,IF(OR(ISNUMBER($T48),$T48="DNA"),$T48,IF(OR(ISNUMBER($S48),$S48="DNA"),$S48,IF(OR(ISNUMBER($R48),$R48="DNA"),$R48,IF(OR(ISNUMBER($Q48),$Q48="DNA"),$Q48,IF(OR(ISNUMBER($N48),$N48="DNA"),$N48,IF(OR(ISNUMBER($M48),$M48="DNA"),$M48,IF(OR(ISNUMBER($L48),$L48="DNA"),$L48,"")))))))))&lt;TODAY())),1,0)+ISNUMBER($O48)*($O48&lt;TODAY())+ISNUMBER($P48)*($P48&lt;TODAY())+ISNUMBER($X48)*($X48&lt;TODAY())+ISNUMBER($Y48)*($Y48&lt;TODAY()))</f>
        <v/>
      </c>
    </row>
    <row r="49">
      <c r="A49" s="25" t="n"/>
      <c r="B49" s="26" t="n"/>
      <c r="C49" s="27" t="n"/>
      <c r="D49" s="25" t="n"/>
      <c r="E49" s="25" t="n"/>
      <c r="F49" s="27" t="n"/>
      <c r="G49" s="25" t="n"/>
      <c r="H49" s="28">
        <f>IF(OR(NOT(AND($A49&lt;&gt;"",OR($G49="",$G49="Active"))),$F49=""),"",INT((TODAY()-$F49+280)/7)&amp;"+"&amp;MOD(TODAY()-$F49+280,7))</f>
        <v/>
      </c>
      <c r="I49" s="28">
        <f>IF(NOT(AND($A49&lt;&gt;"",OR($G49="",$G49="Active"))),"",ISNUMBER($L49)*($L49&gt;=TODAY())*($L49&lt;=TODAY()+7)+ISNUMBER($M49)*($M49&gt;=TODAY())*($M49&lt;=TODAY()+7)+ISNUMBER($N49)*($N49&gt;=TODAY())*($N49&lt;=TODAY()+7)+ISNUMBER($Q49)*($Q49&gt;=TODAY())*($Q49&lt;=TODAY()+7)+ISNUMBER($R49)*($R49&gt;=TODAY())*($R49&lt;=TODAY()+7)+ISNUMBER($S49)*($S49&gt;=TODAY())*($S49&lt;=TODAY()+7)+ISNUMBER($T49)*($T49&gt;=TODAY())*($T49&lt;=TODAY()+7)+ISNUMBER($U49)*($U49&gt;=TODAY())*($U49&lt;=TODAY()+7)+ISNUMBER($V49)*($V49&gt;=TODAY())*($V49&lt;=TODAY()+7)+ISNUMBER($O49)*($O49&gt;=TODAY())*($O49&lt;=TODAY()+7)+ISNUMBER($P49)*($P49&gt;=TODAY())*($P49&lt;=TODAY()+7)+ISNUMBER($X49)*($X49&gt;=TODAY())*($X49&lt;=TODAY()+7)+ISNUMBER($Y49)*($Y49&gt;=TODAY())*($Y49&lt;=TODAY()+7))</f>
        <v/>
      </c>
      <c r="J49" s="28">
        <f>IF(NOT(AND($A49&lt;&gt;"",OR($G49="",$G49="Active"))),"",IF($K49&lt;&gt;"",IF($L49=$K49,"Booking",IF($M49=$K49,"16/40",IF($N49=$K49,"25/40",IF($Q49=$K49,"28/40",IF($R49=$K49,"31/40",IF($S49=$K49,"34/40",IF($T49=$K49,"36/40",IF($U49=$K49,"38/40",IF($V49=$K49,"40/40",""))))))))),IF(IF(OR(ISNUMBER($V49),$V49="DNA"),$V49,IF(OR(ISNUMBER($U49),$U49="DNA"),$U49,IF(OR(ISNUMBER($T49),$T49="DNA"),$T49,IF(OR(ISNUMBER($S49),$S49="DNA"),$S49,IF(OR(ISNUMBER($R49),$R49="DNA"),$R49,IF(OR(ISNUMBER($Q49),$Q49="DNA"),$Q49,IF(OR(ISNUMBER($N49),$N49="DNA"),$N49,IF(OR(ISNUMBER($M49),$M49="DNA"),$M49,IF(OR(ISNUMBER($L49),$L49="DNA"),$L49,"")))))))))="DNA","Rebook DNA",IF(ISNUMBER(IF(OR(ISNUMBER($V49),$V49="DNA"),$V49,IF(OR(ISNUMBER($U49),$U49="DNA"),$U49,IF(OR(ISNUMBER($T49),$T49="DNA"),$T49,IF(OR(ISNUMBER($S49),$S49="DNA"),$S49,IF(OR(ISNUMBER($R49),$R49="DNA"),$R49,IF(OR(ISNUMBER($Q49),$Q49="DNA"),$Q49,IF(OR(ISNUMBER($N49),$N49="DNA"),$N49,IF(OR(ISNUMBER($M49),$M49="DNA"),$M49,IF(OR(ISNUMBER($L49),$L49="DNA"),$L49,"")))))))))),IF(ISNUMBER($V49),"Update status","Missed/not booked?"),""))))</f>
        <v/>
      </c>
      <c r="K49" s="29">
        <f>IF(NOT(AND($A49&lt;&gt;"",OR($G49="",$G49="Active"))),"",IF(MIN(IF(AND(ISNUMBER($L49),$L49&gt;=TODAY()),$L49,99999),IF(AND(ISNUMBER($M49),$M49&gt;=TODAY()),$M49,99999),IF(AND(ISNUMBER($N49),$N49&gt;=TODAY()),$N49,99999),IF(AND(ISNUMBER($Q49),$Q49&gt;=TODAY()),$Q49,99999),IF(AND(ISNUMBER($R49),$R49&gt;=TODAY()),$R49,99999),IF(AND(ISNUMBER($S49),$S49&gt;=TODAY()),$S49,99999),IF(AND(ISNUMBER($T49),$T49&gt;=TODAY()),$T49,99999),IF(AND(ISNUMBER($U49),$U49&gt;=TODAY()),$U49,99999),IF(AND(ISNUMBER($V49),$V49&gt;=TODAY()),$V49,99999))=99999,"",MIN(IF(AND(ISNUMBER($L49),$L49&gt;=TODAY()),$L49,99999),IF(AND(ISNUMBER($M49),$M49&gt;=TODAY()),$M49,99999),IF(AND(ISNUMBER($N49),$N49&gt;=TODAY()),$N49,99999),IF(AND(ISNUMBER($Q49),$Q49&gt;=TODAY()),$Q49,99999),IF(AND(ISNUMBER($R49),$R49&gt;=TODAY()),$R49,99999),IF(AND(ISNUMBER($S49),$S49&gt;=TODAY()),$S49,99999),IF(AND(ISNUMBER($T49),$T49&gt;=TODAY()),$T49,99999),IF(AND(ISNUMBER($U49),$U49&gt;=TODAY()),$U49,99999),IF(AND(ISNUMBER($V49),$V49&gt;=TODAY()),$V49,99999))))</f>
        <v/>
      </c>
      <c r="L49" s="27" t="n"/>
      <c r="M49" s="27" t="n"/>
      <c r="N49" s="27" t="n"/>
      <c r="O49" s="27" t="n"/>
      <c r="P49" s="27" t="n"/>
      <c r="Q49" s="27" t="n"/>
      <c r="R49" s="27" t="n"/>
      <c r="S49" s="27" t="n"/>
      <c r="T49" s="27" t="n"/>
      <c r="U49" s="27" t="n"/>
      <c r="V49" s="27" t="n"/>
      <c r="W49" s="27" t="n"/>
      <c r="X49" s="27" t="n"/>
      <c r="Y49" s="27" t="n"/>
      <c r="Z49" s="30" t="n"/>
      <c r="AA49" s="25" t="n"/>
      <c r="AB49" s="28">
        <f>IF(NOT(AND($A49&lt;&gt;"",OR($G49="",$G49="Active"))),"",IF(OR(IF(OR(ISNUMBER($V49),$V49="DNA"),$V49,IF(OR(ISNUMBER($U49),$U49="DNA"),$U49,IF(OR(ISNUMBER($T49),$T49="DNA"),$T49,IF(OR(ISNUMBER($S49),$S49="DNA"),$S49,IF(OR(ISNUMBER($R49),$R49="DNA"),$R49,IF(OR(ISNUMBER($Q49),$Q49="DNA"),$Q49,IF(OR(ISNUMBER($N49),$N49="DNA"),$N49,IF(OR(ISNUMBER($M49),$M49="DNA"),$M49,IF(OR(ISNUMBER($L49),$L49="DNA"),$L49,"")))))))))="DNA",AND(ISNUMBER(IF(OR(ISNUMBER($V49),$V49="DNA"),$V49,IF(OR(ISNUMBER($U49),$U49="DNA"),$U49,IF(OR(ISNUMBER($T49),$T49="DNA"),$T49,IF(OR(ISNUMBER($S49),$S49="DNA"),$S49,IF(OR(ISNUMBER($R49),$R49="DNA"),$R49,IF(OR(ISNUMBER($Q49),$Q49="DNA"),$Q49,IF(OR(ISNUMBER($N49),$N49="DNA"),$N49,IF(OR(ISNUMBER($M49),$M49="DNA"),$M49,IF(OR(ISNUMBER($L49),$L49="DNA"),$L49,"")))))))))),IF(OR(ISNUMBER($V49),$V49="DNA"),$V49,IF(OR(ISNUMBER($U49),$U49="DNA"),$U49,IF(OR(ISNUMBER($T49),$T49="DNA"),$T49,IF(OR(ISNUMBER($S49),$S49="DNA"),$S49,IF(OR(ISNUMBER($R49),$R49="DNA"),$R49,IF(OR(ISNUMBER($Q49),$Q49="DNA"),$Q49,IF(OR(ISNUMBER($N49),$N49="DNA"),$N49,IF(OR(ISNUMBER($M49),$M49="DNA"),$M49,IF(OR(ISNUMBER($L49),$L49="DNA"),$L49,"")))))))))&lt;TODAY())),1,0)+ISNUMBER($O49)*($O49&lt;TODAY())+ISNUMBER($P49)*($P49&lt;TODAY())+ISNUMBER($X49)*($X49&lt;TODAY())+ISNUMBER($Y49)*($Y49&lt;TODAY()))</f>
        <v/>
      </c>
    </row>
    <row r="50">
      <c r="A50" s="25" t="n"/>
      <c r="B50" s="26" t="n"/>
      <c r="C50" s="27" t="n"/>
      <c r="D50" s="25" t="n"/>
      <c r="E50" s="25" t="n"/>
      <c r="F50" s="27" t="n"/>
      <c r="G50" s="25" t="n"/>
      <c r="H50" s="28">
        <f>IF(OR(NOT(AND($A50&lt;&gt;"",OR($G50="",$G50="Active"))),$F50=""),"",INT((TODAY()-$F50+280)/7)&amp;"+"&amp;MOD(TODAY()-$F50+280,7))</f>
        <v/>
      </c>
      <c r="I50" s="28">
        <f>IF(NOT(AND($A50&lt;&gt;"",OR($G50="",$G50="Active"))),"",ISNUMBER($L50)*($L50&gt;=TODAY())*($L50&lt;=TODAY()+7)+ISNUMBER($M50)*($M50&gt;=TODAY())*($M50&lt;=TODAY()+7)+ISNUMBER($N50)*($N50&gt;=TODAY())*($N50&lt;=TODAY()+7)+ISNUMBER($Q50)*($Q50&gt;=TODAY())*($Q50&lt;=TODAY()+7)+ISNUMBER($R50)*($R50&gt;=TODAY())*($R50&lt;=TODAY()+7)+ISNUMBER($S50)*($S50&gt;=TODAY())*($S50&lt;=TODAY()+7)+ISNUMBER($T50)*($T50&gt;=TODAY())*($T50&lt;=TODAY()+7)+ISNUMBER($U50)*($U50&gt;=TODAY())*($U50&lt;=TODAY()+7)+ISNUMBER($V50)*($V50&gt;=TODAY())*($V50&lt;=TODAY()+7)+ISNUMBER($O50)*($O50&gt;=TODAY())*($O50&lt;=TODAY()+7)+ISNUMBER($P50)*($P50&gt;=TODAY())*($P50&lt;=TODAY()+7)+ISNUMBER($X50)*($X50&gt;=TODAY())*($X50&lt;=TODAY()+7)+ISNUMBER($Y50)*($Y50&gt;=TODAY())*($Y50&lt;=TODAY()+7))</f>
        <v/>
      </c>
      <c r="J50" s="28">
        <f>IF(NOT(AND($A50&lt;&gt;"",OR($G50="",$G50="Active"))),"",IF($K50&lt;&gt;"",IF($L50=$K50,"Booking",IF($M50=$K50,"16/40",IF($N50=$K50,"25/40",IF($Q50=$K50,"28/40",IF($R50=$K50,"31/40",IF($S50=$K50,"34/40",IF($T50=$K50,"36/40",IF($U50=$K50,"38/40",IF($V50=$K50,"40/40",""))))))))),IF(IF(OR(ISNUMBER($V50),$V50="DNA"),$V50,IF(OR(ISNUMBER($U50),$U50="DNA"),$U50,IF(OR(ISNUMBER($T50),$T50="DNA"),$T50,IF(OR(ISNUMBER($S50),$S50="DNA"),$S50,IF(OR(ISNUMBER($R50),$R50="DNA"),$R50,IF(OR(ISNUMBER($Q50),$Q50="DNA"),$Q50,IF(OR(ISNUMBER($N50),$N50="DNA"),$N50,IF(OR(ISNUMBER($M50),$M50="DNA"),$M50,IF(OR(ISNUMBER($L50),$L50="DNA"),$L50,"")))))))))="DNA","Rebook DNA",IF(ISNUMBER(IF(OR(ISNUMBER($V50),$V50="DNA"),$V50,IF(OR(ISNUMBER($U50),$U50="DNA"),$U50,IF(OR(ISNUMBER($T50),$T50="DNA"),$T50,IF(OR(ISNUMBER($S50),$S50="DNA"),$S50,IF(OR(ISNUMBER($R50),$R50="DNA"),$R50,IF(OR(ISNUMBER($Q50),$Q50="DNA"),$Q50,IF(OR(ISNUMBER($N50),$N50="DNA"),$N50,IF(OR(ISNUMBER($M50),$M50="DNA"),$M50,IF(OR(ISNUMBER($L50),$L50="DNA"),$L50,"")))))))))),IF(ISNUMBER($V50),"Update status","Missed/not booked?"),""))))</f>
        <v/>
      </c>
      <c r="K50" s="29">
        <f>IF(NOT(AND($A50&lt;&gt;"",OR($G50="",$G50="Active"))),"",IF(MIN(IF(AND(ISNUMBER($L50),$L50&gt;=TODAY()),$L50,99999),IF(AND(ISNUMBER($M50),$M50&gt;=TODAY()),$M50,99999),IF(AND(ISNUMBER($N50),$N50&gt;=TODAY()),$N50,99999),IF(AND(ISNUMBER($Q50),$Q50&gt;=TODAY()),$Q50,99999),IF(AND(ISNUMBER($R50),$R50&gt;=TODAY()),$R50,99999),IF(AND(ISNUMBER($S50),$S50&gt;=TODAY()),$S50,99999),IF(AND(ISNUMBER($T50),$T50&gt;=TODAY()),$T50,99999),IF(AND(ISNUMBER($U50),$U50&gt;=TODAY()),$U50,99999),IF(AND(ISNUMBER($V50),$V50&gt;=TODAY()),$V50,99999))=99999,"",MIN(IF(AND(ISNUMBER($L50),$L50&gt;=TODAY()),$L50,99999),IF(AND(ISNUMBER($M50),$M50&gt;=TODAY()),$M50,99999),IF(AND(ISNUMBER($N50),$N50&gt;=TODAY()),$N50,99999),IF(AND(ISNUMBER($Q50),$Q50&gt;=TODAY()),$Q50,99999),IF(AND(ISNUMBER($R50),$R50&gt;=TODAY()),$R50,99999),IF(AND(ISNUMBER($S50),$S50&gt;=TODAY()),$S50,99999),IF(AND(ISNUMBER($T50),$T50&gt;=TODAY()),$T50,99999),IF(AND(ISNUMBER($U50),$U50&gt;=TODAY()),$U50,99999),IF(AND(ISNUMBER($V50),$V50&gt;=TODAY()),$V50,99999))))</f>
        <v/>
      </c>
      <c r="L50" s="27" t="n"/>
      <c r="M50" s="27" t="n"/>
      <c r="N50" s="27" t="n"/>
      <c r="O50" s="27" t="n"/>
      <c r="P50" s="27" t="n"/>
      <c r="Q50" s="27" t="n"/>
      <c r="R50" s="27" t="n"/>
      <c r="S50" s="27" t="n"/>
      <c r="T50" s="27" t="n"/>
      <c r="U50" s="27" t="n"/>
      <c r="V50" s="27" t="n"/>
      <c r="W50" s="27" t="n"/>
      <c r="X50" s="27" t="n"/>
      <c r="Y50" s="27" t="n"/>
      <c r="Z50" s="30" t="n"/>
      <c r="AA50" s="25" t="n"/>
      <c r="AB50" s="28">
        <f>IF(NOT(AND($A50&lt;&gt;"",OR($G50="",$G50="Active"))),"",IF(OR(IF(OR(ISNUMBER($V50),$V50="DNA"),$V50,IF(OR(ISNUMBER($U50),$U50="DNA"),$U50,IF(OR(ISNUMBER($T50),$T50="DNA"),$T50,IF(OR(ISNUMBER($S50),$S50="DNA"),$S50,IF(OR(ISNUMBER($R50),$R50="DNA"),$R50,IF(OR(ISNUMBER($Q50),$Q50="DNA"),$Q50,IF(OR(ISNUMBER($N50),$N50="DNA"),$N50,IF(OR(ISNUMBER($M50),$M50="DNA"),$M50,IF(OR(ISNUMBER($L50),$L50="DNA"),$L50,"")))))))))="DNA",AND(ISNUMBER(IF(OR(ISNUMBER($V50),$V50="DNA"),$V50,IF(OR(ISNUMBER($U50),$U50="DNA"),$U50,IF(OR(ISNUMBER($T50),$T50="DNA"),$T50,IF(OR(ISNUMBER($S50),$S50="DNA"),$S50,IF(OR(ISNUMBER($R50),$R50="DNA"),$R50,IF(OR(ISNUMBER($Q50),$Q50="DNA"),$Q50,IF(OR(ISNUMBER($N50),$N50="DNA"),$N50,IF(OR(ISNUMBER($M50),$M50="DNA"),$M50,IF(OR(ISNUMBER($L50),$L50="DNA"),$L50,"")))))))))),IF(OR(ISNUMBER($V50),$V50="DNA"),$V50,IF(OR(ISNUMBER($U50),$U50="DNA"),$U50,IF(OR(ISNUMBER($T50),$T50="DNA"),$T50,IF(OR(ISNUMBER($S50),$S50="DNA"),$S50,IF(OR(ISNUMBER($R50),$R50="DNA"),$R50,IF(OR(ISNUMBER($Q50),$Q50="DNA"),$Q50,IF(OR(ISNUMBER($N50),$N50="DNA"),$N50,IF(OR(ISNUMBER($M50),$M50="DNA"),$M50,IF(OR(ISNUMBER($L50),$L50="DNA"),$L50,"")))))))))&lt;TODAY())),1,0)+ISNUMBER($O50)*($O50&lt;TODAY())+ISNUMBER($P50)*($P50&lt;TODAY())+ISNUMBER($X50)*($X50&lt;TODAY())+ISNUMBER($Y50)*($Y50&lt;TODAY()))</f>
        <v/>
      </c>
    </row>
    <row r="51">
      <c r="A51" s="25" t="n"/>
      <c r="B51" s="26" t="n"/>
      <c r="C51" s="27" t="n"/>
      <c r="D51" s="25" t="n"/>
      <c r="E51" s="25" t="n"/>
      <c r="F51" s="27" t="n"/>
      <c r="G51" s="25" t="n"/>
      <c r="H51" s="28">
        <f>IF(OR(NOT(AND($A51&lt;&gt;"",OR($G51="",$G51="Active"))),$F51=""),"",INT((TODAY()-$F51+280)/7)&amp;"+"&amp;MOD(TODAY()-$F51+280,7))</f>
        <v/>
      </c>
      <c r="I51" s="28">
        <f>IF(NOT(AND($A51&lt;&gt;"",OR($G51="",$G51="Active"))),"",ISNUMBER($L51)*($L51&gt;=TODAY())*($L51&lt;=TODAY()+7)+ISNUMBER($M51)*($M51&gt;=TODAY())*($M51&lt;=TODAY()+7)+ISNUMBER($N51)*($N51&gt;=TODAY())*($N51&lt;=TODAY()+7)+ISNUMBER($Q51)*($Q51&gt;=TODAY())*($Q51&lt;=TODAY()+7)+ISNUMBER($R51)*($R51&gt;=TODAY())*($R51&lt;=TODAY()+7)+ISNUMBER($S51)*($S51&gt;=TODAY())*($S51&lt;=TODAY()+7)+ISNUMBER($T51)*($T51&gt;=TODAY())*($T51&lt;=TODAY()+7)+ISNUMBER($U51)*($U51&gt;=TODAY())*($U51&lt;=TODAY()+7)+ISNUMBER($V51)*($V51&gt;=TODAY())*($V51&lt;=TODAY()+7)+ISNUMBER($O51)*($O51&gt;=TODAY())*($O51&lt;=TODAY()+7)+ISNUMBER($P51)*($P51&gt;=TODAY())*($P51&lt;=TODAY()+7)+ISNUMBER($X51)*($X51&gt;=TODAY())*($X51&lt;=TODAY()+7)+ISNUMBER($Y51)*($Y51&gt;=TODAY())*($Y51&lt;=TODAY()+7))</f>
        <v/>
      </c>
      <c r="J51" s="28">
        <f>IF(NOT(AND($A51&lt;&gt;"",OR($G51="",$G51="Active"))),"",IF($K51&lt;&gt;"",IF($L51=$K51,"Booking",IF($M51=$K51,"16/40",IF($N51=$K51,"25/40",IF($Q51=$K51,"28/40",IF($R51=$K51,"31/40",IF($S51=$K51,"34/40",IF($T51=$K51,"36/40",IF($U51=$K51,"38/40",IF($V51=$K51,"40/40",""))))))))),IF(IF(OR(ISNUMBER($V51),$V51="DNA"),$V51,IF(OR(ISNUMBER($U51),$U51="DNA"),$U51,IF(OR(ISNUMBER($T51),$T51="DNA"),$T51,IF(OR(ISNUMBER($S51),$S51="DNA"),$S51,IF(OR(ISNUMBER($R51),$R51="DNA"),$R51,IF(OR(ISNUMBER($Q51),$Q51="DNA"),$Q51,IF(OR(ISNUMBER($N51),$N51="DNA"),$N51,IF(OR(ISNUMBER($M51),$M51="DNA"),$M51,IF(OR(ISNUMBER($L51),$L51="DNA"),$L51,"")))))))))="DNA","Rebook DNA",IF(ISNUMBER(IF(OR(ISNUMBER($V51),$V51="DNA"),$V51,IF(OR(ISNUMBER($U51),$U51="DNA"),$U51,IF(OR(ISNUMBER($T51),$T51="DNA"),$T51,IF(OR(ISNUMBER($S51),$S51="DNA"),$S51,IF(OR(ISNUMBER($R51),$R51="DNA"),$R51,IF(OR(ISNUMBER($Q51),$Q51="DNA"),$Q51,IF(OR(ISNUMBER($N51),$N51="DNA"),$N51,IF(OR(ISNUMBER($M51),$M51="DNA"),$M51,IF(OR(ISNUMBER($L51),$L51="DNA"),$L51,"")))))))))),IF(ISNUMBER($V51),"Update status","Missed/not booked?"),""))))</f>
        <v/>
      </c>
      <c r="K51" s="29">
        <f>IF(NOT(AND($A51&lt;&gt;"",OR($G51="",$G51="Active"))),"",IF(MIN(IF(AND(ISNUMBER($L51),$L51&gt;=TODAY()),$L51,99999),IF(AND(ISNUMBER($M51),$M51&gt;=TODAY()),$M51,99999),IF(AND(ISNUMBER($N51),$N51&gt;=TODAY()),$N51,99999),IF(AND(ISNUMBER($Q51),$Q51&gt;=TODAY()),$Q51,99999),IF(AND(ISNUMBER($R51),$R51&gt;=TODAY()),$R51,99999),IF(AND(ISNUMBER($S51),$S51&gt;=TODAY()),$S51,99999),IF(AND(ISNUMBER($T51),$T51&gt;=TODAY()),$T51,99999),IF(AND(ISNUMBER($U51),$U51&gt;=TODAY()),$U51,99999),IF(AND(ISNUMBER($V51),$V51&gt;=TODAY()),$V51,99999))=99999,"",MIN(IF(AND(ISNUMBER($L51),$L51&gt;=TODAY()),$L51,99999),IF(AND(ISNUMBER($M51),$M51&gt;=TODAY()),$M51,99999),IF(AND(ISNUMBER($N51),$N51&gt;=TODAY()),$N51,99999),IF(AND(ISNUMBER($Q51),$Q51&gt;=TODAY()),$Q51,99999),IF(AND(ISNUMBER($R51),$R51&gt;=TODAY()),$R51,99999),IF(AND(ISNUMBER($S51),$S51&gt;=TODAY()),$S51,99999),IF(AND(ISNUMBER($T51),$T51&gt;=TODAY()),$T51,99999),IF(AND(ISNUMBER($U51),$U51&gt;=TODAY()),$U51,99999),IF(AND(ISNUMBER($V51),$V51&gt;=TODAY()),$V51,99999))))</f>
        <v/>
      </c>
      <c r="L51" s="27" t="n"/>
      <c r="M51" s="27" t="n"/>
      <c r="N51" s="27" t="n"/>
      <c r="O51" s="27" t="n"/>
      <c r="P51" s="27" t="n"/>
      <c r="Q51" s="27" t="n"/>
      <c r="R51" s="27" t="n"/>
      <c r="S51" s="27" t="n"/>
      <c r="T51" s="27" t="n"/>
      <c r="U51" s="27" t="n"/>
      <c r="V51" s="27" t="n"/>
      <c r="W51" s="27" t="n"/>
      <c r="X51" s="27" t="n"/>
      <c r="Y51" s="27" t="n"/>
      <c r="Z51" s="30" t="n"/>
      <c r="AA51" s="25" t="n"/>
      <c r="AB51" s="28">
        <f>IF(NOT(AND($A51&lt;&gt;"",OR($G51="",$G51="Active"))),"",IF(OR(IF(OR(ISNUMBER($V51),$V51="DNA"),$V51,IF(OR(ISNUMBER($U51),$U51="DNA"),$U51,IF(OR(ISNUMBER($T51),$T51="DNA"),$T51,IF(OR(ISNUMBER($S51),$S51="DNA"),$S51,IF(OR(ISNUMBER($R51),$R51="DNA"),$R51,IF(OR(ISNUMBER($Q51),$Q51="DNA"),$Q51,IF(OR(ISNUMBER($N51),$N51="DNA"),$N51,IF(OR(ISNUMBER($M51),$M51="DNA"),$M51,IF(OR(ISNUMBER($L51),$L51="DNA"),$L51,"")))))))))="DNA",AND(ISNUMBER(IF(OR(ISNUMBER($V51),$V51="DNA"),$V51,IF(OR(ISNUMBER($U51),$U51="DNA"),$U51,IF(OR(ISNUMBER($T51),$T51="DNA"),$T51,IF(OR(ISNUMBER($S51),$S51="DNA"),$S51,IF(OR(ISNUMBER($R51),$R51="DNA"),$R51,IF(OR(ISNUMBER($Q51),$Q51="DNA"),$Q51,IF(OR(ISNUMBER($N51),$N51="DNA"),$N51,IF(OR(ISNUMBER($M51),$M51="DNA"),$M51,IF(OR(ISNUMBER($L51),$L51="DNA"),$L51,"")))))))))),IF(OR(ISNUMBER($V51),$V51="DNA"),$V51,IF(OR(ISNUMBER($U51),$U51="DNA"),$U51,IF(OR(ISNUMBER($T51),$T51="DNA"),$T51,IF(OR(ISNUMBER($S51),$S51="DNA"),$S51,IF(OR(ISNUMBER($R51),$R51="DNA"),$R51,IF(OR(ISNUMBER($Q51),$Q51="DNA"),$Q51,IF(OR(ISNUMBER($N51),$N51="DNA"),$N51,IF(OR(ISNUMBER($M51),$M51="DNA"),$M51,IF(OR(ISNUMBER($L51),$L51="DNA"),$L51,"")))))))))&lt;TODAY())),1,0)+ISNUMBER($O51)*($O51&lt;TODAY())+ISNUMBER($P51)*($P51&lt;TODAY())+ISNUMBER($X51)*($X51&lt;TODAY())+ISNUMBER($Y51)*($Y51&lt;TODAY()))</f>
        <v/>
      </c>
    </row>
    <row r="52">
      <c r="A52" s="25" t="n"/>
      <c r="B52" s="26" t="n"/>
      <c r="C52" s="27" t="n"/>
      <c r="D52" s="25" t="n"/>
      <c r="E52" s="25" t="n"/>
      <c r="F52" s="27" t="n"/>
      <c r="G52" s="25" t="n"/>
      <c r="H52" s="28">
        <f>IF(OR(NOT(AND($A52&lt;&gt;"",OR($G52="",$G52="Active"))),$F52=""),"",INT((TODAY()-$F52+280)/7)&amp;"+"&amp;MOD(TODAY()-$F52+280,7))</f>
        <v/>
      </c>
      <c r="I52" s="28">
        <f>IF(NOT(AND($A52&lt;&gt;"",OR($G52="",$G52="Active"))),"",ISNUMBER($L52)*($L52&gt;=TODAY())*($L52&lt;=TODAY()+7)+ISNUMBER($M52)*($M52&gt;=TODAY())*($M52&lt;=TODAY()+7)+ISNUMBER($N52)*($N52&gt;=TODAY())*($N52&lt;=TODAY()+7)+ISNUMBER($Q52)*($Q52&gt;=TODAY())*($Q52&lt;=TODAY()+7)+ISNUMBER($R52)*($R52&gt;=TODAY())*($R52&lt;=TODAY()+7)+ISNUMBER($S52)*($S52&gt;=TODAY())*($S52&lt;=TODAY()+7)+ISNUMBER($T52)*($T52&gt;=TODAY())*($T52&lt;=TODAY()+7)+ISNUMBER($U52)*($U52&gt;=TODAY())*($U52&lt;=TODAY()+7)+ISNUMBER($V52)*($V52&gt;=TODAY())*($V52&lt;=TODAY()+7)+ISNUMBER($O52)*($O52&gt;=TODAY())*($O52&lt;=TODAY()+7)+ISNUMBER($P52)*($P52&gt;=TODAY())*($P52&lt;=TODAY()+7)+ISNUMBER($X52)*($X52&gt;=TODAY())*($X52&lt;=TODAY()+7)+ISNUMBER($Y52)*($Y52&gt;=TODAY())*($Y52&lt;=TODAY()+7))</f>
        <v/>
      </c>
      <c r="J52" s="28">
        <f>IF(NOT(AND($A52&lt;&gt;"",OR($G52="",$G52="Active"))),"",IF($K52&lt;&gt;"",IF($L52=$K52,"Booking",IF($M52=$K52,"16/40",IF($N52=$K52,"25/40",IF($Q52=$K52,"28/40",IF($R52=$K52,"31/40",IF($S52=$K52,"34/40",IF($T52=$K52,"36/40",IF($U52=$K52,"38/40",IF($V52=$K52,"40/40",""))))))))),IF(IF(OR(ISNUMBER($V52),$V52="DNA"),$V52,IF(OR(ISNUMBER($U52),$U52="DNA"),$U52,IF(OR(ISNUMBER($T52),$T52="DNA"),$T52,IF(OR(ISNUMBER($S52),$S52="DNA"),$S52,IF(OR(ISNUMBER($R52),$R52="DNA"),$R52,IF(OR(ISNUMBER($Q52),$Q52="DNA"),$Q52,IF(OR(ISNUMBER($N52),$N52="DNA"),$N52,IF(OR(ISNUMBER($M52),$M52="DNA"),$M52,IF(OR(ISNUMBER($L52),$L52="DNA"),$L52,"")))))))))="DNA","Rebook DNA",IF(ISNUMBER(IF(OR(ISNUMBER($V52),$V52="DNA"),$V52,IF(OR(ISNUMBER($U52),$U52="DNA"),$U52,IF(OR(ISNUMBER($T52),$T52="DNA"),$T52,IF(OR(ISNUMBER($S52),$S52="DNA"),$S52,IF(OR(ISNUMBER($R52),$R52="DNA"),$R52,IF(OR(ISNUMBER($Q52),$Q52="DNA"),$Q52,IF(OR(ISNUMBER($N52),$N52="DNA"),$N52,IF(OR(ISNUMBER($M52),$M52="DNA"),$M52,IF(OR(ISNUMBER($L52),$L52="DNA"),$L52,"")))))))))),IF(ISNUMBER($V52),"Update status","Missed/not booked?"),""))))</f>
        <v/>
      </c>
      <c r="K52" s="29">
        <f>IF(NOT(AND($A52&lt;&gt;"",OR($G52="",$G52="Active"))),"",IF(MIN(IF(AND(ISNUMBER($L52),$L52&gt;=TODAY()),$L52,99999),IF(AND(ISNUMBER($M52),$M52&gt;=TODAY()),$M52,99999),IF(AND(ISNUMBER($N52),$N52&gt;=TODAY()),$N52,99999),IF(AND(ISNUMBER($Q52),$Q52&gt;=TODAY()),$Q52,99999),IF(AND(ISNUMBER($R52),$R52&gt;=TODAY()),$R52,99999),IF(AND(ISNUMBER($S52),$S52&gt;=TODAY()),$S52,99999),IF(AND(ISNUMBER($T52),$T52&gt;=TODAY()),$T52,99999),IF(AND(ISNUMBER($U52),$U52&gt;=TODAY()),$U52,99999),IF(AND(ISNUMBER($V52),$V52&gt;=TODAY()),$V52,99999))=99999,"",MIN(IF(AND(ISNUMBER($L52),$L52&gt;=TODAY()),$L52,99999),IF(AND(ISNUMBER($M52),$M52&gt;=TODAY()),$M52,99999),IF(AND(ISNUMBER($N52),$N52&gt;=TODAY()),$N52,99999),IF(AND(ISNUMBER($Q52),$Q52&gt;=TODAY()),$Q52,99999),IF(AND(ISNUMBER($R52),$R52&gt;=TODAY()),$R52,99999),IF(AND(ISNUMBER($S52),$S52&gt;=TODAY()),$S52,99999),IF(AND(ISNUMBER($T52),$T52&gt;=TODAY()),$T52,99999),IF(AND(ISNUMBER($U52),$U52&gt;=TODAY()),$U52,99999),IF(AND(ISNUMBER($V52),$V52&gt;=TODAY()),$V52,99999))))</f>
        <v/>
      </c>
      <c r="L52" s="27" t="n"/>
      <c r="M52" s="27" t="n"/>
      <c r="N52" s="27" t="n"/>
      <c r="O52" s="27" t="n"/>
      <c r="P52" s="27" t="n"/>
      <c r="Q52" s="27" t="n"/>
      <c r="R52" s="27" t="n"/>
      <c r="S52" s="27" t="n"/>
      <c r="T52" s="27" t="n"/>
      <c r="U52" s="27" t="n"/>
      <c r="V52" s="27" t="n"/>
      <c r="W52" s="27" t="n"/>
      <c r="X52" s="27" t="n"/>
      <c r="Y52" s="27" t="n"/>
      <c r="Z52" s="30" t="n"/>
      <c r="AA52" s="25" t="n"/>
      <c r="AB52" s="28">
        <f>IF(NOT(AND($A52&lt;&gt;"",OR($G52="",$G52="Active"))),"",IF(OR(IF(OR(ISNUMBER($V52),$V52="DNA"),$V52,IF(OR(ISNUMBER($U52),$U52="DNA"),$U52,IF(OR(ISNUMBER($T52),$T52="DNA"),$T52,IF(OR(ISNUMBER($S52),$S52="DNA"),$S52,IF(OR(ISNUMBER($R52),$R52="DNA"),$R52,IF(OR(ISNUMBER($Q52),$Q52="DNA"),$Q52,IF(OR(ISNUMBER($N52),$N52="DNA"),$N52,IF(OR(ISNUMBER($M52),$M52="DNA"),$M52,IF(OR(ISNUMBER($L52),$L52="DNA"),$L52,"")))))))))="DNA",AND(ISNUMBER(IF(OR(ISNUMBER($V52),$V52="DNA"),$V52,IF(OR(ISNUMBER($U52),$U52="DNA"),$U52,IF(OR(ISNUMBER($T52),$T52="DNA"),$T52,IF(OR(ISNUMBER($S52),$S52="DNA"),$S52,IF(OR(ISNUMBER($R52),$R52="DNA"),$R52,IF(OR(ISNUMBER($Q52),$Q52="DNA"),$Q52,IF(OR(ISNUMBER($N52),$N52="DNA"),$N52,IF(OR(ISNUMBER($M52),$M52="DNA"),$M52,IF(OR(ISNUMBER($L52),$L52="DNA"),$L52,"")))))))))),IF(OR(ISNUMBER($V52),$V52="DNA"),$V52,IF(OR(ISNUMBER($U52),$U52="DNA"),$U52,IF(OR(ISNUMBER($T52),$T52="DNA"),$T52,IF(OR(ISNUMBER($S52),$S52="DNA"),$S52,IF(OR(ISNUMBER($R52),$R52="DNA"),$R52,IF(OR(ISNUMBER($Q52),$Q52="DNA"),$Q52,IF(OR(ISNUMBER($N52),$N52="DNA"),$N52,IF(OR(ISNUMBER($M52),$M52="DNA"),$M52,IF(OR(ISNUMBER($L52),$L52="DNA"),$L52,"")))))))))&lt;TODAY())),1,0)+ISNUMBER($O52)*($O52&lt;TODAY())+ISNUMBER($P52)*($P52&lt;TODAY())+ISNUMBER($X52)*($X52&lt;TODAY())+ISNUMBER($Y52)*($Y52&lt;TODAY()))</f>
        <v/>
      </c>
    </row>
    <row r="53">
      <c r="A53" s="25" t="n"/>
      <c r="B53" s="26" t="n"/>
      <c r="C53" s="27" t="n"/>
      <c r="D53" s="25" t="n"/>
      <c r="E53" s="25" t="n"/>
      <c r="F53" s="27" t="n"/>
      <c r="G53" s="25" t="n"/>
      <c r="H53" s="28">
        <f>IF(OR(NOT(AND($A53&lt;&gt;"",OR($G53="",$G53="Active"))),$F53=""),"",INT((TODAY()-$F53+280)/7)&amp;"+"&amp;MOD(TODAY()-$F53+280,7))</f>
        <v/>
      </c>
      <c r="I53" s="28">
        <f>IF(NOT(AND($A53&lt;&gt;"",OR($G53="",$G53="Active"))),"",ISNUMBER($L53)*($L53&gt;=TODAY())*($L53&lt;=TODAY()+7)+ISNUMBER($M53)*($M53&gt;=TODAY())*($M53&lt;=TODAY()+7)+ISNUMBER($N53)*($N53&gt;=TODAY())*($N53&lt;=TODAY()+7)+ISNUMBER($Q53)*($Q53&gt;=TODAY())*($Q53&lt;=TODAY()+7)+ISNUMBER($R53)*($R53&gt;=TODAY())*($R53&lt;=TODAY()+7)+ISNUMBER($S53)*($S53&gt;=TODAY())*($S53&lt;=TODAY()+7)+ISNUMBER($T53)*($T53&gt;=TODAY())*($T53&lt;=TODAY()+7)+ISNUMBER($U53)*($U53&gt;=TODAY())*($U53&lt;=TODAY()+7)+ISNUMBER($V53)*($V53&gt;=TODAY())*($V53&lt;=TODAY()+7)+ISNUMBER($O53)*($O53&gt;=TODAY())*($O53&lt;=TODAY()+7)+ISNUMBER($P53)*($P53&gt;=TODAY())*($P53&lt;=TODAY()+7)+ISNUMBER($X53)*($X53&gt;=TODAY())*($X53&lt;=TODAY()+7)+ISNUMBER($Y53)*($Y53&gt;=TODAY())*($Y53&lt;=TODAY()+7))</f>
        <v/>
      </c>
      <c r="J53" s="28">
        <f>IF(NOT(AND($A53&lt;&gt;"",OR($G53="",$G53="Active"))),"",IF($K53&lt;&gt;"",IF($L53=$K53,"Booking",IF($M53=$K53,"16/40",IF($N53=$K53,"25/40",IF($Q53=$K53,"28/40",IF($R53=$K53,"31/40",IF($S53=$K53,"34/40",IF($T53=$K53,"36/40",IF($U53=$K53,"38/40",IF($V53=$K53,"40/40",""))))))))),IF(IF(OR(ISNUMBER($V53),$V53="DNA"),$V53,IF(OR(ISNUMBER($U53),$U53="DNA"),$U53,IF(OR(ISNUMBER($T53),$T53="DNA"),$T53,IF(OR(ISNUMBER($S53),$S53="DNA"),$S53,IF(OR(ISNUMBER($R53),$R53="DNA"),$R53,IF(OR(ISNUMBER($Q53),$Q53="DNA"),$Q53,IF(OR(ISNUMBER($N53),$N53="DNA"),$N53,IF(OR(ISNUMBER($M53),$M53="DNA"),$M53,IF(OR(ISNUMBER($L53),$L53="DNA"),$L53,"")))))))))="DNA","Rebook DNA",IF(ISNUMBER(IF(OR(ISNUMBER($V53),$V53="DNA"),$V53,IF(OR(ISNUMBER($U53),$U53="DNA"),$U53,IF(OR(ISNUMBER($T53),$T53="DNA"),$T53,IF(OR(ISNUMBER($S53),$S53="DNA"),$S53,IF(OR(ISNUMBER($R53),$R53="DNA"),$R53,IF(OR(ISNUMBER($Q53),$Q53="DNA"),$Q53,IF(OR(ISNUMBER($N53),$N53="DNA"),$N53,IF(OR(ISNUMBER($M53),$M53="DNA"),$M53,IF(OR(ISNUMBER($L53),$L53="DNA"),$L53,"")))))))))),IF(ISNUMBER($V53),"Update status","Missed/not booked?"),""))))</f>
        <v/>
      </c>
      <c r="K53" s="29">
        <f>IF(NOT(AND($A53&lt;&gt;"",OR($G53="",$G53="Active"))),"",IF(MIN(IF(AND(ISNUMBER($L53),$L53&gt;=TODAY()),$L53,99999),IF(AND(ISNUMBER($M53),$M53&gt;=TODAY()),$M53,99999),IF(AND(ISNUMBER($N53),$N53&gt;=TODAY()),$N53,99999),IF(AND(ISNUMBER($Q53),$Q53&gt;=TODAY()),$Q53,99999),IF(AND(ISNUMBER($R53),$R53&gt;=TODAY()),$R53,99999),IF(AND(ISNUMBER($S53),$S53&gt;=TODAY()),$S53,99999),IF(AND(ISNUMBER($T53),$T53&gt;=TODAY()),$T53,99999),IF(AND(ISNUMBER($U53),$U53&gt;=TODAY()),$U53,99999),IF(AND(ISNUMBER($V53),$V53&gt;=TODAY()),$V53,99999))=99999,"",MIN(IF(AND(ISNUMBER($L53),$L53&gt;=TODAY()),$L53,99999),IF(AND(ISNUMBER($M53),$M53&gt;=TODAY()),$M53,99999),IF(AND(ISNUMBER($N53),$N53&gt;=TODAY()),$N53,99999),IF(AND(ISNUMBER($Q53),$Q53&gt;=TODAY()),$Q53,99999),IF(AND(ISNUMBER($R53),$R53&gt;=TODAY()),$R53,99999),IF(AND(ISNUMBER($S53),$S53&gt;=TODAY()),$S53,99999),IF(AND(ISNUMBER($T53),$T53&gt;=TODAY()),$T53,99999),IF(AND(ISNUMBER($U53),$U53&gt;=TODAY()),$U53,99999),IF(AND(ISNUMBER($V53),$V53&gt;=TODAY()),$V53,99999))))</f>
        <v/>
      </c>
      <c r="L53" s="27" t="n"/>
      <c r="M53" s="27" t="n"/>
      <c r="N53" s="27" t="n"/>
      <c r="O53" s="27" t="n"/>
      <c r="P53" s="27" t="n"/>
      <c r="Q53" s="27" t="n"/>
      <c r="R53" s="27" t="n"/>
      <c r="S53" s="27" t="n"/>
      <c r="T53" s="27" t="n"/>
      <c r="U53" s="27" t="n"/>
      <c r="V53" s="27" t="n"/>
      <c r="W53" s="27" t="n"/>
      <c r="X53" s="27" t="n"/>
      <c r="Y53" s="27" t="n"/>
      <c r="Z53" s="30" t="n"/>
      <c r="AA53" s="25" t="n"/>
      <c r="AB53" s="28">
        <f>IF(NOT(AND($A53&lt;&gt;"",OR($G53="",$G53="Active"))),"",IF(OR(IF(OR(ISNUMBER($V53),$V53="DNA"),$V53,IF(OR(ISNUMBER($U53),$U53="DNA"),$U53,IF(OR(ISNUMBER($T53),$T53="DNA"),$T53,IF(OR(ISNUMBER($S53),$S53="DNA"),$S53,IF(OR(ISNUMBER($R53),$R53="DNA"),$R53,IF(OR(ISNUMBER($Q53),$Q53="DNA"),$Q53,IF(OR(ISNUMBER($N53),$N53="DNA"),$N53,IF(OR(ISNUMBER($M53),$M53="DNA"),$M53,IF(OR(ISNUMBER($L53),$L53="DNA"),$L53,"")))))))))="DNA",AND(ISNUMBER(IF(OR(ISNUMBER($V53),$V53="DNA"),$V53,IF(OR(ISNUMBER($U53),$U53="DNA"),$U53,IF(OR(ISNUMBER($T53),$T53="DNA"),$T53,IF(OR(ISNUMBER($S53),$S53="DNA"),$S53,IF(OR(ISNUMBER($R53),$R53="DNA"),$R53,IF(OR(ISNUMBER($Q53),$Q53="DNA"),$Q53,IF(OR(ISNUMBER($N53),$N53="DNA"),$N53,IF(OR(ISNUMBER($M53),$M53="DNA"),$M53,IF(OR(ISNUMBER($L53),$L53="DNA"),$L53,"")))))))))),IF(OR(ISNUMBER($V53),$V53="DNA"),$V53,IF(OR(ISNUMBER($U53),$U53="DNA"),$U53,IF(OR(ISNUMBER($T53),$T53="DNA"),$T53,IF(OR(ISNUMBER($S53),$S53="DNA"),$S53,IF(OR(ISNUMBER($R53),$R53="DNA"),$R53,IF(OR(ISNUMBER($Q53),$Q53="DNA"),$Q53,IF(OR(ISNUMBER($N53),$N53="DNA"),$N53,IF(OR(ISNUMBER($M53),$M53="DNA"),$M53,IF(OR(ISNUMBER($L53),$L53="DNA"),$L53,"")))))))))&lt;TODAY())),1,0)+ISNUMBER($O53)*($O53&lt;TODAY())+ISNUMBER($P53)*($P53&lt;TODAY())+ISNUMBER($X53)*($X53&lt;TODAY())+ISNUMBER($Y53)*($Y53&lt;TODAY()))</f>
        <v/>
      </c>
    </row>
    <row r="54">
      <c r="A54" s="25" t="n"/>
      <c r="B54" s="26" t="n"/>
      <c r="C54" s="27" t="n"/>
      <c r="D54" s="25" t="n"/>
      <c r="E54" s="25" t="n"/>
      <c r="F54" s="27" t="n"/>
      <c r="G54" s="25" t="n"/>
      <c r="H54" s="28">
        <f>IF(OR(NOT(AND($A54&lt;&gt;"",OR($G54="",$G54="Active"))),$F54=""),"",INT((TODAY()-$F54+280)/7)&amp;"+"&amp;MOD(TODAY()-$F54+280,7))</f>
        <v/>
      </c>
      <c r="I54" s="28">
        <f>IF(NOT(AND($A54&lt;&gt;"",OR($G54="",$G54="Active"))),"",ISNUMBER($L54)*($L54&gt;=TODAY())*($L54&lt;=TODAY()+7)+ISNUMBER($M54)*($M54&gt;=TODAY())*($M54&lt;=TODAY()+7)+ISNUMBER($N54)*($N54&gt;=TODAY())*($N54&lt;=TODAY()+7)+ISNUMBER($Q54)*($Q54&gt;=TODAY())*($Q54&lt;=TODAY()+7)+ISNUMBER($R54)*($R54&gt;=TODAY())*($R54&lt;=TODAY()+7)+ISNUMBER($S54)*($S54&gt;=TODAY())*($S54&lt;=TODAY()+7)+ISNUMBER($T54)*($T54&gt;=TODAY())*($T54&lt;=TODAY()+7)+ISNUMBER($U54)*($U54&gt;=TODAY())*($U54&lt;=TODAY()+7)+ISNUMBER($V54)*($V54&gt;=TODAY())*($V54&lt;=TODAY()+7)+ISNUMBER($O54)*($O54&gt;=TODAY())*($O54&lt;=TODAY()+7)+ISNUMBER($P54)*($P54&gt;=TODAY())*($P54&lt;=TODAY()+7)+ISNUMBER($X54)*($X54&gt;=TODAY())*($X54&lt;=TODAY()+7)+ISNUMBER($Y54)*($Y54&gt;=TODAY())*($Y54&lt;=TODAY()+7))</f>
        <v/>
      </c>
      <c r="J54" s="28">
        <f>IF(NOT(AND($A54&lt;&gt;"",OR($G54="",$G54="Active"))),"",IF($K54&lt;&gt;"",IF($L54=$K54,"Booking",IF($M54=$K54,"16/40",IF($N54=$K54,"25/40",IF($Q54=$K54,"28/40",IF($R54=$K54,"31/40",IF($S54=$K54,"34/40",IF($T54=$K54,"36/40",IF($U54=$K54,"38/40",IF($V54=$K54,"40/40",""))))))))),IF(IF(OR(ISNUMBER($V54),$V54="DNA"),$V54,IF(OR(ISNUMBER($U54),$U54="DNA"),$U54,IF(OR(ISNUMBER($T54),$T54="DNA"),$T54,IF(OR(ISNUMBER($S54),$S54="DNA"),$S54,IF(OR(ISNUMBER($R54),$R54="DNA"),$R54,IF(OR(ISNUMBER($Q54),$Q54="DNA"),$Q54,IF(OR(ISNUMBER($N54),$N54="DNA"),$N54,IF(OR(ISNUMBER($M54),$M54="DNA"),$M54,IF(OR(ISNUMBER($L54),$L54="DNA"),$L54,"")))))))))="DNA","Rebook DNA",IF(ISNUMBER(IF(OR(ISNUMBER($V54),$V54="DNA"),$V54,IF(OR(ISNUMBER($U54),$U54="DNA"),$U54,IF(OR(ISNUMBER($T54),$T54="DNA"),$T54,IF(OR(ISNUMBER($S54),$S54="DNA"),$S54,IF(OR(ISNUMBER($R54),$R54="DNA"),$R54,IF(OR(ISNUMBER($Q54),$Q54="DNA"),$Q54,IF(OR(ISNUMBER($N54),$N54="DNA"),$N54,IF(OR(ISNUMBER($M54),$M54="DNA"),$M54,IF(OR(ISNUMBER($L54),$L54="DNA"),$L54,"")))))))))),IF(ISNUMBER($V54),"Update status","Missed/not booked?"),""))))</f>
        <v/>
      </c>
      <c r="K54" s="29">
        <f>IF(NOT(AND($A54&lt;&gt;"",OR($G54="",$G54="Active"))),"",IF(MIN(IF(AND(ISNUMBER($L54),$L54&gt;=TODAY()),$L54,99999),IF(AND(ISNUMBER($M54),$M54&gt;=TODAY()),$M54,99999),IF(AND(ISNUMBER($N54),$N54&gt;=TODAY()),$N54,99999),IF(AND(ISNUMBER($Q54),$Q54&gt;=TODAY()),$Q54,99999),IF(AND(ISNUMBER($R54),$R54&gt;=TODAY()),$R54,99999),IF(AND(ISNUMBER($S54),$S54&gt;=TODAY()),$S54,99999),IF(AND(ISNUMBER($T54),$T54&gt;=TODAY()),$T54,99999),IF(AND(ISNUMBER($U54),$U54&gt;=TODAY()),$U54,99999),IF(AND(ISNUMBER($V54),$V54&gt;=TODAY()),$V54,99999))=99999,"",MIN(IF(AND(ISNUMBER($L54),$L54&gt;=TODAY()),$L54,99999),IF(AND(ISNUMBER($M54),$M54&gt;=TODAY()),$M54,99999),IF(AND(ISNUMBER($N54),$N54&gt;=TODAY()),$N54,99999),IF(AND(ISNUMBER($Q54),$Q54&gt;=TODAY()),$Q54,99999),IF(AND(ISNUMBER($R54),$R54&gt;=TODAY()),$R54,99999),IF(AND(ISNUMBER($S54),$S54&gt;=TODAY()),$S54,99999),IF(AND(ISNUMBER($T54),$T54&gt;=TODAY()),$T54,99999),IF(AND(ISNUMBER($U54),$U54&gt;=TODAY()),$U54,99999),IF(AND(ISNUMBER($V54),$V54&gt;=TODAY()),$V54,99999))))</f>
        <v/>
      </c>
      <c r="L54" s="27" t="n"/>
      <c r="M54" s="27" t="n"/>
      <c r="N54" s="27" t="n"/>
      <c r="O54" s="27" t="n"/>
      <c r="P54" s="27" t="n"/>
      <c r="Q54" s="27" t="n"/>
      <c r="R54" s="27" t="n"/>
      <c r="S54" s="27" t="n"/>
      <c r="T54" s="27" t="n"/>
      <c r="U54" s="27" t="n"/>
      <c r="V54" s="27" t="n"/>
      <c r="W54" s="27" t="n"/>
      <c r="X54" s="27" t="n"/>
      <c r="Y54" s="27" t="n"/>
      <c r="Z54" s="30" t="n"/>
      <c r="AA54" s="25" t="n"/>
      <c r="AB54" s="28">
        <f>IF(NOT(AND($A54&lt;&gt;"",OR($G54="",$G54="Active"))),"",IF(OR(IF(OR(ISNUMBER($V54),$V54="DNA"),$V54,IF(OR(ISNUMBER($U54),$U54="DNA"),$U54,IF(OR(ISNUMBER($T54),$T54="DNA"),$T54,IF(OR(ISNUMBER($S54),$S54="DNA"),$S54,IF(OR(ISNUMBER($R54),$R54="DNA"),$R54,IF(OR(ISNUMBER($Q54),$Q54="DNA"),$Q54,IF(OR(ISNUMBER($N54),$N54="DNA"),$N54,IF(OR(ISNUMBER($M54),$M54="DNA"),$M54,IF(OR(ISNUMBER($L54),$L54="DNA"),$L54,"")))))))))="DNA",AND(ISNUMBER(IF(OR(ISNUMBER($V54),$V54="DNA"),$V54,IF(OR(ISNUMBER($U54),$U54="DNA"),$U54,IF(OR(ISNUMBER($T54),$T54="DNA"),$T54,IF(OR(ISNUMBER($S54),$S54="DNA"),$S54,IF(OR(ISNUMBER($R54),$R54="DNA"),$R54,IF(OR(ISNUMBER($Q54),$Q54="DNA"),$Q54,IF(OR(ISNUMBER($N54),$N54="DNA"),$N54,IF(OR(ISNUMBER($M54),$M54="DNA"),$M54,IF(OR(ISNUMBER($L54),$L54="DNA"),$L54,"")))))))))),IF(OR(ISNUMBER($V54),$V54="DNA"),$V54,IF(OR(ISNUMBER($U54),$U54="DNA"),$U54,IF(OR(ISNUMBER($T54),$T54="DNA"),$T54,IF(OR(ISNUMBER($S54),$S54="DNA"),$S54,IF(OR(ISNUMBER($R54),$R54="DNA"),$R54,IF(OR(ISNUMBER($Q54),$Q54="DNA"),$Q54,IF(OR(ISNUMBER($N54),$N54="DNA"),$N54,IF(OR(ISNUMBER($M54),$M54="DNA"),$M54,IF(OR(ISNUMBER($L54),$L54="DNA"),$L54,"")))))))))&lt;TODAY())),1,0)+ISNUMBER($O54)*($O54&lt;TODAY())+ISNUMBER($P54)*($P54&lt;TODAY())+ISNUMBER($X54)*($X54&lt;TODAY())+ISNUMBER($Y54)*($Y54&lt;TODAY()))</f>
        <v/>
      </c>
    </row>
    <row r="55">
      <c r="A55" s="25" t="n"/>
      <c r="B55" s="26" t="n"/>
      <c r="C55" s="27" t="n"/>
      <c r="D55" s="25" t="n"/>
      <c r="E55" s="25" t="n"/>
      <c r="F55" s="27" t="n"/>
      <c r="G55" s="25" t="n"/>
      <c r="H55" s="28">
        <f>IF(OR(NOT(AND($A55&lt;&gt;"",OR($G55="",$G55="Active"))),$F55=""),"",INT((TODAY()-$F55+280)/7)&amp;"+"&amp;MOD(TODAY()-$F55+280,7))</f>
        <v/>
      </c>
      <c r="I55" s="28">
        <f>IF(NOT(AND($A55&lt;&gt;"",OR($G55="",$G55="Active"))),"",ISNUMBER($L55)*($L55&gt;=TODAY())*($L55&lt;=TODAY()+7)+ISNUMBER($M55)*($M55&gt;=TODAY())*($M55&lt;=TODAY()+7)+ISNUMBER($N55)*($N55&gt;=TODAY())*($N55&lt;=TODAY()+7)+ISNUMBER($Q55)*($Q55&gt;=TODAY())*($Q55&lt;=TODAY()+7)+ISNUMBER($R55)*($R55&gt;=TODAY())*($R55&lt;=TODAY()+7)+ISNUMBER($S55)*($S55&gt;=TODAY())*($S55&lt;=TODAY()+7)+ISNUMBER($T55)*($T55&gt;=TODAY())*($T55&lt;=TODAY()+7)+ISNUMBER($U55)*($U55&gt;=TODAY())*($U55&lt;=TODAY()+7)+ISNUMBER($V55)*($V55&gt;=TODAY())*($V55&lt;=TODAY()+7)+ISNUMBER($O55)*($O55&gt;=TODAY())*($O55&lt;=TODAY()+7)+ISNUMBER($P55)*($P55&gt;=TODAY())*($P55&lt;=TODAY()+7)+ISNUMBER($X55)*($X55&gt;=TODAY())*($X55&lt;=TODAY()+7)+ISNUMBER($Y55)*($Y55&gt;=TODAY())*($Y55&lt;=TODAY()+7))</f>
        <v/>
      </c>
      <c r="J55" s="28">
        <f>IF(NOT(AND($A55&lt;&gt;"",OR($G55="",$G55="Active"))),"",IF($K55&lt;&gt;"",IF($L55=$K55,"Booking",IF($M55=$K55,"16/40",IF($N55=$K55,"25/40",IF($Q55=$K55,"28/40",IF($R55=$K55,"31/40",IF($S55=$K55,"34/40",IF($T55=$K55,"36/40",IF($U55=$K55,"38/40",IF($V55=$K55,"40/40",""))))))))),IF(IF(OR(ISNUMBER($V55),$V55="DNA"),$V55,IF(OR(ISNUMBER($U55),$U55="DNA"),$U55,IF(OR(ISNUMBER($T55),$T55="DNA"),$T55,IF(OR(ISNUMBER($S55),$S55="DNA"),$S55,IF(OR(ISNUMBER($R55),$R55="DNA"),$R55,IF(OR(ISNUMBER($Q55),$Q55="DNA"),$Q55,IF(OR(ISNUMBER($N55),$N55="DNA"),$N55,IF(OR(ISNUMBER($M55),$M55="DNA"),$M55,IF(OR(ISNUMBER($L55),$L55="DNA"),$L55,"")))))))))="DNA","Rebook DNA",IF(ISNUMBER(IF(OR(ISNUMBER($V55),$V55="DNA"),$V55,IF(OR(ISNUMBER($U55),$U55="DNA"),$U55,IF(OR(ISNUMBER($T55),$T55="DNA"),$T55,IF(OR(ISNUMBER($S55),$S55="DNA"),$S55,IF(OR(ISNUMBER($R55),$R55="DNA"),$R55,IF(OR(ISNUMBER($Q55),$Q55="DNA"),$Q55,IF(OR(ISNUMBER($N55),$N55="DNA"),$N55,IF(OR(ISNUMBER($M55),$M55="DNA"),$M55,IF(OR(ISNUMBER($L55),$L55="DNA"),$L55,"")))))))))),IF(ISNUMBER($V55),"Update status","Missed/not booked?"),""))))</f>
        <v/>
      </c>
      <c r="K55" s="29">
        <f>IF(NOT(AND($A55&lt;&gt;"",OR($G55="",$G55="Active"))),"",IF(MIN(IF(AND(ISNUMBER($L55),$L55&gt;=TODAY()),$L55,99999),IF(AND(ISNUMBER($M55),$M55&gt;=TODAY()),$M55,99999),IF(AND(ISNUMBER($N55),$N55&gt;=TODAY()),$N55,99999),IF(AND(ISNUMBER($Q55),$Q55&gt;=TODAY()),$Q55,99999),IF(AND(ISNUMBER($R55),$R55&gt;=TODAY()),$R55,99999),IF(AND(ISNUMBER($S55),$S55&gt;=TODAY()),$S55,99999),IF(AND(ISNUMBER($T55),$T55&gt;=TODAY()),$T55,99999),IF(AND(ISNUMBER($U55),$U55&gt;=TODAY()),$U55,99999),IF(AND(ISNUMBER($V55),$V55&gt;=TODAY()),$V55,99999))=99999,"",MIN(IF(AND(ISNUMBER($L55),$L55&gt;=TODAY()),$L55,99999),IF(AND(ISNUMBER($M55),$M55&gt;=TODAY()),$M55,99999),IF(AND(ISNUMBER($N55),$N55&gt;=TODAY()),$N55,99999),IF(AND(ISNUMBER($Q55),$Q55&gt;=TODAY()),$Q55,99999),IF(AND(ISNUMBER($R55),$R55&gt;=TODAY()),$R55,99999),IF(AND(ISNUMBER($S55),$S55&gt;=TODAY()),$S55,99999),IF(AND(ISNUMBER($T55),$T55&gt;=TODAY()),$T55,99999),IF(AND(ISNUMBER($U55),$U55&gt;=TODAY()),$U55,99999),IF(AND(ISNUMBER($V55),$V55&gt;=TODAY()),$V55,99999))))</f>
        <v/>
      </c>
      <c r="L55" s="27" t="n"/>
      <c r="M55" s="27" t="n"/>
      <c r="N55" s="27" t="n"/>
      <c r="O55" s="27" t="n"/>
      <c r="P55" s="27" t="n"/>
      <c r="Q55" s="27" t="n"/>
      <c r="R55" s="27" t="n"/>
      <c r="S55" s="27" t="n"/>
      <c r="T55" s="27" t="n"/>
      <c r="U55" s="27" t="n"/>
      <c r="V55" s="27" t="n"/>
      <c r="W55" s="27" t="n"/>
      <c r="X55" s="27" t="n"/>
      <c r="Y55" s="27" t="n"/>
      <c r="Z55" s="30" t="n"/>
      <c r="AA55" s="25" t="n"/>
      <c r="AB55" s="28">
        <f>IF(NOT(AND($A55&lt;&gt;"",OR($G55="",$G55="Active"))),"",IF(OR(IF(OR(ISNUMBER($V55),$V55="DNA"),$V55,IF(OR(ISNUMBER($U55),$U55="DNA"),$U55,IF(OR(ISNUMBER($T55),$T55="DNA"),$T55,IF(OR(ISNUMBER($S55),$S55="DNA"),$S55,IF(OR(ISNUMBER($R55),$R55="DNA"),$R55,IF(OR(ISNUMBER($Q55),$Q55="DNA"),$Q55,IF(OR(ISNUMBER($N55),$N55="DNA"),$N55,IF(OR(ISNUMBER($M55),$M55="DNA"),$M55,IF(OR(ISNUMBER($L55),$L55="DNA"),$L55,"")))))))))="DNA",AND(ISNUMBER(IF(OR(ISNUMBER($V55),$V55="DNA"),$V55,IF(OR(ISNUMBER($U55),$U55="DNA"),$U55,IF(OR(ISNUMBER($T55),$T55="DNA"),$T55,IF(OR(ISNUMBER($S55),$S55="DNA"),$S55,IF(OR(ISNUMBER($R55),$R55="DNA"),$R55,IF(OR(ISNUMBER($Q55),$Q55="DNA"),$Q55,IF(OR(ISNUMBER($N55),$N55="DNA"),$N55,IF(OR(ISNUMBER($M55),$M55="DNA"),$M55,IF(OR(ISNUMBER($L55),$L55="DNA"),$L55,"")))))))))),IF(OR(ISNUMBER($V55),$V55="DNA"),$V55,IF(OR(ISNUMBER($U55),$U55="DNA"),$U55,IF(OR(ISNUMBER($T55),$T55="DNA"),$T55,IF(OR(ISNUMBER($S55),$S55="DNA"),$S55,IF(OR(ISNUMBER($R55),$R55="DNA"),$R55,IF(OR(ISNUMBER($Q55),$Q55="DNA"),$Q55,IF(OR(ISNUMBER($N55),$N55="DNA"),$N55,IF(OR(ISNUMBER($M55),$M55="DNA"),$M55,IF(OR(ISNUMBER($L55),$L55="DNA"),$L55,"")))))))))&lt;TODAY())),1,0)+ISNUMBER($O55)*($O55&lt;TODAY())+ISNUMBER($P55)*($P55&lt;TODAY())+ISNUMBER($X55)*($X55&lt;TODAY())+ISNUMBER($Y55)*($Y55&lt;TODAY()))</f>
        <v/>
      </c>
    </row>
    <row r="56">
      <c r="A56" s="25" t="n"/>
      <c r="B56" s="26" t="n"/>
      <c r="C56" s="27" t="n"/>
      <c r="D56" s="25" t="n"/>
      <c r="E56" s="25" t="n"/>
      <c r="F56" s="27" t="n"/>
      <c r="G56" s="25" t="n"/>
      <c r="H56" s="28">
        <f>IF(OR(NOT(AND($A56&lt;&gt;"",OR($G56="",$G56="Active"))),$F56=""),"",INT((TODAY()-$F56+280)/7)&amp;"+"&amp;MOD(TODAY()-$F56+280,7))</f>
        <v/>
      </c>
      <c r="I56" s="28">
        <f>IF(NOT(AND($A56&lt;&gt;"",OR($G56="",$G56="Active"))),"",ISNUMBER($L56)*($L56&gt;=TODAY())*($L56&lt;=TODAY()+7)+ISNUMBER($M56)*($M56&gt;=TODAY())*($M56&lt;=TODAY()+7)+ISNUMBER($N56)*($N56&gt;=TODAY())*($N56&lt;=TODAY()+7)+ISNUMBER($Q56)*($Q56&gt;=TODAY())*($Q56&lt;=TODAY()+7)+ISNUMBER($R56)*($R56&gt;=TODAY())*($R56&lt;=TODAY()+7)+ISNUMBER($S56)*($S56&gt;=TODAY())*($S56&lt;=TODAY()+7)+ISNUMBER($T56)*($T56&gt;=TODAY())*($T56&lt;=TODAY()+7)+ISNUMBER($U56)*($U56&gt;=TODAY())*($U56&lt;=TODAY()+7)+ISNUMBER($V56)*($V56&gt;=TODAY())*($V56&lt;=TODAY()+7)+ISNUMBER($O56)*($O56&gt;=TODAY())*($O56&lt;=TODAY()+7)+ISNUMBER($P56)*($P56&gt;=TODAY())*($P56&lt;=TODAY()+7)+ISNUMBER($X56)*($X56&gt;=TODAY())*($X56&lt;=TODAY()+7)+ISNUMBER($Y56)*($Y56&gt;=TODAY())*($Y56&lt;=TODAY()+7))</f>
        <v/>
      </c>
      <c r="J56" s="28">
        <f>IF(NOT(AND($A56&lt;&gt;"",OR($G56="",$G56="Active"))),"",IF($K56&lt;&gt;"",IF($L56=$K56,"Booking",IF($M56=$K56,"16/40",IF($N56=$K56,"25/40",IF($Q56=$K56,"28/40",IF($R56=$K56,"31/40",IF($S56=$K56,"34/40",IF($T56=$K56,"36/40",IF($U56=$K56,"38/40",IF($V56=$K56,"40/40",""))))))))),IF(IF(OR(ISNUMBER($V56),$V56="DNA"),$V56,IF(OR(ISNUMBER($U56),$U56="DNA"),$U56,IF(OR(ISNUMBER($T56),$T56="DNA"),$T56,IF(OR(ISNUMBER($S56),$S56="DNA"),$S56,IF(OR(ISNUMBER($R56),$R56="DNA"),$R56,IF(OR(ISNUMBER($Q56),$Q56="DNA"),$Q56,IF(OR(ISNUMBER($N56),$N56="DNA"),$N56,IF(OR(ISNUMBER($M56),$M56="DNA"),$M56,IF(OR(ISNUMBER($L56),$L56="DNA"),$L56,"")))))))))="DNA","Rebook DNA",IF(ISNUMBER(IF(OR(ISNUMBER($V56),$V56="DNA"),$V56,IF(OR(ISNUMBER($U56),$U56="DNA"),$U56,IF(OR(ISNUMBER($T56),$T56="DNA"),$T56,IF(OR(ISNUMBER($S56),$S56="DNA"),$S56,IF(OR(ISNUMBER($R56),$R56="DNA"),$R56,IF(OR(ISNUMBER($Q56),$Q56="DNA"),$Q56,IF(OR(ISNUMBER($N56),$N56="DNA"),$N56,IF(OR(ISNUMBER($M56),$M56="DNA"),$M56,IF(OR(ISNUMBER($L56),$L56="DNA"),$L56,"")))))))))),IF(ISNUMBER($V56),"Update status","Missed/not booked?"),""))))</f>
        <v/>
      </c>
      <c r="K56" s="29">
        <f>IF(NOT(AND($A56&lt;&gt;"",OR($G56="",$G56="Active"))),"",IF(MIN(IF(AND(ISNUMBER($L56),$L56&gt;=TODAY()),$L56,99999),IF(AND(ISNUMBER($M56),$M56&gt;=TODAY()),$M56,99999),IF(AND(ISNUMBER($N56),$N56&gt;=TODAY()),$N56,99999),IF(AND(ISNUMBER($Q56),$Q56&gt;=TODAY()),$Q56,99999),IF(AND(ISNUMBER($R56),$R56&gt;=TODAY()),$R56,99999),IF(AND(ISNUMBER($S56),$S56&gt;=TODAY()),$S56,99999),IF(AND(ISNUMBER($T56),$T56&gt;=TODAY()),$T56,99999),IF(AND(ISNUMBER($U56),$U56&gt;=TODAY()),$U56,99999),IF(AND(ISNUMBER($V56),$V56&gt;=TODAY()),$V56,99999))=99999,"",MIN(IF(AND(ISNUMBER($L56),$L56&gt;=TODAY()),$L56,99999),IF(AND(ISNUMBER($M56),$M56&gt;=TODAY()),$M56,99999),IF(AND(ISNUMBER($N56),$N56&gt;=TODAY()),$N56,99999),IF(AND(ISNUMBER($Q56),$Q56&gt;=TODAY()),$Q56,99999),IF(AND(ISNUMBER($R56),$R56&gt;=TODAY()),$R56,99999),IF(AND(ISNUMBER($S56),$S56&gt;=TODAY()),$S56,99999),IF(AND(ISNUMBER($T56),$T56&gt;=TODAY()),$T56,99999),IF(AND(ISNUMBER($U56),$U56&gt;=TODAY()),$U56,99999),IF(AND(ISNUMBER($V56),$V56&gt;=TODAY()),$V56,99999))))</f>
        <v/>
      </c>
      <c r="L56" s="27" t="n"/>
      <c r="M56" s="27" t="n"/>
      <c r="N56" s="27" t="n"/>
      <c r="O56" s="27" t="n"/>
      <c r="P56" s="27" t="n"/>
      <c r="Q56" s="27" t="n"/>
      <c r="R56" s="27" t="n"/>
      <c r="S56" s="27" t="n"/>
      <c r="T56" s="27" t="n"/>
      <c r="U56" s="27" t="n"/>
      <c r="V56" s="27" t="n"/>
      <c r="W56" s="27" t="n"/>
      <c r="X56" s="27" t="n"/>
      <c r="Y56" s="27" t="n"/>
      <c r="Z56" s="30" t="n"/>
      <c r="AA56" s="25" t="n"/>
      <c r="AB56" s="28">
        <f>IF(NOT(AND($A56&lt;&gt;"",OR($G56="",$G56="Active"))),"",IF(OR(IF(OR(ISNUMBER($V56),$V56="DNA"),$V56,IF(OR(ISNUMBER($U56),$U56="DNA"),$U56,IF(OR(ISNUMBER($T56),$T56="DNA"),$T56,IF(OR(ISNUMBER($S56),$S56="DNA"),$S56,IF(OR(ISNUMBER($R56),$R56="DNA"),$R56,IF(OR(ISNUMBER($Q56),$Q56="DNA"),$Q56,IF(OR(ISNUMBER($N56),$N56="DNA"),$N56,IF(OR(ISNUMBER($M56),$M56="DNA"),$M56,IF(OR(ISNUMBER($L56),$L56="DNA"),$L56,"")))))))))="DNA",AND(ISNUMBER(IF(OR(ISNUMBER($V56),$V56="DNA"),$V56,IF(OR(ISNUMBER($U56),$U56="DNA"),$U56,IF(OR(ISNUMBER($T56),$T56="DNA"),$T56,IF(OR(ISNUMBER($S56),$S56="DNA"),$S56,IF(OR(ISNUMBER($R56),$R56="DNA"),$R56,IF(OR(ISNUMBER($Q56),$Q56="DNA"),$Q56,IF(OR(ISNUMBER($N56),$N56="DNA"),$N56,IF(OR(ISNUMBER($M56),$M56="DNA"),$M56,IF(OR(ISNUMBER($L56),$L56="DNA"),$L56,"")))))))))),IF(OR(ISNUMBER($V56),$V56="DNA"),$V56,IF(OR(ISNUMBER($U56),$U56="DNA"),$U56,IF(OR(ISNUMBER($T56),$T56="DNA"),$T56,IF(OR(ISNUMBER($S56),$S56="DNA"),$S56,IF(OR(ISNUMBER($R56),$R56="DNA"),$R56,IF(OR(ISNUMBER($Q56),$Q56="DNA"),$Q56,IF(OR(ISNUMBER($N56),$N56="DNA"),$N56,IF(OR(ISNUMBER($M56),$M56="DNA"),$M56,IF(OR(ISNUMBER($L56),$L56="DNA"),$L56,"")))))))))&lt;TODAY())),1,0)+ISNUMBER($O56)*($O56&lt;TODAY())+ISNUMBER($P56)*($P56&lt;TODAY())+ISNUMBER($X56)*($X56&lt;TODAY())+ISNUMBER($Y56)*($Y56&lt;TODAY()))</f>
        <v/>
      </c>
    </row>
    <row r="57">
      <c r="A57" s="25" t="n"/>
      <c r="B57" s="26" t="n"/>
      <c r="C57" s="27" t="n"/>
      <c r="D57" s="25" t="n"/>
      <c r="E57" s="25" t="n"/>
      <c r="F57" s="27" t="n"/>
      <c r="G57" s="25" t="n"/>
      <c r="H57" s="28">
        <f>IF(OR(NOT(AND($A57&lt;&gt;"",OR($G57="",$G57="Active"))),$F57=""),"",INT((TODAY()-$F57+280)/7)&amp;"+"&amp;MOD(TODAY()-$F57+280,7))</f>
        <v/>
      </c>
      <c r="I57" s="28">
        <f>IF(NOT(AND($A57&lt;&gt;"",OR($G57="",$G57="Active"))),"",ISNUMBER($L57)*($L57&gt;=TODAY())*($L57&lt;=TODAY()+7)+ISNUMBER($M57)*($M57&gt;=TODAY())*($M57&lt;=TODAY()+7)+ISNUMBER($N57)*($N57&gt;=TODAY())*($N57&lt;=TODAY()+7)+ISNUMBER($Q57)*($Q57&gt;=TODAY())*($Q57&lt;=TODAY()+7)+ISNUMBER($R57)*($R57&gt;=TODAY())*($R57&lt;=TODAY()+7)+ISNUMBER($S57)*($S57&gt;=TODAY())*($S57&lt;=TODAY()+7)+ISNUMBER($T57)*($T57&gt;=TODAY())*($T57&lt;=TODAY()+7)+ISNUMBER($U57)*($U57&gt;=TODAY())*($U57&lt;=TODAY()+7)+ISNUMBER($V57)*($V57&gt;=TODAY())*($V57&lt;=TODAY()+7)+ISNUMBER($O57)*($O57&gt;=TODAY())*($O57&lt;=TODAY()+7)+ISNUMBER($P57)*($P57&gt;=TODAY())*($P57&lt;=TODAY()+7)+ISNUMBER($X57)*($X57&gt;=TODAY())*($X57&lt;=TODAY()+7)+ISNUMBER($Y57)*($Y57&gt;=TODAY())*($Y57&lt;=TODAY()+7))</f>
        <v/>
      </c>
      <c r="J57" s="28">
        <f>IF(NOT(AND($A57&lt;&gt;"",OR($G57="",$G57="Active"))),"",IF($K57&lt;&gt;"",IF($L57=$K57,"Booking",IF($M57=$K57,"16/40",IF($N57=$K57,"25/40",IF($Q57=$K57,"28/40",IF($R57=$K57,"31/40",IF($S57=$K57,"34/40",IF($T57=$K57,"36/40",IF($U57=$K57,"38/40",IF($V57=$K57,"40/40",""))))))))),IF(IF(OR(ISNUMBER($V57),$V57="DNA"),$V57,IF(OR(ISNUMBER($U57),$U57="DNA"),$U57,IF(OR(ISNUMBER($T57),$T57="DNA"),$T57,IF(OR(ISNUMBER($S57),$S57="DNA"),$S57,IF(OR(ISNUMBER($R57),$R57="DNA"),$R57,IF(OR(ISNUMBER($Q57),$Q57="DNA"),$Q57,IF(OR(ISNUMBER($N57),$N57="DNA"),$N57,IF(OR(ISNUMBER($M57),$M57="DNA"),$M57,IF(OR(ISNUMBER($L57),$L57="DNA"),$L57,"")))))))))="DNA","Rebook DNA",IF(ISNUMBER(IF(OR(ISNUMBER($V57),$V57="DNA"),$V57,IF(OR(ISNUMBER($U57),$U57="DNA"),$U57,IF(OR(ISNUMBER($T57),$T57="DNA"),$T57,IF(OR(ISNUMBER($S57),$S57="DNA"),$S57,IF(OR(ISNUMBER($R57),$R57="DNA"),$R57,IF(OR(ISNUMBER($Q57),$Q57="DNA"),$Q57,IF(OR(ISNUMBER($N57),$N57="DNA"),$N57,IF(OR(ISNUMBER($M57),$M57="DNA"),$M57,IF(OR(ISNUMBER($L57),$L57="DNA"),$L57,"")))))))))),IF(ISNUMBER($V57),"Update status","Missed/not booked?"),""))))</f>
        <v/>
      </c>
      <c r="K57" s="29">
        <f>IF(NOT(AND($A57&lt;&gt;"",OR($G57="",$G57="Active"))),"",IF(MIN(IF(AND(ISNUMBER($L57),$L57&gt;=TODAY()),$L57,99999),IF(AND(ISNUMBER($M57),$M57&gt;=TODAY()),$M57,99999),IF(AND(ISNUMBER($N57),$N57&gt;=TODAY()),$N57,99999),IF(AND(ISNUMBER($Q57),$Q57&gt;=TODAY()),$Q57,99999),IF(AND(ISNUMBER($R57),$R57&gt;=TODAY()),$R57,99999),IF(AND(ISNUMBER($S57),$S57&gt;=TODAY()),$S57,99999),IF(AND(ISNUMBER($T57),$T57&gt;=TODAY()),$T57,99999),IF(AND(ISNUMBER($U57),$U57&gt;=TODAY()),$U57,99999),IF(AND(ISNUMBER($V57),$V57&gt;=TODAY()),$V57,99999))=99999,"",MIN(IF(AND(ISNUMBER($L57),$L57&gt;=TODAY()),$L57,99999),IF(AND(ISNUMBER($M57),$M57&gt;=TODAY()),$M57,99999),IF(AND(ISNUMBER($N57),$N57&gt;=TODAY()),$N57,99999),IF(AND(ISNUMBER($Q57),$Q57&gt;=TODAY()),$Q57,99999),IF(AND(ISNUMBER($R57),$R57&gt;=TODAY()),$R57,99999),IF(AND(ISNUMBER($S57),$S57&gt;=TODAY()),$S57,99999),IF(AND(ISNUMBER($T57),$T57&gt;=TODAY()),$T57,99999),IF(AND(ISNUMBER($U57),$U57&gt;=TODAY()),$U57,99999),IF(AND(ISNUMBER($V57),$V57&gt;=TODAY()),$V57,99999))))</f>
        <v/>
      </c>
      <c r="L57" s="27" t="n"/>
      <c r="M57" s="27" t="n"/>
      <c r="N57" s="27" t="n"/>
      <c r="O57" s="27" t="n"/>
      <c r="P57" s="27" t="n"/>
      <c r="Q57" s="27" t="n"/>
      <c r="R57" s="27" t="n"/>
      <c r="S57" s="27" t="n"/>
      <c r="T57" s="27" t="n"/>
      <c r="U57" s="27" t="n"/>
      <c r="V57" s="27" t="n"/>
      <c r="W57" s="27" t="n"/>
      <c r="X57" s="27" t="n"/>
      <c r="Y57" s="27" t="n"/>
      <c r="Z57" s="30" t="n"/>
      <c r="AA57" s="25" t="n"/>
      <c r="AB57" s="28">
        <f>IF(NOT(AND($A57&lt;&gt;"",OR($G57="",$G57="Active"))),"",IF(OR(IF(OR(ISNUMBER($V57),$V57="DNA"),$V57,IF(OR(ISNUMBER($U57),$U57="DNA"),$U57,IF(OR(ISNUMBER($T57),$T57="DNA"),$T57,IF(OR(ISNUMBER($S57),$S57="DNA"),$S57,IF(OR(ISNUMBER($R57),$R57="DNA"),$R57,IF(OR(ISNUMBER($Q57),$Q57="DNA"),$Q57,IF(OR(ISNUMBER($N57),$N57="DNA"),$N57,IF(OR(ISNUMBER($M57),$M57="DNA"),$M57,IF(OR(ISNUMBER($L57),$L57="DNA"),$L57,"")))))))))="DNA",AND(ISNUMBER(IF(OR(ISNUMBER($V57),$V57="DNA"),$V57,IF(OR(ISNUMBER($U57),$U57="DNA"),$U57,IF(OR(ISNUMBER($T57),$T57="DNA"),$T57,IF(OR(ISNUMBER($S57),$S57="DNA"),$S57,IF(OR(ISNUMBER($R57),$R57="DNA"),$R57,IF(OR(ISNUMBER($Q57),$Q57="DNA"),$Q57,IF(OR(ISNUMBER($N57),$N57="DNA"),$N57,IF(OR(ISNUMBER($M57),$M57="DNA"),$M57,IF(OR(ISNUMBER($L57),$L57="DNA"),$L57,"")))))))))),IF(OR(ISNUMBER($V57),$V57="DNA"),$V57,IF(OR(ISNUMBER($U57),$U57="DNA"),$U57,IF(OR(ISNUMBER($T57),$T57="DNA"),$T57,IF(OR(ISNUMBER($S57),$S57="DNA"),$S57,IF(OR(ISNUMBER($R57),$R57="DNA"),$R57,IF(OR(ISNUMBER($Q57),$Q57="DNA"),$Q57,IF(OR(ISNUMBER($N57),$N57="DNA"),$N57,IF(OR(ISNUMBER($M57),$M57="DNA"),$M57,IF(OR(ISNUMBER($L57),$L57="DNA"),$L57,"")))))))))&lt;TODAY())),1,0)+ISNUMBER($O57)*($O57&lt;TODAY())+ISNUMBER($P57)*($P57&lt;TODAY())+ISNUMBER($X57)*($X57&lt;TODAY())+ISNUMBER($Y57)*($Y57&lt;TODAY()))</f>
        <v/>
      </c>
    </row>
    <row r="58">
      <c r="A58" s="25" t="n"/>
      <c r="B58" s="26" t="n"/>
      <c r="C58" s="27" t="n"/>
      <c r="D58" s="25" t="n"/>
      <c r="E58" s="25" t="n"/>
      <c r="F58" s="27" t="n"/>
      <c r="G58" s="25" t="n"/>
      <c r="H58" s="28">
        <f>IF(OR(NOT(AND($A58&lt;&gt;"",OR($G58="",$G58="Active"))),$F58=""),"",INT((TODAY()-$F58+280)/7)&amp;"+"&amp;MOD(TODAY()-$F58+280,7))</f>
        <v/>
      </c>
      <c r="I58" s="28">
        <f>IF(NOT(AND($A58&lt;&gt;"",OR($G58="",$G58="Active"))),"",ISNUMBER($L58)*($L58&gt;=TODAY())*($L58&lt;=TODAY()+7)+ISNUMBER($M58)*($M58&gt;=TODAY())*($M58&lt;=TODAY()+7)+ISNUMBER($N58)*($N58&gt;=TODAY())*($N58&lt;=TODAY()+7)+ISNUMBER($Q58)*($Q58&gt;=TODAY())*($Q58&lt;=TODAY()+7)+ISNUMBER($R58)*($R58&gt;=TODAY())*($R58&lt;=TODAY()+7)+ISNUMBER($S58)*($S58&gt;=TODAY())*($S58&lt;=TODAY()+7)+ISNUMBER($T58)*($T58&gt;=TODAY())*($T58&lt;=TODAY()+7)+ISNUMBER($U58)*($U58&gt;=TODAY())*($U58&lt;=TODAY()+7)+ISNUMBER($V58)*($V58&gt;=TODAY())*($V58&lt;=TODAY()+7)+ISNUMBER($O58)*($O58&gt;=TODAY())*($O58&lt;=TODAY()+7)+ISNUMBER($P58)*($P58&gt;=TODAY())*($P58&lt;=TODAY()+7)+ISNUMBER($X58)*($X58&gt;=TODAY())*($X58&lt;=TODAY()+7)+ISNUMBER($Y58)*($Y58&gt;=TODAY())*($Y58&lt;=TODAY()+7))</f>
        <v/>
      </c>
      <c r="J58" s="28">
        <f>IF(NOT(AND($A58&lt;&gt;"",OR($G58="",$G58="Active"))),"",IF($K58&lt;&gt;"",IF($L58=$K58,"Booking",IF($M58=$K58,"16/40",IF($N58=$K58,"25/40",IF($Q58=$K58,"28/40",IF($R58=$K58,"31/40",IF($S58=$K58,"34/40",IF($T58=$K58,"36/40",IF($U58=$K58,"38/40",IF($V58=$K58,"40/40",""))))))))),IF(IF(OR(ISNUMBER($V58),$V58="DNA"),$V58,IF(OR(ISNUMBER($U58),$U58="DNA"),$U58,IF(OR(ISNUMBER($T58),$T58="DNA"),$T58,IF(OR(ISNUMBER($S58),$S58="DNA"),$S58,IF(OR(ISNUMBER($R58),$R58="DNA"),$R58,IF(OR(ISNUMBER($Q58),$Q58="DNA"),$Q58,IF(OR(ISNUMBER($N58),$N58="DNA"),$N58,IF(OR(ISNUMBER($M58),$M58="DNA"),$M58,IF(OR(ISNUMBER($L58),$L58="DNA"),$L58,"")))))))))="DNA","Rebook DNA",IF(ISNUMBER(IF(OR(ISNUMBER($V58),$V58="DNA"),$V58,IF(OR(ISNUMBER($U58),$U58="DNA"),$U58,IF(OR(ISNUMBER($T58),$T58="DNA"),$T58,IF(OR(ISNUMBER($S58),$S58="DNA"),$S58,IF(OR(ISNUMBER($R58),$R58="DNA"),$R58,IF(OR(ISNUMBER($Q58),$Q58="DNA"),$Q58,IF(OR(ISNUMBER($N58),$N58="DNA"),$N58,IF(OR(ISNUMBER($M58),$M58="DNA"),$M58,IF(OR(ISNUMBER($L58),$L58="DNA"),$L58,"")))))))))),IF(ISNUMBER($V58),"Update status","Missed/not booked?"),""))))</f>
        <v/>
      </c>
      <c r="K58" s="29">
        <f>IF(NOT(AND($A58&lt;&gt;"",OR($G58="",$G58="Active"))),"",IF(MIN(IF(AND(ISNUMBER($L58),$L58&gt;=TODAY()),$L58,99999),IF(AND(ISNUMBER($M58),$M58&gt;=TODAY()),$M58,99999),IF(AND(ISNUMBER($N58),$N58&gt;=TODAY()),$N58,99999),IF(AND(ISNUMBER($Q58),$Q58&gt;=TODAY()),$Q58,99999),IF(AND(ISNUMBER($R58),$R58&gt;=TODAY()),$R58,99999),IF(AND(ISNUMBER($S58),$S58&gt;=TODAY()),$S58,99999),IF(AND(ISNUMBER($T58),$T58&gt;=TODAY()),$T58,99999),IF(AND(ISNUMBER($U58),$U58&gt;=TODAY()),$U58,99999),IF(AND(ISNUMBER($V58),$V58&gt;=TODAY()),$V58,99999))=99999,"",MIN(IF(AND(ISNUMBER($L58),$L58&gt;=TODAY()),$L58,99999),IF(AND(ISNUMBER($M58),$M58&gt;=TODAY()),$M58,99999),IF(AND(ISNUMBER($N58),$N58&gt;=TODAY()),$N58,99999),IF(AND(ISNUMBER($Q58),$Q58&gt;=TODAY()),$Q58,99999),IF(AND(ISNUMBER($R58),$R58&gt;=TODAY()),$R58,99999),IF(AND(ISNUMBER($S58),$S58&gt;=TODAY()),$S58,99999),IF(AND(ISNUMBER($T58),$T58&gt;=TODAY()),$T58,99999),IF(AND(ISNUMBER($U58),$U58&gt;=TODAY()),$U58,99999),IF(AND(ISNUMBER($V58),$V58&gt;=TODAY()),$V58,99999))))</f>
        <v/>
      </c>
      <c r="L58" s="27" t="n"/>
      <c r="M58" s="27" t="n"/>
      <c r="N58" s="27" t="n"/>
      <c r="O58" s="27" t="n"/>
      <c r="P58" s="27" t="n"/>
      <c r="Q58" s="27" t="n"/>
      <c r="R58" s="27" t="n"/>
      <c r="S58" s="27" t="n"/>
      <c r="T58" s="27" t="n"/>
      <c r="U58" s="27" t="n"/>
      <c r="V58" s="27" t="n"/>
      <c r="W58" s="27" t="n"/>
      <c r="X58" s="27" t="n"/>
      <c r="Y58" s="27" t="n"/>
      <c r="Z58" s="30" t="n"/>
      <c r="AA58" s="25" t="n"/>
      <c r="AB58" s="28">
        <f>IF(NOT(AND($A58&lt;&gt;"",OR($G58="",$G58="Active"))),"",IF(OR(IF(OR(ISNUMBER($V58),$V58="DNA"),$V58,IF(OR(ISNUMBER($U58),$U58="DNA"),$U58,IF(OR(ISNUMBER($T58),$T58="DNA"),$T58,IF(OR(ISNUMBER($S58),$S58="DNA"),$S58,IF(OR(ISNUMBER($R58),$R58="DNA"),$R58,IF(OR(ISNUMBER($Q58),$Q58="DNA"),$Q58,IF(OR(ISNUMBER($N58),$N58="DNA"),$N58,IF(OR(ISNUMBER($M58),$M58="DNA"),$M58,IF(OR(ISNUMBER($L58),$L58="DNA"),$L58,"")))))))))="DNA",AND(ISNUMBER(IF(OR(ISNUMBER($V58),$V58="DNA"),$V58,IF(OR(ISNUMBER($U58),$U58="DNA"),$U58,IF(OR(ISNUMBER($T58),$T58="DNA"),$T58,IF(OR(ISNUMBER($S58),$S58="DNA"),$S58,IF(OR(ISNUMBER($R58),$R58="DNA"),$R58,IF(OR(ISNUMBER($Q58),$Q58="DNA"),$Q58,IF(OR(ISNUMBER($N58),$N58="DNA"),$N58,IF(OR(ISNUMBER($M58),$M58="DNA"),$M58,IF(OR(ISNUMBER($L58),$L58="DNA"),$L58,"")))))))))),IF(OR(ISNUMBER($V58),$V58="DNA"),$V58,IF(OR(ISNUMBER($U58),$U58="DNA"),$U58,IF(OR(ISNUMBER($T58),$T58="DNA"),$T58,IF(OR(ISNUMBER($S58),$S58="DNA"),$S58,IF(OR(ISNUMBER($R58),$R58="DNA"),$R58,IF(OR(ISNUMBER($Q58),$Q58="DNA"),$Q58,IF(OR(ISNUMBER($N58),$N58="DNA"),$N58,IF(OR(ISNUMBER($M58),$M58="DNA"),$M58,IF(OR(ISNUMBER($L58),$L58="DNA"),$L58,"")))))))))&lt;TODAY())),1,0)+ISNUMBER($O58)*($O58&lt;TODAY())+ISNUMBER($P58)*($P58&lt;TODAY())+ISNUMBER($X58)*($X58&lt;TODAY())+ISNUMBER($Y58)*($Y58&lt;TODAY()))</f>
        <v/>
      </c>
    </row>
    <row r="59">
      <c r="A59" s="25" t="n"/>
      <c r="B59" s="26" t="n"/>
      <c r="C59" s="27" t="n"/>
      <c r="D59" s="25" t="n"/>
      <c r="E59" s="25" t="n"/>
      <c r="F59" s="27" t="n"/>
      <c r="G59" s="25" t="n"/>
      <c r="H59" s="28">
        <f>IF(OR(NOT(AND($A59&lt;&gt;"",OR($G59="",$G59="Active"))),$F59=""),"",INT((TODAY()-$F59+280)/7)&amp;"+"&amp;MOD(TODAY()-$F59+280,7))</f>
        <v/>
      </c>
      <c r="I59" s="28">
        <f>IF(NOT(AND($A59&lt;&gt;"",OR($G59="",$G59="Active"))),"",ISNUMBER($L59)*($L59&gt;=TODAY())*($L59&lt;=TODAY()+7)+ISNUMBER($M59)*($M59&gt;=TODAY())*($M59&lt;=TODAY()+7)+ISNUMBER($N59)*($N59&gt;=TODAY())*($N59&lt;=TODAY()+7)+ISNUMBER($Q59)*($Q59&gt;=TODAY())*($Q59&lt;=TODAY()+7)+ISNUMBER($R59)*($R59&gt;=TODAY())*($R59&lt;=TODAY()+7)+ISNUMBER($S59)*($S59&gt;=TODAY())*($S59&lt;=TODAY()+7)+ISNUMBER($T59)*($T59&gt;=TODAY())*($T59&lt;=TODAY()+7)+ISNUMBER($U59)*($U59&gt;=TODAY())*($U59&lt;=TODAY()+7)+ISNUMBER($V59)*($V59&gt;=TODAY())*($V59&lt;=TODAY()+7)+ISNUMBER($O59)*($O59&gt;=TODAY())*($O59&lt;=TODAY()+7)+ISNUMBER($P59)*($P59&gt;=TODAY())*($P59&lt;=TODAY()+7)+ISNUMBER($X59)*($X59&gt;=TODAY())*($X59&lt;=TODAY()+7)+ISNUMBER($Y59)*($Y59&gt;=TODAY())*($Y59&lt;=TODAY()+7))</f>
        <v/>
      </c>
      <c r="J59" s="28">
        <f>IF(NOT(AND($A59&lt;&gt;"",OR($G59="",$G59="Active"))),"",IF($K59&lt;&gt;"",IF($L59=$K59,"Booking",IF($M59=$K59,"16/40",IF($N59=$K59,"25/40",IF($Q59=$K59,"28/40",IF($R59=$K59,"31/40",IF($S59=$K59,"34/40",IF($T59=$K59,"36/40",IF($U59=$K59,"38/40",IF($V59=$K59,"40/40",""))))))))),IF(IF(OR(ISNUMBER($V59),$V59="DNA"),$V59,IF(OR(ISNUMBER($U59),$U59="DNA"),$U59,IF(OR(ISNUMBER($T59),$T59="DNA"),$T59,IF(OR(ISNUMBER($S59),$S59="DNA"),$S59,IF(OR(ISNUMBER($R59),$R59="DNA"),$R59,IF(OR(ISNUMBER($Q59),$Q59="DNA"),$Q59,IF(OR(ISNUMBER($N59),$N59="DNA"),$N59,IF(OR(ISNUMBER($M59),$M59="DNA"),$M59,IF(OR(ISNUMBER($L59),$L59="DNA"),$L59,"")))))))))="DNA","Rebook DNA",IF(ISNUMBER(IF(OR(ISNUMBER($V59),$V59="DNA"),$V59,IF(OR(ISNUMBER($U59),$U59="DNA"),$U59,IF(OR(ISNUMBER($T59),$T59="DNA"),$T59,IF(OR(ISNUMBER($S59),$S59="DNA"),$S59,IF(OR(ISNUMBER($R59),$R59="DNA"),$R59,IF(OR(ISNUMBER($Q59),$Q59="DNA"),$Q59,IF(OR(ISNUMBER($N59),$N59="DNA"),$N59,IF(OR(ISNUMBER($M59),$M59="DNA"),$M59,IF(OR(ISNUMBER($L59),$L59="DNA"),$L59,"")))))))))),IF(ISNUMBER($V59),"Update status","Missed/not booked?"),""))))</f>
        <v/>
      </c>
      <c r="K59" s="29">
        <f>IF(NOT(AND($A59&lt;&gt;"",OR($G59="",$G59="Active"))),"",IF(MIN(IF(AND(ISNUMBER($L59),$L59&gt;=TODAY()),$L59,99999),IF(AND(ISNUMBER($M59),$M59&gt;=TODAY()),$M59,99999),IF(AND(ISNUMBER($N59),$N59&gt;=TODAY()),$N59,99999),IF(AND(ISNUMBER($Q59),$Q59&gt;=TODAY()),$Q59,99999),IF(AND(ISNUMBER($R59),$R59&gt;=TODAY()),$R59,99999),IF(AND(ISNUMBER($S59),$S59&gt;=TODAY()),$S59,99999),IF(AND(ISNUMBER($T59),$T59&gt;=TODAY()),$T59,99999),IF(AND(ISNUMBER($U59),$U59&gt;=TODAY()),$U59,99999),IF(AND(ISNUMBER($V59),$V59&gt;=TODAY()),$V59,99999))=99999,"",MIN(IF(AND(ISNUMBER($L59),$L59&gt;=TODAY()),$L59,99999),IF(AND(ISNUMBER($M59),$M59&gt;=TODAY()),$M59,99999),IF(AND(ISNUMBER($N59),$N59&gt;=TODAY()),$N59,99999),IF(AND(ISNUMBER($Q59),$Q59&gt;=TODAY()),$Q59,99999),IF(AND(ISNUMBER($R59),$R59&gt;=TODAY()),$R59,99999),IF(AND(ISNUMBER($S59),$S59&gt;=TODAY()),$S59,99999),IF(AND(ISNUMBER($T59),$T59&gt;=TODAY()),$T59,99999),IF(AND(ISNUMBER($U59),$U59&gt;=TODAY()),$U59,99999),IF(AND(ISNUMBER($V59),$V59&gt;=TODAY()),$V59,99999))))</f>
        <v/>
      </c>
      <c r="L59" s="27" t="n"/>
      <c r="M59" s="27" t="n"/>
      <c r="N59" s="27" t="n"/>
      <c r="O59" s="27" t="n"/>
      <c r="P59" s="27" t="n"/>
      <c r="Q59" s="27" t="n"/>
      <c r="R59" s="27" t="n"/>
      <c r="S59" s="27" t="n"/>
      <c r="T59" s="27" t="n"/>
      <c r="U59" s="27" t="n"/>
      <c r="V59" s="27" t="n"/>
      <c r="W59" s="27" t="n"/>
      <c r="X59" s="27" t="n"/>
      <c r="Y59" s="27" t="n"/>
      <c r="Z59" s="30" t="n"/>
      <c r="AA59" s="25" t="n"/>
      <c r="AB59" s="28">
        <f>IF(NOT(AND($A59&lt;&gt;"",OR($G59="",$G59="Active"))),"",IF(OR(IF(OR(ISNUMBER($V59),$V59="DNA"),$V59,IF(OR(ISNUMBER($U59),$U59="DNA"),$U59,IF(OR(ISNUMBER($T59),$T59="DNA"),$T59,IF(OR(ISNUMBER($S59),$S59="DNA"),$S59,IF(OR(ISNUMBER($R59),$R59="DNA"),$R59,IF(OR(ISNUMBER($Q59),$Q59="DNA"),$Q59,IF(OR(ISNUMBER($N59),$N59="DNA"),$N59,IF(OR(ISNUMBER($M59),$M59="DNA"),$M59,IF(OR(ISNUMBER($L59),$L59="DNA"),$L59,"")))))))))="DNA",AND(ISNUMBER(IF(OR(ISNUMBER($V59),$V59="DNA"),$V59,IF(OR(ISNUMBER($U59),$U59="DNA"),$U59,IF(OR(ISNUMBER($T59),$T59="DNA"),$T59,IF(OR(ISNUMBER($S59),$S59="DNA"),$S59,IF(OR(ISNUMBER($R59),$R59="DNA"),$R59,IF(OR(ISNUMBER($Q59),$Q59="DNA"),$Q59,IF(OR(ISNUMBER($N59),$N59="DNA"),$N59,IF(OR(ISNUMBER($M59),$M59="DNA"),$M59,IF(OR(ISNUMBER($L59),$L59="DNA"),$L59,"")))))))))),IF(OR(ISNUMBER($V59),$V59="DNA"),$V59,IF(OR(ISNUMBER($U59),$U59="DNA"),$U59,IF(OR(ISNUMBER($T59),$T59="DNA"),$T59,IF(OR(ISNUMBER($S59),$S59="DNA"),$S59,IF(OR(ISNUMBER($R59),$R59="DNA"),$R59,IF(OR(ISNUMBER($Q59),$Q59="DNA"),$Q59,IF(OR(ISNUMBER($N59),$N59="DNA"),$N59,IF(OR(ISNUMBER($M59),$M59="DNA"),$M59,IF(OR(ISNUMBER($L59),$L59="DNA"),$L59,"")))))))))&lt;TODAY())),1,0)+ISNUMBER($O59)*($O59&lt;TODAY())+ISNUMBER($P59)*($P59&lt;TODAY())+ISNUMBER($X59)*($X59&lt;TODAY())+ISNUMBER($Y59)*($Y59&lt;TODAY()))</f>
        <v/>
      </c>
    </row>
    <row r="60">
      <c r="A60" s="25" t="n"/>
      <c r="B60" s="26" t="n"/>
      <c r="C60" s="27" t="n"/>
      <c r="D60" s="25" t="n"/>
      <c r="E60" s="25" t="n"/>
      <c r="F60" s="27" t="n"/>
      <c r="G60" s="25" t="n"/>
      <c r="H60" s="28">
        <f>IF(OR(NOT(AND($A60&lt;&gt;"",OR($G60="",$G60="Active"))),$F60=""),"",INT((TODAY()-$F60+280)/7)&amp;"+"&amp;MOD(TODAY()-$F60+280,7))</f>
        <v/>
      </c>
      <c r="I60" s="28">
        <f>IF(NOT(AND($A60&lt;&gt;"",OR($G60="",$G60="Active"))),"",ISNUMBER($L60)*($L60&gt;=TODAY())*($L60&lt;=TODAY()+7)+ISNUMBER($M60)*($M60&gt;=TODAY())*($M60&lt;=TODAY()+7)+ISNUMBER($N60)*($N60&gt;=TODAY())*($N60&lt;=TODAY()+7)+ISNUMBER($Q60)*($Q60&gt;=TODAY())*($Q60&lt;=TODAY()+7)+ISNUMBER($R60)*($R60&gt;=TODAY())*($R60&lt;=TODAY()+7)+ISNUMBER($S60)*($S60&gt;=TODAY())*($S60&lt;=TODAY()+7)+ISNUMBER($T60)*($T60&gt;=TODAY())*($T60&lt;=TODAY()+7)+ISNUMBER($U60)*($U60&gt;=TODAY())*($U60&lt;=TODAY()+7)+ISNUMBER($V60)*($V60&gt;=TODAY())*($V60&lt;=TODAY()+7)+ISNUMBER($O60)*($O60&gt;=TODAY())*($O60&lt;=TODAY()+7)+ISNUMBER($P60)*($P60&gt;=TODAY())*($P60&lt;=TODAY()+7)+ISNUMBER($X60)*($X60&gt;=TODAY())*($X60&lt;=TODAY()+7)+ISNUMBER($Y60)*($Y60&gt;=TODAY())*($Y60&lt;=TODAY()+7))</f>
        <v/>
      </c>
      <c r="J60" s="28">
        <f>IF(NOT(AND($A60&lt;&gt;"",OR($G60="",$G60="Active"))),"",IF($K60&lt;&gt;"",IF($L60=$K60,"Booking",IF($M60=$K60,"16/40",IF($N60=$K60,"25/40",IF($Q60=$K60,"28/40",IF($R60=$K60,"31/40",IF($S60=$K60,"34/40",IF($T60=$K60,"36/40",IF($U60=$K60,"38/40",IF($V60=$K60,"40/40",""))))))))),IF(IF(OR(ISNUMBER($V60),$V60="DNA"),$V60,IF(OR(ISNUMBER($U60),$U60="DNA"),$U60,IF(OR(ISNUMBER($T60),$T60="DNA"),$T60,IF(OR(ISNUMBER($S60),$S60="DNA"),$S60,IF(OR(ISNUMBER($R60),$R60="DNA"),$R60,IF(OR(ISNUMBER($Q60),$Q60="DNA"),$Q60,IF(OR(ISNUMBER($N60),$N60="DNA"),$N60,IF(OR(ISNUMBER($M60),$M60="DNA"),$M60,IF(OR(ISNUMBER($L60),$L60="DNA"),$L60,"")))))))))="DNA","Rebook DNA",IF(ISNUMBER(IF(OR(ISNUMBER($V60),$V60="DNA"),$V60,IF(OR(ISNUMBER($U60),$U60="DNA"),$U60,IF(OR(ISNUMBER($T60),$T60="DNA"),$T60,IF(OR(ISNUMBER($S60),$S60="DNA"),$S60,IF(OR(ISNUMBER($R60),$R60="DNA"),$R60,IF(OR(ISNUMBER($Q60),$Q60="DNA"),$Q60,IF(OR(ISNUMBER($N60),$N60="DNA"),$N60,IF(OR(ISNUMBER($M60),$M60="DNA"),$M60,IF(OR(ISNUMBER($L60),$L60="DNA"),$L60,"")))))))))),IF(ISNUMBER($V60),"Update status","Missed/not booked?"),""))))</f>
        <v/>
      </c>
      <c r="K60" s="29">
        <f>IF(NOT(AND($A60&lt;&gt;"",OR($G60="",$G60="Active"))),"",IF(MIN(IF(AND(ISNUMBER($L60),$L60&gt;=TODAY()),$L60,99999),IF(AND(ISNUMBER($M60),$M60&gt;=TODAY()),$M60,99999),IF(AND(ISNUMBER($N60),$N60&gt;=TODAY()),$N60,99999),IF(AND(ISNUMBER($Q60),$Q60&gt;=TODAY()),$Q60,99999),IF(AND(ISNUMBER($R60),$R60&gt;=TODAY()),$R60,99999),IF(AND(ISNUMBER($S60),$S60&gt;=TODAY()),$S60,99999),IF(AND(ISNUMBER($T60),$T60&gt;=TODAY()),$T60,99999),IF(AND(ISNUMBER($U60),$U60&gt;=TODAY()),$U60,99999),IF(AND(ISNUMBER($V60),$V60&gt;=TODAY()),$V60,99999))=99999,"",MIN(IF(AND(ISNUMBER($L60),$L60&gt;=TODAY()),$L60,99999),IF(AND(ISNUMBER($M60),$M60&gt;=TODAY()),$M60,99999),IF(AND(ISNUMBER($N60),$N60&gt;=TODAY()),$N60,99999),IF(AND(ISNUMBER($Q60),$Q60&gt;=TODAY()),$Q60,99999),IF(AND(ISNUMBER($R60),$R60&gt;=TODAY()),$R60,99999),IF(AND(ISNUMBER($S60),$S60&gt;=TODAY()),$S60,99999),IF(AND(ISNUMBER($T60),$T60&gt;=TODAY()),$T60,99999),IF(AND(ISNUMBER($U60),$U60&gt;=TODAY()),$U60,99999),IF(AND(ISNUMBER($V60),$V60&gt;=TODAY()),$V60,99999))))</f>
        <v/>
      </c>
      <c r="L60" s="27" t="n"/>
      <c r="M60" s="27" t="n"/>
      <c r="N60" s="27" t="n"/>
      <c r="O60" s="27" t="n"/>
      <c r="P60" s="27" t="n"/>
      <c r="Q60" s="27" t="n"/>
      <c r="R60" s="27" t="n"/>
      <c r="S60" s="27" t="n"/>
      <c r="T60" s="27" t="n"/>
      <c r="U60" s="27" t="n"/>
      <c r="V60" s="27" t="n"/>
      <c r="W60" s="27" t="n"/>
      <c r="X60" s="27" t="n"/>
      <c r="Y60" s="27" t="n"/>
      <c r="Z60" s="30" t="n"/>
      <c r="AA60" s="25" t="n"/>
      <c r="AB60" s="28">
        <f>IF(NOT(AND($A60&lt;&gt;"",OR($G60="",$G60="Active"))),"",IF(OR(IF(OR(ISNUMBER($V60),$V60="DNA"),$V60,IF(OR(ISNUMBER($U60),$U60="DNA"),$U60,IF(OR(ISNUMBER($T60),$T60="DNA"),$T60,IF(OR(ISNUMBER($S60),$S60="DNA"),$S60,IF(OR(ISNUMBER($R60),$R60="DNA"),$R60,IF(OR(ISNUMBER($Q60),$Q60="DNA"),$Q60,IF(OR(ISNUMBER($N60),$N60="DNA"),$N60,IF(OR(ISNUMBER($M60),$M60="DNA"),$M60,IF(OR(ISNUMBER($L60),$L60="DNA"),$L60,"")))))))))="DNA",AND(ISNUMBER(IF(OR(ISNUMBER($V60),$V60="DNA"),$V60,IF(OR(ISNUMBER($U60),$U60="DNA"),$U60,IF(OR(ISNUMBER($T60),$T60="DNA"),$T60,IF(OR(ISNUMBER($S60),$S60="DNA"),$S60,IF(OR(ISNUMBER($R60),$R60="DNA"),$R60,IF(OR(ISNUMBER($Q60),$Q60="DNA"),$Q60,IF(OR(ISNUMBER($N60),$N60="DNA"),$N60,IF(OR(ISNUMBER($M60),$M60="DNA"),$M60,IF(OR(ISNUMBER($L60),$L60="DNA"),$L60,"")))))))))),IF(OR(ISNUMBER($V60),$V60="DNA"),$V60,IF(OR(ISNUMBER($U60),$U60="DNA"),$U60,IF(OR(ISNUMBER($T60),$T60="DNA"),$T60,IF(OR(ISNUMBER($S60),$S60="DNA"),$S60,IF(OR(ISNUMBER($R60),$R60="DNA"),$R60,IF(OR(ISNUMBER($Q60),$Q60="DNA"),$Q60,IF(OR(ISNUMBER($N60),$N60="DNA"),$N60,IF(OR(ISNUMBER($M60),$M60="DNA"),$M60,IF(OR(ISNUMBER($L60),$L60="DNA"),$L60,"")))))))))&lt;TODAY())),1,0)+ISNUMBER($O60)*($O60&lt;TODAY())+ISNUMBER($P60)*($P60&lt;TODAY())+ISNUMBER($X60)*($X60&lt;TODAY())+ISNUMBER($Y60)*($Y60&lt;TODAY()))</f>
        <v/>
      </c>
    </row>
    <row r="61">
      <c r="A61" s="25" t="n"/>
      <c r="B61" s="26" t="n"/>
      <c r="C61" s="27" t="n"/>
      <c r="D61" s="25" t="n"/>
      <c r="E61" s="25" t="n"/>
      <c r="F61" s="27" t="n"/>
      <c r="G61" s="25" t="n"/>
      <c r="H61" s="28">
        <f>IF(OR(NOT(AND($A61&lt;&gt;"",OR($G61="",$G61="Active"))),$F61=""),"",INT((TODAY()-$F61+280)/7)&amp;"+"&amp;MOD(TODAY()-$F61+280,7))</f>
        <v/>
      </c>
      <c r="I61" s="28">
        <f>IF(NOT(AND($A61&lt;&gt;"",OR($G61="",$G61="Active"))),"",ISNUMBER($L61)*($L61&gt;=TODAY())*($L61&lt;=TODAY()+7)+ISNUMBER($M61)*($M61&gt;=TODAY())*($M61&lt;=TODAY()+7)+ISNUMBER($N61)*($N61&gt;=TODAY())*($N61&lt;=TODAY()+7)+ISNUMBER($Q61)*($Q61&gt;=TODAY())*($Q61&lt;=TODAY()+7)+ISNUMBER($R61)*($R61&gt;=TODAY())*($R61&lt;=TODAY()+7)+ISNUMBER($S61)*($S61&gt;=TODAY())*($S61&lt;=TODAY()+7)+ISNUMBER($T61)*($T61&gt;=TODAY())*($T61&lt;=TODAY()+7)+ISNUMBER($U61)*($U61&gt;=TODAY())*($U61&lt;=TODAY()+7)+ISNUMBER($V61)*($V61&gt;=TODAY())*($V61&lt;=TODAY()+7)+ISNUMBER($O61)*($O61&gt;=TODAY())*($O61&lt;=TODAY()+7)+ISNUMBER($P61)*($P61&gt;=TODAY())*($P61&lt;=TODAY()+7)+ISNUMBER($X61)*($X61&gt;=TODAY())*($X61&lt;=TODAY()+7)+ISNUMBER($Y61)*($Y61&gt;=TODAY())*($Y61&lt;=TODAY()+7))</f>
        <v/>
      </c>
      <c r="J61" s="28">
        <f>IF(NOT(AND($A61&lt;&gt;"",OR($G61="",$G61="Active"))),"",IF($K61&lt;&gt;"",IF($L61=$K61,"Booking",IF($M61=$K61,"16/40",IF($N61=$K61,"25/40",IF($Q61=$K61,"28/40",IF($R61=$K61,"31/40",IF($S61=$K61,"34/40",IF($T61=$K61,"36/40",IF($U61=$K61,"38/40",IF($V61=$K61,"40/40",""))))))))),IF(IF(OR(ISNUMBER($V61),$V61="DNA"),$V61,IF(OR(ISNUMBER($U61),$U61="DNA"),$U61,IF(OR(ISNUMBER($T61),$T61="DNA"),$T61,IF(OR(ISNUMBER($S61),$S61="DNA"),$S61,IF(OR(ISNUMBER($R61),$R61="DNA"),$R61,IF(OR(ISNUMBER($Q61),$Q61="DNA"),$Q61,IF(OR(ISNUMBER($N61),$N61="DNA"),$N61,IF(OR(ISNUMBER($M61),$M61="DNA"),$M61,IF(OR(ISNUMBER($L61),$L61="DNA"),$L61,"")))))))))="DNA","Rebook DNA",IF(ISNUMBER(IF(OR(ISNUMBER($V61),$V61="DNA"),$V61,IF(OR(ISNUMBER($U61),$U61="DNA"),$U61,IF(OR(ISNUMBER($T61),$T61="DNA"),$T61,IF(OR(ISNUMBER($S61),$S61="DNA"),$S61,IF(OR(ISNUMBER($R61),$R61="DNA"),$R61,IF(OR(ISNUMBER($Q61),$Q61="DNA"),$Q61,IF(OR(ISNUMBER($N61),$N61="DNA"),$N61,IF(OR(ISNUMBER($M61),$M61="DNA"),$M61,IF(OR(ISNUMBER($L61),$L61="DNA"),$L61,"")))))))))),IF(ISNUMBER($V61),"Update status","Missed/not booked?"),""))))</f>
        <v/>
      </c>
      <c r="K61" s="29">
        <f>IF(NOT(AND($A61&lt;&gt;"",OR($G61="",$G61="Active"))),"",IF(MIN(IF(AND(ISNUMBER($L61),$L61&gt;=TODAY()),$L61,99999),IF(AND(ISNUMBER($M61),$M61&gt;=TODAY()),$M61,99999),IF(AND(ISNUMBER($N61),$N61&gt;=TODAY()),$N61,99999),IF(AND(ISNUMBER($Q61),$Q61&gt;=TODAY()),$Q61,99999),IF(AND(ISNUMBER($R61),$R61&gt;=TODAY()),$R61,99999),IF(AND(ISNUMBER($S61),$S61&gt;=TODAY()),$S61,99999),IF(AND(ISNUMBER($T61),$T61&gt;=TODAY()),$T61,99999),IF(AND(ISNUMBER($U61),$U61&gt;=TODAY()),$U61,99999),IF(AND(ISNUMBER($V61),$V61&gt;=TODAY()),$V61,99999))=99999,"",MIN(IF(AND(ISNUMBER($L61),$L61&gt;=TODAY()),$L61,99999),IF(AND(ISNUMBER($M61),$M61&gt;=TODAY()),$M61,99999),IF(AND(ISNUMBER($N61),$N61&gt;=TODAY()),$N61,99999),IF(AND(ISNUMBER($Q61),$Q61&gt;=TODAY()),$Q61,99999),IF(AND(ISNUMBER($R61),$R61&gt;=TODAY()),$R61,99999),IF(AND(ISNUMBER($S61),$S61&gt;=TODAY()),$S61,99999),IF(AND(ISNUMBER($T61),$T61&gt;=TODAY()),$T61,99999),IF(AND(ISNUMBER($U61),$U61&gt;=TODAY()),$U61,99999),IF(AND(ISNUMBER($V61),$V61&gt;=TODAY()),$V61,99999))))</f>
        <v/>
      </c>
      <c r="L61" s="27" t="n"/>
      <c r="M61" s="27" t="n"/>
      <c r="N61" s="27" t="n"/>
      <c r="O61" s="27" t="n"/>
      <c r="P61" s="27" t="n"/>
      <c r="Q61" s="27" t="n"/>
      <c r="R61" s="27" t="n"/>
      <c r="S61" s="27" t="n"/>
      <c r="T61" s="27" t="n"/>
      <c r="U61" s="27" t="n"/>
      <c r="V61" s="27" t="n"/>
      <c r="W61" s="27" t="n"/>
      <c r="X61" s="27" t="n"/>
      <c r="Y61" s="27" t="n"/>
      <c r="Z61" s="30" t="n"/>
      <c r="AA61" s="25" t="n"/>
      <c r="AB61" s="28">
        <f>IF(NOT(AND($A61&lt;&gt;"",OR($G61="",$G61="Active"))),"",IF(OR(IF(OR(ISNUMBER($V61),$V61="DNA"),$V61,IF(OR(ISNUMBER($U61),$U61="DNA"),$U61,IF(OR(ISNUMBER($T61),$T61="DNA"),$T61,IF(OR(ISNUMBER($S61),$S61="DNA"),$S61,IF(OR(ISNUMBER($R61),$R61="DNA"),$R61,IF(OR(ISNUMBER($Q61),$Q61="DNA"),$Q61,IF(OR(ISNUMBER($N61),$N61="DNA"),$N61,IF(OR(ISNUMBER($M61),$M61="DNA"),$M61,IF(OR(ISNUMBER($L61),$L61="DNA"),$L61,"")))))))))="DNA",AND(ISNUMBER(IF(OR(ISNUMBER($V61),$V61="DNA"),$V61,IF(OR(ISNUMBER($U61),$U61="DNA"),$U61,IF(OR(ISNUMBER($T61),$T61="DNA"),$T61,IF(OR(ISNUMBER($S61),$S61="DNA"),$S61,IF(OR(ISNUMBER($R61),$R61="DNA"),$R61,IF(OR(ISNUMBER($Q61),$Q61="DNA"),$Q61,IF(OR(ISNUMBER($N61),$N61="DNA"),$N61,IF(OR(ISNUMBER($M61),$M61="DNA"),$M61,IF(OR(ISNUMBER($L61),$L61="DNA"),$L61,"")))))))))),IF(OR(ISNUMBER($V61),$V61="DNA"),$V61,IF(OR(ISNUMBER($U61),$U61="DNA"),$U61,IF(OR(ISNUMBER($T61),$T61="DNA"),$T61,IF(OR(ISNUMBER($S61),$S61="DNA"),$S61,IF(OR(ISNUMBER($R61),$R61="DNA"),$R61,IF(OR(ISNUMBER($Q61),$Q61="DNA"),$Q61,IF(OR(ISNUMBER($N61),$N61="DNA"),$N61,IF(OR(ISNUMBER($M61),$M61="DNA"),$M61,IF(OR(ISNUMBER($L61),$L61="DNA"),$L61,"")))))))))&lt;TODAY())),1,0)+ISNUMBER($O61)*($O61&lt;TODAY())+ISNUMBER($P61)*($P61&lt;TODAY())+ISNUMBER($X61)*($X61&lt;TODAY())+ISNUMBER($Y61)*($Y61&lt;TODAY()))</f>
        <v/>
      </c>
    </row>
    <row r="62">
      <c r="A62" s="25" t="n"/>
      <c r="B62" s="26" t="n"/>
      <c r="C62" s="27" t="n"/>
      <c r="D62" s="25" t="n"/>
      <c r="E62" s="25" t="n"/>
      <c r="F62" s="27" t="n"/>
      <c r="G62" s="25" t="n"/>
      <c r="H62" s="28">
        <f>IF(OR(NOT(AND($A62&lt;&gt;"",OR($G62="",$G62="Active"))),$F62=""),"",INT((TODAY()-$F62+280)/7)&amp;"+"&amp;MOD(TODAY()-$F62+280,7))</f>
        <v/>
      </c>
      <c r="I62" s="28">
        <f>IF(NOT(AND($A62&lt;&gt;"",OR($G62="",$G62="Active"))),"",ISNUMBER($L62)*($L62&gt;=TODAY())*($L62&lt;=TODAY()+7)+ISNUMBER($M62)*($M62&gt;=TODAY())*($M62&lt;=TODAY()+7)+ISNUMBER($N62)*($N62&gt;=TODAY())*($N62&lt;=TODAY()+7)+ISNUMBER($Q62)*($Q62&gt;=TODAY())*($Q62&lt;=TODAY()+7)+ISNUMBER($R62)*($R62&gt;=TODAY())*($R62&lt;=TODAY()+7)+ISNUMBER($S62)*($S62&gt;=TODAY())*($S62&lt;=TODAY()+7)+ISNUMBER($T62)*($T62&gt;=TODAY())*($T62&lt;=TODAY()+7)+ISNUMBER($U62)*($U62&gt;=TODAY())*($U62&lt;=TODAY()+7)+ISNUMBER($V62)*($V62&gt;=TODAY())*($V62&lt;=TODAY()+7)+ISNUMBER($O62)*($O62&gt;=TODAY())*($O62&lt;=TODAY()+7)+ISNUMBER($P62)*($P62&gt;=TODAY())*($P62&lt;=TODAY()+7)+ISNUMBER($X62)*($X62&gt;=TODAY())*($X62&lt;=TODAY()+7)+ISNUMBER($Y62)*($Y62&gt;=TODAY())*($Y62&lt;=TODAY()+7))</f>
        <v/>
      </c>
      <c r="J62" s="28">
        <f>IF(NOT(AND($A62&lt;&gt;"",OR($G62="",$G62="Active"))),"",IF($K62&lt;&gt;"",IF($L62=$K62,"Booking",IF($M62=$K62,"16/40",IF($N62=$K62,"25/40",IF($Q62=$K62,"28/40",IF($R62=$K62,"31/40",IF($S62=$K62,"34/40",IF($T62=$K62,"36/40",IF($U62=$K62,"38/40",IF($V62=$K62,"40/40",""))))))))),IF(IF(OR(ISNUMBER($V62),$V62="DNA"),$V62,IF(OR(ISNUMBER($U62),$U62="DNA"),$U62,IF(OR(ISNUMBER($T62),$T62="DNA"),$T62,IF(OR(ISNUMBER($S62),$S62="DNA"),$S62,IF(OR(ISNUMBER($R62),$R62="DNA"),$R62,IF(OR(ISNUMBER($Q62),$Q62="DNA"),$Q62,IF(OR(ISNUMBER($N62),$N62="DNA"),$N62,IF(OR(ISNUMBER($M62),$M62="DNA"),$M62,IF(OR(ISNUMBER($L62),$L62="DNA"),$L62,"")))))))))="DNA","Rebook DNA",IF(ISNUMBER(IF(OR(ISNUMBER($V62),$V62="DNA"),$V62,IF(OR(ISNUMBER($U62),$U62="DNA"),$U62,IF(OR(ISNUMBER($T62),$T62="DNA"),$T62,IF(OR(ISNUMBER($S62),$S62="DNA"),$S62,IF(OR(ISNUMBER($R62),$R62="DNA"),$R62,IF(OR(ISNUMBER($Q62),$Q62="DNA"),$Q62,IF(OR(ISNUMBER($N62),$N62="DNA"),$N62,IF(OR(ISNUMBER($M62),$M62="DNA"),$M62,IF(OR(ISNUMBER($L62),$L62="DNA"),$L62,"")))))))))),IF(ISNUMBER($V62),"Update status","Missed/not booked?"),""))))</f>
        <v/>
      </c>
      <c r="K62" s="29">
        <f>IF(NOT(AND($A62&lt;&gt;"",OR($G62="",$G62="Active"))),"",IF(MIN(IF(AND(ISNUMBER($L62),$L62&gt;=TODAY()),$L62,99999),IF(AND(ISNUMBER($M62),$M62&gt;=TODAY()),$M62,99999),IF(AND(ISNUMBER($N62),$N62&gt;=TODAY()),$N62,99999),IF(AND(ISNUMBER($Q62),$Q62&gt;=TODAY()),$Q62,99999),IF(AND(ISNUMBER($R62),$R62&gt;=TODAY()),$R62,99999),IF(AND(ISNUMBER($S62),$S62&gt;=TODAY()),$S62,99999),IF(AND(ISNUMBER($T62),$T62&gt;=TODAY()),$T62,99999),IF(AND(ISNUMBER($U62),$U62&gt;=TODAY()),$U62,99999),IF(AND(ISNUMBER($V62),$V62&gt;=TODAY()),$V62,99999))=99999,"",MIN(IF(AND(ISNUMBER($L62),$L62&gt;=TODAY()),$L62,99999),IF(AND(ISNUMBER($M62),$M62&gt;=TODAY()),$M62,99999),IF(AND(ISNUMBER($N62),$N62&gt;=TODAY()),$N62,99999),IF(AND(ISNUMBER($Q62),$Q62&gt;=TODAY()),$Q62,99999),IF(AND(ISNUMBER($R62),$R62&gt;=TODAY()),$R62,99999),IF(AND(ISNUMBER($S62),$S62&gt;=TODAY()),$S62,99999),IF(AND(ISNUMBER($T62),$T62&gt;=TODAY()),$T62,99999),IF(AND(ISNUMBER($U62),$U62&gt;=TODAY()),$U62,99999),IF(AND(ISNUMBER($V62),$V62&gt;=TODAY()),$V62,99999))))</f>
        <v/>
      </c>
      <c r="L62" s="27" t="n"/>
      <c r="M62" s="27" t="n"/>
      <c r="N62" s="27" t="n"/>
      <c r="O62" s="27" t="n"/>
      <c r="P62" s="27" t="n"/>
      <c r="Q62" s="27" t="n"/>
      <c r="R62" s="27" t="n"/>
      <c r="S62" s="27" t="n"/>
      <c r="T62" s="27" t="n"/>
      <c r="U62" s="27" t="n"/>
      <c r="V62" s="27" t="n"/>
      <c r="W62" s="27" t="n"/>
      <c r="X62" s="27" t="n"/>
      <c r="Y62" s="27" t="n"/>
      <c r="Z62" s="30" t="n"/>
      <c r="AA62" s="25" t="n"/>
      <c r="AB62" s="28">
        <f>IF(NOT(AND($A62&lt;&gt;"",OR($G62="",$G62="Active"))),"",IF(OR(IF(OR(ISNUMBER($V62),$V62="DNA"),$V62,IF(OR(ISNUMBER($U62),$U62="DNA"),$U62,IF(OR(ISNUMBER($T62),$T62="DNA"),$T62,IF(OR(ISNUMBER($S62),$S62="DNA"),$S62,IF(OR(ISNUMBER($R62),$R62="DNA"),$R62,IF(OR(ISNUMBER($Q62),$Q62="DNA"),$Q62,IF(OR(ISNUMBER($N62),$N62="DNA"),$N62,IF(OR(ISNUMBER($M62),$M62="DNA"),$M62,IF(OR(ISNUMBER($L62),$L62="DNA"),$L62,"")))))))))="DNA",AND(ISNUMBER(IF(OR(ISNUMBER($V62),$V62="DNA"),$V62,IF(OR(ISNUMBER($U62),$U62="DNA"),$U62,IF(OR(ISNUMBER($T62),$T62="DNA"),$T62,IF(OR(ISNUMBER($S62),$S62="DNA"),$S62,IF(OR(ISNUMBER($R62),$R62="DNA"),$R62,IF(OR(ISNUMBER($Q62),$Q62="DNA"),$Q62,IF(OR(ISNUMBER($N62),$N62="DNA"),$N62,IF(OR(ISNUMBER($M62),$M62="DNA"),$M62,IF(OR(ISNUMBER($L62),$L62="DNA"),$L62,"")))))))))),IF(OR(ISNUMBER($V62),$V62="DNA"),$V62,IF(OR(ISNUMBER($U62),$U62="DNA"),$U62,IF(OR(ISNUMBER($T62),$T62="DNA"),$T62,IF(OR(ISNUMBER($S62),$S62="DNA"),$S62,IF(OR(ISNUMBER($R62),$R62="DNA"),$R62,IF(OR(ISNUMBER($Q62),$Q62="DNA"),$Q62,IF(OR(ISNUMBER($N62),$N62="DNA"),$N62,IF(OR(ISNUMBER($M62),$M62="DNA"),$M62,IF(OR(ISNUMBER($L62),$L62="DNA"),$L62,"")))))))))&lt;TODAY())),1,0)+ISNUMBER($O62)*($O62&lt;TODAY())+ISNUMBER($P62)*($P62&lt;TODAY())+ISNUMBER($X62)*($X62&lt;TODAY())+ISNUMBER($Y62)*($Y62&lt;TODAY()))</f>
        <v/>
      </c>
    </row>
    <row r="63">
      <c r="A63" s="25" t="n"/>
      <c r="B63" s="26" t="n"/>
      <c r="C63" s="27" t="n"/>
      <c r="D63" s="25" t="n"/>
      <c r="E63" s="25" t="n"/>
      <c r="F63" s="27" t="n"/>
      <c r="G63" s="25" t="n"/>
      <c r="H63" s="28">
        <f>IF(OR(NOT(AND($A63&lt;&gt;"",OR($G63="",$G63="Active"))),$F63=""),"",INT((TODAY()-$F63+280)/7)&amp;"+"&amp;MOD(TODAY()-$F63+280,7))</f>
        <v/>
      </c>
      <c r="I63" s="28">
        <f>IF(NOT(AND($A63&lt;&gt;"",OR($G63="",$G63="Active"))),"",ISNUMBER($L63)*($L63&gt;=TODAY())*($L63&lt;=TODAY()+7)+ISNUMBER($M63)*($M63&gt;=TODAY())*($M63&lt;=TODAY()+7)+ISNUMBER($N63)*($N63&gt;=TODAY())*($N63&lt;=TODAY()+7)+ISNUMBER($Q63)*($Q63&gt;=TODAY())*($Q63&lt;=TODAY()+7)+ISNUMBER($R63)*($R63&gt;=TODAY())*($R63&lt;=TODAY()+7)+ISNUMBER($S63)*($S63&gt;=TODAY())*($S63&lt;=TODAY()+7)+ISNUMBER($T63)*($T63&gt;=TODAY())*($T63&lt;=TODAY()+7)+ISNUMBER($U63)*($U63&gt;=TODAY())*($U63&lt;=TODAY()+7)+ISNUMBER($V63)*($V63&gt;=TODAY())*($V63&lt;=TODAY()+7)+ISNUMBER($O63)*($O63&gt;=TODAY())*($O63&lt;=TODAY()+7)+ISNUMBER($P63)*($P63&gt;=TODAY())*($P63&lt;=TODAY()+7)+ISNUMBER($X63)*($X63&gt;=TODAY())*($X63&lt;=TODAY()+7)+ISNUMBER($Y63)*($Y63&gt;=TODAY())*($Y63&lt;=TODAY()+7))</f>
        <v/>
      </c>
      <c r="J63" s="28">
        <f>IF(NOT(AND($A63&lt;&gt;"",OR($G63="",$G63="Active"))),"",IF($K63&lt;&gt;"",IF($L63=$K63,"Booking",IF($M63=$K63,"16/40",IF($N63=$K63,"25/40",IF($Q63=$K63,"28/40",IF($R63=$K63,"31/40",IF($S63=$K63,"34/40",IF($T63=$K63,"36/40",IF($U63=$K63,"38/40",IF($V63=$K63,"40/40",""))))))))),IF(IF(OR(ISNUMBER($V63),$V63="DNA"),$V63,IF(OR(ISNUMBER($U63),$U63="DNA"),$U63,IF(OR(ISNUMBER($T63),$T63="DNA"),$T63,IF(OR(ISNUMBER($S63),$S63="DNA"),$S63,IF(OR(ISNUMBER($R63),$R63="DNA"),$R63,IF(OR(ISNUMBER($Q63),$Q63="DNA"),$Q63,IF(OR(ISNUMBER($N63),$N63="DNA"),$N63,IF(OR(ISNUMBER($M63),$M63="DNA"),$M63,IF(OR(ISNUMBER($L63),$L63="DNA"),$L63,"")))))))))="DNA","Rebook DNA",IF(ISNUMBER(IF(OR(ISNUMBER($V63),$V63="DNA"),$V63,IF(OR(ISNUMBER($U63),$U63="DNA"),$U63,IF(OR(ISNUMBER($T63),$T63="DNA"),$T63,IF(OR(ISNUMBER($S63),$S63="DNA"),$S63,IF(OR(ISNUMBER($R63),$R63="DNA"),$R63,IF(OR(ISNUMBER($Q63),$Q63="DNA"),$Q63,IF(OR(ISNUMBER($N63),$N63="DNA"),$N63,IF(OR(ISNUMBER($M63),$M63="DNA"),$M63,IF(OR(ISNUMBER($L63),$L63="DNA"),$L63,"")))))))))),IF(ISNUMBER($V63),"Update status","Missed/not booked?"),""))))</f>
        <v/>
      </c>
      <c r="K63" s="29">
        <f>IF(NOT(AND($A63&lt;&gt;"",OR($G63="",$G63="Active"))),"",IF(MIN(IF(AND(ISNUMBER($L63),$L63&gt;=TODAY()),$L63,99999),IF(AND(ISNUMBER($M63),$M63&gt;=TODAY()),$M63,99999),IF(AND(ISNUMBER($N63),$N63&gt;=TODAY()),$N63,99999),IF(AND(ISNUMBER($Q63),$Q63&gt;=TODAY()),$Q63,99999),IF(AND(ISNUMBER($R63),$R63&gt;=TODAY()),$R63,99999),IF(AND(ISNUMBER($S63),$S63&gt;=TODAY()),$S63,99999),IF(AND(ISNUMBER($T63),$T63&gt;=TODAY()),$T63,99999),IF(AND(ISNUMBER($U63),$U63&gt;=TODAY()),$U63,99999),IF(AND(ISNUMBER($V63),$V63&gt;=TODAY()),$V63,99999))=99999,"",MIN(IF(AND(ISNUMBER($L63),$L63&gt;=TODAY()),$L63,99999),IF(AND(ISNUMBER($M63),$M63&gt;=TODAY()),$M63,99999),IF(AND(ISNUMBER($N63),$N63&gt;=TODAY()),$N63,99999),IF(AND(ISNUMBER($Q63),$Q63&gt;=TODAY()),$Q63,99999),IF(AND(ISNUMBER($R63),$R63&gt;=TODAY()),$R63,99999),IF(AND(ISNUMBER($S63),$S63&gt;=TODAY()),$S63,99999),IF(AND(ISNUMBER($T63),$T63&gt;=TODAY()),$T63,99999),IF(AND(ISNUMBER($U63),$U63&gt;=TODAY()),$U63,99999),IF(AND(ISNUMBER($V63),$V63&gt;=TODAY()),$V63,99999))))</f>
        <v/>
      </c>
      <c r="L63" s="27" t="n"/>
      <c r="M63" s="27" t="n"/>
      <c r="N63" s="27" t="n"/>
      <c r="O63" s="27" t="n"/>
      <c r="P63" s="27" t="n"/>
      <c r="Q63" s="27" t="n"/>
      <c r="R63" s="27" t="n"/>
      <c r="S63" s="27" t="n"/>
      <c r="T63" s="27" t="n"/>
      <c r="U63" s="27" t="n"/>
      <c r="V63" s="27" t="n"/>
      <c r="W63" s="27" t="n"/>
      <c r="X63" s="27" t="n"/>
      <c r="Y63" s="27" t="n"/>
      <c r="Z63" s="30" t="n"/>
      <c r="AA63" s="25" t="n"/>
      <c r="AB63" s="28">
        <f>IF(NOT(AND($A63&lt;&gt;"",OR($G63="",$G63="Active"))),"",IF(OR(IF(OR(ISNUMBER($V63),$V63="DNA"),$V63,IF(OR(ISNUMBER($U63),$U63="DNA"),$U63,IF(OR(ISNUMBER($T63),$T63="DNA"),$T63,IF(OR(ISNUMBER($S63),$S63="DNA"),$S63,IF(OR(ISNUMBER($R63),$R63="DNA"),$R63,IF(OR(ISNUMBER($Q63),$Q63="DNA"),$Q63,IF(OR(ISNUMBER($N63),$N63="DNA"),$N63,IF(OR(ISNUMBER($M63),$M63="DNA"),$M63,IF(OR(ISNUMBER($L63),$L63="DNA"),$L63,"")))))))))="DNA",AND(ISNUMBER(IF(OR(ISNUMBER($V63),$V63="DNA"),$V63,IF(OR(ISNUMBER($U63),$U63="DNA"),$U63,IF(OR(ISNUMBER($T63),$T63="DNA"),$T63,IF(OR(ISNUMBER($S63),$S63="DNA"),$S63,IF(OR(ISNUMBER($R63),$R63="DNA"),$R63,IF(OR(ISNUMBER($Q63),$Q63="DNA"),$Q63,IF(OR(ISNUMBER($N63),$N63="DNA"),$N63,IF(OR(ISNUMBER($M63),$M63="DNA"),$M63,IF(OR(ISNUMBER($L63),$L63="DNA"),$L63,"")))))))))),IF(OR(ISNUMBER($V63),$V63="DNA"),$V63,IF(OR(ISNUMBER($U63),$U63="DNA"),$U63,IF(OR(ISNUMBER($T63),$T63="DNA"),$T63,IF(OR(ISNUMBER($S63),$S63="DNA"),$S63,IF(OR(ISNUMBER($R63),$R63="DNA"),$R63,IF(OR(ISNUMBER($Q63),$Q63="DNA"),$Q63,IF(OR(ISNUMBER($N63),$N63="DNA"),$N63,IF(OR(ISNUMBER($M63),$M63="DNA"),$M63,IF(OR(ISNUMBER($L63),$L63="DNA"),$L63,"")))))))))&lt;TODAY())),1,0)+ISNUMBER($O63)*($O63&lt;TODAY())+ISNUMBER($P63)*($P63&lt;TODAY())+ISNUMBER($X63)*($X63&lt;TODAY())+ISNUMBER($Y63)*($Y63&lt;TODAY()))</f>
        <v/>
      </c>
    </row>
    <row r="64">
      <c r="A64" s="25" t="n"/>
      <c r="B64" s="26" t="n"/>
      <c r="C64" s="27" t="n"/>
      <c r="D64" s="25" t="n"/>
      <c r="E64" s="25" t="n"/>
      <c r="F64" s="27" t="n"/>
      <c r="G64" s="25" t="n"/>
      <c r="H64" s="28">
        <f>IF(OR(NOT(AND($A64&lt;&gt;"",OR($G64="",$G64="Active"))),$F64=""),"",INT((TODAY()-$F64+280)/7)&amp;"+"&amp;MOD(TODAY()-$F64+280,7))</f>
        <v/>
      </c>
      <c r="I64" s="28">
        <f>IF(NOT(AND($A64&lt;&gt;"",OR($G64="",$G64="Active"))),"",ISNUMBER($L64)*($L64&gt;=TODAY())*($L64&lt;=TODAY()+7)+ISNUMBER($M64)*($M64&gt;=TODAY())*($M64&lt;=TODAY()+7)+ISNUMBER($N64)*($N64&gt;=TODAY())*($N64&lt;=TODAY()+7)+ISNUMBER($Q64)*($Q64&gt;=TODAY())*($Q64&lt;=TODAY()+7)+ISNUMBER($R64)*($R64&gt;=TODAY())*($R64&lt;=TODAY()+7)+ISNUMBER($S64)*($S64&gt;=TODAY())*($S64&lt;=TODAY()+7)+ISNUMBER($T64)*($T64&gt;=TODAY())*($T64&lt;=TODAY()+7)+ISNUMBER($U64)*($U64&gt;=TODAY())*($U64&lt;=TODAY()+7)+ISNUMBER($V64)*($V64&gt;=TODAY())*($V64&lt;=TODAY()+7)+ISNUMBER($O64)*($O64&gt;=TODAY())*($O64&lt;=TODAY()+7)+ISNUMBER($P64)*($P64&gt;=TODAY())*($P64&lt;=TODAY()+7)+ISNUMBER($X64)*($X64&gt;=TODAY())*($X64&lt;=TODAY()+7)+ISNUMBER($Y64)*($Y64&gt;=TODAY())*($Y64&lt;=TODAY()+7))</f>
        <v/>
      </c>
      <c r="J64" s="28">
        <f>IF(NOT(AND($A64&lt;&gt;"",OR($G64="",$G64="Active"))),"",IF($K64&lt;&gt;"",IF($L64=$K64,"Booking",IF($M64=$K64,"16/40",IF($N64=$K64,"25/40",IF($Q64=$K64,"28/40",IF($R64=$K64,"31/40",IF($S64=$K64,"34/40",IF($T64=$K64,"36/40",IF($U64=$K64,"38/40",IF($V64=$K64,"40/40",""))))))))),IF(IF(OR(ISNUMBER($V64),$V64="DNA"),$V64,IF(OR(ISNUMBER($U64),$U64="DNA"),$U64,IF(OR(ISNUMBER($T64),$T64="DNA"),$T64,IF(OR(ISNUMBER($S64),$S64="DNA"),$S64,IF(OR(ISNUMBER($R64),$R64="DNA"),$R64,IF(OR(ISNUMBER($Q64),$Q64="DNA"),$Q64,IF(OR(ISNUMBER($N64),$N64="DNA"),$N64,IF(OR(ISNUMBER($M64),$M64="DNA"),$M64,IF(OR(ISNUMBER($L64),$L64="DNA"),$L64,"")))))))))="DNA","Rebook DNA",IF(ISNUMBER(IF(OR(ISNUMBER($V64),$V64="DNA"),$V64,IF(OR(ISNUMBER($U64),$U64="DNA"),$U64,IF(OR(ISNUMBER($T64),$T64="DNA"),$T64,IF(OR(ISNUMBER($S64),$S64="DNA"),$S64,IF(OR(ISNUMBER($R64),$R64="DNA"),$R64,IF(OR(ISNUMBER($Q64),$Q64="DNA"),$Q64,IF(OR(ISNUMBER($N64),$N64="DNA"),$N64,IF(OR(ISNUMBER($M64),$M64="DNA"),$M64,IF(OR(ISNUMBER($L64),$L64="DNA"),$L64,"")))))))))),IF(ISNUMBER($V64),"Update status","Missed/not booked?"),""))))</f>
        <v/>
      </c>
      <c r="K64" s="29">
        <f>IF(NOT(AND($A64&lt;&gt;"",OR($G64="",$G64="Active"))),"",IF(MIN(IF(AND(ISNUMBER($L64),$L64&gt;=TODAY()),$L64,99999),IF(AND(ISNUMBER($M64),$M64&gt;=TODAY()),$M64,99999),IF(AND(ISNUMBER($N64),$N64&gt;=TODAY()),$N64,99999),IF(AND(ISNUMBER($Q64),$Q64&gt;=TODAY()),$Q64,99999),IF(AND(ISNUMBER($R64),$R64&gt;=TODAY()),$R64,99999),IF(AND(ISNUMBER($S64),$S64&gt;=TODAY()),$S64,99999),IF(AND(ISNUMBER($T64),$T64&gt;=TODAY()),$T64,99999),IF(AND(ISNUMBER($U64),$U64&gt;=TODAY()),$U64,99999),IF(AND(ISNUMBER($V64),$V64&gt;=TODAY()),$V64,99999))=99999,"",MIN(IF(AND(ISNUMBER($L64),$L64&gt;=TODAY()),$L64,99999),IF(AND(ISNUMBER($M64),$M64&gt;=TODAY()),$M64,99999),IF(AND(ISNUMBER($N64),$N64&gt;=TODAY()),$N64,99999),IF(AND(ISNUMBER($Q64),$Q64&gt;=TODAY()),$Q64,99999),IF(AND(ISNUMBER($R64),$R64&gt;=TODAY()),$R64,99999),IF(AND(ISNUMBER($S64),$S64&gt;=TODAY()),$S64,99999),IF(AND(ISNUMBER($T64),$T64&gt;=TODAY()),$T64,99999),IF(AND(ISNUMBER($U64),$U64&gt;=TODAY()),$U64,99999),IF(AND(ISNUMBER($V64),$V64&gt;=TODAY()),$V64,99999))))</f>
        <v/>
      </c>
      <c r="L64" s="27" t="n"/>
      <c r="M64" s="27" t="n"/>
      <c r="N64" s="27" t="n"/>
      <c r="O64" s="27" t="n"/>
      <c r="P64" s="27" t="n"/>
      <c r="Q64" s="27" t="n"/>
      <c r="R64" s="27" t="n"/>
      <c r="S64" s="27" t="n"/>
      <c r="T64" s="27" t="n"/>
      <c r="U64" s="27" t="n"/>
      <c r="V64" s="27" t="n"/>
      <c r="W64" s="27" t="n"/>
      <c r="X64" s="27" t="n"/>
      <c r="Y64" s="27" t="n"/>
      <c r="Z64" s="30" t="n"/>
      <c r="AA64" s="25" t="n"/>
      <c r="AB64" s="28">
        <f>IF(NOT(AND($A64&lt;&gt;"",OR($G64="",$G64="Active"))),"",IF(OR(IF(OR(ISNUMBER($V64),$V64="DNA"),$V64,IF(OR(ISNUMBER($U64),$U64="DNA"),$U64,IF(OR(ISNUMBER($T64),$T64="DNA"),$T64,IF(OR(ISNUMBER($S64),$S64="DNA"),$S64,IF(OR(ISNUMBER($R64),$R64="DNA"),$R64,IF(OR(ISNUMBER($Q64),$Q64="DNA"),$Q64,IF(OR(ISNUMBER($N64),$N64="DNA"),$N64,IF(OR(ISNUMBER($M64),$M64="DNA"),$M64,IF(OR(ISNUMBER($L64),$L64="DNA"),$L64,"")))))))))="DNA",AND(ISNUMBER(IF(OR(ISNUMBER($V64),$V64="DNA"),$V64,IF(OR(ISNUMBER($U64),$U64="DNA"),$U64,IF(OR(ISNUMBER($T64),$T64="DNA"),$T64,IF(OR(ISNUMBER($S64),$S64="DNA"),$S64,IF(OR(ISNUMBER($R64),$R64="DNA"),$R64,IF(OR(ISNUMBER($Q64),$Q64="DNA"),$Q64,IF(OR(ISNUMBER($N64),$N64="DNA"),$N64,IF(OR(ISNUMBER($M64),$M64="DNA"),$M64,IF(OR(ISNUMBER($L64),$L64="DNA"),$L64,"")))))))))),IF(OR(ISNUMBER($V64),$V64="DNA"),$V64,IF(OR(ISNUMBER($U64),$U64="DNA"),$U64,IF(OR(ISNUMBER($T64),$T64="DNA"),$T64,IF(OR(ISNUMBER($S64),$S64="DNA"),$S64,IF(OR(ISNUMBER($R64),$R64="DNA"),$R64,IF(OR(ISNUMBER($Q64),$Q64="DNA"),$Q64,IF(OR(ISNUMBER($N64),$N64="DNA"),$N64,IF(OR(ISNUMBER($M64),$M64="DNA"),$M64,IF(OR(ISNUMBER($L64),$L64="DNA"),$L64,"")))))))))&lt;TODAY())),1,0)+ISNUMBER($O64)*($O64&lt;TODAY())+ISNUMBER($P64)*($P64&lt;TODAY())+ISNUMBER($X64)*($X64&lt;TODAY())+ISNUMBER($Y64)*($Y64&lt;TODAY()))</f>
        <v/>
      </c>
    </row>
    <row r="65">
      <c r="A65" s="25" t="n"/>
      <c r="B65" s="26" t="n"/>
      <c r="C65" s="27" t="n"/>
      <c r="D65" s="25" t="n"/>
      <c r="E65" s="25" t="n"/>
      <c r="F65" s="27" t="n"/>
      <c r="G65" s="25" t="n"/>
      <c r="H65" s="28">
        <f>IF(OR(NOT(AND($A65&lt;&gt;"",OR($G65="",$G65="Active"))),$F65=""),"",INT((TODAY()-$F65+280)/7)&amp;"+"&amp;MOD(TODAY()-$F65+280,7))</f>
        <v/>
      </c>
      <c r="I65" s="28">
        <f>IF(NOT(AND($A65&lt;&gt;"",OR($G65="",$G65="Active"))),"",ISNUMBER($L65)*($L65&gt;=TODAY())*($L65&lt;=TODAY()+7)+ISNUMBER($M65)*($M65&gt;=TODAY())*($M65&lt;=TODAY()+7)+ISNUMBER($N65)*($N65&gt;=TODAY())*($N65&lt;=TODAY()+7)+ISNUMBER($Q65)*($Q65&gt;=TODAY())*($Q65&lt;=TODAY()+7)+ISNUMBER($R65)*($R65&gt;=TODAY())*($R65&lt;=TODAY()+7)+ISNUMBER($S65)*($S65&gt;=TODAY())*($S65&lt;=TODAY()+7)+ISNUMBER($T65)*($T65&gt;=TODAY())*($T65&lt;=TODAY()+7)+ISNUMBER($U65)*($U65&gt;=TODAY())*($U65&lt;=TODAY()+7)+ISNUMBER($V65)*($V65&gt;=TODAY())*($V65&lt;=TODAY()+7)+ISNUMBER($O65)*($O65&gt;=TODAY())*($O65&lt;=TODAY()+7)+ISNUMBER($P65)*($P65&gt;=TODAY())*($P65&lt;=TODAY()+7)+ISNUMBER($X65)*($X65&gt;=TODAY())*($X65&lt;=TODAY()+7)+ISNUMBER($Y65)*($Y65&gt;=TODAY())*($Y65&lt;=TODAY()+7))</f>
        <v/>
      </c>
      <c r="J65" s="28">
        <f>IF(NOT(AND($A65&lt;&gt;"",OR($G65="",$G65="Active"))),"",IF($K65&lt;&gt;"",IF($L65=$K65,"Booking",IF($M65=$K65,"16/40",IF($N65=$K65,"25/40",IF($Q65=$K65,"28/40",IF($R65=$K65,"31/40",IF($S65=$K65,"34/40",IF($T65=$K65,"36/40",IF($U65=$K65,"38/40",IF($V65=$K65,"40/40",""))))))))),IF(IF(OR(ISNUMBER($V65),$V65="DNA"),$V65,IF(OR(ISNUMBER($U65),$U65="DNA"),$U65,IF(OR(ISNUMBER($T65),$T65="DNA"),$T65,IF(OR(ISNUMBER($S65),$S65="DNA"),$S65,IF(OR(ISNUMBER($R65),$R65="DNA"),$R65,IF(OR(ISNUMBER($Q65),$Q65="DNA"),$Q65,IF(OR(ISNUMBER($N65),$N65="DNA"),$N65,IF(OR(ISNUMBER($M65),$M65="DNA"),$M65,IF(OR(ISNUMBER($L65),$L65="DNA"),$L65,"")))))))))="DNA","Rebook DNA",IF(ISNUMBER(IF(OR(ISNUMBER($V65),$V65="DNA"),$V65,IF(OR(ISNUMBER($U65),$U65="DNA"),$U65,IF(OR(ISNUMBER($T65),$T65="DNA"),$T65,IF(OR(ISNUMBER($S65),$S65="DNA"),$S65,IF(OR(ISNUMBER($R65),$R65="DNA"),$R65,IF(OR(ISNUMBER($Q65),$Q65="DNA"),$Q65,IF(OR(ISNUMBER($N65),$N65="DNA"),$N65,IF(OR(ISNUMBER($M65),$M65="DNA"),$M65,IF(OR(ISNUMBER($L65),$L65="DNA"),$L65,"")))))))))),IF(ISNUMBER($V65),"Update status","Missed/not booked?"),""))))</f>
        <v/>
      </c>
      <c r="K65" s="29">
        <f>IF(NOT(AND($A65&lt;&gt;"",OR($G65="",$G65="Active"))),"",IF(MIN(IF(AND(ISNUMBER($L65),$L65&gt;=TODAY()),$L65,99999),IF(AND(ISNUMBER($M65),$M65&gt;=TODAY()),$M65,99999),IF(AND(ISNUMBER($N65),$N65&gt;=TODAY()),$N65,99999),IF(AND(ISNUMBER($Q65),$Q65&gt;=TODAY()),$Q65,99999),IF(AND(ISNUMBER($R65),$R65&gt;=TODAY()),$R65,99999),IF(AND(ISNUMBER($S65),$S65&gt;=TODAY()),$S65,99999),IF(AND(ISNUMBER($T65),$T65&gt;=TODAY()),$T65,99999),IF(AND(ISNUMBER($U65),$U65&gt;=TODAY()),$U65,99999),IF(AND(ISNUMBER($V65),$V65&gt;=TODAY()),$V65,99999))=99999,"",MIN(IF(AND(ISNUMBER($L65),$L65&gt;=TODAY()),$L65,99999),IF(AND(ISNUMBER($M65),$M65&gt;=TODAY()),$M65,99999),IF(AND(ISNUMBER($N65),$N65&gt;=TODAY()),$N65,99999),IF(AND(ISNUMBER($Q65),$Q65&gt;=TODAY()),$Q65,99999),IF(AND(ISNUMBER($R65),$R65&gt;=TODAY()),$R65,99999),IF(AND(ISNUMBER($S65),$S65&gt;=TODAY()),$S65,99999),IF(AND(ISNUMBER($T65),$T65&gt;=TODAY()),$T65,99999),IF(AND(ISNUMBER($U65),$U65&gt;=TODAY()),$U65,99999),IF(AND(ISNUMBER($V65),$V65&gt;=TODAY()),$V65,99999))))</f>
        <v/>
      </c>
      <c r="L65" s="27" t="n"/>
      <c r="M65" s="27" t="n"/>
      <c r="N65" s="27" t="n"/>
      <c r="O65" s="27" t="n"/>
      <c r="P65" s="27" t="n"/>
      <c r="Q65" s="27" t="n"/>
      <c r="R65" s="27" t="n"/>
      <c r="S65" s="27" t="n"/>
      <c r="T65" s="27" t="n"/>
      <c r="U65" s="27" t="n"/>
      <c r="V65" s="27" t="n"/>
      <c r="W65" s="27" t="n"/>
      <c r="X65" s="27" t="n"/>
      <c r="Y65" s="27" t="n"/>
      <c r="Z65" s="30" t="n"/>
      <c r="AA65" s="25" t="n"/>
      <c r="AB65" s="28">
        <f>IF(NOT(AND($A65&lt;&gt;"",OR($G65="",$G65="Active"))),"",IF(OR(IF(OR(ISNUMBER($V65),$V65="DNA"),$V65,IF(OR(ISNUMBER($U65),$U65="DNA"),$U65,IF(OR(ISNUMBER($T65),$T65="DNA"),$T65,IF(OR(ISNUMBER($S65),$S65="DNA"),$S65,IF(OR(ISNUMBER($R65),$R65="DNA"),$R65,IF(OR(ISNUMBER($Q65),$Q65="DNA"),$Q65,IF(OR(ISNUMBER($N65),$N65="DNA"),$N65,IF(OR(ISNUMBER($M65),$M65="DNA"),$M65,IF(OR(ISNUMBER($L65),$L65="DNA"),$L65,"")))))))))="DNA",AND(ISNUMBER(IF(OR(ISNUMBER($V65),$V65="DNA"),$V65,IF(OR(ISNUMBER($U65),$U65="DNA"),$U65,IF(OR(ISNUMBER($T65),$T65="DNA"),$T65,IF(OR(ISNUMBER($S65),$S65="DNA"),$S65,IF(OR(ISNUMBER($R65),$R65="DNA"),$R65,IF(OR(ISNUMBER($Q65),$Q65="DNA"),$Q65,IF(OR(ISNUMBER($N65),$N65="DNA"),$N65,IF(OR(ISNUMBER($M65),$M65="DNA"),$M65,IF(OR(ISNUMBER($L65),$L65="DNA"),$L65,"")))))))))),IF(OR(ISNUMBER($V65),$V65="DNA"),$V65,IF(OR(ISNUMBER($U65),$U65="DNA"),$U65,IF(OR(ISNUMBER($T65),$T65="DNA"),$T65,IF(OR(ISNUMBER($S65),$S65="DNA"),$S65,IF(OR(ISNUMBER($R65),$R65="DNA"),$R65,IF(OR(ISNUMBER($Q65),$Q65="DNA"),$Q65,IF(OR(ISNUMBER($N65),$N65="DNA"),$N65,IF(OR(ISNUMBER($M65),$M65="DNA"),$M65,IF(OR(ISNUMBER($L65),$L65="DNA"),$L65,"")))))))))&lt;TODAY())),1,0)+ISNUMBER($O65)*($O65&lt;TODAY())+ISNUMBER($P65)*($P65&lt;TODAY())+ISNUMBER($X65)*($X65&lt;TODAY())+ISNUMBER($Y65)*($Y65&lt;TODAY()))</f>
        <v/>
      </c>
    </row>
    <row r="66">
      <c r="A66" s="25" t="n"/>
      <c r="B66" s="26" t="n"/>
      <c r="C66" s="27" t="n"/>
      <c r="D66" s="25" t="n"/>
      <c r="E66" s="25" t="n"/>
      <c r="F66" s="27" t="n"/>
      <c r="G66" s="25" t="n"/>
      <c r="H66" s="28">
        <f>IF(OR(NOT(AND($A66&lt;&gt;"",OR($G66="",$G66="Active"))),$F66=""),"",INT((TODAY()-$F66+280)/7)&amp;"+"&amp;MOD(TODAY()-$F66+280,7))</f>
        <v/>
      </c>
      <c r="I66" s="28">
        <f>IF(NOT(AND($A66&lt;&gt;"",OR($G66="",$G66="Active"))),"",ISNUMBER($L66)*($L66&gt;=TODAY())*($L66&lt;=TODAY()+7)+ISNUMBER($M66)*($M66&gt;=TODAY())*($M66&lt;=TODAY()+7)+ISNUMBER($N66)*($N66&gt;=TODAY())*($N66&lt;=TODAY()+7)+ISNUMBER($Q66)*($Q66&gt;=TODAY())*($Q66&lt;=TODAY()+7)+ISNUMBER($R66)*($R66&gt;=TODAY())*($R66&lt;=TODAY()+7)+ISNUMBER($S66)*($S66&gt;=TODAY())*($S66&lt;=TODAY()+7)+ISNUMBER($T66)*($T66&gt;=TODAY())*($T66&lt;=TODAY()+7)+ISNUMBER($U66)*($U66&gt;=TODAY())*($U66&lt;=TODAY()+7)+ISNUMBER($V66)*($V66&gt;=TODAY())*($V66&lt;=TODAY()+7)+ISNUMBER($O66)*($O66&gt;=TODAY())*($O66&lt;=TODAY()+7)+ISNUMBER($P66)*($P66&gt;=TODAY())*($P66&lt;=TODAY()+7)+ISNUMBER($X66)*($X66&gt;=TODAY())*($X66&lt;=TODAY()+7)+ISNUMBER($Y66)*($Y66&gt;=TODAY())*($Y66&lt;=TODAY()+7))</f>
        <v/>
      </c>
      <c r="J66" s="28">
        <f>IF(NOT(AND($A66&lt;&gt;"",OR($G66="",$G66="Active"))),"",IF($K66&lt;&gt;"",IF($L66=$K66,"Booking",IF($M66=$K66,"16/40",IF($N66=$K66,"25/40",IF($Q66=$K66,"28/40",IF($R66=$K66,"31/40",IF($S66=$K66,"34/40",IF($T66=$K66,"36/40",IF($U66=$K66,"38/40",IF($V66=$K66,"40/40",""))))))))),IF(IF(OR(ISNUMBER($V66),$V66="DNA"),$V66,IF(OR(ISNUMBER($U66),$U66="DNA"),$U66,IF(OR(ISNUMBER($T66),$T66="DNA"),$T66,IF(OR(ISNUMBER($S66),$S66="DNA"),$S66,IF(OR(ISNUMBER($R66),$R66="DNA"),$R66,IF(OR(ISNUMBER($Q66),$Q66="DNA"),$Q66,IF(OR(ISNUMBER($N66),$N66="DNA"),$N66,IF(OR(ISNUMBER($M66),$M66="DNA"),$M66,IF(OR(ISNUMBER($L66),$L66="DNA"),$L66,"")))))))))="DNA","Rebook DNA",IF(ISNUMBER(IF(OR(ISNUMBER($V66),$V66="DNA"),$V66,IF(OR(ISNUMBER($U66),$U66="DNA"),$U66,IF(OR(ISNUMBER($T66),$T66="DNA"),$T66,IF(OR(ISNUMBER($S66),$S66="DNA"),$S66,IF(OR(ISNUMBER($R66),$R66="DNA"),$R66,IF(OR(ISNUMBER($Q66),$Q66="DNA"),$Q66,IF(OR(ISNUMBER($N66),$N66="DNA"),$N66,IF(OR(ISNUMBER($M66),$M66="DNA"),$M66,IF(OR(ISNUMBER($L66),$L66="DNA"),$L66,"")))))))))),IF(ISNUMBER($V66),"Update status","Missed/not booked?"),""))))</f>
        <v/>
      </c>
      <c r="K66" s="29">
        <f>IF(NOT(AND($A66&lt;&gt;"",OR($G66="",$G66="Active"))),"",IF(MIN(IF(AND(ISNUMBER($L66),$L66&gt;=TODAY()),$L66,99999),IF(AND(ISNUMBER($M66),$M66&gt;=TODAY()),$M66,99999),IF(AND(ISNUMBER($N66),$N66&gt;=TODAY()),$N66,99999),IF(AND(ISNUMBER($Q66),$Q66&gt;=TODAY()),$Q66,99999),IF(AND(ISNUMBER($R66),$R66&gt;=TODAY()),$R66,99999),IF(AND(ISNUMBER($S66),$S66&gt;=TODAY()),$S66,99999),IF(AND(ISNUMBER($T66),$T66&gt;=TODAY()),$T66,99999),IF(AND(ISNUMBER($U66),$U66&gt;=TODAY()),$U66,99999),IF(AND(ISNUMBER($V66),$V66&gt;=TODAY()),$V66,99999))=99999,"",MIN(IF(AND(ISNUMBER($L66),$L66&gt;=TODAY()),$L66,99999),IF(AND(ISNUMBER($M66),$M66&gt;=TODAY()),$M66,99999),IF(AND(ISNUMBER($N66),$N66&gt;=TODAY()),$N66,99999),IF(AND(ISNUMBER($Q66),$Q66&gt;=TODAY()),$Q66,99999),IF(AND(ISNUMBER($R66),$R66&gt;=TODAY()),$R66,99999),IF(AND(ISNUMBER($S66),$S66&gt;=TODAY()),$S66,99999),IF(AND(ISNUMBER($T66),$T66&gt;=TODAY()),$T66,99999),IF(AND(ISNUMBER($U66),$U66&gt;=TODAY()),$U66,99999),IF(AND(ISNUMBER($V66),$V66&gt;=TODAY()),$V66,99999))))</f>
        <v/>
      </c>
      <c r="L66" s="27" t="n"/>
      <c r="M66" s="27" t="n"/>
      <c r="N66" s="27" t="n"/>
      <c r="O66" s="27" t="n"/>
      <c r="P66" s="27" t="n"/>
      <c r="Q66" s="27" t="n"/>
      <c r="R66" s="27" t="n"/>
      <c r="S66" s="27" t="n"/>
      <c r="T66" s="27" t="n"/>
      <c r="U66" s="27" t="n"/>
      <c r="V66" s="27" t="n"/>
      <c r="W66" s="27" t="n"/>
      <c r="X66" s="27" t="n"/>
      <c r="Y66" s="27" t="n"/>
      <c r="Z66" s="30" t="n"/>
      <c r="AA66" s="25" t="n"/>
      <c r="AB66" s="28">
        <f>IF(NOT(AND($A66&lt;&gt;"",OR($G66="",$G66="Active"))),"",IF(OR(IF(OR(ISNUMBER($V66),$V66="DNA"),$V66,IF(OR(ISNUMBER($U66),$U66="DNA"),$U66,IF(OR(ISNUMBER($T66),$T66="DNA"),$T66,IF(OR(ISNUMBER($S66),$S66="DNA"),$S66,IF(OR(ISNUMBER($R66),$R66="DNA"),$R66,IF(OR(ISNUMBER($Q66),$Q66="DNA"),$Q66,IF(OR(ISNUMBER($N66),$N66="DNA"),$N66,IF(OR(ISNUMBER($M66),$M66="DNA"),$M66,IF(OR(ISNUMBER($L66),$L66="DNA"),$L66,"")))))))))="DNA",AND(ISNUMBER(IF(OR(ISNUMBER($V66),$V66="DNA"),$V66,IF(OR(ISNUMBER($U66),$U66="DNA"),$U66,IF(OR(ISNUMBER($T66),$T66="DNA"),$T66,IF(OR(ISNUMBER($S66),$S66="DNA"),$S66,IF(OR(ISNUMBER($R66),$R66="DNA"),$R66,IF(OR(ISNUMBER($Q66),$Q66="DNA"),$Q66,IF(OR(ISNUMBER($N66),$N66="DNA"),$N66,IF(OR(ISNUMBER($M66),$M66="DNA"),$M66,IF(OR(ISNUMBER($L66),$L66="DNA"),$L66,"")))))))))),IF(OR(ISNUMBER($V66),$V66="DNA"),$V66,IF(OR(ISNUMBER($U66),$U66="DNA"),$U66,IF(OR(ISNUMBER($T66),$T66="DNA"),$T66,IF(OR(ISNUMBER($S66),$S66="DNA"),$S66,IF(OR(ISNUMBER($R66),$R66="DNA"),$R66,IF(OR(ISNUMBER($Q66),$Q66="DNA"),$Q66,IF(OR(ISNUMBER($N66),$N66="DNA"),$N66,IF(OR(ISNUMBER($M66),$M66="DNA"),$M66,IF(OR(ISNUMBER($L66),$L66="DNA"),$L66,"")))))))))&lt;TODAY())),1,0)+ISNUMBER($O66)*($O66&lt;TODAY())+ISNUMBER($P66)*($P66&lt;TODAY())+ISNUMBER($X66)*($X66&lt;TODAY())+ISNUMBER($Y66)*($Y66&lt;TODAY()))</f>
        <v/>
      </c>
    </row>
    <row r="67">
      <c r="A67" s="25" t="n"/>
      <c r="B67" s="26" t="n"/>
      <c r="C67" s="27" t="n"/>
      <c r="D67" s="25" t="n"/>
      <c r="E67" s="25" t="n"/>
      <c r="F67" s="27" t="n"/>
      <c r="G67" s="25" t="n"/>
      <c r="H67" s="28">
        <f>IF(OR(NOT(AND($A67&lt;&gt;"",OR($G67="",$G67="Active"))),$F67=""),"",INT((TODAY()-$F67+280)/7)&amp;"+"&amp;MOD(TODAY()-$F67+280,7))</f>
        <v/>
      </c>
      <c r="I67" s="28">
        <f>IF(NOT(AND($A67&lt;&gt;"",OR($G67="",$G67="Active"))),"",ISNUMBER($L67)*($L67&gt;=TODAY())*($L67&lt;=TODAY()+7)+ISNUMBER($M67)*($M67&gt;=TODAY())*($M67&lt;=TODAY()+7)+ISNUMBER($N67)*($N67&gt;=TODAY())*($N67&lt;=TODAY()+7)+ISNUMBER($Q67)*($Q67&gt;=TODAY())*($Q67&lt;=TODAY()+7)+ISNUMBER($R67)*($R67&gt;=TODAY())*($R67&lt;=TODAY()+7)+ISNUMBER($S67)*($S67&gt;=TODAY())*($S67&lt;=TODAY()+7)+ISNUMBER($T67)*($T67&gt;=TODAY())*($T67&lt;=TODAY()+7)+ISNUMBER($U67)*($U67&gt;=TODAY())*($U67&lt;=TODAY()+7)+ISNUMBER($V67)*($V67&gt;=TODAY())*($V67&lt;=TODAY()+7)+ISNUMBER($O67)*($O67&gt;=TODAY())*($O67&lt;=TODAY()+7)+ISNUMBER($P67)*($P67&gt;=TODAY())*($P67&lt;=TODAY()+7)+ISNUMBER($X67)*($X67&gt;=TODAY())*($X67&lt;=TODAY()+7)+ISNUMBER($Y67)*($Y67&gt;=TODAY())*($Y67&lt;=TODAY()+7))</f>
        <v/>
      </c>
      <c r="J67" s="28">
        <f>IF(NOT(AND($A67&lt;&gt;"",OR($G67="",$G67="Active"))),"",IF($K67&lt;&gt;"",IF($L67=$K67,"Booking",IF($M67=$K67,"16/40",IF($N67=$K67,"25/40",IF($Q67=$K67,"28/40",IF($R67=$K67,"31/40",IF($S67=$K67,"34/40",IF($T67=$K67,"36/40",IF($U67=$K67,"38/40",IF($V67=$K67,"40/40",""))))))))),IF(IF(OR(ISNUMBER($V67),$V67="DNA"),$V67,IF(OR(ISNUMBER($U67),$U67="DNA"),$U67,IF(OR(ISNUMBER($T67),$T67="DNA"),$T67,IF(OR(ISNUMBER($S67),$S67="DNA"),$S67,IF(OR(ISNUMBER($R67),$R67="DNA"),$R67,IF(OR(ISNUMBER($Q67),$Q67="DNA"),$Q67,IF(OR(ISNUMBER($N67),$N67="DNA"),$N67,IF(OR(ISNUMBER($M67),$M67="DNA"),$M67,IF(OR(ISNUMBER($L67),$L67="DNA"),$L67,"")))))))))="DNA","Rebook DNA",IF(ISNUMBER(IF(OR(ISNUMBER($V67),$V67="DNA"),$V67,IF(OR(ISNUMBER($U67),$U67="DNA"),$U67,IF(OR(ISNUMBER($T67),$T67="DNA"),$T67,IF(OR(ISNUMBER($S67),$S67="DNA"),$S67,IF(OR(ISNUMBER($R67),$R67="DNA"),$R67,IF(OR(ISNUMBER($Q67),$Q67="DNA"),$Q67,IF(OR(ISNUMBER($N67),$N67="DNA"),$N67,IF(OR(ISNUMBER($M67),$M67="DNA"),$M67,IF(OR(ISNUMBER($L67),$L67="DNA"),$L67,"")))))))))),IF(ISNUMBER($V67),"Update status","Missed/not booked?"),""))))</f>
        <v/>
      </c>
      <c r="K67" s="29">
        <f>IF(NOT(AND($A67&lt;&gt;"",OR($G67="",$G67="Active"))),"",IF(MIN(IF(AND(ISNUMBER($L67),$L67&gt;=TODAY()),$L67,99999),IF(AND(ISNUMBER($M67),$M67&gt;=TODAY()),$M67,99999),IF(AND(ISNUMBER($N67),$N67&gt;=TODAY()),$N67,99999),IF(AND(ISNUMBER($Q67),$Q67&gt;=TODAY()),$Q67,99999),IF(AND(ISNUMBER($R67),$R67&gt;=TODAY()),$R67,99999),IF(AND(ISNUMBER($S67),$S67&gt;=TODAY()),$S67,99999),IF(AND(ISNUMBER($T67),$T67&gt;=TODAY()),$T67,99999),IF(AND(ISNUMBER($U67),$U67&gt;=TODAY()),$U67,99999),IF(AND(ISNUMBER($V67),$V67&gt;=TODAY()),$V67,99999))=99999,"",MIN(IF(AND(ISNUMBER($L67),$L67&gt;=TODAY()),$L67,99999),IF(AND(ISNUMBER($M67),$M67&gt;=TODAY()),$M67,99999),IF(AND(ISNUMBER($N67),$N67&gt;=TODAY()),$N67,99999),IF(AND(ISNUMBER($Q67),$Q67&gt;=TODAY()),$Q67,99999),IF(AND(ISNUMBER($R67),$R67&gt;=TODAY()),$R67,99999),IF(AND(ISNUMBER($S67),$S67&gt;=TODAY()),$S67,99999),IF(AND(ISNUMBER($T67),$T67&gt;=TODAY()),$T67,99999),IF(AND(ISNUMBER($U67),$U67&gt;=TODAY()),$U67,99999),IF(AND(ISNUMBER($V67),$V67&gt;=TODAY()),$V67,99999))))</f>
        <v/>
      </c>
      <c r="L67" s="27" t="n"/>
      <c r="M67" s="27" t="n"/>
      <c r="N67" s="27" t="n"/>
      <c r="O67" s="27" t="n"/>
      <c r="P67" s="27" t="n"/>
      <c r="Q67" s="27" t="n"/>
      <c r="R67" s="27" t="n"/>
      <c r="S67" s="27" t="n"/>
      <c r="T67" s="27" t="n"/>
      <c r="U67" s="27" t="n"/>
      <c r="V67" s="27" t="n"/>
      <c r="W67" s="27" t="n"/>
      <c r="X67" s="27" t="n"/>
      <c r="Y67" s="27" t="n"/>
      <c r="Z67" s="30" t="n"/>
      <c r="AA67" s="25" t="n"/>
      <c r="AB67" s="28">
        <f>IF(NOT(AND($A67&lt;&gt;"",OR($G67="",$G67="Active"))),"",IF(OR(IF(OR(ISNUMBER($V67),$V67="DNA"),$V67,IF(OR(ISNUMBER($U67),$U67="DNA"),$U67,IF(OR(ISNUMBER($T67),$T67="DNA"),$T67,IF(OR(ISNUMBER($S67),$S67="DNA"),$S67,IF(OR(ISNUMBER($R67),$R67="DNA"),$R67,IF(OR(ISNUMBER($Q67),$Q67="DNA"),$Q67,IF(OR(ISNUMBER($N67),$N67="DNA"),$N67,IF(OR(ISNUMBER($M67),$M67="DNA"),$M67,IF(OR(ISNUMBER($L67),$L67="DNA"),$L67,"")))))))))="DNA",AND(ISNUMBER(IF(OR(ISNUMBER($V67),$V67="DNA"),$V67,IF(OR(ISNUMBER($U67),$U67="DNA"),$U67,IF(OR(ISNUMBER($T67),$T67="DNA"),$T67,IF(OR(ISNUMBER($S67),$S67="DNA"),$S67,IF(OR(ISNUMBER($R67),$R67="DNA"),$R67,IF(OR(ISNUMBER($Q67),$Q67="DNA"),$Q67,IF(OR(ISNUMBER($N67),$N67="DNA"),$N67,IF(OR(ISNUMBER($M67),$M67="DNA"),$M67,IF(OR(ISNUMBER($L67),$L67="DNA"),$L67,"")))))))))),IF(OR(ISNUMBER($V67),$V67="DNA"),$V67,IF(OR(ISNUMBER($U67),$U67="DNA"),$U67,IF(OR(ISNUMBER($T67),$T67="DNA"),$T67,IF(OR(ISNUMBER($S67),$S67="DNA"),$S67,IF(OR(ISNUMBER($R67),$R67="DNA"),$R67,IF(OR(ISNUMBER($Q67),$Q67="DNA"),$Q67,IF(OR(ISNUMBER($N67),$N67="DNA"),$N67,IF(OR(ISNUMBER($M67),$M67="DNA"),$M67,IF(OR(ISNUMBER($L67),$L67="DNA"),$L67,"")))))))))&lt;TODAY())),1,0)+ISNUMBER($O67)*($O67&lt;TODAY())+ISNUMBER($P67)*($P67&lt;TODAY())+ISNUMBER($X67)*($X67&lt;TODAY())+ISNUMBER($Y67)*($Y67&lt;TODAY()))</f>
        <v/>
      </c>
    </row>
    <row r="68">
      <c r="A68" s="25" t="n"/>
      <c r="B68" s="26" t="n"/>
      <c r="C68" s="27" t="n"/>
      <c r="D68" s="25" t="n"/>
      <c r="E68" s="25" t="n"/>
      <c r="F68" s="27" t="n"/>
      <c r="G68" s="25" t="n"/>
      <c r="H68" s="28">
        <f>IF(OR(NOT(AND($A68&lt;&gt;"",OR($G68="",$G68="Active"))),$F68=""),"",INT((TODAY()-$F68+280)/7)&amp;"+"&amp;MOD(TODAY()-$F68+280,7))</f>
        <v/>
      </c>
      <c r="I68" s="28">
        <f>IF(NOT(AND($A68&lt;&gt;"",OR($G68="",$G68="Active"))),"",ISNUMBER($L68)*($L68&gt;=TODAY())*($L68&lt;=TODAY()+7)+ISNUMBER($M68)*($M68&gt;=TODAY())*($M68&lt;=TODAY()+7)+ISNUMBER($N68)*($N68&gt;=TODAY())*($N68&lt;=TODAY()+7)+ISNUMBER($Q68)*($Q68&gt;=TODAY())*($Q68&lt;=TODAY()+7)+ISNUMBER($R68)*($R68&gt;=TODAY())*($R68&lt;=TODAY()+7)+ISNUMBER($S68)*($S68&gt;=TODAY())*($S68&lt;=TODAY()+7)+ISNUMBER($T68)*($T68&gt;=TODAY())*($T68&lt;=TODAY()+7)+ISNUMBER($U68)*($U68&gt;=TODAY())*($U68&lt;=TODAY()+7)+ISNUMBER($V68)*($V68&gt;=TODAY())*($V68&lt;=TODAY()+7)+ISNUMBER($O68)*($O68&gt;=TODAY())*($O68&lt;=TODAY()+7)+ISNUMBER($P68)*($P68&gt;=TODAY())*($P68&lt;=TODAY()+7)+ISNUMBER($X68)*($X68&gt;=TODAY())*($X68&lt;=TODAY()+7)+ISNUMBER($Y68)*($Y68&gt;=TODAY())*($Y68&lt;=TODAY()+7))</f>
        <v/>
      </c>
      <c r="J68" s="28">
        <f>IF(NOT(AND($A68&lt;&gt;"",OR($G68="",$G68="Active"))),"",IF($K68&lt;&gt;"",IF($L68=$K68,"Booking",IF($M68=$K68,"16/40",IF($N68=$K68,"25/40",IF($Q68=$K68,"28/40",IF($R68=$K68,"31/40",IF($S68=$K68,"34/40",IF($T68=$K68,"36/40",IF($U68=$K68,"38/40",IF($V68=$K68,"40/40",""))))))))),IF(IF(OR(ISNUMBER($V68),$V68="DNA"),$V68,IF(OR(ISNUMBER($U68),$U68="DNA"),$U68,IF(OR(ISNUMBER($T68),$T68="DNA"),$T68,IF(OR(ISNUMBER($S68),$S68="DNA"),$S68,IF(OR(ISNUMBER($R68),$R68="DNA"),$R68,IF(OR(ISNUMBER($Q68),$Q68="DNA"),$Q68,IF(OR(ISNUMBER($N68),$N68="DNA"),$N68,IF(OR(ISNUMBER($M68),$M68="DNA"),$M68,IF(OR(ISNUMBER($L68),$L68="DNA"),$L68,"")))))))))="DNA","Rebook DNA",IF(ISNUMBER(IF(OR(ISNUMBER($V68),$V68="DNA"),$V68,IF(OR(ISNUMBER($U68),$U68="DNA"),$U68,IF(OR(ISNUMBER($T68),$T68="DNA"),$T68,IF(OR(ISNUMBER($S68),$S68="DNA"),$S68,IF(OR(ISNUMBER($R68),$R68="DNA"),$R68,IF(OR(ISNUMBER($Q68),$Q68="DNA"),$Q68,IF(OR(ISNUMBER($N68),$N68="DNA"),$N68,IF(OR(ISNUMBER($M68),$M68="DNA"),$M68,IF(OR(ISNUMBER($L68),$L68="DNA"),$L68,"")))))))))),IF(ISNUMBER($V68),"Update status","Missed/not booked?"),""))))</f>
        <v/>
      </c>
      <c r="K68" s="29">
        <f>IF(NOT(AND($A68&lt;&gt;"",OR($G68="",$G68="Active"))),"",IF(MIN(IF(AND(ISNUMBER($L68),$L68&gt;=TODAY()),$L68,99999),IF(AND(ISNUMBER($M68),$M68&gt;=TODAY()),$M68,99999),IF(AND(ISNUMBER($N68),$N68&gt;=TODAY()),$N68,99999),IF(AND(ISNUMBER($Q68),$Q68&gt;=TODAY()),$Q68,99999),IF(AND(ISNUMBER($R68),$R68&gt;=TODAY()),$R68,99999),IF(AND(ISNUMBER($S68),$S68&gt;=TODAY()),$S68,99999),IF(AND(ISNUMBER($T68),$T68&gt;=TODAY()),$T68,99999),IF(AND(ISNUMBER($U68),$U68&gt;=TODAY()),$U68,99999),IF(AND(ISNUMBER($V68),$V68&gt;=TODAY()),$V68,99999))=99999,"",MIN(IF(AND(ISNUMBER($L68),$L68&gt;=TODAY()),$L68,99999),IF(AND(ISNUMBER($M68),$M68&gt;=TODAY()),$M68,99999),IF(AND(ISNUMBER($N68),$N68&gt;=TODAY()),$N68,99999),IF(AND(ISNUMBER($Q68),$Q68&gt;=TODAY()),$Q68,99999),IF(AND(ISNUMBER($R68),$R68&gt;=TODAY()),$R68,99999),IF(AND(ISNUMBER($S68),$S68&gt;=TODAY()),$S68,99999),IF(AND(ISNUMBER($T68),$T68&gt;=TODAY()),$T68,99999),IF(AND(ISNUMBER($U68),$U68&gt;=TODAY()),$U68,99999),IF(AND(ISNUMBER($V68),$V68&gt;=TODAY()),$V68,99999))))</f>
        <v/>
      </c>
      <c r="L68" s="27" t="n"/>
      <c r="M68" s="27" t="n"/>
      <c r="N68" s="27" t="n"/>
      <c r="O68" s="27" t="n"/>
      <c r="P68" s="27" t="n"/>
      <c r="Q68" s="27" t="n"/>
      <c r="R68" s="27" t="n"/>
      <c r="S68" s="27" t="n"/>
      <c r="T68" s="27" t="n"/>
      <c r="U68" s="27" t="n"/>
      <c r="V68" s="27" t="n"/>
      <c r="W68" s="27" t="n"/>
      <c r="X68" s="27" t="n"/>
      <c r="Y68" s="27" t="n"/>
      <c r="Z68" s="30" t="n"/>
      <c r="AA68" s="25" t="n"/>
      <c r="AB68" s="28">
        <f>IF(NOT(AND($A68&lt;&gt;"",OR($G68="",$G68="Active"))),"",IF(OR(IF(OR(ISNUMBER($V68),$V68="DNA"),$V68,IF(OR(ISNUMBER($U68),$U68="DNA"),$U68,IF(OR(ISNUMBER($T68),$T68="DNA"),$T68,IF(OR(ISNUMBER($S68),$S68="DNA"),$S68,IF(OR(ISNUMBER($R68),$R68="DNA"),$R68,IF(OR(ISNUMBER($Q68),$Q68="DNA"),$Q68,IF(OR(ISNUMBER($N68),$N68="DNA"),$N68,IF(OR(ISNUMBER($M68),$M68="DNA"),$M68,IF(OR(ISNUMBER($L68),$L68="DNA"),$L68,"")))))))))="DNA",AND(ISNUMBER(IF(OR(ISNUMBER($V68),$V68="DNA"),$V68,IF(OR(ISNUMBER($U68),$U68="DNA"),$U68,IF(OR(ISNUMBER($T68),$T68="DNA"),$T68,IF(OR(ISNUMBER($S68),$S68="DNA"),$S68,IF(OR(ISNUMBER($R68),$R68="DNA"),$R68,IF(OR(ISNUMBER($Q68),$Q68="DNA"),$Q68,IF(OR(ISNUMBER($N68),$N68="DNA"),$N68,IF(OR(ISNUMBER($M68),$M68="DNA"),$M68,IF(OR(ISNUMBER($L68),$L68="DNA"),$L68,"")))))))))),IF(OR(ISNUMBER($V68),$V68="DNA"),$V68,IF(OR(ISNUMBER($U68),$U68="DNA"),$U68,IF(OR(ISNUMBER($T68),$T68="DNA"),$T68,IF(OR(ISNUMBER($S68),$S68="DNA"),$S68,IF(OR(ISNUMBER($R68),$R68="DNA"),$R68,IF(OR(ISNUMBER($Q68),$Q68="DNA"),$Q68,IF(OR(ISNUMBER($N68),$N68="DNA"),$N68,IF(OR(ISNUMBER($M68),$M68="DNA"),$M68,IF(OR(ISNUMBER($L68),$L68="DNA"),$L68,"")))))))))&lt;TODAY())),1,0)+ISNUMBER($O68)*($O68&lt;TODAY())+ISNUMBER($P68)*($P68&lt;TODAY())+ISNUMBER($X68)*($X68&lt;TODAY())+ISNUMBER($Y68)*($Y68&lt;TODAY()))</f>
        <v/>
      </c>
    </row>
    <row r="69">
      <c r="A69" s="25" t="n"/>
      <c r="B69" s="26" t="n"/>
      <c r="C69" s="27" t="n"/>
      <c r="D69" s="25" t="n"/>
      <c r="E69" s="25" t="n"/>
      <c r="F69" s="27" t="n"/>
      <c r="G69" s="25" t="n"/>
      <c r="H69" s="28">
        <f>IF(OR(NOT(AND($A69&lt;&gt;"",OR($G69="",$G69="Active"))),$F69=""),"",INT((TODAY()-$F69+280)/7)&amp;"+"&amp;MOD(TODAY()-$F69+280,7))</f>
        <v/>
      </c>
      <c r="I69" s="28">
        <f>IF(NOT(AND($A69&lt;&gt;"",OR($G69="",$G69="Active"))),"",ISNUMBER($L69)*($L69&gt;=TODAY())*($L69&lt;=TODAY()+7)+ISNUMBER($M69)*($M69&gt;=TODAY())*($M69&lt;=TODAY()+7)+ISNUMBER($N69)*($N69&gt;=TODAY())*($N69&lt;=TODAY()+7)+ISNUMBER($Q69)*($Q69&gt;=TODAY())*($Q69&lt;=TODAY()+7)+ISNUMBER($R69)*($R69&gt;=TODAY())*($R69&lt;=TODAY()+7)+ISNUMBER($S69)*($S69&gt;=TODAY())*($S69&lt;=TODAY()+7)+ISNUMBER($T69)*($T69&gt;=TODAY())*($T69&lt;=TODAY()+7)+ISNUMBER($U69)*($U69&gt;=TODAY())*($U69&lt;=TODAY()+7)+ISNUMBER($V69)*($V69&gt;=TODAY())*($V69&lt;=TODAY()+7)+ISNUMBER($O69)*($O69&gt;=TODAY())*($O69&lt;=TODAY()+7)+ISNUMBER($P69)*($P69&gt;=TODAY())*($P69&lt;=TODAY()+7)+ISNUMBER($X69)*($X69&gt;=TODAY())*($X69&lt;=TODAY()+7)+ISNUMBER($Y69)*($Y69&gt;=TODAY())*($Y69&lt;=TODAY()+7))</f>
        <v/>
      </c>
      <c r="J69" s="28">
        <f>IF(NOT(AND($A69&lt;&gt;"",OR($G69="",$G69="Active"))),"",IF($K69&lt;&gt;"",IF($L69=$K69,"Booking",IF($M69=$K69,"16/40",IF($N69=$K69,"25/40",IF($Q69=$K69,"28/40",IF($R69=$K69,"31/40",IF($S69=$K69,"34/40",IF($T69=$K69,"36/40",IF($U69=$K69,"38/40",IF($V69=$K69,"40/40",""))))))))),IF(IF(OR(ISNUMBER($V69),$V69="DNA"),$V69,IF(OR(ISNUMBER($U69),$U69="DNA"),$U69,IF(OR(ISNUMBER($T69),$T69="DNA"),$T69,IF(OR(ISNUMBER($S69),$S69="DNA"),$S69,IF(OR(ISNUMBER($R69),$R69="DNA"),$R69,IF(OR(ISNUMBER($Q69),$Q69="DNA"),$Q69,IF(OR(ISNUMBER($N69),$N69="DNA"),$N69,IF(OR(ISNUMBER($M69),$M69="DNA"),$M69,IF(OR(ISNUMBER($L69),$L69="DNA"),$L69,"")))))))))="DNA","Rebook DNA",IF(ISNUMBER(IF(OR(ISNUMBER($V69),$V69="DNA"),$V69,IF(OR(ISNUMBER($U69),$U69="DNA"),$U69,IF(OR(ISNUMBER($T69),$T69="DNA"),$T69,IF(OR(ISNUMBER($S69),$S69="DNA"),$S69,IF(OR(ISNUMBER($R69),$R69="DNA"),$R69,IF(OR(ISNUMBER($Q69),$Q69="DNA"),$Q69,IF(OR(ISNUMBER($N69),$N69="DNA"),$N69,IF(OR(ISNUMBER($M69),$M69="DNA"),$M69,IF(OR(ISNUMBER($L69),$L69="DNA"),$L69,"")))))))))),IF(ISNUMBER($V69),"Update status","Missed/not booked?"),""))))</f>
        <v/>
      </c>
      <c r="K69" s="29">
        <f>IF(NOT(AND($A69&lt;&gt;"",OR($G69="",$G69="Active"))),"",IF(MIN(IF(AND(ISNUMBER($L69),$L69&gt;=TODAY()),$L69,99999),IF(AND(ISNUMBER($M69),$M69&gt;=TODAY()),$M69,99999),IF(AND(ISNUMBER($N69),$N69&gt;=TODAY()),$N69,99999),IF(AND(ISNUMBER($Q69),$Q69&gt;=TODAY()),$Q69,99999),IF(AND(ISNUMBER($R69),$R69&gt;=TODAY()),$R69,99999),IF(AND(ISNUMBER($S69),$S69&gt;=TODAY()),$S69,99999),IF(AND(ISNUMBER($T69),$T69&gt;=TODAY()),$T69,99999),IF(AND(ISNUMBER($U69),$U69&gt;=TODAY()),$U69,99999),IF(AND(ISNUMBER($V69),$V69&gt;=TODAY()),$V69,99999))=99999,"",MIN(IF(AND(ISNUMBER($L69),$L69&gt;=TODAY()),$L69,99999),IF(AND(ISNUMBER($M69),$M69&gt;=TODAY()),$M69,99999),IF(AND(ISNUMBER($N69),$N69&gt;=TODAY()),$N69,99999),IF(AND(ISNUMBER($Q69),$Q69&gt;=TODAY()),$Q69,99999),IF(AND(ISNUMBER($R69),$R69&gt;=TODAY()),$R69,99999),IF(AND(ISNUMBER($S69),$S69&gt;=TODAY()),$S69,99999),IF(AND(ISNUMBER($T69),$T69&gt;=TODAY()),$T69,99999),IF(AND(ISNUMBER($U69),$U69&gt;=TODAY()),$U69,99999),IF(AND(ISNUMBER($V69),$V69&gt;=TODAY()),$V69,99999))))</f>
        <v/>
      </c>
      <c r="L69" s="27" t="n"/>
      <c r="M69" s="27" t="n"/>
      <c r="N69" s="27" t="n"/>
      <c r="O69" s="27" t="n"/>
      <c r="P69" s="27" t="n"/>
      <c r="Q69" s="27" t="n"/>
      <c r="R69" s="27" t="n"/>
      <c r="S69" s="27" t="n"/>
      <c r="T69" s="27" t="n"/>
      <c r="U69" s="27" t="n"/>
      <c r="V69" s="27" t="n"/>
      <c r="W69" s="27" t="n"/>
      <c r="X69" s="27" t="n"/>
      <c r="Y69" s="27" t="n"/>
      <c r="Z69" s="30" t="n"/>
      <c r="AA69" s="25" t="n"/>
      <c r="AB69" s="28">
        <f>IF(NOT(AND($A69&lt;&gt;"",OR($G69="",$G69="Active"))),"",IF(OR(IF(OR(ISNUMBER($V69),$V69="DNA"),$V69,IF(OR(ISNUMBER($U69),$U69="DNA"),$U69,IF(OR(ISNUMBER($T69),$T69="DNA"),$T69,IF(OR(ISNUMBER($S69),$S69="DNA"),$S69,IF(OR(ISNUMBER($R69),$R69="DNA"),$R69,IF(OR(ISNUMBER($Q69),$Q69="DNA"),$Q69,IF(OR(ISNUMBER($N69),$N69="DNA"),$N69,IF(OR(ISNUMBER($M69),$M69="DNA"),$M69,IF(OR(ISNUMBER($L69),$L69="DNA"),$L69,"")))))))))="DNA",AND(ISNUMBER(IF(OR(ISNUMBER($V69),$V69="DNA"),$V69,IF(OR(ISNUMBER($U69),$U69="DNA"),$U69,IF(OR(ISNUMBER($T69),$T69="DNA"),$T69,IF(OR(ISNUMBER($S69),$S69="DNA"),$S69,IF(OR(ISNUMBER($R69),$R69="DNA"),$R69,IF(OR(ISNUMBER($Q69),$Q69="DNA"),$Q69,IF(OR(ISNUMBER($N69),$N69="DNA"),$N69,IF(OR(ISNUMBER($M69),$M69="DNA"),$M69,IF(OR(ISNUMBER($L69),$L69="DNA"),$L69,"")))))))))),IF(OR(ISNUMBER($V69),$V69="DNA"),$V69,IF(OR(ISNUMBER($U69),$U69="DNA"),$U69,IF(OR(ISNUMBER($T69),$T69="DNA"),$T69,IF(OR(ISNUMBER($S69),$S69="DNA"),$S69,IF(OR(ISNUMBER($R69),$R69="DNA"),$R69,IF(OR(ISNUMBER($Q69),$Q69="DNA"),$Q69,IF(OR(ISNUMBER($N69),$N69="DNA"),$N69,IF(OR(ISNUMBER($M69),$M69="DNA"),$M69,IF(OR(ISNUMBER($L69),$L69="DNA"),$L69,"")))))))))&lt;TODAY())),1,0)+ISNUMBER($O69)*($O69&lt;TODAY())+ISNUMBER($P69)*($P69&lt;TODAY())+ISNUMBER($X69)*($X69&lt;TODAY())+ISNUMBER($Y69)*($Y69&lt;TODAY()))</f>
        <v/>
      </c>
    </row>
    <row r="70">
      <c r="A70" s="25" t="n"/>
      <c r="B70" s="26" t="n"/>
      <c r="C70" s="27" t="n"/>
      <c r="D70" s="25" t="n"/>
      <c r="E70" s="25" t="n"/>
      <c r="F70" s="27" t="n"/>
      <c r="G70" s="25" t="n"/>
      <c r="H70" s="28">
        <f>IF(OR(NOT(AND($A70&lt;&gt;"",OR($G70="",$G70="Active"))),$F70=""),"",INT((TODAY()-$F70+280)/7)&amp;"+"&amp;MOD(TODAY()-$F70+280,7))</f>
        <v/>
      </c>
      <c r="I70" s="28">
        <f>IF(NOT(AND($A70&lt;&gt;"",OR($G70="",$G70="Active"))),"",ISNUMBER($L70)*($L70&gt;=TODAY())*($L70&lt;=TODAY()+7)+ISNUMBER($M70)*($M70&gt;=TODAY())*($M70&lt;=TODAY()+7)+ISNUMBER($N70)*($N70&gt;=TODAY())*($N70&lt;=TODAY()+7)+ISNUMBER($Q70)*($Q70&gt;=TODAY())*($Q70&lt;=TODAY()+7)+ISNUMBER($R70)*($R70&gt;=TODAY())*($R70&lt;=TODAY()+7)+ISNUMBER($S70)*($S70&gt;=TODAY())*($S70&lt;=TODAY()+7)+ISNUMBER($T70)*($T70&gt;=TODAY())*($T70&lt;=TODAY()+7)+ISNUMBER($U70)*($U70&gt;=TODAY())*($U70&lt;=TODAY()+7)+ISNUMBER($V70)*($V70&gt;=TODAY())*($V70&lt;=TODAY()+7)+ISNUMBER($O70)*($O70&gt;=TODAY())*($O70&lt;=TODAY()+7)+ISNUMBER($P70)*($P70&gt;=TODAY())*($P70&lt;=TODAY()+7)+ISNUMBER($X70)*($X70&gt;=TODAY())*($X70&lt;=TODAY()+7)+ISNUMBER($Y70)*($Y70&gt;=TODAY())*($Y70&lt;=TODAY()+7))</f>
        <v/>
      </c>
      <c r="J70" s="28">
        <f>IF(NOT(AND($A70&lt;&gt;"",OR($G70="",$G70="Active"))),"",IF($K70&lt;&gt;"",IF($L70=$K70,"Booking",IF($M70=$K70,"16/40",IF($N70=$K70,"25/40",IF($Q70=$K70,"28/40",IF($R70=$K70,"31/40",IF($S70=$K70,"34/40",IF($T70=$K70,"36/40",IF($U70=$K70,"38/40",IF($V70=$K70,"40/40",""))))))))),IF(IF(OR(ISNUMBER($V70),$V70="DNA"),$V70,IF(OR(ISNUMBER($U70),$U70="DNA"),$U70,IF(OR(ISNUMBER($T70),$T70="DNA"),$T70,IF(OR(ISNUMBER($S70),$S70="DNA"),$S70,IF(OR(ISNUMBER($R70),$R70="DNA"),$R70,IF(OR(ISNUMBER($Q70),$Q70="DNA"),$Q70,IF(OR(ISNUMBER($N70),$N70="DNA"),$N70,IF(OR(ISNUMBER($M70),$M70="DNA"),$M70,IF(OR(ISNUMBER($L70),$L70="DNA"),$L70,"")))))))))="DNA","Rebook DNA",IF(ISNUMBER(IF(OR(ISNUMBER($V70),$V70="DNA"),$V70,IF(OR(ISNUMBER($U70),$U70="DNA"),$U70,IF(OR(ISNUMBER($T70),$T70="DNA"),$T70,IF(OR(ISNUMBER($S70),$S70="DNA"),$S70,IF(OR(ISNUMBER($R70),$R70="DNA"),$R70,IF(OR(ISNUMBER($Q70),$Q70="DNA"),$Q70,IF(OR(ISNUMBER($N70),$N70="DNA"),$N70,IF(OR(ISNUMBER($M70),$M70="DNA"),$M70,IF(OR(ISNUMBER($L70),$L70="DNA"),$L70,"")))))))))),IF(ISNUMBER($V70),"Update status","Missed/not booked?"),""))))</f>
        <v/>
      </c>
      <c r="K70" s="29">
        <f>IF(NOT(AND($A70&lt;&gt;"",OR($G70="",$G70="Active"))),"",IF(MIN(IF(AND(ISNUMBER($L70),$L70&gt;=TODAY()),$L70,99999),IF(AND(ISNUMBER($M70),$M70&gt;=TODAY()),$M70,99999),IF(AND(ISNUMBER($N70),$N70&gt;=TODAY()),$N70,99999),IF(AND(ISNUMBER($Q70),$Q70&gt;=TODAY()),$Q70,99999),IF(AND(ISNUMBER($R70),$R70&gt;=TODAY()),$R70,99999),IF(AND(ISNUMBER($S70),$S70&gt;=TODAY()),$S70,99999),IF(AND(ISNUMBER($T70),$T70&gt;=TODAY()),$T70,99999),IF(AND(ISNUMBER($U70),$U70&gt;=TODAY()),$U70,99999),IF(AND(ISNUMBER($V70),$V70&gt;=TODAY()),$V70,99999))=99999,"",MIN(IF(AND(ISNUMBER($L70),$L70&gt;=TODAY()),$L70,99999),IF(AND(ISNUMBER($M70),$M70&gt;=TODAY()),$M70,99999),IF(AND(ISNUMBER($N70),$N70&gt;=TODAY()),$N70,99999),IF(AND(ISNUMBER($Q70),$Q70&gt;=TODAY()),$Q70,99999),IF(AND(ISNUMBER($R70),$R70&gt;=TODAY()),$R70,99999),IF(AND(ISNUMBER($S70),$S70&gt;=TODAY()),$S70,99999),IF(AND(ISNUMBER($T70),$T70&gt;=TODAY()),$T70,99999),IF(AND(ISNUMBER($U70),$U70&gt;=TODAY()),$U70,99999),IF(AND(ISNUMBER($V70),$V70&gt;=TODAY()),$V70,99999))))</f>
        <v/>
      </c>
      <c r="L70" s="27" t="n"/>
      <c r="M70" s="27" t="n"/>
      <c r="N70" s="27" t="n"/>
      <c r="O70" s="27" t="n"/>
      <c r="P70" s="27" t="n"/>
      <c r="Q70" s="27" t="n"/>
      <c r="R70" s="27" t="n"/>
      <c r="S70" s="27" t="n"/>
      <c r="T70" s="27" t="n"/>
      <c r="U70" s="27" t="n"/>
      <c r="V70" s="27" t="n"/>
      <c r="W70" s="27" t="n"/>
      <c r="X70" s="27" t="n"/>
      <c r="Y70" s="27" t="n"/>
      <c r="Z70" s="30" t="n"/>
      <c r="AA70" s="25" t="n"/>
      <c r="AB70" s="28">
        <f>IF(NOT(AND($A70&lt;&gt;"",OR($G70="",$G70="Active"))),"",IF(OR(IF(OR(ISNUMBER($V70),$V70="DNA"),$V70,IF(OR(ISNUMBER($U70),$U70="DNA"),$U70,IF(OR(ISNUMBER($T70),$T70="DNA"),$T70,IF(OR(ISNUMBER($S70),$S70="DNA"),$S70,IF(OR(ISNUMBER($R70),$R70="DNA"),$R70,IF(OR(ISNUMBER($Q70),$Q70="DNA"),$Q70,IF(OR(ISNUMBER($N70),$N70="DNA"),$N70,IF(OR(ISNUMBER($M70),$M70="DNA"),$M70,IF(OR(ISNUMBER($L70),$L70="DNA"),$L70,"")))))))))="DNA",AND(ISNUMBER(IF(OR(ISNUMBER($V70),$V70="DNA"),$V70,IF(OR(ISNUMBER($U70),$U70="DNA"),$U70,IF(OR(ISNUMBER($T70),$T70="DNA"),$T70,IF(OR(ISNUMBER($S70),$S70="DNA"),$S70,IF(OR(ISNUMBER($R70),$R70="DNA"),$R70,IF(OR(ISNUMBER($Q70),$Q70="DNA"),$Q70,IF(OR(ISNUMBER($N70),$N70="DNA"),$N70,IF(OR(ISNUMBER($M70),$M70="DNA"),$M70,IF(OR(ISNUMBER($L70),$L70="DNA"),$L70,"")))))))))),IF(OR(ISNUMBER($V70),$V70="DNA"),$V70,IF(OR(ISNUMBER($U70),$U70="DNA"),$U70,IF(OR(ISNUMBER($T70),$T70="DNA"),$T70,IF(OR(ISNUMBER($S70),$S70="DNA"),$S70,IF(OR(ISNUMBER($R70),$R70="DNA"),$R70,IF(OR(ISNUMBER($Q70),$Q70="DNA"),$Q70,IF(OR(ISNUMBER($N70),$N70="DNA"),$N70,IF(OR(ISNUMBER($M70),$M70="DNA"),$M70,IF(OR(ISNUMBER($L70),$L70="DNA"),$L70,"")))))))))&lt;TODAY())),1,0)+ISNUMBER($O70)*($O70&lt;TODAY())+ISNUMBER($P70)*($P70&lt;TODAY())+ISNUMBER($X70)*($X70&lt;TODAY())+ISNUMBER($Y70)*($Y70&lt;TODAY()))</f>
        <v/>
      </c>
    </row>
    <row r="71">
      <c r="A71" s="25" t="n"/>
      <c r="B71" s="26" t="n"/>
      <c r="C71" s="27" t="n"/>
      <c r="D71" s="25" t="n"/>
      <c r="E71" s="25" t="n"/>
      <c r="F71" s="27" t="n"/>
      <c r="G71" s="25" t="n"/>
      <c r="H71" s="28">
        <f>IF(OR(NOT(AND($A71&lt;&gt;"",OR($G71="",$G71="Active"))),$F71=""),"",INT((TODAY()-$F71+280)/7)&amp;"+"&amp;MOD(TODAY()-$F71+280,7))</f>
        <v/>
      </c>
      <c r="I71" s="28">
        <f>IF(NOT(AND($A71&lt;&gt;"",OR($G71="",$G71="Active"))),"",ISNUMBER($L71)*($L71&gt;=TODAY())*($L71&lt;=TODAY()+7)+ISNUMBER($M71)*($M71&gt;=TODAY())*($M71&lt;=TODAY()+7)+ISNUMBER($N71)*($N71&gt;=TODAY())*($N71&lt;=TODAY()+7)+ISNUMBER($Q71)*($Q71&gt;=TODAY())*($Q71&lt;=TODAY()+7)+ISNUMBER($R71)*($R71&gt;=TODAY())*($R71&lt;=TODAY()+7)+ISNUMBER($S71)*($S71&gt;=TODAY())*($S71&lt;=TODAY()+7)+ISNUMBER($T71)*($T71&gt;=TODAY())*($T71&lt;=TODAY()+7)+ISNUMBER($U71)*($U71&gt;=TODAY())*($U71&lt;=TODAY()+7)+ISNUMBER($V71)*($V71&gt;=TODAY())*($V71&lt;=TODAY()+7)+ISNUMBER($O71)*($O71&gt;=TODAY())*($O71&lt;=TODAY()+7)+ISNUMBER($P71)*($P71&gt;=TODAY())*($P71&lt;=TODAY()+7)+ISNUMBER($X71)*($X71&gt;=TODAY())*($X71&lt;=TODAY()+7)+ISNUMBER($Y71)*($Y71&gt;=TODAY())*($Y71&lt;=TODAY()+7))</f>
        <v/>
      </c>
      <c r="J71" s="28">
        <f>IF(NOT(AND($A71&lt;&gt;"",OR($G71="",$G71="Active"))),"",IF($K71&lt;&gt;"",IF($L71=$K71,"Booking",IF($M71=$K71,"16/40",IF($N71=$K71,"25/40",IF($Q71=$K71,"28/40",IF($R71=$K71,"31/40",IF($S71=$K71,"34/40",IF($T71=$K71,"36/40",IF($U71=$K71,"38/40",IF($V71=$K71,"40/40",""))))))))),IF(IF(OR(ISNUMBER($V71),$V71="DNA"),$V71,IF(OR(ISNUMBER($U71),$U71="DNA"),$U71,IF(OR(ISNUMBER($T71),$T71="DNA"),$T71,IF(OR(ISNUMBER($S71),$S71="DNA"),$S71,IF(OR(ISNUMBER($R71),$R71="DNA"),$R71,IF(OR(ISNUMBER($Q71),$Q71="DNA"),$Q71,IF(OR(ISNUMBER($N71),$N71="DNA"),$N71,IF(OR(ISNUMBER($M71),$M71="DNA"),$M71,IF(OR(ISNUMBER($L71),$L71="DNA"),$L71,"")))))))))="DNA","Rebook DNA",IF(ISNUMBER(IF(OR(ISNUMBER($V71),$V71="DNA"),$V71,IF(OR(ISNUMBER($U71),$U71="DNA"),$U71,IF(OR(ISNUMBER($T71),$T71="DNA"),$T71,IF(OR(ISNUMBER($S71),$S71="DNA"),$S71,IF(OR(ISNUMBER($R71),$R71="DNA"),$R71,IF(OR(ISNUMBER($Q71),$Q71="DNA"),$Q71,IF(OR(ISNUMBER($N71),$N71="DNA"),$N71,IF(OR(ISNUMBER($M71),$M71="DNA"),$M71,IF(OR(ISNUMBER($L71),$L71="DNA"),$L71,"")))))))))),IF(ISNUMBER($V71),"Update status","Missed/not booked?"),""))))</f>
        <v/>
      </c>
      <c r="K71" s="29">
        <f>IF(NOT(AND($A71&lt;&gt;"",OR($G71="",$G71="Active"))),"",IF(MIN(IF(AND(ISNUMBER($L71),$L71&gt;=TODAY()),$L71,99999),IF(AND(ISNUMBER($M71),$M71&gt;=TODAY()),$M71,99999),IF(AND(ISNUMBER($N71),$N71&gt;=TODAY()),$N71,99999),IF(AND(ISNUMBER($Q71),$Q71&gt;=TODAY()),$Q71,99999),IF(AND(ISNUMBER($R71),$R71&gt;=TODAY()),$R71,99999),IF(AND(ISNUMBER($S71),$S71&gt;=TODAY()),$S71,99999),IF(AND(ISNUMBER($T71),$T71&gt;=TODAY()),$T71,99999),IF(AND(ISNUMBER($U71),$U71&gt;=TODAY()),$U71,99999),IF(AND(ISNUMBER($V71),$V71&gt;=TODAY()),$V71,99999))=99999,"",MIN(IF(AND(ISNUMBER($L71),$L71&gt;=TODAY()),$L71,99999),IF(AND(ISNUMBER($M71),$M71&gt;=TODAY()),$M71,99999),IF(AND(ISNUMBER($N71),$N71&gt;=TODAY()),$N71,99999),IF(AND(ISNUMBER($Q71),$Q71&gt;=TODAY()),$Q71,99999),IF(AND(ISNUMBER($R71),$R71&gt;=TODAY()),$R71,99999),IF(AND(ISNUMBER($S71),$S71&gt;=TODAY()),$S71,99999),IF(AND(ISNUMBER($T71),$T71&gt;=TODAY()),$T71,99999),IF(AND(ISNUMBER($U71),$U71&gt;=TODAY()),$U71,99999),IF(AND(ISNUMBER($V71),$V71&gt;=TODAY()),$V71,99999))))</f>
        <v/>
      </c>
      <c r="L71" s="27" t="n"/>
      <c r="M71" s="27" t="n"/>
      <c r="N71" s="27" t="n"/>
      <c r="O71" s="27" t="n"/>
      <c r="P71" s="27" t="n"/>
      <c r="Q71" s="27" t="n"/>
      <c r="R71" s="27" t="n"/>
      <c r="S71" s="27" t="n"/>
      <c r="T71" s="27" t="n"/>
      <c r="U71" s="27" t="n"/>
      <c r="V71" s="27" t="n"/>
      <c r="W71" s="27" t="n"/>
      <c r="X71" s="27" t="n"/>
      <c r="Y71" s="27" t="n"/>
      <c r="Z71" s="30" t="n"/>
      <c r="AA71" s="25" t="n"/>
      <c r="AB71" s="28">
        <f>IF(NOT(AND($A71&lt;&gt;"",OR($G71="",$G71="Active"))),"",IF(OR(IF(OR(ISNUMBER($V71),$V71="DNA"),$V71,IF(OR(ISNUMBER($U71),$U71="DNA"),$U71,IF(OR(ISNUMBER($T71),$T71="DNA"),$T71,IF(OR(ISNUMBER($S71),$S71="DNA"),$S71,IF(OR(ISNUMBER($R71),$R71="DNA"),$R71,IF(OR(ISNUMBER($Q71),$Q71="DNA"),$Q71,IF(OR(ISNUMBER($N71),$N71="DNA"),$N71,IF(OR(ISNUMBER($M71),$M71="DNA"),$M71,IF(OR(ISNUMBER($L71),$L71="DNA"),$L71,"")))))))))="DNA",AND(ISNUMBER(IF(OR(ISNUMBER($V71),$V71="DNA"),$V71,IF(OR(ISNUMBER($U71),$U71="DNA"),$U71,IF(OR(ISNUMBER($T71),$T71="DNA"),$T71,IF(OR(ISNUMBER($S71),$S71="DNA"),$S71,IF(OR(ISNUMBER($R71),$R71="DNA"),$R71,IF(OR(ISNUMBER($Q71),$Q71="DNA"),$Q71,IF(OR(ISNUMBER($N71),$N71="DNA"),$N71,IF(OR(ISNUMBER($M71),$M71="DNA"),$M71,IF(OR(ISNUMBER($L71),$L71="DNA"),$L71,"")))))))))),IF(OR(ISNUMBER($V71),$V71="DNA"),$V71,IF(OR(ISNUMBER($U71),$U71="DNA"),$U71,IF(OR(ISNUMBER($T71),$T71="DNA"),$T71,IF(OR(ISNUMBER($S71),$S71="DNA"),$S71,IF(OR(ISNUMBER($R71),$R71="DNA"),$R71,IF(OR(ISNUMBER($Q71),$Q71="DNA"),$Q71,IF(OR(ISNUMBER($N71),$N71="DNA"),$N71,IF(OR(ISNUMBER($M71),$M71="DNA"),$M71,IF(OR(ISNUMBER($L71),$L71="DNA"),$L71,"")))))))))&lt;TODAY())),1,0)+ISNUMBER($O71)*($O71&lt;TODAY())+ISNUMBER($P71)*($P71&lt;TODAY())+ISNUMBER($X71)*($X71&lt;TODAY())+ISNUMBER($Y71)*($Y71&lt;TODAY()))</f>
        <v/>
      </c>
    </row>
    <row r="72">
      <c r="A72" s="25" t="n"/>
      <c r="B72" s="26" t="n"/>
      <c r="C72" s="27" t="n"/>
      <c r="D72" s="25" t="n"/>
      <c r="E72" s="25" t="n"/>
      <c r="F72" s="27" t="n"/>
      <c r="G72" s="25" t="n"/>
      <c r="H72" s="28">
        <f>IF(OR(NOT(AND($A72&lt;&gt;"",OR($G72="",$G72="Active"))),$F72=""),"",INT((TODAY()-$F72+280)/7)&amp;"+"&amp;MOD(TODAY()-$F72+280,7))</f>
        <v/>
      </c>
      <c r="I72" s="28">
        <f>IF(NOT(AND($A72&lt;&gt;"",OR($G72="",$G72="Active"))),"",ISNUMBER($L72)*($L72&gt;=TODAY())*($L72&lt;=TODAY()+7)+ISNUMBER($M72)*($M72&gt;=TODAY())*($M72&lt;=TODAY()+7)+ISNUMBER($N72)*($N72&gt;=TODAY())*($N72&lt;=TODAY()+7)+ISNUMBER($Q72)*($Q72&gt;=TODAY())*($Q72&lt;=TODAY()+7)+ISNUMBER($R72)*($R72&gt;=TODAY())*($R72&lt;=TODAY()+7)+ISNUMBER($S72)*($S72&gt;=TODAY())*($S72&lt;=TODAY()+7)+ISNUMBER($T72)*($T72&gt;=TODAY())*($T72&lt;=TODAY()+7)+ISNUMBER($U72)*($U72&gt;=TODAY())*($U72&lt;=TODAY()+7)+ISNUMBER($V72)*($V72&gt;=TODAY())*($V72&lt;=TODAY()+7)+ISNUMBER($O72)*($O72&gt;=TODAY())*($O72&lt;=TODAY()+7)+ISNUMBER($P72)*($P72&gt;=TODAY())*($P72&lt;=TODAY()+7)+ISNUMBER($X72)*($X72&gt;=TODAY())*($X72&lt;=TODAY()+7)+ISNUMBER($Y72)*($Y72&gt;=TODAY())*($Y72&lt;=TODAY()+7))</f>
        <v/>
      </c>
      <c r="J72" s="28">
        <f>IF(NOT(AND($A72&lt;&gt;"",OR($G72="",$G72="Active"))),"",IF($K72&lt;&gt;"",IF($L72=$K72,"Booking",IF($M72=$K72,"16/40",IF($N72=$K72,"25/40",IF($Q72=$K72,"28/40",IF($R72=$K72,"31/40",IF($S72=$K72,"34/40",IF($T72=$K72,"36/40",IF($U72=$K72,"38/40",IF($V72=$K72,"40/40",""))))))))),IF(IF(OR(ISNUMBER($V72),$V72="DNA"),$V72,IF(OR(ISNUMBER($U72),$U72="DNA"),$U72,IF(OR(ISNUMBER($T72),$T72="DNA"),$T72,IF(OR(ISNUMBER($S72),$S72="DNA"),$S72,IF(OR(ISNUMBER($R72),$R72="DNA"),$R72,IF(OR(ISNUMBER($Q72),$Q72="DNA"),$Q72,IF(OR(ISNUMBER($N72),$N72="DNA"),$N72,IF(OR(ISNUMBER($M72),$M72="DNA"),$M72,IF(OR(ISNUMBER($L72),$L72="DNA"),$L72,"")))))))))="DNA","Rebook DNA",IF(ISNUMBER(IF(OR(ISNUMBER($V72),$V72="DNA"),$V72,IF(OR(ISNUMBER($U72),$U72="DNA"),$U72,IF(OR(ISNUMBER($T72),$T72="DNA"),$T72,IF(OR(ISNUMBER($S72),$S72="DNA"),$S72,IF(OR(ISNUMBER($R72),$R72="DNA"),$R72,IF(OR(ISNUMBER($Q72),$Q72="DNA"),$Q72,IF(OR(ISNUMBER($N72),$N72="DNA"),$N72,IF(OR(ISNUMBER($M72),$M72="DNA"),$M72,IF(OR(ISNUMBER($L72),$L72="DNA"),$L72,"")))))))))),IF(ISNUMBER($V72),"Update status","Missed/not booked?"),""))))</f>
        <v/>
      </c>
      <c r="K72" s="29">
        <f>IF(NOT(AND($A72&lt;&gt;"",OR($G72="",$G72="Active"))),"",IF(MIN(IF(AND(ISNUMBER($L72),$L72&gt;=TODAY()),$L72,99999),IF(AND(ISNUMBER($M72),$M72&gt;=TODAY()),$M72,99999),IF(AND(ISNUMBER($N72),$N72&gt;=TODAY()),$N72,99999),IF(AND(ISNUMBER($Q72),$Q72&gt;=TODAY()),$Q72,99999),IF(AND(ISNUMBER($R72),$R72&gt;=TODAY()),$R72,99999),IF(AND(ISNUMBER($S72),$S72&gt;=TODAY()),$S72,99999),IF(AND(ISNUMBER($T72),$T72&gt;=TODAY()),$T72,99999),IF(AND(ISNUMBER($U72),$U72&gt;=TODAY()),$U72,99999),IF(AND(ISNUMBER($V72),$V72&gt;=TODAY()),$V72,99999))=99999,"",MIN(IF(AND(ISNUMBER($L72),$L72&gt;=TODAY()),$L72,99999),IF(AND(ISNUMBER($M72),$M72&gt;=TODAY()),$M72,99999),IF(AND(ISNUMBER($N72),$N72&gt;=TODAY()),$N72,99999),IF(AND(ISNUMBER($Q72),$Q72&gt;=TODAY()),$Q72,99999),IF(AND(ISNUMBER($R72),$R72&gt;=TODAY()),$R72,99999),IF(AND(ISNUMBER($S72),$S72&gt;=TODAY()),$S72,99999),IF(AND(ISNUMBER($T72),$T72&gt;=TODAY()),$T72,99999),IF(AND(ISNUMBER($U72),$U72&gt;=TODAY()),$U72,99999),IF(AND(ISNUMBER($V72),$V72&gt;=TODAY()),$V72,99999))))</f>
        <v/>
      </c>
      <c r="L72" s="27" t="n"/>
      <c r="M72" s="27" t="n"/>
      <c r="N72" s="27" t="n"/>
      <c r="O72" s="27" t="n"/>
      <c r="P72" s="27" t="n"/>
      <c r="Q72" s="27" t="n"/>
      <c r="R72" s="27" t="n"/>
      <c r="S72" s="27" t="n"/>
      <c r="T72" s="27" t="n"/>
      <c r="U72" s="27" t="n"/>
      <c r="V72" s="27" t="n"/>
      <c r="W72" s="27" t="n"/>
      <c r="X72" s="27" t="n"/>
      <c r="Y72" s="27" t="n"/>
      <c r="Z72" s="30" t="n"/>
      <c r="AA72" s="25" t="n"/>
      <c r="AB72" s="28">
        <f>IF(NOT(AND($A72&lt;&gt;"",OR($G72="",$G72="Active"))),"",IF(OR(IF(OR(ISNUMBER($V72),$V72="DNA"),$V72,IF(OR(ISNUMBER($U72),$U72="DNA"),$U72,IF(OR(ISNUMBER($T72),$T72="DNA"),$T72,IF(OR(ISNUMBER($S72),$S72="DNA"),$S72,IF(OR(ISNUMBER($R72),$R72="DNA"),$R72,IF(OR(ISNUMBER($Q72),$Q72="DNA"),$Q72,IF(OR(ISNUMBER($N72),$N72="DNA"),$N72,IF(OR(ISNUMBER($M72),$M72="DNA"),$M72,IF(OR(ISNUMBER($L72),$L72="DNA"),$L72,"")))))))))="DNA",AND(ISNUMBER(IF(OR(ISNUMBER($V72),$V72="DNA"),$V72,IF(OR(ISNUMBER($U72),$U72="DNA"),$U72,IF(OR(ISNUMBER($T72),$T72="DNA"),$T72,IF(OR(ISNUMBER($S72),$S72="DNA"),$S72,IF(OR(ISNUMBER($R72),$R72="DNA"),$R72,IF(OR(ISNUMBER($Q72),$Q72="DNA"),$Q72,IF(OR(ISNUMBER($N72),$N72="DNA"),$N72,IF(OR(ISNUMBER($M72),$M72="DNA"),$M72,IF(OR(ISNUMBER($L72),$L72="DNA"),$L72,"")))))))))),IF(OR(ISNUMBER($V72),$V72="DNA"),$V72,IF(OR(ISNUMBER($U72),$U72="DNA"),$U72,IF(OR(ISNUMBER($T72),$T72="DNA"),$T72,IF(OR(ISNUMBER($S72),$S72="DNA"),$S72,IF(OR(ISNUMBER($R72),$R72="DNA"),$R72,IF(OR(ISNUMBER($Q72),$Q72="DNA"),$Q72,IF(OR(ISNUMBER($N72),$N72="DNA"),$N72,IF(OR(ISNUMBER($M72),$M72="DNA"),$M72,IF(OR(ISNUMBER($L72),$L72="DNA"),$L72,"")))))))))&lt;TODAY())),1,0)+ISNUMBER($O72)*($O72&lt;TODAY())+ISNUMBER($P72)*($P72&lt;TODAY())+ISNUMBER($X72)*($X72&lt;TODAY())+ISNUMBER($Y72)*($Y72&lt;TODAY()))</f>
        <v/>
      </c>
    </row>
    <row r="73">
      <c r="A73" s="25" t="n"/>
      <c r="B73" s="26" t="n"/>
      <c r="C73" s="27" t="n"/>
      <c r="D73" s="25" t="n"/>
      <c r="E73" s="25" t="n"/>
      <c r="F73" s="27" t="n"/>
      <c r="G73" s="25" t="n"/>
      <c r="H73" s="28">
        <f>IF(OR(NOT(AND($A73&lt;&gt;"",OR($G73="",$G73="Active"))),$F73=""),"",INT((TODAY()-$F73+280)/7)&amp;"+"&amp;MOD(TODAY()-$F73+280,7))</f>
        <v/>
      </c>
      <c r="I73" s="28">
        <f>IF(NOT(AND($A73&lt;&gt;"",OR($G73="",$G73="Active"))),"",ISNUMBER($L73)*($L73&gt;=TODAY())*($L73&lt;=TODAY()+7)+ISNUMBER($M73)*($M73&gt;=TODAY())*($M73&lt;=TODAY()+7)+ISNUMBER($N73)*($N73&gt;=TODAY())*($N73&lt;=TODAY()+7)+ISNUMBER($Q73)*($Q73&gt;=TODAY())*($Q73&lt;=TODAY()+7)+ISNUMBER($R73)*($R73&gt;=TODAY())*($R73&lt;=TODAY()+7)+ISNUMBER($S73)*($S73&gt;=TODAY())*($S73&lt;=TODAY()+7)+ISNUMBER($T73)*($T73&gt;=TODAY())*($T73&lt;=TODAY()+7)+ISNUMBER($U73)*($U73&gt;=TODAY())*($U73&lt;=TODAY()+7)+ISNUMBER($V73)*($V73&gt;=TODAY())*($V73&lt;=TODAY()+7)+ISNUMBER($O73)*($O73&gt;=TODAY())*($O73&lt;=TODAY()+7)+ISNUMBER($P73)*($P73&gt;=TODAY())*($P73&lt;=TODAY()+7)+ISNUMBER($X73)*($X73&gt;=TODAY())*($X73&lt;=TODAY()+7)+ISNUMBER($Y73)*($Y73&gt;=TODAY())*($Y73&lt;=TODAY()+7))</f>
        <v/>
      </c>
      <c r="J73" s="28">
        <f>IF(NOT(AND($A73&lt;&gt;"",OR($G73="",$G73="Active"))),"",IF($K73&lt;&gt;"",IF($L73=$K73,"Booking",IF($M73=$K73,"16/40",IF($N73=$K73,"25/40",IF($Q73=$K73,"28/40",IF($R73=$K73,"31/40",IF($S73=$K73,"34/40",IF($T73=$K73,"36/40",IF($U73=$K73,"38/40",IF($V73=$K73,"40/40",""))))))))),IF(IF(OR(ISNUMBER($V73),$V73="DNA"),$V73,IF(OR(ISNUMBER($U73),$U73="DNA"),$U73,IF(OR(ISNUMBER($T73),$T73="DNA"),$T73,IF(OR(ISNUMBER($S73),$S73="DNA"),$S73,IF(OR(ISNUMBER($R73),$R73="DNA"),$R73,IF(OR(ISNUMBER($Q73),$Q73="DNA"),$Q73,IF(OR(ISNUMBER($N73),$N73="DNA"),$N73,IF(OR(ISNUMBER($M73),$M73="DNA"),$M73,IF(OR(ISNUMBER($L73),$L73="DNA"),$L73,"")))))))))="DNA","Rebook DNA",IF(ISNUMBER(IF(OR(ISNUMBER($V73),$V73="DNA"),$V73,IF(OR(ISNUMBER($U73),$U73="DNA"),$U73,IF(OR(ISNUMBER($T73),$T73="DNA"),$T73,IF(OR(ISNUMBER($S73),$S73="DNA"),$S73,IF(OR(ISNUMBER($R73),$R73="DNA"),$R73,IF(OR(ISNUMBER($Q73),$Q73="DNA"),$Q73,IF(OR(ISNUMBER($N73),$N73="DNA"),$N73,IF(OR(ISNUMBER($M73),$M73="DNA"),$M73,IF(OR(ISNUMBER($L73),$L73="DNA"),$L73,"")))))))))),IF(ISNUMBER($V73),"Update status","Missed/not booked?"),""))))</f>
        <v/>
      </c>
      <c r="K73" s="29">
        <f>IF(NOT(AND($A73&lt;&gt;"",OR($G73="",$G73="Active"))),"",IF(MIN(IF(AND(ISNUMBER($L73),$L73&gt;=TODAY()),$L73,99999),IF(AND(ISNUMBER($M73),$M73&gt;=TODAY()),$M73,99999),IF(AND(ISNUMBER($N73),$N73&gt;=TODAY()),$N73,99999),IF(AND(ISNUMBER($Q73),$Q73&gt;=TODAY()),$Q73,99999),IF(AND(ISNUMBER($R73),$R73&gt;=TODAY()),$R73,99999),IF(AND(ISNUMBER($S73),$S73&gt;=TODAY()),$S73,99999),IF(AND(ISNUMBER($T73),$T73&gt;=TODAY()),$T73,99999),IF(AND(ISNUMBER($U73),$U73&gt;=TODAY()),$U73,99999),IF(AND(ISNUMBER($V73),$V73&gt;=TODAY()),$V73,99999))=99999,"",MIN(IF(AND(ISNUMBER($L73),$L73&gt;=TODAY()),$L73,99999),IF(AND(ISNUMBER($M73),$M73&gt;=TODAY()),$M73,99999),IF(AND(ISNUMBER($N73),$N73&gt;=TODAY()),$N73,99999),IF(AND(ISNUMBER($Q73),$Q73&gt;=TODAY()),$Q73,99999),IF(AND(ISNUMBER($R73),$R73&gt;=TODAY()),$R73,99999),IF(AND(ISNUMBER($S73),$S73&gt;=TODAY()),$S73,99999),IF(AND(ISNUMBER($T73),$T73&gt;=TODAY()),$T73,99999),IF(AND(ISNUMBER($U73),$U73&gt;=TODAY()),$U73,99999),IF(AND(ISNUMBER($V73),$V73&gt;=TODAY()),$V73,99999))))</f>
        <v/>
      </c>
      <c r="L73" s="27" t="n"/>
      <c r="M73" s="27" t="n"/>
      <c r="N73" s="27" t="n"/>
      <c r="O73" s="27" t="n"/>
      <c r="P73" s="27" t="n"/>
      <c r="Q73" s="27" t="n"/>
      <c r="R73" s="27" t="n"/>
      <c r="S73" s="27" t="n"/>
      <c r="T73" s="27" t="n"/>
      <c r="U73" s="27" t="n"/>
      <c r="V73" s="27" t="n"/>
      <c r="W73" s="27" t="n"/>
      <c r="X73" s="27" t="n"/>
      <c r="Y73" s="27" t="n"/>
      <c r="Z73" s="30" t="n"/>
      <c r="AA73" s="25" t="n"/>
      <c r="AB73" s="28">
        <f>IF(NOT(AND($A73&lt;&gt;"",OR($G73="",$G73="Active"))),"",IF(OR(IF(OR(ISNUMBER($V73),$V73="DNA"),$V73,IF(OR(ISNUMBER($U73),$U73="DNA"),$U73,IF(OR(ISNUMBER($T73),$T73="DNA"),$T73,IF(OR(ISNUMBER($S73),$S73="DNA"),$S73,IF(OR(ISNUMBER($R73),$R73="DNA"),$R73,IF(OR(ISNUMBER($Q73),$Q73="DNA"),$Q73,IF(OR(ISNUMBER($N73),$N73="DNA"),$N73,IF(OR(ISNUMBER($M73),$M73="DNA"),$M73,IF(OR(ISNUMBER($L73),$L73="DNA"),$L73,"")))))))))="DNA",AND(ISNUMBER(IF(OR(ISNUMBER($V73),$V73="DNA"),$V73,IF(OR(ISNUMBER($U73),$U73="DNA"),$U73,IF(OR(ISNUMBER($T73),$T73="DNA"),$T73,IF(OR(ISNUMBER($S73),$S73="DNA"),$S73,IF(OR(ISNUMBER($R73),$R73="DNA"),$R73,IF(OR(ISNUMBER($Q73),$Q73="DNA"),$Q73,IF(OR(ISNUMBER($N73),$N73="DNA"),$N73,IF(OR(ISNUMBER($M73),$M73="DNA"),$M73,IF(OR(ISNUMBER($L73),$L73="DNA"),$L73,"")))))))))),IF(OR(ISNUMBER($V73),$V73="DNA"),$V73,IF(OR(ISNUMBER($U73),$U73="DNA"),$U73,IF(OR(ISNUMBER($T73),$T73="DNA"),$T73,IF(OR(ISNUMBER($S73),$S73="DNA"),$S73,IF(OR(ISNUMBER($R73),$R73="DNA"),$R73,IF(OR(ISNUMBER($Q73),$Q73="DNA"),$Q73,IF(OR(ISNUMBER($N73),$N73="DNA"),$N73,IF(OR(ISNUMBER($M73),$M73="DNA"),$M73,IF(OR(ISNUMBER($L73),$L73="DNA"),$L73,"")))))))))&lt;TODAY())),1,0)+ISNUMBER($O73)*($O73&lt;TODAY())+ISNUMBER($P73)*($P73&lt;TODAY())+ISNUMBER($X73)*($X73&lt;TODAY())+ISNUMBER($Y73)*($Y73&lt;TODAY()))</f>
        <v/>
      </c>
    </row>
    <row r="74">
      <c r="A74" s="25" t="n"/>
      <c r="B74" s="26" t="n"/>
      <c r="C74" s="27" t="n"/>
      <c r="D74" s="25" t="n"/>
      <c r="E74" s="25" t="n"/>
      <c r="F74" s="27" t="n"/>
      <c r="G74" s="25" t="n"/>
      <c r="H74" s="28">
        <f>IF(OR(NOT(AND($A74&lt;&gt;"",OR($G74="",$G74="Active"))),$F74=""),"",INT((TODAY()-$F74+280)/7)&amp;"+"&amp;MOD(TODAY()-$F74+280,7))</f>
        <v/>
      </c>
      <c r="I74" s="28">
        <f>IF(NOT(AND($A74&lt;&gt;"",OR($G74="",$G74="Active"))),"",ISNUMBER($L74)*($L74&gt;=TODAY())*($L74&lt;=TODAY()+7)+ISNUMBER($M74)*($M74&gt;=TODAY())*($M74&lt;=TODAY()+7)+ISNUMBER($N74)*($N74&gt;=TODAY())*($N74&lt;=TODAY()+7)+ISNUMBER($Q74)*($Q74&gt;=TODAY())*($Q74&lt;=TODAY()+7)+ISNUMBER($R74)*($R74&gt;=TODAY())*($R74&lt;=TODAY()+7)+ISNUMBER($S74)*($S74&gt;=TODAY())*($S74&lt;=TODAY()+7)+ISNUMBER($T74)*($T74&gt;=TODAY())*($T74&lt;=TODAY()+7)+ISNUMBER($U74)*($U74&gt;=TODAY())*($U74&lt;=TODAY()+7)+ISNUMBER($V74)*($V74&gt;=TODAY())*($V74&lt;=TODAY()+7)+ISNUMBER($O74)*($O74&gt;=TODAY())*($O74&lt;=TODAY()+7)+ISNUMBER($P74)*($P74&gt;=TODAY())*($P74&lt;=TODAY()+7)+ISNUMBER($X74)*($X74&gt;=TODAY())*($X74&lt;=TODAY()+7)+ISNUMBER($Y74)*($Y74&gt;=TODAY())*($Y74&lt;=TODAY()+7))</f>
        <v/>
      </c>
      <c r="J74" s="28">
        <f>IF(NOT(AND($A74&lt;&gt;"",OR($G74="",$G74="Active"))),"",IF($K74&lt;&gt;"",IF($L74=$K74,"Booking",IF($M74=$K74,"16/40",IF($N74=$K74,"25/40",IF($Q74=$K74,"28/40",IF($R74=$K74,"31/40",IF($S74=$K74,"34/40",IF($T74=$K74,"36/40",IF($U74=$K74,"38/40",IF($V74=$K74,"40/40",""))))))))),IF(IF(OR(ISNUMBER($V74),$V74="DNA"),$V74,IF(OR(ISNUMBER($U74),$U74="DNA"),$U74,IF(OR(ISNUMBER($T74),$T74="DNA"),$T74,IF(OR(ISNUMBER($S74),$S74="DNA"),$S74,IF(OR(ISNUMBER($R74),$R74="DNA"),$R74,IF(OR(ISNUMBER($Q74),$Q74="DNA"),$Q74,IF(OR(ISNUMBER($N74),$N74="DNA"),$N74,IF(OR(ISNUMBER($M74),$M74="DNA"),$M74,IF(OR(ISNUMBER($L74),$L74="DNA"),$L74,"")))))))))="DNA","Rebook DNA",IF(ISNUMBER(IF(OR(ISNUMBER($V74),$V74="DNA"),$V74,IF(OR(ISNUMBER($U74),$U74="DNA"),$U74,IF(OR(ISNUMBER($T74),$T74="DNA"),$T74,IF(OR(ISNUMBER($S74),$S74="DNA"),$S74,IF(OR(ISNUMBER($R74),$R74="DNA"),$R74,IF(OR(ISNUMBER($Q74),$Q74="DNA"),$Q74,IF(OR(ISNUMBER($N74),$N74="DNA"),$N74,IF(OR(ISNUMBER($M74),$M74="DNA"),$M74,IF(OR(ISNUMBER($L74),$L74="DNA"),$L74,"")))))))))),IF(ISNUMBER($V74),"Update status","Missed/not booked?"),""))))</f>
        <v/>
      </c>
      <c r="K74" s="29">
        <f>IF(NOT(AND($A74&lt;&gt;"",OR($G74="",$G74="Active"))),"",IF(MIN(IF(AND(ISNUMBER($L74),$L74&gt;=TODAY()),$L74,99999),IF(AND(ISNUMBER($M74),$M74&gt;=TODAY()),$M74,99999),IF(AND(ISNUMBER($N74),$N74&gt;=TODAY()),$N74,99999),IF(AND(ISNUMBER($Q74),$Q74&gt;=TODAY()),$Q74,99999),IF(AND(ISNUMBER($R74),$R74&gt;=TODAY()),$R74,99999),IF(AND(ISNUMBER($S74),$S74&gt;=TODAY()),$S74,99999),IF(AND(ISNUMBER($T74),$T74&gt;=TODAY()),$T74,99999),IF(AND(ISNUMBER($U74),$U74&gt;=TODAY()),$U74,99999),IF(AND(ISNUMBER($V74),$V74&gt;=TODAY()),$V74,99999))=99999,"",MIN(IF(AND(ISNUMBER($L74),$L74&gt;=TODAY()),$L74,99999),IF(AND(ISNUMBER($M74),$M74&gt;=TODAY()),$M74,99999),IF(AND(ISNUMBER($N74),$N74&gt;=TODAY()),$N74,99999),IF(AND(ISNUMBER($Q74),$Q74&gt;=TODAY()),$Q74,99999),IF(AND(ISNUMBER($R74),$R74&gt;=TODAY()),$R74,99999),IF(AND(ISNUMBER($S74),$S74&gt;=TODAY()),$S74,99999),IF(AND(ISNUMBER($T74),$T74&gt;=TODAY()),$T74,99999),IF(AND(ISNUMBER($U74),$U74&gt;=TODAY()),$U74,99999),IF(AND(ISNUMBER($V74),$V74&gt;=TODAY()),$V74,99999))))</f>
        <v/>
      </c>
      <c r="L74" s="27" t="n"/>
      <c r="M74" s="27" t="n"/>
      <c r="N74" s="27" t="n"/>
      <c r="O74" s="27" t="n"/>
      <c r="P74" s="27" t="n"/>
      <c r="Q74" s="27" t="n"/>
      <c r="R74" s="27" t="n"/>
      <c r="S74" s="27" t="n"/>
      <c r="T74" s="27" t="n"/>
      <c r="U74" s="27" t="n"/>
      <c r="V74" s="27" t="n"/>
      <c r="W74" s="27" t="n"/>
      <c r="X74" s="27" t="n"/>
      <c r="Y74" s="27" t="n"/>
      <c r="Z74" s="30" t="n"/>
      <c r="AA74" s="25" t="n"/>
      <c r="AB74" s="28">
        <f>IF(NOT(AND($A74&lt;&gt;"",OR($G74="",$G74="Active"))),"",IF(OR(IF(OR(ISNUMBER($V74),$V74="DNA"),$V74,IF(OR(ISNUMBER($U74),$U74="DNA"),$U74,IF(OR(ISNUMBER($T74),$T74="DNA"),$T74,IF(OR(ISNUMBER($S74),$S74="DNA"),$S74,IF(OR(ISNUMBER($R74),$R74="DNA"),$R74,IF(OR(ISNUMBER($Q74),$Q74="DNA"),$Q74,IF(OR(ISNUMBER($N74),$N74="DNA"),$N74,IF(OR(ISNUMBER($M74),$M74="DNA"),$M74,IF(OR(ISNUMBER($L74),$L74="DNA"),$L74,"")))))))))="DNA",AND(ISNUMBER(IF(OR(ISNUMBER($V74),$V74="DNA"),$V74,IF(OR(ISNUMBER($U74),$U74="DNA"),$U74,IF(OR(ISNUMBER($T74),$T74="DNA"),$T74,IF(OR(ISNUMBER($S74),$S74="DNA"),$S74,IF(OR(ISNUMBER($R74),$R74="DNA"),$R74,IF(OR(ISNUMBER($Q74),$Q74="DNA"),$Q74,IF(OR(ISNUMBER($N74),$N74="DNA"),$N74,IF(OR(ISNUMBER($M74),$M74="DNA"),$M74,IF(OR(ISNUMBER($L74),$L74="DNA"),$L74,"")))))))))),IF(OR(ISNUMBER($V74),$V74="DNA"),$V74,IF(OR(ISNUMBER($U74),$U74="DNA"),$U74,IF(OR(ISNUMBER($T74),$T74="DNA"),$T74,IF(OR(ISNUMBER($S74),$S74="DNA"),$S74,IF(OR(ISNUMBER($R74),$R74="DNA"),$R74,IF(OR(ISNUMBER($Q74),$Q74="DNA"),$Q74,IF(OR(ISNUMBER($N74),$N74="DNA"),$N74,IF(OR(ISNUMBER($M74),$M74="DNA"),$M74,IF(OR(ISNUMBER($L74),$L74="DNA"),$L74,"")))))))))&lt;TODAY())),1,0)+ISNUMBER($O74)*($O74&lt;TODAY())+ISNUMBER($P74)*($P74&lt;TODAY())+ISNUMBER($X74)*($X74&lt;TODAY())+ISNUMBER($Y74)*($Y74&lt;TODAY()))</f>
        <v/>
      </c>
    </row>
    <row r="75">
      <c r="A75" s="25" t="n"/>
      <c r="B75" s="26" t="n"/>
      <c r="C75" s="27" t="n"/>
      <c r="D75" s="25" t="n"/>
      <c r="E75" s="25" t="n"/>
      <c r="F75" s="27" t="n"/>
      <c r="G75" s="25" t="n"/>
      <c r="H75" s="28">
        <f>IF(OR(NOT(AND($A75&lt;&gt;"",OR($G75="",$G75="Active"))),$F75=""),"",INT((TODAY()-$F75+280)/7)&amp;"+"&amp;MOD(TODAY()-$F75+280,7))</f>
        <v/>
      </c>
      <c r="I75" s="28">
        <f>IF(NOT(AND($A75&lt;&gt;"",OR($G75="",$G75="Active"))),"",ISNUMBER($L75)*($L75&gt;=TODAY())*($L75&lt;=TODAY()+7)+ISNUMBER($M75)*($M75&gt;=TODAY())*($M75&lt;=TODAY()+7)+ISNUMBER($N75)*($N75&gt;=TODAY())*($N75&lt;=TODAY()+7)+ISNUMBER($Q75)*($Q75&gt;=TODAY())*($Q75&lt;=TODAY()+7)+ISNUMBER($R75)*($R75&gt;=TODAY())*($R75&lt;=TODAY()+7)+ISNUMBER($S75)*($S75&gt;=TODAY())*($S75&lt;=TODAY()+7)+ISNUMBER($T75)*($T75&gt;=TODAY())*($T75&lt;=TODAY()+7)+ISNUMBER($U75)*($U75&gt;=TODAY())*($U75&lt;=TODAY()+7)+ISNUMBER($V75)*($V75&gt;=TODAY())*($V75&lt;=TODAY()+7)+ISNUMBER($O75)*($O75&gt;=TODAY())*($O75&lt;=TODAY()+7)+ISNUMBER($P75)*($P75&gt;=TODAY())*($P75&lt;=TODAY()+7)+ISNUMBER($X75)*($X75&gt;=TODAY())*($X75&lt;=TODAY()+7)+ISNUMBER($Y75)*($Y75&gt;=TODAY())*($Y75&lt;=TODAY()+7))</f>
        <v/>
      </c>
      <c r="J75" s="28">
        <f>IF(NOT(AND($A75&lt;&gt;"",OR($G75="",$G75="Active"))),"",IF($K75&lt;&gt;"",IF($L75=$K75,"Booking",IF($M75=$K75,"16/40",IF($N75=$K75,"25/40",IF($Q75=$K75,"28/40",IF($R75=$K75,"31/40",IF($S75=$K75,"34/40",IF($T75=$K75,"36/40",IF($U75=$K75,"38/40",IF($V75=$K75,"40/40",""))))))))),IF(IF(OR(ISNUMBER($V75),$V75="DNA"),$V75,IF(OR(ISNUMBER($U75),$U75="DNA"),$U75,IF(OR(ISNUMBER($T75),$T75="DNA"),$T75,IF(OR(ISNUMBER($S75),$S75="DNA"),$S75,IF(OR(ISNUMBER($R75),$R75="DNA"),$R75,IF(OR(ISNUMBER($Q75),$Q75="DNA"),$Q75,IF(OR(ISNUMBER($N75),$N75="DNA"),$N75,IF(OR(ISNUMBER($M75),$M75="DNA"),$M75,IF(OR(ISNUMBER($L75),$L75="DNA"),$L75,"")))))))))="DNA","Rebook DNA",IF(ISNUMBER(IF(OR(ISNUMBER($V75),$V75="DNA"),$V75,IF(OR(ISNUMBER($U75),$U75="DNA"),$U75,IF(OR(ISNUMBER($T75),$T75="DNA"),$T75,IF(OR(ISNUMBER($S75),$S75="DNA"),$S75,IF(OR(ISNUMBER($R75),$R75="DNA"),$R75,IF(OR(ISNUMBER($Q75),$Q75="DNA"),$Q75,IF(OR(ISNUMBER($N75),$N75="DNA"),$N75,IF(OR(ISNUMBER($M75),$M75="DNA"),$M75,IF(OR(ISNUMBER($L75),$L75="DNA"),$L75,"")))))))))),IF(ISNUMBER($V75),"Update status","Missed/not booked?"),""))))</f>
        <v/>
      </c>
      <c r="K75" s="29">
        <f>IF(NOT(AND($A75&lt;&gt;"",OR($G75="",$G75="Active"))),"",IF(MIN(IF(AND(ISNUMBER($L75),$L75&gt;=TODAY()),$L75,99999),IF(AND(ISNUMBER($M75),$M75&gt;=TODAY()),$M75,99999),IF(AND(ISNUMBER($N75),$N75&gt;=TODAY()),$N75,99999),IF(AND(ISNUMBER($Q75),$Q75&gt;=TODAY()),$Q75,99999),IF(AND(ISNUMBER($R75),$R75&gt;=TODAY()),$R75,99999),IF(AND(ISNUMBER($S75),$S75&gt;=TODAY()),$S75,99999),IF(AND(ISNUMBER($T75),$T75&gt;=TODAY()),$T75,99999),IF(AND(ISNUMBER($U75),$U75&gt;=TODAY()),$U75,99999),IF(AND(ISNUMBER($V75),$V75&gt;=TODAY()),$V75,99999))=99999,"",MIN(IF(AND(ISNUMBER($L75),$L75&gt;=TODAY()),$L75,99999),IF(AND(ISNUMBER($M75),$M75&gt;=TODAY()),$M75,99999),IF(AND(ISNUMBER($N75),$N75&gt;=TODAY()),$N75,99999),IF(AND(ISNUMBER($Q75),$Q75&gt;=TODAY()),$Q75,99999),IF(AND(ISNUMBER($R75),$R75&gt;=TODAY()),$R75,99999),IF(AND(ISNUMBER($S75),$S75&gt;=TODAY()),$S75,99999),IF(AND(ISNUMBER($T75),$T75&gt;=TODAY()),$T75,99999),IF(AND(ISNUMBER($U75),$U75&gt;=TODAY()),$U75,99999),IF(AND(ISNUMBER($V75),$V75&gt;=TODAY()),$V75,99999))))</f>
        <v/>
      </c>
      <c r="L75" s="27" t="n"/>
      <c r="M75" s="27" t="n"/>
      <c r="N75" s="27" t="n"/>
      <c r="O75" s="27" t="n"/>
      <c r="P75" s="27" t="n"/>
      <c r="Q75" s="27" t="n"/>
      <c r="R75" s="27" t="n"/>
      <c r="S75" s="27" t="n"/>
      <c r="T75" s="27" t="n"/>
      <c r="U75" s="27" t="n"/>
      <c r="V75" s="27" t="n"/>
      <c r="W75" s="27" t="n"/>
      <c r="X75" s="27" t="n"/>
      <c r="Y75" s="27" t="n"/>
      <c r="Z75" s="30" t="n"/>
      <c r="AA75" s="25" t="n"/>
      <c r="AB75" s="28">
        <f>IF(NOT(AND($A75&lt;&gt;"",OR($G75="",$G75="Active"))),"",IF(OR(IF(OR(ISNUMBER($V75),$V75="DNA"),$V75,IF(OR(ISNUMBER($U75),$U75="DNA"),$U75,IF(OR(ISNUMBER($T75),$T75="DNA"),$T75,IF(OR(ISNUMBER($S75),$S75="DNA"),$S75,IF(OR(ISNUMBER($R75),$R75="DNA"),$R75,IF(OR(ISNUMBER($Q75),$Q75="DNA"),$Q75,IF(OR(ISNUMBER($N75),$N75="DNA"),$N75,IF(OR(ISNUMBER($M75),$M75="DNA"),$M75,IF(OR(ISNUMBER($L75),$L75="DNA"),$L75,"")))))))))="DNA",AND(ISNUMBER(IF(OR(ISNUMBER($V75),$V75="DNA"),$V75,IF(OR(ISNUMBER($U75),$U75="DNA"),$U75,IF(OR(ISNUMBER($T75),$T75="DNA"),$T75,IF(OR(ISNUMBER($S75),$S75="DNA"),$S75,IF(OR(ISNUMBER($R75),$R75="DNA"),$R75,IF(OR(ISNUMBER($Q75),$Q75="DNA"),$Q75,IF(OR(ISNUMBER($N75),$N75="DNA"),$N75,IF(OR(ISNUMBER($M75),$M75="DNA"),$M75,IF(OR(ISNUMBER($L75),$L75="DNA"),$L75,"")))))))))),IF(OR(ISNUMBER($V75),$V75="DNA"),$V75,IF(OR(ISNUMBER($U75),$U75="DNA"),$U75,IF(OR(ISNUMBER($T75),$T75="DNA"),$T75,IF(OR(ISNUMBER($S75),$S75="DNA"),$S75,IF(OR(ISNUMBER($R75),$R75="DNA"),$R75,IF(OR(ISNUMBER($Q75),$Q75="DNA"),$Q75,IF(OR(ISNUMBER($N75),$N75="DNA"),$N75,IF(OR(ISNUMBER($M75),$M75="DNA"),$M75,IF(OR(ISNUMBER($L75),$L75="DNA"),$L75,"")))))))))&lt;TODAY())),1,0)+ISNUMBER($O75)*($O75&lt;TODAY())+ISNUMBER($P75)*($P75&lt;TODAY())+ISNUMBER($X75)*($X75&lt;TODAY())+ISNUMBER($Y75)*($Y75&lt;TODAY()))</f>
        <v/>
      </c>
    </row>
    <row r="76">
      <c r="A76" s="25" t="n"/>
      <c r="B76" s="26" t="n"/>
      <c r="C76" s="27" t="n"/>
      <c r="D76" s="25" t="n"/>
      <c r="E76" s="25" t="n"/>
      <c r="F76" s="27" t="n"/>
      <c r="G76" s="25" t="n"/>
      <c r="H76" s="28">
        <f>IF(OR(NOT(AND($A76&lt;&gt;"",OR($G76="",$G76="Active"))),$F76=""),"",INT((TODAY()-$F76+280)/7)&amp;"+"&amp;MOD(TODAY()-$F76+280,7))</f>
        <v/>
      </c>
      <c r="I76" s="28">
        <f>IF(NOT(AND($A76&lt;&gt;"",OR($G76="",$G76="Active"))),"",ISNUMBER($L76)*($L76&gt;=TODAY())*($L76&lt;=TODAY()+7)+ISNUMBER($M76)*($M76&gt;=TODAY())*($M76&lt;=TODAY()+7)+ISNUMBER($N76)*($N76&gt;=TODAY())*($N76&lt;=TODAY()+7)+ISNUMBER($Q76)*($Q76&gt;=TODAY())*($Q76&lt;=TODAY()+7)+ISNUMBER($R76)*($R76&gt;=TODAY())*($R76&lt;=TODAY()+7)+ISNUMBER($S76)*($S76&gt;=TODAY())*($S76&lt;=TODAY()+7)+ISNUMBER($T76)*($T76&gt;=TODAY())*($T76&lt;=TODAY()+7)+ISNUMBER($U76)*($U76&gt;=TODAY())*($U76&lt;=TODAY()+7)+ISNUMBER($V76)*($V76&gt;=TODAY())*($V76&lt;=TODAY()+7)+ISNUMBER($O76)*($O76&gt;=TODAY())*($O76&lt;=TODAY()+7)+ISNUMBER($P76)*($P76&gt;=TODAY())*($P76&lt;=TODAY()+7)+ISNUMBER($X76)*($X76&gt;=TODAY())*($X76&lt;=TODAY()+7)+ISNUMBER($Y76)*($Y76&gt;=TODAY())*($Y76&lt;=TODAY()+7))</f>
        <v/>
      </c>
      <c r="J76" s="28">
        <f>IF(NOT(AND($A76&lt;&gt;"",OR($G76="",$G76="Active"))),"",IF($K76&lt;&gt;"",IF($L76=$K76,"Booking",IF($M76=$K76,"16/40",IF($N76=$K76,"25/40",IF($Q76=$K76,"28/40",IF($R76=$K76,"31/40",IF($S76=$K76,"34/40",IF($T76=$K76,"36/40",IF($U76=$K76,"38/40",IF($V76=$K76,"40/40",""))))))))),IF(IF(OR(ISNUMBER($V76),$V76="DNA"),$V76,IF(OR(ISNUMBER($U76),$U76="DNA"),$U76,IF(OR(ISNUMBER($T76),$T76="DNA"),$T76,IF(OR(ISNUMBER($S76),$S76="DNA"),$S76,IF(OR(ISNUMBER($R76),$R76="DNA"),$R76,IF(OR(ISNUMBER($Q76),$Q76="DNA"),$Q76,IF(OR(ISNUMBER($N76),$N76="DNA"),$N76,IF(OR(ISNUMBER($M76),$M76="DNA"),$M76,IF(OR(ISNUMBER($L76),$L76="DNA"),$L76,"")))))))))="DNA","Rebook DNA",IF(ISNUMBER(IF(OR(ISNUMBER($V76),$V76="DNA"),$V76,IF(OR(ISNUMBER($U76),$U76="DNA"),$U76,IF(OR(ISNUMBER($T76),$T76="DNA"),$T76,IF(OR(ISNUMBER($S76),$S76="DNA"),$S76,IF(OR(ISNUMBER($R76),$R76="DNA"),$R76,IF(OR(ISNUMBER($Q76),$Q76="DNA"),$Q76,IF(OR(ISNUMBER($N76),$N76="DNA"),$N76,IF(OR(ISNUMBER($M76),$M76="DNA"),$M76,IF(OR(ISNUMBER($L76),$L76="DNA"),$L76,"")))))))))),IF(ISNUMBER($V76),"Update status","Missed/not booked?"),""))))</f>
        <v/>
      </c>
      <c r="K76" s="29">
        <f>IF(NOT(AND($A76&lt;&gt;"",OR($G76="",$G76="Active"))),"",IF(MIN(IF(AND(ISNUMBER($L76),$L76&gt;=TODAY()),$L76,99999),IF(AND(ISNUMBER($M76),$M76&gt;=TODAY()),$M76,99999),IF(AND(ISNUMBER($N76),$N76&gt;=TODAY()),$N76,99999),IF(AND(ISNUMBER($Q76),$Q76&gt;=TODAY()),$Q76,99999),IF(AND(ISNUMBER($R76),$R76&gt;=TODAY()),$R76,99999),IF(AND(ISNUMBER($S76),$S76&gt;=TODAY()),$S76,99999),IF(AND(ISNUMBER($T76),$T76&gt;=TODAY()),$T76,99999),IF(AND(ISNUMBER($U76),$U76&gt;=TODAY()),$U76,99999),IF(AND(ISNUMBER($V76),$V76&gt;=TODAY()),$V76,99999))=99999,"",MIN(IF(AND(ISNUMBER($L76),$L76&gt;=TODAY()),$L76,99999),IF(AND(ISNUMBER($M76),$M76&gt;=TODAY()),$M76,99999),IF(AND(ISNUMBER($N76),$N76&gt;=TODAY()),$N76,99999),IF(AND(ISNUMBER($Q76),$Q76&gt;=TODAY()),$Q76,99999),IF(AND(ISNUMBER($R76),$R76&gt;=TODAY()),$R76,99999),IF(AND(ISNUMBER($S76),$S76&gt;=TODAY()),$S76,99999),IF(AND(ISNUMBER($T76),$T76&gt;=TODAY()),$T76,99999),IF(AND(ISNUMBER($U76),$U76&gt;=TODAY()),$U76,99999),IF(AND(ISNUMBER($V76),$V76&gt;=TODAY()),$V76,99999))))</f>
        <v/>
      </c>
      <c r="L76" s="27" t="n"/>
      <c r="M76" s="27" t="n"/>
      <c r="N76" s="27" t="n"/>
      <c r="O76" s="27" t="n"/>
      <c r="P76" s="27" t="n"/>
      <c r="Q76" s="27" t="n"/>
      <c r="R76" s="27" t="n"/>
      <c r="S76" s="27" t="n"/>
      <c r="T76" s="27" t="n"/>
      <c r="U76" s="27" t="n"/>
      <c r="V76" s="27" t="n"/>
      <c r="W76" s="27" t="n"/>
      <c r="X76" s="27" t="n"/>
      <c r="Y76" s="27" t="n"/>
      <c r="Z76" s="30" t="n"/>
      <c r="AA76" s="25" t="n"/>
      <c r="AB76" s="28">
        <f>IF(NOT(AND($A76&lt;&gt;"",OR($G76="",$G76="Active"))),"",IF(OR(IF(OR(ISNUMBER($V76),$V76="DNA"),$V76,IF(OR(ISNUMBER($U76),$U76="DNA"),$U76,IF(OR(ISNUMBER($T76),$T76="DNA"),$T76,IF(OR(ISNUMBER($S76),$S76="DNA"),$S76,IF(OR(ISNUMBER($R76),$R76="DNA"),$R76,IF(OR(ISNUMBER($Q76),$Q76="DNA"),$Q76,IF(OR(ISNUMBER($N76),$N76="DNA"),$N76,IF(OR(ISNUMBER($M76),$M76="DNA"),$M76,IF(OR(ISNUMBER($L76),$L76="DNA"),$L76,"")))))))))="DNA",AND(ISNUMBER(IF(OR(ISNUMBER($V76),$V76="DNA"),$V76,IF(OR(ISNUMBER($U76),$U76="DNA"),$U76,IF(OR(ISNUMBER($T76),$T76="DNA"),$T76,IF(OR(ISNUMBER($S76),$S76="DNA"),$S76,IF(OR(ISNUMBER($R76),$R76="DNA"),$R76,IF(OR(ISNUMBER($Q76),$Q76="DNA"),$Q76,IF(OR(ISNUMBER($N76),$N76="DNA"),$N76,IF(OR(ISNUMBER($M76),$M76="DNA"),$M76,IF(OR(ISNUMBER($L76),$L76="DNA"),$L76,"")))))))))),IF(OR(ISNUMBER($V76),$V76="DNA"),$V76,IF(OR(ISNUMBER($U76),$U76="DNA"),$U76,IF(OR(ISNUMBER($T76),$T76="DNA"),$T76,IF(OR(ISNUMBER($S76),$S76="DNA"),$S76,IF(OR(ISNUMBER($R76),$R76="DNA"),$R76,IF(OR(ISNUMBER($Q76),$Q76="DNA"),$Q76,IF(OR(ISNUMBER($N76),$N76="DNA"),$N76,IF(OR(ISNUMBER($M76),$M76="DNA"),$M76,IF(OR(ISNUMBER($L76),$L76="DNA"),$L76,"")))))))))&lt;TODAY())),1,0)+ISNUMBER($O76)*($O76&lt;TODAY())+ISNUMBER($P76)*($P76&lt;TODAY())+ISNUMBER($X76)*($X76&lt;TODAY())+ISNUMBER($Y76)*($Y76&lt;TODAY()))</f>
        <v/>
      </c>
    </row>
    <row r="77">
      <c r="A77" s="25" t="n"/>
      <c r="B77" s="26" t="n"/>
      <c r="C77" s="27" t="n"/>
      <c r="D77" s="25" t="n"/>
      <c r="E77" s="25" t="n"/>
      <c r="F77" s="27" t="n"/>
      <c r="G77" s="25" t="n"/>
      <c r="H77" s="28">
        <f>IF(OR(NOT(AND($A77&lt;&gt;"",OR($G77="",$G77="Active"))),$F77=""),"",INT((TODAY()-$F77+280)/7)&amp;"+"&amp;MOD(TODAY()-$F77+280,7))</f>
        <v/>
      </c>
      <c r="I77" s="28">
        <f>IF(NOT(AND($A77&lt;&gt;"",OR($G77="",$G77="Active"))),"",ISNUMBER($L77)*($L77&gt;=TODAY())*($L77&lt;=TODAY()+7)+ISNUMBER($M77)*($M77&gt;=TODAY())*($M77&lt;=TODAY()+7)+ISNUMBER($N77)*($N77&gt;=TODAY())*($N77&lt;=TODAY()+7)+ISNUMBER($Q77)*($Q77&gt;=TODAY())*($Q77&lt;=TODAY()+7)+ISNUMBER($R77)*($R77&gt;=TODAY())*($R77&lt;=TODAY()+7)+ISNUMBER($S77)*($S77&gt;=TODAY())*($S77&lt;=TODAY()+7)+ISNUMBER($T77)*($T77&gt;=TODAY())*($T77&lt;=TODAY()+7)+ISNUMBER($U77)*($U77&gt;=TODAY())*($U77&lt;=TODAY()+7)+ISNUMBER($V77)*($V77&gt;=TODAY())*($V77&lt;=TODAY()+7)+ISNUMBER($O77)*($O77&gt;=TODAY())*($O77&lt;=TODAY()+7)+ISNUMBER($P77)*($P77&gt;=TODAY())*($P77&lt;=TODAY()+7)+ISNUMBER($X77)*($X77&gt;=TODAY())*($X77&lt;=TODAY()+7)+ISNUMBER($Y77)*($Y77&gt;=TODAY())*($Y77&lt;=TODAY()+7))</f>
        <v/>
      </c>
      <c r="J77" s="28">
        <f>IF(NOT(AND($A77&lt;&gt;"",OR($G77="",$G77="Active"))),"",IF($K77&lt;&gt;"",IF($L77=$K77,"Booking",IF($M77=$K77,"16/40",IF($N77=$K77,"25/40",IF($Q77=$K77,"28/40",IF($R77=$K77,"31/40",IF($S77=$K77,"34/40",IF($T77=$K77,"36/40",IF($U77=$K77,"38/40",IF($V77=$K77,"40/40",""))))))))),IF(IF(OR(ISNUMBER($V77),$V77="DNA"),$V77,IF(OR(ISNUMBER($U77),$U77="DNA"),$U77,IF(OR(ISNUMBER($T77),$T77="DNA"),$T77,IF(OR(ISNUMBER($S77),$S77="DNA"),$S77,IF(OR(ISNUMBER($R77),$R77="DNA"),$R77,IF(OR(ISNUMBER($Q77),$Q77="DNA"),$Q77,IF(OR(ISNUMBER($N77),$N77="DNA"),$N77,IF(OR(ISNUMBER($M77),$M77="DNA"),$M77,IF(OR(ISNUMBER($L77),$L77="DNA"),$L77,"")))))))))="DNA","Rebook DNA",IF(ISNUMBER(IF(OR(ISNUMBER($V77),$V77="DNA"),$V77,IF(OR(ISNUMBER($U77),$U77="DNA"),$U77,IF(OR(ISNUMBER($T77),$T77="DNA"),$T77,IF(OR(ISNUMBER($S77),$S77="DNA"),$S77,IF(OR(ISNUMBER($R77),$R77="DNA"),$R77,IF(OR(ISNUMBER($Q77),$Q77="DNA"),$Q77,IF(OR(ISNUMBER($N77),$N77="DNA"),$N77,IF(OR(ISNUMBER($M77),$M77="DNA"),$M77,IF(OR(ISNUMBER($L77),$L77="DNA"),$L77,"")))))))))),IF(ISNUMBER($V77),"Update status","Missed/not booked?"),""))))</f>
        <v/>
      </c>
      <c r="K77" s="29">
        <f>IF(NOT(AND($A77&lt;&gt;"",OR($G77="",$G77="Active"))),"",IF(MIN(IF(AND(ISNUMBER($L77),$L77&gt;=TODAY()),$L77,99999),IF(AND(ISNUMBER($M77),$M77&gt;=TODAY()),$M77,99999),IF(AND(ISNUMBER($N77),$N77&gt;=TODAY()),$N77,99999),IF(AND(ISNUMBER($Q77),$Q77&gt;=TODAY()),$Q77,99999),IF(AND(ISNUMBER($R77),$R77&gt;=TODAY()),$R77,99999),IF(AND(ISNUMBER($S77),$S77&gt;=TODAY()),$S77,99999),IF(AND(ISNUMBER($T77),$T77&gt;=TODAY()),$T77,99999),IF(AND(ISNUMBER($U77),$U77&gt;=TODAY()),$U77,99999),IF(AND(ISNUMBER($V77),$V77&gt;=TODAY()),$V77,99999))=99999,"",MIN(IF(AND(ISNUMBER($L77),$L77&gt;=TODAY()),$L77,99999),IF(AND(ISNUMBER($M77),$M77&gt;=TODAY()),$M77,99999),IF(AND(ISNUMBER($N77),$N77&gt;=TODAY()),$N77,99999),IF(AND(ISNUMBER($Q77),$Q77&gt;=TODAY()),$Q77,99999),IF(AND(ISNUMBER($R77),$R77&gt;=TODAY()),$R77,99999),IF(AND(ISNUMBER($S77),$S77&gt;=TODAY()),$S77,99999),IF(AND(ISNUMBER($T77),$T77&gt;=TODAY()),$T77,99999),IF(AND(ISNUMBER($U77),$U77&gt;=TODAY()),$U77,99999),IF(AND(ISNUMBER($V77),$V77&gt;=TODAY()),$V77,99999))))</f>
        <v/>
      </c>
      <c r="L77" s="27" t="n"/>
      <c r="M77" s="27" t="n"/>
      <c r="N77" s="27" t="n"/>
      <c r="O77" s="27" t="n"/>
      <c r="P77" s="27" t="n"/>
      <c r="Q77" s="27" t="n"/>
      <c r="R77" s="27" t="n"/>
      <c r="S77" s="27" t="n"/>
      <c r="T77" s="27" t="n"/>
      <c r="U77" s="27" t="n"/>
      <c r="V77" s="27" t="n"/>
      <c r="W77" s="27" t="n"/>
      <c r="X77" s="27" t="n"/>
      <c r="Y77" s="27" t="n"/>
      <c r="Z77" s="30" t="n"/>
      <c r="AA77" s="25" t="n"/>
      <c r="AB77" s="28">
        <f>IF(NOT(AND($A77&lt;&gt;"",OR($G77="",$G77="Active"))),"",IF(OR(IF(OR(ISNUMBER($V77),$V77="DNA"),$V77,IF(OR(ISNUMBER($U77),$U77="DNA"),$U77,IF(OR(ISNUMBER($T77),$T77="DNA"),$T77,IF(OR(ISNUMBER($S77),$S77="DNA"),$S77,IF(OR(ISNUMBER($R77),$R77="DNA"),$R77,IF(OR(ISNUMBER($Q77),$Q77="DNA"),$Q77,IF(OR(ISNUMBER($N77),$N77="DNA"),$N77,IF(OR(ISNUMBER($M77),$M77="DNA"),$M77,IF(OR(ISNUMBER($L77),$L77="DNA"),$L77,"")))))))))="DNA",AND(ISNUMBER(IF(OR(ISNUMBER($V77),$V77="DNA"),$V77,IF(OR(ISNUMBER($U77),$U77="DNA"),$U77,IF(OR(ISNUMBER($T77),$T77="DNA"),$T77,IF(OR(ISNUMBER($S77),$S77="DNA"),$S77,IF(OR(ISNUMBER($R77),$R77="DNA"),$R77,IF(OR(ISNUMBER($Q77),$Q77="DNA"),$Q77,IF(OR(ISNUMBER($N77),$N77="DNA"),$N77,IF(OR(ISNUMBER($M77),$M77="DNA"),$M77,IF(OR(ISNUMBER($L77),$L77="DNA"),$L77,"")))))))))),IF(OR(ISNUMBER($V77),$V77="DNA"),$V77,IF(OR(ISNUMBER($U77),$U77="DNA"),$U77,IF(OR(ISNUMBER($T77),$T77="DNA"),$T77,IF(OR(ISNUMBER($S77),$S77="DNA"),$S77,IF(OR(ISNUMBER($R77),$R77="DNA"),$R77,IF(OR(ISNUMBER($Q77),$Q77="DNA"),$Q77,IF(OR(ISNUMBER($N77),$N77="DNA"),$N77,IF(OR(ISNUMBER($M77),$M77="DNA"),$M77,IF(OR(ISNUMBER($L77),$L77="DNA"),$L77,"")))))))))&lt;TODAY())),1,0)+ISNUMBER($O77)*($O77&lt;TODAY())+ISNUMBER($P77)*($P77&lt;TODAY())+ISNUMBER($X77)*($X77&lt;TODAY())+ISNUMBER($Y77)*($Y77&lt;TODAY()))</f>
        <v/>
      </c>
    </row>
    <row r="78">
      <c r="A78" s="25" t="n"/>
      <c r="B78" s="26" t="n"/>
      <c r="C78" s="27" t="n"/>
      <c r="D78" s="25" t="n"/>
      <c r="E78" s="25" t="n"/>
      <c r="F78" s="27" t="n"/>
      <c r="G78" s="25" t="n"/>
      <c r="H78" s="28">
        <f>IF(OR(NOT(AND($A78&lt;&gt;"",OR($G78="",$G78="Active"))),$F78=""),"",INT((TODAY()-$F78+280)/7)&amp;"+"&amp;MOD(TODAY()-$F78+280,7))</f>
        <v/>
      </c>
      <c r="I78" s="28">
        <f>IF(NOT(AND($A78&lt;&gt;"",OR($G78="",$G78="Active"))),"",ISNUMBER($L78)*($L78&gt;=TODAY())*($L78&lt;=TODAY()+7)+ISNUMBER($M78)*($M78&gt;=TODAY())*($M78&lt;=TODAY()+7)+ISNUMBER($N78)*($N78&gt;=TODAY())*($N78&lt;=TODAY()+7)+ISNUMBER($Q78)*($Q78&gt;=TODAY())*($Q78&lt;=TODAY()+7)+ISNUMBER($R78)*($R78&gt;=TODAY())*($R78&lt;=TODAY()+7)+ISNUMBER($S78)*($S78&gt;=TODAY())*($S78&lt;=TODAY()+7)+ISNUMBER($T78)*($T78&gt;=TODAY())*($T78&lt;=TODAY()+7)+ISNUMBER($U78)*($U78&gt;=TODAY())*($U78&lt;=TODAY()+7)+ISNUMBER($V78)*($V78&gt;=TODAY())*($V78&lt;=TODAY()+7)+ISNUMBER($O78)*($O78&gt;=TODAY())*($O78&lt;=TODAY()+7)+ISNUMBER($P78)*($P78&gt;=TODAY())*($P78&lt;=TODAY()+7)+ISNUMBER($X78)*($X78&gt;=TODAY())*($X78&lt;=TODAY()+7)+ISNUMBER($Y78)*($Y78&gt;=TODAY())*($Y78&lt;=TODAY()+7))</f>
        <v/>
      </c>
      <c r="J78" s="28">
        <f>IF(NOT(AND($A78&lt;&gt;"",OR($G78="",$G78="Active"))),"",IF($K78&lt;&gt;"",IF($L78=$K78,"Booking",IF($M78=$K78,"16/40",IF($N78=$K78,"25/40",IF($Q78=$K78,"28/40",IF($R78=$K78,"31/40",IF($S78=$K78,"34/40",IF($T78=$K78,"36/40",IF($U78=$K78,"38/40",IF($V78=$K78,"40/40",""))))))))),IF(IF(OR(ISNUMBER($V78),$V78="DNA"),$V78,IF(OR(ISNUMBER($U78),$U78="DNA"),$U78,IF(OR(ISNUMBER($T78),$T78="DNA"),$T78,IF(OR(ISNUMBER($S78),$S78="DNA"),$S78,IF(OR(ISNUMBER($R78),$R78="DNA"),$R78,IF(OR(ISNUMBER($Q78),$Q78="DNA"),$Q78,IF(OR(ISNUMBER($N78),$N78="DNA"),$N78,IF(OR(ISNUMBER($M78),$M78="DNA"),$M78,IF(OR(ISNUMBER($L78),$L78="DNA"),$L78,"")))))))))="DNA","Rebook DNA",IF(ISNUMBER(IF(OR(ISNUMBER($V78),$V78="DNA"),$V78,IF(OR(ISNUMBER($U78),$U78="DNA"),$U78,IF(OR(ISNUMBER($T78),$T78="DNA"),$T78,IF(OR(ISNUMBER($S78),$S78="DNA"),$S78,IF(OR(ISNUMBER($R78),$R78="DNA"),$R78,IF(OR(ISNUMBER($Q78),$Q78="DNA"),$Q78,IF(OR(ISNUMBER($N78),$N78="DNA"),$N78,IF(OR(ISNUMBER($M78),$M78="DNA"),$M78,IF(OR(ISNUMBER($L78),$L78="DNA"),$L78,"")))))))))),IF(ISNUMBER($V78),"Update status","Missed/not booked?"),""))))</f>
        <v/>
      </c>
      <c r="K78" s="29">
        <f>IF(NOT(AND($A78&lt;&gt;"",OR($G78="",$G78="Active"))),"",IF(MIN(IF(AND(ISNUMBER($L78),$L78&gt;=TODAY()),$L78,99999),IF(AND(ISNUMBER($M78),$M78&gt;=TODAY()),$M78,99999),IF(AND(ISNUMBER($N78),$N78&gt;=TODAY()),$N78,99999),IF(AND(ISNUMBER($Q78),$Q78&gt;=TODAY()),$Q78,99999),IF(AND(ISNUMBER($R78),$R78&gt;=TODAY()),$R78,99999),IF(AND(ISNUMBER($S78),$S78&gt;=TODAY()),$S78,99999),IF(AND(ISNUMBER($T78),$T78&gt;=TODAY()),$T78,99999),IF(AND(ISNUMBER($U78),$U78&gt;=TODAY()),$U78,99999),IF(AND(ISNUMBER($V78),$V78&gt;=TODAY()),$V78,99999))=99999,"",MIN(IF(AND(ISNUMBER($L78),$L78&gt;=TODAY()),$L78,99999),IF(AND(ISNUMBER($M78),$M78&gt;=TODAY()),$M78,99999),IF(AND(ISNUMBER($N78),$N78&gt;=TODAY()),$N78,99999),IF(AND(ISNUMBER($Q78),$Q78&gt;=TODAY()),$Q78,99999),IF(AND(ISNUMBER($R78),$R78&gt;=TODAY()),$R78,99999),IF(AND(ISNUMBER($S78),$S78&gt;=TODAY()),$S78,99999),IF(AND(ISNUMBER($T78),$T78&gt;=TODAY()),$T78,99999),IF(AND(ISNUMBER($U78),$U78&gt;=TODAY()),$U78,99999),IF(AND(ISNUMBER($V78),$V78&gt;=TODAY()),$V78,99999))))</f>
        <v/>
      </c>
      <c r="L78" s="27" t="n"/>
      <c r="M78" s="27" t="n"/>
      <c r="N78" s="27" t="n"/>
      <c r="O78" s="27" t="n"/>
      <c r="P78" s="27" t="n"/>
      <c r="Q78" s="27" t="n"/>
      <c r="R78" s="27" t="n"/>
      <c r="S78" s="27" t="n"/>
      <c r="T78" s="27" t="n"/>
      <c r="U78" s="27" t="n"/>
      <c r="V78" s="27" t="n"/>
      <c r="W78" s="27" t="n"/>
      <c r="X78" s="27" t="n"/>
      <c r="Y78" s="27" t="n"/>
      <c r="Z78" s="30" t="n"/>
      <c r="AA78" s="25" t="n"/>
      <c r="AB78" s="28">
        <f>IF(NOT(AND($A78&lt;&gt;"",OR($G78="",$G78="Active"))),"",IF(OR(IF(OR(ISNUMBER($V78),$V78="DNA"),$V78,IF(OR(ISNUMBER($U78),$U78="DNA"),$U78,IF(OR(ISNUMBER($T78),$T78="DNA"),$T78,IF(OR(ISNUMBER($S78),$S78="DNA"),$S78,IF(OR(ISNUMBER($R78),$R78="DNA"),$R78,IF(OR(ISNUMBER($Q78),$Q78="DNA"),$Q78,IF(OR(ISNUMBER($N78),$N78="DNA"),$N78,IF(OR(ISNUMBER($M78),$M78="DNA"),$M78,IF(OR(ISNUMBER($L78),$L78="DNA"),$L78,"")))))))))="DNA",AND(ISNUMBER(IF(OR(ISNUMBER($V78),$V78="DNA"),$V78,IF(OR(ISNUMBER($U78),$U78="DNA"),$U78,IF(OR(ISNUMBER($T78),$T78="DNA"),$T78,IF(OR(ISNUMBER($S78),$S78="DNA"),$S78,IF(OR(ISNUMBER($R78),$R78="DNA"),$R78,IF(OR(ISNUMBER($Q78),$Q78="DNA"),$Q78,IF(OR(ISNUMBER($N78),$N78="DNA"),$N78,IF(OR(ISNUMBER($M78),$M78="DNA"),$M78,IF(OR(ISNUMBER($L78),$L78="DNA"),$L78,"")))))))))),IF(OR(ISNUMBER($V78),$V78="DNA"),$V78,IF(OR(ISNUMBER($U78),$U78="DNA"),$U78,IF(OR(ISNUMBER($T78),$T78="DNA"),$T78,IF(OR(ISNUMBER($S78),$S78="DNA"),$S78,IF(OR(ISNUMBER($R78),$R78="DNA"),$R78,IF(OR(ISNUMBER($Q78),$Q78="DNA"),$Q78,IF(OR(ISNUMBER($N78),$N78="DNA"),$N78,IF(OR(ISNUMBER($M78),$M78="DNA"),$M78,IF(OR(ISNUMBER($L78),$L78="DNA"),$L78,"")))))))))&lt;TODAY())),1,0)+ISNUMBER($O78)*($O78&lt;TODAY())+ISNUMBER($P78)*($P78&lt;TODAY())+ISNUMBER($X78)*($X78&lt;TODAY())+ISNUMBER($Y78)*($Y78&lt;TODAY()))</f>
        <v/>
      </c>
    </row>
    <row r="79">
      <c r="A79" s="25" t="n"/>
      <c r="B79" s="26" t="n"/>
      <c r="C79" s="27" t="n"/>
      <c r="D79" s="25" t="n"/>
      <c r="E79" s="25" t="n"/>
      <c r="F79" s="27" t="n"/>
      <c r="G79" s="25" t="n"/>
      <c r="H79" s="28">
        <f>IF(OR(NOT(AND($A79&lt;&gt;"",OR($G79="",$G79="Active"))),$F79=""),"",INT((TODAY()-$F79+280)/7)&amp;"+"&amp;MOD(TODAY()-$F79+280,7))</f>
        <v/>
      </c>
      <c r="I79" s="28">
        <f>IF(NOT(AND($A79&lt;&gt;"",OR($G79="",$G79="Active"))),"",ISNUMBER($L79)*($L79&gt;=TODAY())*($L79&lt;=TODAY()+7)+ISNUMBER($M79)*($M79&gt;=TODAY())*($M79&lt;=TODAY()+7)+ISNUMBER($N79)*($N79&gt;=TODAY())*($N79&lt;=TODAY()+7)+ISNUMBER($Q79)*($Q79&gt;=TODAY())*($Q79&lt;=TODAY()+7)+ISNUMBER($R79)*($R79&gt;=TODAY())*($R79&lt;=TODAY()+7)+ISNUMBER($S79)*($S79&gt;=TODAY())*($S79&lt;=TODAY()+7)+ISNUMBER($T79)*($T79&gt;=TODAY())*($T79&lt;=TODAY()+7)+ISNUMBER($U79)*($U79&gt;=TODAY())*($U79&lt;=TODAY()+7)+ISNUMBER($V79)*($V79&gt;=TODAY())*($V79&lt;=TODAY()+7)+ISNUMBER($O79)*($O79&gt;=TODAY())*($O79&lt;=TODAY()+7)+ISNUMBER($P79)*($P79&gt;=TODAY())*($P79&lt;=TODAY()+7)+ISNUMBER($X79)*($X79&gt;=TODAY())*($X79&lt;=TODAY()+7)+ISNUMBER($Y79)*($Y79&gt;=TODAY())*($Y79&lt;=TODAY()+7))</f>
        <v/>
      </c>
      <c r="J79" s="28">
        <f>IF(NOT(AND($A79&lt;&gt;"",OR($G79="",$G79="Active"))),"",IF($K79&lt;&gt;"",IF($L79=$K79,"Booking",IF($M79=$K79,"16/40",IF($N79=$K79,"25/40",IF($Q79=$K79,"28/40",IF($R79=$K79,"31/40",IF($S79=$K79,"34/40",IF($T79=$K79,"36/40",IF($U79=$K79,"38/40",IF($V79=$K79,"40/40",""))))))))),IF(IF(OR(ISNUMBER($V79),$V79="DNA"),$V79,IF(OR(ISNUMBER($U79),$U79="DNA"),$U79,IF(OR(ISNUMBER($T79),$T79="DNA"),$T79,IF(OR(ISNUMBER($S79),$S79="DNA"),$S79,IF(OR(ISNUMBER($R79),$R79="DNA"),$R79,IF(OR(ISNUMBER($Q79),$Q79="DNA"),$Q79,IF(OR(ISNUMBER($N79),$N79="DNA"),$N79,IF(OR(ISNUMBER($M79),$M79="DNA"),$M79,IF(OR(ISNUMBER($L79),$L79="DNA"),$L79,"")))))))))="DNA","Rebook DNA",IF(ISNUMBER(IF(OR(ISNUMBER($V79),$V79="DNA"),$V79,IF(OR(ISNUMBER($U79),$U79="DNA"),$U79,IF(OR(ISNUMBER($T79),$T79="DNA"),$T79,IF(OR(ISNUMBER($S79),$S79="DNA"),$S79,IF(OR(ISNUMBER($R79),$R79="DNA"),$R79,IF(OR(ISNUMBER($Q79),$Q79="DNA"),$Q79,IF(OR(ISNUMBER($N79),$N79="DNA"),$N79,IF(OR(ISNUMBER($M79),$M79="DNA"),$M79,IF(OR(ISNUMBER($L79),$L79="DNA"),$L79,"")))))))))),IF(ISNUMBER($V79),"Update status","Missed/not booked?"),""))))</f>
        <v/>
      </c>
      <c r="K79" s="29">
        <f>IF(NOT(AND($A79&lt;&gt;"",OR($G79="",$G79="Active"))),"",IF(MIN(IF(AND(ISNUMBER($L79),$L79&gt;=TODAY()),$L79,99999),IF(AND(ISNUMBER($M79),$M79&gt;=TODAY()),$M79,99999),IF(AND(ISNUMBER($N79),$N79&gt;=TODAY()),$N79,99999),IF(AND(ISNUMBER($Q79),$Q79&gt;=TODAY()),$Q79,99999),IF(AND(ISNUMBER($R79),$R79&gt;=TODAY()),$R79,99999),IF(AND(ISNUMBER($S79),$S79&gt;=TODAY()),$S79,99999),IF(AND(ISNUMBER($T79),$T79&gt;=TODAY()),$T79,99999),IF(AND(ISNUMBER($U79),$U79&gt;=TODAY()),$U79,99999),IF(AND(ISNUMBER($V79),$V79&gt;=TODAY()),$V79,99999))=99999,"",MIN(IF(AND(ISNUMBER($L79),$L79&gt;=TODAY()),$L79,99999),IF(AND(ISNUMBER($M79),$M79&gt;=TODAY()),$M79,99999),IF(AND(ISNUMBER($N79),$N79&gt;=TODAY()),$N79,99999),IF(AND(ISNUMBER($Q79),$Q79&gt;=TODAY()),$Q79,99999),IF(AND(ISNUMBER($R79),$R79&gt;=TODAY()),$R79,99999),IF(AND(ISNUMBER($S79),$S79&gt;=TODAY()),$S79,99999),IF(AND(ISNUMBER($T79),$T79&gt;=TODAY()),$T79,99999),IF(AND(ISNUMBER($U79),$U79&gt;=TODAY()),$U79,99999),IF(AND(ISNUMBER($V79),$V79&gt;=TODAY()),$V79,99999))))</f>
        <v/>
      </c>
      <c r="L79" s="27" t="n"/>
      <c r="M79" s="27" t="n"/>
      <c r="N79" s="27" t="n"/>
      <c r="O79" s="27" t="n"/>
      <c r="P79" s="27" t="n"/>
      <c r="Q79" s="27" t="n"/>
      <c r="R79" s="27" t="n"/>
      <c r="S79" s="27" t="n"/>
      <c r="T79" s="27" t="n"/>
      <c r="U79" s="27" t="n"/>
      <c r="V79" s="27" t="n"/>
      <c r="W79" s="27" t="n"/>
      <c r="X79" s="27" t="n"/>
      <c r="Y79" s="27" t="n"/>
      <c r="Z79" s="30" t="n"/>
      <c r="AA79" s="25" t="n"/>
      <c r="AB79" s="28">
        <f>IF(NOT(AND($A79&lt;&gt;"",OR($G79="",$G79="Active"))),"",IF(OR(IF(OR(ISNUMBER($V79),$V79="DNA"),$V79,IF(OR(ISNUMBER($U79),$U79="DNA"),$U79,IF(OR(ISNUMBER($T79),$T79="DNA"),$T79,IF(OR(ISNUMBER($S79),$S79="DNA"),$S79,IF(OR(ISNUMBER($R79),$R79="DNA"),$R79,IF(OR(ISNUMBER($Q79),$Q79="DNA"),$Q79,IF(OR(ISNUMBER($N79),$N79="DNA"),$N79,IF(OR(ISNUMBER($M79),$M79="DNA"),$M79,IF(OR(ISNUMBER($L79),$L79="DNA"),$L79,"")))))))))="DNA",AND(ISNUMBER(IF(OR(ISNUMBER($V79),$V79="DNA"),$V79,IF(OR(ISNUMBER($U79),$U79="DNA"),$U79,IF(OR(ISNUMBER($T79),$T79="DNA"),$T79,IF(OR(ISNUMBER($S79),$S79="DNA"),$S79,IF(OR(ISNUMBER($R79),$R79="DNA"),$R79,IF(OR(ISNUMBER($Q79),$Q79="DNA"),$Q79,IF(OR(ISNUMBER($N79),$N79="DNA"),$N79,IF(OR(ISNUMBER($M79),$M79="DNA"),$M79,IF(OR(ISNUMBER($L79),$L79="DNA"),$L79,"")))))))))),IF(OR(ISNUMBER($V79),$V79="DNA"),$V79,IF(OR(ISNUMBER($U79),$U79="DNA"),$U79,IF(OR(ISNUMBER($T79),$T79="DNA"),$T79,IF(OR(ISNUMBER($S79),$S79="DNA"),$S79,IF(OR(ISNUMBER($R79),$R79="DNA"),$R79,IF(OR(ISNUMBER($Q79),$Q79="DNA"),$Q79,IF(OR(ISNUMBER($N79),$N79="DNA"),$N79,IF(OR(ISNUMBER($M79),$M79="DNA"),$M79,IF(OR(ISNUMBER($L79),$L79="DNA"),$L79,"")))))))))&lt;TODAY())),1,0)+ISNUMBER($O79)*($O79&lt;TODAY())+ISNUMBER($P79)*($P79&lt;TODAY())+ISNUMBER($X79)*($X79&lt;TODAY())+ISNUMBER($Y79)*($Y79&lt;TODAY()))</f>
        <v/>
      </c>
    </row>
    <row r="80">
      <c r="A80" s="25" t="n"/>
      <c r="B80" s="26" t="n"/>
      <c r="C80" s="27" t="n"/>
      <c r="D80" s="25" t="n"/>
      <c r="E80" s="25" t="n"/>
      <c r="F80" s="27" t="n"/>
      <c r="G80" s="25" t="n"/>
      <c r="H80" s="28">
        <f>IF(OR(NOT(AND($A80&lt;&gt;"",OR($G80="",$G80="Active"))),$F80=""),"",INT((TODAY()-$F80+280)/7)&amp;"+"&amp;MOD(TODAY()-$F80+280,7))</f>
        <v/>
      </c>
      <c r="I80" s="28">
        <f>IF(NOT(AND($A80&lt;&gt;"",OR($G80="",$G80="Active"))),"",ISNUMBER($L80)*($L80&gt;=TODAY())*($L80&lt;=TODAY()+7)+ISNUMBER($M80)*($M80&gt;=TODAY())*($M80&lt;=TODAY()+7)+ISNUMBER($N80)*($N80&gt;=TODAY())*($N80&lt;=TODAY()+7)+ISNUMBER($Q80)*($Q80&gt;=TODAY())*($Q80&lt;=TODAY()+7)+ISNUMBER($R80)*($R80&gt;=TODAY())*($R80&lt;=TODAY()+7)+ISNUMBER($S80)*($S80&gt;=TODAY())*($S80&lt;=TODAY()+7)+ISNUMBER($T80)*($T80&gt;=TODAY())*($T80&lt;=TODAY()+7)+ISNUMBER($U80)*($U80&gt;=TODAY())*($U80&lt;=TODAY()+7)+ISNUMBER($V80)*($V80&gt;=TODAY())*($V80&lt;=TODAY()+7)+ISNUMBER($O80)*($O80&gt;=TODAY())*($O80&lt;=TODAY()+7)+ISNUMBER($P80)*($P80&gt;=TODAY())*($P80&lt;=TODAY()+7)+ISNUMBER($X80)*($X80&gt;=TODAY())*($X80&lt;=TODAY()+7)+ISNUMBER($Y80)*($Y80&gt;=TODAY())*($Y80&lt;=TODAY()+7))</f>
        <v/>
      </c>
      <c r="J80" s="28">
        <f>IF(NOT(AND($A80&lt;&gt;"",OR($G80="",$G80="Active"))),"",IF($K80&lt;&gt;"",IF($L80=$K80,"Booking",IF($M80=$K80,"16/40",IF($N80=$K80,"25/40",IF($Q80=$K80,"28/40",IF($R80=$K80,"31/40",IF($S80=$K80,"34/40",IF($T80=$K80,"36/40",IF($U80=$K80,"38/40",IF($V80=$K80,"40/40",""))))))))),IF(IF(OR(ISNUMBER($V80),$V80="DNA"),$V80,IF(OR(ISNUMBER($U80),$U80="DNA"),$U80,IF(OR(ISNUMBER($T80),$T80="DNA"),$T80,IF(OR(ISNUMBER($S80),$S80="DNA"),$S80,IF(OR(ISNUMBER($R80),$R80="DNA"),$R80,IF(OR(ISNUMBER($Q80),$Q80="DNA"),$Q80,IF(OR(ISNUMBER($N80),$N80="DNA"),$N80,IF(OR(ISNUMBER($M80),$M80="DNA"),$M80,IF(OR(ISNUMBER($L80),$L80="DNA"),$L80,"")))))))))="DNA","Rebook DNA",IF(ISNUMBER(IF(OR(ISNUMBER($V80),$V80="DNA"),$V80,IF(OR(ISNUMBER($U80),$U80="DNA"),$U80,IF(OR(ISNUMBER($T80),$T80="DNA"),$T80,IF(OR(ISNUMBER($S80),$S80="DNA"),$S80,IF(OR(ISNUMBER($R80),$R80="DNA"),$R80,IF(OR(ISNUMBER($Q80),$Q80="DNA"),$Q80,IF(OR(ISNUMBER($N80),$N80="DNA"),$N80,IF(OR(ISNUMBER($M80),$M80="DNA"),$M80,IF(OR(ISNUMBER($L80),$L80="DNA"),$L80,"")))))))))),IF(ISNUMBER($V80),"Update status","Missed/not booked?"),""))))</f>
        <v/>
      </c>
      <c r="K80" s="29">
        <f>IF(NOT(AND($A80&lt;&gt;"",OR($G80="",$G80="Active"))),"",IF(MIN(IF(AND(ISNUMBER($L80),$L80&gt;=TODAY()),$L80,99999),IF(AND(ISNUMBER($M80),$M80&gt;=TODAY()),$M80,99999),IF(AND(ISNUMBER($N80),$N80&gt;=TODAY()),$N80,99999),IF(AND(ISNUMBER($Q80),$Q80&gt;=TODAY()),$Q80,99999),IF(AND(ISNUMBER($R80),$R80&gt;=TODAY()),$R80,99999),IF(AND(ISNUMBER($S80),$S80&gt;=TODAY()),$S80,99999),IF(AND(ISNUMBER($T80),$T80&gt;=TODAY()),$T80,99999),IF(AND(ISNUMBER($U80),$U80&gt;=TODAY()),$U80,99999),IF(AND(ISNUMBER($V80),$V80&gt;=TODAY()),$V80,99999))=99999,"",MIN(IF(AND(ISNUMBER($L80),$L80&gt;=TODAY()),$L80,99999),IF(AND(ISNUMBER($M80),$M80&gt;=TODAY()),$M80,99999),IF(AND(ISNUMBER($N80),$N80&gt;=TODAY()),$N80,99999),IF(AND(ISNUMBER($Q80),$Q80&gt;=TODAY()),$Q80,99999),IF(AND(ISNUMBER($R80),$R80&gt;=TODAY()),$R80,99999),IF(AND(ISNUMBER($S80),$S80&gt;=TODAY()),$S80,99999),IF(AND(ISNUMBER($T80),$T80&gt;=TODAY()),$T80,99999),IF(AND(ISNUMBER($U80),$U80&gt;=TODAY()),$U80,99999),IF(AND(ISNUMBER($V80),$V80&gt;=TODAY()),$V80,99999))))</f>
        <v/>
      </c>
      <c r="L80" s="27" t="n"/>
      <c r="M80" s="27" t="n"/>
      <c r="N80" s="27" t="n"/>
      <c r="O80" s="27" t="n"/>
      <c r="P80" s="27" t="n"/>
      <c r="Q80" s="27" t="n"/>
      <c r="R80" s="27" t="n"/>
      <c r="S80" s="27" t="n"/>
      <c r="T80" s="27" t="n"/>
      <c r="U80" s="27" t="n"/>
      <c r="V80" s="27" t="n"/>
      <c r="W80" s="27" t="n"/>
      <c r="X80" s="27" t="n"/>
      <c r="Y80" s="27" t="n"/>
      <c r="Z80" s="30" t="n"/>
      <c r="AA80" s="25" t="n"/>
      <c r="AB80" s="28">
        <f>IF(NOT(AND($A80&lt;&gt;"",OR($G80="",$G80="Active"))),"",IF(OR(IF(OR(ISNUMBER($V80),$V80="DNA"),$V80,IF(OR(ISNUMBER($U80),$U80="DNA"),$U80,IF(OR(ISNUMBER($T80),$T80="DNA"),$T80,IF(OR(ISNUMBER($S80),$S80="DNA"),$S80,IF(OR(ISNUMBER($R80),$R80="DNA"),$R80,IF(OR(ISNUMBER($Q80),$Q80="DNA"),$Q80,IF(OR(ISNUMBER($N80),$N80="DNA"),$N80,IF(OR(ISNUMBER($M80),$M80="DNA"),$M80,IF(OR(ISNUMBER($L80),$L80="DNA"),$L80,"")))))))))="DNA",AND(ISNUMBER(IF(OR(ISNUMBER($V80),$V80="DNA"),$V80,IF(OR(ISNUMBER($U80),$U80="DNA"),$U80,IF(OR(ISNUMBER($T80),$T80="DNA"),$T80,IF(OR(ISNUMBER($S80),$S80="DNA"),$S80,IF(OR(ISNUMBER($R80),$R80="DNA"),$R80,IF(OR(ISNUMBER($Q80),$Q80="DNA"),$Q80,IF(OR(ISNUMBER($N80),$N80="DNA"),$N80,IF(OR(ISNUMBER($M80),$M80="DNA"),$M80,IF(OR(ISNUMBER($L80),$L80="DNA"),$L80,"")))))))))),IF(OR(ISNUMBER($V80),$V80="DNA"),$V80,IF(OR(ISNUMBER($U80),$U80="DNA"),$U80,IF(OR(ISNUMBER($T80),$T80="DNA"),$T80,IF(OR(ISNUMBER($S80),$S80="DNA"),$S80,IF(OR(ISNUMBER($R80),$R80="DNA"),$R80,IF(OR(ISNUMBER($Q80),$Q80="DNA"),$Q80,IF(OR(ISNUMBER($N80),$N80="DNA"),$N80,IF(OR(ISNUMBER($M80),$M80="DNA"),$M80,IF(OR(ISNUMBER($L80),$L80="DNA"),$L80,"")))))))))&lt;TODAY())),1,0)+ISNUMBER($O80)*($O80&lt;TODAY())+ISNUMBER($P80)*($P80&lt;TODAY())+ISNUMBER($X80)*($X80&lt;TODAY())+ISNUMBER($Y80)*($Y80&lt;TODAY()))</f>
        <v/>
      </c>
    </row>
    <row r="81">
      <c r="A81" s="25" t="n"/>
      <c r="B81" s="26" t="n"/>
      <c r="C81" s="27" t="n"/>
      <c r="D81" s="25" t="n"/>
      <c r="E81" s="25" t="n"/>
      <c r="F81" s="27" t="n"/>
      <c r="G81" s="25" t="n"/>
      <c r="H81" s="28">
        <f>IF(OR(NOT(AND($A81&lt;&gt;"",OR($G81="",$G81="Active"))),$F81=""),"",INT((TODAY()-$F81+280)/7)&amp;"+"&amp;MOD(TODAY()-$F81+280,7))</f>
        <v/>
      </c>
      <c r="I81" s="28">
        <f>IF(NOT(AND($A81&lt;&gt;"",OR($G81="",$G81="Active"))),"",ISNUMBER($L81)*($L81&gt;=TODAY())*($L81&lt;=TODAY()+7)+ISNUMBER($M81)*($M81&gt;=TODAY())*($M81&lt;=TODAY()+7)+ISNUMBER($N81)*($N81&gt;=TODAY())*($N81&lt;=TODAY()+7)+ISNUMBER($Q81)*($Q81&gt;=TODAY())*($Q81&lt;=TODAY()+7)+ISNUMBER($R81)*($R81&gt;=TODAY())*($R81&lt;=TODAY()+7)+ISNUMBER($S81)*($S81&gt;=TODAY())*($S81&lt;=TODAY()+7)+ISNUMBER($T81)*($T81&gt;=TODAY())*($T81&lt;=TODAY()+7)+ISNUMBER($U81)*($U81&gt;=TODAY())*($U81&lt;=TODAY()+7)+ISNUMBER($V81)*($V81&gt;=TODAY())*($V81&lt;=TODAY()+7)+ISNUMBER($O81)*($O81&gt;=TODAY())*($O81&lt;=TODAY()+7)+ISNUMBER($P81)*($P81&gt;=TODAY())*($P81&lt;=TODAY()+7)+ISNUMBER($X81)*($X81&gt;=TODAY())*($X81&lt;=TODAY()+7)+ISNUMBER($Y81)*($Y81&gt;=TODAY())*($Y81&lt;=TODAY()+7))</f>
        <v/>
      </c>
      <c r="J81" s="28">
        <f>IF(NOT(AND($A81&lt;&gt;"",OR($G81="",$G81="Active"))),"",IF($K81&lt;&gt;"",IF($L81=$K81,"Booking",IF($M81=$K81,"16/40",IF($N81=$K81,"25/40",IF($Q81=$K81,"28/40",IF($R81=$K81,"31/40",IF($S81=$K81,"34/40",IF($T81=$K81,"36/40",IF($U81=$K81,"38/40",IF($V81=$K81,"40/40",""))))))))),IF(IF(OR(ISNUMBER($V81),$V81="DNA"),$V81,IF(OR(ISNUMBER($U81),$U81="DNA"),$U81,IF(OR(ISNUMBER($T81),$T81="DNA"),$T81,IF(OR(ISNUMBER($S81),$S81="DNA"),$S81,IF(OR(ISNUMBER($R81),$R81="DNA"),$R81,IF(OR(ISNUMBER($Q81),$Q81="DNA"),$Q81,IF(OR(ISNUMBER($N81),$N81="DNA"),$N81,IF(OR(ISNUMBER($M81),$M81="DNA"),$M81,IF(OR(ISNUMBER($L81),$L81="DNA"),$L81,"")))))))))="DNA","Rebook DNA",IF(ISNUMBER(IF(OR(ISNUMBER($V81),$V81="DNA"),$V81,IF(OR(ISNUMBER($U81),$U81="DNA"),$U81,IF(OR(ISNUMBER($T81),$T81="DNA"),$T81,IF(OR(ISNUMBER($S81),$S81="DNA"),$S81,IF(OR(ISNUMBER($R81),$R81="DNA"),$R81,IF(OR(ISNUMBER($Q81),$Q81="DNA"),$Q81,IF(OR(ISNUMBER($N81),$N81="DNA"),$N81,IF(OR(ISNUMBER($M81),$M81="DNA"),$M81,IF(OR(ISNUMBER($L81),$L81="DNA"),$L81,"")))))))))),IF(ISNUMBER($V81),"Update status","Missed/not booked?"),""))))</f>
        <v/>
      </c>
      <c r="K81" s="29">
        <f>IF(NOT(AND($A81&lt;&gt;"",OR($G81="",$G81="Active"))),"",IF(MIN(IF(AND(ISNUMBER($L81),$L81&gt;=TODAY()),$L81,99999),IF(AND(ISNUMBER($M81),$M81&gt;=TODAY()),$M81,99999),IF(AND(ISNUMBER($N81),$N81&gt;=TODAY()),$N81,99999),IF(AND(ISNUMBER($Q81),$Q81&gt;=TODAY()),$Q81,99999),IF(AND(ISNUMBER($R81),$R81&gt;=TODAY()),$R81,99999),IF(AND(ISNUMBER($S81),$S81&gt;=TODAY()),$S81,99999),IF(AND(ISNUMBER($T81),$T81&gt;=TODAY()),$T81,99999),IF(AND(ISNUMBER($U81),$U81&gt;=TODAY()),$U81,99999),IF(AND(ISNUMBER($V81),$V81&gt;=TODAY()),$V81,99999))=99999,"",MIN(IF(AND(ISNUMBER($L81),$L81&gt;=TODAY()),$L81,99999),IF(AND(ISNUMBER($M81),$M81&gt;=TODAY()),$M81,99999),IF(AND(ISNUMBER($N81),$N81&gt;=TODAY()),$N81,99999),IF(AND(ISNUMBER($Q81),$Q81&gt;=TODAY()),$Q81,99999),IF(AND(ISNUMBER($R81),$R81&gt;=TODAY()),$R81,99999),IF(AND(ISNUMBER($S81),$S81&gt;=TODAY()),$S81,99999),IF(AND(ISNUMBER($T81),$T81&gt;=TODAY()),$T81,99999),IF(AND(ISNUMBER($U81),$U81&gt;=TODAY()),$U81,99999),IF(AND(ISNUMBER($V81),$V81&gt;=TODAY()),$V81,99999))))</f>
        <v/>
      </c>
      <c r="L81" s="27" t="n"/>
      <c r="M81" s="27" t="n"/>
      <c r="N81" s="27" t="n"/>
      <c r="O81" s="27" t="n"/>
      <c r="P81" s="27" t="n"/>
      <c r="Q81" s="27" t="n"/>
      <c r="R81" s="27" t="n"/>
      <c r="S81" s="27" t="n"/>
      <c r="T81" s="27" t="n"/>
      <c r="U81" s="27" t="n"/>
      <c r="V81" s="27" t="n"/>
      <c r="W81" s="27" t="n"/>
      <c r="X81" s="27" t="n"/>
      <c r="Y81" s="27" t="n"/>
      <c r="Z81" s="30" t="n"/>
      <c r="AA81" s="25" t="n"/>
      <c r="AB81" s="28">
        <f>IF(NOT(AND($A81&lt;&gt;"",OR($G81="",$G81="Active"))),"",IF(OR(IF(OR(ISNUMBER($V81),$V81="DNA"),$V81,IF(OR(ISNUMBER($U81),$U81="DNA"),$U81,IF(OR(ISNUMBER($T81),$T81="DNA"),$T81,IF(OR(ISNUMBER($S81),$S81="DNA"),$S81,IF(OR(ISNUMBER($R81),$R81="DNA"),$R81,IF(OR(ISNUMBER($Q81),$Q81="DNA"),$Q81,IF(OR(ISNUMBER($N81),$N81="DNA"),$N81,IF(OR(ISNUMBER($M81),$M81="DNA"),$M81,IF(OR(ISNUMBER($L81),$L81="DNA"),$L81,"")))))))))="DNA",AND(ISNUMBER(IF(OR(ISNUMBER($V81),$V81="DNA"),$V81,IF(OR(ISNUMBER($U81),$U81="DNA"),$U81,IF(OR(ISNUMBER($T81),$T81="DNA"),$T81,IF(OR(ISNUMBER($S81),$S81="DNA"),$S81,IF(OR(ISNUMBER($R81),$R81="DNA"),$R81,IF(OR(ISNUMBER($Q81),$Q81="DNA"),$Q81,IF(OR(ISNUMBER($N81),$N81="DNA"),$N81,IF(OR(ISNUMBER($M81),$M81="DNA"),$M81,IF(OR(ISNUMBER($L81),$L81="DNA"),$L81,"")))))))))),IF(OR(ISNUMBER($V81),$V81="DNA"),$V81,IF(OR(ISNUMBER($U81),$U81="DNA"),$U81,IF(OR(ISNUMBER($T81),$T81="DNA"),$T81,IF(OR(ISNUMBER($S81),$S81="DNA"),$S81,IF(OR(ISNUMBER($R81),$R81="DNA"),$R81,IF(OR(ISNUMBER($Q81),$Q81="DNA"),$Q81,IF(OR(ISNUMBER($N81),$N81="DNA"),$N81,IF(OR(ISNUMBER($M81),$M81="DNA"),$M81,IF(OR(ISNUMBER($L81),$L81="DNA"),$L81,"")))))))))&lt;TODAY())),1,0)+ISNUMBER($O81)*($O81&lt;TODAY())+ISNUMBER($P81)*($P81&lt;TODAY())+ISNUMBER($X81)*($X81&lt;TODAY())+ISNUMBER($Y81)*($Y81&lt;TODAY()))</f>
        <v/>
      </c>
    </row>
    <row r="82">
      <c r="A82" s="25" t="n"/>
      <c r="B82" s="26" t="n"/>
      <c r="C82" s="27" t="n"/>
      <c r="D82" s="25" t="n"/>
      <c r="E82" s="25" t="n"/>
      <c r="F82" s="27" t="n"/>
      <c r="G82" s="25" t="n"/>
      <c r="H82" s="28">
        <f>IF(OR(NOT(AND($A82&lt;&gt;"",OR($G82="",$G82="Active"))),$F82=""),"",INT((TODAY()-$F82+280)/7)&amp;"+"&amp;MOD(TODAY()-$F82+280,7))</f>
        <v/>
      </c>
      <c r="I82" s="28">
        <f>IF(NOT(AND($A82&lt;&gt;"",OR($G82="",$G82="Active"))),"",ISNUMBER($L82)*($L82&gt;=TODAY())*($L82&lt;=TODAY()+7)+ISNUMBER($M82)*($M82&gt;=TODAY())*($M82&lt;=TODAY()+7)+ISNUMBER($N82)*($N82&gt;=TODAY())*($N82&lt;=TODAY()+7)+ISNUMBER($Q82)*($Q82&gt;=TODAY())*($Q82&lt;=TODAY()+7)+ISNUMBER($R82)*($R82&gt;=TODAY())*($R82&lt;=TODAY()+7)+ISNUMBER($S82)*($S82&gt;=TODAY())*($S82&lt;=TODAY()+7)+ISNUMBER($T82)*($T82&gt;=TODAY())*($T82&lt;=TODAY()+7)+ISNUMBER($U82)*($U82&gt;=TODAY())*($U82&lt;=TODAY()+7)+ISNUMBER($V82)*($V82&gt;=TODAY())*($V82&lt;=TODAY()+7)+ISNUMBER($O82)*($O82&gt;=TODAY())*($O82&lt;=TODAY()+7)+ISNUMBER($P82)*($P82&gt;=TODAY())*($P82&lt;=TODAY()+7)+ISNUMBER($X82)*($X82&gt;=TODAY())*($X82&lt;=TODAY()+7)+ISNUMBER($Y82)*($Y82&gt;=TODAY())*($Y82&lt;=TODAY()+7))</f>
        <v/>
      </c>
      <c r="J82" s="28">
        <f>IF(NOT(AND($A82&lt;&gt;"",OR($G82="",$G82="Active"))),"",IF($K82&lt;&gt;"",IF($L82=$K82,"Booking",IF($M82=$K82,"16/40",IF($N82=$K82,"25/40",IF($Q82=$K82,"28/40",IF($R82=$K82,"31/40",IF($S82=$K82,"34/40",IF($T82=$K82,"36/40",IF($U82=$K82,"38/40",IF($V82=$K82,"40/40",""))))))))),IF(IF(OR(ISNUMBER($V82),$V82="DNA"),$V82,IF(OR(ISNUMBER($U82),$U82="DNA"),$U82,IF(OR(ISNUMBER($T82),$T82="DNA"),$T82,IF(OR(ISNUMBER($S82),$S82="DNA"),$S82,IF(OR(ISNUMBER($R82),$R82="DNA"),$R82,IF(OR(ISNUMBER($Q82),$Q82="DNA"),$Q82,IF(OR(ISNUMBER($N82),$N82="DNA"),$N82,IF(OR(ISNUMBER($M82),$M82="DNA"),$M82,IF(OR(ISNUMBER($L82),$L82="DNA"),$L82,"")))))))))="DNA","Rebook DNA",IF(ISNUMBER(IF(OR(ISNUMBER($V82),$V82="DNA"),$V82,IF(OR(ISNUMBER($U82),$U82="DNA"),$U82,IF(OR(ISNUMBER($T82),$T82="DNA"),$T82,IF(OR(ISNUMBER($S82),$S82="DNA"),$S82,IF(OR(ISNUMBER($R82),$R82="DNA"),$R82,IF(OR(ISNUMBER($Q82),$Q82="DNA"),$Q82,IF(OR(ISNUMBER($N82),$N82="DNA"),$N82,IF(OR(ISNUMBER($M82),$M82="DNA"),$M82,IF(OR(ISNUMBER($L82),$L82="DNA"),$L82,"")))))))))),IF(ISNUMBER($V82),"Update status","Missed/not booked?"),""))))</f>
        <v/>
      </c>
      <c r="K82" s="29">
        <f>IF(NOT(AND($A82&lt;&gt;"",OR($G82="",$G82="Active"))),"",IF(MIN(IF(AND(ISNUMBER($L82),$L82&gt;=TODAY()),$L82,99999),IF(AND(ISNUMBER($M82),$M82&gt;=TODAY()),$M82,99999),IF(AND(ISNUMBER($N82),$N82&gt;=TODAY()),$N82,99999),IF(AND(ISNUMBER($Q82),$Q82&gt;=TODAY()),$Q82,99999),IF(AND(ISNUMBER($R82),$R82&gt;=TODAY()),$R82,99999),IF(AND(ISNUMBER($S82),$S82&gt;=TODAY()),$S82,99999),IF(AND(ISNUMBER($T82),$T82&gt;=TODAY()),$T82,99999),IF(AND(ISNUMBER($U82),$U82&gt;=TODAY()),$U82,99999),IF(AND(ISNUMBER($V82),$V82&gt;=TODAY()),$V82,99999))=99999,"",MIN(IF(AND(ISNUMBER($L82),$L82&gt;=TODAY()),$L82,99999),IF(AND(ISNUMBER($M82),$M82&gt;=TODAY()),$M82,99999),IF(AND(ISNUMBER($N82),$N82&gt;=TODAY()),$N82,99999),IF(AND(ISNUMBER($Q82),$Q82&gt;=TODAY()),$Q82,99999),IF(AND(ISNUMBER($R82),$R82&gt;=TODAY()),$R82,99999),IF(AND(ISNUMBER($S82),$S82&gt;=TODAY()),$S82,99999),IF(AND(ISNUMBER($T82),$T82&gt;=TODAY()),$T82,99999),IF(AND(ISNUMBER($U82),$U82&gt;=TODAY()),$U82,99999),IF(AND(ISNUMBER($V82),$V82&gt;=TODAY()),$V82,99999))))</f>
        <v/>
      </c>
      <c r="L82" s="27" t="n"/>
      <c r="M82" s="27" t="n"/>
      <c r="N82" s="27" t="n"/>
      <c r="O82" s="27" t="n"/>
      <c r="P82" s="27" t="n"/>
      <c r="Q82" s="27" t="n"/>
      <c r="R82" s="27" t="n"/>
      <c r="S82" s="27" t="n"/>
      <c r="T82" s="27" t="n"/>
      <c r="U82" s="27" t="n"/>
      <c r="V82" s="27" t="n"/>
      <c r="W82" s="27" t="n"/>
      <c r="X82" s="27" t="n"/>
      <c r="Y82" s="27" t="n"/>
      <c r="Z82" s="30" t="n"/>
      <c r="AA82" s="25" t="n"/>
      <c r="AB82" s="28">
        <f>IF(NOT(AND($A82&lt;&gt;"",OR($G82="",$G82="Active"))),"",IF(OR(IF(OR(ISNUMBER($V82),$V82="DNA"),$V82,IF(OR(ISNUMBER($U82),$U82="DNA"),$U82,IF(OR(ISNUMBER($T82),$T82="DNA"),$T82,IF(OR(ISNUMBER($S82),$S82="DNA"),$S82,IF(OR(ISNUMBER($R82),$R82="DNA"),$R82,IF(OR(ISNUMBER($Q82),$Q82="DNA"),$Q82,IF(OR(ISNUMBER($N82),$N82="DNA"),$N82,IF(OR(ISNUMBER($M82),$M82="DNA"),$M82,IF(OR(ISNUMBER($L82),$L82="DNA"),$L82,"")))))))))="DNA",AND(ISNUMBER(IF(OR(ISNUMBER($V82),$V82="DNA"),$V82,IF(OR(ISNUMBER($U82),$U82="DNA"),$U82,IF(OR(ISNUMBER($T82),$T82="DNA"),$T82,IF(OR(ISNUMBER($S82),$S82="DNA"),$S82,IF(OR(ISNUMBER($R82),$R82="DNA"),$R82,IF(OR(ISNUMBER($Q82),$Q82="DNA"),$Q82,IF(OR(ISNUMBER($N82),$N82="DNA"),$N82,IF(OR(ISNUMBER($M82),$M82="DNA"),$M82,IF(OR(ISNUMBER($L82),$L82="DNA"),$L82,"")))))))))),IF(OR(ISNUMBER($V82),$V82="DNA"),$V82,IF(OR(ISNUMBER($U82),$U82="DNA"),$U82,IF(OR(ISNUMBER($T82),$T82="DNA"),$T82,IF(OR(ISNUMBER($S82),$S82="DNA"),$S82,IF(OR(ISNUMBER($R82),$R82="DNA"),$R82,IF(OR(ISNUMBER($Q82),$Q82="DNA"),$Q82,IF(OR(ISNUMBER($N82),$N82="DNA"),$N82,IF(OR(ISNUMBER($M82),$M82="DNA"),$M82,IF(OR(ISNUMBER($L82),$L82="DNA"),$L82,"")))))))))&lt;TODAY())),1,0)+ISNUMBER($O82)*($O82&lt;TODAY())+ISNUMBER($P82)*($P82&lt;TODAY())+ISNUMBER($X82)*($X82&lt;TODAY())+ISNUMBER($Y82)*($Y82&lt;TODAY()))</f>
        <v/>
      </c>
    </row>
    <row r="83">
      <c r="A83" s="25" t="n"/>
      <c r="B83" s="26" t="n"/>
      <c r="C83" s="27" t="n"/>
      <c r="D83" s="25" t="n"/>
      <c r="E83" s="25" t="n"/>
      <c r="F83" s="27" t="n"/>
      <c r="G83" s="25" t="n"/>
      <c r="H83" s="28">
        <f>IF(OR(NOT(AND($A83&lt;&gt;"",OR($G83="",$G83="Active"))),$F83=""),"",INT((TODAY()-$F83+280)/7)&amp;"+"&amp;MOD(TODAY()-$F83+280,7))</f>
        <v/>
      </c>
      <c r="I83" s="28">
        <f>IF(NOT(AND($A83&lt;&gt;"",OR($G83="",$G83="Active"))),"",ISNUMBER($L83)*($L83&gt;=TODAY())*($L83&lt;=TODAY()+7)+ISNUMBER($M83)*($M83&gt;=TODAY())*($M83&lt;=TODAY()+7)+ISNUMBER($N83)*($N83&gt;=TODAY())*($N83&lt;=TODAY()+7)+ISNUMBER($Q83)*($Q83&gt;=TODAY())*($Q83&lt;=TODAY()+7)+ISNUMBER($R83)*($R83&gt;=TODAY())*($R83&lt;=TODAY()+7)+ISNUMBER($S83)*($S83&gt;=TODAY())*($S83&lt;=TODAY()+7)+ISNUMBER($T83)*($T83&gt;=TODAY())*($T83&lt;=TODAY()+7)+ISNUMBER($U83)*($U83&gt;=TODAY())*($U83&lt;=TODAY()+7)+ISNUMBER($V83)*($V83&gt;=TODAY())*($V83&lt;=TODAY()+7)+ISNUMBER($O83)*($O83&gt;=TODAY())*($O83&lt;=TODAY()+7)+ISNUMBER($P83)*($P83&gt;=TODAY())*($P83&lt;=TODAY()+7)+ISNUMBER($X83)*($X83&gt;=TODAY())*($X83&lt;=TODAY()+7)+ISNUMBER($Y83)*($Y83&gt;=TODAY())*($Y83&lt;=TODAY()+7))</f>
        <v/>
      </c>
      <c r="J83" s="28">
        <f>IF(NOT(AND($A83&lt;&gt;"",OR($G83="",$G83="Active"))),"",IF($K83&lt;&gt;"",IF($L83=$K83,"Booking",IF($M83=$K83,"16/40",IF($N83=$K83,"25/40",IF($Q83=$K83,"28/40",IF($R83=$K83,"31/40",IF($S83=$K83,"34/40",IF($T83=$K83,"36/40",IF($U83=$K83,"38/40",IF($V83=$K83,"40/40",""))))))))),IF(IF(OR(ISNUMBER($V83),$V83="DNA"),$V83,IF(OR(ISNUMBER($U83),$U83="DNA"),$U83,IF(OR(ISNUMBER($T83),$T83="DNA"),$T83,IF(OR(ISNUMBER($S83),$S83="DNA"),$S83,IF(OR(ISNUMBER($R83),$R83="DNA"),$R83,IF(OR(ISNUMBER($Q83),$Q83="DNA"),$Q83,IF(OR(ISNUMBER($N83),$N83="DNA"),$N83,IF(OR(ISNUMBER($M83),$M83="DNA"),$M83,IF(OR(ISNUMBER($L83),$L83="DNA"),$L83,"")))))))))="DNA","Rebook DNA",IF(ISNUMBER(IF(OR(ISNUMBER($V83),$V83="DNA"),$V83,IF(OR(ISNUMBER($U83),$U83="DNA"),$U83,IF(OR(ISNUMBER($T83),$T83="DNA"),$T83,IF(OR(ISNUMBER($S83),$S83="DNA"),$S83,IF(OR(ISNUMBER($R83),$R83="DNA"),$R83,IF(OR(ISNUMBER($Q83),$Q83="DNA"),$Q83,IF(OR(ISNUMBER($N83),$N83="DNA"),$N83,IF(OR(ISNUMBER($M83),$M83="DNA"),$M83,IF(OR(ISNUMBER($L83),$L83="DNA"),$L83,"")))))))))),IF(ISNUMBER($V83),"Update status","Missed/not booked?"),""))))</f>
        <v/>
      </c>
      <c r="K83" s="29">
        <f>IF(NOT(AND($A83&lt;&gt;"",OR($G83="",$G83="Active"))),"",IF(MIN(IF(AND(ISNUMBER($L83),$L83&gt;=TODAY()),$L83,99999),IF(AND(ISNUMBER($M83),$M83&gt;=TODAY()),$M83,99999),IF(AND(ISNUMBER($N83),$N83&gt;=TODAY()),$N83,99999),IF(AND(ISNUMBER($Q83),$Q83&gt;=TODAY()),$Q83,99999),IF(AND(ISNUMBER($R83),$R83&gt;=TODAY()),$R83,99999),IF(AND(ISNUMBER($S83),$S83&gt;=TODAY()),$S83,99999),IF(AND(ISNUMBER($T83),$T83&gt;=TODAY()),$T83,99999),IF(AND(ISNUMBER($U83),$U83&gt;=TODAY()),$U83,99999),IF(AND(ISNUMBER($V83),$V83&gt;=TODAY()),$V83,99999))=99999,"",MIN(IF(AND(ISNUMBER($L83),$L83&gt;=TODAY()),$L83,99999),IF(AND(ISNUMBER($M83),$M83&gt;=TODAY()),$M83,99999),IF(AND(ISNUMBER($N83),$N83&gt;=TODAY()),$N83,99999),IF(AND(ISNUMBER($Q83),$Q83&gt;=TODAY()),$Q83,99999),IF(AND(ISNUMBER($R83),$R83&gt;=TODAY()),$R83,99999),IF(AND(ISNUMBER($S83),$S83&gt;=TODAY()),$S83,99999),IF(AND(ISNUMBER($T83),$T83&gt;=TODAY()),$T83,99999),IF(AND(ISNUMBER($U83),$U83&gt;=TODAY()),$U83,99999),IF(AND(ISNUMBER($V83),$V83&gt;=TODAY()),$V83,99999))))</f>
        <v/>
      </c>
      <c r="L83" s="27" t="n"/>
      <c r="M83" s="27" t="n"/>
      <c r="N83" s="27" t="n"/>
      <c r="O83" s="27" t="n"/>
      <c r="P83" s="27" t="n"/>
      <c r="Q83" s="27" t="n"/>
      <c r="R83" s="27" t="n"/>
      <c r="S83" s="27" t="n"/>
      <c r="T83" s="27" t="n"/>
      <c r="U83" s="27" t="n"/>
      <c r="V83" s="27" t="n"/>
      <c r="W83" s="27" t="n"/>
      <c r="X83" s="27" t="n"/>
      <c r="Y83" s="27" t="n"/>
      <c r="Z83" s="30" t="n"/>
      <c r="AA83" s="25" t="n"/>
      <c r="AB83" s="28">
        <f>IF(NOT(AND($A83&lt;&gt;"",OR($G83="",$G83="Active"))),"",IF(OR(IF(OR(ISNUMBER($V83),$V83="DNA"),$V83,IF(OR(ISNUMBER($U83),$U83="DNA"),$U83,IF(OR(ISNUMBER($T83),$T83="DNA"),$T83,IF(OR(ISNUMBER($S83),$S83="DNA"),$S83,IF(OR(ISNUMBER($R83),$R83="DNA"),$R83,IF(OR(ISNUMBER($Q83),$Q83="DNA"),$Q83,IF(OR(ISNUMBER($N83),$N83="DNA"),$N83,IF(OR(ISNUMBER($M83),$M83="DNA"),$M83,IF(OR(ISNUMBER($L83),$L83="DNA"),$L83,"")))))))))="DNA",AND(ISNUMBER(IF(OR(ISNUMBER($V83),$V83="DNA"),$V83,IF(OR(ISNUMBER($U83),$U83="DNA"),$U83,IF(OR(ISNUMBER($T83),$T83="DNA"),$T83,IF(OR(ISNUMBER($S83),$S83="DNA"),$S83,IF(OR(ISNUMBER($R83),$R83="DNA"),$R83,IF(OR(ISNUMBER($Q83),$Q83="DNA"),$Q83,IF(OR(ISNUMBER($N83),$N83="DNA"),$N83,IF(OR(ISNUMBER($M83),$M83="DNA"),$M83,IF(OR(ISNUMBER($L83),$L83="DNA"),$L83,"")))))))))),IF(OR(ISNUMBER($V83),$V83="DNA"),$V83,IF(OR(ISNUMBER($U83),$U83="DNA"),$U83,IF(OR(ISNUMBER($T83),$T83="DNA"),$T83,IF(OR(ISNUMBER($S83),$S83="DNA"),$S83,IF(OR(ISNUMBER($R83),$R83="DNA"),$R83,IF(OR(ISNUMBER($Q83),$Q83="DNA"),$Q83,IF(OR(ISNUMBER($N83),$N83="DNA"),$N83,IF(OR(ISNUMBER($M83),$M83="DNA"),$M83,IF(OR(ISNUMBER($L83),$L83="DNA"),$L83,"")))))))))&lt;TODAY())),1,0)+ISNUMBER($O83)*($O83&lt;TODAY())+ISNUMBER($P83)*($P83&lt;TODAY())+ISNUMBER($X83)*($X83&lt;TODAY())+ISNUMBER($Y83)*($Y83&lt;TODAY()))</f>
        <v/>
      </c>
    </row>
    <row r="84">
      <c r="A84" s="25" t="n"/>
      <c r="B84" s="26" t="n"/>
      <c r="C84" s="27" t="n"/>
      <c r="D84" s="25" t="n"/>
      <c r="E84" s="25" t="n"/>
      <c r="F84" s="27" t="n"/>
      <c r="G84" s="25" t="n"/>
      <c r="H84" s="28">
        <f>IF(OR(NOT(AND($A84&lt;&gt;"",OR($G84="",$G84="Active"))),$F84=""),"",INT((TODAY()-$F84+280)/7)&amp;"+"&amp;MOD(TODAY()-$F84+280,7))</f>
        <v/>
      </c>
      <c r="I84" s="28">
        <f>IF(NOT(AND($A84&lt;&gt;"",OR($G84="",$G84="Active"))),"",ISNUMBER($L84)*($L84&gt;=TODAY())*($L84&lt;=TODAY()+7)+ISNUMBER($M84)*($M84&gt;=TODAY())*($M84&lt;=TODAY()+7)+ISNUMBER($N84)*($N84&gt;=TODAY())*($N84&lt;=TODAY()+7)+ISNUMBER($Q84)*($Q84&gt;=TODAY())*($Q84&lt;=TODAY()+7)+ISNUMBER($R84)*($R84&gt;=TODAY())*($R84&lt;=TODAY()+7)+ISNUMBER($S84)*($S84&gt;=TODAY())*($S84&lt;=TODAY()+7)+ISNUMBER($T84)*($T84&gt;=TODAY())*($T84&lt;=TODAY()+7)+ISNUMBER($U84)*($U84&gt;=TODAY())*($U84&lt;=TODAY()+7)+ISNUMBER($V84)*($V84&gt;=TODAY())*($V84&lt;=TODAY()+7)+ISNUMBER($O84)*($O84&gt;=TODAY())*($O84&lt;=TODAY()+7)+ISNUMBER($P84)*($P84&gt;=TODAY())*($P84&lt;=TODAY()+7)+ISNUMBER($X84)*($X84&gt;=TODAY())*($X84&lt;=TODAY()+7)+ISNUMBER($Y84)*($Y84&gt;=TODAY())*($Y84&lt;=TODAY()+7))</f>
        <v/>
      </c>
      <c r="J84" s="28">
        <f>IF(NOT(AND($A84&lt;&gt;"",OR($G84="",$G84="Active"))),"",IF($K84&lt;&gt;"",IF($L84=$K84,"Booking",IF($M84=$K84,"16/40",IF($N84=$K84,"25/40",IF($Q84=$K84,"28/40",IF($R84=$K84,"31/40",IF($S84=$K84,"34/40",IF($T84=$K84,"36/40",IF($U84=$K84,"38/40",IF($V84=$K84,"40/40",""))))))))),IF(IF(OR(ISNUMBER($V84),$V84="DNA"),$V84,IF(OR(ISNUMBER($U84),$U84="DNA"),$U84,IF(OR(ISNUMBER($T84),$T84="DNA"),$T84,IF(OR(ISNUMBER($S84),$S84="DNA"),$S84,IF(OR(ISNUMBER($R84),$R84="DNA"),$R84,IF(OR(ISNUMBER($Q84),$Q84="DNA"),$Q84,IF(OR(ISNUMBER($N84),$N84="DNA"),$N84,IF(OR(ISNUMBER($M84),$M84="DNA"),$M84,IF(OR(ISNUMBER($L84),$L84="DNA"),$L84,"")))))))))="DNA","Rebook DNA",IF(ISNUMBER(IF(OR(ISNUMBER($V84),$V84="DNA"),$V84,IF(OR(ISNUMBER($U84),$U84="DNA"),$U84,IF(OR(ISNUMBER($T84),$T84="DNA"),$T84,IF(OR(ISNUMBER($S84),$S84="DNA"),$S84,IF(OR(ISNUMBER($R84),$R84="DNA"),$R84,IF(OR(ISNUMBER($Q84),$Q84="DNA"),$Q84,IF(OR(ISNUMBER($N84),$N84="DNA"),$N84,IF(OR(ISNUMBER($M84),$M84="DNA"),$M84,IF(OR(ISNUMBER($L84),$L84="DNA"),$L84,"")))))))))),IF(ISNUMBER($V84),"Update status","Missed/not booked?"),""))))</f>
        <v/>
      </c>
      <c r="K84" s="29">
        <f>IF(NOT(AND($A84&lt;&gt;"",OR($G84="",$G84="Active"))),"",IF(MIN(IF(AND(ISNUMBER($L84),$L84&gt;=TODAY()),$L84,99999),IF(AND(ISNUMBER($M84),$M84&gt;=TODAY()),$M84,99999),IF(AND(ISNUMBER($N84),$N84&gt;=TODAY()),$N84,99999),IF(AND(ISNUMBER($Q84),$Q84&gt;=TODAY()),$Q84,99999),IF(AND(ISNUMBER($R84),$R84&gt;=TODAY()),$R84,99999),IF(AND(ISNUMBER($S84),$S84&gt;=TODAY()),$S84,99999),IF(AND(ISNUMBER($T84),$T84&gt;=TODAY()),$T84,99999),IF(AND(ISNUMBER($U84),$U84&gt;=TODAY()),$U84,99999),IF(AND(ISNUMBER($V84),$V84&gt;=TODAY()),$V84,99999))=99999,"",MIN(IF(AND(ISNUMBER($L84),$L84&gt;=TODAY()),$L84,99999),IF(AND(ISNUMBER($M84),$M84&gt;=TODAY()),$M84,99999),IF(AND(ISNUMBER($N84),$N84&gt;=TODAY()),$N84,99999),IF(AND(ISNUMBER($Q84),$Q84&gt;=TODAY()),$Q84,99999),IF(AND(ISNUMBER($R84),$R84&gt;=TODAY()),$R84,99999),IF(AND(ISNUMBER($S84),$S84&gt;=TODAY()),$S84,99999),IF(AND(ISNUMBER($T84),$T84&gt;=TODAY()),$T84,99999),IF(AND(ISNUMBER($U84),$U84&gt;=TODAY()),$U84,99999),IF(AND(ISNUMBER($V84),$V84&gt;=TODAY()),$V84,99999))))</f>
        <v/>
      </c>
      <c r="L84" s="27" t="n"/>
      <c r="M84" s="27" t="n"/>
      <c r="N84" s="27" t="n"/>
      <c r="O84" s="27" t="n"/>
      <c r="P84" s="27" t="n"/>
      <c r="Q84" s="27" t="n"/>
      <c r="R84" s="27" t="n"/>
      <c r="S84" s="27" t="n"/>
      <c r="T84" s="27" t="n"/>
      <c r="U84" s="27" t="n"/>
      <c r="V84" s="27" t="n"/>
      <c r="W84" s="27" t="n"/>
      <c r="X84" s="27" t="n"/>
      <c r="Y84" s="27" t="n"/>
      <c r="Z84" s="30" t="n"/>
      <c r="AA84" s="25" t="n"/>
      <c r="AB84" s="28">
        <f>IF(NOT(AND($A84&lt;&gt;"",OR($G84="",$G84="Active"))),"",IF(OR(IF(OR(ISNUMBER($V84),$V84="DNA"),$V84,IF(OR(ISNUMBER($U84),$U84="DNA"),$U84,IF(OR(ISNUMBER($T84),$T84="DNA"),$T84,IF(OR(ISNUMBER($S84),$S84="DNA"),$S84,IF(OR(ISNUMBER($R84),$R84="DNA"),$R84,IF(OR(ISNUMBER($Q84),$Q84="DNA"),$Q84,IF(OR(ISNUMBER($N84),$N84="DNA"),$N84,IF(OR(ISNUMBER($M84),$M84="DNA"),$M84,IF(OR(ISNUMBER($L84),$L84="DNA"),$L84,"")))))))))="DNA",AND(ISNUMBER(IF(OR(ISNUMBER($V84),$V84="DNA"),$V84,IF(OR(ISNUMBER($U84),$U84="DNA"),$U84,IF(OR(ISNUMBER($T84),$T84="DNA"),$T84,IF(OR(ISNUMBER($S84),$S84="DNA"),$S84,IF(OR(ISNUMBER($R84),$R84="DNA"),$R84,IF(OR(ISNUMBER($Q84),$Q84="DNA"),$Q84,IF(OR(ISNUMBER($N84),$N84="DNA"),$N84,IF(OR(ISNUMBER($M84),$M84="DNA"),$M84,IF(OR(ISNUMBER($L84),$L84="DNA"),$L84,"")))))))))),IF(OR(ISNUMBER($V84),$V84="DNA"),$V84,IF(OR(ISNUMBER($U84),$U84="DNA"),$U84,IF(OR(ISNUMBER($T84),$T84="DNA"),$T84,IF(OR(ISNUMBER($S84),$S84="DNA"),$S84,IF(OR(ISNUMBER($R84),$R84="DNA"),$R84,IF(OR(ISNUMBER($Q84),$Q84="DNA"),$Q84,IF(OR(ISNUMBER($N84),$N84="DNA"),$N84,IF(OR(ISNUMBER($M84),$M84="DNA"),$M84,IF(OR(ISNUMBER($L84),$L84="DNA"),$L84,"")))))))))&lt;TODAY())),1,0)+ISNUMBER($O84)*($O84&lt;TODAY())+ISNUMBER($P84)*($P84&lt;TODAY())+ISNUMBER($X84)*($X84&lt;TODAY())+ISNUMBER($Y84)*($Y84&lt;TODAY()))</f>
        <v/>
      </c>
    </row>
    <row r="85">
      <c r="A85" s="25" t="n"/>
      <c r="B85" s="26" t="n"/>
      <c r="C85" s="27" t="n"/>
      <c r="D85" s="25" t="n"/>
      <c r="E85" s="25" t="n"/>
      <c r="F85" s="27" t="n"/>
      <c r="G85" s="25" t="n"/>
      <c r="H85" s="28">
        <f>IF(OR(NOT(AND($A85&lt;&gt;"",OR($G85="",$G85="Active"))),$F85=""),"",INT((TODAY()-$F85+280)/7)&amp;"+"&amp;MOD(TODAY()-$F85+280,7))</f>
        <v/>
      </c>
      <c r="I85" s="28">
        <f>IF(NOT(AND($A85&lt;&gt;"",OR($G85="",$G85="Active"))),"",ISNUMBER($L85)*($L85&gt;=TODAY())*($L85&lt;=TODAY()+7)+ISNUMBER($M85)*($M85&gt;=TODAY())*($M85&lt;=TODAY()+7)+ISNUMBER($N85)*($N85&gt;=TODAY())*($N85&lt;=TODAY()+7)+ISNUMBER($Q85)*($Q85&gt;=TODAY())*($Q85&lt;=TODAY()+7)+ISNUMBER($R85)*($R85&gt;=TODAY())*($R85&lt;=TODAY()+7)+ISNUMBER($S85)*($S85&gt;=TODAY())*($S85&lt;=TODAY()+7)+ISNUMBER($T85)*($T85&gt;=TODAY())*($T85&lt;=TODAY()+7)+ISNUMBER($U85)*($U85&gt;=TODAY())*($U85&lt;=TODAY()+7)+ISNUMBER($V85)*($V85&gt;=TODAY())*($V85&lt;=TODAY()+7)+ISNUMBER($O85)*($O85&gt;=TODAY())*($O85&lt;=TODAY()+7)+ISNUMBER($P85)*($P85&gt;=TODAY())*($P85&lt;=TODAY()+7)+ISNUMBER($X85)*($X85&gt;=TODAY())*($X85&lt;=TODAY()+7)+ISNUMBER($Y85)*($Y85&gt;=TODAY())*($Y85&lt;=TODAY()+7))</f>
        <v/>
      </c>
      <c r="J85" s="28">
        <f>IF(NOT(AND($A85&lt;&gt;"",OR($G85="",$G85="Active"))),"",IF($K85&lt;&gt;"",IF($L85=$K85,"Booking",IF($M85=$K85,"16/40",IF($N85=$K85,"25/40",IF($Q85=$K85,"28/40",IF($R85=$K85,"31/40",IF($S85=$K85,"34/40",IF($T85=$K85,"36/40",IF($U85=$K85,"38/40",IF($V85=$K85,"40/40",""))))))))),IF(IF(OR(ISNUMBER($V85),$V85="DNA"),$V85,IF(OR(ISNUMBER($U85),$U85="DNA"),$U85,IF(OR(ISNUMBER($T85),$T85="DNA"),$T85,IF(OR(ISNUMBER($S85),$S85="DNA"),$S85,IF(OR(ISNUMBER($R85),$R85="DNA"),$R85,IF(OR(ISNUMBER($Q85),$Q85="DNA"),$Q85,IF(OR(ISNUMBER($N85),$N85="DNA"),$N85,IF(OR(ISNUMBER($M85),$M85="DNA"),$M85,IF(OR(ISNUMBER($L85),$L85="DNA"),$L85,"")))))))))="DNA","Rebook DNA",IF(ISNUMBER(IF(OR(ISNUMBER($V85),$V85="DNA"),$V85,IF(OR(ISNUMBER($U85),$U85="DNA"),$U85,IF(OR(ISNUMBER($T85),$T85="DNA"),$T85,IF(OR(ISNUMBER($S85),$S85="DNA"),$S85,IF(OR(ISNUMBER($R85),$R85="DNA"),$R85,IF(OR(ISNUMBER($Q85),$Q85="DNA"),$Q85,IF(OR(ISNUMBER($N85),$N85="DNA"),$N85,IF(OR(ISNUMBER($M85),$M85="DNA"),$M85,IF(OR(ISNUMBER($L85),$L85="DNA"),$L85,"")))))))))),IF(ISNUMBER($V85),"Update status","Missed/not booked?"),""))))</f>
        <v/>
      </c>
      <c r="K85" s="29">
        <f>IF(NOT(AND($A85&lt;&gt;"",OR($G85="",$G85="Active"))),"",IF(MIN(IF(AND(ISNUMBER($L85),$L85&gt;=TODAY()),$L85,99999),IF(AND(ISNUMBER($M85),$M85&gt;=TODAY()),$M85,99999),IF(AND(ISNUMBER($N85),$N85&gt;=TODAY()),$N85,99999),IF(AND(ISNUMBER($Q85),$Q85&gt;=TODAY()),$Q85,99999),IF(AND(ISNUMBER($R85),$R85&gt;=TODAY()),$R85,99999),IF(AND(ISNUMBER($S85),$S85&gt;=TODAY()),$S85,99999),IF(AND(ISNUMBER($T85),$T85&gt;=TODAY()),$T85,99999),IF(AND(ISNUMBER($U85),$U85&gt;=TODAY()),$U85,99999),IF(AND(ISNUMBER($V85),$V85&gt;=TODAY()),$V85,99999))=99999,"",MIN(IF(AND(ISNUMBER($L85),$L85&gt;=TODAY()),$L85,99999),IF(AND(ISNUMBER($M85),$M85&gt;=TODAY()),$M85,99999),IF(AND(ISNUMBER($N85),$N85&gt;=TODAY()),$N85,99999),IF(AND(ISNUMBER($Q85),$Q85&gt;=TODAY()),$Q85,99999),IF(AND(ISNUMBER($R85),$R85&gt;=TODAY()),$R85,99999),IF(AND(ISNUMBER($S85),$S85&gt;=TODAY()),$S85,99999),IF(AND(ISNUMBER($T85),$T85&gt;=TODAY()),$T85,99999),IF(AND(ISNUMBER($U85),$U85&gt;=TODAY()),$U85,99999),IF(AND(ISNUMBER($V85),$V85&gt;=TODAY()),$V85,99999))))</f>
        <v/>
      </c>
      <c r="L85" s="27" t="n"/>
      <c r="M85" s="27" t="n"/>
      <c r="N85" s="27" t="n"/>
      <c r="O85" s="27" t="n"/>
      <c r="P85" s="27" t="n"/>
      <c r="Q85" s="27" t="n"/>
      <c r="R85" s="27" t="n"/>
      <c r="S85" s="27" t="n"/>
      <c r="T85" s="27" t="n"/>
      <c r="U85" s="27" t="n"/>
      <c r="V85" s="27" t="n"/>
      <c r="W85" s="27" t="n"/>
      <c r="X85" s="27" t="n"/>
      <c r="Y85" s="27" t="n"/>
      <c r="Z85" s="30" t="n"/>
      <c r="AA85" s="25" t="n"/>
      <c r="AB85" s="28">
        <f>IF(NOT(AND($A85&lt;&gt;"",OR($G85="",$G85="Active"))),"",IF(OR(IF(OR(ISNUMBER($V85),$V85="DNA"),$V85,IF(OR(ISNUMBER($U85),$U85="DNA"),$U85,IF(OR(ISNUMBER($T85),$T85="DNA"),$T85,IF(OR(ISNUMBER($S85),$S85="DNA"),$S85,IF(OR(ISNUMBER($R85),$R85="DNA"),$R85,IF(OR(ISNUMBER($Q85),$Q85="DNA"),$Q85,IF(OR(ISNUMBER($N85),$N85="DNA"),$N85,IF(OR(ISNUMBER($M85),$M85="DNA"),$M85,IF(OR(ISNUMBER($L85),$L85="DNA"),$L85,"")))))))))="DNA",AND(ISNUMBER(IF(OR(ISNUMBER($V85),$V85="DNA"),$V85,IF(OR(ISNUMBER($U85),$U85="DNA"),$U85,IF(OR(ISNUMBER($T85),$T85="DNA"),$T85,IF(OR(ISNUMBER($S85),$S85="DNA"),$S85,IF(OR(ISNUMBER($R85),$R85="DNA"),$R85,IF(OR(ISNUMBER($Q85),$Q85="DNA"),$Q85,IF(OR(ISNUMBER($N85),$N85="DNA"),$N85,IF(OR(ISNUMBER($M85),$M85="DNA"),$M85,IF(OR(ISNUMBER($L85),$L85="DNA"),$L85,"")))))))))),IF(OR(ISNUMBER($V85),$V85="DNA"),$V85,IF(OR(ISNUMBER($U85),$U85="DNA"),$U85,IF(OR(ISNUMBER($T85),$T85="DNA"),$T85,IF(OR(ISNUMBER($S85),$S85="DNA"),$S85,IF(OR(ISNUMBER($R85),$R85="DNA"),$R85,IF(OR(ISNUMBER($Q85),$Q85="DNA"),$Q85,IF(OR(ISNUMBER($N85),$N85="DNA"),$N85,IF(OR(ISNUMBER($M85),$M85="DNA"),$M85,IF(OR(ISNUMBER($L85),$L85="DNA"),$L85,"")))))))))&lt;TODAY())),1,0)+ISNUMBER($O85)*($O85&lt;TODAY())+ISNUMBER($P85)*($P85&lt;TODAY())+ISNUMBER($X85)*($X85&lt;TODAY())+ISNUMBER($Y85)*($Y85&lt;TODAY()))</f>
        <v/>
      </c>
    </row>
    <row r="86">
      <c r="A86" s="25" t="n"/>
      <c r="B86" s="26" t="n"/>
      <c r="C86" s="27" t="n"/>
      <c r="D86" s="25" t="n"/>
      <c r="E86" s="25" t="n"/>
      <c r="F86" s="27" t="n"/>
      <c r="G86" s="25" t="n"/>
      <c r="H86" s="28">
        <f>IF(OR(NOT(AND($A86&lt;&gt;"",OR($G86="",$G86="Active"))),$F86=""),"",INT((TODAY()-$F86+280)/7)&amp;"+"&amp;MOD(TODAY()-$F86+280,7))</f>
        <v/>
      </c>
      <c r="I86" s="28">
        <f>IF(NOT(AND($A86&lt;&gt;"",OR($G86="",$G86="Active"))),"",ISNUMBER($L86)*($L86&gt;=TODAY())*($L86&lt;=TODAY()+7)+ISNUMBER($M86)*($M86&gt;=TODAY())*($M86&lt;=TODAY()+7)+ISNUMBER($N86)*($N86&gt;=TODAY())*($N86&lt;=TODAY()+7)+ISNUMBER($Q86)*($Q86&gt;=TODAY())*($Q86&lt;=TODAY()+7)+ISNUMBER($R86)*($R86&gt;=TODAY())*($R86&lt;=TODAY()+7)+ISNUMBER($S86)*($S86&gt;=TODAY())*($S86&lt;=TODAY()+7)+ISNUMBER($T86)*($T86&gt;=TODAY())*($T86&lt;=TODAY()+7)+ISNUMBER($U86)*($U86&gt;=TODAY())*($U86&lt;=TODAY()+7)+ISNUMBER($V86)*($V86&gt;=TODAY())*($V86&lt;=TODAY()+7)+ISNUMBER($O86)*($O86&gt;=TODAY())*($O86&lt;=TODAY()+7)+ISNUMBER($P86)*($P86&gt;=TODAY())*($P86&lt;=TODAY()+7)+ISNUMBER($X86)*($X86&gt;=TODAY())*($X86&lt;=TODAY()+7)+ISNUMBER($Y86)*($Y86&gt;=TODAY())*($Y86&lt;=TODAY()+7))</f>
        <v/>
      </c>
      <c r="J86" s="28">
        <f>IF(NOT(AND($A86&lt;&gt;"",OR($G86="",$G86="Active"))),"",IF($K86&lt;&gt;"",IF($L86=$K86,"Booking",IF($M86=$K86,"16/40",IF($N86=$K86,"25/40",IF($Q86=$K86,"28/40",IF($R86=$K86,"31/40",IF($S86=$K86,"34/40",IF($T86=$K86,"36/40",IF($U86=$K86,"38/40",IF($V86=$K86,"40/40",""))))))))),IF(IF(OR(ISNUMBER($V86),$V86="DNA"),$V86,IF(OR(ISNUMBER($U86),$U86="DNA"),$U86,IF(OR(ISNUMBER($T86),$T86="DNA"),$T86,IF(OR(ISNUMBER($S86),$S86="DNA"),$S86,IF(OR(ISNUMBER($R86),$R86="DNA"),$R86,IF(OR(ISNUMBER($Q86),$Q86="DNA"),$Q86,IF(OR(ISNUMBER($N86),$N86="DNA"),$N86,IF(OR(ISNUMBER($M86),$M86="DNA"),$M86,IF(OR(ISNUMBER($L86),$L86="DNA"),$L86,"")))))))))="DNA","Rebook DNA",IF(ISNUMBER(IF(OR(ISNUMBER($V86),$V86="DNA"),$V86,IF(OR(ISNUMBER($U86),$U86="DNA"),$U86,IF(OR(ISNUMBER($T86),$T86="DNA"),$T86,IF(OR(ISNUMBER($S86),$S86="DNA"),$S86,IF(OR(ISNUMBER($R86),$R86="DNA"),$R86,IF(OR(ISNUMBER($Q86),$Q86="DNA"),$Q86,IF(OR(ISNUMBER($N86),$N86="DNA"),$N86,IF(OR(ISNUMBER($M86),$M86="DNA"),$M86,IF(OR(ISNUMBER($L86),$L86="DNA"),$L86,"")))))))))),IF(ISNUMBER($V86),"Update status","Missed/not booked?"),""))))</f>
        <v/>
      </c>
      <c r="K86" s="29">
        <f>IF(NOT(AND($A86&lt;&gt;"",OR($G86="",$G86="Active"))),"",IF(MIN(IF(AND(ISNUMBER($L86),$L86&gt;=TODAY()),$L86,99999),IF(AND(ISNUMBER($M86),$M86&gt;=TODAY()),$M86,99999),IF(AND(ISNUMBER($N86),$N86&gt;=TODAY()),$N86,99999),IF(AND(ISNUMBER($Q86),$Q86&gt;=TODAY()),$Q86,99999),IF(AND(ISNUMBER($R86),$R86&gt;=TODAY()),$R86,99999),IF(AND(ISNUMBER($S86),$S86&gt;=TODAY()),$S86,99999),IF(AND(ISNUMBER($T86),$T86&gt;=TODAY()),$T86,99999),IF(AND(ISNUMBER($U86),$U86&gt;=TODAY()),$U86,99999),IF(AND(ISNUMBER($V86),$V86&gt;=TODAY()),$V86,99999))=99999,"",MIN(IF(AND(ISNUMBER($L86),$L86&gt;=TODAY()),$L86,99999),IF(AND(ISNUMBER($M86),$M86&gt;=TODAY()),$M86,99999),IF(AND(ISNUMBER($N86),$N86&gt;=TODAY()),$N86,99999),IF(AND(ISNUMBER($Q86),$Q86&gt;=TODAY()),$Q86,99999),IF(AND(ISNUMBER($R86),$R86&gt;=TODAY()),$R86,99999),IF(AND(ISNUMBER($S86),$S86&gt;=TODAY()),$S86,99999),IF(AND(ISNUMBER($T86),$T86&gt;=TODAY()),$T86,99999),IF(AND(ISNUMBER($U86),$U86&gt;=TODAY()),$U86,99999),IF(AND(ISNUMBER($V86),$V86&gt;=TODAY()),$V86,99999))))</f>
        <v/>
      </c>
      <c r="L86" s="27" t="n"/>
      <c r="M86" s="27" t="n"/>
      <c r="N86" s="27" t="n"/>
      <c r="O86" s="27" t="n"/>
      <c r="P86" s="27" t="n"/>
      <c r="Q86" s="27" t="n"/>
      <c r="R86" s="27" t="n"/>
      <c r="S86" s="27" t="n"/>
      <c r="T86" s="27" t="n"/>
      <c r="U86" s="27" t="n"/>
      <c r="V86" s="27" t="n"/>
      <c r="W86" s="27" t="n"/>
      <c r="X86" s="27" t="n"/>
      <c r="Y86" s="27" t="n"/>
      <c r="Z86" s="30" t="n"/>
      <c r="AA86" s="25" t="n"/>
      <c r="AB86" s="28">
        <f>IF(NOT(AND($A86&lt;&gt;"",OR($G86="",$G86="Active"))),"",IF(OR(IF(OR(ISNUMBER($V86),$V86="DNA"),$V86,IF(OR(ISNUMBER($U86),$U86="DNA"),$U86,IF(OR(ISNUMBER($T86),$T86="DNA"),$T86,IF(OR(ISNUMBER($S86),$S86="DNA"),$S86,IF(OR(ISNUMBER($R86),$R86="DNA"),$R86,IF(OR(ISNUMBER($Q86),$Q86="DNA"),$Q86,IF(OR(ISNUMBER($N86),$N86="DNA"),$N86,IF(OR(ISNUMBER($M86),$M86="DNA"),$M86,IF(OR(ISNUMBER($L86),$L86="DNA"),$L86,"")))))))))="DNA",AND(ISNUMBER(IF(OR(ISNUMBER($V86),$V86="DNA"),$V86,IF(OR(ISNUMBER($U86),$U86="DNA"),$U86,IF(OR(ISNUMBER($T86),$T86="DNA"),$T86,IF(OR(ISNUMBER($S86),$S86="DNA"),$S86,IF(OR(ISNUMBER($R86),$R86="DNA"),$R86,IF(OR(ISNUMBER($Q86),$Q86="DNA"),$Q86,IF(OR(ISNUMBER($N86),$N86="DNA"),$N86,IF(OR(ISNUMBER($M86),$M86="DNA"),$M86,IF(OR(ISNUMBER($L86),$L86="DNA"),$L86,"")))))))))),IF(OR(ISNUMBER($V86),$V86="DNA"),$V86,IF(OR(ISNUMBER($U86),$U86="DNA"),$U86,IF(OR(ISNUMBER($T86),$T86="DNA"),$T86,IF(OR(ISNUMBER($S86),$S86="DNA"),$S86,IF(OR(ISNUMBER($R86),$R86="DNA"),$R86,IF(OR(ISNUMBER($Q86),$Q86="DNA"),$Q86,IF(OR(ISNUMBER($N86),$N86="DNA"),$N86,IF(OR(ISNUMBER($M86),$M86="DNA"),$M86,IF(OR(ISNUMBER($L86),$L86="DNA"),$L86,"")))))))))&lt;TODAY())),1,0)+ISNUMBER($O86)*($O86&lt;TODAY())+ISNUMBER($P86)*($P86&lt;TODAY())+ISNUMBER($X86)*($X86&lt;TODAY())+ISNUMBER($Y86)*($Y86&lt;TODAY()))</f>
        <v/>
      </c>
    </row>
    <row r="87">
      <c r="A87" s="25" t="n"/>
      <c r="B87" s="26" t="n"/>
      <c r="C87" s="27" t="n"/>
      <c r="D87" s="25" t="n"/>
      <c r="E87" s="25" t="n"/>
      <c r="F87" s="27" t="n"/>
      <c r="G87" s="25" t="n"/>
      <c r="H87" s="28">
        <f>IF(OR(NOT(AND($A87&lt;&gt;"",OR($G87="",$G87="Active"))),$F87=""),"",INT((TODAY()-$F87+280)/7)&amp;"+"&amp;MOD(TODAY()-$F87+280,7))</f>
        <v/>
      </c>
      <c r="I87" s="28">
        <f>IF(NOT(AND($A87&lt;&gt;"",OR($G87="",$G87="Active"))),"",ISNUMBER($L87)*($L87&gt;=TODAY())*($L87&lt;=TODAY()+7)+ISNUMBER($M87)*($M87&gt;=TODAY())*($M87&lt;=TODAY()+7)+ISNUMBER($N87)*($N87&gt;=TODAY())*($N87&lt;=TODAY()+7)+ISNUMBER($Q87)*($Q87&gt;=TODAY())*($Q87&lt;=TODAY()+7)+ISNUMBER($R87)*($R87&gt;=TODAY())*($R87&lt;=TODAY()+7)+ISNUMBER($S87)*($S87&gt;=TODAY())*($S87&lt;=TODAY()+7)+ISNUMBER($T87)*($T87&gt;=TODAY())*($T87&lt;=TODAY()+7)+ISNUMBER($U87)*($U87&gt;=TODAY())*($U87&lt;=TODAY()+7)+ISNUMBER($V87)*($V87&gt;=TODAY())*($V87&lt;=TODAY()+7)+ISNUMBER($O87)*($O87&gt;=TODAY())*($O87&lt;=TODAY()+7)+ISNUMBER($P87)*($P87&gt;=TODAY())*($P87&lt;=TODAY()+7)+ISNUMBER($X87)*($X87&gt;=TODAY())*($X87&lt;=TODAY()+7)+ISNUMBER($Y87)*($Y87&gt;=TODAY())*($Y87&lt;=TODAY()+7))</f>
        <v/>
      </c>
      <c r="J87" s="28">
        <f>IF(NOT(AND($A87&lt;&gt;"",OR($G87="",$G87="Active"))),"",IF($K87&lt;&gt;"",IF($L87=$K87,"Booking",IF($M87=$K87,"16/40",IF($N87=$K87,"25/40",IF($Q87=$K87,"28/40",IF($R87=$K87,"31/40",IF($S87=$K87,"34/40",IF($T87=$K87,"36/40",IF($U87=$K87,"38/40",IF($V87=$K87,"40/40",""))))))))),IF(IF(OR(ISNUMBER($V87),$V87="DNA"),$V87,IF(OR(ISNUMBER($U87),$U87="DNA"),$U87,IF(OR(ISNUMBER($T87),$T87="DNA"),$T87,IF(OR(ISNUMBER($S87),$S87="DNA"),$S87,IF(OR(ISNUMBER($R87),$R87="DNA"),$R87,IF(OR(ISNUMBER($Q87),$Q87="DNA"),$Q87,IF(OR(ISNUMBER($N87),$N87="DNA"),$N87,IF(OR(ISNUMBER($M87),$M87="DNA"),$M87,IF(OR(ISNUMBER($L87),$L87="DNA"),$L87,"")))))))))="DNA","Rebook DNA",IF(ISNUMBER(IF(OR(ISNUMBER($V87),$V87="DNA"),$V87,IF(OR(ISNUMBER($U87),$U87="DNA"),$U87,IF(OR(ISNUMBER($T87),$T87="DNA"),$T87,IF(OR(ISNUMBER($S87),$S87="DNA"),$S87,IF(OR(ISNUMBER($R87),$R87="DNA"),$R87,IF(OR(ISNUMBER($Q87),$Q87="DNA"),$Q87,IF(OR(ISNUMBER($N87),$N87="DNA"),$N87,IF(OR(ISNUMBER($M87),$M87="DNA"),$M87,IF(OR(ISNUMBER($L87),$L87="DNA"),$L87,"")))))))))),IF(ISNUMBER($V87),"Update status","Missed/not booked?"),""))))</f>
        <v/>
      </c>
      <c r="K87" s="29">
        <f>IF(NOT(AND($A87&lt;&gt;"",OR($G87="",$G87="Active"))),"",IF(MIN(IF(AND(ISNUMBER($L87),$L87&gt;=TODAY()),$L87,99999),IF(AND(ISNUMBER($M87),$M87&gt;=TODAY()),$M87,99999),IF(AND(ISNUMBER($N87),$N87&gt;=TODAY()),$N87,99999),IF(AND(ISNUMBER($Q87),$Q87&gt;=TODAY()),$Q87,99999),IF(AND(ISNUMBER($R87),$R87&gt;=TODAY()),$R87,99999),IF(AND(ISNUMBER($S87),$S87&gt;=TODAY()),$S87,99999),IF(AND(ISNUMBER($T87),$T87&gt;=TODAY()),$T87,99999),IF(AND(ISNUMBER($U87),$U87&gt;=TODAY()),$U87,99999),IF(AND(ISNUMBER($V87),$V87&gt;=TODAY()),$V87,99999))=99999,"",MIN(IF(AND(ISNUMBER($L87),$L87&gt;=TODAY()),$L87,99999),IF(AND(ISNUMBER($M87),$M87&gt;=TODAY()),$M87,99999),IF(AND(ISNUMBER($N87),$N87&gt;=TODAY()),$N87,99999),IF(AND(ISNUMBER($Q87),$Q87&gt;=TODAY()),$Q87,99999),IF(AND(ISNUMBER($R87),$R87&gt;=TODAY()),$R87,99999),IF(AND(ISNUMBER($S87),$S87&gt;=TODAY()),$S87,99999),IF(AND(ISNUMBER($T87),$T87&gt;=TODAY()),$T87,99999),IF(AND(ISNUMBER($U87),$U87&gt;=TODAY()),$U87,99999),IF(AND(ISNUMBER($V87),$V87&gt;=TODAY()),$V87,99999))))</f>
        <v/>
      </c>
      <c r="L87" s="27" t="n"/>
      <c r="M87" s="27" t="n"/>
      <c r="N87" s="27" t="n"/>
      <c r="O87" s="27" t="n"/>
      <c r="P87" s="27" t="n"/>
      <c r="Q87" s="27" t="n"/>
      <c r="R87" s="27" t="n"/>
      <c r="S87" s="27" t="n"/>
      <c r="T87" s="27" t="n"/>
      <c r="U87" s="27" t="n"/>
      <c r="V87" s="27" t="n"/>
      <c r="W87" s="27" t="n"/>
      <c r="X87" s="27" t="n"/>
      <c r="Y87" s="27" t="n"/>
      <c r="Z87" s="30" t="n"/>
      <c r="AA87" s="25" t="n"/>
      <c r="AB87" s="28">
        <f>IF(NOT(AND($A87&lt;&gt;"",OR($G87="",$G87="Active"))),"",IF(OR(IF(OR(ISNUMBER($V87),$V87="DNA"),$V87,IF(OR(ISNUMBER($U87),$U87="DNA"),$U87,IF(OR(ISNUMBER($T87),$T87="DNA"),$T87,IF(OR(ISNUMBER($S87),$S87="DNA"),$S87,IF(OR(ISNUMBER($R87),$R87="DNA"),$R87,IF(OR(ISNUMBER($Q87),$Q87="DNA"),$Q87,IF(OR(ISNUMBER($N87),$N87="DNA"),$N87,IF(OR(ISNUMBER($M87),$M87="DNA"),$M87,IF(OR(ISNUMBER($L87),$L87="DNA"),$L87,"")))))))))="DNA",AND(ISNUMBER(IF(OR(ISNUMBER($V87),$V87="DNA"),$V87,IF(OR(ISNUMBER($U87),$U87="DNA"),$U87,IF(OR(ISNUMBER($T87),$T87="DNA"),$T87,IF(OR(ISNUMBER($S87),$S87="DNA"),$S87,IF(OR(ISNUMBER($R87),$R87="DNA"),$R87,IF(OR(ISNUMBER($Q87),$Q87="DNA"),$Q87,IF(OR(ISNUMBER($N87),$N87="DNA"),$N87,IF(OR(ISNUMBER($M87),$M87="DNA"),$M87,IF(OR(ISNUMBER($L87),$L87="DNA"),$L87,"")))))))))),IF(OR(ISNUMBER($V87),$V87="DNA"),$V87,IF(OR(ISNUMBER($U87),$U87="DNA"),$U87,IF(OR(ISNUMBER($T87),$T87="DNA"),$T87,IF(OR(ISNUMBER($S87),$S87="DNA"),$S87,IF(OR(ISNUMBER($R87),$R87="DNA"),$R87,IF(OR(ISNUMBER($Q87),$Q87="DNA"),$Q87,IF(OR(ISNUMBER($N87),$N87="DNA"),$N87,IF(OR(ISNUMBER($M87),$M87="DNA"),$M87,IF(OR(ISNUMBER($L87),$L87="DNA"),$L87,"")))))))))&lt;TODAY())),1,0)+ISNUMBER($O87)*($O87&lt;TODAY())+ISNUMBER($P87)*($P87&lt;TODAY())+ISNUMBER($X87)*($X87&lt;TODAY())+ISNUMBER($Y87)*($Y87&lt;TODAY()))</f>
        <v/>
      </c>
    </row>
    <row r="88">
      <c r="A88" s="25" t="n"/>
      <c r="B88" s="26" t="n"/>
      <c r="C88" s="27" t="n"/>
      <c r="D88" s="25" t="n"/>
      <c r="E88" s="25" t="n"/>
      <c r="F88" s="27" t="n"/>
      <c r="G88" s="25" t="n"/>
      <c r="H88" s="28">
        <f>IF(OR(NOT(AND($A88&lt;&gt;"",OR($G88="",$G88="Active"))),$F88=""),"",INT((TODAY()-$F88+280)/7)&amp;"+"&amp;MOD(TODAY()-$F88+280,7))</f>
        <v/>
      </c>
      <c r="I88" s="28">
        <f>IF(NOT(AND($A88&lt;&gt;"",OR($G88="",$G88="Active"))),"",ISNUMBER($L88)*($L88&gt;=TODAY())*($L88&lt;=TODAY()+7)+ISNUMBER($M88)*($M88&gt;=TODAY())*($M88&lt;=TODAY()+7)+ISNUMBER($N88)*($N88&gt;=TODAY())*($N88&lt;=TODAY()+7)+ISNUMBER($Q88)*($Q88&gt;=TODAY())*($Q88&lt;=TODAY()+7)+ISNUMBER($R88)*($R88&gt;=TODAY())*($R88&lt;=TODAY()+7)+ISNUMBER($S88)*($S88&gt;=TODAY())*($S88&lt;=TODAY()+7)+ISNUMBER($T88)*($T88&gt;=TODAY())*($T88&lt;=TODAY()+7)+ISNUMBER($U88)*($U88&gt;=TODAY())*($U88&lt;=TODAY()+7)+ISNUMBER($V88)*($V88&gt;=TODAY())*($V88&lt;=TODAY()+7)+ISNUMBER($O88)*($O88&gt;=TODAY())*($O88&lt;=TODAY()+7)+ISNUMBER($P88)*($P88&gt;=TODAY())*($P88&lt;=TODAY()+7)+ISNUMBER($X88)*($X88&gt;=TODAY())*($X88&lt;=TODAY()+7)+ISNUMBER($Y88)*($Y88&gt;=TODAY())*($Y88&lt;=TODAY()+7))</f>
        <v/>
      </c>
      <c r="J88" s="28">
        <f>IF(NOT(AND($A88&lt;&gt;"",OR($G88="",$G88="Active"))),"",IF($K88&lt;&gt;"",IF($L88=$K88,"Booking",IF($M88=$K88,"16/40",IF($N88=$K88,"25/40",IF($Q88=$K88,"28/40",IF($R88=$K88,"31/40",IF($S88=$K88,"34/40",IF($T88=$K88,"36/40",IF($U88=$K88,"38/40",IF($V88=$K88,"40/40",""))))))))),IF(IF(OR(ISNUMBER($V88),$V88="DNA"),$V88,IF(OR(ISNUMBER($U88),$U88="DNA"),$U88,IF(OR(ISNUMBER($T88),$T88="DNA"),$T88,IF(OR(ISNUMBER($S88),$S88="DNA"),$S88,IF(OR(ISNUMBER($R88),$R88="DNA"),$R88,IF(OR(ISNUMBER($Q88),$Q88="DNA"),$Q88,IF(OR(ISNUMBER($N88),$N88="DNA"),$N88,IF(OR(ISNUMBER($M88),$M88="DNA"),$M88,IF(OR(ISNUMBER($L88),$L88="DNA"),$L88,"")))))))))="DNA","Rebook DNA",IF(ISNUMBER(IF(OR(ISNUMBER($V88),$V88="DNA"),$V88,IF(OR(ISNUMBER($U88),$U88="DNA"),$U88,IF(OR(ISNUMBER($T88),$T88="DNA"),$T88,IF(OR(ISNUMBER($S88),$S88="DNA"),$S88,IF(OR(ISNUMBER($R88),$R88="DNA"),$R88,IF(OR(ISNUMBER($Q88),$Q88="DNA"),$Q88,IF(OR(ISNUMBER($N88),$N88="DNA"),$N88,IF(OR(ISNUMBER($M88),$M88="DNA"),$M88,IF(OR(ISNUMBER($L88),$L88="DNA"),$L88,"")))))))))),IF(ISNUMBER($V88),"Update status","Missed/not booked?"),""))))</f>
        <v/>
      </c>
      <c r="K88" s="29">
        <f>IF(NOT(AND($A88&lt;&gt;"",OR($G88="",$G88="Active"))),"",IF(MIN(IF(AND(ISNUMBER($L88),$L88&gt;=TODAY()),$L88,99999),IF(AND(ISNUMBER($M88),$M88&gt;=TODAY()),$M88,99999),IF(AND(ISNUMBER($N88),$N88&gt;=TODAY()),$N88,99999),IF(AND(ISNUMBER($Q88),$Q88&gt;=TODAY()),$Q88,99999),IF(AND(ISNUMBER($R88),$R88&gt;=TODAY()),$R88,99999),IF(AND(ISNUMBER($S88),$S88&gt;=TODAY()),$S88,99999),IF(AND(ISNUMBER($T88),$T88&gt;=TODAY()),$T88,99999),IF(AND(ISNUMBER($U88),$U88&gt;=TODAY()),$U88,99999),IF(AND(ISNUMBER($V88),$V88&gt;=TODAY()),$V88,99999))=99999,"",MIN(IF(AND(ISNUMBER($L88),$L88&gt;=TODAY()),$L88,99999),IF(AND(ISNUMBER($M88),$M88&gt;=TODAY()),$M88,99999),IF(AND(ISNUMBER($N88),$N88&gt;=TODAY()),$N88,99999),IF(AND(ISNUMBER($Q88),$Q88&gt;=TODAY()),$Q88,99999),IF(AND(ISNUMBER($R88),$R88&gt;=TODAY()),$R88,99999),IF(AND(ISNUMBER($S88),$S88&gt;=TODAY()),$S88,99999),IF(AND(ISNUMBER($T88),$T88&gt;=TODAY()),$T88,99999),IF(AND(ISNUMBER($U88),$U88&gt;=TODAY()),$U88,99999),IF(AND(ISNUMBER($V88),$V88&gt;=TODAY()),$V88,99999))))</f>
        <v/>
      </c>
      <c r="L88" s="27" t="n"/>
      <c r="M88" s="27" t="n"/>
      <c r="N88" s="27" t="n"/>
      <c r="O88" s="27" t="n"/>
      <c r="P88" s="27" t="n"/>
      <c r="Q88" s="27" t="n"/>
      <c r="R88" s="27" t="n"/>
      <c r="S88" s="27" t="n"/>
      <c r="T88" s="27" t="n"/>
      <c r="U88" s="27" t="n"/>
      <c r="V88" s="27" t="n"/>
      <c r="W88" s="27" t="n"/>
      <c r="X88" s="27" t="n"/>
      <c r="Y88" s="27" t="n"/>
      <c r="Z88" s="30" t="n"/>
      <c r="AA88" s="25" t="n"/>
      <c r="AB88" s="28">
        <f>IF(NOT(AND($A88&lt;&gt;"",OR($G88="",$G88="Active"))),"",IF(OR(IF(OR(ISNUMBER($V88),$V88="DNA"),$V88,IF(OR(ISNUMBER($U88),$U88="DNA"),$U88,IF(OR(ISNUMBER($T88),$T88="DNA"),$T88,IF(OR(ISNUMBER($S88),$S88="DNA"),$S88,IF(OR(ISNUMBER($R88),$R88="DNA"),$R88,IF(OR(ISNUMBER($Q88),$Q88="DNA"),$Q88,IF(OR(ISNUMBER($N88),$N88="DNA"),$N88,IF(OR(ISNUMBER($M88),$M88="DNA"),$M88,IF(OR(ISNUMBER($L88),$L88="DNA"),$L88,"")))))))))="DNA",AND(ISNUMBER(IF(OR(ISNUMBER($V88),$V88="DNA"),$V88,IF(OR(ISNUMBER($U88),$U88="DNA"),$U88,IF(OR(ISNUMBER($T88),$T88="DNA"),$T88,IF(OR(ISNUMBER($S88),$S88="DNA"),$S88,IF(OR(ISNUMBER($R88),$R88="DNA"),$R88,IF(OR(ISNUMBER($Q88),$Q88="DNA"),$Q88,IF(OR(ISNUMBER($N88),$N88="DNA"),$N88,IF(OR(ISNUMBER($M88),$M88="DNA"),$M88,IF(OR(ISNUMBER($L88),$L88="DNA"),$L88,"")))))))))),IF(OR(ISNUMBER($V88),$V88="DNA"),$V88,IF(OR(ISNUMBER($U88),$U88="DNA"),$U88,IF(OR(ISNUMBER($T88),$T88="DNA"),$T88,IF(OR(ISNUMBER($S88),$S88="DNA"),$S88,IF(OR(ISNUMBER($R88),$R88="DNA"),$R88,IF(OR(ISNUMBER($Q88),$Q88="DNA"),$Q88,IF(OR(ISNUMBER($N88),$N88="DNA"),$N88,IF(OR(ISNUMBER($M88),$M88="DNA"),$M88,IF(OR(ISNUMBER($L88),$L88="DNA"),$L88,"")))))))))&lt;TODAY())),1,0)+ISNUMBER($O88)*($O88&lt;TODAY())+ISNUMBER($P88)*($P88&lt;TODAY())+ISNUMBER($X88)*($X88&lt;TODAY())+ISNUMBER($Y88)*($Y88&lt;TODAY()))</f>
        <v/>
      </c>
    </row>
    <row r="89">
      <c r="A89" s="25" t="n"/>
      <c r="B89" s="26" t="n"/>
      <c r="C89" s="27" t="n"/>
      <c r="D89" s="25" t="n"/>
      <c r="E89" s="25" t="n"/>
      <c r="F89" s="27" t="n"/>
      <c r="G89" s="25" t="n"/>
      <c r="H89" s="28">
        <f>IF(OR(NOT(AND($A89&lt;&gt;"",OR($G89="",$G89="Active"))),$F89=""),"",INT((TODAY()-$F89+280)/7)&amp;"+"&amp;MOD(TODAY()-$F89+280,7))</f>
        <v/>
      </c>
      <c r="I89" s="28">
        <f>IF(NOT(AND($A89&lt;&gt;"",OR($G89="",$G89="Active"))),"",ISNUMBER($L89)*($L89&gt;=TODAY())*($L89&lt;=TODAY()+7)+ISNUMBER($M89)*($M89&gt;=TODAY())*($M89&lt;=TODAY()+7)+ISNUMBER($N89)*($N89&gt;=TODAY())*($N89&lt;=TODAY()+7)+ISNUMBER($Q89)*($Q89&gt;=TODAY())*($Q89&lt;=TODAY()+7)+ISNUMBER($R89)*($R89&gt;=TODAY())*($R89&lt;=TODAY()+7)+ISNUMBER($S89)*($S89&gt;=TODAY())*($S89&lt;=TODAY()+7)+ISNUMBER($T89)*($T89&gt;=TODAY())*($T89&lt;=TODAY()+7)+ISNUMBER($U89)*($U89&gt;=TODAY())*($U89&lt;=TODAY()+7)+ISNUMBER($V89)*($V89&gt;=TODAY())*($V89&lt;=TODAY()+7)+ISNUMBER($O89)*($O89&gt;=TODAY())*($O89&lt;=TODAY()+7)+ISNUMBER($P89)*($P89&gt;=TODAY())*($P89&lt;=TODAY()+7)+ISNUMBER($X89)*($X89&gt;=TODAY())*($X89&lt;=TODAY()+7)+ISNUMBER($Y89)*($Y89&gt;=TODAY())*($Y89&lt;=TODAY()+7))</f>
        <v/>
      </c>
      <c r="J89" s="28">
        <f>IF(NOT(AND($A89&lt;&gt;"",OR($G89="",$G89="Active"))),"",IF($K89&lt;&gt;"",IF($L89=$K89,"Booking",IF($M89=$K89,"16/40",IF($N89=$K89,"25/40",IF($Q89=$K89,"28/40",IF($R89=$K89,"31/40",IF($S89=$K89,"34/40",IF($T89=$K89,"36/40",IF($U89=$K89,"38/40",IF($V89=$K89,"40/40",""))))))))),IF(IF(OR(ISNUMBER($V89),$V89="DNA"),$V89,IF(OR(ISNUMBER($U89),$U89="DNA"),$U89,IF(OR(ISNUMBER($T89),$T89="DNA"),$T89,IF(OR(ISNUMBER($S89),$S89="DNA"),$S89,IF(OR(ISNUMBER($R89),$R89="DNA"),$R89,IF(OR(ISNUMBER($Q89),$Q89="DNA"),$Q89,IF(OR(ISNUMBER($N89),$N89="DNA"),$N89,IF(OR(ISNUMBER($M89),$M89="DNA"),$M89,IF(OR(ISNUMBER($L89),$L89="DNA"),$L89,"")))))))))="DNA","Rebook DNA",IF(ISNUMBER(IF(OR(ISNUMBER($V89),$V89="DNA"),$V89,IF(OR(ISNUMBER($U89),$U89="DNA"),$U89,IF(OR(ISNUMBER($T89),$T89="DNA"),$T89,IF(OR(ISNUMBER($S89),$S89="DNA"),$S89,IF(OR(ISNUMBER($R89),$R89="DNA"),$R89,IF(OR(ISNUMBER($Q89),$Q89="DNA"),$Q89,IF(OR(ISNUMBER($N89),$N89="DNA"),$N89,IF(OR(ISNUMBER($M89),$M89="DNA"),$M89,IF(OR(ISNUMBER($L89),$L89="DNA"),$L89,"")))))))))),IF(ISNUMBER($V89),"Update status","Missed/not booked?"),""))))</f>
        <v/>
      </c>
      <c r="K89" s="29">
        <f>IF(NOT(AND($A89&lt;&gt;"",OR($G89="",$G89="Active"))),"",IF(MIN(IF(AND(ISNUMBER($L89),$L89&gt;=TODAY()),$L89,99999),IF(AND(ISNUMBER($M89),$M89&gt;=TODAY()),$M89,99999),IF(AND(ISNUMBER($N89),$N89&gt;=TODAY()),$N89,99999),IF(AND(ISNUMBER($Q89),$Q89&gt;=TODAY()),$Q89,99999),IF(AND(ISNUMBER($R89),$R89&gt;=TODAY()),$R89,99999),IF(AND(ISNUMBER($S89),$S89&gt;=TODAY()),$S89,99999),IF(AND(ISNUMBER($T89),$T89&gt;=TODAY()),$T89,99999),IF(AND(ISNUMBER($U89),$U89&gt;=TODAY()),$U89,99999),IF(AND(ISNUMBER($V89),$V89&gt;=TODAY()),$V89,99999))=99999,"",MIN(IF(AND(ISNUMBER($L89),$L89&gt;=TODAY()),$L89,99999),IF(AND(ISNUMBER($M89),$M89&gt;=TODAY()),$M89,99999),IF(AND(ISNUMBER($N89),$N89&gt;=TODAY()),$N89,99999),IF(AND(ISNUMBER($Q89),$Q89&gt;=TODAY()),$Q89,99999),IF(AND(ISNUMBER($R89),$R89&gt;=TODAY()),$R89,99999),IF(AND(ISNUMBER($S89),$S89&gt;=TODAY()),$S89,99999),IF(AND(ISNUMBER($T89),$T89&gt;=TODAY()),$T89,99999),IF(AND(ISNUMBER($U89),$U89&gt;=TODAY()),$U89,99999),IF(AND(ISNUMBER($V89),$V89&gt;=TODAY()),$V89,99999))))</f>
        <v/>
      </c>
      <c r="L89" s="27" t="n"/>
      <c r="M89" s="27" t="n"/>
      <c r="N89" s="27" t="n"/>
      <c r="O89" s="27" t="n"/>
      <c r="P89" s="27" t="n"/>
      <c r="Q89" s="27" t="n"/>
      <c r="R89" s="27" t="n"/>
      <c r="S89" s="27" t="n"/>
      <c r="T89" s="27" t="n"/>
      <c r="U89" s="27" t="n"/>
      <c r="V89" s="27" t="n"/>
      <c r="W89" s="27" t="n"/>
      <c r="X89" s="27" t="n"/>
      <c r="Y89" s="27" t="n"/>
      <c r="Z89" s="30" t="n"/>
      <c r="AA89" s="25" t="n"/>
      <c r="AB89" s="28">
        <f>IF(NOT(AND($A89&lt;&gt;"",OR($G89="",$G89="Active"))),"",IF(OR(IF(OR(ISNUMBER($V89),$V89="DNA"),$V89,IF(OR(ISNUMBER($U89),$U89="DNA"),$U89,IF(OR(ISNUMBER($T89),$T89="DNA"),$T89,IF(OR(ISNUMBER($S89),$S89="DNA"),$S89,IF(OR(ISNUMBER($R89),$R89="DNA"),$R89,IF(OR(ISNUMBER($Q89),$Q89="DNA"),$Q89,IF(OR(ISNUMBER($N89),$N89="DNA"),$N89,IF(OR(ISNUMBER($M89),$M89="DNA"),$M89,IF(OR(ISNUMBER($L89),$L89="DNA"),$L89,"")))))))))="DNA",AND(ISNUMBER(IF(OR(ISNUMBER($V89),$V89="DNA"),$V89,IF(OR(ISNUMBER($U89),$U89="DNA"),$U89,IF(OR(ISNUMBER($T89),$T89="DNA"),$T89,IF(OR(ISNUMBER($S89),$S89="DNA"),$S89,IF(OR(ISNUMBER($R89),$R89="DNA"),$R89,IF(OR(ISNUMBER($Q89),$Q89="DNA"),$Q89,IF(OR(ISNUMBER($N89),$N89="DNA"),$N89,IF(OR(ISNUMBER($M89),$M89="DNA"),$M89,IF(OR(ISNUMBER($L89),$L89="DNA"),$L89,"")))))))))),IF(OR(ISNUMBER($V89),$V89="DNA"),$V89,IF(OR(ISNUMBER($U89),$U89="DNA"),$U89,IF(OR(ISNUMBER($T89),$T89="DNA"),$T89,IF(OR(ISNUMBER($S89),$S89="DNA"),$S89,IF(OR(ISNUMBER($R89),$R89="DNA"),$R89,IF(OR(ISNUMBER($Q89),$Q89="DNA"),$Q89,IF(OR(ISNUMBER($N89),$N89="DNA"),$N89,IF(OR(ISNUMBER($M89),$M89="DNA"),$M89,IF(OR(ISNUMBER($L89),$L89="DNA"),$L89,"")))))))))&lt;TODAY())),1,0)+ISNUMBER($O89)*($O89&lt;TODAY())+ISNUMBER($P89)*($P89&lt;TODAY())+ISNUMBER($X89)*($X89&lt;TODAY())+ISNUMBER($Y89)*($Y89&lt;TODAY()))</f>
        <v/>
      </c>
    </row>
    <row r="90">
      <c r="A90" s="25" t="n"/>
      <c r="B90" s="26" t="n"/>
      <c r="C90" s="27" t="n"/>
      <c r="D90" s="25" t="n"/>
      <c r="E90" s="25" t="n"/>
      <c r="F90" s="27" t="n"/>
      <c r="G90" s="25" t="n"/>
      <c r="H90" s="28">
        <f>IF(OR(NOT(AND($A90&lt;&gt;"",OR($G90="",$G90="Active"))),$F90=""),"",INT((TODAY()-$F90+280)/7)&amp;"+"&amp;MOD(TODAY()-$F90+280,7))</f>
        <v/>
      </c>
      <c r="I90" s="28">
        <f>IF(NOT(AND($A90&lt;&gt;"",OR($G90="",$G90="Active"))),"",ISNUMBER($L90)*($L90&gt;=TODAY())*($L90&lt;=TODAY()+7)+ISNUMBER($M90)*($M90&gt;=TODAY())*($M90&lt;=TODAY()+7)+ISNUMBER($N90)*($N90&gt;=TODAY())*($N90&lt;=TODAY()+7)+ISNUMBER($Q90)*($Q90&gt;=TODAY())*($Q90&lt;=TODAY()+7)+ISNUMBER($R90)*($R90&gt;=TODAY())*($R90&lt;=TODAY()+7)+ISNUMBER($S90)*($S90&gt;=TODAY())*($S90&lt;=TODAY()+7)+ISNUMBER($T90)*($T90&gt;=TODAY())*($T90&lt;=TODAY()+7)+ISNUMBER($U90)*($U90&gt;=TODAY())*($U90&lt;=TODAY()+7)+ISNUMBER($V90)*($V90&gt;=TODAY())*($V90&lt;=TODAY()+7)+ISNUMBER($O90)*($O90&gt;=TODAY())*($O90&lt;=TODAY()+7)+ISNUMBER($P90)*($P90&gt;=TODAY())*($P90&lt;=TODAY()+7)+ISNUMBER($X90)*($X90&gt;=TODAY())*($X90&lt;=TODAY()+7)+ISNUMBER($Y90)*($Y90&gt;=TODAY())*($Y90&lt;=TODAY()+7))</f>
        <v/>
      </c>
      <c r="J90" s="28">
        <f>IF(NOT(AND($A90&lt;&gt;"",OR($G90="",$G90="Active"))),"",IF($K90&lt;&gt;"",IF($L90=$K90,"Booking",IF($M90=$K90,"16/40",IF($N90=$K90,"25/40",IF($Q90=$K90,"28/40",IF($R90=$K90,"31/40",IF($S90=$K90,"34/40",IF($T90=$K90,"36/40",IF($U90=$K90,"38/40",IF($V90=$K90,"40/40",""))))))))),IF(IF(OR(ISNUMBER($V90),$V90="DNA"),$V90,IF(OR(ISNUMBER($U90),$U90="DNA"),$U90,IF(OR(ISNUMBER($T90),$T90="DNA"),$T90,IF(OR(ISNUMBER($S90),$S90="DNA"),$S90,IF(OR(ISNUMBER($R90),$R90="DNA"),$R90,IF(OR(ISNUMBER($Q90),$Q90="DNA"),$Q90,IF(OR(ISNUMBER($N90),$N90="DNA"),$N90,IF(OR(ISNUMBER($M90),$M90="DNA"),$M90,IF(OR(ISNUMBER($L90),$L90="DNA"),$L90,"")))))))))="DNA","Rebook DNA",IF(ISNUMBER(IF(OR(ISNUMBER($V90),$V90="DNA"),$V90,IF(OR(ISNUMBER($U90),$U90="DNA"),$U90,IF(OR(ISNUMBER($T90),$T90="DNA"),$T90,IF(OR(ISNUMBER($S90),$S90="DNA"),$S90,IF(OR(ISNUMBER($R90),$R90="DNA"),$R90,IF(OR(ISNUMBER($Q90),$Q90="DNA"),$Q90,IF(OR(ISNUMBER($N90),$N90="DNA"),$N90,IF(OR(ISNUMBER($M90),$M90="DNA"),$M90,IF(OR(ISNUMBER($L90),$L90="DNA"),$L90,"")))))))))),IF(ISNUMBER($V90),"Update status","Missed/not booked?"),""))))</f>
        <v/>
      </c>
      <c r="K90" s="29">
        <f>IF(NOT(AND($A90&lt;&gt;"",OR($G90="",$G90="Active"))),"",IF(MIN(IF(AND(ISNUMBER($L90),$L90&gt;=TODAY()),$L90,99999),IF(AND(ISNUMBER($M90),$M90&gt;=TODAY()),$M90,99999),IF(AND(ISNUMBER($N90),$N90&gt;=TODAY()),$N90,99999),IF(AND(ISNUMBER($Q90),$Q90&gt;=TODAY()),$Q90,99999),IF(AND(ISNUMBER($R90),$R90&gt;=TODAY()),$R90,99999),IF(AND(ISNUMBER($S90),$S90&gt;=TODAY()),$S90,99999),IF(AND(ISNUMBER($T90),$T90&gt;=TODAY()),$T90,99999),IF(AND(ISNUMBER($U90),$U90&gt;=TODAY()),$U90,99999),IF(AND(ISNUMBER($V90),$V90&gt;=TODAY()),$V90,99999))=99999,"",MIN(IF(AND(ISNUMBER($L90),$L90&gt;=TODAY()),$L90,99999),IF(AND(ISNUMBER($M90),$M90&gt;=TODAY()),$M90,99999),IF(AND(ISNUMBER($N90),$N90&gt;=TODAY()),$N90,99999),IF(AND(ISNUMBER($Q90),$Q90&gt;=TODAY()),$Q90,99999),IF(AND(ISNUMBER($R90),$R90&gt;=TODAY()),$R90,99999),IF(AND(ISNUMBER($S90),$S90&gt;=TODAY()),$S90,99999),IF(AND(ISNUMBER($T90),$T90&gt;=TODAY()),$T90,99999),IF(AND(ISNUMBER($U90),$U90&gt;=TODAY()),$U90,99999),IF(AND(ISNUMBER($V90),$V90&gt;=TODAY()),$V90,99999))))</f>
        <v/>
      </c>
      <c r="L90" s="27" t="n"/>
      <c r="M90" s="27" t="n"/>
      <c r="N90" s="27" t="n"/>
      <c r="O90" s="27" t="n"/>
      <c r="P90" s="27" t="n"/>
      <c r="Q90" s="27" t="n"/>
      <c r="R90" s="27" t="n"/>
      <c r="S90" s="27" t="n"/>
      <c r="T90" s="27" t="n"/>
      <c r="U90" s="27" t="n"/>
      <c r="V90" s="27" t="n"/>
      <c r="W90" s="27" t="n"/>
      <c r="X90" s="27" t="n"/>
      <c r="Y90" s="27" t="n"/>
      <c r="Z90" s="30" t="n"/>
      <c r="AA90" s="25" t="n"/>
      <c r="AB90" s="28">
        <f>IF(NOT(AND($A90&lt;&gt;"",OR($G90="",$G90="Active"))),"",IF(OR(IF(OR(ISNUMBER($V90),$V90="DNA"),$V90,IF(OR(ISNUMBER($U90),$U90="DNA"),$U90,IF(OR(ISNUMBER($T90),$T90="DNA"),$T90,IF(OR(ISNUMBER($S90),$S90="DNA"),$S90,IF(OR(ISNUMBER($R90),$R90="DNA"),$R90,IF(OR(ISNUMBER($Q90),$Q90="DNA"),$Q90,IF(OR(ISNUMBER($N90),$N90="DNA"),$N90,IF(OR(ISNUMBER($M90),$M90="DNA"),$M90,IF(OR(ISNUMBER($L90),$L90="DNA"),$L90,"")))))))))="DNA",AND(ISNUMBER(IF(OR(ISNUMBER($V90),$V90="DNA"),$V90,IF(OR(ISNUMBER($U90),$U90="DNA"),$U90,IF(OR(ISNUMBER($T90),$T90="DNA"),$T90,IF(OR(ISNUMBER($S90),$S90="DNA"),$S90,IF(OR(ISNUMBER($R90),$R90="DNA"),$R90,IF(OR(ISNUMBER($Q90),$Q90="DNA"),$Q90,IF(OR(ISNUMBER($N90),$N90="DNA"),$N90,IF(OR(ISNUMBER($M90),$M90="DNA"),$M90,IF(OR(ISNUMBER($L90),$L90="DNA"),$L90,"")))))))))),IF(OR(ISNUMBER($V90),$V90="DNA"),$V90,IF(OR(ISNUMBER($U90),$U90="DNA"),$U90,IF(OR(ISNUMBER($T90),$T90="DNA"),$T90,IF(OR(ISNUMBER($S90),$S90="DNA"),$S90,IF(OR(ISNUMBER($R90),$R90="DNA"),$R90,IF(OR(ISNUMBER($Q90),$Q90="DNA"),$Q90,IF(OR(ISNUMBER($N90),$N90="DNA"),$N90,IF(OR(ISNUMBER($M90),$M90="DNA"),$M90,IF(OR(ISNUMBER($L90),$L90="DNA"),$L90,"")))))))))&lt;TODAY())),1,0)+ISNUMBER($O90)*($O90&lt;TODAY())+ISNUMBER($P90)*($P90&lt;TODAY())+ISNUMBER($X90)*($X90&lt;TODAY())+ISNUMBER($Y90)*($Y90&lt;TODAY()))</f>
        <v/>
      </c>
    </row>
    <row r="91">
      <c r="A91" s="25" t="n"/>
      <c r="B91" s="26" t="n"/>
      <c r="C91" s="27" t="n"/>
      <c r="D91" s="25" t="n"/>
      <c r="E91" s="25" t="n"/>
      <c r="F91" s="27" t="n"/>
      <c r="G91" s="25" t="n"/>
      <c r="H91" s="28">
        <f>IF(OR(NOT(AND($A91&lt;&gt;"",OR($G91="",$G91="Active"))),$F91=""),"",INT((TODAY()-$F91+280)/7)&amp;"+"&amp;MOD(TODAY()-$F91+280,7))</f>
        <v/>
      </c>
      <c r="I91" s="28">
        <f>IF(NOT(AND($A91&lt;&gt;"",OR($G91="",$G91="Active"))),"",ISNUMBER($L91)*($L91&gt;=TODAY())*($L91&lt;=TODAY()+7)+ISNUMBER($M91)*($M91&gt;=TODAY())*($M91&lt;=TODAY()+7)+ISNUMBER($N91)*($N91&gt;=TODAY())*($N91&lt;=TODAY()+7)+ISNUMBER($Q91)*($Q91&gt;=TODAY())*($Q91&lt;=TODAY()+7)+ISNUMBER($R91)*($R91&gt;=TODAY())*($R91&lt;=TODAY()+7)+ISNUMBER($S91)*($S91&gt;=TODAY())*($S91&lt;=TODAY()+7)+ISNUMBER($T91)*($T91&gt;=TODAY())*($T91&lt;=TODAY()+7)+ISNUMBER($U91)*($U91&gt;=TODAY())*($U91&lt;=TODAY()+7)+ISNUMBER($V91)*($V91&gt;=TODAY())*($V91&lt;=TODAY()+7)+ISNUMBER($O91)*($O91&gt;=TODAY())*($O91&lt;=TODAY()+7)+ISNUMBER($P91)*($P91&gt;=TODAY())*($P91&lt;=TODAY()+7)+ISNUMBER($X91)*($X91&gt;=TODAY())*($X91&lt;=TODAY()+7)+ISNUMBER($Y91)*($Y91&gt;=TODAY())*($Y91&lt;=TODAY()+7))</f>
        <v/>
      </c>
      <c r="J91" s="28">
        <f>IF(NOT(AND($A91&lt;&gt;"",OR($G91="",$G91="Active"))),"",IF($K91&lt;&gt;"",IF($L91=$K91,"Booking",IF($M91=$K91,"16/40",IF($N91=$K91,"25/40",IF($Q91=$K91,"28/40",IF($R91=$K91,"31/40",IF($S91=$K91,"34/40",IF($T91=$K91,"36/40",IF($U91=$K91,"38/40",IF($V91=$K91,"40/40",""))))))))),IF(IF(OR(ISNUMBER($V91),$V91="DNA"),$V91,IF(OR(ISNUMBER($U91),$U91="DNA"),$U91,IF(OR(ISNUMBER($T91),$T91="DNA"),$T91,IF(OR(ISNUMBER($S91),$S91="DNA"),$S91,IF(OR(ISNUMBER($R91),$R91="DNA"),$R91,IF(OR(ISNUMBER($Q91),$Q91="DNA"),$Q91,IF(OR(ISNUMBER($N91),$N91="DNA"),$N91,IF(OR(ISNUMBER($M91),$M91="DNA"),$M91,IF(OR(ISNUMBER($L91),$L91="DNA"),$L91,"")))))))))="DNA","Rebook DNA",IF(ISNUMBER(IF(OR(ISNUMBER($V91),$V91="DNA"),$V91,IF(OR(ISNUMBER($U91),$U91="DNA"),$U91,IF(OR(ISNUMBER($T91),$T91="DNA"),$T91,IF(OR(ISNUMBER($S91),$S91="DNA"),$S91,IF(OR(ISNUMBER($R91),$R91="DNA"),$R91,IF(OR(ISNUMBER($Q91),$Q91="DNA"),$Q91,IF(OR(ISNUMBER($N91),$N91="DNA"),$N91,IF(OR(ISNUMBER($M91),$M91="DNA"),$M91,IF(OR(ISNUMBER($L91),$L91="DNA"),$L91,"")))))))))),IF(ISNUMBER($V91),"Update status","Missed/not booked?"),""))))</f>
        <v/>
      </c>
      <c r="K91" s="29">
        <f>IF(NOT(AND($A91&lt;&gt;"",OR($G91="",$G91="Active"))),"",IF(MIN(IF(AND(ISNUMBER($L91),$L91&gt;=TODAY()),$L91,99999),IF(AND(ISNUMBER($M91),$M91&gt;=TODAY()),$M91,99999),IF(AND(ISNUMBER($N91),$N91&gt;=TODAY()),$N91,99999),IF(AND(ISNUMBER($Q91),$Q91&gt;=TODAY()),$Q91,99999),IF(AND(ISNUMBER($R91),$R91&gt;=TODAY()),$R91,99999),IF(AND(ISNUMBER($S91),$S91&gt;=TODAY()),$S91,99999),IF(AND(ISNUMBER($T91),$T91&gt;=TODAY()),$T91,99999),IF(AND(ISNUMBER($U91),$U91&gt;=TODAY()),$U91,99999),IF(AND(ISNUMBER($V91),$V91&gt;=TODAY()),$V91,99999))=99999,"",MIN(IF(AND(ISNUMBER($L91),$L91&gt;=TODAY()),$L91,99999),IF(AND(ISNUMBER($M91),$M91&gt;=TODAY()),$M91,99999),IF(AND(ISNUMBER($N91),$N91&gt;=TODAY()),$N91,99999),IF(AND(ISNUMBER($Q91),$Q91&gt;=TODAY()),$Q91,99999),IF(AND(ISNUMBER($R91),$R91&gt;=TODAY()),$R91,99999),IF(AND(ISNUMBER($S91),$S91&gt;=TODAY()),$S91,99999),IF(AND(ISNUMBER($T91),$T91&gt;=TODAY()),$T91,99999),IF(AND(ISNUMBER($U91),$U91&gt;=TODAY()),$U91,99999),IF(AND(ISNUMBER($V91),$V91&gt;=TODAY()),$V91,99999))))</f>
        <v/>
      </c>
      <c r="L91" s="27" t="n"/>
      <c r="M91" s="27" t="n"/>
      <c r="N91" s="27" t="n"/>
      <c r="O91" s="27" t="n"/>
      <c r="P91" s="27" t="n"/>
      <c r="Q91" s="27" t="n"/>
      <c r="R91" s="27" t="n"/>
      <c r="S91" s="27" t="n"/>
      <c r="T91" s="27" t="n"/>
      <c r="U91" s="27" t="n"/>
      <c r="V91" s="27" t="n"/>
      <c r="W91" s="27" t="n"/>
      <c r="X91" s="27" t="n"/>
      <c r="Y91" s="27" t="n"/>
      <c r="Z91" s="30" t="n"/>
      <c r="AA91" s="25" t="n"/>
      <c r="AB91" s="28">
        <f>IF(NOT(AND($A91&lt;&gt;"",OR($G91="",$G91="Active"))),"",IF(OR(IF(OR(ISNUMBER($V91),$V91="DNA"),$V91,IF(OR(ISNUMBER($U91),$U91="DNA"),$U91,IF(OR(ISNUMBER($T91),$T91="DNA"),$T91,IF(OR(ISNUMBER($S91),$S91="DNA"),$S91,IF(OR(ISNUMBER($R91),$R91="DNA"),$R91,IF(OR(ISNUMBER($Q91),$Q91="DNA"),$Q91,IF(OR(ISNUMBER($N91),$N91="DNA"),$N91,IF(OR(ISNUMBER($M91),$M91="DNA"),$M91,IF(OR(ISNUMBER($L91),$L91="DNA"),$L91,"")))))))))="DNA",AND(ISNUMBER(IF(OR(ISNUMBER($V91),$V91="DNA"),$V91,IF(OR(ISNUMBER($U91),$U91="DNA"),$U91,IF(OR(ISNUMBER($T91),$T91="DNA"),$T91,IF(OR(ISNUMBER($S91),$S91="DNA"),$S91,IF(OR(ISNUMBER($R91),$R91="DNA"),$R91,IF(OR(ISNUMBER($Q91),$Q91="DNA"),$Q91,IF(OR(ISNUMBER($N91),$N91="DNA"),$N91,IF(OR(ISNUMBER($M91),$M91="DNA"),$M91,IF(OR(ISNUMBER($L91),$L91="DNA"),$L91,"")))))))))),IF(OR(ISNUMBER($V91),$V91="DNA"),$V91,IF(OR(ISNUMBER($U91),$U91="DNA"),$U91,IF(OR(ISNUMBER($T91),$T91="DNA"),$T91,IF(OR(ISNUMBER($S91),$S91="DNA"),$S91,IF(OR(ISNUMBER($R91),$R91="DNA"),$R91,IF(OR(ISNUMBER($Q91),$Q91="DNA"),$Q91,IF(OR(ISNUMBER($N91),$N91="DNA"),$N91,IF(OR(ISNUMBER($M91),$M91="DNA"),$M91,IF(OR(ISNUMBER($L91),$L91="DNA"),$L91,"")))))))))&lt;TODAY())),1,0)+ISNUMBER($O91)*($O91&lt;TODAY())+ISNUMBER($P91)*($P91&lt;TODAY())+ISNUMBER($X91)*($X91&lt;TODAY())+ISNUMBER($Y91)*($Y91&lt;TODAY()))</f>
        <v/>
      </c>
    </row>
    <row r="92">
      <c r="A92" s="25" t="n"/>
      <c r="B92" s="26" t="n"/>
      <c r="C92" s="27" t="n"/>
      <c r="D92" s="25" t="n"/>
      <c r="E92" s="25" t="n"/>
      <c r="F92" s="27" t="n"/>
      <c r="G92" s="25" t="n"/>
      <c r="H92" s="28">
        <f>IF(OR(NOT(AND($A92&lt;&gt;"",OR($G92="",$G92="Active"))),$F92=""),"",INT((TODAY()-$F92+280)/7)&amp;"+"&amp;MOD(TODAY()-$F92+280,7))</f>
        <v/>
      </c>
      <c r="I92" s="28">
        <f>IF(NOT(AND($A92&lt;&gt;"",OR($G92="",$G92="Active"))),"",ISNUMBER($L92)*($L92&gt;=TODAY())*($L92&lt;=TODAY()+7)+ISNUMBER($M92)*($M92&gt;=TODAY())*($M92&lt;=TODAY()+7)+ISNUMBER($N92)*($N92&gt;=TODAY())*($N92&lt;=TODAY()+7)+ISNUMBER($Q92)*($Q92&gt;=TODAY())*($Q92&lt;=TODAY()+7)+ISNUMBER($R92)*($R92&gt;=TODAY())*($R92&lt;=TODAY()+7)+ISNUMBER($S92)*($S92&gt;=TODAY())*($S92&lt;=TODAY()+7)+ISNUMBER($T92)*($T92&gt;=TODAY())*($T92&lt;=TODAY()+7)+ISNUMBER($U92)*($U92&gt;=TODAY())*($U92&lt;=TODAY()+7)+ISNUMBER($V92)*($V92&gt;=TODAY())*($V92&lt;=TODAY()+7)+ISNUMBER($O92)*($O92&gt;=TODAY())*($O92&lt;=TODAY()+7)+ISNUMBER($P92)*($P92&gt;=TODAY())*($P92&lt;=TODAY()+7)+ISNUMBER($X92)*($X92&gt;=TODAY())*($X92&lt;=TODAY()+7)+ISNUMBER($Y92)*($Y92&gt;=TODAY())*($Y92&lt;=TODAY()+7))</f>
        <v/>
      </c>
      <c r="J92" s="28">
        <f>IF(NOT(AND($A92&lt;&gt;"",OR($G92="",$G92="Active"))),"",IF($K92&lt;&gt;"",IF($L92=$K92,"Booking",IF($M92=$K92,"16/40",IF($N92=$K92,"25/40",IF($Q92=$K92,"28/40",IF($R92=$K92,"31/40",IF($S92=$K92,"34/40",IF($T92=$K92,"36/40",IF($U92=$K92,"38/40",IF($V92=$K92,"40/40",""))))))))),IF(IF(OR(ISNUMBER($V92),$V92="DNA"),$V92,IF(OR(ISNUMBER($U92),$U92="DNA"),$U92,IF(OR(ISNUMBER($T92),$T92="DNA"),$T92,IF(OR(ISNUMBER($S92),$S92="DNA"),$S92,IF(OR(ISNUMBER($R92),$R92="DNA"),$R92,IF(OR(ISNUMBER($Q92),$Q92="DNA"),$Q92,IF(OR(ISNUMBER($N92),$N92="DNA"),$N92,IF(OR(ISNUMBER($M92),$M92="DNA"),$M92,IF(OR(ISNUMBER($L92),$L92="DNA"),$L92,"")))))))))="DNA","Rebook DNA",IF(ISNUMBER(IF(OR(ISNUMBER($V92),$V92="DNA"),$V92,IF(OR(ISNUMBER($U92),$U92="DNA"),$U92,IF(OR(ISNUMBER($T92),$T92="DNA"),$T92,IF(OR(ISNUMBER($S92),$S92="DNA"),$S92,IF(OR(ISNUMBER($R92),$R92="DNA"),$R92,IF(OR(ISNUMBER($Q92),$Q92="DNA"),$Q92,IF(OR(ISNUMBER($N92),$N92="DNA"),$N92,IF(OR(ISNUMBER($M92),$M92="DNA"),$M92,IF(OR(ISNUMBER($L92),$L92="DNA"),$L92,"")))))))))),IF(ISNUMBER($V92),"Update status","Missed/not booked?"),""))))</f>
        <v/>
      </c>
      <c r="K92" s="29">
        <f>IF(NOT(AND($A92&lt;&gt;"",OR($G92="",$G92="Active"))),"",IF(MIN(IF(AND(ISNUMBER($L92),$L92&gt;=TODAY()),$L92,99999),IF(AND(ISNUMBER($M92),$M92&gt;=TODAY()),$M92,99999),IF(AND(ISNUMBER($N92),$N92&gt;=TODAY()),$N92,99999),IF(AND(ISNUMBER($Q92),$Q92&gt;=TODAY()),$Q92,99999),IF(AND(ISNUMBER($R92),$R92&gt;=TODAY()),$R92,99999),IF(AND(ISNUMBER($S92),$S92&gt;=TODAY()),$S92,99999),IF(AND(ISNUMBER($T92),$T92&gt;=TODAY()),$T92,99999),IF(AND(ISNUMBER($U92),$U92&gt;=TODAY()),$U92,99999),IF(AND(ISNUMBER($V92),$V92&gt;=TODAY()),$V92,99999))=99999,"",MIN(IF(AND(ISNUMBER($L92),$L92&gt;=TODAY()),$L92,99999),IF(AND(ISNUMBER($M92),$M92&gt;=TODAY()),$M92,99999),IF(AND(ISNUMBER($N92),$N92&gt;=TODAY()),$N92,99999),IF(AND(ISNUMBER($Q92),$Q92&gt;=TODAY()),$Q92,99999),IF(AND(ISNUMBER($R92),$R92&gt;=TODAY()),$R92,99999),IF(AND(ISNUMBER($S92),$S92&gt;=TODAY()),$S92,99999),IF(AND(ISNUMBER($T92),$T92&gt;=TODAY()),$T92,99999),IF(AND(ISNUMBER($U92),$U92&gt;=TODAY()),$U92,99999),IF(AND(ISNUMBER($V92),$V92&gt;=TODAY()),$V92,99999))))</f>
        <v/>
      </c>
      <c r="L92" s="27" t="n"/>
      <c r="M92" s="27" t="n"/>
      <c r="N92" s="27" t="n"/>
      <c r="O92" s="27" t="n"/>
      <c r="P92" s="27" t="n"/>
      <c r="Q92" s="27" t="n"/>
      <c r="R92" s="27" t="n"/>
      <c r="S92" s="27" t="n"/>
      <c r="T92" s="27" t="n"/>
      <c r="U92" s="27" t="n"/>
      <c r="V92" s="27" t="n"/>
      <c r="W92" s="27" t="n"/>
      <c r="X92" s="27" t="n"/>
      <c r="Y92" s="27" t="n"/>
      <c r="Z92" s="30" t="n"/>
      <c r="AA92" s="25" t="n"/>
      <c r="AB92" s="28">
        <f>IF(NOT(AND($A92&lt;&gt;"",OR($G92="",$G92="Active"))),"",IF(OR(IF(OR(ISNUMBER($V92),$V92="DNA"),$V92,IF(OR(ISNUMBER($U92),$U92="DNA"),$U92,IF(OR(ISNUMBER($T92),$T92="DNA"),$T92,IF(OR(ISNUMBER($S92),$S92="DNA"),$S92,IF(OR(ISNUMBER($R92),$R92="DNA"),$R92,IF(OR(ISNUMBER($Q92),$Q92="DNA"),$Q92,IF(OR(ISNUMBER($N92),$N92="DNA"),$N92,IF(OR(ISNUMBER($M92),$M92="DNA"),$M92,IF(OR(ISNUMBER($L92),$L92="DNA"),$L92,"")))))))))="DNA",AND(ISNUMBER(IF(OR(ISNUMBER($V92),$V92="DNA"),$V92,IF(OR(ISNUMBER($U92),$U92="DNA"),$U92,IF(OR(ISNUMBER($T92),$T92="DNA"),$T92,IF(OR(ISNUMBER($S92),$S92="DNA"),$S92,IF(OR(ISNUMBER($R92),$R92="DNA"),$R92,IF(OR(ISNUMBER($Q92),$Q92="DNA"),$Q92,IF(OR(ISNUMBER($N92),$N92="DNA"),$N92,IF(OR(ISNUMBER($M92),$M92="DNA"),$M92,IF(OR(ISNUMBER($L92),$L92="DNA"),$L92,"")))))))))),IF(OR(ISNUMBER($V92),$V92="DNA"),$V92,IF(OR(ISNUMBER($U92),$U92="DNA"),$U92,IF(OR(ISNUMBER($T92),$T92="DNA"),$T92,IF(OR(ISNUMBER($S92),$S92="DNA"),$S92,IF(OR(ISNUMBER($R92),$R92="DNA"),$R92,IF(OR(ISNUMBER($Q92),$Q92="DNA"),$Q92,IF(OR(ISNUMBER($N92),$N92="DNA"),$N92,IF(OR(ISNUMBER($M92),$M92="DNA"),$M92,IF(OR(ISNUMBER($L92),$L92="DNA"),$L92,"")))))))))&lt;TODAY())),1,0)+ISNUMBER($O92)*($O92&lt;TODAY())+ISNUMBER($P92)*($P92&lt;TODAY())+ISNUMBER($X92)*($X92&lt;TODAY())+ISNUMBER($Y92)*($Y92&lt;TODAY()))</f>
        <v/>
      </c>
    </row>
    <row r="93">
      <c r="A93" s="25" t="n"/>
      <c r="B93" s="26" t="n"/>
      <c r="C93" s="27" t="n"/>
      <c r="D93" s="25" t="n"/>
      <c r="E93" s="25" t="n"/>
      <c r="F93" s="27" t="n"/>
      <c r="G93" s="25" t="n"/>
      <c r="H93" s="28">
        <f>IF(OR(NOT(AND($A93&lt;&gt;"",OR($G93="",$G93="Active"))),$F93=""),"",INT((TODAY()-$F93+280)/7)&amp;"+"&amp;MOD(TODAY()-$F93+280,7))</f>
        <v/>
      </c>
      <c r="I93" s="28">
        <f>IF(NOT(AND($A93&lt;&gt;"",OR($G93="",$G93="Active"))),"",ISNUMBER($L93)*($L93&gt;=TODAY())*($L93&lt;=TODAY()+7)+ISNUMBER($M93)*($M93&gt;=TODAY())*($M93&lt;=TODAY()+7)+ISNUMBER($N93)*($N93&gt;=TODAY())*($N93&lt;=TODAY()+7)+ISNUMBER($Q93)*($Q93&gt;=TODAY())*($Q93&lt;=TODAY()+7)+ISNUMBER($R93)*($R93&gt;=TODAY())*($R93&lt;=TODAY()+7)+ISNUMBER($S93)*($S93&gt;=TODAY())*($S93&lt;=TODAY()+7)+ISNUMBER($T93)*($T93&gt;=TODAY())*($T93&lt;=TODAY()+7)+ISNUMBER($U93)*($U93&gt;=TODAY())*($U93&lt;=TODAY()+7)+ISNUMBER($V93)*($V93&gt;=TODAY())*($V93&lt;=TODAY()+7)+ISNUMBER($O93)*($O93&gt;=TODAY())*($O93&lt;=TODAY()+7)+ISNUMBER($P93)*($P93&gt;=TODAY())*($P93&lt;=TODAY()+7)+ISNUMBER($X93)*($X93&gt;=TODAY())*($X93&lt;=TODAY()+7)+ISNUMBER($Y93)*($Y93&gt;=TODAY())*($Y93&lt;=TODAY()+7))</f>
        <v/>
      </c>
      <c r="J93" s="28">
        <f>IF(NOT(AND($A93&lt;&gt;"",OR($G93="",$G93="Active"))),"",IF($K93&lt;&gt;"",IF($L93=$K93,"Booking",IF($M93=$K93,"16/40",IF($N93=$K93,"25/40",IF($Q93=$K93,"28/40",IF($R93=$K93,"31/40",IF($S93=$K93,"34/40",IF($T93=$K93,"36/40",IF($U93=$K93,"38/40",IF($V93=$K93,"40/40",""))))))))),IF(IF(OR(ISNUMBER($V93),$V93="DNA"),$V93,IF(OR(ISNUMBER($U93),$U93="DNA"),$U93,IF(OR(ISNUMBER($T93),$T93="DNA"),$T93,IF(OR(ISNUMBER($S93),$S93="DNA"),$S93,IF(OR(ISNUMBER($R93),$R93="DNA"),$R93,IF(OR(ISNUMBER($Q93),$Q93="DNA"),$Q93,IF(OR(ISNUMBER($N93),$N93="DNA"),$N93,IF(OR(ISNUMBER($M93),$M93="DNA"),$M93,IF(OR(ISNUMBER($L93),$L93="DNA"),$L93,"")))))))))="DNA","Rebook DNA",IF(ISNUMBER(IF(OR(ISNUMBER($V93),$V93="DNA"),$V93,IF(OR(ISNUMBER($U93),$U93="DNA"),$U93,IF(OR(ISNUMBER($T93),$T93="DNA"),$T93,IF(OR(ISNUMBER($S93),$S93="DNA"),$S93,IF(OR(ISNUMBER($R93),$R93="DNA"),$R93,IF(OR(ISNUMBER($Q93),$Q93="DNA"),$Q93,IF(OR(ISNUMBER($N93),$N93="DNA"),$N93,IF(OR(ISNUMBER($M93),$M93="DNA"),$M93,IF(OR(ISNUMBER($L93),$L93="DNA"),$L93,"")))))))))),IF(ISNUMBER($V93),"Update status","Missed/not booked?"),""))))</f>
        <v/>
      </c>
      <c r="K93" s="29">
        <f>IF(NOT(AND($A93&lt;&gt;"",OR($G93="",$G93="Active"))),"",IF(MIN(IF(AND(ISNUMBER($L93),$L93&gt;=TODAY()),$L93,99999),IF(AND(ISNUMBER($M93),$M93&gt;=TODAY()),$M93,99999),IF(AND(ISNUMBER($N93),$N93&gt;=TODAY()),$N93,99999),IF(AND(ISNUMBER($Q93),$Q93&gt;=TODAY()),$Q93,99999),IF(AND(ISNUMBER($R93),$R93&gt;=TODAY()),$R93,99999),IF(AND(ISNUMBER($S93),$S93&gt;=TODAY()),$S93,99999),IF(AND(ISNUMBER($T93),$T93&gt;=TODAY()),$T93,99999),IF(AND(ISNUMBER($U93),$U93&gt;=TODAY()),$U93,99999),IF(AND(ISNUMBER($V93),$V93&gt;=TODAY()),$V93,99999))=99999,"",MIN(IF(AND(ISNUMBER($L93),$L93&gt;=TODAY()),$L93,99999),IF(AND(ISNUMBER($M93),$M93&gt;=TODAY()),$M93,99999),IF(AND(ISNUMBER($N93),$N93&gt;=TODAY()),$N93,99999),IF(AND(ISNUMBER($Q93),$Q93&gt;=TODAY()),$Q93,99999),IF(AND(ISNUMBER($R93),$R93&gt;=TODAY()),$R93,99999),IF(AND(ISNUMBER($S93),$S93&gt;=TODAY()),$S93,99999),IF(AND(ISNUMBER($T93),$T93&gt;=TODAY()),$T93,99999),IF(AND(ISNUMBER($U93),$U93&gt;=TODAY()),$U93,99999),IF(AND(ISNUMBER($V93),$V93&gt;=TODAY()),$V93,99999))))</f>
        <v/>
      </c>
      <c r="L93" s="27" t="n"/>
      <c r="M93" s="27" t="n"/>
      <c r="N93" s="27" t="n"/>
      <c r="O93" s="27" t="n"/>
      <c r="P93" s="27" t="n"/>
      <c r="Q93" s="27" t="n"/>
      <c r="R93" s="27" t="n"/>
      <c r="S93" s="27" t="n"/>
      <c r="T93" s="27" t="n"/>
      <c r="U93" s="27" t="n"/>
      <c r="V93" s="27" t="n"/>
      <c r="W93" s="27" t="n"/>
      <c r="X93" s="27" t="n"/>
      <c r="Y93" s="27" t="n"/>
      <c r="Z93" s="30" t="n"/>
      <c r="AA93" s="25" t="n"/>
      <c r="AB93" s="28">
        <f>IF(NOT(AND($A93&lt;&gt;"",OR($G93="",$G93="Active"))),"",IF(OR(IF(OR(ISNUMBER($V93),$V93="DNA"),$V93,IF(OR(ISNUMBER($U93),$U93="DNA"),$U93,IF(OR(ISNUMBER($T93),$T93="DNA"),$T93,IF(OR(ISNUMBER($S93),$S93="DNA"),$S93,IF(OR(ISNUMBER($R93),$R93="DNA"),$R93,IF(OR(ISNUMBER($Q93),$Q93="DNA"),$Q93,IF(OR(ISNUMBER($N93),$N93="DNA"),$N93,IF(OR(ISNUMBER($M93),$M93="DNA"),$M93,IF(OR(ISNUMBER($L93),$L93="DNA"),$L93,"")))))))))="DNA",AND(ISNUMBER(IF(OR(ISNUMBER($V93),$V93="DNA"),$V93,IF(OR(ISNUMBER($U93),$U93="DNA"),$U93,IF(OR(ISNUMBER($T93),$T93="DNA"),$T93,IF(OR(ISNUMBER($S93),$S93="DNA"),$S93,IF(OR(ISNUMBER($R93),$R93="DNA"),$R93,IF(OR(ISNUMBER($Q93),$Q93="DNA"),$Q93,IF(OR(ISNUMBER($N93),$N93="DNA"),$N93,IF(OR(ISNUMBER($M93),$M93="DNA"),$M93,IF(OR(ISNUMBER($L93),$L93="DNA"),$L93,"")))))))))),IF(OR(ISNUMBER($V93),$V93="DNA"),$V93,IF(OR(ISNUMBER($U93),$U93="DNA"),$U93,IF(OR(ISNUMBER($T93),$T93="DNA"),$T93,IF(OR(ISNUMBER($S93),$S93="DNA"),$S93,IF(OR(ISNUMBER($R93),$R93="DNA"),$R93,IF(OR(ISNUMBER($Q93),$Q93="DNA"),$Q93,IF(OR(ISNUMBER($N93),$N93="DNA"),$N93,IF(OR(ISNUMBER($M93),$M93="DNA"),$M93,IF(OR(ISNUMBER($L93),$L93="DNA"),$L93,"")))))))))&lt;TODAY())),1,0)+ISNUMBER($O93)*($O93&lt;TODAY())+ISNUMBER($P93)*($P93&lt;TODAY())+ISNUMBER($X93)*($X93&lt;TODAY())+ISNUMBER($Y93)*($Y93&lt;TODAY()))</f>
        <v/>
      </c>
    </row>
    <row r="94">
      <c r="A94" s="25" t="n"/>
      <c r="B94" s="26" t="n"/>
      <c r="C94" s="27" t="n"/>
      <c r="D94" s="25" t="n"/>
      <c r="E94" s="25" t="n"/>
      <c r="F94" s="27" t="n"/>
      <c r="G94" s="25" t="n"/>
      <c r="H94" s="28">
        <f>IF(OR(NOT(AND($A94&lt;&gt;"",OR($G94="",$G94="Active"))),$F94=""),"",INT((TODAY()-$F94+280)/7)&amp;"+"&amp;MOD(TODAY()-$F94+280,7))</f>
        <v/>
      </c>
      <c r="I94" s="28">
        <f>IF(NOT(AND($A94&lt;&gt;"",OR($G94="",$G94="Active"))),"",ISNUMBER($L94)*($L94&gt;=TODAY())*($L94&lt;=TODAY()+7)+ISNUMBER($M94)*($M94&gt;=TODAY())*($M94&lt;=TODAY()+7)+ISNUMBER($N94)*($N94&gt;=TODAY())*($N94&lt;=TODAY()+7)+ISNUMBER($Q94)*($Q94&gt;=TODAY())*($Q94&lt;=TODAY()+7)+ISNUMBER($R94)*($R94&gt;=TODAY())*($R94&lt;=TODAY()+7)+ISNUMBER($S94)*($S94&gt;=TODAY())*($S94&lt;=TODAY()+7)+ISNUMBER($T94)*($T94&gt;=TODAY())*($T94&lt;=TODAY()+7)+ISNUMBER($U94)*($U94&gt;=TODAY())*($U94&lt;=TODAY()+7)+ISNUMBER($V94)*($V94&gt;=TODAY())*($V94&lt;=TODAY()+7)+ISNUMBER($O94)*($O94&gt;=TODAY())*($O94&lt;=TODAY()+7)+ISNUMBER($P94)*($P94&gt;=TODAY())*($P94&lt;=TODAY()+7)+ISNUMBER($X94)*($X94&gt;=TODAY())*($X94&lt;=TODAY()+7)+ISNUMBER($Y94)*($Y94&gt;=TODAY())*($Y94&lt;=TODAY()+7))</f>
        <v/>
      </c>
      <c r="J94" s="28">
        <f>IF(NOT(AND($A94&lt;&gt;"",OR($G94="",$G94="Active"))),"",IF($K94&lt;&gt;"",IF($L94=$K94,"Booking",IF($M94=$K94,"16/40",IF($N94=$K94,"25/40",IF($Q94=$K94,"28/40",IF($R94=$K94,"31/40",IF($S94=$K94,"34/40",IF($T94=$K94,"36/40",IF($U94=$K94,"38/40",IF($V94=$K94,"40/40",""))))))))),IF(IF(OR(ISNUMBER($V94),$V94="DNA"),$V94,IF(OR(ISNUMBER($U94),$U94="DNA"),$U94,IF(OR(ISNUMBER($T94),$T94="DNA"),$T94,IF(OR(ISNUMBER($S94),$S94="DNA"),$S94,IF(OR(ISNUMBER($R94),$R94="DNA"),$R94,IF(OR(ISNUMBER($Q94),$Q94="DNA"),$Q94,IF(OR(ISNUMBER($N94),$N94="DNA"),$N94,IF(OR(ISNUMBER($M94),$M94="DNA"),$M94,IF(OR(ISNUMBER($L94),$L94="DNA"),$L94,"")))))))))="DNA","Rebook DNA",IF(ISNUMBER(IF(OR(ISNUMBER($V94),$V94="DNA"),$V94,IF(OR(ISNUMBER($U94),$U94="DNA"),$U94,IF(OR(ISNUMBER($T94),$T94="DNA"),$T94,IF(OR(ISNUMBER($S94),$S94="DNA"),$S94,IF(OR(ISNUMBER($R94),$R94="DNA"),$R94,IF(OR(ISNUMBER($Q94),$Q94="DNA"),$Q94,IF(OR(ISNUMBER($N94),$N94="DNA"),$N94,IF(OR(ISNUMBER($M94),$M94="DNA"),$M94,IF(OR(ISNUMBER($L94),$L94="DNA"),$L94,"")))))))))),IF(ISNUMBER($V94),"Update status","Missed/not booked?"),""))))</f>
        <v/>
      </c>
      <c r="K94" s="29">
        <f>IF(NOT(AND($A94&lt;&gt;"",OR($G94="",$G94="Active"))),"",IF(MIN(IF(AND(ISNUMBER($L94),$L94&gt;=TODAY()),$L94,99999),IF(AND(ISNUMBER($M94),$M94&gt;=TODAY()),$M94,99999),IF(AND(ISNUMBER($N94),$N94&gt;=TODAY()),$N94,99999),IF(AND(ISNUMBER($Q94),$Q94&gt;=TODAY()),$Q94,99999),IF(AND(ISNUMBER($R94),$R94&gt;=TODAY()),$R94,99999),IF(AND(ISNUMBER($S94),$S94&gt;=TODAY()),$S94,99999),IF(AND(ISNUMBER($T94),$T94&gt;=TODAY()),$T94,99999),IF(AND(ISNUMBER($U94),$U94&gt;=TODAY()),$U94,99999),IF(AND(ISNUMBER($V94),$V94&gt;=TODAY()),$V94,99999))=99999,"",MIN(IF(AND(ISNUMBER($L94),$L94&gt;=TODAY()),$L94,99999),IF(AND(ISNUMBER($M94),$M94&gt;=TODAY()),$M94,99999),IF(AND(ISNUMBER($N94),$N94&gt;=TODAY()),$N94,99999),IF(AND(ISNUMBER($Q94),$Q94&gt;=TODAY()),$Q94,99999),IF(AND(ISNUMBER($R94),$R94&gt;=TODAY()),$R94,99999),IF(AND(ISNUMBER($S94),$S94&gt;=TODAY()),$S94,99999),IF(AND(ISNUMBER($T94),$T94&gt;=TODAY()),$T94,99999),IF(AND(ISNUMBER($U94),$U94&gt;=TODAY()),$U94,99999),IF(AND(ISNUMBER($V94),$V94&gt;=TODAY()),$V94,99999))))</f>
        <v/>
      </c>
      <c r="L94" s="27" t="n"/>
      <c r="M94" s="27" t="n"/>
      <c r="N94" s="27" t="n"/>
      <c r="O94" s="27" t="n"/>
      <c r="P94" s="27" t="n"/>
      <c r="Q94" s="27" t="n"/>
      <c r="R94" s="27" t="n"/>
      <c r="S94" s="27" t="n"/>
      <c r="T94" s="27" t="n"/>
      <c r="U94" s="27" t="n"/>
      <c r="V94" s="27" t="n"/>
      <c r="W94" s="27" t="n"/>
      <c r="X94" s="27" t="n"/>
      <c r="Y94" s="27" t="n"/>
      <c r="Z94" s="30" t="n"/>
      <c r="AA94" s="25" t="n"/>
      <c r="AB94" s="28">
        <f>IF(NOT(AND($A94&lt;&gt;"",OR($G94="",$G94="Active"))),"",IF(OR(IF(OR(ISNUMBER($V94),$V94="DNA"),$V94,IF(OR(ISNUMBER($U94),$U94="DNA"),$U94,IF(OR(ISNUMBER($T94),$T94="DNA"),$T94,IF(OR(ISNUMBER($S94),$S94="DNA"),$S94,IF(OR(ISNUMBER($R94),$R94="DNA"),$R94,IF(OR(ISNUMBER($Q94),$Q94="DNA"),$Q94,IF(OR(ISNUMBER($N94),$N94="DNA"),$N94,IF(OR(ISNUMBER($M94),$M94="DNA"),$M94,IF(OR(ISNUMBER($L94),$L94="DNA"),$L94,"")))))))))="DNA",AND(ISNUMBER(IF(OR(ISNUMBER($V94),$V94="DNA"),$V94,IF(OR(ISNUMBER($U94),$U94="DNA"),$U94,IF(OR(ISNUMBER($T94),$T94="DNA"),$T94,IF(OR(ISNUMBER($S94),$S94="DNA"),$S94,IF(OR(ISNUMBER($R94),$R94="DNA"),$R94,IF(OR(ISNUMBER($Q94),$Q94="DNA"),$Q94,IF(OR(ISNUMBER($N94),$N94="DNA"),$N94,IF(OR(ISNUMBER($M94),$M94="DNA"),$M94,IF(OR(ISNUMBER($L94),$L94="DNA"),$L94,"")))))))))),IF(OR(ISNUMBER($V94),$V94="DNA"),$V94,IF(OR(ISNUMBER($U94),$U94="DNA"),$U94,IF(OR(ISNUMBER($T94),$T94="DNA"),$T94,IF(OR(ISNUMBER($S94),$S94="DNA"),$S94,IF(OR(ISNUMBER($R94),$R94="DNA"),$R94,IF(OR(ISNUMBER($Q94),$Q94="DNA"),$Q94,IF(OR(ISNUMBER($N94),$N94="DNA"),$N94,IF(OR(ISNUMBER($M94),$M94="DNA"),$M94,IF(OR(ISNUMBER($L94),$L94="DNA"),$L94,"")))))))))&lt;TODAY())),1,0)+ISNUMBER($O94)*($O94&lt;TODAY())+ISNUMBER($P94)*($P94&lt;TODAY())+ISNUMBER($X94)*($X94&lt;TODAY())+ISNUMBER($Y94)*($Y94&lt;TODAY()))</f>
        <v/>
      </c>
    </row>
    <row r="95">
      <c r="A95" s="25" t="n"/>
      <c r="B95" s="26" t="n"/>
      <c r="C95" s="27" t="n"/>
      <c r="D95" s="25" t="n"/>
      <c r="E95" s="25" t="n"/>
      <c r="F95" s="27" t="n"/>
      <c r="G95" s="25" t="n"/>
      <c r="H95" s="28">
        <f>IF(OR(NOT(AND($A95&lt;&gt;"",OR($G95="",$G95="Active"))),$F95=""),"",INT((TODAY()-$F95+280)/7)&amp;"+"&amp;MOD(TODAY()-$F95+280,7))</f>
        <v/>
      </c>
      <c r="I95" s="28">
        <f>IF(NOT(AND($A95&lt;&gt;"",OR($G95="",$G95="Active"))),"",ISNUMBER($L95)*($L95&gt;=TODAY())*($L95&lt;=TODAY()+7)+ISNUMBER($M95)*($M95&gt;=TODAY())*($M95&lt;=TODAY()+7)+ISNUMBER($N95)*($N95&gt;=TODAY())*($N95&lt;=TODAY()+7)+ISNUMBER($Q95)*($Q95&gt;=TODAY())*($Q95&lt;=TODAY()+7)+ISNUMBER($R95)*($R95&gt;=TODAY())*($R95&lt;=TODAY()+7)+ISNUMBER($S95)*($S95&gt;=TODAY())*($S95&lt;=TODAY()+7)+ISNUMBER($T95)*($T95&gt;=TODAY())*($T95&lt;=TODAY()+7)+ISNUMBER($U95)*($U95&gt;=TODAY())*($U95&lt;=TODAY()+7)+ISNUMBER($V95)*($V95&gt;=TODAY())*($V95&lt;=TODAY()+7)+ISNUMBER($O95)*($O95&gt;=TODAY())*($O95&lt;=TODAY()+7)+ISNUMBER($P95)*($P95&gt;=TODAY())*($P95&lt;=TODAY()+7)+ISNUMBER($X95)*($X95&gt;=TODAY())*($X95&lt;=TODAY()+7)+ISNUMBER($Y95)*($Y95&gt;=TODAY())*($Y95&lt;=TODAY()+7))</f>
        <v/>
      </c>
      <c r="J95" s="28">
        <f>IF(NOT(AND($A95&lt;&gt;"",OR($G95="",$G95="Active"))),"",IF($K95&lt;&gt;"",IF($L95=$K95,"Booking",IF($M95=$K95,"16/40",IF($N95=$K95,"25/40",IF($Q95=$K95,"28/40",IF($R95=$K95,"31/40",IF($S95=$K95,"34/40",IF($T95=$K95,"36/40",IF($U95=$K95,"38/40",IF($V95=$K95,"40/40",""))))))))),IF(IF(OR(ISNUMBER($V95),$V95="DNA"),$V95,IF(OR(ISNUMBER($U95),$U95="DNA"),$U95,IF(OR(ISNUMBER($T95),$T95="DNA"),$T95,IF(OR(ISNUMBER($S95),$S95="DNA"),$S95,IF(OR(ISNUMBER($R95),$R95="DNA"),$R95,IF(OR(ISNUMBER($Q95),$Q95="DNA"),$Q95,IF(OR(ISNUMBER($N95),$N95="DNA"),$N95,IF(OR(ISNUMBER($M95),$M95="DNA"),$M95,IF(OR(ISNUMBER($L95),$L95="DNA"),$L95,"")))))))))="DNA","Rebook DNA",IF(ISNUMBER(IF(OR(ISNUMBER($V95),$V95="DNA"),$V95,IF(OR(ISNUMBER($U95),$U95="DNA"),$U95,IF(OR(ISNUMBER($T95),$T95="DNA"),$T95,IF(OR(ISNUMBER($S95),$S95="DNA"),$S95,IF(OR(ISNUMBER($R95),$R95="DNA"),$R95,IF(OR(ISNUMBER($Q95),$Q95="DNA"),$Q95,IF(OR(ISNUMBER($N95),$N95="DNA"),$N95,IF(OR(ISNUMBER($M95),$M95="DNA"),$M95,IF(OR(ISNUMBER($L95),$L95="DNA"),$L95,"")))))))))),IF(ISNUMBER($V95),"Update status","Missed/not booked?"),""))))</f>
        <v/>
      </c>
      <c r="K95" s="29">
        <f>IF(NOT(AND($A95&lt;&gt;"",OR($G95="",$G95="Active"))),"",IF(MIN(IF(AND(ISNUMBER($L95),$L95&gt;=TODAY()),$L95,99999),IF(AND(ISNUMBER($M95),$M95&gt;=TODAY()),$M95,99999),IF(AND(ISNUMBER($N95),$N95&gt;=TODAY()),$N95,99999),IF(AND(ISNUMBER($Q95),$Q95&gt;=TODAY()),$Q95,99999),IF(AND(ISNUMBER($R95),$R95&gt;=TODAY()),$R95,99999),IF(AND(ISNUMBER($S95),$S95&gt;=TODAY()),$S95,99999),IF(AND(ISNUMBER($T95),$T95&gt;=TODAY()),$T95,99999),IF(AND(ISNUMBER($U95),$U95&gt;=TODAY()),$U95,99999),IF(AND(ISNUMBER($V95),$V95&gt;=TODAY()),$V95,99999))=99999,"",MIN(IF(AND(ISNUMBER($L95),$L95&gt;=TODAY()),$L95,99999),IF(AND(ISNUMBER($M95),$M95&gt;=TODAY()),$M95,99999),IF(AND(ISNUMBER($N95),$N95&gt;=TODAY()),$N95,99999),IF(AND(ISNUMBER($Q95),$Q95&gt;=TODAY()),$Q95,99999),IF(AND(ISNUMBER($R95),$R95&gt;=TODAY()),$R95,99999),IF(AND(ISNUMBER($S95),$S95&gt;=TODAY()),$S95,99999),IF(AND(ISNUMBER($T95),$T95&gt;=TODAY()),$T95,99999),IF(AND(ISNUMBER($U95),$U95&gt;=TODAY()),$U95,99999),IF(AND(ISNUMBER($V95),$V95&gt;=TODAY()),$V95,99999))))</f>
        <v/>
      </c>
      <c r="L95" s="27" t="n"/>
      <c r="M95" s="27" t="n"/>
      <c r="N95" s="27" t="n"/>
      <c r="O95" s="27" t="n"/>
      <c r="P95" s="27" t="n"/>
      <c r="Q95" s="27" t="n"/>
      <c r="R95" s="27" t="n"/>
      <c r="S95" s="27" t="n"/>
      <c r="T95" s="27" t="n"/>
      <c r="U95" s="27" t="n"/>
      <c r="V95" s="27" t="n"/>
      <c r="W95" s="27" t="n"/>
      <c r="X95" s="27" t="n"/>
      <c r="Y95" s="27" t="n"/>
      <c r="Z95" s="30" t="n"/>
      <c r="AA95" s="25" t="n"/>
      <c r="AB95" s="28">
        <f>IF(NOT(AND($A95&lt;&gt;"",OR($G95="",$G95="Active"))),"",IF(OR(IF(OR(ISNUMBER($V95),$V95="DNA"),$V95,IF(OR(ISNUMBER($U95),$U95="DNA"),$U95,IF(OR(ISNUMBER($T95),$T95="DNA"),$T95,IF(OR(ISNUMBER($S95),$S95="DNA"),$S95,IF(OR(ISNUMBER($R95),$R95="DNA"),$R95,IF(OR(ISNUMBER($Q95),$Q95="DNA"),$Q95,IF(OR(ISNUMBER($N95),$N95="DNA"),$N95,IF(OR(ISNUMBER($M95),$M95="DNA"),$M95,IF(OR(ISNUMBER($L95),$L95="DNA"),$L95,"")))))))))="DNA",AND(ISNUMBER(IF(OR(ISNUMBER($V95),$V95="DNA"),$V95,IF(OR(ISNUMBER($U95),$U95="DNA"),$U95,IF(OR(ISNUMBER($T95),$T95="DNA"),$T95,IF(OR(ISNUMBER($S95),$S95="DNA"),$S95,IF(OR(ISNUMBER($R95),$R95="DNA"),$R95,IF(OR(ISNUMBER($Q95),$Q95="DNA"),$Q95,IF(OR(ISNUMBER($N95),$N95="DNA"),$N95,IF(OR(ISNUMBER($M95),$M95="DNA"),$M95,IF(OR(ISNUMBER($L95),$L95="DNA"),$L95,"")))))))))),IF(OR(ISNUMBER($V95),$V95="DNA"),$V95,IF(OR(ISNUMBER($U95),$U95="DNA"),$U95,IF(OR(ISNUMBER($T95),$T95="DNA"),$T95,IF(OR(ISNUMBER($S95),$S95="DNA"),$S95,IF(OR(ISNUMBER($R95),$R95="DNA"),$R95,IF(OR(ISNUMBER($Q95),$Q95="DNA"),$Q95,IF(OR(ISNUMBER($N95),$N95="DNA"),$N95,IF(OR(ISNUMBER($M95),$M95="DNA"),$M95,IF(OR(ISNUMBER($L95),$L95="DNA"),$L95,"")))))))))&lt;TODAY())),1,0)+ISNUMBER($O95)*($O95&lt;TODAY())+ISNUMBER($P95)*($P95&lt;TODAY())+ISNUMBER($X95)*($X95&lt;TODAY())+ISNUMBER($Y95)*($Y95&lt;TODAY()))</f>
        <v/>
      </c>
    </row>
    <row r="96">
      <c r="A96" s="25" t="n"/>
      <c r="B96" s="26" t="n"/>
      <c r="C96" s="27" t="n"/>
      <c r="D96" s="25" t="n"/>
      <c r="E96" s="25" t="n"/>
      <c r="F96" s="27" t="n"/>
      <c r="G96" s="25" t="n"/>
      <c r="H96" s="28">
        <f>IF(OR(NOT(AND($A96&lt;&gt;"",OR($G96="",$G96="Active"))),$F96=""),"",INT((TODAY()-$F96+280)/7)&amp;"+"&amp;MOD(TODAY()-$F96+280,7))</f>
        <v/>
      </c>
      <c r="I96" s="28">
        <f>IF(NOT(AND($A96&lt;&gt;"",OR($G96="",$G96="Active"))),"",ISNUMBER($L96)*($L96&gt;=TODAY())*($L96&lt;=TODAY()+7)+ISNUMBER($M96)*($M96&gt;=TODAY())*($M96&lt;=TODAY()+7)+ISNUMBER($N96)*($N96&gt;=TODAY())*($N96&lt;=TODAY()+7)+ISNUMBER($Q96)*($Q96&gt;=TODAY())*($Q96&lt;=TODAY()+7)+ISNUMBER($R96)*($R96&gt;=TODAY())*($R96&lt;=TODAY()+7)+ISNUMBER($S96)*($S96&gt;=TODAY())*($S96&lt;=TODAY()+7)+ISNUMBER($T96)*($T96&gt;=TODAY())*($T96&lt;=TODAY()+7)+ISNUMBER($U96)*($U96&gt;=TODAY())*($U96&lt;=TODAY()+7)+ISNUMBER($V96)*($V96&gt;=TODAY())*($V96&lt;=TODAY()+7)+ISNUMBER($O96)*($O96&gt;=TODAY())*($O96&lt;=TODAY()+7)+ISNUMBER($P96)*($P96&gt;=TODAY())*($P96&lt;=TODAY()+7)+ISNUMBER($X96)*($X96&gt;=TODAY())*($X96&lt;=TODAY()+7)+ISNUMBER($Y96)*($Y96&gt;=TODAY())*($Y96&lt;=TODAY()+7))</f>
        <v/>
      </c>
      <c r="J96" s="28">
        <f>IF(NOT(AND($A96&lt;&gt;"",OR($G96="",$G96="Active"))),"",IF($K96&lt;&gt;"",IF($L96=$K96,"Booking",IF($M96=$K96,"16/40",IF($N96=$K96,"25/40",IF($Q96=$K96,"28/40",IF($R96=$K96,"31/40",IF($S96=$K96,"34/40",IF($T96=$K96,"36/40",IF($U96=$K96,"38/40",IF($V96=$K96,"40/40",""))))))))),IF(IF(OR(ISNUMBER($V96),$V96="DNA"),$V96,IF(OR(ISNUMBER($U96),$U96="DNA"),$U96,IF(OR(ISNUMBER($T96),$T96="DNA"),$T96,IF(OR(ISNUMBER($S96),$S96="DNA"),$S96,IF(OR(ISNUMBER($R96),$R96="DNA"),$R96,IF(OR(ISNUMBER($Q96),$Q96="DNA"),$Q96,IF(OR(ISNUMBER($N96),$N96="DNA"),$N96,IF(OR(ISNUMBER($M96),$M96="DNA"),$M96,IF(OR(ISNUMBER($L96),$L96="DNA"),$L96,"")))))))))="DNA","Rebook DNA",IF(ISNUMBER(IF(OR(ISNUMBER($V96),$V96="DNA"),$V96,IF(OR(ISNUMBER($U96),$U96="DNA"),$U96,IF(OR(ISNUMBER($T96),$T96="DNA"),$T96,IF(OR(ISNUMBER($S96),$S96="DNA"),$S96,IF(OR(ISNUMBER($R96),$R96="DNA"),$R96,IF(OR(ISNUMBER($Q96),$Q96="DNA"),$Q96,IF(OR(ISNUMBER($N96),$N96="DNA"),$N96,IF(OR(ISNUMBER($M96),$M96="DNA"),$M96,IF(OR(ISNUMBER($L96),$L96="DNA"),$L96,"")))))))))),IF(ISNUMBER($V96),"Update status","Missed/not booked?"),""))))</f>
        <v/>
      </c>
      <c r="K96" s="29">
        <f>IF(NOT(AND($A96&lt;&gt;"",OR($G96="",$G96="Active"))),"",IF(MIN(IF(AND(ISNUMBER($L96),$L96&gt;=TODAY()),$L96,99999),IF(AND(ISNUMBER($M96),$M96&gt;=TODAY()),$M96,99999),IF(AND(ISNUMBER($N96),$N96&gt;=TODAY()),$N96,99999),IF(AND(ISNUMBER($Q96),$Q96&gt;=TODAY()),$Q96,99999),IF(AND(ISNUMBER($R96),$R96&gt;=TODAY()),$R96,99999),IF(AND(ISNUMBER($S96),$S96&gt;=TODAY()),$S96,99999),IF(AND(ISNUMBER($T96),$T96&gt;=TODAY()),$T96,99999),IF(AND(ISNUMBER($U96),$U96&gt;=TODAY()),$U96,99999),IF(AND(ISNUMBER($V96),$V96&gt;=TODAY()),$V96,99999))=99999,"",MIN(IF(AND(ISNUMBER($L96),$L96&gt;=TODAY()),$L96,99999),IF(AND(ISNUMBER($M96),$M96&gt;=TODAY()),$M96,99999),IF(AND(ISNUMBER($N96),$N96&gt;=TODAY()),$N96,99999),IF(AND(ISNUMBER($Q96),$Q96&gt;=TODAY()),$Q96,99999),IF(AND(ISNUMBER($R96),$R96&gt;=TODAY()),$R96,99999),IF(AND(ISNUMBER($S96),$S96&gt;=TODAY()),$S96,99999),IF(AND(ISNUMBER($T96),$T96&gt;=TODAY()),$T96,99999),IF(AND(ISNUMBER($U96),$U96&gt;=TODAY()),$U96,99999),IF(AND(ISNUMBER($V96),$V96&gt;=TODAY()),$V96,99999))))</f>
        <v/>
      </c>
      <c r="L96" s="27" t="n"/>
      <c r="M96" s="27" t="n"/>
      <c r="N96" s="27" t="n"/>
      <c r="O96" s="27" t="n"/>
      <c r="P96" s="27" t="n"/>
      <c r="Q96" s="27" t="n"/>
      <c r="R96" s="27" t="n"/>
      <c r="S96" s="27" t="n"/>
      <c r="T96" s="27" t="n"/>
      <c r="U96" s="27" t="n"/>
      <c r="V96" s="27" t="n"/>
      <c r="W96" s="27" t="n"/>
      <c r="X96" s="27" t="n"/>
      <c r="Y96" s="27" t="n"/>
      <c r="Z96" s="30" t="n"/>
      <c r="AA96" s="25" t="n"/>
      <c r="AB96" s="28">
        <f>IF(NOT(AND($A96&lt;&gt;"",OR($G96="",$G96="Active"))),"",IF(OR(IF(OR(ISNUMBER($V96),$V96="DNA"),$V96,IF(OR(ISNUMBER($U96),$U96="DNA"),$U96,IF(OR(ISNUMBER($T96),$T96="DNA"),$T96,IF(OR(ISNUMBER($S96),$S96="DNA"),$S96,IF(OR(ISNUMBER($R96),$R96="DNA"),$R96,IF(OR(ISNUMBER($Q96),$Q96="DNA"),$Q96,IF(OR(ISNUMBER($N96),$N96="DNA"),$N96,IF(OR(ISNUMBER($M96),$M96="DNA"),$M96,IF(OR(ISNUMBER($L96),$L96="DNA"),$L96,"")))))))))="DNA",AND(ISNUMBER(IF(OR(ISNUMBER($V96),$V96="DNA"),$V96,IF(OR(ISNUMBER($U96),$U96="DNA"),$U96,IF(OR(ISNUMBER($T96),$T96="DNA"),$T96,IF(OR(ISNUMBER($S96),$S96="DNA"),$S96,IF(OR(ISNUMBER($R96),$R96="DNA"),$R96,IF(OR(ISNUMBER($Q96),$Q96="DNA"),$Q96,IF(OR(ISNUMBER($N96),$N96="DNA"),$N96,IF(OR(ISNUMBER($M96),$M96="DNA"),$M96,IF(OR(ISNUMBER($L96),$L96="DNA"),$L96,"")))))))))),IF(OR(ISNUMBER($V96),$V96="DNA"),$V96,IF(OR(ISNUMBER($U96),$U96="DNA"),$U96,IF(OR(ISNUMBER($T96),$T96="DNA"),$T96,IF(OR(ISNUMBER($S96),$S96="DNA"),$S96,IF(OR(ISNUMBER($R96),$R96="DNA"),$R96,IF(OR(ISNUMBER($Q96),$Q96="DNA"),$Q96,IF(OR(ISNUMBER($N96),$N96="DNA"),$N96,IF(OR(ISNUMBER($M96),$M96="DNA"),$M96,IF(OR(ISNUMBER($L96),$L96="DNA"),$L96,"")))))))))&lt;TODAY())),1,0)+ISNUMBER($O96)*($O96&lt;TODAY())+ISNUMBER($P96)*($P96&lt;TODAY())+ISNUMBER($X96)*($X96&lt;TODAY())+ISNUMBER($Y96)*($Y96&lt;TODAY()))</f>
        <v/>
      </c>
    </row>
    <row r="97">
      <c r="A97" s="25" t="n"/>
      <c r="B97" s="26" t="n"/>
      <c r="C97" s="27" t="n"/>
      <c r="D97" s="25" t="n"/>
      <c r="E97" s="25" t="n"/>
      <c r="F97" s="27" t="n"/>
      <c r="G97" s="25" t="n"/>
      <c r="H97" s="28">
        <f>IF(OR(NOT(AND($A97&lt;&gt;"",OR($G97="",$G97="Active"))),$F97=""),"",INT((TODAY()-$F97+280)/7)&amp;"+"&amp;MOD(TODAY()-$F97+280,7))</f>
        <v/>
      </c>
      <c r="I97" s="28">
        <f>IF(NOT(AND($A97&lt;&gt;"",OR($G97="",$G97="Active"))),"",ISNUMBER($L97)*($L97&gt;=TODAY())*($L97&lt;=TODAY()+7)+ISNUMBER($M97)*($M97&gt;=TODAY())*($M97&lt;=TODAY()+7)+ISNUMBER($N97)*($N97&gt;=TODAY())*($N97&lt;=TODAY()+7)+ISNUMBER($Q97)*($Q97&gt;=TODAY())*($Q97&lt;=TODAY()+7)+ISNUMBER($R97)*($R97&gt;=TODAY())*($R97&lt;=TODAY()+7)+ISNUMBER($S97)*($S97&gt;=TODAY())*($S97&lt;=TODAY()+7)+ISNUMBER($T97)*($T97&gt;=TODAY())*($T97&lt;=TODAY()+7)+ISNUMBER($U97)*($U97&gt;=TODAY())*($U97&lt;=TODAY()+7)+ISNUMBER($V97)*($V97&gt;=TODAY())*($V97&lt;=TODAY()+7)+ISNUMBER($O97)*($O97&gt;=TODAY())*($O97&lt;=TODAY()+7)+ISNUMBER($P97)*($P97&gt;=TODAY())*($P97&lt;=TODAY()+7)+ISNUMBER($X97)*($X97&gt;=TODAY())*($X97&lt;=TODAY()+7)+ISNUMBER($Y97)*($Y97&gt;=TODAY())*($Y97&lt;=TODAY()+7))</f>
        <v/>
      </c>
      <c r="J97" s="28">
        <f>IF(NOT(AND($A97&lt;&gt;"",OR($G97="",$G97="Active"))),"",IF($K97&lt;&gt;"",IF($L97=$K97,"Booking",IF($M97=$K97,"16/40",IF($N97=$K97,"25/40",IF($Q97=$K97,"28/40",IF($R97=$K97,"31/40",IF($S97=$K97,"34/40",IF($T97=$K97,"36/40",IF($U97=$K97,"38/40",IF($V97=$K97,"40/40",""))))))))),IF(IF(OR(ISNUMBER($V97),$V97="DNA"),$V97,IF(OR(ISNUMBER($U97),$U97="DNA"),$U97,IF(OR(ISNUMBER($T97),$T97="DNA"),$T97,IF(OR(ISNUMBER($S97),$S97="DNA"),$S97,IF(OR(ISNUMBER($R97),$R97="DNA"),$R97,IF(OR(ISNUMBER($Q97),$Q97="DNA"),$Q97,IF(OR(ISNUMBER($N97),$N97="DNA"),$N97,IF(OR(ISNUMBER($M97),$M97="DNA"),$M97,IF(OR(ISNUMBER($L97),$L97="DNA"),$L97,"")))))))))="DNA","Rebook DNA",IF(ISNUMBER(IF(OR(ISNUMBER($V97),$V97="DNA"),$V97,IF(OR(ISNUMBER($U97),$U97="DNA"),$U97,IF(OR(ISNUMBER($T97),$T97="DNA"),$T97,IF(OR(ISNUMBER($S97),$S97="DNA"),$S97,IF(OR(ISNUMBER($R97),$R97="DNA"),$R97,IF(OR(ISNUMBER($Q97),$Q97="DNA"),$Q97,IF(OR(ISNUMBER($N97),$N97="DNA"),$N97,IF(OR(ISNUMBER($M97),$M97="DNA"),$M97,IF(OR(ISNUMBER($L97),$L97="DNA"),$L97,"")))))))))),IF(ISNUMBER($V97),"Update status","Missed/not booked?"),""))))</f>
        <v/>
      </c>
      <c r="K97" s="29">
        <f>IF(NOT(AND($A97&lt;&gt;"",OR($G97="",$G97="Active"))),"",IF(MIN(IF(AND(ISNUMBER($L97),$L97&gt;=TODAY()),$L97,99999),IF(AND(ISNUMBER($M97),$M97&gt;=TODAY()),$M97,99999),IF(AND(ISNUMBER($N97),$N97&gt;=TODAY()),$N97,99999),IF(AND(ISNUMBER($Q97),$Q97&gt;=TODAY()),$Q97,99999),IF(AND(ISNUMBER($R97),$R97&gt;=TODAY()),$R97,99999),IF(AND(ISNUMBER($S97),$S97&gt;=TODAY()),$S97,99999),IF(AND(ISNUMBER($T97),$T97&gt;=TODAY()),$T97,99999),IF(AND(ISNUMBER($U97),$U97&gt;=TODAY()),$U97,99999),IF(AND(ISNUMBER($V97),$V97&gt;=TODAY()),$V97,99999))=99999,"",MIN(IF(AND(ISNUMBER($L97),$L97&gt;=TODAY()),$L97,99999),IF(AND(ISNUMBER($M97),$M97&gt;=TODAY()),$M97,99999),IF(AND(ISNUMBER($N97),$N97&gt;=TODAY()),$N97,99999),IF(AND(ISNUMBER($Q97),$Q97&gt;=TODAY()),$Q97,99999),IF(AND(ISNUMBER($R97),$R97&gt;=TODAY()),$R97,99999),IF(AND(ISNUMBER($S97),$S97&gt;=TODAY()),$S97,99999),IF(AND(ISNUMBER($T97),$T97&gt;=TODAY()),$T97,99999),IF(AND(ISNUMBER($U97),$U97&gt;=TODAY()),$U97,99999),IF(AND(ISNUMBER($V97),$V97&gt;=TODAY()),$V97,99999))))</f>
        <v/>
      </c>
      <c r="L97" s="27" t="n"/>
      <c r="M97" s="27" t="n"/>
      <c r="N97" s="27" t="n"/>
      <c r="O97" s="27" t="n"/>
      <c r="P97" s="27" t="n"/>
      <c r="Q97" s="27" t="n"/>
      <c r="R97" s="27" t="n"/>
      <c r="S97" s="27" t="n"/>
      <c r="T97" s="27" t="n"/>
      <c r="U97" s="27" t="n"/>
      <c r="V97" s="27" t="n"/>
      <c r="W97" s="27" t="n"/>
      <c r="X97" s="27" t="n"/>
      <c r="Y97" s="27" t="n"/>
      <c r="Z97" s="30" t="n"/>
      <c r="AA97" s="25" t="n"/>
      <c r="AB97" s="28">
        <f>IF(NOT(AND($A97&lt;&gt;"",OR($G97="",$G97="Active"))),"",IF(OR(IF(OR(ISNUMBER($V97),$V97="DNA"),$V97,IF(OR(ISNUMBER($U97),$U97="DNA"),$U97,IF(OR(ISNUMBER($T97),$T97="DNA"),$T97,IF(OR(ISNUMBER($S97),$S97="DNA"),$S97,IF(OR(ISNUMBER($R97),$R97="DNA"),$R97,IF(OR(ISNUMBER($Q97),$Q97="DNA"),$Q97,IF(OR(ISNUMBER($N97),$N97="DNA"),$N97,IF(OR(ISNUMBER($M97),$M97="DNA"),$M97,IF(OR(ISNUMBER($L97),$L97="DNA"),$L97,"")))))))))="DNA",AND(ISNUMBER(IF(OR(ISNUMBER($V97),$V97="DNA"),$V97,IF(OR(ISNUMBER($U97),$U97="DNA"),$U97,IF(OR(ISNUMBER($T97),$T97="DNA"),$T97,IF(OR(ISNUMBER($S97),$S97="DNA"),$S97,IF(OR(ISNUMBER($R97),$R97="DNA"),$R97,IF(OR(ISNUMBER($Q97),$Q97="DNA"),$Q97,IF(OR(ISNUMBER($N97),$N97="DNA"),$N97,IF(OR(ISNUMBER($M97),$M97="DNA"),$M97,IF(OR(ISNUMBER($L97),$L97="DNA"),$L97,"")))))))))),IF(OR(ISNUMBER($V97),$V97="DNA"),$V97,IF(OR(ISNUMBER($U97),$U97="DNA"),$U97,IF(OR(ISNUMBER($T97),$T97="DNA"),$T97,IF(OR(ISNUMBER($S97),$S97="DNA"),$S97,IF(OR(ISNUMBER($R97),$R97="DNA"),$R97,IF(OR(ISNUMBER($Q97),$Q97="DNA"),$Q97,IF(OR(ISNUMBER($N97),$N97="DNA"),$N97,IF(OR(ISNUMBER($M97),$M97="DNA"),$M97,IF(OR(ISNUMBER($L97),$L97="DNA"),$L97,"")))))))))&lt;TODAY())),1,0)+ISNUMBER($O97)*($O97&lt;TODAY())+ISNUMBER($P97)*($P97&lt;TODAY())+ISNUMBER($X97)*($X97&lt;TODAY())+ISNUMBER($Y97)*($Y97&lt;TODAY()))</f>
        <v/>
      </c>
    </row>
    <row r="98">
      <c r="A98" s="25" t="n"/>
      <c r="B98" s="26" t="n"/>
      <c r="C98" s="27" t="n"/>
      <c r="D98" s="25" t="n"/>
      <c r="E98" s="25" t="n"/>
      <c r="F98" s="27" t="n"/>
      <c r="G98" s="25" t="n"/>
      <c r="H98" s="28">
        <f>IF(OR(NOT(AND($A98&lt;&gt;"",OR($G98="",$G98="Active"))),$F98=""),"",INT((TODAY()-$F98+280)/7)&amp;"+"&amp;MOD(TODAY()-$F98+280,7))</f>
        <v/>
      </c>
      <c r="I98" s="28">
        <f>IF(NOT(AND($A98&lt;&gt;"",OR($G98="",$G98="Active"))),"",ISNUMBER($L98)*($L98&gt;=TODAY())*($L98&lt;=TODAY()+7)+ISNUMBER($M98)*($M98&gt;=TODAY())*($M98&lt;=TODAY()+7)+ISNUMBER($N98)*($N98&gt;=TODAY())*($N98&lt;=TODAY()+7)+ISNUMBER($Q98)*($Q98&gt;=TODAY())*($Q98&lt;=TODAY()+7)+ISNUMBER($R98)*($R98&gt;=TODAY())*($R98&lt;=TODAY()+7)+ISNUMBER($S98)*($S98&gt;=TODAY())*($S98&lt;=TODAY()+7)+ISNUMBER($T98)*($T98&gt;=TODAY())*($T98&lt;=TODAY()+7)+ISNUMBER($U98)*($U98&gt;=TODAY())*($U98&lt;=TODAY()+7)+ISNUMBER($V98)*($V98&gt;=TODAY())*($V98&lt;=TODAY()+7)+ISNUMBER($O98)*($O98&gt;=TODAY())*($O98&lt;=TODAY()+7)+ISNUMBER($P98)*($P98&gt;=TODAY())*($P98&lt;=TODAY()+7)+ISNUMBER($X98)*($X98&gt;=TODAY())*($X98&lt;=TODAY()+7)+ISNUMBER($Y98)*($Y98&gt;=TODAY())*($Y98&lt;=TODAY()+7))</f>
        <v/>
      </c>
      <c r="J98" s="28">
        <f>IF(NOT(AND($A98&lt;&gt;"",OR($G98="",$G98="Active"))),"",IF($K98&lt;&gt;"",IF($L98=$K98,"Booking",IF($M98=$K98,"16/40",IF($N98=$K98,"25/40",IF($Q98=$K98,"28/40",IF($R98=$K98,"31/40",IF($S98=$K98,"34/40",IF($T98=$K98,"36/40",IF($U98=$K98,"38/40",IF($V98=$K98,"40/40",""))))))))),IF(IF(OR(ISNUMBER($V98),$V98="DNA"),$V98,IF(OR(ISNUMBER($U98),$U98="DNA"),$U98,IF(OR(ISNUMBER($T98),$T98="DNA"),$T98,IF(OR(ISNUMBER($S98),$S98="DNA"),$S98,IF(OR(ISNUMBER($R98),$R98="DNA"),$R98,IF(OR(ISNUMBER($Q98),$Q98="DNA"),$Q98,IF(OR(ISNUMBER($N98),$N98="DNA"),$N98,IF(OR(ISNUMBER($M98),$M98="DNA"),$M98,IF(OR(ISNUMBER($L98),$L98="DNA"),$L98,"")))))))))="DNA","Rebook DNA",IF(ISNUMBER(IF(OR(ISNUMBER($V98),$V98="DNA"),$V98,IF(OR(ISNUMBER($U98),$U98="DNA"),$U98,IF(OR(ISNUMBER($T98),$T98="DNA"),$T98,IF(OR(ISNUMBER($S98),$S98="DNA"),$S98,IF(OR(ISNUMBER($R98),$R98="DNA"),$R98,IF(OR(ISNUMBER($Q98),$Q98="DNA"),$Q98,IF(OR(ISNUMBER($N98),$N98="DNA"),$N98,IF(OR(ISNUMBER($M98),$M98="DNA"),$M98,IF(OR(ISNUMBER($L98),$L98="DNA"),$L98,"")))))))))),IF(ISNUMBER($V98),"Update status","Missed/not booked?"),""))))</f>
        <v/>
      </c>
      <c r="K98" s="29">
        <f>IF(NOT(AND($A98&lt;&gt;"",OR($G98="",$G98="Active"))),"",IF(MIN(IF(AND(ISNUMBER($L98),$L98&gt;=TODAY()),$L98,99999),IF(AND(ISNUMBER($M98),$M98&gt;=TODAY()),$M98,99999),IF(AND(ISNUMBER($N98),$N98&gt;=TODAY()),$N98,99999),IF(AND(ISNUMBER($Q98),$Q98&gt;=TODAY()),$Q98,99999),IF(AND(ISNUMBER($R98),$R98&gt;=TODAY()),$R98,99999),IF(AND(ISNUMBER($S98),$S98&gt;=TODAY()),$S98,99999),IF(AND(ISNUMBER($T98),$T98&gt;=TODAY()),$T98,99999),IF(AND(ISNUMBER($U98),$U98&gt;=TODAY()),$U98,99999),IF(AND(ISNUMBER($V98),$V98&gt;=TODAY()),$V98,99999))=99999,"",MIN(IF(AND(ISNUMBER($L98),$L98&gt;=TODAY()),$L98,99999),IF(AND(ISNUMBER($M98),$M98&gt;=TODAY()),$M98,99999),IF(AND(ISNUMBER($N98),$N98&gt;=TODAY()),$N98,99999),IF(AND(ISNUMBER($Q98),$Q98&gt;=TODAY()),$Q98,99999),IF(AND(ISNUMBER($R98),$R98&gt;=TODAY()),$R98,99999),IF(AND(ISNUMBER($S98),$S98&gt;=TODAY()),$S98,99999),IF(AND(ISNUMBER($T98),$T98&gt;=TODAY()),$T98,99999),IF(AND(ISNUMBER($U98),$U98&gt;=TODAY()),$U98,99999),IF(AND(ISNUMBER($V98),$V98&gt;=TODAY()),$V98,99999))))</f>
        <v/>
      </c>
      <c r="L98" s="27" t="n"/>
      <c r="M98" s="27" t="n"/>
      <c r="N98" s="27" t="n"/>
      <c r="O98" s="27" t="n"/>
      <c r="P98" s="27" t="n"/>
      <c r="Q98" s="27" t="n"/>
      <c r="R98" s="27" t="n"/>
      <c r="S98" s="27" t="n"/>
      <c r="T98" s="27" t="n"/>
      <c r="U98" s="27" t="n"/>
      <c r="V98" s="27" t="n"/>
      <c r="W98" s="27" t="n"/>
      <c r="X98" s="27" t="n"/>
      <c r="Y98" s="27" t="n"/>
      <c r="Z98" s="30" t="n"/>
      <c r="AA98" s="25" t="n"/>
      <c r="AB98" s="28">
        <f>IF(NOT(AND($A98&lt;&gt;"",OR($G98="",$G98="Active"))),"",IF(OR(IF(OR(ISNUMBER($V98),$V98="DNA"),$V98,IF(OR(ISNUMBER($U98),$U98="DNA"),$U98,IF(OR(ISNUMBER($T98),$T98="DNA"),$T98,IF(OR(ISNUMBER($S98),$S98="DNA"),$S98,IF(OR(ISNUMBER($R98),$R98="DNA"),$R98,IF(OR(ISNUMBER($Q98),$Q98="DNA"),$Q98,IF(OR(ISNUMBER($N98),$N98="DNA"),$N98,IF(OR(ISNUMBER($M98),$M98="DNA"),$M98,IF(OR(ISNUMBER($L98),$L98="DNA"),$L98,"")))))))))="DNA",AND(ISNUMBER(IF(OR(ISNUMBER($V98),$V98="DNA"),$V98,IF(OR(ISNUMBER($U98),$U98="DNA"),$U98,IF(OR(ISNUMBER($T98),$T98="DNA"),$T98,IF(OR(ISNUMBER($S98),$S98="DNA"),$S98,IF(OR(ISNUMBER($R98),$R98="DNA"),$R98,IF(OR(ISNUMBER($Q98),$Q98="DNA"),$Q98,IF(OR(ISNUMBER($N98),$N98="DNA"),$N98,IF(OR(ISNUMBER($M98),$M98="DNA"),$M98,IF(OR(ISNUMBER($L98),$L98="DNA"),$L98,"")))))))))),IF(OR(ISNUMBER($V98),$V98="DNA"),$V98,IF(OR(ISNUMBER($U98),$U98="DNA"),$U98,IF(OR(ISNUMBER($T98),$T98="DNA"),$T98,IF(OR(ISNUMBER($S98),$S98="DNA"),$S98,IF(OR(ISNUMBER($R98),$R98="DNA"),$R98,IF(OR(ISNUMBER($Q98),$Q98="DNA"),$Q98,IF(OR(ISNUMBER($N98),$N98="DNA"),$N98,IF(OR(ISNUMBER($M98),$M98="DNA"),$M98,IF(OR(ISNUMBER($L98),$L98="DNA"),$L98,"")))))))))&lt;TODAY())),1,0)+ISNUMBER($O98)*($O98&lt;TODAY())+ISNUMBER($P98)*($P98&lt;TODAY())+ISNUMBER($X98)*($X98&lt;TODAY())+ISNUMBER($Y98)*($Y98&lt;TODAY()))</f>
        <v/>
      </c>
    </row>
    <row r="99">
      <c r="A99" s="25" t="n"/>
      <c r="B99" s="26" t="n"/>
      <c r="C99" s="27" t="n"/>
      <c r="D99" s="25" t="n"/>
      <c r="E99" s="25" t="n"/>
      <c r="F99" s="27" t="n"/>
      <c r="G99" s="25" t="n"/>
      <c r="H99" s="28">
        <f>IF(OR(NOT(AND($A99&lt;&gt;"",OR($G99="",$G99="Active"))),$F99=""),"",INT((TODAY()-$F99+280)/7)&amp;"+"&amp;MOD(TODAY()-$F99+280,7))</f>
        <v/>
      </c>
      <c r="I99" s="28">
        <f>IF(NOT(AND($A99&lt;&gt;"",OR($G99="",$G99="Active"))),"",ISNUMBER($L99)*($L99&gt;=TODAY())*($L99&lt;=TODAY()+7)+ISNUMBER($M99)*($M99&gt;=TODAY())*($M99&lt;=TODAY()+7)+ISNUMBER($N99)*($N99&gt;=TODAY())*($N99&lt;=TODAY()+7)+ISNUMBER($Q99)*($Q99&gt;=TODAY())*($Q99&lt;=TODAY()+7)+ISNUMBER($R99)*($R99&gt;=TODAY())*($R99&lt;=TODAY()+7)+ISNUMBER($S99)*($S99&gt;=TODAY())*($S99&lt;=TODAY()+7)+ISNUMBER($T99)*($T99&gt;=TODAY())*($T99&lt;=TODAY()+7)+ISNUMBER($U99)*($U99&gt;=TODAY())*($U99&lt;=TODAY()+7)+ISNUMBER($V99)*($V99&gt;=TODAY())*($V99&lt;=TODAY()+7)+ISNUMBER($O99)*($O99&gt;=TODAY())*($O99&lt;=TODAY()+7)+ISNUMBER($P99)*($P99&gt;=TODAY())*($P99&lt;=TODAY()+7)+ISNUMBER($X99)*($X99&gt;=TODAY())*($X99&lt;=TODAY()+7)+ISNUMBER($Y99)*($Y99&gt;=TODAY())*($Y99&lt;=TODAY()+7))</f>
        <v/>
      </c>
      <c r="J99" s="28">
        <f>IF(NOT(AND($A99&lt;&gt;"",OR($G99="",$G99="Active"))),"",IF($K99&lt;&gt;"",IF($L99=$K99,"Booking",IF($M99=$K99,"16/40",IF($N99=$K99,"25/40",IF($Q99=$K99,"28/40",IF($R99=$K99,"31/40",IF($S99=$K99,"34/40",IF($T99=$K99,"36/40",IF($U99=$K99,"38/40",IF($V99=$K99,"40/40",""))))))))),IF(IF(OR(ISNUMBER($V99),$V99="DNA"),$V99,IF(OR(ISNUMBER($U99),$U99="DNA"),$U99,IF(OR(ISNUMBER($T99),$T99="DNA"),$T99,IF(OR(ISNUMBER($S99),$S99="DNA"),$S99,IF(OR(ISNUMBER($R99),$R99="DNA"),$R99,IF(OR(ISNUMBER($Q99),$Q99="DNA"),$Q99,IF(OR(ISNUMBER($N99),$N99="DNA"),$N99,IF(OR(ISNUMBER($M99),$M99="DNA"),$M99,IF(OR(ISNUMBER($L99),$L99="DNA"),$L99,"")))))))))="DNA","Rebook DNA",IF(ISNUMBER(IF(OR(ISNUMBER($V99),$V99="DNA"),$V99,IF(OR(ISNUMBER($U99),$U99="DNA"),$U99,IF(OR(ISNUMBER($T99),$T99="DNA"),$T99,IF(OR(ISNUMBER($S99),$S99="DNA"),$S99,IF(OR(ISNUMBER($R99),$R99="DNA"),$R99,IF(OR(ISNUMBER($Q99),$Q99="DNA"),$Q99,IF(OR(ISNUMBER($N99),$N99="DNA"),$N99,IF(OR(ISNUMBER($M99),$M99="DNA"),$M99,IF(OR(ISNUMBER($L99),$L99="DNA"),$L99,"")))))))))),IF(ISNUMBER($V99),"Update status","Missed/not booked?"),""))))</f>
        <v/>
      </c>
      <c r="K99" s="29">
        <f>IF(NOT(AND($A99&lt;&gt;"",OR($G99="",$G99="Active"))),"",IF(MIN(IF(AND(ISNUMBER($L99),$L99&gt;=TODAY()),$L99,99999),IF(AND(ISNUMBER($M99),$M99&gt;=TODAY()),$M99,99999),IF(AND(ISNUMBER($N99),$N99&gt;=TODAY()),$N99,99999),IF(AND(ISNUMBER($Q99),$Q99&gt;=TODAY()),$Q99,99999),IF(AND(ISNUMBER($R99),$R99&gt;=TODAY()),$R99,99999),IF(AND(ISNUMBER($S99),$S99&gt;=TODAY()),$S99,99999),IF(AND(ISNUMBER($T99),$T99&gt;=TODAY()),$T99,99999),IF(AND(ISNUMBER($U99),$U99&gt;=TODAY()),$U99,99999),IF(AND(ISNUMBER($V99),$V99&gt;=TODAY()),$V99,99999))=99999,"",MIN(IF(AND(ISNUMBER($L99),$L99&gt;=TODAY()),$L99,99999),IF(AND(ISNUMBER($M99),$M99&gt;=TODAY()),$M99,99999),IF(AND(ISNUMBER($N99),$N99&gt;=TODAY()),$N99,99999),IF(AND(ISNUMBER($Q99),$Q99&gt;=TODAY()),$Q99,99999),IF(AND(ISNUMBER($R99),$R99&gt;=TODAY()),$R99,99999),IF(AND(ISNUMBER($S99),$S99&gt;=TODAY()),$S99,99999),IF(AND(ISNUMBER($T99),$T99&gt;=TODAY()),$T99,99999),IF(AND(ISNUMBER($U99),$U99&gt;=TODAY()),$U99,99999),IF(AND(ISNUMBER($V99),$V99&gt;=TODAY()),$V99,99999))))</f>
        <v/>
      </c>
      <c r="L99" s="27" t="n"/>
      <c r="M99" s="27" t="n"/>
      <c r="N99" s="27" t="n"/>
      <c r="O99" s="27" t="n"/>
      <c r="P99" s="27" t="n"/>
      <c r="Q99" s="27" t="n"/>
      <c r="R99" s="27" t="n"/>
      <c r="S99" s="27" t="n"/>
      <c r="T99" s="27" t="n"/>
      <c r="U99" s="27" t="n"/>
      <c r="V99" s="27" t="n"/>
      <c r="W99" s="27" t="n"/>
      <c r="X99" s="27" t="n"/>
      <c r="Y99" s="27" t="n"/>
      <c r="Z99" s="30" t="n"/>
      <c r="AA99" s="25" t="n"/>
      <c r="AB99" s="28">
        <f>IF(NOT(AND($A99&lt;&gt;"",OR($G99="",$G99="Active"))),"",IF(OR(IF(OR(ISNUMBER($V99),$V99="DNA"),$V99,IF(OR(ISNUMBER($U99),$U99="DNA"),$U99,IF(OR(ISNUMBER($T99),$T99="DNA"),$T99,IF(OR(ISNUMBER($S99),$S99="DNA"),$S99,IF(OR(ISNUMBER($R99),$R99="DNA"),$R99,IF(OR(ISNUMBER($Q99),$Q99="DNA"),$Q99,IF(OR(ISNUMBER($N99),$N99="DNA"),$N99,IF(OR(ISNUMBER($M99),$M99="DNA"),$M99,IF(OR(ISNUMBER($L99),$L99="DNA"),$L99,"")))))))))="DNA",AND(ISNUMBER(IF(OR(ISNUMBER($V99),$V99="DNA"),$V99,IF(OR(ISNUMBER($U99),$U99="DNA"),$U99,IF(OR(ISNUMBER($T99),$T99="DNA"),$T99,IF(OR(ISNUMBER($S99),$S99="DNA"),$S99,IF(OR(ISNUMBER($R99),$R99="DNA"),$R99,IF(OR(ISNUMBER($Q99),$Q99="DNA"),$Q99,IF(OR(ISNUMBER($N99),$N99="DNA"),$N99,IF(OR(ISNUMBER($M99),$M99="DNA"),$M99,IF(OR(ISNUMBER($L99),$L99="DNA"),$L99,"")))))))))),IF(OR(ISNUMBER($V99),$V99="DNA"),$V99,IF(OR(ISNUMBER($U99),$U99="DNA"),$U99,IF(OR(ISNUMBER($T99),$T99="DNA"),$T99,IF(OR(ISNUMBER($S99),$S99="DNA"),$S99,IF(OR(ISNUMBER($R99),$R99="DNA"),$R99,IF(OR(ISNUMBER($Q99),$Q99="DNA"),$Q99,IF(OR(ISNUMBER($N99),$N99="DNA"),$N99,IF(OR(ISNUMBER($M99),$M99="DNA"),$M99,IF(OR(ISNUMBER($L99),$L99="DNA"),$L99,"")))))))))&lt;TODAY())),1,0)+ISNUMBER($O99)*($O99&lt;TODAY())+ISNUMBER($P99)*($P99&lt;TODAY())+ISNUMBER($X99)*($X99&lt;TODAY())+ISNUMBER($Y99)*($Y99&lt;TODAY()))</f>
        <v/>
      </c>
    </row>
    <row r="100">
      <c r="A100" s="25" t="n"/>
      <c r="B100" s="26" t="n"/>
      <c r="C100" s="27" t="n"/>
      <c r="D100" s="25" t="n"/>
      <c r="E100" s="25" t="n"/>
      <c r="F100" s="27" t="n"/>
      <c r="G100" s="25" t="n"/>
      <c r="H100" s="28">
        <f>IF(OR(NOT(AND($A100&lt;&gt;"",OR($G100="",$G100="Active"))),$F100=""),"",INT((TODAY()-$F100+280)/7)&amp;"+"&amp;MOD(TODAY()-$F100+280,7))</f>
        <v/>
      </c>
      <c r="I100" s="28">
        <f>IF(NOT(AND($A100&lt;&gt;"",OR($G100="",$G100="Active"))),"",ISNUMBER($L100)*($L100&gt;=TODAY())*($L100&lt;=TODAY()+7)+ISNUMBER($M100)*($M100&gt;=TODAY())*($M100&lt;=TODAY()+7)+ISNUMBER($N100)*($N100&gt;=TODAY())*($N100&lt;=TODAY()+7)+ISNUMBER($Q100)*($Q100&gt;=TODAY())*($Q100&lt;=TODAY()+7)+ISNUMBER($R100)*($R100&gt;=TODAY())*($R100&lt;=TODAY()+7)+ISNUMBER($S100)*($S100&gt;=TODAY())*($S100&lt;=TODAY()+7)+ISNUMBER($T100)*($T100&gt;=TODAY())*($T100&lt;=TODAY()+7)+ISNUMBER($U100)*($U100&gt;=TODAY())*($U100&lt;=TODAY()+7)+ISNUMBER($V100)*($V100&gt;=TODAY())*($V100&lt;=TODAY()+7)+ISNUMBER($O100)*($O100&gt;=TODAY())*($O100&lt;=TODAY()+7)+ISNUMBER($P100)*($P100&gt;=TODAY())*($P100&lt;=TODAY()+7)+ISNUMBER($X100)*($X100&gt;=TODAY())*($X100&lt;=TODAY()+7)+ISNUMBER($Y100)*($Y100&gt;=TODAY())*($Y100&lt;=TODAY()+7))</f>
        <v/>
      </c>
      <c r="J100" s="28">
        <f>IF(NOT(AND($A100&lt;&gt;"",OR($G100="",$G100="Active"))),"",IF($K100&lt;&gt;"",IF($L100=$K100,"Booking",IF($M100=$K100,"16/40",IF($N100=$K100,"25/40",IF($Q100=$K100,"28/40",IF($R100=$K100,"31/40",IF($S100=$K100,"34/40",IF($T100=$K100,"36/40",IF($U100=$K100,"38/40",IF($V100=$K100,"40/40",""))))))))),IF(IF(OR(ISNUMBER($V100),$V100="DNA"),$V100,IF(OR(ISNUMBER($U100),$U100="DNA"),$U100,IF(OR(ISNUMBER($T100),$T100="DNA"),$T100,IF(OR(ISNUMBER($S100),$S100="DNA"),$S100,IF(OR(ISNUMBER($R100),$R100="DNA"),$R100,IF(OR(ISNUMBER($Q100),$Q100="DNA"),$Q100,IF(OR(ISNUMBER($N100),$N100="DNA"),$N100,IF(OR(ISNUMBER($M100),$M100="DNA"),$M100,IF(OR(ISNUMBER($L100),$L100="DNA"),$L100,"")))))))))="DNA","Rebook DNA",IF(ISNUMBER(IF(OR(ISNUMBER($V100),$V100="DNA"),$V100,IF(OR(ISNUMBER($U100),$U100="DNA"),$U100,IF(OR(ISNUMBER($T100),$T100="DNA"),$T100,IF(OR(ISNUMBER($S100),$S100="DNA"),$S100,IF(OR(ISNUMBER($R100),$R100="DNA"),$R100,IF(OR(ISNUMBER($Q100),$Q100="DNA"),$Q100,IF(OR(ISNUMBER($N100),$N100="DNA"),$N100,IF(OR(ISNUMBER($M100),$M100="DNA"),$M100,IF(OR(ISNUMBER($L100),$L100="DNA"),$L100,"")))))))))),IF(ISNUMBER($V100),"Update status","Missed/not booked?"),""))))</f>
        <v/>
      </c>
      <c r="K100" s="29">
        <f>IF(NOT(AND($A100&lt;&gt;"",OR($G100="",$G100="Active"))),"",IF(MIN(IF(AND(ISNUMBER($L100),$L100&gt;=TODAY()),$L100,99999),IF(AND(ISNUMBER($M100),$M100&gt;=TODAY()),$M100,99999),IF(AND(ISNUMBER($N100),$N100&gt;=TODAY()),$N100,99999),IF(AND(ISNUMBER($Q100),$Q100&gt;=TODAY()),$Q100,99999),IF(AND(ISNUMBER($R100),$R100&gt;=TODAY()),$R100,99999),IF(AND(ISNUMBER($S100),$S100&gt;=TODAY()),$S100,99999),IF(AND(ISNUMBER($T100),$T100&gt;=TODAY()),$T100,99999),IF(AND(ISNUMBER($U100),$U100&gt;=TODAY()),$U100,99999),IF(AND(ISNUMBER($V100),$V100&gt;=TODAY()),$V100,99999))=99999,"",MIN(IF(AND(ISNUMBER($L100),$L100&gt;=TODAY()),$L100,99999),IF(AND(ISNUMBER($M100),$M100&gt;=TODAY()),$M100,99999),IF(AND(ISNUMBER($N100),$N100&gt;=TODAY()),$N100,99999),IF(AND(ISNUMBER($Q100),$Q100&gt;=TODAY()),$Q100,99999),IF(AND(ISNUMBER($R100),$R100&gt;=TODAY()),$R100,99999),IF(AND(ISNUMBER($S100),$S100&gt;=TODAY()),$S100,99999),IF(AND(ISNUMBER($T100),$T100&gt;=TODAY()),$T100,99999),IF(AND(ISNUMBER($U100),$U100&gt;=TODAY()),$U100,99999),IF(AND(ISNUMBER($V100),$V100&gt;=TODAY()),$V100,99999))))</f>
        <v/>
      </c>
      <c r="L100" s="27" t="n"/>
      <c r="M100" s="27" t="n"/>
      <c r="N100" s="27" t="n"/>
      <c r="O100" s="27" t="n"/>
      <c r="P100" s="27" t="n"/>
      <c r="Q100" s="27" t="n"/>
      <c r="R100" s="27" t="n"/>
      <c r="S100" s="27" t="n"/>
      <c r="T100" s="27" t="n"/>
      <c r="U100" s="27" t="n"/>
      <c r="V100" s="27" t="n"/>
      <c r="W100" s="27" t="n"/>
      <c r="X100" s="27" t="n"/>
      <c r="Y100" s="27" t="n"/>
      <c r="Z100" s="30" t="n"/>
      <c r="AA100" s="25" t="n"/>
      <c r="AB100" s="28">
        <f>IF(NOT(AND($A100&lt;&gt;"",OR($G100="",$G100="Active"))),"",IF(OR(IF(OR(ISNUMBER($V100),$V100="DNA"),$V100,IF(OR(ISNUMBER($U100),$U100="DNA"),$U100,IF(OR(ISNUMBER($T100),$T100="DNA"),$T100,IF(OR(ISNUMBER($S100),$S100="DNA"),$S100,IF(OR(ISNUMBER($R100),$R100="DNA"),$R100,IF(OR(ISNUMBER($Q100),$Q100="DNA"),$Q100,IF(OR(ISNUMBER($N100),$N100="DNA"),$N100,IF(OR(ISNUMBER($M100),$M100="DNA"),$M100,IF(OR(ISNUMBER($L100),$L100="DNA"),$L100,"")))))))))="DNA",AND(ISNUMBER(IF(OR(ISNUMBER($V100),$V100="DNA"),$V100,IF(OR(ISNUMBER($U100),$U100="DNA"),$U100,IF(OR(ISNUMBER($T100),$T100="DNA"),$T100,IF(OR(ISNUMBER($S100),$S100="DNA"),$S100,IF(OR(ISNUMBER($R100),$R100="DNA"),$R100,IF(OR(ISNUMBER($Q100),$Q100="DNA"),$Q100,IF(OR(ISNUMBER($N100),$N100="DNA"),$N100,IF(OR(ISNUMBER($M100),$M100="DNA"),$M100,IF(OR(ISNUMBER($L100),$L100="DNA"),$L100,"")))))))))),IF(OR(ISNUMBER($V100),$V100="DNA"),$V100,IF(OR(ISNUMBER($U100),$U100="DNA"),$U100,IF(OR(ISNUMBER($T100),$T100="DNA"),$T100,IF(OR(ISNUMBER($S100),$S100="DNA"),$S100,IF(OR(ISNUMBER($R100),$R100="DNA"),$R100,IF(OR(ISNUMBER($Q100),$Q100="DNA"),$Q100,IF(OR(ISNUMBER($N100),$N100="DNA"),$N100,IF(OR(ISNUMBER($M100),$M100="DNA"),$M100,IF(OR(ISNUMBER($L100),$L100="DNA"),$L100,"")))))))))&lt;TODAY())),1,0)+ISNUMBER($O100)*($O100&lt;TODAY())+ISNUMBER($P100)*($P100&lt;TODAY())+ISNUMBER($X100)*($X100&lt;TODAY())+ISNUMBER($Y100)*($Y100&lt;TODAY()))</f>
        <v/>
      </c>
    </row>
    <row r="101">
      <c r="A101" s="25" t="n"/>
      <c r="B101" s="26" t="n"/>
      <c r="C101" s="27" t="n"/>
      <c r="D101" s="25" t="n"/>
      <c r="E101" s="25" t="n"/>
      <c r="F101" s="27" t="n"/>
      <c r="G101" s="25" t="n"/>
      <c r="H101" s="28">
        <f>IF(OR(NOT(AND($A101&lt;&gt;"",OR($G101="",$G101="Active"))),$F101=""),"",INT((TODAY()-$F101+280)/7)&amp;"+"&amp;MOD(TODAY()-$F101+280,7))</f>
        <v/>
      </c>
      <c r="I101" s="28">
        <f>IF(NOT(AND($A101&lt;&gt;"",OR($G101="",$G101="Active"))),"",ISNUMBER($L101)*($L101&gt;=TODAY())*($L101&lt;=TODAY()+7)+ISNUMBER($M101)*($M101&gt;=TODAY())*($M101&lt;=TODAY()+7)+ISNUMBER($N101)*($N101&gt;=TODAY())*($N101&lt;=TODAY()+7)+ISNUMBER($Q101)*($Q101&gt;=TODAY())*($Q101&lt;=TODAY()+7)+ISNUMBER($R101)*($R101&gt;=TODAY())*($R101&lt;=TODAY()+7)+ISNUMBER($S101)*($S101&gt;=TODAY())*($S101&lt;=TODAY()+7)+ISNUMBER($T101)*($T101&gt;=TODAY())*($T101&lt;=TODAY()+7)+ISNUMBER($U101)*($U101&gt;=TODAY())*($U101&lt;=TODAY()+7)+ISNUMBER($V101)*($V101&gt;=TODAY())*($V101&lt;=TODAY()+7)+ISNUMBER($O101)*($O101&gt;=TODAY())*($O101&lt;=TODAY()+7)+ISNUMBER($P101)*($P101&gt;=TODAY())*($P101&lt;=TODAY()+7)+ISNUMBER($X101)*($X101&gt;=TODAY())*($X101&lt;=TODAY()+7)+ISNUMBER($Y101)*($Y101&gt;=TODAY())*($Y101&lt;=TODAY()+7))</f>
        <v/>
      </c>
      <c r="J101" s="28">
        <f>IF(NOT(AND($A101&lt;&gt;"",OR($G101="",$G101="Active"))),"",IF($K101&lt;&gt;"",IF($L101=$K101,"Booking",IF($M101=$K101,"16/40",IF($N101=$K101,"25/40",IF($Q101=$K101,"28/40",IF($R101=$K101,"31/40",IF($S101=$K101,"34/40",IF($T101=$K101,"36/40",IF($U101=$K101,"38/40",IF($V101=$K101,"40/40",""))))))))),IF(IF(OR(ISNUMBER($V101),$V101="DNA"),$V101,IF(OR(ISNUMBER($U101),$U101="DNA"),$U101,IF(OR(ISNUMBER($T101),$T101="DNA"),$T101,IF(OR(ISNUMBER($S101),$S101="DNA"),$S101,IF(OR(ISNUMBER($R101),$R101="DNA"),$R101,IF(OR(ISNUMBER($Q101),$Q101="DNA"),$Q101,IF(OR(ISNUMBER($N101),$N101="DNA"),$N101,IF(OR(ISNUMBER($M101),$M101="DNA"),$M101,IF(OR(ISNUMBER($L101),$L101="DNA"),$L101,"")))))))))="DNA","Rebook DNA",IF(ISNUMBER(IF(OR(ISNUMBER($V101),$V101="DNA"),$V101,IF(OR(ISNUMBER($U101),$U101="DNA"),$U101,IF(OR(ISNUMBER($T101),$T101="DNA"),$T101,IF(OR(ISNUMBER($S101),$S101="DNA"),$S101,IF(OR(ISNUMBER($R101),$R101="DNA"),$R101,IF(OR(ISNUMBER($Q101),$Q101="DNA"),$Q101,IF(OR(ISNUMBER($N101),$N101="DNA"),$N101,IF(OR(ISNUMBER($M101),$M101="DNA"),$M101,IF(OR(ISNUMBER($L101),$L101="DNA"),$L101,"")))))))))),IF(ISNUMBER($V101),"Update status","Missed/not booked?"),""))))</f>
        <v/>
      </c>
      <c r="K101" s="29">
        <f>IF(NOT(AND($A101&lt;&gt;"",OR($G101="",$G101="Active"))),"",IF(MIN(IF(AND(ISNUMBER($L101),$L101&gt;=TODAY()),$L101,99999),IF(AND(ISNUMBER($M101),$M101&gt;=TODAY()),$M101,99999),IF(AND(ISNUMBER($N101),$N101&gt;=TODAY()),$N101,99999),IF(AND(ISNUMBER($Q101),$Q101&gt;=TODAY()),$Q101,99999),IF(AND(ISNUMBER($R101),$R101&gt;=TODAY()),$R101,99999),IF(AND(ISNUMBER($S101),$S101&gt;=TODAY()),$S101,99999),IF(AND(ISNUMBER($T101),$T101&gt;=TODAY()),$T101,99999),IF(AND(ISNUMBER($U101),$U101&gt;=TODAY()),$U101,99999),IF(AND(ISNUMBER($V101),$V101&gt;=TODAY()),$V101,99999))=99999,"",MIN(IF(AND(ISNUMBER($L101),$L101&gt;=TODAY()),$L101,99999),IF(AND(ISNUMBER($M101),$M101&gt;=TODAY()),$M101,99999),IF(AND(ISNUMBER($N101),$N101&gt;=TODAY()),$N101,99999),IF(AND(ISNUMBER($Q101),$Q101&gt;=TODAY()),$Q101,99999),IF(AND(ISNUMBER($R101),$R101&gt;=TODAY()),$R101,99999),IF(AND(ISNUMBER($S101),$S101&gt;=TODAY()),$S101,99999),IF(AND(ISNUMBER($T101),$T101&gt;=TODAY()),$T101,99999),IF(AND(ISNUMBER($U101),$U101&gt;=TODAY()),$U101,99999),IF(AND(ISNUMBER($V101),$V101&gt;=TODAY()),$V101,99999))))</f>
        <v/>
      </c>
      <c r="L101" s="27" t="n"/>
      <c r="M101" s="27" t="n"/>
      <c r="N101" s="27" t="n"/>
      <c r="O101" s="27" t="n"/>
      <c r="P101" s="27" t="n"/>
      <c r="Q101" s="27" t="n"/>
      <c r="R101" s="27" t="n"/>
      <c r="S101" s="27" t="n"/>
      <c r="T101" s="27" t="n"/>
      <c r="U101" s="27" t="n"/>
      <c r="V101" s="27" t="n"/>
      <c r="W101" s="27" t="n"/>
      <c r="X101" s="27" t="n"/>
      <c r="Y101" s="27" t="n"/>
      <c r="Z101" s="30" t="n"/>
      <c r="AA101" s="25" t="n"/>
      <c r="AB101" s="28">
        <f>IF(NOT(AND($A101&lt;&gt;"",OR($G101="",$G101="Active"))),"",IF(OR(IF(OR(ISNUMBER($V101),$V101="DNA"),$V101,IF(OR(ISNUMBER($U101),$U101="DNA"),$U101,IF(OR(ISNUMBER($T101),$T101="DNA"),$T101,IF(OR(ISNUMBER($S101),$S101="DNA"),$S101,IF(OR(ISNUMBER($R101),$R101="DNA"),$R101,IF(OR(ISNUMBER($Q101),$Q101="DNA"),$Q101,IF(OR(ISNUMBER($N101),$N101="DNA"),$N101,IF(OR(ISNUMBER($M101),$M101="DNA"),$M101,IF(OR(ISNUMBER($L101),$L101="DNA"),$L101,"")))))))))="DNA",AND(ISNUMBER(IF(OR(ISNUMBER($V101),$V101="DNA"),$V101,IF(OR(ISNUMBER($U101),$U101="DNA"),$U101,IF(OR(ISNUMBER($T101),$T101="DNA"),$T101,IF(OR(ISNUMBER($S101),$S101="DNA"),$S101,IF(OR(ISNUMBER($R101),$R101="DNA"),$R101,IF(OR(ISNUMBER($Q101),$Q101="DNA"),$Q101,IF(OR(ISNUMBER($N101),$N101="DNA"),$N101,IF(OR(ISNUMBER($M101),$M101="DNA"),$M101,IF(OR(ISNUMBER($L101),$L101="DNA"),$L101,"")))))))))),IF(OR(ISNUMBER($V101),$V101="DNA"),$V101,IF(OR(ISNUMBER($U101),$U101="DNA"),$U101,IF(OR(ISNUMBER($T101),$T101="DNA"),$T101,IF(OR(ISNUMBER($S101),$S101="DNA"),$S101,IF(OR(ISNUMBER($R101),$R101="DNA"),$R101,IF(OR(ISNUMBER($Q101),$Q101="DNA"),$Q101,IF(OR(ISNUMBER($N101),$N101="DNA"),$N101,IF(OR(ISNUMBER($M101),$M101="DNA"),$M101,IF(OR(ISNUMBER($L101),$L101="DNA"),$L101,"")))))))))&lt;TODAY())),1,0)+ISNUMBER($O101)*($O101&lt;TODAY())+ISNUMBER($P101)*($P101&lt;TODAY())+ISNUMBER($X101)*($X101&lt;TODAY())+ISNUMBER($Y101)*($Y101&lt;TODAY()))</f>
        <v/>
      </c>
    </row>
    <row r="102">
      <c r="A102" s="25" t="n"/>
      <c r="B102" s="26" t="n"/>
      <c r="C102" s="27" t="n"/>
      <c r="D102" s="25" t="n"/>
      <c r="E102" s="25" t="n"/>
      <c r="F102" s="27" t="n"/>
      <c r="G102" s="25" t="n"/>
      <c r="H102" s="28">
        <f>IF(OR(NOT(AND($A102&lt;&gt;"",OR($G102="",$G102="Active"))),$F102=""),"",INT((TODAY()-$F102+280)/7)&amp;"+"&amp;MOD(TODAY()-$F102+280,7))</f>
        <v/>
      </c>
      <c r="I102" s="28">
        <f>IF(NOT(AND($A102&lt;&gt;"",OR($G102="",$G102="Active"))),"",ISNUMBER($L102)*($L102&gt;=TODAY())*($L102&lt;=TODAY()+7)+ISNUMBER($M102)*($M102&gt;=TODAY())*($M102&lt;=TODAY()+7)+ISNUMBER($N102)*($N102&gt;=TODAY())*($N102&lt;=TODAY()+7)+ISNUMBER($Q102)*($Q102&gt;=TODAY())*($Q102&lt;=TODAY()+7)+ISNUMBER($R102)*($R102&gt;=TODAY())*($R102&lt;=TODAY()+7)+ISNUMBER($S102)*($S102&gt;=TODAY())*($S102&lt;=TODAY()+7)+ISNUMBER($T102)*($T102&gt;=TODAY())*($T102&lt;=TODAY()+7)+ISNUMBER($U102)*($U102&gt;=TODAY())*($U102&lt;=TODAY()+7)+ISNUMBER($V102)*($V102&gt;=TODAY())*($V102&lt;=TODAY()+7)+ISNUMBER($O102)*($O102&gt;=TODAY())*($O102&lt;=TODAY()+7)+ISNUMBER($P102)*($P102&gt;=TODAY())*($P102&lt;=TODAY()+7)+ISNUMBER($X102)*($X102&gt;=TODAY())*($X102&lt;=TODAY()+7)+ISNUMBER($Y102)*($Y102&gt;=TODAY())*($Y102&lt;=TODAY()+7))</f>
        <v/>
      </c>
      <c r="J102" s="28">
        <f>IF(NOT(AND($A102&lt;&gt;"",OR($G102="",$G102="Active"))),"",IF($K102&lt;&gt;"",IF($L102=$K102,"Booking",IF($M102=$K102,"16/40",IF($N102=$K102,"25/40",IF($Q102=$K102,"28/40",IF($R102=$K102,"31/40",IF($S102=$K102,"34/40",IF($T102=$K102,"36/40",IF($U102=$K102,"38/40",IF($V102=$K102,"40/40",""))))))))),IF(IF(OR(ISNUMBER($V102),$V102="DNA"),$V102,IF(OR(ISNUMBER($U102),$U102="DNA"),$U102,IF(OR(ISNUMBER($T102),$T102="DNA"),$T102,IF(OR(ISNUMBER($S102),$S102="DNA"),$S102,IF(OR(ISNUMBER($R102),$R102="DNA"),$R102,IF(OR(ISNUMBER($Q102),$Q102="DNA"),$Q102,IF(OR(ISNUMBER($N102),$N102="DNA"),$N102,IF(OR(ISNUMBER($M102),$M102="DNA"),$M102,IF(OR(ISNUMBER($L102),$L102="DNA"),$L102,"")))))))))="DNA","Rebook DNA",IF(ISNUMBER(IF(OR(ISNUMBER($V102),$V102="DNA"),$V102,IF(OR(ISNUMBER($U102),$U102="DNA"),$U102,IF(OR(ISNUMBER($T102),$T102="DNA"),$T102,IF(OR(ISNUMBER($S102),$S102="DNA"),$S102,IF(OR(ISNUMBER($R102),$R102="DNA"),$R102,IF(OR(ISNUMBER($Q102),$Q102="DNA"),$Q102,IF(OR(ISNUMBER($N102),$N102="DNA"),$N102,IF(OR(ISNUMBER($M102),$M102="DNA"),$M102,IF(OR(ISNUMBER($L102),$L102="DNA"),$L102,"")))))))))),IF(ISNUMBER($V102),"Update status","Missed/not booked?"),""))))</f>
        <v/>
      </c>
      <c r="K102" s="29">
        <f>IF(NOT(AND($A102&lt;&gt;"",OR($G102="",$G102="Active"))),"",IF(MIN(IF(AND(ISNUMBER($L102),$L102&gt;=TODAY()),$L102,99999),IF(AND(ISNUMBER($M102),$M102&gt;=TODAY()),$M102,99999),IF(AND(ISNUMBER($N102),$N102&gt;=TODAY()),$N102,99999),IF(AND(ISNUMBER($Q102),$Q102&gt;=TODAY()),$Q102,99999),IF(AND(ISNUMBER($R102),$R102&gt;=TODAY()),$R102,99999),IF(AND(ISNUMBER($S102),$S102&gt;=TODAY()),$S102,99999),IF(AND(ISNUMBER($T102),$T102&gt;=TODAY()),$T102,99999),IF(AND(ISNUMBER($U102),$U102&gt;=TODAY()),$U102,99999),IF(AND(ISNUMBER($V102),$V102&gt;=TODAY()),$V102,99999))=99999,"",MIN(IF(AND(ISNUMBER($L102),$L102&gt;=TODAY()),$L102,99999),IF(AND(ISNUMBER($M102),$M102&gt;=TODAY()),$M102,99999),IF(AND(ISNUMBER($N102),$N102&gt;=TODAY()),$N102,99999),IF(AND(ISNUMBER($Q102),$Q102&gt;=TODAY()),$Q102,99999),IF(AND(ISNUMBER($R102),$R102&gt;=TODAY()),$R102,99999),IF(AND(ISNUMBER($S102),$S102&gt;=TODAY()),$S102,99999),IF(AND(ISNUMBER($T102),$T102&gt;=TODAY()),$T102,99999),IF(AND(ISNUMBER($U102),$U102&gt;=TODAY()),$U102,99999),IF(AND(ISNUMBER($V102),$V102&gt;=TODAY()),$V102,99999))))</f>
        <v/>
      </c>
      <c r="L102" s="27" t="n"/>
      <c r="M102" s="27" t="n"/>
      <c r="N102" s="27" t="n"/>
      <c r="O102" s="27" t="n"/>
      <c r="P102" s="27" t="n"/>
      <c r="Q102" s="27" t="n"/>
      <c r="R102" s="27" t="n"/>
      <c r="S102" s="27" t="n"/>
      <c r="T102" s="27" t="n"/>
      <c r="U102" s="27" t="n"/>
      <c r="V102" s="27" t="n"/>
      <c r="W102" s="27" t="n"/>
      <c r="X102" s="27" t="n"/>
      <c r="Y102" s="27" t="n"/>
      <c r="Z102" s="30" t="n"/>
      <c r="AA102" s="25" t="n"/>
      <c r="AB102" s="28">
        <f>IF(NOT(AND($A102&lt;&gt;"",OR($G102="",$G102="Active"))),"",IF(OR(IF(OR(ISNUMBER($V102),$V102="DNA"),$V102,IF(OR(ISNUMBER($U102),$U102="DNA"),$U102,IF(OR(ISNUMBER($T102),$T102="DNA"),$T102,IF(OR(ISNUMBER($S102),$S102="DNA"),$S102,IF(OR(ISNUMBER($R102),$R102="DNA"),$R102,IF(OR(ISNUMBER($Q102),$Q102="DNA"),$Q102,IF(OR(ISNUMBER($N102),$N102="DNA"),$N102,IF(OR(ISNUMBER($M102),$M102="DNA"),$M102,IF(OR(ISNUMBER($L102),$L102="DNA"),$L102,"")))))))))="DNA",AND(ISNUMBER(IF(OR(ISNUMBER($V102),$V102="DNA"),$V102,IF(OR(ISNUMBER($U102),$U102="DNA"),$U102,IF(OR(ISNUMBER($T102),$T102="DNA"),$T102,IF(OR(ISNUMBER($S102),$S102="DNA"),$S102,IF(OR(ISNUMBER($R102),$R102="DNA"),$R102,IF(OR(ISNUMBER($Q102),$Q102="DNA"),$Q102,IF(OR(ISNUMBER($N102),$N102="DNA"),$N102,IF(OR(ISNUMBER($M102),$M102="DNA"),$M102,IF(OR(ISNUMBER($L102),$L102="DNA"),$L102,"")))))))))),IF(OR(ISNUMBER($V102),$V102="DNA"),$V102,IF(OR(ISNUMBER($U102),$U102="DNA"),$U102,IF(OR(ISNUMBER($T102),$T102="DNA"),$T102,IF(OR(ISNUMBER($S102),$S102="DNA"),$S102,IF(OR(ISNUMBER($R102),$R102="DNA"),$R102,IF(OR(ISNUMBER($Q102),$Q102="DNA"),$Q102,IF(OR(ISNUMBER($N102),$N102="DNA"),$N102,IF(OR(ISNUMBER($M102),$M102="DNA"),$M102,IF(OR(ISNUMBER($L102),$L102="DNA"),$L102,"")))))))))&lt;TODAY())),1,0)+ISNUMBER($O102)*($O102&lt;TODAY())+ISNUMBER($P102)*($P102&lt;TODAY())+ISNUMBER($X102)*($X102&lt;TODAY())+ISNUMBER($Y102)*($Y102&lt;TODAY()))</f>
        <v/>
      </c>
    </row>
    <row r="103">
      <c r="A103" s="25" t="n"/>
      <c r="B103" s="26" t="n"/>
      <c r="C103" s="27" t="n"/>
      <c r="D103" s="25" t="n"/>
      <c r="E103" s="25" t="n"/>
      <c r="F103" s="27" t="n"/>
      <c r="G103" s="25" t="n"/>
      <c r="H103" s="28">
        <f>IF(OR(NOT(AND($A103&lt;&gt;"",OR($G103="",$G103="Active"))),$F103=""),"",INT((TODAY()-$F103+280)/7)&amp;"+"&amp;MOD(TODAY()-$F103+280,7))</f>
        <v/>
      </c>
      <c r="I103" s="28">
        <f>IF(NOT(AND($A103&lt;&gt;"",OR($G103="",$G103="Active"))),"",ISNUMBER($L103)*($L103&gt;=TODAY())*($L103&lt;=TODAY()+7)+ISNUMBER($M103)*($M103&gt;=TODAY())*($M103&lt;=TODAY()+7)+ISNUMBER($N103)*($N103&gt;=TODAY())*($N103&lt;=TODAY()+7)+ISNUMBER($Q103)*($Q103&gt;=TODAY())*($Q103&lt;=TODAY()+7)+ISNUMBER($R103)*($R103&gt;=TODAY())*($R103&lt;=TODAY()+7)+ISNUMBER($S103)*($S103&gt;=TODAY())*($S103&lt;=TODAY()+7)+ISNUMBER($T103)*($T103&gt;=TODAY())*($T103&lt;=TODAY()+7)+ISNUMBER($U103)*($U103&gt;=TODAY())*($U103&lt;=TODAY()+7)+ISNUMBER($V103)*($V103&gt;=TODAY())*($V103&lt;=TODAY()+7)+ISNUMBER($O103)*($O103&gt;=TODAY())*($O103&lt;=TODAY()+7)+ISNUMBER($P103)*($P103&gt;=TODAY())*($P103&lt;=TODAY()+7)+ISNUMBER($X103)*($X103&gt;=TODAY())*($X103&lt;=TODAY()+7)+ISNUMBER($Y103)*($Y103&gt;=TODAY())*($Y103&lt;=TODAY()+7))</f>
        <v/>
      </c>
      <c r="J103" s="28">
        <f>IF(NOT(AND($A103&lt;&gt;"",OR($G103="",$G103="Active"))),"",IF($K103&lt;&gt;"",IF($L103=$K103,"Booking",IF($M103=$K103,"16/40",IF($N103=$K103,"25/40",IF($Q103=$K103,"28/40",IF($R103=$K103,"31/40",IF($S103=$K103,"34/40",IF($T103=$K103,"36/40",IF($U103=$K103,"38/40",IF($V103=$K103,"40/40",""))))))))),IF(IF(OR(ISNUMBER($V103),$V103="DNA"),$V103,IF(OR(ISNUMBER($U103),$U103="DNA"),$U103,IF(OR(ISNUMBER($T103),$T103="DNA"),$T103,IF(OR(ISNUMBER($S103),$S103="DNA"),$S103,IF(OR(ISNUMBER($R103),$R103="DNA"),$R103,IF(OR(ISNUMBER($Q103),$Q103="DNA"),$Q103,IF(OR(ISNUMBER($N103),$N103="DNA"),$N103,IF(OR(ISNUMBER($M103),$M103="DNA"),$M103,IF(OR(ISNUMBER($L103),$L103="DNA"),$L103,"")))))))))="DNA","Rebook DNA",IF(ISNUMBER(IF(OR(ISNUMBER($V103),$V103="DNA"),$V103,IF(OR(ISNUMBER($U103),$U103="DNA"),$U103,IF(OR(ISNUMBER($T103),$T103="DNA"),$T103,IF(OR(ISNUMBER($S103),$S103="DNA"),$S103,IF(OR(ISNUMBER($R103),$R103="DNA"),$R103,IF(OR(ISNUMBER($Q103),$Q103="DNA"),$Q103,IF(OR(ISNUMBER($N103),$N103="DNA"),$N103,IF(OR(ISNUMBER($M103),$M103="DNA"),$M103,IF(OR(ISNUMBER($L103),$L103="DNA"),$L103,"")))))))))),IF(ISNUMBER($V103),"Update status","Missed/not booked?"),""))))</f>
        <v/>
      </c>
      <c r="K103" s="29">
        <f>IF(NOT(AND($A103&lt;&gt;"",OR($G103="",$G103="Active"))),"",IF(MIN(IF(AND(ISNUMBER($L103),$L103&gt;=TODAY()),$L103,99999),IF(AND(ISNUMBER($M103),$M103&gt;=TODAY()),$M103,99999),IF(AND(ISNUMBER($N103),$N103&gt;=TODAY()),$N103,99999),IF(AND(ISNUMBER($Q103),$Q103&gt;=TODAY()),$Q103,99999),IF(AND(ISNUMBER($R103),$R103&gt;=TODAY()),$R103,99999),IF(AND(ISNUMBER($S103),$S103&gt;=TODAY()),$S103,99999),IF(AND(ISNUMBER($T103),$T103&gt;=TODAY()),$T103,99999),IF(AND(ISNUMBER($U103),$U103&gt;=TODAY()),$U103,99999),IF(AND(ISNUMBER($V103),$V103&gt;=TODAY()),$V103,99999))=99999,"",MIN(IF(AND(ISNUMBER($L103),$L103&gt;=TODAY()),$L103,99999),IF(AND(ISNUMBER($M103),$M103&gt;=TODAY()),$M103,99999),IF(AND(ISNUMBER($N103),$N103&gt;=TODAY()),$N103,99999),IF(AND(ISNUMBER($Q103),$Q103&gt;=TODAY()),$Q103,99999),IF(AND(ISNUMBER($R103),$R103&gt;=TODAY()),$R103,99999),IF(AND(ISNUMBER($S103),$S103&gt;=TODAY()),$S103,99999),IF(AND(ISNUMBER($T103),$T103&gt;=TODAY()),$T103,99999),IF(AND(ISNUMBER($U103),$U103&gt;=TODAY()),$U103,99999),IF(AND(ISNUMBER($V103),$V103&gt;=TODAY()),$V103,99999))))</f>
        <v/>
      </c>
      <c r="L103" s="27" t="n"/>
      <c r="M103" s="27" t="n"/>
      <c r="N103" s="27" t="n"/>
      <c r="O103" s="27" t="n"/>
      <c r="P103" s="27" t="n"/>
      <c r="Q103" s="27" t="n"/>
      <c r="R103" s="27" t="n"/>
      <c r="S103" s="27" t="n"/>
      <c r="T103" s="27" t="n"/>
      <c r="U103" s="27" t="n"/>
      <c r="V103" s="27" t="n"/>
      <c r="W103" s="27" t="n"/>
      <c r="X103" s="27" t="n"/>
      <c r="Y103" s="27" t="n"/>
      <c r="Z103" s="30" t="n"/>
      <c r="AA103" s="25" t="n"/>
      <c r="AB103" s="28">
        <f>IF(NOT(AND($A103&lt;&gt;"",OR($G103="",$G103="Active"))),"",IF(OR(IF(OR(ISNUMBER($V103),$V103="DNA"),$V103,IF(OR(ISNUMBER($U103),$U103="DNA"),$U103,IF(OR(ISNUMBER($T103),$T103="DNA"),$T103,IF(OR(ISNUMBER($S103),$S103="DNA"),$S103,IF(OR(ISNUMBER($R103),$R103="DNA"),$R103,IF(OR(ISNUMBER($Q103),$Q103="DNA"),$Q103,IF(OR(ISNUMBER($N103),$N103="DNA"),$N103,IF(OR(ISNUMBER($M103),$M103="DNA"),$M103,IF(OR(ISNUMBER($L103),$L103="DNA"),$L103,"")))))))))="DNA",AND(ISNUMBER(IF(OR(ISNUMBER($V103),$V103="DNA"),$V103,IF(OR(ISNUMBER($U103),$U103="DNA"),$U103,IF(OR(ISNUMBER($T103),$T103="DNA"),$T103,IF(OR(ISNUMBER($S103),$S103="DNA"),$S103,IF(OR(ISNUMBER($R103),$R103="DNA"),$R103,IF(OR(ISNUMBER($Q103),$Q103="DNA"),$Q103,IF(OR(ISNUMBER($N103),$N103="DNA"),$N103,IF(OR(ISNUMBER($M103),$M103="DNA"),$M103,IF(OR(ISNUMBER($L103),$L103="DNA"),$L103,"")))))))))),IF(OR(ISNUMBER($V103),$V103="DNA"),$V103,IF(OR(ISNUMBER($U103),$U103="DNA"),$U103,IF(OR(ISNUMBER($T103),$T103="DNA"),$T103,IF(OR(ISNUMBER($S103),$S103="DNA"),$S103,IF(OR(ISNUMBER($R103),$R103="DNA"),$R103,IF(OR(ISNUMBER($Q103),$Q103="DNA"),$Q103,IF(OR(ISNUMBER($N103),$N103="DNA"),$N103,IF(OR(ISNUMBER($M103),$M103="DNA"),$M103,IF(OR(ISNUMBER($L103),$L103="DNA"),$L103,"")))))))))&lt;TODAY())),1,0)+ISNUMBER($O103)*($O103&lt;TODAY())+ISNUMBER($P103)*($P103&lt;TODAY())+ISNUMBER($X103)*($X103&lt;TODAY())+ISNUMBER($Y103)*($Y103&lt;TODAY()))</f>
        <v/>
      </c>
    </row>
    <row r="104">
      <c r="A104" s="25" t="n"/>
      <c r="B104" s="26" t="n"/>
      <c r="C104" s="27" t="n"/>
      <c r="D104" s="25" t="n"/>
      <c r="E104" s="25" t="n"/>
      <c r="F104" s="27" t="n"/>
      <c r="G104" s="25" t="n"/>
      <c r="H104" s="28">
        <f>IF(OR(NOT(AND($A104&lt;&gt;"",OR($G104="",$G104="Active"))),$F104=""),"",INT((TODAY()-$F104+280)/7)&amp;"+"&amp;MOD(TODAY()-$F104+280,7))</f>
        <v/>
      </c>
      <c r="I104" s="28">
        <f>IF(NOT(AND($A104&lt;&gt;"",OR($G104="",$G104="Active"))),"",ISNUMBER($L104)*($L104&gt;=TODAY())*($L104&lt;=TODAY()+7)+ISNUMBER($M104)*($M104&gt;=TODAY())*($M104&lt;=TODAY()+7)+ISNUMBER($N104)*($N104&gt;=TODAY())*($N104&lt;=TODAY()+7)+ISNUMBER($Q104)*($Q104&gt;=TODAY())*($Q104&lt;=TODAY()+7)+ISNUMBER($R104)*($R104&gt;=TODAY())*($R104&lt;=TODAY()+7)+ISNUMBER($S104)*($S104&gt;=TODAY())*($S104&lt;=TODAY()+7)+ISNUMBER($T104)*($T104&gt;=TODAY())*($T104&lt;=TODAY()+7)+ISNUMBER($U104)*($U104&gt;=TODAY())*($U104&lt;=TODAY()+7)+ISNUMBER($V104)*($V104&gt;=TODAY())*($V104&lt;=TODAY()+7)+ISNUMBER($O104)*($O104&gt;=TODAY())*($O104&lt;=TODAY()+7)+ISNUMBER($P104)*($P104&gt;=TODAY())*($P104&lt;=TODAY()+7)+ISNUMBER($X104)*($X104&gt;=TODAY())*($X104&lt;=TODAY()+7)+ISNUMBER($Y104)*($Y104&gt;=TODAY())*($Y104&lt;=TODAY()+7))</f>
        <v/>
      </c>
      <c r="J104" s="28">
        <f>IF(NOT(AND($A104&lt;&gt;"",OR($G104="",$G104="Active"))),"",IF($K104&lt;&gt;"",IF($L104=$K104,"Booking",IF($M104=$K104,"16/40",IF($N104=$K104,"25/40",IF($Q104=$K104,"28/40",IF($R104=$K104,"31/40",IF($S104=$K104,"34/40",IF($T104=$K104,"36/40",IF($U104=$K104,"38/40",IF($V104=$K104,"40/40",""))))))))),IF(IF(OR(ISNUMBER($V104),$V104="DNA"),$V104,IF(OR(ISNUMBER($U104),$U104="DNA"),$U104,IF(OR(ISNUMBER($T104),$T104="DNA"),$T104,IF(OR(ISNUMBER($S104),$S104="DNA"),$S104,IF(OR(ISNUMBER($R104),$R104="DNA"),$R104,IF(OR(ISNUMBER($Q104),$Q104="DNA"),$Q104,IF(OR(ISNUMBER($N104),$N104="DNA"),$N104,IF(OR(ISNUMBER($M104),$M104="DNA"),$M104,IF(OR(ISNUMBER($L104),$L104="DNA"),$L104,"")))))))))="DNA","Rebook DNA",IF(ISNUMBER(IF(OR(ISNUMBER($V104),$V104="DNA"),$V104,IF(OR(ISNUMBER($U104),$U104="DNA"),$U104,IF(OR(ISNUMBER($T104),$T104="DNA"),$T104,IF(OR(ISNUMBER($S104),$S104="DNA"),$S104,IF(OR(ISNUMBER($R104),$R104="DNA"),$R104,IF(OR(ISNUMBER($Q104),$Q104="DNA"),$Q104,IF(OR(ISNUMBER($N104),$N104="DNA"),$N104,IF(OR(ISNUMBER($M104),$M104="DNA"),$M104,IF(OR(ISNUMBER($L104),$L104="DNA"),$L104,"")))))))))),IF(ISNUMBER($V104),"Update status","Missed/not booked?"),""))))</f>
        <v/>
      </c>
      <c r="K104" s="29">
        <f>IF(NOT(AND($A104&lt;&gt;"",OR($G104="",$G104="Active"))),"",IF(MIN(IF(AND(ISNUMBER($L104),$L104&gt;=TODAY()),$L104,99999),IF(AND(ISNUMBER($M104),$M104&gt;=TODAY()),$M104,99999),IF(AND(ISNUMBER($N104),$N104&gt;=TODAY()),$N104,99999),IF(AND(ISNUMBER($Q104),$Q104&gt;=TODAY()),$Q104,99999),IF(AND(ISNUMBER($R104),$R104&gt;=TODAY()),$R104,99999),IF(AND(ISNUMBER($S104),$S104&gt;=TODAY()),$S104,99999),IF(AND(ISNUMBER($T104),$T104&gt;=TODAY()),$T104,99999),IF(AND(ISNUMBER($U104),$U104&gt;=TODAY()),$U104,99999),IF(AND(ISNUMBER($V104),$V104&gt;=TODAY()),$V104,99999))=99999,"",MIN(IF(AND(ISNUMBER($L104),$L104&gt;=TODAY()),$L104,99999),IF(AND(ISNUMBER($M104),$M104&gt;=TODAY()),$M104,99999),IF(AND(ISNUMBER($N104),$N104&gt;=TODAY()),$N104,99999),IF(AND(ISNUMBER($Q104),$Q104&gt;=TODAY()),$Q104,99999),IF(AND(ISNUMBER($R104),$R104&gt;=TODAY()),$R104,99999),IF(AND(ISNUMBER($S104),$S104&gt;=TODAY()),$S104,99999),IF(AND(ISNUMBER($T104),$T104&gt;=TODAY()),$T104,99999),IF(AND(ISNUMBER($U104),$U104&gt;=TODAY()),$U104,99999),IF(AND(ISNUMBER($V104),$V104&gt;=TODAY()),$V104,99999))))</f>
        <v/>
      </c>
      <c r="L104" s="27" t="n"/>
      <c r="M104" s="27" t="n"/>
      <c r="N104" s="27" t="n"/>
      <c r="O104" s="27" t="n"/>
      <c r="P104" s="27" t="n"/>
      <c r="Q104" s="27" t="n"/>
      <c r="R104" s="27" t="n"/>
      <c r="S104" s="27" t="n"/>
      <c r="T104" s="27" t="n"/>
      <c r="U104" s="27" t="n"/>
      <c r="V104" s="27" t="n"/>
      <c r="W104" s="27" t="n"/>
      <c r="X104" s="27" t="n"/>
      <c r="Y104" s="27" t="n"/>
      <c r="Z104" s="30" t="n"/>
      <c r="AA104" s="25" t="n"/>
      <c r="AB104" s="28">
        <f>IF(NOT(AND($A104&lt;&gt;"",OR($G104="",$G104="Active"))),"",IF(OR(IF(OR(ISNUMBER($V104),$V104="DNA"),$V104,IF(OR(ISNUMBER($U104),$U104="DNA"),$U104,IF(OR(ISNUMBER($T104),$T104="DNA"),$T104,IF(OR(ISNUMBER($S104),$S104="DNA"),$S104,IF(OR(ISNUMBER($R104),$R104="DNA"),$R104,IF(OR(ISNUMBER($Q104),$Q104="DNA"),$Q104,IF(OR(ISNUMBER($N104),$N104="DNA"),$N104,IF(OR(ISNUMBER($M104),$M104="DNA"),$M104,IF(OR(ISNUMBER($L104),$L104="DNA"),$L104,"")))))))))="DNA",AND(ISNUMBER(IF(OR(ISNUMBER($V104),$V104="DNA"),$V104,IF(OR(ISNUMBER($U104),$U104="DNA"),$U104,IF(OR(ISNUMBER($T104),$T104="DNA"),$T104,IF(OR(ISNUMBER($S104),$S104="DNA"),$S104,IF(OR(ISNUMBER($R104),$R104="DNA"),$R104,IF(OR(ISNUMBER($Q104),$Q104="DNA"),$Q104,IF(OR(ISNUMBER($N104),$N104="DNA"),$N104,IF(OR(ISNUMBER($M104),$M104="DNA"),$M104,IF(OR(ISNUMBER($L104),$L104="DNA"),$L104,"")))))))))),IF(OR(ISNUMBER($V104),$V104="DNA"),$V104,IF(OR(ISNUMBER($U104),$U104="DNA"),$U104,IF(OR(ISNUMBER($T104),$T104="DNA"),$T104,IF(OR(ISNUMBER($S104),$S104="DNA"),$S104,IF(OR(ISNUMBER($R104),$R104="DNA"),$R104,IF(OR(ISNUMBER($Q104),$Q104="DNA"),$Q104,IF(OR(ISNUMBER($N104),$N104="DNA"),$N104,IF(OR(ISNUMBER($M104),$M104="DNA"),$M104,IF(OR(ISNUMBER($L104),$L104="DNA"),$L104,"")))))))))&lt;TODAY())),1,0)+ISNUMBER($O104)*($O104&lt;TODAY())+ISNUMBER($P104)*($P104&lt;TODAY())+ISNUMBER($X104)*($X104&lt;TODAY())+ISNUMBER($Y104)*($Y104&lt;TODAY()))</f>
        <v/>
      </c>
    </row>
    <row r="105">
      <c r="A105" s="25" t="n"/>
      <c r="B105" s="26" t="n"/>
      <c r="C105" s="27" t="n"/>
      <c r="D105" s="25" t="n"/>
      <c r="E105" s="25" t="n"/>
      <c r="F105" s="27" t="n"/>
      <c r="G105" s="25" t="n"/>
      <c r="H105" s="28">
        <f>IF(OR(NOT(AND($A105&lt;&gt;"",OR($G105="",$G105="Active"))),$F105=""),"",INT((TODAY()-$F105+280)/7)&amp;"+"&amp;MOD(TODAY()-$F105+280,7))</f>
        <v/>
      </c>
      <c r="I105" s="28">
        <f>IF(NOT(AND($A105&lt;&gt;"",OR($G105="",$G105="Active"))),"",ISNUMBER($L105)*($L105&gt;=TODAY())*($L105&lt;=TODAY()+7)+ISNUMBER($M105)*($M105&gt;=TODAY())*($M105&lt;=TODAY()+7)+ISNUMBER($N105)*($N105&gt;=TODAY())*($N105&lt;=TODAY()+7)+ISNUMBER($Q105)*($Q105&gt;=TODAY())*($Q105&lt;=TODAY()+7)+ISNUMBER($R105)*($R105&gt;=TODAY())*($R105&lt;=TODAY()+7)+ISNUMBER($S105)*($S105&gt;=TODAY())*($S105&lt;=TODAY()+7)+ISNUMBER($T105)*($T105&gt;=TODAY())*($T105&lt;=TODAY()+7)+ISNUMBER($U105)*($U105&gt;=TODAY())*($U105&lt;=TODAY()+7)+ISNUMBER($V105)*($V105&gt;=TODAY())*($V105&lt;=TODAY()+7)+ISNUMBER($O105)*($O105&gt;=TODAY())*($O105&lt;=TODAY()+7)+ISNUMBER($P105)*($P105&gt;=TODAY())*($P105&lt;=TODAY()+7)+ISNUMBER($X105)*($X105&gt;=TODAY())*($X105&lt;=TODAY()+7)+ISNUMBER($Y105)*($Y105&gt;=TODAY())*($Y105&lt;=TODAY()+7))</f>
        <v/>
      </c>
      <c r="J105" s="28">
        <f>IF(NOT(AND($A105&lt;&gt;"",OR($G105="",$G105="Active"))),"",IF($K105&lt;&gt;"",IF($L105=$K105,"Booking",IF($M105=$K105,"16/40",IF($N105=$K105,"25/40",IF($Q105=$K105,"28/40",IF($R105=$K105,"31/40",IF($S105=$K105,"34/40",IF($T105=$K105,"36/40",IF($U105=$K105,"38/40",IF($V105=$K105,"40/40",""))))))))),IF(IF(OR(ISNUMBER($V105),$V105="DNA"),$V105,IF(OR(ISNUMBER($U105),$U105="DNA"),$U105,IF(OR(ISNUMBER($T105),$T105="DNA"),$T105,IF(OR(ISNUMBER($S105),$S105="DNA"),$S105,IF(OR(ISNUMBER($R105),$R105="DNA"),$R105,IF(OR(ISNUMBER($Q105),$Q105="DNA"),$Q105,IF(OR(ISNUMBER($N105),$N105="DNA"),$N105,IF(OR(ISNUMBER($M105),$M105="DNA"),$M105,IF(OR(ISNUMBER($L105),$L105="DNA"),$L105,"")))))))))="DNA","Rebook DNA",IF(ISNUMBER(IF(OR(ISNUMBER($V105),$V105="DNA"),$V105,IF(OR(ISNUMBER($U105),$U105="DNA"),$U105,IF(OR(ISNUMBER($T105),$T105="DNA"),$T105,IF(OR(ISNUMBER($S105),$S105="DNA"),$S105,IF(OR(ISNUMBER($R105),$R105="DNA"),$R105,IF(OR(ISNUMBER($Q105),$Q105="DNA"),$Q105,IF(OR(ISNUMBER($N105),$N105="DNA"),$N105,IF(OR(ISNUMBER($M105),$M105="DNA"),$M105,IF(OR(ISNUMBER($L105),$L105="DNA"),$L105,"")))))))))),IF(ISNUMBER($V105),"Update status","Missed/not booked?"),""))))</f>
        <v/>
      </c>
      <c r="K105" s="29">
        <f>IF(NOT(AND($A105&lt;&gt;"",OR($G105="",$G105="Active"))),"",IF(MIN(IF(AND(ISNUMBER($L105),$L105&gt;=TODAY()),$L105,99999),IF(AND(ISNUMBER($M105),$M105&gt;=TODAY()),$M105,99999),IF(AND(ISNUMBER($N105),$N105&gt;=TODAY()),$N105,99999),IF(AND(ISNUMBER($Q105),$Q105&gt;=TODAY()),$Q105,99999),IF(AND(ISNUMBER($R105),$R105&gt;=TODAY()),$R105,99999),IF(AND(ISNUMBER($S105),$S105&gt;=TODAY()),$S105,99999),IF(AND(ISNUMBER($T105),$T105&gt;=TODAY()),$T105,99999),IF(AND(ISNUMBER($U105),$U105&gt;=TODAY()),$U105,99999),IF(AND(ISNUMBER($V105),$V105&gt;=TODAY()),$V105,99999))=99999,"",MIN(IF(AND(ISNUMBER($L105),$L105&gt;=TODAY()),$L105,99999),IF(AND(ISNUMBER($M105),$M105&gt;=TODAY()),$M105,99999),IF(AND(ISNUMBER($N105),$N105&gt;=TODAY()),$N105,99999),IF(AND(ISNUMBER($Q105),$Q105&gt;=TODAY()),$Q105,99999),IF(AND(ISNUMBER($R105),$R105&gt;=TODAY()),$R105,99999),IF(AND(ISNUMBER($S105),$S105&gt;=TODAY()),$S105,99999),IF(AND(ISNUMBER($T105),$T105&gt;=TODAY()),$T105,99999),IF(AND(ISNUMBER($U105),$U105&gt;=TODAY()),$U105,99999),IF(AND(ISNUMBER($V105),$V105&gt;=TODAY()),$V105,99999))))</f>
        <v/>
      </c>
      <c r="L105" s="27" t="n"/>
      <c r="M105" s="27" t="n"/>
      <c r="N105" s="27" t="n"/>
      <c r="O105" s="27" t="n"/>
      <c r="P105" s="27" t="n"/>
      <c r="Q105" s="27" t="n"/>
      <c r="R105" s="27" t="n"/>
      <c r="S105" s="27" t="n"/>
      <c r="T105" s="27" t="n"/>
      <c r="U105" s="27" t="n"/>
      <c r="V105" s="27" t="n"/>
      <c r="W105" s="27" t="n"/>
      <c r="X105" s="27" t="n"/>
      <c r="Y105" s="27" t="n"/>
      <c r="Z105" s="30" t="n"/>
      <c r="AA105" s="25" t="n"/>
      <c r="AB105" s="28">
        <f>IF(NOT(AND($A105&lt;&gt;"",OR($G105="",$G105="Active"))),"",IF(OR(IF(OR(ISNUMBER($V105),$V105="DNA"),$V105,IF(OR(ISNUMBER($U105),$U105="DNA"),$U105,IF(OR(ISNUMBER($T105),$T105="DNA"),$T105,IF(OR(ISNUMBER($S105),$S105="DNA"),$S105,IF(OR(ISNUMBER($R105),$R105="DNA"),$R105,IF(OR(ISNUMBER($Q105),$Q105="DNA"),$Q105,IF(OR(ISNUMBER($N105),$N105="DNA"),$N105,IF(OR(ISNUMBER($M105),$M105="DNA"),$M105,IF(OR(ISNUMBER($L105),$L105="DNA"),$L105,"")))))))))="DNA",AND(ISNUMBER(IF(OR(ISNUMBER($V105),$V105="DNA"),$V105,IF(OR(ISNUMBER($U105),$U105="DNA"),$U105,IF(OR(ISNUMBER($T105),$T105="DNA"),$T105,IF(OR(ISNUMBER($S105),$S105="DNA"),$S105,IF(OR(ISNUMBER($R105),$R105="DNA"),$R105,IF(OR(ISNUMBER($Q105),$Q105="DNA"),$Q105,IF(OR(ISNUMBER($N105),$N105="DNA"),$N105,IF(OR(ISNUMBER($M105),$M105="DNA"),$M105,IF(OR(ISNUMBER($L105),$L105="DNA"),$L105,"")))))))))),IF(OR(ISNUMBER($V105),$V105="DNA"),$V105,IF(OR(ISNUMBER($U105),$U105="DNA"),$U105,IF(OR(ISNUMBER($T105),$T105="DNA"),$T105,IF(OR(ISNUMBER($S105),$S105="DNA"),$S105,IF(OR(ISNUMBER($R105),$R105="DNA"),$R105,IF(OR(ISNUMBER($Q105),$Q105="DNA"),$Q105,IF(OR(ISNUMBER($N105),$N105="DNA"),$N105,IF(OR(ISNUMBER($M105),$M105="DNA"),$M105,IF(OR(ISNUMBER($L105),$L105="DNA"),$L105,"")))))))))&lt;TODAY())),1,0)+ISNUMBER($O105)*($O105&lt;TODAY())+ISNUMBER($P105)*($P105&lt;TODAY())+ISNUMBER($X105)*($X105&lt;TODAY())+ISNUMBER($Y105)*($Y105&lt;TODAY()))</f>
        <v/>
      </c>
    </row>
    <row r="106">
      <c r="A106" s="25" t="n"/>
      <c r="B106" s="26" t="n"/>
      <c r="C106" s="27" t="n"/>
      <c r="D106" s="25" t="n"/>
      <c r="E106" s="25" t="n"/>
      <c r="F106" s="27" t="n"/>
      <c r="G106" s="25" t="n"/>
      <c r="H106" s="28">
        <f>IF(OR(NOT(AND($A106&lt;&gt;"",OR($G106="",$G106="Active"))),$F106=""),"",INT((TODAY()-$F106+280)/7)&amp;"+"&amp;MOD(TODAY()-$F106+280,7))</f>
        <v/>
      </c>
      <c r="I106" s="28">
        <f>IF(NOT(AND($A106&lt;&gt;"",OR($G106="",$G106="Active"))),"",ISNUMBER($L106)*($L106&gt;=TODAY())*($L106&lt;=TODAY()+7)+ISNUMBER($M106)*($M106&gt;=TODAY())*($M106&lt;=TODAY()+7)+ISNUMBER($N106)*($N106&gt;=TODAY())*($N106&lt;=TODAY()+7)+ISNUMBER($Q106)*($Q106&gt;=TODAY())*($Q106&lt;=TODAY()+7)+ISNUMBER($R106)*($R106&gt;=TODAY())*($R106&lt;=TODAY()+7)+ISNUMBER($S106)*($S106&gt;=TODAY())*($S106&lt;=TODAY()+7)+ISNUMBER($T106)*($T106&gt;=TODAY())*($T106&lt;=TODAY()+7)+ISNUMBER($U106)*($U106&gt;=TODAY())*($U106&lt;=TODAY()+7)+ISNUMBER($V106)*($V106&gt;=TODAY())*($V106&lt;=TODAY()+7)+ISNUMBER($O106)*($O106&gt;=TODAY())*($O106&lt;=TODAY()+7)+ISNUMBER($P106)*($P106&gt;=TODAY())*($P106&lt;=TODAY()+7)+ISNUMBER($X106)*($X106&gt;=TODAY())*($X106&lt;=TODAY()+7)+ISNUMBER($Y106)*($Y106&gt;=TODAY())*($Y106&lt;=TODAY()+7))</f>
        <v/>
      </c>
      <c r="J106" s="28">
        <f>IF(NOT(AND($A106&lt;&gt;"",OR($G106="",$G106="Active"))),"",IF($K106&lt;&gt;"",IF($L106=$K106,"Booking",IF($M106=$K106,"16/40",IF($N106=$K106,"25/40",IF($Q106=$K106,"28/40",IF($R106=$K106,"31/40",IF($S106=$K106,"34/40",IF($T106=$K106,"36/40",IF($U106=$K106,"38/40",IF($V106=$K106,"40/40",""))))))))),IF(IF(OR(ISNUMBER($V106),$V106="DNA"),$V106,IF(OR(ISNUMBER($U106),$U106="DNA"),$U106,IF(OR(ISNUMBER($T106),$T106="DNA"),$T106,IF(OR(ISNUMBER($S106),$S106="DNA"),$S106,IF(OR(ISNUMBER($R106),$R106="DNA"),$R106,IF(OR(ISNUMBER($Q106),$Q106="DNA"),$Q106,IF(OR(ISNUMBER($N106),$N106="DNA"),$N106,IF(OR(ISNUMBER($M106),$M106="DNA"),$M106,IF(OR(ISNUMBER($L106),$L106="DNA"),$L106,"")))))))))="DNA","Rebook DNA",IF(ISNUMBER(IF(OR(ISNUMBER($V106),$V106="DNA"),$V106,IF(OR(ISNUMBER($U106),$U106="DNA"),$U106,IF(OR(ISNUMBER($T106),$T106="DNA"),$T106,IF(OR(ISNUMBER($S106),$S106="DNA"),$S106,IF(OR(ISNUMBER($R106),$R106="DNA"),$R106,IF(OR(ISNUMBER($Q106),$Q106="DNA"),$Q106,IF(OR(ISNUMBER($N106),$N106="DNA"),$N106,IF(OR(ISNUMBER($M106),$M106="DNA"),$M106,IF(OR(ISNUMBER($L106),$L106="DNA"),$L106,"")))))))))),IF(ISNUMBER($V106),"Update status","Missed/not booked?"),""))))</f>
        <v/>
      </c>
      <c r="K106" s="29">
        <f>IF(NOT(AND($A106&lt;&gt;"",OR($G106="",$G106="Active"))),"",IF(MIN(IF(AND(ISNUMBER($L106),$L106&gt;=TODAY()),$L106,99999),IF(AND(ISNUMBER($M106),$M106&gt;=TODAY()),$M106,99999),IF(AND(ISNUMBER($N106),$N106&gt;=TODAY()),$N106,99999),IF(AND(ISNUMBER($Q106),$Q106&gt;=TODAY()),$Q106,99999),IF(AND(ISNUMBER($R106),$R106&gt;=TODAY()),$R106,99999),IF(AND(ISNUMBER($S106),$S106&gt;=TODAY()),$S106,99999),IF(AND(ISNUMBER($T106),$T106&gt;=TODAY()),$T106,99999),IF(AND(ISNUMBER($U106),$U106&gt;=TODAY()),$U106,99999),IF(AND(ISNUMBER($V106),$V106&gt;=TODAY()),$V106,99999))=99999,"",MIN(IF(AND(ISNUMBER($L106),$L106&gt;=TODAY()),$L106,99999),IF(AND(ISNUMBER($M106),$M106&gt;=TODAY()),$M106,99999),IF(AND(ISNUMBER($N106),$N106&gt;=TODAY()),$N106,99999),IF(AND(ISNUMBER($Q106),$Q106&gt;=TODAY()),$Q106,99999),IF(AND(ISNUMBER($R106),$R106&gt;=TODAY()),$R106,99999),IF(AND(ISNUMBER($S106),$S106&gt;=TODAY()),$S106,99999),IF(AND(ISNUMBER($T106),$T106&gt;=TODAY()),$T106,99999),IF(AND(ISNUMBER($U106),$U106&gt;=TODAY()),$U106,99999),IF(AND(ISNUMBER($V106),$V106&gt;=TODAY()),$V106,99999))))</f>
        <v/>
      </c>
      <c r="L106" s="27" t="n"/>
      <c r="M106" s="27" t="n"/>
      <c r="N106" s="27" t="n"/>
      <c r="O106" s="27" t="n"/>
      <c r="P106" s="27" t="n"/>
      <c r="Q106" s="27" t="n"/>
      <c r="R106" s="27" t="n"/>
      <c r="S106" s="27" t="n"/>
      <c r="T106" s="27" t="n"/>
      <c r="U106" s="27" t="n"/>
      <c r="V106" s="27" t="n"/>
      <c r="W106" s="27" t="n"/>
      <c r="X106" s="27" t="n"/>
      <c r="Y106" s="27" t="n"/>
      <c r="Z106" s="30" t="n"/>
      <c r="AA106" s="25" t="n"/>
      <c r="AB106" s="28">
        <f>IF(NOT(AND($A106&lt;&gt;"",OR($G106="",$G106="Active"))),"",IF(OR(IF(OR(ISNUMBER($V106),$V106="DNA"),$V106,IF(OR(ISNUMBER($U106),$U106="DNA"),$U106,IF(OR(ISNUMBER($T106),$T106="DNA"),$T106,IF(OR(ISNUMBER($S106),$S106="DNA"),$S106,IF(OR(ISNUMBER($R106),$R106="DNA"),$R106,IF(OR(ISNUMBER($Q106),$Q106="DNA"),$Q106,IF(OR(ISNUMBER($N106),$N106="DNA"),$N106,IF(OR(ISNUMBER($M106),$M106="DNA"),$M106,IF(OR(ISNUMBER($L106),$L106="DNA"),$L106,"")))))))))="DNA",AND(ISNUMBER(IF(OR(ISNUMBER($V106),$V106="DNA"),$V106,IF(OR(ISNUMBER($U106),$U106="DNA"),$U106,IF(OR(ISNUMBER($T106),$T106="DNA"),$T106,IF(OR(ISNUMBER($S106),$S106="DNA"),$S106,IF(OR(ISNUMBER($R106),$R106="DNA"),$R106,IF(OR(ISNUMBER($Q106),$Q106="DNA"),$Q106,IF(OR(ISNUMBER($N106),$N106="DNA"),$N106,IF(OR(ISNUMBER($M106),$M106="DNA"),$M106,IF(OR(ISNUMBER($L106),$L106="DNA"),$L106,"")))))))))),IF(OR(ISNUMBER($V106),$V106="DNA"),$V106,IF(OR(ISNUMBER($U106),$U106="DNA"),$U106,IF(OR(ISNUMBER($T106),$T106="DNA"),$T106,IF(OR(ISNUMBER($S106),$S106="DNA"),$S106,IF(OR(ISNUMBER($R106),$R106="DNA"),$R106,IF(OR(ISNUMBER($Q106),$Q106="DNA"),$Q106,IF(OR(ISNUMBER($N106),$N106="DNA"),$N106,IF(OR(ISNUMBER($M106),$M106="DNA"),$M106,IF(OR(ISNUMBER($L106),$L106="DNA"),$L106,"")))))))))&lt;TODAY())),1,0)+ISNUMBER($O106)*($O106&lt;TODAY())+ISNUMBER($P106)*($P106&lt;TODAY())+ISNUMBER($X106)*($X106&lt;TODAY())+ISNUMBER($Y106)*($Y106&lt;TODAY()))</f>
        <v/>
      </c>
    </row>
    <row r="107">
      <c r="A107" s="25" t="n"/>
      <c r="B107" s="26" t="n"/>
      <c r="C107" s="27" t="n"/>
      <c r="D107" s="25" t="n"/>
      <c r="E107" s="25" t="n"/>
      <c r="F107" s="27" t="n"/>
      <c r="G107" s="25" t="n"/>
      <c r="H107" s="28">
        <f>IF(OR(NOT(AND($A107&lt;&gt;"",OR($G107="",$G107="Active"))),$F107=""),"",INT((TODAY()-$F107+280)/7)&amp;"+"&amp;MOD(TODAY()-$F107+280,7))</f>
        <v/>
      </c>
      <c r="I107" s="28">
        <f>IF(NOT(AND($A107&lt;&gt;"",OR($G107="",$G107="Active"))),"",ISNUMBER($L107)*($L107&gt;=TODAY())*($L107&lt;=TODAY()+7)+ISNUMBER($M107)*($M107&gt;=TODAY())*($M107&lt;=TODAY()+7)+ISNUMBER($N107)*($N107&gt;=TODAY())*($N107&lt;=TODAY()+7)+ISNUMBER($Q107)*($Q107&gt;=TODAY())*($Q107&lt;=TODAY()+7)+ISNUMBER($R107)*($R107&gt;=TODAY())*($R107&lt;=TODAY()+7)+ISNUMBER($S107)*($S107&gt;=TODAY())*($S107&lt;=TODAY()+7)+ISNUMBER($T107)*($T107&gt;=TODAY())*($T107&lt;=TODAY()+7)+ISNUMBER($U107)*($U107&gt;=TODAY())*($U107&lt;=TODAY()+7)+ISNUMBER($V107)*($V107&gt;=TODAY())*($V107&lt;=TODAY()+7)+ISNUMBER($O107)*($O107&gt;=TODAY())*($O107&lt;=TODAY()+7)+ISNUMBER($P107)*($P107&gt;=TODAY())*($P107&lt;=TODAY()+7)+ISNUMBER($X107)*($X107&gt;=TODAY())*($X107&lt;=TODAY()+7)+ISNUMBER($Y107)*($Y107&gt;=TODAY())*($Y107&lt;=TODAY()+7))</f>
        <v/>
      </c>
      <c r="J107" s="28">
        <f>IF(NOT(AND($A107&lt;&gt;"",OR($G107="",$G107="Active"))),"",IF($K107&lt;&gt;"",IF($L107=$K107,"Booking",IF($M107=$K107,"16/40",IF($N107=$K107,"25/40",IF($Q107=$K107,"28/40",IF($R107=$K107,"31/40",IF($S107=$K107,"34/40",IF($T107=$K107,"36/40",IF($U107=$K107,"38/40",IF($V107=$K107,"40/40",""))))))))),IF(IF(OR(ISNUMBER($V107),$V107="DNA"),$V107,IF(OR(ISNUMBER($U107),$U107="DNA"),$U107,IF(OR(ISNUMBER($T107),$T107="DNA"),$T107,IF(OR(ISNUMBER($S107),$S107="DNA"),$S107,IF(OR(ISNUMBER($R107),$R107="DNA"),$R107,IF(OR(ISNUMBER($Q107),$Q107="DNA"),$Q107,IF(OR(ISNUMBER($N107),$N107="DNA"),$N107,IF(OR(ISNUMBER($M107),$M107="DNA"),$M107,IF(OR(ISNUMBER($L107),$L107="DNA"),$L107,"")))))))))="DNA","Rebook DNA",IF(ISNUMBER(IF(OR(ISNUMBER($V107),$V107="DNA"),$V107,IF(OR(ISNUMBER($U107),$U107="DNA"),$U107,IF(OR(ISNUMBER($T107),$T107="DNA"),$T107,IF(OR(ISNUMBER($S107),$S107="DNA"),$S107,IF(OR(ISNUMBER($R107),$R107="DNA"),$R107,IF(OR(ISNUMBER($Q107),$Q107="DNA"),$Q107,IF(OR(ISNUMBER($N107),$N107="DNA"),$N107,IF(OR(ISNUMBER($M107),$M107="DNA"),$M107,IF(OR(ISNUMBER($L107),$L107="DNA"),$L107,"")))))))))),IF(ISNUMBER($V107),"Update status","Missed/not booked?"),""))))</f>
        <v/>
      </c>
      <c r="K107" s="29">
        <f>IF(NOT(AND($A107&lt;&gt;"",OR($G107="",$G107="Active"))),"",IF(MIN(IF(AND(ISNUMBER($L107),$L107&gt;=TODAY()),$L107,99999),IF(AND(ISNUMBER($M107),$M107&gt;=TODAY()),$M107,99999),IF(AND(ISNUMBER($N107),$N107&gt;=TODAY()),$N107,99999),IF(AND(ISNUMBER($Q107),$Q107&gt;=TODAY()),$Q107,99999),IF(AND(ISNUMBER($R107),$R107&gt;=TODAY()),$R107,99999),IF(AND(ISNUMBER($S107),$S107&gt;=TODAY()),$S107,99999),IF(AND(ISNUMBER($T107),$T107&gt;=TODAY()),$T107,99999),IF(AND(ISNUMBER($U107),$U107&gt;=TODAY()),$U107,99999),IF(AND(ISNUMBER($V107),$V107&gt;=TODAY()),$V107,99999))=99999,"",MIN(IF(AND(ISNUMBER($L107),$L107&gt;=TODAY()),$L107,99999),IF(AND(ISNUMBER($M107),$M107&gt;=TODAY()),$M107,99999),IF(AND(ISNUMBER($N107),$N107&gt;=TODAY()),$N107,99999),IF(AND(ISNUMBER($Q107),$Q107&gt;=TODAY()),$Q107,99999),IF(AND(ISNUMBER($R107),$R107&gt;=TODAY()),$R107,99999),IF(AND(ISNUMBER($S107),$S107&gt;=TODAY()),$S107,99999),IF(AND(ISNUMBER($T107),$T107&gt;=TODAY()),$T107,99999),IF(AND(ISNUMBER($U107),$U107&gt;=TODAY()),$U107,99999),IF(AND(ISNUMBER($V107),$V107&gt;=TODAY()),$V107,99999))))</f>
        <v/>
      </c>
      <c r="L107" s="27" t="n"/>
      <c r="M107" s="27" t="n"/>
      <c r="N107" s="27" t="n"/>
      <c r="O107" s="27" t="n"/>
      <c r="P107" s="27" t="n"/>
      <c r="Q107" s="27" t="n"/>
      <c r="R107" s="27" t="n"/>
      <c r="S107" s="27" t="n"/>
      <c r="T107" s="27" t="n"/>
      <c r="U107" s="27" t="n"/>
      <c r="V107" s="27" t="n"/>
      <c r="W107" s="27" t="n"/>
      <c r="X107" s="27" t="n"/>
      <c r="Y107" s="27" t="n"/>
      <c r="Z107" s="30" t="n"/>
      <c r="AA107" s="25" t="n"/>
      <c r="AB107" s="28">
        <f>IF(NOT(AND($A107&lt;&gt;"",OR($G107="",$G107="Active"))),"",IF(OR(IF(OR(ISNUMBER($V107),$V107="DNA"),$V107,IF(OR(ISNUMBER($U107),$U107="DNA"),$U107,IF(OR(ISNUMBER($T107),$T107="DNA"),$T107,IF(OR(ISNUMBER($S107),$S107="DNA"),$S107,IF(OR(ISNUMBER($R107),$R107="DNA"),$R107,IF(OR(ISNUMBER($Q107),$Q107="DNA"),$Q107,IF(OR(ISNUMBER($N107),$N107="DNA"),$N107,IF(OR(ISNUMBER($M107),$M107="DNA"),$M107,IF(OR(ISNUMBER($L107),$L107="DNA"),$L107,"")))))))))="DNA",AND(ISNUMBER(IF(OR(ISNUMBER($V107),$V107="DNA"),$V107,IF(OR(ISNUMBER($U107),$U107="DNA"),$U107,IF(OR(ISNUMBER($T107),$T107="DNA"),$T107,IF(OR(ISNUMBER($S107),$S107="DNA"),$S107,IF(OR(ISNUMBER($R107),$R107="DNA"),$R107,IF(OR(ISNUMBER($Q107),$Q107="DNA"),$Q107,IF(OR(ISNUMBER($N107),$N107="DNA"),$N107,IF(OR(ISNUMBER($M107),$M107="DNA"),$M107,IF(OR(ISNUMBER($L107),$L107="DNA"),$L107,"")))))))))),IF(OR(ISNUMBER($V107),$V107="DNA"),$V107,IF(OR(ISNUMBER($U107),$U107="DNA"),$U107,IF(OR(ISNUMBER($T107),$T107="DNA"),$T107,IF(OR(ISNUMBER($S107),$S107="DNA"),$S107,IF(OR(ISNUMBER($R107),$R107="DNA"),$R107,IF(OR(ISNUMBER($Q107),$Q107="DNA"),$Q107,IF(OR(ISNUMBER($N107),$N107="DNA"),$N107,IF(OR(ISNUMBER($M107),$M107="DNA"),$M107,IF(OR(ISNUMBER($L107),$L107="DNA"),$L107,"")))))))))&lt;TODAY())),1,0)+ISNUMBER($O107)*($O107&lt;TODAY())+ISNUMBER($P107)*($P107&lt;TODAY())+ISNUMBER($X107)*($X107&lt;TODAY())+ISNUMBER($Y107)*($Y107&lt;TODAY()))</f>
        <v/>
      </c>
    </row>
    <row r="108">
      <c r="A108" s="25" t="n"/>
      <c r="B108" s="26" t="n"/>
      <c r="C108" s="27" t="n"/>
      <c r="D108" s="25" t="n"/>
      <c r="E108" s="25" t="n"/>
      <c r="F108" s="27" t="n"/>
      <c r="G108" s="25" t="n"/>
      <c r="H108" s="28">
        <f>IF(OR(NOT(AND($A108&lt;&gt;"",OR($G108="",$G108="Active"))),$F108=""),"",INT((TODAY()-$F108+280)/7)&amp;"+"&amp;MOD(TODAY()-$F108+280,7))</f>
        <v/>
      </c>
      <c r="I108" s="28">
        <f>IF(NOT(AND($A108&lt;&gt;"",OR($G108="",$G108="Active"))),"",ISNUMBER($L108)*($L108&gt;=TODAY())*($L108&lt;=TODAY()+7)+ISNUMBER($M108)*($M108&gt;=TODAY())*($M108&lt;=TODAY()+7)+ISNUMBER($N108)*($N108&gt;=TODAY())*($N108&lt;=TODAY()+7)+ISNUMBER($Q108)*($Q108&gt;=TODAY())*($Q108&lt;=TODAY()+7)+ISNUMBER($R108)*($R108&gt;=TODAY())*($R108&lt;=TODAY()+7)+ISNUMBER($S108)*($S108&gt;=TODAY())*($S108&lt;=TODAY()+7)+ISNUMBER($T108)*($T108&gt;=TODAY())*($T108&lt;=TODAY()+7)+ISNUMBER($U108)*($U108&gt;=TODAY())*($U108&lt;=TODAY()+7)+ISNUMBER($V108)*($V108&gt;=TODAY())*($V108&lt;=TODAY()+7)+ISNUMBER($O108)*($O108&gt;=TODAY())*($O108&lt;=TODAY()+7)+ISNUMBER($P108)*($P108&gt;=TODAY())*($P108&lt;=TODAY()+7)+ISNUMBER($X108)*($X108&gt;=TODAY())*($X108&lt;=TODAY()+7)+ISNUMBER($Y108)*($Y108&gt;=TODAY())*($Y108&lt;=TODAY()+7))</f>
        <v/>
      </c>
      <c r="J108" s="28">
        <f>IF(NOT(AND($A108&lt;&gt;"",OR($G108="",$G108="Active"))),"",IF($K108&lt;&gt;"",IF($L108=$K108,"Booking",IF($M108=$K108,"16/40",IF($N108=$K108,"25/40",IF($Q108=$K108,"28/40",IF($R108=$K108,"31/40",IF($S108=$K108,"34/40",IF($T108=$K108,"36/40",IF($U108=$K108,"38/40",IF($V108=$K108,"40/40",""))))))))),IF(IF(OR(ISNUMBER($V108),$V108="DNA"),$V108,IF(OR(ISNUMBER($U108),$U108="DNA"),$U108,IF(OR(ISNUMBER($T108),$T108="DNA"),$T108,IF(OR(ISNUMBER($S108),$S108="DNA"),$S108,IF(OR(ISNUMBER($R108),$R108="DNA"),$R108,IF(OR(ISNUMBER($Q108),$Q108="DNA"),$Q108,IF(OR(ISNUMBER($N108),$N108="DNA"),$N108,IF(OR(ISNUMBER($M108),$M108="DNA"),$M108,IF(OR(ISNUMBER($L108),$L108="DNA"),$L108,"")))))))))="DNA","Rebook DNA",IF(ISNUMBER(IF(OR(ISNUMBER($V108),$V108="DNA"),$V108,IF(OR(ISNUMBER($U108),$U108="DNA"),$U108,IF(OR(ISNUMBER($T108),$T108="DNA"),$T108,IF(OR(ISNUMBER($S108),$S108="DNA"),$S108,IF(OR(ISNUMBER($R108),$R108="DNA"),$R108,IF(OR(ISNUMBER($Q108),$Q108="DNA"),$Q108,IF(OR(ISNUMBER($N108),$N108="DNA"),$N108,IF(OR(ISNUMBER($M108),$M108="DNA"),$M108,IF(OR(ISNUMBER($L108),$L108="DNA"),$L108,"")))))))))),IF(ISNUMBER($V108),"Update status","Missed/not booked?"),""))))</f>
        <v/>
      </c>
      <c r="K108" s="29">
        <f>IF(NOT(AND($A108&lt;&gt;"",OR($G108="",$G108="Active"))),"",IF(MIN(IF(AND(ISNUMBER($L108),$L108&gt;=TODAY()),$L108,99999),IF(AND(ISNUMBER($M108),$M108&gt;=TODAY()),$M108,99999),IF(AND(ISNUMBER($N108),$N108&gt;=TODAY()),$N108,99999),IF(AND(ISNUMBER($Q108),$Q108&gt;=TODAY()),$Q108,99999),IF(AND(ISNUMBER($R108),$R108&gt;=TODAY()),$R108,99999),IF(AND(ISNUMBER($S108),$S108&gt;=TODAY()),$S108,99999),IF(AND(ISNUMBER($T108),$T108&gt;=TODAY()),$T108,99999),IF(AND(ISNUMBER($U108),$U108&gt;=TODAY()),$U108,99999),IF(AND(ISNUMBER($V108),$V108&gt;=TODAY()),$V108,99999))=99999,"",MIN(IF(AND(ISNUMBER($L108),$L108&gt;=TODAY()),$L108,99999),IF(AND(ISNUMBER($M108),$M108&gt;=TODAY()),$M108,99999),IF(AND(ISNUMBER($N108),$N108&gt;=TODAY()),$N108,99999),IF(AND(ISNUMBER($Q108),$Q108&gt;=TODAY()),$Q108,99999),IF(AND(ISNUMBER($R108),$R108&gt;=TODAY()),$R108,99999),IF(AND(ISNUMBER($S108),$S108&gt;=TODAY()),$S108,99999),IF(AND(ISNUMBER($T108),$T108&gt;=TODAY()),$T108,99999),IF(AND(ISNUMBER($U108),$U108&gt;=TODAY()),$U108,99999),IF(AND(ISNUMBER($V108),$V108&gt;=TODAY()),$V108,99999))))</f>
        <v/>
      </c>
      <c r="L108" s="27" t="n"/>
      <c r="M108" s="27" t="n"/>
      <c r="N108" s="27" t="n"/>
      <c r="O108" s="27" t="n"/>
      <c r="P108" s="27" t="n"/>
      <c r="Q108" s="27" t="n"/>
      <c r="R108" s="27" t="n"/>
      <c r="S108" s="27" t="n"/>
      <c r="T108" s="27" t="n"/>
      <c r="U108" s="27" t="n"/>
      <c r="V108" s="27" t="n"/>
      <c r="W108" s="27" t="n"/>
      <c r="X108" s="27" t="n"/>
      <c r="Y108" s="27" t="n"/>
      <c r="Z108" s="30" t="n"/>
      <c r="AA108" s="25" t="n"/>
      <c r="AB108" s="28">
        <f>IF(NOT(AND($A108&lt;&gt;"",OR($G108="",$G108="Active"))),"",IF(OR(IF(OR(ISNUMBER($V108),$V108="DNA"),$V108,IF(OR(ISNUMBER($U108),$U108="DNA"),$U108,IF(OR(ISNUMBER($T108),$T108="DNA"),$T108,IF(OR(ISNUMBER($S108),$S108="DNA"),$S108,IF(OR(ISNUMBER($R108),$R108="DNA"),$R108,IF(OR(ISNUMBER($Q108),$Q108="DNA"),$Q108,IF(OR(ISNUMBER($N108),$N108="DNA"),$N108,IF(OR(ISNUMBER($M108),$M108="DNA"),$M108,IF(OR(ISNUMBER($L108),$L108="DNA"),$L108,"")))))))))="DNA",AND(ISNUMBER(IF(OR(ISNUMBER($V108),$V108="DNA"),$V108,IF(OR(ISNUMBER($U108),$U108="DNA"),$U108,IF(OR(ISNUMBER($T108),$T108="DNA"),$T108,IF(OR(ISNUMBER($S108),$S108="DNA"),$S108,IF(OR(ISNUMBER($R108),$R108="DNA"),$R108,IF(OR(ISNUMBER($Q108),$Q108="DNA"),$Q108,IF(OR(ISNUMBER($N108),$N108="DNA"),$N108,IF(OR(ISNUMBER($M108),$M108="DNA"),$M108,IF(OR(ISNUMBER($L108),$L108="DNA"),$L108,"")))))))))),IF(OR(ISNUMBER($V108),$V108="DNA"),$V108,IF(OR(ISNUMBER($U108),$U108="DNA"),$U108,IF(OR(ISNUMBER($T108),$T108="DNA"),$T108,IF(OR(ISNUMBER($S108),$S108="DNA"),$S108,IF(OR(ISNUMBER($R108),$R108="DNA"),$R108,IF(OR(ISNUMBER($Q108),$Q108="DNA"),$Q108,IF(OR(ISNUMBER($N108),$N108="DNA"),$N108,IF(OR(ISNUMBER($M108),$M108="DNA"),$M108,IF(OR(ISNUMBER($L108),$L108="DNA"),$L108,"")))))))))&lt;TODAY())),1,0)+ISNUMBER($O108)*($O108&lt;TODAY())+ISNUMBER($P108)*($P108&lt;TODAY())+ISNUMBER($X108)*($X108&lt;TODAY())+ISNUMBER($Y108)*($Y108&lt;TODAY()))</f>
        <v/>
      </c>
    </row>
    <row r="109">
      <c r="A109" s="25" t="n"/>
      <c r="B109" s="26" t="n"/>
      <c r="C109" s="27" t="n"/>
      <c r="D109" s="25" t="n"/>
      <c r="E109" s="25" t="n"/>
      <c r="F109" s="27" t="n"/>
      <c r="G109" s="25" t="n"/>
      <c r="H109" s="28">
        <f>IF(OR(NOT(AND($A109&lt;&gt;"",OR($G109="",$G109="Active"))),$F109=""),"",INT((TODAY()-$F109+280)/7)&amp;"+"&amp;MOD(TODAY()-$F109+280,7))</f>
        <v/>
      </c>
      <c r="I109" s="28">
        <f>IF(NOT(AND($A109&lt;&gt;"",OR($G109="",$G109="Active"))),"",ISNUMBER($L109)*($L109&gt;=TODAY())*($L109&lt;=TODAY()+7)+ISNUMBER($M109)*($M109&gt;=TODAY())*($M109&lt;=TODAY()+7)+ISNUMBER($N109)*($N109&gt;=TODAY())*($N109&lt;=TODAY()+7)+ISNUMBER($Q109)*($Q109&gt;=TODAY())*($Q109&lt;=TODAY()+7)+ISNUMBER($R109)*($R109&gt;=TODAY())*($R109&lt;=TODAY()+7)+ISNUMBER($S109)*($S109&gt;=TODAY())*($S109&lt;=TODAY()+7)+ISNUMBER($T109)*($T109&gt;=TODAY())*($T109&lt;=TODAY()+7)+ISNUMBER($U109)*($U109&gt;=TODAY())*($U109&lt;=TODAY()+7)+ISNUMBER($V109)*($V109&gt;=TODAY())*($V109&lt;=TODAY()+7)+ISNUMBER($O109)*($O109&gt;=TODAY())*($O109&lt;=TODAY()+7)+ISNUMBER($P109)*($P109&gt;=TODAY())*($P109&lt;=TODAY()+7)+ISNUMBER($X109)*($X109&gt;=TODAY())*($X109&lt;=TODAY()+7)+ISNUMBER($Y109)*($Y109&gt;=TODAY())*($Y109&lt;=TODAY()+7))</f>
        <v/>
      </c>
      <c r="J109" s="28">
        <f>IF(NOT(AND($A109&lt;&gt;"",OR($G109="",$G109="Active"))),"",IF($K109&lt;&gt;"",IF($L109=$K109,"Booking",IF($M109=$K109,"16/40",IF($N109=$K109,"25/40",IF($Q109=$K109,"28/40",IF($R109=$K109,"31/40",IF($S109=$K109,"34/40",IF($T109=$K109,"36/40",IF($U109=$K109,"38/40",IF($V109=$K109,"40/40",""))))))))),IF(IF(OR(ISNUMBER($V109),$V109="DNA"),$V109,IF(OR(ISNUMBER($U109),$U109="DNA"),$U109,IF(OR(ISNUMBER($T109),$T109="DNA"),$T109,IF(OR(ISNUMBER($S109),$S109="DNA"),$S109,IF(OR(ISNUMBER($R109),$R109="DNA"),$R109,IF(OR(ISNUMBER($Q109),$Q109="DNA"),$Q109,IF(OR(ISNUMBER($N109),$N109="DNA"),$N109,IF(OR(ISNUMBER($M109),$M109="DNA"),$M109,IF(OR(ISNUMBER($L109),$L109="DNA"),$L109,"")))))))))="DNA","Rebook DNA",IF(ISNUMBER(IF(OR(ISNUMBER($V109),$V109="DNA"),$V109,IF(OR(ISNUMBER($U109),$U109="DNA"),$U109,IF(OR(ISNUMBER($T109),$T109="DNA"),$T109,IF(OR(ISNUMBER($S109),$S109="DNA"),$S109,IF(OR(ISNUMBER($R109),$R109="DNA"),$R109,IF(OR(ISNUMBER($Q109),$Q109="DNA"),$Q109,IF(OR(ISNUMBER($N109),$N109="DNA"),$N109,IF(OR(ISNUMBER($M109),$M109="DNA"),$M109,IF(OR(ISNUMBER($L109),$L109="DNA"),$L109,"")))))))))),IF(ISNUMBER($V109),"Update status","Missed/not booked?"),""))))</f>
        <v/>
      </c>
      <c r="K109" s="29">
        <f>IF(NOT(AND($A109&lt;&gt;"",OR($G109="",$G109="Active"))),"",IF(MIN(IF(AND(ISNUMBER($L109),$L109&gt;=TODAY()),$L109,99999),IF(AND(ISNUMBER($M109),$M109&gt;=TODAY()),$M109,99999),IF(AND(ISNUMBER($N109),$N109&gt;=TODAY()),$N109,99999),IF(AND(ISNUMBER($Q109),$Q109&gt;=TODAY()),$Q109,99999),IF(AND(ISNUMBER($R109),$R109&gt;=TODAY()),$R109,99999),IF(AND(ISNUMBER($S109),$S109&gt;=TODAY()),$S109,99999),IF(AND(ISNUMBER($T109),$T109&gt;=TODAY()),$T109,99999),IF(AND(ISNUMBER($U109),$U109&gt;=TODAY()),$U109,99999),IF(AND(ISNUMBER($V109),$V109&gt;=TODAY()),$V109,99999))=99999,"",MIN(IF(AND(ISNUMBER($L109),$L109&gt;=TODAY()),$L109,99999),IF(AND(ISNUMBER($M109),$M109&gt;=TODAY()),$M109,99999),IF(AND(ISNUMBER($N109),$N109&gt;=TODAY()),$N109,99999),IF(AND(ISNUMBER($Q109),$Q109&gt;=TODAY()),$Q109,99999),IF(AND(ISNUMBER($R109),$R109&gt;=TODAY()),$R109,99999),IF(AND(ISNUMBER($S109),$S109&gt;=TODAY()),$S109,99999),IF(AND(ISNUMBER($T109),$T109&gt;=TODAY()),$T109,99999),IF(AND(ISNUMBER($U109),$U109&gt;=TODAY()),$U109,99999),IF(AND(ISNUMBER($V109),$V109&gt;=TODAY()),$V109,99999))))</f>
        <v/>
      </c>
      <c r="L109" s="27" t="n"/>
      <c r="M109" s="27" t="n"/>
      <c r="N109" s="27" t="n"/>
      <c r="O109" s="27" t="n"/>
      <c r="P109" s="27" t="n"/>
      <c r="Q109" s="27" t="n"/>
      <c r="R109" s="27" t="n"/>
      <c r="S109" s="27" t="n"/>
      <c r="T109" s="27" t="n"/>
      <c r="U109" s="27" t="n"/>
      <c r="V109" s="27" t="n"/>
      <c r="W109" s="27" t="n"/>
      <c r="X109" s="27" t="n"/>
      <c r="Y109" s="27" t="n"/>
      <c r="Z109" s="30" t="n"/>
      <c r="AA109" s="25" t="n"/>
      <c r="AB109" s="28">
        <f>IF(NOT(AND($A109&lt;&gt;"",OR($G109="",$G109="Active"))),"",IF(OR(IF(OR(ISNUMBER($V109),$V109="DNA"),$V109,IF(OR(ISNUMBER($U109),$U109="DNA"),$U109,IF(OR(ISNUMBER($T109),$T109="DNA"),$T109,IF(OR(ISNUMBER($S109),$S109="DNA"),$S109,IF(OR(ISNUMBER($R109),$R109="DNA"),$R109,IF(OR(ISNUMBER($Q109),$Q109="DNA"),$Q109,IF(OR(ISNUMBER($N109),$N109="DNA"),$N109,IF(OR(ISNUMBER($M109),$M109="DNA"),$M109,IF(OR(ISNUMBER($L109),$L109="DNA"),$L109,"")))))))))="DNA",AND(ISNUMBER(IF(OR(ISNUMBER($V109),$V109="DNA"),$V109,IF(OR(ISNUMBER($U109),$U109="DNA"),$U109,IF(OR(ISNUMBER($T109),$T109="DNA"),$T109,IF(OR(ISNUMBER($S109),$S109="DNA"),$S109,IF(OR(ISNUMBER($R109),$R109="DNA"),$R109,IF(OR(ISNUMBER($Q109),$Q109="DNA"),$Q109,IF(OR(ISNUMBER($N109),$N109="DNA"),$N109,IF(OR(ISNUMBER($M109),$M109="DNA"),$M109,IF(OR(ISNUMBER($L109),$L109="DNA"),$L109,"")))))))))),IF(OR(ISNUMBER($V109),$V109="DNA"),$V109,IF(OR(ISNUMBER($U109),$U109="DNA"),$U109,IF(OR(ISNUMBER($T109),$T109="DNA"),$T109,IF(OR(ISNUMBER($S109),$S109="DNA"),$S109,IF(OR(ISNUMBER($R109),$R109="DNA"),$R109,IF(OR(ISNUMBER($Q109),$Q109="DNA"),$Q109,IF(OR(ISNUMBER($N109),$N109="DNA"),$N109,IF(OR(ISNUMBER($M109),$M109="DNA"),$M109,IF(OR(ISNUMBER($L109),$L109="DNA"),$L109,"")))))))))&lt;TODAY())),1,0)+ISNUMBER($O109)*($O109&lt;TODAY())+ISNUMBER($P109)*($P109&lt;TODAY())+ISNUMBER($X109)*($X109&lt;TODAY())+ISNUMBER($Y109)*($Y109&lt;TODAY()))</f>
        <v/>
      </c>
    </row>
    <row r="110">
      <c r="A110" s="25" t="n"/>
      <c r="B110" s="26" t="n"/>
      <c r="C110" s="27" t="n"/>
      <c r="D110" s="25" t="n"/>
      <c r="E110" s="25" t="n"/>
      <c r="F110" s="27" t="n"/>
      <c r="G110" s="25" t="n"/>
      <c r="H110" s="28">
        <f>IF(OR(NOT(AND($A110&lt;&gt;"",OR($G110="",$G110="Active"))),$F110=""),"",INT((TODAY()-$F110+280)/7)&amp;"+"&amp;MOD(TODAY()-$F110+280,7))</f>
        <v/>
      </c>
      <c r="I110" s="28">
        <f>IF(NOT(AND($A110&lt;&gt;"",OR($G110="",$G110="Active"))),"",ISNUMBER($L110)*($L110&gt;=TODAY())*($L110&lt;=TODAY()+7)+ISNUMBER($M110)*($M110&gt;=TODAY())*($M110&lt;=TODAY()+7)+ISNUMBER($N110)*($N110&gt;=TODAY())*($N110&lt;=TODAY()+7)+ISNUMBER($Q110)*($Q110&gt;=TODAY())*($Q110&lt;=TODAY()+7)+ISNUMBER($R110)*($R110&gt;=TODAY())*($R110&lt;=TODAY()+7)+ISNUMBER($S110)*($S110&gt;=TODAY())*($S110&lt;=TODAY()+7)+ISNUMBER($T110)*($T110&gt;=TODAY())*($T110&lt;=TODAY()+7)+ISNUMBER($U110)*($U110&gt;=TODAY())*($U110&lt;=TODAY()+7)+ISNUMBER($V110)*($V110&gt;=TODAY())*($V110&lt;=TODAY()+7)+ISNUMBER($O110)*($O110&gt;=TODAY())*($O110&lt;=TODAY()+7)+ISNUMBER($P110)*($P110&gt;=TODAY())*($P110&lt;=TODAY()+7)+ISNUMBER($X110)*($X110&gt;=TODAY())*($X110&lt;=TODAY()+7)+ISNUMBER($Y110)*($Y110&gt;=TODAY())*($Y110&lt;=TODAY()+7))</f>
        <v/>
      </c>
      <c r="J110" s="28">
        <f>IF(NOT(AND($A110&lt;&gt;"",OR($G110="",$G110="Active"))),"",IF($K110&lt;&gt;"",IF($L110=$K110,"Booking",IF($M110=$K110,"16/40",IF($N110=$K110,"25/40",IF($Q110=$K110,"28/40",IF($R110=$K110,"31/40",IF($S110=$K110,"34/40",IF($T110=$K110,"36/40",IF($U110=$K110,"38/40",IF($V110=$K110,"40/40",""))))))))),IF(IF(OR(ISNUMBER($V110),$V110="DNA"),$V110,IF(OR(ISNUMBER($U110),$U110="DNA"),$U110,IF(OR(ISNUMBER($T110),$T110="DNA"),$T110,IF(OR(ISNUMBER($S110),$S110="DNA"),$S110,IF(OR(ISNUMBER($R110),$R110="DNA"),$R110,IF(OR(ISNUMBER($Q110),$Q110="DNA"),$Q110,IF(OR(ISNUMBER($N110),$N110="DNA"),$N110,IF(OR(ISNUMBER($M110),$M110="DNA"),$M110,IF(OR(ISNUMBER($L110),$L110="DNA"),$L110,"")))))))))="DNA","Rebook DNA",IF(ISNUMBER(IF(OR(ISNUMBER($V110),$V110="DNA"),$V110,IF(OR(ISNUMBER($U110),$U110="DNA"),$U110,IF(OR(ISNUMBER($T110),$T110="DNA"),$T110,IF(OR(ISNUMBER($S110),$S110="DNA"),$S110,IF(OR(ISNUMBER($R110),$R110="DNA"),$R110,IF(OR(ISNUMBER($Q110),$Q110="DNA"),$Q110,IF(OR(ISNUMBER($N110),$N110="DNA"),$N110,IF(OR(ISNUMBER($M110),$M110="DNA"),$M110,IF(OR(ISNUMBER($L110),$L110="DNA"),$L110,"")))))))))),IF(ISNUMBER($V110),"Update status","Missed/not booked?"),""))))</f>
        <v/>
      </c>
      <c r="K110" s="29">
        <f>IF(NOT(AND($A110&lt;&gt;"",OR($G110="",$G110="Active"))),"",IF(MIN(IF(AND(ISNUMBER($L110),$L110&gt;=TODAY()),$L110,99999),IF(AND(ISNUMBER($M110),$M110&gt;=TODAY()),$M110,99999),IF(AND(ISNUMBER($N110),$N110&gt;=TODAY()),$N110,99999),IF(AND(ISNUMBER($Q110),$Q110&gt;=TODAY()),$Q110,99999),IF(AND(ISNUMBER($R110),$R110&gt;=TODAY()),$R110,99999),IF(AND(ISNUMBER($S110),$S110&gt;=TODAY()),$S110,99999),IF(AND(ISNUMBER($T110),$T110&gt;=TODAY()),$T110,99999),IF(AND(ISNUMBER($U110),$U110&gt;=TODAY()),$U110,99999),IF(AND(ISNUMBER($V110),$V110&gt;=TODAY()),$V110,99999))=99999,"",MIN(IF(AND(ISNUMBER($L110),$L110&gt;=TODAY()),$L110,99999),IF(AND(ISNUMBER($M110),$M110&gt;=TODAY()),$M110,99999),IF(AND(ISNUMBER($N110),$N110&gt;=TODAY()),$N110,99999),IF(AND(ISNUMBER($Q110),$Q110&gt;=TODAY()),$Q110,99999),IF(AND(ISNUMBER($R110),$R110&gt;=TODAY()),$R110,99999),IF(AND(ISNUMBER($S110),$S110&gt;=TODAY()),$S110,99999),IF(AND(ISNUMBER($T110),$T110&gt;=TODAY()),$T110,99999),IF(AND(ISNUMBER($U110),$U110&gt;=TODAY()),$U110,99999),IF(AND(ISNUMBER($V110),$V110&gt;=TODAY()),$V110,99999))))</f>
        <v/>
      </c>
      <c r="L110" s="27" t="n"/>
      <c r="M110" s="27" t="n"/>
      <c r="N110" s="27" t="n"/>
      <c r="O110" s="27" t="n"/>
      <c r="P110" s="27" t="n"/>
      <c r="Q110" s="27" t="n"/>
      <c r="R110" s="27" t="n"/>
      <c r="S110" s="27" t="n"/>
      <c r="T110" s="27" t="n"/>
      <c r="U110" s="27" t="n"/>
      <c r="V110" s="27" t="n"/>
      <c r="W110" s="27" t="n"/>
      <c r="X110" s="27" t="n"/>
      <c r="Y110" s="27" t="n"/>
      <c r="Z110" s="30" t="n"/>
      <c r="AA110" s="25" t="n"/>
      <c r="AB110" s="28">
        <f>IF(NOT(AND($A110&lt;&gt;"",OR($G110="",$G110="Active"))),"",IF(OR(IF(OR(ISNUMBER($V110),$V110="DNA"),$V110,IF(OR(ISNUMBER($U110),$U110="DNA"),$U110,IF(OR(ISNUMBER($T110),$T110="DNA"),$T110,IF(OR(ISNUMBER($S110),$S110="DNA"),$S110,IF(OR(ISNUMBER($R110),$R110="DNA"),$R110,IF(OR(ISNUMBER($Q110),$Q110="DNA"),$Q110,IF(OR(ISNUMBER($N110),$N110="DNA"),$N110,IF(OR(ISNUMBER($M110),$M110="DNA"),$M110,IF(OR(ISNUMBER($L110),$L110="DNA"),$L110,"")))))))))="DNA",AND(ISNUMBER(IF(OR(ISNUMBER($V110),$V110="DNA"),$V110,IF(OR(ISNUMBER($U110),$U110="DNA"),$U110,IF(OR(ISNUMBER($T110),$T110="DNA"),$T110,IF(OR(ISNUMBER($S110),$S110="DNA"),$S110,IF(OR(ISNUMBER($R110),$R110="DNA"),$R110,IF(OR(ISNUMBER($Q110),$Q110="DNA"),$Q110,IF(OR(ISNUMBER($N110),$N110="DNA"),$N110,IF(OR(ISNUMBER($M110),$M110="DNA"),$M110,IF(OR(ISNUMBER($L110),$L110="DNA"),$L110,"")))))))))),IF(OR(ISNUMBER($V110),$V110="DNA"),$V110,IF(OR(ISNUMBER($U110),$U110="DNA"),$U110,IF(OR(ISNUMBER($T110),$T110="DNA"),$T110,IF(OR(ISNUMBER($S110),$S110="DNA"),$S110,IF(OR(ISNUMBER($R110),$R110="DNA"),$R110,IF(OR(ISNUMBER($Q110),$Q110="DNA"),$Q110,IF(OR(ISNUMBER($N110),$N110="DNA"),$N110,IF(OR(ISNUMBER($M110),$M110="DNA"),$M110,IF(OR(ISNUMBER($L110),$L110="DNA"),$L110,"")))))))))&lt;TODAY())),1,0)+ISNUMBER($O110)*($O110&lt;TODAY())+ISNUMBER($P110)*($P110&lt;TODAY())+ISNUMBER($X110)*($X110&lt;TODAY())+ISNUMBER($Y110)*($Y110&lt;TODAY()))</f>
        <v/>
      </c>
    </row>
    <row r="111">
      <c r="A111" s="25" t="n"/>
      <c r="B111" s="26" t="n"/>
      <c r="C111" s="27" t="n"/>
      <c r="D111" s="25" t="n"/>
      <c r="E111" s="25" t="n"/>
      <c r="F111" s="27" t="n"/>
      <c r="G111" s="25" t="n"/>
      <c r="H111" s="28">
        <f>IF(OR(NOT(AND($A111&lt;&gt;"",OR($G111="",$G111="Active"))),$F111=""),"",INT((TODAY()-$F111+280)/7)&amp;"+"&amp;MOD(TODAY()-$F111+280,7))</f>
        <v/>
      </c>
      <c r="I111" s="28">
        <f>IF(NOT(AND($A111&lt;&gt;"",OR($G111="",$G111="Active"))),"",ISNUMBER($L111)*($L111&gt;=TODAY())*($L111&lt;=TODAY()+7)+ISNUMBER($M111)*($M111&gt;=TODAY())*($M111&lt;=TODAY()+7)+ISNUMBER($N111)*($N111&gt;=TODAY())*($N111&lt;=TODAY()+7)+ISNUMBER($Q111)*($Q111&gt;=TODAY())*($Q111&lt;=TODAY()+7)+ISNUMBER($R111)*($R111&gt;=TODAY())*($R111&lt;=TODAY()+7)+ISNUMBER($S111)*($S111&gt;=TODAY())*($S111&lt;=TODAY()+7)+ISNUMBER($T111)*($T111&gt;=TODAY())*($T111&lt;=TODAY()+7)+ISNUMBER($U111)*($U111&gt;=TODAY())*($U111&lt;=TODAY()+7)+ISNUMBER($V111)*($V111&gt;=TODAY())*($V111&lt;=TODAY()+7)+ISNUMBER($O111)*($O111&gt;=TODAY())*($O111&lt;=TODAY()+7)+ISNUMBER($P111)*($P111&gt;=TODAY())*($P111&lt;=TODAY()+7)+ISNUMBER($X111)*($X111&gt;=TODAY())*($X111&lt;=TODAY()+7)+ISNUMBER($Y111)*($Y111&gt;=TODAY())*($Y111&lt;=TODAY()+7))</f>
        <v/>
      </c>
      <c r="J111" s="28">
        <f>IF(NOT(AND($A111&lt;&gt;"",OR($G111="",$G111="Active"))),"",IF($K111&lt;&gt;"",IF($L111=$K111,"Booking",IF($M111=$K111,"16/40",IF($N111=$K111,"25/40",IF($Q111=$K111,"28/40",IF($R111=$K111,"31/40",IF($S111=$K111,"34/40",IF($T111=$K111,"36/40",IF($U111=$K111,"38/40",IF($V111=$K111,"40/40",""))))))))),IF(IF(OR(ISNUMBER($V111),$V111="DNA"),$V111,IF(OR(ISNUMBER($U111),$U111="DNA"),$U111,IF(OR(ISNUMBER($T111),$T111="DNA"),$T111,IF(OR(ISNUMBER($S111),$S111="DNA"),$S111,IF(OR(ISNUMBER($R111),$R111="DNA"),$R111,IF(OR(ISNUMBER($Q111),$Q111="DNA"),$Q111,IF(OR(ISNUMBER($N111),$N111="DNA"),$N111,IF(OR(ISNUMBER($M111),$M111="DNA"),$M111,IF(OR(ISNUMBER($L111),$L111="DNA"),$L111,"")))))))))="DNA","Rebook DNA",IF(ISNUMBER(IF(OR(ISNUMBER($V111),$V111="DNA"),$V111,IF(OR(ISNUMBER($U111),$U111="DNA"),$U111,IF(OR(ISNUMBER($T111),$T111="DNA"),$T111,IF(OR(ISNUMBER($S111),$S111="DNA"),$S111,IF(OR(ISNUMBER($R111),$R111="DNA"),$R111,IF(OR(ISNUMBER($Q111),$Q111="DNA"),$Q111,IF(OR(ISNUMBER($N111),$N111="DNA"),$N111,IF(OR(ISNUMBER($M111),$M111="DNA"),$M111,IF(OR(ISNUMBER($L111),$L111="DNA"),$L111,"")))))))))),IF(ISNUMBER($V111),"Update status","Missed/not booked?"),""))))</f>
        <v/>
      </c>
      <c r="K111" s="29">
        <f>IF(NOT(AND($A111&lt;&gt;"",OR($G111="",$G111="Active"))),"",IF(MIN(IF(AND(ISNUMBER($L111),$L111&gt;=TODAY()),$L111,99999),IF(AND(ISNUMBER($M111),$M111&gt;=TODAY()),$M111,99999),IF(AND(ISNUMBER($N111),$N111&gt;=TODAY()),$N111,99999),IF(AND(ISNUMBER($Q111),$Q111&gt;=TODAY()),$Q111,99999),IF(AND(ISNUMBER($R111),$R111&gt;=TODAY()),$R111,99999),IF(AND(ISNUMBER($S111),$S111&gt;=TODAY()),$S111,99999),IF(AND(ISNUMBER($T111),$T111&gt;=TODAY()),$T111,99999),IF(AND(ISNUMBER($U111),$U111&gt;=TODAY()),$U111,99999),IF(AND(ISNUMBER($V111),$V111&gt;=TODAY()),$V111,99999))=99999,"",MIN(IF(AND(ISNUMBER($L111),$L111&gt;=TODAY()),$L111,99999),IF(AND(ISNUMBER($M111),$M111&gt;=TODAY()),$M111,99999),IF(AND(ISNUMBER($N111),$N111&gt;=TODAY()),$N111,99999),IF(AND(ISNUMBER($Q111),$Q111&gt;=TODAY()),$Q111,99999),IF(AND(ISNUMBER($R111),$R111&gt;=TODAY()),$R111,99999),IF(AND(ISNUMBER($S111),$S111&gt;=TODAY()),$S111,99999),IF(AND(ISNUMBER($T111),$T111&gt;=TODAY()),$T111,99999),IF(AND(ISNUMBER($U111),$U111&gt;=TODAY()),$U111,99999),IF(AND(ISNUMBER($V111),$V111&gt;=TODAY()),$V111,99999))))</f>
        <v/>
      </c>
      <c r="L111" s="27" t="n"/>
      <c r="M111" s="27" t="n"/>
      <c r="N111" s="27" t="n"/>
      <c r="O111" s="27" t="n"/>
      <c r="P111" s="27" t="n"/>
      <c r="Q111" s="27" t="n"/>
      <c r="R111" s="27" t="n"/>
      <c r="S111" s="27" t="n"/>
      <c r="T111" s="27" t="n"/>
      <c r="U111" s="27" t="n"/>
      <c r="V111" s="27" t="n"/>
      <c r="W111" s="27" t="n"/>
      <c r="X111" s="27" t="n"/>
      <c r="Y111" s="27" t="n"/>
      <c r="Z111" s="30" t="n"/>
      <c r="AA111" s="25" t="n"/>
      <c r="AB111" s="28">
        <f>IF(NOT(AND($A111&lt;&gt;"",OR($G111="",$G111="Active"))),"",IF(OR(IF(OR(ISNUMBER($V111),$V111="DNA"),$V111,IF(OR(ISNUMBER($U111),$U111="DNA"),$U111,IF(OR(ISNUMBER($T111),$T111="DNA"),$T111,IF(OR(ISNUMBER($S111),$S111="DNA"),$S111,IF(OR(ISNUMBER($R111),$R111="DNA"),$R111,IF(OR(ISNUMBER($Q111),$Q111="DNA"),$Q111,IF(OR(ISNUMBER($N111),$N111="DNA"),$N111,IF(OR(ISNUMBER($M111),$M111="DNA"),$M111,IF(OR(ISNUMBER($L111),$L111="DNA"),$L111,"")))))))))="DNA",AND(ISNUMBER(IF(OR(ISNUMBER($V111),$V111="DNA"),$V111,IF(OR(ISNUMBER($U111),$U111="DNA"),$U111,IF(OR(ISNUMBER($T111),$T111="DNA"),$T111,IF(OR(ISNUMBER($S111),$S111="DNA"),$S111,IF(OR(ISNUMBER($R111),$R111="DNA"),$R111,IF(OR(ISNUMBER($Q111),$Q111="DNA"),$Q111,IF(OR(ISNUMBER($N111),$N111="DNA"),$N111,IF(OR(ISNUMBER($M111),$M111="DNA"),$M111,IF(OR(ISNUMBER($L111),$L111="DNA"),$L111,"")))))))))),IF(OR(ISNUMBER($V111),$V111="DNA"),$V111,IF(OR(ISNUMBER($U111),$U111="DNA"),$U111,IF(OR(ISNUMBER($T111),$T111="DNA"),$T111,IF(OR(ISNUMBER($S111),$S111="DNA"),$S111,IF(OR(ISNUMBER($R111),$R111="DNA"),$R111,IF(OR(ISNUMBER($Q111),$Q111="DNA"),$Q111,IF(OR(ISNUMBER($N111),$N111="DNA"),$N111,IF(OR(ISNUMBER($M111),$M111="DNA"),$M111,IF(OR(ISNUMBER($L111),$L111="DNA"),$L111,"")))))))))&lt;TODAY())),1,0)+ISNUMBER($O111)*($O111&lt;TODAY())+ISNUMBER($P111)*($P111&lt;TODAY())+ISNUMBER($X111)*($X111&lt;TODAY())+ISNUMBER($Y111)*($Y111&lt;TODAY()))</f>
        <v/>
      </c>
    </row>
    <row r="112">
      <c r="A112" s="25" t="n"/>
      <c r="B112" s="26" t="n"/>
      <c r="C112" s="27" t="n"/>
      <c r="D112" s="25" t="n"/>
      <c r="E112" s="25" t="n"/>
      <c r="F112" s="27" t="n"/>
      <c r="G112" s="25" t="n"/>
      <c r="H112" s="28">
        <f>IF(OR(NOT(AND($A112&lt;&gt;"",OR($G112="",$G112="Active"))),$F112=""),"",INT((TODAY()-$F112+280)/7)&amp;"+"&amp;MOD(TODAY()-$F112+280,7))</f>
        <v/>
      </c>
      <c r="I112" s="28">
        <f>IF(NOT(AND($A112&lt;&gt;"",OR($G112="",$G112="Active"))),"",ISNUMBER($L112)*($L112&gt;=TODAY())*($L112&lt;=TODAY()+7)+ISNUMBER($M112)*($M112&gt;=TODAY())*($M112&lt;=TODAY()+7)+ISNUMBER($N112)*($N112&gt;=TODAY())*($N112&lt;=TODAY()+7)+ISNUMBER($Q112)*($Q112&gt;=TODAY())*($Q112&lt;=TODAY()+7)+ISNUMBER($R112)*($R112&gt;=TODAY())*($R112&lt;=TODAY()+7)+ISNUMBER($S112)*($S112&gt;=TODAY())*($S112&lt;=TODAY()+7)+ISNUMBER($T112)*($T112&gt;=TODAY())*($T112&lt;=TODAY()+7)+ISNUMBER($U112)*($U112&gt;=TODAY())*($U112&lt;=TODAY()+7)+ISNUMBER($V112)*($V112&gt;=TODAY())*($V112&lt;=TODAY()+7)+ISNUMBER($O112)*($O112&gt;=TODAY())*($O112&lt;=TODAY()+7)+ISNUMBER($P112)*($P112&gt;=TODAY())*($P112&lt;=TODAY()+7)+ISNUMBER($X112)*($X112&gt;=TODAY())*($X112&lt;=TODAY()+7)+ISNUMBER($Y112)*($Y112&gt;=TODAY())*($Y112&lt;=TODAY()+7))</f>
        <v/>
      </c>
      <c r="J112" s="28">
        <f>IF(NOT(AND($A112&lt;&gt;"",OR($G112="",$G112="Active"))),"",IF($K112&lt;&gt;"",IF($L112=$K112,"Booking",IF($M112=$K112,"16/40",IF($N112=$K112,"25/40",IF($Q112=$K112,"28/40",IF($R112=$K112,"31/40",IF($S112=$K112,"34/40",IF($T112=$K112,"36/40",IF($U112=$K112,"38/40",IF($V112=$K112,"40/40",""))))))))),IF(IF(OR(ISNUMBER($V112),$V112="DNA"),$V112,IF(OR(ISNUMBER($U112),$U112="DNA"),$U112,IF(OR(ISNUMBER($T112),$T112="DNA"),$T112,IF(OR(ISNUMBER($S112),$S112="DNA"),$S112,IF(OR(ISNUMBER($R112),$R112="DNA"),$R112,IF(OR(ISNUMBER($Q112),$Q112="DNA"),$Q112,IF(OR(ISNUMBER($N112),$N112="DNA"),$N112,IF(OR(ISNUMBER($M112),$M112="DNA"),$M112,IF(OR(ISNUMBER($L112),$L112="DNA"),$L112,"")))))))))="DNA","Rebook DNA",IF(ISNUMBER(IF(OR(ISNUMBER($V112),$V112="DNA"),$V112,IF(OR(ISNUMBER($U112),$U112="DNA"),$U112,IF(OR(ISNUMBER($T112),$T112="DNA"),$T112,IF(OR(ISNUMBER($S112),$S112="DNA"),$S112,IF(OR(ISNUMBER($R112),$R112="DNA"),$R112,IF(OR(ISNUMBER($Q112),$Q112="DNA"),$Q112,IF(OR(ISNUMBER($N112),$N112="DNA"),$N112,IF(OR(ISNUMBER($M112),$M112="DNA"),$M112,IF(OR(ISNUMBER($L112),$L112="DNA"),$L112,"")))))))))),IF(ISNUMBER($V112),"Update status","Missed/not booked?"),""))))</f>
        <v/>
      </c>
      <c r="K112" s="29">
        <f>IF(NOT(AND($A112&lt;&gt;"",OR($G112="",$G112="Active"))),"",IF(MIN(IF(AND(ISNUMBER($L112),$L112&gt;=TODAY()),$L112,99999),IF(AND(ISNUMBER($M112),$M112&gt;=TODAY()),$M112,99999),IF(AND(ISNUMBER($N112),$N112&gt;=TODAY()),$N112,99999),IF(AND(ISNUMBER($Q112),$Q112&gt;=TODAY()),$Q112,99999),IF(AND(ISNUMBER($R112),$R112&gt;=TODAY()),$R112,99999),IF(AND(ISNUMBER($S112),$S112&gt;=TODAY()),$S112,99999),IF(AND(ISNUMBER($T112),$T112&gt;=TODAY()),$T112,99999),IF(AND(ISNUMBER($U112),$U112&gt;=TODAY()),$U112,99999),IF(AND(ISNUMBER($V112),$V112&gt;=TODAY()),$V112,99999))=99999,"",MIN(IF(AND(ISNUMBER($L112),$L112&gt;=TODAY()),$L112,99999),IF(AND(ISNUMBER($M112),$M112&gt;=TODAY()),$M112,99999),IF(AND(ISNUMBER($N112),$N112&gt;=TODAY()),$N112,99999),IF(AND(ISNUMBER($Q112),$Q112&gt;=TODAY()),$Q112,99999),IF(AND(ISNUMBER($R112),$R112&gt;=TODAY()),$R112,99999),IF(AND(ISNUMBER($S112),$S112&gt;=TODAY()),$S112,99999),IF(AND(ISNUMBER($T112),$T112&gt;=TODAY()),$T112,99999),IF(AND(ISNUMBER($U112),$U112&gt;=TODAY()),$U112,99999),IF(AND(ISNUMBER($V112),$V112&gt;=TODAY()),$V112,99999))))</f>
        <v/>
      </c>
      <c r="L112" s="27" t="n"/>
      <c r="M112" s="27" t="n"/>
      <c r="N112" s="27" t="n"/>
      <c r="O112" s="27" t="n"/>
      <c r="P112" s="27" t="n"/>
      <c r="Q112" s="27" t="n"/>
      <c r="R112" s="27" t="n"/>
      <c r="S112" s="27" t="n"/>
      <c r="T112" s="27" t="n"/>
      <c r="U112" s="27" t="n"/>
      <c r="V112" s="27" t="n"/>
      <c r="W112" s="27" t="n"/>
      <c r="X112" s="27" t="n"/>
      <c r="Y112" s="27" t="n"/>
      <c r="Z112" s="30" t="n"/>
      <c r="AA112" s="25" t="n"/>
      <c r="AB112" s="28">
        <f>IF(NOT(AND($A112&lt;&gt;"",OR($G112="",$G112="Active"))),"",IF(OR(IF(OR(ISNUMBER($V112),$V112="DNA"),$V112,IF(OR(ISNUMBER($U112),$U112="DNA"),$U112,IF(OR(ISNUMBER($T112),$T112="DNA"),$T112,IF(OR(ISNUMBER($S112),$S112="DNA"),$S112,IF(OR(ISNUMBER($R112),$R112="DNA"),$R112,IF(OR(ISNUMBER($Q112),$Q112="DNA"),$Q112,IF(OR(ISNUMBER($N112),$N112="DNA"),$N112,IF(OR(ISNUMBER($M112),$M112="DNA"),$M112,IF(OR(ISNUMBER($L112),$L112="DNA"),$L112,"")))))))))="DNA",AND(ISNUMBER(IF(OR(ISNUMBER($V112),$V112="DNA"),$V112,IF(OR(ISNUMBER($U112),$U112="DNA"),$U112,IF(OR(ISNUMBER($T112),$T112="DNA"),$T112,IF(OR(ISNUMBER($S112),$S112="DNA"),$S112,IF(OR(ISNUMBER($R112),$R112="DNA"),$R112,IF(OR(ISNUMBER($Q112),$Q112="DNA"),$Q112,IF(OR(ISNUMBER($N112),$N112="DNA"),$N112,IF(OR(ISNUMBER($M112),$M112="DNA"),$M112,IF(OR(ISNUMBER($L112),$L112="DNA"),$L112,"")))))))))),IF(OR(ISNUMBER($V112),$V112="DNA"),$V112,IF(OR(ISNUMBER($U112),$U112="DNA"),$U112,IF(OR(ISNUMBER($T112),$T112="DNA"),$T112,IF(OR(ISNUMBER($S112),$S112="DNA"),$S112,IF(OR(ISNUMBER($R112),$R112="DNA"),$R112,IF(OR(ISNUMBER($Q112),$Q112="DNA"),$Q112,IF(OR(ISNUMBER($N112),$N112="DNA"),$N112,IF(OR(ISNUMBER($M112),$M112="DNA"),$M112,IF(OR(ISNUMBER($L112),$L112="DNA"),$L112,"")))))))))&lt;TODAY())),1,0)+ISNUMBER($O112)*($O112&lt;TODAY())+ISNUMBER($P112)*($P112&lt;TODAY())+ISNUMBER($X112)*($X112&lt;TODAY())+ISNUMBER($Y112)*($Y112&lt;TODAY()))</f>
        <v/>
      </c>
    </row>
    <row r="113">
      <c r="A113" s="25" t="n"/>
      <c r="B113" s="26" t="n"/>
      <c r="C113" s="27" t="n"/>
      <c r="D113" s="25" t="n"/>
      <c r="E113" s="25" t="n"/>
      <c r="F113" s="27" t="n"/>
      <c r="G113" s="25" t="n"/>
      <c r="H113" s="28">
        <f>IF(OR(NOT(AND($A113&lt;&gt;"",OR($G113="",$G113="Active"))),$F113=""),"",INT((TODAY()-$F113+280)/7)&amp;"+"&amp;MOD(TODAY()-$F113+280,7))</f>
        <v/>
      </c>
      <c r="I113" s="28">
        <f>IF(NOT(AND($A113&lt;&gt;"",OR($G113="",$G113="Active"))),"",ISNUMBER($L113)*($L113&gt;=TODAY())*($L113&lt;=TODAY()+7)+ISNUMBER($M113)*($M113&gt;=TODAY())*($M113&lt;=TODAY()+7)+ISNUMBER($N113)*($N113&gt;=TODAY())*($N113&lt;=TODAY()+7)+ISNUMBER($Q113)*($Q113&gt;=TODAY())*($Q113&lt;=TODAY()+7)+ISNUMBER($R113)*($R113&gt;=TODAY())*($R113&lt;=TODAY()+7)+ISNUMBER($S113)*($S113&gt;=TODAY())*($S113&lt;=TODAY()+7)+ISNUMBER($T113)*($T113&gt;=TODAY())*($T113&lt;=TODAY()+7)+ISNUMBER($U113)*($U113&gt;=TODAY())*($U113&lt;=TODAY()+7)+ISNUMBER($V113)*($V113&gt;=TODAY())*($V113&lt;=TODAY()+7)+ISNUMBER($O113)*($O113&gt;=TODAY())*($O113&lt;=TODAY()+7)+ISNUMBER($P113)*($P113&gt;=TODAY())*($P113&lt;=TODAY()+7)+ISNUMBER($X113)*($X113&gt;=TODAY())*($X113&lt;=TODAY()+7)+ISNUMBER($Y113)*($Y113&gt;=TODAY())*($Y113&lt;=TODAY()+7))</f>
        <v/>
      </c>
      <c r="J113" s="28">
        <f>IF(NOT(AND($A113&lt;&gt;"",OR($G113="",$G113="Active"))),"",IF($K113&lt;&gt;"",IF($L113=$K113,"Booking",IF($M113=$K113,"16/40",IF($N113=$K113,"25/40",IF($Q113=$K113,"28/40",IF($R113=$K113,"31/40",IF($S113=$K113,"34/40",IF($T113=$K113,"36/40",IF($U113=$K113,"38/40",IF($V113=$K113,"40/40",""))))))))),IF(IF(OR(ISNUMBER($V113),$V113="DNA"),$V113,IF(OR(ISNUMBER($U113),$U113="DNA"),$U113,IF(OR(ISNUMBER($T113),$T113="DNA"),$T113,IF(OR(ISNUMBER($S113),$S113="DNA"),$S113,IF(OR(ISNUMBER($R113),$R113="DNA"),$R113,IF(OR(ISNUMBER($Q113),$Q113="DNA"),$Q113,IF(OR(ISNUMBER($N113),$N113="DNA"),$N113,IF(OR(ISNUMBER($M113),$M113="DNA"),$M113,IF(OR(ISNUMBER($L113),$L113="DNA"),$L113,"")))))))))="DNA","Rebook DNA",IF(ISNUMBER(IF(OR(ISNUMBER($V113),$V113="DNA"),$V113,IF(OR(ISNUMBER($U113),$U113="DNA"),$U113,IF(OR(ISNUMBER($T113),$T113="DNA"),$T113,IF(OR(ISNUMBER($S113),$S113="DNA"),$S113,IF(OR(ISNUMBER($R113),$R113="DNA"),$R113,IF(OR(ISNUMBER($Q113),$Q113="DNA"),$Q113,IF(OR(ISNUMBER($N113),$N113="DNA"),$N113,IF(OR(ISNUMBER($M113),$M113="DNA"),$M113,IF(OR(ISNUMBER($L113),$L113="DNA"),$L113,"")))))))))),IF(ISNUMBER($V113),"Update status","Missed/not booked?"),""))))</f>
        <v/>
      </c>
      <c r="K113" s="29">
        <f>IF(NOT(AND($A113&lt;&gt;"",OR($G113="",$G113="Active"))),"",IF(MIN(IF(AND(ISNUMBER($L113),$L113&gt;=TODAY()),$L113,99999),IF(AND(ISNUMBER($M113),$M113&gt;=TODAY()),$M113,99999),IF(AND(ISNUMBER($N113),$N113&gt;=TODAY()),$N113,99999),IF(AND(ISNUMBER($Q113),$Q113&gt;=TODAY()),$Q113,99999),IF(AND(ISNUMBER($R113),$R113&gt;=TODAY()),$R113,99999),IF(AND(ISNUMBER($S113),$S113&gt;=TODAY()),$S113,99999),IF(AND(ISNUMBER($T113),$T113&gt;=TODAY()),$T113,99999),IF(AND(ISNUMBER($U113),$U113&gt;=TODAY()),$U113,99999),IF(AND(ISNUMBER($V113),$V113&gt;=TODAY()),$V113,99999))=99999,"",MIN(IF(AND(ISNUMBER($L113),$L113&gt;=TODAY()),$L113,99999),IF(AND(ISNUMBER($M113),$M113&gt;=TODAY()),$M113,99999),IF(AND(ISNUMBER($N113),$N113&gt;=TODAY()),$N113,99999),IF(AND(ISNUMBER($Q113),$Q113&gt;=TODAY()),$Q113,99999),IF(AND(ISNUMBER($R113),$R113&gt;=TODAY()),$R113,99999),IF(AND(ISNUMBER($S113),$S113&gt;=TODAY()),$S113,99999),IF(AND(ISNUMBER($T113),$T113&gt;=TODAY()),$T113,99999),IF(AND(ISNUMBER($U113),$U113&gt;=TODAY()),$U113,99999),IF(AND(ISNUMBER($V113),$V113&gt;=TODAY()),$V113,99999))))</f>
        <v/>
      </c>
      <c r="L113" s="27" t="n"/>
      <c r="M113" s="27" t="n"/>
      <c r="N113" s="27" t="n"/>
      <c r="O113" s="27" t="n"/>
      <c r="P113" s="27" t="n"/>
      <c r="Q113" s="27" t="n"/>
      <c r="R113" s="27" t="n"/>
      <c r="S113" s="27" t="n"/>
      <c r="T113" s="27" t="n"/>
      <c r="U113" s="27" t="n"/>
      <c r="V113" s="27" t="n"/>
      <c r="W113" s="27" t="n"/>
      <c r="X113" s="27" t="n"/>
      <c r="Y113" s="27" t="n"/>
      <c r="Z113" s="30" t="n"/>
      <c r="AA113" s="25" t="n"/>
      <c r="AB113" s="28">
        <f>IF(NOT(AND($A113&lt;&gt;"",OR($G113="",$G113="Active"))),"",IF(OR(IF(OR(ISNUMBER($V113),$V113="DNA"),$V113,IF(OR(ISNUMBER($U113),$U113="DNA"),$U113,IF(OR(ISNUMBER($T113),$T113="DNA"),$T113,IF(OR(ISNUMBER($S113),$S113="DNA"),$S113,IF(OR(ISNUMBER($R113),$R113="DNA"),$R113,IF(OR(ISNUMBER($Q113),$Q113="DNA"),$Q113,IF(OR(ISNUMBER($N113),$N113="DNA"),$N113,IF(OR(ISNUMBER($M113),$M113="DNA"),$M113,IF(OR(ISNUMBER($L113),$L113="DNA"),$L113,"")))))))))="DNA",AND(ISNUMBER(IF(OR(ISNUMBER($V113),$V113="DNA"),$V113,IF(OR(ISNUMBER($U113),$U113="DNA"),$U113,IF(OR(ISNUMBER($T113),$T113="DNA"),$T113,IF(OR(ISNUMBER($S113),$S113="DNA"),$S113,IF(OR(ISNUMBER($R113),$R113="DNA"),$R113,IF(OR(ISNUMBER($Q113),$Q113="DNA"),$Q113,IF(OR(ISNUMBER($N113),$N113="DNA"),$N113,IF(OR(ISNUMBER($M113),$M113="DNA"),$M113,IF(OR(ISNUMBER($L113),$L113="DNA"),$L113,"")))))))))),IF(OR(ISNUMBER($V113),$V113="DNA"),$V113,IF(OR(ISNUMBER($U113),$U113="DNA"),$U113,IF(OR(ISNUMBER($T113),$T113="DNA"),$T113,IF(OR(ISNUMBER($S113),$S113="DNA"),$S113,IF(OR(ISNUMBER($R113),$R113="DNA"),$R113,IF(OR(ISNUMBER($Q113),$Q113="DNA"),$Q113,IF(OR(ISNUMBER($N113),$N113="DNA"),$N113,IF(OR(ISNUMBER($M113),$M113="DNA"),$M113,IF(OR(ISNUMBER($L113),$L113="DNA"),$L113,"")))))))))&lt;TODAY())),1,0)+ISNUMBER($O113)*($O113&lt;TODAY())+ISNUMBER($P113)*($P113&lt;TODAY())+ISNUMBER($X113)*($X113&lt;TODAY())+ISNUMBER($Y113)*($Y113&lt;TODAY()))</f>
        <v/>
      </c>
    </row>
    <row r="114">
      <c r="A114" s="25" t="n"/>
      <c r="B114" s="26" t="n"/>
      <c r="C114" s="27" t="n"/>
      <c r="D114" s="25" t="n"/>
      <c r="E114" s="25" t="n"/>
      <c r="F114" s="27" t="n"/>
      <c r="G114" s="25" t="n"/>
      <c r="H114" s="28">
        <f>IF(OR(NOT(AND($A114&lt;&gt;"",OR($G114="",$G114="Active"))),$F114=""),"",INT((TODAY()-$F114+280)/7)&amp;"+"&amp;MOD(TODAY()-$F114+280,7))</f>
        <v/>
      </c>
      <c r="I114" s="28">
        <f>IF(NOT(AND($A114&lt;&gt;"",OR($G114="",$G114="Active"))),"",ISNUMBER($L114)*($L114&gt;=TODAY())*($L114&lt;=TODAY()+7)+ISNUMBER($M114)*($M114&gt;=TODAY())*($M114&lt;=TODAY()+7)+ISNUMBER($N114)*($N114&gt;=TODAY())*($N114&lt;=TODAY()+7)+ISNUMBER($Q114)*($Q114&gt;=TODAY())*($Q114&lt;=TODAY()+7)+ISNUMBER($R114)*($R114&gt;=TODAY())*($R114&lt;=TODAY()+7)+ISNUMBER($S114)*($S114&gt;=TODAY())*($S114&lt;=TODAY()+7)+ISNUMBER($T114)*($T114&gt;=TODAY())*($T114&lt;=TODAY()+7)+ISNUMBER($U114)*($U114&gt;=TODAY())*($U114&lt;=TODAY()+7)+ISNUMBER($V114)*($V114&gt;=TODAY())*($V114&lt;=TODAY()+7)+ISNUMBER($O114)*($O114&gt;=TODAY())*($O114&lt;=TODAY()+7)+ISNUMBER($P114)*($P114&gt;=TODAY())*($P114&lt;=TODAY()+7)+ISNUMBER($X114)*($X114&gt;=TODAY())*($X114&lt;=TODAY()+7)+ISNUMBER($Y114)*($Y114&gt;=TODAY())*($Y114&lt;=TODAY()+7))</f>
        <v/>
      </c>
      <c r="J114" s="28">
        <f>IF(NOT(AND($A114&lt;&gt;"",OR($G114="",$G114="Active"))),"",IF($K114&lt;&gt;"",IF($L114=$K114,"Booking",IF($M114=$K114,"16/40",IF($N114=$K114,"25/40",IF($Q114=$K114,"28/40",IF($R114=$K114,"31/40",IF($S114=$K114,"34/40",IF($T114=$K114,"36/40",IF($U114=$K114,"38/40",IF($V114=$K114,"40/40",""))))))))),IF(IF(OR(ISNUMBER($V114),$V114="DNA"),$V114,IF(OR(ISNUMBER($U114),$U114="DNA"),$U114,IF(OR(ISNUMBER($T114),$T114="DNA"),$T114,IF(OR(ISNUMBER($S114),$S114="DNA"),$S114,IF(OR(ISNUMBER($R114),$R114="DNA"),$R114,IF(OR(ISNUMBER($Q114),$Q114="DNA"),$Q114,IF(OR(ISNUMBER($N114),$N114="DNA"),$N114,IF(OR(ISNUMBER($M114),$M114="DNA"),$M114,IF(OR(ISNUMBER($L114),$L114="DNA"),$L114,"")))))))))="DNA","Rebook DNA",IF(ISNUMBER(IF(OR(ISNUMBER($V114),$V114="DNA"),$V114,IF(OR(ISNUMBER($U114),$U114="DNA"),$U114,IF(OR(ISNUMBER($T114),$T114="DNA"),$T114,IF(OR(ISNUMBER($S114),$S114="DNA"),$S114,IF(OR(ISNUMBER($R114),$R114="DNA"),$R114,IF(OR(ISNUMBER($Q114),$Q114="DNA"),$Q114,IF(OR(ISNUMBER($N114),$N114="DNA"),$N114,IF(OR(ISNUMBER($M114),$M114="DNA"),$M114,IF(OR(ISNUMBER($L114),$L114="DNA"),$L114,"")))))))))),IF(ISNUMBER($V114),"Update status","Missed/not booked?"),""))))</f>
        <v/>
      </c>
      <c r="K114" s="29">
        <f>IF(NOT(AND($A114&lt;&gt;"",OR($G114="",$G114="Active"))),"",IF(MIN(IF(AND(ISNUMBER($L114),$L114&gt;=TODAY()),$L114,99999),IF(AND(ISNUMBER($M114),$M114&gt;=TODAY()),$M114,99999),IF(AND(ISNUMBER($N114),$N114&gt;=TODAY()),$N114,99999),IF(AND(ISNUMBER($Q114),$Q114&gt;=TODAY()),$Q114,99999),IF(AND(ISNUMBER($R114),$R114&gt;=TODAY()),$R114,99999),IF(AND(ISNUMBER($S114),$S114&gt;=TODAY()),$S114,99999),IF(AND(ISNUMBER($T114),$T114&gt;=TODAY()),$T114,99999),IF(AND(ISNUMBER($U114),$U114&gt;=TODAY()),$U114,99999),IF(AND(ISNUMBER($V114),$V114&gt;=TODAY()),$V114,99999))=99999,"",MIN(IF(AND(ISNUMBER($L114),$L114&gt;=TODAY()),$L114,99999),IF(AND(ISNUMBER($M114),$M114&gt;=TODAY()),$M114,99999),IF(AND(ISNUMBER($N114),$N114&gt;=TODAY()),$N114,99999),IF(AND(ISNUMBER($Q114),$Q114&gt;=TODAY()),$Q114,99999),IF(AND(ISNUMBER($R114),$R114&gt;=TODAY()),$R114,99999),IF(AND(ISNUMBER($S114),$S114&gt;=TODAY()),$S114,99999),IF(AND(ISNUMBER($T114),$T114&gt;=TODAY()),$T114,99999),IF(AND(ISNUMBER($U114),$U114&gt;=TODAY()),$U114,99999),IF(AND(ISNUMBER($V114),$V114&gt;=TODAY()),$V114,99999))))</f>
        <v/>
      </c>
      <c r="L114" s="27" t="n"/>
      <c r="M114" s="27" t="n"/>
      <c r="N114" s="27" t="n"/>
      <c r="O114" s="27" t="n"/>
      <c r="P114" s="27" t="n"/>
      <c r="Q114" s="27" t="n"/>
      <c r="R114" s="27" t="n"/>
      <c r="S114" s="27" t="n"/>
      <c r="T114" s="27" t="n"/>
      <c r="U114" s="27" t="n"/>
      <c r="V114" s="27" t="n"/>
      <c r="W114" s="27" t="n"/>
      <c r="X114" s="27" t="n"/>
      <c r="Y114" s="27" t="n"/>
      <c r="Z114" s="30" t="n"/>
      <c r="AA114" s="25" t="n"/>
      <c r="AB114" s="28">
        <f>IF(NOT(AND($A114&lt;&gt;"",OR($G114="",$G114="Active"))),"",IF(OR(IF(OR(ISNUMBER($V114),$V114="DNA"),$V114,IF(OR(ISNUMBER($U114),$U114="DNA"),$U114,IF(OR(ISNUMBER($T114),$T114="DNA"),$T114,IF(OR(ISNUMBER($S114),$S114="DNA"),$S114,IF(OR(ISNUMBER($R114),$R114="DNA"),$R114,IF(OR(ISNUMBER($Q114),$Q114="DNA"),$Q114,IF(OR(ISNUMBER($N114),$N114="DNA"),$N114,IF(OR(ISNUMBER($M114),$M114="DNA"),$M114,IF(OR(ISNUMBER($L114),$L114="DNA"),$L114,"")))))))))="DNA",AND(ISNUMBER(IF(OR(ISNUMBER($V114),$V114="DNA"),$V114,IF(OR(ISNUMBER($U114),$U114="DNA"),$U114,IF(OR(ISNUMBER($T114),$T114="DNA"),$T114,IF(OR(ISNUMBER($S114),$S114="DNA"),$S114,IF(OR(ISNUMBER($R114),$R114="DNA"),$R114,IF(OR(ISNUMBER($Q114),$Q114="DNA"),$Q114,IF(OR(ISNUMBER($N114),$N114="DNA"),$N114,IF(OR(ISNUMBER($M114),$M114="DNA"),$M114,IF(OR(ISNUMBER($L114),$L114="DNA"),$L114,"")))))))))),IF(OR(ISNUMBER($V114),$V114="DNA"),$V114,IF(OR(ISNUMBER($U114),$U114="DNA"),$U114,IF(OR(ISNUMBER($T114),$T114="DNA"),$T114,IF(OR(ISNUMBER($S114),$S114="DNA"),$S114,IF(OR(ISNUMBER($R114),$R114="DNA"),$R114,IF(OR(ISNUMBER($Q114),$Q114="DNA"),$Q114,IF(OR(ISNUMBER($N114),$N114="DNA"),$N114,IF(OR(ISNUMBER($M114),$M114="DNA"),$M114,IF(OR(ISNUMBER($L114),$L114="DNA"),$L114,"")))))))))&lt;TODAY())),1,0)+ISNUMBER($O114)*($O114&lt;TODAY())+ISNUMBER($P114)*($P114&lt;TODAY())+ISNUMBER($X114)*($X114&lt;TODAY())+ISNUMBER($Y114)*($Y114&lt;TODAY()))</f>
        <v/>
      </c>
    </row>
    <row r="115">
      <c r="A115" s="25" t="n"/>
      <c r="B115" s="26" t="n"/>
      <c r="C115" s="27" t="n"/>
      <c r="D115" s="25" t="n"/>
      <c r="E115" s="25" t="n"/>
      <c r="F115" s="27" t="n"/>
      <c r="G115" s="25" t="n"/>
      <c r="H115" s="28">
        <f>IF(OR(NOT(AND($A115&lt;&gt;"",OR($G115="",$G115="Active"))),$F115=""),"",INT((TODAY()-$F115+280)/7)&amp;"+"&amp;MOD(TODAY()-$F115+280,7))</f>
        <v/>
      </c>
      <c r="I115" s="28">
        <f>IF(NOT(AND($A115&lt;&gt;"",OR($G115="",$G115="Active"))),"",ISNUMBER($L115)*($L115&gt;=TODAY())*($L115&lt;=TODAY()+7)+ISNUMBER($M115)*($M115&gt;=TODAY())*($M115&lt;=TODAY()+7)+ISNUMBER($N115)*($N115&gt;=TODAY())*($N115&lt;=TODAY()+7)+ISNUMBER($Q115)*($Q115&gt;=TODAY())*($Q115&lt;=TODAY()+7)+ISNUMBER($R115)*($R115&gt;=TODAY())*($R115&lt;=TODAY()+7)+ISNUMBER($S115)*($S115&gt;=TODAY())*($S115&lt;=TODAY()+7)+ISNUMBER($T115)*($T115&gt;=TODAY())*($T115&lt;=TODAY()+7)+ISNUMBER($U115)*($U115&gt;=TODAY())*($U115&lt;=TODAY()+7)+ISNUMBER($V115)*($V115&gt;=TODAY())*($V115&lt;=TODAY()+7)+ISNUMBER($O115)*($O115&gt;=TODAY())*($O115&lt;=TODAY()+7)+ISNUMBER($P115)*($P115&gt;=TODAY())*($P115&lt;=TODAY()+7)+ISNUMBER($X115)*($X115&gt;=TODAY())*($X115&lt;=TODAY()+7)+ISNUMBER($Y115)*($Y115&gt;=TODAY())*($Y115&lt;=TODAY()+7))</f>
        <v/>
      </c>
      <c r="J115" s="28">
        <f>IF(NOT(AND($A115&lt;&gt;"",OR($G115="",$G115="Active"))),"",IF($K115&lt;&gt;"",IF($L115=$K115,"Booking",IF($M115=$K115,"16/40",IF($N115=$K115,"25/40",IF($Q115=$K115,"28/40",IF($R115=$K115,"31/40",IF($S115=$K115,"34/40",IF($T115=$K115,"36/40",IF($U115=$K115,"38/40",IF($V115=$K115,"40/40",""))))))))),IF(IF(OR(ISNUMBER($V115),$V115="DNA"),$V115,IF(OR(ISNUMBER($U115),$U115="DNA"),$U115,IF(OR(ISNUMBER($T115),$T115="DNA"),$T115,IF(OR(ISNUMBER($S115),$S115="DNA"),$S115,IF(OR(ISNUMBER($R115),$R115="DNA"),$R115,IF(OR(ISNUMBER($Q115),$Q115="DNA"),$Q115,IF(OR(ISNUMBER($N115),$N115="DNA"),$N115,IF(OR(ISNUMBER($M115),$M115="DNA"),$M115,IF(OR(ISNUMBER($L115),$L115="DNA"),$L115,"")))))))))="DNA","Rebook DNA",IF(ISNUMBER(IF(OR(ISNUMBER($V115),$V115="DNA"),$V115,IF(OR(ISNUMBER($U115),$U115="DNA"),$U115,IF(OR(ISNUMBER($T115),$T115="DNA"),$T115,IF(OR(ISNUMBER($S115),$S115="DNA"),$S115,IF(OR(ISNUMBER($R115),$R115="DNA"),$R115,IF(OR(ISNUMBER($Q115),$Q115="DNA"),$Q115,IF(OR(ISNUMBER($N115),$N115="DNA"),$N115,IF(OR(ISNUMBER($M115),$M115="DNA"),$M115,IF(OR(ISNUMBER($L115),$L115="DNA"),$L115,"")))))))))),IF(ISNUMBER($V115),"Update status","Missed/not booked?"),""))))</f>
        <v/>
      </c>
      <c r="K115" s="29">
        <f>IF(NOT(AND($A115&lt;&gt;"",OR($G115="",$G115="Active"))),"",IF(MIN(IF(AND(ISNUMBER($L115),$L115&gt;=TODAY()),$L115,99999),IF(AND(ISNUMBER($M115),$M115&gt;=TODAY()),$M115,99999),IF(AND(ISNUMBER($N115),$N115&gt;=TODAY()),$N115,99999),IF(AND(ISNUMBER($Q115),$Q115&gt;=TODAY()),$Q115,99999),IF(AND(ISNUMBER($R115),$R115&gt;=TODAY()),$R115,99999),IF(AND(ISNUMBER($S115),$S115&gt;=TODAY()),$S115,99999),IF(AND(ISNUMBER($T115),$T115&gt;=TODAY()),$T115,99999),IF(AND(ISNUMBER($U115),$U115&gt;=TODAY()),$U115,99999),IF(AND(ISNUMBER($V115),$V115&gt;=TODAY()),$V115,99999))=99999,"",MIN(IF(AND(ISNUMBER($L115),$L115&gt;=TODAY()),$L115,99999),IF(AND(ISNUMBER($M115),$M115&gt;=TODAY()),$M115,99999),IF(AND(ISNUMBER($N115),$N115&gt;=TODAY()),$N115,99999),IF(AND(ISNUMBER($Q115),$Q115&gt;=TODAY()),$Q115,99999),IF(AND(ISNUMBER($R115),$R115&gt;=TODAY()),$R115,99999),IF(AND(ISNUMBER($S115),$S115&gt;=TODAY()),$S115,99999),IF(AND(ISNUMBER($T115),$T115&gt;=TODAY()),$T115,99999),IF(AND(ISNUMBER($U115),$U115&gt;=TODAY()),$U115,99999),IF(AND(ISNUMBER($V115),$V115&gt;=TODAY()),$V115,99999))))</f>
        <v/>
      </c>
      <c r="L115" s="27" t="n"/>
      <c r="M115" s="27" t="n"/>
      <c r="N115" s="27" t="n"/>
      <c r="O115" s="27" t="n"/>
      <c r="P115" s="27" t="n"/>
      <c r="Q115" s="27" t="n"/>
      <c r="R115" s="27" t="n"/>
      <c r="S115" s="27" t="n"/>
      <c r="T115" s="27" t="n"/>
      <c r="U115" s="27" t="n"/>
      <c r="V115" s="27" t="n"/>
      <c r="W115" s="27" t="n"/>
      <c r="X115" s="27" t="n"/>
      <c r="Y115" s="27" t="n"/>
      <c r="Z115" s="30" t="n"/>
      <c r="AA115" s="25" t="n"/>
      <c r="AB115" s="28">
        <f>IF(NOT(AND($A115&lt;&gt;"",OR($G115="",$G115="Active"))),"",IF(OR(IF(OR(ISNUMBER($V115),$V115="DNA"),$V115,IF(OR(ISNUMBER($U115),$U115="DNA"),$U115,IF(OR(ISNUMBER($T115),$T115="DNA"),$T115,IF(OR(ISNUMBER($S115),$S115="DNA"),$S115,IF(OR(ISNUMBER($R115),$R115="DNA"),$R115,IF(OR(ISNUMBER($Q115),$Q115="DNA"),$Q115,IF(OR(ISNUMBER($N115),$N115="DNA"),$N115,IF(OR(ISNUMBER($M115),$M115="DNA"),$M115,IF(OR(ISNUMBER($L115),$L115="DNA"),$L115,"")))))))))="DNA",AND(ISNUMBER(IF(OR(ISNUMBER($V115),$V115="DNA"),$V115,IF(OR(ISNUMBER($U115),$U115="DNA"),$U115,IF(OR(ISNUMBER($T115),$T115="DNA"),$T115,IF(OR(ISNUMBER($S115),$S115="DNA"),$S115,IF(OR(ISNUMBER($R115),$R115="DNA"),$R115,IF(OR(ISNUMBER($Q115),$Q115="DNA"),$Q115,IF(OR(ISNUMBER($N115),$N115="DNA"),$N115,IF(OR(ISNUMBER($M115),$M115="DNA"),$M115,IF(OR(ISNUMBER($L115),$L115="DNA"),$L115,"")))))))))),IF(OR(ISNUMBER($V115),$V115="DNA"),$V115,IF(OR(ISNUMBER($U115),$U115="DNA"),$U115,IF(OR(ISNUMBER($T115),$T115="DNA"),$T115,IF(OR(ISNUMBER($S115),$S115="DNA"),$S115,IF(OR(ISNUMBER($R115),$R115="DNA"),$R115,IF(OR(ISNUMBER($Q115),$Q115="DNA"),$Q115,IF(OR(ISNUMBER($N115),$N115="DNA"),$N115,IF(OR(ISNUMBER($M115),$M115="DNA"),$M115,IF(OR(ISNUMBER($L115),$L115="DNA"),$L115,"")))))))))&lt;TODAY())),1,0)+ISNUMBER($O115)*($O115&lt;TODAY())+ISNUMBER($P115)*($P115&lt;TODAY())+ISNUMBER($X115)*($X115&lt;TODAY())+ISNUMBER($Y115)*($Y115&lt;TODAY()))</f>
        <v/>
      </c>
    </row>
    <row r="116">
      <c r="A116" s="25" t="n"/>
      <c r="B116" s="26" t="n"/>
      <c r="C116" s="27" t="n"/>
      <c r="D116" s="25" t="n"/>
      <c r="E116" s="25" t="n"/>
      <c r="F116" s="27" t="n"/>
      <c r="G116" s="25" t="n"/>
      <c r="H116" s="28">
        <f>IF(OR(NOT(AND($A116&lt;&gt;"",OR($G116="",$G116="Active"))),$F116=""),"",INT((TODAY()-$F116+280)/7)&amp;"+"&amp;MOD(TODAY()-$F116+280,7))</f>
        <v/>
      </c>
      <c r="I116" s="28">
        <f>IF(NOT(AND($A116&lt;&gt;"",OR($G116="",$G116="Active"))),"",ISNUMBER($L116)*($L116&gt;=TODAY())*($L116&lt;=TODAY()+7)+ISNUMBER($M116)*($M116&gt;=TODAY())*($M116&lt;=TODAY()+7)+ISNUMBER($N116)*($N116&gt;=TODAY())*($N116&lt;=TODAY()+7)+ISNUMBER($Q116)*($Q116&gt;=TODAY())*($Q116&lt;=TODAY()+7)+ISNUMBER($R116)*($R116&gt;=TODAY())*($R116&lt;=TODAY()+7)+ISNUMBER($S116)*($S116&gt;=TODAY())*($S116&lt;=TODAY()+7)+ISNUMBER($T116)*($T116&gt;=TODAY())*($T116&lt;=TODAY()+7)+ISNUMBER($U116)*($U116&gt;=TODAY())*($U116&lt;=TODAY()+7)+ISNUMBER($V116)*($V116&gt;=TODAY())*($V116&lt;=TODAY()+7)+ISNUMBER($O116)*($O116&gt;=TODAY())*($O116&lt;=TODAY()+7)+ISNUMBER($P116)*($P116&gt;=TODAY())*($P116&lt;=TODAY()+7)+ISNUMBER($X116)*($X116&gt;=TODAY())*($X116&lt;=TODAY()+7)+ISNUMBER($Y116)*($Y116&gt;=TODAY())*($Y116&lt;=TODAY()+7))</f>
        <v/>
      </c>
      <c r="J116" s="28">
        <f>IF(NOT(AND($A116&lt;&gt;"",OR($G116="",$G116="Active"))),"",IF($K116&lt;&gt;"",IF($L116=$K116,"Booking",IF($M116=$K116,"16/40",IF($N116=$K116,"25/40",IF($Q116=$K116,"28/40",IF($R116=$K116,"31/40",IF($S116=$K116,"34/40",IF($T116=$K116,"36/40",IF($U116=$K116,"38/40",IF($V116=$K116,"40/40",""))))))))),IF(IF(OR(ISNUMBER($V116),$V116="DNA"),$V116,IF(OR(ISNUMBER($U116),$U116="DNA"),$U116,IF(OR(ISNUMBER($T116),$T116="DNA"),$T116,IF(OR(ISNUMBER($S116),$S116="DNA"),$S116,IF(OR(ISNUMBER($R116),$R116="DNA"),$R116,IF(OR(ISNUMBER($Q116),$Q116="DNA"),$Q116,IF(OR(ISNUMBER($N116),$N116="DNA"),$N116,IF(OR(ISNUMBER($M116),$M116="DNA"),$M116,IF(OR(ISNUMBER($L116),$L116="DNA"),$L116,"")))))))))="DNA","Rebook DNA",IF(ISNUMBER(IF(OR(ISNUMBER($V116),$V116="DNA"),$V116,IF(OR(ISNUMBER($U116),$U116="DNA"),$U116,IF(OR(ISNUMBER($T116),$T116="DNA"),$T116,IF(OR(ISNUMBER($S116),$S116="DNA"),$S116,IF(OR(ISNUMBER($R116),$R116="DNA"),$R116,IF(OR(ISNUMBER($Q116),$Q116="DNA"),$Q116,IF(OR(ISNUMBER($N116),$N116="DNA"),$N116,IF(OR(ISNUMBER($M116),$M116="DNA"),$M116,IF(OR(ISNUMBER($L116),$L116="DNA"),$L116,"")))))))))),IF(ISNUMBER($V116),"Update status","Missed/not booked?"),""))))</f>
        <v/>
      </c>
      <c r="K116" s="29">
        <f>IF(NOT(AND($A116&lt;&gt;"",OR($G116="",$G116="Active"))),"",IF(MIN(IF(AND(ISNUMBER($L116),$L116&gt;=TODAY()),$L116,99999),IF(AND(ISNUMBER($M116),$M116&gt;=TODAY()),$M116,99999),IF(AND(ISNUMBER($N116),$N116&gt;=TODAY()),$N116,99999),IF(AND(ISNUMBER($Q116),$Q116&gt;=TODAY()),$Q116,99999),IF(AND(ISNUMBER($R116),$R116&gt;=TODAY()),$R116,99999),IF(AND(ISNUMBER($S116),$S116&gt;=TODAY()),$S116,99999),IF(AND(ISNUMBER($T116),$T116&gt;=TODAY()),$T116,99999),IF(AND(ISNUMBER($U116),$U116&gt;=TODAY()),$U116,99999),IF(AND(ISNUMBER($V116),$V116&gt;=TODAY()),$V116,99999))=99999,"",MIN(IF(AND(ISNUMBER($L116),$L116&gt;=TODAY()),$L116,99999),IF(AND(ISNUMBER($M116),$M116&gt;=TODAY()),$M116,99999),IF(AND(ISNUMBER($N116),$N116&gt;=TODAY()),$N116,99999),IF(AND(ISNUMBER($Q116),$Q116&gt;=TODAY()),$Q116,99999),IF(AND(ISNUMBER($R116),$R116&gt;=TODAY()),$R116,99999),IF(AND(ISNUMBER($S116),$S116&gt;=TODAY()),$S116,99999),IF(AND(ISNUMBER($T116),$T116&gt;=TODAY()),$T116,99999),IF(AND(ISNUMBER($U116),$U116&gt;=TODAY()),$U116,99999),IF(AND(ISNUMBER($V116),$V116&gt;=TODAY()),$V116,99999))))</f>
        <v/>
      </c>
      <c r="L116" s="27" t="n"/>
      <c r="M116" s="27" t="n"/>
      <c r="N116" s="27" t="n"/>
      <c r="O116" s="27" t="n"/>
      <c r="P116" s="27" t="n"/>
      <c r="Q116" s="27" t="n"/>
      <c r="R116" s="27" t="n"/>
      <c r="S116" s="27" t="n"/>
      <c r="T116" s="27" t="n"/>
      <c r="U116" s="27" t="n"/>
      <c r="V116" s="27" t="n"/>
      <c r="W116" s="27" t="n"/>
      <c r="X116" s="27" t="n"/>
      <c r="Y116" s="27" t="n"/>
      <c r="Z116" s="30" t="n"/>
      <c r="AA116" s="25" t="n"/>
      <c r="AB116" s="28">
        <f>IF(NOT(AND($A116&lt;&gt;"",OR($G116="",$G116="Active"))),"",IF(OR(IF(OR(ISNUMBER($V116),$V116="DNA"),$V116,IF(OR(ISNUMBER($U116),$U116="DNA"),$U116,IF(OR(ISNUMBER($T116),$T116="DNA"),$T116,IF(OR(ISNUMBER($S116),$S116="DNA"),$S116,IF(OR(ISNUMBER($R116),$R116="DNA"),$R116,IF(OR(ISNUMBER($Q116),$Q116="DNA"),$Q116,IF(OR(ISNUMBER($N116),$N116="DNA"),$N116,IF(OR(ISNUMBER($M116),$M116="DNA"),$M116,IF(OR(ISNUMBER($L116),$L116="DNA"),$L116,"")))))))))="DNA",AND(ISNUMBER(IF(OR(ISNUMBER($V116),$V116="DNA"),$V116,IF(OR(ISNUMBER($U116),$U116="DNA"),$U116,IF(OR(ISNUMBER($T116),$T116="DNA"),$T116,IF(OR(ISNUMBER($S116),$S116="DNA"),$S116,IF(OR(ISNUMBER($R116),$R116="DNA"),$R116,IF(OR(ISNUMBER($Q116),$Q116="DNA"),$Q116,IF(OR(ISNUMBER($N116),$N116="DNA"),$N116,IF(OR(ISNUMBER($M116),$M116="DNA"),$M116,IF(OR(ISNUMBER($L116),$L116="DNA"),$L116,"")))))))))),IF(OR(ISNUMBER($V116),$V116="DNA"),$V116,IF(OR(ISNUMBER($U116),$U116="DNA"),$U116,IF(OR(ISNUMBER($T116),$T116="DNA"),$T116,IF(OR(ISNUMBER($S116),$S116="DNA"),$S116,IF(OR(ISNUMBER($R116),$R116="DNA"),$R116,IF(OR(ISNUMBER($Q116),$Q116="DNA"),$Q116,IF(OR(ISNUMBER($N116),$N116="DNA"),$N116,IF(OR(ISNUMBER($M116),$M116="DNA"),$M116,IF(OR(ISNUMBER($L116),$L116="DNA"),$L116,"")))))))))&lt;TODAY())),1,0)+ISNUMBER($O116)*($O116&lt;TODAY())+ISNUMBER($P116)*($P116&lt;TODAY())+ISNUMBER($X116)*($X116&lt;TODAY())+ISNUMBER($Y116)*($Y116&lt;TODAY()))</f>
        <v/>
      </c>
    </row>
    <row r="117">
      <c r="A117" s="25" t="n"/>
      <c r="B117" s="26" t="n"/>
      <c r="C117" s="27" t="n"/>
      <c r="D117" s="25" t="n"/>
      <c r="E117" s="25" t="n"/>
      <c r="F117" s="27" t="n"/>
      <c r="G117" s="25" t="n"/>
      <c r="H117" s="28">
        <f>IF(OR(NOT(AND($A117&lt;&gt;"",OR($G117="",$G117="Active"))),$F117=""),"",INT((TODAY()-$F117+280)/7)&amp;"+"&amp;MOD(TODAY()-$F117+280,7))</f>
        <v/>
      </c>
      <c r="I117" s="28">
        <f>IF(NOT(AND($A117&lt;&gt;"",OR($G117="",$G117="Active"))),"",ISNUMBER($L117)*($L117&gt;=TODAY())*($L117&lt;=TODAY()+7)+ISNUMBER($M117)*($M117&gt;=TODAY())*($M117&lt;=TODAY()+7)+ISNUMBER($N117)*($N117&gt;=TODAY())*($N117&lt;=TODAY()+7)+ISNUMBER($Q117)*($Q117&gt;=TODAY())*($Q117&lt;=TODAY()+7)+ISNUMBER($R117)*($R117&gt;=TODAY())*($R117&lt;=TODAY()+7)+ISNUMBER($S117)*($S117&gt;=TODAY())*($S117&lt;=TODAY()+7)+ISNUMBER($T117)*($T117&gt;=TODAY())*($T117&lt;=TODAY()+7)+ISNUMBER($U117)*($U117&gt;=TODAY())*($U117&lt;=TODAY()+7)+ISNUMBER($V117)*($V117&gt;=TODAY())*($V117&lt;=TODAY()+7)+ISNUMBER($O117)*($O117&gt;=TODAY())*($O117&lt;=TODAY()+7)+ISNUMBER($P117)*($P117&gt;=TODAY())*($P117&lt;=TODAY()+7)+ISNUMBER($X117)*($X117&gt;=TODAY())*($X117&lt;=TODAY()+7)+ISNUMBER($Y117)*($Y117&gt;=TODAY())*($Y117&lt;=TODAY()+7))</f>
        <v/>
      </c>
      <c r="J117" s="28">
        <f>IF(NOT(AND($A117&lt;&gt;"",OR($G117="",$G117="Active"))),"",IF($K117&lt;&gt;"",IF($L117=$K117,"Booking",IF($M117=$K117,"16/40",IF($N117=$K117,"25/40",IF($Q117=$K117,"28/40",IF($R117=$K117,"31/40",IF($S117=$K117,"34/40",IF($T117=$K117,"36/40",IF($U117=$K117,"38/40",IF($V117=$K117,"40/40",""))))))))),IF(IF(OR(ISNUMBER($V117),$V117="DNA"),$V117,IF(OR(ISNUMBER($U117),$U117="DNA"),$U117,IF(OR(ISNUMBER($T117),$T117="DNA"),$T117,IF(OR(ISNUMBER($S117),$S117="DNA"),$S117,IF(OR(ISNUMBER($R117),$R117="DNA"),$R117,IF(OR(ISNUMBER($Q117),$Q117="DNA"),$Q117,IF(OR(ISNUMBER($N117),$N117="DNA"),$N117,IF(OR(ISNUMBER($M117),$M117="DNA"),$M117,IF(OR(ISNUMBER($L117),$L117="DNA"),$L117,"")))))))))="DNA","Rebook DNA",IF(ISNUMBER(IF(OR(ISNUMBER($V117),$V117="DNA"),$V117,IF(OR(ISNUMBER($U117),$U117="DNA"),$U117,IF(OR(ISNUMBER($T117),$T117="DNA"),$T117,IF(OR(ISNUMBER($S117),$S117="DNA"),$S117,IF(OR(ISNUMBER($R117),$R117="DNA"),$R117,IF(OR(ISNUMBER($Q117),$Q117="DNA"),$Q117,IF(OR(ISNUMBER($N117),$N117="DNA"),$N117,IF(OR(ISNUMBER($M117),$M117="DNA"),$M117,IF(OR(ISNUMBER($L117),$L117="DNA"),$L117,"")))))))))),IF(ISNUMBER($V117),"Update status","Missed/not booked?"),""))))</f>
        <v/>
      </c>
      <c r="K117" s="29">
        <f>IF(NOT(AND($A117&lt;&gt;"",OR($G117="",$G117="Active"))),"",IF(MIN(IF(AND(ISNUMBER($L117),$L117&gt;=TODAY()),$L117,99999),IF(AND(ISNUMBER($M117),$M117&gt;=TODAY()),$M117,99999),IF(AND(ISNUMBER($N117),$N117&gt;=TODAY()),$N117,99999),IF(AND(ISNUMBER($Q117),$Q117&gt;=TODAY()),$Q117,99999),IF(AND(ISNUMBER($R117),$R117&gt;=TODAY()),$R117,99999),IF(AND(ISNUMBER($S117),$S117&gt;=TODAY()),$S117,99999),IF(AND(ISNUMBER($T117),$T117&gt;=TODAY()),$T117,99999),IF(AND(ISNUMBER($U117),$U117&gt;=TODAY()),$U117,99999),IF(AND(ISNUMBER($V117),$V117&gt;=TODAY()),$V117,99999))=99999,"",MIN(IF(AND(ISNUMBER($L117),$L117&gt;=TODAY()),$L117,99999),IF(AND(ISNUMBER($M117),$M117&gt;=TODAY()),$M117,99999),IF(AND(ISNUMBER($N117),$N117&gt;=TODAY()),$N117,99999),IF(AND(ISNUMBER($Q117),$Q117&gt;=TODAY()),$Q117,99999),IF(AND(ISNUMBER($R117),$R117&gt;=TODAY()),$R117,99999),IF(AND(ISNUMBER($S117),$S117&gt;=TODAY()),$S117,99999),IF(AND(ISNUMBER($T117),$T117&gt;=TODAY()),$T117,99999),IF(AND(ISNUMBER($U117),$U117&gt;=TODAY()),$U117,99999),IF(AND(ISNUMBER($V117),$V117&gt;=TODAY()),$V117,99999))))</f>
        <v/>
      </c>
      <c r="L117" s="27" t="n"/>
      <c r="M117" s="27" t="n"/>
      <c r="N117" s="27" t="n"/>
      <c r="O117" s="27" t="n"/>
      <c r="P117" s="27" t="n"/>
      <c r="Q117" s="27" t="n"/>
      <c r="R117" s="27" t="n"/>
      <c r="S117" s="27" t="n"/>
      <c r="T117" s="27" t="n"/>
      <c r="U117" s="27" t="n"/>
      <c r="V117" s="27" t="n"/>
      <c r="W117" s="27" t="n"/>
      <c r="X117" s="27" t="n"/>
      <c r="Y117" s="27" t="n"/>
      <c r="Z117" s="30" t="n"/>
      <c r="AA117" s="25" t="n"/>
      <c r="AB117" s="28">
        <f>IF(NOT(AND($A117&lt;&gt;"",OR($G117="",$G117="Active"))),"",IF(OR(IF(OR(ISNUMBER($V117),$V117="DNA"),$V117,IF(OR(ISNUMBER($U117),$U117="DNA"),$U117,IF(OR(ISNUMBER($T117),$T117="DNA"),$T117,IF(OR(ISNUMBER($S117),$S117="DNA"),$S117,IF(OR(ISNUMBER($R117),$R117="DNA"),$R117,IF(OR(ISNUMBER($Q117),$Q117="DNA"),$Q117,IF(OR(ISNUMBER($N117),$N117="DNA"),$N117,IF(OR(ISNUMBER($M117),$M117="DNA"),$M117,IF(OR(ISNUMBER($L117),$L117="DNA"),$L117,"")))))))))="DNA",AND(ISNUMBER(IF(OR(ISNUMBER($V117),$V117="DNA"),$V117,IF(OR(ISNUMBER($U117),$U117="DNA"),$U117,IF(OR(ISNUMBER($T117),$T117="DNA"),$T117,IF(OR(ISNUMBER($S117),$S117="DNA"),$S117,IF(OR(ISNUMBER($R117),$R117="DNA"),$R117,IF(OR(ISNUMBER($Q117),$Q117="DNA"),$Q117,IF(OR(ISNUMBER($N117),$N117="DNA"),$N117,IF(OR(ISNUMBER($M117),$M117="DNA"),$M117,IF(OR(ISNUMBER($L117),$L117="DNA"),$L117,"")))))))))),IF(OR(ISNUMBER($V117),$V117="DNA"),$V117,IF(OR(ISNUMBER($U117),$U117="DNA"),$U117,IF(OR(ISNUMBER($T117),$T117="DNA"),$T117,IF(OR(ISNUMBER($S117),$S117="DNA"),$S117,IF(OR(ISNUMBER($R117),$R117="DNA"),$R117,IF(OR(ISNUMBER($Q117),$Q117="DNA"),$Q117,IF(OR(ISNUMBER($N117),$N117="DNA"),$N117,IF(OR(ISNUMBER($M117),$M117="DNA"),$M117,IF(OR(ISNUMBER($L117),$L117="DNA"),$L117,"")))))))))&lt;TODAY())),1,0)+ISNUMBER($O117)*($O117&lt;TODAY())+ISNUMBER($P117)*($P117&lt;TODAY())+ISNUMBER($X117)*($X117&lt;TODAY())+ISNUMBER($Y117)*($Y117&lt;TODAY()))</f>
        <v/>
      </c>
    </row>
    <row r="118">
      <c r="A118" s="25" t="n"/>
      <c r="B118" s="26" t="n"/>
      <c r="C118" s="27" t="n"/>
      <c r="D118" s="25" t="n"/>
      <c r="E118" s="25" t="n"/>
      <c r="F118" s="27" t="n"/>
      <c r="G118" s="25" t="n"/>
      <c r="H118" s="28">
        <f>IF(OR(NOT(AND($A118&lt;&gt;"",OR($G118="",$G118="Active"))),$F118=""),"",INT((TODAY()-$F118+280)/7)&amp;"+"&amp;MOD(TODAY()-$F118+280,7))</f>
        <v/>
      </c>
      <c r="I118" s="28">
        <f>IF(NOT(AND($A118&lt;&gt;"",OR($G118="",$G118="Active"))),"",ISNUMBER($L118)*($L118&gt;=TODAY())*($L118&lt;=TODAY()+7)+ISNUMBER($M118)*($M118&gt;=TODAY())*($M118&lt;=TODAY()+7)+ISNUMBER($N118)*($N118&gt;=TODAY())*($N118&lt;=TODAY()+7)+ISNUMBER($Q118)*($Q118&gt;=TODAY())*($Q118&lt;=TODAY()+7)+ISNUMBER($R118)*($R118&gt;=TODAY())*($R118&lt;=TODAY()+7)+ISNUMBER($S118)*($S118&gt;=TODAY())*($S118&lt;=TODAY()+7)+ISNUMBER($T118)*($T118&gt;=TODAY())*($T118&lt;=TODAY()+7)+ISNUMBER($U118)*($U118&gt;=TODAY())*($U118&lt;=TODAY()+7)+ISNUMBER($V118)*($V118&gt;=TODAY())*($V118&lt;=TODAY()+7)+ISNUMBER($O118)*($O118&gt;=TODAY())*($O118&lt;=TODAY()+7)+ISNUMBER($P118)*($P118&gt;=TODAY())*($P118&lt;=TODAY()+7)+ISNUMBER($X118)*($X118&gt;=TODAY())*($X118&lt;=TODAY()+7)+ISNUMBER($Y118)*($Y118&gt;=TODAY())*($Y118&lt;=TODAY()+7))</f>
        <v/>
      </c>
      <c r="J118" s="28">
        <f>IF(NOT(AND($A118&lt;&gt;"",OR($G118="",$G118="Active"))),"",IF($K118&lt;&gt;"",IF($L118=$K118,"Booking",IF($M118=$K118,"16/40",IF($N118=$K118,"25/40",IF($Q118=$K118,"28/40",IF($R118=$K118,"31/40",IF($S118=$K118,"34/40",IF($T118=$K118,"36/40",IF($U118=$K118,"38/40",IF($V118=$K118,"40/40",""))))))))),IF(IF(OR(ISNUMBER($V118),$V118="DNA"),$V118,IF(OR(ISNUMBER($U118),$U118="DNA"),$U118,IF(OR(ISNUMBER($T118),$T118="DNA"),$T118,IF(OR(ISNUMBER($S118),$S118="DNA"),$S118,IF(OR(ISNUMBER($R118),$R118="DNA"),$R118,IF(OR(ISNUMBER($Q118),$Q118="DNA"),$Q118,IF(OR(ISNUMBER($N118),$N118="DNA"),$N118,IF(OR(ISNUMBER($M118),$M118="DNA"),$M118,IF(OR(ISNUMBER($L118),$L118="DNA"),$L118,"")))))))))="DNA","Rebook DNA",IF(ISNUMBER(IF(OR(ISNUMBER($V118),$V118="DNA"),$V118,IF(OR(ISNUMBER($U118),$U118="DNA"),$U118,IF(OR(ISNUMBER($T118),$T118="DNA"),$T118,IF(OR(ISNUMBER($S118),$S118="DNA"),$S118,IF(OR(ISNUMBER($R118),$R118="DNA"),$R118,IF(OR(ISNUMBER($Q118),$Q118="DNA"),$Q118,IF(OR(ISNUMBER($N118),$N118="DNA"),$N118,IF(OR(ISNUMBER($M118),$M118="DNA"),$M118,IF(OR(ISNUMBER($L118),$L118="DNA"),$L118,"")))))))))),IF(ISNUMBER($V118),"Update status","Missed/not booked?"),""))))</f>
        <v/>
      </c>
      <c r="K118" s="29">
        <f>IF(NOT(AND($A118&lt;&gt;"",OR($G118="",$G118="Active"))),"",IF(MIN(IF(AND(ISNUMBER($L118),$L118&gt;=TODAY()),$L118,99999),IF(AND(ISNUMBER($M118),$M118&gt;=TODAY()),$M118,99999),IF(AND(ISNUMBER($N118),$N118&gt;=TODAY()),$N118,99999),IF(AND(ISNUMBER($Q118),$Q118&gt;=TODAY()),$Q118,99999),IF(AND(ISNUMBER($R118),$R118&gt;=TODAY()),$R118,99999),IF(AND(ISNUMBER($S118),$S118&gt;=TODAY()),$S118,99999),IF(AND(ISNUMBER($T118),$T118&gt;=TODAY()),$T118,99999),IF(AND(ISNUMBER($U118),$U118&gt;=TODAY()),$U118,99999),IF(AND(ISNUMBER($V118),$V118&gt;=TODAY()),$V118,99999))=99999,"",MIN(IF(AND(ISNUMBER($L118),$L118&gt;=TODAY()),$L118,99999),IF(AND(ISNUMBER($M118),$M118&gt;=TODAY()),$M118,99999),IF(AND(ISNUMBER($N118),$N118&gt;=TODAY()),$N118,99999),IF(AND(ISNUMBER($Q118),$Q118&gt;=TODAY()),$Q118,99999),IF(AND(ISNUMBER($R118),$R118&gt;=TODAY()),$R118,99999),IF(AND(ISNUMBER($S118),$S118&gt;=TODAY()),$S118,99999),IF(AND(ISNUMBER($T118),$T118&gt;=TODAY()),$T118,99999),IF(AND(ISNUMBER($U118),$U118&gt;=TODAY()),$U118,99999),IF(AND(ISNUMBER($V118),$V118&gt;=TODAY()),$V118,99999))))</f>
        <v/>
      </c>
      <c r="L118" s="27" t="n"/>
      <c r="M118" s="27" t="n"/>
      <c r="N118" s="27" t="n"/>
      <c r="O118" s="27" t="n"/>
      <c r="P118" s="27" t="n"/>
      <c r="Q118" s="27" t="n"/>
      <c r="R118" s="27" t="n"/>
      <c r="S118" s="27" t="n"/>
      <c r="T118" s="27" t="n"/>
      <c r="U118" s="27" t="n"/>
      <c r="V118" s="27" t="n"/>
      <c r="W118" s="27" t="n"/>
      <c r="X118" s="27" t="n"/>
      <c r="Y118" s="27" t="n"/>
      <c r="Z118" s="30" t="n"/>
      <c r="AA118" s="25" t="n"/>
      <c r="AB118" s="28">
        <f>IF(NOT(AND($A118&lt;&gt;"",OR($G118="",$G118="Active"))),"",IF(OR(IF(OR(ISNUMBER($V118),$V118="DNA"),$V118,IF(OR(ISNUMBER($U118),$U118="DNA"),$U118,IF(OR(ISNUMBER($T118),$T118="DNA"),$T118,IF(OR(ISNUMBER($S118),$S118="DNA"),$S118,IF(OR(ISNUMBER($R118),$R118="DNA"),$R118,IF(OR(ISNUMBER($Q118),$Q118="DNA"),$Q118,IF(OR(ISNUMBER($N118),$N118="DNA"),$N118,IF(OR(ISNUMBER($M118),$M118="DNA"),$M118,IF(OR(ISNUMBER($L118),$L118="DNA"),$L118,"")))))))))="DNA",AND(ISNUMBER(IF(OR(ISNUMBER($V118),$V118="DNA"),$V118,IF(OR(ISNUMBER($U118),$U118="DNA"),$U118,IF(OR(ISNUMBER($T118),$T118="DNA"),$T118,IF(OR(ISNUMBER($S118),$S118="DNA"),$S118,IF(OR(ISNUMBER($R118),$R118="DNA"),$R118,IF(OR(ISNUMBER($Q118),$Q118="DNA"),$Q118,IF(OR(ISNUMBER($N118),$N118="DNA"),$N118,IF(OR(ISNUMBER($M118),$M118="DNA"),$M118,IF(OR(ISNUMBER($L118),$L118="DNA"),$L118,"")))))))))),IF(OR(ISNUMBER($V118),$V118="DNA"),$V118,IF(OR(ISNUMBER($U118),$U118="DNA"),$U118,IF(OR(ISNUMBER($T118),$T118="DNA"),$T118,IF(OR(ISNUMBER($S118),$S118="DNA"),$S118,IF(OR(ISNUMBER($R118),$R118="DNA"),$R118,IF(OR(ISNUMBER($Q118),$Q118="DNA"),$Q118,IF(OR(ISNUMBER($N118),$N118="DNA"),$N118,IF(OR(ISNUMBER($M118),$M118="DNA"),$M118,IF(OR(ISNUMBER($L118),$L118="DNA"),$L118,"")))))))))&lt;TODAY())),1,0)+ISNUMBER($O118)*($O118&lt;TODAY())+ISNUMBER($P118)*($P118&lt;TODAY())+ISNUMBER($X118)*($X118&lt;TODAY())+ISNUMBER($Y118)*($Y118&lt;TODAY()))</f>
        <v/>
      </c>
    </row>
    <row r="119">
      <c r="A119" s="25" t="n"/>
      <c r="B119" s="26" t="n"/>
      <c r="C119" s="27" t="n"/>
      <c r="D119" s="25" t="n"/>
      <c r="E119" s="25" t="n"/>
      <c r="F119" s="27" t="n"/>
      <c r="G119" s="25" t="n"/>
      <c r="H119" s="28">
        <f>IF(OR(NOT(AND($A119&lt;&gt;"",OR($G119="",$G119="Active"))),$F119=""),"",INT((TODAY()-$F119+280)/7)&amp;"+"&amp;MOD(TODAY()-$F119+280,7))</f>
        <v/>
      </c>
      <c r="I119" s="28">
        <f>IF(NOT(AND($A119&lt;&gt;"",OR($G119="",$G119="Active"))),"",ISNUMBER($L119)*($L119&gt;=TODAY())*($L119&lt;=TODAY()+7)+ISNUMBER($M119)*($M119&gt;=TODAY())*($M119&lt;=TODAY()+7)+ISNUMBER($N119)*($N119&gt;=TODAY())*($N119&lt;=TODAY()+7)+ISNUMBER($Q119)*($Q119&gt;=TODAY())*($Q119&lt;=TODAY()+7)+ISNUMBER($R119)*($R119&gt;=TODAY())*($R119&lt;=TODAY()+7)+ISNUMBER($S119)*($S119&gt;=TODAY())*($S119&lt;=TODAY()+7)+ISNUMBER($T119)*($T119&gt;=TODAY())*($T119&lt;=TODAY()+7)+ISNUMBER($U119)*($U119&gt;=TODAY())*($U119&lt;=TODAY()+7)+ISNUMBER($V119)*($V119&gt;=TODAY())*($V119&lt;=TODAY()+7)+ISNUMBER($O119)*($O119&gt;=TODAY())*($O119&lt;=TODAY()+7)+ISNUMBER($P119)*($P119&gt;=TODAY())*($P119&lt;=TODAY()+7)+ISNUMBER($X119)*($X119&gt;=TODAY())*($X119&lt;=TODAY()+7)+ISNUMBER($Y119)*($Y119&gt;=TODAY())*($Y119&lt;=TODAY()+7))</f>
        <v/>
      </c>
      <c r="J119" s="28">
        <f>IF(NOT(AND($A119&lt;&gt;"",OR($G119="",$G119="Active"))),"",IF($K119&lt;&gt;"",IF($L119=$K119,"Booking",IF($M119=$K119,"16/40",IF($N119=$K119,"25/40",IF($Q119=$K119,"28/40",IF($R119=$K119,"31/40",IF($S119=$K119,"34/40",IF($T119=$K119,"36/40",IF($U119=$K119,"38/40",IF($V119=$K119,"40/40",""))))))))),IF(IF(OR(ISNUMBER($V119),$V119="DNA"),$V119,IF(OR(ISNUMBER($U119),$U119="DNA"),$U119,IF(OR(ISNUMBER($T119),$T119="DNA"),$T119,IF(OR(ISNUMBER($S119),$S119="DNA"),$S119,IF(OR(ISNUMBER($R119),$R119="DNA"),$R119,IF(OR(ISNUMBER($Q119),$Q119="DNA"),$Q119,IF(OR(ISNUMBER($N119),$N119="DNA"),$N119,IF(OR(ISNUMBER($M119),$M119="DNA"),$M119,IF(OR(ISNUMBER($L119),$L119="DNA"),$L119,"")))))))))="DNA","Rebook DNA",IF(ISNUMBER(IF(OR(ISNUMBER($V119),$V119="DNA"),$V119,IF(OR(ISNUMBER($U119),$U119="DNA"),$U119,IF(OR(ISNUMBER($T119),$T119="DNA"),$T119,IF(OR(ISNUMBER($S119),$S119="DNA"),$S119,IF(OR(ISNUMBER($R119),$R119="DNA"),$R119,IF(OR(ISNUMBER($Q119),$Q119="DNA"),$Q119,IF(OR(ISNUMBER($N119),$N119="DNA"),$N119,IF(OR(ISNUMBER($M119),$M119="DNA"),$M119,IF(OR(ISNUMBER($L119),$L119="DNA"),$L119,"")))))))))),IF(ISNUMBER($V119),"Update status","Missed/not booked?"),""))))</f>
        <v/>
      </c>
      <c r="K119" s="29">
        <f>IF(NOT(AND($A119&lt;&gt;"",OR($G119="",$G119="Active"))),"",IF(MIN(IF(AND(ISNUMBER($L119),$L119&gt;=TODAY()),$L119,99999),IF(AND(ISNUMBER($M119),$M119&gt;=TODAY()),$M119,99999),IF(AND(ISNUMBER($N119),$N119&gt;=TODAY()),$N119,99999),IF(AND(ISNUMBER($Q119),$Q119&gt;=TODAY()),$Q119,99999),IF(AND(ISNUMBER($R119),$R119&gt;=TODAY()),$R119,99999),IF(AND(ISNUMBER($S119),$S119&gt;=TODAY()),$S119,99999),IF(AND(ISNUMBER($T119),$T119&gt;=TODAY()),$T119,99999),IF(AND(ISNUMBER($U119),$U119&gt;=TODAY()),$U119,99999),IF(AND(ISNUMBER($V119),$V119&gt;=TODAY()),$V119,99999))=99999,"",MIN(IF(AND(ISNUMBER($L119),$L119&gt;=TODAY()),$L119,99999),IF(AND(ISNUMBER($M119),$M119&gt;=TODAY()),$M119,99999),IF(AND(ISNUMBER($N119),$N119&gt;=TODAY()),$N119,99999),IF(AND(ISNUMBER($Q119),$Q119&gt;=TODAY()),$Q119,99999),IF(AND(ISNUMBER($R119),$R119&gt;=TODAY()),$R119,99999),IF(AND(ISNUMBER($S119),$S119&gt;=TODAY()),$S119,99999),IF(AND(ISNUMBER($T119),$T119&gt;=TODAY()),$T119,99999),IF(AND(ISNUMBER($U119),$U119&gt;=TODAY()),$U119,99999),IF(AND(ISNUMBER($V119),$V119&gt;=TODAY()),$V119,99999))))</f>
        <v/>
      </c>
      <c r="L119" s="27" t="n"/>
      <c r="M119" s="27" t="n"/>
      <c r="N119" s="27" t="n"/>
      <c r="O119" s="27" t="n"/>
      <c r="P119" s="27" t="n"/>
      <c r="Q119" s="27" t="n"/>
      <c r="R119" s="27" t="n"/>
      <c r="S119" s="27" t="n"/>
      <c r="T119" s="27" t="n"/>
      <c r="U119" s="27" t="n"/>
      <c r="V119" s="27" t="n"/>
      <c r="W119" s="27" t="n"/>
      <c r="X119" s="27" t="n"/>
      <c r="Y119" s="27" t="n"/>
      <c r="Z119" s="30" t="n"/>
      <c r="AA119" s="25" t="n"/>
      <c r="AB119" s="28">
        <f>IF(NOT(AND($A119&lt;&gt;"",OR($G119="",$G119="Active"))),"",IF(OR(IF(OR(ISNUMBER($V119),$V119="DNA"),$V119,IF(OR(ISNUMBER($U119),$U119="DNA"),$U119,IF(OR(ISNUMBER($T119),$T119="DNA"),$T119,IF(OR(ISNUMBER($S119),$S119="DNA"),$S119,IF(OR(ISNUMBER($R119),$R119="DNA"),$R119,IF(OR(ISNUMBER($Q119),$Q119="DNA"),$Q119,IF(OR(ISNUMBER($N119),$N119="DNA"),$N119,IF(OR(ISNUMBER($M119),$M119="DNA"),$M119,IF(OR(ISNUMBER($L119),$L119="DNA"),$L119,"")))))))))="DNA",AND(ISNUMBER(IF(OR(ISNUMBER($V119),$V119="DNA"),$V119,IF(OR(ISNUMBER($U119),$U119="DNA"),$U119,IF(OR(ISNUMBER($T119),$T119="DNA"),$T119,IF(OR(ISNUMBER($S119),$S119="DNA"),$S119,IF(OR(ISNUMBER($R119),$R119="DNA"),$R119,IF(OR(ISNUMBER($Q119),$Q119="DNA"),$Q119,IF(OR(ISNUMBER($N119),$N119="DNA"),$N119,IF(OR(ISNUMBER($M119),$M119="DNA"),$M119,IF(OR(ISNUMBER($L119),$L119="DNA"),$L119,"")))))))))),IF(OR(ISNUMBER($V119),$V119="DNA"),$V119,IF(OR(ISNUMBER($U119),$U119="DNA"),$U119,IF(OR(ISNUMBER($T119),$T119="DNA"),$T119,IF(OR(ISNUMBER($S119),$S119="DNA"),$S119,IF(OR(ISNUMBER($R119),$R119="DNA"),$R119,IF(OR(ISNUMBER($Q119),$Q119="DNA"),$Q119,IF(OR(ISNUMBER($N119),$N119="DNA"),$N119,IF(OR(ISNUMBER($M119),$M119="DNA"),$M119,IF(OR(ISNUMBER($L119),$L119="DNA"),$L119,"")))))))))&lt;TODAY())),1,0)+ISNUMBER($O119)*($O119&lt;TODAY())+ISNUMBER($P119)*($P119&lt;TODAY())+ISNUMBER($X119)*($X119&lt;TODAY())+ISNUMBER($Y119)*($Y119&lt;TODAY()))</f>
        <v/>
      </c>
    </row>
    <row r="120">
      <c r="A120" s="25" t="n"/>
      <c r="B120" s="26" t="n"/>
      <c r="C120" s="27" t="n"/>
      <c r="D120" s="25" t="n"/>
      <c r="E120" s="25" t="n"/>
      <c r="F120" s="27" t="n"/>
      <c r="G120" s="25" t="n"/>
      <c r="H120" s="28">
        <f>IF(OR(NOT(AND($A120&lt;&gt;"",OR($G120="",$G120="Active"))),$F120=""),"",INT((TODAY()-$F120+280)/7)&amp;"+"&amp;MOD(TODAY()-$F120+280,7))</f>
        <v/>
      </c>
      <c r="I120" s="28">
        <f>IF(NOT(AND($A120&lt;&gt;"",OR($G120="",$G120="Active"))),"",ISNUMBER($L120)*($L120&gt;=TODAY())*($L120&lt;=TODAY()+7)+ISNUMBER($M120)*($M120&gt;=TODAY())*($M120&lt;=TODAY()+7)+ISNUMBER($N120)*($N120&gt;=TODAY())*($N120&lt;=TODAY()+7)+ISNUMBER($Q120)*($Q120&gt;=TODAY())*($Q120&lt;=TODAY()+7)+ISNUMBER($R120)*($R120&gt;=TODAY())*($R120&lt;=TODAY()+7)+ISNUMBER($S120)*($S120&gt;=TODAY())*($S120&lt;=TODAY()+7)+ISNUMBER($T120)*($T120&gt;=TODAY())*($T120&lt;=TODAY()+7)+ISNUMBER($U120)*($U120&gt;=TODAY())*($U120&lt;=TODAY()+7)+ISNUMBER($V120)*($V120&gt;=TODAY())*($V120&lt;=TODAY()+7)+ISNUMBER($O120)*($O120&gt;=TODAY())*($O120&lt;=TODAY()+7)+ISNUMBER($P120)*($P120&gt;=TODAY())*($P120&lt;=TODAY()+7)+ISNUMBER($X120)*($X120&gt;=TODAY())*($X120&lt;=TODAY()+7)+ISNUMBER($Y120)*($Y120&gt;=TODAY())*($Y120&lt;=TODAY()+7))</f>
        <v/>
      </c>
      <c r="J120" s="28">
        <f>IF(NOT(AND($A120&lt;&gt;"",OR($G120="",$G120="Active"))),"",IF($K120&lt;&gt;"",IF($L120=$K120,"Booking",IF($M120=$K120,"16/40",IF($N120=$K120,"25/40",IF($Q120=$K120,"28/40",IF($R120=$K120,"31/40",IF($S120=$K120,"34/40",IF($T120=$K120,"36/40",IF($U120=$K120,"38/40",IF($V120=$K120,"40/40",""))))))))),IF(IF(OR(ISNUMBER($V120),$V120="DNA"),$V120,IF(OR(ISNUMBER($U120),$U120="DNA"),$U120,IF(OR(ISNUMBER($T120),$T120="DNA"),$T120,IF(OR(ISNUMBER($S120),$S120="DNA"),$S120,IF(OR(ISNUMBER($R120),$R120="DNA"),$R120,IF(OR(ISNUMBER($Q120),$Q120="DNA"),$Q120,IF(OR(ISNUMBER($N120),$N120="DNA"),$N120,IF(OR(ISNUMBER($M120),$M120="DNA"),$M120,IF(OR(ISNUMBER($L120),$L120="DNA"),$L120,"")))))))))="DNA","Rebook DNA",IF(ISNUMBER(IF(OR(ISNUMBER($V120),$V120="DNA"),$V120,IF(OR(ISNUMBER($U120),$U120="DNA"),$U120,IF(OR(ISNUMBER($T120),$T120="DNA"),$T120,IF(OR(ISNUMBER($S120),$S120="DNA"),$S120,IF(OR(ISNUMBER($R120),$R120="DNA"),$R120,IF(OR(ISNUMBER($Q120),$Q120="DNA"),$Q120,IF(OR(ISNUMBER($N120),$N120="DNA"),$N120,IF(OR(ISNUMBER($M120),$M120="DNA"),$M120,IF(OR(ISNUMBER($L120),$L120="DNA"),$L120,"")))))))))),IF(ISNUMBER($V120),"Update status","Missed/not booked?"),""))))</f>
        <v/>
      </c>
      <c r="K120" s="29">
        <f>IF(NOT(AND($A120&lt;&gt;"",OR($G120="",$G120="Active"))),"",IF(MIN(IF(AND(ISNUMBER($L120),$L120&gt;=TODAY()),$L120,99999),IF(AND(ISNUMBER($M120),$M120&gt;=TODAY()),$M120,99999),IF(AND(ISNUMBER($N120),$N120&gt;=TODAY()),$N120,99999),IF(AND(ISNUMBER($Q120),$Q120&gt;=TODAY()),$Q120,99999),IF(AND(ISNUMBER($R120),$R120&gt;=TODAY()),$R120,99999),IF(AND(ISNUMBER($S120),$S120&gt;=TODAY()),$S120,99999),IF(AND(ISNUMBER($T120),$T120&gt;=TODAY()),$T120,99999),IF(AND(ISNUMBER($U120),$U120&gt;=TODAY()),$U120,99999),IF(AND(ISNUMBER($V120),$V120&gt;=TODAY()),$V120,99999))=99999,"",MIN(IF(AND(ISNUMBER($L120),$L120&gt;=TODAY()),$L120,99999),IF(AND(ISNUMBER($M120),$M120&gt;=TODAY()),$M120,99999),IF(AND(ISNUMBER($N120),$N120&gt;=TODAY()),$N120,99999),IF(AND(ISNUMBER($Q120),$Q120&gt;=TODAY()),$Q120,99999),IF(AND(ISNUMBER($R120),$R120&gt;=TODAY()),$R120,99999),IF(AND(ISNUMBER($S120),$S120&gt;=TODAY()),$S120,99999),IF(AND(ISNUMBER($T120),$T120&gt;=TODAY()),$T120,99999),IF(AND(ISNUMBER($U120),$U120&gt;=TODAY()),$U120,99999),IF(AND(ISNUMBER($V120),$V120&gt;=TODAY()),$V120,99999))))</f>
        <v/>
      </c>
      <c r="L120" s="27" t="n"/>
      <c r="M120" s="27" t="n"/>
      <c r="N120" s="27" t="n"/>
      <c r="O120" s="27" t="n"/>
      <c r="P120" s="27" t="n"/>
      <c r="Q120" s="27" t="n"/>
      <c r="R120" s="27" t="n"/>
      <c r="S120" s="27" t="n"/>
      <c r="T120" s="27" t="n"/>
      <c r="U120" s="27" t="n"/>
      <c r="V120" s="27" t="n"/>
      <c r="W120" s="27" t="n"/>
      <c r="X120" s="27" t="n"/>
      <c r="Y120" s="27" t="n"/>
      <c r="Z120" s="30" t="n"/>
      <c r="AA120" s="25" t="n"/>
      <c r="AB120" s="28">
        <f>IF(NOT(AND($A120&lt;&gt;"",OR($G120="",$G120="Active"))),"",IF(OR(IF(OR(ISNUMBER($V120),$V120="DNA"),$V120,IF(OR(ISNUMBER($U120),$U120="DNA"),$U120,IF(OR(ISNUMBER($T120),$T120="DNA"),$T120,IF(OR(ISNUMBER($S120),$S120="DNA"),$S120,IF(OR(ISNUMBER($R120),$R120="DNA"),$R120,IF(OR(ISNUMBER($Q120),$Q120="DNA"),$Q120,IF(OR(ISNUMBER($N120),$N120="DNA"),$N120,IF(OR(ISNUMBER($M120),$M120="DNA"),$M120,IF(OR(ISNUMBER($L120),$L120="DNA"),$L120,"")))))))))="DNA",AND(ISNUMBER(IF(OR(ISNUMBER($V120),$V120="DNA"),$V120,IF(OR(ISNUMBER($U120),$U120="DNA"),$U120,IF(OR(ISNUMBER($T120),$T120="DNA"),$T120,IF(OR(ISNUMBER($S120),$S120="DNA"),$S120,IF(OR(ISNUMBER($R120),$R120="DNA"),$R120,IF(OR(ISNUMBER($Q120),$Q120="DNA"),$Q120,IF(OR(ISNUMBER($N120),$N120="DNA"),$N120,IF(OR(ISNUMBER($M120),$M120="DNA"),$M120,IF(OR(ISNUMBER($L120),$L120="DNA"),$L120,"")))))))))),IF(OR(ISNUMBER($V120),$V120="DNA"),$V120,IF(OR(ISNUMBER($U120),$U120="DNA"),$U120,IF(OR(ISNUMBER($T120),$T120="DNA"),$T120,IF(OR(ISNUMBER($S120),$S120="DNA"),$S120,IF(OR(ISNUMBER($R120),$R120="DNA"),$R120,IF(OR(ISNUMBER($Q120),$Q120="DNA"),$Q120,IF(OR(ISNUMBER($N120),$N120="DNA"),$N120,IF(OR(ISNUMBER($M120),$M120="DNA"),$M120,IF(OR(ISNUMBER($L120),$L120="DNA"),$L120,"")))))))))&lt;TODAY())),1,0)+ISNUMBER($O120)*($O120&lt;TODAY())+ISNUMBER($P120)*($P120&lt;TODAY())+ISNUMBER($X120)*($X120&lt;TODAY())+ISNUMBER($Y120)*($Y120&lt;TODAY()))</f>
        <v/>
      </c>
    </row>
    <row r="121">
      <c r="A121" s="25" t="n"/>
      <c r="B121" s="26" t="n"/>
      <c r="C121" s="27" t="n"/>
      <c r="D121" s="25" t="n"/>
      <c r="E121" s="25" t="n"/>
      <c r="F121" s="27" t="n"/>
      <c r="G121" s="25" t="n"/>
      <c r="H121" s="28">
        <f>IF(OR(NOT(AND($A121&lt;&gt;"",OR($G121="",$G121="Active"))),$F121=""),"",INT((TODAY()-$F121+280)/7)&amp;"+"&amp;MOD(TODAY()-$F121+280,7))</f>
        <v/>
      </c>
      <c r="I121" s="28">
        <f>IF(NOT(AND($A121&lt;&gt;"",OR($G121="",$G121="Active"))),"",ISNUMBER($L121)*($L121&gt;=TODAY())*($L121&lt;=TODAY()+7)+ISNUMBER($M121)*($M121&gt;=TODAY())*($M121&lt;=TODAY()+7)+ISNUMBER($N121)*($N121&gt;=TODAY())*($N121&lt;=TODAY()+7)+ISNUMBER($Q121)*($Q121&gt;=TODAY())*($Q121&lt;=TODAY()+7)+ISNUMBER($R121)*($R121&gt;=TODAY())*($R121&lt;=TODAY()+7)+ISNUMBER($S121)*($S121&gt;=TODAY())*($S121&lt;=TODAY()+7)+ISNUMBER($T121)*($T121&gt;=TODAY())*($T121&lt;=TODAY()+7)+ISNUMBER($U121)*($U121&gt;=TODAY())*($U121&lt;=TODAY()+7)+ISNUMBER($V121)*($V121&gt;=TODAY())*($V121&lt;=TODAY()+7)+ISNUMBER($O121)*($O121&gt;=TODAY())*($O121&lt;=TODAY()+7)+ISNUMBER($P121)*($P121&gt;=TODAY())*($P121&lt;=TODAY()+7)+ISNUMBER($X121)*($X121&gt;=TODAY())*($X121&lt;=TODAY()+7)+ISNUMBER($Y121)*($Y121&gt;=TODAY())*($Y121&lt;=TODAY()+7))</f>
        <v/>
      </c>
      <c r="J121" s="28">
        <f>IF(NOT(AND($A121&lt;&gt;"",OR($G121="",$G121="Active"))),"",IF($K121&lt;&gt;"",IF($L121=$K121,"Booking",IF($M121=$K121,"16/40",IF($N121=$K121,"25/40",IF($Q121=$K121,"28/40",IF($R121=$K121,"31/40",IF($S121=$K121,"34/40",IF($T121=$K121,"36/40",IF($U121=$K121,"38/40",IF($V121=$K121,"40/40",""))))))))),IF(IF(OR(ISNUMBER($V121),$V121="DNA"),$V121,IF(OR(ISNUMBER($U121),$U121="DNA"),$U121,IF(OR(ISNUMBER($T121),$T121="DNA"),$T121,IF(OR(ISNUMBER($S121),$S121="DNA"),$S121,IF(OR(ISNUMBER($R121),$R121="DNA"),$R121,IF(OR(ISNUMBER($Q121),$Q121="DNA"),$Q121,IF(OR(ISNUMBER($N121),$N121="DNA"),$N121,IF(OR(ISNUMBER($M121),$M121="DNA"),$M121,IF(OR(ISNUMBER($L121),$L121="DNA"),$L121,"")))))))))="DNA","Rebook DNA",IF(ISNUMBER(IF(OR(ISNUMBER($V121),$V121="DNA"),$V121,IF(OR(ISNUMBER($U121),$U121="DNA"),$U121,IF(OR(ISNUMBER($T121),$T121="DNA"),$T121,IF(OR(ISNUMBER($S121),$S121="DNA"),$S121,IF(OR(ISNUMBER($R121),$R121="DNA"),$R121,IF(OR(ISNUMBER($Q121),$Q121="DNA"),$Q121,IF(OR(ISNUMBER($N121),$N121="DNA"),$N121,IF(OR(ISNUMBER($M121),$M121="DNA"),$M121,IF(OR(ISNUMBER($L121),$L121="DNA"),$L121,"")))))))))),IF(ISNUMBER($V121),"Update status","Missed/not booked?"),""))))</f>
        <v/>
      </c>
      <c r="K121" s="29">
        <f>IF(NOT(AND($A121&lt;&gt;"",OR($G121="",$G121="Active"))),"",IF(MIN(IF(AND(ISNUMBER($L121),$L121&gt;=TODAY()),$L121,99999),IF(AND(ISNUMBER($M121),$M121&gt;=TODAY()),$M121,99999),IF(AND(ISNUMBER($N121),$N121&gt;=TODAY()),$N121,99999),IF(AND(ISNUMBER($Q121),$Q121&gt;=TODAY()),$Q121,99999),IF(AND(ISNUMBER($R121),$R121&gt;=TODAY()),$R121,99999),IF(AND(ISNUMBER($S121),$S121&gt;=TODAY()),$S121,99999),IF(AND(ISNUMBER($T121),$T121&gt;=TODAY()),$T121,99999),IF(AND(ISNUMBER($U121),$U121&gt;=TODAY()),$U121,99999),IF(AND(ISNUMBER($V121),$V121&gt;=TODAY()),$V121,99999))=99999,"",MIN(IF(AND(ISNUMBER($L121),$L121&gt;=TODAY()),$L121,99999),IF(AND(ISNUMBER($M121),$M121&gt;=TODAY()),$M121,99999),IF(AND(ISNUMBER($N121),$N121&gt;=TODAY()),$N121,99999),IF(AND(ISNUMBER($Q121),$Q121&gt;=TODAY()),$Q121,99999),IF(AND(ISNUMBER($R121),$R121&gt;=TODAY()),$R121,99999),IF(AND(ISNUMBER($S121),$S121&gt;=TODAY()),$S121,99999),IF(AND(ISNUMBER($T121),$T121&gt;=TODAY()),$T121,99999),IF(AND(ISNUMBER($U121),$U121&gt;=TODAY()),$U121,99999),IF(AND(ISNUMBER($V121),$V121&gt;=TODAY()),$V121,99999))))</f>
        <v/>
      </c>
      <c r="L121" s="27" t="n"/>
      <c r="M121" s="27" t="n"/>
      <c r="N121" s="27" t="n"/>
      <c r="O121" s="27" t="n"/>
      <c r="P121" s="27" t="n"/>
      <c r="Q121" s="27" t="n"/>
      <c r="R121" s="27" t="n"/>
      <c r="S121" s="27" t="n"/>
      <c r="T121" s="27" t="n"/>
      <c r="U121" s="27" t="n"/>
      <c r="V121" s="27" t="n"/>
      <c r="W121" s="27" t="n"/>
      <c r="X121" s="27" t="n"/>
      <c r="Y121" s="27" t="n"/>
      <c r="Z121" s="30" t="n"/>
      <c r="AA121" s="25" t="n"/>
      <c r="AB121" s="28">
        <f>IF(NOT(AND($A121&lt;&gt;"",OR($G121="",$G121="Active"))),"",IF(OR(IF(OR(ISNUMBER($V121),$V121="DNA"),$V121,IF(OR(ISNUMBER($U121),$U121="DNA"),$U121,IF(OR(ISNUMBER($T121),$T121="DNA"),$T121,IF(OR(ISNUMBER($S121),$S121="DNA"),$S121,IF(OR(ISNUMBER($R121),$R121="DNA"),$R121,IF(OR(ISNUMBER($Q121),$Q121="DNA"),$Q121,IF(OR(ISNUMBER($N121),$N121="DNA"),$N121,IF(OR(ISNUMBER($M121),$M121="DNA"),$M121,IF(OR(ISNUMBER($L121),$L121="DNA"),$L121,"")))))))))="DNA",AND(ISNUMBER(IF(OR(ISNUMBER($V121),$V121="DNA"),$V121,IF(OR(ISNUMBER($U121),$U121="DNA"),$U121,IF(OR(ISNUMBER($T121),$T121="DNA"),$T121,IF(OR(ISNUMBER($S121),$S121="DNA"),$S121,IF(OR(ISNUMBER($R121),$R121="DNA"),$R121,IF(OR(ISNUMBER($Q121),$Q121="DNA"),$Q121,IF(OR(ISNUMBER($N121),$N121="DNA"),$N121,IF(OR(ISNUMBER($M121),$M121="DNA"),$M121,IF(OR(ISNUMBER($L121),$L121="DNA"),$L121,"")))))))))),IF(OR(ISNUMBER($V121),$V121="DNA"),$V121,IF(OR(ISNUMBER($U121),$U121="DNA"),$U121,IF(OR(ISNUMBER($T121),$T121="DNA"),$T121,IF(OR(ISNUMBER($S121),$S121="DNA"),$S121,IF(OR(ISNUMBER($R121),$R121="DNA"),$R121,IF(OR(ISNUMBER($Q121),$Q121="DNA"),$Q121,IF(OR(ISNUMBER($N121),$N121="DNA"),$N121,IF(OR(ISNUMBER($M121),$M121="DNA"),$M121,IF(OR(ISNUMBER($L121),$L121="DNA"),$L121,"")))))))))&lt;TODAY())),1,0)+ISNUMBER($O121)*($O121&lt;TODAY())+ISNUMBER($P121)*($P121&lt;TODAY())+ISNUMBER($X121)*($X121&lt;TODAY())+ISNUMBER($Y121)*($Y121&lt;TODAY()))</f>
        <v/>
      </c>
    </row>
    <row r="122">
      <c r="A122" s="25" t="n"/>
      <c r="B122" s="26" t="n"/>
      <c r="C122" s="27" t="n"/>
      <c r="D122" s="25" t="n"/>
      <c r="E122" s="25" t="n"/>
      <c r="F122" s="27" t="n"/>
      <c r="G122" s="25" t="n"/>
      <c r="H122" s="28">
        <f>IF(OR(NOT(AND($A122&lt;&gt;"",OR($G122="",$G122="Active"))),$F122=""),"",INT((TODAY()-$F122+280)/7)&amp;"+"&amp;MOD(TODAY()-$F122+280,7))</f>
        <v/>
      </c>
      <c r="I122" s="28">
        <f>IF(NOT(AND($A122&lt;&gt;"",OR($G122="",$G122="Active"))),"",ISNUMBER($L122)*($L122&gt;=TODAY())*($L122&lt;=TODAY()+7)+ISNUMBER($M122)*($M122&gt;=TODAY())*($M122&lt;=TODAY()+7)+ISNUMBER($N122)*($N122&gt;=TODAY())*($N122&lt;=TODAY()+7)+ISNUMBER($Q122)*($Q122&gt;=TODAY())*($Q122&lt;=TODAY()+7)+ISNUMBER($R122)*($R122&gt;=TODAY())*($R122&lt;=TODAY()+7)+ISNUMBER($S122)*($S122&gt;=TODAY())*($S122&lt;=TODAY()+7)+ISNUMBER($T122)*($T122&gt;=TODAY())*($T122&lt;=TODAY()+7)+ISNUMBER($U122)*($U122&gt;=TODAY())*($U122&lt;=TODAY()+7)+ISNUMBER($V122)*($V122&gt;=TODAY())*($V122&lt;=TODAY()+7)+ISNUMBER($O122)*($O122&gt;=TODAY())*($O122&lt;=TODAY()+7)+ISNUMBER($P122)*($P122&gt;=TODAY())*($P122&lt;=TODAY()+7)+ISNUMBER($X122)*($X122&gt;=TODAY())*($X122&lt;=TODAY()+7)+ISNUMBER($Y122)*($Y122&gt;=TODAY())*($Y122&lt;=TODAY()+7))</f>
        <v/>
      </c>
      <c r="J122" s="28">
        <f>IF(NOT(AND($A122&lt;&gt;"",OR($G122="",$G122="Active"))),"",IF($K122&lt;&gt;"",IF($L122=$K122,"Booking",IF($M122=$K122,"16/40",IF($N122=$K122,"25/40",IF($Q122=$K122,"28/40",IF($R122=$K122,"31/40",IF($S122=$K122,"34/40",IF($T122=$K122,"36/40",IF($U122=$K122,"38/40",IF($V122=$K122,"40/40",""))))))))),IF(IF(OR(ISNUMBER($V122),$V122="DNA"),$V122,IF(OR(ISNUMBER($U122),$U122="DNA"),$U122,IF(OR(ISNUMBER($T122),$T122="DNA"),$T122,IF(OR(ISNUMBER($S122),$S122="DNA"),$S122,IF(OR(ISNUMBER($R122),$R122="DNA"),$R122,IF(OR(ISNUMBER($Q122),$Q122="DNA"),$Q122,IF(OR(ISNUMBER($N122),$N122="DNA"),$N122,IF(OR(ISNUMBER($M122),$M122="DNA"),$M122,IF(OR(ISNUMBER($L122),$L122="DNA"),$L122,"")))))))))="DNA","Rebook DNA",IF(ISNUMBER(IF(OR(ISNUMBER($V122),$V122="DNA"),$V122,IF(OR(ISNUMBER($U122),$U122="DNA"),$U122,IF(OR(ISNUMBER($T122),$T122="DNA"),$T122,IF(OR(ISNUMBER($S122),$S122="DNA"),$S122,IF(OR(ISNUMBER($R122),$R122="DNA"),$R122,IF(OR(ISNUMBER($Q122),$Q122="DNA"),$Q122,IF(OR(ISNUMBER($N122),$N122="DNA"),$N122,IF(OR(ISNUMBER($M122),$M122="DNA"),$M122,IF(OR(ISNUMBER($L122),$L122="DNA"),$L122,"")))))))))),IF(ISNUMBER($V122),"Update status","Missed/not booked?"),""))))</f>
        <v/>
      </c>
      <c r="K122" s="29">
        <f>IF(NOT(AND($A122&lt;&gt;"",OR($G122="",$G122="Active"))),"",IF(MIN(IF(AND(ISNUMBER($L122),$L122&gt;=TODAY()),$L122,99999),IF(AND(ISNUMBER($M122),$M122&gt;=TODAY()),$M122,99999),IF(AND(ISNUMBER($N122),$N122&gt;=TODAY()),$N122,99999),IF(AND(ISNUMBER($Q122),$Q122&gt;=TODAY()),$Q122,99999),IF(AND(ISNUMBER($R122),$R122&gt;=TODAY()),$R122,99999),IF(AND(ISNUMBER($S122),$S122&gt;=TODAY()),$S122,99999),IF(AND(ISNUMBER($T122),$T122&gt;=TODAY()),$T122,99999),IF(AND(ISNUMBER($U122),$U122&gt;=TODAY()),$U122,99999),IF(AND(ISNUMBER($V122),$V122&gt;=TODAY()),$V122,99999))=99999,"",MIN(IF(AND(ISNUMBER($L122),$L122&gt;=TODAY()),$L122,99999),IF(AND(ISNUMBER($M122),$M122&gt;=TODAY()),$M122,99999),IF(AND(ISNUMBER($N122),$N122&gt;=TODAY()),$N122,99999),IF(AND(ISNUMBER($Q122),$Q122&gt;=TODAY()),$Q122,99999),IF(AND(ISNUMBER($R122),$R122&gt;=TODAY()),$R122,99999),IF(AND(ISNUMBER($S122),$S122&gt;=TODAY()),$S122,99999),IF(AND(ISNUMBER($T122),$T122&gt;=TODAY()),$T122,99999),IF(AND(ISNUMBER($U122),$U122&gt;=TODAY()),$U122,99999),IF(AND(ISNUMBER($V122),$V122&gt;=TODAY()),$V122,99999))))</f>
        <v/>
      </c>
      <c r="L122" s="27" t="n"/>
      <c r="M122" s="27" t="n"/>
      <c r="N122" s="27" t="n"/>
      <c r="O122" s="27" t="n"/>
      <c r="P122" s="27" t="n"/>
      <c r="Q122" s="27" t="n"/>
      <c r="R122" s="27" t="n"/>
      <c r="S122" s="27" t="n"/>
      <c r="T122" s="27" t="n"/>
      <c r="U122" s="27" t="n"/>
      <c r="V122" s="27" t="n"/>
      <c r="W122" s="27" t="n"/>
      <c r="X122" s="27" t="n"/>
      <c r="Y122" s="27" t="n"/>
      <c r="Z122" s="30" t="n"/>
      <c r="AA122" s="25" t="n"/>
      <c r="AB122" s="28">
        <f>IF(NOT(AND($A122&lt;&gt;"",OR($G122="",$G122="Active"))),"",IF(OR(IF(OR(ISNUMBER($V122),$V122="DNA"),$V122,IF(OR(ISNUMBER($U122),$U122="DNA"),$U122,IF(OR(ISNUMBER($T122),$T122="DNA"),$T122,IF(OR(ISNUMBER($S122),$S122="DNA"),$S122,IF(OR(ISNUMBER($R122),$R122="DNA"),$R122,IF(OR(ISNUMBER($Q122),$Q122="DNA"),$Q122,IF(OR(ISNUMBER($N122),$N122="DNA"),$N122,IF(OR(ISNUMBER($M122),$M122="DNA"),$M122,IF(OR(ISNUMBER($L122),$L122="DNA"),$L122,"")))))))))="DNA",AND(ISNUMBER(IF(OR(ISNUMBER($V122),$V122="DNA"),$V122,IF(OR(ISNUMBER($U122),$U122="DNA"),$U122,IF(OR(ISNUMBER($T122),$T122="DNA"),$T122,IF(OR(ISNUMBER($S122),$S122="DNA"),$S122,IF(OR(ISNUMBER($R122),$R122="DNA"),$R122,IF(OR(ISNUMBER($Q122),$Q122="DNA"),$Q122,IF(OR(ISNUMBER($N122),$N122="DNA"),$N122,IF(OR(ISNUMBER($M122),$M122="DNA"),$M122,IF(OR(ISNUMBER($L122),$L122="DNA"),$L122,"")))))))))),IF(OR(ISNUMBER($V122),$V122="DNA"),$V122,IF(OR(ISNUMBER($U122),$U122="DNA"),$U122,IF(OR(ISNUMBER($T122),$T122="DNA"),$T122,IF(OR(ISNUMBER($S122),$S122="DNA"),$S122,IF(OR(ISNUMBER($R122),$R122="DNA"),$R122,IF(OR(ISNUMBER($Q122),$Q122="DNA"),$Q122,IF(OR(ISNUMBER($N122),$N122="DNA"),$N122,IF(OR(ISNUMBER($M122),$M122="DNA"),$M122,IF(OR(ISNUMBER($L122),$L122="DNA"),$L122,"")))))))))&lt;TODAY())),1,0)+ISNUMBER($O122)*($O122&lt;TODAY())+ISNUMBER($P122)*($P122&lt;TODAY())+ISNUMBER($X122)*($X122&lt;TODAY())+ISNUMBER($Y122)*($Y122&lt;TODAY()))</f>
        <v/>
      </c>
    </row>
    <row r="123">
      <c r="A123" s="25" t="n"/>
      <c r="B123" s="26" t="n"/>
      <c r="C123" s="27" t="n"/>
      <c r="D123" s="25" t="n"/>
      <c r="E123" s="25" t="n"/>
      <c r="F123" s="27" t="n"/>
      <c r="G123" s="25" t="n"/>
      <c r="H123" s="28">
        <f>IF(OR(NOT(AND($A123&lt;&gt;"",OR($G123="",$G123="Active"))),$F123=""),"",INT((TODAY()-$F123+280)/7)&amp;"+"&amp;MOD(TODAY()-$F123+280,7))</f>
        <v/>
      </c>
      <c r="I123" s="28">
        <f>IF(NOT(AND($A123&lt;&gt;"",OR($G123="",$G123="Active"))),"",ISNUMBER($L123)*($L123&gt;=TODAY())*($L123&lt;=TODAY()+7)+ISNUMBER($M123)*($M123&gt;=TODAY())*($M123&lt;=TODAY()+7)+ISNUMBER($N123)*($N123&gt;=TODAY())*($N123&lt;=TODAY()+7)+ISNUMBER($Q123)*($Q123&gt;=TODAY())*($Q123&lt;=TODAY()+7)+ISNUMBER($R123)*($R123&gt;=TODAY())*($R123&lt;=TODAY()+7)+ISNUMBER($S123)*($S123&gt;=TODAY())*($S123&lt;=TODAY()+7)+ISNUMBER($T123)*($T123&gt;=TODAY())*($T123&lt;=TODAY()+7)+ISNUMBER($U123)*($U123&gt;=TODAY())*($U123&lt;=TODAY()+7)+ISNUMBER($V123)*($V123&gt;=TODAY())*($V123&lt;=TODAY()+7)+ISNUMBER($O123)*($O123&gt;=TODAY())*($O123&lt;=TODAY()+7)+ISNUMBER($P123)*($P123&gt;=TODAY())*($P123&lt;=TODAY()+7)+ISNUMBER($X123)*($X123&gt;=TODAY())*($X123&lt;=TODAY()+7)+ISNUMBER($Y123)*($Y123&gt;=TODAY())*($Y123&lt;=TODAY()+7))</f>
        <v/>
      </c>
      <c r="J123" s="28">
        <f>IF(NOT(AND($A123&lt;&gt;"",OR($G123="",$G123="Active"))),"",IF($K123&lt;&gt;"",IF($L123=$K123,"Booking",IF($M123=$K123,"16/40",IF($N123=$K123,"25/40",IF($Q123=$K123,"28/40",IF($R123=$K123,"31/40",IF($S123=$K123,"34/40",IF($T123=$K123,"36/40",IF($U123=$K123,"38/40",IF($V123=$K123,"40/40",""))))))))),IF(IF(OR(ISNUMBER($V123),$V123="DNA"),$V123,IF(OR(ISNUMBER($U123),$U123="DNA"),$U123,IF(OR(ISNUMBER($T123),$T123="DNA"),$T123,IF(OR(ISNUMBER($S123),$S123="DNA"),$S123,IF(OR(ISNUMBER($R123),$R123="DNA"),$R123,IF(OR(ISNUMBER($Q123),$Q123="DNA"),$Q123,IF(OR(ISNUMBER($N123),$N123="DNA"),$N123,IF(OR(ISNUMBER($M123),$M123="DNA"),$M123,IF(OR(ISNUMBER($L123),$L123="DNA"),$L123,"")))))))))="DNA","Rebook DNA",IF(ISNUMBER(IF(OR(ISNUMBER($V123),$V123="DNA"),$V123,IF(OR(ISNUMBER($U123),$U123="DNA"),$U123,IF(OR(ISNUMBER($T123),$T123="DNA"),$T123,IF(OR(ISNUMBER($S123),$S123="DNA"),$S123,IF(OR(ISNUMBER($R123),$R123="DNA"),$R123,IF(OR(ISNUMBER($Q123),$Q123="DNA"),$Q123,IF(OR(ISNUMBER($N123),$N123="DNA"),$N123,IF(OR(ISNUMBER($M123),$M123="DNA"),$M123,IF(OR(ISNUMBER($L123),$L123="DNA"),$L123,"")))))))))),IF(ISNUMBER($V123),"Update status","Missed/not booked?"),""))))</f>
        <v/>
      </c>
      <c r="K123" s="29">
        <f>IF(NOT(AND($A123&lt;&gt;"",OR($G123="",$G123="Active"))),"",IF(MIN(IF(AND(ISNUMBER($L123),$L123&gt;=TODAY()),$L123,99999),IF(AND(ISNUMBER($M123),$M123&gt;=TODAY()),$M123,99999),IF(AND(ISNUMBER($N123),$N123&gt;=TODAY()),$N123,99999),IF(AND(ISNUMBER($Q123),$Q123&gt;=TODAY()),$Q123,99999),IF(AND(ISNUMBER($R123),$R123&gt;=TODAY()),$R123,99999),IF(AND(ISNUMBER($S123),$S123&gt;=TODAY()),$S123,99999),IF(AND(ISNUMBER($T123),$T123&gt;=TODAY()),$T123,99999),IF(AND(ISNUMBER($U123),$U123&gt;=TODAY()),$U123,99999),IF(AND(ISNUMBER($V123),$V123&gt;=TODAY()),$V123,99999))=99999,"",MIN(IF(AND(ISNUMBER($L123),$L123&gt;=TODAY()),$L123,99999),IF(AND(ISNUMBER($M123),$M123&gt;=TODAY()),$M123,99999),IF(AND(ISNUMBER($N123),$N123&gt;=TODAY()),$N123,99999),IF(AND(ISNUMBER($Q123),$Q123&gt;=TODAY()),$Q123,99999),IF(AND(ISNUMBER($R123),$R123&gt;=TODAY()),$R123,99999),IF(AND(ISNUMBER($S123),$S123&gt;=TODAY()),$S123,99999),IF(AND(ISNUMBER($T123),$T123&gt;=TODAY()),$T123,99999),IF(AND(ISNUMBER($U123),$U123&gt;=TODAY()),$U123,99999),IF(AND(ISNUMBER($V123),$V123&gt;=TODAY()),$V123,99999))))</f>
        <v/>
      </c>
      <c r="L123" s="27" t="n"/>
      <c r="M123" s="27" t="n"/>
      <c r="N123" s="27" t="n"/>
      <c r="O123" s="27" t="n"/>
      <c r="P123" s="27" t="n"/>
      <c r="Q123" s="27" t="n"/>
      <c r="R123" s="27" t="n"/>
      <c r="S123" s="27" t="n"/>
      <c r="T123" s="27" t="n"/>
      <c r="U123" s="27" t="n"/>
      <c r="V123" s="27" t="n"/>
      <c r="W123" s="27" t="n"/>
      <c r="X123" s="27" t="n"/>
      <c r="Y123" s="27" t="n"/>
      <c r="Z123" s="30" t="n"/>
      <c r="AA123" s="25" t="n"/>
      <c r="AB123" s="28">
        <f>IF(NOT(AND($A123&lt;&gt;"",OR($G123="",$G123="Active"))),"",IF(OR(IF(OR(ISNUMBER($V123),$V123="DNA"),$V123,IF(OR(ISNUMBER($U123),$U123="DNA"),$U123,IF(OR(ISNUMBER($T123),$T123="DNA"),$T123,IF(OR(ISNUMBER($S123),$S123="DNA"),$S123,IF(OR(ISNUMBER($R123),$R123="DNA"),$R123,IF(OR(ISNUMBER($Q123),$Q123="DNA"),$Q123,IF(OR(ISNUMBER($N123),$N123="DNA"),$N123,IF(OR(ISNUMBER($M123),$M123="DNA"),$M123,IF(OR(ISNUMBER($L123),$L123="DNA"),$L123,"")))))))))="DNA",AND(ISNUMBER(IF(OR(ISNUMBER($V123),$V123="DNA"),$V123,IF(OR(ISNUMBER($U123),$U123="DNA"),$U123,IF(OR(ISNUMBER($T123),$T123="DNA"),$T123,IF(OR(ISNUMBER($S123),$S123="DNA"),$S123,IF(OR(ISNUMBER($R123),$R123="DNA"),$R123,IF(OR(ISNUMBER($Q123),$Q123="DNA"),$Q123,IF(OR(ISNUMBER($N123),$N123="DNA"),$N123,IF(OR(ISNUMBER($M123),$M123="DNA"),$M123,IF(OR(ISNUMBER($L123),$L123="DNA"),$L123,"")))))))))),IF(OR(ISNUMBER($V123),$V123="DNA"),$V123,IF(OR(ISNUMBER($U123),$U123="DNA"),$U123,IF(OR(ISNUMBER($T123),$T123="DNA"),$T123,IF(OR(ISNUMBER($S123),$S123="DNA"),$S123,IF(OR(ISNUMBER($R123),$R123="DNA"),$R123,IF(OR(ISNUMBER($Q123),$Q123="DNA"),$Q123,IF(OR(ISNUMBER($N123),$N123="DNA"),$N123,IF(OR(ISNUMBER($M123),$M123="DNA"),$M123,IF(OR(ISNUMBER($L123),$L123="DNA"),$L123,"")))))))))&lt;TODAY())),1,0)+ISNUMBER($O123)*($O123&lt;TODAY())+ISNUMBER($P123)*($P123&lt;TODAY())+ISNUMBER($X123)*($X123&lt;TODAY())+ISNUMBER($Y123)*($Y123&lt;TODAY()))</f>
        <v/>
      </c>
    </row>
    <row r="124">
      <c r="A124" s="25" t="n"/>
      <c r="B124" s="26" t="n"/>
      <c r="C124" s="27" t="n"/>
      <c r="D124" s="25" t="n"/>
      <c r="E124" s="25" t="n"/>
      <c r="F124" s="27" t="n"/>
      <c r="G124" s="25" t="n"/>
      <c r="H124" s="28">
        <f>IF(OR(NOT(AND($A124&lt;&gt;"",OR($G124="",$G124="Active"))),$F124=""),"",INT((TODAY()-$F124+280)/7)&amp;"+"&amp;MOD(TODAY()-$F124+280,7))</f>
        <v/>
      </c>
      <c r="I124" s="28">
        <f>IF(NOT(AND($A124&lt;&gt;"",OR($G124="",$G124="Active"))),"",ISNUMBER($L124)*($L124&gt;=TODAY())*($L124&lt;=TODAY()+7)+ISNUMBER($M124)*($M124&gt;=TODAY())*($M124&lt;=TODAY()+7)+ISNUMBER($N124)*($N124&gt;=TODAY())*($N124&lt;=TODAY()+7)+ISNUMBER($Q124)*($Q124&gt;=TODAY())*($Q124&lt;=TODAY()+7)+ISNUMBER($R124)*($R124&gt;=TODAY())*($R124&lt;=TODAY()+7)+ISNUMBER($S124)*($S124&gt;=TODAY())*($S124&lt;=TODAY()+7)+ISNUMBER($T124)*($T124&gt;=TODAY())*($T124&lt;=TODAY()+7)+ISNUMBER($U124)*($U124&gt;=TODAY())*($U124&lt;=TODAY()+7)+ISNUMBER($V124)*($V124&gt;=TODAY())*($V124&lt;=TODAY()+7)+ISNUMBER($O124)*($O124&gt;=TODAY())*($O124&lt;=TODAY()+7)+ISNUMBER($P124)*($P124&gt;=TODAY())*($P124&lt;=TODAY()+7)+ISNUMBER($X124)*($X124&gt;=TODAY())*($X124&lt;=TODAY()+7)+ISNUMBER($Y124)*($Y124&gt;=TODAY())*($Y124&lt;=TODAY()+7))</f>
        <v/>
      </c>
      <c r="J124" s="28">
        <f>IF(NOT(AND($A124&lt;&gt;"",OR($G124="",$G124="Active"))),"",IF($K124&lt;&gt;"",IF($L124=$K124,"Booking",IF($M124=$K124,"16/40",IF($N124=$K124,"25/40",IF($Q124=$K124,"28/40",IF($R124=$K124,"31/40",IF($S124=$K124,"34/40",IF($T124=$K124,"36/40",IF($U124=$K124,"38/40",IF($V124=$K124,"40/40",""))))))))),IF(IF(OR(ISNUMBER($V124),$V124="DNA"),$V124,IF(OR(ISNUMBER($U124),$U124="DNA"),$U124,IF(OR(ISNUMBER($T124),$T124="DNA"),$T124,IF(OR(ISNUMBER($S124),$S124="DNA"),$S124,IF(OR(ISNUMBER($R124),$R124="DNA"),$R124,IF(OR(ISNUMBER($Q124),$Q124="DNA"),$Q124,IF(OR(ISNUMBER($N124),$N124="DNA"),$N124,IF(OR(ISNUMBER($M124),$M124="DNA"),$M124,IF(OR(ISNUMBER($L124),$L124="DNA"),$L124,"")))))))))="DNA","Rebook DNA",IF(ISNUMBER(IF(OR(ISNUMBER($V124),$V124="DNA"),$V124,IF(OR(ISNUMBER($U124),$U124="DNA"),$U124,IF(OR(ISNUMBER($T124),$T124="DNA"),$T124,IF(OR(ISNUMBER($S124),$S124="DNA"),$S124,IF(OR(ISNUMBER($R124),$R124="DNA"),$R124,IF(OR(ISNUMBER($Q124),$Q124="DNA"),$Q124,IF(OR(ISNUMBER($N124),$N124="DNA"),$N124,IF(OR(ISNUMBER($M124),$M124="DNA"),$M124,IF(OR(ISNUMBER($L124),$L124="DNA"),$L124,"")))))))))),IF(ISNUMBER($V124),"Update status","Missed/not booked?"),""))))</f>
        <v/>
      </c>
      <c r="K124" s="29">
        <f>IF(NOT(AND($A124&lt;&gt;"",OR($G124="",$G124="Active"))),"",IF(MIN(IF(AND(ISNUMBER($L124),$L124&gt;=TODAY()),$L124,99999),IF(AND(ISNUMBER($M124),$M124&gt;=TODAY()),$M124,99999),IF(AND(ISNUMBER($N124),$N124&gt;=TODAY()),$N124,99999),IF(AND(ISNUMBER($Q124),$Q124&gt;=TODAY()),$Q124,99999),IF(AND(ISNUMBER($R124),$R124&gt;=TODAY()),$R124,99999),IF(AND(ISNUMBER($S124),$S124&gt;=TODAY()),$S124,99999),IF(AND(ISNUMBER($T124),$T124&gt;=TODAY()),$T124,99999),IF(AND(ISNUMBER($U124),$U124&gt;=TODAY()),$U124,99999),IF(AND(ISNUMBER($V124),$V124&gt;=TODAY()),$V124,99999))=99999,"",MIN(IF(AND(ISNUMBER($L124),$L124&gt;=TODAY()),$L124,99999),IF(AND(ISNUMBER($M124),$M124&gt;=TODAY()),$M124,99999),IF(AND(ISNUMBER($N124),$N124&gt;=TODAY()),$N124,99999),IF(AND(ISNUMBER($Q124),$Q124&gt;=TODAY()),$Q124,99999),IF(AND(ISNUMBER($R124),$R124&gt;=TODAY()),$R124,99999),IF(AND(ISNUMBER($S124),$S124&gt;=TODAY()),$S124,99999),IF(AND(ISNUMBER($T124),$T124&gt;=TODAY()),$T124,99999),IF(AND(ISNUMBER($U124),$U124&gt;=TODAY()),$U124,99999),IF(AND(ISNUMBER($V124),$V124&gt;=TODAY()),$V124,99999))))</f>
        <v/>
      </c>
      <c r="L124" s="27" t="n"/>
      <c r="M124" s="27" t="n"/>
      <c r="N124" s="27" t="n"/>
      <c r="O124" s="27" t="n"/>
      <c r="P124" s="27" t="n"/>
      <c r="Q124" s="27" t="n"/>
      <c r="R124" s="27" t="n"/>
      <c r="S124" s="27" t="n"/>
      <c r="T124" s="27" t="n"/>
      <c r="U124" s="27" t="n"/>
      <c r="V124" s="27" t="n"/>
      <c r="W124" s="27" t="n"/>
      <c r="X124" s="27" t="n"/>
      <c r="Y124" s="27" t="n"/>
      <c r="Z124" s="30" t="n"/>
      <c r="AA124" s="25" t="n"/>
      <c r="AB124" s="28">
        <f>IF(NOT(AND($A124&lt;&gt;"",OR($G124="",$G124="Active"))),"",IF(OR(IF(OR(ISNUMBER($V124),$V124="DNA"),$V124,IF(OR(ISNUMBER($U124),$U124="DNA"),$U124,IF(OR(ISNUMBER($T124),$T124="DNA"),$T124,IF(OR(ISNUMBER($S124),$S124="DNA"),$S124,IF(OR(ISNUMBER($R124),$R124="DNA"),$R124,IF(OR(ISNUMBER($Q124),$Q124="DNA"),$Q124,IF(OR(ISNUMBER($N124),$N124="DNA"),$N124,IF(OR(ISNUMBER($M124),$M124="DNA"),$M124,IF(OR(ISNUMBER($L124),$L124="DNA"),$L124,"")))))))))="DNA",AND(ISNUMBER(IF(OR(ISNUMBER($V124),$V124="DNA"),$V124,IF(OR(ISNUMBER($U124),$U124="DNA"),$U124,IF(OR(ISNUMBER($T124),$T124="DNA"),$T124,IF(OR(ISNUMBER($S124),$S124="DNA"),$S124,IF(OR(ISNUMBER($R124),$R124="DNA"),$R124,IF(OR(ISNUMBER($Q124),$Q124="DNA"),$Q124,IF(OR(ISNUMBER($N124),$N124="DNA"),$N124,IF(OR(ISNUMBER($M124),$M124="DNA"),$M124,IF(OR(ISNUMBER($L124),$L124="DNA"),$L124,"")))))))))),IF(OR(ISNUMBER($V124),$V124="DNA"),$V124,IF(OR(ISNUMBER($U124),$U124="DNA"),$U124,IF(OR(ISNUMBER($T124),$T124="DNA"),$T124,IF(OR(ISNUMBER($S124),$S124="DNA"),$S124,IF(OR(ISNUMBER($R124),$R124="DNA"),$R124,IF(OR(ISNUMBER($Q124),$Q124="DNA"),$Q124,IF(OR(ISNUMBER($N124),$N124="DNA"),$N124,IF(OR(ISNUMBER($M124),$M124="DNA"),$M124,IF(OR(ISNUMBER($L124),$L124="DNA"),$L124,"")))))))))&lt;TODAY())),1,0)+ISNUMBER($O124)*($O124&lt;TODAY())+ISNUMBER($P124)*($P124&lt;TODAY())+ISNUMBER($X124)*($X124&lt;TODAY())+ISNUMBER($Y124)*($Y124&lt;TODAY()))</f>
        <v/>
      </c>
    </row>
    <row r="125">
      <c r="A125" s="25" t="n"/>
      <c r="B125" s="26" t="n"/>
      <c r="C125" s="27" t="n"/>
      <c r="D125" s="25" t="n"/>
      <c r="E125" s="25" t="n"/>
      <c r="F125" s="27" t="n"/>
      <c r="G125" s="25" t="n"/>
      <c r="H125" s="28">
        <f>IF(OR(NOT(AND($A125&lt;&gt;"",OR($G125="",$G125="Active"))),$F125=""),"",INT((TODAY()-$F125+280)/7)&amp;"+"&amp;MOD(TODAY()-$F125+280,7))</f>
        <v/>
      </c>
      <c r="I125" s="28">
        <f>IF(NOT(AND($A125&lt;&gt;"",OR($G125="",$G125="Active"))),"",ISNUMBER($L125)*($L125&gt;=TODAY())*($L125&lt;=TODAY()+7)+ISNUMBER($M125)*($M125&gt;=TODAY())*($M125&lt;=TODAY()+7)+ISNUMBER($N125)*($N125&gt;=TODAY())*($N125&lt;=TODAY()+7)+ISNUMBER($Q125)*($Q125&gt;=TODAY())*($Q125&lt;=TODAY()+7)+ISNUMBER($R125)*($R125&gt;=TODAY())*($R125&lt;=TODAY()+7)+ISNUMBER($S125)*($S125&gt;=TODAY())*($S125&lt;=TODAY()+7)+ISNUMBER($T125)*($T125&gt;=TODAY())*($T125&lt;=TODAY()+7)+ISNUMBER($U125)*($U125&gt;=TODAY())*($U125&lt;=TODAY()+7)+ISNUMBER($V125)*($V125&gt;=TODAY())*($V125&lt;=TODAY()+7)+ISNUMBER($O125)*($O125&gt;=TODAY())*($O125&lt;=TODAY()+7)+ISNUMBER($P125)*($P125&gt;=TODAY())*($P125&lt;=TODAY()+7)+ISNUMBER($X125)*($X125&gt;=TODAY())*($X125&lt;=TODAY()+7)+ISNUMBER($Y125)*($Y125&gt;=TODAY())*($Y125&lt;=TODAY()+7))</f>
        <v/>
      </c>
      <c r="J125" s="28">
        <f>IF(NOT(AND($A125&lt;&gt;"",OR($G125="",$G125="Active"))),"",IF($K125&lt;&gt;"",IF($L125=$K125,"Booking",IF($M125=$K125,"16/40",IF($N125=$K125,"25/40",IF($Q125=$K125,"28/40",IF($R125=$K125,"31/40",IF($S125=$K125,"34/40",IF($T125=$K125,"36/40",IF($U125=$K125,"38/40",IF($V125=$K125,"40/40",""))))))))),IF(IF(OR(ISNUMBER($V125),$V125="DNA"),$V125,IF(OR(ISNUMBER($U125),$U125="DNA"),$U125,IF(OR(ISNUMBER($T125),$T125="DNA"),$T125,IF(OR(ISNUMBER($S125),$S125="DNA"),$S125,IF(OR(ISNUMBER($R125),$R125="DNA"),$R125,IF(OR(ISNUMBER($Q125),$Q125="DNA"),$Q125,IF(OR(ISNUMBER($N125),$N125="DNA"),$N125,IF(OR(ISNUMBER($M125),$M125="DNA"),$M125,IF(OR(ISNUMBER($L125),$L125="DNA"),$L125,"")))))))))="DNA","Rebook DNA",IF(ISNUMBER(IF(OR(ISNUMBER($V125),$V125="DNA"),$V125,IF(OR(ISNUMBER($U125),$U125="DNA"),$U125,IF(OR(ISNUMBER($T125),$T125="DNA"),$T125,IF(OR(ISNUMBER($S125),$S125="DNA"),$S125,IF(OR(ISNUMBER($R125),$R125="DNA"),$R125,IF(OR(ISNUMBER($Q125),$Q125="DNA"),$Q125,IF(OR(ISNUMBER($N125),$N125="DNA"),$N125,IF(OR(ISNUMBER($M125),$M125="DNA"),$M125,IF(OR(ISNUMBER($L125),$L125="DNA"),$L125,"")))))))))),IF(ISNUMBER($V125),"Update status","Missed/not booked?"),""))))</f>
        <v/>
      </c>
      <c r="K125" s="29">
        <f>IF(NOT(AND($A125&lt;&gt;"",OR($G125="",$G125="Active"))),"",IF(MIN(IF(AND(ISNUMBER($L125),$L125&gt;=TODAY()),$L125,99999),IF(AND(ISNUMBER($M125),$M125&gt;=TODAY()),$M125,99999),IF(AND(ISNUMBER($N125),$N125&gt;=TODAY()),$N125,99999),IF(AND(ISNUMBER($Q125),$Q125&gt;=TODAY()),$Q125,99999),IF(AND(ISNUMBER($R125),$R125&gt;=TODAY()),$R125,99999),IF(AND(ISNUMBER($S125),$S125&gt;=TODAY()),$S125,99999),IF(AND(ISNUMBER($T125),$T125&gt;=TODAY()),$T125,99999),IF(AND(ISNUMBER($U125),$U125&gt;=TODAY()),$U125,99999),IF(AND(ISNUMBER($V125),$V125&gt;=TODAY()),$V125,99999))=99999,"",MIN(IF(AND(ISNUMBER($L125),$L125&gt;=TODAY()),$L125,99999),IF(AND(ISNUMBER($M125),$M125&gt;=TODAY()),$M125,99999),IF(AND(ISNUMBER($N125),$N125&gt;=TODAY()),$N125,99999),IF(AND(ISNUMBER($Q125),$Q125&gt;=TODAY()),$Q125,99999),IF(AND(ISNUMBER($R125),$R125&gt;=TODAY()),$R125,99999),IF(AND(ISNUMBER($S125),$S125&gt;=TODAY()),$S125,99999),IF(AND(ISNUMBER($T125),$T125&gt;=TODAY()),$T125,99999),IF(AND(ISNUMBER($U125),$U125&gt;=TODAY()),$U125,99999),IF(AND(ISNUMBER($V125),$V125&gt;=TODAY()),$V125,99999))))</f>
        <v/>
      </c>
      <c r="L125" s="27" t="n"/>
      <c r="M125" s="27" t="n"/>
      <c r="N125" s="27" t="n"/>
      <c r="O125" s="27" t="n"/>
      <c r="P125" s="27" t="n"/>
      <c r="Q125" s="27" t="n"/>
      <c r="R125" s="27" t="n"/>
      <c r="S125" s="27" t="n"/>
      <c r="T125" s="27" t="n"/>
      <c r="U125" s="27" t="n"/>
      <c r="V125" s="27" t="n"/>
      <c r="W125" s="27" t="n"/>
      <c r="X125" s="27" t="n"/>
      <c r="Y125" s="27" t="n"/>
      <c r="Z125" s="30" t="n"/>
      <c r="AA125" s="25" t="n"/>
      <c r="AB125" s="28">
        <f>IF(NOT(AND($A125&lt;&gt;"",OR($G125="",$G125="Active"))),"",IF(OR(IF(OR(ISNUMBER($V125),$V125="DNA"),$V125,IF(OR(ISNUMBER($U125),$U125="DNA"),$U125,IF(OR(ISNUMBER($T125),$T125="DNA"),$T125,IF(OR(ISNUMBER($S125),$S125="DNA"),$S125,IF(OR(ISNUMBER($R125),$R125="DNA"),$R125,IF(OR(ISNUMBER($Q125),$Q125="DNA"),$Q125,IF(OR(ISNUMBER($N125),$N125="DNA"),$N125,IF(OR(ISNUMBER($M125),$M125="DNA"),$M125,IF(OR(ISNUMBER($L125),$L125="DNA"),$L125,"")))))))))="DNA",AND(ISNUMBER(IF(OR(ISNUMBER($V125),$V125="DNA"),$V125,IF(OR(ISNUMBER($U125),$U125="DNA"),$U125,IF(OR(ISNUMBER($T125),$T125="DNA"),$T125,IF(OR(ISNUMBER($S125),$S125="DNA"),$S125,IF(OR(ISNUMBER($R125),$R125="DNA"),$R125,IF(OR(ISNUMBER($Q125),$Q125="DNA"),$Q125,IF(OR(ISNUMBER($N125),$N125="DNA"),$N125,IF(OR(ISNUMBER($M125),$M125="DNA"),$M125,IF(OR(ISNUMBER($L125),$L125="DNA"),$L125,"")))))))))),IF(OR(ISNUMBER($V125),$V125="DNA"),$V125,IF(OR(ISNUMBER($U125),$U125="DNA"),$U125,IF(OR(ISNUMBER($T125),$T125="DNA"),$T125,IF(OR(ISNUMBER($S125),$S125="DNA"),$S125,IF(OR(ISNUMBER($R125),$R125="DNA"),$R125,IF(OR(ISNUMBER($Q125),$Q125="DNA"),$Q125,IF(OR(ISNUMBER($N125),$N125="DNA"),$N125,IF(OR(ISNUMBER($M125),$M125="DNA"),$M125,IF(OR(ISNUMBER($L125),$L125="DNA"),$L125,"")))))))))&lt;TODAY())),1,0)+ISNUMBER($O125)*($O125&lt;TODAY())+ISNUMBER($P125)*($P125&lt;TODAY())+ISNUMBER($X125)*($X125&lt;TODAY())+ISNUMBER($Y125)*($Y125&lt;TODAY()))</f>
        <v/>
      </c>
    </row>
    <row r="126">
      <c r="A126" s="25" t="n"/>
      <c r="B126" s="26" t="n"/>
      <c r="C126" s="27" t="n"/>
      <c r="D126" s="25" t="n"/>
      <c r="E126" s="25" t="n"/>
      <c r="F126" s="27" t="n"/>
      <c r="G126" s="25" t="n"/>
      <c r="H126" s="28">
        <f>IF(OR(NOT(AND($A126&lt;&gt;"",OR($G126="",$G126="Active"))),$F126=""),"",INT((TODAY()-$F126+280)/7)&amp;"+"&amp;MOD(TODAY()-$F126+280,7))</f>
        <v/>
      </c>
      <c r="I126" s="28">
        <f>IF(NOT(AND($A126&lt;&gt;"",OR($G126="",$G126="Active"))),"",ISNUMBER($L126)*($L126&gt;=TODAY())*($L126&lt;=TODAY()+7)+ISNUMBER($M126)*($M126&gt;=TODAY())*($M126&lt;=TODAY()+7)+ISNUMBER($N126)*($N126&gt;=TODAY())*($N126&lt;=TODAY()+7)+ISNUMBER($Q126)*($Q126&gt;=TODAY())*($Q126&lt;=TODAY()+7)+ISNUMBER($R126)*($R126&gt;=TODAY())*($R126&lt;=TODAY()+7)+ISNUMBER($S126)*($S126&gt;=TODAY())*($S126&lt;=TODAY()+7)+ISNUMBER($T126)*($T126&gt;=TODAY())*($T126&lt;=TODAY()+7)+ISNUMBER($U126)*($U126&gt;=TODAY())*($U126&lt;=TODAY()+7)+ISNUMBER($V126)*($V126&gt;=TODAY())*($V126&lt;=TODAY()+7)+ISNUMBER($O126)*($O126&gt;=TODAY())*($O126&lt;=TODAY()+7)+ISNUMBER($P126)*($P126&gt;=TODAY())*($P126&lt;=TODAY()+7)+ISNUMBER($X126)*($X126&gt;=TODAY())*($X126&lt;=TODAY()+7)+ISNUMBER($Y126)*($Y126&gt;=TODAY())*($Y126&lt;=TODAY()+7))</f>
        <v/>
      </c>
      <c r="J126" s="28">
        <f>IF(NOT(AND($A126&lt;&gt;"",OR($G126="",$G126="Active"))),"",IF($K126&lt;&gt;"",IF($L126=$K126,"Booking",IF($M126=$K126,"16/40",IF($N126=$K126,"25/40",IF($Q126=$K126,"28/40",IF($R126=$K126,"31/40",IF($S126=$K126,"34/40",IF($T126=$K126,"36/40",IF($U126=$K126,"38/40",IF($V126=$K126,"40/40",""))))))))),IF(IF(OR(ISNUMBER($V126),$V126="DNA"),$V126,IF(OR(ISNUMBER($U126),$U126="DNA"),$U126,IF(OR(ISNUMBER($T126),$T126="DNA"),$T126,IF(OR(ISNUMBER($S126),$S126="DNA"),$S126,IF(OR(ISNUMBER($R126),$R126="DNA"),$R126,IF(OR(ISNUMBER($Q126),$Q126="DNA"),$Q126,IF(OR(ISNUMBER($N126),$N126="DNA"),$N126,IF(OR(ISNUMBER($M126),$M126="DNA"),$M126,IF(OR(ISNUMBER($L126),$L126="DNA"),$L126,"")))))))))="DNA","Rebook DNA",IF(ISNUMBER(IF(OR(ISNUMBER($V126),$V126="DNA"),$V126,IF(OR(ISNUMBER($U126),$U126="DNA"),$U126,IF(OR(ISNUMBER($T126),$T126="DNA"),$T126,IF(OR(ISNUMBER($S126),$S126="DNA"),$S126,IF(OR(ISNUMBER($R126),$R126="DNA"),$R126,IF(OR(ISNUMBER($Q126),$Q126="DNA"),$Q126,IF(OR(ISNUMBER($N126),$N126="DNA"),$N126,IF(OR(ISNUMBER($M126),$M126="DNA"),$M126,IF(OR(ISNUMBER($L126),$L126="DNA"),$L126,"")))))))))),IF(ISNUMBER($V126),"Update status","Missed/not booked?"),""))))</f>
        <v/>
      </c>
      <c r="K126" s="29">
        <f>IF(NOT(AND($A126&lt;&gt;"",OR($G126="",$G126="Active"))),"",IF(MIN(IF(AND(ISNUMBER($L126),$L126&gt;=TODAY()),$L126,99999),IF(AND(ISNUMBER($M126),$M126&gt;=TODAY()),$M126,99999),IF(AND(ISNUMBER($N126),$N126&gt;=TODAY()),$N126,99999),IF(AND(ISNUMBER($Q126),$Q126&gt;=TODAY()),$Q126,99999),IF(AND(ISNUMBER($R126),$R126&gt;=TODAY()),$R126,99999),IF(AND(ISNUMBER($S126),$S126&gt;=TODAY()),$S126,99999),IF(AND(ISNUMBER($T126),$T126&gt;=TODAY()),$T126,99999),IF(AND(ISNUMBER($U126),$U126&gt;=TODAY()),$U126,99999),IF(AND(ISNUMBER($V126),$V126&gt;=TODAY()),$V126,99999))=99999,"",MIN(IF(AND(ISNUMBER($L126),$L126&gt;=TODAY()),$L126,99999),IF(AND(ISNUMBER($M126),$M126&gt;=TODAY()),$M126,99999),IF(AND(ISNUMBER($N126),$N126&gt;=TODAY()),$N126,99999),IF(AND(ISNUMBER($Q126),$Q126&gt;=TODAY()),$Q126,99999),IF(AND(ISNUMBER($R126),$R126&gt;=TODAY()),$R126,99999),IF(AND(ISNUMBER($S126),$S126&gt;=TODAY()),$S126,99999),IF(AND(ISNUMBER($T126),$T126&gt;=TODAY()),$T126,99999),IF(AND(ISNUMBER($U126),$U126&gt;=TODAY()),$U126,99999),IF(AND(ISNUMBER($V126),$V126&gt;=TODAY()),$V126,99999))))</f>
        <v/>
      </c>
      <c r="L126" s="27" t="n"/>
      <c r="M126" s="27" t="n"/>
      <c r="N126" s="27" t="n"/>
      <c r="O126" s="27" t="n"/>
      <c r="P126" s="27" t="n"/>
      <c r="Q126" s="27" t="n"/>
      <c r="R126" s="27" t="n"/>
      <c r="S126" s="27" t="n"/>
      <c r="T126" s="27" t="n"/>
      <c r="U126" s="27" t="n"/>
      <c r="V126" s="27" t="n"/>
      <c r="W126" s="27" t="n"/>
      <c r="X126" s="27" t="n"/>
      <c r="Y126" s="27" t="n"/>
      <c r="Z126" s="30" t="n"/>
      <c r="AA126" s="25" t="n"/>
      <c r="AB126" s="28">
        <f>IF(NOT(AND($A126&lt;&gt;"",OR($G126="",$G126="Active"))),"",IF(OR(IF(OR(ISNUMBER($V126),$V126="DNA"),$V126,IF(OR(ISNUMBER($U126),$U126="DNA"),$U126,IF(OR(ISNUMBER($T126),$T126="DNA"),$T126,IF(OR(ISNUMBER($S126),$S126="DNA"),$S126,IF(OR(ISNUMBER($R126),$R126="DNA"),$R126,IF(OR(ISNUMBER($Q126),$Q126="DNA"),$Q126,IF(OR(ISNUMBER($N126),$N126="DNA"),$N126,IF(OR(ISNUMBER($M126),$M126="DNA"),$M126,IF(OR(ISNUMBER($L126),$L126="DNA"),$L126,"")))))))))="DNA",AND(ISNUMBER(IF(OR(ISNUMBER($V126),$V126="DNA"),$V126,IF(OR(ISNUMBER($U126),$U126="DNA"),$U126,IF(OR(ISNUMBER($T126),$T126="DNA"),$T126,IF(OR(ISNUMBER($S126),$S126="DNA"),$S126,IF(OR(ISNUMBER($R126),$R126="DNA"),$R126,IF(OR(ISNUMBER($Q126),$Q126="DNA"),$Q126,IF(OR(ISNUMBER($N126),$N126="DNA"),$N126,IF(OR(ISNUMBER($M126),$M126="DNA"),$M126,IF(OR(ISNUMBER($L126),$L126="DNA"),$L126,"")))))))))),IF(OR(ISNUMBER($V126),$V126="DNA"),$V126,IF(OR(ISNUMBER($U126),$U126="DNA"),$U126,IF(OR(ISNUMBER($T126),$T126="DNA"),$T126,IF(OR(ISNUMBER($S126),$S126="DNA"),$S126,IF(OR(ISNUMBER($R126),$R126="DNA"),$R126,IF(OR(ISNUMBER($Q126),$Q126="DNA"),$Q126,IF(OR(ISNUMBER($N126),$N126="DNA"),$N126,IF(OR(ISNUMBER($M126),$M126="DNA"),$M126,IF(OR(ISNUMBER($L126),$L126="DNA"),$L126,"")))))))))&lt;TODAY())),1,0)+ISNUMBER($O126)*($O126&lt;TODAY())+ISNUMBER($P126)*($P126&lt;TODAY())+ISNUMBER($X126)*($X126&lt;TODAY())+ISNUMBER($Y126)*($Y126&lt;TODAY()))</f>
        <v/>
      </c>
    </row>
    <row r="127">
      <c r="A127" s="25" t="n"/>
      <c r="B127" s="26" t="n"/>
      <c r="C127" s="27" t="n"/>
      <c r="D127" s="25" t="n"/>
      <c r="E127" s="25" t="n"/>
      <c r="F127" s="27" t="n"/>
      <c r="G127" s="25" t="n"/>
      <c r="H127" s="28">
        <f>IF(OR(NOT(AND($A127&lt;&gt;"",OR($G127="",$G127="Active"))),$F127=""),"",INT((TODAY()-$F127+280)/7)&amp;"+"&amp;MOD(TODAY()-$F127+280,7))</f>
        <v/>
      </c>
      <c r="I127" s="28">
        <f>IF(NOT(AND($A127&lt;&gt;"",OR($G127="",$G127="Active"))),"",ISNUMBER($L127)*($L127&gt;=TODAY())*($L127&lt;=TODAY()+7)+ISNUMBER($M127)*($M127&gt;=TODAY())*($M127&lt;=TODAY()+7)+ISNUMBER($N127)*($N127&gt;=TODAY())*($N127&lt;=TODAY()+7)+ISNUMBER($Q127)*($Q127&gt;=TODAY())*($Q127&lt;=TODAY()+7)+ISNUMBER($R127)*($R127&gt;=TODAY())*($R127&lt;=TODAY()+7)+ISNUMBER($S127)*($S127&gt;=TODAY())*($S127&lt;=TODAY()+7)+ISNUMBER($T127)*($T127&gt;=TODAY())*($T127&lt;=TODAY()+7)+ISNUMBER($U127)*($U127&gt;=TODAY())*($U127&lt;=TODAY()+7)+ISNUMBER($V127)*($V127&gt;=TODAY())*($V127&lt;=TODAY()+7)+ISNUMBER($O127)*($O127&gt;=TODAY())*($O127&lt;=TODAY()+7)+ISNUMBER($P127)*($P127&gt;=TODAY())*($P127&lt;=TODAY()+7)+ISNUMBER($X127)*($X127&gt;=TODAY())*($X127&lt;=TODAY()+7)+ISNUMBER($Y127)*($Y127&gt;=TODAY())*($Y127&lt;=TODAY()+7))</f>
        <v/>
      </c>
      <c r="J127" s="28">
        <f>IF(NOT(AND($A127&lt;&gt;"",OR($G127="",$G127="Active"))),"",IF($K127&lt;&gt;"",IF($L127=$K127,"Booking",IF($M127=$K127,"16/40",IF($N127=$K127,"25/40",IF($Q127=$K127,"28/40",IF($R127=$K127,"31/40",IF($S127=$K127,"34/40",IF($T127=$K127,"36/40",IF($U127=$K127,"38/40",IF($V127=$K127,"40/40",""))))))))),IF(IF(OR(ISNUMBER($V127),$V127="DNA"),$V127,IF(OR(ISNUMBER($U127),$U127="DNA"),$U127,IF(OR(ISNUMBER($T127),$T127="DNA"),$T127,IF(OR(ISNUMBER($S127),$S127="DNA"),$S127,IF(OR(ISNUMBER($R127),$R127="DNA"),$R127,IF(OR(ISNUMBER($Q127),$Q127="DNA"),$Q127,IF(OR(ISNUMBER($N127),$N127="DNA"),$N127,IF(OR(ISNUMBER($M127),$M127="DNA"),$M127,IF(OR(ISNUMBER($L127),$L127="DNA"),$L127,"")))))))))="DNA","Rebook DNA",IF(ISNUMBER(IF(OR(ISNUMBER($V127),$V127="DNA"),$V127,IF(OR(ISNUMBER($U127),$U127="DNA"),$U127,IF(OR(ISNUMBER($T127),$T127="DNA"),$T127,IF(OR(ISNUMBER($S127),$S127="DNA"),$S127,IF(OR(ISNUMBER($R127),$R127="DNA"),$R127,IF(OR(ISNUMBER($Q127),$Q127="DNA"),$Q127,IF(OR(ISNUMBER($N127),$N127="DNA"),$N127,IF(OR(ISNUMBER($M127),$M127="DNA"),$M127,IF(OR(ISNUMBER($L127),$L127="DNA"),$L127,"")))))))))),IF(ISNUMBER($V127),"Update status","Missed/not booked?"),""))))</f>
        <v/>
      </c>
      <c r="K127" s="29">
        <f>IF(NOT(AND($A127&lt;&gt;"",OR($G127="",$G127="Active"))),"",IF(MIN(IF(AND(ISNUMBER($L127),$L127&gt;=TODAY()),$L127,99999),IF(AND(ISNUMBER($M127),$M127&gt;=TODAY()),$M127,99999),IF(AND(ISNUMBER($N127),$N127&gt;=TODAY()),$N127,99999),IF(AND(ISNUMBER($Q127),$Q127&gt;=TODAY()),$Q127,99999),IF(AND(ISNUMBER($R127),$R127&gt;=TODAY()),$R127,99999),IF(AND(ISNUMBER($S127),$S127&gt;=TODAY()),$S127,99999),IF(AND(ISNUMBER($T127),$T127&gt;=TODAY()),$T127,99999),IF(AND(ISNUMBER($U127),$U127&gt;=TODAY()),$U127,99999),IF(AND(ISNUMBER($V127),$V127&gt;=TODAY()),$V127,99999))=99999,"",MIN(IF(AND(ISNUMBER($L127),$L127&gt;=TODAY()),$L127,99999),IF(AND(ISNUMBER($M127),$M127&gt;=TODAY()),$M127,99999),IF(AND(ISNUMBER($N127),$N127&gt;=TODAY()),$N127,99999),IF(AND(ISNUMBER($Q127),$Q127&gt;=TODAY()),$Q127,99999),IF(AND(ISNUMBER($R127),$R127&gt;=TODAY()),$R127,99999),IF(AND(ISNUMBER($S127),$S127&gt;=TODAY()),$S127,99999),IF(AND(ISNUMBER($T127),$T127&gt;=TODAY()),$T127,99999),IF(AND(ISNUMBER($U127),$U127&gt;=TODAY()),$U127,99999),IF(AND(ISNUMBER($V127),$V127&gt;=TODAY()),$V127,99999))))</f>
        <v/>
      </c>
      <c r="L127" s="27" t="n"/>
      <c r="M127" s="27" t="n"/>
      <c r="N127" s="27" t="n"/>
      <c r="O127" s="27" t="n"/>
      <c r="P127" s="27" t="n"/>
      <c r="Q127" s="27" t="n"/>
      <c r="R127" s="27" t="n"/>
      <c r="S127" s="27" t="n"/>
      <c r="T127" s="27" t="n"/>
      <c r="U127" s="27" t="n"/>
      <c r="V127" s="27" t="n"/>
      <c r="W127" s="27" t="n"/>
      <c r="X127" s="27" t="n"/>
      <c r="Y127" s="27" t="n"/>
      <c r="Z127" s="30" t="n"/>
      <c r="AA127" s="25" t="n"/>
      <c r="AB127" s="28">
        <f>IF(NOT(AND($A127&lt;&gt;"",OR($G127="",$G127="Active"))),"",IF(OR(IF(OR(ISNUMBER($V127),$V127="DNA"),$V127,IF(OR(ISNUMBER($U127),$U127="DNA"),$U127,IF(OR(ISNUMBER($T127),$T127="DNA"),$T127,IF(OR(ISNUMBER($S127),$S127="DNA"),$S127,IF(OR(ISNUMBER($R127),$R127="DNA"),$R127,IF(OR(ISNUMBER($Q127),$Q127="DNA"),$Q127,IF(OR(ISNUMBER($N127),$N127="DNA"),$N127,IF(OR(ISNUMBER($M127),$M127="DNA"),$M127,IF(OR(ISNUMBER($L127),$L127="DNA"),$L127,"")))))))))="DNA",AND(ISNUMBER(IF(OR(ISNUMBER($V127),$V127="DNA"),$V127,IF(OR(ISNUMBER($U127),$U127="DNA"),$U127,IF(OR(ISNUMBER($T127),$T127="DNA"),$T127,IF(OR(ISNUMBER($S127),$S127="DNA"),$S127,IF(OR(ISNUMBER($R127),$R127="DNA"),$R127,IF(OR(ISNUMBER($Q127),$Q127="DNA"),$Q127,IF(OR(ISNUMBER($N127),$N127="DNA"),$N127,IF(OR(ISNUMBER($M127),$M127="DNA"),$M127,IF(OR(ISNUMBER($L127),$L127="DNA"),$L127,"")))))))))),IF(OR(ISNUMBER($V127),$V127="DNA"),$V127,IF(OR(ISNUMBER($U127),$U127="DNA"),$U127,IF(OR(ISNUMBER($T127),$T127="DNA"),$T127,IF(OR(ISNUMBER($S127),$S127="DNA"),$S127,IF(OR(ISNUMBER($R127),$R127="DNA"),$R127,IF(OR(ISNUMBER($Q127),$Q127="DNA"),$Q127,IF(OR(ISNUMBER($N127),$N127="DNA"),$N127,IF(OR(ISNUMBER($M127),$M127="DNA"),$M127,IF(OR(ISNUMBER($L127),$L127="DNA"),$L127,"")))))))))&lt;TODAY())),1,0)+ISNUMBER($O127)*($O127&lt;TODAY())+ISNUMBER($P127)*($P127&lt;TODAY())+ISNUMBER($X127)*($X127&lt;TODAY())+ISNUMBER($Y127)*($Y127&lt;TODAY()))</f>
        <v/>
      </c>
    </row>
    <row r="128">
      <c r="A128" s="25" t="n"/>
      <c r="B128" s="26" t="n"/>
      <c r="C128" s="27" t="n"/>
      <c r="D128" s="25" t="n"/>
      <c r="E128" s="25" t="n"/>
      <c r="F128" s="27" t="n"/>
      <c r="G128" s="25" t="n"/>
      <c r="H128" s="28">
        <f>IF(OR(NOT(AND($A128&lt;&gt;"",OR($G128="",$G128="Active"))),$F128=""),"",INT((TODAY()-$F128+280)/7)&amp;"+"&amp;MOD(TODAY()-$F128+280,7))</f>
        <v/>
      </c>
      <c r="I128" s="28">
        <f>IF(NOT(AND($A128&lt;&gt;"",OR($G128="",$G128="Active"))),"",ISNUMBER($L128)*($L128&gt;=TODAY())*($L128&lt;=TODAY()+7)+ISNUMBER($M128)*($M128&gt;=TODAY())*($M128&lt;=TODAY()+7)+ISNUMBER($N128)*($N128&gt;=TODAY())*($N128&lt;=TODAY()+7)+ISNUMBER($Q128)*($Q128&gt;=TODAY())*($Q128&lt;=TODAY()+7)+ISNUMBER($R128)*($R128&gt;=TODAY())*($R128&lt;=TODAY()+7)+ISNUMBER($S128)*($S128&gt;=TODAY())*($S128&lt;=TODAY()+7)+ISNUMBER($T128)*($T128&gt;=TODAY())*($T128&lt;=TODAY()+7)+ISNUMBER($U128)*($U128&gt;=TODAY())*($U128&lt;=TODAY()+7)+ISNUMBER($V128)*($V128&gt;=TODAY())*($V128&lt;=TODAY()+7)+ISNUMBER($O128)*($O128&gt;=TODAY())*($O128&lt;=TODAY()+7)+ISNUMBER($P128)*($P128&gt;=TODAY())*($P128&lt;=TODAY()+7)+ISNUMBER($X128)*($X128&gt;=TODAY())*($X128&lt;=TODAY()+7)+ISNUMBER($Y128)*($Y128&gt;=TODAY())*($Y128&lt;=TODAY()+7))</f>
        <v/>
      </c>
      <c r="J128" s="28">
        <f>IF(NOT(AND($A128&lt;&gt;"",OR($G128="",$G128="Active"))),"",IF($K128&lt;&gt;"",IF($L128=$K128,"Booking",IF($M128=$K128,"16/40",IF($N128=$K128,"25/40",IF($Q128=$K128,"28/40",IF($R128=$K128,"31/40",IF($S128=$K128,"34/40",IF($T128=$K128,"36/40",IF($U128=$K128,"38/40",IF($V128=$K128,"40/40",""))))))))),IF(IF(OR(ISNUMBER($V128),$V128="DNA"),$V128,IF(OR(ISNUMBER($U128),$U128="DNA"),$U128,IF(OR(ISNUMBER($T128),$T128="DNA"),$T128,IF(OR(ISNUMBER($S128),$S128="DNA"),$S128,IF(OR(ISNUMBER($R128),$R128="DNA"),$R128,IF(OR(ISNUMBER($Q128),$Q128="DNA"),$Q128,IF(OR(ISNUMBER($N128),$N128="DNA"),$N128,IF(OR(ISNUMBER($M128),$M128="DNA"),$M128,IF(OR(ISNUMBER($L128),$L128="DNA"),$L128,"")))))))))="DNA","Rebook DNA",IF(ISNUMBER(IF(OR(ISNUMBER($V128),$V128="DNA"),$V128,IF(OR(ISNUMBER($U128),$U128="DNA"),$U128,IF(OR(ISNUMBER($T128),$T128="DNA"),$T128,IF(OR(ISNUMBER($S128),$S128="DNA"),$S128,IF(OR(ISNUMBER($R128),$R128="DNA"),$R128,IF(OR(ISNUMBER($Q128),$Q128="DNA"),$Q128,IF(OR(ISNUMBER($N128),$N128="DNA"),$N128,IF(OR(ISNUMBER($M128),$M128="DNA"),$M128,IF(OR(ISNUMBER($L128),$L128="DNA"),$L128,"")))))))))),IF(ISNUMBER($V128),"Update status","Missed/not booked?"),""))))</f>
        <v/>
      </c>
      <c r="K128" s="29">
        <f>IF(NOT(AND($A128&lt;&gt;"",OR($G128="",$G128="Active"))),"",IF(MIN(IF(AND(ISNUMBER($L128),$L128&gt;=TODAY()),$L128,99999),IF(AND(ISNUMBER($M128),$M128&gt;=TODAY()),$M128,99999),IF(AND(ISNUMBER($N128),$N128&gt;=TODAY()),$N128,99999),IF(AND(ISNUMBER($Q128),$Q128&gt;=TODAY()),$Q128,99999),IF(AND(ISNUMBER($R128),$R128&gt;=TODAY()),$R128,99999),IF(AND(ISNUMBER($S128),$S128&gt;=TODAY()),$S128,99999),IF(AND(ISNUMBER($T128),$T128&gt;=TODAY()),$T128,99999),IF(AND(ISNUMBER($U128),$U128&gt;=TODAY()),$U128,99999),IF(AND(ISNUMBER($V128),$V128&gt;=TODAY()),$V128,99999))=99999,"",MIN(IF(AND(ISNUMBER($L128),$L128&gt;=TODAY()),$L128,99999),IF(AND(ISNUMBER($M128),$M128&gt;=TODAY()),$M128,99999),IF(AND(ISNUMBER($N128),$N128&gt;=TODAY()),$N128,99999),IF(AND(ISNUMBER($Q128),$Q128&gt;=TODAY()),$Q128,99999),IF(AND(ISNUMBER($R128),$R128&gt;=TODAY()),$R128,99999),IF(AND(ISNUMBER($S128),$S128&gt;=TODAY()),$S128,99999),IF(AND(ISNUMBER($T128),$T128&gt;=TODAY()),$T128,99999),IF(AND(ISNUMBER($U128),$U128&gt;=TODAY()),$U128,99999),IF(AND(ISNUMBER($V128),$V128&gt;=TODAY()),$V128,99999))))</f>
        <v/>
      </c>
      <c r="L128" s="27" t="n"/>
      <c r="M128" s="27" t="n"/>
      <c r="N128" s="27" t="n"/>
      <c r="O128" s="27" t="n"/>
      <c r="P128" s="27" t="n"/>
      <c r="Q128" s="27" t="n"/>
      <c r="R128" s="27" t="n"/>
      <c r="S128" s="27" t="n"/>
      <c r="T128" s="27" t="n"/>
      <c r="U128" s="27" t="n"/>
      <c r="V128" s="27" t="n"/>
      <c r="W128" s="27" t="n"/>
      <c r="X128" s="27" t="n"/>
      <c r="Y128" s="27" t="n"/>
      <c r="Z128" s="30" t="n"/>
      <c r="AA128" s="25" t="n"/>
      <c r="AB128" s="28">
        <f>IF(NOT(AND($A128&lt;&gt;"",OR($G128="",$G128="Active"))),"",IF(OR(IF(OR(ISNUMBER($V128),$V128="DNA"),$V128,IF(OR(ISNUMBER($U128),$U128="DNA"),$U128,IF(OR(ISNUMBER($T128),$T128="DNA"),$T128,IF(OR(ISNUMBER($S128),$S128="DNA"),$S128,IF(OR(ISNUMBER($R128),$R128="DNA"),$R128,IF(OR(ISNUMBER($Q128),$Q128="DNA"),$Q128,IF(OR(ISNUMBER($N128),$N128="DNA"),$N128,IF(OR(ISNUMBER($M128),$M128="DNA"),$M128,IF(OR(ISNUMBER($L128),$L128="DNA"),$L128,"")))))))))="DNA",AND(ISNUMBER(IF(OR(ISNUMBER($V128),$V128="DNA"),$V128,IF(OR(ISNUMBER($U128),$U128="DNA"),$U128,IF(OR(ISNUMBER($T128),$T128="DNA"),$T128,IF(OR(ISNUMBER($S128),$S128="DNA"),$S128,IF(OR(ISNUMBER($R128),$R128="DNA"),$R128,IF(OR(ISNUMBER($Q128),$Q128="DNA"),$Q128,IF(OR(ISNUMBER($N128),$N128="DNA"),$N128,IF(OR(ISNUMBER($M128),$M128="DNA"),$M128,IF(OR(ISNUMBER($L128),$L128="DNA"),$L128,"")))))))))),IF(OR(ISNUMBER($V128),$V128="DNA"),$V128,IF(OR(ISNUMBER($U128),$U128="DNA"),$U128,IF(OR(ISNUMBER($T128),$T128="DNA"),$T128,IF(OR(ISNUMBER($S128),$S128="DNA"),$S128,IF(OR(ISNUMBER($R128),$R128="DNA"),$R128,IF(OR(ISNUMBER($Q128),$Q128="DNA"),$Q128,IF(OR(ISNUMBER($N128),$N128="DNA"),$N128,IF(OR(ISNUMBER($M128),$M128="DNA"),$M128,IF(OR(ISNUMBER($L128),$L128="DNA"),$L128,"")))))))))&lt;TODAY())),1,0)+ISNUMBER($O128)*($O128&lt;TODAY())+ISNUMBER($P128)*($P128&lt;TODAY())+ISNUMBER($X128)*($X128&lt;TODAY())+ISNUMBER($Y128)*($Y128&lt;TODAY()))</f>
        <v/>
      </c>
    </row>
    <row r="129">
      <c r="A129" s="25" t="n"/>
      <c r="B129" s="26" t="n"/>
      <c r="C129" s="27" t="n"/>
      <c r="D129" s="25" t="n"/>
      <c r="E129" s="25" t="n"/>
      <c r="F129" s="27" t="n"/>
      <c r="G129" s="25" t="n"/>
      <c r="H129" s="28">
        <f>IF(OR(NOT(AND($A129&lt;&gt;"",OR($G129="",$G129="Active"))),$F129=""),"",INT((TODAY()-$F129+280)/7)&amp;"+"&amp;MOD(TODAY()-$F129+280,7))</f>
        <v/>
      </c>
      <c r="I129" s="28">
        <f>IF(NOT(AND($A129&lt;&gt;"",OR($G129="",$G129="Active"))),"",ISNUMBER($L129)*($L129&gt;=TODAY())*($L129&lt;=TODAY()+7)+ISNUMBER($M129)*($M129&gt;=TODAY())*($M129&lt;=TODAY()+7)+ISNUMBER($N129)*($N129&gt;=TODAY())*($N129&lt;=TODAY()+7)+ISNUMBER($Q129)*($Q129&gt;=TODAY())*($Q129&lt;=TODAY()+7)+ISNUMBER($R129)*($R129&gt;=TODAY())*($R129&lt;=TODAY()+7)+ISNUMBER($S129)*($S129&gt;=TODAY())*($S129&lt;=TODAY()+7)+ISNUMBER($T129)*($T129&gt;=TODAY())*($T129&lt;=TODAY()+7)+ISNUMBER($U129)*($U129&gt;=TODAY())*($U129&lt;=TODAY()+7)+ISNUMBER($V129)*($V129&gt;=TODAY())*($V129&lt;=TODAY()+7)+ISNUMBER($O129)*($O129&gt;=TODAY())*($O129&lt;=TODAY()+7)+ISNUMBER($P129)*($P129&gt;=TODAY())*($P129&lt;=TODAY()+7)+ISNUMBER($X129)*($X129&gt;=TODAY())*($X129&lt;=TODAY()+7)+ISNUMBER($Y129)*($Y129&gt;=TODAY())*($Y129&lt;=TODAY()+7))</f>
        <v/>
      </c>
      <c r="J129" s="28">
        <f>IF(NOT(AND($A129&lt;&gt;"",OR($G129="",$G129="Active"))),"",IF($K129&lt;&gt;"",IF($L129=$K129,"Booking",IF($M129=$K129,"16/40",IF($N129=$K129,"25/40",IF($Q129=$K129,"28/40",IF($R129=$K129,"31/40",IF($S129=$K129,"34/40",IF($T129=$K129,"36/40",IF($U129=$K129,"38/40",IF($V129=$K129,"40/40",""))))))))),IF(IF(OR(ISNUMBER($V129),$V129="DNA"),$V129,IF(OR(ISNUMBER($U129),$U129="DNA"),$U129,IF(OR(ISNUMBER($T129),$T129="DNA"),$T129,IF(OR(ISNUMBER($S129),$S129="DNA"),$S129,IF(OR(ISNUMBER($R129),$R129="DNA"),$R129,IF(OR(ISNUMBER($Q129),$Q129="DNA"),$Q129,IF(OR(ISNUMBER($N129),$N129="DNA"),$N129,IF(OR(ISNUMBER($M129),$M129="DNA"),$M129,IF(OR(ISNUMBER($L129),$L129="DNA"),$L129,"")))))))))="DNA","Rebook DNA",IF(ISNUMBER(IF(OR(ISNUMBER($V129),$V129="DNA"),$V129,IF(OR(ISNUMBER($U129),$U129="DNA"),$U129,IF(OR(ISNUMBER($T129),$T129="DNA"),$T129,IF(OR(ISNUMBER($S129),$S129="DNA"),$S129,IF(OR(ISNUMBER($R129),$R129="DNA"),$R129,IF(OR(ISNUMBER($Q129),$Q129="DNA"),$Q129,IF(OR(ISNUMBER($N129),$N129="DNA"),$N129,IF(OR(ISNUMBER($M129),$M129="DNA"),$M129,IF(OR(ISNUMBER($L129),$L129="DNA"),$L129,"")))))))))),IF(ISNUMBER($V129),"Update status","Missed/not booked?"),""))))</f>
        <v/>
      </c>
      <c r="K129" s="29">
        <f>IF(NOT(AND($A129&lt;&gt;"",OR($G129="",$G129="Active"))),"",IF(MIN(IF(AND(ISNUMBER($L129),$L129&gt;=TODAY()),$L129,99999),IF(AND(ISNUMBER($M129),$M129&gt;=TODAY()),$M129,99999),IF(AND(ISNUMBER($N129),$N129&gt;=TODAY()),$N129,99999),IF(AND(ISNUMBER($Q129),$Q129&gt;=TODAY()),$Q129,99999),IF(AND(ISNUMBER($R129),$R129&gt;=TODAY()),$R129,99999),IF(AND(ISNUMBER($S129),$S129&gt;=TODAY()),$S129,99999),IF(AND(ISNUMBER($T129),$T129&gt;=TODAY()),$T129,99999),IF(AND(ISNUMBER($U129),$U129&gt;=TODAY()),$U129,99999),IF(AND(ISNUMBER($V129),$V129&gt;=TODAY()),$V129,99999))=99999,"",MIN(IF(AND(ISNUMBER($L129),$L129&gt;=TODAY()),$L129,99999),IF(AND(ISNUMBER($M129),$M129&gt;=TODAY()),$M129,99999),IF(AND(ISNUMBER($N129),$N129&gt;=TODAY()),$N129,99999),IF(AND(ISNUMBER($Q129),$Q129&gt;=TODAY()),$Q129,99999),IF(AND(ISNUMBER($R129),$R129&gt;=TODAY()),$R129,99999),IF(AND(ISNUMBER($S129),$S129&gt;=TODAY()),$S129,99999),IF(AND(ISNUMBER($T129),$T129&gt;=TODAY()),$T129,99999),IF(AND(ISNUMBER($U129),$U129&gt;=TODAY()),$U129,99999),IF(AND(ISNUMBER($V129),$V129&gt;=TODAY()),$V129,99999))))</f>
        <v/>
      </c>
      <c r="L129" s="27" t="n"/>
      <c r="M129" s="27" t="n"/>
      <c r="N129" s="27" t="n"/>
      <c r="O129" s="27" t="n"/>
      <c r="P129" s="27" t="n"/>
      <c r="Q129" s="27" t="n"/>
      <c r="R129" s="27" t="n"/>
      <c r="S129" s="27" t="n"/>
      <c r="T129" s="27" t="n"/>
      <c r="U129" s="27" t="n"/>
      <c r="V129" s="27" t="n"/>
      <c r="W129" s="27" t="n"/>
      <c r="X129" s="27" t="n"/>
      <c r="Y129" s="27" t="n"/>
      <c r="Z129" s="30" t="n"/>
      <c r="AA129" s="25" t="n"/>
      <c r="AB129" s="28">
        <f>IF(NOT(AND($A129&lt;&gt;"",OR($G129="",$G129="Active"))),"",IF(OR(IF(OR(ISNUMBER($V129),$V129="DNA"),$V129,IF(OR(ISNUMBER($U129),$U129="DNA"),$U129,IF(OR(ISNUMBER($T129),$T129="DNA"),$T129,IF(OR(ISNUMBER($S129),$S129="DNA"),$S129,IF(OR(ISNUMBER($R129),$R129="DNA"),$R129,IF(OR(ISNUMBER($Q129),$Q129="DNA"),$Q129,IF(OR(ISNUMBER($N129),$N129="DNA"),$N129,IF(OR(ISNUMBER($M129),$M129="DNA"),$M129,IF(OR(ISNUMBER($L129),$L129="DNA"),$L129,"")))))))))="DNA",AND(ISNUMBER(IF(OR(ISNUMBER($V129),$V129="DNA"),$V129,IF(OR(ISNUMBER($U129),$U129="DNA"),$U129,IF(OR(ISNUMBER($T129),$T129="DNA"),$T129,IF(OR(ISNUMBER($S129),$S129="DNA"),$S129,IF(OR(ISNUMBER($R129),$R129="DNA"),$R129,IF(OR(ISNUMBER($Q129),$Q129="DNA"),$Q129,IF(OR(ISNUMBER($N129),$N129="DNA"),$N129,IF(OR(ISNUMBER($M129),$M129="DNA"),$M129,IF(OR(ISNUMBER($L129),$L129="DNA"),$L129,"")))))))))),IF(OR(ISNUMBER($V129),$V129="DNA"),$V129,IF(OR(ISNUMBER($U129),$U129="DNA"),$U129,IF(OR(ISNUMBER($T129),$T129="DNA"),$T129,IF(OR(ISNUMBER($S129),$S129="DNA"),$S129,IF(OR(ISNUMBER($R129),$R129="DNA"),$R129,IF(OR(ISNUMBER($Q129),$Q129="DNA"),$Q129,IF(OR(ISNUMBER($N129),$N129="DNA"),$N129,IF(OR(ISNUMBER($M129),$M129="DNA"),$M129,IF(OR(ISNUMBER($L129),$L129="DNA"),$L129,"")))))))))&lt;TODAY())),1,0)+ISNUMBER($O129)*($O129&lt;TODAY())+ISNUMBER($P129)*($P129&lt;TODAY())+ISNUMBER($X129)*($X129&lt;TODAY())+ISNUMBER($Y129)*($Y129&lt;TODAY()))</f>
        <v/>
      </c>
    </row>
    <row r="130">
      <c r="A130" s="25" t="n"/>
      <c r="B130" s="26" t="n"/>
      <c r="C130" s="27" t="n"/>
      <c r="D130" s="25" t="n"/>
      <c r="E130" s="25" t="n"/>
      <c r="F130" s="27" t="n"/>
      <c r="G130" s="25" t="n"/>
      <c r="H130" s="28">
        <f>IF(OR(NOT(AND($A130&lt;&gt;"",OR($G130="",$G130="Active"))),$F130=""),"",INT((TODAY()-$F130+280)/7)&amp;"+"&amp;MOD(TODAY()-$F130+280,7))</f>
        <v/>
      </c>
      <c r="I130" s="28">
        <f>IF(NOT(AND($A130&lt;&gt;"",OR($G130="",$G130="Active"))),"",ISNUMBER($L130)*($L130&gt;=TODAY())*($L130&lt;=TODAY()+7)+ISNUMBER($M130)*($M130&gt;=TODAY())*($M130&lt;=TODAY()+7)+ISNUMBER($N130)*($N130&gt;=TODAY())*($N130&lt;=TODAY()+7)+ISNUMBER($Q130)*($Q130&gt;=TODAY())*($Q130&lt;=TODAY()+7)+ISNUMBER($R130)*($R130&gt;=TODAY())*($R130&lt;=TODAY()+7)+ISNUMBER($S130)*($S130&gt;=TODAY())*($S130&lt;=TODAY()+7)+ISNUMBER($T130)*($T130&gt;=TODAY())*($T130&lt;=TODAY()+7)+ISNUMBER($U130)*($U130&gt;=TODAY())*($U130&lt;=TODAY()+7)+ISNUMBER($V130)*($V130&gt;=TODAY())*($V130&lt;=TODAY()+7)+ISNUMBER($O130)*($O130&gt;=TODAY())*($O130&lt;=TODAY()+7)+ISNUMBER($P130)*($P130&gt;=TODAY())*($P130&lt;=TODAY()+7)+ISNUMBER($X130)*($X130&gt;=TODAY())*($X130&lt;=TODAY()+7)+ISNUMBER($Y130)*($Y130&gt;=TODAY())*($Y130&lt;=TODAY()+7))</f>
        <v/>
      </c>
      <c r="J130" s="28">
        <f>IF(NOT(AND($A130&lt;&gt;"",OR($G130="",$G130="Active"))),"",IF($K130&lt;&gt;"",IF($L130=$K130,"Booking",IF($M130=$K130,"16/40",IF($N130=$K130,"25/40",IF($Q130=$K130,"28/40",IF($R130=$K130,"31/40",IF($S130=$K130,"34/40",IF($T130=$K130,"36/40",IF($U130=$K130,"38/40",IF($V130=$K130,"40/40",""))))))))),IF(IF(OR(ISNUMBER($V130),$V130="DNA"),$V130,IF(OR(ISNUMBER($U130),$U130="DNA"),$U130,IF(OR(ISNUMBER($T130),$T130="DNA"),$T130,IF(OR(ISNUMBER($S130),$S130="DNA"),$S130,IF(OR(ISNUMBER($R130),$R130="DNA"),$R130,IF(OR(ISNUMBER($Q130),$Q130="DNA"),$Q130,IF(OR(ISNUMBER($N130),$N130="DNA"),$N130,IF(OR(ISNUMBER($M130),$M130="DNA"),$M130,IF(OR(ISNUMBER($L130),$L130="DNA"),$L130,"")))))))))="DNA","Rebook DNA",IF(ISNUMBER(IF(OR(ISNUMBER($V130),$V130="DNA"),$V130,IF(OR(ISNUMBER($U130),$U130="DNA"),$U130,IF(OR(ISNUMBER($T130),$T130="DNA"),$T130,IF(OR(ISNUMBER($S130),$S130="DNA"),$S130,IF(OR(ISNUMBER($R130),$R130="DNA"),$R130,IF(OR(ISNUMBER($Q130),$Q130="DNA"),$Q130,IF(OR(ISNUMBER($N130),$N130="DNA"),$N130,IF(OR(ISNUMBER($M130),$M130="DNA"),$M130,IF(OR(ISNUMBER($L130),$L130="DNA"),$L130,"")))))))))),IF(ISNUMBER($V130),"Update status","Missed/not booked?"),""))))</f>
        <v/>
      </c>
      <c r="K130" s="29">
        <f>IF(NOT(AND($A130&lt;&gt;"",OR($G130="",$G130="Active"))),"",IF(MIN(IF(AND(ISNUMBER($L130),$L130&gt;=TODAY()),$L130,99999),IF(AND(ISNUMBER($M130),$M130&gt;=TODAY()),$M130,99999),IF(AND(ISNUMBER($N130),$N130&gt;=TODAY()),$N130,99999),IF(AND(ISNUMBER($Q130),$Q130&gt;=TODAY()),$Q130,99999),IF(AND(ISNUMBER($R130),$R130&gt;=TODAY()),$R130,99999),IF(AND(ISNUMBER($S130),$S130&gt;=TODAY()),$S130,99999),IF(AND(ISNUMBER($T130),$T130&gt;=TODAY()),$T130,99999),IF(AND(ISNUMBER($U130),$U130&gt;=TODAY()),$U130,99999),IF(AND(ISNUMBER($V130),$V130&gt;=TODAY()),$V130,99999))=99999,"",MIN(IF(AND(ISNUMBER($L130),$L130&gt;=TODAY()),$L130,99999),IF(AND(ISNUMBER($M130),$M130&gt;=TODAY()),$M130,99999),IF(AND(ISNUMBER($N130),$N130&gt;=TODAY()),$N130,99999),IF(AND(ISNUMBER($Q130),$Q130&gt;=TODAY()),$Q130,99999),IF(AND(ISNUMBER($R130),$R130&gt;=TODAY()),$R130,99999),IF(AND(ISNUMBER($S130),$S130&gt;=TODAY()),$S130,99999),IF(AND(ISNUMBER($T130),$T130&gt;=TODAY()),$T130,99999),IF(AND(ISNUMBER($U130),$U130&gt;=TODAY()),$U130,99999),IF(AND(ISNUMBER($V130),$V130&gt;=TODAY()),$V130,99999))))</f>
        <v/>
      </c>
      <c r="L130" s="27" t="n"/>
      <c r="M130" s="27" t="n"/>
      <c r="N130" s="27" t="n"/>
      <c r="O130" s="27" t="n"/>
      <c r="P130" s="27" t="n"/>
      <c r="Q130" s="27" t="n"/>
      <c r="R130" s="27" t="n"/>
      <c r="S130" s="27" t="n"/>
      <c r="T130" s="27" t="n"/>
      <c r="U130" s="27" t="n"/>
      <c r="V130" s="27" t="n"/>
      <c r="W130" s="27" t="n"/>
      <c r="X130" s="27" t="n"/>
      <c r="Y130" s="27" t="n"/>
      <c r="Z130" s="30" t="n"/>
      <c r="AA130" s="25" t="n"/>
      <c r="AB130" s="28">
        <f>IF(NOT(AND($A130&lt;&gt;"",OR($G130="",$G130="Active"))),"",IF(OR(IF(OR(ISNUMBER($V130),$V130="DNA"),$V130,IF(OR(ISNUMBER($U130),$U130="DNA"),$U130,IF(OR(ISNUMBER($T130),$T130="DNA"),$T130,IF(OR(ISNUMBER($S130),$S130="DNA"),$S130,IF(OR(ISNUMBER($R130),$R130="DNA"),$R130,IF(OR(ISNUMBER($Q130),$Q130="DNA"),$Q130,IF(OR(ISNUMBER($N130),$N130="DNA"),$N130,IF(OR(ISNUMBER($M130),$M130="DNA"),$M130,IF(OR(ISNUMBER($L130),$L130="DNA"),$L130,"")))))))))="DNA",AND(ISNUMBER(IF(OR(ISNUMBER($V130),$V130="DNA"),$V130,IF(OR(ISNUMBER($U130),$U130="DNA"),$U130,IF(OR(ISNUMBER($T130),$T130="DNA"),$T130,IF(OR(ISNUMBER($S130),$S130="DNA"),$S130,IF(OR(ISNUMBER($R130),$R130="DNA"),$R130,IF(OR(ISNUMBER($Q130),$Q130="DNA"),$Q130,IF(OR(ISNUMBER($N130),$N130="DNA"),$N130,IF(OR(ISNUMBER($M130),$M130="DNA"),$M130,IF(OR(ISNUMBER($L130),$L130="DNA"),$L130,"")))))))))),IF(OR(ISNUMBER($V130),$V130="DNA"),$V130,IF(OR(ISNUMBER($U130),$U130="DNA"),$U130,IF(OR(ISNUMBER($T130),$T130="DNA"),$T130,IF(OR(ISNUMBER($S130),$S130="DNA"),$S130,IF(OR(ISNUMBER($R130),$R130="DNA"),$R130,IF(OR(ISNUMBER($Q130),$Q130="DNA"),$Q130,IF(OR(ISNUMBER($N130),$N130="DNA"),$N130,IF(OR(ISNUMBER($M130),$M130="DNA"),$M130,IF(OR(ISNUMBER($L130),$L130="DNA"),$L130,"")))))))))&lt;TODAY())),1,0)+ISNUMBER($O130)*($O130&lt;TODAY())+ISNUMBER($P130)*($P130&lt;TODAY())+ISNUMBER($X130)*($X130&lt;TODAY())+ISNUMBER($Y130)*($Y130&lt;TODAY()))</f>
        <v/>
      </c>
    </row>
    <row r="131">
      <c r="A131" s="25" t="n"/>
      <c r="B131" s="26" t="n"/>
      <c r="C131" s="27" t="n"/>
      <c r="D131" s="25" t="n"/>
      <c r="E131" s="25" t="n"/>
      <c r="F131" s="27" t="n"/>
      <c r="G131" s="25" t="n"/>
      <c r="H131" s="28">
        <f>IF(OR(NOT(AND($A131&lt;&gt;"",OR($G131="",$G131="Active"))),$F131=""),"",INT((TODAY()-$F131+280)/7)&amp;"+"&amp;MOD(TODAY()-$F131+280,7))</f>
        <v/>
      </c>
      <c r="I131" s="28">
        <f>IF(NOT(AND($A131&lt;&gt;"",OR($G131="",$G131="Active"))),"",ISNUMBER($L131)*($L131&gt;=TODAY())*($L131&lt;=TODAY()+7)+ISNUMBER($M131)*($M131&gt;=TODAY())*($M131&lt;=TODAY()+7)+ISNUMBER($N131)*($N131&gt;=TODAY())*($N131&lt;=TODAY()+7)+ISNUMBER($Q131)*($Q131&gt;=TODAY())*($Q131&lt;=TODAY()+7)+ISNUMBER($R131)*($R131&gt;=TODAY())*($R131&lt;=TODAY()+7)+ISNUMBER($S131)*($S131&gt;=TODAY())*($S131&lt;=TODAY()+7)+ISNUMBER($T131)*($T131&gt;=TODAY())*($T131&lt;=TODAY()+7)+ISNUMBER($U131)*($U131&gt;=TODAY())*($U131&lt;=TODAY()+7)+ISNUMBER($V131)*($V131&gt;=TODAY())*($V131&lt;=TODAY()+7)+ISNUMBER($O131)*($O131&gt;=TODAY())*($O131&lt;=TODAY()+7)+ISNUMBER($P131)*($P131&gt;=TODAY())*($P131&lt;=TODAY()+7)+ISNUMBER($X131)*($X131&gt;=TODAY())*($X131&lt;=TODAY()+7)+ISNUMBER($Y131)*($Y131&gt;=TODAY())*($Y131&lt;=TODAY()+7))</f>
        <v/>
      </c>
      <c r="J131" s="28">
        <f>IF(NOT(AND($A131&lt;&gt;"",OR($G131="",$G131="Active"))),"",IF($K131&lt;&gt;"",IF($L131=$K131,"Booking",IF($M131=$K131,"16/40",IF($N131=$K131,"25/40",IF($Q131=$K131,"28/40",IF($R131=$K131,"31/40",IF($S131=$K131,"34/40",IF($T131=$K131,"36/40",IF($U131=$K131,"38/40",IF($V131=$K131,"40/40",""))))))))),IF(IF(OR(ISNUMBER($V131),$V131="DNA"),$V131,IF(OR(ISNUMBER($U131),$U131="DNA"),$U131,IF(OR(ISNUMBER($T131),$T131="DNA"),$T131,IF(OR(ISNUMBER($S131),$S131="DNA"),$S131,IF(OR(ISNUMBER($R131),$R131="DNA"),$R131,IF(OR(ISNUMBER($Q131),$Q131="DNA"),$Q131,IF(OR(ISNUMBER($N131),$N131="DNA"),$N131,IF(OR(ISNUMBER($M131),$M131="DNA"),$M131,IF(OR(ISNUMBER($L131),$L131="DNA"),$L131,"")))))))))="DNA","Rebook DNA",IF(ISNUMBER(IF(OR(ISNUMBER($V131),$V131="DNA"),$V131,IF(OR(ISNUMBER($U131),$U131="DNA"),$U131,IF(OR(ISNUMBER($T131),$T131="DNA"),$T131,IF(OR(ISNUMBER($S131),$S131="DNA"),$S131,IF(OR(ISNUMBER($R131),$R131="DNA"),$R131,IF(OR(ISNUMBER($Q131),$Q131="DNA"),$Q131,IF(OR(ISNUMBER($N131),$N131="DNA"),$N131,IF(OR(ISNUMBER($M131),$M131="DNA"),$M131,IF(OR(ISNUMBER($L131),$L131="DNA"),$L131,"")))))))))),IF(ISNUMBER($V131),"Update status","Missed/not booked?"),""))))</f>
        <v/>
      </c>
      <c r="K131" s="29">
        <f>IF(NOT(AND($A131&lt;&gt;"",OR($G131="",$G131="Active"))),"",IF(MIN(IF(AND(ISNUMBER($L131),$L131&gt;=TODAY()),$L131,99999),IF(AND(ISNUMBER($M131),$M131&gt;=TODAY()),$M131,99999),IF(AND(ISNUMBER($N131),$N131&gt;=TODAY()),$N131,99999),IF(AND(ISNUMBER($Q131),$Q131&gt;=TODAY()),$Q131,99999),IF(AND(ISNUMBER($R131),$R131&gt;=TODAY()),$R131,99999),IF(AND(ISNUMBER($S131),$S131&gt;=TODAY()),$S131,99999),IF(AND(ISNUMBER($T131),$T131&gt;=TODAY()),$T131,99999),IF(AND(ISNUMBER($U131),$U131&gt;=TODAY()),$U131,99999),IF(AND(ISNUMBER($V131),$V131&gt;=TODAY()),$V131,99999))=99999,"",MIN(IF(AND(ISNUMBER($L131),$L131&gt;=TODAY()),$L131,99999),IF(AND(ISNUMBER($M131),$M131&gt;=TODAY()),$M131,99999),IF(AND(ISNUMBER($N131),$N131&gt;=TODAY()),$N131,99999),IF(AND(ISNUMBER($Q131),$Q131&gt;=TODAY()),$Q131,99999),IF(AND(ISNUMBER($R131),$R131&gt;=TODAY()),$R131,99999),IF(AND(ISNUMBER($S131),$S131&gt;=TODAY()),$S131,99999),IF(AND(ISNUMBER($T131),$T131&gt;=TODAY()),$T131,99999),IF(AND(ISNUMBER($U131),$U131&gt;=TODAY()),$U131,99999),IF(AND(ISNUMBER($V131),$V131&gt;=TODAY()),$V131,99999))))</f>
        <v/>
      </c>
      <c r="L131" s="27" t="n"/>
      <c r="M131" s="27" t="n"/>
      <c r="N131" s="27" t="n"/>
      <c r="O131" s="27" t="n"/>
      <c r="P131" s="27" t="n"/>
      <c r="Q131" s="27" t="n"/>
      <c r="R131" s="27" t="n"/>
      <c r="S131" s="27" t="n"/>
      <c r="T131" s="27" t="n"/>
      <c r="U131" s="27" t="n"/>
      <c r="V131" s="27" t="n"/>
      <c r="W131" s="27" t="n"/>
      <c r="X131" s="27" t="n"/>
      <c r="Y131" s="27" t="n"/>
      <c r="Z131" s="30" t="n"/>
      <c r="AA131" s="25" t="n"/>
      <c r="AB131" s="28">
        <f>IF(NOT(AND($A131&lt;&gt;"",OR($G131="",$G131="Active"))),"",IF(OR(IF(OR(ISNUMBER($V131),$V131="DNA"),$V131,IF(OR(ISNUMBER($U131),$U131="DNA"),$U131,IF(OR(ISNUMBER($T131),$T131="DNA"),$T131,IF(OR(ISNUMBER($S131),$S131="DNA"),$S131,IF(OR(ISNUMBER($R131),$R131="DNA"),$R131,IF(OR(ISNUMBER($Q131),$Q131="DNA"),$Q131,IF(OR(ISNUMBER($N131),$N131="DNA"),$N131,IF(OR(ISNUMBER($M131),$M131="DNA"),$M131,IF(OR(ISNUMBER($L131),$L131="DNA"),$L131,"")))))))))="DNA",AND(ISNUMBER(IF(OR(ISNUMBER($V131),$V131="DNA"),$V131,IF(OR(ISNUMBER($U131),$U131="DNA"),$U131,IF(OR(ISNUMBER($T131),$T131="DNA"),$T131,IF(OR(ISNUMBER($S131),$S131="DNA"),$S131,IF(OR(ISNUMBER($R131),$R131="DNA"),$R131,IF(OR(ISNUMBER($Q131),$Q131="DNA"),$Q131,IF(OR(ISNUMBER($N131),$N131="DNA"),$N131,IF(OR(ISNUMBER($M131),$M131="DNA"),$M131,IF(OR(ISNUMBER($L131),$L131="DNA"),$L131,"")))))))))),IF(OR(ISNUMBER($V131),$V131="DNA"),$V131,IF(OR(ISNUMBER($U131),$U131="DNA"),$U131,IF(OR(ISNUMBER($T131),$T131="DNA"),$T131,IF(OR(ISNUMBER($S131),$S131="DNA"),$S131,IF(OR(ISNUMBER($R131),$R131="DNA"),$R131,IF(OR(ISNUMBER($Q131),$Q131="DNA"),$Q131,IF(OR(ISNUMBER($N131),$N131="DNA"),$N131,IF(OR(ISNUMBER($M131),$M131="DNA"),$M131,IF(OR(ISNUMBER($L131),$L131="DNA"),$L131,"")))))))))&lt;TODAY())),1,0)+ISNUMBER($O131)*($O131&lt;TODAY())+ISNUMBER($P131)*($P131&lt;TODAY())+ISNUMBER($X131)*($X131&lt;TODAY())+ISNUMBER($Y131)*($Y131&lt;TODAY()))</f>
        <v/>
      </c>
    </row>
    <row r="132">
      <c r="A132" s="25" t="n"/>
      <c r="B132" s="26" t="n"/>
      <c r="C132" s="27" t="n"/>
      <c r="D132" s="25" t="n"/>
      <c r="E132" s="25" t="n"/>
      <c r="F132" s="27" t="n"/>
      <c r="G132" s="25" t="n"/>
      <c r="H132" s="28">
        <f>IF(OR(NOT(AND($A132&lt;&gt;"",OR($G132="",$G132="Active"))),$F132=""),"",INT((TODAY()-$F132+280)/7)&amp;"+"&amp;MOD(TODAY()-$F132+280,7))</f>
        <v/>
      </c>
      <c r="I132" s="28">
        <f>IF(NOT(AND($A132&lt;&gt;"",OR($G132="",$G132="Active"))),"",ISNUMBER($L132)*($L132&gt;=TODAY())*($L132&lt;=TODAY()+7)+ISNUMBER($M132)*($M132&gt;=TODAY())*($M132&lt;=TODAY()+7)+ISNUMBER($N132)*($N132&gt;=TODAY())*($N132&lt;=TODAY()+7)+ISNUMBER($Q132)*($Q132&gt;=TODAY())*($Q132&lt;=TODAY()+7)+ISNUMBER($R132)*($R132&gt;=TODAY())*($R132&lt;=TODAY()+7)+ISNUMBER($S132)*($S132&gt;=TODAY())*($S132&lt;=TODAY()+7)+ISNUMBER($T132)*($T132&gt;=TODAY())*($T132&lt;=TODAY()+7)+ISNUMBER($U132)*($U132&gt;=TODAY())*($U132&lt;=TODAY()+7)+ISNUMBER($V132)*($V132&gt;=TODAY())*($V132&lt;=TODAY()+7)+ISNUMBER($O132)*($O132&gt;=TODAY())*($O132&lt;=TODAY()+7)+ISNUMBER($P132)*($P132&gt;=TODAY())*($P132&lt;=TODAY()+7)+ISNUMBER($X132)*($X132&gt;=TODAY())*($X132&lt;=TODAY()+7)+ISNUMBER($Y132)*($Y132&gt;=TODAY())*($Y132&lt;=TODAY()+7))</f>
        <v/>
      </c>
      <c r="J132" s="28">
        <f>IF(NOT(AND($A132&lt;&gt;"",OR($G132="",$G132="Active"))),"",IF($K132&lt;&gt;"",IF($L132=$K132,"Booking",IF($M132=$K132,"16/40",IF($N132=$K132,"25/40",IF($Q132=$K132,"28/40",IF($R132=$K132,"31/40",IF($S132=$K132,"34/40",IF($T132=$K132,"36/40",IF($U132=$K132,"38/40",IF($V132=$K132,"40/40",""))))))))),IF(IF(OR(ISNUMBER($V132),$V132="DNA"),$V132,IF(OR(ISNUMBER($U132),$U132="DNA"),$U132,IF(OR(ISNUMBER($T132),$T132="DNA"),$T132,IF(OR(ISNUMBER($S132),$S132="DNA"),$S132,IF(OR(ISNUMBER($R132),$R132="DNA"),$R132,IF(OR(ISNUMBER($Q132),$Q132="DNA"),$Q132,IF(OR(ISNUMBER($N132),$N132="DNA"),$N132,IF(OR(ISNUMBER($M132),$M132="DNA"),$M132,IF(OR(ISNUMBER($L132),$L132="DNA"),$L132,"")))))))))="DNA","Rebook DNA",IF(ISNUMBER(IF(OR(ISNUMBER($V132),$V132="DNA"),$V132,IF(OR(ISNUMBER($U132),$U132="DNA"),$U132,IF(OR(ISNUMBER($T132),$T132="DNA"),$T132,IF(OR(ISNUMBER($S132),$S132="DNA"),$S132,IF(OR(ISNUMBER($R132),$R132="DNA"),$R132,IF(OR(ISNUMBER($Q132),$Q132="DNA"),$Q132,IF(OR(ISNUMBER($N132),$N132="DNA"),$N132,IF(OR(ISNUMBER($M132),$M132="DNA"),$M132,IF(OR(ISNUMBER($L132),$L132="DNA"),$L132,"")))))))))),IF(ISNUMBER($V132),"Update status","Missed/not booked?"),""))))</f>
        <v/>
      </c>
      <c r="K132" s="29">
        <f>IF(NOT(AND($A132&lt;&gt;"",OR($G132="",$G132="Active"))),"",IF(MIN(IF(AND(ISNUMBER($L132),$L132&gt;=TODAY()),$L132,99999),IF(AND(ISNUMBER($M132),$M132&gt;=TODAY()),$M132,99999),IF(AND(ISNUMBER($N132),$N132&gt;=TODAY()),$N132,99999),IF(AND(ISNUMBER($Q132),$Q132&gt;=TODAY()),$Q132,99999),IF(AND(ISNUMBER($R132),$R132&gt;=TODAY()),$R132,99999),IF(AND(ISNUMBER($S132),$S132&gt;=TODAY()),$S132,99999),IF(AND(ISNUMBER($T132),$T132&gt;=TODAY()),$T132,99999),IF(AND(ISNUMBER($U132),$U132&gt;=TODAY()),$U132,99999),IF(AND(ISNUMBER($V132),$V132&gt;=TODAY()),$V132,99999))=99999,"",MIN(IF(AND(ISNUMBER($L132),$L132&gt;=TODAY()),$L132,99999),IF(AND(ISNUMBER($M132),$M132&gt;=TODAY()),$M132,99999),IF(AND(ISNUMBER($N132),$N132&gt;=TODAY()),$N132,99999),IF(AND(ISNUMBER($Q132),$Q132&gt;=TODAY()),$Q132,99999),IF(AND(ISNUMBER($R132),$R132&gt;=TODAY()),$R132,99999),IF(AND(ISNUMBER($S132),$S132&gt;=TODAY()),$S132,99999),IF(AND(ISNUMBER($T132),$T132&gt;=TODAY()),$T132,99999),IF(AND(ISNUMBER($U132),$U132&gt;=TODAY()),$U132,99999),IF(AND(ISNUMBER($V132),$V132&gt;=TODAY()),$V132,99999))))</f>
        <v/>
      </c>
      <c r="L132" s="27" t="n"/>
      <c r="M132" s="27" t="n"/>
      <c r="N132" s="27" t="n"/>
      <c r="O132" s="27" t="n"/>
      <c r="P132" s="27" t="n"/>
      <c r="Q132" s="27" t="n"/>
      <c r="R132" s="27" t="n"/>
      <c r="S132" s="27" t="n"/>
      <c r="T132" s="27" t="n"/>
      <c r="U132" s="27" t="n"/>
      <c r="V132" s="27" t="n"/>
      <c r="W132" s="27" t="n"/>
      <c r="X132" s="27" t="n"/>
      <c r="Y132" s="27" t="n"/>
      <c r="Z132" s="30" t="n"/>
      <c r="AA132" s="25" t="n"/>
      <c r="AB132" s="28">
        <f>IF(NOT(AND($A132&lt;&gt;"",OR($G132="",$G132="Active"))),"",IF(OR(IF(OR(ISNUMBER($V132),$V132="DNA"),$V132,IF(OR(ISNUMBER($U132),$U132="DNA"),$U132,IF(OR(ISNUMBER($T132),$T132="DNA"),$T132,IF(OR(ISNUMBER($S132),$S132="DNA"),$S132,IF(OR(ISNUMBER($R132),$R132="DNA"),$R132,IF(OR(ISNUMBER($Q132),$Q132="DNA"),$Q132,IF(OR(ISNUMBER($N132),$N132="DNA"),$N132,IF(OR(ISNUMBER($M132),$M132="DNA"),$M132,IF(OR(ISNUMBER($L132),$L132="DNA"),$L132,"")))))))))="DNA",AND(ISNUMBER(IF(OR(ISNUMBER($V132),$V132="DNA"),$V132,IF(OR(ISNUMBER($U132),$U132="DNA"),$U132,IF(OR(ISNUMBER($T132),$T132="DNA"),$T132,IF(OR(ISNUMBER($S132),$S132="DNA"),$S132,IF(OR(ISNUMBER($R132),$R132="DNA"),$R132,IF(OR(ISNUMBER($Q132),$Q132="DNA"),$Q132,IF(OR(ISNUMBER($N132),$N132="DNA"),$N132,IF(OR(ISNUMBER($M132),$M132="DNA"),$M132,IF(OR(ISNUMBER($L132),$L132="DNA"),$L132,"")))))))))),IF(OR(ISNUMBER($V132),$V132="DNA"),$V132,IF(OR(ISNUMBER($U132),$U132="DNA"),$U132,IF(OR(ISNUMBER($T132),$T132="DNA"),$T132,IF(OR(ISNUMBER($S132),$S132="DNA"),$S132,IF(OR(ISNUMBER($R132),$R132="DNA"),$R132,IF(OR(ISNUMBER($Q132),$Q132="DNA"),$Q132,IF(OR(ISNUMBER($N132),$N132="DNA"),$N132,IF(OR(ISNUMBER($M132),$M132="DNA"),$M132,IF(OR(ISNUMBER($L132),$L132="DNA"),$L132,"")))))))))&lt;TODAY())),1,0)+ISNUMBER($O132)*($O132&lt;TODAY())+ISNUMBER($P132)*($P132&lt;TODAY())+ISNUMBER($X132)*($X132&lt;TODAY())+ISNUMBER($Y132)*($Y132&lt;TODAY()))</f>
        <v/>
      </c>
    </row>
    <row r="133">
      <c r="A133" s="25" t="n"/>
      <c r="B133" s="26" t="n"/>
      <c r="C133" s="27" t="n"/>
      <c r="D133" s="25" t="n"/>
      <c r="E133" s="25" t="n"/>
      <c r="F133" s="27" t="n"/>
      <c r="G133" s="25" t="n"/>
      <c r="H133" s="28">
        <f>IF(OR(NOT(AND($A133&lt;&gt;"",OR($G133="",$G133="Active"))),$F133=""),"",INT((TODAY()-$F133+280)/7)&amp;"+"&amp;MOD(TODAY()-$F133+280,7))</f>
        <v/>
      </c>
      <c r="I133" s="28">
        <f>IF(NOT(AND($A133&lt;&gt;"",OR($G133="",$G133="Active"))),"",ISNUMBER($L133)*($L133&gt;=TODAY())*($L133&lt;=TODAY()+7)+ISNUMBER($M133)*($M133&gt;=TODAY())*($M133&lt;=TODAY()+7)+ISNUMBER($N133)*($N133&gt;=TODAY())*($N133&lt;=TODAY()+7)+ISNUMBER($Q133)*($Q133&gt;=TODAY())*($Q133&lt;=TODAY()+7)+ISNUMBER($R133)*($R133&gt;=TODAY())*($R133&lt;=TODAY()+7)+ISNUMBER($S133)*($S133&gt;=TODAY())*($S133&lt;=TODAY()+7)+ISNUMBER($T133)*($T133&gt;=TODAY())*($T133&lt;=TODAY()+7)+ISNUMBER($U133)*($U133&gt;=TODAY())*($U133&lt;=TODAY()+7)+ISNUMBER($V133)*($V133&gt;=TODAY())*($V133&lt;=TODAY()+7)+ISNUMBER($O133)*($O133&gt;=TODAY())*($O133&lt;=TODAY()+7)+ISNUMBER($P133)*($P133&gt;=TODAY())*($P133&lt;=TODAY()+7)+ISNUMBER($X133)*($X133&gt;=TODAY())*($X133&lt;=TODAY()+7)+ISNUMBER($Y133)*($Y133&gt;=TODAY())*($Y133&lt;=TODAY()+7))</f>
        <v/>
      </c>
      <c r="J133" s="28">
        <f>IF(NOT(AND($A133&lt;&gt;"",OR($G133="",$G133="Active"))),"",IF($K133&lt;&gt;"",IF($L133=$K133,"Booking",IF($M133=$K133,"16/40",IF($N133=$K133,"25/40",IF($Q133=$K133,"28/40",IF($R133=$K133,"31/40",IF($S133=$K133,"34/40",IF($T133=$K133,"36/40",IF($U133=$K133,"38/40",IF($V133=$K133,"40/40",""))))))))),IF(IF(OR(ISNUMBER($V133),$V133="DNA"),$V133,IF(OR(ISNUMBER($U133),$U133="DNA"),$U133,IF(OR(ISNUMBER($T133),$T133="DNA"),$T133,IF(OR(ISNUMBER($S133),$S133="DNA"),$S133,IF(OR(ISNUMBER($R133),$R133="DNA"),$R133,IF(OR(ISNUMBER($Q133),$Q133="DNA"),$Q133,IF(OR(ISNUMBER($N133),$N133="DNA"),$N133,IF(OR(ISNUMBER($M133),$M133="DNA"),$M133,IF(OR(ISNUMBER($L133),$L133="DNA"),$L133,"")))))))))="DNA","Rebook DNA",IF(ISNUMBER(IF(OR(ISNUMBER($V133),$V133="DNA"),$V133,IF(OR(ISNUMBER($U133),$U133="DNA"),$U133,IF(OR(ISNUMBER($T133),$T133="DNA"),$T133,IF(OR(ISNUMBER($S133),$S133="DNA"),$S133,IF(OR(ISNUMBER($R133),$R133="DNA"),$R133,IF(OR(ISNUMBER($Q133),$Q133="DNA"),$Q133,IF(OR(ISNUMBER($N133),$N133="DNA"),$N133,IF(OR(ISNUMBER($M133),$M133="DNA"),$M133,IF(OR(ISNUMBER($L133),$L133="DNA"),$L133,"")))))))))),IF(ISNUMBER($V133),"Update status","Missed/not booked?"),""))))</f>
        <v/>
      </c>
      <c r="K133" s="29">
        <f>IF(NOT(AND($A133&lt;&gt;"",OR($G133="",$G133="Active"))),"",IF(MIN(IF(AND(ISNUMBER($L133),$L133&gt;=TODAY()),$L133,99999),IF(AND(ISNUMBER($M133),$M133&gt;=TODAY()),$M133,99999),IF(AND(ISNUMBER($N133),$N133&gt;=TODAY()),$N133,99999),IF(AND(ISNUMBER($Q133),$Q133&gt;=TODAY()),$Q133,99999),IF(AND(ISNUMBER($R133),$R133&gt;=TODAY()),$R133,99999),IF(AND(ISNUMBER($S133),$S133&gt;=TODAY()),$S133,99999),IF(AND(ISNUMBER($T133),$T133&gt;=TODAY()),$T133,99999),IF(AND(ISNUMBER($U133),$U133&gt;=TODAY()),$U133,99999),IF(AND(ISNUMBER($V133),$V133&gt;=TODAY()),$V133,99999))=99999,"",MIN(IF(AND(ISNUMBER($L133),$L133&gt;=TODAY()),$L133,99999),IF(AND(ISNUMBER($M133),$M133&gt;=TODAY()),$M133,99999),IF(AND(ISNUMBER($N133),$N133&gt;=TODAY()),$N133,99999),IF(AND(ISNUMBER($Q133),$Q133&gt;=TODAY()),$Q133,99999),IF(AND(ISNUMBER($R133),$R133&gt;=TODAY()),$R133,99999),IF(AND(ISNUMBER($S133),$S133&gt;=TODAY()),$S133,99999),IF(AND(ISNUMBER($T133),$T133&gt;=TODAY()),$T133,99999),IF(AND(ISNUMBER($U133),$U133&gt;=TODAY()),$U133,99999),IF(AND(ISNUMBER($V133),$V133&gt;=TODAY()),$V133,99999))))</f>
        <v/>
      </c>
      <c r="L133" s="27" t="n"/>
      <c r="M133" s="27" t="n"/>
      <c r="N133" s="27" t="n"/>
      <c r="O133" s="27" t="n"/>
      <c r="P133" s="27" t="n"/>
      <c r="Q133" s="27" t="n"/>
      <c r="R133" s="27" t="n"/>
      <c r="S133" s="27" t="n"/>
      <c r="T133" s="27" t="n"/>
      <c r="U133" s="27" t="n"/>
      <c r="V133" s="27" t="n"/>
      <c r="W133" s="27" t="n"/>
      <c r="X133" s="27" t="n"/>
      <c r="Y133" s="27" t="n"/>
      <c r="Z133" s="30" t="n"/>
      <c r="AA133" s="25" t="n"/>
      <c r="AB133" s="28">
        <f>IF(NOT(AND($A133&lt;&gt;"",OR($G133="",$G133="Active"))),"",IF(OR(IF(OR(ISNUMBER($V133),$V133="DNA"),$V133,IF(OR(ISNUMBER($U133),$U133="DNA"),$U133,IF(OR(ISNUMBER($T133),$T133="DNA"),$T133,IF(OR(ISNUMBER($S133),$S133="DNA"),$S133,IF(OR(ISNUMBER($R133),$R133="DNA"),$R133,IF(OR(ISNUMBER($Q133),$Q133="DNA"),$Q133,IF(OR(ISNUMBER($N133),$N133="DNA"),$N133,IF(OR(ISNUMBER($M133),$M133="DNA"),$M133,IF(OR(ISNUMBER($L133),$L133="DNA"),$L133,"")))))))))="DNA",AND(ISNUMBER(IF(OR(ISNUMBER($V133),$V133="DNA"),$V133,IF(OR(ISNUMBER($U133),$U133="DNA"),$U133,IF(OR(ISNUMBER($T133),$T133="DNA"),$T133,IF(OR(ISNUMBER($S133),$S133="DNA"),$S133,IF(OR(ISNUMBER($R133),$R133="DNA"),$R133,IF(OR(ISNUMBER($Q133),$Q133="DNA"),$Q133,IF(OR(ISNUMBER($N133),$N133="DNA"),$N133,IF(OR(ISNUMBER($M133),$M133="DNA"),$M133,IF(OR(ISNUMBER($L133),$L133="DNA"),$L133,"")))))))))),IF(OR(ISNUMBER($V133),$V133="DNA"),$V133,IF(OR(ISNUMBER($U133),$U133="DNA"),$U133,IF(OR(ISNUMBER($T133),$T133="DNA"),$T133,IF(OR(ISNUMBER($S133),$S133="DNA"),$S133,IF(OR(ISNUMBER($R133),$R133="DNA"),$R133,IF(OR(ISNUMBER($Q133),$Q133="DNA"),$Q133,IF(OR(ISNUMBER($N133),$N133="DNA"),$N133,IF(OR(ISNUMBER($M133),$M133="DNA"),$M133,IF(OR(ISNUMBER($L133),$L133="DNA"),$L133,"")))))))))&lt;TODAY())),1,0)+ISNUMBER($O133)*($O133&lt;TODAY())+ISNUMBER($P133)*($P133&lt;TODAY())+ISNUMBER($X133)*($X133&lt;TODAY())+ISNUMBER($Y133)*($Y133&lt;TODAY()))</f>
        <v/>
      </c>
    </row>
    <row r="134">
      <c r="A134" s="25" t="n"/>
      <c r="B134" s="26" t="n"/>
      <c r="C134" s="27" t="n"/>
      <c r="D134" s="25" t="n"/>
      <c r="E134" s="25" t="n"/>
      <c r="F134" s="27" t="n"/>
      <c r="G134" s="25" t="n"/>
      <c r="H134" s="28">
        <f>IF(OR(NOT(AND($A134&lt;&gt;"",OR($G134="",$G134="Active"))),$F134=""),"",INT((TODAY()-$F134+280)/7)&amp;"+"&amp;MOD(TODAY()-$F134+280,7))</f>
        <v/>
      </c>
      <c r="I134" s="28">
        <f>IF(NOT(AND($A134&lt;&gt;"",OR($G134="",$G134="Active"))),"",ISNUMBER($L134)*($L134&gt;=TODAY())*($L134&lt;=TODAY()+7)+ISNUMBER($M134)*($M134&gt;=TODAY())*($M134&lt;=TODAY()+7)+ISNUMBER($N134)*($N134&gt;=TODAY())*($N134&lt;=TODAY()+7)+ISNUMBER($Q134)*($Q134&gt;=TODAY())*($Q134&lt;=TODAY()+7)+ISNUMBER($R134)*($R134&gt;=TODAY())*($R134&lt;=TODAY()+7)+ISNUMBER($S134)*($S134&gt;=TODAY())*($S134&lt;=TODAY()+7)+ISNUMBER($T134)*($T134&gt;=TODAY())*($T134&lt;=TODAY()+7)+ISNUMBER($U134)*($U134&gt;=TODAY())*($U134&lt;=TODAY()+7)+ISNUMBER($V134)*($V134&gt;=TODAY())*($V134&lt;=TODAY()+7)+ISNUMBER($O134)*($O134&gt;=TODAY())*($O134&lt;=TODAY()+7)+ISNUMBER($P134)*($P134&gt;=TODAY())*($P134&lt;=TODAY()+7)+ISNUMBER($X134)*($X134&gt;=TODAY())*($X134&lt;=TODAY()+7)+ISNUMBER($Y134)*($Y134&gt;=TODAY())*($Y134&lt;=TODAY()+7))</f>
        <v/>
      </c>
      <c r="J134" s="28">
        <f>IF(NOT(AND($A134&lt;&gt;"",OR($G134="",$G134="Active"))),"",IF($K134&lt;&gt;"",IF($L134=$K134,"Booking",IF($M134=$K134,"16/40",IF($N134=$K134,"25/40",IF($Q134=$K134,"28/40",IF($R134=$K134,"31/40",IF($S134=$K134,"34/40",IF($T134=$K134,"36/40",IF($U134=$K134,"38/40",IF($V134=$K134,"40/40",""))))))))),IF(IF(OR(ISNUMBER($V134),$V134="DNA"),$V134,IF(OR(ISNUMBER($U134),$U134="DNA"),$U134,IF(OR(ISNUMBER($T134),$T134="DNA"),$T134,IF(OR(ISNUMBER($S134),$S134="DNA"),$S134,IF(OR(ISNUMBER($R134),$R134="DNA"),$R134,IF(OR(ISNUMBER($Q134),$Q134="DNA"),$Q134,IF(OR(ISNUMBER($N134),$N134="DNA"),$N134,IF(OR(ISNUMBER($M134),$M134="DNA"),$M134,IF(OR(ISNUMBER($L134),$L134="DNA"),$L134,"")))))))))="DNA","Rebook DNA",IF(ISNUMBER(IF(OR(ISNUMBER($V134),$V134="DNA"),$V134,IF(OR(ISNUMBER($U134),$U134="DNA"),$U134,IF(OR(ISNUMBER($T134),$T134="DNA"),$T134,IF(OR(ISNUMBER($S134),$S134="DNA"),$S134,IF(OR(ISNUMBER($R134),$R134="DNA"),$R134,IF(OR(ISNUMBER($Q134),$Q134="DNA"),$Q134,IF(OR(ISNUMBER($N134),$N134="DNA"),$N134,IF(OR(ISNUMBER($M134),$M134="DNA"),$M134,IF(OR(ISNUMBER($L134),$L134="DNA"),$L134,"")))))))))),IF(ISNUMBER($V134),"Update status","Missed/not booked?"),""))))</f>
        <v/>
      </c>
      <c r="K134" s="29">
        <f>IF(NOT(AND($A134&lt;&gt;"",OR($G134="",$G134="Active"))),"",IF(MIN(IF(AND(ISNUMBER($L134),$L134&gt;=TODAY()),$L134,99999),IF(AND(ISNUMBER($M134),$M134&gt;=TODAY()),$M134,99999),IF(AND(ISNUMBER($N134),$N134&gt;=TODAY()),$N134,99999),IF(AND(ISNUMBER($Q134),$Q134&gt;=TODAY()),$Q134,99999),IF(AND(ISNUMBER($R134),$R134&gt;=TODAY()),$R134,99999),IF(AND(ISNUMBER($S134),$S134&gt;=TODAY()),$S134,99999),IF(AND(ISNUMBER($T134),$T134&gt;=TODAY()),$T134,99999),IF(AND(ISNUMBER($U134),$U134&gt;=TODAY()),$U134,99999),IF(AND(ISNUMBER($V134),$V134&gt;=TODAY()),$V134,99999))=99999,"",MIN(IF(AND(ISNUMBER($L134),$L134&gt;=TODAY()),$L134,99999),IF(AND(ISNUMBER($M134),$M134&gt;=TODAY()),$M134,99999),IF(AND(ISNUMBER($N134),$N134&gt;=TODAY()),$N134,99999),IF(AND(ISNUMBER($Q134),$Q134&gt;=TODAY()),$Q134,99999),IF(AND(ISNUMBER($R134),$R134&gt;=TODAY()),$R134,99999),IF(AND(ISNUMBER($S134),$S134&gt;=TODAY()),$S134,99999),IF(AND(ISNUMBER($T134),$T134&gt;=TODAY()),$T134,99999),IF(AND(ISNUMBER($U134),$U134&gt;=TODAY()),$U134,99999),IF(AND(ISNUMBER($V134),$V134&gt;=TODAY()),$V134,99999))))</f>
        <v/>
      </c>
      <c r="L134" s="27" t="n"/>
      <c r="M134" s="27" t="n"/>
      <c r="N134" s="27" t="n"/>
      <c r="O134" s="27" t="n"/>
      <c r="P134" s="27" t="n"/>
      <c r="Q134" s="27" t="n"/>
      <c r="R134" s="27" t="n"/>
      <c r="S134" s="27" t="n"/>
      <c r="T134" s="27" t="n"/>
      <c r="U134" s="27" t="n"/>
      <c r="V134" s="27" t="n"/>
      <c r="W134" s="27" t="n"/>
      <c r="X134" s="27" t="n"/>
      <c r="Y134" s="27" t="n"/>
      <c r="Z134" s="30" t="n"/>
      <c r="AA134" s="25" t="n"/>
      <c r="AB134" s="28">
        <f>IF(NOT(AND($A134&lt;&gt;"",OR($G134="",$G134="Active"))),"",IF(OR(IF(OR(ISNUMBER($V134),$V134="DNA"),$V134,IF(OR(ISNUMBER($U134),$U134="DNA"),$U134,IF(OR(ISNUMBER($T134),$T134="DNA"),$T134,IF(OR(ISNUMBER($S134),$S134="DNA"),$S134,IF(OR(ISNUMBER($R134),$R134="DNA"),$R134,IF(OR(ISNUMBER($Q134),$Q134="DNA"),$Q134,IF(OR(ISNUMBER($N134),$N134="DNA"),$N134,IF(OR(ISNUMBER($M134),$M134="DNA"),$M134,IF(OR(ISNUMBER($L134),$L134="DNA"),$L134,"")))))))))="DNA",AND(ISNUMBER(IF(OR(ISNUMBER($V134),$V134="DNA"),$V134,IF(OR(ISNUMBER($U134),$U134="DNA"),$U134,IF(OR(ISNUMBER($T134),$T134="DNA"),$T134,IF(OR(ISNUMBER($S134),$S134="DNA"),$S134,IF(OR(ISNUMBER($R134),$R134="DNA"),$R134,IF(OR(ISNUMBER($Q134),$Q134="DNA"),$Q134,IF(OR(ISNUMBER($N134),$N134="DNA"),$N134,IF(OR(ISNUMBER($M134),$M134="DNA"),$M134,IF(OR(ISNUMBER($L134),$L134="DNA"),$L134,"")))))))))),IF(OR(ISNUMBER($V134),$V134="DNA"),$V134,IF(OR(ISNUMBER($U134),$U134="DNA"),$U134,IF(OR(ISNUMBER($T134),$T134="DNA"),$T134,IF(OR(ISNUMBER($S134),$S134="DNA"),$S134,IF(OR(ISNUMBER($R134),$R134="DNA"),$R134,IF(OR(ISNUMBER($Q134),$Q134="DNA"),$Q134,IF(OR(ISNUMBER($N134),$N134="DNA"),$N134,IF(OR(ISNUMBER($M134),$M134="DNA"),$M134,IF(OR(ISNUMBER($L134),$L134="DNA"),$L134,"")))))))))&lt;TODAY())),1,0)+ISNUMBER($O134)*($O134&lt;TODAY())+ISNUMBER($P134)*($P134&lt;TODAY())+ISNUMBER($X134)*($X134&lt;TODAY())+ISNUMBER($Y134)*($Y134&lt;TODAY()))</f>
        <v/>
      </c>
    </row>
    <row r="135">
      <c r="A135" s="25" t="n"/>
      <c r="B135" s="26" t="n"/>
      <c r="C135" s="27" t="n"/>
      <c r="D135" s="25" t="n"/>
      <c r="E135" s="25" t="n"/>
      <c r="F135" s="27" t="n"/>
      <c r="G135" s="25" t="n"/>
      <c r="H135" s="28">
        <f>IF(OR(NOT(AND($A135&lt;&gt;"",OR($G135="",$G135="Active"))),$F135=""),"",INT((TODAY()-$F135+280)/7)&amp;"+"&amp;MOD(TODAY()-$F135+280,7))</f>
        <v/>
      </c>
      <c r="I135" s="28">
        <f>IF(NOT(AND($A135&lt;&gt;"",OR($G135="",$G135="Active"))),"",ISNUMBER($L135)*($L135&gt;=TODAY())*($L135&lt;=TODAY()+7)+ISNUMBER($M135)*($M135&gt;=TODAY())*($M135&lt;=TODAY()+7)+ISNUMBER($N135)*($N135&gt;=TODAY())*($N135&lt;=TODAY()+7)+ISNUMBER($Q135)*($Q135&gt;=TODAY())*($Q135&lt;=TODAY()+7)+ISNUMBER($R135)*($R135&gt;=TODAY())*($R135&lt;=TODAY()+7)+ISNUMBER($S135)*($S135&gt;=TODAY())*($S135&lt;=TODAY()+7)+ISNUMBER($T135)*($T135&gt;=TODAY())*($T135&lt;=TODAY()+7)+ISNUMBER($U135)*($U135&gt;=TODAY())*($U135&lt;=TODAY()+7)+ISNUMBER($V135)*($V135&gt;=TODAY())*($V135&lt;=TODAY()+7)+ISNUMBER($O135)*($O135&gt;=TODAY())*($O135&lt;=TODAY()+7)+ISNUMBER($P135)*($P135&gt;=TODAY())*($P135&lt;=TODAY()+7)+ISNUMBER($X135)*($X135&gt;=TODAY())*($X135&lt;=TODAY()+7)+ISNUMBER($Y135)*($Y135&gt;=TODAY())*($Y135&lt;=TODAY()+7))</f>
        <v/>
      </c>
      <c r="J135" s="28">
        <f>IF(NOT(AND($A135&lt;&gt;"",OR($G135="",$G135="Active"))),"",IF($K135&lt;&gt;"",IF($L135=$K135,"Booking",IF($M135=$K135,"16/40",IF($N135=$K135,"25/40",IF($Q135=$K135,"28/40",IF($R135=$K135,"31/40",IF($S135=$K135,"34/40",IF($T135=$K135,"36/40",IF($U135=$K135,"38/40",IF($V135=$K135,"40/40",""))))))))),IF(IF(OR(ISNUMBER($V135),$V135="DNA"),$V135,IF(OR(ISNUMBER($U135),$U135="DNA"),$U135,IF(OR(ISNUMBER($T135),$T135="DNA"),$T135,IF(OR(ISNUMBER($S135),$S135="DNA"),$S135,IF(OR(ISNUMBER($R135),$R135="DNA"),$R135,IF(OR(ISNUMBER($Q135),$Q135="DNA"),$Q135,IF(OR(ISNUMBER($N135),$N135="DNA"),$N135,IF(OR(ISNUMBER($M135),$M135="DNA"),$M135,IF(OR(ISNUMBER($L135),$L135="DNA"),$L135,"")))))))))="DNA","Rebook DNA",IF(ISNUMBER(IF(OR(ISNUMBER($V135),$V135="DNA"),$V135,IF(OR(ISNUMBER($U135),$U135="DNA"),$U135,IF(OR(ISNUMBER($T135),$T135="DNA"),$T135,IF(OR(ISNUMBER($S135),$S135="DNA"),$S135,IF(OR(ISNUMBER($R135),$R135="DNA"),$R135,IF(OR(ISNUMBER($Q135),$Q135="DNA"),$Q135,IF(OR(ISNUMBER($N135),$N135="DNA"),$N135,IF(OR(ISNUMBER($M135),$M135="DNA"),$M135,IF(OR(ISNUMBER($L135),$L135="DNA"),$L135,"")))))))))),IF(ISNUMBER($V135),"Update status","Missed/not booked?"),""))))</f>
        <v/>
      </c>
      <c r="K135" s="29">
        <f>IF(NOT(AND($A135&lt;&gt;"",OR($G135="",$G135="Active"))),"",IF(MIN(IF(AND(ISNUMBER($L135),$L135&gt;=TODAY()),$L135,99999),IF(AND(ISNUMBER($M135),$M135&gt;=TODAY()),$M135,99999),IF(AND(ISNUMBER($N135),$N135&gt;=TODAY()),$N135,99999),IF(AND(ISNUMBER($Q135),$Q135&gt;=TODAY()),$Q135,99999),IF(AND(ISNUMBER($R135),$R135&gt;=TODAY()),$R135,99999),IF(AND(ISNUMBER($S135),$S135&gt;=TODAY()),$S135,99999),IF(AND(ISNUMBER($T135),$T135&gt;=TODAY()),$T135,99999),IF(AND(ISNUMBER($U135),$U135&gt;=TODAY()),$U135,99999),IF(AND(ISNUMBER($V135),$V135&gt;=TODAY()),$V135,99999))=99999,"",MIN(IF(AND(ISNUMBER($L135),$L135&gt;=TODAY()),$L135,99999),IF(AND(ISNUMBER($M135),$M135&gt;=TODAY()),$M135,99999),IF(AND(ISNUMBER($N135),$N135&gt;=TODAY()),$N135,99999),IF(AND(ISNUMBER($Q135),$Q135&gt;=TODAY()),$Q135,99999),IF(AND(ISNUMBER($R135),$R135&gt;=TODAY()),$R135,99999),IF(AND(ISNUMBER($S135),$S135&gt;=TODAY()),$S135,99999),IF(AND(ISNUMBER($T135),$T135&gt;=TODAY()),$T135,99999),IF(AND(ISNUMBER($U135),$U135&gt;=TODAY()),$U135,99999),IF(AND(ISNUMBER($V135),$V135&gt;=TODAY()),$V135,99999))))</f>
        <v/>
      </c>
      <c r="L135" s="27" t="n"/>
      <c r="M135" s="27" t="n"/>
      <c r="N135" s="27" t="n"/>
      <c r="O135" s="27" t="n"/>
      <c r="P135" s="27" t="n"/>
      <c r="Q135" s="27" t="n"/>
      <c r="R135" s="27" t="n"/>
      <c r="S135" s="27" t="n"/>
      <c r="T135" s="27" t="n"/>
      <c r="U135" s="27" t="n"/>
      <c r="V135" s="27" t="n"/>
      <c r="W135" s="27" t="n"/>
      <c r="X135" s="27" t="n"/>
      <c r="Y135" s="27" t="n"/>
      <c r="Z135" s="30" t="n"/>
      <c r="AA135" s="25" t="n"/>
      <c r="AB135" s="28">
        <f>IF(NOT(AND($A135&lt;&gt;"",OR($G135="",$G135="Active"))),"",IF(OR(IF(OR(ISNUMBER($V135),$V135="DNA"),$V135,IF(OR(ISNUMBER($U135),$U135="DNA"),$U135,IF(OR(ISNUMBER($T135),$T135="DNA"),$T135,IF(OR(ISNUMBER($S135),$S135="DNA"),$S135,IF(OR(ISNUMBER($R135),$R135="DNA"),$R135,IF(OR(ISNUMBER($Q135),$Q135="DNA"),$Q135,IF(OR(ISNUMBER($N135),$N135="DNA"),$N135,IF(OR(ISNUMBER($M135),$M135="DNA"),$M135,IF(OR(ISNUMBER($L135),$L135="DNA"),$L135,"")))))))))="DNA",AND(ISNUMBER(IF(OR(ISNUMBER($V135),$V135="DNA"),$V135,IF(OR(ISNUMBER($U135),$U135="DNA"),$U135,IF(OR(ISNUMBER($T135),$T135="DNA"),$T135,IF(OR(ISNUMBER($S135),$S135="DNA"),$S135,IF(OR(ISNUMBER($R135),$R135="DNA"),$R135,IF(OR(ISNUMBER($Q135),$Q135="DNA"),$Q135,IF(OR(ISNUMBER($N135),$N135="DNA"),$N135,IF(OR(ISNUMBER($M135),$M135="DNA"),$M135,IF(OR(ISNUMBER($L135),$L135="DNA"),$L135,"")))))))))),IF(OR(ISNUMBER($V135),$V135="DNA"),$V135,IF(OR(ISNUMBER($U135),$U135="DNA"),$U135,IF(OR(ISNUMBER($T135),$T135="DNA"),$T135,IF(OR(ISNUMBER($S135),$S135="DNA"),$S135,IF(OR(ISNUMBER($R135),$R135="DNA"),$R135,IF(OR(ISNUMBER($Q135),$Q135="DNA"),$Q135,IF(OR(ISNUMBER($N135),$N135="DNA"),$N135,IF(OR(ISNUMBER($M135),$M135="DNA"),$M135,IF(OR(ISNUMBER($L135),$L135="DNA"),$L135,"")))))))))&lt;TODAY())),1,0)+ISNUMBER($O135)*($O135&lt;TODAY())+ISNUMBER($P135)*($P135&lt;TODAY())+ISNUMBER($X135)*($X135&lt;TODAY())+ISNUMBER($Y135)*($Y135&lt;TODAY()))</f>
        <v/>
      </c>
    </row>
    <row r="136">
      <c r="A136" s="25" t="n"/>
      <c r="B136" s="26" t="n"/>
      <c r="C136" s="27" t="n"/>
      <c r="D136" s="25" t="n"/>
      <c r="E136" s="25" t="n"/>
      <c r="F136" s="27" t="n"/>
      <c r="G136" s="25" t="n"/>
      <c r="H136" s="28">
        <f>IF(OR(NOT(AND($A136&lt;&gt;"",OR($G136="",$G136="Active"))),$F136=""),"",INT((TODAY()-$F136+280)/7)&amp;"+"&amp;MOD(TODAY()-$F136+280,7))</f>
        <v/>
      </c>
      <c r="I136" s="28">
        <f>IF(NOT(AND($A136&lt;&gt;"",OR($G136="",$G136="Active"))),"",ISNUMBER($L136)*($L136&gt;=TODAY())*($L136&lt;=TODAY()+7)+ISNUMBER($M136)*($M136&gt;=TODAY())*($M136&lt;=TODAY()+7)+ISNUMBER($N136)*($N136&gt;=TODAY())*($N136&lt;=TODAY()+7)+ISNUMBER($Q136)*($Q136&gt;=TODAY())*($Q136&lt;=TODAY()+7)+ISNUMBER($R136)*($R136&gt;=TODAY())*($R136&lt;=TODAY()+7)+ISNUMBER($S136)*($S136&gt;=TODAY())*($S136&lt;=TODAY()+7)+ISNUMBER($T136)*($T136&gt;=TODAY())*($T136&lt;=TODAY()+7)+ISNUMBER($U136)*($U136&gt;=TODAY())*($U136&lt;=TODAY()+7)+ISNUMBER($V136)*($V136&gt;=TODAY())*($V136&lt;=TODAY()+7)+ISNUMBER($O136)*($O136&gt;=TODAY())*($O136&lt;=TODAY()+7)+ISNUMBER($P136)*($P136&gt;=TODAY())*($P136&lt;=TODAY()+7)+ISNUMBER($X136)*($X136&gt;=TODAY())*($X136&lt;=TODAY()+7)+ISNUMBER($Y136)*($Y136&gt;=TODAY())*($Y136&lt;=TODAY()+7))</f>
        <v/>
      </c>
      <c r="J136" s="28">
        <f>IF(NOT(AND($A136&lt;&gt;"",OR($G136="",$G136="Active"))),"",IF($K136&lt;&gt;"",IF($L136=$K136,"Booking",IF($M136=$K136,"16/40",IF($N136=$K136,"25/40",IF($Q136=$K136,"28/40",IF($R136=$K136,"31/40",IF($S136=$K136,"34/40",IF($T136=$K136,"36/40",IF($U136=$K136,"38/40",IF($V136=$K136,"40/40",""))))))))),IF(IF(OR(ISNUMBER($V136),$V136="DNA"),$V136,IF(OR(ISNUMBER($U136),$U136="DNA"),$U136,IF(OR(ISNUMBER($T136),$T136="DNA"),$T136,IF(OR(ISNUMBER($S136),$S136="DNA"),$S136,IF(OR(ISNUMBER($R136),$R136="DNA"),$R136,IF(OR(ISNUMBER($Q136),$Q136="DNA"),$Q136,IF(OR(ISNUMBER($N136),$N136="DNA"),$N136,IF(OR(ISNUMBER($M136),$M136="DNA"),$M136,IF(OR(ISNUMBER($L136),$L136="DNA"),$L136,"")))))))))="DNA","Rebook DNA",IF(ISNUMBER(IF(OR(ISNUMBER($V136),$V136="DNA"),$V136,IF(OR(ISNUMBER($U136),$U136="DNA"),$U136,IF(OR(ISNUMBER($T136),$T136="DNA"),$T136,IF(OR(ISNUMBER($S136),$S136="DNA"),$S136,IF(OR(ISNUMBER($R136),$R136="DNA"),$R136,IF(OR(ISNUMBER($Q136),$Q136="DNA"),$Q136,IF(OR(ISNUMBER($N136),$N136="DNA"),$N136,IF(OR(ISNUMBER($M136),$M136="DNA"),$M136,IF(OR(ISNUMBER($L136),$L136="DNA"),$L136,"")))))))))),IF(ISNUMBER($V136),"Update status","Missed/not booked?"),""))))</f>
        <v/>
      </c>
      <c r="K136" s="29">
        <f>IF(NOT(AND($A136&lt;&gt;"",OR($G136="",$G136="Active"))),"",IF(MIN(IF(AND(ISNUMBER($L136),$L136&gt;=TODAY()),$L136,99999),IF(AND(ISNUMBER($M136),$M136&gt;=TODAY()),$M136,99999),IF(AND(ISNUMBER($N136),$N136&gt;=TODAY()),$N136,99999),IF(AND(ISNUMBER($Q136),$Q136&gt;=TODAY()),$Q136,99999),IF(AND(ISNUMBER($R136),$R136&gt;=TODAY()),$R136,99999),IF(AND(ISNUMBER($S136),$S136&gt;=TODAY()),$S136,99999),IF(AND(ISNUMBER($T136),$T136&gt;=TODAY()),$T136,99999),IF(AND(ISNUMBER($U136),$U136&gt;=TODAY()),$U136,99999),IF(AND(ISNUMBER($V136),$V136&gt;=TODAY()),$V136,99999))=99999,"",MIN(IF(AND(ISNUMBER($L136),$L136&gt;=TODAY()),$L136,99999),IF(AND(ISNUMBER($M136),$M136&gt;=TODAY()),$M136,99999),IF(AND(ISNUMBER($N136),$N136&gt;=TODAY()),$N136,99999),IF(AND(ISNUMBER($Q136),$Q136&gt;=TODAY()),$Q136,99999),IF(AND(ISNUMBER($R136),$R136&gt;=TODAY()),$R136,99999),IF(AND(ISNUMBER($S136),$S136&gt;=TODAY()),$S136,99999),IF(AND(ISNUMBER($T136),$T136&gt;=TODAY()),$T136,99999),IF(AND(ISNUMBER($U136),$U136&gt;=TODAY()),$U136,99999),IF(AND(ISNUMBER($V136),$V136&gt;=TODAY()),$V136,99999))))</f>
        <v/>
      </c>
      <c r="L136" s="27" t="n"/>
      <c r="M136" s="27" t="n"/>
      <c r="N136" s="27" t="n"/>
      <c r="O136" s="27" t="n"/>
      <c r="P136" s="27" t="n"/>
      <c r="Q136" s="27" t="n"/>
      <c r="R136" s="27" t="n"/>
      <c r="S136" s="27" t="n"/>
      <c r="T136" s="27" t="n"/>
      <c r="U136" s="27" t="n"/>
      <c r="V136" s="27" t="n"/>
      <c r="W136" s="27" t="n"/>
      <c r="X136" s="27" t="n"/>
      <c r="Y136" s="27" t="n"/>
      <c r="Z136" s="30" t="n"/>
      <c r="AA136" s="25" t="n"/>
      <c r="AB136" s="28">
        <f>IF(NOT(AND($A136&lt;&gt;"",OR($G136="",$G136="Active"))),"",IF(OR(IF(OR(ISNUMBER($V136),$V136="DNA"),$V136,IF(OR(ISNUMBER($U136),$U136="DNA"),$U136,IF(OR(ISNUMBER($T136),$T136="DNA"),$T136,IF(OR(ISNUMBER($S136),$S136="DNA"),$S136,IF(OR(ISNUMBER($R136),$R136="DNA"),$R136,IF(OR(ISNUMBER($Q136),$Q136="DNA"),$Q136,IF(OR(ISNUMBER($N136),$N136="DNA"),$N136,IF(OR(ISNUMBER($M136),$M136="DNA"),$M136,IF(OR(ISNUMBER($L136),$L136="DNA"),$L136,"")))))))))="DNA",AND(ISNUMBER(IF(OR(ISNUMBER($V136),$V136="DNA"),$V136,IF(OR(ISNUMBER($U136),$U136="DNA"),$U136,IF(OR(ISNUMBER($T136),$T136="DNA"),$T136,IF(OR(ISNUMBER($S136),$S136="DNA"),$S136,IF(OR(ISNUMBER($R136),$R136="DNA"),$R136,IF(OR(ISNUMBER($Q136),$Q136="DNA"),$Q136,IF(OR(ISNUMBER($N136),$N136="DNA"),$N136,IF(OR(ISNUMBER($M136),$M136="DNA"),$M136,IF(OR(ISNUMBER($L136),$L136="DNA"),$L136,"")))))))))),IF(OR(ISNUMBER($V136),$V136="DNA"),$V136,IF(OR(ISNUMBER($U136),$U136="DNA"),$U136,IF(OR(ISNUMBER($T136),$T136="DNA"),$T136,IF(OR(ISNUMBER($S136),$S136="DNA"),$S136,IF(OR(ISNUMBER($R136),$R136="DNA"),$R136,IF(OR(ISNUMBER($Q136),$Q136="DNA"),$Q136,IF(OR(ISNUMBER($N136),$N136="DNA"),$N136,IF(OR(ISNUMBER($M136),$M136="DNA"),$M136,IF(OR(ISNUMBER($L136),$L136="DNA"),$L136,"")))))))))&lt;TODAY())),1,0)+ISNUMBER($O136)*($O136&lt;TODAY())+ISNUMBER($P136)*($P136&lt;TODAY())+ISNUMBER($X136)*($X136&lt;TODAY())+ISNUMBER($Y136)*($Y136&lt;TODAY()))</f>
        <v/>
      </c>
    </row>
    <row r="137">
      <c r="A137" s="25" t="n"/>
      <c r="B137" s="26" t="n"/>
      <c r="C137" s="27" t="n"/>
      <c r="D137" s="25" t="n"/>
      <c r="E137" s="25" t="n"/>
      <c r="F137" s="27" t="n"/>
      <c r="G137" s="25" t="n"/>
      <c r="H137" s="28">
        <f>IF(OR(NOT(AND($A137&lt;&gt;"",OR($G137="",$G137="Active"))),$F137=""),"",INT((TODAY()-$F137+280)/7)&amp;"+"&amp;MOD(TODAY()-$F137+280,7))</f>
        <v/>
      </c>
      <c r="I137" s="28">
        <f>IF(NOT(AND($A137&lt;&gt;"",OR($G137="",$G137="Active"))),"",ISNUMBER($L137)*($L137&gt;=TODAY())*($L137&lt;=TODAY()+7)+ISNUMBER($M137)*($M137&gt;=TODAY())*($M137&lt;=TODAY()+7)+ISNUMBER($N137)*($N137&gt;=TODAY())*($N137&lt;=TODAY()+7)+ISNUMBER($Q137)*($Q137&gt;=TODAY())*($Q137&lt;=TODAY()+7)+ISNUMBER($R137)*($R137&gt;=TODAY())*($R137&lt;=TODAY()+7)+ISNUMBER($S137)*($S137&gt;=TODAY())*($S137&lt;=TODAY()+7)+ISNUMBER($T137)*($T137&gt;=TODAY())*($T137&lt;=TODAY()+7)+ISNUMBER($U137)*($U137&gt;=TODAY())*($U137&lt;=TODAY()+7)+ISNUMBER($V137)*($V137&gt;=TODAY())*($V137&lt;=TODAY()+7)+ISNUMBER($O137)*($O137&gt;=TODAY())*($O137&lt;=TODAY()+7)+ISNUMBER($P137)*($P137&gt;=TODAY())*($P137&lt;=TODAY()+7)+ISNUMBER($X137)*($X137&gt;=TODAY())*($X137&lt;=TODAY()+7)+ISNUMBER($Y137)*($Y137&gt;=TODAY())*($Y137&lt;=TODAY()+7))</f>
        <v/>
      </c>
      <c r="J137" s="28">
        <f>IF(NOT(AND($A137&lt;&gt;"",OR($G137="",$G137="Active"))),"",IF($K137&lt;&gt;"",IF($L137=$K137,"Booking",IF($M137=$K137,"16/40",IF($N137=$K137,"25/40",IF($Q137=$K137,"28/40",IF($R137=$K137,"31/40",IF($S137=$K137,"34/40",IF($T137=$K137,"36/40",IF($U137=$K137,"38/40",IF($V137=$K137,"40/40",""))))))))),IF(IF(OR(ISNUMBER($V137),$V137="DNA"),$V137,IF(OR(ISNUMBER($U137),$U137="DNA"),$U137,IF(OR(ISNUMBER($T137),$T137="DNA"),$T137,IF(OR(ISNUMBER($S137),$S137="DNA"),$S137,IF(OR(ISNUMBER($R137),$R137="DNA"),$R137,IF(OR(ISNUMBER($Q137),$Q137="DNA"),$Q137,IF(OR(ISNUMBER($N137),$N137="DNA"),$N137,IF(OR(ISNUMBER($M137),$M137="DNA"),$M137,IF(OR(ISNUMBER($L137),$L137="DNA"),$L137,"")))))))))="DNA","Rebook DNA",IF(ISNUMBER(IF(OR(ISNUMBER($V137),$V137="DNA"),$V137,IF(OR(ISNUMBER($U137),$U137="DNA"),$U137,IF(OR(ISNUMBER($T137),$T137="DNA"),$T137,IF(OR(ISNUMBER($S137),$S137="DNA"),$S137,IF(OR(ISNUMBER($R137),$R137="DNA"),$R137,IF(OR(ISNUMBER($Q137),$Q137="DNA"),$Q137,IF(OR(ISNUMBER($N137),$N137="DNA"),$N137,IF(OR(ISNUMBER($M137),$M137="DNA"),$M137,IF(OR(ISNUMBER($L137),$L137="DNA"),$L137,"")))))))))),IF(ISNUMBER($V137),"Update status","Missed/not booked?"),""))))</f>
        <v/>
      </c>
      <c r="K137" s="29">
        <f>IF(NOT(AND($A137&lt;&gt;"",OR($G137="",$G137="Active"))),"",IF(MIN(IF(AND(ISNUMBER($L137),$L137&gt;=TODAY()),$L137,99999),IF(AND(ISNUMBER($M137),$M137&gt;=TODAY()),$M137,99999),IF(AND(ISNUMBER($N137),$N137&gt;=TODAY()),$N137,99999),IF(AND(ISNUMBER($Q137),$Q137&gt;=TODAY()),$Q137,99999),IF(AND(ISNUMBER($R137),$R137&gt;=TODAY()),$R137,99999),IF(AND(ISNUMBER($S137),$S137&gt;=TODAY()),$S137,99999),IF(AND(ISNUMBER($T137),$T137&gt;=TODAY()),$T137,99999),IF(AND(ISNUMBER($U137),$U137&gt;=TODAY()),$U137,99999),IF(AND(ISNUMBER($V137),$V137&gt;=TODAY()),$V137,99999))=99999,"",MIN(IF(AND(ISNUMBER($L137),$L137&gt;=TODAY()),$L137,99999),IF(AND(ISNUMBER($M137),$M137&gt;=TODAY()),$M137,99999),IF(AND(ISNUMBER($N137),$N137&gt;=TODAY()),$N137,99999),IF(AND(ISNUMBER($Q137),$Q137&gt;=TODAY()),$Q137,99999),IF(AND(ISNUMBER($R137),$R137&gt;=TODAY()),$R137,99999),IF(AND(ISNUMBER($S137),$S137&gt;=TODAY()),$S137,99999),IF(AND(ISNUMBER($T137),$T137&gt;=TODAY()),$T137,99999),IF(AND(ISNUMBER($U137),$U137&gt;=TODAY()),$U137,99999),IF(AND(ISNUMBER($V137),$V137&gt;=TODAY()),$V137,99999))))</f>
        <v/>
      </c>
      <c r="L137" s="27" t="n"/>
      <c r="M137" s="27" t="n"/>
      <c r="N137" s="27" t="n"/>
      <c r="O137" s="27" t="n"/>
      <c r="P137" s="27" t="n"/>
      <c r="Q137" s="27" t="n"/>
      <c r="R137" s="27" t="n"/>
      <c r="S137" s="27" t="n"/>
      <c r="T137" s="27" t="n"/>
      <c r="U137" s="27" t="n"/>
      <c r="V137" s="27" t="n"/>
      <c r="W137" s="27" t="n"/>
      <c r="X137" s="27" t="n"/>
      <c r="Y137" s="27" t="n"/>
      <c r="Z137" s="30" t="n"/>
      <c r="AA137" s="25" t="n"/>
      <c r="AB137" s="28">
        <f>IF(NOT(AND($A137&lt;&gt;"",OR($G137="",$G137="Active"))),"",IF(OR(IF(OR(ISNUMBER($V137),$V137="DNA"),$V137,IF(OR(ISNUMBER($U137),$U137="DNA"),$U137,IF(OR(ISNUMBER($T137),$T137="DNA"),$T137,IF(OR(ISNUMBER($S137),$S137="DNA"),$S137,IF(OR(ISNUMBER($R137),$R137="DNA"),$R137,IF(OR(ISNUMBER($Q137),$Q137="DNA"),$Q137,IF(OR(ISNUMBER($N137),$N137="DNA"),$N137,IF(OR(ISNUMBER($M137),$M137="DNA"),$M137,IF(OR(ISNUMBER($L137),$L137="DNA"),$L137,"")))))))))="DNA",AND(ISNUMBER(IF(OR(ISNUMBER($V137),$V137="DNA"),$V137,IF(OR(ISNUMBER($U137),$U137="DNA"),$U137,IF(OR(ISNUMBER($T137),$T137="DNA"),$T137,IF(OR(ISNUMBER($S137),$S137="DNA"),$S137,IF(OR(ISNUMBER($R137),$R137="DNA"),$R137,IF(OR(ISNUMBER($Q137),$Q137="DNA"),$Q137,IF(OR(ISNUMBER($N137),$N137="DNA"),$N137,IF(OR(ISNUMBER($M137),$M137="DNA"),$M137,IF(OR(ISNUMBER($L137),$L137="DNA"),$L137,"")))))))))),IF(OR(ISNUMBER($V137),$V137="DNA"),$V137,IF(OR(ISNUMBER($U137),$U137="DNA"),$U137,IF(OR(ISNUMBER($T137),$T137="DNA"),$T137,IF(OR(ISNUMBER($S137),$S137="DNA"),$S137,IF(OR(ISNUMBER($R137),$R137="DNA"),$R137,IF(OR(ISNUMBER($Q137),$Q137="DNA"),$Q137,IF(OR(ISNUMBER($N137),$N137="DNA"),$N137,IF(OR(ISNUMBER($M137),$M137="DNA"),$M137,IF(OR(ISNUMBER($L137),$L137="DNA"),$L137,"")))))))))&lt;TODAY())),1,0)+ISNUMBER($O137)*($O137&lt;TODAY())+ISNUMBER($P137)*($P137&lt;TODAY())+ISNUMBER($X137)*($X137&lt;TODAY())+ISNUMBER($Y137)*($Y137&lt;TODAY()))</f>
        <v/>
      </c>
    </row>
    <row r="138">
      <c r="A138" s="25" t="n"/>
      <c r="B138" s="26" t="n"/>
      <c r="C138" s="27" t="n"/>
      <c r="D138" s="25" t="n"/>
      <c r="E138" s="25" t="n"/>
      <c r="F138" s="27" t="n"/>
      <c r="G138" s="25" t="n"/>
      <c r="H138" s="28">
        <f>IF(OR(NOT(AND($A138&lt;&gt;"",OR($G138="",$G138="Active"))),$F138=""),"",INT((TODAY()-$F138+280)/7)&amp;"+"&amp;MOD(TODAY()-$F138+280,7))</f>
        <v/>
      </c>
      <c r="I138" s="28">
        <f>IF(NOT(AND($A138&lt;&gt;"",OR($G138="",$G138="Active"))),"",ISNUMBER($L138)*($L138&gt;=TODAY())*($L138&lt;=TODAY()+7)+ISNUMBER($M138)*($M138&gt;=TODAY())*($M138&lt;=TODAY()+7)+ISNUMBER($N138)*($N138&gt;=TODAY())*($N138&lt;=TODAY()+7)+ISNUMBER($Q138)*($Q138&gt;=TODAY())*($Q138&lt;=TODAY()+7)+ISNUMBER($R138)*($R138&gt;=TODAY())*($R138&lt;=TODAY()+7)+ISNUMBER($S138)*($S138&gt;=TODAY())*($S138&lt;=TODAY()+7)+ISNUMBER($T138)*($T138&gt;=TODAY())*($T138&lt;=TODAY()+7)+ISNUMBER($U138)*($U138&gt;=TODAY())*($U138&lt;=TODAY()+7)+ISNUMBER($V138)*($V138&gt;=TODAY())*($V138&lt;=TODAY()+7)+ISNUMBER($O138)*($O138&gt;=TODAY())*($O138&lt;=TODAY()+7)+ISNUMBER($P138)*($P138&gt;=TODAY())*($P138&lt;=TODAY()+7)+ISNUMBER($X138)*($X138&gt;=TODAY())*($X138&lt;=TODAY()+7)+ISNUMBER($Y138)*($Y138&gt;=TODAY())*($Y138&lt;=TODAY()+7))</f>
        <v/>
      </c>
      <c r="J138" s="28">
        <f>IF(NOT(AND($A138&lt;&gt;"",OR($G138="",$G138="Active"))),"",IF($K138&lt;&gt;"",IF($L138=$K138,"Booking",IF($M138=$K138,"16/40",IF($N138=$K138,"25/40",IF($Q138=$K138,"28/40",IF($R138=$K138,"31/40",IF($S138=$K138,"34/40",IF($T138=$K138,"36/40",IF($U138=$K138,"38/40",IF($V138=$K138,"40/40",""))))))))),IF(IF(OR(ISNUMBER($V138),$V138="DNA"),$V138,IF(OR(ISNUMBER($U138),$U138="DNA"),$U138,IF(OR(ISNUMBER($T138),$T138="DNA"),$T138,IF(OR(ISNUMBER($S138),$S138="DNA"),$S138,IF(OR(ISNUMBER($R138),$R138="DNA"),$R138,IF(OR(ISNUMBER($Q138),$Q138="DNA"),$Q138,IF(OR(ISNUMBER($N138),$N138="DNA"),$N138,IF(OR(ISNUMBER($M138),$M138="DNA"),$M138,IF(OR(ISNUMBER($L138),$L138="DNA"),$L138,"")))))))))="DNA","Rebook DNA",IF(ISNUMBER(IF(OR(ISNUMBER($V138),$V138="DNA"),$V138,IF(OR(ISNUMBER($U138),$U138="DNA"),$U138,IF(OR(ISNUMBER($T138),$T138="DNA"),$T138,IF(OR(ISNUMBER($S138),$S138="DNA"),$S138,IF(OR(ISNUMBER($R138),$R138="DNA"),$R138,IF(OR(ISNUMBER($Q138),$Q138="DNA"),$Q138,IF(OR(ISNUMBER($N138),$N138="DNA"),$N138,IF(OR(ISNUMBER($M138),$M138="DNA"),$M138,IF(OR(ISNUMBER($L138),$L138="DNA"),$L138,"")))))))))),IF(ISNUMBER($V138),"Update status","Missed/not booked?"),""))))</f>
        <v/>
      </c>
      <c r="K138" s="29">
        <f>IF(NOT(AND($A138&lt;&gt;"",OR($G138="",$G138="Active"))),"",IF(MIN(IF(AND(ISNUMBER($L138),$L138&gt;=TODAY()),$L138,99999),IF(AND(ISNUMBER($M138),$M138&gt;=TODAY()),$M138,99999),IF(AND(ISNUMBER($N138),$N138&gt;=TODAY()),$N138,99999),IF(AND(ISNUMBER($Q138),$Q138&gt;=TODAY()),$Q138,99999),IF(AND(ISNUMBER($R138),$R138&gt;=TODAY()),$R138,99999),IF(AND(ISNUMBER($S138),$S138&gt;=TODAY()),$S138,99999),IF(AND(ISNUMBER($T138),$T138&gt;=TODAY()),$T138,99999),IF(AND(ISNUMBER($U138),$U138&gt;=TODAY()),$U138,99999),IF(AND(ISNUMBER($V138),$V138&gt;=TODAY()),$V138,99999))=99999,"",MIN(IF(AND(ISNUMBER($L138),$L138&gt;=TODAY()),$L138,99999),IF(AND(ISNUMBER($M138),$M138&gt;=TODAY()),$M138,99999),IF(AND(ISNUMBER($N138),$N138&gt;=TODAY()),$N138,99999),IF(AND(ISNUMBER($Q138),$Q138&gt;=TODAY()),$Q138,99999),IF(AND(ISNUMBER($R138),$R138&gt;=TODAY()),$R138,99999),IF(AND(ISNUMBER($S138),$S138&gt;=TODAY()),$S138,99999),IF(AND(ISNUMBER($T138),$T138&gt;=TODAY()),$T138,99999),IF(AND(ISNUMBER($U138),$U138&gt;=TODAY()),$U138,99999),IF(AND(ISNUMBER($V138),$V138&gt;=TODAY()),$V138,99999))))</f>
        <v/>
      </c>
      <c r="L138" s="27" t="n"/>
      <c r="M138" s="27" t="n"/>
      <c r="N138" s="27" t="n"/>
      <c r="O138" s="27" t="n"/>
      <c r="P138" s="27" t="n"/>
      <c r="Q138" s="27" t="n"/>
      <c r="R138" s="27" t="n"/>
      <c r="S138" s="27" t="n"/>
      <c r="T138" s="27" t="n"/>
      <c r="U138" s="27" t="n"/>
      <c r="V138" s="27" t="n"/>
      <c r="W138" s="27" t="n"/>
      <c r="X138" s="27" t="n"/>
      <c r="Y138" s="27" t="n"/>
      <c r="Z138" s="30" t="n"/>
      <c r="AA138" s="25" t="n"/>
      <c r="AB138" s="28">
        <f>IF(NOT(AND($A138&lt;&gt;"",OR($G138="",$G138="Active"))),"",IF(OR(IF(OR(ISNUMBER($V138),$V138="DNA"),$V138,IF(OR(ISNUMBER($U138),$U138="DNA"),$U138,IF(OR(ISNUMBER($T138),$T138="DNA"),$T138,IF(OR(ISNUMBER($S138),$S138="DNA"),$S138,IF(OR(ISNUMBER($R138),$R138="DNA"),$R138,IF(OR(ISNUMBER($Q138),$Q138="DNA"),$Q138,IF(OR(ISNUMBER($N138),$N138="DNA"),$N138,IF(OR(ISNUMBER($M138),$M138="DNA"),$M138,IF(OR(ISNUMBER($L138),$L138="DNA"),$L138,"")))))))))="DNA",AND(ISNUMBER(IF(OR(ISNUMBER($V138),$V138="DNA"),$V138,IF(OR(ISNUMBER($U138),$U138="DNA"),$U138,IF(OR(ISNUMBER($T138),$T138="DNA"),$T138,IF(OR(ISNUMBER($S138),$S138="DNA"),$S138,IF(OR(ISNUMBER($R138),$R138="DNA"),$R138,IF(OR(ISNUMBER($Q138),$Q138="DNA"),$Q138,IF(OR(ISNUMBER($N138),$N138="DNA"),$N138,IF(OR(ISNUMBER($M138),$M138="DNA"),$M138,IF(OR(ISNUMBER($L138),$L138="DNA"),$L138,"")))))))))),IF(OR(ISNUMBER($V138),$V138="DNA"),$V138,IF(OR(ISNUMBER($U138),$U138="DNA"),$U138,IF(OR(ISNUMBER($T138),$T138="DNA"),$T138,IF(OR(ISNUMBER($S138),$S138="DNA"),$S138,IF(OR(ISNUMBER($R138),$R138="DNA"),$R138,IF(OR(ISNUMBER($Q138),$Q138="DNA"),$Q138,IF(OR(ISNUMBER($N138),$N138="DNA"),$N138,IF(OR(ISNUMBER($M138),$M138="DNA"),$M138,IF(OR(ISNUMBER($L138),$L138="DNA"),$L138,"")))))))))&lt;TODAY())),1,0)+ISNUMBER($O138)*($O138&lt;TODAY())+ISNUMBER($P138)*($P138&lt;TODAY())+ISNUMBER($X138)*($X138&lt;TODAY())+ISNUMBER($Y138)*($Y138&lt;TODAY()))</f>
        <v/>
      </c>
    </row>
    <row r="139">
      <c r="A139" s="25" t="n"/>
      <c r="B139" s="26" t="n"/>
      <c r="C139" s="27" t="n"/>
      <c r="D139" s="25" t="n"/>
      <c r="E139" s="25" t="n"/>
      <c r="F139" s="27" t="n"/>
      <c r="G139" s="25" t="n"/>
      <c r="H139" s="28">
        <f>IF(OR(NOT(AND($A139&lt;&gt;"",OR($G139="",$G139="Active"))),$F139=""),"",INT((TODAY()-$F139+280)/7)&amp;"+"&amp;MOD(TODAY()-$F139+280,7))</f>
        <v/>
      </c>
      <c r="I139" s="28">
        <f>IF(NOT(AND($A139&lt;&gt;"",OR($G139="",$G139="Active"))),"",ISNUMBER($L139)*($L139&gt;=TODAY())*($L139&lt;=TODAY()+7)+ISNUMBER($M139)*($M139&gt;=TODAY())*($M139&lt;=TODAY()+7)+ISNUMBER($N139)*($N139&gt;=TODAY())*($N139&lt;=TODAY()+7)+ISNUMBER($Q139)*($Q139&gt;=TODAY())*($Q139&lt;=TODAY()+7)+ISNUMBER($R139)*($R139&gt;=TODAY())*($R139&lt;=TODAY()+7)+ISNUMBER($S139)*($S139&gt;=TODAY())*($S139&lt;=TODAY()+7)+ISNUMBER($T139)*($T139&gt;=TODAY())*($T139&lt;=TODAY()+7)+ISNUMBER($U139)*($U139&gt;=TODAY())*($U139&lt;=TODAY()+7)+ISNUMBER($V139)*($V139&gt;=TODAY())*($V139&lt;=TODAY()+7)+ISNUMBER($O139)*($O139&gt;=TODAY())*($O139&lt;=TODAY()+7)+ISNUMBER($P139)*($P139&gt;=TODAY())*($P139&lt;=TODAY()+7)+ISNUMBER($X139)*($X139&gt;=TODAY())*($X139&lt;=TODAY()+7)+ISNUMBER($Y139)*($Y139&gt;=TODAY())*($Y139&lt;=TODAY()+7))</f>
        <v/>
      </c>
      <c r="J139" s="28">
        <f>IF(NOT(AND($A139&lt;&gt;"",OR($G139="",$G139="Active"))),"",IF($K139&lt;&gt;"",IF($L139=$K139,"Booking",IF($M139=$K139,"16/40",IF($N139=$K139,"25/40",IF($Q139=$K139,"28/40",IF($R139=$K139,"31/40",IF($S139=$K139,"34/40",IF($T139=$K139,"36/40",IF($U139=$K139,"38/40",IF($V139=$K139,"40/40",""))))))))),IF(IF(OR(ISNUMBER($V139),$V139="DNA"),$V139,IF(OR(ISNUMBER($U139),$U139="DNA"),$U139,IF(OR(ISNUMBER($T139),$T139="DNA"),$T139,IF(OR(ISNUMBER($S139),$S139="DNA"),$S139,IF(OR(ISNUMBER($R139),$R139="DNA"),$R139,IF(OR(ISNUMBER($Q139),$Q139="DNA"),$Q139,IF(OR(ISNUMBER($N139),$N139="DNA"),$N139,IF(OR(ISNUMBER($M139),$M139="DNA"),$M139,IF(OR(ISNUMBER($L139),$L139="DNA"),$L139,"")))))))))="DNA","Rebook DNA",IF(ISNUMBER(IF(OR(ISNUMBER($V139),$V139="DNA"),$V139,IF(OR(ISNUMBER($U139),$U139="DNA"),$U139,IF(OR(ISNUMBER($T139),$T139="DNA"),$T139,IF(OR(ISNUMBER($S139),$S139="DNA"),$S139,IF(OR(ISNUMBER($R139),$R139="DNA"),$R139,IF(OR(ISNUMBER($Q139),$Q139="DNA"),$Q139,IF(OR(ISNUMBER($N139),$N139="DNA"),$N139,IF(OR(ISNUMBER($M139),$M139="DNA"),$M139,IF(OR(ISNUMBER($L139),$L139="DNA"),$L139,"")))))))))),IF(ISNUMBER($V139),"Update status","Missed/not booked?"),""))))</f>
        <v/>
      </c>
      <c r="K139" s="29">
        <f>IF(NOT(AND($A139&lt;&gt;"",OR($G139="",$G139="Active"))),"",IF(MIN(IF(AND(ISNUMBER($L139),$L139&gt;=TODAY()),$L139,99999),IF(AND(ISNUMBER($M139),$M139&gt;=TODAY()),$M139,99999),IF(AND(ISNUMBER($N139),$N139&gt;=TODAY()),$N139,99999),IF(AND(ISNUMBER($Q139),$Q139&gt;=TODAY()),$Q139,99999),IF(AND(ISNUMBER($R139),$R139&gt;=TODAY()),$R139,99999),IF(AND(ISNUMBER($S139),$S139&gt;=TODAY()),$S139,99999),IF(AND(ISNUMBER($T139),$T139&gt;=TODAY()),$T139,99999),IF(AND(ISNUMBER($U139),$U139&gt;=TODAY()),$U139,99999),IF(AND(ISNUMBER($V139),$V139&gt;=TODAY()),$V139,99999))=99999,"",MIN(IF(AND(ISNUMBER($L139),$L139&gt;=TODAY()),$L139,99999),IF(AND(ISNUMBER($M139),$M139&gt;=TODAY()),$M139,99999),IF(AND(ISNUMBER($N139),$N139&gt;=TODAY()),$N139,99999),IF(AND(ISNUMBER($Q139),$Q139&gt;=TODAY()),$Q139,99999),IF(AND(ISNUMBER($R139),$R139&gt;=TODAY()),$R139,99999),IF(AND(ISNUMBER($S139),$S139&gt;=TODAY()),$S139,99999),IF(AND(ISNUMBER($T139),$T139&gt;=TODAY()),$T139,99999),IF(AND(ISNUMBER($U139),$U139&gt;=TODAY()),$U139,99999),IF(AND(ISNUMBER($V139),$V139&gt;=TODAY()),$V139,99999))))</f>
        <v/>
      </c>
      <c r="L139" s="27" t="n"/>
      <c r="M139" s="27" t="n"/>
      <c r="N139" s="27" t="n"/>
      <c r="O139" s="27" t="n"/>
      <c r="P139" s="27" t="n"/>
      <c r="Q139" s="27" t="n"/>
      <c r="R139" s="27" t="n"/>
      <c r="S139" s="27" t="n"/>
      <c r="T139" s="27" t="n"/>
      <c r="U139" s="27" t="n"/>
      <c r="V139" s="27" t="n"/>
      <c r="W139" s="27" t="n"/>
      <c r="X139" s="27" t="n"/>
      <c r="Y139" s="27" t="n"/>
      <c r="Z139" s="30" t="n"/>
      <c r="AA139" s="25" t="n"/>
      <c r="AB139" s="28">
        <f>IF(NOT(AND($A139&lt;&gt;"",OR($G139="",$G139="Active"))),"",IF(OR(IF(OR(ISNUMBER($V139),$V139="DNA"),$V139,IF(OR(ISNUMBER($U139),$U139="DNA"),$U139,IF(OR(ISNUMBER($T139),$T139="DNA"),$T139,IF(OR(ISNUMBER($S139),$S139="DNA"),$S139,IF(OR(ISNUMBER($R139),$R139="DNA"),$R139,IF(OR(ISNUMBER($Q139),$Q139="DNA"),$Q139,IF(OR(ISNUMBER($N139),$N139="DNA"),$N139,IF(OR(ISNUMBER($M139),$M139="DNA"),$M139,IF(OR(ISNUMBER($L139),$L139="DNA"),$L139,"")))))))))="DNA",AND(ISNUMBER(IF(OR(ISNUMBER($V139),$V139="DNA"),$V139,IF(OR(ISNUMBER($U139),$U139="DNA"),$U139,IF(OR(ISNUMBER($T139),$T139="DNA"),$T139,IF(OR(ISNUMBER($S139),$S139="DNA"),$S139,IF(OR(ISNUMBER($R139),$R139="DNA"),$R139,IF(OR(ISNUMBER($Q139),$Q139="DNA"),$Q139,IF(OR(ISNUMBER($N139),$N139="DNA"),$N139,IF(OR(ISNUMBER($M139),$M139="DNA"),$M139,IF(OR(ISNUMBER($L139),$L139="DNA"),$L139,"")))))))))),IF(OR(ISNUMBER($V139),$V139="DNA"),$V139,IF(OR(ISNUMBER($U139),$U139="DNA"),$U139,IF(OR(ISNUMBER($T139),$T139="DNA"),$T139,IF(OR(ISNUMBER($S139),$S139="DNA"),$S139,IF(OR(ISNUMBER($R139),$R139="DNA"),$R139,IF(OR(ISNUMBER($Q139),$Q139="DNA"),$Q139,IF(OR(ISNUMBER($N139),$N139="DNA"),$N139,IF(OR(ISNUMBER($M139),$M139="DNA"),$M139,IF(OR(ISNUMBER($L139),$L139="DNA"),$L139,"")))))))))&lt;TODAY())),1,0)+ISNUMBER($O139)*($O139&lt;TODAY())+ISNUMBER($P139)*($P139&lt;TODAY())+ISNUMBER($X139)*($X139&lt;TODAY())+ISNUMBER($Y139)*($Y139&lt;TODAY()))</f>
        <v/>
      </c>
    </row>
    <row r="140">
      <c r="A140" s="25" t="n"/>
      <c r="B140" s="26" t="n"/>
      <c r="C140" s="27" t="n"/>
      <c r="D140" s="25" t="n"/>
      <c r="E140" s="25" t="n"/>
      <c r="F140" s="27" t="n"/>
      <c r="G140" s="25" t="n"/>
      <c r="H140" s="28">
        <f>IF(OR(NOT(AND($A140&lt;&gt;"",OR($G140="",$G140="Active"))),$F140=""),"",INT((TODAY()-$F140+280)/7)&amp;"+"&amp;MOD(TODAY()-$F140+280,7))</f>
        <v/>
      </c>
      <c r="I140" s="28">
        <f>IF(NOT(AND($A140&lt;&gt;"",OR($G140="",$G140="Active"))),"",ISNUMBER($L140)*($L140&gt;=TODAY())*($L140&lt;=TODAY()+7)+ISNUMBER($M140)*($M140&gt;=TODAY())*($M140&lt;=TODAY()+7)+ISNUMBER($N140)*($N140&gt;=TODAY())*($N140&lt;=TODAY()+7)+ISNUMBER($Q140)*($Q140&gt;=TODAY())*($Q140&lt;=TODAY()+7)+ISNUMBER($R140)*($R140&gt;=TODAY())*($R140&lt;=TODAY()+7)+ISNUMBER($S140)*($S140&gt;=TODAY())*($S140&lt;=TODAY()+7)+ISNUMBER($T140)*($T140&gt;=TODAY())*($T140&lt;=TODAY()+7)+ISNUMBER($U140)*($U140&gt;=TODAY())*($U140&lt;=TODAY()+7)+ISNUMBER($V140)*($V140&gt;=TODAY())*($V140&lt;=TODAY()+7)+ISNUMBER($O140)*($O140&gt;=TODAY())*($O140&lt;=TODAY()+7)+ISNUMBER($P140)*($P140&gt;=TODAY())*($P140&lt;=TODAY()+7)+ISNUMBER($X140)*($X140&gt;=TODAY())*($X140&lt;=TODAY()+7)+ISNUMBER($Y140)*($Y140&gt;=TODAY())*($Y140&lt;=TODAY()+7))</f>
        <v/>
      </c>
      <c r="J140" s="28">
        <f>IF(NOT(AND($A140&lt;&gt;"",OR($G140="",$G140="Active"))),"",IF($K140&lt;&gt;"",IF($L140=$K140,"Booking",IF($M140=$K140,"16/40",IF($N140=$K140,"25/40",IF($Q140=$K140,"28/40",IF($R140=$K140,"31/40",IF($S140=$K140,"34/40",IF($T140=$K140,"36/40",IF($U140=$K140,"38/40",IF($V140=$K140,"40/40",""))))))))),IF(IF(OR(ISNUMBER($V140),$V140="DNA"),$V140,IF(OR(ISNUMBER($U140),$U140="DNA"),$U140,IF(OR(ISNUMBER($T140),$T140="DNA"),$T140,IF(OR(ISNUMBER($S140),$S140="DNA"),$S140,IF(OR(ISNUMBER($R140),$R140="DNA"),$R140,IF(OR(ISNUMBER($Q140),$Q140="DNA"),$Q140,IF(OR(ISNUMBER($N140),$N140="DNA"),$N140,IF(OR(ISNUMBER($M140),$M140="DNA"),$M140,IF(OR(ISNUMBER($L140),$L140="DNA"),$L140,"")))))))))="DNA","Rebook DNA",IF(ISNUMBER(IF(OR(ISNUMBER($V140),$V140="DNA"),$V140,IF(OR(ISNUMBER($U140),$U140="DNA"),$U140,IF(OR(ISNUMBER($T140),$T140="DNA"),$T140,IF(OR(ISNUMBER($S140),$S140="DNA"),$S140,IF(OR(ISNUMBER($R140),$R140="DNA"),$R140,IF(OR(ISNUMBER($Q140),$Q140="DNA"),$Q140,IF(OR(ISNUMBER($N140),$N140="DNA"),$N140,IF(OR(ISNUMBER($M140),$M140="DNA"),$M140,IF(OR(ISNUMBER($L140),$L140="DNA"),$L140,"")))))))))),IF(ISNUMBER($V140),"Update status","Missed/not booked?"),""))))</f>
        <v/>
      </c>
      <c r="K140" s="29">
        <f>IF(NOT(AND($A140&lt;&gt;"",OR($G140="",$G140="Active"))),"",IF(MIN(IF(AND(ISNUMBER($L140),$L140&gt;=TODAY()),$L140,99999),IF(AND(ISNUMBER($M140),$M140&gt;=TODAY()),$M140,99999),IF(AND(ISNUMBER($N140),$N140&gt;=TODAY()),$N140,99999),IF(AND(ISNUMBER($Q140),$Q140&gt;=TODAY()),$Q140,99999),IF(AND(ISNUMBER($R140),$R140&gt;=TODAY()),$R140,99999),IF(AND(ISNUMBER($S140),$S140&gt;=TODAY()),$S140,99999),IF(AND(ISNUMBER($T140),$T140&gt;=TODAY()),$T140,99999),IF(AND(ISNUMBER($U140),$U140&gt;=TODAY()),$U140,99999),IF(AND(ISNUMBER($V140),$V140&gt;=TODAY()),$V140,99999))=99999,"",MIN(IF(AND(ISNUMBER($L140),$L140&gt;=TODAY()),$L140,99999),IF(AND(ISNUMBER($M140),$M140&gt;=TODAY()),$M140,99999),IF(AND(ISNUMBER($N140),$N140&gt;=TODAY()),$N140,99999),IF(AND(ISNUMBER($Q140),$Q140&gt;=TODAY()),$Q140,99999),IF(AND(ISNUMBER($R140),$R140&gt;=TODAY()),$R140,99999),IF(AND(ISNUMBER($S140),$S140&gt;=TODAY()),$S140,99999),IF(AND(ISNUMBER($T140),$T140&gt;=TODAY()),$T140,99999),IF(AND(ISNUMBER($U140),$U140&gt;=TODAY()),$U140,99999),IF(AND(ISNUMBER($V140),$V140&gt;=TODAY()),$V140,99999))))</f>
        <v/>
      </c>
      <c r="L140" s="27" t="n"/>
      <c r="M140" s="27" t="n"/>
      <c r="N140" s="27" t="n"/>
      <c r="O140" s="27" t="n"/>
      <c r="P140" s="27" t="n"/>
      <c r="Q140" s="27" t="n"/>
      <c r="R140" s="27" t="n"/>
      <c r="S140" s="27" t="n"/>
      <c r="T140" s="27" t="n"/>
      <c r="U140" s="27" t="n"/>
      <c r="V140" s="27" t="n"/>
      <c r="W140" s="27" t="n"/>
      <c r="X140" s="27" t="n"/>
      <c r="Y140" s="27" t="n"/>
      <c r="Z140" s="30" t="n"/>
      <c r="AA140" s="25" t="n"/>
      <c r="AB140" s="28">
        <f>IF(NOT(AND($A140&lt;&gt;"",OR($G140="",$G140="Active"))),"",IF(OR(IF(OR(ISNUMBER($V140),$V140="DNA"),$V140,IF(OR(ISNUMBER($U140),$U140="DNA"),$U140,IF(OR(ISNUMBER($T140),$T140="DNA"),$T140,IF(OR(ISNUMBER($S140),$S140="DNA"),$S140,IF(OR(ISNUMBER($R140),$R140="DNA"),$R140,IF(OR(ISNUMBER($Q140),$Q140="DNA"),$Q140,IF(OR(ISNUMBER($N140),$N140="DNA"),$N140,IF(OR(ISNUMBER($M140),$M140="DNA"),$M140,IF(OR(ISNUMBER($L140),$L140="DNA"),$L140,"")))))))))="DNA",AND(ISNUMBER(IF(OR(ISNUMBER($V140),$V140="DNA"),$V140,IF(OR(ISNUMBER($U140),$U140="DNA"),$U140,IF(OR(ISNUMBER($T140),$T140="DNA"),$T140,IF(OR(ISNUMBER($S140),$S140="DNA"),$S140,IF(OR(ISNUMBER($R140),$R140="DNA"),$R140,IF(OR(ISNUMBER($Q140),$Q140="DNA"),$Q140,IF(OR(ISNUMBER($N140),$N140="DNA"),$N140,IF(OR(ISNUMBER($M140),$M140="DNA"),$M140,IF(OR(ISNUMBER($L140),$L140="DNA"),$L140,"")))))))))),IF(OR(ISNUMBER($V140),$V140="DNA"),$V140,IF(OR(ISNUMBER($U140),$U140="DNA"),$U140,IF(OR(ISNUMBER($T140),$T140="DNA"),$T140,IF(OR(ISNUMBER($S140),$S140="DNA"),$S140,IF(OR(ISNUMBER($R140),$R140="DNA"),$R140,IF(OR(ISNUMBER($Q140),$Q140="DNA"),$Q140,IF(OR(ISNUMBER($N140),$N140="DNA"),$N140,IF(OR(ISNUMBER($M140),$M140="DNA"),$M140,IF(OR(ISNUMBER($L140),$L140="DNA"),$L140,"")))))))))&lt;TODAY())),1,0)+ISNUMBER($O140)*($O140&lt;TODAY())+ISNUMBER($P140)*($P140&lt;TODAY())+ISNUMBER($X140)*($X140&lt;TODAY())+ISNUMBER($Y140)*($Y140&lt;TODAY()))</f>
        <v/>
      </c>
    </row>
    <row r="141">
      <c r="A141" s="25" t="n"/>
      <c r="B141" s="26" t="n"/>
      <c r="C141" s="27" t="n"/>
      <c r="D141" s="25" t="n"/>
      <c r="E141" s="25" t="n"/>
      <c r="F141" s="27" t="n"/>
      <c r="G141" s="25" t="n"/>
      <c r="H141" s="28">
        <f>IF(OR(NOT(AND($A141&lt;&gt;"",OR($G141="",$G141="Active"))),$F141=""),"",INT((TODAY()-$F141+280)/7)&amp;"+"&amp;MOD(TODAY()-$F141+280,7))</f>
        <v/>
      </c>
      <c r="I141" s="28">
        <f>IF(NOT(AND($A141&lt;&gt;"",OR($G141="",$G141="Active"))),"",ISNUMBER($L141)*($L141&gt;=TODAY())*($L141&lt;=TODAY()+7)+ISNUMBER($M141)*($M141&gt;=TODAY())*($M141&lt;=TODAY()+7)+ISNUMBER($N141)*($N141&gt;=TODAY())*($N141&lt;=TODAY()+7)+ISNUMBER($Q141)*($Q141&gt;=TODAY())*($Q141&lt;=TODAY()+7)+ISNUMBER($R141)*($R141&gt;=TODAY())*($R141&lt;=TODAY()+7)+ISNUMBER($S141)*($S141&gt;=TODAY())*($S141&lt;=TODAY()+7)+ISNUMBER($T141)*($T141&gt;=TODAY())*($T141&lt;=TODAY()+7)+ISNUMBER($U141)*($U141&gt;=TODAY())*($U141&lt;=TODAY()+7)+ISNUMBER($V141)*($V141&gt;=TODAY())*($V141&lt;=TODAY()+7)+ISNUMBER($O141)*($O141&gt;=TODAY())*($O141&lt;=TODAY()+7)+ISNUMBER($P141)*($P141&gt;=TODAY())*($P141&lt;=TODAY()+7)+ISNUMBER($X141)*($X141&gt;=TODAY())*($X141&lt;=TODAY()+7)+ISNUMBER($Y141)*($Y141&gt;=TODAY())*($Y141&lt;=TODAY()+7))</f>
        <v/>
      </c>
      <c r="J141" s="28">
        <f>IF(NOT(AND($A141&lt;&gt;"",OR($G141="",$G141="Active"))),"",IF($K141&lt;&gt;"",IF($L141=$K141,"Booking",IF($M141=$K141,"16/40",IF($N141=$K141,"25/40",IF($Q141=$K141,"28/40",IF($R141=$K141,"31/40",IF($S141=$K141,"34/40",IF($T141=$K141,"36/40",IF($U141=$K141,"38/40",IF($V141=$K141,"40/40",""))))))))),IF(IF(OR(ISNUMBER($V141),$V141="DNA"),$V141,IF(OR(ISNUMBER($U141),$U141="DNA"),$U141,IF(OR(ISNUMBER($T141),$T141="DNA"),$T141,IF(OR(ISNUMBER($S141),$S141="DNA"),$S141,IF(OR(ISNUMBER($R141),$R141="DNA"),$R141,IF(OR(ISNUMBER($Q141),$Q141="DNA"),$Q141,IF(OR(ISNUMBER($N141),$N141="DNA"),$N141,IF(OR(ISNUMBER($M141),$M141="DNA"),$M141,IF(OR(ISNUMBER($L141),$L141="DNA"),$L141,"")))))))))="DNA","Rebook DNA",IF(ISNUMBER(IF(OR(ISNUMBER($V141),$V141="DNA"),$V141,IF(OR(ISNUMBER($U141),$U141="DNA"),$U141,IF(OR(ISNUMBER($T141),$T141="DNA"),$T141,IF(OR(ISNUMBER($S141),$S141="DNA"),$S141,IF(OR(ISNUMBER($R141),$R141="DNA"),$R141,IF(OR(ISNUMBER($Q141),$Q141="DNA"),$Q141,IF(OR(ISNUMBER($N141),$N141="DNA"),$N141,IF(OR(ISNUMBER($M141),$M141="DNA"),$M141,IF(OR(ISNUMBER($L141),$L141="DNA"),$L141,"")))))))))),IF(ISNUMBER($V141),"Update status","Missed/not booked?"),""))))</f>
        <v/>
      </c>
      <c r="K141" s="29">
        <f>IF(NOT(AND($A141&lt;&gt;"",OR($G141="",$G141="Active"))),"",IF(MIN(IF(AND(ISNUMBER($L141),$L141&gt;=TODAY()),$L141,99999),IF(AND(ISNUMBER($M141),$M141&gt;=TODAY()),$M141,99999),IF(AND(ISNUMBER($N141),$N141&gt;=TODAY()),$N141,99999),IF(AND(ISNUMBER($Q141),$Q141&gt;=TODAY()),$Q141,99999),IF(AND(ISNUMBER($R141),$R141&gt;=TODAY()),$R141,99999),IF(AND(ISNUMBER($S141),$S141&gt;=TODAY()),$S141,99999),IF(AND(ISNUMBER($T141),$T141&gt;=TODAY()),$T141,99999),IF(AND(ISNUMBER($U141),$U141&gt;=TODAY()),$U141,99999),IF(AND(ISNUMBER($V141),$V141&gt;=TODAY()),$V141,99999))=99999,"",MIN(IF(AND(ISNUMBER($L141),$L141&gt;=TODAY()),$L141,99999),IF(AND(ISNUMBER($M141),$M141&gt;=TODAY()),$M141,99999),IF(AND(ISNUMBER($N141),$N141&gt;=TODAY()),$N141,99999),IF(AND(ISNUMBER($Q141),$Q141&gt;=TODAY()),$Q141,99999),IF(AND(ISNUMBER($R141),$R141&gt;=TODAY()),$R141,99999),IF(AND(ISNUMBER($S141),$S141&gt;=TODAY()),$S141,99999),IF(AND(ISNUMBER($T141),$T141&gt;=TODAY()),$T141,99999),IF(AND(ISNUMBER($U141),$U141&gt;=TODAY()),$U141,99999),IF(AND(ISNUMBER($V141),$V141&gt;=TODAY()),$V141,99999))))</f>
        <v/>
      </c>
      <c r="L141" s="27" t="n"/>
      <c r="M141" s="27" t="n"/>
      <c r="N141" s="27" t="n"/>
      <c r="O141" s="27" t="n"/>
      <c r="P141" s="27" t="n"/>
      <c r="Q141" s="27" t="n"/>
      <c r="R141" s="27" t="n"/>
      <c r="S141" s="27" t="n"/>
      <c r="T141" s="27" t="n"/>
      <c r="U141" s="27" t="n"/>
      <c r="V141" s="27" t="n"/>
      <c r="W141" s="27" t="n"/>
      <c r="X141" s="27" t="n"/>
      <c r="Y141" s="27" t="n"/>
      <c r="Z141" s="30" t="n"/>
      <c r="AA141" s="25" t="n"/>
      <c r="AB141" s="28">
        <f>IF(NOT(AND($A141&lt;&gt;"",OR($G141="",$G141="Active"))),"",IF(OR(IF(OR(ISNUMBER($V141),$V141="DNA"),$V141,IF(OR(ISNUMBER($U141),$U141="DNA"),$U141,IF(OR(ISNUMBER($T141),$T141="DNA"),$T141,IF(OR(ISNUMBER($S141),$S141="DNA"),$S141,IF(OR(ISNUMBER($R141),$R141="DNA"),$R141,IF(OR(ISNUMBER($Q141),$Q141="DNA"),$Q141,IF(OR(ISNUMBER($N141),$N141="DNA"),$N141,IF(OR(ISNUMBER($M141),$M141="DNA"),$M141,IF(OR(ISNUMBER($L141),$L141="DNA"),$L141,"")))))))))="DNA",AND(ISNUMBER(IF(OR(ISNUMBER($V141),$V141="DNA"),$V141,IF(OR(ISNUMBER($U141),$U141="DNA"),$U141,IF(OR(ISNUMBER($T141),$T141="DNA"),$T141,IF(OR(ISNUMBER($S141),$S141="DNA"),$S141,IF(OR(ISNUMBER($R141),$R141="DNA"),$R141,IF(OR(ISNUMBER($Q141),$Q141="DNA"),$Q141,IF(OR(ISNUMBER($N141),$N141="DNA"),$N141,IF(OR(ISNUMBER($M141),$M141="DNA"),$M141,IF(OR(ISNUMBER($L141),$L141="DNA"),$L141,"")))))))))),IF(OR(ISNUMBER($V141),$V141="DNA"),$V141,IF(OR(ISNUMBER($U141),$U141="DNA"),$U141,IF(OR(ISNUMBER($T141),$T141="DNA"),$T141,IF(OR(ISNUMBER($S141),$S141="DNA"),$S141,IF(OR(ISNUMBER($R141),$R141="DNA"),$R141,IF(OR(ISNUMBER($Q141),$Q141="DNA"),$Q141,IF(OR(ISNUMBER($N141),$N141="DNA"),$N141,IF(OR(ISNUMBER($M141),$M141="DNA"),$M141,IF(OR(ISNUMBER($L141),$L141="DNA"),$L141,"")))))))))&lt;TODAY())),1,0)+ISNUMBER($O141)*($O141&lt;TODAY())+ISNUMBER($P141)*($P141&lt;TODAY())+ISNUMBER($X141)*($X141&lt;TODAY())+ISNUMBER($Y141)*($Y141&lt;TODAY()))</f>
        <v/>
      </c>
    </row>
    <row r="142">
      <c r="A142" s="25" t="n"/>
      <c r="B142" s="26" t="n"/>
      <c r="C142" s="27" t="n"/>
      <c r="D142" s="25" t="n"/>
      <c r="E142" s="25" t="n"/>
      <c r="F142" s="27" t="n"/>
      <c r="G142" s="25" t="n"/>
      <c r="H142" s="28">
        <f>IF(OR(NOT(AND($A142&lt;&gt;"",OR($G142="",$G142="Active"))),$F142=""),"",INT((TODAY()-$F142+280)/7)&amp;"+"&amp;MOD(TODAY()-$F142+280,7))</f>
        <v/>
      </c>
      <c r="I142" s="28">
        <f>IF(NOT(AND($A142&lt;&gt;"",OR($G142="",$G142="Active"))),"",ISNUMBER($L142)*($L142&gt;=TODAY())*($L142&lt;=TODAY()+7)+ISNUMBER($M142)*($M142&gt;=TODAY())*($M142&lt;=TODAY()+7)+ISNUMBER($N142)*($N142&gt;=TODAY())*($N142&lt;=TODAY()+7)+ISNUMBER($Q142)*($Q142&gt;=TODAY())*($Q142&lt;=TODAY()+7)+ISNUMBER($R142)*($R142&gt;=TODAY())*($R142&lt;=TODAY()+7)+ISNUMBER($S142)*($S142&gt;=TODAY())*($S142&lt;=TODAY()+7)+ISNUMBER($T142)*($T142&gt;=TODAY())*($T142&lt;=TODAY()+7)+ISNUMBER($U142)*($U142&gt;=TODAY())*($U142&lt;=TODAY()+7)+ISNUMBER($V142)*($V142&gt;=TODAY())*($V142&lt;=TODAY()+7)+ISNUMBER($O142)*($O142&gt;=TODAY())*($O142&lt;=TODAY()+7)+ISNUMBER($P142)*($P142&gt;=TODAY())*($P142&lt;=TODAY()+7)+ISNUMBER($X142)*($X142&gt;=TODAY())*($X142&lt;=TODAY()+7)+ISNUMBER($Y142)*($Y142&gt;=TODAY())*($Y142&lt;=TODAY()+7))</f>
        <v/>
      </c>
      <c r="J142" s="28">
        <f>IF(NOT(AND($A142&lt;&gt;"",OR($G142="",$G142="Active"))),"",IF($K142&lt;&gt;"",IF($L142=$K142,"Booking",IF($M142=$K142,"16/40",IF($N142=$K142,"25/40",IF($Q142=$K142,"28/40",IF($R142=$K142,"31/40",IF($S142=$K142,"34/40",IF($T142=$K142,"36/40",IF($U142=$K142,"38/40",IF($V142=$K142,"40/40",""))))))))),IF(IF(OR(ISNUMBER($V142),$V142="DNA"),$V142,IF(OR(ISNUMBER($U142),$U142="DNA"),$U142,IF(OR(ISNUMBER($T142),$T142="DNA"),$T142,IF(OR(ISNUMBER($S142),$S142="DNA"),$S142,IF(OR(ISNUMBER($R142),$R142="DNA"),$R142,IF(OR(ISNUMBER($Q142),$Q142="DNA"),$Q142,IF(OR(ISNUMBER($N142),$N142="DNA"),$N142,IF(OR(ISNUMBER($M142),$M142="DNA"),$M142,IF(OR(ISNUMBER($L142),$L142="DNA"),$L142,"")))))))))="DNA","Rebook DNA",IF(ISNUMBER(IF(OR(ISNUMBER($V142),$V142="DNA"),$V142,IF(OR(ISNUMBER($U142),$U142="DNA"),$U142,IF(OR(ISNUMBER($T142),$T142="DNA"),$T142,IF(OR(ISNUMBER($S142),$S142="DNA"),$S142,IF(OR(ISNUMBER($R142),$R142="DNA"),$R142,IF(OR(ISNUMBER($Q142),$Q142="DNA"),$Q142,IF(OR(ISNUMBER($N142),$N142="DNA"),$N142,IF(OR(ISNUMBER($M142),$M142="DNA"),$M142,IF(OR(ISNUMBER($L142),$L142="DNA"),$L142,"")))))))))),IF(ISNUMBER($V142),"Update status","Missed/not booked?"),""))))</f>
        <v/>
      </c>
      <c r="K142" s="29">
        <f>IF(NOT(AND($A142&lt;&gt;"",OR($G142="",$G142="Active"))),"",IF(MIN(IF(AND(ISNUMBER($L142),$L142&gt;=TODAY()),$L142,99999),IF(AND(ISNUMBER($M142),$M142&gt;=TODAY()),$M142,99999),IF(AND(ISNUMBER($N142),$N142&gt;=TODAY()),$N142,99999),IF(AND(ISNUMBER($Q142),$Q142&gt;=TODAY()),$Q142,99999),IF(AND(ISNUMBER($R142),$R142&gt;=TODAY()),$R142,99999),IF(AND(ISNUMBER($S142),$S142&gt;=TODAY()),$S142,99999),IF(AND(ISNUMBER($T142),$T142&gt;=TODAY()),$T142,99999),IF(AND(ISNUMBER($U142),$U142&gt;=TODAY()),$U142,99999),IF(AND(ISNUMBER($V142),$V142&gt;=TODAY()),$V142,99999))=99999,"",MIN(IF(AND(ISNUMBER($L142),$L142&gt;=TODAY()),$L142,99999),IF(AND(ISNUMBER($M142),$M142&gt;=TODAY()),$M142,99999),IF(AND(ISNUMBER($N142),$N142&gt;=TODAY()),$N142,99999),IF(AND(ISNUMBER($Q142),$Q142&gt;=TODAY()),$Q142,99999),IF(AND(ISNUMBER($R142),$R142&gt;=TODAY()),$R142,99999),IF(AND(ISNUMBER($S142),$S142&gt;=TODAY()),$S142,99999),IF(AND(ISNUMBER($T142),$T142&gt;=TODAY()),$T142,99999),IF(AND(ISNUMBER($U142),$U142&gt;=TODAY()),$U142,99999),IF(AND(ISNUMBER($V142),$V142&gt;=TODAY()),$V142,99999))))</f>
        <v/>
      </c>
      <c r="L142" s="27" t="n"/>
      <c r="M142" s="27" t="n"/>
      <c r="N142" s="27" t="n"/>
      <c r="O142" s="27" t="n"/>
      <c r="P142" s="27" t="n"/>
      <c r="Q142" s="27" t="n"/>
      <c r="R142" s="27" t="n"/>
      <c r="S142" s="27" t="n"/>
      <c r="T142" s="27" t="n"/>
      <c r="U142" s="27" t="n"/>
      <c r="V142" s="27" t="n"/>
      <c r="W142" s="27" t="n"/>
      <c r="X142" s="27" t="n"/>
      <c r="Y142" s="27" t="n"/>
      <c r="Z142" s="30" t="n"/>
      <c r="AA142" s="25" t="n"/>
      <c r="AB142" s="28">
        <f>IF(NOT(AND($A142&lt;&gt;"",OR($G142="",$G142="Active"))),"",IF(OR(IF(OR(ISNUMBER($V142),$V142="DNA"),$V142,IF(OR(ISNUMBER($U142),$U142="DNA"),$U142,IF(OR(ISNUMBER($T142),$T142="DNA"),$T142,IF(OR(ISNUMBER($S142),$S142="DNA"),$S142,IF(OR(ISNUMBER($R142),$R142="DNA"),$R142,IF(OR(ISNUMBER($Q142),$Q142="DNA"),$Q142,IF(OR(ISNUMBER($N142),$N142="DNA"),$N142,IF(OR(ISNUMBER($M142),$M142="DNA"),$M142,IF(OR(ISNUMBER($L142),$L142="DNA"),$L142,"")))))))))="DNA",AND(ISNUMBER(IF(OR(ISNUMBER($V142),$V142="DNA"),$V142,IF(OR(ISNUMBER($U142),$U142="DNA"),$U142,IF(OR(ISNUMBER($T142),$T142="DNA"),$T142,IF(OR(ISNUMBER($S142),$S142="DNA"),$S142,IF(OR(ISNUMBER($R142),$R142="DNA"),$R142,IF(OR(ISNUMBER($Q142),$Q142="DNA"),$Q142,IF(OR(ISNUMBER($N142),$N142="DNA"),$N142,IF(OR(ISNUMBER($M142),$M142="DNA"),$M142,IF(OR(ISNUMBER($L142),$L142="DNA"),$L142,"")))))))))),IF(OR(ISNUMBER($V142),$V142="DNA"),$V142,IF(OR(ISNUMBER($U142),$U142="DNA"),$U142,IF(OR(ISNUMBER($T142),$T142="DNA"),$T142,IF(OR(ISNUMBER($S142),$S142="DNA"),$S142,IF(OR(ISNUMBER($R142),$R142="DNA"),$R142,IF(OR(ISNUMBER($Q142),$Q142="DNA"),$Q142,IF(OR(ISNUMBER($N142),$N142="DNA"),$N142,IF(OR(ISNUMBER($M142),$M142="DNA"),$M142,IF(OR(ISNUMBER($L142),$L142="DNA"),$L142,"")))))))))&lt;TODAY())),1,0)+ISNUMBER($O142)*($O142&lt;TODAY())+ISNUMBER($P142)*($P142&lt;TODAY())+ISNUMBER($X142)*($X142&lt;TODAY())+ISNUMBER($Y142)*($Y142&lt;TODAY()))</f>
        <v/>
      </c>
    </row>
    <row r="143">
      <c r="A143" s="25" t="n"/>
      <c r="B143" s="26" t="n"/>
      <c r="C143" s="27" t="n"/>
      <c r="D143" s="25" t="n"/>
      <c r="E143" s="25" t="n"/>
      <c r="F143" s="27" t="n"/>
      <c r="G143" s="25" t="n"/>
      <c r="H143" s="28">
        <f>IF(OR(NOT(AND($A143&lt;&gt;"",OR($G143="",$G143="Active"))),$F143=""),"",INT((TODAY()-$F143+280)/7)&amp;"+"&amp;MOD(TODAY()-$F143+280,7))</f>
        <v/>
      </c>
      <c r="I143" s="28">
        <f>IF(NOT(AND($A143&lt;&gt;"",OR($G143="",$G143="Active"))),"",ISNUMBER($L143)*($L143&gt;=TODAY())*($L143&lt;=TODAY()+7)+ISNUMBER($M143)*($M143&gt;=TODAY())*($M143&lt;=TODAY()+7)+ISNUMBER($N143)*($N143&gt;=TODAY())*($N143&lt;=TODAY()+7)+ISNUMBER($Q143)*($Q143&gt;=TODAY())*($Q143&lt;=TODAY()+7)+ISNUMBER($R143)*($R143&gt;=TODAY())*($R143&lt;=TODAY()+7)+ISNUMBER($S143)*($S143&gt;=TODAY())*($S143&lt;=TODAY()+7)+ISNUMBER($T143)*($T143&gt;=TODAY())*($T143&lt;=TODAY()+7)+ISNUMBER($U143)*($U143&gt;=TODAY())*($U143&lt;=TODAY()+7)+ISNUMBER($V143)*($V143&gt;=TODAY())*($V143&lt;=TODAY()+7)+ISNUMBER($O143)*($O143&gt;=TODAY())*($O143&lt;=TODAY()+7)+ISNUMBER($P143)*($P143&gt;=TODAY())*($P143&lt;=TODAY()+7)+ISNUMBER($X143)*($X143&gt;=TODAY())*($X143&lt;=TODAY()+7)+ISNUMBER($Y143)*($Y143&gt;=TODAY())*($Y143&lt;=TODAY()+7))</f>
        <v/>
      </c>
      <c r="J143" s="28">
        <f>IF(NOT(AND($A143&lt;&gt;"",OR($G143="",$G143="Active"))),"",IF($K143&lt;&gt;"",IF($L143=$K143,"Booking",IF($M143=$K143,"16/40",IF($N143=$K143,"25/40",IF($Q143=$K143,"28/40",IF($R143=$K143,"31/40",IF($S143=$K143,"34/40",IF($T143=$K143,"36/40",IF($U143=$K143,"38/40",IF($V143=$K143,"40/40",""))))))))),IF(IF(OR(ISNUMBER($V143),$V143="DNA"),$V143,IF(OR(ISNUMBER($U143),$U143="DNA"),$U143,IF(OR(ISNUMBER($T143),$T143="DNA"),$T143,IF(OR(ISNUMBER($S143),$S143="DNA"),$S143,IF(OR(ISNUMBER($R143),$R143="DNA"),$R143,IF(OR(ISNUMBER($Q143),$Q143="DNA"),$Q143,IF(OR(ISNUMBER($N143),$N143="DNA"),$N143,IF(OR(ISNUMBER($M143),$M143="DNA"),$M143,IF(OR(ISNUMBER($L143),$L143="DNA"),$L143,"")))))))))="DNA","Rebook DNA",IF(ISNUMBER(IF(OR(ISNUMBER($V143),$V143="DNA"),$V143,IF(OR(ISNUMBER($U143),$U143="DNA"),$U143,IF(OR(ISNUMBER($T143),$T143="DNA"),$T143,IF(OR(ISNUMBER($S143),$S143="DNA"),$S143,IF(OR(ISNUMBER($R143),$R143="DNA"),$R143,IF(OR(ISNUMBER($Q143),$Q143="DNA"),$Q143,IF(OR(ISNUMBER($N143),$N143="DNA"),$N143,IF(OR(ISNUMBER($M143),$M143="DNA"),$M143,IF(OR(ISNUMBER($L143),$L143="DNA"),$L143,"")))))))))),IF(ISNUMBER($V143),"Update status","Missed/not booked?"),""))))</f>
        <v/>
      </c>
      <c r="K143" s="29">
        <f>IF(NOT(AND($A143&lt;&gt;"",OR($G143="",$G143="Active"))),"",IF(MIN(IF(AND(ISNUMBER($L143),$L143&gt;=TODAY()),$L143,99999),IF(AND(ISNUMBER($M143),$M143&gt;=TODAY()),$M143,99999),IF(AND(ISNUMBER($N143),$N143&gt;=TODAY()),$N143,99999),IF(AND(ISNUMBER($Q143),$Q143&gt;=TODAY()),$Q143,99999),IF(AND(ISNUMBER($R143),$R143&gt;=TODAY()),$R143,99999),IF(AND(ISNUMBER($S143),$S143&gt;=TODAY()),$S143,99999),IF(AND(ISNUMBER($T143),$T143&gt;=TODAY()),$T143,99999),IF(AND(ISNUMBER($U143),$U143&gt;=TODAY()),$U143,99999),IF(AND(ISNUMBER($V143),$V143&gt;=TODAY()),$V143,99999))=99999,"",MIN(IF(AND(ISNUMBER($L143),$L143&gt;=TODAY()),$L143,99999),IF(AND(ISNUMBER($M143),$M143&gt;=TODAY()),$M143,99999),IF(AND(ISNUMBER($N143),$N143&gt;=TODAY()),$N143,99999),IF(AND(ISNUMBER($Q143),$Q143&gt;=TODAY()),$Q143,99999),IF(AND(ISNUMBER($R143),$R143&gt;=TODAY()),$R143,99999),IF(AND(ISNUMBER($S143),$S143&gt;=TODAY()),$S143,99999),IF(AND(ISNUMBER($T143),$T143&gt;=TODAY()),$T143,99999),IF(AND(ISNUMBER($U143),$U143&gt;=TODAY()),$U143,99999),IF(AND(ISNUMBER($V143),$V143&gt;=TODAY()),$V143,99999))))</f>
        <v/>
      </c>
      <c r="L143" s="27" t="n"/>
      <c r="M143" s="27" t="n"/>
      <c r="N143" s="27" t="n"/>
      <c r="O143" s="27" t="n"/>
      <c r="P143" s="27" t="n"/>
      <c r="Q143" s="27" t="n"/>
      <c r="R143" s="27" t="n"/>
      <c r="S143" s="27" t="n"/>
      <c r="T143" s="27" t="n"/>
      <c r="U143" s="27" t="n"/>
      <c r="V143" s="27" t="n"/>
      <c r="W143" s="27" t="n"/>
      <c r="X143" s="27" t="n"/>
      <c r="Y143" s="27" t="n"/>
      <c r="Z143" s="30" t="n"/>
      <c r="AA143" s="25" t="n"/>
      <c r="AB143" s="28">
        <f>IF(NOT(AND($A143&lt;&gt;"",OR($G143="",$G143="Active"))),"",IF(OR(IF(OR(ISNUMBER($V143),$V143="DNA"),$V143,IF(OR(ISNUMBER($U143),$U143="DNA"),$U143,IF(OR(ISNUMBER($T143),$T143="DNA"),$T143,IF(OR(ISNUMBER($S143),$S143="DNA"),$S143,IF(OR(ISNUMBER($R143),$R143="DNA"),$R143,IF(OR(ISNUMBER($Q143),$Q143="DNA"),$Q143,IF(OR(ISNUMBER($N143),$N143="DNA"),$N143,IF(OR(ISNUMBER($M143),$M143="DNA"),$M143,IF(OR(ISNUMBER($L143),$L143="DNA"),$L143,"")))))))))="DNA",AND(ISNUMBER(IF(OR(ISNUMBER($V143),$V143="DNA"),$V143,IF(OR(ISNUMBER($U143),$U143="DNA"),$U143,IF(OR(ISNUMBER($T143),$T143="DNA"),$T143,IF(OR(ISNUMBER($S143),$S143="DNA"),$S143,IF(OR(ISNUMBER($R143),$R143="DNA"),$R143,IF(OR(ISNUMBER($Q143),$Q143="DNA"),$Q143,IF(OR(ISNUMBER($N143),$N143="DNA"),$N143,IF(OR(ISNUMBER($M143),$M143="DNA"),$M143,IF(OR(ISNUMBER($L143),$L143="DNA"),$L143,"")))))))))),IF(OR(ISNUMBER($V143),$V143="DNA"),$V143,IF(OR(ISNUMBER($U143),$U143="DNA"),$U143,IF(OR(ISNUMBER($T143),$T143="DNA"),$T143,IF(OR(ISNUMBER($S143),$S143="DNA"),$S143,IF(OR(ISNUMBER($R143),$R143="DNA"),$R143,IF(OR(ISNUMBER($Q143),$Q143="DNA"),$Q143,IF(OR(ISNUMBER($N143),$N143="DNA"),$N143,IF(OR(ISNUMBER($M143),$M143="DNA"),$M143,IF(OR(ISNUMBER($L143),$L143="DNA"),$L143,"")))))))))&lt;TODAY())),1,0)+ISNUMBER($O143)*($O143&lt;TODAY())+ISNUMBER($P143)*($P143&lt;TODAY())+ISNUMBER($X143)*($X143&lt;TODAY())+ISNUMBER($Y143)*($Y143&lt;TODAY()))</f>
        <v/>
      </c>
    </row>
    <row r="144">
      <c r="A144" s="25" t="n"/>
      <c r="B144" s="26" t="n"/>
      <c r="C144" s="27" t="n"/>
      <c r="D144" s="25" t="n"/>
      <c r="E144" s="25" t="n"/>
      <c r="F144" s="27" t="n"/>
      <c r="G144" s="25" t="n"/>
      <c r="H144" s="28">
        <f>IF(OR(NOT(AND($A144&lt;&gt;"",OR($G144="",$G144="Active"))),$F144=""),"",INT((TODAY()-$F144+280)/7)&amp;"+"&amp;MOD(TODAY()-$F144+280,7))</f>
        <v/>
      </c>
      <c r="I144" s="28">
        <f>IF(NOT(AND($A144&lt;&gt;"",OR($G144="",$G144="Active"))),"",ISNUMBER($L144)*($L144&gt;=TODAY())*($L144&lt;=TODAY()+7)+ISNUMBER($M144)*($M144&gt;=TODAY())*($M144&lt;=TODAY()+7)+ISNUMBER($N144)*($N144&gt;=TODAY())*($N144&lt;=TODAY()+7)+ISNUMBER($Q144)*($Q144&gt;=TODAY())*($Q144&lt;=TODAY()+7)+ISNUMBER($R144)*($R144&gt;=TODAY())*($R144&lt;=TODAY()+7)+ISNUMBER($S144)*($S144&gt;=TODAY())*($S144&lt;=TODAY()+7)+ISNUMBER($T144)*($T144&gt;=TODAY())*($T144&lt;=TODAY()+7)+ISNUMBER($U144)*($U144&gt;=TODAY())*($U144&lt;=TODAY()+7)+ISNUMBER($V144)*($V144&gt;=TODAY())*($V144&lt;=TODAY()+7)+ISNUMBER($O144)*($O144&gt;=TODAY())*($O144&lt;=TODAY()+7)+ISNUMBER($P144)*($P144&gt;=TODAY())*($P144&lt;=TODAY()+7)+ISNUMBER($X144)*($X144&gt;=TODAY())*($X144&lt;=TODAY()+7)+ISNUMBER($Y144)*($Y144&gt;=TODAY())*($Y144&lt;=TODAY()+7))</f>
        <v/>
      </c>
      <c r="J144" s="28">
        <f>IF(NOT(AND($A144&lt;&gt;"",OR($G144="",$G144="Active"))),"",IF($K144&lt;&gt;"",IF($L144=$K144,"Booking",IF($M144=$K144,"16/40",IF($N144=$K144,"25/40",IF($Q144=$K144,"28/40",IF($R144=$K144,"31/40",IF($S144=$K144,"34/40",IF($T144=$K144,"36/40",IF($U144=$K144,"38/40",IF($V144=$K144,"40/40",""))))))))),IF(IF(OR(ISNUMBER($V144),$V144="DNA"),$V144,IF(OR(ISNUMBER($U144),$U144="DNA"),$U144,IF(OR(ISNUMBER($T144),$T144="DNA"),$T144,IF(OR(ISNUMBER($S144),$S144="DNA"),$S144,IF(OR(ISNUMBER($R144),$R144="DNA"),$R144,IF(OR(ISNUMBER($Q144),$Q144="DNA"),$Q144,IF(OR(ISNUMBER($N144),$N144="DNA"),$N144,IF(OR(ISNUMBER($M144),$M144="DNA"),$M144,IF(OR(ISNUMBER($L144),$L144="DNA"),$L144,"")))))))))="DNA","Rebook DNA",IF(ISNUMBER(IF(OR(ISNUMBER($V144),$V144="DNA"),$V144,IF(OR(ISNUMBER($U144),$U144="DNA"),$U144,IF(OR(ISNUMBER($T144),$T144="DNA"),$T144,IF(OR(ISNUMBER($S144),$S144="DNA"),$S144,IF(OR(ISNUMBER($R144),$R144="DNA"),$R144,IF(OR(ISNUMBER($Q144),$Q144="DNA"),$Q144,IF(OR(ISNUMBER($N144),$N144="DNA"),$N144,IF(OR(ISNUMBER($M144),$M144="DNA"),$M144,IF(OR(ISNUMBER($L144),$L144="DNA"),$L144,"")))))))))),IF(ISNUMBER($V144),"Update status","Missed/not booked?"),""))))</f>
        <v/>
      </c>
      <c r="K144" s="29">
        <f>IF(NOT(AND($A144&lt;&gt;"",OR($G144="",$G144="Active"))),"",IF(MIN(IF(AND(ISNUMBER($L144),$L144&gt;=TODAY()),$L144,99999),IF(AND(ISNUMBER($M144),$M144&gt;=TODAY()),$M144,99999),IF(AND(ISNUMBER($N144),$N144&gt;=TODAY()),$N144,99999),IF(AND(ISNUMBER($Q144),$Q144&gt;=TODAY()),$Q144,99999),IF(AND(ISNUMBER($R144),$R144&gt;=TODAY()),$R144,99999),IF(AND(ISNUMBER($S144),$S144&gt;=TODAY()),$S144,99999),IF(AND(ISNUMBER($T144),$T144&gt;=TODAY()),$T144,99999),IF(AND(ISNUMBER($U144),$U144&gt;=TODAY()),$U144,99999),IF(AND(ISNUMBER($V144),$V144&gt;=TODAY()),$V144,99999))=99999,"",MIN(IF(AND(ISNUMBER($L144),$L144&gt;=TODAY()),$L144,99999),IF(AND(ISNUMBER($M144),$M144&gt;=TODAY()),$M144,99999),IF(AND(ISNUMBER($N144),$N144&gt;=TODAY()),$N144,99999),IF(AND(ISNUMBER($Q144),$Q144&gt;=TODAY()),$Q144,99999),IF(AND(ISNUMBER($R144),$R144&gt;=TODAY()),$R144,99999),IF(AND(ISNUMBER($S144),$S144&gt;=TODAY()),$S144,99999),IF(AND(ISNUMBER($T144),$T144&gt;=TODAY()),$T144,99999),IF(AND(ISNUMBER($U144),$U144&gt;=TODAY()),$U144,99999),IF(AND(ISNUMBER($V144),$V144&gt;=TODAY()),$V144,99999))))</f>
        <v/>
      </c>
      <c r="L144" s="27" t="n"/>
      <c r="M144" s="27" t="n"/>
      <c r="N144" s="27" t="n"/>
      <c r="O144" s="27" t="n"/>
      <c r="P144" s="27" t="n"/>
      <c r="Q144" s="27" t="n"/>
      <c r="R144" s="27" t="n"/>
      <c r="S144" s="27" t="n"/>
      <c r="T144" s="27" t="n"/>
      <c r="U144" s="27" t="n"/>
      <c r="V144" s="27" t="n"/>
      <c r="W144" s="27" t="n"/>
      <c r="X144" s="27" t="n"/>
      <c r="Y144" s="27" t="n"/>
      <c r="Z144" s="30" t="n"/>
      <c r="AA144" s="25" t="n"/>
      <c r="AB144" s="28">
        <f>IF(NOT(AND($A144&lt;&gt;"",OR($G144="",$G144="Active"))),"",IF(OR(IF(OR(ISNUMBER($V144),$V144="DNA"),$V144,IF(OR(ISNUMBER($U144),$U144="DNA"),$U144,IF(OR(ISNUMBER($T144),$T144="DNA"),$T144,IF(OR(ISNUMBER($S144),$S144="DNA"),$S144,IF(OR(ISNUMBER($R144),$R144="DNA"),$R144,IF(OR(ISNUMBER($Q144),$Q144="DNA"),$Q144,IF(OR(ISNUMBER($N144),$N144="DNA"),$N144,IF(OR(ISNUMBER($M144),$M144="DNA"),$M144,IF(OR(ISNUMBER($L144),$L144="DNA"),$L144,"")))))))))="DNA",AND(ISNUMBER(IF(OR(ISNUMBER($V144),$V144="DNA"),$V144,IF(OR(ISNUMBER($U144),$U144="DNA"),$U144,IF(OR(ISNUMBER($T144),$T144="DNA"),$T144,IF(OR(ISNUMBER($S144),$S144="DNA"),$S144,IF(OR(ISNUMBER($R144),$R144="DNA"),$R144,IF(OR(ISNUMBER($Q144),$Q144="DNA"),$Q144,IF(OR(ISNUMBER($N144),$N144="DNA"),$N144,IF(OR(ISNUMBER($M144),$M144="DNA"),$M144,IF(OR(ISNUMBER($L144),$L144="DNA"),$L144,"")))))))))),IF(OR(ISNUMBER($V144),$V144="DNA"),$V144,IF(OR(ISNUMBER($U144),$U144="DNA"),$U144,IF(OR(ISNUMBER($T144),$T144="DNA"),$T144,IF(OR(ISNUMBER($S144),$S144="DNA"),$S144,IF(OR(ISNUMBER($R144),$R144="DNA"),$R144,IF(OR(ISNUMBER($Q144),$Q144="DNA"),$Q144,IF(OR(ISNUMBER($N144),$N144="DNA"),$N144,IF(OR(ISNUMBER($M144),$M144="DNA"),$M144,IF(OR(ISNUMBER($L144),$L144="DNA"),$L144,"")))))))))&lt;TODAY())),1,0)+ISNUMBER($O144)*($O144&lt;TODAY())+ISNUMBER($P144)*($P144&lt;TODAY())+ISNUMBER($X144)*($X144&lt;TODAY())+ISNUMBER($Y144)*($Y144&lt;TODAY()))</f>
        <v/>
      </c>
    </row>
    <row r="145">
      <c r="A145" s="25" t="n"/>
      <c r="B145" s="26" t="n"/>
      <c r="C145" s="27" t="n"/>
      <c r="D145" s="25" t="n"/>
      <c r="E145" s="25" t="n"/>
      <c r="F145" s="27" t="n"/>
      <c r="G145" s="25" t="n"/>
      <c r="H145" s="28">
        <f>IF(OR(NOT(AND($A145&lt;&gt;"",OR($G145="",$G145="Active"))),$F145=""),"",INT((TODAY()-$F145+280)/7)&amp;"+"&amp;MOD(TODAY()-$F145+280,7))</f>
        <v/>
      </c>
      <c r="I145" s="28">
        <f>IF(NOT(AND($A145&lt;&gt;"",OR($G145="",$G145="Active"))),"",ISNUMBER($L145)*($L145&gt;=TODAY())*($L145&lt;=TODAY()+7)+ISNUMBER($M145)*($M145&gt;=TODAY())*($M145&lt;=TODAY()+7)+ISNUMBER($N145)*($N145&gt;=TODAY())*($N145&lt;=TODAY()+7)+ISNUMBER($Q145)*($Q145&gt;=TODAY())*($Q145&lt;=TODAY()+7)+ISNUMBER($R145)*($R145&gt;=TODAY())*($R145&lt;=TODAY()+7)+ISNUMBER($S145)*($S145&gt;=TODAY())*($S145&lt;=TODAY()+7)+ISNUMBER($T145)*($T145&gt;=TODAY())*($T145&lt;=TODAY()+7)+ISNUMBER($U145)*($U145&gt;=TODAY())*($U145&lt;=TODAY()+7)+ISNUMBER($V145)*($V145&gt;=TODAY())*($V145&lt;=TODAY()+7)+ISNUMBER($O145)*($O145&gt;=TODAY())*($O145&lt;=TODAY()+7)+ISNUMBER($P145)*($P145&gt;=TODAY())*($P145&lt;=TODAY()+7)+ISNUMBER($X145)*($X145&gt;=TODAY())*($X145&lt;=TODAY()+7)+ISNUMBER($Y145)*($Y145&gt;=TODAY())*($Y145&lt;=TODAY()+7))</f>
        <v/>
      </c>
      <c r="J145" s="28">
        <f>IF(NOT(AND($A145&lt;&gt;"",OR($G145="",$G145="Active"))),"",IF($K145&lt;&gt;"",IF($L145=$K145,"Booking",IF($M145=$K145,"16/40",IF($N145=$K145,"25/40",IF($Q145=$K145,"28/40",IF($R145=$K145,"31/40",IF($S145=$K145,"34/40",IF($T145=$K145,"36/40",IF($U145=$K145,"38/40",IF($V145=$K145,"40/40",""))))))))),IF(IF(OR(ISNUMBER($V145),$V145="DNA"),$V145,IF(OR(ISNUMBER($U145),$U145="DNA"),$U145,IF(OR(ISNUMBER($T145),$T145="DNA"),$T145,IF(OR(ISNUMBER($S145),$S145="DNA"),$S145,IF(OR(ISNUMBER($R145),$R145="DNA"),$R145,IF(OR(ISNUMBER($Q145),$Q145="DNA"),$Q145,IF(OR(ISNUMBER($N145),$N145="DNA"),$N145,IF(OR(ISNUMBER($M145),$M145="DNA"),$M145,IF(OR(ISNUMBER($L145),$L145="DNA"),$L145,"")))))))))="DNA","Rebook DNA",IF(ISNUMBER(IF(OR(ISNUMBER($V145),$V145="DNA"),$V145,IF(OR(ISNUMBER($U145),$U145="DNA"),$U145,IF(OR(ISNUMBER($T145),$T145="DNA"),$T145,IF(OR(ISNUMBER($S145),$S145="DNA"),$S145,IF(OR(ISNUMBER($R145),$R145="DNA"),$R145,IF(OR(ISNUMBER($Q145),$Q145="DNA"),$Q145,IF(OR(ISNUMBER($N145),$N145="DNA"),$N145,IF(OR(ISNUMBER($M145),$M145="DNA"),$M145,IF(OR(ISNUMBER($L145),$L145="DNA"),$L145,"")))))))))),IF(ISNUMBER($V145),"Update status","Missed/not booked?"),""))))</f>
        <v/>
      </c>
      <c r="K145" s="29">
        <f>IF(NOT(AND($A145&lt;&gt;"",OR($G145="",$G145="Active"))),"",IF(MIN(IF(AND(ISNUMBER($L145),$L145&gt;=TODAY()),$L145,99999),IF(AND(ISNUMBER($M145),$M145&gt;=TODAY()),$M145,99999),IF(AND(ISNUMBER($N145),$N145&gt;=TODAY()),$N145,99999),IF(AND(ISNUMBER($Q145),$Q145&gt;=TODAY()),$Q145,99999),IF(AND(ISNUMBER($R145),$R145&gt;=TODAY()),$R145,99999),IF(AND(ISNUMBER($S145),$S145&gt;=TODAY()),$S145,99999),IF(AND(ISNUMBER($T145),$T145&gt;=TODAY()),$T145,99999),IF(AND(ISNUMBER($U145),$U145&gt;=TODAY()),$U145,99999),IF(AND(ISNUMBER($V145),$V145&gt;=TODAY()),$V145,99999))=99999,"",MIN(IF(AND(ISNUMBER($L145),$L145&gt;=TODAY()),$L145,99999),IF(AND(ISNUMBER($M145),$M145&gt;=TODAY()),$M145,99999),IF(AND(ISNUMBER($N145),$N145&gt;=TODAY()),$N145,99999),IF(AND(ISNUMBER($Q145),$Q145&gt;=TODAY()),$Q145,99999),IF(AND(ISNUMBER($R145),$R145&gt;=TODAY()),$R145,99999),IF(AND(ISNUMBER($S145),$S145&gt;=TODAY()),$S145,99999),IF(AND(ISNUMBER($T145),$T145&gt;=TODAY()),$T145,99999),IF(AND(ISNUMBER($U145),$U145&gt;=TODAY()),$U145,99999),IF(AND(ISNUMBER($V145),$V145&gt;=TODAY()),$V145,99999))))</f>
        <v/>
      </c>
      <c r="L145" s="27" t="n"/>
      <c r="M145" s="27" t="n"/>
      <c r="N145" s="27" t="n"/>
      <c r="O145" s="27" t="n"/>
      <c r="P145" s="27" t="n"/>
      <c r="Q145" s="27" t="n"/>
      <c r="R145" s="27" t="n"/>
      <c r="S145" s="27" t="n"/>
      <c r="T145" s="27" t="n"/>
      <c r="U145" s="27" t="n"/>
      <c r="V145" s="27" t="n"/>
      <c r="W145" s="27" t="n"/>
      <c r="X145" s="27" t="n"/>
      <c r="Y145" s="27" t="n"/>
      <c r="Z145" s="30" t="n"/>
      <c r="AA145" s="25" t="n"/>
      <c r="AB145" s="28">
        <f>IF(NOT(AND($A145&lt;&gt;"",OR($G145="",$G145="Active"))),"",IF(OR(IF(OR(ISNUMBER($V145),$V145="DNA"),$V145,IF(OR(ISNUMBER($U145),$U145="DNA"),$U145,IF(OR(ISNUMBER($T145),$T145="DNA"),$T145,IF(OR(ISNUMBER($S145),$S145="DNA"),$S145,IF(OR(ISNUMBER($R145),$R145="DNA"),$R145,IF(OR(ISNUMBER($Q145),$Q145="DNA"),$Q145,IF(OR(ISNUMBER($N145),$N145="DNA"),$N145,IF(OR(ISNUMBER($M145),$M145="DNA"),$M145,IF(OR(ISNUMBER($L145),$L145="DNA"),$L145,"")))))))))="DNA",AND(ISNUMBER(IF(OR(ISNUMBER($V145),$V145="DNA"),$V145,IF(OR(ISNUMBER($U145),$U145="DNA"),$U145,IF(OR(ISNUMBER($T145),$T145="DNA"),$T145,IF(OR(ISNUMBER($S145),$S145="DNA"),$S145,IF(OR(ISNUMBER($R145),$R145="DNA"),$R145,IF(OR(ISNUMBER($Q145),$Q145="DNA"),$Q145,IF(OR(ISNUMBER($N145),$N145="DNA"),$N145,IF(OR(ISNUMBER($M145),$M145="DNA"),$M145,IF(OR(ISNUMBER($L145),$L145="DNA"),$L145,"")))))))))),IF(OR(ISNUMBER($V145),$V145="DNA"),$V145,IF(OR(ISNUMBER($U145),$U145="DNA"),$U145,IF(OR(ISNUMBER($T145),$T145="DNA"),$T145,IF(OR(ISNUMBER($S145),$S145="DNA"),$S145,IF(OR(ISNUMBER($R145),$R145="DNA"),$R145,IF(OR(ISNUMBER($Q145),$Q145="DNA"),$Q145,IF(OR(ISNUMBER($N145),$N145="DNA"),$N145,IF(OR(ISNUMBER($M145),$M145="DNA"),$M145,IF(OR(ISNUMBER($L145),$L145="DNA"),$L145,"")))))))))&lt;TODAY())),1,0)+ISNUMBER($O145)*($O145&lt;TODAY())+ISNUMBER($P145)*($P145&lt;TODAY())+ISNUMBER($X145)*($X145&lt;TODAY())+ISNUMBER($Y145)*($Y145&lt;TODAY()))</f>
        <v/>
      </c>
    </row>
    <row r="146">
      <c r="A146" s="25" t="n"/>
      <c r="B146" s="26" t="n"/>
      <c r="C146" s="27" t="n"/>
      <c r="D146" s="25" t="n"/>
      <c r="E146" s="25" t="n"/>
      <c r="F146" s="27" t="n"/>
      <c r="G146" s="25" t="n"/>
      <c r="H146" s="28">
        <f>IF(OR(NOT(AND($A146&lt;&gt;"",OR($G146="",$G146="Active"))),$F146=""),"",INT((TODAY()-$F146+280)/7)&amp;"+"&amp;MOD(TODAY()-$F146+280,7))</f>
        <v/>
      </c>
      <c r="I146" s="28">
        <f>IF(NOT(AND($A146&lt;&gt;"",OR($G146="",$G146="Active"))),"",ISNUMBER($L146)*($L146&gt;=TODAY())*($L146&lt;=TODAY()+7)+ISNUMBER($M146)*($M146&gt;=TODAY())*($M146&lt;=TODAY()+7)+ISNUMBER($N146)*($N146&gt;=TODAY())*($N146&lt;=TODAY()+7)+ISNUMBER($Q146)*($Q146&gt;=TODAY())*($Q146&lt;=TODAY()+7)+ISNUMBER($R146)*($R146&gt;=TODAY())*($R146&lt;=TODAY()+7)+ISNUMBER($S146)*($S146&gt;=TODAY())*($S146&lt;=TODAY()+7)+ISNUMBER($T146)*($T146&gt;=TODAY())*($T146&lt;=TODAY()+7)+ISNUMBER($U146)*($U146&gt;=TODAY())*($U146&lt;=TODAY()+7)+ISNUMBER($V146)*($V146&gt;=TODAY())*($V146&lt;=TODAY()+7)+ISNUMBER($O146)*($O146&gt;=TODAY())*($O146&lt;=TODAY()+7)+ISNUMBER($P146)*($P146&gt;=TODAY())*($P146&lt;=TODAY()+7)+ISNUMBER($X146)*($X146&gt;=TODAY())*($X146&lt;=TODAY()+7)+ISNUMBER($Y146)*($Y146&gt;=TODAY())*($Y146&lt;=TODAY()+7))</f>
        <v/>
      </c>
      <c r="J146" s="28">
        <f>IF(NOT(AND($A146&lt;&gt;"",OR($G146="",$G146="Active"))),"",IF($K146&lt;&gt;"",IF($L146=$K146,"Booking",IF($M146=$K146,"16/40",IF($N146=$K146,"25/40",IF($Q146=$K146,"28/40",IF($R146=$K146,"31/40",IF($S146=$K146,"34/40",IF($T146=$K146,"36/40",IF($U146=$K146,"38/40",IF($V146=$K146,"40/40",""))))))))),IF(IF(OR(ISNUMBER($V146),$V146="DNA"),$V146,IF(OR(ISNUMBER($U146),$U146="DNA"),$U146,IF(OR(ISNUMBER($T146),$T146="DNA"),$T146,IF(OR(ISNUMBER($S146),$S146="DNA"),$S146,IF(OR(ISNUMBER($R146),$R146="DNA"),$R146,IF(OR(ISNUMBER($Q146),$Q146="DNA"),$Q146,IF(OR(ISNUMBER($N146),$N146="DNA"),$N146,IF(OR(ISNUMBER($M146),$M146="DNA"),$M146,IF(OR(ISNUMBER($L146),$L146="DNA"),$L146,"")))))))))="DNA","Rebook DNA",IF(ISNUMBER(IF(OR(ISNUMBER($V146),$V146="DNA"),$V146,IF(OR(ISNUMBER($U146),$U146="DNA"),$U146,IF(OR(ISNUMBER($T146),$T146="DNA"),$T146,IF(OR(ISNUMBER($S146),$S146="DNA"),$S146,IF(OR(ISNUMBER($R146),$R146="DNA"),$R146,IF(OR(ISNUMBER($Q146),$Q146="DNA"),$Q146,IF(OR(ISNUMBER($N146),$N146="DNA"),$N146,IF(OR(ISNUMBER($M146),$M146="DNA"),$M146,IF(OR(ISNUMBER($L146),$L146="DNA"),$L146,"")))))))))),IF(ISNUMBER($V146),"Update status","Missed/not booked?"),""))))</f>
        <v/>
      </c>
      <c r="K146" s="29">
        <f>IF(NOT(AND($A146&lt;&gt;"",OR($G146="",$G146="Active"))),"",IF(MIN(IF(AND(ISNUMBER($L146),$L146&gt;=TODAY()),$L146,99999),IF(AND(ISNUMBER($M146),$M146&gt;=TODAY()),$M146,99999),IF(AND(ISNUMBER($N146),$N146&gt;=TODAY()),$N146,99999),IF(AND(ISNUMBER($Q146),$Q146&gt;=TODAY()),$Q146,99999),IF(AND(ISNUMBER($R146),$R146&gt;=TODAY()),$R146,99999),IF(AND(ISNUMBER($S146),$S146&gt;=TODAY()),$S146,99999),IF(AND(ISNUMBER($T146),$T146&gt;=TODAY()),$T146,99999),IF(AND(ISNUMBER($U146),$U146&gt;=TODAY()),$U146,99999),IF(AND(ISNUMBER($V146),$V146&gt;=TODAY()),$V146,99999))=99999,"",MIN(IF(AND(ISNUMBER($L146),$L146&gt;=TODAY()),$L146,99999),IF(AND(ISNUMBER($M146),$M146&gt;=TODAY()),$M146,99999),IF(AND(ISNUMBER($N146),$N146&gt;=TODAY()),$N146,99999),IF(AND(ISNUMBER($Q146),$Q146&gt;=TODAY()),$Q146,99999),IF(AND(ISNUMBER($R146),$R146&gt;=TODAY()),$R146,99999),IF(AND(ISNUMBER($S146),$S146&gt;=TODAY()),$S146,99999),IF(AND(ISNUMBER($T146),$T146&gt;=TODAY()),$T146,99999),IF(AND(ISNUMBER($U146),$U146&gt;=TODAY()),$U146,99999),IF(AND(ISNUMBER($V146),$V146&gt;=TODAY()),$V146,99999))))</f>
        <v/>
      </c>
      <c r="L146" s="27" t="n"/>
      <c r="M146" s="27" t="n"/>
      <c r="N146" s="27" t="n"/>
      <c r="O146" s="27" t="n"/>
      <c r="P146" s="27" t="n"/>
      <c r="Q146" s="27" t="n"/>
      <c r="R146" s="27" t="n"/>
      <c r="S146" s="27" t="n"/>
      <c r="T146" s="27" t="n"/>
      <c r="U146" s="27" t="n"/>
      <c r="V146" s="27" t="n"/>
      <c r="W146" s="27" t="n"/>
      <c r="X146" s="27" t="n"/>
      <c r="Y146" s="27" t="n"/>
      <c r="Z146" s="30" t="n"/>
      <c r="AA146" s="25" t="n"/>
      <c r="AB146" s="28">
        <f>IF(NOT(AND($A146&lt;&gt;"",OR($G146="",$G146="Active"))),"",IF(OR(IF(OR(ISNUMBER($V146),$V146="DNA"),$V146,IF(OR(ISNUMBER($U146),$U146="DNA"),$U146,IF(OR(ISNUMBER($T146),$T146="DNA"),$T146,IF(OR(ISNUMBER($S146),$S146="DNA"),$S146,IF(OR(ISNUMBER($R146),$R146="DNA"),$R146,IF(OR(ISNUMBER($Q146),$Q146="DNA"),$Q146,IF(OR(ISNUMBER($N146),$N146="DNA"),$N146,IF(OR(ISNUMBER($M146),$M146="DNA"),$M146,IF(OR(ISNUMBER($L146),$L146="DNA"),$L146,"")))))))))="DNA",AND(ISNUMBER(IF(OR(ISNUMBER($V146),$V146="DNA"),$V146,IF(OR(ISNUMBER($U146),$U146="DNA"),$U146,IF(OR(ISNUMBER($T146),$T146="DNA"),$T146,IF(OR(ISNUMBER($S146),$S146="DNA"),$S146,IF(OR(ISNUMBER($R146),$R146="DNA"),$R146,IF(OR(ISNUMBER($Q146),$Q146="DNA"),$Q146,IF(OR(ISNUMBER($N146),$N146="DNA"),$N146,IF(OR(ISNUMBER($M146),$M146="DNA"),$M146,IF(OR(ISNUMBER($L146),$L146="DNA"),$L146,"")))))))))),IF(OR(ISNUMBER($V146),$V146="DNA"),$V146,IF(OR(ISNUMBER($U146),$U146="DNA"),$U146,IF(OR(ISNUMBER($T146),$T146="DNA"),$T146,IF(OR(ISNUMBER($S146),$S146="DNA"),$S146,IF(OR(ISNUMBER($R146),$R146="DNA"),$R146,IF(OR(ISNUMBER($Q146),$Q146="DNA"),$Q146,IF(OR(ISNUMBER($N146),$N146="DNA"),$N146,IF(OR(ISNUMBER($M146),$M146="DNA"),$M146,IF(OR(ISNUMBER($L146),$L146="DNA"),$L146,"")))))))))&lt;TODAY())),1,0)+ISNUMBER($O146)*($O146&lt;TODAY())+ISNUMBER($P146)*($P146&lt;TODAY())+ISNUMBER($X146)*($X146&lt;TODAY())+ISNUMBER($Y146)*($Y146&lt;TODAY()))</f>
        <v/>
      </c>
    </row>
    <row r="147">
      <c r="A147" s="25" t="n"/>
      <c r="B147" s="26" t="n"/>
      <c r="C147" s="27" t="n"/>
      <c r="D147" s="25" t="n"/>
      <c r="E147" s="25" t="n"/>
      <c r="F147" s="27" t="n"/>
      <c r="G147" s="25" t="n"/>
      <c r="H147" s="28">
        <f>IF(OR(NOT(AND($A147&lt;&gt;"",OR($G147="",$G147="Active"))),$F147=""),"",INT((TODAY()-$F147+280)/7)&amp;"+"&amp;MOD(TODAY()-$F147+280,7))</f>
        <v/>
      </c>
      <c r="I147" s="28">
        <f>IF(NOT(AND($A147&lt;&gt;"",OR($G147="",$G147="Active"))),"",ISNUMBER($L147)*($L147&gt;=TODAY())*($L147&lt;=TODAY()+7)+ISNUMBER($M147)*($M147&gt;=TODAY())*($M147&lt;=TODAY()+7)+ISNUMBER($N147)*($N147&gt;=TODAY())*($N147&lt;=TODAY()+7)+ISNUMBER($Q147)*($Q147&gt;=TODAY())*($Q147&lt;=TODAY()+7)+ISNUMBER($R147)*($R147&gt;=TODAY())*($R147&lt;=TODAY()+7)+ISNUMBER($S147)*($S147&gt;=TODAY())*($S147&lt;=TODAY()+7)+ISNUMBER($T147)*($T147&gt;=TODAY())*($T147&lt;=TODAY()+7)+ISNUMBER($U147)*($U147&gt;=TODAY())*($U147&lt;=TODAY()+7)+ISNUMBER($V147)*($V147&gt;=TODAY())*($V147&lt;=TODAY()+7)+ISNUMBER($O147)*($O147&gt;=TODAY())*($O147&lt;=TODAY()+7)+ISNUMBER($P147)*($P147&gt;=TODAY())*($P147&lt;=TODAY()+7)+ISNUMBER($X147)*($X147&gt;=TODAY())*($X147&lt;=TODAY()+7)+ISNUMBER($Y147)*($Y147&gt;=TODAY())*($Y147&lt;=TODAY()+7))</f>
        <v/>
      </c>
      <c r="J147" s="28">
        <f>IF(NOT(AND($A147&lt;&gt;"",OR($G147="",$G147="Active"))),"",IF($K147&lt;&gt;"",IF($L147=$K147,"Booking",IF($M147=$K147,"16/40",IF($N147=$K147,"25/40",IF($Q147=$K147,"28/40",IF($R147=$K147,"31/40",IF($S147=$K147,"34/40",IF($T147=$K147,"36/40",IF($U147=$K147,"38/40",IF($V147=$K147,"40/40",""))))))))),IF(IF(OR(ISNUMBER($V147),$V147="DNA"),$V147,IF(OR(ISNUMBER($U147),$U147="DNA"),$U147,IF(OR(ISNUMBER($T147),$T147="DNA"),$T147,IF(OR(ISNUMBER($S147),$S147="DNA"),$S147,IF(OR(ISNUMBER($R147),$R147="DNA"),$R147,IF(OR(ISNUMBER($Q147),$Q147="DNA"),$Q147,IF(OR(ISNUMBER($N147),$N147="DNA"),$N147,IF(OR(ISNUMBER($M147),$M147="DNA"),$M147,IF(OR(ISNUMBER($L147),$L147="DNA"),$L147,"")))))))))="DNA","Rebook DNA",IF(ISNUMBER(IF(OR(ISNUMBER($V147),$V147="DNA"),$V147,IF(OR(ISNUMBER($U147),$U147="DNA"),$U147,IF(OR(ISNUMBER($T147),$T147="DNA"),$T147,IF(OR(ISNUMBER($S147),$S147="DNA"),$S147,IF(OR(ISNUMBER($R147),$R147="DNA"),$R147,IF(OR(ISNUMBER($Q147),$Q147="DNA"),$Q147,IF(OR(ISNUMBER($N147),$N147="DNA"),$N147,IF(OR(ISNUMBER($M147),$M147="DNA"),$M147,IF(OR(ISNUMBER($L147),$L147="DNA"),$L147,"")))))))))),IF(ISNUMBER($V147),"Update status","Missed/not booked?"),""))))</f>
        <v/>
      </c>
      <c r="K147" s="29">
        <f>IF(NOT(AND($A147&lt;&gt;"",OR($G147="",$G147="Active"))),"",IF(MIN(IF(AND(ISNUMBER($L147),$L147&gt;=TODAY()),$L147,99999),IF(AND(ISNUMBER($M147),$M147&gt;=TODAY()),$M147,99999),IF(AND(ISNUMBER($N147),$N147&gt;=TODAY()),$N147,99999),IF(AND(ISNUMBER($Q147),$Q147&gt;=TODAY()),$Q147,99999),IF(AND(ISNUMBER($R147),$R147&gt;=TODAY()),$R147,99999),IF(AND(ISNUMBER($S147),$S147&gt;=TODAY()),$S147,99999),IF(AND(ISNUMBER($T147),$T147&gt;=TODAY()),$T147,99999),IF(AND(ISNUMBER($U147),$U147&gt;=TODAY()),$U147,99999),IF(AND(ISNUMBER($V147),$V147&gt;=TODAY()),$V147,99999))=99999,"",MIN(IF(AND(ISNUMBER($L147),$L147&gt;=TODAY()),$L147,99999),IF(AND(ISNUMBER($M147),$M147&gt;=TODAY()),$M147,99999),IF(AND(ISNUMBER($N147),$N147&gt;=TODAY()),$N147,99999),IF(AND(ISNUMBER($Q147),$Q147&gt;=TODAY()),$Q147,99999),IF(AND(ISNUMBER($R147),$R147&gt;=TODAY()),$R147,99999),IF(AND(ISNUMBER($S147),$S147&gt;=TODAY()),$S147,99999),IF(AND(ISNUMBER($T147),$T147&gt;=TODAY()),$T147,99999),IF(AND(ISNUMBER($U147),$U147&gt;=TODAY()),$U147,99999),IF(AND(ISNUMBER($V147),$V147&gt;=TODAY()),$V147,99999))))</f>
        <v/>
      </c>
      <c r="L147" s="27" t="n"/>
      <c r="M147" s="27" t="n"/>
      <c r="N147" s="27" t="n"/>
      <c r="O147" s="27" t="n"/>
      <c r="P147" s="27" t="n"/>
      <c r="Q147" s="27" t="n"/>
      <c r="R147" s="27" t="n"/>
      <c r="S147" s="27" t="n"/>
      <c r="T147" s="27" t="n"/>
      <c r="U147" s="27" t="n"/>
      <c r="V147" s="27" t="n"/>
      <c r="W147" s="27" t="n"/>
      <c r="X147" s="27" t="n"/>
      <c r="Y147" s="27" t="n"/>
      <c r="Z147" s="30" t="n"/>
      <c r="AA147" s="25" t="n"/>
      <c r="AB147" s="28">
        <f>IF(NOT(AND($A147&lt;&gt;"",OR($G147="",$G147="Active"))),"",IF(OR(IF(OR(ISNUMBER($V147),$V147="DNA"),$V147,IF(OR(ISNUMBER($U147),$U147="DNA"),$U147,IF(OR(ISNUMBER($T147),$T147="DNA"),$T147,IF(OR(ISNUMBER($S147),$S147="DNA"),$S147,IF(OR(ISNUMBER($R147),$R147="DNA"),$R147,IF(OR(ISNUMBER($Q147),$Q147="DNA"),$Q147,IF(OR(ISNUMBER($N147),$N147="DNA"),$N147,IF(OR(ISNUMBER($M147),$M147="DNA"),$M147,IF(OR(ISNUMBER($L147),$L147="DNA"),$L147,"")))))))))="DNA",AND(ISNUMBER(IF(OR(ISNUMBER($V147),$V147="DNA"),$V147,IF(OR(ISNUMBER($U147),$U147="DNA"),$U147,IF(OR(ISNUMBER($T147),$T147="DNA"),$T147,IF(OR(ISNUMBER($S147),$S147="DNA"),$S147,IF(OR(ISNUMBER($R147),$R147="DNA"),$R147,IF(OR(ISNUMBER($Q147),$Q147="DNA"),$Q147,IF(OR(ISNUMBER($N147),$N147="DNA"),$N147,IF(OR(ISNUMBER($M147),$M147="DNA"),$M147,IF(OR(ISNUMBER($L147),$L147="DNA"),$L147,"")))))))))),IF(OR(ISNUMBER($V147),$V147="DNA"),$V147,IF(OR(ISNUMBER($U147),$U147="DNA"),$U147,IF(OR(ISNUMBER($T147),$T147="DNA"),$T147,IF(OR(ISNUMBER($S147),$S147="DNA"),$S147,IF(OR(ISNUMBER($R147),$R147="DNA"),$R147,IF(OR(ISNUMBER($Q147),$Q147="DNA"),$Q147,IF(OR(ISNUMBER($N147),$N147="DNA"),$N147,IF(OR(ISNUMBER($M147),$M147="DNA"),$M147,IF(OR(ISNUMBER($L147),$L147="DNA"),$L147,"")))))))))&lt;TODAY())),1,0)+ISNUMBER($O147)*($O147&lt;TODAY())+ISNUMBER($P147)*($P147&lt;TODAY())+ISNUMBER($X147)*($X147&lt;TODAY())+ISNUMBER($Y147)*($Y147&lt;TODAY()))</f>
        <v/>
      </c>
    </row>
    <row r="148">
      <c r="A148" s="25" t="n"/>
      <c r="B148" s="26" t="n"/>
      <c r="C148" s="27" t="n"/>
      <c r="D148" s="25" t="n"/>
      <c r="E148" s="25" t="n"/>
      <c r="F148" s="27" t="n"/>
      <c r="G148" s="25" t="n"/>
      <c r="H148" s="28">
        <f>IF(OR(NOT(AND($A148&lt;&gt;"",OR($G148="",$G148="Active"))),$F148=""),"",INT((TODAY()-$F148+280)/7)&amp;"+"&amp;MOD(TODAY()-$F148+280,7))</f>
        <v/>
      </c>
      <c r="I148" s="28">
        <f>IF(NOT(AND($A148&lt;&gt;"",OR($G148="",$G148="Active"))),"",ISNUMBER($L148)*($L148&gt;=TODAY())*($L148&lt;=TODAY()+7)+ISNUMBER($M148)*($M148&gt;=TODAY())*($M148&lt;=TODAY()+7)+ISNUMBER($N148)*($N148&gt;=TODAY())*($N148&lt;=TODAY()+7)+ISNUMBER($Q148)*($Q148&gt;=TODAY())*($Q148&lt;=TODAY()+7)+ISNUMBER($R148)*($R148&gt;=TODAY())*($R148&lt;=TODAY()+7)+ISNUMBER($S148)*($S148&gt;=TODAY())*($S148&lt;=TODAY()+7)+ISNUMBER($T148)*($T148&gt;=TODAY())*($T148&lt;=TODAY()+7)+ISNUMBER($U148)*($U148&gt;=TODAY())*($U148&lt;=TODAY()+7)+ISNUMBER($V148)*($V148&gt;=TODAY())*($V148&lt;=TODAY()+7)+ISNUMBER($O148)*($O148&gt;=TODAY())*($O148&lt;=TODAY()+7)+ISNUMBER($P148)*($P148&gt;=TODAY())*($P148&lt;=TODAY()+7)+ISNUMBER($X148)*($X148&gt;=TODAY())*($X148&lt;=TODAY()+7)+ISNUMBER($Y148)*($Y148&gt;=TODAY())*($Y148&lt;=TODAY()+7))</f>
        <v/>
      </c>
      <c r="J148" s="28">
        <f>IF(NOT(AND($A148&lt;&gt;"",OR($G148="",$G148="Active"))),"",IF($K148&lt;&gt;"",IF($L148=$K148,"Booking",IF($M148=$K148,"16/40",IF($N148=$K148,"25/40",IF($Q148=$K148,"28/40",IF($R148=$K148,"31/40",IF($S148=$K148,"34/40",IF($T148=$K148,"36/40",IF($U148=$K148,"38/40",IF($V148=$K148,"40/40",""))))))))),IF(IF(OR(ISNUMBER($V148),$V148="DNA"),$V148,IF(OR(ISNUMBER($U148),$U148="DNA"),$U148,IF(OR(ISNUMBER($T148),$T148="DNA"),$T148,IF(OR(ISNUMBER($S148),$S148="DNA"),$S148,IF(OR(ISNUMBER($R148),$R148="DNA"),$R148,IF(OR(ISNUMBER($Q148),$Q148="DNA"),$Q148,IF(OR(ISNUMBER($N148),$N148="DNA"),$N148,IF(OR(ISNUMBER($M148),$M148="DNA"),$M148,IF(OR(ISNUMBER($L148),$L148="DNA"),$L148,"")))))))))="DNA","Rebook DNA",IF(ISNUMBER(IF(OR(ISNUMBER($V148),$V148="DNA"),$V148,IF(OR(ISNUMBER($U148),$U148="DNA"),$U148,IF(OR(ISNUMBER($T148),$T148="DNA"),$T148,IF(OR(ISNUMBER($S148),$S148="DNA"),$S148,IF(OR(ISNUMBER($R148),$R148="DNA"),$R148,IF(OR(ISNUMBER($Q148),$Q148="DNA"),$Q148,IF(OR(ISNUMBER($N148),$N148="DNA"),$N148,IF(OR(ISNUMBER($M148),$M148="DNA"),$M148,IF(OR(ISNUMBER($L148),$L148="DNA"),$L148,"")))))))))),IF(ISNUMBER($V148),"Update status","Missed/not booked?"),""))))</f>
        <v/>
      </c>
      <c r="K148" s="29">
        <f>IF(NOT(AND($A148&lt;&gt;"",OR($G148="",$G148="Active"))),"",IF(MIN(IF(AND(ISNUMBER($L148),$L148&gt;=TODAY()),$L148,99999),IF(AND(ISNUMBER($M148),$M148&gt;=TODAY()),$M148,99999),IF(AND(ISNUMBER($N148),$N148&gt;=TODAY()),$N148,99999),IF(AND(ISNUMBER($Q148),$Q148&gt;=TODAY()),$Q148,99999),IF(AND(ISNUMBER($R148),$R148&gt;=TODAY()),$R148,99999),IF(AND(ISNUMBER($S148),$S148&gt;=TODAY()),$S148,99999),IF(AND(ISNUMBER($T148),$T148&gt;=TODAY()),$T148,99999),IF(AND(ISNUMBER($U148),$U148&gt;=TODAY()),$U148,99999),IF(AND(ISNUMBER($V148),$V148&gt;=TODAY()),$V148,99999))=99999,"",MIN(IF(AND(ISNUMBER($L148),$L148&gt;=TODAY()),$L148,99999),IF(AND(ISNUMBER($M148),$M148&gt;=TODAY()),$M148,99999),IF(AND(ISNUMBER($N148),$N148&gt;=TODAY()),$N148,99999),IF(AND(ISNUMBER($Q148),$Q148&gt;=TODAY()),$Q148,99999),IF(AND(ISNUMBER($R148),$R148&gt;=TODAY()),$R148,99999),IF(AND(ISNUMBER($S148),$S148&gt;=TODAY()),$S148,99999),IF(AND(ISNUMBER($T148),$T148&gt;=TODAY()),$T148,99999),IF(AND(ISNUMBER($U148),$U148&gt;=TODAY()),$U148,99999),IF(AND(ISNUMBER($V148),$V148&gt;=TODAY()),$V148,99999))))</f>
        <v/>
      </c>
      <c r="L148" s="27" t="n"/>
      <c r="M148" s="27" t="n"/>
      <c r="N148" s="27" t="n"/>
      <c r="O148" s="27" t="n"/>
      <c r="P148" s="27" t="n"/>
      <c r="Q148" s="27" t="n"/>
      <c r="R148" s="27" t="n"/>
      <c r="S148" s="27" t="n"/>
      <c r="T148" s="27" t="n"/>
      <c r="U148" s="27" t="n"/>
      <c r="V148" s="27" t="n"/>
      <c r="W148" s="27" t="n"/>
      <c r="X148" s="27" t="n"/>
      <c r="Y148" s="27" t="n"/>
      <c r="Z148" s="30" t="n"/>
      <c r="AA148" s="25" t="n"/>
      <c r="AB148" s="28">
        <f>IF(NOT(AND($A148&lt;&gt;"",OR($G148="",$G148="Active"))),"",IF(OR(IF(OR(ISNUMBER($V148),$V148="DNA"),$V148,IF(OR(ISNUMBER($U148),$U148="DNA"),$U148,IF(OR(ISNUMBER($T148),$T148="DNA"),$T148,IF(OR(ISNUMBER($S148),$S148="DNA"),$S148,IF(OR(ISNUMBER($R148),$R148="DNA"),$R148,IF(OR(ISNUMBER($Q148),$Q148="DNA"),$Q148,IF(OR(ISNUMBER($N148),$N148="DNA"),$N148,IF(OR(ISNUMBER($M148),$M148="DNA"),$M148,IF(OR(ISNUMBER($L148),$L148="DNA"),$L148,"")))))))))="DNA",AND(ISNUMBER(IF(OR(ISNUMBER($V148),$V148="DNA"),$V148,IF(OR(ISNUMBER($U148),$U148="DNA"),$U148,IF(OR(ISNUMBER($T148),$T148="DNA"),$T148,IF(OR(ISNUMBER($S148),$S148="DNA"),$S148,IF(OR(ISNUMBER($R148),$R148="DNA"),$R148,IF(OR(ISNUMBER($Q148),$Q148="DNA"),$Q148,IF(OR(ISNUMBER($N148),$N148="DNA"),$N148,IF(OR(ISNUMBER($M148),$M148="DNA"),$M148,IF(OR(ISNUMBER($L148),$L148="DNA"),$L148,"")))))))))),IF(OR(ISNUMBER($V148),$V148="DNA"),$V148,IF(OR(ISNUMBER($U148),$U148="DNA"),$U148,IF(OR(ISNUMBER($T148),$T148="DNA"),$T148,IF(OR(ISNUMBER($S148),$S148="DNA"),$S148,IF(OR(ISNUMBER($R148),$R148="DNA"),$R148,IF(OR(ISNUMBER($Q148),$Q148="DNA"),$Q148,IF(OR(ISNUMBER($N148),$N148="DNA"),$N148,IF(OR(ISNUMBER($M148),$M148="DNA"),$M148,IF(OR(ISNUMBER($L148),$L148="DNA"),$L148,"")))))))))&lt;TODAY())),1,0)+ISNUMBER($O148)*($O148&lt;TODAY())+ISNUMBER($P148)*($P148&lt;TODAY())+ISNUMBER($X148)*($X148&lt;TODAY())+ISNUMBER($Y148)*($Y148&lt;TODAY()))</f>
        <v/>
      </c>
    </row>
    <row r="149">
      <c r="A149" s="25" t="n"/>
      <c r="B149" s="26" t="n"/>
      <c r="C149" s="27" t="n"/>
      <c r="D149" s="25" t="n"/>
      <c r="E149" s="25" t="n"/>
      <c r="F149" s="27" t="n"/>
      <c r="G149" s="25" t="n"/>
      <c r="H149" s="28">
        <f>IF(OR(NOT(AND($A149&lt;&gt;"",OR($G149="",$G149="Active"))),$F149=""),"",INT((TODAY()-$F149+280)/7)&amp;"+"&amp;MOD(TODAY()-$F149+280,7))</f>
        <v/>
      </c>
      <c r="I149" s="28">
        <f>IF(NOT(AND($A149&lt;&gt;"",OR($G149="",$G149="Active"))),"",ISNUMBER($L149)*($L149&gt;=TODAY())*($L149&lt;=TODAY()+7)+ISNUMBER($M149)*($M149&gt;=TODAY())*($M149&lt;=TODAY()+7)+ISNUMBER($N149)*($N149&gt;=TODAY())*($N149&lt;=TODAY()+7)+ISNUMBER($Q149)*($Q149&gt;=TODAY())*($Q149&lt;=TODAY()+7)+ISNUMBER($R149)*($R149&gt;=TODAY())*($R149&lt;=TODAY()+7)+ISNUMBER($S149)*($S149&gt;=TODAY())*($S149&lt;=TODAY()+7)+ISNUMBER($T149)*($T149&gt;=TODAY())*($T149&lt;=TODAY()+7)+ISNUMBER($U149)*($U149&gt;=TODAY())*($U149&lt;=TODAY()+7)+ISNUMBER($V149)*($V149&gt;=TODAY())*($V149&lt;=TODAY()+7)+ISNUMBER($O149)*($O149&gt;=TODAY())*($O149&lt;=TODAY()+7)+ISNUMBER($P149)*($P149&gt;=TODAY())*($P149&lt;=TODAY()+7)+ISNUMBER($X149)*($X149&gt;=TODAY())*($X149&lt;=TODAY()+7)+ISNUMBER($Y149)*($Y149&gt;=TODAY())*($Y149&lt;=TODAY()+7))</f>
        <v/>
      </c>
      <c r="J149" s="28">
        <f>IF(NOT(AND($A149&lt;&gt;"",OR($G149="",$G149="Active"))),"",IF($K149&lt;&gt;"",IF($L149=$K149,"Booking",IF($M149=$K149,"16/40",IF($N149=$K149,"25/40",IF($Q149=$K149,"28/40",IF($R149=$K149,"31/40",IF($S149=$K149,"34/40",IF($T149=$K149,"36/40",IF($U149=$K149,"38/40",IF($V149=$K149,"40/40",""))))))))),IF(IF(OR(ISNUMBER($V149),$V149="DNA"),$V149,IF(OR(ISNUMBER($U149),$U149="DNA"),$U149,IF(OR(ISNUMBER($T149),$T149="DNA"),$T149,IF(OR(ISNUMBER($S149),$S149="DNA"),$S149,IF(OR(ISNUMBER($R149),$R149="DNA"),$R149,IF(OR(ISNUMBER($Q149),$Q149="DNA"),$Q149,IF(OR(ISNUMBER($N149),$N149="DNA"),$N149,IF(OR(ISNUMBER($M149),$M149="DNA"),$M149,IF(OR(ISNUMBER($L149),$L149="DNA"),$L149,"")))))))))="DNA","Rebook DNA",IF(ISNUMBER(IF(OR(ISNUMBER($V149),$V149="DNA"),$V149,IF(OR(ISNUMBER($U149),$U149="DNA"),$U149,IF(OR(ISNUMBER($T149),$T149="DNA"),$T149,IF(OR(ISNUMBER($S149),$S149="DNA"),$S149,IF(OR(ISNUMBER($R149),$R149="DNA"),$R149,IF(OR(ISNUMBER($Q149),$Q149="DNA"),$Q149,IF(OR(ISNUMBER($N149),$N149="DNA"),$N149,IF(OR(ISNUMBER($M149),$M149="DNA"),$M149,IF(OR(ISNUMBER($L149),$L149="DNA"),$L149,"")))))))))),IF(ISNUMBER($V149),"Update status","Missed/not booked?"),""))))</f>
        <v/>
      </c>
      <c r="K149" s="29">
        <f>IF(NOT(AND($A149&lt;&gt;"",OR($G149="",$G149="Active"))),"",IF(MIN(IF(AND(ISNUMBER($L149),$L149&gt;=TODAY()),$L149,99999),IF(AND(ISNUMBER($M149),$M149&gt;=TODAY()),$M149,99999),IF(AND(ISNUMBER($N149),$N149&gt;=TODAY()),$N149,99999),IF(AND(ISNUMBER($Q149),$Q149&gt;=TODAY()),$Q149,99999),IF(AND(ISNUMBER($R149),$R149&gt;=TODAY()),$R149,99999),IF(AND(ISNUMBER($S149),$S149&gt;=TODAY()),$S149,99999),IF(AND(ISNUMBER($T149),$T149&gt;=TODAY()),$T149,99999),IF(AND(ISNUMBER($U149),$U149&gt;=TODAY()),$U149,99999),IF(AND(ISNUMBER($V149),$V149&gt;=TODAY()),$V149,99999))=99999,"",MIN(IF(AND(ISNUMBER($L149),$L149&gt;=TODAY()),$L149,99999),IF(AND(ISNUMBER($M149),$M149&gt;=TODAY()),$M149,99999),IF(AND(ISNUMBER($N149),$N149&gt;=TODAY()),$N149,99999),IF(AND(ISNUMBER($Q149),$Q149&gt;=TODAY()),$Q149,99999),IF(AND(ISNUMBER($R149),$R149&gt;=TODAY()),$R149,99999),IF(AND(ISNUMBER($S149),$S149&gt;=TODAY()),$S149,99999),IF(AND(ISNUMBER($T149),$T149&gt;=TODAY()),$T149,99999),IF(AND(ISNUMBER($U149),$U149&gt;=TODAY()),$U149,99999),IF(AND(ISNUMBER($V149),$V149&gt;=TODAY()),$V149,99999))))</f>
        <v/>
      </c>
      <c r="L149" s="27" t="n"/>
      <c r="M149" s="27" t="n"/>
      <c r="N149" s="27" t="n"/>
      <c r="O149" s="27" t="n"/>
      <c r="P149" s="27" t="n"/>
      <c r="Q149" s="27" t="n"/>
      <c r="R149" s="27" t="n"/>
      <c r="S149" s="27" t="n"/>
      <c r="T149" s="27" t="n"/>
      <c r="U149" s="27" t="n"/>
      <c r="V149" s="27" t="n"/>
      <c r="W149" s="27" t="n"/>
      <c r="X149" s="27" t="n"/>
      <c r="Y149" s="27" t="n"/>
      <c r="Z149" s="30" t="n"/>
      <c r="AA149" s="25" t="n"/>
      <c r="AB149" s="28">
        <f>IF(NOT(AND($A149&lt;&gt;"",OR($G149="",$G149="Active"))),"",IF(OR(IF(OR(ISNUMBER($V149),$V149="DNA"),$V149,IF(OR(ISNUMBER($U149),$U149="DNA"),$U149,IF(OR(ISNUMBER($T149),$T149="DNA"),$T149,IF(OR(ISNUMBER($S149),$S149="DNA"),$S149,IF(OR(ISNUMBER($R149),$R149="DNA"),$R149,IF(OR(ISNUMBER($Q149),$Q149="DNA"),$Q149,IF(OR(ISNUMBER($N149),$N149="DNA"),$N149,IF(OR(ISNUMBER($M149),$M149="DNA"),$M149,IF(OR(ISNUMBER($L149),$L149="DNA"),$L149,"")))))))))="DNA",AND(ISNUMBER(IF(OR(ISNUMBER($V149),$V149="DNA"),$V149,IF(OR(ISNUMBER($U149),$U149="DNA"),$U149,IF(OR(ISNUMBER($T149),$T149="DNA"),$T149,IF(OR(ISNUMBER($S149),$S149="DNA"),$S149,IF(OR(ISNUMBER($R149),$R149="DNA"),$R149,IF(OR(ISNUMBER($Q149),$Q149="DNA"),$Q149,IF(OR(ISNUMBER($N149),$N149="DNA"),$N149,IF(OR(ISNUMBER($M149),$M149="DNA"),$M149,IF(OR(ISNUMBER($L149),$L149="DNA"),$L149,"")))))))))),IF(OR(ISNUMBER($V149),$V149="DNA"),$V149,IF(OR(ISNUMBER($U149),$U149="DNA"),$U149,IF(OR(ISNUMBER($T149),$T149="DNA"),$T149,IF(OR(ISNUMBER($S149),$S149="DNA"),$S149,IF(OR(ISNUMBER($R149),$R149="DNA"),$R149,IF(OR(ISNUMBER($Q149),$Q149="DNA"),$Q149,IF(OR(ISNUMBER($N149),$N149="DNA"),$N149,IF(OR(ISNUMBER($M149),$M149="DNA"),$M149,IF(OR(ISNUMBER($L149),$L149="DNA"),$L149,"")))))))))&lt;TODAY())),1,0)+ISNUMBER($O149)*($O149&lt;TODAY())+ISNUMBER($P149)*($P149&lt;TODAY())+ISNUMBER($X149)*($X149&lt;TODAY())+ISNUMBER($Y149)*($Y149&lt;TODAY()))</f>
        <v/>
      </c>
    </row>
    <row r="150">
      <c r="A150" s="25" t="n"/>
      <c r="B150" s="26" t="n"/>
      <c r="C150" s="27" t="n"/>
      <c r="D150" s="25" t="n"/>
      <c r="E150" s="25" t="n"/>
      <c r="F150" s="27" t="n"/>
      <c r="G150" s="25" t="n"/>
      <c r="H150" s="28">
        <f>IF(OR(NOT(AND($A150&lt;&gt;"",OR($G150="",$G150="Active"))),$F150=""),"",INT((TODAY()-$F150+280)/7)&amp;"+"&amp;MOD(TODAY()-$F150+280,7))</f>
        <v/>
      </c>
      <c r="I150" s="28">
        <f>IF(NOT(AND($A150&lt;&gt;"",OR($G150="",$G150="Active"))),"",ISNUMBER($L150)*($L150&gt;=TODAY())*($L150&lt;=TODAY()+7)+ISNUMBER($M150)*($M150&gt;=TODAY())*($M150&lt;=TODAY()+7)+ISNUMBER($N150)*($N150&gt;=TODAY())*($N150&lt;=TODAY()+7)+ISNUMBER($Q150)*($Q150&gt;=TODAY())*($Q150&lt;=TODAY()+7)+ISNUMBER($R150)*($R150&gt;=TODAY())*($R150&lt;=TODAY()+7)+ISNUMBER($S150)*($S150&gt;=TODAY())*($S150&lt;=TODAY()+7)+ISNUMBER($T150)*($T150&gt;=TODAY())*($T150&lt;=TODAY()+7)+ISNUMBER($U150)*($U150&gt;=TODAY())*($U150&lt;=TODAY()+7)+ISNUMBER($V150)*($V150&gt;=TODAY())*($V150&lt;=TODAY()+7)+ISNUMBER($O150)*($O150&gt;=TODAY())*($O150&lt;=TODAY()+7)+ISNUMBER($P150)*($P150&gt;=TODAY())*($P150&lt;=TODAY()+7)+ISNUMBER($X150)*($X150&gt;=TODAY())*($X150&lt;=TODAY()+7)+ISNUMBER($Y150)*($Y150&gt;=TODAY())*($Y150&lt;=TODAY()+7))</f>
        <v/>
      </c>
      <c r="J150" s="28">
        <f>IF(NOT(AND($A150&lt;&gt;"",OR($G150="",$G150="Active"))),"",IF($K150&lt;&gt;"",IF($L150=$K150,"Booking",IF($M150=$K150,"16/40",IF($N150=$K150,"25/40",IF($Q150=$K150,"28/40",IF($R150=$K150,"31/40",IF($S150=$K150,"34/40",IF($T150=$K150,"36/40",IF($U150=$K150,"38/40",IF($V150=$K150,"40/40",""))))))))),IF(IF(OR(ISNUMBER($V150),$V150="DNA"),$V150,IF(OR(ISNUMBER($U150),$U150="DNA"),$U150,IF(OR(ISNUMBER($T150),$T150="DNA"),$T150,IF(OR(ISNUMBER($S150),$S150="DNA"),$S150,IF(OR(ISNUMBER($R150),$R150="DNA"),$R150,IF(OR(ISNUMBER($Q150),$Q150="DNA"),$Q150,IF(OR(ISNUMBER($N150),$N150="DNA"),$N150,IF(OR(ISNUMBER($M150),$M150="DNA"),$M150,IF(OR(ISNUMBER($L150),$L150="DNA"),$L150,"")))))))))="DNA","Rebook DNA",IF(ISNUMBER(IF(OR(ISNUMBER($V150),$V150="DNA"),$V150,IF(OR(ISNUMBER($U150),$U150="DNA"),$U150,IF(OR(ISNUMBER($T150),$T150="DNA"),$T150,IF(OR(ISNUMBER($S150),$S150="DNA"),$S150,IF(OR(ISNUMBER($R150),$R150="DNA"),$R150,IF(OR(ISNUMBER($Q150),$Q150="DNA"),$Q150,IF(OR(ISNUMBER($N150),$N150="DNA"),$N150,IF(OR(ISNUMBER($M150),$M150="DNA"),$M150,IF(OR(ISNUMBER($L150),$L150="DNA"),$L150,"")))))))))),IF(ISNUMBER($V150),"Update status","Missed/not booked?"),""))))</f>
        <v/>
      </c>
      <c r="K150" s="29">
        <f>IF(NOT(AND($A150&lt;&gt;"",OR($G150="",$G150="Active"))),"",IF(MIN(IF(AND(ISNUMBER($L150),$L150&gt;=TODAY()),$L150,99999),IF(AND(ISNUMBER($M150),$M150&gt;=TODAY()),$M150,99999),IF(AND(ISNUMBER($N150),$N150&gt;=TODAY()),$N150,99999),IF(AND(ISNUMBER($Q150),$Q150&gt;=TODAY()),$Q150,99999),IF(AND(ISNUMBER($R150),$R150&gt;=TODAY()),$R150,99999),IF(AND(ISNUMBER($S150),$S150&gt;=TODAY()),$S150,99999),IF(AND(ISNUMBER($T150),$T150&gt;=TODAY()),$T150,99999),IF(AND(ISNUMBER($U150),$U150&gt;=TODAY()),$U150,99999),IF(AND(ISNUMBER($V150),$V150&gt;=TODAY()),$V150,99999))=99999,"",MIN(IF(AND(ISNUMBER($L150),$L150&gt;=TODAY()),$L150,99999),IF(AND(ISNUMBER($M150),$M150&gt;=TODAY()),$M150,99999),IF(AND(ISNUMBER($N150),$N150&gt;=TODAY()),$N150,99999),IF(AND(ISNUMBER($Q150),$Q150&gt;=TODAY()),$Q150,99999),IF(AND(ISNUMBER($R150),$R150&gt;=TODAY()),$R150,99999),IF(AND(ISNUMBER($S150),$S150&gt;=TODAY()),$S150,99999),IF(AND(ISNUMBER($T150),$T150&gt;=TODAY()),$T150,99999),IF(AND(ISNUMBER($U150),$U150&gt;=TODAY()),$U150,99999),IF(AND(ISNUMBER($V150),$V150&gt;=TODAY()),$V150,99999))))</f>
        <v/>
      </c>
      <c r="L150" s="27" t="n"/>
      <c r="M150" s="27" t="n"/>
      <c r="N150" s="27" t="n"/>
      <c r="O150" s="27" t="n"/>
      <c r="P150" s="27" t="n"/>
      <c r="Q150" s="27" t="n"/>
      <c r="R150" s="27" t="n"/>
      <c r="S150" s="27" t="n"/>
      <c r="T150" s="27" t="n"/>
      <c r="U150" s="27" t="n"/>
      <c r="V150" s="27" t="n"/>
      <c r="W150" s="27" t="n"/>
      <c r="X150" s="27" t="n"/>
      <c r="Y150" s="27" t="n"/>
      <c r="Z150" s="30" t="n"/>
      <c r="AA150" s="25" t="n"/>
      <c r="AB150" s="28">
        <f>IF(NOT(AND($A150&lt;&gt;"",OR($G150="",$G150="Active"))),"",IF(OR(IF(OR(ISNUMBER($V150),$V150="DNA"),$V150,IF(OR(ISNUMBER($U150),$U150="DNA"),$U150,IF(OR(ISNUMBER($T150),$T150="DNA"),$T150,IF(OR(ISNUMBER($S150),$S150="DNA"),$S150,IF(OR(ISNUMBER($R150),$R150="DNA"),$R150,IF(OR(ISNUMBER($Q150),$Q150="DNA"),$Q150,IF(OR(ISNUMBER($N150),$N150="DNA"),$N150,IF(OR(ISNUMBER($M150),$M150="DNA"),$M150,IF(OR(ISNUMBER($L150),$L150="DNA"),$L150,"")))))))))="DNA",AND(ISNUMBER(IF(OR(ISNUMBER($V150),$V150="DNA"),$V150,IF(OR(ISNUMBER($U150),$U150="DNA"),$U150,IF(OR(ISNUMBER($T150),$T150="DNA"),$T150,IF(OR(ISNUMBER($S150),$S150="DNA"),$S150,IF(OR(ISNUMBER($R150),$R150="DNA"),$R150,IF(OR(ISNUMBER($Q150),$Q150="DNA"),$Q150,IF(OR(ISNUMBER($N150),$N150="DNA"),$N150,IF(OR(ISNUMBER($M150),$M150="DNA"),$M150,IF(OR(ISNUMBER($L150),$L150="DNA"),$L150,"")))))))))),IF(OR(ISNUMBER($V150),$V150="DNA"),$V150,IF(OR(ISNUMBER($U150),$U150="DNA"),$U150,IF(OR(ISNUMBER($T150),$T150="DNA"),$T150,IF(OR(ISNUMBER($S150),$S150="DNA"),$S150,IF(OR(ISNUMBER($R150),$R150="DNA"),$R150,IF(OR(ISNUMBER($Q150),$Q150="DNA"),$Q150,IF(OR(ISNUMBER($N150),$N150="DNA"),$N150,IF(OR(ISNUMBER($M150),$M150="DNA"),$M150,IF(OR(ISNUMBER($L150),$L150="DNA"),$L150,"")))))))))&lt;TODAY())),1,0)+ISNUMBER($O150)*($O150&lt;TODAY())+ISNUMBER($P150)*($P150&lt;TODAY())+ISNUMBER($X150)*($X150&lt;TODAY())+ISNUMBER($Y150)*($Y150&lt;TODAY()))</f>
        <v/>
      </c>
    </row>
    <row r="151">
      <c r="A151" s="25" t="n"/>
      <c r="B151" s="26" t="n"/>
      <c r="C151" s="27" t="n"/>
      <c r="D151" s="25" t="n"/>
      <c r="E151" s="25" t="n"/>
      <c r="F151" s="27" t="n"/>
      <c r="G151" s="25" t="n"/>
      <c r="H151" s="28">
        <f>IF(OR(NOT(AND($A151&lt;&gt;"",OR($G151="",$G151="Active"))),$F151=""),"",INT((TODAY()-$F151+280)/7)&amp;"+"&amp;MOD(TODAY()-$F151+280,7))</f>
        <v/>
      </c>
      <c r="I151" s="28">
        <f>IF(NOT(AND($A151&lt;&gt;"",OR($G151="",$G151="Active"))),"",ISNUMBER($L151)*($L151&gt;=TODAY())*($L151&lt;=TODAY()+7)+ISNUMBER($M151)*($M151&gt;=TODAY())*($M151&lt;=TODAY()+7)+ISNUMBER($N151)*($N151&gt;=TODAY())*($N151&lt;=TODAY()+7)+ISNUMBER($Q151)*($Q151&gt;=TODAY())*($Q151&lt;=TODAY()+7)+ISNUMBER($R151)*($R151&gt;=TODAY())*($R151&lt;=TODAY()+7)+ISNUMBER($S151)*($S151&gt;=TODAY())*($S151&lt;=TODAY()+7)+ISNUMBER($T151)*($T151&gt;=TODAY())*($T151&lt;=TODAY()+7)+ISNUMBER($U151)*($U151&gt;=TODAY())*($U151&lt;=TODAY()+7)+ISNUMBER($V151)*($V151&gt;=TODAY())*($V151&lt;=TODAY()+7)+ISNUMBER($O151)*($O151&gt;=TODAY())*($O151&lt;=TODAY()+7)+ISNUMBER($P151)*($P151&gt;=TODAY())*($P151&lt;=TODAY()+7)+ISNUMBER($X151)*($X151&gt;=TODAY())*($X151&lt;=TODAY()+7)+ISNUMBER($Y151)*($Y151&gt;=TODAY())*($Y151&lt;=TODAY()+7))</f>
        <v/>
      </c>
      <c r="J151" s="28">
        <f>IF(NOT(AND($A151&lt;&gt;"",OR($G151="",$G151="Active"))),"",IF($K151&lt;&gt;"",IF($L151=$K151,"Booking",IF($M151=$K151,"16/40",IF($N151=$K151,"25/40",IF($Q151=$K151,"28/40",IF($R151=$K151,"31/40",IF($S151=$K151,"34/40",IF($T151=$K151,"36/40",IF($U151=$K151,"38/40",IF($V151=$K151,"40/40",""))))))))),IF(IF(OR(ISNUMBER($V151),$V151="DNA"),$V151,IF(OR(ISNUMBER($U151),$U151="DNA"),$U151,IF(OR(ISNUMBER($T151),$T151="DNA"),$T151,IF(OR(ISNUMBER($S151),$S151="DNA"),$S151,IF(OR(ISNUMBER($R151),$R151="DNA"),$R151,IF(OR(ISNUMBER($Q151),$Q151="DNA"),$Q151,IF(OR(ISNUMBER($N151),$N151="DNA"),$N151,IF(OR(ISNUMBER($M151),$M151="DNA"),$M151,IF(OR(ISNUMBER($L151),$L151="DNA"),$L151,"")))))))))="DNA","Rebook DNA",IF(ISNUMBER(IF(OR(ISNUMBER($V151),$V151="DNA"),$V151,IF(OR(ISNUMBER($U151),$U151="DNA"),$U151,IF(OR(ISNUMBER($T151),$T151="DNA"),$T151,IF(OR(ISNUMBER($S151),$S151="DNA"),$S151,IF(OR(ISNUMBER($R151),$R151="DNA"),$R151,IF(OR(ISNUMBER($Q151),$Q151="DNA"),$Q151,IF(OR(ISNUMBER($N151),$N151="DNA"),$N151,IF(OR(ISNUMBER($M151),$M151="DNA"),$M151,IF(OR(ISNUMBER($L151),$L151="DNA"),$L151,"")))))))))),IF(ISNUMBER($V151),"Update status","Missed/not booked?"),""))))</f>
        <v/>
      </c>
      <c r="K151" s="29">
        <f>IF(NOT(AND($A151&lt;&gt;"",OR($G151="",$G151="Active"))),"",IF(MIN(IF(AND(ISNUMBER($L151),$L151&gt;=TODAY()),$L151,99999),IF(AND(ISNUMBER($M151),$M151&gt;=TODAY()),$M151,99999),IF(AND(ISNUMBER($N151),$N151&gt;=TODAY()),$N151,99999),IF(AND(ISNUMBER($Q151),$Q151&gt;=TODAY()),$Q151,99999),IF(AND(ISNUMBER($R151),$R151&gt;=TODAY()),$R151,99999),IF(AND(ISNUMBER($S151),$S151&gt;=TODAY()),$S151,99999),IF(AND(ISNUMBER($T151),$T151&gt;=TODAY()),$T151,99999),IF(AND(ISNUMBER($U151),$U151&gt;=TODAY()),$U151,99999),IF(AND(ISNUMBER($V151),$V151&gt;=TODAY()),$V151,99999))=99999,"",MIN(IF(AND(ISNUMBER($L151),$L151&gt;=TODAY()),$L151,99999),IF(AND(ISNUMBER($M151),$M151&gt;=TODAY()),$M151,99999),IF(AND(ISNUMBER($N151),$N151&gt;=TODAY()),$N151,99999),IF(AND(ISNUMBER($Q151),$Q151&gt;=TODAY()),$Q151,99999),IF(AND(ISNUMBER($R151),$R151&gt;=TODAY()),$R151,99999),IF(AND(ISNUMBER($S151),$S151&gt;=TODAY()),$S151,99999),IF(AND(ISNUMBER($T151),$T151&gt;=TODAY()),$T151,99999),IF(AND(ISNUMBER($U151),$U151&gt;=TODAY()),$U151,99999),IF(AND(ISNUMBER($V151),$V151&gt;=TODAY()),$V151,99999))))</f>
        <v/>
      </c>
      <c r="L151" s="27" t="n"/>
      <c r="M151" s="27" t="n"/>
      <c r="N151" s="27" t="n"/>
      <c r="O151" s="27" t="n"/>
      <c r="P151" s="27" t="n"/>
      <c r="Q151" s="27" t="n"/>
      <c r="R151" s="27" t="n"/>
      <c r="S151" s="27" t="n"/>
      <c r="T151" s="27" t="n"/>
      <c r="U151" s="27" t="n"/>
      <c r="V151" s="27" t="n"/>
      <c r="W151" s="27" t="n"/>
      <c r="X151" s="27" t="n"/>
      <c r="Y151" s="27" t="n"/>
      <c r="Z151" s="30" t="n"/>
      <c r="AA151" s="25" t="n"/>
      <c r="AB151" s="28">
        <f>IF(NOT(AND($A151&lt;&gt;"",OR($G151="",$G151="Active"))),"",IF(OR(IF(OR(ISNUMBER($V151),$V151="DNA"),$V151,IF(OR(ISNUMBER($U151),$U151="DNA"),$U151,IF(OR(ISNUMBER($T151),$T151="DNA"),$T151,IF(OR(ISNUMBER($S151),$S151="DNA"),$S151,IF(OR(ISNUMBER($R151),$R151="DNA"),$R151,IF(OR(ISNUMBER($Q151),$Q151="DNA"),$Q151,IF(OR(ISNUMBER($N151),$N151="DNA"),$N151,IF(OR(ISNUMBER($M151),$M151="DNA"),$M151,IF(OR(ISNUMBER($L151),$L151="DNA"),$L151,"")))))))))="DNA",AND(ISNUMBER(IF(OR(ISNUMBER($V151),$V151="DNA"),$V151,IF(OR(ISNUMBER($U151),$U151="DNA"),$U151,IF(OR(ISNUMBER($T151),$T151="DNA"),$T151,IF(OR(ISNUMBER($S151),$S151="DNA"),$S151,IF(OR(ISNUMBER($R151),$R151="DNA"),$R151,IF(OR(ISNUMBER($Q151),$Q151="DNA"),$Q151,IF(OR(ISNUMBER($N151),$N151="DNA"),$N151,IF(OR(ISNUMBER($M151),$M151="DNA"),$M151,IF(OR(ISNUMBER($L151),$L151="DNA"),$L151,"")))))))))),IF(OR(ISNUMBER($V151),$V151="DNA"),$V151,IF(OR(ISNUMBER($U151),$U151="DNA"),$U151,IF(OR(ISNUMBER($T151),$T151="DNA"),$T151,IF(OR(ISNUMBER($S151),$S151="DNA"),$S151,IF(OR(ISNUMBER($R151),$R151="DNA"),$R151,IF(OR(ISNUMBER($Q151),$Q151="DNA"),$Q151,IF(OR(ISNUMBER($N151),$N151="DNA"),$N151,IF(OR(ISNUMBER($M151),$M151="DNA"),$M151,IF(OR(ISNUMBER($L151),$L151="DNA"),$L151,"")))))))))&lt;TODAY())),1,0)+ISNUMBER($O151)*($O151&lt;TODAY())+ISNUMBER($P151)*($P151&lt;TODAY())+ISNUMBER($X151)*($X151&lt;TODAY())+ISNUMBER($Y151)*($Y151&lt;TODAY()))</f>
        <v/>
      </c>
    </row>
    <row r="152">
      <c r="A152" s="25" t="n"/>
      <c r="B152" s="26" t="n"/>
      <c r="C152" s="27" t="n"/>
      <c r="D152" s="25" t="n"/>
      <c r="E152" s="25" t="n"/>
      <c r="F152" s="27" t="n"/>
      <c r="G152" s="25" t="n"/>
      <c r="H152" s="28">
        <f>IF(OR(NOT(AND($A152&lt;&gt;"",OR($G152="",$G152="Active"))),$F152=""),"",INT((TODAY()-$F152+280)/7)&amp;"+"&amp;MOD(TODAY()-$F152+280,7))</f>
        <v/>
      </c>
      <c r="I152" s="28">
        <f>IF(NOT(AND($A152&lt;&gt;"",OR($G152="",$G152="Active"))),"",ISNUMBER($L152)*($L152&gt;=TODAY())*($L152&lt;=TODAY()+7)+ISNUMBER($M152)*($M152&gt;=TODAY())*($M152&lt;=TODAY()+7)+ISNUMBER($N152)*($N152&gt;=TODAY())*($N152&lt;=TODAY()+7)+ISNUMBER($Q152)*($Q152&gt;=TODAY())*($Q152&lt;=TODAY()+7)+ISNUMBER($R152)*($R152&gt;=TODAY())*($R152&lt;=TODAY()+7)+ISNUMBER($S152)*($S152&gt;=TODAY())*($S152&lt;=TODAY()+7)+ISNUMBER($T152)*($T152&gt;=TODAY())*($T152&lt;=TODAY()+7)+ISNUMBER($U152)*($U152&gt;=TODAY())*($U152&lt;=TODAY()+7)+ISNUMBER($V152)*($V152&gt;=TODAY())*($V152&lt;=TODAY()+7)+ISNUMBER($O152)*($O152&gt;=TODAY())*($O152&lt;=TODAY()+7)+ISNUMBER($P152)*($P152&gt;=TODAY())*($P152&lt;=TODAY()+7)+ISNUMBER($X152)*($X152&gt;=TODAY())*($X152&lt;=TODAY()+7)+ISNUMBER($Y152)*($Y152&gt;=TODAY())*($Y152&lt;=TODAY()+7))</f>
        <v/>
      </c>
      <c r="J152" s="28">
        <f>IF(NOT(AND($A152&lt;&gt;"",OR($G152="",$G152="Active"))),"",IF($K152&lt;&gt;"",IF($L152=$K152,"Booking",IF($M152=$K152,"16/40",IF($N152=$K152,"25/40",IF($Q152=$K152,"28/40",IF($R152=$K152,"31/40",IF($S152=$K152,"34/40",IF($T152=$K152,"36/40",IF($U152=$K152,"38/40",IF($V152=$K152,"40/40",""))))))))),IF(IF(OR(ISNUMBER($V152),$V152="DNA"),$V152,IF(OR(ISNUMBER($U152),$U152="DNA"),$U152,IF(OR(ISNUMBER($T152),$T152="DNA"),$T152,IF(OR(ISNUMBER($S152),$S152="DNA"),$S152,IF(OR(ISNUMBER($R152),$R152="DNA"),$R152,IF(OR(ISNUMBER($Q152),$Q152="DNA"),$Q152,IF(OR(ISNUMBER($N152),$N152="DNA"),$N152,IF(OR(ISNUMBER($M152),$M152="DNA"),$M152,IF(OR(ISNUMBER($L152),$L152="DNA"),$L152,"")))))))))="DNA","Rebook DNA",IF(ISNUMBER(IF(OR(ISNUMBER($V152),$V152="DNA"),$V152,IF(OR(ISNUMBER($U152),$U152="DNA"),$U152,IF(OR(ISNUMBER($T152),$T152="DNA"),$T152,IF(OR(ISNUMBER($S152),$S152="DNA"),$S152,IF(OR(ISNUMBER($R152),$R152="DNA"),$R152,IF(OR(ISNUMBER($Q152),$Q152="DNA"),$Q152,IF(OR(ISNUMBER($N152),$N152="DNA"),$N152,IF(OR(ISNUMBER($M152),$M152="DNA"),$M152,IF(OR(ISNUMBER($L152),$L152="DNA"),$L152,"")))))))))),IF(ISNUMBER($V152),"Update status","Missed/not booked?"),""))))</f>
        <v/>
      </c>
      <c r="K152" s="29">
        <f>IF(NOT(AND($A152&lt;&gt;"",OR($G152="",$G152="Active"))),"",IF(MIN(IF(AND(ISNUMBER($L152),$L152&gt;=TODAY()),$L152,99999),IF(AND(ISNUMBER($M152),$M152&gt;=TODAY()),$M152,99999),IF(AND(ISNUMBER($N152),$N152&gt;=TODAY()),$N152,99999),IF(AND(ISNUMBER($Q152),$Q152&gt;=TODAY()),$Q152,99999),IF(AND(ISNUMBER($R152),$R152&gt;=TODAY()),$R152,99999),IF(AND(ISNUMBER($S152),$S152&gt;=TODAY()),$S152,99999),IF(AND(ISNUMBER($T152),$T152&gt;=TODAY()),$T152,99999),IF(AND(ISNUMBER($U152),$U152&gt;=TODAY()),$U152,99999),IF(AND(ISNUMBER($V152),$V152&gt;=TODAY()),$V152,99999))=99999,"",MIN(IF(AND(ISNUMBER($L152),$L152&gt;=TODAY()),$L152,99999),IF(AND(ISNUMBER($M152),$M152&gt;=TODAY()),$M152,99999),IF(AND(ISNUMBER($N152),$N152&gt;=TODAY()),$N152,99999),IF(AND(ISNUMBER($Q152),$Q152&gt;=TODAY()),$Q152,99999),IF(AND(ISNUMBER($R152),$R152&gt;=TODAY()),$R152,99999),IF(AND(ISNUMBER($S152),$S152&gt;=TODAY()),$S152,99999),IF(AND(ISNUMBER($T152),$T152&gt;=TODAY()),$T152,99999),IF(AND(ISNUMBER($U152),$U152&gt;=TODAY()),$U152,99999),IF(AND(ISNUMBER($V152),$V152&gt;=TODAY()),$V152,99999))))</f>
        <v/>
      </c>
      <c r="L152" s="27" t="n"/>
      <c r="M152" s="27" t="n"/>
      <c r="N152" s="27" t="n"/>
      <c r="O152" s="27" t="n"/>
      <c r="P152" s="27" t="n"/>
      <c r="Q152" s="27" t="n"/>
      <c r="R152" s="27" t="n"/>
      <c r="S152" s="27" t="n"/>
      <c r="T152" s="27" t="n"/>
      <c r="U152" s="27" t="n"/>
      <c r="V152" s="27" t="n"/>
      <c r="W152" s="27" t="n"/>
      <c r="X152" s="27" t="n"/>
      <c r="Y152" s="27" t="n"/>
      <c r="Z152" s="30" t="n"/>
      <c r="AA152" s="25" t="n"/>
      <c r="AB152" s="28">
        <f>IF(NOT(AND($A152&lt;&gt;"",OR($G152="",$G152="Active"))),"",IF(OR(IF(OR(ISNUMBER($V152),$V152="DNA"),$V152,IF(OR(ISNUMBER($U152),$U152="DNA"),$U152,IF(OR(ISNUMBER($T152),$T152="DNA"),$T152,IF(OR(ISNUMBER($S152),$S152="DNA"),$S152,IF(OR(ISNUMBER($R152),$R152="DNA"),$R152,IF(OR(ISNUMBER($Q152),$Q152="DNA"),$Q152,IF(OR(ISNUMBER($N152),$N152="DNA"),$N152,IF(OR(ISNUMBER($M152),$M152="DNA"),$M152,IF(OR(ISNUMBER($L152),$L152="DNA"),$L152,"")))))))))="DNA",AND(ISNUMBER(IF(OR(ISNUMBER($V152),$V152="DNA"),$V152,IF(OR(ISNUMBER($U152),$U152="DNA"),$U152,IF(OR(ISNUMBER($T152),$T152="DNA"),$T152,IF(OR(ISNUMBER($S152),$S152="DNA"),$S152,IF(OR(ISNUMBER($R152),$R152="DNA"),$R152,IF(OR(ISNUMBER($Q152),$Q152="DNA"),$Q152,IF(OR(ISNUMBER($N152),$N152="DNA"),$N152,IF(OR(ISNUMBER($M152),$M152="DNA"),$M152,IF(OR(ISNUMBER($L152),$L152="DNA"),$L152,"")))))))))),IF(OR(ISNUMBER($V152),$V152="DNA"),$V152,IF(OR(ISNUMBER($U152),$U152="DNA"),$U152,IF(OR(ISNUMBER($T152),$T152="DNA"),$T152,IF(OR(ISNUMBER($S152),$S152="DNA"),$S152,IF(OR(ISNUMBER($R152),$R152="DNA"),$R152,IF(OR(ISNUMBER($Q152),$Q152="DNA"),$Q152,IF(OR(ISNUMBER($N152),$N152="DNA"),$N152,IF(OR(ISNUMBER($M152),$M152="DNA"),$M152,IF(OR(ISNUMBER($L152),$L152="DNA"),$L152,"")))))))))&lt;TODAY())),1,0)+ISNUMBER($O152)*($O152&lt;TODAY())+ISNUMBER($P152)*($P152&lt;TODAY())+ISNUMBER($X152)*($X152&lt;TODAY())+ISNUMBER($Y152)*($Y152&lt;TODAY()))</f>
        <v/>
      </c>
    </row>
    <row r="153">
      <c r="A153" s="25" t="n"/>
      <c r="B153" s="26" t="n"/>
      <c r="C153" s="27" t="n"/>
      <c r="D153" s="25" t="n"/>
      <c r="E153" s="25" t="n"/>
      <c r="F153" s="27" t="n"/>
      <c r="G153" s="25" t="n"/>
      <c r="H153" s="28">
        <f>IF(OR(NOT(AND($A153&lt;&gt;"",OR($G153="",$G153="Active"))),$F153=""),"",INT((TODAY()-$F153+280)/7)&amp;"+"&amp;MOD(TODAY()-$F153+280,7))</f>
        <v/>
      </c>
      <c r="I153" s="28">
        <f>IF(NOT(AND($A153&lt;&gt;"",OR($G153="",$G153="Active"))),"",ISNUMBER($L153)*($L153&gt;=TODAY())*($L153&lt;=TODAY()+7)+ISNUMBER($M153)*($M153&gt;=TODAY())*($M153&lt;=TODAY()+7)+ISNUMBER($N153)*($N153&gt;=TODAY())*($N153&lt;=TODAY()+7)+ISNUMBER($Q153)*($Q153&gt;=TODAY())*($Q153&lt;=TODAY()+7)+ISNUMBER($R153)*($R153&gt;=TODAY())*($R153&lt;=TODAY()+7)+ISNUMBER($S153)*($S153&gt;=TODAY())*($S153&lt;=TODAY()+7)+ISNUMBER($T153)*($T153&gt;=TODAY())*($T153&lt;=TODAY()+7)+ISNUMBER($U153)*($U153&gt;=TODAY())*($U153&lt;=TODAY()+7)+ISNUMBER($V153)*($V153&gt;=TODAY())*($V153&lt;=TODAY()+7)+ISNUMBER($O153)*($O153&gt;=TODAY())*($O153&lt;=TODAY()+7)+ISNUMBER($P153)*($P153&gt;=TODAY())*($P153&lt;=TODAY()+7)+ISNUMBER($X153)*($X153&gt;=TODAY())*($X153&lt;=TODAY()+7)+ISNUMBER($Y153)*($Y153&gt;=TODAY())*($Y153&lt;=TODAY()+7))</f>
        <v/>
      </c>
      <c r="J153" s="28">
        <f>IF(NOT(AND($A153&lt;&gt;"",OR($G153="",$G153="Active"))),"",IF($K153&lt;&gt;"",IF($L153=$K153,"Booking",IF($M153=$K153,"16/40",IF($N153=$K153,"25/40",IF($Q153=$K153,"28/40",IF($R153=$K153,"31/40",IF($S153=$K153,"34/40",IF($T153=$K153,"36/40",IF($U153=$K153,"38/40",IF($V153=$K153,"40/40",""))))))))),IF(IF(OR(ISNUMBER($V153),$V153="DNA"),$V153,IF(OR(ISNUMBER($U153),$U153="DNA"),$U153,IF(OR(ISNUMBER($T153),$T153="DNA"),$T153,IF(OR(ISNUMBER($S153),$S153="DNA"),$S153,IF(OR(ISNUMBER($R153),$R153="DNA"),$R153,IF(OR(ISNUMBER($Q153),$Q153="DNA"),$Q153,IF(OR(ISNUMBER($N153),$N153="DNA"),$N153,IF(OR(ISNUMBER($M153),$M153="DNA"),$M153,IF(OR(ISNUMBER($L153),$L153="DNA"),$L153,"")))))))))="DNA","Rebook DNA",IF(ISNUMBER(IF(OR(ISNUMBER($V153),$V153="DNA"),$V153,IF(OR(ISNUMBER($U153),$U153="DNA"),$U153,IF(OR(ISNUMBER($T153),$T153="DNA"),$T153,IF(OR(ISNUMBER($S153),$S153="DNA"),$S153,IF(OR(ISNUMBER($R153),$R153="DNA"),$R153,IF(OR(ISNUMBER($Q153),$Q153="DNA"),$Q153,IF(OR(ISNUMBER($N153),$N153="DNA"),$N153,IF(OR(ISNUMBER($M153),$M153="DNA"),$M153,IF(OR(ISNUMBER($L153),$L153="DNA"),$L153,"")))))))))),IF(ISNUMBER($V153),"Update status","Missed/not booked?"),""))))</f>
        <v/>
      </c>
      <c r="K153" s="29">
        <f>IF(NOT(AND($A153&lt;&gt;"",OR($G153="",$G153="Active"))),"",IF(MIN(IF(AND(ISNUMBER($L153),$L153&gt;=TODAY()),$L153,99999),IF(AND(ISNUMBER($M153),$M153&gt;=TODAY()),$M153,99999),IF(AND(ISNUMBER($N153),$N153&gt;=TODAY()),$N153,99999),IF(AND(ISNUMBER($Q153),$Q153&gt;=TODAY()),$Q153,99999),IF(AND(ISNUMBER($R153),$R153&gt;=TODAY()),$R153,99999),IF(AND(ISNUMBER($S153),$S153&gt;=TODAY()),$S153,99999),IF(AND(ISNUMBER($T153),$T153&gt;=TODAY()),$T153,99999),IF(AND(ISNUMBER($U153),$U153&gt;=TODAY()),$U153,99999),IF(AND(ISNUMBER($V153),$V153&gt;=TODAY()),$V153,99999))=99999,"",MIN(IF(AND(ISNUMBER($L153),$L153&gt;=TODAY()),$L153,99999),IF(AND(ISNUMBER($M153),$M153&gt;=TODAY()),$M153,99999),IF(AND(ISNUMBER($N153),$N153&gt;=TODAY()),$N153,99999),IF(AND(ISNUMBER($Q153),$Q153&gt;=TODAY()),$Q153,99999),IF(AND(ISNUMBER($R153),$R153&gt;=TODAY()),$R153,99999),IF(AND(ISNUMBER($S153),$S153&gt;=TODAY()),$S153,99999),IF(AND(ISNUMBER($T153),$T153&gt;=TODAY()),$T153,99999),IF(AND(ISNUMBER($U153),$U153&gt;=TODAY()),$U153,99999),IF(AND(ISNUMBER($V153),$V153&gt;=TODAY()),$V153,99999))))</f>
        <v/>
      </c>
      <c r="L153" s="27" t="n"/>
      <c r="M153" s="27" t="n"/>
      <c r="N153" s="27" t="n"/>
      <c r="O153" s="27" t="n"/>
      <c r="P153" s="27" t="n"/>
      <c r="Q153" s="27" t="n"/>
      <c r="R153" s="27" t="n"/>
      <c r="S153" s="27" t="n"/>
      <c r="T153" s="27" t="n"/>
      <c r="U153" s="27" t="n"/>
      <c r="V153" s="27" t="n"/>
      <c r="W153" s="27" t="n"/>
      <c r="X153" s="27" t="n"/>
      <c r="Y153" s="27" t="n"/>
      <c r="Z153" s="30" t="n"/>
      <c r="AA153" s="25" t="n"/>
      <c r="AB153" s="28">
        <f>IF(NOT(AND($A153&lt;&gt;"",OR($G153="",$G153="Active"))),"",IF(OR(IF(OR(ISNUMBER($V153),$V153="DNA"),$V153,IF(OR(ISNUMBER($U153),$U153="DNA"),$U153,IF(OR(ISNUMBER($T153),$T153="DNA"),$T153,IF(OR(ISNUMBER($S153),$S153="DNA"),$S153,IF(OR(ISNUMBER($R153),$R153="DNA"),$R153,IF(OR(ISNUMBER($Q153),$Q153="DNA"),$Q153,IF(OR(ISNUMBER($N153),$N153="DNA"),$N153,IF(OR(ISNUMBER($M153),$M153="DNA"),$M153,IF(OR(ISNUMBER($L153),$L153="DNA"),$L153,"")))))))))="DNA",AND(ISNUMBER(IF(OR(ISNUMBER($V153),$V153="DNA"),$V153,IF(OR(ISNUMBER($U153),$U153="DNA"),$U153,IF(OR(ISNUMBER($T153),$T153="DNA"),$T153,IF(OR(ISNUMBER($S153),$S153="DNA"),$S153,IF(OR(ISNUMBER($R153),$R153="DNA"),$R153,IF(OR(ISNUMBER($Q153),$Q153="DNA"),$Q153,IF(OR(ISNUMBER($N153),$N153="DNA"),$N153,IF(OR(ISNUMBER($M153),$M153="DNA"),$M153,IF(OR(ISNUMBER($L153),$L153="DNA"),$L153,"")))))))))),IF(OR(ISNUMBER($V153),$V153="DNA"),$V153,IF(OR(ISNUMBER($U153),$U153="DNA"),$U153,IF(OR(ISNUMBER($T153),$T153="DNA"),$T153,IF(OR(ISNUMBER($S153),$S153="DNA"),$S153,IF(OR(ISNUMBER($R153),$R153="DNA"),$R153,IF(OR(ISNUMBER($Q153),$Q153="DNA"),$Q153,IF(OR(ISNUMBER($N153),$N153="DNA"),$N153,IF(OR(ISNUMBER($M153),$M153="DNA"),$M153,IF(OR(ISNUMBER($L153),$L153="DNA"),$L153,"")))))))))&lt;TODAY())),1,0)+ISNUMBER($O153)*($O153&lt;TODAY())+ISNUMBER($P153)*($P153&lt;TODAY())+ISNUMBER($X153)*($X153&lt;TODAY())+ISNUMBER($Y153)*($Y153&lt;TODAY()))</f>
        <v/>
      </c>
    </row>
    <row r="154">
      <c r="A154" s="25" t="n"/>
      <c r="B154" s="26" t="n"/>
      <c r="C154" s="27" t="n"/>
      <c r="D154" s="25" t="n"/>
      <c r="E154" s="25" t="n"/>
      <c r="F154" s="27" t="n"/>
      <c r="G154" s="25" t="n"/>
      <c r="H154" s="28">
        <f>IF(OR(NOT(AND($A154&lt;&gt;"",OR($G154="",$G154="Active"))),$F154=""),"",INT((TODAY()-$F154+280)/7)&amp;"+"&amp;MOD(TODAY()-$F154+280,7))</f>
        <v/>
      </c>
      <c r="I154" s="28">
        <f>IF(NOT(AND($A154&lt;&gt;"",OR($G154="",$G154="Active"))),"",ISNUMBER($L154)*($L154&gt;=TODAY())*($L154&lt;=TODAY()+7)+ISNUMBER($M154)*($M154&gt;=TODAY())*($M154&lt;=TODAY()+7)+ISNUMBER($N154)*($N154&gt;=TODAY())*($N154&lt;=TODAY()+7)+ISNUMBER($Q154)*($Q154&gt;=TODAY())*($Q154&lt;=TODAY()+7)+ISNUMBER($R154)*($R154&gt;=TODAY())*($R154&lt;=TODAY()+7)+ISNUMBER($S154)*($S154&gt;=TODAY())*($S154&lt;=TODAY()+7)+ISNUMBER($T154)*($T154&gt;=TODAY())*($T154&lt;=TODAY()+7)+ISNUMBER($U154)*($U154&gt;=TODAY())*($U154&lt;=TODAY()+7)+ISNUMBER($V154)*($V154&gt;=TODAY())*($V154&lt;=TODAY()+7)+ISNUMBER($O154)*($O154&gt;=TODAY())*($O154&lt;=TODAY()+7)+ISNUMBER($P154)*($P154&gt;=TODAY())*($P154&lt;=TODAY()+7)+ISNUMBER($X154)*($X154&gt;=TODAY())*($X154&lt;=TODAY()+7)+ISNUMBER($Y154)*($Y154&gt;=TODAY())*($Y154&lt;=TODAY()+7))</f>
        <v/>
      </c>
      <c r="J154" s="28">
        <f>IF(NOT(AND($A154&lt;&gt;"",OR($G154="",$G154="Active"))),"",IF($K154&lt;&gt;"",IF($L154=$K154,"Booking",IF($M154=$K154,"16/40",IF($N154=$K154,"25/40",IF($Q154=$K154,"28/40",IF($R154=$K154,"31/40",IF($S154=$K154,"34/40",IF($T154=$K154,"36/40",IF($U154=$K154,"38/40",IF($V154=$K154,"40/40",""))))))))),IF(IF(OR(ISNUMBER($V154),$V154="DNA"),$V154,IF(OR(ISNUMBER($U154),$U154="DNA"),$U154,IF(OR(ISNUMBER($T154),$T154="DNA"),$T154,IF(OR(ISNUMBER($S154),$S154="DNA"),$S154,IF(OR(ISNUMBER($R154),$R154="DNA"),$R154,IF(OR(ISNUMBER($Q154),$Q154="DNA"),$Q154,IF(OR(ISNUMBER($N154),$N154="DNA"),$N154,IF(OR(ISNUMBER($M154),$M154="DNA"),$M154,IF(OR(ISNUMBER($L154),$L154="DNA"),$L154,"")))))))))="DNA","Rebook DNA",IF(ISNUMBER(IF(OR(ISNUMBER($V154),$V154="DNA"),$V154,IF(OR(ISNUMBER($U154),$U154="DNA"),$U154,IF(OR(ISNUMBER($T154),$T154="DNA"),$T154,IF(OR(ISNUMBER($S154),$S154="DNA"),$S154,IF(OR(ISNUMBER($R154),$R154="DNA"),$R154,IF(OR(ISNUMBER($Q154),$Q154="DNA"),$Q154,IF(OR(ISNUMBER($N154),$N154="DNA"),$N154,IF(OR(ISNUMBER($M154),$M154="DNA"),$M154,IF(OR(ISNUMBER($L154),$L154="DNA"),$L154,"")))))))))),IF(ISNUMBER($V154),"Update status","Missed/not booked?"),""))))</f>
        <v/>
      </c>
      <c r="K154" s="29">
        <f>IF(NOT(AND($A154&lt;&gt;"",OR($G154="",$G154="Active"))),"",IF(MIN(IF(AND(ISNUMBER($L154),$L154&gt;=TODAY()),$L154,99999),IF(AND(ISNUMBER($M154),$M154&gt;=TODAY()),$M154,99999),IF(AND(ISNUMBER($N154),$N154&gt;=TODAY()),$N154,99999),IF(AND(ISNUMBER($Q154),$Q154&gt;=TODAY()),$Q154,99999),IF(AND(ISNUMBER($R154),$R154&gt;=TODAY()),$R154,99999),IF(AND(ISNUMBER($S154),$S154&gt;=TODAY()),$S154,99999),IF(AND(ISNUMBER($T154),$T154&gt;=TODAY()),$T154,99999),IF(AND(ISNUMBER($U154),$U154&gt;=TODAY()),$U154,99999),IF(AND(ISNUMBER($V154),$V154&gt;=TODAY()),$V154,99999))=99999,"",MIN(IF(AND(ISNUMBER($L154),$L154&gt;=TODAY()),$L154,99999),IF(AND(ISNUMBER($M154),$M154&gt;=TODAY()),$M154,99999),IF(AND(ISNUMBER($N154),$N154&gt;=TODAY()),$N154,99999),IF(AND(ISNUMBER($Q154),$Q154&gt;=TODAY()),$Q154,99999),IF(AND(ISNUMBER($R154),$R154&gt;=TODAY()),$R154,99999),IF(AND(ISNUMBER($S154),$S154&gt;=TODAY()),$S154,99999),IF(AND(ISNUMBER($T154),$T154&gt;=TODAY()),$T154,99999),IF(AND(ISNUMBER($U154),$U154&gt;=TODAY()),$U154,99999),IF(AND(ISNUMBER($V154),$V154&gt;=TODAY()),$V154,99999))))</f>
        <v/>
      </c>
      <c r="L154" s="27" t="n"/>
      <c r="M154" s="27" t="n"/>
      <c r="N154" s="27" t="n"/>
      <c r="O154" s="27" t="n"/>
      <c r="P154" s="27" t="n"/>
      <c r="Q154" s="27" t="n"/>
      <c r="R154" s="27" t="n"/>
      <c r="S154" s="27" t="n"/>
      <c r="T154" s="27" t="n"/>
      <c r="U154" s="27" t="n"/>
      <c r="V154" s="27" t="n"/>
      <c r="W154" s="27" t="n"/>
      <c r="X154" s="27" t="n"/>
      <c r="Y154" s="27" t="n"/>
      <c r="Z154" s="30" t="n"/>
      <c r="AA154" s="25" t="n"/>
      <c r="AB154" s="28">
        <f>IF(NOT(AND($A154&lt;&gt;"",OR($G154="",$G154="Active"))),"",IF(OR(IF(OR(ISNUMBER($V154),$V154="DNA"),$V154,IF(OR(ISNUMBER($U154),$U154="DNA"),$U154,IF(OR(ISNUMBER($T154),$T154="DNA"),$T154,IF(OR(ISNUMBER($S154),$S154="DNA"),$S154,IF(OR(ISNUMBER($R154),$R154="DNA"),$R154,IF(OR(ISNUMBER($Q154),$Q154="DNA"),$Q154,IF(OR(ISNUMBER($N154),$N154="DNA"),$N154,IF(OR(ISNUMBER($M154),$M154="DNA"),$M154,IF(OR(ISNUMBER($L154),$L154="DNA"),$L154,"")))))))))="DNA",AND(ISNUMBER(IF(OR(ISNUMBER($V154),$V154="DNA"),$V154,IF(OR(ISNUMBER($U154),$U154="DNA"),$U154,IF(OR(ISNUMBER($T154),$T154="DNA"),$T154,IF(OR(ISNUMBER($S154),$S154="DNA"),$S154,IF(OR(ISNUMBER($R154),$R154="DNA"),$R154,IF(OR(ISNUMBER($Q154),$Q154="DNA"),$Q154,IF(OR(ISNUMBER($N154),$N154="DNA"),$N154,IF(OR(ISNUMBER($M154),$M154="DNA"),$M154,IF(OR(ISNUMBER($L154),$L154="DNA"),$L154,"")))))))))),IF(OR(ISNUMBER($V154),$V154="DNA"),$V154,IF(OR(ISNUMBER($U154),$U154="DNA"),$U154,IF(OR(ISNUMBER($T154),$T154="DNA"),$T154,IF(OR(ISNUMBER($S154),$S154="DNA"),$S154,IF(OR(ISNUMBER($R154),$R154="DNA"),$R154,IF(OR(ISNUMBER($Q154),$Q154="DNA"),$Q154,IF(OR(ISNUMBER($N154),$N154="DNA"),$N154,IF(OR(ISNUMBER($M154),$M154="DNA"),$M154,IF(OR(ISNUMBER($L154),$L154="DNA"),$L154,"")))))))))&lt;TODAY())),1,0)+ISNUMBER($O154)*($O154&lt;TODAY())+ISNUMBER($P154)*($P154&lt;TODAY())+ISNUMBER($X154)*($X154&lt;TODAY())+ISNUMBER($Y154)*($Y154&lt;TODAY()))</f>
        <v/>
      </c>
    </row>
    <row r="155">
      <c r="A155" s="25" t="n"/>
      <c r="B155" s="26" t="n"/>
      <c r="C155" s="27" t="n"/>
      <c r="D155" s="25" t="n"/>
      <c r="E155" s="25" t="n"/>
      <c r="F155" s="27" t="n"/>
      <c r="G155" s="25" t="n"/>
      <c r="H155" s="28">
        <f>IF(OR(NOT(AND($A155&lt;&gt;"",OR($G155="",$G155="Active"))),$F155=""),"",INT((TODAY()-$F155+280)/7)&amp;"+"&amp;MOD(TODAY()-$F155+280,7))</f>
        <v/>
      </c>
      <c r="I155" s="28">
        <f>IF(NOT(AND($A155&lt;&gt;"",OR($G155="",$G155="Active"))),"",ISNUMBER($L155)*($L155&gt;=TODAY())*($L155&lt;=TODAY()+7)+ISNUMBER($M155)*($M155&gt;=TODAY())*($M155&lt;=TODAY()+7)+ISNUMBER($N155)*($N155&gt;=TODAY())*($N155&lt;=TODAY()+7)+ISNUMBER($Q155)*($Q155&gt;=TODAY())*($Q155&lt;=TODAY()+7)+ISNUMBER($R155)*($R155&gt;=TODAY())*($R155&lt;=TODAY()+7)+ISNUMBER($S155)*($S155&gt;=TODAY())*($S155&lt;=TODAY()+7)+ISNUMBER($T155)*($T155&gt;=TODAY())*($T155&lt;=TODAY()+7)+ISNUMBER($U155)*($U155&gt;=TODAY())*($U155&lt;=TODAY()+7)+ISNUMBER($V155)*($V155&gt;=TODAY())*($V155&lt;=TODAY()+7)+ISNUMBER($O155)*($O155&gt;=TODAY())*($O155&lt;=TODAY()+7)+ISNUMBER($P155)*($P155&gt;=TODAY())*($P155&lt;=TODAY()+7)+ISNUMBER($X155)*($X155&gt;=TODAY())*($X155&lt;=TODAY()+7)+ISNUMBER($Y155)*($Y155&gt;=TODAY())*($Y155&lt;=TODAY()+7))</f>
        <v/>
      </c>
      <c r="J155" s="28">
        <f>IF(NOT(AND($A155&lt;&gt;"",OR($G155="",$G155="Active"))),"",IF($K155&lt;&gt;"",IF($L155=$K155,"Booking",IF($M155=$K155,"16/40",IF($N155=$K155,"25/40",IF($Q155=$K155,"28/40",IF($R155=$K155,"31/40",IF($S155=$K155,"34/40",IF($T155=$K155,"36/40",IF($U155=$K155,"38/40",IF($V155=$K155,"40/40",""))))))))),IF(IF(OR(ISNUMBER($V155),$V155="DNA"),$V155,IF(OR(ISNUMBER($U155),$U155="DNA"),$U155,IF(OR(ISNUMBER($T155),$T155="DNA"),$T155,IF(OR(ISNUMBER($S155),$S155="DNA"),$S155,IF(OR(ISNUMBER($R155),$R155="DNA"),$R155,IF(OR(ISNUMBER($Q155),$Q155="DNA"),$Q155,IF(OR(ISNUMBER($N155),$N155="DNA"),$N155,IF(OR(ISNUMBER($M155),$M155="DNA"),$M155,IF(OR(ISNUMBER($L155),$L155="DNA"),$L155,"")))))))))="DNA","Rebook DNA",IF(ISNUMBER(IF(OR(ISNUMBER($V155),$V155="DNA"),$V155,IF(OR(ISNUMBER($U155),$U155="DNA"),$U155,IF(OR(ISNUMBER($T155),$T155="DNA"),$T155,IF(OR(ISNUMBER($S155),$S155="DNA"),$S155,IF(OR(ISNUMBER($R155),$R155="DNA"),$R155,IF(OR(ISNUMBER($Q155),$Q155="DNA"),$Q155,IF(OR(ISNUMBER($N155),$N155="DNA"),$N155,IF(OR(ISNUMBER($M155),$M155="DNA"),$M155,IF(OR(ISNUMBER($L155),$L155="DNA"),$L155,"")))))))))),IF(ISNUMBER($V155),"Update status","Missed/not booked?"),""))))</f>
        <v/>
      </c>
      <c r="K155" s="29">
        <f>IF(NOT(AND($A155&lt;&gt;"",OR($G155="",$G155="Active"))),"",IF(MIN(IF(AND(ISNUMBER($L155),$L155&gt;=TODAY()),$L155,99999),IF(AND(ISNUMBER($M155),$M155&gt;=TODAY()),$M155,99999),IF(AND(ISNUMBER($N155),$N155&gt;=TODAY()),$N155,99999),IF(AND(ISNUMBER($Q155),$Q155&gt;=TODAY()),$Q155,99999),IF(AND(ISNUMBER($R155),$R155&gt;=TODAY()),$R155,99999),IF(AND(ISNUMBER($S155),$S155&gt;=TODAY()),$S155,99999),IF(AND(ISNUMBER($T155),$T155&gt;=TODAY()),$T155,99999),IF(AND(ISNUMBER($U155),$U155&gt;=TODAY()),$U155,99999),IF(AND(ISNUMBER($V155),$V155&gt;=TODAY()),$V155,99999))=99999,"",MIN(IF(AND(ISNUMBER($L155),$L155&gt;=TODAY()),$L155,99999),IF(AND(ISNUMBER($M155),$M155&gt;=TODAY()),$M155,99999),IF(AND(ISNUMBER($N155),$N155&gt;=TODAY()),$N155,99999),IF(AND(ISNUMBER($Q155),$Q155&gt;=TODAY()),$Q155,99999),IF(AND(ISNUMBER($R155),$R155&gt;=TODAY()),$R155,99999),IF(AND(ISNUMBER($S155),$S155&gt;=TODAY()),$S155,99999),IF(AND(ISNUMBER($T155),$T155&gt;=TODAY()),$T155,99999),IF(AND(ISNUMBER($U155),$U155&gt;=TODAY()),$U155,99999),IF(AND(ISNUMBER($V155),$V155&gt;=TODAY()),$V155,99999))))</f>
        <v/>
      </c>
      <c r="L155" s="27" t="n"/>
      <c r="M155" s="27" t="n"/>
      <c r="N155" s="27" t="n"/>
      <c r="O155" s="27" t="n"/>
      <c r="P155" s="27" t="n"/>
      <c r="Q155" s="27" t="n"/>
      <c r="R155" s="27" t="n"/>
      <c r="S155" s="27" t="n"/>
      <c r="T155" s="27" t="n"/>
      <c r="U155" s="27" t="n"/>
      <c r="V155" s="27" t="n"/>
      <c r="W155" s="27" t="n"/>
      <c r="X155" s="27" t="n"/>
      <c r="Y155" s="27" t="n"/>
      <c r="Z155" s="30" t="n"/>
      <c r="AA155" s="25" t="n"/>
      <c r="AB155" s="28">
        <f>IF(NOT(AND($A155&lt;&gt;"",OR($G155="",$G155="Active"))),"",IF(OR(IF(OR(ISNUMBER($V155),$V155="DNA"),$V155,IF(OR(ISNUMBER($U155),$U155="DNA"),$U155,IF(OR(ISNUMBER($T155),$T155="DNA"),$T155,IF(OR(ISNUMBER($S155),$S155="DNA"),$S155,IF(OR(ISNUMBER($R155),$R155="DNA"),$R155,IF(OR(ISNUMBER($Q155),$Q155="DNA"),$Q155,IF(OR(ISNUMBER($N155),$N155="DNA"),$N155,IF(OR(ISNUMBER($M155),$M155="DNA"),$M155,IF(OR(ISNUMBER($L155),$L155="DNA"),$L155,"")))))))))="DNA",AND(ISNUMBER(IF(OR(ISNUMBER($V155),$V155="DNA"),$V155,IF(OR(ISNUMBER($U155),$U155="DNA"),$U155,IF(OR(ISNUMBER($T155),$T155="DNA"),$T155,IF(OR(ISNUMBER($S155),$S155="DNA"),$S155,IF(OR(ISNUMBER($R155),$R155="DNA"),$R155,IF(OR(ISNUMBER($Q155),$Q155="DNA"),$Q155,IF(OR(ISNUMBER($N155),$N155="DNA"),$N155,IF(OR(ISNUMBER($M155),$M155="DNA"),$M155,IF(OR(ISNUMBER($L155),$L155="DNA"),$L155,"")))))))))),IF(OR(ISNUMBER($V155),$V155="DNA"),$V155,IF(OR(ISNUMBER($U155),$U155="DNA"),$U155,IF(OR(ISNUMBER($T155),$T155="DNA"),$T155,IF(OR(ISNUMBER($S155),$S155="DNA"),$S155,IF(OR(ISNUMBER($R155),$R155="DNA"),$R155,IF(OR(ISNUMBER($Q155),$Q155="DNA"),$Q155,IF(OR(ISNUMBER($N155),$N155="DNA"),$N155,IF(OR(ISNUMBER($M155),$M155="DNA"),$M155,IF(OR(ISNUMBER($L155),$L155="DNA"),$L155,"")))))))))&lt;TODAY())),1,0)+ISNUMBER($O155)*($O155&lt;TODAY())+ISNUMBER($P155)*($P155&lt;TODAY())+ISNUMBER($X155)*($X155&lt;TODAY())+ISNUMBER($Y155)*($Y155&lt;TODAY()))</f>
        <v/>
      </c>
    </row>
    <row r="156">
      <c r="A156" s="25" t="n"/>
      <c r="B156" s="26" t="n"/>
      <c r="C156" s="27" t="n"/>
      <c r="D156" s="25" t="n"/>
      <c r="E156" s="25" t="n"/>
      <c r="F156" s="27" t="n"/>
      <c r="G156" s="25" t="n"/>
      <c r="H156" s="28">
        <f>IF(OR(NOT(AND($A156&lt;&gt;"",OR($G156="",$G156="Active"))),$F156=""),"",INT((TODAY()-$F156+280)/7)&amp;"+"&amp;MOD(TODAY()-$F156+280,7))</f>
        <v/>
      </c>
      <c r="I156" s="28">
        <f>IF(NOT(AND($A156&lt;&gt;"",OR($G156="",$G156="Active"))),"",ISNUMBER($L156)*($L156&gt;=TODAY())*($L156&lt;=TODAY()+7)+ISNUMBER($M156)*($M156&gt;=TODAY())*($M156&lt;=TODAY()+7)+ISNUMBER($N156)*($N156&gt;=TODAY())*($N156&lt;=TODAY()+7)+ISNUMBER($Q156)*($Q156&gt;=TODAY())*($Q156&lt;=TODAY()+7)+ISNUMBER($R156)*($R156&gt;=TODAY())*($R156&lt;=TODAY()+7)+ISNUMBER($S156)*($S156&gt;=TODAY())*($S156&lt;=TODAY()+7)+ISNUMBER($T156)*($T156&gt;=TODAY())*($T156&lt;=TODAY()+7)+ISNUMBER($U156)*($U156&gt;=TODAY())*($U156&lt;=TODAY()+7)+ISNUMBER($V156)*($V156&gt;=TODAY())*($V156&lt;=TODAY()+7)+ISNUMBER($O156)*($O156&gt;=TODAY())*($O156&lt;=TODAY()+7)+ISNUMBER($P156)*($P156&gt;=TODAY())*($P156&lt;=TODAY()+7)+ISNUMBER($X156)*($X156&gt;=TODAY())*($X156&lt;=TODAY()+7)+ISNUMBER($Y156)*($Y156&gt;=TODAY())*($Y156&lt;=TODAY()+7))</f>
        <v/>
      </c>
      <c r="J156" s="28">
        <f>IF(NOT(AND($A156&lt;&gt;"",OR($G156="",$G156="Active"))),"",IF($K156&lt;&gt;"",IF($L156=$K156,"Booking",IF($M156=$K156,"16/40",IF($N156=$K156,"25/40",IF($Q156=$K156,"28/40",IF($R156=$K156,"31/40",IF($S156=$K156,"34/40",IF($T156=$K156,"36/40",IF($U156=$K156,"38/40",IF($V156=$K156,"40/40",""))))))))),IF(IF(OR(ISNUMBER($V156),$V156="DNA"),$V156,IF(OR(ISNUMBER($U156),$U156="DNA"),$U156,IF(OR(ISNUMBER($T156),$T156="DNA"),$T156,IF(OR(ISNUMBER($S156),$S156="DNA"),$S156,IF(OR(ISNUMBER($R156),$R156="DNA"),$R156,IF(OR(ISNUMBER($Q156),$Q156="DNA"),$Q156,IF(OR(ISNUMBER($N156),$N156="DNA"),$N156,IF(OR(ISNUMBER($M156),$M156="DNA"),$M156,IF(OR(ISNUMBER($L156),$L156="DNA"),$L156,"")))))))))="DNA","Rebook DNA",IF(ISNUMBER(IF(OR(ISNUMBER($V156),$V156="DNA"),$V156,IF(OR(ISNUMBER($U156),$U156="DNA"),$U156,IF(OR(ISNUMBER($T156),$T156="DNA"),$T156,IF(OR(ISNUMBER($S156),$S156="DNA"),$S156,IF(OR(ISNUMBER($R156),$R156="DNA"),$R156,IF(OR(ISNUMBER($Q156),$Q156="DNA"),$Q156,IF(OR(ISNUMBER($N156),$N156="DNA"),$N156,IF(OR(ISNUMBER($M156),$M156="DNA"),$M156,IF(OR(ISNUMBER($L156),$L156="DNA"),$L156,"")))))))))),IF(ISNUMBER($V156),"Update status","Missed/not booked?"),""))))</f>
        <v/>
      </c>
      <c r="K156" s="29">
        <f>IF(NOT(AND($A156&lt;&gt;"",OR($G156="",$G156="Active"))),"",IF(MIN(IF(AND(ISNUMBER($L156),$L156&gt;=TODAY()),$L156,99999),IF(AND(ISNUMBER($M156),$M156&gt;=TODAY()),$M156,99999),IF(AND(ISNUMBER($N156),$N156&gt;=TODAY()),$N156,99999),IF(AND(ISNUMBER($Q156),$Q156&gt;=TODAY()),$Q156,99999),IF(AND(ISNUMBER($R156),$R156&gt;=TODAY()),$R156,99999),IF(AND(ISNUMBER($S156),$S156&gt;=TODAY()),$S156,99999),IF(AND(ISNUMBER($T156),$T156&gt;=TODAY()),$T156,99999),IF(AND(ISNUMBER($U156),$U156&gt;=TODAY()),$U156,99999),IF(AND(ISNUMBER($V156),$V156&gt;=TODAY()),$V156,99999))=99999,"",MIN(IF(AND(ISNUMBER($L156),$L156&gt;=TODAY()),$L156,99999),IF(AND(ISNUMBER($M156),$M156&gt;=TODAY()),$M156,99999),IF(AND(ISNUMBER($N156),$N156&gt;=TODAY()),$N156,99999),IF(AND(ISNUMBER($Q156),$Q156&gt;=TODAY()),$Q156,99999),IF(AND(ISNUMBER($R156),$R156&gt;=TODAY()),$R156,99999),IF(AND(ISNUMBER($S156),$S156&gt;=TODAY()),$S156,99999),IF(AND(ISNUMBER($T156),$T156&gt;=TODAY()),$T156,99999),IF(AND(ISNUMBER($U156),$U156&gt;=TODAY()),$U156,99999),IF(AND(ISNUMBER($V156),$V156&gt;=TODAY()),$V156,99999))))</f>
        <v/>
      </c>
      <c r="L156" s="27" t="n"/>
      <c r="M156" s="27" t="n"/>
      <c r="N156" s="27" t="n"/>
      <c r="O156" s="27" t="n"/>
      <c r="P156" s="27" t="n"/>
      <c r="Q156" s="27" t="n"/>
      <c r="R156" s="27" t="n"/>
      <c r="S156" s="27" t="n"/>
      <c r="T156" s="27" t="n"/>
      <c r="U156" s="27" t="n"/>
      <c r="V156" s="27" t="n"/>
      <c r="W156" s="27" t="n"/>
      <c r="X156" s="27" t="n"/>
      <c r="Y156" s="27" t="n"/>
      <c r="Z156" s="30" t="n"/>
      <c r="AA156" s="25" t="n"/>
      <c r="AB156" s="28">
        <f>IF(NOT(AND($A156&lt;&gt;"",OR($G156="",$G156="Active"))),"",IF(OR(IF(OR(ISNUMBER($V156),$V156="DNA"),$V156,IF(OR(ISNUMBER($U156),$U156="DNA"),$U156,IF(OR(ISNUMBER($T156),$T156="DNA"),$T156,IF(OR(ISNUMBER($S156),$S156="DNA"),$S156,IF(OR(ISNUMBER($R156),$R156="DNA"),$R156,IF(OR(ISNUMBER($Q156),$Q156="DNA"),$Q156,IF(OR(ISNUMBER($N156),$N156="DNA"),$N156,IF(OR(ISNUMBER($M156),$M156="DNA"),$M156,IF(OR(ISNUMBER($L156),$L156="DNA"),$L156,"")))))))))="DNA",AND(ISNUMBER(IF(OR(ISNUMBER($V156),$V156="DNA"),$V156,IF(OR(ISNUMBER($U156),$U156="DNA"),$U156,IF(OR(ISNUMBER($T156),$T156="DNA"),$T156,IF(OR(ISNUMBER($S156),$S156="DNA"),$S156,IF(OR(ISNUMBER($R156),$R156="DNA"),$R156,IF(OR(ISNUMBER($Q156),$Q156="DNA"),$Q156,IF(OR(ISNUMBER($N156),$N156="DNA"),$N156,IF(OR(ISNUMBER($M156),$M156="DNA"),$M156,IF(OR(ISNUMBER($L156),$L156="DNA"),$L156,"")))))))))),IF(OR(ISNUMBER($V156),$V156="DNA"),$V156,IF(OR(ISNUMBER($U156),$U156="DNA"),$U156,IF(OR(ISNUMBER($T156),$T156="DNA"),$T156,IF(OR(ISNUMBER($S156),$S156="DNA"),$S156,IF(OR(ISNUMBER($R156),$R156="DNA"),$R156,IF(OR(ISNUMBER($Q156),$Q156="DNA"),$Q156,IF(OR(ISNUMBER($N156),$N156="DNA"),$N156,IF(OR(ISNUMBER($M156),$M156="DNA"),$M156,IF(OR(ISNUMBER($L156),$L156="DNA"),$L156,"")))))))))&lt;TODAY())),1,0)+ISNUMBER($O156)*($O156&lt;TODAY())+ISNUMBER($P156)*($P156&lt;TODAY())+ISNUMBER($X156)*($X156&lt;TODAY())+ISNUMBER($Y156)*($Y156&lt;TODAY()))</f>
        <v/>
      </c>
    </row>
    <row r="157">
      <c r="A157" s="25" t="n"/>
      <c r="B157" s="26" t="n"/>
      <c r="C157" s="27" t="n"/>
      <c r="D157" s="25" t="n"/>
      <c r="E157" s="25" t="n"/>
      <c r="F157" s="27" t="n"/>
      <c r="G157" s="25" t="n"/>
      <c r="H157" s="28">
        <f>IF(OR(NOT(AND($A157&lt;&gt;"",OR($G157="",$G157="Active"))),$F157=""),"",INT((TODAY()-$F157+280)/7)&amp;"+"&amp;MOD(TODAY()-$F157+280,7))</f>
        <v/>
      </c>
      <c r="I157" s="28">
        <f>IF(NOT(AND($A157&lt;&gt;"",OR($G157="",$G157="Active"))),"",ISNUMBER($L157)*($L157&gt;=TODAY())*($L157&lt;=TODAY()+7)+ISNUMBER($M157)*($M157&gt;=TODAY())*($M157&lt;=TODAY()+7)+ISNUMBER($N157)*($N157&gt;=TODAY())*($N157&lt;=TODAY()+7)+ISNUMBER($Q157)*($Q157&gt;=TODAY())*($Q157&lt;=TODAY()+7)+ISNUMBER($R157)*($R157&gt;=TODAY())*($R157&lt;=TODAY()+7)+ISNUMBER($S157)*($S157&gt;=TODAY())*($S157&lt;=TODAY()+7)+ISNUMBER($T157)*($T157&gt;=TODAY())*($T157&lt;=TODAY()+7)+ISNUMBER($U157)*($U157&gt;=TODAY())*($U157&lt;=TODAY()+7)+ISNUMBER($V157)*($V157&gt;=TODAY())*($V157&lt;=TODAY()+7)+ISNUMBER($O157)*($O157&gt;=TODAY())*($O157&lt;=TODAY()+7)+ISNUMBER($P157)*($P157&gt;=TODAY())*($P157&lt;=TODAY()+7)+ISNUMBER($X157)*($X157&gt;=TODAY())*($X157&lt;=TODAY()+7)+ISNUMBER($Y157)*($Y157&gt;=TODAY())*($Y157&lt;=TODAY()+7))</f>
        <v/>
      </c>
      <c r="J157" s="28">
        <f>IF(NOT(AND($A157&lt;&gt;"",OR($G157="",$G157="Active"))),"",IF($K157&lt;&gt;"",IF($L157=$K157,"Booking",IF($M157=$K157,"16/40",IF($N157=$K157,"25/40",IF($Q157=$K157,"28/40",IF($R157=$K157,"31/40",IF($S157=$K157,"34/40",IF($T157=$K157,"36/40",IF($U157=$K157,"38/40",IF($V157=$K157,"40/40",""))))))))),IF(IF(OR(ISNUMBER($V157),$V157="DNA"),$V157,IF(OR(ISNUMBER($U157),$U157="DNA"),$U157,IF(OR(ISNUMBER($T157),$T157="DNA"),$T157,IF(OR(ISNUMBER($S157),$S157="DNA"),$S157,IF(OR(ISNUMBER($R157),$R157="DNA"),$R157,IF(OR(ISNUMBER($Q157),$Q157="DNA"),$Q157,IF(OR(ISNUMBER($N157),$N157="DNA"),$N157,IF(OR(ISNUMBER($M157),$M157="DNA"),$M157,IF(OR(ISNUMBER($L157),$L157="DNA"),$L157,"")))))))))="DNA","Rebook DNA",IF(ISNUMBER(IF(OR(ISNUMBER($V157),$V157="DNA"),$V157,IF(OR(ISNUMBER($U157),$U157="DNA"),$U157,IF(OR(ISNUMBER($T157),$T157="DNA"),$T157,IF(OR(ISNUMBER($S157),$S157="DNA"),$S157,IF(OR(ISNUMBER($R157),$R157="DNA"),$R157,IF(OR(ISNUMBER($Q157),$Q157="DNA"),$Q157,IF(OR(ISNUMBER($N157),$N157="DNA"),$N157,IF(OR(ISNUMBER($M157),$M157="DNA"),$M157,IF(OR(ISNUMBER($L157),$L157="DNA"),$L157,"")))))))))),IF(ISNUMBER($V157),"Update status","Missed/not booked?"),""))))</f>
        <v/>
      </c>
      <c r="K157" s="29">
        <f>IF(NOT(AND($A157&lt;&gt;"",OR($G157="",$G157="Active"))),"",IF(MIN(IF(AND(ISNUMBER($L157),$L157&gt;=TODAY()),$L157,99999),IF(AND(ISNUMBER($M157),$M157&gt;=TODAY()),$M157,99999),IF(AND(ISNUMBER($N157),$N157&gt;=TODAY()),$N157,99999),IF(AND(ISNUMBER($Q157),$Q157&gt;=TODAY()),$Q157,99999),IF(AND(ISNUMBER($R157),$R157&gt;=TODAY()),$R157,99999),IF(AND(ISNUMBER($S157),$S157&gt;=TODAY()),$S157,99999),IF(AND(ISNUMBER($T157),$T157&gt;=TODAY()),$T157,99999),IF(AND(ISNUMBER($U157),$U157&gt;=TODAY()),$U157,99999),IF(AND(ISNUMBER($V157),$V157&gt;=TODAY()),$V157,99999))=99999,"",MIN(IF(AND(ISNUMBER($L157),$L157&gt;=TODAY()),$L157,99999),IF(AND(ISNUMBER($M157),$M157&gt;=TODAY()),$M157,99999),IF(AND(ISNUMBER($N157),$N157&gt;=TODAY()),$N157,99999),IF(AND(ISNUMBER($Q157),$Q157&gt;=TODAY()),$Q157,99999),IF(AND(ISNUMBER($R157),$R157&gt;=TODAY()),$R157,99999),IF(AND(ISNUMBER($S157),$S157&gt;=TODAY()),$S157,99999),IF(AND(ISNUMBER($T157),$T157&gt;=TODAY()),$T157,99999),IF(AND(ISNUMBER($U157),$U157&gt;=TODAY()),$U157,99999),IF(AND(ISNUMBER($V157),$V157&gt;=TODAY()),$V157,99999))))</f>
        <v/>
      </c>
      <c r="L157" s="27" t="n"/>
      <c r="M157" s="27" t="n"/>
      <c r="N157" s="27" t="n"/>
      <c r="O157" s="27" t="n"/>
      <c r="P157" s="27" t="n"/>
      <c r="Q157" s="27" t="n"/>
      <c r="R157" s="27" t="n"/>
      <c r="S157" s="27" t="n"/>
      <c r="T157" s="27" t="n"/>
      <c r="U157" s="27" t="n"/>
      <c r="V157" s="27" t="n"/>
      <c r="W157" s="27" t="n"/>
      <c r="X157" s="27" t="n"/>
      <c r="Y157" s="27" t="n"/>
      <c r="Z157" s="30" t="n"/>
      <c r="AA157" s="25" t="n"/>
      <c r="AB157" s="28">
        <f>IF(NOT(AND($A157&lt;&gt;"",OR($G157="",$G157="Active"))),"",IF(OR(IF(OR(ISNUMBER($V157),$V157="DNA"),$V157,IF(OR(ISNUMBER($U157),$U157="DNA"),$U157,IF(OR(ISNUMBER($T157),$T157="DNA"),$T157,IF(OR(ISNUMBER($S157),$S157="DNA"),$S157,IF(OR(ISNUMBER($R157),$R157="DNA"),$R157,IF(OR(ISNUMBER($Q157),$Q157="DNA"),$Q157,IF(OR(ISNUMBER($N157),$N157="DNA"),$N157,IF(OR(ISNUMBER($M157),$M157="DNA"),$M157,IF(OR(ISNUMBER($L157),$L157="DNA"),$L157,"")))))))))="DNA",AND(ISNUMBER(IF(OR(ISNUMBER($V157),$V157="DNA"),$V157,IF(OR(ISNUMBER($U157),$U157="DNA"),$U157,IF(OR(ISNUMBER($T157),$T157="DNA"),$T157,IF(OR(ISNUMBER($S157),$S157="DNA"),$S157,IF(OR(ISNUMBER($R157),$R157="DNA"),$R157,IF(OR(ISNUMBER($Q157),$Q157="DNA"),$Q157,IF(OR(ISNUMBER($N157),$N157="DNA"),$N157,IF(OR(ISNUMBER($M157),$M157="DNA"),$M157,IF(OR(ISNUMBER($L157),$L157="DNA"),$L157,"")))))))))),IF(OR(ISNUMBER($V157),$V157="DNA"),$V157,IF(OR(ISNUMBER($U157),$U157="DNA"),$U157,IF(OR(ISNUMBER($T157),$T157="DNA"),$T157,IF(OR(ISNUMBER($S157),$S157="DNA"),$S157,IF(OR(ISNUMBER($R157),$R157="DNA"),$R157,IF(OR(ISNUMBER($Q157),$Q157="DNA"),$Q157,IF(OR(ISNUMBER($N157),$N157="DNA"),$N157,IF(OR(ISNUMBER($M157),$M157="DNA"),$M157,IF(OR(ISNUMBER($L157),$L157="DNA"),$L157,"")))))))))&lt;TODAY())),1,0)+ISNUMBER($O157)*($O157&lt;TODAY())+ISNUMBER($P157)*($P157&lt;TODAY())+ISNUMBER($X157)*($X157&lt;TODAY())+ISNUMBER($Y157)*($Y157&lt;TODAY()))</f>
        <v/>
      </c>
    </row>
    <row r="158">
      <c r="A158" s="25" t="n"/>
      <c r="B158" s="26" t="n"/>
      <c r="C158" s="27" t="n"/>
      <c r="D158" s="25" t="n"/>
      <c r="E158" s="25" t="n"/>
      <c r="F158" s="27" t="n"/>
      <c r="G158" s="25" t="n"/>
      <c r="H158" s="28">
        <f>IF(OR(NOT(AND($A158&lt;&gt;"",OR($G158="",$G158="Active"))),$F158=""),"",INT((TODAY()-$F158+280)/7)&amp;"+"&amp;MOD(TODAY()-$F158+280,7))</f>
        <v/>
      </c>
      <c r="I158" s="28">
        <f>IF(NOT(AND($A158&lt;&gt;"",OR($G158="",$G158="Active"))),"",ISNUMBER($L158)*($L158&gt;=TODAY())*($L158&lt;=TODAY()+7)+ISNUMBER($M158)*($M158&gt;=TODAY())*($M158&lt;=TODAY()+7)+ISNUMBER($N158)*($N158&gt;=TODAY())*($N158&lt;=TODAY()+7)+ISNUMBER($Q158)*($Q158&gt;=TODAY())*($Q158&lt;=TODAY()+7)+ISNUMBER($R158)*($R158&gt;=TODAY())*($R158&lt;=TODAY()+7)+ISNUMBER($S158)*($S158&gt;=TODAY())*($S158&lt;=TODAY()+7)+ISNUMBER($T158)*($T158&gt;=TODAY())*($T158&lt;=TODAY()+7)+ISNUMBER($U158)*($U158&gt;=TODAY())*($U158&lt;=TODAY()+7)+ISNUMBER($V158)*($V158&gt;=TODAY())*($V158&lt;=TODAY()+7)+ISNUMBER($O158)*($O158&gt;=TODAY())*($O158&lt;=TODAY()+7)+ISNUMBER($P158)*($P158&gt;=TODAY())*($P158&lt;=TODAY()+7)+ISNUMBER($X158)*($X158&gt;=TODAY())*($X158&lt;=TODAY()+7)+ISNUMBER($Y158)*($Y158&gt;=TODAY())*($Y158&lt;=TODAY()+7))</f>
        <v/>
      </c>
      <c r="J158" s="28">
        <f>IF(NOT(AND($A158&lt;&gt;"",OR($G158="",$G158="Active"))),"",IF($K158&lt;&gt;"",IF($L158=$K158,"Booking",IF($M158=$K158,"16/40",IF($N158=$K158,"25/40",IF($Q158=$K158,"28/40",IF($R158=$K158,"31/40",IF($S158=$K158,"34/40",IF($T158=$K158,"36/40",IF($U158=$K158,"38/40",IF($V158=$K158,"40/40",""))))))))),IF(IF(OR(ISNUMBER($V158),$V158="DNA"),$V158,IF(OR(ISNUMBER($U158),$U158="DNA"),$U158,IF(OR(ISNUMBER($T158),$T158="DNA"),$T158,IF(OR(ISNUMBER($S158),$S158="DNA"),$S158,IF(OR(ISNUMBER($R158),$R158="DNA"),$R158,IF(OR(ISNUMBER($Q158),$Q158="DNA"),$Q158,IF(OR(ISNUMBER($N158),$N158="DNA"),$N158,IF(OR(ISNUMBER($M158),$M158="DNA"),$M158,IF(OR(ISNUMBER($L158),$L158="DNA"),$L158,"")))))))))="DNA","Rebook DNA",IF(ISNUMBER(IF(OR(ISNUMBER($V158),$V158="DNA"),$V158,IF(OR(ISNUMBER($U158),$U158="DNA"),$U158,IF(OR(ISNUMBER($T158),$T158="DNA"),$T158,IF(OR(ISNUMBER($S158),$S158="DNA"),$S158,IF(OR(ISNUMBER($R158),$R158="DNA"),$R158,IF(OR(ISNUMBER($Q158),$Q158="DNA"),$Q158,IF(OR(ISNUMBER($N158),$N158="DNA"),$N158,IF(OR(ISNUMBER($M158),$M158="DNA"),$M158,IF(OR(ISNUMBER($L158),$L158="DNA"),$L158,"")))))))))),IF(ISNUMBER($V158),"Update status","Missed/not booked?"),""))))</f>
        <v/>
      </c>
      <c r="K158" s="29">
        <f>IF(NOT(AND($A158&lt;&gt;"",OR($G158="",$G158="Active"))),"",IF(MIN(IF(AND(ISNUMBER($L158),$L158&gt;=TODAY()),$L158,99999),IF(AND(ISNUMBER($M158),$M158&gt;=TODAY()),$M158,99999),IF(AND(ISNUMBER($N158),$N158&gt;=TODAY()),$N158,99999),IF(AND(ISNUMBER($Q158),$Q158&gt;=TODAY()),$Q158,99999),IF(AND(ISNUMBER($R158),$R158&gt;=TODAY()),$R158,99999),IF(AND(ISNUMBER($S158),$S158&gt;=TODAY()),$S158,99999),IF(AND(ISNUMBER($T158),$T158&gt;=TODAY()),$T158,99999),IF(AND(ISNUMBER($U158),$U158&gt;=TODAY()),$U158,99999),IF(AND(ISNUMBER($V158),$V158&gt;=TODAY()),$V158,99999))=99999,"",MIN(IF(AND(ISNUMBER($L158),$L158&gt;=TODAY()),$L158,99999),IF(AND(ISNUMBER($M158),$M158&gt;=TODAY()),$M158,99999),IF(AND(ISNUMBER($N158),$N158&gt;=TODAY()),$N158,99999),IF(AND(ISNUMBER($Q158),$Q158&gt;=TODAY()),$Q158,99999),IF(AND(ISNUMBER($R158),$R158&gt;=TODAY()),$R158,99999),IF(AND(ISNUMBER($S158),$S158&gt;=TODAY()),$S158,99999),IF(AND(ISNUMBER($T158),$T158&gt;=TODAY()),$T158,99999),IF(AND(ISNUMBER($U158),$U158&gt;=TODAY()),$U158,99999),IF(AND(ISNUMBER($V158),$V158&gt;=TODAY()),$V158,99999))))</f>
        <v/>
      </c>
      <c r="L158" s="27" t="n"/>
      <c r="M158" s="27" t="n"/>
      <c r="N158" s="27" t="n"/>
      <c r="O158" s="27" t="n"/>
      <c r="P158" s="27" t="n"/>
      <c r="Q158" s="27" t="n"/>
      <c r="R158" s="27" t="n"/>
      <c r="S158" s="27" t="n"/>
      <c r="T158" s="27" t="n"/>
      <c r="U158" s="27" t="n"/>
      <c r="V158" s="27" t="n"/>
      <c r="W158" s="27" t="n"/>
      <c r="X158" s="27" t="n"/>
      <c r="Y158" s="27" t="n"/>
      <c r="Z158" s="30" t="n"/>
      <c r="AA158" s="25" t="n"/>
      <c r="AB158" s="28">
        <f>IF(NOT(AND($A158&lt;&gt;"",OR($G158="",$G158="Active"))),"",IF(OR(IF(OR(ISNUMBER($V158),$V158="DNA"),$V158,IF(OR(ISNUMBER($U158),$U158="DNA"),$U158,IF(OR(ISNUMBER($T158),$T158="DNA"),$T158,IF(OR(ISNUMBER($S158),$S158="DNA"),$S158,IF(OR(ISNUMBER($R158),$R158="DNA"),$R158,IF(OR(ISNUMBER($Q158),$Q158="DNA"),$Q158,IF(OR(ISNUMBER($N158),$N158="DNA"),$N158,IF(OR(ISNUMBER($M158),$M158="DNA"),$M158,IF(OR(ISNUMBER($L158),$L158="DNA"),$L158,"")))))))))="DNA",AND(ISNUMBER(IF(OR(ISNUMBER($V158),$V158="DNA"),$V158,IF(OR(ISNUMBER($U158),$U158="DNA"),$U158,IF(OR(ISNUMBER($T158),$T158="DNA"),$T158,IF(OR(ISNUMBER($S158),$S158="DNA"),$S158,IF(OR(ISNUMBER($R158),$R158="DNA"),$R158,IF(OR(ISNUMBER($Q158),$Q158="DNA"),$Q158,IF(OR(ISNUMBER($N158),$N158="DNA"),$N158,IF(OR(ISNUMBER($M158),$M158="DNA"),$M158,IF(OR(ISNUMBER($L158),$L158="DNA"),$L158,"")))))))))),IF(OR(ISNUMBER($V158),$V158="DNA"),$V158,IF(OR(ISNUMBER($U158),$U158="DNA"),$U158,IF(OR(ISNUMBER($T158),$T158="DNA"),$T158,IF(OR(ISNUMBER($S158),$S158="DNA"),$S158,IF(OR(ISNUMBER($R158),$R158="DNA"),$R158,IF(OR(ISNUMBER($Q158),$Q158="DNA"),$Q158,IF(OR(ISNUMBER($N158),$N158="DNA"),$N158,IF(OR(ISNUMBER($M158),$M158="DNA"),$M158,IF(OR(ISNUMBER($L158),$L158="DNA"),$L158,"")))))))))&lt;TODAY())),1,0)+ISNUMBER($O158)*($O158&lt;TODAY())+ISNUMBER($P158)*($P158&lt;TODAY())+ISNUMBER($X158)*($X158&lt;TODAY())+ISNUMBER($Y158)*($Y158&lt;TODAY()))</f>
        <v/>
      </c>
    </row>
    <row r="159">
      <c r="A159" s="25" t="n"/>
      <c r="B159" s="26" t="n"/>
      <c r="C159" s="27" t="n"/>
      <c r="D159" s="25" t="n"/>
      <c r="E159" s="25" t="n"/>
      <c r="F159" s="27" t="n"/>
      <c r="G159" s="25" t="n"/>
      <c r="H159" s="28">
        <f>IF(OR(NOT(AND($A159&lt;&gt;"",OR($G159="",$G159="Active"))),$F159=""),"",INT((TODAY()-$F159+280)/7)&amp;"+"&amp;MOD(TODAY()-$F159+280,7))</f>
        <v/>
      </c>
      <c r="I159" s="28">
        <f>IF(NOT(AND($A159&lt;&gt;"",OR($G159="",$G159="Active"))),"",ISNUMBER($L159)*($L159&gt;=TODAY())*($L159&lt;=TODAY()+7)+ISNUMBER($M159)*($M159&gt;=TODAY())*($M159&lt;=TODAY()+7)+ISNUMBER($N159)*($N159&gt;=TODAY())*($N159&lt;=TODAY()+7)+ISNUMBER($Q159)*($Q159&gt;=TODAY())*($Q159&lt;=TODAY()+7)+ISNUMBER($R159)*($R159&gt;=TODAY())*($R159&lt;=TODAY()+7)+ISNUMBER($S159)*($S159&gt;=TODAY())*($S159&lt;=TODAY()+7)+ISNUMBER($T159)*($T159&gt;=TODAY())*($T159&lt;=TODAY()+7)+ISNUMBER($U159)*($U159&gt;=TODAY())*($U159&lt;=TODAY()+7)+ISNUMBER($V159)*($V159&gt;=TODAY())*($V159&lt;=TODAY()+7)+ISNUMBER($O159)*($O159&gt;=TODAY())*($O159&lt;=TODAY()+7)+ISNUMBER($P159)*($P159&gt;=TODAY())*($P159&lt;=TODAY()+7)+ISNUMBER($X159)*($X159&gt;=TODAY())*($X159&lt;=TODAY()+7)+ISNUMBER($Y159)*($Y159&gt;=TODAY())*($Y159&lt;=TODAY()+7))</f>
        <v/>
      </c>
      <c r="J159" s="28">
        <f>IF(NOT(AND($A159&lt;&gt;"",OR($G159="",$G159="Active"))),"",IF($K159&lt;&gt;"",IF($L159=$K159,"Booking",IF($M159=$K159,"16/40",IF($N159=$K159,"25/40",IF($Q159=$K159,"28/40",IF($R159=$K159,"31/40",IF($S159=$K159,"34/40",IF($T159=$K159,"36/40",IF($U159=$K159,"38/40",IF($V159=$K159,"40/40",""))))))))),IF(IF(OR(ISNUMBER($V159),$V159="DNA"),$V159,IF(OR(ISNUMBER($U159),$U159="DNA"),$U159,IF(OR(ISNUMBER($T159),$T159="DNA"),$T159,IF(OR(ISNUMBER($S159),$S159="DNA"),$S159,IF(OR(ISNUMBER($R159),$R159="DNA"),$R159,IF(OR(ISNUMBER($Q159),$Q159="DNA"),$Q159,IF(OR(ISNUMBER($N159),$N159="DNA"),$N159,IF(OR(ISNUMBER($M159),$M159="DNA"),$M159,IF(OR(ISNUMBER($L159),$L159="DNA"),$L159,"")))))))))="DNA","Rebook DNA",IF(ISNUMBER(IF(OR(ISNUMBER($V159),$V159="DNA"),$V159,IF(OR(ISNUMBER($U159),$U159="DNA"),$U159,IF(OR(ISNUMBER($T159),$T159="DNA"),$T159,IF(OR(ISNUMBER($S159),$S159="DNA"),$S159,IF(OR(ISNUMBER($R159),$R159="DNA"),$R159,IF(OR(ISNUMBER($Q159),$Q159="DNA"),$Q159,IF(OR(ISNUMBER($N159),$N159="DNA"),$N159,IF(OR(ISNUMBER($M159),$M159="DNA"),$M159,IF(OR(ISNUMBER($L159),$L159="DNA"),$L159,"")))))))))),IF(ISNUMBER($V159),"Update status","Missed/not booked?"),""))))</f>
        <v/>
      </c>
      <c r="K159" s="29">
        <f>IF(NOT(AND($A159&lt;&gt;"",OR($G159="",$G159="Active"))),"",IF(MIN(IF(AND(ISNUMBER($L159),$L159&gt;=TODAY()),$L159,99999),IF(AND(ISNUMBER($M159),$M159&gt;=TODAY()),$M159,99999),IF(AND(ISNUMBER($N159),$N159&gt;=TODAY()),$N159,99999),IF(AND(ISNUMBER($Q159),$Q159&gt;=TODAY()),$Q159,99999),IF(AND(ISNUMBER($R159),$R159&gt;=TODAY()),$R159,99999),IF(AND(ISNUMBER($S159),$S159&gt;=TODAY()),$S159,99999),IF(AND(ISNUMBER($T159),$T159&gt;=TODAY()),$T159,99999),IF(AND(ISNUMBER($U159),$U159&gt;=TODAY()),$U159,99999),IF(AND(ISNUMBER($V159),$V159&gt;=TODAY()),$V159,99999))=99999,"",MIN(IF(AND(ISNUMBER($L159),$L159&gt;=TODAY()),$L159,99999),IF(AND(ISNUMBER($M159),$M159&gt;=TODAY()),$M159,99999),IF(AND(ISNUMBER($N159),$N159&gt;=TODAY()),$N159,99999),IF(AND(ISNUMBER($Q159),$Q159&gt;=TODAY()),$Q159,99999),IF(AND(ISNUMBER($R159),$R159&gt;=TODAY()),$R159,99999),IF(AND(ISNUMBER($S159),$S159&gt;=TODAY()),$S159,99999),IF(AND(ISNUMBER($T159),$T159&gt;=TODAY()),$T159,99999),IF(AND(ISNUMBER($U159),$U159&gt;=TODAY()),$U159,99999),IF(AND(ISNUMBER($V159),$V159&gt;=TODAY()),$V159,99999))))</f>
        <v/>
      </c>
      <c r="L159" s="27" t="n"/>
      <c r="M159" s="27" t="n"/>
      <c r="N159" s="27" t="n"/>
      <c r="O159" s="27" t="n"/>
      <c r="P159" s="27" t="n"/>
      <c r="Q159" s="27" t="n"/>
      <c r="R159" s="27" t="n"/>
      <c r="S159" s="27" t="n"/>
      <c r="T159" s="27" t="n"/>
      <c r="U159" s="27" t="n"/>
      <c r="V159" s="27" t="n"/>
      <c r="W159" s="27" t="n"/>
      <c r="X159" s="27" t="n"/>
      <c r="Y159" s="27" t="n"/>
      <c r="Z159" s="30" t="n"/>
      <c r="AA159" s="25" t="n"/>
      <c r="AB159" s="28">
        <f>IF(NOT(AND($A159&lt;&gt;"",OR($G159="",$G159="Active"))),"",IF(OR(IF(OR(ISNUMBER($V159),$V159="DNA"),$V159,IF(OR(ISNUMBER($U159),$U159="DNA"),$U159,IF(OR(ISNUMBER($T159),$T159="DNA"),$T159,IF(OR(ISNUMBER($S159),$S159="DNA"),$S159,IF(OR(ISNUMBER($R159),$R159="DNA"),$R159,IF(OR(ISNUMBER($Q159),$Q159="DNA"),$Q159,IF(OR(ISNUMBER($N159),$N159="DNA"),$N159,IF(OR(ISNUMBER($M159),$M159="DNA"),$M159,IF(OR(ISNUMBER($L159),$L159="DNA"),$L159,"")))))))))="DNA",AND(ISNUMBER(IF(OR(ISNUMBER($V159),$V159="DNA"),$V159,IF(OR(ISNUMBER($U159),$U159="DNA"),$U159,IF(OR(ISNUMBER($T159),$T159="DNA"),$T159,IF(OR(ISNUMBER($S159),$S159="DNA"),$S159,IF(OR(ISNUMBER($R159),$R159="DNA"),$R159,IF(OR(ISNUMBER($Q159),$Q159="DNA"),$Q159,IF(OR(ISNUMBER($N159),$N159="DNA"),$N159,IF(OR(ISNUMBER($M159),$M159="DNA"),$M159,IF(OR(ISNUMBER($L159),$L159="DNA"),$L159,"")))))))))),IF(OR(ISNUMBER($V159),$V159="DNA"),$V159,IF(OR(ISNUMBER($U159),$U159="DNA"),$U159,IF(OR(ISNUMBER($T159),$T159="DNA"),$T159,IF(OR(ISNUMBER($S159),$S159="DNA"),$S159,IF(OR(ISNUMBER($R159),$R159="DNA"),$R159,IF(OR(ISNUMBER($Q159),$Q159="DNA"),$Q159,IF(OR(ISNUMBER($N159),$N159="DNA"),$N159,IF(OR(ISNUMBER($M159),$M159="DNA"),$M159,IF(OR(ISNUMBER($L159),$L159="DNA"),$L159,"")))))))))&lt;TODAY())),1,0)+ISNUMBER($O159)*($O159&lt;TODAY())+ISNUMBER($P159)*($P159&lt;TODAY())+ISNUMBER($X159)*($X159&lt;TODAY())+ISNUMBER($Y159)*($Y159&lt;TODAY()))</f>
        <v/>
      </c>
    </row>
    <row r="160">
      <c r="A160" s="25" t="n"/>
      <c r="B160" s="26" t="n"/>
      <c r="C160" s="27" t="n"/>
      <c r="D160" s="25" t="n"/>
      <c r="E160" s="25" t="n"/>
      <c r="F160" s="27" t="n"/>
      <c r="G160" s="25" t="n"/>
      <c r="H160" s="28">
        <f>IF(OR(NOT(AND($A160&lt;&gt;"",OR($G160="",$G160="Active"))),$F160=""),"",INT((TODAY()-$F160+280)/7)&amp;"+"&amp;MOD(TODAY()-$F160+280,7))</f>
        <v/>
      </c>
      <c r="I160" s="28">
        <f>IF(NOT(AND($A160&lt;&gt;"",OR($G160="",$G160="Active"))),"",ISNUMBER($L160)*($L160&gt;=TODAY())*($L160&lt;=TODAY()+7)+ISNUMBER($M160)*($M160&gt;=TODAY())*($M160&lt;=TODAY()+7)+ISNUMBER($N160)*($N160&gt;=TODAY())*($N160&lt;=TODAY()+7)+ISNUMBER($Q160)*($Q160&gt;=TODAY())*($Q160&lt;=TODAY()+7)+ISNUMBER($R160)*($R160&gt;=TODAY())*($R160&lt;=TODAY()+7)+ISNUMBER($S160)*($S160&gt;=TODAY())*($S160&lt;=TODAY()+7)+ISNUMBER($T160)*($T160&gt;=TODAY())*($T160&lt;=TODAY()+7)+ISNUMBER($U160)*($U160&gt;=TODAY())*($U160&lt;=TODAY()+7)+ISNUMBER($V160)*($V160&gt;=TODAY())*($V160&lt;=TODAY()+7)+ISNUMBER($O160)*($O160&gt;=TODAY())*($O160&lt;=TODAY()+7)+ISNUMBER($P160)*($P160&gt;=TODAY())*($P160&lt;=TODAY()+7)+ISNUMBER($X160)*($X160&gt;=TODAY())*($X160&lt;=TODAY()+7)+ISNUMBER($Y160)*($Y160&gt;=TODAY())*($Y160&lt;=TODAY()+7))</f>
        <v/>
      </c>
      <c r="J160" s="28">
        <f>IF(NOT(AND($A160&lt;&gt;"",OR($G160="",$G160="Active"))),"",IF($K160&lt;&gt;"",IF($L160=$K160,"Booking",IF($M160=$K160,"16/40",IF($N160=$K160,"25/40",IF($Q160=$K160,"28/40",IF($R160=$K160,"31/40",IF($S160=$K160,"34/40",IF($T160=$K160,"36/40",IF($U160=$K160,"38/40",IF($V160=$K160,"40/40",""))))))))),IF(IF(OR(ISNUMBER($V160),$V160="DNA"),$V160,IF(OR(ISNUMBER($U160),$U160="DNA"),$U160,IF(OR(ISNUMBER($T160),$T160="DNA"),$T160,IF(OR(ISNUMBER($S160),$S160="DNA"),$S160,IF(OR(ISNUMBER($R160),$R160="DNA"),$R160,IF(OR(ISNUMBER($Q160),$Q160="DNA"),$Q160,IF(OR(ISNUMBER($N160),$N160="DNA"),$N160,IF(OR(ISNUMBER($M160),$M160="DNA"),$M160,IF(OR(ISNUMBER($L160),$L160="DNA"),$L160,"")))))))))="DNA","Rebook DNA",IF(ISNUMBER(IF(OR(ISNUMBER($V160),$V160="DNA"),$V160,IF(OR(ISNUMBER($U160),$U160="DNA"),$U160,IF(OR(ISNUMBER($T160),$T160="DNA"),$T160,IF(OR(ISNUMBER($S160),$S160="DNA"),$S160,IF(OR(ISNUMBER($R160),$R160="DNA"),$R160,IF(OR(ISNUMBER($Q160),$Q160="DNA"),$Q160,IF(OR(ISNUMBER($N160),$N160="DNA"),$N160,IF(OR(ISNUMBER($M160),$M160="DNA"),$M160,IF(OR(ISNUMBER($L160),$L160="DNA"),$L160,"")))))))))),IF(ISNUMBER($V160),"Update status","Missed/not booked?"),""))))</f>
        <v/>
      </c>
      <c r="K160" s="29">
        <f>IF(NOT(AND($A160&lt;&gt;"",OR($G160="",$G160="Active"))),"",IF(MIN(IF(AND(ISNUMBER($L160),$L160&gt;=TODAY()),$L160,99999),IF(AND(ISNUMBER($M160),$M160&gt;=TODAY()),$M160,99999),IF(AND(ISNUMBER($N160),$N160&gt;=TODAY()),$N160,99999),IF(AND(ISNUMBER($Q160),$Q160&gt;=TODAY()),$Q160,99999),IF(AND(ISNUMBER($R160),$R160&gt;=TODAY()),$R160,99999),IF(AND(ISNUMBER($S160),$S160&gt;=TODAY()),$S160,99999),IF(AND(ISNUMBER($T160),$T160&gt;=TODAY()),$T160,99999),IF(AND(ISNUMBER($U160),$U160&gt;=TODAY()),$U160,99999),IF(AND(ISNUMBER($V160),$V160&gt;=TODAY()),$V160,99999))=99999,"",MIN(IF(AND(ISNUMBER($L160),$L160&gt;=TODAY()),$L160,99999),IF(AND(ISNUMBER($M160),$M160&gt;=TODAY()),$M160,99999),IF(AND(ISNUMBER($N160),$N160&gt;=TODAY()),$N160,99999),IF(AND(ISNUMBER($Q160),$Q160&gt;=TODAY()),$Q160,99999),IF(AND(ISNUMBER($R160),$R160&gt;=TODAY()),$R160,99999),IF(AND(ISNUMBER($S160),$S160&gt;=TODAY()),$S160,99999),IF(AND(ISNUMBER($T160),$T160&gt;=TODAY()),$T160,99999),IF(AND(ISNUMBER($U160),$U160&gt;=TODAY()),$U160,99999),IF(AND(ISNUMBER($V160),$V160&gt;=TODAY()),$V160,99999))))</f>
        <v/>
      </c>
      <c r="L160" s="27" t="n"/>
      <c r="M160" s="27" t="n"/>
      <c r="N160" s="27" t="n"/>
      <c r="O160" s="27" t="n"/>
      <c r="P160" s="27" t="n"/>
      <c r="Q160" s="27" t="n"/>
      <c r="R160" s="27" t="n"/>
      <c r="S160" s="27" t="n"/>
      <c r="T160" s="27" t="n"/>
      <c r="U160" s="27" t="n"/>
      <c r="V160" s="27" t="n"/>
      <c r="W160" s="27" t="n"/>
      <c r="X160" s="27" t="n"/>
      <c r="Y160" s="27" t="n"/>
      <c r="Z160" s="30" t="n"/>
      <c r="AA160" s="25" t="n"/>
      <c r="AB160" s="28">
        <f>IF(NOT(AND($A160&lt;&gt;"",OR($G160="",$G160="Active"))),"",IF(OR(IF(OR(ISNUMBER($V160),$V160="DNA"),$V160,IF(OR(ISNUMBER($U160),$U160="DNA"),$U160,IF(OR(ISNUMBER($T160),$T160="DNA"),$T160,IF(OR(ISNUMBER($S160),$S160="DNA"),$S160,IF(OR(ISNUMBER($R160),$R160="DNA"),$R160,IF(OR(ISNUMBER($Q160),$Q160="DNA"),$Q160,IF(OR(ISNUMBER($N160),$N160="DNA"),$N160,IF(OR(ISNUMBER($M160),$M160="DNA"),$M160,IF(OR(ISNUMBER($L160),$L160="DNA"),$L160,"")))))))))="DNA",AND(ISNUMBER(IF(OR(ISNUMBER($V160),$V160="DNA"),$V160,IF(OR(ISNUMBER($U160),$U160="DNA"),$U160,IF(OR(ISNUMBER($T160),$T160="DNA"),$T160,IF(OR(ISNUMBER($S160),$S160="DNA"),$S160,IF(OR(ISNUMBER($R160),$R160="DNA"),$R160,IF(OR(ISNUMBER($Q160),$Q160="DNA"),$Q160,IF(OR(ISNUMBER($N160),$N160="DNA"),$N160,IF(OR(ISNUMBER($M160),$M160="DNA"),$M160,IF(OR(ISNUMBER($L160),$L160="DNA"),$L160,"")))))))))),IF(OR(ISNUMBER($V160),$V160="DNA"),$V160,IF(OR(ISNUMBER($U160),$U160="DNA"),$U160,IF(OR(ISNUMBER($T160),$T160="DNA"),$T160,IF(OR(ISNUMBER($S160),$S160="DNA"),$S160,IF(OR(ISNUMBER($R160),$R160="DNA"),$R160,IF(OR(ISNUMBER($Q160),$Q160="DNA"),$Q160,IF(OR(ISNUMBER($N160),$N160="DNA"),$N160,IF(OR(ISNUMBER($M160),$M160="DNA"),$M160,IF(OR(ISNUMBER($L160),$L160="DNA"),$L160,"")))))))))&lt;TODAY())),1,0)+ISNUMBER($O160)*($O160&lt;TODAY())+ISNUMBER($P160)*($P160&lt;TODAY())+ISNUMBER($X160)*($X160&lt;TODAY())+ISNUMBER($Y160)*($Y160&lt;TODAY()))</f>
        <v/>
      </c>
    </row>
    <row r="161">
      <c r="A161" s="25" t="n"/>
      <c r="B161" s="26" t="n"/>
      <c r="C161" s="27" t="n"/>
      <c r="D161" s="25" t="n"/>
      <c r="E161" s="25" t="n"/>
      <c r="F161" s="27" t="n"/>
      <c r="G161" s="25" t="n"/>
      <c r="H161" s="28">
        <f>IF(OR(NOT(AND($A161&lt;&gt;"",OR($G161="",$G161="Active"))),$F161=""),"",INT((TODAY()-$F161+280)/7)&amp;"+"&amp;MOD(TODAY()-$F161+280,7))</f>
        <v/>
      </c>
      <c r="I161" s="28">
        <f>IF(NOT(AND($A161&lt;&gt;"",OR($G161="",$G161="Active"))),"",ISNUMBER($L161)*($L161&gt;=TODAY())*($L161&lt;=TODAY()+7)+ISNUMBER($M161)*($M161&gt;=TODAY())*($M161&lt;=TODAY()+7)+ISNUMBER($N161)*($N161&gt;=TODAY())*($N161&lt;=TODAY()+7)+ISNUMBER($Q161)*($Q161&gt;=TODAY())*($Q161&lt;=TODAY()+7)+ISNUMBER($R161)*($R161&gt;=TODAY())*($R161&lt;=TODAY()+7)+ISNUMBER($S161)*($S161&gt;=TODAY())*($S161&lt;=TODAY()+7)+ISNUMBER($T161)*($T161&gt;=TODAY())*($T161&lt;=TODAY()+7)+ISNUMBER($U161)*($U161&gt;=TODAY())*($U161&lt;=TODAY()+7)+ISNUMBER($V161)*($V161&gt;=TODAY())*($V161&lt;=TODAY()+7)+ISNUMBER($O161)*($O161&gt;=TODAY())*($O161&lt;=TODAY()+7)+ISNUMBER($P161)*($P161&gt;=TODAY())*($P161&lt;=TODAY()+7)+ISNUMBER($X161)*($X161&gt;=TODAY())*($X161&lt;=TODAY()+7)+ISNUMBER($Y161)*($Y161&gt;=TODAY())*($Y161&lt;=TODAY()+7))</f>
        <v/>
      </c>
      <c r="J161" s="28">
        <f>IF(NOT(AND($A161&lt;&gt;"",OR($G161="",$G161="Active"))),"",IF($K161&lt;&gt;"",IF($L161=$K161,"Booking",IF($M161=$K161,"16/40",IF($N161=$K161,"25/40",IF($Q161=$K161,"28/40",IF($R161=$K161,"31/40",IF($S161=$K161,"34/40",IF($T161=$K161,"36/40",IF($U161=$K161,"38/40",IF($V161=$K161,"40/40",""))))))))),IF(IF(OR(ISNUMBER($V161),$V161="DNA"),$V161,IF(OR(ISNUMBER($U161),$U161="DNA"),$U161,IF(OR(ISNUMBER($T161),$T161="DNA"),$T161,IF(OR(ISNUMBER($S161),$S161="DNA"),$S161,IF(OR(ISNUMBER($R161),$R161="DNA"),$R161,IF(OR(ISNUMBER($Q161),$Q161="DNA"),$Q161,IF(OR(ISNUMBER($N161),$N161="DNA"),$N161,IF(OR(ISNUMBER($M161),$M161="DNA"),$M161,IF(OR(ISNUMBER($L161),$L161="DNA"),$L161,"")))))))))="DNA","Rebook DNA",IF(ISNUMBER(IF(OR(ISNUMBER($V161),$V161="DNA"),$V161,IF(OR(ISNUMBER($U161),$U161="DNA"),$U161,IF(OR(ISNUMBER($T161),$T161="DNA"),$T161,IF(OR(ISNUMBER($S161),$S161="DNA"),$S161,IF(OR(ISNUMBER($R161),$R161="DNA"),$R161,IF(OR(ISNUMBER($Q161),$Q161="DNA"),$Q161,IF(OR(ISNUMBER($N161),$N161="DNA"),$N161,IF(OR(ISNUMBER($M161),$M161="DNA"),$M161,IF(OR(ISNUMBER($L161),$L161="DNA"),$L161,"")))))))))),IF(ISNUMBER($V161),"Update status","Missed/not booked?"),""))))</f>
        <v/>
      </c>
      <c r="K161" s="29">
        <f>IF(NOT(AND($A161&lt;&gt;"",OR($G161="",$G161="Active"))),"",IF(MIN(IF(AND(ISNUMBER($L161),$L161&gt;=TODAY()),$L161,99999),IF(AND(ISNUMBER($M161),$M161&gt;=TODAY()),$M161,99999),IF(AND(ISNUMBER($N161),$N161&gt;=TODAY()),$N161,99999),IF(AND(ISNUMBER($Q161),$Q161&gt;=TODAY()),$Q161,99999),IF(AND(ISNUMBER($R161),$R161&gt;=TODAY()),$R161,99999),IF(AND(ISNUMBER($S161),$S161&gt;=TODAY()),$S161,99999),IF(AND(ISNUMBER($T161),$T161&gt;=TODAY()),$T161,99999),IF(AND(ISNUMBER($U161),$U161&gt;=TODAY()),$U161,99999),IF(AND(ISNUMBER($V161),$V161&gt;=TODAY()),$V161,99999))=99999,"",MIN(IF(AND(ISNUMBER($L161),$L161&gt;=TODAY()),$L161,99999),IF(AND(ISNUMBER($M161),$M161&gt;=TODAY()),$M161,99999),IF(AND(ISNUMBER($N161),$N161&gt;=TODAY()),$N161,99999),IF(AND(ISNUMBER($Q161),$Q161&gt;=TODAY()),$Q161,99999),IF(AND(ISNUMBER($R161),$R161&gt;=TODAY()),$R161,99999),IF(AND(ISNUMBER($S161),$S161&gt;=TODAY()),$S161,99999),IF(AND(ISNUMBER($T161),$T161&gt;=TODAY()),$T161,99999),IF(AND(ISNUMBER($U161),$U161&gt;=TODAY()),$U161,99999),IF(AND(ISNUMBER($V161),$V161&gt;=TODAY()),$V161,99999))))</f>
        <v/>
      </c>
      <c r="L161" s="27" t="n"/>
      <c r="M161" s="27" t="n"/>
      <c r="N161" s="27" t="n"/>
      <c r="O161" s="27" t="n"/>
      <c r="P161" s="27" t="n"/>
      <c r="Q161" s="27" t="n"/>
      <c r="R161" s="27" t="n"/>
      <c r="S161" s="27" t="n"/>
      <c r="T161" s="27" t="n"/>
      <c r="U161" s="27" t="n"/>
      <c r="V161" s="27" t="n"/>
      <c r="W161" s="27" t="n"/>
      <c r="X161" s="27" t="n"/>
      <c r="Y161" s="27" t="n"/>
      <c r="Z161" s="30" t="n"/>
      <c r="AA161" s="25" t="n"/>
      <c r="AB161" s="28">
        <f>IF(NOT(AND($A161&lt;&gt;"",OR($G161="",$G161="Active"))),"",IF(OR(IF(OR(ISNUMBER($V161),$V161="DNA"),$V161,IF(OR(ISNUMBER($U161),$U161="DNA"),$U161,IF(OR(ISNUMBER($T161),$T161="DNA"),$T161,IF(OR(ISNUMBER($S161),$S161="DNA"),$S161,IF(OR(ISNUMBER($R161),$R161="DNA"),$R161,IF(OR(ISNUMBER($Q161),$Q161="DNA"),$Q161,IF(OR(ISNUMBER($N161),$N161="DNA"),$N161,IF(OR(ISNUMBER($M161),$M161="DNA"),$M161,IF(OR(ISNUMBER($L161),$L161="DNA"),$L161,"")))))))))="DNA",AND(ISNUMBER(IF(OR(ISNUMBER($V161),$V161="DNA"),$V161,IF(OR(ISNUMBER($U161),$U161="DNA"),$U161,IF(OR(ISNUMBER($T161),$T161="DNA"),$T161,IF(OR(ISNUMBER($S161),$S161="DNA"),$S161,IF(OR(ISNUMBER($R161),$R161="DNA"),$R161,IF(OR(ISNUMBER($Q161),$Q161="DNA"),$Q161,IF(OR(ISNUMBER($N161),$N161="DNA"),$N161,IF(OR(ISNUMBER($M161),$M161="DNA"),$M161,IF(OR(ISNUMBER($L161),$L161="DNA"),$L161,"")))))))))),IF(OR(ISNUMBER($V161),$V161="DNA"),$V161,IF(OR(ISNUMBER($U161),$U161="DNA"),$U161,IF(OR(ISNUMBER($T161),$T161="DNA"),$T161,IF(OR(ISNUMBER($S161),$S161="DNA"),$S161,IF(OR(ISNUMBER($R161),$R161="DNA"),$R161,IF(OR(ISNUMBER($Q161),$Q161="DNA"),$Q161,IF(OR(ISNUMBER($N161),$N161="DNA"),$N161,IF(OR(ISNUMBER($M161),$M161="DNA"),$M161,IF(OR(ISNUMBER($L161),$L161="DNA"),$L161,"")))))))))&lt;TODAY())),1,0)+ISNUMBER($O161)*($O161&lt;TODAY())+ISNUMBER($P161)*($P161&lt;TODAY())+ISNUMBER($X161)*($X161&lt;TODAY())+ISNUMBER($Y161)*($Y161&lt;TODAY()))</f>
        <v/>
      </c>
    </row>
    <row r="162">
      <c r="A162" s="25" t="n"/>
      <c r="B162" s="26" t="n"/>
      <c r="C162" s="27" t="n"/>
      <c r="D162" s="25" t="n"/>
      <c r="E162" s="25" t="n"/>
      <c r="F162" s="27" t="n"/>
      <c r="G162" s="25" t="n"/>
      <c r="H162" s="28">
        <f>IF(OR(NOT(AND($A162&lt;&gt;"",OR($G162="",$G162="Active"))),$F162=""),"",INT((TODAY()-$F162+280)/7)&amp;"+"&amp;MOD(TODAY()-$F162+280,7))</f>
        <v/>
      </c>
      <c r="I162" s="28">
        <f>IF(NOT(AND($A162&lt;&gt;"",OR($G162="",$G162="Active"))),"",ISNUMBER($L162)*($L162&gt;=TODAY())*($L162&lt;=TODAY()+7)+ISNUMBER($M162)*($M162&gt;=TODAY())*($M162&lt;=TODAY()+7)+ISNUMBER($N162)*($N162&gt;=TODAY())*($N162&lt;=TODAY()+7)+ISNUMBER($Q162)*($Q162&gt;=TODAY())*($Q162&lt;=TODAY()+7)+ISNUMBER($R162)*($R162&gt;=TODAY())*($R162&lt;=TODAY()+7)+ISNUMBER($S162)*($S162&gt;=TODAY())*($S162&lt;=TODAY()+7)+ISNUMBER($T162)*($T162&gt;=TODAY())*($T162&lt;=TODAY()+7)+ISNUMBER($U162)*($U162&gt;=TODAY())*($U162&lt;=TODAY()+7)+ISNUMBER($V162)*($V162&gt;=TODAY())*($V162&lt;=TODAY()+7)+ISNUMBER($O162)*($O162&gt;=TODAY())*($O162&lt;=TODAY()+7)+ISNUMBER($P162)*($P162&gt;=TODAY())*($P162&lt;=TODAY()+7)+ISNUMBER($X162)*($X162&gt;=TODAY())*($X162&lt;=TODAY()+7)+ISNUMBER($Y162)*($Y162&gt;=TODAY())*($Y162&lt;=TODAY()+7))</f>
        <v/>
      </c>
      <c r="J162" s="28">
        <f>IF(NOT(AND($A162&lt;&gt;"",OR($G162="",$G162="Active"))),"",IF($K162&lt;&gt;"",IF($L162=$K162,"Booking",IF($M162=$K162,"16/40",IF($N162=$K162,"25/40",IF($Q162=$K162,"28/40",IF($R162=$K162,"31/40",IF($S162=$K162,"34/40",IF($T162=$K162,"36/40",IF($U162=$K162,"38/40",IF($V162=$K162,"40/40",""))))))))),IF(IF(OR(ISNUMBER($V162),$V162="DNA"),$V162,IF(OR(ISNUMBER($U162),$U162="DNA"),$U162,IF(OR(ISNUMBER($T162),$T162="DNA"),$T162,IF(OR(ISNUMBER($S162),$S162="DNA"),$S162,IF(OR(ISNUMBER($R162),$R162="DNA"),$R162,IF(OR(ISNUMBER($Q162),$Q162="DNA"),$Q162,IF(OR(ISNUMBER($N162),$N162="DNA"),$N162,IF(OR(ISNUMBER($M162),$M162="DNA"),$M162,IF(OR(ISNUMBER($L162),$L162="DNA"),$L162,"")))))))))="DNA","Rebook DNA",IF(ISNUMBER(IF(OR(ISNUMBER($V162),$V162="DNA"),$V162,IF(OR(ISNUMBER($U162),$U162="DNA"),$U162,IF(OR(ISNUMBER($T162),$T162="DNA"),$T162,IF(OR(ISNUMBER($S162),$S162="DNA"),$S162,IF(OR(ISNUMBER($R162),$R162="DNA"),$R162,IF(OR(ISNUMBER($Q162),$Q162="DNA"),$Q162,IF(OR(ISNUMBER($N162),$N162="DNA"),$N162,IF(OR(ISNUMBER($M162),$M162="DNA"),$M162,IF(OR(ISNUMBER($L162),$L162="DNA"),$L162,"")))))))))),IF(ISNUMBER($V162),"Update status","Missed/not booked?"),""))))</f>
        <v/>
      </c>
      <c r="K162" s="29">
        <f>IF(NOT(AND($A162&lt;&gt;"",OR($G162="",$G162="Active"))),"",IF(MIN(IF(AND(ISNUMBER($L162),$L162&gt;=TODAY()),$L162,99999),IF(AND(ISNUMBER($M162),$M162&gt;=TODAY()),$M162,99999),IF(AND(ISNUMBER($N162),$N162&gt;=TODAY()),$N162,99999),IF(AND(ISNUMBER($Q162),$Q162&gt;=TODAY()),$Q162,99999),IF(AND(ISNUMBER($R162),$R162&gt;=TODAY()),$R162,99999),IF(AND(ISNUMBER($S162),$S162&gt;=TODAY()),$S162,99999),IF(AND(ISNUMBER($T162),$T162&gt;=TODAY()),$T162,99999),IF(AND(ISNUMBER($U162),$U162&gt;=TODAY()),$U162,99999),IF(AND(ISNUMBER($V162),$V162&gt;=TODAY()),$V162,99999))=99999,"",MIN(IF(AND(ISNUMBER($L162),$L162&gt;=TODAY()),$L162,99999),IF(AND(ISNUMBER($M162),$M162&gt;=TODAY()),$M162,99999),IF(AND(ISNUMBER($N162),$N162&gt;=TODAY()),$N162,99999),IF(AND(ISNUMBER($Q162),$Q162&gt;=TODAY()),$Q162,99999),IF(AND(ISNUMBER($R162),$R162&gt;=TODAY()),$R162,99999),IF(AND(ISNUMBER($S162),$S162&gt;=TODAY()),$S162,99999),IF(AND(ISNUMBER($T162),$T162&gt;=TODAY()),$T162,99999),IF(AND(ISNUMBER($U162),$U162&gt;=TODAY()),$U162,99999),IF(AND(ISNUMBER($V162),$V162&gt;=TODAY()),$V162,99999))))</f>
        <v/>
      </c>
      <c r="L162" s="27" t="n"/>
      <c r="M162" s="27" t="n"/>
      <c r="N162" s="27" t="n"/>
      <c r="O162" s="27" t="n"/>
      <c r="P162" s="27" t="n"/>
      <c r="Q162" s="27" t="n"/>
      <c r="R162" s="27" t="n"/>
      <c r="S162" s="27" t="n"/>
      <c r="T162" s="27" t="n"/>
      <c r="U162" s="27" t="n"/>
      <c r="V162" s="27" t="n"/>
      <c r="W162" s="27" t="n"/>
      <c r="X162" s="27" t="n"/>
      <c r="Y162" s="27" t="n"/>
      <c r="Z162" s="30" t="n"/>
      <c r="AA162" s="25" t="n"/>
      <c r="AB162" s="28">
        <f>IF(NOT(AND($A162&lt;&gt;"",OR($G162="",$G162="Active"))),"",IF(OR(IF(OR(ISNUMBER($V162),$V162="DNA"),$V162,IF(OR(ISNUMBER($U162),$U162="DNA"),$U162,IF(OR(ISNUMBER($T162),$T162="DNA"),$T162,IF(OR(ISNUMBER($S162),$S162="DNA"),$S162,IF(OR(ISNUMBER($R162),$R162="DNA"),$R162,IF(OR(ISNUMBER($Q162),$Q162="DNA"),$Q162,IF(OR(ISNUMBER($N162),$N162="DNA"),$N162,IF(OR(ISNUMBER($M162),$M162="DNA"),$M162,IF(OR(ISNUMBER($L162),$L162="DNA"),$L162,"")))))))))="DNA",AND(ISNUMBER(IF(OR(ISNUMBER($V162),$V162="DNA"),$V162,IF(OR(ISNUMBER($U162),$U162="DNA"),$U162,IF(OR(ISNUMBER($T162),$T162="DNA"),$T162,IF(OR(ISNUMBER($S162),$S162="DNA"),$S162,IF(OR(ISNUMBER($R162),$R162="DNA"),$R162,IF(OR(ISNUMBER($Q162),$Q162="DNA"),$Q162,IF(OR(ISNUMBER($N162),$N162="DNA"),$N162,IF(OR(ISNUMBER($M162),$M162="DNA"),$M162,IF(OR(ISNUMBER($L162),$L162="DNA"),$L162,"")))))))))),IF(OR(ISNUMBER($V162),$V162="DNA"),$V162,IF(OR(ISNUMBER($U162),$U162="DNA"),$U162,IF(OR(ISNUMBER($T162),$T162="DNA"),$T162,IF(OR(ISNUMBER($S162),$S162="DNA"),$S162,IF(OR(ISNUMBER($R162),$R162="DNA"),$R162,IF(OR(ISNUMBER($Q162),$Q162="DNA"),$Q162,IF(OR(ISNUMBER($N162),$N162="DNA"),$N162,IF(OR(ISNUMBER($M162),$M162="DNA"),$M162,IF(OR(ISNUMBER($L162),$L162="DNA"),$L162,"")))))))))&lt;TODAY())),1,0)+ISNUMBER($O162)*($O162&lt;TODAY())+ISNUMBER($P162)*($P162&lt;TODAY())+ISNUMBER($X162)*($X162&lt;TODAY())+ISNUMBER($Y162)*($Y162&lt;TODAY()))</f>
        <v/>
      </c>
    </row>
    <row r="163">
      <c r="A163" s="25" t="n"/>
      <c r="B163" s="26" t="n"/>
      <c r="C163" s="27" t="n"/>
      <c r="D163" s="25" t="n"/>
      <c r="E163" s="25" t="n"/>
      <c r="F163" s="27" t="n"/>
      <c r="G163" s="25" t="n"/>
      <c r="H163" s="28">
        <f>IF(OR(NOT(AND($A163&lt;&gt;"",OR($G163="",$G163="Active"))),$F163=""),"",INT((TODAY()-$F163+280)/7)&amp;"+"&amp;MOD(TODAY()-$F163+280,7))</f>
        <v/>
      </c>
      <c r="I163" s="28">
        <f>IF(NOT(AND($A163&lt;&gt;"",OR($G163="",$G163="Active"))),"",ISNUMBER($L163)*($L163&gt;=TODAY())*($L163&lt;=TODAY()+7)+ISNUMBER($M163)*($M163&gt;=TODAY())*($M163&lt;=TODAY()+7)+ISNUMBER($N163)*($N163&gt;=TODAY())*($N163&lt;=TODAY()+7)+ISNUMBER($Q163)*($Q163&gt;=TODAY())*($Q163&lt;=TODAY()+7)+ISNUMBER($R163)*($R163&gt;=TODAY())*($R163&lt;=TODAY()+7)+ISNUMBER($S163)*($S163&gt;=TODAY())*($S163&lt;=TODAY()+7)+ISNUMBER($T163)*($T163&gt;=TODAY())*($T163&lt;=TODAY()+7)+ISNUMBER($U163)*($U163&gt;=TODAY())*($U163&lt;=TODAY()+7)+ISNUMBER($V163)*($V163&gt;=TODAY())*($V163&lt;=TODAY()+7)+ISNUMBER($O163)*($O163&gt;=TODAY())*($O163&lt;=TODAY()+7)+ISNUMBER($P163)*($P163&gt;=TODAY())*($P163&lt;=TODAY()+7)+ISNUMBER($X163)*($X163&gt;=TODAY())*($X163&lt;=TODAY()+7)+ISNUMBER($Y163)*($Y163&gt;=TODAY())*($Y163&lt;=TODAY()+7))</f>
        <v/>
      </c>
      <c r="J163" s="28">
        <f>IF(NOT(AND($A163&lt;&gt;"",OR($G163="",$G163="Active"))),"",IF($K163&lt;&gt;"",IF($L163=$K163,"Booking",IF($M163=$K163,"16/40",IF($N163=$K163,"25/40",IF($Q163=$K163,"28/40",IF($R163=$K163,"31/40",IF($S163=$K163,"34/40",IF($T163=$K163,"36/40",IF($U163=$K163,"38/40",IF($V163=$K163,"40/40",""))))))))),IF(IF(OR(ISNUMBER($V163),$V163="DNA"),$V163,IF(OR(ISNUMBER($U163),$U163="DNA"),$U163,IF(OR(ISNUMBER($T163),$T163="DNA"),$T163,IF(OR(ISNUMBER($S163),$S163="DNA"),$S163,IF(OR(ISNUMBER($R163),$R163="DNA"),$R163,IF(OR(ISNUMBER($Q163),$Q163="DNA"),$Q163,IF(OR(ISNUMBER($N163),$N163="DNA"),$N163,IF(OR(ISNUMBER($M163),$M163="DNA"),$M163,IF(OR(ISNUMBER($L163),$L163="DNA"),$L163,"")))))))))="DNA","Rebook DNA",IF(ISNUMBER(IF(OR(ISNUMBER($V163),$V163="DNA"),$V163,IF(OR(ISNUMBER($U163),$U163="DNA"),$U163,IF(OR(ISNUMBER($T163),$T163="DNA"),$T163,IF(OR(ISNUMBER($S163),$S163="DNA"),$S163,IF(OR(ISNUMBER($R163),$R163="DNA"),$R163,IF(OR(ISNUMBER($Q163),$Q163="DNA"),$Q163,IF(OR(ISNUMBER($N163),$N163="DNA"),$N163,IF(OR(ISNUMBER($M163),$M163="DNA"),$M163,IF(OR(ISNUMBER($L163),$L163="DNA"),$L163,"")))))))))),IF(ISNUMBER($V163),"Update status","Missed/not booked?"),""))))</f>
        <v/>
      </c>
      <c r="K163" s="29">
        <f>IF(NOT(AND($A163&lt;&gt;"",OR($G163="",$G163="Active"))),"",IF(MIN(IF(AND(ISNUMBER($L163),$L163&gt;=TODAY()),$L163,99999),IF(AND(ISNUMBER($M163),$M163&gt;=TODAY()),$M163,99999),IF(AND(ISNUMBER($N163),$N163&gt;=TODAY()),$N163,99999),IF(AND(ISNUMBER($Q163),$Q163&gt;=TODAY()),$Q163,99999),IF(AND(ISNUMBER($R163),$R163&gt;=TODAY()),$R163,99999),IF(AND(ISNUMBER($S163),$S163&gt;=TODAY()),$S163,99999),IF(AND(ISNUMBER($T163),$T163&gt;=TODAY()),$T163,99999),IF(AND(ISNUMBER($U163),$U163&gt;=TODAY()),$U163,99999),IF(AND(ISNUMBER($V163),$V163&gt;=TODAY()),$V163,99999))=99999,"",MIN(IF(AND(ISNUMBER($L163),$L163&gt;=TODAY()),$L163,99999),IF(AND(ISNUMBER($M163),$M163&gt;=TODAY()),$M163,99999),IF(AND(ISNUMBER($N163),$N163&gt;=TODAY()),$N163,99999),IF(AND(ISNUMBER($Q163),$Q163&gt;=TODAY()),$Q163,99999),IF(AND(ISNUMBER($R163),$R163&gt;=TODAY()),$R163,99999),IF(AND(ISNUMBER($S163),$S163&gt;=TODAY()),$S163,99999),IF(AND(ISNUMBER($T163),$T163&gt;=TODAY()),$T163,99999),IF(AND(ISNUMBER($U163),$U163&gt;=TODAY()),$U163,99999),IF(AND(ISNUMBER($V163),$V163&gt;=TODAY()),$V163,99999))))</f>
        <v/>
      </c>
      <c r="L163" s="27" t="n"/>
      <c r="M163" s="27" t="n"/>
      <c r="N163" s="27" t="n"/>
      <c r="O163" s="27" t="n"/>
      <c r="P163" s="27" t="n"/>
      <c r="Q163" s="27" t="n"/>
      <c r="R163" s="27" t="n"/>
      <c r="S163" s="27" t="n"/>
      <c r="T163" s="27" t="n"/>
      <c r="U163" s="27" t="n"/>
      <c r="V163" s="27" t="n"/>
      <c r="W163" s="27" t="n"/>
      <c r="X163" s="27" t="n"/>
      <c r="Y163" s="27" t="n"/>
      <c r="Z163" s="30" t="n"/>
      <c r="AA163" s="25" t="n"/>
      <c r="AB163" s="28">
        <f>IF(NOT(AND($A163&lt;&gt;"",OR($G163="",$G163="Active"))),"",IF(OR(IF(OR(ISNUMBER($V163),$V163="DNA"),$V163,IF(OR(ISNUMBER($U163),$U163="DNA"),$U163,IF(OR(ISNUMBER($T163),$T163="DNA"),$T163,IF(OR(ISNUMBER($S163),$S163="DNA"),$S163,IF(OR(ISNUMBER($R163),$R163="DNA"),$R163,IF(OR(ISNUMBER($Q163),$Q163="DNA"),$Q163,IF(OR(ISNUMBER($N163),$N163="DNA"),$N163,IF(OR(ISNUMBER($M163),$M163="DNA"),$M163,IF(OR(ISNUMBER($L163),$L163="DNA"),$L163,"")))))))))="DNA",AND(ISNUMBER(IF(OR(ISNUMBER($V163),$V163="DNA"),$V163,IF(OR(ISNUMBER($U163),$U163="DNA"),$U163,IF(OR(ISNUMBER($T163),$T163="DNA"),$T163,IF(OR(ISNUMBER($S163),$S163="DNA"),$S163,IF(OR(ISNUMBER($R163),$R163="DNA"),$R163,IF(OR(ISNUMBER($Q163),$Q163="DNA"),$Q163,IF(OR(ISNUMBER($N163),$N163="DNA"),$N163,IF(OR(ISNUMBER($M163),$M163="DNA"),$M163,IF(OR(ISNUMBER($L163),$L163="DNA"),$L163,"")))))))))),IF(OR(ISNUMBER($V163),$V163="DNA"),$V163,IF(OR(ISNUMBER($U163),$U163="DNA"),$U163,IF(OR(ISNUMBER($T163),$T163="DNA"),$T163,IF(OR(ISNUMBER($S163),$S163="DNA"),$S163,IF(OR(ISNUMBER($R163),$R163="DNA"),$R163,IF(OR(ISNUMBER($Q163),$Q163="DNA"),$Q163,IF(OR(ISNUMBER($N163),$N163="DNA"),$N163,IF(OR(ISNUMBER($M163),$M163="DNA"),$M163,IF(OR(ISNUMBER($L163),$L163="DNA"),$L163,"")))))))))&lt;TODAY())),1,0)+ISNUMBER($O163)*($O163&lt;TODAY())+ISNUMBER($P163)*($P163&lt;TODAY())+ISNUMBER($X163)*($X163&lt;TODAY())+ISNUMBER($Y163)*($Y163&lt;TODAY()))</f>
        <v/>
      </c>
    </row>
    <row r="164">
      <c r="A164" s="25" t="n"/>
      <c r="B164" s="26" t="n"/>
      <c r="C164" s="27" t="n"/>
      <c r="D164" s="25" t="n"/>
      <c r="E164" s="25" t="n"/>
      <c r="F164" s="27" t="n"/>
      <c r="G164" s="25" t="n"/>
      <c r="H164" s="28">
        <f>IF(OR(NOT(AND($A164&lt;&gt;"",OR($G164="",$G164="Active"))),$F164=""),"",INT((TODAY()-$F164+280)/7)&amp;"+"&amp;MOD(TODAY()-$F164+280,7))</f>
        <v/>
      </c>
      <c r="I164" s="28">
        <f>IF(NOT(AND($A164&lt;&gt;"",OR($G164="",$G164="Active"))),"",ISNUMBER($L164)*($L164&gt;=TODAY())*($L164&lt;=TODAY()+7)+ISNUMBER($M164)*($M164&gt;=TODAY())*($M164&lt;=TODAY()+7)+ISNUMBER($N164)*($N164&gt;=TODAY())*($N164&lt;=TODAY()+7)+ISNUMBER($Q164)*($Q164&gt;=TODAY())*($Q164&lt;=TODAY()+7)+ISNUMBER($R164)*($R164&gt;=TODAY())*($R164&lt;=TODAY()+7)+ISNUMBER($S164)*($S164&gt;=TODAY())*($S164&lt;=TODAY()+7)+ISNUMBER($T164)*($T164&gt;=TODAY())*($T164&lt;=TODAY()+7)+ISNUMBER($U164)*($U164&gt;=TODAY())*($U164&lt;=TODAY()+7)+ISNUMBER($V164)*($V164&gt;=TODAY())*($V164&lt;=TODAY()+7)+ISNUMBER($O164)*($O164&gt;=TODAY())*($O164&lt;=TODAY()+7)+ISNUMBER($P164)*($P164&gt;=TODAY())*($P164&lt;=TODAY()+7)+ISNUMBER($X164)*($X164&gt;=TODAY())*($X164&lt;=TODAY()+7)+ISNUMBER($Y164)*($Y164&gt;=TODAY())*($Y164&lt;=TODAY()+7))</f>
        <v/>
      </c>
      <c r="J164" s="28">
        <f>IF(NOT(AND($A164&lt;&gt;"",OR($G164="",$G164="Active"))),"",IF($K164&lt;&gt;"",IF($L164=$K164,"Booking",IF($M164=$K164,"16/40",IF($N164=$K164,"25/40",IF($Q164=$K164,"28/40",IF($R164=$K164,"31/40",IF($S164=$K164,"34/40",IF($T164=$K164,"36/40",IF($U164=$K164,"38/40",IF($V164=$K164,"40/40",""))))))))),IF(IF(OR(ISNUMBER($V164),$V164="DNA"),$V164,IF(OR(ISNUMBER($U164),$U164="DNA"),$U164,IF(OR(ISNUMBER($T164),$T164="DNA"),$T164,IF(OR(ISNUMBER($S164),$S164="DNA"),$S164,IF(OR(ISNUMBER($R164),$R164="DNA"),$R164,IF(OR(ISNUMBER($Q164),$Q164="DNA"),$Q164,IF(OR(ISNUMBER($N164),$N164="DNA"),$N164,IF(OR(ISNUMBER($M164),$M164="DNA"),$M164,IF(OR(ISNUMBER($L164),$L164="DNA"),$L164,"")))))))))="DNA","Rebook DNA",IF(ISNUMBER(IF(OR(ISNUMBER($V164),$V164="DNA"),$V164,IF(OR(ISNUMBER($U164),$U164="DNA"),$U164,IF(OR(ISNUMBER($T164),$T164="DNA"),$T164,IF(OR(ISNUMBER($S164),$S164="DNA"),$S164,IF(OR(ISNUMBER($R164),$R164="DNA"),$R164,IF(OR(ISNUMBER($Q164),$Q164="DNA"),$Q164,IF(OR(ISNUMBER($N164),$N164="DNA"),$N164,IF(OR(ISNUMBER($M164),$M164="DNA"),$M164,IF(OR(ISNUMBER($L164),$L164="DNA"),$L164,"")))))))))),IF(ISNUMBER($V164),"Update status","Missed/not booked?"),""))))</f>
        <v/>
      </c>
      <c r="K164" s="29">
        <f>IF(NOT(AND($A164&lt;&gt;"",OR($G164="",$G164="Active"))),"",IF(MIN(IF(AND(ISNUMBER($L164),$L164&gt;=TODAY()),$L164,99999),IF(AND(ISNUMBER($M164),$M164&gt;=TODAY()),$M164,99999),IF(AND(ISNUMBER($N164),$N164&gt;=TODAY()),$N164,99999),IF(AND(ISNUMBER($Q164),$Q164&gt;=TODAY()),$Q164,99999),IF(AND(ISNUMBER($R164),$R164&gt;=TODAY()),$R164,99999),IF(AND(ISNUMBER($S164),$S164&gt;=TODAY()),$S164,99999),IF(AND(ISNUMBER($T164),$T164&gt;=TODAY()),$T164,99999),IF(AND(ISNUMBER($U164),$U164&gt;=TODAY()),$U164,99999),IF(AND(ISNUMBER($V164),$V164&gt;=TODAY()),$V164,99999))=99999,"",MIN(IF(AND(ISNUMBER($L164),$L164&gt;=TODAY()),$L164,99999),IF(AND(ISNUMBER($M164),$M164&gt;=TODAY()),$M164,99999),IF(AND(ISNUMBER($N164),$N164&gt;=TODAY()),$N164,99999),IF(AND(ISNUMBER($Q164),$Q164&gt;=TODAY()),$Q164,99999),IF(AND(ISNUMBER($R164),$R164&gt;=TODAY()),$R164,99999),IF(AND(ISNUMBER($S164),$S164&gt;=TODAY()),$S164,99999),IF(AND(ISNUMBER($T164),$T164&gt;=TODAY()),$T164,99999),IF(AND(ISNUMBER($U164),$U164&gt;=TODAY()),$U164,99999),IF(AND(ISNUMBER($V164),$V164&gt;=TODAY()),$V164,99999))))</f>
        <v/>
      </c>
      <c r="L164" s="27" t="n"/>
      <c r="M164" s="27" t="n"/>
      <c r="N164" s="27" t="n"/>
      <c r="O164" s="27" t="n"/>
      <c r="P164" s="27" t="n"/>
      <c r="Q164" s="27" t="n"/>
      <c r="R164" s="27" t="n"/>
      <c r="S164" s="27" t="n"/>
      <c r="T164" s="27" t="n"/>
      <c r="U164" s="27" t="n"/>
      <c r="V164" s="27" t="n"/>
      <c r="W164" s="27" t="n"/>
      <c r="X164" s="27" t="n"/>
      <c r="Y164" s="27" t="n"/>
      <c r="Z164" s="30" t="n"/>
      <c r="AA164" s="25" t="n"/>
      <c r="AB164" s="28">
        <f>IF(NOT(AND($A164&lt;&gt;"",OR($G164="",$G164="Active"))),"",IF(OR(IF(OR(ISNUMBER($V164),$V164="DNA"),$V164,IF(OR(ISNUMBER($U164),$U164="DNA"),$U164,IF(OR(ISNUMBER($T164),$T164="DNA"),$T164,IF(OR(ISNUMBER($S164),$S164="DNA"),$S164,IF(OR(ISNUMBER($R164),$R164="DNA"),$R164,IF(OR(ISNUMBER($Q164),$Q164="DNA"),$Q164,IF(OR(ISNUMBER($N164),$N164="DNA"),$N164,IF(OR(ISNUMBER($M164),$M164="DNA"),$M164,IF(OR(ISNUMBER($L164),$L164="DNA"),$L164,"")))))))))="DNA",AND(ISNUMBER(IF(OR(ISNUMBER($V164),$V164="DNA"),$V164,IF(OR(ISNUMBER($U164),$U164="DNA"),$U164,IF(OR(ISNUMBER($T164),$T164="DNA"),$T164,IF(OR(ISNUMBER($S164),$S164="DNA"),$S164,IF(OR(ISNUMBER($R164),$R164="DNA"),$R164,IF(OR(ISNUMBER($Q164),$Q164="DNA"),$Q164,IF(OR(ISNUMBER($N164),$N164="DNA"),$N164,IF(OR(ISNUMBER($M164),$M164="DNA"),$M164,IF(OR(ISNUMBER($L164),$L164="DNA"),$L164,"")))))))))),IF(OR(ISNUMBER($V164),$V164="DNA"),$V164,IF(OR(ISNUMBER($U164),$U164="DNA"),$U164,IF(OR(ISNUMBER($T164),$T164="DNA"),$T164,IF(OR(ISNUMBER($S164),$S164="DNA"),$S164,IF(OR(ISNUMBER($R164),$R164="DNA"),$R164,IF(OR(ISNUMBER($Q164),$Q164="DNA"),$Q164,IF(OR(ISNUMBER($N164),$N164="DNA"),$N164,IF(OR(ISNUMBER($M164),$M164="DNA"),$M164,IF(OR(ISNUMBER($L164),$L164="DNA"),$L164,"")))))))))&lt;TODAY())),1,0)+ISNUMBER($O164)*($O164&lt;TODAY())+ISNUMBER($P164)*($P164&lt;TODAY())+ISNUMBER($X164)*($X164&lt;TODAY())+ISNUMBER($Y164)*($Y164&lt;TODAY()))</f>
        <v/>
      </c>
    </row>
    <row r="165">
      <c r="A165" s="25" t="n"/>
      <c r="B165" s="26" t="n"/>
      <c r="C165" s="27" t="n"/>
      <c r="D165" s="25" t="n"/>
      <c r="E165" s="25" t="n"/>
      <c r="F165" s="27" t="n"/>
      <c r="G165" s="25" t="n"/>
      <c r="H165" s="28">
        <f>IF(OR(NOT(AND($A165&lt;&gt;"",OR($G165="",$G165="Active"))),$F165=""),"",INT((TODAY()-$F165+280)/7)&amp;"+"&amp;MOD(TODAY()-$F165+280,7))</f>
        <v/>
      </c>
      <c r="I165" s="28">
        <f>IF(NOT(AND($A165&lt;&gt;"",OR($G165="",$G165="Active"))),"",ISNUMBER($L165)*($L165&gt;=TODAY())*($L165&lt;=TODAY()+7)+ISNUMBER($M165)*($M165&gt;=TODAY())*($M165&lt;=TODAY()+7)+ISNUMBER($N165)*($N165&gt;=TODAY())*($N165&lt;=TODAY()+7)+ISNUMBER($Q165)*($Q165&gt;=TODAY())*($Q165&lt;=TODAY()+7)+ISNUMBER($R165)*($R165&gt;=TODAY())*($R165&lt;=TODAY()+7)+ISNUMBER($S165)*($S165&gt;=TODAY())*($S165&lt;=TODAY()+7)+ISNUMBER($T165)*($T165&gt;=TODAY())*($T165&lt;=TODAY()+7)+ISNUMBER($U165)*($U165&gt;=TODAY())*($U165&lt;=TODAY()+7)+ISNUMBER($V165)*($V165&gt;=TODAY())*($V165&lt;=TODAY()+7)+ISNUMBER($O165)*($O165&gt;=TODAY())*($O165&lt;=TODAY()+7)+ISNUMBER($P165)*($P165&gt;=TODAY())*($P165&lt;=TODAY()+7)+ISNUMBER($X165)*($X165&gt;=TODAY())*($X165&lt;=TODAY()+7)+ISNUMBER($Y165)*($Y165&gt;=TODAY())*($Y165&lt;=TODAY()+7))</f>
        <v/>
      </c>
      <c r="J165" s="28">
        <f>IF(NOT(AND($A165&lt;&gt;"",OR($G165="",$G165="Active"))),"",IF($K165&lt;&gt;"",IF($L165=$K165,"Booking",IF($M165=$K165,"16/40",IF($N165=$K165,"25/40",IF($Q165=$K165,"28/40",IF($R165=$K165,"31/40",IF($S165=$K165,"34/40",IF($T165=$K165,"36/40",IF($U165=$K165,"38/40",IF($V165=$K165,"40/40",""))))))))),IF(IF(OR(ISNUMBER($V165),$V165="DNA"),$V165,IF(OR(ISNUMBER($U165),$U165="DNA"),$U165,IF(OR(ISNUMBER($T165),$T165="DNA"),$T165,IF(OR(ISNUMBER($S165),$S165="DNA"),$S165,IF(OR(ISNUMBER($R165),$R165="DNA"),$R165,IF(OR(ISNUMBER($Q165),$Q165="DNA"),$Q165,IF(OR(ISNUMBER($N165),$N165="DNA"),$N165,IF(OR(ISNUMBER($M165),$M165="DNA"),$M165,IF(OR(ISNUMBER($L165),$L165="DNA"),$L165,"")))))))))="DNA","Rebook DNA",IF(ISNUMBER(IF(OR(ISNUMBER($V165),$V165="DNA"),$V165,IF(OR(ISNUMBER($U165),$U165="DNA"),$U165,IF(OR(ISNUMBER($T165),$T165="DNA"),$T165,IF(OR(ISNUMBER($S165),$S165="DNA"),$S165,IF(OR(ISNUMBER($R165),$R165="DNA"),$R165,IF(OR(ISNUMBER($Q165),$Q165="DNA"),$Q165,IF(OR(ISNUMBER($N165),$N165="DNA"),$N165,IF(OR(ISNUMBER($M165),$M165="DNA"),$M165,IF(OR(ISNUMBER($L165),$L165="DNA"),$L165,"")))))))))),IF(ISNUMBER($V165),"Update status","Missed/not booked?"),""))))</f>
        <v/>
      </c>
      <c r="K165" s="29">
        <f>IF(NOT(AND($A165&lt;&gt;"",OR($G165="",$G165="Active"))),"",IF(MIN(IF(AND(ISNUMBER($L165),$L165&gt;=TODAY()),$L165,99999),IF(AND(ISNUMBER($M165),$M165&gt;=TODAY()),$M165,99999),IF(AND(ISNUMBER($N165),$N165&gt;=TODAY()),$N165,99999),IF(AND(ISNUMBER($Q165),$Q165&gt;=TODAY()),$Q165,99999),IF(AND(ISNUMBER($R165),$R165&gt;=TODAY()),$R165,99999),IF(AND(ISNUMBER($S165),$S165&gt;=TODAY()),$S165,99999),IF(AND(ISNUMBER($T165),$T165&gt;=TODAY()),$T165,99999),IF(AND(ISNUMBER($U165),$U165&gt;=TODAY()),$U165,99999),IF(AND(ISNUMBER($V165),$V165&gt;=TODAY()),$V165,99999))=99999,"",MIN(IF(AND(ISNUMBER($L165),$L165&gt;=TODAY()),$L165,99999),IF(AND(ISNUMBER($M165),$M165&gt;=TODAY()),$M165,99999),IF(AND(ISNUMBER($N165),$N165&gt;=TODAY()),$N165,99999),IF(AND(ISNUMBER($Q165),$Q165&gt;=TODAY()),$Q165,99999),IF(AND(ISNUMBER($R165),$R165&gt;=TODAY()),$R165,99999),IF(AND(ISNUMBER($S165),$S165&gt;=TODAY()),$S165,99999),IF(AND(ISNUMBER($T165),$T165&gt;=TODAY()),$T165,99999),IF(AND(ISNUMBER($U165),$U165&gt;=TODAY()),$U165,99999),IF(AND(ISNUMBER($V165),$V165&gt;=TODAY()),$V165,99999))))</f>
        <v/>
      </c>
      <c r="L165" s="27" t="n"/>
      <c r="M165" s="27" t="n"/>
      <c r="N165" s="27" t="n"/>
      <c r="O165" s="27" t="n"/>
      <c r="P165" s="27" t="n"/>
      <c r="Q165" s="27" t="n"/>
      <c r="R165" s="27" t="n"/>
      <c r="S165" s="27" t="n"/>
      <c r="T165" s="27" t="n"/>
      <c r="U165" s="27" t="n"/>
      <c r="V165" s="27" t="n"/>
      <c r="W165" s="27" t="n"/>
      <c r="X165" s="27" t="n"/>
      <c r="Y165" s="27" t="n"/>
      <c r="Z165" s="30" t="n"/>
      <c r="AA165" s="25" t="n"/>
      <c r="AB165" s="28">
        <f>IF(NOT(AND($A165&lt;&gt;"",OR($G165="",$G165="Active"))),"",IF(OR(IF(OR(ISNUMBER($V165),$V165="DNA"),$V165,IF(OR(ISNUMBER($U165),$U165="DNA"),$U165,IF(OR(ISNUMBER($T165),$T165="DNA"),$T165,IF(OR(ISNUMBER($S165),$S165="DNA"),$S165,IF(OR(ISNUMBER($R165),$R165="DNA"),$R165,IF(OR(ISNUMBER($Q165),$Q165="DNA"),$Q165,IF(OR(ISNUMBER($N165),$N165="DNA"),$N165,IF(OR(ISNUMBER($M165),$M165="DNA"),$M165,IF(OR(ISNUMBER($L165),$L165="DNA"),$L165,"")))))))))="DNA",AND(ISNUMBER(IF(OR(ISNUMBER($V165),$V165="DNA"),$V165,IF(OR(ISNUMBER($U165),$U165="DNA"),$U165,IF(OR(ISNUMBER($T165),$T165="DNA"),$T165,IF(OR(ISNUMBER($S165),$S165="DNA"),$S165,IF(OR(ISNUMBER($R165),$R165="DNA"),$R165,IF(OR(ISNUMBER($Q165),$Q165="DNA"),$Q165,IF(OR(ISNUMBER($N165),$N165="DNA"),$N165,IF(OR(ISNUMBER($M165),$M165="DNA"),$M165,IF(OR(ISNUMBER($L165),$L165="DNA"),$L165,"")))))))))),IF(OR(ISNUMBER($V165),$V165="DNA"),$V165,IF(OR(ISNUMBER($U165),$U165="DNA"),$U165,IF(OR(ISNUMBER($T165),$T165="DNA"),$T165,IF(OR(ISNUMBER($S165),$S165="DNA"),$S165,IF(OR(ISNUMBER($R165),$R165="DNA"),$R165,IF(OR(ISNUMBER($Q165),$Q165="DNA"),$Q165,IF(OR(ISNUMBER($N165),$N165="DNA"),$N165,IF(OR(ISNUMBER($M165),$M165="DNA"),$M165,IF(OR(ISNUMBER($L165),$L165="DNA"),$L165,"")))))))))&lt;TODAY())),1,0)+ISNUMBER($O165)*($O165&lt;TODAY())+ISNUMBER($P165)*($P165&lt;TODAY())+ISNUMBER($X165)*($X165&lt;TODAY())+ISNUMBER($Y165)*($Y165&lt;TODAY()))</f>
        <v/>
      </c>
    </row>
    <row r="166">
      <c r="A166" s="25" t="n"/>
      <c r="B166" s="26" t="n"/>
      <c r="C166" s="27" t="n"/>
      <c r="D166" s="25" t="n"/>
      <c r="E166" s="25" t="n"/>
      <c r="F166" s="27" t="n"/>
      <c r="G166" s="25" t="n"/>
      <c r="H166" s="28">
        <f>IF(OR(NOT(AND($A166&lt;&gt;"",OR($G166="",$G166="Active"))),$F166=""),"",INT((TODAY()-$F166+280)/7)&amp;"+"&amp;MOD(TODAY()-$F166+280,7))</f>
        <v/>
      </c>
      <c r="I166" s="28">
        <f>IF(NOT(AND($A166&lt;&gt;"",OR($G166="",$G166="Active"))),"",ISNUMBER($L166)*($L166&gt;=TODAY())*($L166&lt;=TODAY()+7)+ISNUMBER($M166)*($M166&gt;=TODAY())*($M166&lt;=TODAY()+7)+ISNUMBER($N166)*($N166&gt;=TODAY())*($N166&lt;=TODAY()+7)+ISNUMBER($Q166)*($Q166&gt;=TODAY())*($Q166&lt;=TODAY()+7)+ISNUMBER($R166)*($R166&gt;=TODAY())*($R166&lt;=TODAY()+7)+ISNUMBER($S166)*($S166&gt;=TODAY())*($S166&lt;=TODAY()+7)+ISNUMBER($T166)*($T166&gt;=TODAY())*($T166&lt;=TODAY()+7)+ISNUMBER($U166)*($U166&gt;=TODAY())*($U166&lt;=TODAY()+7)+ISNUMBER($V166)*($V166&gt;=TODAY())*($V166&lt;=TODAY()+7)+ISNUMBER($O166)*($O166&gt;=TODAY())*($O166&lt;=TODAY()+7)+ISNUMBER($P166)*($P166&gt;=TODAY())*($P166&lt;=TODAY()+7)+ISNUMBER($X166)*($X166&gt;=TODAY())*($X166&lt;=TODAY()+7)+ISNUMBER($Y166)*($Y166&gt;=TODAY())*($Y166&lt;=TODAY()+7))</f>
        <v/>
      </c>
      <c r="J166" s="28">
        <f>IF(NOT(AND($A166&lt;&gt;"",OR($G166="",$G166="Active"))),"",IF($K166&lt;&gt;"",IF($L166=$K166,"Booking",IF($M166=$K166,"16/40",IF($N166=$K166,"25/40",IF($Q166=$K166,"28/40",IF($R166=$K166,"31/40",IF($S166=$K166,"34/40",IF($T166=$K166,"36/40",IF($U166=$K166,"38/40",IF($V166=$K166,"40/40",""))))))))),IF(IF(OR(ISNUMBER($V166),$V166="DNA"),$V166,IF(OR(ISNUMBER($U166),$U166="DNA"),$U166,IF(OR(ISNUMBER($T166),$T166="DNA"),$T166,IF(OR(ISNUMBER($S166),$S166="DNA"),$S166,IF(OR(ISNUMBER($R166),$R166="DNA"),$R166,IF(OR(ISNUMBER($Q166),$Q166="DNA"),$Q166,IF(OR(ISNUMBER($N166),$N166="DNA"),$N166,IF(OR(ISNUMBER($M166),$M166="DNA"),$M166,IF(OR(ISNUMBER($L166),$L166="DNA"),$L166,"")))))))))="DNA","Rebook DNA",IF(ISNUMBER(IF(OR(ISNUMBER($V166),$V166="DNA"),$V166,IF(OR(ISNUMBER($U166),$U166="DNA"),$U166,IF(OR(ISNUMBER($T166),$T166="DNA"),$T166,IF(OR(ISNUMBER($S166),$S166="DNA"),$S166,IF(OR(ISNUMBER($R166),$R166="DNA"),$R166,IF(OR(ISNUMBER($Q166),$Q166="DNA"),$Q166,IF(OR(ISNUMBER($N166),$N166="DNA"),$N166,IF(OR(ISNUMBER($M166),$M166="DNA"),$M166,IF(OR(ISNUMBER($L166),$L166="DNA"),$L166,"")))))))))),IF(ISNUMBER($V166),"Update status","Missed/not booked?"),""))))</f>
        <v/>
      </c>
      <c r="K166" s="29">
        <f>IF(NOT(AND($A166&lt;&gt;"",OR($G166="",$G166="Active"))),"",IF(MIN(IF(AND(ISNUMBER($L166),$L166&gt;=TODAY()),$L166,99999),IF(AND(ISNUMBER($M166),$M166&gt;=TODAY()),$M166,99999),IF(AND(ISNUMBER($N166),$N166&gt;=TODAY()),$N166,99999),IF(AND(ISNUMBER($Q166),$Q166&gt;=TODAY()),$Q166,99999),IF(AND(ISNUMBER($R166),$R166&gt;=TODAY()),$R166,99999),IF(AND(ISNUMBER($S166),$S166&gt;=TODAY()),$S166,99999),IF(AND(ISNUMBER($T166),$T166&gt;=TODAY()),$T166,99999),IF(AND(ISNUMBER($U166),$U166&gt;=TODAY()),$U166,99999),IF(AND(ISNUMBER($V166),$V166&gt;=TODAY()),$V166,99999))=99999,"",MIN(IF(AND(ISNUMBER($L166),$L166&gt;=TODAY()),$L166,99999),IF(AND(ISNUMBER($M166),$M166&gt;=TODAY()),$M166,99999),IF(AND(ISNUMBER($N166),$N166&gt;=TODAY()),$N166,99999),IF(AND(ISNUMBER($Q166),$Q166&gt;=TODAY()),$Q166,99999),IF(AND(ISNUMBER($R166),$R166&gt;=TODAY()),$R166,99999),IF(AND(ISNUMBER($S166),$S166&gt;=TODAY()),$S166,99999),IF(AND(ISNUMBER($T166),$T166&gt;=TODAY()),$T166,99999),IF(AND(ISNUMBER($U166),$U166&gt;=TODAY()),$U166,99999),IF(AND(ISNUMBER($V166),$V166&gt;=TODAY()),$V166,99999))))</f>
        <v/>
      </c>
      <c r="L166" s="27" t="n"/>
      <c r="M166" s="27" t="n"/>
      <c r="N166" s="27" t="n"/>
      <c r="O166" s="27" t="n"/>
      <c r="P166" s="27" t="n"/>
      <c r="Q166" s="27" t="n"/>
      <c r="R166" s="27" t="n"/>
      <c r="S166" s="27" t="n"/>
      <c r="T166" s="27" t="n"/>
      <c r="U166" s="27" t="n"/>
      <c r="V166" s="27" t="n"/>
      <c r="W166" s="27" t="n"/>
      <c r="X166" s="27" t="n"/>
      <c r="Y166" s="27" t="n"/>
      <c r="Z166" s="30" t="n"/>
      <c r="AA166" s="25" t="n"/>
      <c r="AB166" s="28">
        <f>IF(NOT(AND($A166&lt;&gt;"",OR($G166="",$G166="Active"))),"",IF(OR(IF(OR(ISNUMBER($V166),$V166="DNA"),$V166,IF(OR(ISNUMBER($U166),$U166="DNA"),$U166,IF(OR(ISNUMBER($T166),$T166="DNA"),$T166,IF(OR(ISNUMBER($S166),$S166="DNA"),$S166,IF(OR(ISNUMBER($R166),$R166="DNA"),$R166,IF(OR(ISNUMBER($Q166),$Q166="DNA"),$Q166,IF(OR(ISNUMBER($N166),$N166="DNA"),$N166,IF(OR(ISNUMBER($M166),$M166="DNA"),$M166,IF(OR(ISNUMBER($L166),$L166="DNA"),$L166,"")))))))))="DNA",AND(ISNUMBER(IF(OR(ISNUMBER($V166),$V166="DNA"),$V166,IF(OR(ISNUMBER($U166),$U166="DNA"),$U166,IF(OR(ISNUMBER($T166),$T166="DNA"),$T166,IF(OR(ISNUMBER($S166),$S166="DNA"),$S166,IF(OR(ISNUMBER($R166),$R166="DNA"),$R166,IF(OR(ISNUMBER($Q166),$Q166="DNA"),$Q166,IF(OR(ISNUMBER($N166),$N166="DNA"),$N166,IF(OR(ISNUMBER($M166),$M166="DNA"),$M166,IF(OR(ISNUMBER($L166),$L166="DNA"),$L166,"")))))))))),IF(OR(ISNUMBER($V166),$V166="DNA"),$V166,IF(OR(ISNUMBER($U166),$U166="DNA"),$U166,IF(OR(ISNUMBER($T166),$T166="DNA"),$T166,IF(OR(ISNUMBER($S166),$S166="DNA"),$S166,IF(OR(ISNUMBER($R166),$R166="DNA"),$R166,IF(OR(ISNUMBER($Q166),$Q166="DNA"),$Q166,IF(OR(ISNUMBER($N166),$N166="DNA"),$N166,IF(OR(ISNUMBER($M166),$M166="DNA"),$M166,IF(OR(ISNUMBER($L166),$L166="DNA"),$L166,"")))))))))&lt;TODAY())),1,0)+ISNUMBER($O166)*($O166&lt;TODAY())+ISNUMBER($P166)*($P166&lt;TODAY())+ISNUMBER($X166)*($X166&lt;TODAY())+ISNUMBER($Y166)*($Y166&lt;TODAY()))</f>
        <v/>
      </c>
    </row>
    <row r="167">
      <c r="A167" s="25" t="n"/>
      <c r="B167" s="26" t="n"/>
      <c r="C167" s="27" t="n"/>
      <c r="D167" s="25" t="n"/>
      <c r="E167" s="25" t="n"/>
      <c r="F167" s="27" t="n"/>
      <c r="G167" s="25" t="n"/>
      <c r="H167" s="28">
        <f>IF(OR(NOT(AND($A167&lt;&gt;"",OR($G167="",$G167="Active"))),$F167=""),"",INT((TODAY()-$F167+280)/7)&amp;"+"&amp;MOD(TODAY()-$F167+280,7))</f>
        <v/>
      </c>
      <c r="I167" s="28">
        <f>IF(NOT(AND($A167&lt;&gt;"",OR($G167="",$G167="Active"))),"",ISNUMBER($L167)*($L167&gt;=TODAY())*($L167&lt;=TODAY()+7)+ISNUMBER($M167)*($M167&gt;=TODAY())*($M167&lt;=TODAY()+7)+ISNUMBER($N167)*($N167&gt;=TODAY())*($N167&lt;=TODAY()+7)+ISNUMBER($Q167)*($Q167&gt;=TODAY())*($Q167&lt;=TODAY()+7)+ISNUMBER($R167)*($R167&gt;=TODAY())*($R167&lt;=TODAY()+7)+ISNUMBER($S167)*($S167&gt;=TODAY())*($S167&lt;=TODAY()+7)+ISNUMBER($T167)*($T167&gt;=TODAY())*($T167&lt;=TODAY()+7)+ISNUMBER($U167)*($U167&gt;=TODAY())*($U167&lt;=TODAY()+7)+ISNUMBER($V167)*($V167&gt;=TODAY())*($V167&lt;=TODAY()+7)+ISNUMBER($O167)*($O167&gt;=TODAY())*($O167&lt;=TODAY()+7)+ISNUMBER($P167)*($P167&gt;=TODAY())*($P167&lt;=TODAY()+7)+ISNUMBER($X167)*($X167&gt;=TODAY())*($X167&lt;=TODAY()+7)+ISNUMBER($Y167)*($Y167&gt;=TODAY())*($Y167&lt;=TODAY()+7))</f>
        <v/>
      </c>
      <c r="J167" s="28">
        <f>IF(NOT(AND($A167&lt;&gt;"",OR($G167="",$G167="Active"))),"",IF($K167&lt;&gt;"",IF($L167=$K167,"Booking",IF($M167=$K167,"16/40",IF($N167=$K167,"25/40",IF($Q167=$K167,"28/40",IF($R167=$K167,"31/40",IF($S167=$K167,"34/40",IF($T167=$K167,"36/40",IF($U167=$K167,"38/40",IF($V167=$K167,"40/40",""))))))))),IF(IF(OR(ISNUMBER($V167),$V167="DNA"),$V167,IF(OR(ISNUMBER($U167),$U167="DNA"),$U167,IF(OR(ISNUMBER($T167),$T167="DNA"),$T167,IF(OR(ISNUMBER($S167),$S167="DNA"),$S167,IF(OR(ISNUMBER($R167),$R167="DNA"),$R167,IF(OR(ISNUMBER($Q167),$Q167="DNA"),$Q167,IF(OR(ISNUMBER($N167),$N167="DNA"),$N167,IF(OR(ISNUMBER($M167),$M167="DNA"),$M167,IF(OR(ISNUMBER($L167),$L167="DNA"),$L167,"")))))))))="DNA","Rebook DNA",IF(ISNUMBER(IF(OR(ISNUMBER($V167),$V167="DNA"),$V167,IF(OR(ISNUMBER($U167),$U167="DNA"),$U167,IF(OR(ISNUMBER($T167),$T167="DNA"),$T167,IF(OR(ISNUMBER($S167),$S167="DNA"),$S167,IF(OR(ISNUMBER($R167),$R167="DNA"),$R167,IF(OR(ISNUMBER($Q167),$Q167="DNA"),$Q167,IF(OR(ISNUMBER($N167),$N167="DNA"),$N167,IF(OR(ISNUMBER($M167),$M167="DNA"),$M167,IF(OR(ISNUMBER($L167),$L167="DNA"),$L167,"")))))))))),IF(ISNUMBER($V167),"Update status","Missed/not booked?"),""))))</f>
        <v/>
      </c>
      <c r="K167" s="29">
        <f>IF(NOT(AND($A167&lt;&gt;"",OR($G167="",$G167="Active"))),"",IF(MIN(IF(AND(ISNUMBER($L167),$L167&gt;=TODAY()),$L167,99999),IF(AND(ISNUMBER($M167),$M167&gt;=TODAY()),$M167,99999),IF(AND(ISNUMBER($N167),$N167&gt;=TODAY()),$N167,99999),IF(AND(ISNUMBER($Q167),$Q167&gt;=TODAY()),$Q167,99999),IF(AND(ISNUMBER($R167),$R167&gt;=TODAY()),$R167,99999),IF(AND(ISNUMBER($S167),$S167&gt;=TODAY()),$S167,99999),IF(AND(ISNUMBER($T167),$T167&gt;=TODAY()),$T167,99999),IF(AND(ISNUMBER($U167),$U167&gt;=TODAY()),$U167,99999),IF(AND(ISNUMBER($V167),$V167&gt;=TODAY()),$V167,99999))=99999,"",MIN(IF(AND(ISNUMBER($L167),$L167&gt;=TODAY()),$L167,99999),IF(AND(ISNUMBER($M167),$M167&gt;=TODAY()),$M167,99999),IF(AND(ISNUMBER($N167),$N167&gt;=TODAY()),$N167,99999),IF(AND(ISNUMBER($Q167),$Q167&gt;=TODAY()),$Q167,99999),IF(AND(ISNUMBER($R167),$R167&gt;=TODAY()),$R167,99999),IF(AND(ISNUMBER($S167),$S167&gt;=TODAY()),$S167,99999),IF(AND(ISNUMBER($T167),$T167&gt;=TODAY()),$T167,99999),IF(AND(ISNUMBER($U167),$U167&gt;=TODAY()),$U167,99999),IF(AND(ISNUMBER($V167),$V167&gt;=TODAY()),$V167,99999))))</f>
        <v/>
      </c>
      <c r="L167" s="27" t="n"/>
      <c r="M167" s="27" t="n"/>
      <c r="N167" s="27" t="n"/>
      <c r="O167" s="27" t="n"/>
      <c r="P167" s="27" t="n"/>
      <c r="Q167" s="27" t="n"/>
      <c r="R167" s="27" t="n"/>
      <c r="S167" s="27" t="n"/>
      <c r="T167" s="27" t="n"/>
      <c r="U167" s="27" t="n"/>
      <c r="V167" s="27" t="n"/>
      <c r="W167" s="27" t="n"/>
      <c r="X167" s="27" t="n"/>
      <c r="Y167" s="27" t="n"/>
      <c r="Z167" s="30" t="n"/>
      <c r="AA167" s="25" t="n"/>
      <c r="AB167" s="28">
        <f>IF(NOT(AND($A167&lt;&gt;"",OR($G167="",$G167="Active"))),"",IF(OR(IF(OR(ISNUMBER($V167),$V167="DNA"),$V167,IF(OR(ISNUMBER($U167),$U167="DNA"),$U167,IF(OR(ISNUMBER($T167),$T167="DNA"),$T167,IF(OR(ISNUMBER($S167),$S167="DNA"),$S167,IF(OR(ISNUMBER($R167),$R167="DNA"),$R167,IF(OR(ISNUMBER($Q167),$Q167="DNA"),$Q167,IF(OR(ISNUMBER($N167),$N167="DNA"),$N167,IF(OR(ISNUMBER($M167),$M167="DNA"),$M167,IF(OR(ISNUMBER($L167),$L167="DNA"),$L167,"")))))))))="DNA",AND(ISNUMBER(IF(OR(ISNUMBER($V167),$V167="DNA"),$V167,IF(OR(ISNUMBER($U167),$U167="DNA"),$U167,IF(OR(ISNUMBER($T167),$T167="DNA"),$T167,IF(OR(ISNUMBER($S167),$S167="DNA"),$S167,IF(OR(ISNUMBER($R167),$R167="DNA"),$R167,IF(OR(ISNUMBER($Q167),$Q167="DNA"),$Q167,IF(OR(ISNUMBER($N167),$N167="DNA"),$N167,IF(OR(ISNUMBER($M167),$M167="DNA"),$M167,IF(OR(ISNUMBER($L167),$L167="DNA"),$L167,"")))))))))),IF(OR(ISNUMBER($V167),$V167="DNA"),$V167,IF(OR(ISNUMBER($U167),$U167="DNA"),$U167,IF(OR(ISNUMBER($T167),$T167="DNA"),$T167,IF(OR(ISNUMBER($S167),$S167="DNA"),$S167,IF(OR(ISNUMBER($R167),$R167="DNA"),$R167,IF(OR(ISNUMBER($Q167),$Q167="DNA"),$Q167,IF(OR(ISNUMBER($N167),$N167="DNA"),$N167,IF(OR(ISNUMBER($M167),$M167="DNA"),$M167,IF(OR(ISNUMBER($L167),$L167="DNA"),$L167,"")))))))))&lt;TODAY())),1,0)+ISNUMBER($O167)*($O167&lt;TODAY())+ISNUMBER($P167)*($P167&lt;TODAY())+ISNUMBER($X167)*($X167&lt;TODAY())+ISNUMBER($Y167)*($Y167&lt;TODAY()))</f>
        <v/>
      </c>
    </row>
    <row r="168">
      <c r="A168" s="25" t="n"/>
      <c r="B168" s="26" t="n"/>
      <c r="C168" s="27" t="n"/>
      <c r="D168" s="25" t="n"/>
      <c r="E168" s="25" t="n"/>
      <c r="F168" s="27" t="n"/>
      <c r="G168" s="25" t="n"/>
      <c r="H168" s="28">
        <f>IF(OR(NOT(AND($A168&lt;&gt;"",OR($G168="",$G168="Active"))),$F168=""),"",INT((TODAY()-$F168+280)/7)&amp;"+"&amp;MOD(TODAY()-$F168+280,7))</f>
        <v/>
      </c>
      <c r="I168" s="28">
        <f>IF(NOT(AND($A168&lt;&gt;"",OR($G168="",$G168="Active"))),"",ISNUMBER($L168)*($L168&gt;=TODAY())*($L168&lt;=TODAY()+7)+ISNUMBER($M168)*($M168&gt;=TODAY())*($M168&lt;=TODAY()+7)+ISNUMBER($N168)*($N168&gt;=TODAY())*($N168&lt;=TODAY()+7)+ISNUMBER($Q168)*($Q168&gt;=TODAY())*($Q168&lt;=TODAY()+7)+ISNUMBER($R168)*($R168&gt;=TODAY())*($R168&lt;=TODAY()+7)+ISNUMBER($S168)*($S168&gt;=TODAY())*($S168&lt;=TODAY()+7)+ISNUMBER($T168)*($T168&gt;=TODAY())*($T168&lt;=TODAY()+7)+ISNUMBER($U168)*($U168&gt;=TODAY())*($U168&lt;=TODAY()+7)+ISNUMBER($V168)*($V168&gt;=TODAY())*($V168&lt;=TODAY()+7)+ISNUMBER($O168)*($O168&gt;=TODAY())*($O168&lt;=TODAY()+7)+ISNUMBER($P168)*($P168&gt;=TODAY())*($P168&lt;=TODAY()+7)+ISNUMBER($X168)*($X168&gt;=TODAY())*($X168&lt;=TODAY()+7)+ISNUMBER($Y168)*($Y168&gt;=TODAY())*($Y168&lt;=TODAY()+7))</f>
        <v/>
      </c>
      <c r="J168" s="28">
        <f>IF(NOT(AND($A168&lt;&gt;"",OR($G168="",$G168="Active"))),"",IF($K168&lt;&gt;"",IF($L168=$K168,"Booking",IF($M168=$K168,"16/40",IF($N168=$K168,"25/40",IF($Q168=$K168,"28/40",IF($R168=$K168,"31/40",IF($S168=$K168,"34/40",IF($T168=$K168,"36/40",IF($U168=$K168,"38/40",IF($V168=$K168,"40/40",""))))))))),IF(IF(OR(ISNUMBER($V168),$V168="DNA"),$V168,IF(OR(ISNUMBER($U168),$U168="DNA"),$U168,IF(OR(ISNUMBER($T168),$T168="DNA"),$T168,IF(OR(ISNUMBER($S168),$S168="DNA"),$S168,IF(OR(ISNUMBER($R168),$R168="DNA"),$R168,IF(OR(ISNUMBER($Q168),$Q168="DNA"),$Q168,IF(OR(ISNUMBER($N168),$N168="DNA"),$N168,IF(OR(ISNUMBER($M168),$M168="DNA"),$M168,IF(OR(ISNUMBER($L168),$L168="DNA"),$L168,"")))))))))="DNA","Rebook DNA",IF(ISNUMBER(IF(OR(ISNUMBER($V168),$V168="DNA"),$V168,IF(OR(ISNUMBER($U168),$U168="DNA"),$U168,IF(OR(ISNUMBER($T168),$T168="DNA"),$T168,IF(OR(ISNUMBER($S168),$S168="DNA"),$S168,IF(OR(ISNUMBER($R168),$R168="DNA"),$R168,IF(OR(ISNUMBER($Q168),$Q168="DNA"),$Q168,IF(OR(ISNUMBER($N168),$N168="DNA"),$N168,IF(OR(ISNUMBER($M168),$M168="DNA"),$M168,IF(OR(ISNUMBER($L168),$L168="DNA"),$L168,"")))))))))),IF(ISNUMBER($V168),"Update status","Missed/not booked?"),""))))</f>
        <v/>
      </c>
      <c r="K168" s="29">
        <f>IF(NOT(AND($A168&lt;&gt;"",OR($G168="",$G168="Active"))),"",IF(MIN(IF(AND(ISNUMBER($L168),$L168&gt;=TODAY()),$L168,99999),IF(AND(ISNUMBER($M168),$M168&gt;=TODAY()),$M168,99999),IF(AND(ISNUMBER($N168),$N168&gt;=TODAY()),$N168,99999),IF(AND(ISNUMBER($Q168),$Q168&gt;=TODAY()),$Q168,99999),IF(AND(ISNUMBER($R168),$R168&gt;=TODAY()),$R168,99999),IF(AND(ISNUMBER($S168),$S168&gt;=TODAY()),$S168,99999),IF(AND(ISNUMBER($T168),$T168&gt;=TODAY()),$T168,99999),IF(AND(ISNUMBER($U168),$U168&gt;=TODAY()),$U168,99999),IF(AND(ISNUMBER($V168),$V168&gt;=TODAY()),$V168,99999))=99999,"",MIN(IF(AND(ISNUMBER($L168),$L168&gt;=TODAY()),$L168,99999),IF(AND(ISNUMBER($M168),$M168&gt;=TODAY()),$M168,99999),IF(AND(ISNUMBER($N168),$N168&gt;=TODAY()),$N168,99999),IF(AND(ISNUMBER($Q168),$Q168&gt;=TODAY()),$Q168,99999),IF(AND(ISNUMBER($R168),$R168&gt;=TODAY()),$R168,99999),IF(AND(ISNUMBER($S168),$S168&gt;=TODAY()),$S168,99999),IF(AND(ISNUMBER($T168),$T168&gt;=TODAY()),$T168,99999),IF(AND(ISNUMBER($U168),$U168&gt;=TODAY()),$U168,99999),IF(AND(ISNUMBER($V168),$V168&gt;=TODAY()),$V168,99999))))</f>
        <v/>
      </c>
      <c r="L168" s="27" t="n"/>
      <c r="M168" s="27" t="n"/>
      <c r="N168" s="27" t="n"/>
      <c r="O168" s="27" t="n"/>
      <c r="P168" s="27" t="n"/>
      <c r="Q168" s="27" t="n"/>
      <c r="R168" s="27" t="n"/>
      <c r="S168" s="27" t="n"/>
      <c r="T168" s="27" t="n"/>
      <c r="U168" s="27" t="n"/>
      <c r="V168" s="27" t="n"/>
      <c r="W168" s="27" t="n"/>
      <c r="X168" s="27" t="n"/>
      <c r="Y168" s="27" t="n"/>
      <c r="Z168" s="30" t="n"/>
      <c r="AA168" s="25" t="n"/>
      <c r="AB168" s="28">
        <f>IF(NOT(AND($A168&lt;&gt;"",OR($G168="",$G168="Active"))),"",IF(OR(IF(OR(ISNUMBER($V168),$V168="DNA"),$V168,IF(OR(ISNUMBER($U168),$U168="DNA"),$U168,IF(OR(ISNUMBER($T168),$T168="DNA"),$T168,IF(OR(ISNUMBER($S168),$S168="DNA"),$S168,IF(OR(ISNUMBER($R168),$R168="DNA"),$R168,IF(OR(ISNUMBER($Q168),$Q168="DNA"),$Q168,IF(OR(ISNUMBER($N168),$N168="DNA"),$N168,IF(OR(ISNUMBER($M168),$M168="DNA"),$M168,IF(OR(ISNUMBER($L168),$L168="DNA"),$L168,"")))))))))="DNA",AND(ISNUMBER(IF(OR(ISNUMBER($V168),$V168="DNA"),$V168,IF(OR(ISNUMBER($U168),$U168="DNA"),$U168,IF(OR(ISNUMBER($T168),$T168="DNA"),$T168,IF(OR(ISNUMBER($S168),$S168="DNA"),$S168,IF(OR(ISNUMBER($R168),$R168="DNA"),$R168,IF(OR(ISNUMBER($Q168),$Q168="DNA"),$Q168,IF(OR(ISNUMBER($N168),$N168="DNA"),$N168,IF(OR(ISNUMBER($M168),$M168="DNA"),$M168,IF(OR(ISNUMBER($L168),$L168="DNA"),$L168,"")))))))))),IF(OR(ISNUMBER($V168),$V168="DNA"),$V168,IF(OR(ISNUMBER($U168),$U168="DNA"),$U168,IF(OR(ISNUMBER($T168),$T168="DNA"),$T168,IF(OR(ISNUMBER($S168),$S168="DNA"),$S168,IF(OR(ISNUMBER($R168),$R168="DNA"),$R168,IF(OR(ISNUMBER($Q168),$Q168="DNA"),$Q168,IF(OR(ISNUMBER($N168),$N168="DNA"),$N168,IF(OR(ISNUMBER($M168),$M168="DNA"),$M168,IF(OR(ISNUMBER($L168),$L168="DNA"),$L168,"")))))))))&lt;TODAY())),1,0)+ISNUMBER($O168)*($O168&lt;TODAY())+ISNUMBER($P168)*($P168&lt;TODAY())+ISNUMBER($X168)*($X168&lt;TODAY())+ISNUMBER($Y168)*($Y168&lt;TODAY()))</f>
        <v/>
      </c>
    </row>
    <row r="169">
      <c r="A169" s="25" t="n"/>
      <c r="B169" s="26" t="n"/>
      <c r="C169" s="27" t="n"/>
      <c r="D169" s="25" t="n"/>
      <c r="E169" s="25" t="n"/>
      <c r="F169" s="27" t="n"/>
      <c r="G169" s="25" t="n"/>
      <c r="H169" s="28">
        <f>IF(OR(NOT(AND($A169&lt;&gt;"",OR($G169="",$G169="Active"))),$F169=""),"",INT((TODAY()-$F169+280)/7)&amp;"+"&amp;MOD(TODAY()-$F169+280,7))</f>
        <v/>
      </c>
      <c r="I169" s="28">
        <f>IF(NOT(AND($A169&lt;&gt;"",OR($G169="",$G169="Active"))),"",ISNUMBER($L169)*($L169&gt;=TODAY())*($L169&lt;=TODAY()+7)+ISNUMBER($M169)*($M169&gt;=TODAY())*($M169&lt;=TODAY()+7)+ISNUMBER($N169)*($N169&gt;=TODAY())*($N169&lt;=TODAY()+7)+ISNUMBER($Q169)*($Q169&gt;=TODAY())*($Q169&lt;=TODAY()+7)+ISNUMBER($R169)*($R169&gt;=TODAY())*($R169&lt;=TODAY()+7)+ISNUMBER($S169)*($S169&gt;=TODAY())*($S169&lt;=TODAY()+7)+ISNUMBER($T169)*($T169&gt;=TODAY())*($T169&lt;=TODAY()+7)+ISNUMBER($U169)*($U169&gt;=TODAY())*($U169&lt;=TODAY()+7)+ISNUMBER($V169)*($V169&gt;=TODAY())*($V169&lt;=TODAY()+7)+ISNUMBER($O169)*($O169&gt;=TODAY())*($O169&lt;=TODAY()+7)+ISNUMBER($P169)*($P169&gt;=TODAY())*($P169&lt;=TODAY()+7)+ISNUMBER($X169)*($X169&gt;=TODAY())*($X169&lt;=TODAY()+7)+ISNUMBER($Y169)*($Y169&gt;=TODAY())*($Y169&lt;=TODAY()+7))</f>
        <v/>
      </c>
      <c r="J169" s="28">
        <f>IF(NOT(AND($A169&lt;&gt;"",OR($G169="",$G169="Active"))),"",IF($K169&lt;&gt;"",IF($L169=$K169,"Booking",IF($M169=$K169,"16/40",IF($N169=$K169,"25/40",IF($Q169=$K169,"28/40",IF($R169=$K169,"31/40",IF($S169=$K169,"34/40",IF($T169=$K169,"36/40",IF($U169=$K169,"38/40",IF($V169=$K169,"40/40",""))))))))),IF(IF(OR(ISNUMBER($V169),$V169="DNA"),$V169,IF(OR(ISNUMBER($U169),$U169="DNA"),$U169,IF(OR(ISNUMBER($T169),$T169="DNA"),$T169,IF(OR(ISNUMBER($S169),$S169="DNA"),$S169,IF(OR(ISNUMBER($R169),$R169="DNA"),$R169,IF(OR(ISNUMBER($Q169),$Q169="DNA"),$Q169,IF(OR(ISNUMBER($N169),$N169="DNA"),$N169,IF(OR(ISNUMBER($M169),$M169="DNA"),$M169,IF(OR(ISNUMBER($L169),$L169="DNA"),$L169,"")))))))))="DNA","Rebook DNA",IF(ISNUMBER(IF(OR(ISNUMBER($V169),$V169="DNA"),$V169,IF(OR(ISNUMBER($U169),$U169="DNA"),$U169,IF(OR(ISNUMBER($T169),$T169="DNA"),$T169,IF(OR(ISNUMBER($S169),$S169="DNA"),$S169,IF(OR(ISNUMBER($R169),$R169="DNA"),$R169,IF(OR(ISNUMBER($Q169),$Q169="DNA"),$Q169,IF(OR(ISNUMBER($N169),$N169="DNA"),$N169,IF(OR(ISNUMBER($M169),$M169="DNA"),$M169,IF(OR(ISNUMBER($L169),$L169="DNA"),$L169,"")))))))))),IF(ISNUMBER($V169),"Update status","Missed/not booked?"),""))))</f>
        <v/>
      </c>
      <c r="K169" s="29">
        <f>IF(NOT(AND($A169&lt;&gt;"",OR($G169="",$G169="Active"))),"",IF(MIN(IF(AND(ISNUMBER($L169),$L169&gt;=TODAY()),$L169,99999),IF(AND(ISNUMBER($M169),$M169&gt;=TODAY()),$M169,99999),IF(AND(ISNUMBER($N169),$N169&gt;=TODAY()),$N169,99999),IF(AND(ISNUMBER($Q169),$Q169&gt;=TODAY()),$Q169,99999),IF(AND(ISNUMBER($R169),$R169&gt;=TODAY()),$R169,99999),IF(AND(ISNUMBER($S169),$S169&gt;=TODAY()),$S169,99999),IF(AND(ISNUMBER($T169),$T169&gt;=TODAY()),$T169,99999),IF(AND(ISNUMBER($U169),$U169&gt;=TODAY()),$U169,99999),IF(AND(ISNUMBER($V169),$V169&gt;=TODAY()),$V169,99999))=99999,"",MIN(IF(AND(ISNUMBER($L169),$L169&gt;=TODAY()),$L169,99999),IF(AND(ISNUMBER($M169),$M169&gt;=TODAY()),$M169,99999),IF(AND(ISNUMBER($N169),$N169&gt;=TODAY()),$N169,99999),IF(AND(ISNUMBER($Q169),$Q169&gt;=TODAY()),$Q169,99999),IF(AND(ISNUMBER($R169),$R169&gt;=TODAY()),$R169,99999),IF(AND(ISNUMBER($S169),$S169&gt;=TODAY()),$S169,99999),IF(AND(ISNUMBER($T169),$T169&gt;=TODAY()),$T169,99999),IF(AND(ISNUMBER($U169),$U169&gt;=TODAY()),$U169,99999),IF(AND(ISNUMBER($V169),$V169&gt;=TODAY()),$V169,99999))))</f>
        <v/>
      </c>
      <c r="L169" s="27" t="n"/>
      <c r="M169" s="27" t="n"/>
      <c r="N169" s="27" t="n"/>
      <c r="O169" s="27" t="n"/>
      <c r="P169" s="27" t="n"/>
      <c r="Q169" s="27" t="n"/>
      <c r="R169" s="27" t="n"/>
      <c r="S169" s="27" t="n"/>
      <c r="T169" s="27" t="n"/>
      <c r="U169" s="27" t="n"/>
      <c r="V169" s="27" t="n"/>
      <c r="W169" s="27" t="n"/>
      <c r="X169" s="27" t="n"/>
      <c r="Y169" s="27" t="n"/>
      <c r="Z169" s="30" t="n"/>
      <c r="AA169" s="25" t="n"/>
      <c r="AB169" s="28">
        <f>IF(NOT(AND($A169&lt;&gt;"",OR($G169="",$G169="Active"))),"",IF(OR(IF(OR(ISNUMBER($V169),$V169="DNA"),$V169,IF(OR(ISNUMBER($U169),$U169="DNA"),$U169,IF(OR(ISNUMBER($T169),$T169="DNA"),$T169,IF(OR(ISNUMBER($S169),$S169="DNA"),$S169,IF(OR(ISNUMBER($R169),$R169="DNA"),$R169,IF(OR(ISNUMBER($Q169),$Q169="DNA"),$Q169,IF(OR(ISNUMBER($N169),$N169="DNA"),$N169,IF(OR(ISNUMBER($M169),$M169="DNA"),$M169,IF(OR(ISNUMBER($L169),$L169="DNA"),$L169,"")))))))))="DNA",AND(ISNUMBER(IF(OR(ISNUMBER($V169),$V169="DNA"),$V169,IF(OR(ISNUMBER($U169),$U169="DNA"),$U169,IF(OR(ISNUMBER($T169),$T169="DNA"),$T169,IF(OR(ISNUMBER($S169),$S169="DNA"),$S169,IF(OR(ISNUMBER($R169),$R169="DNA"),$R169,IF(OR(ISNUMBER($Q169),$Q169="DNA"),$Q169,IF(OR(ISNUMBER($N169),$N169="DNA"),$N169,IF(OR(ISNUMBER($M169),$M169="DNA"),$M169,IF(OR(ISNUMBER($L169),$L169="DNA"),$L169,"")))))))))),IF(OR(ISNUMBER($V169),$V169="DNA"),$V169,IF(OR(ISNUMBER($U169),$U169="DNA"),$U169,IF(OR(ISNUMBER($T169),$T169="DNA"),$T169,IF(OR(ISNUMBER($S169),$S169="DNA"),$S169,IF(OR(ISNUMBER($R169),$R169="DNA"),$R169,IF(OR(ISNUMBER($Q169),$Q169="DNA"),$Q169,IF(OR(ISNUMBER($N169),$N169="DNA"),$N169,IF(OR(ISNUMBER($M169),$M169="DNA"),$M169,IF(OR(ISNUMBER($L169),$L169="DNA"),$L169,"")))))))))&lt;TODAY())),1,0)+ISNUMBER($O169)*($O169&lt;TODAY())+ISNUMBER($P169)*($P169&lt;TODAY())+ISNUMBER($X169)*($X169&lt;TODAY())+ISNUMBER($Y169)*($Y169&lt;TODAY()))</f>
        <v/>
      </c>
    </row>
    <row r="170">
      <c r="A170" s="25" t="n"/>
      <c r="B170" s="26" t="n"/>
      <c r="C170" s="27" t="n"/>
      <c r="D170" s="25" t="n"/>
      <c r="E170" s="25" t="n"/>
      <c r="F170" s="27" t="n"/>
      <c r="G170" s="25" t="n"/>
      <c r="H170" s="28">
        <f>IF(OR(NOT(AND($A170&lt;&gt;"",OR($G170="",$G170="Active"))),$F170=""),"",INT((TODAY()-$F170+280)/7)&amp;"+"&amp;MOD(TODAY()-$F170+280,7))</f>
        <v/>
      </c>
      <c r="I170" s="28">
        <f>IF(NOT(AND($A170&lt;&gt;"",OR($G170="",$G170="Active"))),"",ISNUMBER($L170)*($L170&gt;=TODAY())*($L170&lt;=TODAY()+7)+ISNUMBER($M170)*($M170&gt;=TODAY())*($M170&lt;=TODAY()+7)+ISNUMBER($N170)*($N170&gt;=TODAY())*($N170&lt;=TODAY()+7)+ISNUMBER($Q170)*($Q170&gt;=TODAY())*($Q170&lt;=TODAY()+7)+ISNUMBER($R170)*($R170&gt;=TODAY())*($R170&lt;=TODAY()+7)+ISNUMBER($S170)*($S170&gt;=TODAY())*($S170&lt;=TODAY()+7)+ISNUMBER($T170)*($T170&gt;=TODAY())*($T170&lt;=TODAY()+7)+ISNUMBER($U170)*($U170&gt;=TODAY())*($U170&lt;=TODAY()+7)+ISNUMBER($V170)*($V170&gt;=TODAY())*($V170&lt;=TODAY()+7)+ISNUMBER($O170)*($O170&gt;=TODAY())*($O170&lt;=TODAY()+7)+ISNUMBER($P170)*($P170&gt;=TODAY())*($P170&lt;=TODAY()+7)+ISNUMBER($X170)*($X170&gt;=TODAY())*($X170&lt;=TODAY()+7)+ISNUMBER($Y170)*($Y170&gt;=TODAY())*($Y170&lt;=TODAY()+7))</f>
        <v/>
      </c>
      <c r="J170" s="28">
        <f>IF(NOT(AND($A170&lt;&gt;"",OR($G170="",$G170="Active"))),"",IF($K170&lt;&gt;"",IF($L170=$K170,"Booking",IF($M170=$K170,"16/40",IF($N170=$K170,"25/40",IF($Q170=$K170,"28/40",IF($R170=$K170,"31/40",IF($S170=$K170,"34/40",IF($T170=$K170,"36/40",IF($U170=$K170,"38/40",IF($V170=$K170,"40/40",""))))))))),IF(IF(OR(ISNUMBER($V170),$V170="DNA"),$V170,IF(OR(ISNUMBER($U170),$U170="DNA"),$U170,IF(OR(ISNUMBER($T170),$T170="DNA"),$T170,IF(OR(ISNUMBER($S170),$S170="DNA"),$S170,IF(OR(ISNUMBER($R170),$R170="DNA"),$R170,IF(OR(ISNUMBER($Q170),$Q170="DNA"),$Q170,IF(OR(ISNUMBER($N170),$N170="DNA"),$N170,IF(OR(ISNUMBER($M170),$M170="DNA"),$M170,IF(OR(ISNUMBER($L170),$L170="DNA"),$L170,"")))))))))="DNA","Rebook DNA",IF(ISNUMBER(IF(OR(ISNUMBER($V170),$V170="DNA"),$V170,IF(OR(ISNUMBER($U170),$U170="DNA"),$U170,IF(OR(ISNUMBER($T170),$T170="DNA"),$T170,IF(OR(ISNUMBER($S170),$S170="DNA"),$S170,IF(OR(ISNUMBER($R170),$R170="DNA"),$R170,IF(OR(ISNUMBER($Q170),$Q170="DNA"),$Q170,IF(OR(ISNUMBER($N170),$N170="DNA"),$N170,IF(OR(ISNUMBER($M170),$M170="DNA"),$M170,IF(OR(ISNUMBER($L170),$L170="DNA"),$L170,"")))))))))),IF(ISNUMBER($V170),"Update status","Missed/not booked?"),""))))</f>
        <v/>
      </c>
      <c r="K170" s="29">
        <f>IF(NOT(AND($A170&lt;&gt;"",OR($G170="",$G170="Active"))),"",IF(MIN(IF(AND(ISNUMBER($L170),$L170&gt;=TODAY()),$L170,99999),IF(AND(ISNUMBER($M170),$M170&gt;=TODAY()),$M170,99999),IF(AND(ISNUMBER($N170),$N170&gt;=TODAY()),$N170,99999),IF(AND(ISNUMBER($Q170),$Q170&gt;=TODAY()),$Q170,99999),IF(AND(ISNUMBER($R170),$R170&gt;=TODAY()),$R170,99999),IF(AND(ISNUMBER($S170),$S170&gt;=TODAY()),$S170,99999),IF(AND(ISNUMBER($T170),$T170&gt;=TODAY()),$T170,99999),IF(AND(ISNUMBER($U170),$U170&gt;=TODAY()),$U170,99999),IF(AND(ISNUMBER($V170),$V170&gt;=TODAY()),$V170,99999))=99999,"",MIN(IF(AND(ISNUMBER($L170),$L170&gt;=TODAY()),$L170,99999),IF(AND(ISNUMBER($M170),$M170&gt;=TODAY()),$M170,99999),IF(AND(ISNUMBER($N170),$N170&gt;=TODAY()),$N170,99999),IF(AND(ISNUMBER($Q170),$Q170&gt;=TODAY()),$Q170,99999),IF(AND(ISNUMBER($R170),$R170&gt;=TODAY()),$R170,99999),IF(AND(ISNUMBER($S170),$S170&gt;=TODAY()),$S170,99999),IF(AND(ISNUMBER($T170),$T170&gt;=TODAY()),$T170,99999),IF(AND(ISNUMBER($U170),$U170&gt;=TODAY()),$U170,99999),IF(AND(ISNUMBER($V170),$V170&gt;=TODAY()),$V170,99999))))</f>
        <v/>
      </c>
      <c r="L170" s="27" t="n"/>
      <c r="M170" s="27" t="n"/>
      <c r="N170" s="27" t="n"/>
      <c r="O170" s="27" t="n"/>
      <c r="P170" s="27" t="n"/>
      <c r="Q170" s="27" t="n"/>
      <c r="R170" s="27" t="n"/>
      <c r="S170" s="27" t="n"/>
      <c r="T170" s="27" t="n"/>
      <c r="U170" s="27" t="n"/>
      <c r="V170" s="27" t="n"/>
      <c r="W170" s="27" t="n"/>
      <c r="X170" s="27" t="n"/>
      <c r="Y170" s="27" t="n"/>
      <c r="Z170" s="30" t="n"/>
      <c r="AA170" s="25" t="n"/>
      <c r="AB170" s="28">
        <f>IF(NOT(AND($A170&lt;&gt;"",OR($G170="",$G170="Active"))),"",IF(OR(IF(OR(ISNUMBER($V170),$V170="DNA"),$V170,IF(OR(ISNUMBER($U170),$U170="DNA"),$U170,IF(OR(ISNUMBER($T170),$T170="DNA"),$T170,IF(OR(ISNUMBER($S170),$S170="DNA"),$S170,IF(OR(ISNUMBER($R170),$R170="DNA"),$R170,IF(OR(ISNUMBER($Q170),$Q170="DNA"),$Q170,IF(OR(ISNUMBER($N170),$N170="DNA"),$N170,IF(OR(ISNUMBER($M170),$M170="DNA"),$M170,IF(OR(ISNUMBER($L170),$L170="DNA"),$L170,"")))))))))="DNA",AND(ISNUMBER(IF(OR(ISNUMBER($V170),$V170="DNA"),$V170,IF(OR(ISNUMBER($U170),$U170="DNA"),$U170,IF(OR(ISNUMBER($T170),$T170="DNA"),$T170,IF(OR(ISNUMBER($S170),$S170="DNA"),$S170,IF(OR(ISNUMBER($R170),$R170="DNA"),$R170,IF(OR(ISNUMBER($Q170),$Q170="DNA"),$Q170,IF(OR(ISNUMBER($N170),$N170="DNA"),$N170,IF(OR(ISNUMBER($M170),$M170="DNA"),$M170,IF(OR(ISNUMBER($L170),$L170="DNA"),$L170,"")))))))))),IF(OR(ISNUMBER($V170),$V170="DNA"),$V170,IF(OR(ISNUMBER($U170),$U170="DNA"),$U170,IF(OR(ISNUMBER($T170),$T170="DNA"),$T170,IF(OR(ISNUMBER($S170),$S170="DNA"),$S170,IF(OR(ISNUMBER($R170),$R170="DNA"),$R170,IF(OR(ISNUMBER($Q170),$Q170="DNA"),$Q170,IF(OR(ISNUMBER($N170),$N170="DNA"),$N170,IF(OR(ISNUMBER($M170),$M170="DNA"),$M170,IF(OR(ISNUMBER($L170),$L170="DNA"),$L170,"")))))))))&lt;TODAY())),1,0)+ISNUMBER($O170)*($O170&lt;TODAY())+ISNUMBER($P170)*($P170&lt;TODAY())+ISNUMBER($X170)*($X170&lt;TODAY())+ISNUMBER($Y170)*($Y170&lt;TODAY()))</f>
        <v/>
      </c>
    </row>
    <row r="171">
      <c r="A171" s="25" t="n"/>
      <c r="B171" s="26" t="n"/>
      <c r="C171" s="27" t="n"/>
      <c r="D171" s="25" t="n"/>
      <c r="E171" s="25" t="n"/>
      <c r="F171" s="27" t="n"/>
      <c r="G171" s="25" t="n"/>
      <c r="H171" s="28">
        <f>IF(OR(NOT(AND($A171&lt;&gt;"",OR($G171="",$G171="Active"))),$F171=""),"",INT((TODAY()-$F171+280)/7)&amp;"+"&amp;MOD(TODAY()-$F171+280,7))</f>
        <v/>
      </c>
      <c r="I171" s="28">
        <f>IF(NOT(AND($A171&lt;&gt;"",OR($G171="",$G171="Active"))),"",ISNUMBER($L171)*($L171&gt;=TODAY())*($L171&lt;=TODAY()+7)+ISNUMBER($M171)*($M171&gt;=TODAY())*($M171&lt;=TODAY()+7)+ISNUMBER($N171)*($N171&gt;=TODAY())*($N171&lt;=TODAY()+7)+ISNUMBER($Q171)*($Q171&gt;=TODAY())*($Q171&lt;=TODAY()+7)+ISNUMBER($R171)*($R171&gt;=TODAY())*($R171&lt;=TODAY()+7)+ISNUMBER($S171)*($S171&gt;=TODAY())*($S171&lt;=TODAY()+7)+ISNUMBER($T171)*($T171&gt;=TODAY())*($T171&lt;=TODAY()+7)+ISNUMBER($U171)*($U171&gt;=TODAY())*($U171&lt;=TODAY()+7)+ISNUMBER($V171)*($V171&gt;=TODAY())*($V171&lt;=TODAY()+7)+ISNUMBER($O171)*($O171&gt;=TODAY())*($O171&lt;=TODAY()+7)+ISNUMBER($P171)*($P171&gt;=TODAY())*($P171&lt;=TODAY()+7)+ISNUMBER($X171)*($X171&gt;=TODAY())*($X171&lt;=TODAY()+7)+ISNUMBER($Y171)*($Y171&gt;=TODAY())*($Y171&lt;=TODAY()+7))</f>
        <v/>
      </c>
      <c r="J171" s="28">
        <f>IF(NOT(AND($A171&lt;&gt;"",OR($G171="",$G171="Active"))),"",IF($K171&lt;&gt;"",IF($L171=$K171,"Booking",IF($M171=$K171,"16/40",IF($N171=$K171,"25/40",IF($Q171=$K171,"28/40",IF($R171=$K171,"31/40",IF($S171=$K171,"34/40",IF($T171=$K171,"36/40",IF($U171=$K171,"38/40",IF($V171=$K171,"40/40",""))))))))),IF(IF(OR(ISNUMBER($V171),$V171="DNA"),$V171,IF(OR(ISNUMBER($U171),$U171="DNA"),$U171,IF(OR(ISNUMBER($T171),$T171="DNA"),$T171,IF(OR(ISNUMBER($S171),$S171="DNA"),$S171,IF(OR(ISNUMBER($R171),$R171="DNA"),$R171,IF(OR(ISNUMBER($Q171),$Q171="DNA"),$Q171,IF(OR(ISNUMBER($N171),$N171="DNA"),$N171,IF(OR(ISNUMBER($M171),$M171="DNA"),$M171,IF(OR(ISNUMBER($L171),$L171="DNA"),$L171,"")))))))))="DNA","Rebook DNA",IF(ISNUMBER(IF(OR(ISNUMBER($V171),$V171="DNA"),$V171,IF(OR(ISNUMBER($U171),$U171="DNA"),$U171,IF(OR(ISNUMBER($T171),$T171="DNA"),$T171,IF(OR(ISNUMBER($S171),$S171="DNA"),$S171,IF(OR(ISNUMBER($R171),$R171="DNA"),$R171,IF(OR(ISNUMBER($Q171),$Q171="DNA"),$Q171,IF(OR(ISNUMBER($N171),$N171="DNA"),$N171,IF(OR(ISNUMBER($M171),$M171="DNA"),$M171,IF(OR(ISNUMBER($L171),$L171="DNA"),$L171,"")))))))))),IF(ISNUMBER($V171),"Update status","Missed/not booked?"),""))))</f>
        <v/>
      </c>
      <c r="K171" s="29">
        <f>IF(NOT(AND($A171&lt;&gt;"",OR($G171="",$G171="Active"))),"",IF(MIN(IF(AND(ISNUMBER($L171),$L171&gt;=TODAY()),$L171,99999),IF(AND(ISNUMBER($M171),$M171&gt;=TODAY()),$M171,99999),IF(AND(ISNUMBER($N171),$N171&gt;=TODAY()),$N171,99999),IF(AND(ISNUMBER($Q171),$Q171&gt;=TODAY()),$Q171,99999),IF(AND(ISNUMBER($R171),$R171&gt;=TODAY()),$R171,99999),IF(AND(ISNUMBER($S171),$S171&gt;=TODAY()),$S171,99999),IF(AND(ISNUMBER($T171),$T171&gt;=TODAY()),$T171,99999),IF(AND(ISNUMBER($U171),$U171&gt;=TODAY()),$U171,99999),IF(AND(ISNUMBER($V171),$V171&gt;=TODAY()),$V171,99999))=99999,"",MIN(IF(AND(ISNUMBER($L171),$L171&gt;=TODAY()),$L171,99999),IF(AND(ISNUMBER($M171),$M171&gt;=TODAY()),$M171,99999),IF(AND(ISNUMBER($N171),$N171&gt;=TODAY()),$N171,99999),IF(AND(ISNUMBER($Q171),$Q171&gt;=TODAY()),$Q171,99999),IF(AND(ISNUMBER($R171),$R171&gt;=TODAY()),$R171,99999),IF(AND(ISNUMBER($S171),$S171&gt;=TODAY()),$S171,99999),IF(AND(ISNUMBER($T171),$T171&gt;=TODAY()),$T171,99999),IF(AND(ISNUMBER($U171),$U171&gt;=TODAY()),$U171,99999),IF(AND(ISNUMBER($V171),$V171&gt;=TODAY()),$V171,99999))))</f>
        <v/>
      </c>
      <c r="L171" s="27" t="n"/>
      <c r="M171" s="27" t="n"/>
      <c r="N171" s="27" t="n"/>
      <c r="O171" s="27" t="n"/>
      <c r="P171" s="27" t="n"/>
      <c r="Q171" s="27" t="n"/>
      <c r="R171" s="27" t="n"/>
      <c r="S171" s="27" t="n"/>
      <c r="T171" s="27" t="n"/>
      <c r="U171" s="27" t="n"/>
      <c r="V171" s="27" t="n"/>
      <c r="W171" s="27" t="n"/>
      <c r="X171" s="27" t="n"/>
      <c r="Y171" s="27" t="n"/>
      <c r="Z171" s="30" t="n"/>
      <c r="AA171" s="25" t="n"/>
      <c r="AB171" s="28">
        <f>IF(NOT(AND($A171&lt;&gt;"",OR($G171="",$G171="Active"))),"",IF(OR(IF(OR(ISNUMBER($V171),$V171="DNA"),$V171,IF(OR(ISNUMBER($U171),$U171="DNA"),$U171,IF(OR(ISNUMBER($T171),$T171="DNA"),$T171,IF(OR(ISNUMBER($S171),$S171="DNA"),$S171,IF(OR(ISNUMBER($R171),$R171="DNA"),$R171,IF(OR(ISNUMBER($Q171),$Q171="DNA"),$Q171,IF(OR(ISNUMBER($N171),$N171="DNA"),$N171,IF(OR(ISNUMBER($M171),$M171="DNA"),$M171,IF(OR(ISNUMBER($L171),$L171="DNA"),$L171,"")))))))))="DNA",AND(ISNUMBER(IF(OR(ISNUMBER($V171),$V171="DNA"),$V171,IF(OR(ISNUMBER($U171),$U171="DNA"),$U171,IF(OR(ISNUMBER($T171),$T171="DNA"),$T171,IF(OR(ISNUMBER($S171),$S171="DNA"),$S171,IF(OR(ISNUMBER($R171),$R171="DNA"),$R171,IF(OR(ISNUMBER($Q171),$Q171="DNA"),$Q171,IF(OR(ISNUMBER($N171),$N171="DNA"),$N171,IF(OR(ISNUMBER($M171),$M171="DNA"),$M171,IF(OR(ISNUMBER($L171),$L171="DNA"),$L171,"")))))))))),IF(OR(ISNUMBER($V171),$V171="DNA"),$V171,IF(OR(ISNUMBER($U171),$U171="DNA"),$U171,IF(OR(ISNUMBER($T171),$T171="DNA"),$T171,IF(OR(ISNUMBER($S171),$S171="DNA"),$S171,IF(OR(ISNUMBER($R171),$R171="DNA"),$R171,IF(OR(ISNUMBER($Q171),$Q171="DNA"),$Q171,IF(OR(ISNUMBER($N171),$N171="DNA"),$N171,IF(OR(ISNUMBER($M171),$M171="DNA"),$M171,IF(OR(ISNUMBER($L171),$L171="DNA"),$L171,"")))))))))&lt;TODAY())),1,0)+ISNUMBER($O171)*($O171&lt;TODAY())+ISNUMBER($P171)*($P171&lt;TODAY())+ISNUMBER($X171)*($X171&lt;TODAY())+ISNUMBER($Y171)*($Y171&lt;TODAY()))</f>
        <v/>
      </c>
    </row>
    <row r="172">
      <c r="A172" s="25" t="n"/>
      <c r="B172" s="26" t="n"/>
      <c r="C172" s="27" t="n"/>
      <c r="D172" s="25" t="n"/>
      <c r="E172" s="25" t="n"/>
      <c r="F172" s="27" t="n"/>
      <c r="G172" s="25" t="n"/>
      <c r="H172" s="28">
        <f>IF(OR(NOT(AND($A172&lt;&gt;"",OR($G172="",$G172="Active"))),$F172=""),"",INT((TODAY()-$F172+280)/7)&amp;"+"&amp;MOD(TODAY()-$F172+280,7))</f>
        <v/>
      </c>
      <c r="I172" s="28">
        <f>IF(NOT(AND($A172&lt;&gt;"",OR($G172="",$G172="Active"))),"",ISNUMBER($L172)*($L172&gt;=TODAY())*($L172&lt;=TODAY()+7)+ISNUMBER($M172)*($M172&gt;=TODAY())*($M172&lt;=TODAY()+7)+ISNUMBER($N172)*($N172&gt;=TODAY())*($N172&lt;=TODAY()+7)+ISNUMBER($Q172)*($Q172&gt;=TODAY())*($Q172&lt;=TODAY()+7)+ISNUMBER($R172)*($R172&gt;=TODAY())*($R172&lt;=TODAY()+7)+ISNUMBER($S172)*($S172&gt;=TODAY())*($S172&lt;=TODAY()+7)+ISNUMBER($T172)*($T172&gt;=TODAY())*($T172&lt;=TODAY()+7)+ISNUMBER($U172)*($U172&gt;=TODAY())*($U172&lt;=TODAY()+7)+ISNUMBER($V172)*($V172&gt;=TODAY())*($V172&lt;=TODAY()+7)+ISNUMBER($O172)*($O172&gt;=TODAY())*($O172&lt;=TODAY()+7)+ISNUMBER($P172)*($P172&gt;=TODAY())*($P172&lt;=TODAY()+7)+ISNUMBER($X172)*($X172&gt;=TODAY())*($X172&lt;=TODAY()+7)+ISNUMBER($Y172)*($Y172&gt;=TODAY())*($Y172&lt;=TODAY()+7))</f>
        <v/>
      </c>
      <c r="J172" s="28">
        <f>IF(NOT(AND($A172&lt;&gt;"",OR($G172="",$G172="Active"))),"",IF($K172&lt;&gt;"",IF($L172=$K172,"Booking",IF($M172=$K172,"16/40",IF($N172=$K172,"25/40",IF($Q172=$K172,"28/40",IF($R172=$K172,"31/40",IF($S172=$K172,"34/40",IF($T172=$K172,"36/40",IF($U172=$K172,"38/40",IF($V172=$K172,"40/40",""))))))))),IF(IF(OR(ISNUMBER($V172),$V172="DNA"),$V172,IF(OR(ISNUMBER($U172),$U172="DNA"),$U172,IF(OR(ISNUMBER($T172),$T172="DNA"),$T172,IF(OR(ISNUMBER($S172),$S172="DNA"),$S172,IF(OR(ISNUMBER($R172),$R172="DNA"),$R172,IF(OR(ISNUMBER($Q172),$Q172="DNA"),$Q172,IF(OR(ISNUMBER($N172),$N172="DNA"),$N172,IF(OR(ISNUMBER($M172),$M172="DNA"),$M172,IF(OR(ISNUMBER($L172),$L172="DNA"),$L172,"")))))))))="DNA","Rebook DNA",IF(ISNUMBER(IF(OR(ISNUMBER($V172),$V172="DNA"),$V172,IF(OR(ISNUMBER($U172),$U172="DNA"),$U172,IF(OR(ISNUMBER($T172),$T172="DNA"),$T172,IF(OR(ISNUMBER($S172),$S172="DNA"),$S172,IF(OR(ISNUMBER($R172),$R172="DNA"),$R172,IF(OR(ISNUMBER($Q172),$Q172="DNA"),$Q172,IF(OR(ISNUMBER($N172),$N172="DNA"),$N172,IF(OR(ISNUMBER($M172),$M172="DNA"),$M172,IF(OR(ISNUMBER($L172),$L172="DNA"),$L172,"")))))))))),IF(ISNUMBER($V172),"Update status","Missed/not booked?"),""))))</f>
        <v/>
      </c>
      <c r="K172" s="29">
        <f>IF(NOT(AND($A172&lt;&gt;"",OR($G172="",$G172="Active"))),"",IF(MIN(IF(AND(ISNUMBER($L172),$L172&gt;=TODAY()),$L172,99999),IF(AND(ISNUMBER($M172),$M172&gt;=TODAY()),$M172,99999),IF(AND(ISNUMBER($N172),$N172&gt;=TODAY()),$N172,99999),IF(AND(ISNUMBER($Q172),$Q172&gt;=TODAY()),$Q172,99999),IF(AND(ISNUMBER($R172),$R172&gt;=TODAY()),$R172,99999),IF(AND(ISNUMBER($S172),$S172&gt;=TODAY()),$S172,99999),IF(AND(ISNUMBER($T172),$T172&gt;=TODAY()),$T172,99999),IF(AND(ISNUMBER($U172),$U172&gt;=TODAY()),$U172,99999),IF(AND(ISNUMBER($V172),$V172&gt;=TODAY()),$V172,99999))=99999,"",MIN(IF(AND(ISNUMBER($L172),$L172&gt;=TODAY()),$L172,99999),IF(AND(ISNUMBER($M172),$M172&gt;=TODAY()),$M172,99999),IF(AND(ISNUMBER($N172),$N172&gt;=TODAY()),$N172,99999),IF(AND(ISNUMBER($Q172),$Q172&gt;=TODAY()),$Q172,99999),IF(AND(ISNUMBER($R172),$R172&gt;=TODAY()),$R172,99999),IF(AND(ISNUMBER($S172),$S172&gt;=TODAY()),$S172,99999),IF(AND(ISNUMBER($T172),$T172&gt;=TODAY()),$T172,99999),IF(AND(ISNUMBER($U172),$U172&gt;=TODAY()),$U172,99999),IF(AND(ISNUMBER($V172),$V172&gt;=TODAY()),$V172,99999))))</f>
        <v/>
      </c>
      <c r="L172" s="27" t="n"/>
      <c r="M172" s="27" t="n"/>
      <c r="N172" s="27" t="n"/>
      <c r="O172" s="27" t="n"/>
      <c r="P172" s="27" t="n"/>
      <c r="Q172" s="27" t="n"/>
      <c r="R172" s="27" t="n"/>
      <c r="S172" s="27" t="n"/>
      <c r="T172" s="27" t="n"/>
      <c r="U172" s="27" t="n"/>
      <c r="V172" s="27" t="n"/>
      <c r="W172" s="27" t="n"/>
      <c r="X172" s="27" t="n"/>
      <c r="Y172" s="27" t="n"/>
      <c r="Z172" s="30" t="n"/>
      <c r="AA172" s="25" t="n"/>
      <c r="AB172" s="28">
        <f>IF(NOT(AND($A172&lt;&gt;"",OR($G172="",$G172="Active"))),"",IF(OR(IF(OR(ISNUMBER($V172),$V172="DNA"),$V172,IF(OR(ISNUMBER($U172),$U172="DNA"),$U172,IF(OR(ISNUMBER($T172),$T172="DNA"),$T172,IF(OR(ISNUMBER($S172),$S172="DNA"),$S172,IF(OR(ISNUMBER($R172),$R172="DNA"),$R172,IF(OR(ISNUMBER($Q172),$Q172="DNA"),$Q172,IF(OR(ISNUMBER($N172),$N172="DNA"),$N172,IF(OR(ISNUMBER($M172),$M172="DNA"),$M172,IF(OR(ISNUMBER($L172),$L172="DNA"),$L172,"")))))))))="DNA",AND(ISNUMBER(IF(OR(ISNUMBER($V172),$V172="DNA"),$V172,IF(OR(ISNUMBER($U172),$U172="DNA"),$U172,IF(OR(ISNUMBER($T172),$T172="DNA"),$T172,IF(OR(ISNUMBER($S172),$S172="DNA"),$S172,IF(OR(ISNUMBER($R172),$R172="DNA"),$R172,IF(OR(ISNUMBER($Q172),$Q172="DNA"),$Q172,IF(OR(ISNUMBER($N172),$N172="DNA"),$N172,IF(OR(ISNUMBER($M172),$M172="DNA"),$M172,IF(OR(ISNUMBER($L172),$L172="DNA"),$L172,"")))))))))),IF(OR(ISNUMBER($V172),$V172="DNA"),$V172,IF(OR(ISNUMBER($U172),$U172="DNA"),$U172,IF(OR(ISNUMBER($T172),$T172="DNA"),$T172,IF(OR(ISNUMBER($S172),$S172="DNA"),$S172,IF(OR(ISNUMBER($R172),$R172="DNA"),$R172,IF(OR(ISNUMBER($Q172),$Q172="DNA"),$Q172,IF(OR(ISNUMBER($N172),$N172="DNA"),$N172,IF(OR(ISNUMBER($M172),$M172="DNA"),$M172,IF(OR(ISNUMBER($L172),$L172="DNA"),$L172,"")))))))))&lt;TODAY())),1,0)+ISNUMBER($O172)*($O172&lt;TODAY())+ISNUMBER($P172)*($P172&lt;TODAY())+ISNUMBER($X172)*($X172&lt;TODAY())+ISNUMBER($Y172)*($Y172&lt;TODAY()))</f>
        <v/>
      </c>
    </row>
    <row r="173">
      <c r="A173" s="25" t="n"/>
      <c r="B173" s="26" t="n"/>
      <c r="C173" s="27" t="n"/>
      <c r="D173" s="25" t="n"/>
      <c r="E173" s="25" t="n"/>
      <c r="F173" s="27" t="n"/>
      <c r="G173" s="25" t="n"/>
      <c r="H173" s="28">
        <f>IF(OR(NOT(AND($A173&lt;&gt;"",OR($G173="",$G173="Active"))),$F173=""),"",INT((TODAY()-$F173+280)/7)&amp;"+"&amp;MOD(TODAY()-$F173+280,7))</f>
        <v/>
      </c>
      <c r="I173" s="28">
        <f>IF(NOT(AND($A173&lt;&gt;"",OR($G173="",$G173="Active"))),"",ISNUMBER($L173)*($L173&gt;=TODAY())*($L173&lt;=TODAY()+7)+ISNUMBER($M173)*($M173&gt;=TODAY())*($M173&lt;=TODAY()+7)+ISNUMBER($N173)*($N173&gt;=TODAY())*($N173&lt;=TODAY()+7)+ISNUMBER($Q173)*($Q173&gt;=TODAY())*($Q173&lt;=TODAY()+7)+ISNUMBER($R173)*($R173&gt;=TODAY())*($R173&lt;=TODAY()+7)+ISNUMBER($S173)*($S173&gt;=TODAY())*($S173&lt;=TODAY()+7)+ISNUMBER($T173)*($T173&gt;=TODAY())*($T173&lt;=TODAY()+7)+ISNUMBER($U173)*($U173&gt;=TODAY())*($U173&lt;=TODAY()+7)+ISNUMBER($V173)*($V173&gt;=TODAY())*($V173&lt;=TODAY()+7)+ISNUMBER($O173)*($O173&gt;=TODAY())*($O173&lt;=TODAY()+7)+ISNUMBER($P173)*($P173&gt;=TODAY())*($P173&lt;=TODAY()+7)+ISNUMBER($X173)*($X173&gt;=TODAY())*($X173&lt;=TODAY()+7)+ISNUMBER($Y173)*($Y173&gt;=TODAY())*($Y173&lt;=TODAY()+7))</f>
        <v/>
      </c>
      <c r="J173" s="28">
        <f>IF(NOT(AND($A173&lt;&gt;"",OR($G173="",$G173="Active"))),"",IF($K173&lt;&gt;"",IF($L173=$K173,"Booking",IF($M173=$K173,"16/40",IF($N173=$K173,"25/40",IF($Q173=$K173,"28/40",IF($R173=$K173,"31/40",IF($S173=$K173,"34/40",IF($T173=$K173,"36/40",IF($U173=$K173,"38/40",IF($V173=$K173,"40/40",""))))))))),IF(IF(OR(ISNUMBER($V173),$V173="DNA"),$V173,IF(OR(ISNUMBER($U173),$U173="DNA"),$U173,IF(OR(ISNUMBER($T173),$T173="DNA"),$T173,IF(OR(ISNUMBER($S173),$S173="DNA"),$S173,IF(OR(ISNUMBER($R173),$R173="DNA"),$R173,IF(OR(ISNUMBER($Q173),$Q173="DNA"),$Q173,IF(OR(ISNUMBER($N173),$N173="DNA"),$N173,IF(OR(ISNUMBER($M173),$M173="DNA"),$M173,IF(OR(ISNUMBER($L173),$L173="DNA"),$L173,"")))))))))="DNA","Rebook DNA",IF(ISNUMBER(IF(OR(ISNUMBER($V173),$V173="DNA"),$V173,IF(OR(ISNUMBER($U173),$U173="DNA"),$U173,IF(OR(ISNUMBER($T173),$T173="DNA"),$T173,IF(OR(ISNUMBER($S173),$S173="DNA"),$S173,IF(OR(ISNUMBER($R173),$R173="DNA"),$R173,IF(OR(ISNUMBER($Q173),$Q173="DNA"),$Q173,IF(OR(ISNUMBER($N173),$N173="DNA"),$N173,IF(OR(ISNUMBER($M173),$M173="DNA"),$M173,IF(OR(ISNUMBER($L173),$L173="DNA"),$L173,"")))))))))),IF(ISNUMBER($V173),"Update status","Missed/not booked?"),""))))</f>
        <v/>
      </c>
      <c r="K173" s="29">
        <f>IF(NOT(AND($A173&lt;&gt;"",OR($G173="",$G173="Active"))),"",IF(MIN(IF(AND(ISNUMBER($L173),$L173&gt;=TODAY()),$L173,99999),IF(AND(ISNUMBER($M173),$M173&gt;=TODAY()),$M173,99999),IF(AND(ISNUMBER($N173),$N173&gt;=TODAY()),$N173,99999),IF(AND(ISNUMBER($Q173),$Q173&gt;=TODAY()),$Q173,99999),IF(AND(ISNUMBER($R173),$R173&gt;=TODAY()),$R173,99999),IF(AND(ISNUMBER($S173),$S173&gt;=TODAY()),$S173,99999),IF(AND(ISNUMBER($T173),$T173&gt;=TODAY()),$T173,99999),IF(AND(ISNUMBER($U173),$U173&gt;=TODAY()),$U173,99999),IF(AND(ISNUMBER($V173),$V173&gt;=TODAY()),$V173,99999))=99999,"",MIN(IF(AND(ISNUMBER($L173),$L173&gt;=TODAY()),$L173,99999),IF(AND(ISNUMBER($M173),$M173&gt;=TODAY()),$M173,99999),IF(AND(ISNUMBER($N173),$N173&gt;=TODAY()),$N173,99999),IF(AND(ISNUMBER($Q173),$Q173&gt;=TODAY()),$Q173,99999),IF(AND(ISNUMBER($R173),$R173&gt;=TODAY()),$R173,99999),IF(AND(ISNUMBER($S173),$S173&gt;=TODAY()),$S173,99999),IF(AND(ISNUMBER($T173),$T173&gt;=TODAY()),$T173,99999),IF(AND(ISNUMBER($U173),$U173&gt;=TODAY()),$U173,99999),IF(AND(ISNUMBER($V173),$V173&gt;=TODAY()),$V173,99999))))</f>
        <v/>
      </c>
      <c r="L173" s="27" t="n"/>
      <c r="M173" s="27" t="n"/>
      <c r="N173" s="27" t="n"/>
      <c r="O173" s="27" t="n"/>
      <c r="P173" s="27" t="n"/>
      <c r="Q173" s="27" t="n"/>
      <c r="R173" s="27" t="n"/>
      <c r="S173" s="27" t="n"/>
      <c r="T173" s="27" t="n"/>
      <c r="U173" s="27" t="n"/>
      <c r="V173" s="27" t="n"/>
      <c r="W173" s="27" t="n"/>
      <c r="X173" s="27" t="n"/>
      <c r="Y173" s="27" t="n"/>
      <c r="Z173" s="30" t="n"/>
      <c r="AA173" s="25" t="n"/>
      <c r="AB173" s="28">
        <f>IF(NOT(AND($A173&lt;&gt;"",OR($G173="",$G173="Active"))),"",IF(OR(IF(OR(ISNUMBER($V173),$V173="DNA"),$V173,IF(OR(ISNUMBER($U173),$U173="DNA"),$U173,IF(OR(ISNUMBER($T173),$T173="DNA"),$T173,IF(OR(ISNUMBER($S173),$S173="DNA"),$S173,IF(OR(ISNUMBER($R173),$R173="DNA"),$R173,IF(OR(ISNUMBER($Q173),$Q173="DNA"),$Q173,IF(OR(ISNUMBER($N173),$N173="DNA"),$N173,IF(OR(ISNUMBER($M173),$M173="DNA"),$M173,IF(OR(ISNUMBER($L173),$L173="DNA"),$L173,"")))))))))="DNA",AND(ISNUMBER(IF(OR(ISNUMBER($V173),$V173="DNA"),$V173,IF(OR(ISNUMBER($U173),$U173="DNA"),$U173,IF(OR(ISNUMBER($T173),$T173="DNA"),$T173,IF(OR(ISNUMBER($S173),$S173="DNA"),$S173,IF(OR(ISNUMBER($R173),$R173="DNA"),$R173,IF(OR(ISNUMBER($Q173),$Q173="DNA"),$Q173,IF(OR(ISNUMBER($N173),$N173="DNA"),$N173,IF(OR(ISNUMBER($M173),$M173="DNA"),$M173,IF(OR(ISNUMBER($L173),$L173="DNA"),$L173,"")))))))))),IF(OR(ISNUMBER($V173),$V173="DNA"),$V173,IF(OR(ISNUMBER($U173),$U173="DNA"),$U173,IF(OR(ISNUMBER($T173),$T173="DNA"),$T173,IF(OR(ISNUMBER($S173),$S173="DNA"),$S173,IF(OR(ISNUMBER($R173),$R173="DNA"),$R173,IF(OR(ISNUMBER($Q173),$Q173="DNA"),$Q173,IF(OR(ISNUMBER($N173),$N173="DNA"),$N173,IF(OR(ISNUMBER($M173),$M173="DNA"),$M173,IF(OR(ISNUMBER($L173),$L173="DNA"),$L173,"")))))))))&lt;TODAY())),1,0)+ISNUMBER($O173)*($O173&lt;TODAY())+ISNUMBER($P173)*($P173&lt;TODAY())+ISNUMBER($X173)*($X173&lt;TODAY())+ISNUMBER($Y173)*($Y173&lt;TODAY()))</f>
        <v/>
      </c>
    </row>
    <row r="174">
      <c r="A174" s="25" t="n"/>
      <c r="B174" s="26" t="n"/>
      <c r="C174" s="27" t="n"/>
      <c r="D174" s="25" t="n"/>
      <c r="E174" s="25" t="n"/>
      <c r="F174" s="27" t="n"/>
      <c r="G174" s="25" t="n"/>
      <c r="H174" s="28">
        <f>IF(OR(NOT(AND($A174&lt;&gt;"",OR($G174="",$G174="Active"))),$F174=""),"",INT((TODAY()-$F174+280)/7)&amp;"+"&amp;MOD(TODAY()-$F174+280,7))</f>
        <v/>
      </c>
      <c r="I174" s="28">
        <f>IF(NOT(AND($A174&lt;&gt;"",OR($G174="",$G174="Active"))),"",ISNUMBER($L174)*($L174&gt;=TODAY())*($L174&lt;=TODAY()+7)+ISNUMBER($M174)*($M174&gt;=TODAY())*($M174&lt;=TODAY()+7)+ISNUMBER($N174)*($N174&gt;=TODAY())*($N174&lt;=TODAY()+7)+ISNUMBER($Q174)*($Q174&gt;=TODAY())*($Q174&lt;=TODAY()+7)+ISNUMBER($R174)*($R174&gt;=TODAY())*($R174&lt;=TODAY()+7)+ISNUMBER($S174)*($S174&gt;=TODAY())*($S174&lt;=TODAY()+7)+ISNUMBER($T174)*($T174&gt;=TODAY())*($T174&lt;=TODAY()+7)+ISNUMBER($U174)*($U174&gt;=TODAY())*($U174&lt;=TODAY()+7)+ISNUMBER($V174)*($V174&gt;=TODAY())*($V174&lt;=TODAY()+7)+ISNUMBER($O174)*($O174&gt;=TODAY())*($O174&lt;=TODAY()+7)+ISNUMBER($P174)*($P174&gt;=TODAY())*($P174&lt;=TODAY()+7)+ISNUMBER($X174)*($X174&gt;=TODAY())*($X174&lt;=TODAY()+7)+ISNUMBER($Y174)*($Y174&gt;=TODAY())*($Y174&lt;=TODAY()+7))</f>
        <v/>
      </c>
      <c r="J174" s="28">
        <f>IF(NOT(AND($A174&lt;&gt;"",OR($G174="",$G174="Active"))),"",IF($K174&lt;&gt;"",IF($L174=$K174,"Booking",IF($M174=$K174,"16/40",IF($N174=$K174,"25/40",IF($Q174=$K174,"28/40",IF($R174=$K174,"31/40",IF($S174=$K174,"34/40",IF($T174=$K174,"36/40",IF($U174=$K174,"38/40",IF($V174=$K174,"40/40",""))))))))),IF(IF(OR(ISNUMBER($V174),$V174="DNA"),$V174,IF(OR(ISNUMBER($U174),$U174="DNA"),$U174,IF(OR(ISNUMBER($T174),$T174="DNA"),$T174,IF(OR(ISNUMBER($S174),$S174="DNA"),$S174,IF(OR(ISNUMBER($R174),$R174="DNA"),$R174,IF(OR(ISNUMBER($Q174),$Q174="DNA"),$Q174,IF(OR(ISNUMBER($N174),$N174="DNA"),$N174,IF(OR(ISNUMBER($M174),$M174="DNA"),$M174,IF(OR(ISNUMBER($L174),$L174="DNA"),$L174,"")))))))))="DNA","Rebook DNA",IF(ISNUMBER(IF(OR(ISNUMBER($V174),$V174="DNA"),$V174,IF(OR(ISNUMBER($U174),$U174="DNA"),$U174,IF(OR(ISNUMBER($T174),$T174="DNA"),$T174,IF(OR(ISNUMBER($S174),$S174="DNA"),$S174,IF(OR(ISNUMBER($R174),$R174="DNA"),$R174,IF(OR(ISNUMBER($Q174),$Q174="DNA"),$Q174,IF(OR(ISNUMBER($N174),$N174="DNA"),$N174,IF(OR(ISNUMBER($M174),$M174="DNA"),$M174,IF(OR(ISNUMBER($L174),$L174="DNA"),$L174,"")))))))))),IF(ISNUMBER($V174),"Update status","Missed/not booked?"),""))))</f>
        <v/>
      </c>
      <c r="K174" s="29">
        <f>IF(NOT(AND($A174&lt;&gt;"",OR($G174="",$G174="Active"))),"",IF(MIN(IF(AND(ISNUMBER($L174),$L174&gt;=TODAY()),$L174,99999),IF(AND(ISNUMBER($M174),$M174&gt;=TODAY()),$M174,99999),IF(AND(ISNUMBER($N174),$N174&gt;=TODAY()),$N174,99999),IF(AND(ISNUMBER($Q174),$Q174&gt;=TODAY()),$Q174,99999),IF(AND(ISNUMBER($R174),$R174&gt;=TODAY()),$R174,99999),IF(AND(ISNUMBER($S174),$S174&gt;=TODAY()),$S174,99999),IF(AND(ISNUMBER($T174),$T174&gt;=TODAY()),$T174,99999),IF(AND(ISNUMBER($U174),$U174&gt;=TODAY()),$U174,99999),IF(AND(ISNUMBER($V174),$V174&gt;=TODAY()),$V174,99999))=99999,"",MIN(IF(AND(ISNUMBER($L174),$L174&gt;=TODAY()),$L174,99999),IF(AND(ISNUMBER($M174),$M174&gt;=TODAY()),$M174,99999),IF(AND(ISNUMBER($N174),$N174&gt;=TODAY()),$N174,99999),IF(AND(ISNUMBER($Q174),$Q174&gt;=TODAY()),$Q174,99999),IF(AND(ISNUMBER($R174),$R174&gt;=TODAY()),$R174,99999),IF(AND(ISNUMBER($S174),$S174&gt;=TODAY()),$S174,99999),IF(AND(ISNUMBER($T174),$T174&gt;=TODAY()),$T174,99999),IF(AND(ISNUMBER($U174),$U174&gt;=TODAY()),$U174,99999),IF(AND(ISNUMBER($V174),$V174&gt;=TODAY()),$V174,99999))))</f>
        <v/>
      </c>
      <c r="L174" s="27" t="n"/>
      <c r="M174" s="27" t="n"/>
      <c r="N174" s="27" t="n"/>
      <c r="O174" s="27" t="n"/>
      <c r="P174" s="27" t="n"/>
      <c r="Q174" s="27" t="n"/>
      <c r="R174" s="27" t="n"/>
      <c r="S174" s="27" t="n"/>
      <c r="T174" s="27" t="n"/>
      <c r="U174" s="27" t="n"/>
      <c r="V174" s="27" t="n"/>
      <c r="W174" s="27" t="n"/>
      <c r="X174" s="27" t="n"/>
      <c r="Y174" s="27" t="n"/>
      <c r="Z174" s="30" t="n"/>
      <c r="AA174" s="25" t="n"/>
      <c r="AB174" s="28">
        <f>IF(NOT(AND($A174&lt;&gt;"",OR($G174="",$G174="Active"))),"",IF(OR(IF(OR(ISNUMBER($V174),$V174="DNA"),$V174,IF(OR(ISNUMBER($U174),$U174="DNA"),$U174,IF(OR(ISNUMBER($T174),$T174="DNA"),$T174,IF(OR(ISNUMBER($S174),$S174="DNA"),$S174,IF(OR(ISNUMBER($R174),$R174="DNA"),$R174,IF(OR(ISNUMBER($Q174),$Q174="DNA"),$Q174,IF(OR(ISNUMBER($N174),$N174="DNA"),$N174,IF(OR(ISNUMBER($M174),$M174="DNA"),$M174,IF(OR(ISNUMBER($L174),$L174="DNA"),$L174,"")))))))))="DNA",AND(ISNUMBER(IF(OR(ISNUMBER($V174),$V174="DNA"),$V174,IF(OR(ISNUMBER($U174),$U174="DNA"),$U174,IF(OR(ISNUMBER($T174),$T174="DNA"),$T174,IF(OR(ISNUMBER($S174),$S174="DNA"),$S174,IF(OR(ISNUMBER($R174),$R174="DNA"),$R174,IF(OR(ISNUMBER($Q174),$Q174="DNA"),$Q174,IF(OR(ISNUMBER($N174),$N174="DNA"),$N174,IF(OR(ISNUMBER($M174),$M174="DNA"),$M174,IF(OR(ISNUMBER($L174),$L174="DNA"),$L174,"")))))))))),IF(OR(ISNUMBER($V174),$V174="DNA"),$V174,IF(OR(ISNUMBER($U174),$U174="DNA"),$U174,IF(OR(ISNUMBER($T174),$T174="DNA"),$T174,IF(OR(ISNUMBER($S174),$S174="DNA"),$S174,IF(OR(ISNUMBER($R174),$R174="DNA"),$R174,IF(OR(ISNUMBER($Q174),$Q174="DNA"),$Q174,IF(OR(ISNUMBER($N174),$N174="DNA"),$N174,IF(OR(ISNUMBER($M174),$M174="DNA"),$M174,IF(OR(ISNUMBER($L174),$L174="DNA"),$L174,"")))))))))&lt;TODAY())),1,0)+ISNUMBER($O174)*($O174&lt;TODAY())+ISNUMBER($P174)*($P174&lt;TODAY())+ISNUMBER($X174)*($X174&lt;TODAY())+ISNUMBER($Y174)*($Y174&lt;TODAY()))</f>
        <v/>
      </c>
    </row>
    <row r="175">
      <c r="A175" s="25" t="n"/>
      <c r="B175" s="26" t="n"/>
      <c r="C175" s="27" t="n"/>
      <c r="D175" s="25" t="n"/>
      <c r="E175" s="25" t="n"/>
      <c r="F175" s="27" t="n"/>
      <c r="G175" s="25" t="n"/>
      <c r="H175" s="28">
        <f>IF(OR(NOT(AND($A175&lt;&gt;"",OR($G175="",$G175="Active"))),$F175=""),"",INT((TODAY()-$F175+280)/7)&amp;"+"&amp;MOD(TODAY()-$F175+280,7))</f>
        <v/>
      </c>
      <c r="I175" s="28">
        <f>IF(NOT(AND($A175&lt;&gt;"",OR($G175="",$G175="Active"))),"",ISNUMBER($L175)*($L175&gt;=TODAY())*($L175&lt;=TODAY()+7)+ISNUMBER($M175)*($M175&gt;=TODAY())*($M175&lt;=TODAY()+7)+ISNUMBER($N175)*($N175&gt;=TODAY())*($N175&lt;=TODAY()+7)+ISNUMBER($Q175)*($Q175&gt;=TODAY())*($Q175&lt;=TODAY()+7)+ISNUMBER($R175)*($R175&gt;=TODAY())*($R175&lt;=TODAY()+7)+ISNUMBER($S175)*($S175&gt;=TODAY())*($S175&lt;=TODAY()+7)+ISNUMBER($T175)*($T175&gt;=TODAY())*($T175&lt;=TODAY()+7)+ISNUMBER($U175)*($U175&gt;=TODAY())*($U175&lt;=TODAY()+7)+ISNUMBER($V175)*($V175&gt;=TODAY())*($V175&lt;=TODAY()+7)+ISNUMBER($O175)*($O175&gt;=TODAY())*($O175&lt;=TODAY()+7)+ISNUMBER($P175)*($P175&gt;=TODAY())*($P175&lt;=TODAY()+7)+ISNUMBER($X175)*($X175&gt;=TODAY())*($X175&lt;=TODAY()+7)+ISNUMBER($Y175)*($Y175&gt;=TODAY())*($Y175&lt;=TODAY()+7))</f>
        <v/>
      </c>
      <c r="J175" s="28">
        <f>IF(NOT(AND($A175&lt;&gt;"",OR($G175="",$G175="Active"))),"",IF($K175&lt;&gt;"",IF($L175=$K175,"Booking",IF($M175=$K175,"16/40",IF($N175=$K175,"25/40",IF($Q175=$K175,"28/40",IF($R175=$K175,"31/40",IF($S175=$K175,"34/40",IF($T175=$K175,"36/40",IF($U175=$K175,"38/40",IF($V175=$K175,"40/40",""))))))))),IF(IF(OR(ISNUMBER($V175),$V175="DNA"),$V175,IF(OR(ISNUMBER($U175),$U175="DNA"),$U175,IF(OR(ISNUMBER($T175),$T175="DNA"),$T175,IF(OR(ISNUMBER($S175),$S175="DNA"),$S175,IF(OR(ISNUMBER($R175),$R175="DNA"),$R175,IF(OR(ISNUMBER($Q175),$Q175="DNA"),$Q175,IF(OR(ISNUMBER($N175),$N175="DNA"),$N175,IF(OR(ISNUMBER($M175),$M175="DNA"),$M175,IF(OR(ISNUMBER($L175),$L175="DNA"),$L175,"")))))))))="DNA","Rebook DNA",IF(ISNUMBER(IF(OR(ISNUMBER($V175),$V175="DNA"),$V175,IF(OR(ISNUMBER($U175),$U175="DNA"),$U175,IF(OR(ISNUMBER($T175),$T175="DNA"),$T175,IF(OR(ISNUMBER($S175),$S175="DNA"),$S175,IF(OR(ISNUMBER($R175),$R175="DNA"),$R175,IF(OR(ISNUMBER($Q175),$Q175="DNA"),$Q175,IF(OR(ISNUMBER($N175),$N175="DNA"),$N175,IF(OR(ISNUMBER($M175),$M175="DNA"),$M175,IF(OR(ISNUMBER($L175),$L175="DNA"),$L175,"")))))))))),IF(ISNUMBER($V175),"Update status","Missed/not booked?"),""))))</f>
        <v/>
      </c>
      <c r="K175" s="29">
        <f>IF(NOT(AND($A175&lt;&gt;"",OR($G175="",$G175="Active"))),"",IF(MIN(IF(AND(ISNUMBER($L175),$L175&gt;=TODAY()),$L175,99999),IF(AND(ISNUMBER($M175),$M175&gt;=TODAY()),$M175,99999),IF(AND(ISNUMBER($N175),$N175&gt;=TODAY()),$N175,99999),IF(AND(ISNUMBER($Q175),$Q175&gt;=TODAY()),$Q175,99999),IF(AND(ISNUMBER($R175),$R175&gt;=TODAY()),$R175,99999),IF(AND(ISNUMBER($S175),$S175&gt;=TODAY()),$S175,99999),IF(AND(ISNUMBER($T175),$T175&gt;=TODAY()),$T175,99999),IF(AND(ISNUMBER($U175),$U175&gt;=TODAY()),$U175,99999),IF(AND(ISNUMBER($V175),$V175&gt;=TODAY()),$V175,99999))=99999,"",MIN(IF(AND(ISNUMBER($L175),$L175&gt;=TODAY()),$L175,99999),IF(AND(ISNUMBER($M175),$M175&gt;=TODAY()),$M175,99999),IF(AND(ISNUMBER($N175),$N175&gt;=TODAY()),$N175,99999),IF(AND(ISNUMBER($Q175),$Q175&gt;=TODAY()),$Q175,99999),IF(AND(ISNUMBER($R175),$R175&gt;=TODAY()),$R175,99999),IF(AND(ISNUMBER($S175),$S175&gt;=TODAY()),$S175,99999),IF(AND(ISNUMBER($T175),$T175&gt;=TODAY()),$T175,99999),IF(AND(ISNUMBER($U175),$U175&gt;=TODAY()),$U175,99999),IF(AND(ISNUMBER($V175),$V175&gt;=TODAY()),$V175,99999))))</f>
        <v/>
      </c>
      <c r="L175" s="27" t="n"/>
      <c r="M175" s="27" t="n"/>
      <c r="N175" s="27" t="n"/>
      <c r="O175" s="27" t="n"/>
      <c r="P175" s="27" t="n"/>
      <c r="Q175" s="27" t="n"/>
      <c r="R175" s="27" t="n"/>
      <c r="S175" s="27" t="n"/>
      <c r="T175" s="27" t="n"/>
      <c r="U175" s="27" t="n"/>
      <c r="V175" s="27" t="n"/>
      <c r="W175" s="27" t="n"/>
      <c r="X175" s="27" t="n"/>
      <c r="Y175" s="27" t="n"/>
      <c r="Z175" s="30" t="n"/>
      <c r="AA175" s="25" t="n"/>
      <c r="AB175" s="28">
        <f>IF(NOT(AND($A175&lt;&gt;"",OR($G175="",$G175="Active"))),"",IF(OR(IF(OR(ISNUMBER($V175),$V175="DNA"),$V175,IF(OR(ISNUMBER($U175),$U175="DNA"),$U175,IF(OR(ISNUMBER($T175),$T175="DNA"),$T175,IF(OR(ISNUMBER($S175),$S175="DNA"),$S175,IF(OR(ISNUMBER($R175),$R175="DNA"),$R175,IF(OR(ISNUMBER($Q175),$Q175="DNA"),$Q175,IF(OR(ISNUMBER($N175),$N175="DNA"),$N175,IF(OR(ISNUMBER($M175),$M175="DNA"),$M175,IF(OR(ISNUMBER($L175),$L175="DNA"),$L175,"")))))))))="DNA",AND(ISNUMBER(IF(OR(ISNUMBER($V175),$V175="DNA"),$V175,IF(OR(ISNUMBER($U175),$U175="DNA"),$U175,IF(OR(ISNUMBER($T175),$T175="DNA"),$T175,IF(OR(ISNUMBER($S175),$S175="DNA"),$S175,IF(OR(ISNUMBER($R175),$R175="DNA"),$R175,IF(OR(ISNUMBER($Q175),$Q175="DNA"),$Q175,IF(OR(ISNUMBER($N175),$N175="DNA"),$N175,IF(OR(ISNUMBER($M175),$M175="DNA"),$M175,IF(OR(ISNUMBER($L175),$L175="DNA"),$L175,"")))))))))),IF(OR(ISNUMBER($V175),$V175="DNA"),$V175,IF(OR(ISNUMBER($U175),$U175="DNA"),$U175,IF(OR(ISNUMBER($T175),$T175="DNA"),$T175,IF(OR(ISNUMBER($S175),$S175="DNA"),$S175,IF(OR(ISNUMBER($R175),$R175="DNA"),$R175,IF(OR(ISNUMBER($Q175),$Q175="DNA"),$Q175,IF(OR(ISNUMBER($N175),$N175="DNA"),$N175,IF(OR(ISNUMBER($M175),$M175="DNA"),$M175,IF(OR(ISNUMBER($L175),$L175="DNA"),$L175,"")))))))))&lt;TODAY())),1,0)+ISNUMBER($O175)*($O175&lt;TODAY())+ISNUMBER($P175)*($P175&lt;TODAY())+ISNUMBER($X175)*($X175&lt;TODAY())+ISNUMBER($Y175)*($Y175&lt;TODAY()))</f>
        <v/>
      </c>
    </row>
    <row r="176">
      <c r="A176" s="25" t="n"/>
      <c r="B176" s="26" t="n"/>
      <c r="C176" s="27" t="n"/>
      <c r="D176" s="25" t="n"/>
      <c r="E176" s="25" t="n"/>
      <c r="F176" s="27" t="n"/>
      <c r="G176" s="25" t="n"/>
      <c r="H176" s="28">
        <f>IF(OR(NOT(AND($A176&lt;&gt;"",OR($G176="",$G176="Active"))),$F176=""),"",INT((TODAY()-$F176+280)/7)&amp;"+"&amp;MOD(TODAY()-$F176+280,7))</f>
        <v/>
      </c>
      <c r="I176" s="28">
        <f>IF(NOT(AND($A176&lt;&gt;"",OR($G176="",$G176="Active"))),"",ISNUMBER($L176)*($L176&gt;=TODAY())*($L176&lt;=TODAY()+7)+ISNUMBER($M176)*($M176&gt;=TODAY())*($M176&lt;=TODAY()+7)+ISNUMBER($N176)*($N176&gt;=TODAY())*($N176&lt;=TODAY()+7)+ISNUMBER($Q176)*($Q176&gt;=TODAY())*($Q176&lt;=TODAY()+7)+ISNUMBER($R176)*($R176&gt;=TODAY())*($R176&lt;=TODAY()+7)+ISNUMBER($S176)*($S176&gt;=TODAY())*($S176&lt;=TODAY()+7)+ISNUMBER($T176)*($T176&gt;=TODAY())*($T176&lt;=TODAY()+7)+ISNUMBER($U176)*($U176&gt;=TODAY())*($U176&lt;=TODAY()+7)+ISNUMBER($V176)*($V176&gt;=TODAY())*($V176&lt;=TODAY()+7)+ISNUMBER($O176)*($O176&gt;=TODAY())*($O176&lt;=TODAY()+7)+ISNUMBER($P176)*($P176&gt;=TODAY())*($P176&lt;=TODAY()+7)+ISNUMBER($X176)*($X176&gt;=TODAY())*($X176&lt;=TODAY()+7)+ISNUMBER($Y176)*($Y176&gt;=TODAY())*($Y176&lt;=TODAY()+7))</f>
        <v/>
      </c>
      <c r="J176" s="28">
        <f>IF(NOT(AND($A176&lt;&gt;"",OR($G176="",$G176="Active"))),"",IF($K176&lt;&gt;"",IF($L176=$K176,"Booking",IF($M176=$K176,"16/40",IF($N176=$K176,"25/40",IF($Q176=$K176,"28/40",IF($R176=$K176,"31/40",IF($S176=$K176,"34/40",IF($T176=$K176,"36/40",IF($U176=$K176,"38/40",IF($V176=$K176,"40/40",""))))))))),IF(IF(OR(ISNUMBER($V176),$V176="DNA"),$V176,IF(OR(ISNUMBER($U176),$U176="DNA"),$U176,IF(OR(ISNUMBER($T176),$T176="DNA"),$T176,IF(OR(ISNUMBER($S176),$S176="DNA"),$S176,IF(OR(ISNUMBER($R176),$R176="DNA"),$R176,IF(OR(ISNUMBER($Q176),$Q176="DNA"),$Q176,IF(OR(ISNUMBER($N176),$N176="DNA"),$N176,IF(OR(ISNUMBER($M176),$M176="DNA"),$M176,IF(OR(ISNUMBER($L176),$L176="DNA"),$L176,"")))))))))="DNA","Rebook DNA",IF(ISNUMBER(IF(OR(ISNUMBER($V176),$V176="DNA"),$V176,IF(OR(ISNUMBER($U176),$U176="DNA"),$U176,IF(OR(ISNUMBER($T176),$T176="DNA"),$T176,IF(OR(ISNUMBER($S176),$S176="DNA"),$S176,IF(OR(ISNUMBER($R176),$R176="DNA"),$R176,IF(OR(ISNUMBER($Q176),$Q176="DNA"),$Q176,IF(OR(ISNUMBER($N176),$N176="DNA"),$N176,IF(OR(ISNUMBER($M176),$M176="DNA"),$M176,IF(OR(ISNUMBER($L176),$L176="DNA"),$L176,"")))))))))),IF(ISNUMBER($V176),"Update status","Missed/not booked?"),""))))</f>
        <v/>
      </c>
      <c r="K176" s="29">
        <f>IF(NOT(AND($A176&lt;&gt;"",OR($G176="",$G176="Active"))),"",IF(MIN(IF(AND(ISNUMBER($L176),$L176&gt;=TODAY()),$L176,99999),IF(AND(ISNUMBER($M176),$M176&gt;=TODAY()),$M176,99999),IF(AND(ISNUMBER($N176),$N176&gt;=TODAY()),$N176,99999),IF(AND(ISNUMBER($Q176),$Q176&gt;=TODAY()),$Q176,99999),IF(AND(ISNUMBER($R176),$R176&gt;=TODAY()),$R176,99999),IF(AND(ISNUMBER($S176),$S176&gt;=TODAY()),$S176,99999),IF(AND(ISNUMBER($T176),$T176&gt;=TODAY()),$T176,99999),IF(AND(ISNUMBER($U176),$U176&gt;=TODAY()),$U176,99999),IF(AND(ISNUMBER($V176),$V176&gt;=TODAY()),$V176,99999))=99999,"",MIN(IF(AND(ISNUMBER($L176),$L176&gt;=TODAY()),$L176,99999),IF(AND(ISNUMBER($M176),$M176&gt;=TODAY()),$M176,99999),IF(AND(ISNUMBER($N176),$N176&gt;=TODAY()),$N176,99999),IF(AND(ISNUMBER($Q176),$Q176&gt;=TODAY()),$Q176,99999),IF(AND(ISNUMBER($R176),$R176&gt;=TODAY()),$R176,99999),IF(AND(ISNUMBER($S176),$S176&gt;=TODAY()),$S176,99999),IF(AND(ISNUMBER($T176),$T176&gt;=TODAY()),$T176,99999),IF(AND(ISNUMBER($U176),$U176&gt;=TODAY()),$U176,99999),IF(AND(ISNUMBER($V176),$V176&gt;=TODAY()),$V176,99999))))</f>
        <v/>
      </c>
      <c r="L176" s="27" t="n"/>
      <c r="M176" s="27" t="n"/>
      <c r="N176" s="27" t="n"/>
      <c r="O176" s="27" t="n"/>
      <c r="P176" s="27" t="n"/>
      <c r="Q176" s="27" t="n"/>
      <c r="R176" s="27" t="n"/>
      <c r="S176" s="27" t="n"/>
      <c r="T176" s="27" t="n"/>
      <c r="U176" s="27" t="n"/>
      <c r="V176" s="27" t="n"/>
      <c r="W176" s="27" t="n"/>
      <c r="X176" s="27" t="n"/>
      <c r="Y176" s="27" t="n"/>
      <c r="Z176" s="30" t="n"/>
      <c r="AA176" s="25" t="n"/>
      <c r="AB176" s="28">
        <f>IF(NOT(AND($A176&lt;&gt;"",OR($G176="",$G176="Active"))),"",IF(OR(IF(OR(ISNUMBER($V176),$V176="DNA"),$V176,IF(OR(ISNUMBER($U176),$U176="DNA"),$U176,IF(OR(ISNUMBER($T176),$T176="DNA"),$T176,IF(OR(ISNUMBER($S176),$S176="DNA"),$S176,IF(OR(ISNUMBER($R176),$R176="DNA"),$R176,IF(OR(ISNUMBER($Q176),$Q176="DNA"),$Q176,IF(OR(ISNUMBER($N176),$N176="DNA"),$N176,IF(OR(ISNUMBER($M176),$M176="DNA"),$M176,IF(OR(ISNUMBER($L176),$L176="DNA"),$L176,"")))))))))="DNA",AND(ISNUMBER(IF(OR(ISNUMBER($V176),$V176="DNA"),$V176,IF(OR(ISNUMBER($U176),$U176="DNA"),$U176,IF(OR(ISNUMBER($T176),$T176="DNA"),$T176,IF(OR(ISNUMBER($S176),$S176="DNA"),$S176,IF(OR(ISNUMBER($R176),$R176="DNA"),$R176,IF(OR(ISNUMBER($Q176),$Q176="DNA"),$Q176,IF(OR(ISNUMBER($N176),$N176="DNA"),$N176,IF(OR(ISNUMBER($M176),$M176="DNA"),$M176,IF(OR(ISNUMBER($L176),$L176="DNA"),$L176,"")))))))))),IF(OR(ISNUMBER($V176),$V176="DNA"),$V176,IF(OR(ISNUMBER($U176),$U176="DNA"),$U176,IF(OR(ISNUMBER($T176),$T176="DNA"),$T176,IF(OR(ISNUMBER($S176),$S176="DNA"),$S176,IF(OR(ISNUMBER($R176),$R176="DNA"),$R176,IF(OR(ISNUMBER($Q176),$Q176="DNA"),$Q176,IF(OR(ISNUMBER($N176),$N176="DNA"),$N176,IF(OR(ISNUMBER($M176),$M176="DNA"),$M176,IF(OR(ISNUMBER($L176),$L176="DNA"),$L176,"")))))))))&lt;TODAY())),1,0)+ISNUMBER($O176)*($O176&lt;TODAY())+ISNUMBER($P176)*($P176&lt;TODAY())+ISNUMBER($X176)*($X176&lt;TODAY())+ISNUMBER($Y176)*($Y176&lt;TODAY()))</f>
        <v/>
      </c>
    </row>
    <row r="177">
      <c r="A177" s="25" t="n"/>
      <c r="B177" s="26" t="n"/>
      <c r="C177" s="27" t="n"/>
      <c r="D177" s="25" t="n"/>
      <c r="E177" s="25" t="n"/>
      <c r="F177" s="27" t="n"/>
      <c r="G177" s="25" t="n"/>
      <c r="H177" s="28">
        <f>IF(OR(NOT(AND($A177&lt;&gt;"",OR($G177="",$G177="Active"))),$F177=""),"",INT((TODAY()-$F177+280)/7)&amp;"+"&amp;MOD(TODAY()-$F177+280,7))</f>
        <v/>
      </c>
      <c r="I177" s="28">
        <f>IF(NOT(AND($A177&lt;&gt;"",OR($G177="",$G177="Active"))),"",ISNUMBER($L177)*($L177&gt;=TODAY())*($L177&lt;=TODAY()+7)+ISNUMBER($M177)*($M177&gt;=TODAY())*($M177&lt;=TODAY()+7)+ISNUMBER($N177)*($N177&gt;=TODAY())*($N177&lt;=TODAY()+7)+ISNUMBER($Q177)*($Q177&gt;=TODAY())*($Q177&lt;=TODAY()+7)+ISNUMBER($R177)*($R177&gt;=TODAY())*($R177&lt;=TODAY()+7)+ISNUMBER($S177)*($S177&gt;=TODAY())*($S177&lt;=TODAY()+7)+ISNUMBER($T177)*($T177&gt;=TODAY())*($T177&lt;=TODAY()+7)+ISNUMBER($U177)*($U177&gt;=TODAY())*($U177&lt;=TODAY()+7)+ISNUMBER($V177)*($V177&gt;=TODAY())*($V177&lt;=TODAY()+7)+ISNUMBER($O177)*($O177&gt;=TODAY())*($O177&lt;=TODAY()+7)+ISNUMBER($P177)*($P177&gt;=TODAY())*($P177&lt;=TODAY()+7)+ISNUMBER($X177)*($X177&gt;=TODAY())*($X177&lt;=TODAY()+7)+ISNUMBER($Y177)*($Y177&gt;=TODAY())*($Y177&lt;=TODAY()+7))</f>
        <v/>
      </c>
      <c r="J177" s="28">
        <f>IF(NOT(AND($A177&lt;&gt;"",OR($G177="",$G177="Active"))),"",IF($K177&lt;&gt;"",IF($L177=$K177,"Booking",IF($M177=$K177,"16/40",IF($N177=$K177,"25/40",IF($Q177=$K177,"28/40",IF($R177=$K177,"31/40",IF($S177=$K177,"34/40",IF($T177=$K177,"36/40",IF($U177=$K177,"38/40",IF($V177=$K177,"40/40",""))))))))),IF(IF(OR(ISNUMBER($V177),$V177="DNA"),$V177,IF(OR(ISNUMBER($U177),$U177="DNA"),$U177,IF(OR(ISNUMBER($T177),$T177="DNA"),$T177,IF(OR(ISNUMBER($S177),$S177="DNA"),$S177,IF(OR(ISNUMBER($R177),$R177="DNA"),$R177,IF(OR(ISNUMBER($Q177),$Q177="DNA"),$Q177,IF(OR(ISNUMBER($N177),$N177="DNA"),$N177,IF(OR(ISNUMBER($M177),$M177="DNA"),$M177,IF(OR(ISNUMBER($L177),$L177="DNA"),$L177,"")))))))))="DNA","Rebook DNA",IF(ISNUMBER(IF(OR(ISNUMBER($V177),$V177="DNA"),$V177,IF(OR(ISNUMBER($U177),$U177="DNA"),$U177,IF(OR(ISNUMBER($T177),$T177="DNA"),$T177,IF(OR(ISNUMBER($S177),$S177="DNA"),$S177,IF(OR(ISNUMBER($R177),$R177="DNA"),$R177,IF(OR(ISNUMBER($Q177),$Q177="DNA"),$Q177,IF(OR(ISNUMBER($N177),$N177="DNA"),$N177,IF(OR(ISNUMBER($M177),$M177="DNA"),$M177,IF(OR(ISNUMBER($L177),$L177="DNA"),$L177,"")))))))))),IF(ISNUMBER($V177),"Update status","Missed/not booked?"),""))))</f>
        <v/>
      </c>
      <c r="K177" s="29">
        <f>IF(NOT(AND($A177&lt;&gt;"",OR($G177="",$G177="Active"))),"",IF(MIN(IF(AND(ISNUMBER($L177),$L177&gt;=TODAY()),$L177,99999),IF(AND(ISNUMBER($M177),$M177&gt;=TODAY()),$M177,99999),IF(AND(ISNUMBER($N177),$N177&gt;=TODAY()),$N177,99999),IF(AND(ISNUMBER($Q177),$Q177&gt;=TODAY()),$Q177,99999),IF(AND(ISNUMBER($R177),$R177&gt;=TODAY()),$R177,99999),IF(AND(ISNUMBER($S177),$S177&gt;=TODAY()),$S177,99999),IF(AND(ISNUMBER($T177),$T177&gt;=TODAY()),$T177,99999),IF(AND(ISNUMBER($U177),$U177&gt;=TODAY()),$U177,99999),IF(AND(ISNUMBER($V177),$V177&gt;=TODAY()),$V177,99999))=99999,"",MIN(IF(AND(ISNUMBER($L177),$L177&gt;=TODAY()),$L177,99999),IF(AND(ISNUMBER($M177),$M177&gt;=TODAY()),$M177,99999),IF(AND(ISNUMBER($N177),$N177&gt;=TODAY()),$N177,99999),IF(AND(ISNUMBER($Q177),$Q177&gt;=TODAY()),$Q177,99999),IF(AND(ISNUMBER($R177),$R177&gt;=TODAY()),$R177,99999),IF(AND(ISNUMBER($S177),$S177&gt;=TODAY()),$S177,99999),IF(AND(ISNUMBER($T177),$T177&gt;=TODAY()),$T177,99999),IF(AND(ISNUMBER($U177),$U177&gt;=TODAY()),$U177,99999),IF(AND(ISNUMBER($V177),$V177&gt;=TODAY()),$V177,99999))))</f>
        <v/>
      </c>
      <c r="L177" s="27" t="n"/>
      <c r="M177" s="27" t="n"/>
      <c r="N177" s="27" t="n"/>
      <c r="O177" s="27" t="n"/>
      <c r="P177" s="27" t="n"/>
      <c r="Q177" s="27" t="n"/>
      <c r="R177" s="27" t="n"/>
      <c r="S177" s="27" t="n"/>
      <c r="T177" s="27" t="n"/>
      <c r="U177" s="27" t="n"/>
      <c r="V177" s="27" t="n"/>
      <c r="W177" s="27" t="n"/>
      <c r="X177" s="27" t="n"/>
      <c r="Y177" s="27" t="n"/>
      <c r="Z177" s="30" t="n"/>
      <c r="AA177" s="25" t="n"/>
      <c r="AB177" s="28">
        <f>IF(NOT(AND($A177&lt;&gt;"",OR($G177="",$G177="Active"))),"",IF(OR(IF(OR(ISNUMBER($V177),$V177="DNA"),$V177,IF(OR(ISNUMBER($U177),$U177="DNA"),$U177,IF(OR(ISNUMBER($T177),$T177="DNA"),$T177,IF(OR(ISNUMBER($S177),$S177="DNA"),$S177,IF(OR(ISNUMBER($R177),$R177="DNA"),$R177,IF(OR(ISNUMBER($Q177),$Q177="DNA"),$Q177,IF(OR(ISNUMBER($N177),$N177="DNA"),$N177,IF(OR(ISNUMBER($M177),$M177="DNA"),$M177,IF(OR(ISNUMBER($L177),$L177="DNA"),$L177,"")))))))))="DNA",AND(ISNUMBER(IF(OR(ISNUMBER($V177),$V177="DNA"),$V177,IF(OR(ISNUMBER($U177),$U177="DNA"),$U177,IF(OR(ISNUMBER($T177),$T177="DNA"),$T177,IF(OR(ISNUMBER($S177),$S177="DNA"),$S177,IF(OR(ISNUMBER($R177),$R177="DNA"),$R177,IF(OR(ISNUMBER($Q177),$Q177="DNA"),$Q177,IF(OR(ISNUMBER($N177),$N177="DNA"),$N177,IF(OR(ISNUMBER($M177),$M177="DNA"),$M177,IF(OR(ISNUMBER($L177),$L177="DNA"),$L177,"")))))))))),IF(OR(ISNUMBER($V177),$V177="DNA"),$V177,IF(OR(ISNUMBER($U177),$U177="DNA"),$U177,IF(OR(ISNUMBER($T177),$T177="DNA"),$T177,IF(OR(ISNUMBER($S177),$S177="DNA"),$S177,IF(OR(ISNUMBER($R177),$R177="DNA"),$R177,IF(OR(ISNUMBER($Q177),$Q177="DNA"),$Q177,IF(OR(ISNUMBER($N177),$N177="DNA"),$N177,IF(OR(ISNUMBER($M177),$M177="DNA"),$M177,IF(OR(ISNUMBER($L177),$L177="DNA"),$L177,"")))))))))&lt;TODAY())),1,0)+ISNUMBER($O177)*($O177&lt;TODAY())+ISNUMBER($P177)*($P177&lt;TODAY())+ISNUMBER($X177)*($X177&lt;TODAY())+ISNUMBER($Y177)*($Y177&lt;TODAY()))</f>
        <v/>
      </c>
    </row>
    <row r="178">
      <c r="A178" s="25" t="n"/>
      <c r="B178" s="26" t="n"/>
      <c r="C178" s="27" t="n"/>
      <c r="D178" s="25" t="n"/>
      <c r="E178" s="25" t="n"/>
      <c r="F178" s="27" t="n"/>
      <c r="G178" s="25" t="n"/>
      <c r="H178" s="28">
        <f>IF(OR(NOT(AND($A178&lt;&gt;"",OR($G178="",$G178="Active"))),$F178=""),"",INT((TODAY()-$F178+280)/7)&amp;"+"&amp;MOD(TODAY()-$F178+280,7))</f>
        <v/>
      </c>
      <c r="I178" s="28">
        <f>IF(NOT(AND($A178&lt;&gt;"",OR($G178="",$G178="Active"))),"",ISNUMBER($L178)*($L178&gt;=TODAY())*($L178&lt;=TODAY()+7)+ISNUMBER($M178)*($M178&gt;=TODAY())*($M178&lt;=TODAY()+7)+ISNUMBER($N178)*($N178&gt;=TODAY())*($N178&lt;=TODAY()+7)+ISNUMBER($Q178)*($Q178&gt;=TODAY())*($Q178&lt;=TODAY()+7)+ISNUMBER($R178)*($R178&gt;=TODAY())*($R178&lt;=TODAY()+7)+ISNUMBER($S178)*($S178&gt;=TODAY())*($S178&lt;=TODAY()+7)+ISNUMBER($T178)*($T178&gt;=TODAY())*($T178&lt;=TODAY()+7)+ISNUMBER($U178)*($U178&gt;=TODAY())*($U178&lt;=TODAY()+7)+ISNUMBER($V178)*($V178&gt;=TODAY())*($V178&lt;=TODAY()+7)+ISNUMBER($O178)*($O178&gt;=TODAY())*($O178&lt;=TODAY()+7)+ISNUMBER($P178)*($P178&gt;=TODAY())*($P178&lt;=TODAY()+7)+ISNUMBER($X178)*($X178&gt;=TODAY())*($X178&lt;=TODAY()+7)+ISNUMBER($Y178)*($Y178&gt;=TODAY())*($Y178&lt;=TODAY()+7))</f>
        <v/>
      </c>
      <c r="J178" s="28">
        <f>IF(NOT(AND($A178&lt;&gt;"",OR($G178="",$G178="Active"))),"",IF($K178&lt;&gt;"",IF($L178=$K178,"Booking",IF($M178=$K178,"16/40",IF($N178=$K178,"25/40",IF($Q178=$K178,"28/40",IF($R178=$K178,"31/40",IF($S178=$K178,"34/40",IF($T178=$K178,"36/40",IF($U178=$K178,"38/40",IF($V178=$K178,"40/40",""))))))))),IF(IF(OR(ISNUMBER($V178),$V178="DNA"),$V178,IF(OR(ISNUMBER($U178),$U178="DNA"),$U178,IF(OR(ISNUMBER($T178),$T178="DNA"),$T178,IF(OR(ISNUMBER($S178),$S178="DNA"),$S178,IF(OR(ISNUMBER($R178),$R178="DNA"),$R178,IF(OR(ISNUMBER($Q178),$Q178="DNA"),$Q178,IF(OR(ISNUMBER($N178),$N178="DNA"),$N178,IF(OR(ISNUMBER($M178),$M178="DNA"),$M178,IF(OR(ISNUMBER($L178),$L178="DNA"),$L178,"")))))))))="DNA","Rebook DNA",IF(ISNUMBER(IF(OR(ISNUMBER($V178),$V178="DNA"),$V178,IF(OR(ISNUMBER($U178),$U178="DNA"),$U178,IF(OR(ISNUMBER($T178),$T178="DNA"),$T178,IF(OR(ISNUMBER($S178),$S178="DNA"),$S178,IF(OR(ISNUMBER($R178),$R178="DNA"),$R178,IF(OR(ISNUMBER($Q178),$Q178="DNA"),$Q178,IF(OR(ISNUMBER($N178),$N178="DNA"),$N178,IF(OR(ISNUMBER($M178),$M178="DNA"),$M178,IF(OR(ISNUMBER($L178),$L178="DNA"),$L178,"")))))))))),IF(ISNUMBER($V178),"Update status","Missed/not booked?"),""))))</f>
        <v/>
      </c>
      <c r="K178" s="29">
        <f>IF(NOT(AND($A178&lt;&gt;"",OR($G178="",$G178="Active"))),"",IF(MIN(IF(AND(ISNUMBER($L178),$L178&gt;=TODAY()),$L178,99999),IF(AND(ISNUMBER($M178),$M178&gt;=TODAY()),$M178,99999),IF(AND(ISNUMBER($N178),$N178&gt;=TODAY()),$N178,99999),IF(AND(ISNUMBER($Q178),$Q178&gt;=TODAY()),$Q178,99999),IF(AND(ISNUMBER($R178),$R178&gt;=TODAY()),$R178,99999),IF(AND(ISNUMBER($S178),$S178&gt;=TODAY()),$S178,99999),IF(AND(ISNUMBER($T178),$T178&gt;=TODAY()),$T178,99999),IF(AND(ISNUMBER($U178),$U178&gt;=TODAY()),$U178,99999),IF(AND(ISNUMBER($V178),$V178&gt;=TODAY()),$V178,99999))=99999,"",MIN(IF(AND(ISNUMBER($L178),$L178&gt;=TODAY()),$L178,99999),IF(AND(ISNUMBER($M178),$M178&gt;=TODAY()),$M178,99999),IF(AND(ISNUMBER($N178),$N178&gt;=TODAY()),$N178,99999),IF(AND(ISNUMBER($Q178),$Q178&gt;=TODAY()),$Q178,99999),IF(AND(ISNUMBER($R178),$R178&gt;=TODAY()),$R178,99999),IF(AND(ISNUMBER($S178),$S178&gt;=TODAY()),$S178,99999),IF(AND(ISNUMBER($T178),$T178&gt;=TODAY()),$T178,99999),IF(AND(ISNUMBER($U178),$U178&gt;=TODAY()),$U178,99999),IF(AND(ISNUMBER($V178),$V178&gt;=TODAY()),$V178,99999))))</f>
        <v/>
      </c>
      <c r="L178" s="27" t="n"/>
      <c r="M178" s="27" t="n"/>
      <c r="N178" s="27" t="n"/>
      <c r="O178" s="27" t="n"/>
      <c r="P178" s="27" t="n"/>
      <c r="Q178" s="27" t="n"/>
      <c r="R178" s="27" t="n"/>
      <c r="S178" s="27" t="n"/>
      <c r="T178" s="27" t="n"/>
      <c r="U178" s="27" t="n"/>
      <c r="V178" s="27" t="n"/>
      <c r="W178" s="27" t="n"/>
      <c r="X178" s="27" t="n"/>
      <c r="Y178" s="27" t="n"/>
      <c r="Z178" s="30" t="n"/>
      <c r="AA178" s="25" t="n"/>
      <c r="AB178" s="28">
        <f>IF(NOT(AND($A178&lt;&gt;"",OR($G178="",$G178="Active"))),"",IF(OR(IF(OR(ISNUMBER($V178),$V178="DNA"),$V178,IF(OR(ISNUMBER($U178),$U178="DNA"),$U178,IF(OR(ISNUMBER($T178),$T178="DNA"),$T178,IF(OR(ISNUMBER($S178),$S178="DNA"),$S178,IF(OR(ISNUMBER($R178),$R178="DNA"),$R178,IF(OR(ISNUMBER($Q178),$Q178="DNA"),$Q178,IF(OR(ISNUMBER($N178),$N178="DNA"),$N178,IF(OR(ISNUMBER($M178),$M178="DNA"),$M178,IF(OR(ISNUMBER($L178),$L178="DNA"),$L178,"")))))))))="DNA",AND(ISNUMBER(IF(OR(ISNUMBER($V178),$V178="DNA"),$V178,IF(OR(ISNUMBER($U178),$U178="DNA"),$U178,IF(OR(ISNUMBER($T178),$T178="DNA"),$T178,IF(OR(ISNUMBER($S178),$S178="DNA"),$S178,IF(OR(ISNUMBER($R178),$R178="DNA"),$R178,IF(OR(ISNUMBER($Q178),$Q178="DNA"),$Q178,IF(OR(ISNUMBER($N178),$N178="DNA"),$N178,IF(OR(ISNUMBER($M178),$M178="DNA"),$M178,IF(OR(ISNUMBER($L178),$L178="DNA"),$L178,"")))))))))),IF(OR(ISNUMBER($V178),$V178="DNA"),$V178,IF(OR(ISNUMBER($U178),$U178="DNA"),$U178,IF(OR(ISNUMBER($T178),$T178="DNA"),$T178,IF(OR(ISNUMBER($S178),$S178="DNA"),$S178,IF(OR(ISNUMBER($R178),$R178="DNA"),$R178,IF(OR(ISNUMBER($Q178),$Q178="DNA"),$Q178,IF(OR(ISNUMBER($N178),$N178="DNA"),$N178,IF(OR(ISNUMBER($M178),$M178="DNA"),$M178,IF(OR(ISNUMBER($L178),$L178="DNA"),$L178,"")))))))))&lt;TODAY())),1,0)+ISNUMBER($O178)*($O178&lt;TODAY())+ISNUMBER($P178)*($P178&lt;TODAY())+ISNUMBER($X178)*($X178&lt;TODAY())+ISNUMBER($Y178)*($Y178&lt;TODAY()))</f>
        <v/>
      </c>
    </row>
    <row r="179">
      <c r="A179" s="25" t="n"/>
      <c r="B179" s="26" t="n"/>
      <c r="C179" s="27" t="n"/>
      <c r="D179" s="25" t="n"/>
      <c r="E179" s="25" t="n"/>
      <c r="F179" s="27" t="n"/>
      <c r="G179" s="25" t="n"/>
      <c r="H179" s="28">
        <f>IF(OR(NOT(AND($A179&lt;&gt;"",OR($G179="",$G179="Active"))),$F179=""),"",INT((TODAY()-$F179+280)/7)&amp;"+"&amp;MOD(TODAY()-$F179+280,7))</f>
        <v/>
      </c>
      <c r="I179" s="28">
        <f>IF(NOT(AND($A179&lt;&gt;"",OR($G179="",$G179="Active"))),"",ISNUMBER($L179)*($L179&gt;=TODAY())*($L179&lt;=TODAY()+7)+ISNUMBER($M179)*($M179&gt;=TODAY())*($M179&lt;=TODAY()+7)+ISNUMBER($N179)*($N179&gt;=TODAY())*($N179&lt;=TODAY()+7)+ISNUMBER($Q179)*($Q179&gt;=TODAY())*($Q179&lt;=TODAY()+7)+ISNUMBER($R179)*($R179&gt;=TODAY())*($R179&lt;=TODAY()+7)+ISNUMBER($S179)*($S179&gt;=TODAY())*($S179&lt;=TODAY()+7)+ISNUMBER($T179)*($T179&gt;=TODAY())*($T179&lt;=TODAY()+7)+ISNUMBER($U179)*($U179&gt;=TODAY())*($U179&lt;=TODAY()+7)+ISNUMBER($V179)*($V179&gt;=TODAY())*($V179&lt;=TODAY()+7)+ISNUMBER($O179)*($O179&gt;=TODAY())*($O179&lt;=TODAY()+7)+ISNUMBER($P179)*($P179&gt;=TODAY())*($P179&lt;=TODAY()+7)+ISNUMBER($X179)*($X179&gt;=TODAY())*($X179&lt;=TODAY()+7)+ISNUMBER($Y179)*($Y179&gt;=TODAY())*($Y179&lt;=TODAY()+7))</f>
        <v/>
      </c>
      <c r="J179" s="28">
        <f>IF(NOT(AND($A179&lt;&gt;"",OR($G179="",$G179="Active"))),"",IF($K179&lt;&gt;"",IF($L179=$K179,"Booking",IF($M179=$K179,"16/40",IF($N179=$K179,"25/40",IF($Q179=$K179,"28/40",IF($R179=$K179,"31/40",IF($S179=$K179,"34/40",IF($T179=$K179,"36/40",IF($U179=$K179,"38/40",IF($V179=$K179,"40/40",""))))))))),IF(IF(OR(ISNUMBER($V179),$V179="DNA"),$V179,IF(OR(ISNUMBER($U179),$U179="DNA"),$U179,IF(OR(ISNUMBER($T179),$T179="DNA"),$T179,IF(OR(ISNUMBER($S179),$S179="DNA"),$S179,IF(OR(ISNUMBER($R179),$R179="DNA"),$R179,IF(OR(ISNUMBER($Q179),$Q179="DNA"),$Q179,IF(OR(ISNUMBER($N179),$N179="DNA"),$N179,IF(OR(ISNUMBER($M179),$M179="DNA"),$M179,IF(OR(ISNUMBER($L179),$L179="DNA"),$L179,"")))))))))="DNA","Rebook DNA",IF(ISNUMBER(IF(OR(ISNUMBER($V179),$V179="DNA"),$V179,IF(OR(ISNUMBER($U179),$U179="DNA"),$U179,IF(OR(ISNUMBER($T179),$T179="DNA"),$T179,IF(OR(ISNUMBER($S179),$S179="DNA"),$S179,IF(OR(ISNUMBER($R179),$R179="DNA"),$R179,IF(OR(ISNUMBER($Q179),$Q179="DNA"),$Q179,IF(OR(ISNUMBER($N179),$N179="DNA"),$N179,IF(OR(ISNUMBER($M179),$M179="DNA"),$M179,IF(OR(ISNUMBER($L179),$L179="DNA"),$L179,"")))))))))),IF(ISNUMBER($V179),"Update status","Missed/not booked?"),""))))</f>
        <v/>
      </c>
      <c r="K179" s="29">
        <f>IF(NOT(AND($A179&lt;&gt;"",OR($G179="",$G179="Active"))),"",IF(MIN(IF(AND(ISNUMBER($L179),$L179&gt;=TODAY()),$L179,99999),IF(AND(ISNUMBER($M179),$M179&gt;=TODAY()),$M179,99999),IF(AND(ISNUMBER($N179),$N179&gt;=TODAY()),$N179,99999),IF(AND(ISNUMBER($Q179),$Q179&gt;=TODAY()),$Q179,99999),IF(AND(ISNUMBER($R179),$R179&gt;=TODAY()),$R179,99999),IF(AND(ISNUMBER($S179),$S179&gt;=TODAY()),$S179,99999),IF(AND(ISNUMBER($T179),$T179&gt;=TODAY()),$T179,99999),IF(AND(ISNUMBER($U179),$U179&gt;=TODAY()),$U179,99999),IF(AND(ISNUMBER($V179),$V179&gt;=TODAY()),$V179,99999))=99999,"",MIN(IF(AND(ISNUMBER($L179),$L179&gt;=TODAY()),$L179,99999),IF(AND(ISNUMBER($M179),$M179&gt;=TODAY()),$M179,99999),IF(AND(ISNUMBER($N179),$N179&gt;=TODAY()),$N179,99999),IF(AND(ISNUMBER($Q179),$Q179&gt;=TODAY()),$Q179,99999),IF(AND(ISNUMBER($R179),$R179&gt;=TODAY()),$R179,99999),IF(AND(ISNUMBER($S179),$S179&gt;=TODAY()),$S179,99999),IF(AND(ISNUMBER($T179),$T179&gt;=TODAY()),$T179,99999),IF(AND(ISNUMBER($U179),$U179&gt;=TODAY()),$U179,99999),IF(AND(ISNUMBER($V179),$V179&gt;=TODAY()),$V179,99999))))</f>
        <v/>
      </c>
      <c r="L179" s="27" t="n"/>
      <c r="M179" s="27" t="n"/>
      <c r="N179" s="27" t="n"/>
      <c r="O179" s="27" t="n"/>
      <c r="P179" s="27" t="n"/>
      <c r="Q179" s="27" t="n"/>
      <c r="R179" s="27" t="n"/>
      <c r="S179" s="27" t="n"/>
      <c r="T179" s="27" t="n"/>
      <c r="U179" s="27" t="n"/>
      <c r="V179" s="27" t="n"/>
      <c r="W179" s="27" t="n"/>
      <c r="X179" s="27" t="n"/>
      <c r="Y179" s="27" t="n"/>
      <c r="Z179" s="30" t="n"/>
      <c r="AA179" s="25" t="n"/>
      <c r="AB179" s="28">
        <f>IF(NOT(AND($A179&lt;&gt;"",OR($G179="",$G179="Active"))),"",IF(OR(IF(OR(ISNUMBER($V179),$V179="DNA"),$V179,IF(OR(ISNUMBER($U179),$U179="DNA"),$U179,IF(OR(ISNUMBER($T179),$T179="DNA"),$T179,IF(OR(ISNUMBER($S179),$S179="DNA"),$S179,IF(OR(ISNUMBER($R179),$R179="DNA"),$R179,IF(OR(ISNUMBER($Q179),$Q179="DNA"),$Q179,IF(OR(ISNUMBER($N179),$N179="DNA"),$N179,IF(OR(ISNUMBER($M179),$M179="DNA"),$M179,IF(OR(ISNUMBER($L179),$L179="DNA"),$L179,"")))))))))="DNA",AND(ISNUMBER(IF(OR(ISNUMBER($V179),$V179="DNA"),$V179,IF(OR(ISNUMBER($U179),$U179="DNA"),$U179,IF(OR(ISNUMBER($T179),$T179="DNA"),$T179,IF(OR(ISNUMBER($S179),$S179="DNA"),$S179,IF(OR(ISNUMBER($R179),$R179="DNA"),$R179,IF(OR(ISNUMBER($Q179),$Q179="DNA"),$Q179,IF(OR(ISNUMBER($N179),$N179="DNA"),$N179,IF(OR(ISNUMBER($M179),$M179="DNA"),$M179,IF(OR(ISNUMBER($L179),$L179="DNA"),$L179,"")))))))))),IF(OR(ISNUMBER($V179),$V179="DNA"),$V179,IF(OR(ISNUMBER($U179),$U179="DNA"),$U179,IF(OR(ISNUMBER($T179),$T179="DNA"),$T179,IF(OR(ISNUMBER($S179),$S179="DNA"),$S179,IF(OR(ISNUMBER($R179),$R179="DNA"),$R179,IF(OR(ISNUMBER($Q179),$Q179="DNA"),$Q179,IF(OR(ISNUMBER($N179),$N179="DNA"),$N179,IF(OR(ISNUMBER($M179),$M179="DNA"),$M179,IF(OR(ISNUMBER($L179),$L179="DNA"),$L179,"")))))))))&lt;TODAY())),1,0)+ISNUMBER($O179)*($O179&lt;TODAY())+ISNUMBER($P179)*($P179&lt;TODAY())+ISNUMBER($X179)*($X179&lt;TODAY())+ISNUMBER($Y179)*($Y179&lt;TODAY()))</f>
        <v/>
      </c>
    </row>
    <row r="180">
      <c r="A180" s="25" t="n"/>
      <c r="B180" s="26" t="n"/>
      <c r="C180" s="27" t="n"/>
      <c r="D180" s="25" t="n"/>
      <c r="E180" s="25" t="n"/>
      <c r="F180" s="27" t="n"/>
      <c r="G180" s="25" t="n"/>
      <c r="H180" s="28">
        <f>IF(OR(NOT(AND($A180&lt;&gt;"",OR($G180="",$G180="Active"))),$F180=""),"",INT((TODAY()-$F180+280)/7)&amp;"+"&amp;MOD(TODAY()-$F180+280,7))</f>
        <v/>
      </c>
      <c r="I180" s="28">
        <f>IF(NOT(AND($A180&lt;&gt;"",OR($G180="",$G180="Active"))),"",ISNUMBER($L180)*($L180&gt;=TODAY())*($L180&lt;=TODAY()+7)+ISNUMBER($M180)*($M180&gt;=TODAY())*($M180&lt;=TODAY()+7)+ISNUMBER($N180)*($N180&gt;=TODAY())*($N180&lt;=TODAY()+7)+ISNUMBER($Q180)*($Q180&gt;=TODAY())*($Q180&lt;=TODAY()+7)+ISNUMBER($R180)*($R180&gt;=TODAY())*($R180&lt;=TODAY()+7)+ISNUMBER($S180)*($S180&gt;=TODAY())*($S180&lt;=TODAY()+7)+ISNUMBER($T180)*($T180&gt;=TODAY())*($T180&lt;=TODAY()+7)+ISNUMBER($U180)*($U180&gt;=TODAY())*($U180&lt;=TODAY()+7)+ISNUMBER($V180)*($V180&gt;=TODAY())*($V180&lt;=TODAY()+7)+ISNUMBER($O180)*($O180&gt;=TODAY())*($O180&lt;=TODAY()+7)+ISNUMBER($P180)*($P180&gt;=TODAY())*($P180&lt;=TODAY()+7)+ISNUMBER($X180)*($X180&gt;=TODAY())*($X180&lt;=TODAY()+7)+ISNUMBER($Y180)*($Y180&gt;=TODAY())*($Y180&lt;=TODAY()+7))</f>
        <v/>
      </c>
      <c r="J180" s="28">
        <f>IF(NOT(AND($A180&lt;&gt;"",OR($G180="",$G180="Active"))),"",IF($K180&lt;&gt;"",IF($L180=$K180,"Booking",IF($M180=$K180,"16/40",IF($N180=$K180,"25/40",IF($Q180=$K180,"28/40",IF($R180=$K180,"31/40",IF($S180=$K180,"34/40",IF($T180=$K180,"36/40",IF($U180=$K180,"38/40",IF($V180=$K180,"40/40",""))))))))),IF(IF(OR(ISNUMBER($V180),$V180="DNA"),$V180,IF(OR(ISNUMBER($U180),$U180="DNA"),$U180,IF(OR(ISNUMBER($T180),$T180="DNA"),$T180,IF(OR(ISNUMBER($S180),$S180="DNA"),$S180,IF(OR(ISNUMBER($R180),$R180="DNA"),$R180,IF(OR(ISNUMBER($Q180),$Q180="DNA"),$Q180,IF(OR(ISNUMBER($N180),$N180="DNA"),$N180,IF(OR(ISNUMBER($M180),$M180="DNA"),$M180,IF(OR(ISNUMBER($L180),$L180="DNA"),$L180,"")))))))))="DNA","Rebook DNA",IF(ISNUMBER(IF(OR(ISNUMBER($V180),$V180="DNA"),$V180,IF(OR(ISNUMBER($U180),$U180="DNA"),$U180,IF(OR(ISNUMBER($T180),$T180="DNA"),$T180,IF(OR(ISNUMBER($S180),$S180="DNA"),$S180,IF(OR(ISNUMBER($R180),$R180="DNA"),$R180,IF(OR(ISNUMBER($Q180),$Q180="DNA"),$Q180,IF(OR(ISNUMBER($N180),$N180="DNA"),$N180,IF(OR(ISNUMBER($M180),$M180="DNA"),$M180,IF(OR(ISNUMBER($L180),$L180="DNA"),$L180,"")))))))))),IF(ISNUMBER($V180),"Update status","Missed/not booked?"),""))))</f>
        <v/>
      </c>
      <c r="K180" s="29">
        <f>IF(NOT(AND($A180&lt;&gt;"",OR($G180="",$G180="Active"))),"",IF(MIN(IF(AND(ISNUMBER($L180),$L180&gt;=TODAY()),$L180,99999),IF(AND(ISNUMBER($M180),$M180&gt;=TODAY()),$M180,99999),IF(AND(ISNUMBER($N180),$N180&gt;=TODAY()),$N180,99999),IF(AND(ISNUMBER($Q180),$Q180&gt;=TODAY()),$Q180,99999),IF(AND(ISNUMBER($R180),$R180&gt;=TODAY()),$R180,99999),IF(AND(ISNUMBER($S180),$S180&gt;=TODAY()),$S180,99999),IF(AND(ISNUMBER($T180),$T180&gt;=TODAY()),$T180,99999),IF(AND(ISNUMBER($U180),$U180&gt;=TODAY()),$U180,99999),IF(AND(ISNUMBER($V180),$V180&gt;=TODAY()),$V180,99999))=99999,"",MIN(IF(AND(ISNUMBER($L180),$L180&gt;=TODAY()),$L180,99999),IF(AND(ISNUMBER($M180),$M180&gt;=TODAY()),$M180,99999),IF(AND(ISNUMBER($N180),$N180&gt;=TODAY()),$N180,99999),IF(AND(ISNUMBER($Q180),$Q180&gt;=TODAY()),$Q180,99999),IF(AND(ISNUMBER($R180),$R180&gt;=TODAY()),$R180,99999),IF(AND(ISNUMBER($S180),$S180&gt;=TODAY()),$S180,99999),IF(AND(ISNUMBER($T180),$T180&gt;=TODAY()),$T180,99999),IF(AND(ISNUMBER($U180),$U180&gt;=TODAY()),$U180,99999),IF(AND(ISNUMBER($V180),$V180&gt;=TODAY()),$V180,99999))))</f>
        <v/>
      </c>
      <c r="L180" s="27" t="n"/>
      <c r="M180" s="27" t="n"/>
      <c r="N180" s="27" t="n"/>
      <c r="O180" s="27" t="n"/>
      <c r="P180" s="27" t="n"/>
      <c r="Q180" s="27" t="n"/>
      <c r="R180" s="27" t="n"/>
      <c r="S180" s="27" t="n"/>
      <c r="T180" s="27" t="n"/>
      <c r="U180" s="27" t="n"/>
      <c r="V180" s="27" t="n"/>
      <c r="W180" s="27" t="n"/>
      <c r="X180" s="27" t="n"/>
      <c r="Y180" s="27" t="n"/>
      <c r="Z180" s="30" t="n"/>
      <c r="AA180" s="25" t="n"/>
      <c r="AB180" s="28">
        <f>IF(NOT(AND($A180&lt;&gt;"",OR($G180="",$G180="Active"))),"",IF(OR(IF(OR(ISNUMBER($V180),$V180="DNA"),$V180,IF(OR(ISNUMBER($U180),$U180="DNA"),$U180,IF(OR(ISNUMBER($T180),$T180="DNA"),$T180,IF(OR(ISNUMBER($S180),$S180="DNA"),$S180,IF(OR(ISNUMBER($R180),$R180="DNA"),$R180,IF(OR(ISNUMBER($Q180),$Q180="DNA"),$Q180,IF(OR(ISNUMBER($N180),$N180="DNA"),$N180,IF(OR(ISNUMBER($M180),$M180="DNA"),$M180,IF(OR(ISNUMBER($L180),$L180="DNA"),$L180,"")))))))))="DNA",AND(ISNUMBER(IF(OR(ISNUMBER($V180),$V180="DNA"),$V180,IF(OR(ISNUMBER($U180),$U180="DNA"),$U180,IF(OR(ISNUMBER($T180),$T180="DNA"),$T180,IF(OR(ISNUMBER($S180),$S180="DNA"),$S180,IF(OR(ISNUMBER($R180),$R180="DNA"),$R180,IF(OR(ISNUMBER($Q180),$Q180="DNA"),$Q180,IF(OR(ISNUMBER($N180),$N180="DNA"),$N180,IF(OR(ISNUMBER($M180),$M180="DNA"),$M180,IF(OR(ISNUMBER($L180),$L180="DNA"),$L180,"")))))))))),IF(OR(ISNUMBER($V180),$V180="DNA"),$V180,IF(OR(ISNUMBER($U180),$U180="DNA"),$U180,IF(OR(ISNUMBER($T180),$T180="DNA"),$T180,IF(OR(ISNUMBER($S180),$S180="DNA"),$S180,IF(OR(ISNUMBER($R180),$R180="DNA"),$R180,IF(OR(ISNUMBER($Q180),$Q180="DNA"),$Q180,IF(OR(ISNUMBER($N180),$N180="DNA"),$N180,IF(OR(ISNUMBER($M180),$M180="DNA"),$M180,IF(OR(ISNUMBER($L180),$L180="DNA"),$L180,"")))))))))&lt;TODAY())),1,0)+ISNUMBER($O180)*($O180&lt;TODAY())+ISNUMBER($P180)*($P180&lt;TODAY())+ISNUMBER($X180)*($X180&lt;TODAY())+ISNUMBER($Y180)*($Y180&lt;TODAY()))</f>
        <v/>
      </c>
    </row>
    <row r="181">
      <c r="A181" s="25" t="n"/>
      <c r="B181" s="26" t="n"/>
      <c r="C181" s="27" t="n"/>
      <c r="D181" s="25" t="n"/>
      <c r="E181" s="25" t="n"/>
      <c r="F181" s="27" t="n"/>
      <c r="G181" s="25" t="n"/>
      <c r="H181" s="28">
        <f>IF(OR(NOT(AND($A181&lt;&gt;"",OR($G181="",$G181="Active"))),$F181=""),"",INT((TODAY()-$F181+280)/7)&amp;"+"&amp;MOD(TODAY()-$F181+280,7))</f>
        <v/>
      </c>
      <c r="I181" s="28">
        <f>IF(NOT(AND($A181&lt;&gt;"",OR($G181="",$G181="Active"))),"",ISNUMBER($L181)*($L181&gt;=TODAY())*($L181&lt;=TODAY()+7)+ISNUMBER($M181)*($M181&gt;=TODAY())*($M181&lt;=TODAY()+7)+ISNUMBER($N181)*($N181&gt;=TODAY())*($N181&lt;=TODAY()+7)+ISNUMBER($Q181)*($Q181&gt;=TODAY())*($Q181&lt;=TODAY()+7)+ISNUMBER($R181)*($R181&gt;=TODAY())*($R181&lt;=TODAY()+7)+ISNUMBER($S181)*($S181&gt;=TODAY())*($S181&lt;=TODAY()+7)+ISNUMBER($T181)*($T181&gt;=TODAY())*($T181&lt;=TODAY()+7)+ISNUMBER($U181)*($U181&gt;=TODAY())*($U181&lt;=TODAY()+7)+ISNUMBER($V181)*($V181&gt;=TODAY())*($V181&lt;=TODAY()+7)+ISNUMBER($O181)*($O181&gt;=TODAY())*($O181&lt;=TODAY()+7)+ISNUMBER($P181)*($P181&gt;=TODAY())*($P181&lt;=TODAY()+7)+ISNUMBER($X181)*($X181&gt;=TODAY())*($X181&lt;=TODAY()+7)+ISNUMBER($Y181)*($Y181&gt;=TODAY())*($Y181&lt;=TODAY()+7))</f>
        <v/>
      </c>
      <c r="J181" s="28">
        <f>IF(NOT(AND($A181&lt;&gt;"",OR($G181="",$G181="Active"))),"",IF($K181&lt;&gt;"",IF($L181=$K181,"Booking",IF($M181=$K181,"16/40",IF($N181=$K181,"25/40",IF($Q181=$K181,"28/40",IF($R181=$K181,"31/40",IF($S181=$K181,"34/40",IF($T181=$K181,"36/40",IF($U181=$K181,"38/40",IF($V181=$K181,"40/40",""))))))))),IF(IF(OR(ISNUMBER($V181),$V181="DNA"),$V181,IF(OR(ISNUMBER($U181),$U181="DNA"),$U181,IF(OR(ISNUMBER($T181),$T181="DNA"),$T181,IF(OR(ISNUMBER($S181),$S181="DNA"),$S181,IF(OR(ISNUMBER($R181),$R181="DNA"),$R181,IF(OR(ISNUMBER($Q181),$Q181="DNA"),$Q181,IF(OR(ISNUMBER($N181),$N181="DNA"),$N181,IF(OR(ISNUMBER($M181),$M181="DNA"),$M181,IF(OR(ISNUMBER($L181),$L181="DNA"),$L181,"")))))))))="DNA","Rebook DNA",IF(ISNUMBER(IF(OR(ISNUMBER($V181),$V181="DNA"),$V181,IF(OR(ISNUMBER($U181),$U181="DNA"),$U181,IF(OR(ISNUMBER($T181),$T181="DNA"),$T181,IF(OR(ISNUMBER($S181),$S181="DNA"),$S181,IF(OR(ISNUMBER($R181),$R181="DNA"),$R181,IF(OR(ISNUMBER($Q181),$Q181="DNA"),$Q181,IF(OR(ISNUMBER($N181),$N181="DNA"),$N181,IF(OR(ISNUMBER($M181),$M181="DNA"),$M181,IF(OR(ISNUMBER($L181),$L181="DNA"),$L181,"")))))))))),IF(ISNUMBER($V181),"Update status","Missed/not booked?"),""))))</f>
        <v/>
      </c>
      <c r="K181" s="29">
        <f>IF(NOT(AND($A181&lt;&gt;"",OR($G181="",$G181="Active"))),"",IF(MIN(IF(AND(ISNUMBER($L181),$L181&gt;=TODAY()),$L181,99999),IF(AND(ISNUMBER($M181),$M181&gt;=TODAY()),$M181,99999),IF(AND(ISNUMBER($N181),$N181&gt;=TODAY()),$N181,99999),IF(AND(ISNUMBER($Q181),$Q181&gt;=TODAY()),$Q181,99999),IF(AND(ISNUMBER($R181),$R181&gt;=TODAY()),$R181,99999),IF(AND(ISNUMBER($S181),$S181&gt;=TODAY()),$S181,99999),IF(AND(ISNUMBER($T181),$T181&gt;=TODAY()),$T181,99999),IF(AND(ISNUMBER($U181),$U181&gt;=TODAY()),$U181,99999),IF(AND(ISNUMBER($V181),$V181&gt;=TODAY()),$V181,99999))=99999,"",MIN(IF(AND(ISNUMBER($L181),$L181&gt;=TODAY()),$L181,99999),IF(AND(ISNUMBER($M181),$M181&gt;=TODAY()),$M181,99999),IF(AND(ISNUMBER($N181),$N181&gt;=TODAY()),$N181,99999),IF(AND(ISNUMBER($Q181),$Q181&gt;=TODAY()),$Q181,99999),IF(AND(ISNUMBER($R181),$R181&gt;=TODAY()),$R181,99999),IF(AND(ISNUMBER($S181),$S181&gt;=TODAY()),$S181,99999),IF(AND(ISNUMBER($T181),$T181&gt;=TODAY()),$T181,99999),IF(AND(ISNUMBER($U181),$U181&gt;=TODAY()),$U181,99999),IF(AND(ISNUMBER($V181),$V181&gt;=TODAY()),$V181,99999))))</f>
        <v/>
      </c>
      <c r="L181" s="27" t="n"/>
      <c r="M181" s="27" t="n"/>
      <c r="N181" s="27" t="n"/>
      <c r="O181" s="27" t="n"/>
      <c r="P181" s="27" t="n"/>
      <c r="Q181" s="27" t="n"/>
      <c r="R181" s="27" t="n"/>
      <c r="S181" s="27" t="n"/>
      <c r="T181" s="27" t="n"/>
      <c r="U181" s="27" t="n"/>
      <c r="V181" s="27" t="n"/>
      <c r="W181" s="27" t="n"/>
      <c r="X181" s="27" t="n"/>
      <c r="Y181" s="27" t="n"/>
      <c r="Z181" s="30" t="n"/>
      <c r="AA181" s="25" t="n"/>
      <c r="AB181" s="28">
        <f>IF(NOT(AND($A181&lt;&gt;"",OR($G181="",$G181="Active"))),"",IF(OR(IF(OR(ISNUMBER($V181),$V181="DNA"),$V181,IF(OR(ISNUMBER($U181),$U181="DNA"),$U181,IF(OR(ISNUMBER($T181),$T181="DNA"),$T181,IF(OR(ISNUMBER($S181),$S181="DNA"),$S181,IF(OR(ISNUMBER($R181),$R181="DNA"),$R181,IF(OR(ISNUMBER($Q181),$Q181="DNA"),$Q181,IF(OR(ISNUMBER($N181),$N181="DNA"),$N181,IF(OR(ISNUMBER($M181),$M181="DNA"),$M181,IF(OR(ISNUMBER($L181),$L181="DNA"),$L181,"")))))))))="DNA",AND(ISNUMBER(IF(OR(ISNUMBER($V181),$V181="DNA"),$V181,IF(OR(ISNUMBER($U181),$U181="DNA"),$U181,IF(OR(ISNUMBER($T181),$T181="DNA"),$T181,IF(OR(ISNUMBER($S181),$S181="DNA"),$S181,IF(OR(ISNUMBER($R181),$R181="DNA"),$R181,IF(OR(ISNUMBER($Q181),$Q181="DNA"),$Q181,IF(OR(ISNUMBER($N181),$N181="DNA"),$N181,IF(OR(ISNUMBER($M181),$M181="DNA"),$M181,IF(OR(ISNUMBER($L181),$L181="DNA"),$L181,"")))))))))),IF(OR(ISNUMBER($V181),$V181="DNA"),$V181,IF(OR(ISNUMBER($U181),$U181="DNA"),$U181,IF(OR(ISNUMBER($T181),$T181="DNA"),$T181,IF(OR(ISNUMBER($S181),$S181="DNA"),$S181,IF(OR(ISNUMBER($R181),$R181="DNA"),$R181,IF(OR(ISNUMBER($Q181),$Q181="DNA"),$Q181,IF(OR(ISNUMBER($N181),$N181="DNA"),$N181,IF(OR(ISNUMBER($M181),$M181="DNA"),$M181,IF(OR(ISNUMBER($L181),$L181="DNA"),$L181,"")))))))))&lt;TODAY())),1,0)+ISNUMBER($O181)*($O181&lt;TODAY())+ISNUMBER($P181)*($P181&lt;TODAY())+ISNUMBER($X181)*($X181&lt;TODAY())+ISNUMBER($Y181)*($Y181&lt;TODAY()))</f>
        <v/>
      </c>
    </row>
    <row r="182">
      <c r="A182" s="25" t="n"/>
      <c r="B182" s="26" t="n"/>
      <c r="C182" s="27" t="n"/>
      <c r="D182" s="25" t="n"/>
      <c r="E182" s="25" t="n"/>
      <c r="F182" s="27" t="n"/>
      <c r="G182" s="25" t="n"/>
      <c r="H182" s="28">
        <f>IF(OR(NOT(AND($A182&lt;&gt;"",OR($G182="",$G182="Active"))),$F182=""),"",INT((TODAY()-$F182+280)/7)&amp;"+"&amp;MOD(TODAY()-$F182+280,7))</f>
        <v/>
      </c>
      <c r="I182" s="28">
        <f>IF(NOT(AND($A182&lt;&gt;"",OR($G182="",$G182="Active"))),"",ISNUMBER($L182)*($L182&gt;=TODAY())*($L182&lt;=TODAY()+7)+ISNUMBER($M182)*($M182&gt;=TODAY())*($M182&lt;=TODAY()+7)+ISNUMBER($N182)*($N182&gt;=TODAY())*($N182&lt;=TODAY()+7)+ISNUMBER($Q182)*($Q182&gt;=TODAY())*($Q182&lt;=TODAY()+7)+ISNUMBER($R182)*($R182&gt;=TODAY())*($R182&lt;=TODAY()+7)+ISNUMBER($S182)*($S182&gt;=TODAY())*($S182&lt;=TODAY()+7)+ISNUMBER($T182)*($T182&gt;=TODAY())*($T182&lt;=TODAY()+7)+ISNUMBER($U182)*($U182&gt;=TODAY())*($U182&lt;=TODAY()+7)+ISNUMBER($V182)*($V182&gt;=TODAY())*($V182&lt;=TODAY()+7)+ISNUMBER($O182)*($O182&gt;=TODAY())*($O182&lt;=TODAY()+7)+ISNUMBER($P182)*($P182&gt;=TODAY())*($P182&lt;=TODAY()+7)+ISNUMBER($X182)*($X182&gt;=TODAY())*($X182&lt;=TODAY()+7)+ISNUMBER($Y182)*($Y182&gt;=TODAY())*($Y182&lt;=TODAY()+7))</f>
        <v/>
      </c>
      <c r="J182" s="28">
        <f>IF(NOT(AND($A182&lt;&gt;"",OR($G182="",$G182="Active"))),"",IF($K182&lt;&gt;"",IF($L182=$K182,"Booking",IF($M182=$K182,"16/40",IF($N182=$K182,"25/40",IF($Q182=$K182,"28/40",IF($R182=$K182,"31/40",IF($S182=$K182,"34/40",IF($T182=$K182,"36/40",IF($U182=$K182,"38/40",IF($V182=$K182,"40/40",""))))))))),IF(IF(OR(ISNUMBER($V182),$V182="DNA"),$V182,IF(OR(ISNUMBER($U182),$U182="DNA"),$U182,IF(OR(ISNUMBER($T182),$T182="DNA"),$T182,IF(OR(ISNUMBER($S182),$S182="DNA"),$S182,IF(OR(ISNUMBER($R182),$R182="DNA"),$R182,IF(OR(ISNUMBER($Q182),$Q182="DNA"),$Q182,IF(OR(ISNUMBER($N182),$N182="DNA"),$N182,IF(OR(ISNUMBER($M182),$M182="DNA"),$M182,IF(OR(ISNUMBER($L182),$L182="DNA"),$L182,"")))))))))="DNA","Rebook DNA",IF(ISNUMBER(IF(OR(ISNUMBER($V182),$V182="DNA"),$V182,IF(OR(ISNUMBER($U182),$U182="DNA"),$U182,IF(OR(ISNUMBER($T182),$T182="DNA"),$T182,IF(OR(ISNUMBER($S182),$S182="DNA"),$S182,IF(OR(ISNUMBER($R182),$R182="DNA"),$R182,IF(OR(ISNUMBER($Q182),$Q182="DNA"),$Q182,IF(OR(ISNUMBER($N182),$N182="DNA"),$N182,IF(OR(ISNUMBER($M182),$M182="DNA"),$M182,IF(OR(ISNUMBER($L182),$L182="DNA"),$L182,"")))))))))),IF(ISNUMBER($V182),"Update status","Missed/not booked?"),""))))</f>
        <v/>
      </c>
      <c r="K182" s="29">
        <f>IF(NOT(AND($A182&lt;&gt;"",OR($G182="",$G182="Active"))),"",IF(MIN(IF(AND(ISNUMBER($L182),$L182&gt;=TODAY()),$L182,99999),IF(AND(ISNUMBER($M182),$M182&gt;=TODAY()),$M182,99999),IF(AND(ISNUMBER($N182),$N182&gt;=TODAY()),$N182,99999),IF(AND(ISNUMBER($Q182),$Q182&gt;=TODAY()),$Q182,99999),IF(AND(ISNUMBER($R182),$R182&gt;=TODAY()),$R182,99999),IF(AND(ISNUMBER($S182),$S182&gt;=TODAY()),$S182,99999),IF(AND(ISNUMBER($T182),$T182&gt;=TODAY()),$T182,99999),IF(AND(ISNUMBER($U182),$U182&gt;=TODAY()),$U182,99999),IF(AND(ISNUMBER($V182),$V182&gt;=TODAY()),$V182,99999))=99999,"",MIN(IF(AND(ISNUMBER($L182),$L182&gt;=TODAY()),$L182,99999),IF(AND(ISNUMBER($M182),$M182&gt;=TODAY()),$M182,99999),IF(AND(ISNUMBER($N182),$N182&gt;=TODAY()),$N182,99999),IF(AND(ISNUMBER($Q182),$Q182&gt;=TODAY()),$Q182,99999),IF(AND(ISNUMBER($R182),$R182&gt;=TODAY()),$R182,99999),IF(AND(ISNUMBER($S182),$S182&gt;=TODAY()),$S182,99999),IF(AND(ISNUMBER($T182),$T182&gt;=TODAY()),$T182,99999),IF(AND(ISNUMBER($U182),$U182&gt;=TODAY()),$U182,99999),IF(AND(ISNUMBER($V182),$V182&gt;=TODAY()),$V182,99999))))</f>
        <v/>
      </c>
      <c r="L182" s="27" t="n"/>
      <c r="M182" s="27" t="n"/>
      <c r="N182" s="27" t="n"/>
      <c r="O182" s="27" t="n"/>
      <c r="P182" s="27" t="n"/>
      <c r="Q182" s="27" t="n"/>
      <c r="R182" s="27" t="n"/>
      <c r="S182" s="27" t="n"/>
      <c r="T182" s="27" t="n"/>
      <c r="U182" s="27" t="n"/>
      <c r="V182" s="27" t="n"/>
      <c r="W182" s="27" t="n"/>
      <c r="X182" s="27" t="n"/>
      <c r="Y182" s="27" t="n"/>
      <c r="Z182" s="30" t="n"/>
      <c r="AA182" s="25" t="n"/>
      <c r="AB182" s="28">
        <f>IF(NOT(AND($A182&lt;&gt;"",OR($G182="",$G182="Active"))),"",IF(OR(IF(OR(ISNUMBER($V182),$V182="DNA"),$V182,IF(OR(ISNUMBER($U182),$U182="DNA"),$U182,IF(OR(ISNUMBER($T182),$T182="DNA"),$T182,IF(OR(ISNUMBER($S182),$S182="DNA"),$S182,IF(OR(ISNUMBER($R182),$R182="DNA"),$R182,IF(OR(ISNUMBER($Q182),$Q182="DNA"),$Q182,IF(OR(ISNUMBER($N182),$N182="DNA"),$N182,IF(OR(ISNUMBER($M182),$M182="DNA"),$M182,IF(OR(ISNUMBER($L182),$L182="DNA"),$L182,"")))))))))="DNA",AND(ISNUMBER(IF(OR(ISNUMBER($V182),$V182="DNA"),$V182,IF(OR(ISNUMBER($U182),$U182="DNA"),$U182,IF(OR(ISNUMBER($T182),$T182="DNA"),$T182,IF(OR(ISNUMBER($S182),$S182="DNA"),$S182,IF(OR(ISNUMBER($R182),$R182="DNA"),$R182,IF(OR(ISNUMBER($Q182),$Q182="DNA"),$Q182,IF(OR(ISNUMBER($N182),$N182="DNA"),$N182,IF(OR(ISNUMBER($M182),$M182="DNA"),$M182,IF(OR(ISNUMBER($L182),$L182="DNA"),$L182,"")))))))))),IF(OR(ISNUMBER($V182),$V182="DNA"),$V182,IF(OR(ISNUMBER($U182),$U182="DNA"),$U182,IF(OR(ISNUMBER($T182),$T182="DNA"),$T182,IF(OR(ISNUMBER($S182),$S182="DNA"),$S182,IF(OR(ISNUMBER($R182),$R182="DNA"),$R182,IF(OR(ISNUMBER($Q182),$Q182="DNA"),$Q182,IF(OR(ISNUMBER($N182),$N182="DNA"),$N182,IF(OR(ISNUMBER($M182),$M182="DNA"),$M182,IF(OR(ISNUMBER($L182),$L182="DNA"),$L182,"")))))))))&lt;TODAY())),1,0)+ISNUMBER($O182)*($O182&lt;TODAY())+ISNUMBER($P182)*($P182&lt;TODAY())+ISNUMBER($X182)*($X182&lt;TODAY())+ISNUMBER($Y182)*($Y182&lt;TODAY()))</f>
        <v/>
      </c>
    </row>
    <row r="183">
      <c r="A183" s="25" t="n"/>
      <c r="B183" s="26" t="n"/>
      <c r="C183" s="27" t="n"/>
      <c r="D183" s="25" t="n"/>
      <c r="E183" s="25" t="n"/>
      <c r="F183" s="27" t="n"/>
      <c r="G183" s="25" t="n"/>
      <c r="H183" s="28">
        <f>IF(OR(NOT(AND($A183&lt;&gt;"",OR($G183="",$G183="Active"))),$F183=""),"",INT((TODAY()-$F183+280)/7)&amp;"+"&amp;MOD(TODAY()-$F183+280,7))</f>
        <v/>
      </c>
      <c r="I183" s="28">
        <f>IF(NOT(AND($A183&lt;&gt;"",OR($G183="",$G183="Active"))),"",ISNUMBER($L183)*($L183&gt;=TODAY())*($L183&lt;=TODAY()+7)+ISNUMBER($M183)*($M183&gt;=TODAY())*($M183&lt;=TODAY()+7)+ISNUMBER($N183)*($N183&gt;=TODAY())*($N183&lt;=TODAY()+7)+ISNUMBER($Q183)*($Q183&gt;=TODAY())*($Q183&lt;=TODAY()+7)+ISNUMBER($R183)*($R183&gt;=TODAY())*($R183&lt;=TODAY()+7)+ISNUMBER($S183)*($S183&gt;=TODAY())*($S183&lt;=TODAY()+7)+ISNUMBER($T183)*($T183&gt;=TODAY())*($T183&lt;=TODAY()+7)+ISNUMBER($U183)*($U183&gt;=TODAY())*($U183&lt;=TODAY()+7)+ISNUMBER($V183)*($V183&gt;=TODAY())*($V183&lt;=TODAY()+7)+ISNUMBER($O183)*($O183&gt;=TODAY())*($O183&lt;=TODAY()+7)+ISNUMBER($P183)*($P183&gt;=TODAY())*($P183&lt;=TODAY()+7)+ISNUMBER($X183)*($X183&gt;=TODAY())*($X183&lt;=TODAY()+7)+ISNUMBER($Y183)*($Y183&gt;=TODAY())*($Y183&lt;=TODAY()+7))</f>
        <v/>
      </c>
      <c r="J183" s="28">
        <f>IF(NOT(AND($A183&lt;&gt;"",OR($G183="",$G183="Active"))),"",IF($K183&lt;&gt;"",IF($L183=$K183,"Booking",IF($M183=$K183,"16/40",IF($N183=$K183,"25/40",IF($Q183=$K183,"28/40",IF($R183=$K183,"31/40",IF($S183=$K183,"34/40",IF($T183=$K183,"36/40",IF($U183=$K183,"38/40",IF($V183=$K183,"40/40",""))))))))),IF(IF(OR(ISNUMBER($V183),$V183="DNA"),$V183,IF(OR(ISNUMBER($U183),$U183="DNA"),$U183,IF(OR(ISNUMBER($T183),$T183="DNA"),$T183,IF(OR(ISNUMBER($S183),$S183="DNA"),$S183,IF(OR(ISNUMBER($R183),$R183="DNA"),$R183,IF(OR(ISNUMBER($Q183),$Q183="DNA"),$Q183,IF(OR(ISNUMBER($N183),$N183="DNA"),$N183,IF(OR(ISNUMBER($M183),$M183="DNA"),$M183,IF(OR(ISNUMBER($L183),$L183="DNA"),$L183,"")))))))))="DNA","Rebook DNA",IF(ISNUMBER(IF(OR(ISNUMBER($V183),$V183="DNA"),$V183,IF(OR(ISNUMBER($U183),$U183="DNA"),$U183,IF(OR(ISNUMBER($T183),$T183="DNA"),$T183,IF(OR(ISNUMBER($S183),$S183="DNA"),$S183,IF(OR(ISNUMBER($R183),$R183="DNA"),$R183,IF(OR(ISNUMBER($Q183),$Q183="DNA"),$Q183,IF(OR(ISNUMBER($N183),$N183="DNA"),$N183,IF(OR(ISNUMBER($M183),$M183="DNA"),$M183,IF(OR(ISNUMBER($L183),$L183="DNA"),$L183,"")))))))))),IF(ISNUMBER($V183),"Update status","Missed/not booked?"),""))))</f>
        <v/>
      </c>
      <c r="K183" s="29">
        <f>IF(NOT(AND($A183&lt;&gt;"",OR($G183="",$G183="Active"))),"",IF(MIN(IF(AND(ISNUMBER($L183),$L183&gt;=TODAY()),$L183,99999),IF(AND(ISNUMBER($M183),$M183&gt;=TODAY()),$M183,99999),IF(AND(ISNUMBER($N183),$N183&gt;=TODAY()),$N183,99999),IF(AND(ISNUMBER($Q183),$Q183&gt;=TODAY()),$Q183,99999),IF(AND(ISNUMBER($R183),$R183&gt;=TODAY()),$R183,99999),IF(AND(ISNUMBER($S183),$S183&gt;=TODAY()),$S183,99999),IF(AND(ISNUMBER($T183),$T183&gt;=TODAY()),$T183,99999),IF(AND(ISNUMBER($U183),$U183&gt;=TODAY()),$U183,99999),IF(AND(ISNUMBER($V183),$V183&gt;=TODAY()),$V183,99999))=99999,"",MIN(IF(AND(ISNUMBER($L183),$L183&gt;=TODAY()),$L183,99999),IF(AND(ISNUMBER($M183),$M183&gt;=TODAY()),$M183,99999),IF(AND(ISNUMBER($N183),$N183&gt;=TODAY()),$N183,99999),IF(AND(ISNUMBER($Q183),$Q183&gt;=TODAY()),$Q183,99999),IF(AND(ISNUMBER($R183),$R183&gt;=TODAY()),$R183,99999),IF(AND(ISNUMBER($S183),$S183&gt;=TODAY()),$S183,99999),IF(AND(ISNUMBER($T183),$T183&gt;=TODAY()),$T183,99999),IF(AND(ISNUMBER($U183),$U183&gt;=TODAY()),$U183,99999),IF(AND(ISNUMBER($V183),$V183&gt;=TODAY()),$V183,99999))))</f>
        <v/>
      </c>
      <c r="L183" s="27" t="n"/>
      <c r="M183" s="27" t="n"/>
      <c r="N183" s="27" t="n"/>
      <c r="O183" s="27" t="n"/>
      <c r="P183" s="27" t="n"/>
      <c r="Q183" s="27" t="n"/>
      <c r="R183" s="27" t="n"/>
      <c r="S183" s="27" t="n"/>
      <c r="T183" s="27" t="n"/>
      <c r="U183" s="27" t="n"/>
      <c r="V183" s="27" t="n"/>
      <c r="W183" s="27" t="n"/>
      <c r="X183" s="27" t="n"/>
      <c r="Y183" s="27" t="n"/>
      <c r="Z183" s="30" t="n"/>
      <c r="AA183" s="25" t="n"/>
      <c r="AB183" s="28">
        <f>IF(NOT(AND($A183&lt;&gt;"",OR($G183="",$G183="Active"))),"",IF(OR(IF(OR(ISNUMBER($V183),$V183="DNA"),$V183,IF(OR(ISNUMBER($U183),$U183="DNA"),$U183,IF(OR(ISNUMBER($T183),$T183="DNA"),$T183,IF(OR(ISNUMBER($S183),$S183="DNA"),$S183,IF(OR(ISNUMBER($R183),$R183="DNA"),$R183,IF(OR(ISNUMBER($Q183),$Q183="DNA"),$Q183,IF(OR(ISNUMBER($N183),$N183="DNA"),$N183,IF(OR(ISNUMBER($M183),$M183="DNA"),$M183,IF(OR(ISNUMBER($L183),$L183="DNA"),$L183,"")))))))))="DNA",AND(ISNUMBER(IF(OR(ISNUMBER($V183),$V183="DNA"),$V183,IF(OR(ISNUMBER($U183),$U183="DNA"),$U183,IF(OR(ISNUMBER($T183),$T183="DNA"),$T183,IF(OR(ISNUMBER($S183),$S183="DNA"),$S183,IF(OR(ISNUMBER($R183),$R183="DNA"),$R183,IF(OR(ISNUMBER($Q183),$Q183="DNA"),$Q183,IF(OR(ISNUMBER($N183),$N183="DNA"),$N183,IF(OR(ISNUMBER($M183),$M183="DNA"),$M183,IF(OR(ISNUMBER($L183),$L183="DNA"),$L183,"")))))))))),IF(OR(ISNUMBER($V183),$V183="DNA"),$V183,IF(OR(ISNUMBER($U183),$U183="DNA"),$U183,IF(OR(ISNUMBER($T183),$T183="DNA"),$T183,IF(OR(ISNUMBER($S183),$S183="DNA"),$S183,IF(OR(ISNUMBER($R183),$R183="DNA"),$R183,IF(OR(ISNUMBER($Q183),$Q183="DNA"),$Q183,IF(OR(ISNUMBER($N183),$N183="DNA"),$N183,IF(OR(ISNUMBER($M183),$M183="DNA"),$M183,IF(OR(ISNUMBER($L183),$L183="DNA"),$L183,"")))))))))&lt;TODAY())),1,0)+ISNUMBER($O183)*($O183&lt;TODAY())+ISNUMBER($P183)*($P183&lt;TODAY())+ISNUMBER($X183)*($X183&lt;TODAY())+ISNUMBER($Y183)*($Y183&lt;TODAY()))</f>
        <v/>
      </c>
    </row>
    <row r="184">
      <c r="A184" s="25" t="n"/>
      <c r="B184" s="26" t="n"/>
      <c r="C184" s="27" t="n"/>
      <c r="D184" s="25" t="n"/>
      <c r="E184" s="25" t="n"/>
      <c r="F184" s="27" t="n"/>
      <c r="G184" s="25" t="n"/>
      <c r="H184" s="28">
        <f>IF(OR(NOT(AND($A184&lt;&gt;"",OR($G184="",$G184="Active"))),$F184=""),"",INT((TODAY()-$F184+280)/7)&amp;"+"&amp;MOD(TODAY()-$F184+280,7))</f>
        <v/>
      </c>
      <c r="I184" s="28">
        <f>IF(NOT(AND($A184&lt;&gt;"",OR($G184="",$G184="Active"))),"",ISNUMBER($L184)*($L184&gt;=TODAY())*($L184&lt;=TODAY()+7)+ISNUMBER($M184)*($M184&gt;=TODAY())*($M184&lt;=TODAY()+7)+ISNUMBER($N184)*($N184&gt;=TODAY())*($N184&lt;=TODAY()+7)+ISNUMBER($Q184)*($Q184&gt;=TODAY())*($Q184&lt;=TODAY()+7)+ISNUMBER($R184)*($R184&gt;=TODAY())*($R184&lt;=TODAY()+7)+ISNUMBER($S184)*($S184&gt;=TODAY())*($S184&lt;=TODAY()+7)+ISNUMBER($T184)*($T184&gt;=TODAY())*($T184&lt;=TODAY()+7)+ISNUMBER($U184)*($U184&gt;=TODAY())*($U184&lt;=TODAY()+7)+ISNUMBER($V184)*($V184&gt;=TODAY())*($V184&lt;=TODAY()+7)+ISNUMBER($O184)*($O184&gt;=TODAY())*($O184&lt;=TODAY()+7)+ISNUMBER($P184)*($P184&gt;=TODAY())*($P184&lt;=TODAY()+7)+ISNUMBER($X184)*($X184&gt;=TODAY())*($X184&lt;=TODAY()+7)+ISNUMBER($Y184)*($Y184&gt;=TODAY())*($Y184&lt;=TODAY()+7))</f>
        <v/>
      </c>
      <c r="J184" s="28">
        <f>IF(NOT(AND($A184&lt;&gt;"",OR($G184="",$G184="Active"))),"",IF($K184&lt;&gt;"",IF($L184=$K184,"Booking",IF($M184=$K184,"16/40",IF($N184=$K184,"25/40",IF($Q184=$K184,"28/40",IF($R184=$K184,"31/40",IF($S184=$K184,"34/40",IF($T184=$K184,"36/40",IF($U184=$K184,"38/40",IF($V184=$K184,"40/40",""))))))))),IF(IF(OR(ISNUMBER($V184),$V184="DNA"),$V184,IF(OR(ISNUMBER($U184),$U184="DNA"),$U184,IF(OR(ISNUMBER($T184),$T184="DNA"),$T184,IF(OR(ISNUMBER($S184),$S184="DNA"),$S184,IF(OR(ISNUMBER($R184),$R184="DNA"),$R184,IF(OR(ISNUMBER($Q184),$Q184="DNA"),$Q184,IF(OR(ISNUMBER($N184),$N184="DNA"),$N184,IF(OR(ISNUMBER($M184),$M184="DNA"),$M184,IF(OR(ISNUMBER($L184),$L184="DNA"),$L184,"")))))))))="DNA","Rebook DNA",IF(ISNUMBER(IF(OR(ISNUMBER($V184),$V184="DNA"),$V184,IF(OR(ISNUMBER($U184),$U184="DNA"),$U184,IF(OR(ISNUMBER($T184),$T184="DNA"),$T184,IF(OR(ISNUMBER($S184),$S184="DNA"),$S184,IF(OR(ISNUMBER($R184),$R184="DNA"),$R184,IF(OR(ISNUMBER($Q184),$Q184="DNA"),$Q184,IF(OR(ISNUMBER($N184),$N184="DNA"),$N184,IF(OR(ISNUMBER($M184),$M184="DNA"),$M184,IF(OR(ISNUMBER($L184),$L184="DNA"),$L184,"")))))))))),IF(ISNUMBER($V184),"Update status","Missed/not booked?"),""))))</f>
        <v/>
      </c>
      <c r="K184" s="29">
        <f>IF(NOT(AND($A184&lt;&gt;"",OR($G184="",$G184="Active"))),"",IF(MIN(IF(AND(ISNUMBER($L184),$L184&gt;=TODAY()),$L184,99999),IF(AND(ISNUMBER($M184),$M184&gt;=TODAY()),$M184,99999),IF(AND(ISNUMBER($N184),$N184&gt;=TODAY()),$N184,99999),IF(AND(ISNUMBER($Q184),$Q184&gt;=TODAY()),$Q184,99999),IF(AND(ISNUMBER($R184),$R184&gt;=TODAY()),$R184,99999),IF(AND(ISNUMBER($S184),$S184&gt;=TODAY()),$S184,99999),IF(AND(ISNUMBER($T184),$T184&gt;=TODAY()),$T184,99999),IF(AND(ISNUMBER($U184),$U184&gt;=TODAY()),$U184,99999),IF(AND(ISNUMBER($V184),$V184&gt;=TODAY()),$V184,99999))=99999,"",MIN(IF(AND(ISNUMBER($L184),$L184&gt;=TODAY()),$L184,99999),IF(AND(ISNUMBER($M184),$M184&gt;=TODAY()),$M184,99999),IF(AND(ISNUMBER($N184),$N184&gt;=TODAY()),$N184,99999),IF(AND(ISNUMBER($Q184),$Q184&gt;=TODAY()),$Q184,99999),IF(AND(ISNUMBER($R184),$R184&gt;=TODAY()),$R184,99999),IF(AND(ISNUMBER($S184),$S184&gt;=TODAY()),$S184,99999),IF(AND(ISNUMBER($T184),$T184&gt;=TODAY()),$T184,99999),IF(AND(ISNUMBER($U184),$U184&gt;=TODAY()),$U184,99999),IF(AND(ISNUMBER($V184),$V184&gt;=TODAY()),$V184,99999))))</f>
        <v/>
      </c>
      <c r="L184" s="27" t="n"/>
      <c r="M184" s="27" t="n"/>
      <c r="N184" s="27" t="n"/>
      <c r="O184" s="27" t="n"/>
      <c r="P184" s="27" t="n"/>
      <c r="Q184" s="27" t="n"/>
      <c r="R184" s="27" t="n"/>
      <c r="S184" s="27" t="n"/>
      <c r="T184" s="27" t="n"/>
      <c r="U184" s="27" t="n"/>
      <c r="V184" s="27" t="n"/>
      <c r="W184" s="27" t="n"/>
      <c r="X184" s="27" t="n"/>
      <c r="Y184" s="27" t="n"/>
      <c r="Z184" s="30" t="n"/>
      <c r="AA184" s="25" t="n"/>
      <c r="AB184" s="28">
        <f>IF(NOT(AND($A184&lt;&gt;"",OR($G184="",$G184="Active"))),"",IF(OR(IF(OR(ISNUMBER($V184),$V184="DNA"),$V184,IF(OR(ISNUMBER($U184),$U184="DNA"),$U184,IF(OR(ISNUMBER($T184),$T184="DNA"),$T184,IF(OR(ISNUMBER($S184),$S184="DNA"),$S184,IF(OR(ISNUMBER($R184),$R184="DNA"),$R184,IF(OR(ISNUMBER($Q184),$Q184="DNA"),$Q184,IF(OR(ISNUMBER($N184),$N184="DNA"),$N184,IF(OR(ISNUMBER($M184),$M184="DNA"),$M184,IF(OR(ISNUMBER($L184),$L184="DNA"),$L184,"")))))))))="DNA",AND(ISNUMBER(IF(OR(ISNUMBER($V184),$V184="DNA"),$V184,IF(OR(ISNUMBER($U184),$U184="DNA"),$U184,IF(OR(ISNUMBER($T184),$T184="DNA"),$T184,IF(OR(ISNUMBER($S184),$S184="DNA"),$S184,IF(OR(ISNUMBER($R184),$R184="DNA"),$R184,IF(OR(ISNUMBER($Q184),$Q184="DNA"),$Q184,IF(OR(ISNUMBER($N184),$N184="DNA"),$N184,IF(OR(ISNUMBER($M184),$M184="DNA"),$M184,IF(OR(ISNUMBER($L184),$L184="DNA"),$L184,"")))))))))),IF(OR(ISNUMBER($V184),$V184="DNA"),$V184,IF(OR(ISNUMBER($U184),$U184="DNA"),$U184,IF(OR(ISNUMBER($T184),$T184="DNA"),$T184,IF(OR(ISNUMBER($S184),$S184="DNA"),$S184,IF(OR(ISNUMBER($R184),$R184="DNA"),$R184,IF(OR(ISNUMBER($Q184),$Q184="DNA"),$Q184,IF(OR(ISNUMBER($N184),$N184="DNA"),$N184,IF(OR(ISNUMBER($M184),$M184="DNA"),$M184,IF(OR(ISNUMBER($L184),$L184="DNA"),$L184,"")))))))))&lt;TODAY())),1,0)+ISNUMBER($O184)*($O184&lt;TODAY())+ISNUMBER($P184)*($P184&lt;TODAY())+ISNUMBER($X184)*($X184&lt;TODAY())+ISNUMBER($Y184)*($Y184&lt;TODAY()))</f>
        <v/>
      </c>
    </row>
    <row r="185">
      <c r="A185" s="25" t="n"/>
      <c r="B185" s="26" t="n"/>
      <c r="C185" s="27" t="n"/>
      <c r="D185" s="25" t="n"/>
      <c r="E185" s="25" t="n"/>
      <c r="F185" s="27" t="n"/>
      <c r="G185" s="25" t="n"/>
      <c r="H185" s="28">
        <f>IF(OR(NOT(AND($A185&lt;&gt;"",OR($G185="",$G185="Active"))),$F185=""),"",INT((TODAY()-$F185+280)/7)&amp;"+"&amp;MOD(TODAY()-$F185+280,7))</f>
        <v/>
      </c>
      <c r="I185" s="28">
        <f>IF(NOT(AND($A185&lt;&gt;"",OR($G185="",$G185="Active"))),"",ISNUMBER($L185)*($L185&gt;=TODAY())*($L185&lt;=TODAY()+7)+ISNUMBER($M185)*($M185&gt;=TODAY())*($M185&lt;=TODAY()+7)+ISNUMBER($N185)*($N185&gt;=TODAY())*($N185&lt;=TODAY()+7)+ISNUMBER($Q185)*($Q185&gt;=TODAY())*($Q185&lt;=TODAY()+7)+ISNUMBER($R185)*($R185&gt;=TODAY())*($R185&lt;=TODAY()+7)+ISNUMBER($S185)*($S185&gt;=TODAY())*($S185&lt;=TODAY()+7)+ISNUMBER($T185)*($T185&gt;=TODAY())*($T185&lt;=TODAY()+7)+ISNUMBER($U185)*($U185&gt;=TODAY())*($U185&lt;=TODAY()+7)+ISNUMBER($V185)*($V185&gt;=TODAY())*($V185&lt;=TODAY()+7)+ISNUMBER($O185)*($O185&gt;=TODAY())*($O185&lt;=TODAY()+7)+ISNUMBER($P185)*($P185&gt;=TODAY())*($P185&lt;=TODAY()+7)+ISNUMBER($X185)*($X185&gt;=TODAY())*($X185&lt;=TODAY()+7)+ISNUMBER($Y185)*($Y185&gt;=TODAY())*($Y185&lt;=TODAY()+7))</f>
        <v/>
      </c>
      <c r="J185" s="28">
        <f>IF(NOT(AND($A185&lt;&gt;"",OR($G185="",$G185="Active"))),"",IF($K185&lt;&gt;"",IF($L185=$K185,"Booking",IF($M185=$K185,"16/40",IF($N185=$K185,"25/40",IF($Q185=$K185,"28/40",IF($R185=$K185,"31/40",IF($S185=$K185,"34/40",IF($T185=$K185,"36/40",IF($U185=$K185,"38/40",IF($V185=$K185,"40/40",""))))))))),IF(IF(OR(ISNUMBER($V185),$V185="DNA"),$V185,IF(OR(ISNUMBER($U185),$U185="DNA"),$U185,IF(OR(ISNUMBER($T185),$T185="DNA"),$T185,IF(OR(ISNUMBER($S185),$S185="DNA"),$S185,IF(OR(ISNUMBER($R185),$R185="DNA"),$R185,IF(OR(ISNUMBER($Q185),$Q185="DNA"),$Q185,IF(OR(ISNUMBER($N185),$N185="DNA"),$N185,IF(OR(ISNUMBER($M185),$M185="DNA"),$M185,IF(OR(ISNUMBER($L185),$L185="DNA"),$L185,"")))))))))="DNA","Rebook DNA",IF(ISNUMBER(IF(OR(ISNUMBER($V185),$V185="DNA"),$V185,IF(OR(ISNUMBER($U185),$U185="DNA"),$U185,IF(OR(ISNUMBER($T185),$T185="DNA"),$T185,IF(OR(ISNUMBER($S185),$S185="DNA"),$S185,IF(OR(ISNUMBER($R185),$R185="DNA"),$R185,IF(OR(ISNUMBER($Q185),$Q185="DNA"),$Q185,IF(OR(ISNUMBER($N185),$N185="DNA"),$N185,IF(OR(ISNUMBER($M185),$M185="DNA"),$M185,IF(OR(ISNUMBER($L185),$L185="DNA"),$L185,"")))))))))),IF(ISNUMBER($V185),"Update status","Missed/not booked?"),""))))</f>
        <v/>
      </c>
      <c r="K185" s="29">
        <f>IF(NOT(AND($A185&lt;&gt;"",OR($G185="",$G185="Active"))),"",IF(MIN(IF(AND(ISNUMBER($L185),$L185&gt;=TODAY()),$L185,99999),IF(AND(ISNUMBER($M185),$M185&gt;=TODAY()),$M185,99999),IF(AND(ISNUMBER($N185),$N185&gt;=TODAY()),$N185,99999),IF(AND(ISNUMBER($Q185),$Q185&gt;=TODAY()),$Q185,99999),IF(AND(ISNUMBER($R185),$R185&gt;=TODAY()),$R185,99999),IF(AND(ISNUMBER($S185),$S185&gt;=TODAY()),$S185,99999),IF(AND(ISNUMBER($T185),$T185&gt;=TODAY()),$T185,99999),IF(AND(ISNUMBER($U185),$U185&gt;=TODAY()),$U185,99999),IF(AND(ISNUMBER($V185),$V185&gt;=TODAY()),$V185,99999))=99999,"",MIN(IF(AND(ISNUMBER($L185),$L185&gt;=TODAY()),$L185,99999),IF(AND(ISNUMBER($M185),$M185&gt;=TODAY()),$M185,99999),IF(AND(ISNUMBER($N185),$N185&gt;=TODAY()),$N185,99999),IF(AND(ISNUMBER($Q185),$Q185&gt;=TODAY()),$Q185,99999),IF(AND(ISNUMBER($R185),$R185&gt;=TODAY()),$R185,99999),IF(AND(ISNUMBER($S185),$S185&gt;=TODAY()),$S185,99999),IF(AND(ISNUMBER($T185),$T185&gt;=TODAY()),$T185,99999),IF(AND(ISNUMBER($U185),$U185&gt;=TODAY()),$U185,99999),IF(AND(ISNUMBER($V185),$V185&gt;=TODAY()),$V185,99999))))</f>
        <v/>
      </c>
      <c r="L185" s="27" t="n"/>
      <c r="M185" s="27" t="n"/>
      <c r="N185" s="27" t="n"/>
      <c r="O185" s="27" t="n"/>
      <c r="P185" s="27" t="n"/>
      <c r="Q185" s="27" t="n"/>
      <c r="R185" s="27" t="n"/>
      <c r="S185" s="27" t="n"/>
      <c r="T185" s="27" t="n"/>
      <c r="U185" s="27" t="n"/>
      <c r="V185" s="27" t="n"/>
      <c r="W185" s="27" t="n"/>
      <c r="X185" s="27" t="n"/>
      <c r="Y185" s="27" t="n"/>
      <c r="Z185" s="30" t="n"/>
      <c r="AA185" s="25" t="n"/>
      <c r="AB185" s="28">
        <f>IF(NOT(AND($A185&lt;&gt;"",OR($G185="",$G185="Active"))),"",IF(OR(IF(OR(ISNUMBER($V185),$V185="DNA"),$V185,IF(OR(ISNUMBER($U185),$U185="DNA"),$U185,IF(OR(ISNUMBER($T185),$T185="DNA"),$T185,IF(OR(ISNUMBER($S185),$S185="DNA"),$S185,IF(OR(ISNUMBER($R185),$R185="DNA"),$R185,IF(OR(ISNUMBER($Q185),$Q185="DNA"),$Q185,IF(OR(ISNUMBER($N185),$N185="DNA"),$N185,IF(OR(ISNUMBER($M185),$M185="DNA"),$M185,IF(OR(ISNUMBER($L185),$L185="DNA"),$L185,"")))))))))="DNA",AND(ISNUMBER(IF(OR(ISNUMBER($V185),$V185="DNA"),$V185,IF(OR(ISNUMBER($U185),$U185="DNA"),$U185,IF(OR(ISNUMBER($T185),$T185="DNA"),$T185,IF(OR(ISNUMBER($S185),$S185="DNA"),$S185,IF(OR(ISNUMBER($R185),$R185="DNA"),$R185,IF(OR(ISNUMBER($Q185),$Q185="DNA"),$Q185,IF(OR(ISNUMBER($N185),$N185="DNA"),$N185,IF(OR(ISNUMBER($M185),$M185="DNA"),$M185,IF(OR(ISNUMBER($L185),$L185="DNA"),$L185,"")))))))))),IF(OR(ISNUMBER($V185),$V185="DNA"),$V185,IF(OR(ISNUMBER($U185),$U185="DNA"),$U185,IF(OR(ISNUMBER($T185),$T185="DNA"),$T185,IF(OR(ISNUMBER($S185),$S185="DNA"),$S185,IF(OR(ISNUMBER($R185),$R185="DNA"),$R185,IF(OR(ISNUMBER($Q185),$Q185="DNA"),$Q185,IF(OR(ISNUMBER($N185),$N185="DNA"),$N185,IF(OR(ISNUMBER($M185),$M185="DNA"),$M185,IF(OR(ISNUMBER($L185),$L185="DNA"),$L185,"")))))))))&lt;TODAY())),1,0)+ISNUMBER($O185)*($O185&lt;TODAY())+ISNUMBER($P185)*($P185&lt;TODAY())+ISNUMBER($X185)*($X185&lt;TODAY())+ISNUMBER($Y185)*($Y185&lt;TODAY()))</f>
        <v/>
      </c>
    </row>
    <row r="186">
      <c r="A186" s="25" t="n"/>
      <c r="B186" s="26" t="n"/>
      <c r="C186" s="27" t="n"/>
      <c r="D186" s="25" t="n"/>
      <c r="E186" s="25" t="n"/>
      <c r="F186" s="27" t="n"/>
      <c r="G186" s="25" t="n"/>
      <c r="H186" s="28">
        <f>IF(OR(NOT(AND($A186&lt;&gt;"",OR($G186="",$G186="Active"))),$F186=""),"",INT((TODAY()-$F186+280)/7)&amp;"+"&amp;MOD(TODAY()-$F186+280,7))</f>
        <v/>
      </c>
      <c r="I186" s="28">
        <f>IF(NOT(AND($A186&lt;&gt;"",OR($G186="",$G186="Active"))),"",ISNUMBER($L186)*($L186&gt;=TODAY())*($L186&lt;=TODAY()+7)+ISNUMBER($M186)*($M186&gt;=TODAY())*($M186&lt;=TODAY()+7)+ISNUMBER($N186)*($N186&gt;=TODAY())*($N186&lt;=TODAY()+7)+ISNUMBER($Q186)*($Q186&gt;=TODAY())*($Q186&lt;=TODAY()+7)+ISNUMBER($R186)*($R186&gt;=TODAY())*($R186&lt;=TODAY()+7)+ISNUMBER($S186)*($S186&gt;=TODAY())*($S186&lt;=TODAY()+7)+ISNUMBER($T186)*($T186&gt;=TODAY())*($T186&lt;=TODAY()+7)+ISNUMBER($U186)*($U186&gt;=TODAY())*($U186&lt;=TODAY()+7)+ISNUMBER($V186)*($V186&gt;=TODAY())*($V186&lt;=TODAY()+7)+ISNUMBER($O186)*($O186&gt;=TODAY())*($O186&lt;=TODAY()+7)+ISNUMBER($P186)*($P186&gt;=TODAY())*($P186&lt;=TODAY()+7)+ISNUMBER($X186)*($X186&gt;=TODAY())*($X186&lt;=TODAY()+7)+ISNUMBER($Y186)*($Y186&gt;=TODAY())*($Y186&lt;=TODAY()+7))</f>
        <v/>
      </c>
      <c r="J186" s="28">
        <f>IF(NOT(AND($A186&lt;&gt;"",OR($G186="",$G186="Active"))),"",IF($K186&lt;&gt;"",IF($L186=$K186,"Booking",IF($M186=$K186,"16/40",IF($N186=$K186,"25/40",IF($Q186=$K186,"28/40",IF($R186=$K186,"31/40",IF($S186=$K186,"34/40",IF($T186=$K186,"36/40",IF($U186=$K186,"38/40",IF($V186=$K186,"40/40",""))))))))),IF(IF(OR(ISNUMBER($V186),$V186="DNA"),$V186,IF(OR(ISNUMBER($U186),$U186="DNA"),$U186,IF(OR(ISNUMBER($T186),$T186="DNA"),$T186,IF(OR(ISNUMBER($S186),$S186="DNA"),$S186,IF(OR(ISNUMBER($R186),$R186="DNA"),$R186,IF(OR(ISNUMBER($Q186),$Q186="DNA"),$Q186,IF(OR(ISNUMBER($N186),$N186="DNA"),$N186,IF(OR(ISNUMBER($M186),$M186="DNA"),$M186,IF(OR(ISNUMBER($L186),$L186="DNA"),$L186,"")))))))))="DNA","Rebook DNA",IF(ISNUMBER(IF(OR(ISNUMBER($V186),$V186="DNA"),$V186,IF(OR(ISNUMBER($U186),$U186="DNA"),$U186,IF(OR(ISNUMBER($T186),$T186="DNA"),$T186,IF(OR(ISNUMBER($S186),$S186="DNA"),$S186,IF(OR(ISNUMBER($R186),$R186="DNA"),$R186,IF(OR(ISNUMBER($Q186),$Q186="DNA"),$Q186,IF(OR(ISNUMBER($N186),$N186="DNA"),$N186,IF(OR(ISNUMBER($M186),$M186="DNA"),$M186,IF(OR(ISNUMBER($L186),$L186="DNA"),$L186,"")))))))))),IF(ISNUMBER($V186),"Update status","Missed/not booked?"),""))))</f>
        <v/>
      </c>
      <c r="K186" s="29">
        <f>IF(NOT(AND($A186&lt;&gt;"",OR($G186="",$G186="Active"))),"",IF(MIN(IF(AND(ISNUMBER($L186),$L186&gt;=TODAY()),$L186,99999),IF(AND(ISNUMBER($M186),$M186&gt;=TODAY()),$M186,99999),IF(AND(ISNUMBER($N186),$N186&gt;=TODAY()),$N186,99999),IF(AND(ISNUMBER($Q186),$Q186&gt;=TODAY()),$Q186,99999),IF(AND(ISNUMBER($R186),$R186&gt;=TODAY()),$R186,99999),IF(AND(ISNUMBER($S186),$S186&gt;=TODAY()),$S186,99999),IF(AND(ISNUMBER($T186),$T186&gt;=TODAY()),$T186,99999),IF(AND(ISNUMBER($U186),$U186&gt;=TODAY()),$U186,99999),IF(AND(ISNUMBER($V186),$V186&gt;=TODAY()),$V186,99999))=99999,"",MIN(IF(AND(ISNUMBER($L186),$L186&gt;=TODAY()),$L186,99999),IF(AND(ISNUMBER($M186),$M186&gt;=TODAY()),$M186,99999),IF(AND(ISNUMBER($N186),$N186&gt;=TODAY()),$N186,99999),IF(AND(ISNUMBER($Q186),$Q186&gt;=TODAY()),$Q186,99999),IF(AND(ISNUMBER($R186),$R186&gt;=TODAY()),$R186,99999),IF(AND(ISNUMBER($S186),$S186&gt;=TODAY()),$S186,99999),IF(AND(ISNUMBER($T186),$T186&gt;=TODAY()),$T186,99999),IF(AND(ISNUMBER($U186),$U186&gt;=TODAY()),$U186,99999),IF(AND(ISNUMBER($V186),$V186&gt;=TODAY()),$V186,99999))))</f>
        <v/>
      </c>
      <c r="L186" s="27" t="n"/>
      <c r="M186" s="27" t="n"/>
      <c r="N186" s="27" t="n"/>
      <c r="O186" s="27" t="n"/>
      <c r="P186" s="27" t="n"/>
      <c r="Q186" s="27" t="n"/>
      <c r="R186" s="27" t="n"/>
      <c r="S186" s="27" t="n"/>
      <c r="T186" s="27" t="n"/>
      <c r="U186" s="27" t="n"/>
      <c r="V186" s="27" t="n"/>
      <c r="W186" s="27" t="n"/>
      <c r="X186" s="27" t="n"/>
      <c r="Y186" s="27" t="n"/>
      <c r="Z186" s="30" t="n"/>
      <c r="AA186" s="25" t="n"/>
      <c r="AB186" s="28">
        <f>IF(NOT(AND($A186&lt;&gt;"",OR($G186="",$G186="Active"))),"",IF(OR(IF(OR(ISNUMBER($V186),$V186="DNA"),$V186,IF(OR(ISNUMBER($U186),$U186="DNA"),$U186,IF(OR(ISNUMBER($T186),$T186="DNA"),$T186,IF(OR(ISNUMBER($S186),$S186="DNA"),$S186,IF(OR(ISNUMBER($R186),$R186="DNA"),$R186,IF(OR(ISNUMBER($Q186),$Q186="DNA"),$Q186,IF(OR(ISNUMBER($N186),$N186="DNA"),$N186,IF(OR(ISNUMBER($M186),$M186="DNA"),$M186,IF(OR(ISNUMBER($L186),$L186="DNA"),$L186,"")))))))))="DNA",AND(ISNUMBER(IF(OR(ISNUMBER($V186),$V186="DNA"),$V186,IF(OR(ISNUMBER($U186),$U186="DNA"),$U186,IF(OR(ISNUMBER($T186),$T186="DNA"),$T186,IF(OR(ISNUMBER($S186),$S186="DNA"),$S186,IF(OR(ISNUMBER($R186),$R186="DNA"),$R186,IF(OR(ISNUMBER($Q186),$Q186="DNA"),$Q186,IF(OR(ISNUMBER($N186),$N186="DNA"),$N186,IF(OR(ISNUMBER($M186),$M186="DNA"),$M186,IF(OR(ISNUMBER($L186),$L186="DNA"),$L186,"")))))))))),IF(OR(ISNUMBER($V186),$V186="DNA"),$V186,IF(OR(ISNUMBER($U186),$U186="DNA"),$U186,IF(OR(ISNUMBER($T186),$T186="DNA"),$T186,IF(OR(ISNUMBER($S186),$S186="DNA"),$S186,IF(OR(ISNUMBER($R186),$R186="DNA"),$R186,IF(OR(ISNUMBER($Q186),$Q186="DNA"),$Q186,IF(OR(ISNUMBER($N186),$N186="DNA"),$N186,IF(OR(ISNUMBER($M186),$M186="DNA"),$M186,IF(OR(ISNUMBER($L186),$L186="DNA"),$L186,"")))))))))&lt;TODAY())),1,0)+ISNUMBER($O186)*($O186&lt;TODAY())+ISNUMBER($P186)*($P186&lt;TODAY())+ISNUMBER($X186)*($X186&lt;TODAY())+ISNUMBER($Y186)*($Y186&lt;TODAY()))</f>
        <v/>
      </c>
    </row>
    <row r="187">
      <c r="A187" s="25" t="n"/>
      <c r="B187" s="26" t="n"/>
      <c r="C187" s="27" t="n"/>
      <c r="D187" s="25" t="n"/>
      <c r="E187" s="25" t="n"/>
      <c r="F187" s="27" t="n"/>
      <c r="G187" s="25" t="n"/>
      <c r="H187" s="28">
        <f>IF(OR(NOT(AND($A187&lt;&gt;"",OR($G187="",$G187="Active"))),$F187=""),"",INT((TODAY()-$F187+280)/7)&amp;"+"&amp;MOD(TODAY()-$F187+280,7))</f>
        <v/>
      </c>
      <c r="I187" s="28">
        <f>IF(NOT(AND($A187&lt;&gt;"",OR($G187="",$G187="Active"))),"",ISNUMBER($L187)*($L187&gt;=TODAY())*($L187&lt;=TODAY()+7)+ISNUMBER($M187)*($M187&gt;=TODAY())*($M187&lt;=TODAY()+7)+ISNUMBER($N187)*($N187&gt;=TODAY())*($N187&lt;=TODAY()+7)+ISNUMBER($Q187)*($Q187&gt;=TODAY())*($Q187&lt;=TODAY()+7)+ISNUMBER($R187)*($R187&gt;=TODAY())*($R187&lt;=TODAY()+7)+ISNUMBER($S187)*($S187&gt;=TODAY())*($S187&lt;=TODAY()+7)+ISNUMBER($T187)*($T187&gt;=TODAY())*($T187&lt;=TODAY()+7)+ISNUMBER($U187)*($U187&gt;=TODAY())*($U187&lt;=TODAY()+7)+ISNUMBER($V187)*($V187&gt;=TODAY())*($V187&lt;=TODAY()+7)+ISNUMBER($O187)*($O187&gt;=TODAY())*($O187&lt;=TODAY()+7)+ISNUMBER($P187)*($P187&gt;=TODAY())*($P187&lt;=TODAY()+7)+ISNUMBER($X187)*($X187&gt;=TODAY())*($X187&lt;=TODAY()+7)+ISNUMBER($Y187)*($Y187&gt;=TODAY())*($Y187&lt;=TODAY()+7))</f>
        <v/>
      </c>
      <c r="J187" s="28">
        <f>IF(NOT(AND($A187&lt;&gt;"",OR($G187="",$G187="Active"))),"",IF($K187&lt;&gt;"",IF($L187=$K187,"Booking",IF($M187=$K187,"16/40",IF($N187=$K187,"25/40",IF($Q187=$K187,"28/40",IF($R187=$K187,"31/40",IF($S187=$K187,"34/40",IF($T187=$K187,"36/40",IF($U187=$K187,"38/40",IF($V187=$K187,"40/40",""))))))))),IF(IF(OR(ISNUMBER($V187),$V187="DNA"),$V187,IF(OR(ISNUMBER($U187),$U187="DNA"),$U187,IF(OR(ISNUMBER($T187),$T187="DNA"),$T187,IF(OR(ISNUMBER($S187),$S187="DNA"),$S187,IF(OR(ISNUMBER($R187),$R187="DNA"),$R187,IF(OR(ISNUMBER($Q187),$Q187="DNA"),$Q187,IF(OR(ISNUMBER($N187),$N187="DNA"),$N187,IF(OR(ISNUMBER($M187),$M187="DNA"),$M187,IF(OR(ISNUMBER($L187),$L187="DNA"),$L187,"")))))))))="DNA","Rebook DNA",IF(ISNUMBER(IF(OR(ISNUMBER($V187),$V187="DNA"),$V187,IF(OR(ISNUMBER($U187),$U187="DNA"),$U187,IF(OR(ISNUMBER($T187),$T187="DNA"),$T187,IF(OR(ISNUMBER($S187),$S187="DNA"),$S187,IF(OR(ISNUMBER($R187),$R187="DNA"),$R187,IF(OR(ISNUMBER($Q187),$Q187="DNA"),$Q187,IF(OR(ISNUMBER($N187),$N187="DNA"),$N187,IF(OR(ISNUMBER($M187),$M187="DNA"),$M187,IF(OR(ISNUMBER($L187),$L187="DNA"),$L187,"")))))))))),IF(ISNUMBER($V187),"Update status","Missed/not booked?"),""))))</f>
        <v/>
      </c>
      <c r="K187" s="29">
        <f>IF(NOT(AND($A187&lt;&gt;"",OR($G187="",$G187="Active"))),"",IF(MIN(IF(AND(ISNUMBER($L187),$L187&gt;=TODAY()),$L187,99999),IF(AND(ISNUMBER($M187),$M187&gt;=TODAY()),$M187,99999),IF(AND(ISNUMBER($N187),$N187&gt;=TODAY()),$N187,99999),IF(AND(ISNUMBER($Q187),$Q187&gt;=TODAY()),$Q187,99999),IF(AND(ISNUMBER($R187),$R187&gt;=TODAY()),$R187,99999),IF(AND(ISNUMBER($S187),$S187&gt;=TODAY()),$S187,99999),IF(AND(ISNUMBER($T187),$T187&gt;=TODAY()),$T187,99999),IF(AND(ISNUMBER($U187),$U187&gt;=TODAY()),$U187,99999),IF(AND(ISNUMBER($V187),$V187&gt;=TODAY()),$V187,99999))=99999,"",MIN(IF(AND(ISNUMBER($L187),$L187&gt;=TODAY()),$L187,99999),IF(AND(ISNUMBER($M187),$M187&gt;=TODAY()),$M187,99999),IF(AND(ISNUMBER($N187),$N187&gt;=TODAY()),$N187,99999),IF(AND(ISNUMBER($Q187),$Q187&gt;=TODAY()),$Q187,99999),IF(AND(ISNUMBER($R187),$R187&gt;=TODAY()),$R187,99999),IF(AND(ISNUMBER($S187),$S187&gt;=TODAY()),$S187,99999),IF(AND(ISNUMBER($T187),$T187&gt;=TODAY()),$T187,99999),IF(AND(ISNUMBER($U187),$U187&gt;=TODAY()),$U187,99999),IF(AND(ISNUMBER($V187),$V187&gt;=TODAY()),$V187,99999))))</f>
        <v/>
      </c>
      <c r="L187" s="27" t="n"/>
      <c r="M187" s="27" t="n"/>
      <c r="N187" s="27" t="n"/>
      <c r="O187" s="27" t="n"/>
      <c r="P187" s="27" t="n"/>
      <c r="Q187" s="27" t="n"/>
      <c r="R187" s="27" t="n"/>
      <c r="S187" s="27" t="n"/>
      <c r="T187" s="27" t="n"/>
      <c r="U187" s="27" t="n"/>
      <c r="V187" s="27" t="n"/>
      <c r="W187" s="27" t="n"/>
      <c r="X187" s="27" t="n"/>
      <c r="Y187" s="27" t="n"/>
      <c r="Z187" s="30" t="n"/>
      <c r="AA187" s="25" t="n"/>
      <c r="AB187" s="28">
        <f>IF(NOT(AND($A187&lt;&gt;"",OR($G187="",$G187="Active"))),"",IF(OR(IF(OR(ISNUMBER($V187),$V187="DNA"),$V187,IF(OR(ISNUMBER($U187),$U187="DNA"),$U187,IF(OR(ISNUMBER($T187),$T187="DNA"),$T187,IF(OR(ISNUMBER($S187),$S187="DNA"),$S187,IF(OR(ISNUMBER($R187),$R187="DNA"),$R187,IF(OR(ISNUMBER($Q187),$Q187="DNA"),$Q187,IF(OR(ISNUMBER($N187),$N187="DNA"),$N187,IF(OR(ISNUMBER($M187),$M187="DNA"),$M187,IF(OR(ISNUMBER($L187),$L187="DNA"),$L187,"")))))))))="DNA",AND(ISNUMBER(IF(OR(ISNUMBER($V187),$V187="DNA"),$V187,IF(OR(ISNUMBER($U187),$U187="DNA"),$U187,IF(OR(ISNUMBER($T187),$T187="DNA"),$T187,IF(OR(ISNUMBER($S187),$S187="DNA"),$S187,IF(OR(ISNUMBER($R187),$R187="DNA"),$R187,IF(OR(ISNUMBER($Q187),$Q187="DNA"),$Q187,IF(OR(ISNUMBER($N187),$N187="DNA"),$N187,IF(OR(ISNUMBER($M187),$M187="DNA"),$M187,IF(OR(ISNUMBER($L187),$L187="DNA"),$L187,"")))))))))),IF(OR(ISNUMBER($V187),$V187="DNA"),$V187,IF(OR(ISNUMBER($U187),$U187="DNA"),$U187,IF(OR(ISNUMBER($T187),$T187="DNA"),$T187,IF(OR(ISNUMBER($S187),$S187="DNA"),$S187,IF(OR(ISNUMBER($R187),$R187="DNA"),$R187,IF(OR(ISNUMBER($Q187),$Q187="DNA"),$Q187,IF(OR(ISNUMBER($N187),$N187="DNA"),$N187,IF(OR(ISNUMBER($M187),$M187="DNA"),$M187,IF(OR(ISNUMBER($L187),$L187="DNA"),$L187,"")))))))))&lt;TODAY())),1,0)+ISNUMBER($O187)*($O187&lt;TODAY())+ISNUMBER($P187)*($P187&lt;TODAY())+ISNUMBER($X187)*($X187&lt;TODAY())+ISNUMBER($Y187)*($Y187&lt;TODAY()))</f>
        <v/>
      </c>
    </row>
    <row r="188">
      <c r="A188" s="25" t="n"/>
      <c r="B188" s="26" t="n"/>
      <c r="C188" s="27" t="n"/>
      <c r="D188" s="25" t="n"/>
      <c r="E188" s="25" t="n"/>
      <c r="F188" s="27" t="n"/>
      <c r="G188" s="25" t="n"/>
      <c r="H188" s="28">
        <f>IF(OR(NOT(AND($A188&lt;&gt;"",OR($G188="",$G188="Active"))),$F188=""),"",INT((TODAY()-$F188+280)/7)&amp;"+"&amp;MOD(TODAY()-$F188+280,7))</f>
        <v/>
      </c>
      <c r="I188" s="28">
        <f>IF(NOT(AND($A188&lt;&gt;"",OR($G188="",$G188="Active"))),"",ISNUMBER($L188)*($L188&gt;=TODAY())*($L188&lt;=TODAY()+7)+ISNUMBER($M188)*($M188&gt;=TODAY())*($M188&lt;=TODAY()+7)+ISNUMBER($N188)*($N188&gt;=TODAY())*($N188&lt;=TODAY()+7)+ISNUMBER($Q188)*($Q188&gt;=TODAY())*($Q188&lt;=TODAY()+7)+ISNUMBER($R188)*($R188&gt;=TODAY())*($R188&lt;=TODAY()+7)+ISNUMBER($S188)*($S188&gt;=TODAY())*($S188&lt;=TODAY()+7)+ISNUMBER($T188)*($T188&gt;=TODAY())*($T188&lt;=TODAY()+7)+ISNUMBER($U188)*($U188&gt;=TODAY())*($U188&lt;=TODAY()+7)+ISNUMBER($V188)*($V188&gt;=TODAY())*($V188&lt;=TODAY()+7)+ISNUMBER($O188)*($O188&gt;=TODAY())*($O188&lt;=TODAY()+7)+ISNUMBER($P188)*($P188&gt;=TODAY())*($P188&lt;=TODAY()+7)+ISNUMBER($X188)*($X188&gt;=TODAY())*($X188&lt;=TODAY()+7)+ISNUMBER($Y188)*($Y188&gt;=TODAY())*($Y188&lt;=TODAY()+7))</f>
        <v/>
      </c>
      <c r="J188" s="28">
        <f>IF(NOT(AND($A188&lt;&gt;"",OR($G188="",$G188="Active"))),"",IF($K188&lt;&gt;"",IF($L188=$K188,"Booking",IF($M188=$K188,"16/40",IF($N188=$K188,"25/40",IF($Q188=$K188,"28/40",IF($R188=$K188,"31/40",IF($S188=$K188,"34/40",IF($T188=$K188,"36/40",IF($U188=$K188,"38/40",IF($V188=$K188,"40/40",""))))))))),IF(IF(OR(ISNUMBER($V188),$V188="DNA"),$V188,IF(OR(ISNUMBER($U188),$U188="DNA"),$U188,IF(OR(ISNUMBER($T188),$T188="DNA"),$T188,IF(OR(ISNUMBER($S188),$S188="DNA"),$S188,IF(OR(ISNUMBER($R188),$R188="DNA"),$R188,IF(OR(ISNUMBER($Q188),$Q188="DNA"),$Q188,IF(OR(ISNUMBER($N188),$N188="DNA"),$N188,IF(OR(ISNUMBER($M188),$M188="DNA"),$M188,IF(OR(ISNUMBER($L188),$L188="DNA"),$L188,"")))))))))="DNA","Rebook DNA",IF(ISNUMBER(IF(OR(ISNUMBER($V188),$V188="DNA"),$V188,IF(OR(ISNUMBER($U188),$U188="DNA"),$U188,IF(OR(ISNUMBER($T188),$T188="DNA"),$T188,IF(OR(ISNUMBER($S188),$S188="DNA"),$S188,IF(OR(ISNUMBER($R188),$R188="DNA"),$R188,IF(OR(ISNUMBER($Q188),$Q188="DNA"),$Q188,IF(OR(ISNUMBER($N188),$N188="DNA"),$N188,IF(OR(ISNUMBER($M188),$M188="DNA"),$M188,IF(OR(ISNUMBER($L188),$L188="DNA"),$L188,"")))))))))),IF(ISNUMBER($V188),"Update status","Missed/not booked?"),""))))</f>
        <v/>
      </c>
      <c r="K188" s="29">
        <f>IF(NOT(AND($A188&lt;&gt;"",OR($G188="",$G188="Active"))),"",IF(MIN(IF(AND(ISNUMBER($L188),$L188&gt;=TODAY()),$L188,99999),IF(AND(ISNUMBER($M188),$M188&gt;=TODAY()),$M188,99999),IF(AND(ISNUMBER($N188),$N188&gt;=TODAY()),$N188,99999),IF(AND(ISNUMBER($Q188),$Q188&gt;=TODAY()),$Q188,99999),IF(AND(ISNUMBER($R188),$R188&gt;=TODAY()),$R188,99999),IF(AND(ISNUMBER($S188),$S188&gt;=TODAY()),$S188,99999),IF(AND(ISNUMBER($T188),$T188&gt;=TODAY()),$T188,99999),IF(AND(ISNUMBER($U188),$U188&gt;=TODAY()),$U188,99999),IF(AND(ISNUMBER($V188),$V188&gt;=TODAY()),$V188,99999))=99999,"",MIN(IF(AND(ISNUMBER($L188),$L188&gt;=TODAY()),$L188,99999),IF(AND(ISNUMBER($M188),$M188&gt;=TODAY()),$M188,99999),IF(AND(ISNUMBER($N188),$N188&gt;=TODAY()),$N188,99999),IF(AND(ISNUMBER($Q188),$Q188&gt;=TODAY()),$Q188,99999),IF(AND(ISNUMBER($R188),$R188&gt;=TODAY()),$R188,99999),IF(AND(ISNUMBER($S188),$S188&gt;=TODAY()),$S188,99999),IF(AND(ISNUMBER($T188),$T188&gt;=TODAY()),$T188,99999),IF(AND(ISNUMBER($U188),$U188&gt;=TODAY()),$U188,99999),IF(AND(ISNUMBER($V188),$V188&gt;=TODAY()),$V188,99999))))</f>
        <v/>
      </c>
      <c r="L188" s="27" t="n"/>
      <c r="M188" s="27" t="n"/>
      <c r="N188" s="27" t="n"/>
      <c r="O188" s="27" t="n"/>
      <c r="P188" s="27" t="n"/>
      <c r="Q188" s="27" t="n"/>
      <c r="R188" s="27" t="n"/>
      <c r="S188" s="27" t="n"/>
      <c r="T188" s="27" t="n"/>
      <c r="U188" s="27" t="n"/>
      <c r="V188" s="27" t="n"/>
      <c r="W188" s="27" t="n"/>
      <c r="X188" s="27" t="n"/>
      <c r="Y188" s="27" t="n"/>
      <c r="Z188" s="30" t="n"/>
      <c r="AA188" s="25" t="n"/>
      <c r="AB188" s="28">
        <f>IF(NOT(AND($A188&lt;&gt;"",OR($G188="",$G188="Active"))),"",IF(OR(IF(OR(ISNUMBER($V188),$V188="DNA"),$V188,IF(OR(ISNUMBER($U188),$U188="DNA"),$U188,IF(OR(ISNUMBER($T188),$T188="DNA"),$T188,IF(OR(ISNUMBER($S188),$S188="DNA"),$S188,IF(OR(ISNUMBER($R188),$R188="DNA"),$R188,IF(OR(ISNUMBER($Q188),$Q188="DNA"),$Q188,IF(OR(ISNUMBER($N188),$N188="DNA"),$N188,IF(OR(ISNUMBER($M188),$M188="DNA"),$M188,IF(OR(ISNUMBER($L188),$L188="DNA"),$L188,"")))))))))="DNA",AND(ISNUMBER(IF(OR(ISNUMBER($V188),$V188="DNA"),$V188,IF(OR(ISNUMBER($U188),$U188="DNA"),$U188,IF(OR(ISNUMBER($T188),$T188="DNA"),$T188,IF(OR(ISNUMBER($S188),$S188="DNA"),$S188,IF(OR(ISNUMBER($R188),$R188="DNA"),$R188,IF(OR(ISNUMBER($Q188),$Q188="DNA"),$Q188,IF(OR(ISNUMBER($N188),$N188="DNA"),$N188,IF(OR(ISNUMBER($M188),$M188="DNA"),$M188,IF(OR(ISNUMBER($L188),$L188="DNA"),$L188,"")))))))))),IF(OR(ISNUMBER($V188),$V188="DNA"),$V188,IF(OR(ISNUMBER($U188),$U188="DNA"),$U188,IF(OR(ISNUMBER($T188),$T188="DNA"),$T188,IF(OR(ISNUMBER($S188),$S188="DNA"),$S188,IF(OR(ISNUMBER($R188),$R188="DNA"),$R188,IF(OR(ISNUMBER($Q188),$Q188="DNA"),$Q188,IF(OR(ISNUMBER($N188),$N188="DNA"),$N188,IF(OR(ISNUMBER($M188),$M188="DNA"),$M188,IF(OR(ISNUMBER($L188),$L188="DNA"),$L188,"")))))))))&lt;TODAY())),1,0)+ISNUMBER($O188)*($O188&lt;TODAY())+ISNUMBER($P188)*($P188&lt;TODAY())+ISNUMBER($X188)*($X188&lt;TODAY())+ISNUMBER($Y188)*($Y188&lt;TODAY()))</f>
        <v/>
      </c>
    </row>
    <row r="189">
      <c r="A189" s="25" t="n"/>
      <c r="B189" s="26" t="n"/>
      <c r="C189" s="27" t="n"/>
      <c r="D189" s="25" t="n"/>
      <c r="E189" s="25" t="n"/>
      <c r="F189" s="27" t="n"/>
      <c r="G189" s="25" t="n"/>
      <c r="H189" s="28">
        <f>IF(OR(NOT(AND($A189&lt;&gt;"",OR($G189="",$G189="Active"))),$F189=""),"",INT((TODAY()-$F189+280)/7)&amp;"+"&amp;MOD(TODAY()-$F189+280,7))</f>
        <v/>
      </c>
      <c r="I189" s="28">
        <f>IF(NOT(AND($A189&lt;&gt;"",OR($G189="",$G189="Active"))),"",ISNUMBER($L189)*($L189&gt;=TODAY())*($L189&lt;=TODAY()+7)+ISNUMBER($M189)*($M189&gt;=TODAY())*($M189&lt;=TODAY()+7)+ISNUMBER($N189)*($N189&gt;=TODAY())*($N189&lt;=TODAY()+7)+ISNUMBER($Q189)*($Q189&gt;=TODAY())*($Q189&lt;=TODAY()+7)+ISNUMBER($R189)*($R189&gt;=TODAY())*($R189&lt;=TODAY()+7)+ISNUMBER($S189)*($S189&gt;=TODAY())*($S189&lt;=TODAY()+7)+ISNUMBER($T189)*($T189&gt;=TODAY())*($T189&lt;=TODAY()+7)+ISNUMBER($U189)*($U189&gt;=TODAY())*($U189&lt;=TODAY()+7)+ISNUMBER($V189)*($V189&gt;=TODAY())*($V189&lt;=TODAY()+7)+ISNUMBER($O189)*($O189&gt;=TODAY())*($O189&lt;=TODAY()+7)+ISNUMBER($P189)*($P189&gt;=TODAY())*($P189&lt;=TODAY()+7)+ISNUMBER($X189)*($X189&gt;=TODAY())*($X189&lt;=TODAY()+7)+ISNUMBER($Y189)*($Y189&gt;=TODAY())*($Y189&lt;=TODAY()+7))</f>
        <v/>
      </c>
      <c r="J189" s="28">
        <f>IF(NOT(AND($A189&lt;&gt;"",OR($G189="",$G189="Active"))),"",IF($K189&lt;&gt;"",IF($L189=$K189,"Booking",IF($M189=$K189,"16/40",IF($N189=$K189,"25/40",IF($Q189=$K189,"28/40",IF($R189=$K189,"31/40",IF($S189=$K189,"34/40",IF($T189=$K189,"36/40",IF($U189=$K189,"38/40",IF($V189=$K189,"40/40",""))))))))),IF(IF(OR(ISNUMBER($V189),$V189="DNA"),$V189,IF(OR(ISNUMBER($U189),$U189="DNA"),$U189,IF(OR(ISNUMBER($T189),$T189="DNA"),$T189,IF(OR(ISNUMBER($S189),$S189="DNA"),$S189,IF(OR(ISNUMBER($R189),$R189="DNA"),$R189,IF(OR(ISNUMBER($Q189),$Q189="DNA"),$Q189,IF(OR(ISNUMBER($N189),$N189="DNA"),$N189,IF(OR(ISNUMBER($M189),$M189="DNA"),$M189,IF(OR(ISNUMBER($L189),$L189="DNA"),$L189,"")))))))))="DNA","Rebook DNA",IF(ISNUMBER(IF(OR(ISNUMBER($V189),$V189="DNA"),$V189,IF(OR(ISNUMBER($U189),$U189="DNA"),$U189,IF(OR(ISNUMBER($T189),$T189="DNA"),$T189,IF(OR(ISNUMBER($S189),$S189="DNA"),$S189,IF(OR(ISNUMBER($R189),$R189="DNA"),$R189,IF(OR(ISNUMBER($Q189),$Q189="DNA"),$Q189,IF(OR(ISNUMBER($N189),$N189="DNA"),$N189,IF(OR(ISNUMBER($M189),$M189="DNA"),$M189,IF(OR(ISNUMBER($L189),$L189="DNA"),$L189,"")))))))))),IF(ISNUMBER($V189),"Update status","Missed/not booked?"),""))))</f>
        <v/>
      </c>
      <c r="K189" s="29">
        <f>IF(NOT(AND($A189&lt;&gt;"",OR($G189="",$G189="Active"))),"",IF(MIN(IF(AND(ISNUMBER($L189),$L189&gt;=TODAY()),$L189,99999),IF(AND(ISNUMBER($M189),$M189&gt;=TODAY()),$M189,99999),IF(AND(ISNUMBER($N189),$N189&gt;=TODAY()),$N189,99999),IF(AND(ISNUMBER($Q189),$Q189&gt;=TODAY()),$Q189,99999),IF(AND(ISNUMBER($R189),$R189&gt;=TODAY()),$R189,99999),IF(AND(ISNUMBER($S189),$S189&gt;=TODAY()),$S189,99999),IF(AND(ISNUMBER($T189),$T189&gt;=TODAY()),$T189,99999),IF(AND(ISNUMBER($U189),$U189&gt;=TODAY()),$U189,99999),IF(AND(ISNUMBER($V189),$V189&gt;=TODAY()),$V189,99999))=99999,"",MIN(IF(AND(ISNUMBER($L189),$L189&gt;=TODAY()),$L189,99999),IF(AND(ISNUMBER($M189),$M189&gt;=TODAY()),$M189,99999),IF(AND(ISNUMBER($N189),$N189&gt;=TODAY()),$N189,99999),IF(AND(ISNUMBER($Q189),$Q189&gt;=TODAY()),$Q189,99999),IF(AND(ISNUMBER($R189),$R189&gt;=TODAY()),$R189,99999),IF(AND(ISNUMBER($S189),$S189&gt;=TODAY()),$S189,99999),IF(AND(ISNUMBER($T189),$T189&gt;=TODAY()),$T189,99999),IF(AND(ISNUMBER($U189),$U189&gt;=TODAY()),$U189,99999),IF(AND(ISNUMBER($V189),$V189&gt;=TODAY()),$V189,99999))))</f>
        <v/>
      </c>
      <c r="L189" s="27" t="n"/>
      <c r="M189" s="27" t="n"/>
      <c r="N189" s="27" t="n"/>
      <c r="O189" s="27" t="n"/>
      <c r="P189" s="27" t="n"/>
      <c r="Q189" s="27" t="n"/>
      <c r="R189" s="27" t="n"/>
      <c r="S189" s="27" t="n"/>
      <c r="T189" s="27" t="n"/>
      <c r="U189" s="27" t="n"/>
      <c r="V189" s="27" t="n"/>
      <c r="W189" s="27" t="n"/>
      <c r="X189" s="27" t="n"/>
      <c r="Y189" s="27" t="n"/>
      <c r="Z189" s="30" t="n"/>
      <c r="AA189" s="25" t="n"/>
      <c r="AB189" s="28">
        <f>IF(NOT(AND($A189&lt;&gt;"",OR($G189="",$G189="Active"))),"",IF(OR(IF(OR(ISNUMBER($V189),$V189="DNA"),$V189,IF(OR(ISNUMBER($U189),$U189="DNA"),$U189,IF(OR(ISNUMBER($T189),$T189="DNA"),$T189,IF(OR(ISNUMBER($S189),$S189="DNA"),$S189,IF(OR(ISNUMBER($R189),$R189="DNA"),$R189,IF(OR(ISNUMBER($Q189),$Q189="DNA"),$Q189,IF(OR(ISNUMBER($N189),$N189="DNA"),$N189,IF(OR(ISNUMBER($M189),$M189="DNA"),$M189,IF(OR(ISNUMBER($L189),$L189="DNA"),$L189,"")))))))))="DNA",AND(ISNUMBER(IF(OR(ISNUMBER($V189),$V189="DNA"),$V189,IF(OR(ISNUMBER($U189),$U189="DNA"),$U189,IF(OR(ISNUMBER($T189),$T189="DNA"),$T189,IF(OR(ISNUMBER($S189),$S189="DNA"),$S189,IF(OR(ISNUMBER($R189),$R189="DNA"),$R189,IF(OR(ISNUMBER($Q189),$Q189="DNA"),$Q189,IF(OR(ISNUMBER($N189),$N189="DNA"),$N189,IF(OR(ISNUMBER($M189),$M189="DNA"),$M189,IF(OR(ISNUMBER($L189),$L189="DNA"),$L189,"")))))))))),IF(OR(ISNUMBER($V189),$V189="DNA"),$V189,IF(OR(ISNUMBER($U189),$U189="DNA"),$U189,IF(OR(ISNUMBER($T189),$T189="DNA"),$T189,IF(OR(ISNUMBER($S189),$S189="DNA"),$S189,IF(OR(ISNUMBER($R189),$R189="DNA"),$R189,IF(OR(ISNUMBER($Q189),$Q189="DNA"),$Q189,IF(OR(ISNUMBER($N189),$N189="DNA"),$N189,IF(OR(ISNUMBER($M189),$M189="DNA"),$M189,IF(OR(ISNUMBER($L189),$L189="DNA"),$L189,"")))))))))&lt;TODAY())),1,0)+ISNUMBER($O189)*($O189&lt;TODAY())+ISNUMBER($P189)*($P189&lt;TODAY())+ISNUMBER($X189)*($X189&lt;TODAY())+ISNUMBER($Y189)*($Y189&lt;TODAY()))</f>
        <v/>
      </c>
    </row>
    <row r="190">
      <c r="A190" s="25" t="n"/>
      <c r="B190" s="26" t="n"/>
      <c r="C190" s="27" t="n"/>
      <c r="D190" s="25" t="n"/>
      <c r="E190" s="25" t="n"/>
      <c r="F190" s="27" t="n"/>
      <c r="G190" s="25" t="n"/>
      <c r="H190" s="28">
        <f>IF(OR(NOT(AND($A190&lt;&gt;"",OR($G190="",$G190="Active"))),$F190=""),"",INT((TODAY()-$F190+280)/7)&amp;"+"&amp;MOD(TODAY()-$F190+280,7))</f>
        <v/>
      </c>
      <c r="I190" s="28">
        <f>IF(NOT(AND($A190&lt;&gt;"",OR($G190="",$G190="Active"))),"",ISNUMBER($L190)*($L190&gt;=TODAY())*($L190&lt;=TODAY()+7)+ISNUMBER($M190)*($M190&gt;=TODAY())*($M190&lt;=TODAY()+7)+ISNUMBER($N190)*($N190&gt;=TODAY())*($N190&lt;=TODAY()+7)+ISNUMBER($Q190)*($Q190&gt;=TODAY())*($Q190&lt;=TODAY()+7)+ISNUMBER($R190)*($R190&gt;=TODAY())*($R190&lt;=TODAY()+7)+ISNUMBER($S190)*($S190&gt;=TODAY())*($S190&lt;=TODAY()+7)+ISNUMBER($T190)*($T190&gt;=TODAY())*($T190&lt;=TODAY()+7)+ISNUMBER($U190)*($U190&gt;=TODAY())*($U190&lt;=TODAY()+7)+ISNUMBER($V190)*($V190&gt;=TODAY())*($V190&lt;=TODAY()+7)+ISNUMBER($O190)*($O190&gt;=TODAY())*($O190&lt;=TODAY()+7)+ISNUMBER($P190)*($P190&gt;=TODAY())*($P190&lt;=TODAY()+7)+ISNUMBER($X190)*($X190&gt;=TODAY())*($X190&lt;=TODAY()+7)+ISNUMBER($Y190)*($Y190&gt;=TODAY())*($Y190&lt;=TODAY()+7))</f>
        <v/>
      </c>
      <c r="J190" s="28">
        <f>IF(NOT(AND($A190&lt;&gt;"",OR($G190="",$G190="Active"))),"",IF($K190&lt;&gt;"",IF($L190=$K190,"Booking",IF($M190=$K190,"16/40",IF($N190=$K190,"25/40",IF($Q190=$K190,"28/40",IF($R190=$K190,"31/40",IF($S190=$K190,"34/40",IF($T190=$K190,"36/40",IF($U190=$K190,"38/40",IF($V190=$K190,"40/40",""))))))))),IF(IF(OR(ISNUMBER($V190),$V190="DNA"),$V190,IF(OR(ISNUMBER($U190),$U190="DNA"),$U190,IF(OR(ISNUMBER($T190),$T190="DNA"),$T190,IF(OR(ISNUMBER($S190),$S190="DNA"),$S190,IF(OR(ISNUMBER($R190),$R190="DNA"),$R190,IF(OR(ISNUMBER($Q190),$Q190="DNA"),$Q190,IF(OR(ISNUMBER($N190),$N190="DNA"),$N190,IF(OR(ISNUMBER($M190),$M190="DNA"),$M190,IF(OR(ISNUMBER($L190),$L190="DNA"),$L190,"")))))))))="DNA","Rebook DNA",IF(ISNUMBER(IF(OR(ISNUMBER($V190),$V190="DNA"),$V190,IF(OR(ISNUMBER($U190),$U190="DNA"),$U190,IF(OR(ISNUMBER($T190),$T190="DNA"),$T190,IF(OR(ISNUMBER($S190),$S190="DNA"),$S190,IF(OR(ISNUMBER($R190),$R190="DNA"),$R190,IF(OR(ISNUMBER($Q190),$Q190="DNA"),$Q190,IF(OR(ISNUMBER($N190),$N190="DNA"),$N190,IF(OR(ISNUMBER($M190),$M190="DNA"),$M190,IF(OR(ISNUMBER($L190),$L190="DNA"),$L190,"")))))))))),IF(ISNUMBER($V190),"Update status","Missed/not booked?"),""))))</f>
        <v/>
      </c>
      <c r="K190" s="29">
        <f>IF(NOT(AND($A190&lt;&gt;"",OR($G190="",$G190="Active"))),"",IF(MIN(IF(AND(ISNUMBER($L190),$L190&gt;=TODAY()),$L190,99999),IF(AND(ISNUMBER($M190),$M190&gt;=TODAY()),$M190,99999),IF(AND(ISNUMBER($N190),$N190&gt;=TODAY()),$N190,99999),IF(AND(ISNUMBER($Q190),$Q190&gt;=TODAY()),$Q190,99999),IF(AND(ISNUMBER($R190),$R190&gt;=TODAY()),$R190,99999),IF(AND(ISNUMBER($S190),$S190&gt;=TODAY()),$S190,99999),IF(AND(ISNUMBER($T190),$T190&gt;=TODAY()),$T190,99999),IF(AND(ISNUMBER($U190),$U190&gt;=TODAY()),$U190,99999),IF(AND(ISNUMBER($V190),$V190&gt;=TODAY()),$V190,99999))=99999,"",MIN(IF(AND(ISNUMBER($L190),$L190&gt;=TODAY()),$L190,99999),IF(AND(ISNUMBER($M190),$M190&gt;=TODAY()),$M190,99999),IF(AND(ISNUMBER($N190),$N190&gt;=TODAY()),$N190,99999),IF(AND(ISNUMBER($Q190),$Q190&gt;=TODAY()),$Q190,99999),IF(AND(ISNUMBER($R190),$R190&gt;=TODAY()),$R190,99999),IF(AND(ISNUMBER($S190),$S190&gt;=TODAY()),$S190,99999),IF(AND(ISNUMBER($T190),$T190&gt;=TODAY()),$T190,99999),IF(AND(ISNUMBER($U190),$U190&gt;=TODAY()),$U190,99999),IF(AND(ISNUMBER($V190),$V190&gt;=TODAY()),$V190,99999))))</f>
        <v/>
      </c>
      <c r="L190" s="27" t="n"/>
      <c r="M190" s="27" t="n"/>
      <c r="N190" s="27" t="n"/>
      <c r="O190" s="27" t="n"/>
      <c r="P190" s="27" t="n"/>
      <c r="Q190" s="27" t="n"/>
      <c r="R190" s="27" t="n"/>
      <c r="S190" s="27" t="n"/>
      <c r="T190" s="27" t="n"/>
      <c r="U190" s="27" t="n"/>
      <c r="V190" s="27" t="n"/>
      <c r="W190" s="27" t="n"/>
      <c r="X190" s="27" t="n"/>
      <c r="Y190" s="27" t="n"/>
      <c r="Z190" s="30" t="n"/>
      <c r="AA190" s="25" t="n"/>
      <c r="AB190" s="28">
        <f>IF(NOT(AND($A190&lt;&gt;"",OR($G190="",$G190="Active"))),"",IF(OR(IF(OR(ISNUMBER($V190),$V190="DNA"),$V190,IF(OR(ISNUMBER($U190),$U190="DNA"),$U190,IF(OR(ISNUMBER($T190),$T190="DNA"),$T190,IF(OR(ISNUMBER($S190),$S190="DNA"),$S190,IF(OR(ISNUMBER($R190),$R190="DNA"),$R190,IF(OR(ISNUMBER($Q190),$Q190="DNA"),$Q190,IF(OR(ISNUMBER($N190),$N190="DNA"),$N190,IF(OR(ISNUMBER($M190),$M190="DNA"),$M190,IF(OR(ISNUMBER($L190),$L190="DNA"),$L190,"")))))))))="DNA",AND(ISNUMBER(IF(OR(ISNUMBER($V190),$V190="DNA"),$V190,IF(OR(ISNUMBER($U190),$U190="DNA"),$U190,IF(OR(ISNUMBER($T190),$T190="DNA"),$T190,IF(OR(ISNUMBER($S190),$S190="DNA"),$S190,IF(OR(ISNUMBER($R190),$R190="DNA"),$R190,IF(OR(ISNUMBER($Q190),$Q190="DNA"),$Q190,IF(OR(ISNUMBER($N190),$N190="DNA"),$N190,IF(OR(ISNUMBER($M190),$M190="DNA"),$M190,IF(OR(ISNUMBER($L190),$L190="DNA"),$L190,"")))))))))),IF(OR(ISNUMBER($V190),$V190="DNA"),$V190,IF(OR(ISNUMBER($U190),$U190="DNA"),$U190,IF(OR(ISNUMBER($T190),$T190="DNA"),$T190,IF(OR(ISNUMBER($S190),$S190="DNA"),$S190,IF(OR(ISNUMBER($R190),$R190="DNA"),$R190,IF(OR(ISNUMBER($Q190),$Q190="DNA"),$Q190,IF(OR(ISNUMBER($N190),$N190="DNA"),$N190,IF(OR(ISNUMBER($M190),$M190="DNA"),$M190,IF(OR(ISNUMBER($L190),$L190="DNA"),$L190,"")))))))))&lt;TODAY())),1,0)+ISNUMBER($O190)*($O190&lt;TODAY())+ISNUMBER($P190)*($P190&lt;TODAY())+ISNUMBER($X190)*($X190&lt;TODAY())+ISNUMBER($Y190)*($Y190&lt;TODAY()))</f>
        <v/>
      </c>
    </row>
    <row r="191">
      <c r="A191" s="25" t="n"/>
      <c r="B191" s="26" t="n"/>
      <c r="C191" s="27" t="n"/>
      <c r="D191" s="25" t="n"/>
      <c r="E191" s="25" t="n"/>
      <c r="F191" s="27" t="n"/>
      <c r="G191" s="25" t="n"/>
      <c r="H191" s="28">
        <f>IF(OR(NOT(AND($A191&lt;&gt;"",OR($G191="",$G191="Active"))),$F191=""),"",INT((TODAY()-$F191+280)/7)&amp;"+"&amp;MOD(TODAY()-$F191+280,7))</f>
        <v/>
      </c>
      <c r="I191" s="28">
        <f>IF(NOT(AND($A191&lt;&gt;"",OR($G191="",$G191="Active"))),"",ISNUMBER($L191)*($L191&gt;=TODAY())*($L191&lt;=TODAY()+7)+ISNUMBER($M191)*($M191&gt;=TODAY())*($M191&lt;=TODAY()+7)+ISNUMBER($N191)*($N191&gt;=TODAY())*($N191&lt;=TODAY()+7)+ISNUMBER($Q191)*($Q191&gt;=TODAY())*($Q191&lt;=TODAY()+7)+ISNUMBER($R191)*($R191&gt;=TODAY())*($R191&lt;=TODAY()+7)+ISNUMBER($S191)*($S191&gt;=TODAY())*($S191&lt;=TODAY()+7)+ISNUMBER($T191)*($T191&gt;=TODAY())*($T191&lt;=TODAY()+7)+ISNUMBER($U191)*($U191&gt;=TODAY())*($U191&lt;=TODAY()+7)+ISNUMBER($V191)*($V191&gt;=TODAY())*($V191&lt;=TODAY()+7)+ISNUMBER($O191)*($O191&gt;=TODAY())*($O191&lt;=TODAY()+7)+ISNUMBER($P191)*($P191&gt;=TODAY())*($P191&lt;=TODAY()+7)+ISNUMBER($X191)*($X191&gt;=TODAY())*($X191&lt;=TODAY()+7)+ISNUMBER($Y191)*($Y191&gt;=TODAY())*($Y191&lt;=TODAY()+7))</f>
        <v/>
      </c>
      <c r="J191" s="28">
        <f>IF(NOT(AND($A191&lt;&gt;"",OR($G191="",$G191="Active"))),"",IF($K191&lt;&gt;"",IF($L191=$K191,"Booking",IF($M191=$K191,"16/40",IF($N191=$K191,"25/40",IF($Q191=$K191,"28/40",IF($R191=$K191,"31/40",IF($S191=$K191,"34/40",IF($T191=$K191,"36/40",IF($U191=$K191,"38/40",IF($V191=$K191,"40/40",""))))))))),IF(IF(OR(ISNUMBER($V191),$V191="DNA"),$V191,IF(OR(ISNUMBER($U191),$U191="DNA"),$U191,IF(OR(ISNUMBER($T191),$T191="DNA"),$T191,IF(OR(ISNUMBER($S191),$S191="DNA"),$S191,IF(OR(ISNUMBER($R191),$R191="DNA"),$R191,IF(OR(ISNUMBER($Q191),$Q191="DNA"),$Q191,IF(OR(ISNUMBER($N191),$N191="DNA"),$N191,IF(OR(ISNUMBER($M191),$M191="DNA"),$M191,IF(OR(ISNUMBER($L191),$L191="DNA"),$L191,"")))))))))="DNA","Rebook DNA",IF(ISNUMBER(IF(OR(ISNUMBER($V191),$V191="DNA"),$V191,IF(OR(ISNUMBER($U191),$U191="DNA"),$U191,IF(OR(ISNUMBER($T191),$T191="DNA"),$T191,IF(OR(ISNUMBER($S191),$S191="DNA"),$S191,IF(OR(ISNUMBER($R191),$R191="DNA"),$R191,IF(OR(ISNUMBER($Q191),$Q191="DNA"),$Q191,IF(OR(ISNUMBER($N191),$N191="DNA"),$N191,IF(OR(ISNUMBER($M191),$M191="DNA"),$M191,IF(OR(ISNUMBER($L191),$L191="DNA"),$L191,"")))))))))),IF(ISNUMBER($V191),"Update status","Missed/not booked?"),""))))</f>
        <v/>
      </c>
      <c r="K191" s="29">
        <f>IF(NOT(AND($A191&lt;&gt;"",OR($G191="",$G191="Active"))),"",IF(MIN(IF(AND(ISNUMBER($L191),$L191&gt;=TODAY()),$L191,99999),IF(AND(ISNUMBER($M191),$M191&gt;=TODAY()),$M191,99999),IF(AND(ISNUMBER($N191),$N191&gt;=TODAY()),$N191,99999),IF(AND(ISNUMBER($Q191),$Q191&gt;=TODAY()),$Q191,99999),IF(AND(ISNUMBER($R191),$R191&gt;=TODAY()),$R191,99999),IF(AND(ISNUMBER($S191),$S191&gt;=TODAY()),$S191,99999),IF(AND(ISNUMBER($T191),$T191&gt;=TODAY()),$T191,99999),IF(AND(ISNUMBER($U191),$U191&gt;=TODAY()),$U191,99999),IF(AND(ISNUMBER($V191),$V191&gt;=TODAY()),$V191,99999))=99999,"",MIN(IF(AND(ISNUMBER($L191),$L191&gt;=TODAY()),$L191,99999),IF(AND(ISNUMBER($M191),$M191&gt;=TODAY()),$M191,99999),IF(AND(ISNUMBER($N191),$N191&gt;=TODAY()),$N191,99999),IF(AND(ISNUMBER($Q191),$Q191&gt;=TODAY()),$Q191,99999),IF(AND(ISNUMBER($R191),$R191&gt;=TODAY()),$R191,99999),IF(AND(ISNUMBER($S191),$S191&gt;=TODAY()),$S191,99999),IF(AND(ISNUMBER($T191),$T191&gt;=TODAY()),$T191,99999),IF(AND(ISNUMBER($U191),$U191&gt;=TODAY()),$U191,99999),IF(AND(ISNUMBER($V191),$V191&gt;=TODAY()),$V191,99999))))</f>
        <v/>
      </c>
      <c r="L191" s="27" t="n"/>
      <c r="M191" s="27" t="n"/>
      <c r="N191" s="27" t="n"/>
      <c r="O191" s="27" t="n"/>
      <c r="P191" s="27" t="n"/>
      <c r="Q191" s="27" t="n"/>
      <c r="R191" s="27" t="n"/>
      <c r="S191" s="27" t="n"/>
      <c r="T191" s="27" t="n"/>
      <c r="U191" s="27" t="n"/>
      <c r="V191" s="27" t="n"/>
      <c r="W191" s="27" t="n"/>
      <c r="X191" s="27" t="n"/>
      <c r="Y191" s="27" t="n"/>
      <c r="Z191" s="30" t="n"/>
      <c r="AA191" s="25" t="n"/>
      <c r="AB191" s="28">
        <f>IF(NOT(AND($A191&lt;&gt;"",OR($G191="",$G191="Active"))),"",IF(OR(IF(OR(ISNUMBER($V191),$V191="DNA"),$V191,IF(OR(ISNUMBER($U191),$U191="DNA"),$U191,IF(OR(ISNUMBER($T191),$T191="DNA"),$T191,IF(OR(ISNUMBER($S191),$S191="DNA"),$S191,IF(OR(ISNUMBER($R191),$R191="DNA"),$R191,IF(OR(ISNUMBER($Q191),$Q191="DNA"),$Q191,IF(OR(ISNUMBER($N191),$N191="DNA"),$N191,IF(OR(ISNUMBER($M191),$M191="DNA"),$M191,IF(OR(ISNUMBER($L191),$L191="DNA"),$L191,"")))))))))="DNA",AND(ISNUMBER(IF(OR(ISNUMBER($V191),$V191="DNA"),$V191,IF(OR(ISNUMBER($U191),$U191="DNA"),$U191,IF(OR(ISNUMBER($T191),$T191="DNA"),$T191,IF(OR(ISNUMBER($S191),$S191="DNA"),$S191,IF(OR(ISNUMBER($R191),$R191="DNA"),$R191,IF(OR(ISNUMBER($Q191),$Q191="DNA"),$Q191,IF(OR(ISNUMBER($N191),$N191="DNA"),$N191,IF(OR(ISNUMBER($M191),$M191="DNA"),$M191,IF(OR(ISNUMBER($L191),$L191="DNA"),$L191,"")))))))))),IF(OR(ISNUMBER($V191),$V191="DNA"),$V191,IF(OR(ISNUMBER($U191),$U191="DNA"),$U191,IF(OR(ISNUMBER($T191),$T191="DNA"),$T191,IF(OR(ISNUMBER($S191),$S191="DNA"),$S191,IF(OR(ISNUMBER($R191),$R191="DNA"),$R191,IF(OR(ISNUMBER($Q191),$Q191="DNA"),$Q191,IF(OR(ISNUMBER($N191),$N191="DNA"),$N191,IF(OR(ISNUMBER($M191),$M191="DNA"),$M191,IF(OR(ISNUMBER($L191),$L191="DNA"),$L191,"")))))))))&lt;TODAY())),1,0)+ISNUMBER($O191)*($O191&lt;TODAY())+ISNUMBER($P191)*($P191&lt;TODAY())+ISNUMBER($X191)*($X191&lt;TODAY())+ISNUMBER($Y191)*($Y191&lt;TODAY()))</f>
        <v/>
      </c>
    </row>
    <row r="192">
      <c r="A192" s="25" t="n"/>
      <c r="B192" s="26" t="n"/>
      <c r="C192" s="27" t="n"/>
      <c r="D192" s="25" t="n"/>
      <c r="E192" s="25" t="n"/>
      <c r="F192" s="27" t="n"/>
      <c r="G192" s="25" t="n"/>
      <c r="H192" s="28">
        <f>IF(OR(NOT(AND($A192&lt;&gt;"",OR($G192="",$G192="Active"))),$F192=""),"",INT((TODAY()-$F192+280)/7)&amp;"+"&amp;MOD(TODAY()-$F192+280,7))</f>
        <v/>
      </c>
      <c r="I192" s="28">
        <f>IF(NOT(AND($A192&lt;&gt;"",OR($G192="",$G192="Active"))),"",ISNUMBER($L192)*($L192&gt;=TODAY())*($L192&lt;=TODAY()+7)+ISNUMBER($M192)*($M192&gt;=TODAY())*($M192&lt;=TODAY()+7)+ISNUMBER($N192)*($N192&gt;=TODAY())*($N192&lt;=TODAY()+7)+ISNUMBER($Q192)*($Q192&gt;=TODAY())*($Q192&lt;=TODAY()+7)+ISNUMBER($R192)*($R192&gt;=TODAY())*($R192&lt;=TODAY()+7)+ISNUMBER($S192)*($S192&gt;=TODAY())*($S192&lt;=TODAY()+7)+ISNUMBER($T192)*($T192&gt;=TODAY())*($T192&lt;=TODAY()+7)+ISNUMBER($U192)*($U192&gt;=TODAY())*($U192&lt;=TODAY()+7)+ISNUMBER($V192)*($V192&gt;=TODAY())*($V192&lt;=TODAY()+7)+ISNUMBER($O192)*($O192&gt;=TODAY())*($O192&lt;=TODAY()+7)+ISNUMBER($P192)*($P192&gt;=TODAY())*($P192&lt;=TODAY()+7)+ISNUMBER($X192)*($X192&gt;=TODAY())*($X192&lt;=TODAY()+7)+ISNUMBER($Y192)*($Y192&gt;=TODAY())*($Y192&lt;=TODAY()+7))</f>
        <v/>
      </c>
      <c r="J192" s="28">
        <f>IF(NOT(AND($A192&lt;&gt;"",OR($G192="",$G192="Active"))),"",IF($K192&lt;&gt;"",IF($L192=$K192,"Booking",IF($M192=$K192,"16/40",IF($N192=$K192,"25/40",IF($Q192=$K192,"28/40",IF($R192=$K192,"31/40",IF($S192=$K192,"34/40",IF($T192=$K192,"36/40",IF($U192=$K192,"38/40",IF($V192=$K192,"40/40",""))))))))),IF(IF(OR(ISNUMBER($V192),$V192="DNA"),$V192,IF(OR(ISNUMBER($U192),$U192="DNA"),$U192,IF(OR(ISNUMBER($T192),$T192="DNA"),$T192,IF(OR(ISNUMBER($S192),$S192="DNA"),$S192,IF(OR(ISNUMBER($R192),$R192="DNA"),$R192,IF(OR(ISNUMBER($Q192),$Q192="DNA"),$Q192,IF(OR(ISNUMBER($N192),$N192="DNA"),$N192,IF(OR(ISNUMBER($M192),$M192="DNA"),$M192,IF(OR(ISNUMBER($L192),$L192="DNA"),$L192,"")))))))))="DNA","Rebook DNA",IF(ISNUMBER(IF(OR(ISNUMBER($V192),$V192="DNA"),$V192,IF(OR(ISNUMBER($U192),$U192="DNA"),$U192,IF(OR(ISNUMBER($T192),$T192="DNA"),$T192,IF(OR(ISNUMBER($S192),$S192="DNA"),$S192,IF(OR(ISNUMBER($R192),$R192="DNA"),$R192,IF(OR(ISNUMBER($Q192),$Q192="DNA"),$Q192,IF(OR(ISNUMBER($N192),$N192="DNA"),$N192,IF(OR(ISNUMBER($M192),$M192="DNA"),$M192,IF(OR(ISNUMBER($L192),$L192="DNA"),$L192,"")))))))))),IF(ISNUMBER($V192),"Update status","Missed/not booked?"),""))))</f>
        <v/>
      </c>
      <c r="K192" s="29">
        <f>IF(NOT(AND($A192&lt;&gt;"",OR($G192="",$G192="Active"))),"",IF(MIN(IF(AND(ISNUMBER($L192),$L192&gt;=TODAY()),$L192,99999),IF(AND(ISNUMBER($M192),$M192&gt;=TODAY()),$M192,99999),IF(AND(ISNUMBER($N192),$N192&gt;=TODAY()),$N192,99999),IF(AND(ISNUMBER($Q192),$Q192&gt;=TODAY()),$Q192,99999),IF(AND(ISNUMBER($R192),$R192&gt;=TODAY()),$R192,99999),IF(AND(ISNUMBER($S192),$S192&gt;=TODAY()),$S192,99999),IF(AND(ISNUMBER($T192),$T192&gt;=TODAY()),$T192,99999),IF(AND(ISNUMBER($U192),$U192&gt;=TODAY()),$U192,99999),IF(AND(ISNUMBER($V192),$V192&gt;=TODAY()),$V192,99999))=99999,"",MIN(IF(AND(ISNUMBER($L192),$L192&gt;=TODAY()),$L192,99999),IF(AND(ISNUMBER($M192),$M192&gt;=TODAY()),$M192,99999),IF(AND(ISNUMBER($N192),$N192&gt;=TODAY()),$N192,99999),IF(AND(ISNUMBER($Q192),$Q192&gt;=TODAY()),$Q192,99999),IF(AND(ISNUMBER($R192),$R192&gt;=TODAY()),$R192,99999),IF(AND(ISNUMBER($S192),$S192&gt;=TODAY()),$S192,99999),IF(AND(ISNUMBER($T192),$T192&gt;=TODAY()),$T192,99999),IF(AND(ISNUMBER($U192),$U192&gt;=TODAY()),$U192,99999),IF(AND(ISNUMBER($V192),$V192&gt;=TODAY()),$V192,99999))))</f>
        <v/>
      </c>
      <c r="L192" s="27" t="n"/>
      <c r="M192" s="27" t="n"/>
      <c r="N192" s="27" t="n"/>
      <c r="O192" s="27" t="n"/>
      <c r="P192" s="27" t="n"/>
      <c r="Q192" s="27" t="n"/>
      <c r="R192" s="27" t="n"/>
      <c r="S192" s="27" t="n"/>
      <c r="T192" s="27" t="n"/>
      <c r="U192" s="27" t="n"/>
      <c r="V192" s="27" t="n"/>
      <c r="W192" s="27" t="n"/>
      <c r="X192" s="27" t="n"/>
      <c r="Y192" s="27" t="n"/>
      <c r="Z192" s="30" t="n"/>
      <c r="AA192" s="25" t="n"/>
      <c r="AB192" s="28">
        <f>IF(NOT(AND($A192&lt;&gt;"",OR($G192="",$G192="Active"))),"",IF(OR(IF(OR(ISNUMBER($V192),$V192="DNA"),$V192,IF(OR(ISNUMBER($U192),$U192="DNA"),$U192,IF(OR(ISNUMBER($T192),$T192="DNA"),$T192,IF(OR(ISNUMBER($S192),$S192="DNA"),$S192,IF(OR(ISNUMBER($R192),$R192="DNA"),$R192,IF(OR(ISNUMBER($Q192),$Q192="DNA"),$Q192,IF(OR(ISNUMBER($N192),$N192="DNA"),$N192,IF(OR(ISNUMBER($M192),$M192="DNA"),$M192,IF(OR(ISNUMBER($L192),$L192="DNA"),$L192,"")))))))))="DNA",AND(ISNUMBER(IF(OR(ISNUMBER($V192),$V192="DNA"),$V192,IF(OR(ISNUMBER($U192),$U192="DNA"),$U192,IF(OR(ISNUMBER($T192),$T192="DNA"),$T192,IF(OR(ISNUMBER($S192),$S192="DNA"),$S192,IF(OR(ISNUMBER($R192),$R192="DNA"),$R192,IF(OR(ISNUMBER($Q192),$Q192="DNA"),$Q192,IF(OR(ISNUMBER($N192),$N192="DNA"),$N192,IF(OR(ISNUMBER($M192),$M192="DNA"),$M192,IF(OR(ISNUMBER($L192),$L192="DNA"),$L192,"")))))))))),IF(OR(ISNUMBER($V192),$V192="DNA"),$V192,IF(OR(ISNUMBER($U192),$U192="DNA"),$U192,IF(OR(ISNUMBER($T192),$T192="DNA"),$T192,IF(OR(ISNUMBER($S192),$S192="DNA"),$S192,IF(OR(ISNUMBER($R192),$R192="DNA"),$R192,IF(OR(ISNUMBER($Q192),$Q192="DNA"),$Q192,IF(OR(ISNUMBER($N192),$N192="DNA"),$N192,IF(OR(ISNUMBER($M192),$M192="DNA"),$M192,IF(OR(ISNUMBER($L192),$L192="DNA"),$L192,"")))))))))&lt;TODAY())),1,0)+ISNUMBER($O192)*($O192&lt;TODAY())+ISNUMBER($P192)*($P192&lt;TODAY())+ISNUMBER($X192)*($X192&lt;TODAY())+ISNUMBER($Y192)*($Y192&lt;TODAY()))</f>
        <v/>
      </c>
    </row>
    <row r="193">
      <c r="A193" s="25" t="n"/>
      <c r="B193" s="26" t="n"/>
      <c r="C193" s="27" t="n"/>
      <c r="D193" s="25" t="n"/>
      <c r="E193" s="25" t="n"/>
      <c r="F193" s="27" t="n"/>
      <c r="G193" s="25" t="n"/>
      <c r="H193" s="28">
        <f>IF(OR(NOT(AND($A193&lt;&gt;"",OR($G193="",$G193="Active"))),$F193=""),"",INT((TODAY()-$F193+280)/7)&amp;"+"&amp;MOD(TODAY()-$F193+280,7))</f>
        <v/>
      </c>
      <c r="I193" s="28">
        <f>IF(NOT(AND($A193&lt;&gt;"",OR($G193="",$G193="Active"))),"",ISNUMBER($L193)*($L193&gt;=TODAY())*($L193&lt;=TODAY()+7)+ISNUMBER($M193)*($M193&gt;=TODAY())*($M193&lt;=TODAY()+7)+ISNUMBER($N193)*($N193&gt;=TODAY())*($N193&lt;=TODAY()+7)+ISNUMBER($Q193)*($Q193&gt;=TODAY())*($Q193&lt;=TODAY()+7)+ISNUMBER($R193)*($R193&gt;=TODAY())*($R193&lt;=TODAY()+7)+ISNUMBER($S193)*($S193&gt;=TODAY())*($S193&lt;=TODAY()+7)+ISNUMBER($T193)*($T193&gt;=TODAY())*($T193&lt;=TODAY()+7)+ISNUMBER($U193)*($U193&gt;=TODAY())*($U193&lt;=TODAY()+7)+ISNUMBER($V193)*($V193&gt;=TODAY())*($V193&lt;=TODAY()+7)+ISNUMBER($O193)*($O193&gt;=TODAY())*($O193&lt;=TODAY()+7)+ISNUMBER($P193)*($P193&gt;=TODAY())*($P193&lt;=TODAY()+7)+ISNUMBER($X193)*($X193&gt;=TODAY())*($X193&lt;=TODAY()+7)+ISNUMBER($Y193)*($Y193&gt;=TODAY())*($Y193&lt;=TODAY()+7))</f>
        <v/>
      </c>
      <c r="J193" s="28">
        <f>IF(NOT(AND($A193&lt;&gt;"",OR($G193="",$G193="Active"))),"",IF($K193&lt;&gt;"",IF($L193=$K193,"Booking",IF($M193=$K193,"16/40",IF($N193=$K193,"25/40",IF($Q193=$K193,"28/40",IF($R193=$K193,"31/40",IF($S193=$K193,"34/40",IF($T193=$K193,"36/40",IF($U193=$K193,"38/40",IF($V193=$K193,"40/40",""))))))))),IF(IF(OR(ISNUMBER($V193),$V193="DNA"),$V193,IF(OR(ISNUMBER($U193),$U193="DNA"),$U193,IF(OR(ISNUMBER($T193),$T193="DNA"),$T193,IF(OR(ISNUMBER($S193),$S193="DNA"),$S193,IF(OR(ISNUMBER($R193),$R193="DNA"),$R193,IF(OR(ISNUMBER($Q193),$Q193="DNA"),$Q193,IF(OR(ISNUMBER($N193),$N193="DNA"),$N193,IF(OR(ISNUMBER($M193),$M193="DNA"),$M193,IF(OR(ISNUMBER($L193),$L193="DNA"),$L193,"")))))))))="DNA","Rebook DNA",IF(ISNUMBER(IF(OR(ISNUMBER($V193),$V193="DNA"),$V193,IF(OR(ISNUMBER($U193),$U193="DNA"),$U193,IF(OR(ISNUMBER($T193),$T193="DNA"),$T193,IF(OR(ISNUMBER($S193),$S193="DNA"),$S193,IF(OR(ISNUMBER($R193),$R193="DNA"),$R193,IF(OR(ISNUMBER($Q193),$Q193="DNA"),$Q193,IF(OR(ISNUMBER($N193),$N193="DNA"),$N193,IF(OR(ISNUMBER($M193),$M193="DNA"),$M193,IF(OR(ISNUMBER($L193),$L193="DNA"),$L193,"")))))))))),IF(ISNUMBER($V193),"Update status","Missed/not booked?"),""))))</f>
        <v/>
      </c>
      <c r="K193" s="29">
        <f>IF(NOT(AND($A193&lt;&gt;"",OR($G193="",$G193="Active"))),"",IF(MIN(IF(AND(ISNUMBER($L193),$L193&gt;=TODAY()),$L193,99999),IF(AND(ISNUMBER($M193),$M193&gt;=TODAY()),$M193,99999),IF(AND(ISNUMBER($N193),$N193&gt;=TODAY()),$N193,99999),IF(AND(ISNUMBER($Q193),$Q193&gt;=TODAY()),$Q193,99999),IF(AND(ISNUMBER($R193),$R193&gt;=TODAY()),$R193,99999),IF(AND(ISNUMBER($S193),$S193&gt;=TODAY()),$S193,99999),IF(AND(ISNUMBER($T193),$T193&gt;=TODAY()),$T193,99999),IF(AND(ISNUMBER($U193),$U193&gt;=TODAY()),$U193,99999),IF(AND(ISNUMBER($V193),$V193&gt;=TODAY()),$V193,99999))=99999,"",MIN(IF(AND(ISNUMBER($L193),$L193&gt;=TODAY()),$L193,99999),IF(AND(ISNUMBER($M193),$M193&gt;=TODAY()),$M193,99999),IF(AND(ISNUMBER($N193),$N193&gt;=TODAY()),$N193,99999),IF(AND(ISNUMBER($Q193),$Q193&gt;=TODAY()),$Q193,99999),IF(AND(ISNUMBER($R193),$R193&gt;=TODAY()),$R193,99999),IF(AND(ISNUMBER($S193),$S193&gt;=TODAY()),$S193,99999),IF(AND(ISNUMBER($T193),$T193&gt;=TODAY()),$T193,99999),IF(AND(ISNUMBER($U193),$U193&gt;=TODAY()),$U193,99999),IF(AND(ISNUMBER($V193),$V193&gt;=TODAY()),$V193,99999))))</f>
        <v/>
      </c>
      <c r="L193" s="27" t="n"/>
      <c r="M193" s="27" t="n"/>
      <c r="N193" s="27" t="n"/>
      <c r="O193" s="27" t="n"/>
      <c r="P193" s="27" t="n"/>
      <c r="Q193" s="27" t="n"/>
      <c r="R193" s="27" t="n"/>
      <c r="S193" s="27" t="n"/>
      <c r="T193" s="27" t="n"/>
      <c r="U193" s="27" t="n"/>
      <c r="V193" s="27" t="n"/>
      <c r="W193" s="27" t="n"/>
      <c r="X193" s="27" t="n"/>
      <c r="Y193" s="27" t="n"/>
      <c r="Z193" s="30" t="n"/>
      <c r="AA193" s="25" t="n"/>
      <c r="AB193" s="28">
        <f>IF(NOT(AND($A193&lt;&gt;"",OR($G193="",$G193="Active"))),"",IF(OR(IF(OR(ISNUMBER($V193),$V193="DNA"),$V193,IF(OR(ISNUMBER($U193),$U193="DNA"),$U193,IF(OR(ISNUMBER($T193),$T193="DNA"),$T193,IF(OR(ISNUMBER($S193),$S193="DNA"),$S193,IF(OR(ISNUMBER($R193),$R193="DNA"),$R193,IF(OR(ISNUMBER($Q193),$Q193="DNA"),$Q193,IF(OR(ISNUMBER($N193),$N193="DNA"),$N193,IF(OR(ISNUMBER($M193),$M193="DNA"),$M193,IF(OR(ISNUMBER($L193),$L193="DNA"),$L193,"")))))))))="DNA",AND(ISNUMBER(IF(OR(ISNUMBER($V193),$V193="DNA"),$V193,IF(OR(ISNUMBER($U193),$U193="DNA"),$U193,IF(OR(ISNUMBER($T193),$T193="DNA"),$T193,IF(OR(ISNUMBER($S193),$S193="DNA"),$S193,IF(OR(ISNUMBER($R193),$R193="DNA"),$R193,IF(OR(ISNUMBER($Q193),$Q193="DNA"),$Q193,IF(OR(ISNUMBER($N193),$N193="DNA"),$N193,IF(OR(ISNUMBER($M193),$M193="DNA"),$M193,IF(OR(ISNUMBER($L193),$L193="DNA"),$L193,"")))))))))),IF(OR(ISNUMBER($V193),$V193="DNA"),$V193,IF(OR(ISNUMBER($U193),$U193="DNA"),$U193,IF(OR(ISNUMBER($T193),$T193="DNA"),$T193,IF(OR(ISNUMBER($S193),$S193="DNA"),$S193,IF(OR(ISNUMBER($R193),$R193="DNA"),$R193,IF(OR(ISNUMBER($Q193),$Q193="DNA"),$Q193,IF(OR(ISNUMBER($N193),$N193="DNA"),$N193,IF(OR(ISNUMBER($M193),$M193="DNA"),$M193,IF(OR(ISNUMBER($L193),$L193="DNA"),$L193,"")))))))))&lt;TODAY())),1,0)+ISNUMBER($O193)*($O193&lt;TODAY())+ISNUMBER($P193)*($P193&lt;TODAY())+ISNUMBER($X193)*($X193&lt;TODAY())+ISNUMBER($Y193)*($Y193&lt;TODAY()))</f>
        <v/>
      </c>
    </row>
    <row r="194">
      <c r="A194" s="25" t="n"/>
      <c r="B194" s="26" t="n"/>
      <c r="C194" s="27" t="n"/>
      <c r="D194" s="25" t="n"/>
      <c r="E194" s="25" t="n"/>
      <c r="F194" s="27" t="n"/>
      <c r="G194" s="25" t="n"/>
      <c r="H194" s="28">
        <f>IF(OR(NOT(AND($A194&lt;&gt;"",OR($G194="",$G194="Active"))),$F194=""),"",INT((TODAY()-$F194+280)/7)&amp;"+"&amp;MOD(TODAY()-$F194+280,7))</f>
        <v/>
      </c>
      <c r="I194" s="28">
        <f>IF(NOT(AND($A194&lt;&gt;"",OR($G194="",$G194="Active"))),"",ISNUMBER($L194)*($L194&gt;=TODAY())*($L194&lt;=TODAY()+7)+ISNUMBER($M194)*($M194&gt;=TODAY())*($M194&lt;=TODAY()+7)+ISNUMBER($N194)*($N194&gt;=TODAY())*($N194&lt;=TODAY()+7)+ISNUMBER($Q194)*($Q194&gt;=TODAY())*($Q194&lt;=TODAY()+7)+ISNUMBER($R194)*($R194&gt;=TODAY())*($R194&lt;=TODAY()+7)+ISNUMBER($S194)*($S194&gt;=TODAY())*($S194&lt;=TODAY()+7)+ISNUMBER($T194)*($T194&gt;=TODAY())*($T194&lt;=TODAY()+7)+ISNUMBER($U194)*($U194&gt;=TODAY())*($U194&lt;=TODAY()+7)+ISNUMBER($V194)*($V194&gt;=TODAY())*($V194&lt;=TODAY()+7)+ISNUMBER($O194)*($O194&gt;=TODAY())*($O194&lt;=TODAY()+7)+ISNUMBER($P194)*($P194&gt;=TODAY())*($P194&lt;=TODAY()+7)+ISNUMBER($X194)*($X194&gt;=TODAY())*($X194&lt;=TODAY()+7)+ISNUMBER($Y194)*($Y194&gt;=TODAY())*($Y194&lt;=TODAY()+7))</f>
        <v/>
      </c>
      <c r="J194" s="28">
        <f>IF(NOT(AND($A194&lt;&gt;"",OR($G194="",$G194="Active"))),"",IF($K194&lt;&gt;"",IF($L194=$K194,"Booking",IF($M194=$K194,"16/40",IF($N194=$K194,"25/40",IF($Q194=$K194,"28/40",IF($R194=$K194,"31/40",IF($S194=$K194,"34/40",IF($T194=$K194,"36/40",IF($U194=$K194,"38/40",IF($V194=$K194,"40/40",""))))))))),IF(IF(OR(ISNUMBER($V194),$V194="DNA"),$V194,IF(OR(ISNUMBER($U194),$U194="DNA"),$U194,IF(OR(ISNUMBER($T194),$T194="DNA"),$T194,IF(OR(ISNUMBER($S194),$S194="DNA"),$S194,IF(OR(ISNUMBER($R194),$R194="DNA"),$R194,IF(OR(ISNUMBER($Q194),$Q194="DNA"),$Q194,IF(OR(ISNUMBER($N194),$N194="DNA"),$N194,IF(OR(ISNUMBER($M194),$M194="DNA"),$M194,IF(OR(ISNUMBER($L194),$L194="DNA"),$L194,"")))))))))="DNA","Rebook DNA",IF(ISNUMBER(IF(OR(ISNUMBER($V194),$V194="DNA"),$V194,IF(OR(ISNUMBER($U194),$U194="DNA"),$U194,IF(OR(ISNUMBER($T194),$T194="DNA"),$T194,IF(OR(ISNUMBER($S194),$S194="DNA"),$S194,IF(OR(ISNUMBER($R194),$R194="DNA"),$R194,IF(OR(ISNUMBER($Q194),$Q194="DNA"),$Q194,IF(OR(ISNUMBER($N194),$N194="DNA"),$N194,IF(OR(ISNUMBER($M194),$M194="DNA"),$M194,IF(OR(ISNUMBER($L194),$L194="DNA"),$L194,"")))))))))),IF(ISNUMBER($V194),"Update status","Missed/not booked?"),""))))</f>
        <v/>
      </c>
      <c r="K194" s="29">
        <f>IF(NOT(AND($A194&lt;&gt;"",OR($G194="",$G194="Active"))),"",IF(MIN(IF(AND(ISNUMBER($L194),$L194&gt;=TODAY()),$L194,99999),IF(AND(ISNUMBER($M194),$M194&gt;=TODAY()),$M194,99999),IF(AND(ISNUMBER($N194),$N194&gt;=TODAY()),$N194,99999),IF(AND(ISNUMBER($Q194),$Q194&gt;=TODAY()),$Q194,99999),IF(AND(ISNUMBER($R194),$R194&gt;=TODAY()),$R194,99999),IF(AND(ISNUMBER($S194),$S194&gt;=TODAY()),$S194,99999),IF(AND(ISNUMBER($T194),$T194&gt;=TODAY()),$T194,99999),IF(AND(ISNUMBER($U194),$U194&gt;=TODAY()),$U194,99999),IF(AND(ISNUMBER($V194),$V194&gt;=TODAY()),$V194,99999))=99999,"",MIN(IF(AND(ISNUMBER($L194),$L194&gt;=TODAY()),$L194,99999),IF(AND(ISNUMBER($M194),$M194&gt;=TODAY()),$M194,99999),IF(AND(ISNUMBER($N194),$N194&gt;=TODAY()),$N194,99999),IF(AND(ISNUMBER($Q194),$Q194&gt;=TODAY()),$Q194,99999),IF(AND(ISNUMBER($R194),$R194&gt;=TODAY()),$R194,99999),IF(AND(ISNUMBER($S194),$S194&gt;=TODAY()),$S194,99999),IF(AND(ISNUMBER($T194),$T194&gt;=TODAY()),$T194,99999),IF(AND(ISNUMBER($U194),$U194&gt;=TODAY()),$U194,99999),IF(AND(ISNUMBER($V194),$V194&gt;=TODAY()),$V194,99999))))</f>
        <v/>
      </c>
      <c r="L194" s="27" t="n"/>
      <c r="M194" s="27" t="n"/>
      <c r="N194" s="27" t="n"/>
      <c r="O194" s="27" t="n"/>
      <c r="P194" s="27" t="n"/>
      <c r="Q194" s="27" t="n"/>
      <c r="R194" s="27" t="n"/>
      <c r="S194" s="27" t="n"/>
      <c r="T194" s="27" t="n"/>
      <c r="U194" s="27" t="n"/>
      <c r="V194" s="27" t="n"/>
      <c r="W194" s="27" t="n"/>
      <c r="X194" s="27" t="n"/>
      <c r="Y194" s="27" t="n"/>
      <c r="Z194" s="30" t="n"/>
      <c r="AA194" s="25" t="n"/>
      <c r="AB194" s="28">
        <f>IF(NOT(AND($A194&lt;&gt;"",OR($G194="",$G194="Active"))),"",IF(OR(IF(OR(ISNUMBER($V194),$V194="DNA"),$V194,IF(OR(ISNUMBER($U194),$U194="DNA"),$U194,IF(OR(ISNUMBER($T194),$T194="DNA"),$T194,IF(OR(ISNUMBER($S194),$S194="DNA"),$S194,IF(OR(ISNUMBER($R194),$R194="DNA"),$R194,IF(OR(ISNUMBER($Q194),$Q194="DNA"),$Q194,IF(OR(ISNUMBER($N194),$N194="DNA"),$N194,IF(OR(ISNUMBER($M194),$M194="DNA"),$M194,IF(OR(ISNUMBER($L194),$L194="DNA"),$L194,"")))))))))="DNA",AND(ISNUMBER(IF(OR(ISNUMBER($V194),$V194="DNA"),$V194,IF(OR(ISNUMBER($U194),$U194="DNA"),$U194,IF(OR(ISNUMBER($T194),$T194="DNA"),$T194,IF(OR(ISNUMBER($S194),$S194="DNA"),$S194,IF(OR(ISNUMBER($R194),$R194="DNA"),$R194,IF(OR(ISNUMBER($Q194),$Q194="DNA"),$Q194,IF(OR(ISNUMBER($N194),$N194="DNA"),$N194,IF(OR(ISNUMBER($M194),$M194="DNA"),$M194,IF(OR(ISNUMBER($L194),$L194="DNA"),$L194,"")))))))))),IF(OR(ISNUMBER($V194),$V194="DNA"),$V194,IF(OR(ISNUMBER($U194),$U194="DNA"),$U194,IF(OR(ISNUMBER($T194),$T194="DNA"),$T194,IF(OR(ISNUMBER($S194),$S194="DNA"),$S194,IF(OR(ISNUMBER($R194),$R194="DNA"),$R194,IF(OR(ISNUMBER($Q194),$Q194="DNA"),$Q194,IF(OR(ISNUMBER($N194),$N194="DNA"),$N194,IF(OR(ISNUMBER($M194),$M194="DNA"),$M194,IF(OR(ISNUMBER($L194),$L194="DNA"),$L194,"")))))))))&lt;TODAY())),1,0)+ISNUMBER($O194)*($O194&lt;TODAY())+ISNUMBER($P194)*($P194&lt;TODAY())+ISNUMBER($X194)*($X194&lt;TODAY())+ISNUMBER($Y194)*($Y194&lt;TODAY()))</f>
        <v/>
      </c>
    </row>
    <row r="195">
      <c r="A195" s="25" t="n"/>
      <c r="B195" s="26" t="n"/>
      <c r="C195" s="27" t="n"/>
      <c r="D195" s="25" t="n"/>
      <c r="E195" s="25" t="n"/>
      <c r="F195" s="27" t="n"/>
      <c r="G195" s="25" t="n"/>
      <c r="H195" s="28">
        <f>IF(OR(NOT(AND($A195&lt;&gt;"",OR($G195="",$G195="Active"))),$F195=""),"",INT((TODAY()-$F195+280)/7)&amp;"+"&amp;MOD(TODAY()-$F195+280,7))</f>
        <v/>
      </c>
      <c r="I195" s="28">
        <f>IF(NOT(AND($A195&lt;&gt;"",OR($G195="",$G195="Active"))),"",ISNUMBER($L195)*($L195&gt;=TODAY())*($L195&lt;=TODAY()+7)+ISNUMBER($M195)*($M195&gt;=TODAY())*($M195&lt;=TODAY()+7)+ISNUMBER($N195)*($N195&gt;=TODAY())*($N195&lt;=TODAY()+7)+ISNUMBER($Q195)*($Q195&gt;=TODAY())*($Q195&lt;=TODAY()+7)+ISNUMBER($R195)*($R195&gt;=TODAY())*($R195&lt;=TODAY()+7)+ISNUMBER($S195)*($S195&gt;=TODAY())*($S195&lt;=TODAY()+7)+ISNUMBER($T195)*($T195&gt;=TODAY())*($T195&lt;=TODAY()+7)+ISNUMBER($U195)*($U195&gt;=TODAY())*($U195&lt;=TODAY()+7)+ISNUMBER($V195)*($V195&gt;=TODAY())*($V195&lt;=TODAY()+7)+ISNUMBER($O195)*($O195&gt;=TODAY())*($O195&lt;=TODAY()+7)+ISNUMBER($P195)*($P195&gt;=TODAY())*($P195&lt;=TODAY()+7)+ISNUMBER($X195)*($X195&gt;=TODAY())*($X195&lt;=TODAY()+7)+ISNUMBER($Y195)*($Y195&gt;=TODAY())*($Y195&lt;=TODAY()+7))</f>
        <v/>
      </c>
      <c r="J195" s="28">
        <f>IF(NOT(AND($A195&lt;&gt;"",OR($G195="",$G195="Active"))),"",IF($K195&lt;&gt;"",IF($L195=$K195,"Booking",IF($M195=$K195,"16/40",IF($N195=$K195,"25/40",IF($Q195=$K195,"28/40",IF($R195=$K195,"31/40",IF($S195=$K195,"34/40",IF($T195=$K195,"36/40",IF($U195=$K195,"38/40",IF($V195=$K195,"40/40",""))))))))),IF(IF(OR(ISNUMBER($V195),$V195="DNA"),$V195,IF(OR(ISNUMBER($U195),$U195="DNA"),$U195,IF(OR(ISNUMBER($T195),$T195="DNA"),$T195,IF(OR(ISNUMBER($S195),$S195="DNA"),$S195,IF(OR(ISNUMBER($R195),$R195="DNA"),$R195,IF(OR(ISNUMBER($Q195),$Q195="DNA"),$Q195,IF(OR(ISNUMBER($N195),$N195="DNA"),$N195,IF(OR(ISNUMBER($M195),$M195="DNA"),$M195,IF(OR(ISNUMBER($L195),$L195="DNA"),$L195,"")))))))))="DNA","Rebook DNA",IF(ISNUMBER(IF(OR(ISNUMBER($V195),$V195="DNA"),$V195,IF(OR(ISNUMBER($U195),$U195="DNA"),$U195,IF(OR(ISNUMBER($T195),$T195="DNA"),$T195,IF(OR(ISNUMBER($S195),$S195="DNA"),$S195,IF(OR(ISNUMBER($R195),$R195="DNA"),$R195,IF(OR(ISNUMBER($Q195),$Q195="DNA"),$Q195,IF(OR(ISNUMBER($N195),$N195="DNA"),$N195,IF(OR(ISNUMBER($M195),$M195="DNA"),$M195,IF(OR(ISNUMBER($L195),$L195="DNA"),$L195,"")))))))))),IF(ISNUMBER($V195),"Update status","Missed/not booked?"),""))))</f>
        <v/>
      </c>
      <c r="K195" s="29">
        <f>IF(NOT(AND($A195&lt;&gt;"",OR($G195="",$G195="Active"))),"",IF(MIN(IF(AND(ISNUMBER($L195),$L195&gt;=TODAY()),$L195,99999),IF(AND(ISNUMBER($M195),$M195&gt;=TODAY()),$M195,99999),IF(AND(ISNUMBER($N195),$N195&gt;=TODAY()),$N195,99999),IF(AND(ISNUMBER($Q195),$Q195&gt;=TODAY()),$Q195,99999),IF(AND(ISNUMBER($R195),$R195&gt;=TODAY()),$R195,99999),IF(AND(ISNUMBER($S195),$S195&gt;=TODAY()),$S195,99999),IF(AND(ISNUMBER($T195),$T195&gt;=TODAY()),$T195,99999),IF(AND(ISNUMBER($U195),$U195&gt;=TODAY()),$U195,99999),IF(AND(ISNUMBER($V195),$V195&gt;=TODAY()),$V195,99999))=99999,"",MIN(IF(AND(ISNUMBER($L195),$L195&gt;=TODAY()),$L195,99999),IF(AND(ISNUMBER($M195),$M195&gt;=TODAY()),$M195,99999),IF(AND(ISNUMBER($N195),$N195&gt;=TODAY()),$N195,99999),IF(AND(ISNUMBER($Q195),$Q195&gt;=TODAY()),$Q195,99999),IF(AND(ISNUMBER($R195),$R195&gt;=TODAY()),$R195,99999),IF(AND(ISNUMBER($S195),$S195&gt;=TODAY()),$S195,99999),IF(AND(ISNUMBER($T195),$T195&gt;=TODAY()),$T195,99999),IF(AND(ISNUMBER($U195),$U195&gt;=TODAY()),$U195,99999),IF(AND(ISNUMBER($V195),$V195&gt;=TODAY()),$V195,99999))))</f>
        <v/>
      </c>
      <c r="L195" s="27" t="n"/>
      <c r="M195" s="27" t="n"/>
      <c r="N195" s="27" t="n"/>
      <c r="O195" s="27" t="n"/>
      <c r="P195" s="27" t="n"/>
      <c r="Q195" s="27" t="n"/>
      <c r="R195" s="27" t="n"/>
      <c r="S195" s="27" t="n"/>
      <c r="T195" s="27" t="n"/>
      <c r="U195" s="27" t="n"/>
      <c r="V195" s="27" t="n"/>
      <c r="W195" s="27" t="n"/>
      <c r="X195" s="27" t="n"/>
      <c r="Y195" s="27" t="n"/>
      <c r="Z195" s="30" t="n"/>
      <c r="AA195" s="25" t="n"/>
      <c r="AB195" s="28">
        <f>IF(NOT(AND($A195&lt;&gt;"",OR($G195="",$G195="Active"))),"",IF(OR(IF(OR(ISNUMBER($V195),$V195="DNA"),$V195,IF(OR(ISNUMBER($U195),$U195="DNA"),$U195,IF(OR(ISNUMBER($T195),$T195="DNA"),$T195,IF(OR(ISNUMBER($S195),$S195="DNA"),$S195,IF(OR(ISNUMBER($R195),$R195="DNA"),$R195,IF(OR(ISNUMBER($Q195),$Q195="DNA"),$Q195,IF(OR(ISNUMBER($N195),$N195="DNA"),$N195,IF(OR(ISNUMBER($M195),$M195="DNA"),$M195,IF(OR(ISNUMBER($L195),$L195="DNA"),$L195,"")))))))))="DNA",AND(ISNUMBER(IF(OR(ISNUMBER($V195),$V195="DNA"),$V195,IF(OR(ISNUMBER($U195),$U195="DNA"),$U195,IF(OR(ISNUMBER($T195),$T195="DNA"),$T195,IF(OR(ISNUMBER($S195),$S195="DNA"),$S195,IF(OR(ISNUMBER($R195),$R195="DNA"),$R195,IF(OR(ISNUMBER($Q195),$Q195="DNA"),$Q195,IF(OR(ISNUMBER($N195),$N195="DNA"),$N195,IF(OR(ISNUMBER($M195),$M195="DNA"),$M195,IF(OR(ISNUMBER($L195),$L195="DNA"),$L195,"")))))))))),IF(OR(ISNUMBER($V195),$V195="DNA"),$V195,IF(OR(ISNUMBER($U195),$U195="DNA"),$U195,IF(OR(ISNUMBER($T195),$T195="DNA"),$T195,IF(OR(ISNUMBER($S195),$S195="DNA"),$S195,IF(OR(ISNUMBER($R195),$R195="DNA"),$R195,IF(OR(ISNUMBER($Q195),$Q195="DNA"),$Q195,IF(OR(ISNUMBER($N195),$N195="DNA"),$N195,IF(OR(ISNUMBER($M195),$M195="DNA"),$M195,IF(OR(ISNUMBER($L195),$L195="DNA"),$L195,"")))))))))&lt;TODAY())),1,0)+ISNUMBER($O195)*($O195&lt;TODAY())+ISNUMBER($P195)*($P195&lt;TODAY())+ISNUMBER($X195)*($X195&lt;TODAY())+ISNUMBER($Y195)*($Y195&lt;TODAY()))</f>
        <v/>
      </c>
    </row>
    <row r="196">
      <c r="A196" s="25" t="n"/>
      <c r="B196" s="26" t="n"/>
      <c r="C196" s="27" t="n"/>
      <c r="D196" s="25" t="n"/>
      <c r="E196" s="25" t="n"/>
      <c r="F196" s="27" t="n"/>
      <c r="G196" s="25" t="n"/>
      <c r="H196" s="28">
        <f>IF(OR(NOT(AND($A196&lt;&gt;"",OR($G196="",$G196="Active"))),$F196=""),"",INT((TODAY()-$F196+280)/7)&amp;"+"&amp;MOD(TODAY()-$F196+280,7))</f>
        <v/>
      </c>
      <c r="I196" s="28">
        <f>IF(NOT(AND($A196&lt;&gt;"",OR($G196="",$G196="Active"))),"",ISNUMBER($L196)*($L196&gt;=TODAY())*($L196&lt;=TODAY()+7)+ISNUMBER($M196)*($M196&gt;=TODAY())*($M196&lt;=TODAY()+7)+ISNUMBER($N196)*($N196&gt;=TODAY())*($N196&lt;=TODAY()+7)+ISNUMBER($Q196)*($Q196&gt;=TODAY())*($Q196&lt;=TODAY()+7)+ISNUMBER($R196)*($R196&gt;=TODAY())*($R196&lt;=TODAY()+7)+ISNUMBER($S196)*($S196&gt;=TODAY())*($S196&lt;=TODAY()+7)+ISNUMBER($T196)*($T196&gt;=TODAY())*($T196&lt;=TODAY()+7)+ISNUMBER($U196)*($U196&gt;=TODAY())*($U196&lt;=TODAY()+7)+ISNUMBER($V196)*($V196&gt;=TODAY())*($V196&lt;=TODAY()+7)+ISNUMBER($O196)*($O196&gt;=TODAY())*($O196&lt;=TODAY()+7)+ISNUMBER($P196)*($P196&gt;=TODAY())*($P196&lt;=TODAY()+7)+ISNUMBER($X196)*($X196&gt;=TODAY())*($X196&lt;=TODAY()+7)+ISNUMBER($Y196)*($Y196&gt;=TODAY())*($Y196&lt;=TODAY()+7))</f>
        <v/>
      </c>
      <c r="J196" s="28">
        <f>IF(NOT(AND($A196&lt;&gt;"",OR($G196="",$G196="Active"))),"",IF($K196&lt;&gt;"",IF($L196=$K196,"Booking",IF($M196=$K196,"16/40",IF($N196=$K196,"25/40",IF($Q196=$K196,"28/40",IF($R196=$K196,"31/40",IF($S196=$K196,"34/40",IF($T196=$K196,"36/40",IF($U196=$K196,"38/40",IF($V196=$K196,"40/40",""))))))))),IF(IF(OR(ISNUMBER($V196),$V196="DNA"),$V196,IF(OR(ISNUMBER($U196),$U196="DNA"),$U196,IF(OR(ISNUMBER($T196),$T196="DNA"),$T196,IF(OR(ISNUMBER($S196),$S196="DNA"),$S196,IF(OR(ISNUMBER($R196),$R196="DNA"),$R196,IF(OR(ISNUMBER($Q196),$Q196="DNA"),$Q196,IF(OR(ISNUMBER($N196),$N196="DNA"),$N196,IF(OR(ISNUMBER($M196),$M196="DNA"),$M196,IF(OR(ISNUMBER($L196),$L196="DNA"),$L196,"")))))))))="DNA","Rebook DNA",IF(ISNUMBER(IF(OR(ISNUMBER($V196),$V196="DNA"),$V196,IF(OR(ISNUMBER($U196),$U196="DNA"),$U196,IF(OR(ISNUMBER($T196),$T196="DNA"),$T196,IF(OR(ISNUMBER($S196),$S196="DNA"),$S196,IF(OR(ISNUMBER($R196),$R196="DNA"),$R196,IF(OR(ISNUMBER($Q196),$Q196="DNA"),$Q196,IF(OR(ISNUMBER($N196),$N196="DNA"),$N196,IF(OR(ISNUMBER($M196),$M196="DNA"),$M196,IF(OR(ISNUMBER($L196),$L196="DNA"),$L196,"")))))))))),IF(ISNUMBER($V196),"Update status","Missed/not booked?"),""))))</f>
        <v/>
      </c>
      <c r="K196" s="29">
        <f>IF(NOT(AND($A196&lt;&gt;"",OR($G196="",$G196="Active"))),"",IF(MIN(IF(AND(ISNUMBER($L196),$L196&gt;=TODAY()),$L196,99999),IF(AND(ISNUMBER($M196),$M196&gt;=TODAY()),$M196,99999),IF(AND(ISNUMBER($N196),$N196&gt;=TODAY()),$N196,99999),IF(AND(ISNUMBER($Q196),$Q196&gt;=TODAY()),$Q196,99999),IF(AND(ISNUMBER($R196),$R196&gt;=TODAY()),$R196,99999),IF(AND(ISNUMBER($S196),$S196&gt;=TODAY()),$S196,99999),IF(AND(ISNUMBER($T196),$T196&gt;=TODAY()),$T196,99999),IF(AND(ISNUMBER($U196),$U196&gt;=TODAY()),$U196,99999),IF(AND(ISNUMBER($V196),$V196&gt;=TODAY()),$V196,99999))=99999,"",MIN(IF(AND(ISNUMBER($L196),$L196&gt;=TODAY()),$L196,99999),IF(AND(ISNUMBER($M196),$M196&gt;=TODAY()),$M196,99999),IF(AND(ISNUMBER($N196),$N196&gt;=TODAY()),$N196,99999),IF(AND(ISNUMBER($Q196),$Q196&gt;=TODAY()),$Q196,99999),IF(AND(ISNUMBER($R196),$R196&gt;=TODAY()),$R196,99999),IF(AND(ISNUMBER($S196),$S196&gt;=TODAY()),$S196,99999),IF(AND(ISNUMBER($T196),$T196&gt;=TODAY()),$T196,99999),IF(AND(ISNUMBER($U196),$U196&gt;=TODAY()),$U196,99999),IF(AND(ISNUMBER($V196),$V196&gt;=TODAY()),$V196,99999))))</f>
        <v/>
      </c>
      <c r="L196" s="27" t="n"/>
      <c r="M196" s="27" t="n"/>
      <c r="N196" s="27" t="n"/>
      <c r="O196" s="27" t="n"/>
      <c r="P196" s="27" t="n"/>
      <c r="Q196" s="27" t="n"/>
      <c r="R196" s="27" t="n"/>
      <c r="S196" s="27" t="n"/>
      <c r="T196" s="27" t="n"/>
      <c r="U196" s="27" t="n"/>
      <c r="V196" s="27" t="n"/>
      <c r="W196" s="27" t="n"/>
      <c r="X196" s="27" t="n"/>
      <c r="Y196" s="27" t="n"/>
      <c r="Z196" s="30" t="n"/>
      <c r="AA196" s="25" t="n"/>
      <c r="AB196" s="28">
        <f>IF(NOT(AND($A196&lt;&gt;"",OR($G196="",$G196="Active"))),"",IF(OR(IF(OR(ISNUMBER($V196),$V196="DNA"),$V196,IF(OR(ISNUMBER($U196),$U196="DNA"),$U196,IF(OR(ISNUMBER($T196),$T196="DNA"),$T196,IF(OR(ISNUMBER($S196),$S196="DNA"),$S196,IF(OR(ISNUMBER($R196),$R196="DNA"),$R196,IF(OR(ISNUMBER($Q196),$Q196="DNA"),$Q196,IF(OR(ISNUMBER($N196),$N196="DNA"),$N196,IF(OR(ISNUMBER($M196),$M196="DNA"),$M196,IF(OR(ISNUMBER($L196),$L196="DNA"),$L196,"")))))))))="DNA",AND(ISNUMBER(IF(OR(ISNUMBER($V196),$V196="DNA"),$V196,IF(OR(ISNUMBER($U196),$U196="DNA"),$U196,IF(OR(ISNUMBER($T196),$T196="DNA"),$T196,IF(OR(ISNUMBER($S196),$S196="DNA"),$S196,IF(OR(ISNUMBER($R196),$R196="DNA"),$R196,IF(OR(ISNUMBER($Q196),$Q196="DNA"),$Q196,IF(OR(ISNUMBER($N196),$N196="DNA"),$N196,IF(OR(ISNUMBER($M196),$M196="DNA"),$M196,IF(OR(ISNUMBER($L196),$L196="DNA"),$L196,"")))))))))),IF(OR(ISNUMBER($V196),$V196="DNA"),$V196,IF(OR(ISNUMBER($U196),$U196="DNA"),$U196,IF(OR(ISNUMBER($T196),$T196="DNA"),$T196,IF(OR(ISNUMBER($S196),$S196="DNA"),$S196,IF(OR(ISNUMBER($R196),$R196="DNA"),$R196,IF(OR(ISNUMBER($Q196),$Q196="DNA"),$Q196,IF(OR(ISNUMBER($N196),$N196="DNA"),$N196,IF(OR(ISNUMBER($M196),$M196="DNA"),$M196,IF(OR(ISNUMBER($L196),$L196="DNA"),$L196,"")))))))))&lt;TODAY())),1,0)+ISNUMBER($O196)*($O196&lt;TODAY())+ISNUMBER($P196)*($P196&lt;TODAY())+ISNUMBER($X196)*($X196&lt;TODAY())+ISNUMBER($Y196)*($Y196&lt;TODAY()))</f>
        <v/>
      </c>
    </row>
    <row r="197">
      <c r="A197" s="25" t="n"/>
      <c r="B197" s="26" t="n"/>
      <c r="C197" s="27" t="n"/>
      <c r="D197" s="25" t="n"/>
      <c r="E197" s="25" t="n"/>
      <c r="F197" s="27" t="n"/>
      <c r="G197" s="25" t="n"/>
      <c r="H197" s="28">
        <f>IF(OR(NOT(AND($A197&lt;&gt;"",OR($G197="",$G197="Active"))),$F197=""),"",INT((TODAY()-$F197+280)/7)&amp;"+"&amp;MOD(TODAY()-$F197+280,7))</f>
        <v/>
      </c>
      <c r="I197" s="28">
        <f>IF(NOT(AND($A197&lt;&gt;"",OR($G197="",$G197="Active"))),"",ISNUMBER($L197)*($L197&gt;=TODAY())*($L197&lt;=TODAY()+7)+ISNUMBER($M197)*($M197&gt;=TODAY())*($M197&lt;=TODAY()+7)+ISNUMBER($N197)*($N197&gt;=TODAY())*($N197&lt;=TODAY()+7)+ISNUMBER($Q197)*($Q197&gt;=TODAY())*($Q197&lt;=TODAY()+7)+ISNUMBER($R197)*($R197&gt;=TODAY())*($R197&lt;=TODAY()+7)+ISNUMBER($S197)*($S197&gt;=TODAY())*($S197&lt;=TODAY()+7)+ISNUMBER($T197)*($T197&gt;=TODAY())*($T197&lt;=TODAY()+7)+ISNUMBER($U197)*($U197&gt;=TODAY())*($U197&lt;=TODAY()+7)+ISNUMBER($V197)*($V197&gt;=TODAY())*($V197&lt;=TODAY()+7)+ISNUMBER($O197)*($O197&gt;=TODAY())*($O197&lt;=TODAY()+7)+ISNUMBER($P197)*($P197&gt;=TODAY())*($P197&lt;=TODAY()+7)+ISNUMBER($X197)*($X197&gt;=TODAY())*($X197&lt;=TODAY()+7)+ISNUMBER($Y197)*($Y197&gt;=TODAY())*($Y197&lt;=TODAY()+7))</f>
        <v/>
      </c>
      <c r="J197" s="28">
        <f>IF(NOT(AND($A197&lt;&gt;"",OR($G197="",$G197="Active"))),"",IF($K197&lt;&gt;"",IF($L197=$K197,"Booking",IF($M197=$K197,"16/40",IF($N197=$K197,"25/40",IF($Q197=$K197,"28/40",IF($R197=$K197,"31/40",IF($S197=$K197,"34/40",IF($T197=$K197,"36/40",IF($U197=$K197,"38/40",IF($V197=$K197,"40/40",""))))))))),IF(IF(OR(ISNUMBER($V197),$V197="DNA"),$V197,IF(OR(ISNUMBER($U197),$U197="DNA"),$U197,IF(OR(ISNUMBER($T197),$T197="DNA"),$T197,IF(OR(ISNUMBER($S197),$S197="DNA"),$S197,IF(OR(ISNUMBER($R197),$R197="DNA"),$R197,IF(OR(ISNUMBER($Q197),$Q197="DNA"),$Q197,IF(OR(ISNUMBER($N197),$N197="DNA"),$N197,IF(OR(ISNUMBER($M197),$M197="DNA"),$M197,IF(OR(ISNUMBER($L197),$L197="DNA"),$L197,"")))))))))="DNA","Rebook DNA",IF(ISNUMBER(IF(OR(ISNUMBER($V197),$V197="DNA"),$V197,IF(OR(ISNUMBER($U197),$U197="DNA"),$U197,IF(OR(ISNUMBER($T197),$T197="DNA"),$T197,IF(OR(ISNUMBER($S197),$S197="DNA"),$S197,IF(OR(ISNUMBER($R197),$R197="DNA"),$R197,IF(OR(ISNUMBER($Q197),$Q197="DNA"),$Q197,IF(OR(ISNUMBER($N197),$N197="DNA"),$N197,IF(OR(ISNUMBER($M197),$M197="DNA"),$M197,IF(OR(ISNUMBER($L197),$L197="DNA"),$L197,"")))))))))),IF(ISNUMBER($V197),"Update status","Missed/not booked?"),""))))</f>
        <v/>
      </c>
      <c r="K197" s="29">
        <f>IF(NOT(AND($A197&lt;&gt;"",OR($G197="",$G197="Active"))),"",IF(MIN(IF(AND(ISNUMBER($L197),$L197&gt;=TODAY()),$L197,99999),IF(AND(ISNUMBER($M197),$M197&gt;=TODAY()),$M197,99999),IF(AND(ISNUMBER($N197),$N197&gt;=TODAY()),$N197,99999),IF(AND(ISNUMBER($Q197),$Q197&gt;=TODAY()),$Q197,99999),IF(AND(ISNUMBER($R197),$R197&gt;=TODAY()),$R197,99999),IF(AND(ISNUMBER($S197),$S197&gt;=TODAY()),$S197,99999),IF(AND(ISNUMBER($T197),$T197&gt;=TODAY()),$T197,99999),IF(AND(ISNUMBER($U197),$U197&gt;=TODAY()),$U197,99999),IF(AND(ISNUMBER($V197),$V197&gt;=TODAY()),$V197,99999))=99999,"",MIN(IF(AND(ISNUMBER($L197),$L197&gt;=TODAY()),$L197,99999),IF(AND(ISNUMBER($M197),$M197&gt;=TODAY()),$M197,99999),IF(AND(ISNUMBER($N197),$N197&gt;=TODAY()),$N197,99999),IF(AND(ISNUMBER($Q197),$Q197&gt;=TODAY()),$Q197,99999),IF(AND(ISNUMBER($R197),$R197&gt;=TODAY()),$R197,99999),IF(AND(ISNUMBER($S197),$S197&gt;=TODAY()),$S197,99999),IF(AND(ISNUMBER($T197),$T197&gt;=TODAY()),$T197,99999),IF(AND(ISNUMBER($U197),$U197&gt;=TODAY()),$U197,99999),IF(AND(ISNUMBER($V197),$V197&gt;=TODAY()),$V197,99999))))</f>
        <v/>
      </c>
      <c r="L197" s="27" t="n"/>
      <c r="M197" s="27" t="n"/>
      <c r="N197" s="27" t="n"/>
      <c r="O197" s="27" t="n"/>
      <c r="P197" s="27" t="n"/>
      <c r="Q197" s="27" t="n"/>
      <c r="R197" s="27" t="n"/>
      <c r="S197" s="27" t="n"/>
      <c r="T197" s="27" t="n"/>
      <c r="U197" s="27" t="n"/>
      <c r="V197" s="27" t="n"/>
      <c r="W197" s="27" t="n"/>
      <c r="X197" s="27" t="n"/>
      <c r="Y197" s="27" t="n"/>
      <c r="Z197" s="30" t="n"/>
      <c r="AA197" s="25" t="n"/>
      <c r="AB197" s="28">
        <f>IF(NOT(AND($A197&lt;&gt;"",OR($G197="",$G197="Active"))),"",IF(OR(IF(OR(ISNUMBER($V197),$V197="DNA"),$V197,IF(OR(ISNUMBER($U197),$U197="DNA"),$U197,IF(OR(ISNUMBER($T197),$T197="DNA"),$T197,IF(OR(ISNUMBER($S197),$S197="DNA"),$S197,IF(OR(ISNUMBER($R197),$R197="DNA"),$R197,IF(OR(ISNUMBER($Q197),$Q197="DNA"),$Q197,IF(OR(ISNUMBER($N197),$N197="DNA"),$N197,IF(OR(ISNUMBER($M197),$M197="DNA"),$M197,IF(OR(ISNUMBER($L197),$L197="DNA"),$L197,"")))))))))="DNA",AND(ISNUMBER(IF(OR(ISNUMBER($V197),$V197="DNA"),$V197,IF(OR(ISNUMBER($U197),$U197="DNA"),$U197,IF(OR(ISNUMBER($T197),$T197="DNA"),$T197,IF(OR(ISNUMBER($S197),$S197="DNA"),$S197,IF(OR(ISNUMBER($R197),$R197="DNA"),$R197,IF(OR(ISNUMBER($Q197),$Q197="DNA"),$Q197,IF(OR(ISNUMBER($N197),$N197="DNA"),$N197,IF(OR(ISNUMBER($M197),$M197="DNA"),$M197,IF(OR(ISNUMBER($L197),$L197="DNA"),$L197,"")))))))))),IF(OR(ISNUMBER($V197),$V197="DNA"),$V197,IF(OR(ISNUMBER($U197),$U197="DNA"),$U197,IF(OR(ISNUMBER($T197),$T197="DNA"),$T197,IF(OR(ISNUMBER($S197),$S197="DNA"),$S197,IF(OR(ISNUMBER($R197),$R197="DNA"),$R197,IF(OR(ISNUMBER($Q197),$Q197="DNA"),$Q197,IF(OR(ISNUMBER($N197),$N197="DNA"),$N197,IF(OR(ISNUMBER($M197),$M197="DNA"),$M197,IF(OR(ISNUMBER($L197),$L197="DNA"),$L197,"")))))))))&lt;TODAY())),1,0)+ISNUMBER($O197)*($O197&lt;TODAY())+ISNUMBER($P197)*($P197&lt;TODAY())+ISNUMBER($X197)*($X197&lt;TODAY())+ISNUMBER($Y197)*($Y197&lt;TODAY()))</f>
        <v/>
      </c>
    </row>
    <row r="198">
      <c r="A198" s="25" t="n"/>
      <c r="B198" s="26" t="n"/>
      <c r="C198" s="27" t="n"/>
      <c r="D198" s="25" t="n"/>
      <c r="E198" s="25" t="n"/>
      <c r="F198" s="27" t="n"/>
      <c r="G198" s="25" t="n"/>
      <c r="H198" s="28">
        <f>IF(OR(NOT(AND($A198&lt;&gt;"",OR($G198="",$G198="Active"))),$F198=""),"",INT((TODAY()-$F198+280)/7)&amp;"+"&amp;MOD(TODAY()-$F198+280,7))</f>
        <v/>
      </c>
      <c r="I198" s="28">
        <f>IF(NOT(AND($A198&lt;&gt;"",OR($G198="",$G198="Active"))),"",ISNUMBER($L198)*($L198&gt;=TODAY())*($L198&lt;=TODAY()+7)+ISNUMBER($M198)*($M198&gt;=TODAY())*($M198&lt;=TODAY()+7)+ISNUMBER($N198)*($N198&gt;=TODAY())*($N198&lt;=TODAY()+7)+ISNUMBER($Q198)*($Q198&gt;=TODAY())*($Q198&lt;=TODAY()+7)+ISNUMBER($R198)*($R198&gt;=TODAY())*($R198&lt;=TODAY()+7)+ISNUMBER($S198)*($S198&gt;=TODAY())*($S198&lt;=TODAY()+7)+ISNUMBER($T198)*($T198&gt;=TODAY())*($T198&lt;=TODAY()+7)+ISNUMBER($U198)*($U198&gt;=TODAY())*($U198&lt;=TODAY()+7)+ISNUMBER($V198)*($V198&gt;=TODAY())*($V198&lt;=TODAY()+7)+ISNUMBER($O198)*($O198&gt;=TODAY())*($O198&lt;=TODAY()+7)+ISNUMBER($P198)*($P198&gt;=TODAY())*($P198&lt;=TODAY()+7)+ISNUMBER($X198)*($X198&gt;=TODAY())*($X198&lt;=TODAY()+7)+ISNUMBER($Y198)*($Y198&gt;=TODAY())*($Y198&lt;=TODAY()+7))</f>
        <v/>
      </c>
      <c r="J198" s="28">
        <f>IF(NOT(AND($A198&lt;&gt;"",OR($G198="",$G198="Active"))),"",IF($K198&lt;&gt;"",IF($L198=$K198,"Booking",IF($M198=$K198,"16/40",IF($N198=$K198,"25/40",IF($Q198=$K198,"28/40",IF($R198=$K198,"31/40",IF($S198=$K198,"34/40",IF($T198=$K198,"36/40",IF($U198=$K198,"38/40",IF($V198=$K198,"40/40",""))))))))),IF(IF(OR(ISNUMBER($V198),$V198="DNA"),$V198,IF(OR(ISNUMBER($U198),$U198="DNA"),$U198,IF(OR(ISNUMBER($T198),$T198="DNA"),$T198,IF(OR(ISNUMBER($S198),$S198="DNA"),$S198,IF(OR(ISNUMBER($R198),$R198="DNA"),$R198,IF(OR(ISNUMBER($Q198),$Q198="DNA"),$Q198,IF(OR(ISNUMBER($N198),$N198="DNA"),$N198,IF(OR(ISNUMBER($M198),$M198="DNA"),$M198,IF(OR(ISNUMBER($L198),$L198="DNA"),$L198,"")))))))))="DNA","Rebook DNA",IF(ISNUMBER(IF(OR(ISNUMBER($V198),$V198="DNA"),$V198,IF(OR(ISNUMBER($U198),$U198="DNA"),$U198,IF(OR(ISNUMBER($T198),$T198="DNA"),$T198,IF(OR(ISNUMBER($S198),$S198="DNA"),$S198,IF(OR(ISNUMBER($R198),$R198="DNA"),$R198,IF(OR(ISNUMBER($Q198),$Q198="DNA"),$Q198,IF(OR(ISNUMBER($N198),$N198="DNA"),$N198,IF(OR(ISNUMBER($M198),$M198="DNA"),$M198,IF(OR(ISNUMBER($L198),$L198="DNA"),$L198,"")))))))))),IF(ISNUMBER($V198),"Update status","Missed/not booked?"),""))))</f>
        <v/>
      </c>
      <c r="K198" s="29">
        <f>IF(NOT(AND($A198&lt;&gt;"",OR($G198="",$G198="Active"))),"",IF(MIN(IF(AND(ISNUMBER($L198),$L198&gt;=TODAY()),$L198,99999),IF(AND(ISNUMBER($M198),$M198&gt;=TODAY()),$M198,99999),IF(AND(ISNUMBER($N198),$N198&gt;=TODAY()),$N198,99999),IF(AND(ISNUMBER($Q198),$Q198&gt;=TODAY()),$Q198,99999),IF(AND(ISNUMBER($R198),$R198&gt;=TODAY()),$R198,99999),IF(AND(ISNUMBER($S198),$S198&gt;=TODAY()),$S198,99999),IF(AND(ISNUMBER($T198),$T198&gt;=TODAY()),$T198,99999),IF(AND(ISNUMBER($U198),$U198&gt;=TODAY()),$U198,99999),IF(AND(ISNUMBER($V198),$V198&gt;=TODAY()),$V198,99999))=99999,"",MIN(IF(AND(ISNUMBER($L198),$L198&gt;=TODAY()),$L198,99999),IF(AND(ISNUMBER($M198),$M198&gt;=TODAY()),$M198,99999),IF(AND(ISNUMBER($N198),$N198&gt;=TODAY()),$N198,99999),IF(AND(ISNUMBER($Q198),$Q198&gt;=TODAY()),$Q198,99999),IF(AND(ISNUMBER($R198),$R198&gt;=TODAY()),$R198,99999),IF(AND(ISNUMBER($S198),$S198&gt;=TODAY()),$S198,99999),IF(AND(ISNUMBER($T198),$T198&gt;=TODAY()),$T198,99999),IF(AND(ISNUMBER($U198),$U198&gt;=TODAY()),$U198,99999),IF(AND(ISNUMBER($V198),$V198&gt;=TODAY()),$V198,99999))))</f>
        <v/>
      </c>
      <c r="L198" s="27" t="n"/>
      <c r="M198" s="27" t="n"/>
      <c r="N198" s="27" t="n"/>
      <c r="O198" s="27" t="n"/>
      <c r="P198" s="27" t="n"/>
      <c r="Q198" s="27" t="n"/>
      <c r="R198" s="27" t="n"/>
      <c r="S198" s="27" t="n"/>
      <c r="T198" s="27" t="n"/>
      <c r="U198" s="27" t="n"/>
      <c r="V198" s="27" t="n"/>
      <c r="W198" s="27" t="n"/>
      <c r="X198" s="27" t="n"/>
      <c r="Y198" s="27" t="n"/>
      <c r="Z198" s="30" t="n"/>
      <c r="AA198" s="25" t="n"/>
      <c r="AB198" s="28">
        <f>IF(NOT(AND($A198&lt;&gt;"",OR($G198="",$G198="Active"))),"",IF(OR(IF(OR(ISNUMBER($V198),$V198="DNA"),$V198,IF(OR(ISNUMBER($U198),$U198="DNA"),$U198,IF(OR(ISNUMBER($T198),$T198="DNA"),$T198,IF(OR(ISNUMBER($S198),$S198="DNA"),$S198,IF(OR(ISNUMBER($R198),$R198="DNA"),$R198,IF(OR(ISNUMBER($Q198),$Q198="DNA"),$Q198,IF(OR(ISNUMBER($N198),$N198="DNA"),$N198,IF(OR(ISNUMBER($M198),$M198="DNA"),$M198,IF(OR(ISNUMBER($L198),$L198="DNA"),$L198,"")))))))))="DNA",AND(ISNUMBER(IF(OR(ISNUMBER($V198),$V198="DNA"),$V198,IF(OR(ISNUMBER($U198),$U198="DNA"),$U198,IF(OR(ISNUMBER($T198),$T198="DNA"),$T198,IF(OR(ISNUMBER($S198),$S198="DNA"),$S198,IF(OR(ISNUMBER($R198),$R198="DNA"),$R198,IF(OR(ISNUMBER($Q198),$Q198="DNA"),$Q198,IF(OR(ISNUMBER($N198),$N198="DNA"),$N198,IF(OR(ISNUMBER($M198),$M198="DNA"),$M198,IF(OR(ISNUMBER($L198),$L198="DNA"),$L198,"")))))))))),IF(OR(ISNUMBER($V198),$V198="DNA"),$V198,IF(OR(ISNUMBER($U198),$U198="DNA"),$U198,IF(OR(ISNUMBER($T198),$T198="DNA"),$T198,IF(OR(ISNUMBER($S198),$S198="DNA"),$S198,IF(OR(ISNUMBER($R198),$R198="DNA"),$R198,IF(OR(ISNUMBER($Q198),$Q198="DNA"),$Q198,IF(OR(ISNUMBER($N198),$N198="DNA"),$N198,IF(OR(ISNUMBER($M198),$M198="DNA"),$M198,IF(OR(ISNUMBER($L198),$L198="DNA"),$L198,"")))))))))&lt;TODAY())),1,0)+ISNUMBER($O198)*($O198&lt;TODAY())+ISNUMBER($P198)*($P198&lt;TODAY())+ISNUMBER($X198)*($X198&lt;TODAY())+ISNUMBER($Y198)*($Y198&lt;TODAY()))</f>
        <v/>
      </c>
    </row>
    <row r="199">
      <c r="A199" s="25" t="n"/>
      <c r="B199" s="26" t="n"/>
      <c r="C199" s="27" t="n"/>
      <c r="D199" s="25" t="n"/>
      <c r="E199" s="25" t="n"/>
      <c r="F199" s="27" t="n"/>
      <c r="G199" s="25" t="n"/>
      <c r="H199" s="28">
        <f>IF(OR(NOT(AND($A199&lt;&gt;"",OR($G199="",$G199="Active"))),$F199=""),"",INT((TODAY()-$F199+280)/7)&amp;"+"&amp;MOD(TODAY()-$F199+280,7))</f>
        <v/>
      </c>
      <c r="I199" s="28">
        <f>IF(NOT(AND($A199&lt;&gt;"",OR($G199="",$G199="Active"))),"",ISNUMBER($L199)*($L199&gt;=TODAY())*($L199&lt;=TODAY()+7)+ISNUMBER($M199)*($M199&gt;=TODAY())*($M199&lt;=TODAY()+7)+ISNUMBER($N199)*($N199&gt;=TODAY())*($N199&lt;=TODAY()+7)+ISNUMBER($Q199)*($Q199&gt;=TODAY())*($Q199&lt;=TODAY()+7)+ISNUMBER($R199)*($R199&gt;=TODAY())*($R199&lt;=TODAY()+7)+ISNUMBER($S199)*($S199&gt;=TODAY())*($S199&lt;=TODAY()+7)+ISNUMBER($T199)*($T199&gt;=TODAY())*($T199&lt;=TODAY()+7)+ISNUMBER($U199)*($U199&gt;=TODAY())*($U199&lt;=TODAY()+7)+ISNUMBER($V199)*($V199&gt;=TODAY())*($V199&lt;=TODAY()+7)+ISNUMBER($O199)*($O199&gt;=TODAY())*($O199&lt;=TODAY()+7)+ISNUMBER($P199)*($P199&gt;=TODAY())*($P199&lt;=TODAY()+7)+ISNUMBER($X199)*($X199&gt;=TODAY())*($X199&lt;=TODAY()+7)+ISNUMBER($Y199)*($Y199&gt;=TODAY())*($Y199&lt;=TODAY()+7))</f>
        <v/>
      </c>
      <c r="J199" s="28">
        <f>IF(NOT(AND($A199&lt;&gt;"",OR($G199="",$G199="Active"))),"",IF($K199&lt;&gt;"",IF($L199=$K199,"Booking",IF($M199=$K199,"16/40",IF($N199=$K199,"25/40",IF($Q199=$K199,"28/40",IF($R199=$K199,"31/40",IF($S199=$K199,"34/40",IF($T199=$K199,"36/40",IF($U199=$K199,"38/40",IF($V199=$K199,"40/40",""))))))))),IF(IF(OR(ISNUMBER($V199),$V199="DNA"),$V199,IF(OR(ISNUMBER($U199),$U199="DNA"),$U199,IF(OR(ISNUMBER($T199),$T199="DNA"),$T199,IF(OR(ISNUMBER($S199),$S199="DNA"),$S199,IF(OR(ISNUMBER($R199),$R199="DNA"),$R199,IF(OR(ISNUMBER($Q199),$Q199="DNA"),$Q199,IF(OR(ISNUMBER($N199),$N199="DNA"),$N199,IF(OR(ISNUMBER($M199),$M199="DNA"),$M199,IF(OR(ISNUMBER($L199),$L199="DNA"),$L199,"")))))))))="DNA","Rebook DNA",IF(ISNUMBER(IF(OR(ISNUMBER($V199),$V199="DNA"),$V199,IF(OR(ISNUMBER($U199),$U199="DNA"),$U199,IF(OR(ISNUMBER($T199),$T199="DNA"),$T199,IF(OR(ISNUMBER($S199),$S199="DNA"),$S199,IF(OR(ISNUMBER($R199),$R199="DNA"),$R199,IF(OR(ISNUMBER($Q199),$Q199="DNA"),$Q199,IF(OR(ISNUMBER($N199),$N199="DNA"),$N199,IF(OR(ISNUMBER($M199),$M199="DNA"),$M199,IF(OR(ISNUMBER($L199),$L199="DNA"),$L199,"")))))))))),IF(ISNUMBER($V199),"Update status","Missed/not booked?"),""))))</f>
        <v/>
      </c>
      <c r="K199" s="29">
        <f>IF(NOT(AND($A199&lt;&gt;"",OR($G199="",$G199="Active"))),"",IF(MIN(IF(AND(ISNUMBER($L199),$L199&gt;=TODAY()),$L199,99999),IF(AND(ISNUMBER($M199),$M199&gt;=TODAY()),$M199,99999),IF(AND(ISNUMBER($N199),$N199&gt;=TODAY()),$N199,99999),IF(AND(ISNUMBER($Q199),$Q199&gt;=TODAY()),$Q199,99999),IF(AND(ISNUMBER($R199),$R199&gt;=TODAY()),$R199,99999),IF(AND(ISNUMBER($S199),$S199&gt;=TODAY()),$S199,99999),IF(AND(ISNUMBER($T199),$T199&gt;=TODAY()),$T199,99999),IF(AND(ISNUMBER($U199),$U199&gt;=TODAY()),$U199,99999),IF(AND(ISNUMBER($V199),$V199&gt;=TODAY()),$V199,99999))=99999,"",MIN(IF(AND(ISNUMBER($L199),$L199&gt;=TODAY()),$L199,99999),IF(AND(ISNUMBER($M199),$M199&gt;=TODAY()),$M199,99999),IF(AND(ISNUMBER($N199),$N199&gt;=TODAY()),$N199,99999),IF(AND(ISNUMBER($Q199),$Q199&gt;=TODAY()),$Q199,99999),IF(AND(ISNUMBER($R199),$R199&gt;=TODAY()),$R199,99999),IF(AND(ISNUMBER($S199),$S199&gt;=TODAY()),$S199,99999),IF(AND(ISNUMBER($T199),$T199&gt;=TODAY()),$T199,99999),IF(AND(ISNUMBER($U199),$U199&gt;=TODAY()),$U199,99999),IF(AND(ISNUMBER($V199),$V199&gt;=TODAY()),$V199,99999))))</f>
        <v/>
      </c>
      <c r="L199" s="27" t="n"/>
      <c r="M199" s="27" t="n"/>
      <c r="N199" s="27" t="n"/>
      <c r="O199" s="27" t="n"/>
      <c r="P199" s="27" t="n"/>
      <c r="Q199" s="27" t="n"/>
      <c r="R199" s="27" t="n"/>
      <c r="S199" s="27" t="n"/>
      <c r="T199" s="27" t="n"/>
      <c r="U199" s="27" t="n"/>
      <c r="V199" s="27" t="n"/>
      <c r="W199" s="27" t="n"/>
      <c r="X199" s="27" t="n"/>
      <c r="Y199" s="27" t="n"/>
      <c r="Z199" s="30" t="n"/>
      <c r="AA199" s="25" t="n"/>
      <c r="AB199" s="28">
        <f>IF(NOT(AND($A199&lt;&gt;"",OR($G199="",$G199="Active"))),"",IF(OR(IF(OR(ISNUMBER($V199),$V199="DNA"),$V199,IF(OR(ISNUMBER($U199),$U199="DNA"),$U199,IF(OR(ISNUMBER($T199),$T199="DNA"),$T199,IF(OR(ISNUMBER($S199),$S199="DNA"),$S199,IF(OR(ISNUMBER($R199),$R199="DNA"),$R199,IF(OR(ISNUMBER($Q199),$Q199="DNA"),$Q199,IF(OR(ISNUMBER($N199),$N199="DNA"),$N199,IF(OR(ISNUMBER($M199),$M199="DNA"),$M199,IF(OR(ISNUMBER($L199),$L199="DNA"),$L199,"")))))))))="DNA",AND(ISNUMBER(IF(OR(ISNUMBER($V199),$V199="DNA"),$V199,IF(OR(ISNUMBER($U199),$U199="DNA"),$U199,IF(OR(ISNUMBER($T199),$T199="DNA"),$T199,IF(OR(ISNUMBER($S199),$S199="DNA"),$S199,IF(OR(ISNUMBER($R199),$R199="DNA"),$R199,IF(OR(ISNUMBER($Q199),$Q199="DNA"),$Q199,IF(OR(ISNUMBER($N199),$N199="DNA"),$N199,IF(OR(ISNUMBER($M199),$M199="DNA"),$M199,IF(OR(ISNUMBER($L199),$L199="DNA"),$L199,"")))))))))),IF(OR(ISNUMBER($V199),$V199="DNA"),$V199,IF(OR(ISNUMBER($U199),$U199="DNA"),$U199,IF(OR(ISNUMBER($T199),$T199="DNA"),$T199,IF(OR(ISNUMBER($S199),$S199="DNA"),$S199,IF(OR(ISNUMBER($R199),$R199="DNA"),$R199,IF(OR(ISNUMBER($Q199),$Q199="DNA"),$Q199,IF(OR(ISNUMBER($N199),$N199="DNA"),$N199,IF(OR(ISNUMBER($M199),$M199="DNA"),$M199,IF(OR(ISNUMBER($L199),$L199="DNA"),$L199,"")))))))))&lt;TODAY())),1,0)+ISNUMBER($O199)*($O199&lt;TODAY())+ISNUMBER($P199)*($P199&lt;TODAY())+ISNUMBER($X199)*($X199&lt;TODAY())+ISNUMBER($Y199)*($Y199&lt;TODAY()))</f>
        <v/>
      </c>
    </row>
    <row r="200">
      <c r="A200" s="25" t="n"/>
      <c r="B200" s="26" t="n"/>
      <c r="C200" s="27" t="n"/>
      <c r="D200" s="25" t="n"/>
      <c r="E200" s="25" t="n"/>
      <c r="F200" s="27" t="n"/>
      <c r="G200" s="25" t="n"/>
      <c r="H200" s="28">
        <f>IF(OR(NOT(AND($A200&lt;&gt;"",OR($G200="",$G200="Active"))),$F200=""),"",INT((TODAY()-$F200+280)/7)&amp;"+"&amp;MOD(TODAY()-$F200+280,7))</f>
        <v/>
      </c>
      <c r="I200" s="28">
        <f>IF(NOT(AND($A200&lt;&gt;"",OR($G200="",$G200="Active"))),"",ISNUMBER($L200)*($L200&gt;=TODAY())*($L200&lt;=TODAY()+7)+ISNUMBER($M200)*($M200&gt;=TODAY())*($M200&lt;=TODAY()+7)+ISNUMBER($N200)*($N200&gt;=TODAY())*($N200&lt;=TODAY()+7)+ISNUMBER($Q200)*($Q200&gt;=TODAY())*($Q200&lt;=TODAY()+7)+ISNUMBER($R200)*($R200&gt;=TODAY())*($R200&lt;=TODAY()+7)+ISNUMBER($S200)*($S200&gt;=TODAY())*($S200&lt;=TODAY()+7)+ISNUMBER($T200)*($T200&gt;=TODAY())*($T200&lt;=TODAY()+7)+ISNUMBER($U200)*($U200&gt;=TODAY())*($U200&lt;=TODAY()+7)+ISNUMBER($V200)*($V200&gt;=TODAY())*($V200&lt;=TODAY()+7)+ISNUMBER($O200)*($O200&gt;=TODAY())*($O200&lt;=TODAY()+7)+ISNUMBER($P200)*($P200&gt;=TODAY())*($P200&lt;=TODAY()+7)+ISNUMBER($X200)*($X200&gt;=TODAY())*($X200&lt;=TODAY()+7)+ISNUMBER($Y200)*($Y200&gt;=TODAY())*($Y200&lt;=TODAY()+7))</f>
        <v/>
      </c>
      <c r="J200" s="28">
        <f>IF(NOT(AND($A200&lt;&gt;"",OR($G200="",$G200="Active"))),"",IF($K200&lt;&gt;"",IF($L200=$K200,"Booking",IF($M200=$K200,"16/40",IF($N200=$K200,"25/40",IF($Q200=$K200,"28/40",IF($R200=$K200,"31/40",IF($S200=$K200,"34/40",IF($T200=$K200,"36/40",IF($U200=$K200,"38/40",IF($V200=$K200,"40/40",""))))))))),IF(IF(OR(ISNUMBER($V200),$V200="DNA"),$V200,IF(OR(ISNUMBER($U200),$U200="DNA"),$U200,IF(OR(ISNUMBER($T200),$T200="DNA"),$T200,IF(OR(ISNUMBER($S200),$S200="DNA"),$S200,IF(OR(ISNUMBER($R200),$R200="DNA"),$R200,IF(OR(ISNUMBER($Q200),$Q200="DNA"),$Q200,IF(OR(ISNUMBER($N200),$N200="DNA"),$N200,IF(OR(ISNUMBER($M200),$M200="DNA"),$M200,IF(OR(ISNUMBER($L200),$L200="DNA"),$L200,"")))))))))="DNA","Rebook DNA",IF(ISNUMBER(IF(OR(ISNUMBER($V200),$V200="DNA"),$V200,IF(OR(ISNUMBER($U200),$U200="DNA"),$U200,IF(OR(ISNUMBER($T200),$T200="DNA"),$T200,IF(OR(ISNUMBER($S200),$S200="DNA"),$S200,IF(OR(ISNUMBER($R200),$R200="DNA"),$R200,IF(OR(ISNUMBER($Q200),$Q200="DNA"),$Q200,IF(OR(ISNUMBER($N200),$N200="DNA"),$N200,IF(OR(ISNUMBER($M200),$M200="DNA"),$M200,IF(OR(ISNUMBER($L200),$L200="DNA"),$L200,"")))))))))),IF(ISNUMBER($V200),"Update status","Missed/not booked?"),""))))</f>
        <v/>
      </c>
      <c r="K200" s="29">
        <f>IF(NOT(AND($A200&lt;&gt;"",OR($G200="",$G200="Active"))),"",IF(MIN(IF(AND(ISNUMBER($L200),$L200&gt;=TODAY()),$L200,99999),IF(AND(ISNUMBER($M200),$M200&gt;=TODAY()),$M200,99999),IF(AND(ISNUMBER($N200),$N200&gt;=TODAY()),$N200,99999),IF(AND(ISNUMBER($Q200),$Q200&gt;=TODAY()),$Q200,99999),IF(AND(ISNUMBER($R200),$R200&gt;=TODAY()),$R200,99999),IF(AND(ISNUMBER($S200),$S200&gt;=TODAY()),$S200,99999),IF(AND(ISNUMBER($T200),$T200&gt;=TODAY()),$T200,99999),IF(AND(ISNUMBER($U200),$U200&gt;=TODAY()),$U200,99999),IF(AND(ISNUMBER($V200),$V200&gt;=TODAY()),$V200,99999))=99999,"",MIN(IF(AND(ISNUMBER($L200),$L200&gt;=TODAY()),$L200,99999),IF(AND(ISNUMBER($M200),$M200&gt;=TODAY()),$M200,99999),IF(AND(ISNUMBER($N200),$N200&gt;=TODAY()),$N200,99999),IF(AND(ISNUMBER($Q200),$Q200&gt;=TODAY()),$Q200,99999),IF(AND(ISNUMBER($R200),$R200&gt;=TODAY()),$R200,99999),IF(AND(ISNUMBER($S200),$S200&gt;=TODAY()),$S200,99999),IF(AND(ISNUMBER($T200),$T200&gt;=TODAY()),$T200,99999),IF(AND(ISNUMBER($U200),$U200&gt;=TODAY()),$U200,99999),IF(AND(ISNUMBER($V200),$V200&gt;=TODAY()),$V200,99999))))</f>
        <v/>
      </c>
      <c r="L200" s="27" t="n"/>
      <c r="M200" s="27" t="n"/>
      <c r="N200" s="27" t="n"/>
      <c r="O200" s="27" t="n"/>
      <c r="P200" s="27" t="n"/>
      <c r="Q200" s="27" t="n"/>
      <c r="R200" s="27" t="n"/>
      <c r="S200" s="27" t="n"/>
      <c r="T200" s="27" t="n"/>
      <c r="U200" s="27" t="n"/>
      <c r="V200" s="27" t="n"/>
      <c r="W200" s="27" t="n"/>
      <c r="X200" s="27" t="n"/>
      <c r="Y200" s="27" t="n"/>
      <c r="Z200" s="30" t="n"/>
      <c r="AA200" s="25" t="n"/>
      <c r="AB200" s="28">
        <f>IF(NOT(AND($A200&lt;&gt;"",OR($G200="",$G200="Active"))),"",IF(OR(IF(OR(ISNUMBER($V200),$V200="DNA"),$V200,IF(OR(ISNUMBER($U200),$U200="DNA"),$U200,IF(OR(ISNUMBER($T200),$T200="DNA"),$T200,IF(OR(ISNUMBER($S200),$S200="DNA"),$S200,IF(OR(ISNUMBER($R200),$R200="DNA"),$R200,IF(OR(ISNUMBER($Q200),$Q200="DNA"),$Q200,IF(OR(ISNUMBER($N200),$N200="DNA"),$N200,IF(OR(ISNUMBER($M200),$M200="DNA"),$M200,IF(OR(ISNUMBER($L200),$L200="DNA"),$L200,"")))))))))="DNA",AND(ISNUMBER(IF(OR(ISNUMBER($V200),$V200="DNA"),$V200,IF(OR(ISNUMBER($U200),$U200="DNA"),$U200,IF(OR(ISNUMBER($T200),$T200="DNA"),$T200,IF(OR(ISNUMBER($S200),$S200="DNA"),$S200,IF(OR(ISNUMBER($R200),$R200="DNA"),$R200,IF(OR(ISNUMBER($Q200),$Q200="DNA"),$Q200,IF(OR(ISNUMBER($N200),$N200="DNA"),$N200,IF(OR(ISNUMBER($M200),$M200="DNA"),$M200,IF(OR(ISNUMBER($L200),$L200="DNA"),$L200,"")))))))))),IF(OR(ISNUMBER($V200),$V200="DNA"),$V200,IF(OR(ISNUMBER($U200),$U200="DNA"),$U200,IF(OR(ISNUMBER($T200),$T200="DNA"),$T200,IF(OR(ISNUMBER($S200),$S200="DNA"),$S200,IF(OR(ISNUMBER($R200),$R200="DNA"),$R200,IF(OR(ISNUMBER($Q200),$Q200="DNA"),$Q200,IF(OR(ISNUMBER($N200),$N200="DNA"),$N200,IF(OR(ISNUMBER($M200),$M200="DNA"),$M200,IF(OR(ISNUMBER($L200),$L200="DNA"),$L200,"")))))))))&lt;TODAY())),1,0)+ISNUMBER($O200)*($O200&lt;TODAY())+ISNUMBER($P200)*($P200&lt;TODAY())+ISNUMBER($X200)*($X200&lt;TODAY())+ISNUMBER($Y200)*($Y200&lt;TODAY()))</f>
        <v/>
      </c>
    </row>
    <row r="201">
      <c r="A201" s="25" t="n"/>
      <c r="B201" s="26" t="n"/>
      <c r="C201" s="27" t="n"/>
      <c r="D201" s="25" t="n"/>
      <c r="E201" s="25" t="n"/>
      <c r="F201" s="27" t="n"/>
      <c r="G201" s="25" t="n"/>
      <c r="H201" s="28">
        <f>IF(OR(NOT(AND($A201&lt;&gt;"",OR($G201="",$G201="Active"))),$F201=""),"",INT((TODAY()-$F201+280)/7)&amp;"+"&amp;MOD(TODAY()-$F201+280,7))</f>
        <v/>
      </c>
      <c r="I201" s="28">
        <f>IF(NOT(AND($A201&lt;&gt;"",OR($G201="",$G201="Active"))),"",ISNUMBER($L201)*($L201&gt;=TODAY())*($L201&lt;=TODAY()+7)+ISNUMBER($M201)*($M201&gt;=TODAY())*($M201&lt;=TODAY()+7)+ISNUMBER($N201)*($N201&gt;=TODAY())*($N201&lt;=TODAY()+7)+ISNUMBER($Q201)*($Q201&gt;=TODAY())*($Q201&lt;=TODAY()+7)+ISNUMBER($R201)*($R201&gt;=TODAY())*($R201&lt;=TODAY()+7)+ISNUMBER($S201)*($S201&gt;=TODAY())*($S201&lt;=TODAY()+7)+ISNUMBER($T201)*($T201&gt;=TODAY())*($T201&lt;=TODAY()+7)+ISNUMBER($U201)*($U201&gt;=TODAY())*($U201&lt;=TODAY()+7)+ISNUMBER($V201)*($V201&gt;=TODAY())*($V201&lt;=TODAY()+7)+ISNUMBER($O201)*($O201&gt;=TODAY())*($O201&lt;=TODAY()+7)+ISNUMBER($P201)*($P201&gt;=TODAY())*($P201&lt;=TODAY()+7)+ISNUMBER($X201)*($X201&gt;=TODAY())*($X201&lt;=TODAY()+7)+ISNUMBER($Y201)*($Y201&gt;=TODAY())*($Y201&lt;=TODAY()+7))</f>
        <v/>
      </c>
      <c r="J201" s="28">
        <f>IF(NOT(AND($A201&lt;&gt;"",OR($G201="",$G201="Active"))),"",IF($K201&lt;&gt;"",IF($L201=$K201,"Booking",IF($M201=$K201,"16/40",IF($N201=$K201,"25/40",IF($Q201=$K201,"28/40",IF($R201=$K201,"31/40",IF($S201=$K201,"34/40",IF($T201=$K201,"36/40",IF($U201=$K201,"38/40",IF($V201=$K201,"40/40",""))))))))),IF(IF(OR(ISNUMBER($V201),$V201="DNA"),$V201,IF(OR(ISNUMBER($U201),$U201="DNA"),$U201,IF(OR(ISNUMBER($T201),$T201="DNA"),$T201,IF(OR(ISNUMBER($S201),$S201="DNA"),$S201,IF(OR(ISNUMBER($R201),$R201="DNA"),$R201,IF(OR(ISNUMBER($Q201),$Q201="DNA"),$Q201,IF(OR(ISNUMBER($N201),$N201="DNA"),$N201,IF(OR(ISNUMBER($M201),$M201="DNA"),$M201,IF(OR(ISNUMBER($L201),$L201="DNA"),$L201,"")))))))))="DNA","Rebook DNA",IF(ISNUMBER(IF(OR(ISNUMBER($V201),$V201="DNA"),$V201,IF(OR(ISNUMBER($U201),$U201="DNA"),$U201,IF(OR(ISNUMBER($T201),$T201="DNA"),$T201,IF(OR(ISNUMBER($S201),$S201="DNA"),$S201,IF(OR(ISNUMBER($R201),$R201="DNA"),$R201,IF(OR(ISNUMBER($Q201),$Q201="DNA"),$Q201,IF(OR(ISNUMBER($N201),$N201="DNA"),$N201,IF(OR(ISNUMBER($M201),$M201="DNA"),$M201,IF(OR(ISNUMBER($L201),$L201="DNA"),$L201,"")))))))))),IF(ISNUMBER($V201),"Update status","Missed/not booked?"),""))))</f>
        <v/>
      </c>
      <c r="K201" s="29">
        <f>IF(NOT(AND($A201&lt;&gt;"",OR($G201="",$G201="Active"))),"",IF(MIN(IF(AND(ISNUMBER($L201),$L201&gt;=TODAY()),$L201,99999),IF(AND(ISNUMBER($M201),$M201&gt;=TODAY()),$M201,99999),IF(AND(ISNUMBER($N201),$N201&gt;=TODAY()),$N201,99999),IF(AND(ISNUMBER($Q201),$Q201&gt;=TODAY()),$Q201,99999),IF(AND(ISNUMBER($R201),$R201&gt;=TODAY()),$R201,99999),IF(AND(ISNUMBER($S201),$S201&gt;=TODAY()),$S201,99999),IF(AND(ISNUMBER($T201),$T201&gt;=TODAY()),$T201,99999),IF(AND(ISNUMBER($U201),$U201&gt;=TODAY()),$U201,99999),IF(AND(ISNUMBER($V201),$V201&gt;=TODAY()),$V201,99999))=99999,"",MIN(IF(AND(ISNUMBER($L201),$L201&gt;=TODAY()),$L201,99999),IF(AND(ISNUMBER($M201),$M201&gt;=TODAY()),$M201,99999),IF(AND(ISNUMBER($N201),$N201&gt;=TODAY()),$N201,99999),IF(AND(ISNUMBER($Q201),$Q201&gt;=TODAY()),$Q201,99999),IF(AND(ISNUMBER($R201),$R201&gt;=TODAY()),$R201,99999),IF(AND(ISNUMBER($S201),$S201&gt;=TODAY()),$S201,99999),IF(AND(ISNUMBER($T201),$T201&gt;=TODAY()),$T201,99999),IF(AND(ISNUMBER($U201),$U201&gt;=TODAY()),$U201,99999),IF(AND(ISNUMBER($V201),$V201&gt;=TODAY()),$V201,99999))))</f>
        <v/>
      </c>
      <c r="L201" s="27" t="n"/>
      <c r="M201" s="27" t="n"/>
      <c r="N201" s="27" t="n"/>
      <c r="O201" s="27" t="n"/>
      <c r="P201" s="27" t="n"/>
      <c r="Q201" s="27" t="n"/>
      <c r="R201" s="27" t="n"/>
      <c r="S201" s="27" t="n"/>
      <c r="T201" s="27" t="n"/>
      <c r="U201" s="27" t="n"/>
      <c r="V201" s="27" t="n"/>
      <c r="W201" s="27" t="n"/>
      <c r="X201" s="27" t="n"/>
      <c r="Y201" s="27" t="n"/>
      <c r="Z201" s="30" t="n"/>
      <c r="AA201" s="25" t="n"/>
      <c r="AB201" s="28">
        <f>IF(NOT(AND($A201&lt;&gt;"",OR($G201="",$G201="Active"))),"",IF(OR(IF(OR(ISNUMBER($V201),$V201="DNA"),$V201,IF(OR(ISNUMBER($U201),$U201="DNA"),$U201,IF(OR(ISNUMBER($T201),$T201="DNA"),$T201,IF(OR(ISNUMBER($S201),$S201="DNA"),$S201,IF(OR(ISNUMBER($R201),$R201="DNA"),$R201,IF(OR(ISNUMBER($Q201),$Q201="DNA"),$Q201,IF(OR(ISNUMBER($N201),$N201="DNA"),$N201,IF(OR(ISNUMBER($M201),$M201="DNA"),$M201,IF(OR(ISNUMBER($L201),$L201="DNA"),$L201,"")))))))))="DNA",AND(ISNUMBER(IF(OR(ISNUMBER($V201),$V201="DNA"),$V201,IF(OR(ISNUMBER($U201),$U201="DNA"),$U201,IF(OR(ISNUMBER($T201),$T201="DNA"),$T201,IF(OR(ISNUMBER($S201),$S201="DNA"),$S201,IF(OR(ISNUMBER($R201),$R201="DNA"),$R201,IF(OR(ISNUMBER($Q201),$Q201="DNA"),$Q201,IF(OR(ISNUMBER($N201),$N201="DNA"),$N201,IF(OR(ISNUMBER($M201),$M201="DNA"),$M201,IF(OR(ISNUMBER($L201),$L201="DNA"),$L201,"")))))))))),IF(OR(ISNUMBER($V201),$V201="DNA"),$V201,IF(OR(ISNUMBER($U201),$U201="DNA"),$U201,IF(OR(ISNUMBER($T201),$T201="DNA"),$T201,IF(OR(ISNUMBER($S201),$S201="DNA"),$S201,IF(OR(ISNUMBER($R201),$R201="DNA"),$R201,IF(OR(ISNUMBER($Q201),$Q201="DNA"),$Q201,IF(OR(ISNUMBER($N201),$N201="DNA"),$N201,IF(OR(ISNUMBER($M201),$M201="DNA"),$M201,IF(OR(ISNUMBER($L201),$L201="DNA"),$L201,"")))))))))&lt;TODAY())),1,0)+ISNUMBER($O201)*($O201&lt;TODAY())+ISNUMBER($P201)*($P201&lt;TODAY())+ISNUMBER($X201)*($X201&lt;TODAY())+ISNUMBER($Y201)*($Y201&lt;TODAY()))</f>
        <v/>
      </c>
    </row>
    <row r="202">
      <c r="A202" s="25" t="n"/>
      <c r="B202" s="26" t="n"/>
      <c r="C202" s="27" t="n"/>
      <c r="D202" s="25" t="n"/>
      <c r="E202" s="25" t="n"/>
      <c r="F202" s="27" t="n"/>
      <c r="G202" s="25" t="n"/>
      <c r="H202" s="28">
        <f>IF(OR(NOT(AND($A202&lt;&gt;"",OR($G202="",$G202="Active"))),$F202=""),"",INT((TODAY()-$F202+280)/7)&amp;"+"&amp;MOD(TODAY()-$F202+280,7))</f>
        <v/>
      </c>
      <c r="I202" s="28">
        <f>IF(NOT(AND($A202&lt;&gt;"",OR($G202="",$G202="Active"))),"",ISNUMBER($L202)*($L202&gt;=TODAY())*($L202&lt;=TODAY()+7)+ISNUMBER($M202)*($M202&gt;=TODAY())*($M202&lt;=TODAY()+7)+ISNUMBER($N202)*($N202&gt;=TODAY())*($N202&lt;=TODAY()+7)+ISNUMBER($Q202)*($Q202&gt;=TODAY())*($Q202&lt;=TODAY()+7)+ISNUMBER($R202)*($R202&gt;=TODAY())*($R202&lt;=TODAY()+7)+ISNUMBER($S202)*($S202&gt;=TODAY())*($S202&lt;=TODAY()+7)+ISNUMBER($T202)*($T202&gt;=TODAY())*($T202&lt;=TODAY()+7)+ISNUMBER($U202)*($U202&gt;=TODAY())*($U202&lt;=TODAY()+7)+ISNUMBER($V202)*($V202&gt;=TODAY())*($V202&lt;=TODAY()+7)+ISNUMBER($O202)*($O202&gt;=TODAY())*($O202&lt;=TODAY()+7)+ISNUMBER($P202)*($P202&gt;=TODAY())*($P202&lt;=TODAY()+7)+ISNUMBER($X202)*($X202&gt;=TODAY())*($X202&lt;=TODAY()+7)+ISNUMBER($Y202)*($Y202&gt;=TODAY())*($Y202&lt;=TODAY()+7))</f>
        <v/>
      </c>
      <c r="J202" s="28">
        <f>IF(NOT(AND($A202&lt;&gt;"",OR($G202="",$G202="Active"))),"",IF($K202&lt;&gt;"",IF($L202=$K202,"Booking",IF($M202=$K202,"16/40",IF($N202=$K202,"25/40",IF($Q202=$K202,"28/40",IF($R202=$K202,"31/40",IF($S202=$K202,"34/40",IF($T202=$K202,"36/40",IF($U202=$K202,"38/40",IF($V202=$K202,"40/40",""))))))))),IF(IF(OR(ISNUMBER($V202),$V202="DNA"),$V202,IF(OR(ISNUMBER($U202),$U202="DNA"),$U202,IF(OR(ISNUMBER($T202),$T202="DNA"),$T202,IF(OR(ISNUMBER($S202),$S202="DNA"),$S202,IF(OR(ISNUMBER($R202),$R202="DNA"),$R202,IF(OR(ISNUMBER($Q202),$Q202="DNA"),$Q202,IF(OR(ISNUMBER($N202),$N202="DNA"),$N202,IF(OR(ISNUMBER($M202),$M202="DNA"),$M202,IF(OR(ISNUMBER($L202),$L202="DNA"),$L202,"")))))))))="DNA","Rebook DNA",IF(ISNUMBER(IF(OR(ISNUMBER($V202),$V202="DNA"),$V202,IF(OR(ISNUMBER($U202),$U202="DNA"),$U202,IF(OR(ISNUMBER($T202),$T202="DNA"),$T202,IF(OR(ISNUMBER($S202),$S202="DNA"),$S202,IF(OR(ISNUMBER($R202),$R202="DNA"),$R202,IF(OR(ISNUMBER($Q202),$Q202="DNA"),$Q202,IF(OR(ISNUMBER($N202),$N202="DNA"),$N202,IF(OR(ISNUMBER($M202),$M202="DNA"),$M202,IF(OR(ISNUMBER($L202),$L202="DNA"),$L202,"")))))))))),IF(ISNUMBER($V202),"Update status","Missed/not booked?"),""))))</f>
        <v/>
      </c>
      <c r="K202" s="29">
        <f>IF(NOT(AND($A202&lt;&gt;"",OR($G202="",$G202="Active"))),"",IF(MIN(IF(AND(ISNUMBER($L202),$L202&gt;=TODAY()),$L202,99999),IF(AND(ISNUMBER($M202),$M202&gt;=TODAY()),$M202,99999),IF(AND(ISNUMBER($N202),$N202&gt;=TODAY()),$N202,99999),IF(AND(ISNUMBER($Q202),$Q202&gt;=TODAY()),$Q202,99999),IF(AND(ISNUMBER($R202),$R202&gt;=TODAY()),$R202,99999),IF(AND(ISNUMBER($S202),$S202&gt;=TODAY()),$S202,99999),IF(AND(ISNUMBER($T202),$T202&gt;=TODAY()),$T202,99999),IF(AND(ISNUMBER($U202),$U202&gt;=TODAY()),$U202,99999),IF(AND(ISNUMBER($V202),$V202&gt;=TODAY()),$V202,99999))=99999,"",MIN(IF(AND(ISNUMBER($L202),$L202&gt;=TODAY()),$L202,99999),IF(AND(ISNUMBER($M202),$M202&gt;=TODAY()),$M202,99999),IF(AND(ISNUMBER($N202),$N202&gt;=TODAY()),$N202,99999),IF(AND(ISNUMBER($Q202),$Q202&gt;=TODAY()),$Q202,99999),IF(AND(ISNUMBER($R202),$R202&gt;=TODAY()),$R202,99999),IF(AND(ISNUMBER($S202),$S202&gt;=TODAY()),$S202,99999),IF(AND(ISNUMBER($T202),$T202&gt;=TODAY()),$T202,99999),IF(AND(ISNUMBER($U202),$U202&gt;=TODAY()),$U202,99999),IF(AND(ISNUMBER($V202),$V202&gt;=TODAY()),$V202,99999))))</f>
        <v/>
      </c>
      <c r="L202" s="27" t="n"/>
      <c r="M202" s="27" t="n"/>
      <c r="N202" s="27" t="n"/>
      <c r="O202" s="27" t="n"/>
      <c r="P202" s="27" t="n"/>
      <c r="Q202" s="27" t="n"/>
      <c r="R202" s="27" t="n"/>
      <c r="S202" s="27" t="n"/>
      <c r="T202" s="27" t="n"/>
      <c r="U202" s="27" t="n"/>
      <c r="V202" s="27" t="n"/>
      <c r="W202" s="27" t="n"/>
      <c r="X202" s="27" t="n"/>
      <c r="Y202" s="27" t="n"/>
      <c r="Z202" s="30" t="n"/>
      <c r="AA202" s="25" t="n"/>
      <c r="AB202" s="28">
        <f>IF(NOT(AND($A202&lt;&gt;"",OR($G202="",$G202="Active"))),"",IF(OR(IF(OR(ISNUMBER($V202),$V202="DNA"),$V202,IF(OR(ISNUMBER($U202),$U202="DNA"),$U202,IF(OR(ISNUMBER($T202),$T202="DNA"),$T202,IF(OR(ISNUMBER($S202),$S202="DNA"),$S202,IF(OR(ISNUMBER($R202),$R202="DNA"),$R202,IF(OR(ISNUMBER($Q202),$Q202="DNA"),$Q202,IF(OR(ISNUMBER($N202),$N202="DNA"),$N202,IF(OR(ISNUMBER($M202),$M202="DNA"),$M202,IF(OR(ISNUMBER($L202),$L202="DNA"),$L202,"")))))))))="DNA",AND(ISNUMBER(IF(OR(ISNUMBER($V202),$V202="DNA"),$V202,IF(OR(ISNUMBER($U202),$U202="DNA"),$U202,IF(OR(ISNUMBER($T202),$T202="DNA"),$T202,IF(OR(ISNUMBER($S202),$S202="DNA"),$S202,IF(OR(ISNUMBER($R202),$R202="DNA"),$R202,IF(OR(ISNUMBER($Q202),$Q202="DNA"),$Q202,IF(OR(ISNUMBER($N202),$N202="DNA"),$N202,IF(OR(ISNUMBER($M202),$M202="DNA"),$M202,IF(OR(ISNUMBER($L202),$L202="DNA"),$L202,"")))))))))),IF(OR(ISNUMBER($V202),$V202="DNA"),$V202,IF(OR(ISNUMBER($U202),$U202="DNA"),$U202,IF(OR(ISNUMBER($T202),$T202="DNA"),$T202,IF(OR(ISNUMBER($S202),$S202="DNA"),$S202,IF(OR(ISNUMBER($R202),$R202="DNA"),$R202,IF(OR(ISNUMBER($Q202),$Q202="DNA"),$Q202,IF(OR(ISNUMBER($N202),$N202="DNA"),$N202,IF(OR(ISNUMBER($M202),$M202="DNA"),$M202,IF(OR(ISNUMBER($L202),$L202="DNA"),$L202,"")))))))))&lt;TODAY())),1,0)+ISNUMBER($O202)*($O202&lt;TODAY())+ISNUMBER($P202)*($P202&lt;TODAY())+ISNUMBER($X202)*($X202&lt;TODAY())+ISNUMBER($Y202)*($Y202&lt;TODAY()))</f>
        <v/>
      </c>
    </row>
    <row r="203">
      <c r="A203" s="25" t="n"/>
      <c r="B203" s="26" t="n"/>
      <c r="C203" s="27" t="n"/>
      <c r="D203" s="25" t="n"/>
      <c r="E203" s="25" t="n"/>
      <c r="F203" s="27" t="n"/>
      <c r="G203" s="25" t="n"/>
      <c r="H203" s="28">
        <f>IF(OR(NOT(AND($A203&lt;&gt;"",OR($G203="",$G203="Active"))),$F203=""),"",INT((TODAY()-$F203+280)/7)&amp;"+"&amp;MOD(TODAY()-$F203+280,7))</f>
        <v/>
      </c>
      <c r="I203" s="28">
        <f>IF(NOT(AND($A203&lt;&gt;"",OR($G203="",$G203="Active"))),"",ISNUMBER($L203)*($L203&gt;=TODAY())*($L203&lt;=TODAY()+7)+ISNUMBER($M203)*($M203&gt;=TODAY())*($M203&lt;=TODAY()+7)+ISNUMBER($N203)*($N203&gt;=TODAY())*($N203&lt;=TODAY()+7)+ISNUMBER($Q203)*($Q203&gt;=TODAY())*($Q203&lt;=TODAY()+7)+ISNUMBER($R203)*($R203&gt;=TODAY())*($R203&lt;=TODAY()+7)+ISNUMBER($S203)*($S203&gt;=TODAY())*($S203&lt;=TODAY()+7)+ISNUMBER($T203)*($T203&gt;=TODAY())*($T203&lt;=TODAY()+7)+ISNUMBER($U203)*($U203&gt;=TODAY())*($U203&lt;=TODAY()+7)+ISNUMBER($V203)*($V203&gt;=TODAY())*($V203&lt;=TODAY()+7)+ISNUMBER($O203)*($O203&gt;=TODAY())*($O203&lt;=TODAY()+7)+ISNUMBER($P203)*($P203&gt;=TODAY())*($P203&lt;=TODAY()+7)+ISNUMBER($X203)*($X203&gt;=TODAY())*($X203&lt;=TODAY()+7)+ISNUMBER($Y203)*($Y203&gt;=TODAY())*($Y203&lt;=TODAY()+7))</f>
        <v/>
      </c>
      <c r="J203" s="28">
        <f>IF(NOT(AND($A203&lt;&gt;"",OR($G203="",$G203="Active"))),"",IF($K203&lt;&gt;"",IF($L203=$K203,"Booking",IF($M203=$K203,"16/40",IF($N203=$K203,"25/40",IF($Q203=$K203,"28/40",IF($R203=$K203,"31/40",IF($S203=$K203,"34/40",IF($T203=$K203,"36/40",IF($U203=$K203,"38/40",IF($V203=$K203,"40/40",""))))))))),IF(IF(OR(ISNUMBER($V203),$V203="DNA"),$V203,IF(OR(ISNUMBER($U203),$U203="DNA"),$U203,IF(OR(ISNUMBER($T203),$T203="DNA"),$T203,IF(OR(ISNUMBER($S203),$S203="DNA"),$S203,IF(OR(ISNUMBER($R203),$R203="DNA"),$R203,IF(OR(ISNUMBER($Q203),$Q203="DNA"),$Q203,IF(OR(ISNUMBER($N203),$N203="DNA"),$N203,IF(OR(ISNUMBER($M203),$M203="DNA"),$M203,IF(OR(ISNUMBER($L203),$L203="DNA"),$L203,"")))))))))="DNA","Rebook DNA",IF(ISNUMBER(IF(OR(ISNUMBER($V203),$V203="DNA"),$V203,IF(OR(ISNUMBER($U203),$U203="DNA"),$U203,IF(OR(ISNUMBER($T203),$T203="DNA"),$T203,IF(OR(ISNUMBER($S203),$S203="DNA"),$S203,IF(OR(ISNUMBER($R203),$R203="DNA"),$R203,IF(OR(ISNUMBER($Q203),$Q203="DNA"),$Q203,IF(OR(ISNUMBER($N203),$N203="DNA"),$N203,IF(OR(ISNUMBER($M203),$M203="DNA"),$M203,IF(OR(ISNUMBER($L203),$L203="DNA"),$L203,"")))))))))),IF(ISNUMBER($V203),"Update status","Missed/not booked?"),""))))</f>
        <v/>
      </c>
      <c r="K203" s="29">
        <f>IF(NOT(AND($A203&lt;&gt;"",OR($G203="",$G203="Active"))),"",IF(MIN(IF(AND(ISNUMBER($L203),$L203&gt;=TODAY()),$L203,99999),IF(AND(ISNUMBER($M203),$M203&gt;=TODAY()),$M203,99999),IF(AND(ISNUMBER($N203),$N203&gt;=TODAY()),$N203,99999),IF(AND(ISNUMBER($Q203),$Q203&gt;=TODAY()),$Q203,99999),IF(AND(ISNUMBER($R203),$R203&gt;=TODAY()),$R203,99999),IF(AND(ISNUMBER($S203),$S203&gt;=TODAY()),$S203,99999),IF(AND(ISNUMBER($T203),$T203&gt;=TODAY()),$T203,99999),IF(AND(ISNUMBER($U203),$U203&gt;=TODAY()),$U203,99999),IF(AND(ISNUMBER($V203),$V203&gt;=TODAY()),$V203,99999))=99999,"",MIN(IF(AND(ISNUMBER($L203),$L203&gt;=TODAY()),$L203,99999),IF(AND(ISNUMBER($M203),$M203&gt;=TODAY()),$M203,99999),IF(AND(ISNUMBER($N203),$N203&gt;=TODAY()),$N203,99999),IF(AND(ISNUMBER($Q203),$Q203&gt;=TODAY()),$Q203,99999),IF(AND(ISNUMBER($R203),$R203&gt;=TODAY()),$R203,99999),IF(AND(ISNUMBER($S203),$S203&gt;=TODAY()),$S203,99999),IF(AND(ISNUMBER($T203),$T203&gt;=TODAY()),$T203,99999),IF(AND(ISNUMBER($U203),$U203&gt;=TODAY()),$U203,99999),IF(AND(ISNUMBER($V203),$V203&gt;=TODAY()),$V203,99999))))</f>
        <v/>
      </c>
      <c r="L203" s="27" t="n"/>
      <c r="M203" s="27" t="n"/>
      <c r="N203" s="27" t="n"/>
      <c r="O203" s="27" t="n"/>
      <c r="P203" s="27" t="n"/>
      <c r="Q203" s="27" t="n"/>
      <c r="R203" s="27" t="n"/>
      <c r="S203" s="27" t="n"/>
      <c r="T203" s="27" t="n"/>
      <c r="U203" s="27" t="n"/>
      <c r="V203" s="27" t="n"/>
      <c r="W203" s="27" t="n"/>
      <c r="X203" s="27" t="n"/>
      <c r="Y203" s="27" t="n"/>
      <c r="Z203" s="30" t="n"/>
      <c r="AA203" s="25" t="n"/>
      <c r="AB203" s="28">
        <f>IF(NOT(AND($A203&lt;&gt;"",OR($G203="",$G203="Active"))),"",IF(OR(IF(OR(ISNUMBER($V203),$V203="DNA"),$V203,IF(OR(ISNUMBER($U203),$U203="DNA"),$U203,IF(OR(ISNUMBER($T203),$T203="DNA"),$T203,IF(OR(ISNUMBER($S203),$S203="DNA"),$S203,IF(OR(ISNUMBER($R203),$R203="DNA"),$R203,IF(OR(ISNUMBER($Q203),$Q203="DNA"),$Q203,IF(OR(ISNUMBER($N203),$N203="DNA"),$N203,IF(OR(ISNUMBER($M203),$M203="DNA"),$M203,IF(OR(ISNUMBER($L203),$L203="DNA"),$L203,"")))))))))="DNA",AND(ISNUMBER(IF(OR(ISNUMBER($V203),$V203="DNA"),$V203,IF(OR(ISNUMBER($U203),$U203="DNA"),$U203,IF(OR(ISNUMBER($T203),$T203="DNA"),$T203,IF(OR(ISNUMBER($S203),$S203="DNA"),$S203,IF(OR(ISNUMBER($R203),$R203="DNA"),$R203,IF(OR(ISNUMBER($Q203),$Q203="DNA"),$Q203,IF(OR(ISNUMBER($N203),$N203="DNA"),$N203,IF(OR(ISNUMBER($M203),$M203="DNA"),$M203,IF(OR(ISNUMBER($L203),$L203="DNA"),$L203,"")))))))))),IF(OR(ISNUMBER($V203),$V203="DNA"),$V203,IF(OR(ISNUMBER($U203),$U203="DNA"),$U203,IF(OR(ISNUMBER($T203),$T203="DNA"),$T203,IF(OR(ISNUMBER($S203),$S203="DNA"),$S203,IF(OR(ISNUMBER($R203),$R203="DNA"),$R203,IF(OR(ISNUMBER($Q203),$Q203="DNA"),$Q203,IF(OR(ISNUMBER($N203),$N203="DNA"),$N203,IF(OR(ISNUMBER($M203),$M203="DNA"),$M203,IF(OR(ISNUMBER($L203),$L203="DNA"),$L203,"")))))))))&lt;TODAY())),1,0)+ISNUMBER($O203)*($O203&lt;TODAY())+ISNUMBER($P203)*($P203&lt;TODAY())+ISNUMBER($X203)*($X203&lt;TODAY())+ISNUMBER($Y203)*($Y203&lt;TODAY()))</f>
        <v/>
      </c>
    </row>
    <row r="204">
      <c r="A204" s="25" t="n"/>
      <c r="B204" s="26" t="n"/>
      <c r="C204" s="27" t="n"/>
      <c r="D204" s="25" t="n"/>
      <c r="E204" s="25" t="n"/>
      <c r="F204" s="27" t="n"/>
      <c r="G204" s="25" t="n"/>
      <c r="H204" s="28">
        <f>IF(OR(NOT(AND($A204&lt;&gt;"",OR($G204="",$G204="Active"))),$F204=""),"",INT((TODAY()-$F204+280)/7)&amp;"+"&amp;MOD(TODAY()-$F204+280,7))</f>
        <v/>
      </c>
      <c r="I204" s="28">
        <f>IF(NOT(AND($A204&lt;&gt;"",OR($G204="",$G204="Active"))),"",ISNUMBER($L204)*($L204&gt;=TODAY())*($L204&lt;=TODAY()+7)+ISNUMBER($M204)*($M204&gt;=TODAY())*($M204&lt;=TODAY()+7)+ISNUMBER($N204)*($N204&gt;=TODAY())*($N204&lt;=TODAY()+7)+ISNUMBER($Q204)*($Q204&gt;=TODAY())*($Q204&lt;=TODAY()+7)+ISNUMBER($R204)*($R204&gt;=TODAY())*($R204&lt;=TODAY()+7)+ISNUMBER($S204)*($S204&gt;=TODAY())*($S204&lt;=TODAY()+7)+ISNUMBER($T204)*($T204&gt;=TODAY())*($T204&lt;=TODAY()+7)+ISNUMBER($U204)*($U204&gt;=TODAY())*($U204&lt;=TODAY()+7)+ISNUMBER($V204)*($V204&gt;=TODAY())*($V204&lt;=TODAY()+7)+ISNUMBER($O204)*($O204&gt;=TODAY())*($O204&lt;=TODAY()+7)+ISNUMBER($P204)*($P204&gt;=TODAY())*($P204&lt;=TODAY()+7)+ISNUMBER($X204)*($X204&gt;=TODAY())*($X204&lt;=TODAY()+7)+ISNUMBER($Y204)*($Y204&gt;=TODAY())*($Y204&lt;=TODAY()+7))</f>
        <v/>
      </c>
      <c r="J204" s="28">
        <f>IF(NOT(AND($A204&lt;&gt;"",OR($G204="",$G204="Active"))),"",IF($K204&lt;&gt;"",IF($L204=$K204,"Booking",IF($M204=$K204,"16/40",IF($N204=$K204,"25/40",IF($Q204=$K204,"28/40",IF($R204=$K204,"31/40",IF($S204=$K204,"34/40",IF($T204=$K204,"36/40",IF($U204=$K204,"38/40",IF($V204=$K204,"40/40",""))))))))),IF(IF(OR(ISNUMBER($V204),$V204="DNA"),$V204,IF(OR(ISNUMBER($U204),$U204="DNA"),$U204,IF(OR(ISNUMBER($T204),$T204="DNA"),$T204,IF(OR(ISNUMBER($S204),$S204="DNA"),$S204,IF(OR(ISNUMBER($R204),$R204="DNA"),$R204,IF(OR(ISNUMBER($Q204),$Q204="DNA"),$Q204,IF(OR(ISNUMBER($N204),$N204="DNA"),$N204,IF(OR(ISNUMBER($M204),$M204="DNA"),$M204,IF(OR(ISNUMBER($L204),$L204="DNA"),$L204,"")))))))))="DNA","Rebook DNA",IF(ISNUMBER(IF(OR(ISNUMBER($V204),$V204="DNA"),$V204,IF(OR(ISNUMBER($U204),$U204="DNA"),$U204,IF(OR(ISNUMBER($T204),$T204="DNA"),$T204,IF(OR(ISNUMBER($S204),$S204="DNA"),$S204,IF(OR(ISNUMBER($R204),$R204="DNA"),$R204,IF(OR(ISNUMBER($Q204),$Q204="DNA"),$Q204,IF(OR(ISNUMBER($N204),$N204="DNA"),$N204,IF(OR(ISNUMBER($M204),$M204="DNA"),$M204,IF(OR(ISNUMBER($L204),$L204="DNA"),$L204,"")))))))))),IF(ISNUMBER($V204),"Update status","Missed/not booked?"),""))))</f>
        <v/>
      </c>
      <c r="K204" s="29">
        <f>IF(NOT(AND($A204&lt;&gt;"",OR($G204="",$G204="Active"))),"",IF(MIN(IF(AND(ISNUMBER($L204),$L204&gt;=TODAY()),$L204,99999),IF(AND(ISNUMBER($M204),$M204&gt;=TODAY()),$M204,99999),IF(AND(ISNUMBER($N204),$N204&gt;=TODAY()),$N204,99999),IF(AND(ISNUMBER($Q204),$Q204&gt;=TODAY()),$Q204,99999),IF(AND(ISNUMBER($R204),$R204&gt;=TODAY()),$R204,99999),IF(AND(ISNUMBER($S204),$S204&gt;=TODAY()),$S204,99999),IF(AND(ISNUMBER($T204),$T204&gt;=TODAY()),$T204,99999),IF(AND(ISNUMBER($U204),$U204&gt;=TODAY()),$U204,99999),IF(AND(ISNUMBER($V204),$V204&gt;=TODAY()),$V204,99999))=99999,"",MIN(IF(AND(ISNUMBER($L204),$L204&gt;=TODAY()),$L204,99999),IF(AND(ISNUMBER($M204),$M204&gt;=TODAY()),$M204,99999),IF(AND(ISNUMBER($N204),$N204&gt;=TODAY()),$N204,99999),IF(AND(ISNUMBER($Q204),$Q204&gt;=TODAY()),$Q204,99999),IF(AND(ISNUMBER($R204),$R204&gt;=TODAY()),$R204,99999),IF(AND(ISNUMBER($S204),$S204&gt;=TODAY()),$S204,99999),IF(AND(ISNUMBER($T204),$T204&gt;=TODAY()),$T204,99999),IF(AND(ISNUMBER($U204),$U204&gt;=TODAY()),$U204,99999),IF(AND(ISNUMBER($V204),$V204&gt;=TODAY()),$V204,99999))))</f>
        <v/>
      </c>
      <c r="L204" s="27" t="n"/>
      <c r="M204" s="27" t="n"/>
      <c r="N204" s="27" t="n"/>
      <c r="O204" s="27" t="n"/>
      <c r="P204" s="27" t="n"/>
      <c r="Q204" s="27" t="n"/>
      <c r="R204" s="27" t="n"/>
      <c r="S204" s="27" t="n"/>
      <c r="T204" s="27" t="n"/>
      <c r="U204" s="27" t="n"/>
      <c r="V204" s="27" t="n"/>
      <c r="W204" s="27" t="n"/>
      <c r="X204" s="27" t="n"/>
      <c r="Y204" s="27" t="n"/>
      <c r="Z204" s="30" t="n"/>
      <c r="AA204" s="25" t="n"/>
      <c r="AB204" s="28">
        <f>IF(NOT(AND($A204&lt;&gt;"",OR($G204="",$G204="Active"))),"",IF(OR(IF(OR(ISNUMBER($V204),$V204="DNA"),$V204,IF(OR(ISNUMBER($U204),$U204="DNA"),$U204,IF(OR(ISNUMBER($T204),$T204="DNA"),$T204,IF(OR(ISNUMBER($S204),$S204="DNA"),$S204,IF(OR(ISNUMBER($R204),$R204="DNA"),$R204,IF(OR(ISNUMBER($Q204),$Q204="DNA"),$Q204,IF(OR(ISNUMBER($N204),$N204="DNA"),$N204,IF(OR(ISNUMBER($M204),$M204="DNA"),$M204,IF(OR(ISNUMBER($L204),$L204="DNA"),$L204,"")))))))))="DNA",AND(ISNUMBER(IF(OR(ISNUMBER($V204),$V204="DNA"),$V204,IF(OR(ISNUMBER($U204),$U204="DNA"),$U204,IF(OR(ISNUMBER($T204),$T204="DNA"),$T204,IF(OR(ISNUMBER($S204),$S204="DNA"),$S204,IF(OR(ISNUMBER($R204),$R204="DNA"),$R204,IF(OR(ISNUMBER($Q204),$Q204="DNA"),$Q204,IF(OR(ISNUMBER($N204),$N204="DNA"),$N204,IF(OR(ISNUMBER($M204),$M204="DNA"),$M204,IF(OR(ISNUMBER($L204),$L204="DNA"),$L204,"")))))))))),IF(OR(ISNUMBER($V204),$V204="DNA"),$V204,IF(OR(ISNUMBER($U204),$U204="DNA"),$U204,IF(OR(ISNUMBER($T204),$T204="DNA"),$T204,IF(OR(ISNUMBER($S204),$S204="DNA"),$S204,IF(OR(ISNUMBER($R204),$R204="DNA"),$R204,IF(OR(ISNUMBER($Q204),$Q204="DNA"),$Q204,IF(OR(ISNUMBER($N204),$N204="DNA"),$N204,IF(OR(ISNUMBER($M204),$M204="DNA"),$M204,IF(OR(ISNUMBER($L204),$L204="DNA"),$L204,"")))))))))&lt;TODAY())),1,0)+ISNUMBER($O204)*($O204&lt;TODAY())+ISNUMBER($P204)*($P204&lt;TODAY())+ISNUMBER($X204)*($X204&lt;TODAY())+ISNUMBER($Y204)*($Y204&lt;TODAY()))</f>
        <v/>
      </c>
    </row>
    <row r="205">
      <c r="A205" s="25" t="n"/>
      <c r="B205" s="26" t="n"/>
      <c r="C205" s="27" t="n"/>
      <c r="D205" s="25" t="n"/>
      <c r="E205" s="25" t="n"/>
      <c r="F205" s="27" t="n"/>
      <c r="G205" s="25" t="n"/>
      <c r="H205" s="28">
        <f>IF(OR(NOT(AND($A205&lt;&gt;"",OR($G205="",$G205="Active"))),$F205=""),"",INT((TODAY()-$F205+280)/7)&amp;"+"&amp;MOD(TODAY()-$F205+280,7))</f>
        <v/>
      </c>
      <c r="I205" s="28">
        <f>IF(NOT(AND($A205&lt;&gt;"",OR($G205="",$G205="Active"))),"",ISNUMBER($L205)*($L205&gt;=TODAY())*($L205&lt;=TODAY()+7)+ISNUMBER($M205)*($M205&gt;=TODAY())*($M205&lt;=TODAY()+7)+ISNUMBER($N205)*($N205&gt;=TODAY())*($N205&lt;=TODAY()+7)+ISNUMBER($Q205)*($Q205&gt;=TODAY())*($Q205&lt;=TODAY()+7)+ISNUMBER($R205)*($R205&gt;=TODAY())*($R205&lt;=TODAY()+7)+ISNUMBER($S205)*($S205&gt;=TODAY())*($S205&lt;=TODAY()+7)+ISNUMBER($T205)*($T205&gt;=TODAY())*($T205&lt;=TODAY()+7)+ISNUMBER($U205)*($U205&gt;=TODAY())*($U205&lt;=TODAY()+7)+ISNUMBER($V205)*($V205&gt;=TODAY())*($V205&lt;=TODAY()+7)+ISNUMBER($O205)*($O205&gt;=TODAY())*($O205&lt;=TODAY()+7)+ISNUMBER($P205)*($P205&gt;=TODAY())*($P205&lt;=TODAY()+7)+ISNUMBER($X205)*($X205&gt;=TODAY())*($X205&lt;=TODAY()+7)+ISNUMBER($Y205)*($Y205&gt;=TODAY())*($Y205&lt;=TODAY()+7))</f>
        <v/>
      </c>
      <c r="J205" s="28">
        <f>IF(NOT(AND($A205&lt;&gt;"",OR($G205="",$G205="Active"))),"",IF($K205&lt;&gt;"",IF($L205=$K205,"Booking",IF($M205=$K205,"16/40",IF($N205=$K205,"25/40",IF($Q205=$K205,"28/40",IF($R205=$K205,"31/40",IF($S205=$K205,"34/40",IF($T205=$K205,"36/40",IF($U205=$K205,"38/40",IF($V205=$K205,"40/40",""))))))))),IF(IF(OR(ISNUMBER($V205),$V205="DNA"),$V205,IF(OR(ISNUMBER($U205),$U205="DNA"),$U205,IF(OR(ISNUMBER($T205),$T205="DNA"),$T205,IF(OR(ISNUMBER($S205),$S205="DNA"),$S205,IF(OR(ISNUMBER($R205),$R205="DNA"),$R205,IF(OR(ISNUMBER($Q205),$Q205="DNA"),$Q205,IF(OR(ISNUMBER($N205),$N205="DNA"),$N205,IF(OR(ISNUMBER($M205),$M205="DNA"),$M205,IF(OR(ISNUMBER($L205),$L205="DNA"),$L205,"")))))))))="DNA","Rebook DNA",IF(ISNUMBER(IF(OR(ISNUMBER($V205),$V205="DNA"),$V205,IF(OR(ISNUMBER($U205),$U205="DNA"),$U205,IF(OR(ISNUMBER($T205),$T205="DNA"),$T205,IF(OR(ISNUMBER($S205),$S205="DNA"),$S205,IF(OR(ISNUMBER($R205),$R205="DNA"),$R205,IF(OR(ISNUMBER($Q205),$Q205="DNA"),$Q205,IF(OR(ISNUMBER($N205),$N205="DNA"),$N205,IF(OR(ISNUMBER($M205),$M205="DNA"),$M205,IF(OR(ISNUMBER($L205),$L205="DNA"),$L205,"")))))))))),IF(ISNUMBER($V205),"Update status","Missed/not booked?"),""))))</f>
        <v/>
      </c>
      <c r="K205" s="29">
        <f>IF(NOT(AND($A205&lt;&gt;"",OR($G205="",$G205="Active"))),"",IF(MIN(IF(AND(ISNUMBER($L205),$L205&gt;=TODAY()),$L205,99999),IF(AND(ISNUMBER($M205),$M205&gt;=TODAY()),$M205,99999),IF(AND(ISNUMBER($N205),$N205&gt;=TODAY()),$N205,99999),IF(AND(ISNUMBER($Q205),$Q205&gt;=TODAY()),$Q205,99999),IF(AND(ISNUMBER($R205),$R205&gt;=TODAY()),$R205,99999),IF(AND(ISNUMBER($S205),$S205&gt;=TODAY()),$S205,99999),IF(AND(ISNUMBER($T205),$T205&gt;=TODAY()),$T205,99999),IF(AND(ISNUMBER($U205),$U205&gt;=TODAY()),$U205,99999),IF(AND(ISNUMBER($V205),$V205&gt;=TODAY()),$V205,99999))=99999,"",MIN(IF(AND(ISNUMBER($L205),$L205&gt;=TODAY()),$L205,99999),IF(AND(ISNUMBER($M205),$M205&gt;=TODAY()),$M205,99999),IF(AND(ISNUMBER($N205),$N205&gt;=TODAY()),$N205,99999),IF(AND(ISNUMBER($Q205),$Q205&gt;=TODAY()),$Q205,99999),IF(AND(ISNUMBER($R205),$R205&gt;=TODAY()),$R205,99999),IF(AND(ISNUMBER($S205),$S205&gt;=TODAY()),$S205,99999),IF(AND(ISNUMBER($T205),$T205&gt;=TODAY()),$T205,99999),IF(AND(ISNUMBER($U205),$U205&gt;=TODAY()),$U205,99999),IF(AND(ISNUMBER($V205),$V205&gt;=TODAY()),$V205,99999))))</f>
        <v/>
      </c>
      <c r="L205" s="27" t="n"/>
      <c r="M205" s="27" t="n"/>
      <c r="N205" s="27" t="n"/>
      <c r="O205" s="27" t="n"/>
      <c r="P205" s="27" t="n"/>
      <c r="Q205" s="27" t="n"/>
      <c r="R205" s="27" t="n"/>
      <c r="S205" s="27" t="n"/>
      <c r="T205" s="27" t="n"/>
      <c r="U205" s="27" t="n"/>
      <c r="V205" s="27" t="n"/>
      <c r="W205" s="27" t="n"/>
      <c r="X205" s="27" t="n"/>
      <c r="Y205" s="27" t="n"/>
      <c r="Z205" s="30" t="n"/>
      <c r="AA205" s="25" t="n"/>
      <c r="AB205" s="28">
        <f>IF(NOT(AND($A205&lt;&gt;"",OR($G205="",$G205="Active"))),"",IF(OR(IF(OR(ISNUMBER($V205),$V205="DNA"),$V205,IF(OR(ISNUMBER($U205),$U205="DNA"),$U205,IF(OR(ISNUMBER($T205),$T205="DNA"),$T205,IF(OR(ISNUMBER($S205),$S205="DNA"),$S205,IF(OR(ISNUMBER($R205),$R205="DNA"),$R205,IF(OR(ISNUMBER($Q205),$Q205="DNA"),$Q205,IF(OR(ISNUMBER($N205),$N205="DNA"),$N205,IF(OR(ISNUMBER($M205),$M205="DNA"),$M205,IF(OR(ISNUMBER($L205),$L205="DNA"),$L205,"")))))))))="DNA",AND(ISNUMBER(IF(OR(ISNUMBER($V205),$V205="DNA"),$V205,IF(OR(ISNUMBER($U205),$U205="DNA"),$U205,IF(OR(ISNUMBER($T205),$T205="DNA"),$T205,IF(OR(ISNUMBER($S205),$S205="DNA"),$S205,IF(OR(ISNUMBER($R205),$R205="DNA"),$R205,IF(OR(ISNUMBER($Q205),$Q205="DNA"),$Q205,IF(OR(ISNUMBER($N205),$N205="DNA"),$N205,IF(OR(ISNUMBER($M205),$M205="DNA"),$M205,IF(OR(ISNUMBER($L205),$L205="DNA"),$L205,"")))))))))),IF(OR(ISNUMBER($V205),$V205="DNA"),$V205,IF(OR(ISNUMBER($U205),$U205="DNA"),$U205,IF(OR(ISNUMBER($T205),$T205="DNA"),$T205,IF(OR(ISNUMBER($S205),$S205="DNA"),$S205,IF(OR(ISNUMBER($R205),$R205="DNA"),$R205,IF(OR(ISNUMBER($Q205),$Q205="DNA"),$Q205,IF(OR(ISNUMBER($N205),$N205="DNA"),$N205,IF(OR(ISNUMBER($M205),$M205="DNA"),$M205,IF(OR(ISNUMBER($L205),$L205="DNA"),$L205,"")))))))))&lt;TODAY())),1,0)+ISNUMBER($O205)*($O205&lt;TODAY())+ISNUMBER($P205)*($P205&lt;TODAY())+ISNUMBER($X205)*($X205&lt;TODAY())+ISNUMBER($Y205)*($Y205&lt;TODAY()))</f>
        <v/>
      </c>
    </row>
    <row r="206">
      <c r="A206" s="25" t="n"/>
      <c r="B206" s="26" t="n"/>
      <c r="C206" s="27" t="n"/>
      <c r="D206" s="25" t="n"/>
      <c r="E206" s="25" t="n"/>
      <c r="F206" s="27" t="n"/>
      <c r="G206" s="25" t="n"/>
      <c r="H206" s="28">
        <f>IF(OR(NOT(AND($A206&lt;&gt;"",OR($G206="",$G206="Active"))),$F206=""),"",INT((TODAY()-$F206+280)/7)&amp;"+"&amp;MOD(TODAY()-$F206+280,7))</f>
        <v/>
      </c>
      <c r="I206" s="28">
        <f>IF(NOT(AND($A206&lt;&gt;"",OR($G206="",$G206="Active"))),"",ISNUMBER($L206)*($L206&gt;=TODAY())*($L206&lt;=TODAY()+7)+ISNUMBER($M206)*($M206&gt;=TODAY())*($M206&lt;=TODAY()+7)+ISNUMBER($N206)*($N206&gt;=TODAY())*($N206&lt;=TODAY()+7)+ISNUMBER($Q206)*($Q206&gt;=TODAY())*($Q206&lt;=TODAY()+7)+ISNUMBER($R206)*($R206&gt;=TODAY())*($R206&lt;=TODAY()+7)+ISNUMBER($S206)*($S206&gt;=TODAY())*($S206&lt;=TODAY()+7)+ISNUMBER($T206)*($T206&gt;=TODAY())*($T206&lt;=TODAY()+7)+ISNUMBER($U206)*($U206&gt;=TODAY())*($U206&lt;=TODAY()+7)+ISNUMBER($V206)*($V206&gt;=TODAY())*($V206&lt;=TODAY()+7)+ISNUMBER($O206)*($O206&gt;=TODAY())*($O206&lt;=TODAY()+7)+ISNUMBER($P206)*($P206&gt;=TODAY())*($P206&lt;=TODAY()+7)+ISNUMBER($X206)*($X206&gt;=TODAY())*($X206&lt;=TODAY()+7)+ISNUMBER($Y206)*($Y206&gt;=TODAY())*($Y206&lt;=TODAY()+7))</f>
        <v/>
      </c>
      <c r="J206" s="28">
        <f>IF(NOT(AND($A206&lt;&gt;"",OR($G206="",$G206="Active"))),"",IF($K206&lt;&gt;"",IF($L206=$K206,"Booking",IF($M206=$K206,"16/40",IF($N206=$K206,"25/40",IF($Q206=$K206,"28/40",IF($R206=$K206,"31/40",IF($S206=$K206,"34/40",IF($T206=$K206,"36/40",IF($U206=$K206,"38/40",IF($V206=$K206,"40/40",""))))))))),IF(IF(OR(ISNUMBER($V206),$V206="DNA"),$V206,IF(OR(ISNUMBER($U206),$U206="DNA"),$U206,IF(OR(ISNUMBER($T206),$T206="DNA"),$T206,IF(OR(ISNUMBER($S206),$S206="DNA"),$S206,IF(OR(ISNUMBER($R206),$R206="DNA"),$R206,IF(OR(ISNUMBER($Q206),$Q206="DNA"),$Q206,IF(OR(ISNUMBER($N206),$N206="DNA"),$N206,IF(OR(ISNUMBER($M206),$M206="DNA"),$M206,IF(OR(ISNUMBER($L206),$L206="DNA"),$L206,"")))))))))="DNA","Rebook DNA",IF(ISNUMBER(IF(OR(ISNUMBER($V206),$V206="DNA"),$V206,IF(OR(ISNUMBER($U206),$U206="DNA"),$U206,IF(OR(ISNUMBER($T206),$T206="DNA"),$T206,IF(OR(ISNUMBER($S206),$S206="DNA"),$S206,IF(OR(ISNUMBER($R206),$R206="DNA"),$R206,IF(OR(ISNUMBER($Q206),$Q206="DNA"),$Q206,IF(OR(ISNUMBER($N206),$N206="DNA"),$N206,IF(OR(ISNUMBER($M206),$M206="DNA"),$M206,IF(OR(ISNUMBER($L206),$L206="DNA"),$L206,"")))))))))),IF(ISNUMBER($V206),"Update status","Missed/not booked?"),""))))</f>
        <v/>
      </c>
      <c r="K206" s="29">
        <f>IF(NOT(AND($A206&lt;&gt;"",OR($G206="",$G206="Active"))),"",IF(MIN(IF(AND(ISNUMBER($L206),$L206&gt;=TODAY()),$L206,99999),IF(AND(ISNUMBER($M206),$M206&gt;=TODAY()),$M206,99999),IF(AND(ISNUMBER($N206),$N206&gt;=TODAY()),$N206,99999),IF(AND(ISNUMBER($Q206),$Q206&gt;=TODAY()),$Q206,99999),IF(AND(ISNUMBER($R206),$R206&gt;=TODAY()),$R206,99999),IF(AND(ISNUMBER($S206),$S206&gt;=TODAY()),$S206,99999),IF(AND(ISNUMBER($T206),$T206&gt;=TODAY()),$T206,99999),IF(AND(ISNUMBER($U206),$U206&gt;=TODAY()),$U206,99999),IF(AND(ISNUMBER($V206),$V206&gt;=TODAY()),$V206,99999))=99999,"",MIN(IF(AND(ISNUMBER($L206),$L206&gt;=TODAY()),$L206,99999),IF(AND(ISNUMBER($M206),$M206&gt;=TODAY()),$M206,99999),IF(AND(ISNUMBER($N206),$N206&gt;=TODAY()),$N206,99999),IF(AND(ISNUMBER($Q206),$Q206&gt;=TODAY()),$Q206,99999),IF(AND(ISNUMBER($R206),$R206&gt;=TODAY()),$R206,99999),IF(AND(ISNUMBER($S206),$S206&gt;=TODAY()),$S206,99999),IF(AND(ISNUMBER($T206),$T206&gt;=TODAY()),$T206,99999),IF(AND(ISNUMBER($U206),$U206&gt;=TODAY()),$U206,99999),IF(AND(ISNUMBER($V206),$V206&gt;=TODAY()),$V206,99999))))</f>
        <v/>
      </c>
      <c r="L206" s="27" t="n"/>
      <c r="M206" s="27" t="n"/>
      <c r="N206" s="27" t="n"/>
      <c r="O206" s="27" t="n"/>
      <c r="P206" s="27" t="n"/>
      <c r="Q206" s="27" t="n"/>
      <c r="R206" s="27" t="n"/>
      <c r="S206" s="27" t="n"/>
      <c r="T206" s="27" t="n"/>
      <c r="U206" s="27" t="n"/>
      <c r="V206" s="27" t="n"/>
      <c r="W206" s="27" t="n"/>
      <c r="X206" s="27" t="n"/>
      <c r="Y206" s="27" t="n"/>
      <c r="Z206" s="30" t="n"/>
      <c r="AA206" s="25" t="n"/>
      <c r="AB206" s="28">
        <f>IF(NOT(AND($A206&lt;&gt;"",OR($G206="",$G206="Active"))),"",IF(OR(IF(OR(ISNUMBER($V206),$V206="DNA"),$V206,IF(OR(ISNUMBER($U206),$U206="DNA"),$U206,IF(OR(ISNUMBER($T206),$T206="DNA"),$T206,IF(OR(ISNUMBER($S206),$S206="DNA"),$S206,IF(OR(ISNUMBER($R206),$R206="DNA"),$R206,IF(OR(ISNUMBER($Q206),$Q206="DNA"),$Q206,IF(OR(ISNUMBER($N206),$N206="DNA"),$N206,IF(OR(ISNUMBER($M206),$M206="DNA"),$M206,IF(OR(ISNUMBER($L206),$L206="DNA"),$L206,"")))))))))="DNA",AND(ISNUMBER(IF(OR(ISNUMBER($V206),$V206="DNA"),$V206,IF(OR(ISNUMBER($U206),$U206="DNA"),$U206,IF(OR(ISNUMBER($T206),$T206="DNA"),$T206,IF(OR(ISNUMBER($S206),$S206="DNA"),$S206,IF(OR(ISNUMBER($R206),$R206="DNA"),$R206,IF(OR(ISNUMBER($Q206),$Q206="DNA"),$Q206,IF(OR(ISNUMBER($N206),$N206="DNA"),$N206,IF(OR(ISNUMBER($M206),$M206="DNA"),$M206,IF(OR(ISNUMBER($L206),$L206="DNA"),$L206,"")))))))))),IF(OR(ISNUMBER($V206),$V206="DNA"),$V206,IF(OR(ISNUMBER($U206),$U206="DNA"),$U206,IF(OR(ISNUMBER($T206),$T206="DNA"),$T206,IF(OR(ISNUMBER($S206),$S206="DNA"),$S206,IF(OR(ISNUMBER($R206),$R206="DNA"),$R206,IF(OR(ISNUMBER($Q206),$Q206="DNA"),$Q206,IF(OR(ISNUMBER($N206),$N206="DNA"),$N206,IF(OR(ISNUMBER($M206),$M206="DNA"),$M206,IF(OR(ISNUMBER($L206),$L206="DNA"),$L206,"")))))))))&lt;TODAY())),1,0)+ISNUMBER($O206)*($O206&lt;TODAY())+ISNUMBER($P206)*($P206&lt;TODAY())+ISNUMBER($X206)*($X206&lt;TODAY())+ISNUMBER($Y206)*($Y206&lt;TODAY()))</f>
        <v/>
      </c>
    </row>
    <row r="207">
      <c r="A207" s="25" t="n"/>
      <c r="B207" s="26" t="n"/>
      <c r="C207" s="27" t="n"/>
      <c r="D207" s="25" t="n"/>
      <c r="E207" s="25" t="n"/>
      <c r="F207" s="27" t="n"/>
      <c r="G207" s="25" t="n"/>
      <c r="H207" s="28">
        <f>IF(OR(NOT(AND($A207&lt;&gt;"",OR($G207="",$G207="Active"))),$F207=""),"",INT((TODAY()-$F207+280)/7)&amp;"+"&amp;MOD(TODAY()-$F207+280,7))</f>
        <v/>
      </c>
      <c r="I207" s="28">
        <f>IF(NOT(AND($A207&lt;&gt;"",OR($G207="",$G207="Active"))),"",ISNUMBER($L207)*($L207&gt;=TODAY())*($L207&lt;=TODAY()+7)+ISNUMBER($M207)*($M207&gt;=TODAY())*($M207&lt;=TODAY()+7)+ISNUMBER($N207)*($N207&gt;=TODAY())*($N207&lt;=TODAY()+7)+ISNUMBER($Q207)*($Q207&gt;=TODAY())*($Q207&lt;=TODAY()+7)+ISNUMBER($R207)*($R207&gt;=TODAY())*($R207&lt;=TODAY()+7)+ISNUMBER($S207)*($S207&gt;=TODAY())*($S207&lt;=TODAY()+7)+ISNUMBER($T207)*($T207&gt;=TODAY())*($T207&lt;=TODAY()+7)+ISNUMBER($U207)*($U207&gt;=TODAY())*($U207&lt;=TODAY()+7)+ISNUMBER($V207)*($V207&gt;=TODAY())*($V207&lt;=TODAY()+7)+ISNUMBER($O207)*($O207&gt;=TODAY())*($O207&lt;=TODAY()+7)+ISNUMBER($P207)*($P207&gt;=TODAY())*($P207&lt;=TODAY()+7)+ISNUMBER($X207)*($X207&gt;=TODAY())*($X207&lt;=TODAY()+7)+ISNUMBER($Y207)*($Y207&gt;=TODAY())*($Y207&lt;=TODAY()+7))</f>
        <v/>
      </c>
      <c r="J207" s="28">
        <f>IF(NOT(AND($A207&lt;&gt;"",OR($G207="",$G207="Active"))),"",IF($K207&lt;&gt;"",IF($L207=$K207,"Booking",IF($M207=$K207,"16/40",IF($N207=$K207,"25/40",IF($Q207=$K207,"28/40",IF($R207=$K207,"31/40",IF($S207=$K207,"34/40",IF($T207=$K207,"36/40",IF($U207=$K207,"38/40",IF($V207=$K207,"40/40",""))))))))),IF(IF(OR(ISNUMBER($V207),$V207="DNA"),$V207,IF(OR(ISNUMBER($U207),$U207="DNA"),$U207,IF(OR(ISNUMBER($T207),$T207="DNA"),$T207,IF(OR(ISNUMBER($S207),$S207="DNA"),$S207,IF(OR(ISNUMBER($R207),$R207="DNA"),$R207,IF(OR(ISNUMBER($Q207),$Q207="DNA"),$Q207,IF(OR(ISNUMBER($N207),$N207="DNA"),$N207,IF(OR(ISNUMBER($M207),$M207="DNA"),$M207,IF(OR(ISNUMBER($L207),$L207="DNA"),$L207,"")))))))))="DNA","Rebook DNA",IF(ISNUMBER(IF(OR(ISNUMBER($V207),$V207="DNA"),$V207,IF(OR(ISNUMBER($U207),$U207="DNA"),$U207,IF(OR(ISNUMBER($T207),$T207="DNA"),$T207,IF(OR(ISNUMBER($S207),$S207="DNA"),$S207,IF(OR(ISNUMBER($R207),$R207="DNA"),$R207,IF(OR(ISNUMBER($Q207),$Q207="DNA"),$Q207,IF(OR(ISNUMBER($N207),$N207="DNA"),$N207,IF(OR(ISNUMBER($M207),$M207="DNA"),$M207,IF(OR(ISNUMBER($L207),$L207="DNA"),$L207,"")))))))))),IF(ISNUMBER($V207),"Update status","Missed/not booked?"),""))))</f>
        <v/>
      </c>
      <c r="K207" s="29">
        <f>IF(NOT(AND($A207&lt;&gt;"",OR($G207="",$G207="Active"))),"",IF(MIN(IF(AND(ISNUMBER($L207),$L207&gt;=TODAY()),$L207,99999),IF(AND(ISNUMBER($M207),$M207&gt;=TODAY()),$M207,99999),IF(AND(ISNUMBER($N207),$N207&gt;=TODAY()),$N207,99999),IF(AND(ISNUMBER($Q207),$Q207&gt;=TODAY()),$Q207,99999),IF(AND(ISNUMBER($R207),$R207&gt;=TODAY()),$R207,99999),IF(AND(ISNUMBER($S207),$S207&gt;=TODAY()),$S207,99999),IF(AND(ISNUMBER($T207),$T207&gt;=TODAY()),$T207,99999),IF(AND(ISNUMBER($U207),$U207&gt;=TODAY()),$U207,99999),IF(AND(ISNUMBER($V207),$V207&gt;=TODAY()),$V207,99999))=99999,"",MIN(IF(AND(ISNUMBER($L207),$L207&gt;=TODAY()),$L207,99999),IF(AND(ISNUMBER($M207),$M207&gt;=TODAY()),$M207,99999),IF(AND(ISNUMBER($N207),$N207&gt;=TODAY()),$N207,99999),IF(AND(ISNUMBER($Q207),$Q207&gt;=TODAY()),$Q207,99999),IF(AND(ISNUMBER($R207),$R207&gt;=TODAY()),$R207,99999),IF(AND(ISNUMBER($S207),$S207&gt;=TODAY()),$S207,99999),IF(AND(ISNUMBER($T207),$T207&gt;=TODAY()),$T207,99999),IF(AND(ISNUMBER($U207),$U207&gt;=TODAY()),$U207,99999),IF(AND(ISNUMBER($V207),$V207&gt;=TODAY()),$V207,99999))))</f>
        <v/>
      </c>
      <c r="L207" s="27" t="n"/>
      <c r="M207" s="27" t="n"/>
      <c r="N207" s="27" t="n"/>
      <c r="O207" s="27" t="n"/>
      <c r="P207" s="27" t="n"/>
      <c r="Q207" s="27" t="n"/>
      <c r="R207" s="27" t="n"/>
      <c r="S207" s="27" t="n"/>
      <c r="T207" s="27" t="n"/>
      <c r="U207" s="27" t="n"/>
      <c r="V207" s="27" t="n"/>
      <c r="W207" s="27" t="n"/>
      <c r="X207" s="27" t="n"/>
      <c r="Y207" s="27" t="n"/>
      <c r="Z207" s="30" t="n"/>
      <c r="AA207" s="25" t="n"/>
      <c r="AB207" s="28">
        <f>IF(NOT(AND($A207&lt;&gt;"",OR($G207="",$G207="Active"))),"",IF(OR(IF(OR(ISNUMBER($V207),$V207="DNA"),$V207,IF(OR(ISNUMBER($U207),$U207="DNA"),$U207,IF(OR(ISNUMBER($T207),$T207="DNA"),$T207,IF(OR(ISNUMBER($S207),$S207="DNA"),$S207,IF(OR(ISNUMBER($R207),$R207="DNA"),$R207,IF(OR(ISNUMBER($Q207),$Q207="DNA"),$Q207,IF(OR(ISNUMBER($N207),$N207="DNA"),$N207,IF(OR(ISNUMBER($M207),$M207="DNA"),$M207,IF(OR(ISNUMBER($L207),$L207="DNA"),$L207,"")))))))))="DNA",AND(ISNUMBER(IF(OR(ISNUMBER($V207),$V207="DNA"),$V207,IF(OR(ISNUMBER($U207),$U207="DNA"),$U207,IF(OR(ISNUMBER($T207),$T207="DNA"),$T207,IF(OR(ISNUMBER($S207),$S207="DNA"),$S207,IF(OR(ISNUMBER($R207),$R207="DNA"),$R207,IF(OR(ISNUMBER($Q207),$Q207="DNA"),$Q207,IF(OR(ISNUMBER($N207),$N207="DNA"),$N207,IF(OR(ISNUMBER($M207),$M207="DNA"),$M207,IF(OR(ISNUMBER($L207),$L207="DNA"),$L207,"")))))))))),IF(OR(ISNUMBER($V207),$V207="DNA"),$V207,IF(OR(ISNUMBER($U207),$U207="DNA"),$U207,IF(OR(ISNUMBER($T207),$T207="DNA"),$T207,IF(OR(ISNUMBER($S207),$S207="DNA"),$S207,IF(OR(ISNUMBER($R207),$R207="DNA"),$R207,IF(OR(ISNUMBER($Q207),$Q207="DNA"),$Q207,IF(OR(ISNUMBER($N207),$N207="DNA"),$N207,IF(OR(ISNUMBER($M207),$M207="DNA"),$M207,IF(OR(ISNUMBER($L207),$L207="DNA"),$L207,"")))))))))&lt;TODAY())),1,0)+ISNUMBER($O207)*($O207&lt;TODAY())+ISNUMBER($P207)*($P207&lt;TODAY())+ISNUMBER($X207)*($X207&lt;TODAY())+ISNUMBER($Y207)*($Y207&lt;TODAY()))</f>
        <v/>
      </c>
    </row>
    <row r="208">
      <c r="A208" s="25" t="n"/>
      <c r="B208" s="26" t="n"/>
      <c r="C208" s="27" t="n"/>
      <c r="D208" s="25" t="n"/>
      <c r="E208" s="25" t="n"/>
      <c r="F208" s="27" t="n"/>
      <c r="G208" s="25" t="n"/>
      <c r="H208" s="28">
        <f>IF(OR(NOT(AND($A208&lt;&gt;"",OR($G208="",$G208="Active"))),$F208=""),"",INT((TODAY()-$F208+280)/7)&amp;"+"&amp;MOD(TODAY()-$F208+280,7))</f>
        <v/>
      </c>
      <c r="I208" s="28">
        <f>IF(NOT(AND($A208&lt;&gt;"",OR($G208="",$G208="Active"))),"",ISNUMBER($L208)*($L208&gt;=TODAY())*($L208&lt;=TODAY()+7)+ISNUMBER($M208)*($M208&gt;=TODAY())*($M208&lt;=TODAY()+7)+ISNUMBER($N208)*($N208&gt;=TODAY())*($N208&lt;=TODAY()+7)+ISNUMBER($Q208)*($Q208&gt;=TODAY())*($Q208&lt;=TODAY()+7)+ISNUMBER($R208)*($R208&gt;=TODAY())*($R208&lt;=TODAY()+7)+ISNUMBER($S208)*($S208&gt;=TODAY())*($S208&lt;=TODAY()+7)+ISNUMBER($T208)*($T208&gt;=TODAY())*($T208&lt;=TODAY()+7)+ISNUMBER($U208)*($U208&gt;=TODAY())*($U208&lt;=TODAY()+7)+ISNUMBER($V208)*($V208&gt;=TODAY())*($V208&lt;=TODAY()+7)+ISNUMBER($O208)*($O208&gt;=TODAY())*($O208&lt;=TODAY()+7)+ISNUMBER($P208)*($P208&gt;=TODAY())*($P208&lt;=TODAY()+7)+ISNUMBER($X208)*($X208&gt;=TODAY())*($X208&lt;=TODAY()+7)+ISNUMBER($Y208)*($Y208&gt;=TODAY())*($Y208&lt;=TODAY()+7))</f>
        <v/>
      </c>
      <c r="J208" s="28">
        <f>IF(NOT(AND($A208&lt;&gt;"",OR($G208="",$G208="Active"))),"",IF($K208&lt;&gt;"",IF($L208=$K208,"Booking",IF($M208=$K208,"16/40",IF($N208=$K208,"25/40",IF($Q208=$K208,"28/40",IF($R208=$K208,"31/40",IF($S208=$K208,"34/40",IF($T208=$K208,"36/40",IF($U208=$K208,"38/40",IF($V208=$K208,"40/40",""))))))))),IF(IF(OR(ISNUMBER($V208),$V208="DNA"),$V208,IF(OR(ISNUMBER($U208),$U208="DNA"),$U208,IF(OR(ISNUMBER($T208),$T208="DNA"),$T208,IF(OR(ISNUMBER($S208),$S208="DNA"),$S208,IF(OR(ISNUMBER($R208),$R208="DNA"),$R208,IF(OR(ISNUMBER($Q208),$Q208="DNA"),$Q208,IF(OR(ISNUMBER($N208),$N208="DNA"),$N208,IF(OR(ISNUMBER($M208),$M208="DNA"),$M208,IF(OR(ISNUMBER($L208),$L208="DNA"),$L208,"")))))))))="DNA","Rebook DNA",IF(ISNUMBER(IF(OR(ISNUMBER($V208),$V208="DNA"),$V208,IF(OR(ISNUMBER($U208),$U208="DNA"),$U208,IF(OR(ISNUMBER($T208),$T208="DNA"),$T208,IF(OR(ISNUMBER($S208),$S208="DNA"),$S208,IF(OR(ISNUMBER($R208),$R208="DNA"),$R208,IF(OR(ISNUMBER($Q208),$Q208="DNA"),$Q208,IF(OR(ISNUMBER($N208),$N208="DNA"),$N208,IF(OR(ISNUMBER($M208),$M208="DNA"),$M208,IF(OR(ISNUMBER($L208),$L208="DNA"),$L208,"")))))))))),IF(ISNUMBER($V208),"Update status","Missed/not booked?"),""))))</f>
        <v/>
      </c>
      <c r="K208" s="29">
        <f>IF(NOT(AND($A208&lt;&gt;"",OR($G208="",$G208="Active"))),"",IF(MIN(IF(AND(ISNUMBER($L208),$L208&gt;=TODAY()),$L208,99999),IF(AND(ISNUMBER($M208),$M208&gt;=TODAY()),$M208,99999),IF(AND(ISNUMBER($N208),$N208&gt;=TODAY()),$N208,99999),IF(AND(ISNUMBER($Q208),$Q208&gt;=TODAY()),$Q208,99999),IF(AND(ISNUMBER($R208),$R208&gt;=TODAY()),$R208,99999),IF(AND(ISNUMBER($S208),$S208&gt;=TODAY()),$S208,99999),IF(AND(ISNUMBER($T208),$T208&gt;=TODAY()),$T208,99999),IF(AND(ISNUMBER($U208),$U208&gt;=TODAY()),$U208,99999),IF(AND(ISNUMBER($V208),$V208&gt;=TODAY()),$V208,99999))=99999,"",MIN(IF(AND(ISNUMBER($L208),$L208&gt;=TODAY()),$L208,99999),IF(AND(ISNUMBER($M208),$M208&gt;=TODAY()),$M208,99999),IF(AND(ISNUMBER($N208),$N208&gt;=TODAY()),$N208,99999),IF(AND(ISNUMBER($Q208),$Q208&gt;=TODAY()),$Q208,99999),IF(AND(ISNUMBER($R208),$R208&gt;=TODAY()),$R208,99999),IF(AND(ISNUMBER($S208),$S208&gt;=TODAY()),$S208,99999),IF(AND(ISNUMBER($T208),$T208&gt;=TODAY()),$T208,99999),IF(AND(ISNUMBER($U208),$U208&gt;=TODAY()),$U208,99999),IF(AND(ISNUMBER($V208),$V208&gt;=TODAY()),$V208,99999))))</f>
        <v/>
      </c>
      <c r="L208" s="27" t="n"/>
      <c r="M208" s="27" t="n"/>
      <c r="N208" s="27" t="n"/>
      <c r="O208" s="27" t="n"/>
      <c r="P208" s="27" t="n"/>
      <c r="Q208" s="27" t="n"/>
      <c r="R208" s="27" t="n"/>
      <c r="S208" s="27" t="n"/>
      <c r="T208" s="27" t="n"/>
      <c r="U208" s="27" t="n"/>
      <c r="V208" s="27" t="n"/>
      <c r="W208" s="27" t="n"/>
      <c r="X208" s="27" t="n"/>
      <c r="Y208" s="27" t="n"/>
      <c r="Z208" s="30" t="n"/>
      <c r="AA208" s="25" t="n"/>
      <c r="AB208" s="28">
        <f>IF(NOT(AND($A208&lt;&gt;"",OR($G208="",$G208="Active"))),"",IF(OR(IF(OR(ISNUMBER($V208),$V208="DNA"),$V208,IF(OR(ISNUMBER($U208),$U208="DNA"),$U208,IF(OR(ISNUMBER($T208),$T208="DNA"),$T208,IF(OR(ISNUMBER($S208),$S208="DNA"),$S208,IF(OR(ISNUMBER($R208),$R208="DNA"),$R208,IF(OR(ISNUMBER($Q208),$Q208="DNA"),$Q208,IF(OR(ISNUMBER($N208),$N208="DNA"),$N208,IF(OR(ISNUMBER($M208),$M208="DNA"),$M208,IF(OR(ISNUMBER($L208),$L208="DNA"),$L208,"")))))))))="DNA",AND(ISNUMBER(IF(OR(ISNUMBER($V208),$V208="DNA"),$V208,IF(OR(ISNUMBER($U208),$U208="DNA"),$U208,IF(OR(ISNUMBER($T208),$T208="DNA"),$T208,IF(OR(ISNUMBER($S208),$S208="DNA"),$S208,IF(OR(ISNUMBER($R208),$R208="DNA"),$R208,IF(OR(ISNUMBER($Q208),$Q208="DNA"),$Q208,IF(OR(ISNUMBER($N208),$N208="DNA"),$N208,IF(OR(ISNUMBER($M208),$M208="DNA"),$M208,IF(OR(ISNUMBER($L208),$L208="DNA"),$L208,"")))))))))),IF(OR(ISNUMBER($V208),$V208="DNA"),$V208,IF(OR(ISNUMBER($U208),$U208="DNA"),$U208,IF(OR(ISNUMBER($T208),$T208="DNA"),$T208,IF(OR(ISNUMBER($S208),$S208="DNA"),$S208,IF(OR(ISNUMBER($R208),$R208="DNA"),$R208,IF(OR(ISNUMBER($Q208),$Q208="DNA"),$Q208,IF(OR(ISNUMBER($N208),$N208="DNA"),$N208,IF(OR(ISNUMBER($M208),$M208="DNA"),$M208,IF(OR(ISNUMBER($L208),$L208="DNA"),$L208,"")))))))))&lt;TODAY())),1,0)+ISNUMBER($O208)*($O208&lt;TODAY())+ISNUMBER($P208)*($P208&lt;TODAY())+ISNUMBER($X208)*($X208&lt;TODAY())+ISNUMBER($Y208)*($Y208&lt;TODAY()))</f>
        <v/>
      </c>
    </row>
    <row r="209">
      <c r="A209" s="25" t="n"/>
      <c r="B209" s="26" t="n"/>
      <c r="C209" s="27" t="n"/>
      <c r="D209" s="25" t="n"/>
      <c r="E209" s="25" t="n"/>
      <c r="F209" s="27" t="n"/>
      <c r="G209" s="25" t="n"/>
      <c r="H209" s="28">
        <f>IF(OR(NOT(AND($A209&lt;&gt;"",OR($G209="",$G209="Active"))),$F209=""),"",INT((TODAY()-$F209+280)/7)&amp;"+"&amp;MOD(TODAY()-$F209+280,7))</f>
        <v/>
      </c>
      <c r="I209" s="28">
        <f>IF(NOT(AND($A209&lt;&gt;"",OR($G209="",$G209="Active"))),"",ISNUMBER($L209)*($L209&gt;=TODAY())*($L209&lt;=TODAY()+7)+ISNUMBER($M209)*($M209&gt;=TODAY())*($M209&lt;=TODAY()+7)+ISNUMBER($N209)*($N209&gt;=TODAY())*($N209&lt;=TODAY()+7)+ISNUMBER($Q209)*($Q209&gt;=TODAY())*($Q209&lt;=TODAY()+7)+ISNUMBER($R209)*($R209&gt;=TODAY())*($R209&lt;=TODAY()+7)+ISNUMBER($S209)*($S209&gt;=TODAY())*($S209&lt;=TODAY()+7)+ISNUMBER($T209)*($T209&gt;=TODAY())*($T209&lt;=TODAY()+7)+ISNUMBER($U209)*($U209&gt;=TODAY())*($U209&lt;=TODAY()+7)+ISNUMBER($V209)*($V209&gt;=TODAY())*($V209&lt;=TODAY()+7)+ISNUMBER($O209)*($O209&gt;=TODAY())*($O209&lt;=TODAY()+7)+ISNUMBER($P209)*($P209&gt;=TODAY())*($P209&lt;=TODAY()+7)+ISNUMBER($X209)*($X209&gt;=TODAY())*($X209&lt;=TODAY()+7)+ISNUMBER($Y209)*($Y209&gt;=TODAY())*($Y209&lt;=TODAY()+7))</f>
        <v/>
      </c>
      <c r="J209" s="28">
        <f>IF(NOT(AND($A209&lt;&gt;"",OR($G209="",$G209="Active"))),"",IF($K209&lt;&gt;"",IF($L209=$K209,"Booking",IF($M209=$K209,"16/40",IF($N209=$K209,"25/40",IF($Q209=$K209,"28/40",IF($R209=$K209,"31/40",IF($S209=$K209,"34/40",IF($T209=$K209,"36/40",IF($U209=$K209,"38/40",IF($V209=$K209,"40/40",""))))))))),IF(IF(OR(ISNUMBER($V209),$V209="DNA"),$V209,IF(OR(ISNUMBER($U209),$U209="DNA"),$U209,IF(OR(ISNUMBER($T209),$T209="DNA"),$T209,IF(OR(ISNUMBER($S209),$S209="DNA"),$S209,IF(OR(ISNUMBER($R209),$R209="DNA"),$R209,IF(OR(ISNUMBER($Q209),$Q209="DNA"),$Q209,IF(OR(ISNUMBER($N209),$N209="DNA"),$N209,IF(OR(ISNUMBER($M209),$M209="DNA"),$M209,IF(OR(ISNUMBER($L209),$L209="DNA"),$L209,"")))))))))="DNA","Rebook DNA",IF(ISNUMBER(IF(OR(ISNUMBER($V209),$V209="DNA"),$V209,IF(OR(ISNUMBER($U209),$U209="DNA"),$U209,IF(OR(ISNUMBER($T209),$T209="DNA"),$T209,IF(OR(ISNUMBER($S209),$S209="DNA"),$S209,IF(OR(ISNUMBER($R209),$R209="DNA"),$R209,IF(OR(ISNUMBER($Q209),$Q209="DNA"),$Q209,IF(OR(ISNUMBER($N209),$N209="DNA"),$N209,IF(OR(ISNUMBER($M209),$M209="DNA"),$M209,IF(OR(ISNUMBER($L209),$L209="DNA"),$L209,"")))))))))),IF(ISNUMBER($V209),"Update status","Missed/not booked?"),""))))</f>
        <v/>
      </c>
      <c r="K209" s="29">
        <f>IF(NOT(AND($A209&lt;&gt;"",OR($G209="",$G209="Active"))),"",IF(MIN(IF(AND(ISNUMBER($L209),$L209&gt;=TODAY()),$L209,99999),IF(AND(ISNUMBER($M209),$M209&gt;=TODAY()),$M209,99999),IF(AND(ISNUMBER($N209),$N209&gt;=TODAY()),$N209,99999),IF(AND(ISNUMBER($Q209),$Q209&gt;=TODAY()),$Q209,99999),IF(AND(ISNUMBER($R209),$R209&gt;=TODAY()),$R209,99999),IF(AND(ISNUMBER($S209),$S209&gt;=TODAY()),$S209,99999),IF(AND(ISNUMBER($T209),$T209&gt;=TODAY()),$T209,99999),IF(AND(ISNUMBER($U209),$U209&gt;=TODAY()),$U209,99999),IF(AND(ISNUMBER($V209),$V209&gt;=TODAY()),$V209,99999))=99999,"",MIN(IF(AND(ISNUMBER($L209),$L209&gt;=TODAY()),$L209,99999),IF(AND(ISNUMBER($M209),$M209&gt;=TODAY()),$M209,99999),IF(AND(ISNUMBER($N209),$N209&gt;=TODAY()),$N209,99999),IF(AND(ISNUMBER($Q209),$Q209&gt;=TODAY()),$Q209,99999),IF(AND(ISNUMBER($R209),$R209&gt;=TODAY()),$R209,99999),IF(AND(ISNUMBER($S209),$S209&gt;=TODAY()),$S209,99999),IF(AND(ISNUMBER($T209),$T209&gt;=TODAY()),$T209,99999),IF(AND(ISNUMBER($U209),$U209&gt;=TODAY()),$U209,99999),IF(AND(ISNUMBER($V209),$V209&gt;=TODAY()),$V209,99999))))</f>
        <v/>
      </c>
      <c r="L209" s="27" t="n"/>
      <c r="M209" s="27" t="n"/>
      <c r="N209" s="27" t="n"/>
      <c r="O209" s="27" t="n"/>
      <c r="P209" s="27" t="n"/>
      <c r="Q209" s="27" t="n"/>
      <c r="R209" s="27" t="n"/>
      <c r="S209" s="27" t="n"/>
      <c r="T209" s="27" t="n"/>
      <c r="U209" s="27" t="n"/>
      <c r="V209" s="27" t="n"/>
      <c r="W209" s="27" t="n"/>
      <c r="X209" s="27" t="n"/>
      <c r="Y209" s="27" t="n"/>
      <c r="Z209" s="30" t="n"/>
      <c r="AA209" s="25" t="n"/>
      <c r="AB209" s="28">
        <f>IF(NOT(AND($A209&lt;&gt;"",OR($G209="",$G209="Active"))),"",IF(OR(IF(OR(ISNUMBER($V209),$V209="DNA"),$V209,IF(OR(ISNUMBER($U209),$U209="DNA"),$U209,IF(OR(ISNUMBER($T209),$T209="DNA"),$T209,IF(OR(ISNUMBER($S209),$S209="DNA"),$S209,IF(OR(ISNUMBER($R209),$R209="DNA"),$R209,IF(OR(ISNUMBER($Q209),$Q209="DNA"),$Q209,IF(OR(ISNUMBER($N209),$N209="DNA"),$N209,IF(OR(ISNUMBER($M209),$M209="DNA"),$M209,IF(OR(ISNUMBER($L209),$L209="DNA"),$L209,"")))))))))="DNA",AND(ISNUMBER(IF(OR(ISNUMBER($V209),$V209="DNA"),$V209,IF(OR(ISNUMBER($U209),$U209="DNA"),$U209,IF(OR(ISNUMBER($T209),$T209="DNA"),$T209,IF(OR(ISNUMBER($S209),$S209="DNA"),$S209,IF(OR(ISNUMBER($R209),$R209="DNA"),$R209,IF(OR(ISNUMBER($Q209),$Q209="DNA"),$Q209,IF(OR(ISNUMBER($N209),$N209="DNA"),$N209,IF(OR(ISNUMBER($M209),$M209="DNA"),$M209,IF(OR(ISNUMBER($L209),$L209="DNA"),$L209,"")))))))))),IF(OR(ISNUMBER($V209),$V209="DNA"),$V209,IF(OR(ISNUMBER($U209),$U209="DNA"),$U209,IF(OR(ISNUMBER($T209),$T209="DNA"),$T209,IF(OR(ISNUMBER($S209),$S209="DNA"),$S209,IF(OR(ISNUMBER($R209),$R209="DNA"),$R209,IF(OR(ISNUMBER($Q209),$Q209="DNA"),$Q209,IF(OR(ISNUMBER($N209),$N209="DNA"),$N209,IF(OR(ISNUMBER($M209),$M209="DNA"),$M209,IF(OR(ISNUMBER($L209),$L209="DNA"),$L209,"")))))))))&lt;TODAY())),1,0)+ISNUMBER($O209)*($O209&lt;TODAY())+ISNUMBER($P209)*($P209&lt;TODAY())+ISNUMBER($X209)*($X209&lt;TODAY())+ISNUMBER($Y209)*($Y209&lt;TODAY()))</f>
        <v/>
      </c>
    </row>
    <row r="210">
      <c r="A210" s="25" t="n"/>
      <c r="B210" s="26" t="n"/>
      <c r="C210" s="27" t="n"/>
      <c r="D210" s="25" t="n"/>
      <c r="E210" s="25" t="n"/>
      <c r="F210" s="27" t="n"/>
      <c r="G210" s="25" t="n"/>
      <c r="H210" s="28">
        <f>IF(OR(NOT(AND($A210&lt;&gt;"",OR($G210="",$G210="Active"))),$F210=""),"",INT((TODAY()-$F210+280)/7)&amp;"+"&amp;MOD(TODAY()-$F210+280,7))</f>
        <v/>
      </c>
      <c r="I210" s="28">
        <f>IF(NOT(AND($A210&lt;&gt;"",OR($G210="",$G210="Active"))),"",ISNUMBER($L210)*($L210&gt;=TODAY())*($L210&lt;=TODAY()+7)+ISNUMBER($M210)*($M210&gt;=TODAY())*($M210&lt;=TODAY()+7)+ISNUMBER($N210)*($N210&gt;=TODAY())*($N210&lt;=TODAY()+7)+ISNUMBER($Q210)*($Q210&gt;=TODAY())*($Q210&lt;=TODAY()+7)+ISNUMBER($R210)*($R210&gt;=TODAY())*($R210&lt;=TODAY()+7)+ISNUMBER($S210)*($S210&gt;=TODAY())*($S210&lt;=TODAY()+7)+ISNUMBER($T210)*($T210&gt;=TODAY())*($T210&lt;=TODAY()+7)+ISNUMBER($U210)*($U210&gt;=TODAY())*($U210&lt;=TODAY()+7)+ISNUMBER($V210)*($V210&gt;=TODAY())*($V210&lt;=TODAY()+7)+ISNUMBER($O210)*($O210&gt;=TODAY())*($O210&lt;=TODAY()+7)+ISNUMBER($P210)*($P210&gt;=TODAY())*($P210&lt;=TODAY()+7)+ISNUMBER($X210)*($X210&gt;=TODAY())*($X210&lt;=TODAY()+7)+ISNUMBER($Y210)*($Y210&gt;=TODAY())*($Y210&lt;=TODAY()+7))</f>
        <v/>
      </c>
      <c r="J210" s="28">
        <f>IF(NOT(AND($A210&lt;&gt;"",OR($G210="",$G210="Active"))),"",IF($K210&lt;&gt;"",IF($L210=$K210,"Booking",IF($M210=$K210,"16/40",IF($N210=$K210,"25/40",IF($Q210=$K210,"28/40",IF($R210=$K210,"31/40",IF($S210=$K210,"34/40",IF($T210=$K210,"36/40",IF($U210=$K210,"38/40",IF($V210=$K210,"40/40",""))))))))),IF(IF(OR(ISNUMBER($V210),$V210="DNA"),$V210,IF(OR(ISNUMBER($U210),$U210="DNA"),$U210,IF(OR(ISNUMBER($T210),$T210="DNA"),$T210,IF(OR(ISNUMBER($S210),$S210="DNA"),$S210,IF(OR(ISNUMBER($R210),$R210="DNA"),$R210,IF(OR(ISNUMBER($Q210),$Q210="DNA"),$Q210,IF(OR(ISNUMBER($N210),$N210="DNA"),$N210,IF(OR(ISNUMBER($M210),$M210="DNA"),$M210,IF(OR(ISNUMBER($L210),$L210="DNA"),$L210,"")))))))))="DNA","Rebook DNA",IF(ISNUMBER(IF(OR(ISNUMBER($V210),$V210="DNA"),$V210,IF(OR(ISNUMBER($U210),$U210="DNA"),$U210,IF(OR(ISNUMBER($T210),$T210="DNA"),$T210,IF(OR(ISNUMBER($S210),$S210="DNA"),$S210,IF(OR(ISNUMBER($R210),$R210="DNA"),$R210,IF(OR(ISNUMBER($Q210),$Q210="DNA"),$Q210,IF(OR(ISNUMBER($N210),$N210="DNA"),$N210,IF(OR(ISNUMBER($M210),$M210="DNA"),$M210,IF(OR(ISNUMBER($L210),$L210="DNA"),$L210,"")))))))))),IF(ISNUMBER($V210),"Update status","Missed/not booked?"),""))))</f>
        <v/>
      </c>
      <c r="K210" s="29">
        <f>IF(NOT(AND($A210&lt;&gt;"",OR($G210="",$G210="Active"))),"",IF(MIN(IF(AND(ISNUMBER($L210),$L210&gt;=TODAY()),$L210,99999),IF(AND(ISNUMBER($M210),$M210&gt;=TODAY()),$M210,99999),IF(AND(ISNUMBER($N210),$N210&gt;=TODAY()),$N210,99999),IF(AND(ISNUMBER($Q210),$Q210&gt;=TODAY()),$Q210,99999),IF(AND(ISNUMBER($R210),$R210&gt;=TODAY()),$R210,99999),IF(AND(ISNUMBER($S210),$S210&gt;=TODAY()),$S210,99999),IF(AND(ISNUMBER($T210),$T210&gt;=TODAY()),$T210,99999),IF(AND(ISNUMBER($U210),$U210&gt;=TODAY()),$U210,99999),IF(AND(ISNUMBER($V210),$V210&gt;=TODAY()),$V210,99999))=99999,"",MIN(IF(AND(ISNUMBER($L210),$L210&gt;=TODAY()),$L210,99999),IF(AND(ISNUMBER($M210),$M210&gt;=TODAY()),$M210,99999),IF(AND(ISNUMBER($N210),$N210&gt;=TODAY()),$N210,99999),IF(AND(ISNUMBER($Q210),$Q210&gt;=TODAY()),$Q210,99999),IF(AND(ISNUMBER($R210),$R210&gt;=TODAY()),$R210,99999),IF(AND(ISNUMBER($S210),$S210&gt;=TODAY()),$S210,99999),IF(AND(ISNUMBER($T210),$T210&gt;=TODAY()),$T210,99999),IF(AND(ISNUMBER($U210),$U210&gt;=TODAY()),$U210,99999),IF(AND(ISNUMBER($V210),$V210&gt;=TODAY()),$V210,99999))))</f>
        <v/>
      </c>
      <c r="L210" s="27" t="n"/>
      <c r="M210" s="27" t="n"/>
      <c r="N210" s="27" t="n"/>
      <c r="O210" s="27" t="n"/>
      <c r="P210" s="27" t="n"/>
      <c r="Q210" s="27" t="n"/>
      <c r="R210" s="27" t="n"/>
      <c r="S210" s="27" t="n"/>
      <c r="T210" s="27" t="n"/>
      <c r="U210" s="27" t="n"/>
      <c r="V210" s="27" t="n"/>
      <c r="W210" s="27" t="n"/>
      <c r="X210" s="27" t="n"/>
      <c r="Y210" s="27" t="n"/>
      <c r="Z210" s="30" t="n"/>
      <c r="AA210" s="25" t="n"/>
      <c r="AB210" s="28">
        <f>IF(NOT(AND($A210&lt;&gt;"",OR($G210="",$G210="Active"))),"",IF(OR(IF(OR(ISNUMBER($V210),$V210="DNA"),$V210,IF(OR(ISNUMBER($U210),$U210="DNA"),$U210,IF(OR(ISNUMBER($T210),$T210="DNA"),$T210,IF(OR(ISNUMBER($S210),$S210="DNA"),$S210,IF(OR(ISNUMBER($R210),$R210="DNA"),$R210,IF(OR(ISNUMBER($Q210),$Q210="DNA"),$Q210,IF(OR(ISNUMBER($N210),$N210="DNA"),$N210,IF(OR(ISNUMBER($M210),$M210="DNA"),$M210,IF(OR(ISNUMBER($L210),$L210="DNA"),$L210,"")))))))))="DNA",AND(ISNUMBER(IF(OR(ISNUMBER($V210),$V210="DNA"),$V210,IF(OR(ISNUMBER($U210),$U210="DNA"),$U210,IF(OR(ISNUMBER($T210),$T210="DNA"),$T210,IF(OR(ISNUMBER($S210),$S210="DNA"),$S210,IF(OR(ISNUMBER($R210),$R210="DNA"),$R210,IF(OR(ISNUMBER($Q210),$Q210="DNA"),$Q210,IF(OR(ISNUMBER($N210),$N210="DNA"),$N210,IF(OR(ISNUMBER($M210),$M210="DNA"),$M210,IF(OR(ISNUMBER($L210),$L210="DNA"),$L210,"")))))))))),IF(OR(ISNUMBER($V210),$V210="DNA"),$V210,IF(OR(ISNUMBER($U210),$U210="DNA"),$U210,IF(OR(ISNUMBER($T210),$T210="DNA"),$T210,IF(OR(ISNUMBER($S210),$S210="DNA"),$S210,IF(OR(ISNUMBER($R210),$R210="DNA"),$R210,IF(OR(ISNUMBER($Q210),$Q210="DNA"),$Q210,IF(OR(ISNUMBER($N210),$N210="DNA"),$N210,IF(OR(ISNUMBER($M210),$M210="DNA"),$M210,IF(OR(ISNUMBER($L210),$L210="DNA"),$L210,"")))))))))&lt;TODAY())),1,0)+ISNUMBER($O210)*($O210&lt;TODAY())+ISNUMBER($P210)*($P210&lt;TODAY())+ISNUMBER($X210)*($X210&lt;TODAY())+ISNUMBER($Y210)*($Y210&lt;TODAY()))</f>
        <v/>
      </c>
    </row>
    <row r="211">
      <c r="A211" s="25" t="n"/>
      <c r="B211" s="26" t="n"/>
      <c r="C211" s="27" t="n"/>
      <c r="D211" s="25" t="n"/>
      <c r="E211" s="25" t="n"/>
      <c r="F211" s="27" t="n"/>
      <c r="G211" s="25" t="n"/>
      <c r="H211" s="28">
        <f>IF(OR(NOT(AND($A211&lt;&gt;"",OR($G211="",$G211="Active"))),$F211=""),"",INT((TODAY()-$F211+280)/7)&amp;"+"&amp;MOD(TODAY()-$F211+280,7))</f>
        <v/>
      </c>
      <c r="I211" s="28">
        <f>IF(NOT(AND($A211&lt;&gt;"",OR($G211="",$G211="Active"))),"",ISNUMBER($L211)*($L211&gt;=TODAY())*($L211&lt;=TODAY()+7)+ISNUMBER($M211)*($M211&gt;=TODAY())*($M211&lt;=TODAY()+7)+ISNUMBER($N211)*($N211&gt;=TODAY())*($N211&lt;=TODAY()+7)+ISNUMBER($Q211)*($Q211&gt;=TODAY())*($Q211&lt;=TODAY()+7)+ISNUMBER($R211)*($R211&gt;=TODAY())*($R211&lt;=TODAY()+7)+ISNUMBER($S211)*($S211&gt;=TODAY())*($S211&lt;=TODAY()+7)+ISNUMBER($T211)*($T211&gt;=TODAY())*($T211&lt;=TODAY()+7)+ISNUMBER($U211)*($U211&gt;=TODAY())*($U211&lt;=TODAY()+7)+ISNUMBER($V211)*($V211&gt;=TODAY())*($V211&lt;=TODAY()+7)+ISNUMBER($O211)*($O211&gt;=TODAY())*($O211&lt;=TODAY()+7)+ISNUMBER($P211)*($P211&gt;=TODAY())*($P211&lt;=TODAY()+7)+ISNUMBER($X211)*($X211&gt;=TODAY())*($X211&lt;=TODAY()+7)+ISNUMBER($Y211)*($Y211&gt;=TODAY())*($Y211&lt;=TODAY()+7))</f>
        <v/>
      </c>
      <c r="J211" s="28">
        <f>IF(NOT(AND($A211&lt;&gt;"",OR($G211="",$G211="Active"))),"",IF($K211&lt;&gt;"",IF($L211=$K211,"Booking",IF($M211=$K211,"16/40",IF($N211=$K211,"25/40",IF($Q211=$K211,"28/40",IF($R211=$K211,"31/40",IF($S211=$K211,"34/40",IF($T211=$K211,"36/40",IF($U211=$K211,"38/40",IF($V211=$K211,"40/40",""))))))))),IF(IF(OR(ISNUMBER($V211),$V211="DNA"),$V211,IF(OR(ISNUMBER($U211),$U211="DNA"),$U211,IF(OR(ISNUMBER($T211),$T211="DNA"),$T211,IF(OR(ISNUMBER($S211),$S211="DNA"),$S211,IF(OR(ISNUMBER($R211),$R211="DNA"),$R211,IF(OR(ISNUMBER($Q211),$Q211="DNA"),$Q211,IF(OR(ISNUMBER($N211),$N211="DNA"),$N211,IF(OR(ISNUMBER($M211),$M211="DNA"),$M211,IF(OR(ISNUMBER($L211),$L211="DNA"),$L211,"")))))))))="DNA","Rebook DNA",IF(ISNUMBER(IF(OR(ISNUMBER($V211),$V211="DNA"),$V211,IF(OR(ISNUMBER($U211),$U211="DNA"),$U211,IF(OR(ISNUMBER($T211),$T211="DNA"),$T211,IF(OR(ISNUMBER($S211),$S211="DNA"),$S211,IF(OR(ISNUMBER($R211),$R211="DNA"),$R211,IF(OR(ISNUMBER($Q211),$Q211="DNA"),$Q211,IF(OR(ISNUMBER($N211),$N211="DNA"),$N211,IF(OR(ISNUMBER($M211),$M211="DNA"),$M211,IF(OR(ISNUMBER($L211),$L211="DNA"),$L211,"")))))))))),IF(ISNUMBER($V211),"Update status","Missed/not booked?"),""))))</f>
        <v/>
      </c>
      <c r="K211" s="29">
        <f>IF(NOT(AND($A211&lt;&gt;"",OR($G211="",$G211="Active"))),"",IF(MIN(IF(AND(ISNUMBER($L211),$L211&gt;=TODAY()),$L211,99999),IF(AND(ISNUMBER($M211),$M211&gt;=TODAY()),$M211,99999),IF(AND(ISNUMBER($N211),$N211&gt;=TODAY()),$N211,99999),IF(AND(ISNUMBER($Q211),$Q211&gt;=TODAY()),$Q211,99999),IF(AND(ISNUMBER($R211),$R211&gt;=TODAY()),$R211,99999),IF(AND(ISNUMBER($S211),$S211&gt;=TODAY()),$S211,99999),IF(AND(ISNUMBER($T211),$T211&gt;=TODAY()),$T211,99999),IF(AND(ISNUMBER($U211),$U211&gt;=TODAY()),$U211,99999),IF(AND(ISNUMBER($V211),$V211&gt;=TODAY()),$V211,99999))=99999,"",MIN(IF(AND(ISNUMBER($L211),$L211&gt;=TODAY()),$L211,99999),IF(AND(ISNUMBER($M211),$M211&gt;=TODAY()),$M211,99999),IF(AND(ISNUMBER($N211),$N211&gt;=TODAY()),$N211,99999),IF(AND(ISNUMBER($Q211),$Q211&gt;=TODAY()),$Q211,99999),IF(AND(ISNUMBER($R211),$R211&gt;=TODAY()),$R211,99999),IF(AND(ISNUMBER($S211),$S211&gt;=TODAY()),$S211,99999),IF(AND(ISNUMBER($T211),$T211&gt;=TODAY()),$T211,99999),IF(AND(ISNUMBER($U211),$U211&gt;=TODAY()),$U211,99999),IF(AND(ISNUMBER($V211),$V211&gt;=TODAY()),$V211,99999))))</f>
        <v/>
      </c>
      <c r="L211" s="27" t="n"/>
      <c r="M211" s="27" t="n"/>
      <c r="N211" s="27" t="n"/>
      <c r="O211" s="27" t="n"/>
      <c r="P211" s="27" t="n"/>
      <c r="Q211" s="27" t="n"/>
      <c r="R211" s="27" t="n"/>
      <c r="S211" s="27" t="n"/>
      <c r="T211" s="27" t="n"/>
      <c r="U211" s="27" t="n"/>
      <c r="V211" s="27" t="n"/>
      <c r="W211" s="27" t="n"/>
      <c r="X211" s="27" t="n"/>
      <c r="Y211" s="27" t="n"/>
      <c r="Z211" s="30" t="n"/>
      <c r="AA211" s="25" t="n"/>
      <c r="AB211" s="28">
        <f>IF(NOT(AND($A211&lt;&gt;"",OR($G211="",$G211="Active"))),"",IF(OR(IF(OR(ISNUMBER($V211),$V211="DNA"),$V211,IF(OR(ISNUMBER($U211),$U211="DNA"),$U211,IF(OR(ISNUMBER($T211),$T211="DNA"),$T211,IF(OR(ISNUMBER($S211),$S211="DNA"),$S211,IF(OR(ISNUMBER($R211),$R211="DNA"),$R211,IF(OR(ISNUMBER($Q211),$Q211="DNA"),$Q211,IF(OR(ISNUMBER($N211),$N211="DNA"),$N211,IF(OR(ISNUMBER($M211),$M211="DNA"),$M211,IF(OR(ISNUMBER($L211),$L211="DNA"),$L211,"")))))))))="DNA",AND(ISNUMBER(IF(OR(ISNUMBER($V211),$V211="DNA"),$V211,IF(OR(ISNUMBER($U211),$U211="DNA"),$U211,IF(OR(ISNUMBER($T211),$T211="DNA"),$T211,IF(OR(ISNUMBER($S211),$S211="DNA"),$S211,IF(OR(ISNUMBER($R211),$R211="DNA"),$R211,IF(OR(ISNUMBER($Q211),$Q211="DNA"),$Q211,IF(OR(ISNUMBER($N211),$N211="DNA"),$N211,IF(OR(ISNUMBER($M211),$M211="DNA"),$M211,IF(OR(ISNUMBER($L211),$L211="DNA"),$L211,"")))))))))),IF(OR(ISNUMBER($V211),$V211="DNA"),$V211,IF(OR(ISNUMBER($U211),$U211="DNA"),$U211,IF(OR(ISNUMBER($T211),$T211="DNA"),$T211,IF(OR(ISNUMBER($S211),$S211="DNA"),$S211,IF(OR(ISNUMBER($R211),$R211="DNA"),$R211,IF(OR(ISNUMBER($Q211),$Q211="DNA"),$Q211,IF(OR(ISNUMBER($N211),$N211="DNA"),$N211,IF(OR(ISNUMBER($M211),$M211="DNA"),$M211,IF(OR(ISNUMBER($L211),$L211="DNA"),$L211,"")))))))))&lt;TODAY())),1,0)+ISNUMBER($O211)*($O211&lt;TODAY())+ISNUMBER($P211)*($P211&lt;TODAY())+ISNUMBER($X211)*($X211&lt;TODAY())+ISNUMBER($Y211)*($Y211&lt;TODAY()))</f>
        <v/>
      </c>
    </row>
    <row r="212">
      <c r="A212" s="25" t="n"/>
      <c r="B212" s="26" t="n"/>
      <c r="C212" s="27" t="n"/>
      <c r="D212" s="25" t="n"/>
      <c r="E212" s="25" t="n"/>
      <c r="F212" s="27" t="n"/>
      <c r="G212" s="25" t="n"/>
      <c r="H212" s="28">
        <f>IF(OR(NOT(AND($A212&lt;&gt;"",OR($G212="",$G212="Active"))),$F212=""),"",INT((TODAY()-$F212+280)/7)&amp;"+"&amp;MOD(TODAY()-$F212+280,7))</f>
        <v/>
      </c>
      <c r="I212" s="28">
        <f>IF(NOT(AND($A212&lt;&gt;"",OR($G212="",$G212="Active"))),"",ISNUMBER($L212)*($L212&gt;=TODAY())*($L212&lt;=TODAY()+7)+ISNUMBER($M212)*($M212&gt;=TODAY())*($M212&lt;=TODAY()+7)+ISNUMBER($N212)*($N212&gt;=TODAY())*($N212&lt;=TODAY()+7)+ISNUMBER($Q212)*($Q212&gt;=TODAY())*($Q212&lt;=TODAY()+7)+ISNUMBER($R212)*($R212&gt;=TODAY())*($R212&lt;=TODAY()+7)+ISNUMBER($S212)*($S212&gt;=TODAY())*($S212&lt;=TODAY()+7)+ISNUMBER($T212)*($T212&gt;=TODAY())*($T212&lt;=TODAY()+7)+ISNUMBER($U212)*($U212&gt;=TODAY())*($U212&lt;=TODAY()+7)+ISNUMBER($V212)*($V212&gt;=TODAY())*($V212&lt;=TODAY()+7)+ISNUMBER($O212)*($O212&gt;=TODAY())*($O212&lt;=TODAY()+7)+ISNUMBER($P212)*($P212&gt;=TODAY())*($P212&lt;=TODAY()+7)+ISNUMBER($X212)*($X212&gt;=TODAY())*($X212&lt;=TODAY()+7)+ISNUMBER($Y212)*($Y212&gt;=TODAY())*($Y212&lt;=TODAY()+7))</f>
        <v/>
      </c>
      <c r="J212" s="28">
        <f>IF(NOT(AND($A212&lt;&gt;"",OR($G212="",$G212="Active"))),"",IF($K212&lt;&gt;"",IF($L212=$K212,"Booking",IF($M212=$K212,"16/40",IF($N212=$K212,"25/40",IF($Q212=$K212,"28/40",IF($R212=$K212,"31/40",IF($S212=$K212,"34/40",IF($T212=$K212,"36/40",IF($U212=$K212,"38/40",IF($V212=$K212,"40/40",""))))))))),IF(IF(OR(ISNUMBER($V212),$V212="DNA"),$V212,IF(OR(ISNUMBER($U212),$U212="DNA"),$U212,IF(OR(ISNUMBER($T212),$T212="DNA"),$T212,IF(OR(ISNUMBER($S212),$S212="DNA"),$S212,IF(OR(ISNUMBER($R212),$R212="DNA"),$R212,IF(OR(ISNUMBER($Q212),$Q212="DNA"),$Q212,IF(OR(ISNUMBER($N212),$N212="DNA"),$N212,IF(OR(ISNUMBER($M212),$M212="DNA"),$M212,IF(OR(ISNUMBER($L212),$L212="DNA"),$L212,"")))))))))="DNA","Rebook DNA",IF(ISNUMBER(IF(OR(ISNUMBER($V212),$V212="DNA"),$V212,IF(OR(ISNUMBER($U212),$U212="DNA"),$U212,IF(OR(ISNUMBER($T212),$T212="DNA"),$T212,IF(OR(ISNUMBER($S212),$S212="DNA"),$S212,IF(OR(ISNUMBER($R212),$R212="DNA"),$R212,IF(OR(ISNUMBER($Q212),$Q212="DNA"),$Q212,IF(OR(ISNUMBER($N212),$N212="DNA"),$N212,IF(OR(ISNUMBER($M212),$M212="DNA"),$M212,IF(OR(ISNUMBER($L212),$L212="DNA"),$L212,"")))))))))),IF(ISNUMBER($V212),"Update status","Missed/not booked?"),""))))</f>
        <v/>
      </c>
      <c r="K212" s="29">
        <f>IF(NOT(AND($A212&lt;&gt;"",OR($G212="",$G212="Active"))),"",IF(MIN(IF(AND(ISNUMBER($L212),$L212&gt;=TODAY()),$L212,99999),IF(AND(ISNUMBER($M212),$M212&gt;=TODAY()),$M212,99999),IF(AND(ISNUMBER($N212),$N212&gt;=TODAY()),$N212,99999),IF(AND(ISNUMBER($Q212),$Q212&gt;=TODAY()),$Q212,99999),IF(AND(ISNUMBER($R212),$R212&gt;=TODAY()),$R212,99999),IF(AND(ISNUMBER($S212),$S212&gt;=TODAY()),$S212,99999),IF(AND(ISNUMBER($T212),$T212&gt;=TODAY()),$T212,99999),IF(AND(ISNUMBER($U212),$U212&gt;=TODAY()),$U212,99999),IF(AND(ISNUMBER($V212),$V212&gt;=TODAY()),$V212,99999))=99999,"",MIN(IF(AND(ISNUMBER($L212),$L212&gt;=TODAY()),$L212,99999),IF(AND(ISNUMBER($M212),$M212&gt;=TODAY()),$M212,99999),IF(AND(ISNUMBER($N212),$N212&gt;=TODAY()),$N212,99999),IF(AND(ISNUMBER($Q212),$Q212&gt;=TODAY()),$Q212,99999),IF(AND(ISNUMBER($R212),$R212&gt;=TODAY()),$R212,99999),IF(AND(ISNUMBER($S212),$S212&gt;=TODAY()),$S212,99999),IF(AND(ISNUMBER($T212),$T212&gt;=TODAY()),$T212,99999),IF(AND(ISNUMBER($U212),$U212&gt;=TODAY()),$U212,99999),IF(AND(ISNUMBER($V212),$V212&gt;=TODAY()),$V212,99999))))</f>
        <v/>
      </c>
      <c r="L212" s="27" t="n"/>
      <c r="M212" s="27" t="n"/>
      <c r="N212" s="27" t="n"/>
      <c r="O212" s="27" t="n"/>
      <c r="P212" s="27" t="n"/>
      <c r="Q212" s="27" t="n"/>
      <c r="R212" s="27" t="n"/>
      <c r="S212" s="27" t="n"/>
      <c r="T212" s="27" t="n"/>
      <c r="U212" s="27" t="n"/>
      <c r="V212" s="27" t="n"/>
      <c r="W212" s="27" t="n"/>
      <c r="X212" s="27" t="n"/>
      <c r="Y212" s="27" t="n"/>
      <c r="Z212" s="30" t="n"/>
      <c r="AA212" s="25" t="n"/>
      <c r="AB212" s="28">
        <f>IF(NOT(AND($A212&lt;&gt;"",OR($G212="",$G212="Active"))),"",IF(OR(IF(OR(ISNUMBER($V212),$V212="DNA"),$V212,IF(OR(ISNUMBER($U212),$U212="DNA"),$U212,IF(OR(ISNUMBER($T212),$T212="DNA"),$T212,IF(OR(ISNUMBER($S212),$S212="DNA"),$S212,IF(OR(ISNUMBER($R212),$R212="DNA"),$R212,IF(OR(ISNUMBER($Q212),$Q212="DNA"),$Q212,IF(OR(ISNUMBER($N212),$N212="DNA"),$N212,IF(OR(ISNUMBER($M212),$M212="DNA"),$M212,IF(OR(ISNUMBER($L212),$L212="DNA"),$L212,"")))))))))="DNA",AND(ISNUMBER(IF(OR(ISNUMBER($V212),$V212="DNA"),$V212,IF(OR(ISNUMBER($U212),$U212="DNA"),$U212,IF(OR(ISNUMBER($T212),$T212="DNA"),$T212,IF(OR(ISNUMBER($S212),$S212="DNA"),$S212,IF(OR(ISNUMBER($R212),$R212="DNA"),$R212,IF(OR(ISNUMBER($Q212),$Q212="DNA"),$Q212,IF(OR(ISNUMBER($N212),$N212="DNA"),$N212,IF(OR(ISNUMBER($M212),$M212="DNA"),$M212,IF(OR(ISNUMBER($L212),$L212="DNA"),$L212,"")))))))))),IF(OR(ISNUMBER($V212),$V212="DNA"),$V212,IF(OR(ISNUMBER($U212),$U212="DNA"),$U212,IF(OR(ISNUMBER($T212),$T212="DNA"),$T212,IF(OR(ISNUMBER($S212),$S212="DNA"),$S212,IF(OR(ISNUMBER($R212),$R212="DNA"),$R212,IF(OR(ISNUMBER($Q212),$Q212="DNA"),$Q212,IF(OR(ISNUMBER($N212),$N212="DNA"),$N212,IF(OR(ISNUMBER($M212),$M212="DNA"),$M212,IF(OR(ISNUMBER($L212),$L212="DNA"),$L212,"")))))))))&lt;TODAY())),1,0)+ISNUMBER($O212)*($O212&lt;TODAY())+ISNUMBER($P212)*($P212&lt;TODAY())+ISNUMBER($X212)*($X212&lt;TODAY())+ISNUMBER($Y212)*($Y212&lt;TODAY()))</f>
        <v/>
      </c>
    </row>
    <row r="213">
      <c r="A213" s="25" t="n"/>
      <c r="B213" s="26" t="n"/>
      <c r="C213" s="27" t="n"/>
      <c r="D213" s="25" t="n"/>
      <c r="E213" s="25" t="n"/>
      <c r="F213" s="27" t="n"/>
      <c r="G213" s="25" t="n"/>
      <c r="H213" s="28">
        <f>IF(OR(NOT(AND($A213&lt;&gt;"",OR($G213="",$G213="Active"))),$F213=""),"",INT((TODAY()-$F213+280)/7)&amp;"+"&amp;MOD(TODAY()-$F213+280,7))</f>
        <v/>
      </c>
      <c r="I213" s="28">
        <f>IF(NOT(AND($A213&lt;&gt;"",OR($G213="",$G213="Active"))),"",ISNUMBER($L213)*($L213&gt;=TODAY())*($L213&lt;=TODAY()+7)+ISNUMBER($M213)*($M213&gt;=TODAY())*($M213&lt;=TODAY()+7)+ISNUMBER($N213)*($N213&gt;=TODAY())*($N213&lt;=TODAY()+7)+ISNUMBER($Q213)*($Q213&gt;=TODAY())*($Q213&lt;=TODAY()+7)+ISNUMBER($R213)*($R213&gt;=TODAY())*($R213&lt;=TODAY()+7)+ISNUMBER($S213)*($S213&gt;=TODAY())*($S213&lt;=TODAY()+7)+ISNUMBER($T213)*($T213&gt;=TODAY())*($T213&lt;=TODAY()+7)+ISNUMBER($U213)*($U213&gt;=TODAY())*($U213&lt;=TODAY()+7)+ISNUMBER($V213)*($V213&gt;=TODAY())*($V213&lt;=TODAY()+7)+ISNUMBER($O213)*($O213&gt;=TODAY())*($O213&lt;=TODAY()+7)+ISNUMBER($P213)*($P213&gt;=TODAY())*($P213&lt;=TODAY()+7)+ISNUMBER($X213)*($X213&gt;=TODAY())*($X213&lt;=TODAY()+7)+ISNUMBER($Y213)*($Y213&gt;=TODAY())*($Y213&lt;=TODAY()+7))</f>
        <v/>
      </c>
      <c r="J213" s="28">
        <f>IF(NOT(AND($A213&lt;&gt;"",OR($G213="",$G213="Active"))),"",IF($K213&lt;&gt;"",IF($L213=$K213,"Booking",IF($M213=$K213,"16/40",IF($N213=$K213,"25/40",IF($Q213=$K213,"28/40",IF($R213=$K213,"31/40",IF($S213=$K213,"34/40",IF($T213=$K213,"36/40",IF($U213=$K213,"38/40",IF($V213=$K213,"40/40",""))))))))),IF(IF(OR(ISNUMBER($V213),$V213="DNA"),$V213,IF(OR(ISNUMBER($U213),$U213="DNA"),$U213,IF(OR(ISNUMBER($T213),$T213="DNA"),$T213,IF(OR(ISNUMBER($S213),$S213="DNA"),$S213,IF(OR(ISNUMBER($R213),$R213="DNA"),$R213,IF(OR(ISNUMBER($Q213),$Q213="DNA"),$Q213,IF(OR(ISNUMBER($N213),$N213="DNA"),$N213,IF(OR(ISNUMBER($M213),$M213="DNA"),$M213,IF(OR(ISNUMBER($L213),$L213="DNA"),$L213,"")))))))))="DNA","Rebook DNA",IF(ISNUMBER(IF(OR(ISNUMBER($V213),$V213="DNA"),$V213,IF(OR(ISNUMBER($U213),$U213="DNA"),$U213,IF(OR(ISNUMBER($T213),$T213="DNA"),$T213,IF(OR(ISNUMBER($S213),$S213="DNA"),$S213,IF(OR(ISNUMBER($R213),$R213="DNA"),$R213,IF(OR(ISNUMBER($Q213),$Q213="DNA"),$Q213,IF(OR(ISNUMBER($N213),$N213="DNA"),$N213,IF(OR(ISNUMBER($M213),$M213="DNA"),$M213,IF(OR(ISNUMBER($L213),$L213="DNA"),$L213,"")))))))))),IF(ISNUMBER($V213),"Update status","Missed/not booked?"),""))))</f>
        <v/>
      </c>
      <c r="K213" s="29">
        <f>IF(NOT(AND($A213&lt;&gt;"",OR($G213="",$G213="Active"))),"",IF(MIN(IF(AND(ISNUMBER($L213),$L213&gt;=TODAY()),$L213,99999),IF(AND(ISNUMBER($M213),$M213&gt;=TODAY()),$M213,99999),IF(AND(ISNUMBER($N213),$N213&gt;=TODAY()),$N213,99999),IF(AND(ISNUMBER($Q213),$Q213&gt;=TODAY()),$Q213,99999),IF(AND(ISNUMBER($R213),$R213&gt;=TODAY()),$R213,99999),IF(AND(ISNUMBER($S213),$S213&gt;=TODAY()),$S213,99999),IF(AND(ISNUMBER($T213),$T213&gt;=TODAY()),$T213,99999),IF(AND(ISNUMBER($U213),$U213&gt;=TODAY()),$U213,99999),IF(AND(ISNUMBER($V213),$V213&gt;=TODAY()),$V213,99999))=99999,"",MIN(IF(AND(ISNUMBER($L213),$L213&gt;=TODAY()),$L213,99999),IF(AND(ISNUMBER($M213),$M213&gt;=TODAY()),$M213,99999),IF(AND(ISNUMBER($N213),$N213&gt;=TODAY()),$N213,99999),IF(AND(ISNUMBER($Q213),$Q213&gt;=TODAY()),$Q213,99999),IF(AND(ISNUMBER($R213),$R213&gt;=TODAY()),$R213,99999),IF(AND(ISNUMBER($S213),$S213&gt;=TODAY()),$S213,99999),IF(AND(ISNUMBER($T213),$T213&gt;=TODAY()),$T213,99999),IF(AND(ISNUMBER($U213),$U213&gt;=TODAY()),$U213,99999),IF(AND(ISNUMBER($V213),$V213&gt;=TODAY()),$V213,99999))))</f>
        <v/>
      </c>
      <c r="L213" s="27" t="n"/>
      <c r="M213" s="27" t="n"/>
      <c r="N213" s="27" t="n"/>
      <c r="O213" s="27" t="n"/>
      <c r="P213" s="27" t="n"/>
      <c r="Q213" s="27" t="n"/>
      <c r="R213" s="27" t="n"/>
      <c r="S213" s="27" t="n"/>
      <c r="T213" s="27" t="n"/>
      <c r="U213" s="27" t="n"/>
      <c r="V213" s="27" t="n"/>
      <c r="W213" s="27" t="n"/>
      <c r="X213" s="27" t="n"/>
      <c r="Y213" s="27" t="n"/>
      <c r="Z213" s="30" t="n"/>
      <c r="AA213" s="25" t="n"/>
      <c r="AB213" s="28">
        <f>IF(NOT(AND($A213&lt;&gt;"",OR($G213="",$G213="Active"))),"",IF(OR(IF(OR(ISNUMBER($V213),$V213="DNA"),$V213,IF(OR(ISNUMBER($U213),$U213="DNA"),$U213,IF(OR(ISNUMBER($T213),$T213="DNA"),$T213,IF(OR(ISNUMBER($S213),$S213="DNA"),$S213,IF(OR(ISNUMBER($R213),$R213="DNA"),$R213,IF(OR(ISNUMBER($Q213),$Q213="DNA"),$Q213,IF(OR(ISNUMBER($N213),$N213="DNA"),$N213,IF(OR(ISNUMBER($M213),$M213="DNA"),$M213,IF(OR(ISNUMBER($L213),$L213="DNA"),$L213,"")))))))))="DNA",AND(ISNUMBER(IF(OR(ISNUMBER($V213),$V213="DNA"),$V213,IF(OR(ISNUMBER($U213),$U213="DNA"),$U213,IF(OR(ISNUMBER($T213),$T213="DNA"),$T213,IF(OR(ISNUMBER($S213),$S213="DNA"),$S213,IF(OR(ISNUMBER($R213),$R213="DNA"),$R213,IF(OR(ISNUMBER($Q213),$Q213="DNA"),$Q213,IF(OR(ISNUMBER($N213),$N213="DNA"),$N213,IF(OR(ISNUMBER($M213),$M213="DNA"),$M213,IF(OR(ISNUMBER($L213),$L213="DNA"),$L213,"")))))))))),IF(OR(ISNUMBER($V213),$V213="DNA"),$V213,IF(OR(ISNUMBER($U213),$U213="DNA"),$U213,IF(OR(ISNUMBER($T213),$T213="DNA"),$T213,IF(OR(ISNUMBER($S213),$S213="DNA"),$S213,IF(OR(ISNUMBER($R213),$R213="DNA"),$R213,IF(OR(ISNUMBER($Q213),$Q213="DNA"),$Q213,IF(OR(ISNUMBER($N213),$N213="DNA"),$N213,IF(OR(ISNUMBER($M213),$M213="DNA"),$M213,IF(OR(ISNUMBER($L213),$L213="DNA"),$L213,"")))))))))&lt;TODAY())),1,0)+ISNUMBER($O213)*($O213&lt;TODAY())+ISNUMBER($P213)*($P213&lt;TODAY())+ISNUMBER($X213)*($X213&lt;TODAY())+ISNUMBER($Y213)*($Y213&lt;TODAY()))</f>
        <v/>
      </c>
    </row>
    <row r="214">
      <c r="A214" s="25" t="n"/>
      <c r="B214" s="26" t="n"/>
      <c r="C214" s="27" t="n"/>
      <c r="D214" s="25" t="n"/>
      <c r="E214" s="25" t="n"/>
      <c r="F214" s="27" t="n"/>
      <c r="G214" s="25" t="n"/>
      <c r="H214" s="28">
        <f>IF(OR(NOT(AND($A214&lt;&gt;"",OR($G214="",$G214="Active"))),$F214=""),"",INT((TODAY()-$F214+280)/7)&amp;"+"&amp;MOD(TODAY()-$F214+280,7))</f>
        <v/>
      </c>
      <c r="I214" s="28">
        <f>IF(NOT(AND($A214&lt;&gt;"",OR($G214="",$G214="Active"))),"",ISNUMBER($L214)*($L214&gt;=TODAY())*($L214&lt;=TODAY()+7)+ISNUMBER($M214)*($M214&gt;=TODAY())*($M214&lt;=TODAY()+7)+ISNUMBER($N214)*($N214&gt;=TODAY())*($N214&lt;=TODAY()+7)+ISNUMBER($Q214)*($Q214&gt;=TODAY())*($Q214&lt;=TODAY()+7)+ISNUMBER($R214)*($R214&gt;=TODAY())*($R214&lt;=TODAY()+7)+ISNUMBER($S214)*($S214&gt;=TODAY())*($S214&lt;=TODAY()+7)+ISNUMBER($T214)*($T214&gt;=TODAY())*($T214&lt;=TODAY()+7)+ISNUMBER($U214)*($U214&gt;=TODAY())*($U214&lt;=TODAY()+7)+ISNUMBER($V214)*($V214&gt;=TODAY())*($V214&lt;=TODAY()+7)+ISNUMBER($O214)*($O214&gt;=TODAY())*($O214&lt;=TODAY()+7)+ISNUMBER($P214)*($P214&gt;=TODAY())*($P214&lt;=TODAY()+7)+ISNUMBER($X214)*($X214&gt;=TODAY())*($X214&lt;=TODAY()+7)+ISNUMBER($Y214)*($Y214&gt;=TODAY())*($Y214&lt;=TODAY()+7))</f>
        <v/>
      </c>
      <c r="J214" s="28">
        <f>IF(NOT(AND($A214&lt;&gt;"",OR($G214="",$G214="Active"))),"",IF($K214&lt;&gt;"",IF($L214=$K214,"Booking",IF($M214=$K214,"16/40",IF($N214=$K214,"25/40",IF($Q214=$K214,"28/40",IF($R214=$K214,"31/40",IF($S214=$K214,"34/40",IF($T214=$K214,"36/40",IF($U214=$K214,"38/40",IF($V214=$K214,"40/40",""))))))))),IF(IF(OR(ISNUMBER($V214),$V214="DNA"),$V214,IF(OR(ISNUMBER($U214),$U214="DNA"),$U214,IF(OR(ISNUMBER($T214),$T214="DNA"),$T214,IF(OR(ISNUMBER($S214),$S214="DNA"),$S214,IF(OR(ISNUMBER($R214),$R214="DNA"),$R214,IF(OR(ISNUMBER($Q214),$Q214="DNA"),$Q214,IF(OR(ISNUMBER($N214),$N214="DNA"),$N214,IF(OR(ISNUMBER($M214),$M214="DNA"),$M214,IF(OR(ISNUMBER($L214),$L214="DNA"),$L214,"")))))))))="DNA","Rebook DNA",IF(ISNUMBER(IF(OR(ISNUMBER($V214),$V214="DNA"),$V214,IF(OR(ISNUMBER($U214),$U214="DNA"),$U214,IF(OR(ISNUMBER($T214),$T214="DNA"),$T214,IF(OR(ISNUMBER($S214),$S214="DNA"),$S214,IF(OR(ISNUMBER($R214),$R214="DNA"),$R214,IF(OR(ISNUMBER($Q214),$Q214="DNA"),$Q214,IF(OR(ISNUMBER($N214),$N214="DNA"),$N214,IF(OR(ISNUMBER($M214),$M214="DNA"),$M214,IF(OR(ISNUMBER($L214),$L214="DNA"),$L214,"")))))))))),IF(ISNUMBER($V214),"Update status","Missed/not booked?"),""))))</f>
        <v/>
      </c>
      <c r="K214" s="29">
        <f>IF(NOT(AND($A214&lt;&gt;"",OR($G214="",$G214="Active"))),"",IF(MIN(IF(AND(ISNUMBER($L214),$L214&gt;=TODAY()),$L214,99999),IF(AND(ISNUMBER($M214),$M214&gt;=TODAY()),$M214,99999),IF(AND(ISNUMBER($N214),$N214&gt;=TODAY()),$N214,99999),IF(AND(ISNUMBER($Q214),$Q214&gt;=TODAY()),$Q214,99999),IF(AND(ISNUMBER($R214),$R214&gt;=TODAY()),$R214,99999),IF(AND(ISNUMBER($S214),$S214&gt;=TODAY()),$S214,99999),IF(AND(ISNUMBER($T214),$T214&gt;=TODAY()),$T214,99999),IF(AND(ISNUMBER($U214),$U214&gt;=TODAY()),$U214,99999),IF(AND(ISNUMBER($V214),$V214&gt;=TODAY()),$V214,99999))=99999,"",MIN(IF(AND(ISNUMBER($L214),$L214&gt;=TODAY()),$L214,99999),IF(AND(ISNUMBER($M214),$M214&gt;=TODAY()),$M214,99999),IF(AND(ISNUMBER($N214),$N214&gt;=TODAY()),$N214,99999),IF(AND(ISNUMBER($Q214),$Q214&gt;=TODAY()),$Q214,99999),IF(AND(ISNUMBER($R214),$R214&gt;=TODAY()),$R214,99999),IF(AND(ISNUMBER($S214),$S214&gt;=TODAY()),$S214,99999),IF(AND(ISNUMBER($T214),$T214&gt;=TODAY()),$T214,99999),IF(AND(ISNUMBER($U214),$U214&gt;=TODAY()),$U214,99999),IF(AND(ISNUMBER($V214),$V214&gt;=TODAY()),$V214,99999))))</f>
        <v/>
      </c>
      <c r="L214" s="27" t="n"/>
      <c r="M214" s="27" t="n"/>
      <c r="N214" s="27" t="n"/>
      <c r="O214" s="27" t="n"/>
      <c r="P214" s="27" t="n"/>
      <c r="Q214" s="27" t="n"/>
      <c r="R214" s="27" t="n"/>
      <c r="S214" s="27" t="n"/>
      <c r="T214" s="27" t="n"/>
      <c r="U214" s="27" t="n"/>
      <c r="V214" s="27" t="n"/>
      <c r="W214" s="27" t="n"/>
      <c r="X214" s="27" t="n"/>
      <c r="Y214" s="27" t="n"/>
      <c r="Z214" s="30" t="n"/>
      <c r="AA214" s="25" t="n"/>
      <c r="AB214" s="28">
        <f>IF(NOT(AND($A214&lt;&gt;"",OR($G214="",$G214="Active"))),"",IF(OR(IF(OR(ISNUMBER($V214),$V214="DNA"),$V214,IF(OR(ISNUMBER($U214),$U214="DNA"),$U214,IF(OR(ISNUMBER($T214),$T214="DNA"),$T214,IF(OR(ISNUMBER($S214),$S214="DNA"),$S214,IF(OR(ISNUMBER($R214),$R214="DNA"),$R214,IF(OR(ISNUMBER($Q214),$Q214="DNA"),$Q214,IF(OR(ISNUMBER($N214),$N214="DNA"),$N214,IF(OR(ISNUMBER($M214),$M214="DNA"),$M214,IF(OR(ISNUMBER($L214),$L214="DNA"),$L214,"")))))))))="DNA",AND(ISNUMBER(IF(OR(ISNUMBER($V214),$V214="DNA"),$V214,IF(OR(ISNUMBER($U214),$U214="DNA"),$U214,IF(OR(ISNUMBER($T214),$T214="DNA"),$T214,IF(OR(ISNUMBER($S214),$S214="DNA"),$S214,IF(OR(ISNUMBER($R214),$R214="DNA"),$R214,IF(OR(ISNUMBER($Q214),$Q214="DNA"),$Q214,IF(OR(ISNUMBER($N214),$N214="DNA"),$N214,IF(OR(ISNUMBER($M214),$M214="DNA"),$M214,IF(OR(ISNUMBER($L214),$L214="DNA"),$L214,"")))))))))),IF(OR(ISNUMBER($V214),$V214="DNA"),$V214,IF(OR(ISNUMBER($U214),$U214="DNA"),$U214,IF(OR(ISNUMBER($T214),$T214="DNA"),$T214,IF(OR(ISNUMBER($S214),$S214="DNA"),$S214,IF(OR(ISNUMBER($R214),$R214="DNA"),$R214,IF(OR(ISNUMBER($Q214),$Q214="DNA"),$Q214,IF(OR(ISNUMBER($N214),$N214="DNA"),$N214,IF(OR(ISNUMBER($M214),$M214="DNA"),$M214,IF(OR(ISNUMBER($L214),$L214="DNA"),$L214,"")))))))))&lt;TODAY())),1,0)+ISNUMBER($O214)*($O214&lt;TODAY())+ISNUMBER($P214)*($P214&lt;TODAY())+ISNUMBER($X214)*($X214&lt;TODAY())+ISNUMBER($Y214)*($Y214&lt;TODAY()))</f>
        <v/>
      </c>
    </row>
    <row r="215">
      <c r="A215" s="25" t="n"/>
      <c r="B215" s="26" t="n"/>
      <c r="C215" s="27" t="n"/>
      <c r="D215" s="25" t="n"/>
      <c r="E215" s="25" t="n"/>
      <c r="F215" s="27" t="n"/>
      <c r="G215" s="25" t="n"/>
      <c r="H215" s="28">
        <f>IF(OR(NOT(AND($A215&lt;&gt;"",OR($G215="",$G215="Active"))),$F215=""),"",INT((TODAY()-$F215+280)/7)&amp;"+"&amp;MOD(TODAY()-$F215+280,7))</f>
        <v/>
      </c>
      <c r="I215" s="28">
        <f>IF(NOT(AND($A215&lt;&gt;"",OR($G215="",$G215="Active"))),"",ISNUMBER($L215)*($L215&gt;=TODAY())*($L215&lt;=TODAY()+7)+ISNUMBER($M215)*($M215&gt;=TODAY())*($M215&lt;=TODAY()+7)+ISNUMBER($N215)*($N215&gt;=TODAY())*($N215&lt;=TODAY()+7)+ISNUMBER($Q215)*($Q215&gt;=TODAY())*($Q215&lt;=TODAY()+7)+ISNUMBER($R215)*($R215&gt;=TODAY())*($R215&lt;=TODAY()+7)+ISNUMBER($S215)*($S215&gt;=TODAY())*($S215&lt;=TODAY()+7)+ISNUMBER($T215)*($T215&gt;=TODAY())*($T215&lt;=TODAY()+7)+ISNUMBER($U215)*($U215&gt;=TODAY())*($U215&lt;=TODAY()+7)+ISNUMBER($V215)*($V215&gt;=TODAY())*($V215&lt;=TODAY()+7)+ISNUMBER($O215)*($O215&gt;=TODAY())*($O215&lt;=TODAY()+7)+ISNUMBER($P215)*($P215&gt;=TODAY())*($P215&lt;=TODAY()+7)+ISNUMBER($X215)*($X215&gt;=TODAY())*($X215&lt;=TODAY()+7)+ISNUMBER($Y215)*($Y215&gt;=TODAY())*($Y215&lt;=TODAY()+7))</f>
        <v/>
      </c>
      <c r="J215" s="28">
        <f>IF(NOT(AND($A215&lt;&gt;"",OR($G215="",$G215="Active"))),"",IF($K215&lt;&gt;"",IF($L215=$K215,"Booking",IF($M215=$K215,"16/40",IF($N215=$K215,"25/40",IF($Q215=$K215,"28/40",IF($R215=$K215,"31/40",IF($S215=$K215,"34/40",IF($T215=$K215,"36/40",IF($U215=$K215,"38/40",IF($V215=$K215,"40/40",""))))))))),IF(IF(OR(ISNUMBER($V215),$V215="DNA"),$V215,IF(OR(ISNUMBER($U215),$U215="DNA"),$U215,IF(OR(ISNUMBER($T215),$T215="DNA"),$T215,IF(OR(ISNUMBER($S215),$S215="DNA"),$S215,IF(OR(ISNUMBER($R215),$R215="DNA"),$R215,IF(OR(ISNUMBER($Q215),$Q215="DNA"),$Q215,IF(OR(ISNUMBER($N215),$N215="DNA"),$N215,IF(OR(ISNUMBER($M215),$M215="DNA"),$M215,IF(OR(ISNUMBER($L215),$L215="DNA"),$L215,"")))))))))="DNA","Rebook DNA",IF(ISNUMBER(IF(OR(ISNUMBER($V215),$V215="DNA"),$V215,IF(OR(ISNUMBER($U215),$U215="DNA"),$U215,IF(OR(ISNUMBER($T215),$T215="DNA"),$T215,IF(OR(ISNUMBER($S215),$S215="DNA"),$S215,IF(OR(ISNUMBER($R215),$R215="DNA"),$R215,IF(OR(ISNUMBER($Q215),$Q215="DNA"),$Q215,IF(OR(ISNUMBER($N215),$N215="DNA"),$N215,IF(OR(ISNUMBER($M215),$M215="DNA"),$M215,IF(OR(ISNUMBER($L215),$L215="DNA"),$L215,"")))))))))),IF(ISNUMBER($V215),"Update status","Missed/not booked?"),""))))</f>
        <v/>
      </c>
      <c r="K215" s="29">
        <f>IF(NOT(AND($A215&lt;&gt;"",OR($G215="",$G215="Active"))),"",IF(MIN(IF(AND(ISNUMBER($L215),$L215&gt;=TODAY()),$L215,99999),IF(AND(ISNUMBER($M215),$M215&gt;=TODAY()),$M215,99999),IF(AND(ISNUMBER($N215),$N215&gt;=TODAY()),$N215,99999),IF(AND(ISNUMBER($Q215),$Q215&gt;=TODAY()),$Q215,99999),IF(AND(ISNUMBER($R215),$R215&gt;=TODAY()),$R215,99999),IF(AND(ISNUMBER($S215),$S215&gt;=TODAY()),$S215,99999),IF(AND(ISNUMBER($T215),$T215&gt;=TODAY()),$T215,99999),IF(AND(ISNUMBER($U215),$U215&gt;=TODAY()),$U215,99999),IF(AND(ISNUMBER($V215),$V215&gt;=TODAY()),$V215,99999))=99999,"",MIN(IF(AND(ISNUMBER($L215),$L215&gt;=TODAY()),$L215,99999),IF(AND(ISNUMBER($M215),$M215&gt;=TODAY()),$M215,99999),IF(AND(ISNUMBER($N215),$N215&gt;=TODAY()),$N215,99999),IF(AND(ISNUMBER($Q215),$Q215&gt;=TODAY()),$Q215,99999),IF(AND(ISNUMBER($R215),$R215&gt;=TODAY()),$R215,99999),IF(AND(ISNUMBER($S215),$S215&gt;=TODAY()),$S215,99999),IF(AND(ISNUMBER($T215),$T215&gt;=TODAY()),$T215,99999),IF(AND(ISNUMBER($U215),$U215&gt;=TODAY()),$U215,99999),IF(AND(ISNUMBER($V215),$V215&gt;=TODAY()),$V215,99999))))</f>
        <v/>
      </c>
      <c r="L215" s="27" t="n"/>
      <c r="M215" s="27" t="n"/>
      <c r="N215" s="27" t="n"/>
      <c r="O215" s="27" t="n"/>
      <c r="P215" s="27" t="n"/>
      <c r="Q215" s="27" t="n"/>
      <c r="R215" s="27" t="n"/>
      <c r="S215" s="27" t="n"/>
      <c r="T215" s="27" t="n"/>
      <c r="U215" s="27" t="n"/>
      <c r="V215" s="27" t="n"/>
      <c r="W215" s="27" t="n"/>
      <c r="X215" s="27" t="n"/>
      <c r="Y215" s="27" t="n"/>
      <c r="Z215" s="30" t="n"/>
      <c r="AA215" s="25" t="n"/>
      <c r="AB215" s="28">
        <f>IF(NOT(AND($A215&lt;&gt;"",OR($G215="",$G215="Active"))),"",IF(OR(IF(OR(ISNUMBER($V215),$V215="DNA"),$V215,IF(OR(ISNUMBER($U215),$U215="DNA"),$U215,IF(OR(ISNUMBER($T215),$T215="DNA"),$T215,IF(OR(ISNUMBER($S215),$S215="DNA"),$S215,IF(OR(ISNUMBER($R215),$R215="DNA"),$R215,IF(OR(ISNUMBER($Q215),$Q215="DNA"),$Q215,IF(OR(ISNUMBER($N215),$N215="DNA"),$N215,IF(OR(ISNUMBER($M215),$M215="DNA"),$M215,IF(OR(ISNUMBER($L215),$L215="DNA"),$L215,"")))))))))="DNA",AND(ISNUMBER(IF(OR(ISNUMBER($V215),$V215="DNA"),$V215,IF(OR(ISNUMBER($U215),$U215="DNA"),$U215,IF(OR(ISNUMBER($T215),$T215="DNA"),$T215,IF(OR(ISNUMBER($S215),$S215="DNA"),$S215,IF(OR(ISNUMBER($R215),$R215="DNA"),$R215,IF(OR(ISNUMBER($Q215),$Q215="DNA"),$Q215,IF(OR(ISNUMBER($N215),$N215="DNA"),$N215,IF(OR(ISNUMBER($M215),$M215="DNA"),$M215,IF(OR(ISNUMBER($L215),$L215="DNA"),$L215,"")))))))))),IF(OR(ISNUMBER($V215),$V215="DNA"),$V215,IF(OR(ISNUMBER($U215),$U215="DNA"),$U215,IF(OR(ISNUMBER($T215),$T215="DNA"),$T215,IF(OR(ISNUMBER($S215),$S215="DNA"),$S215,IF(OR(ISNUMBER($R215),$R215="DNA"),$R215,IF(OR(ISNUMBER($Q215),$Q215="DNA"),$Q215,IF(OR(ISNUMBER($N215),$N215="DNA"),$N215,IF(OR(ISNUMBER($M215),$M215="DNA"),$M215,IF(OR(ISNUMBER($L215),$L215="DNA"),$L215,"")))))))))&lt;TODAY())),1,0)+ISNUMBER($O215)*($O215&lt;TODAY())+ISNUMBER($P215)*($P215&lt;TODAY())+ISNUMBER($X215)*($X215&lt;TODAY())+ISNUMBER($Y215)*($Y215&lt;TODAY()))</f>
        <v/>
      </c>
    </row>
    <row r="216">
      <c r="A216" s="25" t="n"/>
      <c r="B216" s="26" t="n"/>
      <c r="C216" s="27" t="n"/>
      <c r="D216" s="25" t="n"/>
      <c r="E216" s="25" t="n"/>
      <c r="F216" s="27" t="n"/>
      <c r="G216" s="25" t="n"/>
      <c r="H216" s="28">
        <f>IF(OR(NOT(AND($A216&lt;&gt;"",OR($G216="",$G216="Active"))),$F216=""),"",INT((TODAY()-$F216+280)/7)&amp;"+"&amp;MOD(TODAY()-$F216+280,7))</f>
        <v/>
      </c>
      <c r="I216" s="28">
        <f>IF(NOT(AND($A216&lt;&gt;"",OR($G216="",$G216="Active"))),"",ISNUMBER($L216)*($L216&gt;=TODAY())*($L216&lt;=TODAY()+7)+ISNUMBER($M216)*($M216&gt;=TODAY())*($M216&lt;=TODAY()+7)+ISNUMBER($N216)*($N216&gt;=TODAY())*($N216&lt;=TODAY()+7)+ISNUMBER($Q216)*($Q216&gt;=TODAY())*($Q216&lt;=TODAY()+7)+ISNUMBER($R216)*($R216&gt;=TODAY())*($R216&lt;=TODAY()+7)+ISNUMBER($S216)*($S216&gt;=TODAY())*($S216&lt;=TODAY()+7)+ISNUMBER($T216)*($T216&gt;=TODAY())*($T216&lt;=TODAY()+7)+ISNUMBER($U216)*($U216&gt;=TODAY())*($U216&lt;=TODAY()+7)+ISNUMBER($V216)*($V216&gt;=TODAY())*($V216&lt;=TODAY()+7)+ISNUMBER($O216)*($O216&gt;=TODAY())*($O216&lt;=TODAY()+7)+ISNUMBER($P216)*($P216&gt;=TODAY())*($P216&lt;=TODAY()+7)+ISNUMBER($X216)*($X216&gt;=TODAY())*($X216&lt;=TODAY()+7)+ISNUMBER($Y216)*($Y216&gt;=TODAY())*($Y216&lt;=TODAY()+7))</f>
        <v/>
      </c>
      <c r="J216" s="28">
        <f>IF(NOT(AND($A216&lt;&gt;"",OR($G216="",$G216="Active"))),"",IF($K216&lt;&gt;"",IF($L216=$K216,"Booking",IF($M216=$K216,"16/40",IF($N216=$K216,"25/40",IF($Q216=$K216,"28/40",IF($R216=$K216,"31/40",IF($S216=$K216,"34/40",IF($T216=$K216,"36/40",IF($U216=$K216,"38/40",IF($V216=$K216,"40/40",""))))))))),IF(IF(OR(ISNUMBER($V216),$V216="DNA"),$V216,IF(OR(ISNUMBER($U216),$U216="DNA"),$U216,IF(OR(ISNUMBER($T216),$T216="DNA"),$T216,IF(OR(ISNUMBER($S216),$S216="DNA"),$S216,IF(OR(ISNUMBER($R216),$R216="DNA"),$R216,IF(OR(ISNUMBER($Q216),$Q216="DNA"),$Q216,IF(OR(ISNUMBER($N216),$N216="DNA"),$N216,IF(OR(ISNUMBER($M216),$M216="DNA"),$M216,IF(OR(ISNUMBER($L216),$L216="DNA"),$L216,"")))))))))="DNA","Rebook DNA",IF(ISNUMBER(IF(OR(ISNUMBER($V216),$V216="DNA"),$V216,IF(OR(ISNUMBER($U216),$U216="DNA"),$U216,IF(OR(ISNUMBER($T216),$T216="DNA"),$T216,IF(OR(ISNUMBER($S216),$S216="DNA"),$S216,IF(OR(ISNUMBER($R216),$R216="DNA"),$R216,IF(OR(ISNUMBER($Q216),$Q216="DNA"),$Q216,IF(OR(ISNUMBER($N216),$N216="DNA"),$N216,IF(OR(ISNUMBER($M216),$M216="DNA"),$M216,IF(OR(ISNUMBER($L216),$L216="DNA"),$L216,"")))))))))),IF(ISNUMBER($V216),"Update status","Missed/not booked?"),""))))</f>
        <v/>
      </c>
      <c r="K216" s="29">
        <f>IF(NOT(AND($A216&lt;&gt;"",OR($G216="",$G216="Active"))),"",IF(MIN(IF(AND(ISNUMBER($L216),$L216&gt;=TODAY()),$L216,99999),IF(AND(ISNUMBER($M216),$M216&gt;=TODAY()),$M216,99999),IF(AND(ISNUMBER($N216),$N216&gt;=TODAY()),$N216,99999),IF(AND(ISNUMBER($Q216),$Q216&gt;=TODAY()),$Q216,99999),IF(AND(ISNUMBER($R216),$R216&gt;=TODAY()),$R216,99999),IF(AND(ISNUMBER($S216),$S216&gt;=TODAY()),$S216,99999),IF(AND(ISNUMBER($T216),$T216&gt;=TODAY()),$T216,99999),IF(AND(ISNUMBER($U216),$U216&gt;=TODAY()),$U216,99999),IF(AND(ISNUMBER($V216),$V216&gt;=TODAY()),$V216,99999))=99999,"",MIN(IF(AND(ISNUMBER($L216),$L216&gt;=TODAY()),$L216,99999),IF(AND(ISNUMBER($M216),$M216&gt;=TODAY()),$M216,99999),IF(AND(ISNUMBER($N216),$N216&gt;=TODAY()),$N216,99999),IF(AND(ISNUMBER($Q216),$Q216&gt;=TODAY()),$Q216,99999),IF(AND(ISNUMBER($R216),$R216&gt;=TODAY()),$R216,99999),IF(AND(ISNUMBER($S216),$S216&gt;=TODAY()),$S216,99999),IF(AND(ISNUMBER($T216),$T216&gt;=TODAY()),$T216,99999),IF(AND(ISNUMBER($U216),$U216&gt;=TODAY()),$U216,99999),IF(AND(ISNUMBER($V216),$V216&gt;=TODAY()),$V216,99999))))</f>
        <v/>
      </c>
      <c r="L216" s="27" t="n"/>
      <c r="M216" s="27" t="n"/>
      <c r="N216" s="27" t="n"/>
      <c r="O216" s="27" t="n"/>
      <c r="P216" s="27" t="n"/>
      <c r="Q216" s="27" t="n"/>
      <c r="R216" s="27" t="n"/>
      <c r="S216" s="27" t="n"/>
      <c r="T216" s="27" t="n"/>
      <c r="U216" s="27" t="n"/>
      <c r="V216" s="27" t="n"/>
      <c r="W216" s="27" t="n"/>
      <c r="X216" s="27" t="n"/>
      <c r="Y216" s="27" t="n"/>
      <c r="Z216" s="30" t="n"/>
      <c r="AA216" s="25" t="n"/>
      <c r="AB216" s="28">
        <f>IF(NOT(AND($A216&lt;&gt;"",OR($G216="",$G216="Active"))),"",IF(OR(IF(OR(ISNUMBER($V216),$V216="DNA"),$V216,IF(OR(ISNUMBER($U216),$U216="DNA"),$U216,IF(OR(ISNUMBER($T216),$T216="DNA"),$T216,IF(OR(ISNUMBER($S216),$S216="DNA"),$S216,IF(OR(ISNUMBER($R216),$R216="DNA"),$R216,IF(OR(ISNUMBER($Q216),$Q216="DNA"),$Q216,IF(OR(ISNUMBER($N216),$N216="DNA"),$N216,IF(OR(ISNUMBER($M216),$M216="DNA"),$M216,IF(OR(ISNUMBER($L216),$L216="DNA"),$L216,"")))))))))="DNA",AND(ISNUMBER(IF(OR(ISNUMBER($V216),$V216="DNA"),$V216,IF(OR(ISNUMBER($U216),$U216="DNA"),$U216,IF(OR(ISNUMBER($T216),$T216="DNA"),$T216,IF(OR(ISNUMBER($S216),$S216="DNA"),$S216,IF(OR(ISNUMBER($R216),$R216="DNA"),$R216,IF(OR(ISNUMBER($Q216),$Q216="DNA"),$Q216,IF(OR(ISNUMBER($N216),$N216="DNA"),$N216,IF(OR(ISNUMBER($M216),$M216="DNA"),$M216,IF(OR(ISNUMBER($L216),$L216="DNA"),$L216,"")))))))))),IF(OR(ISNUMBER($V216),$V216="DNA"),$V216,IF(OR(ISNUMBER($U216),$U216="DNA"),$U216,IF(OR(ISNUMBER($T216),$T216="DNA"),$T216,IF(OR(ISNUMBER($S216),$S216="DNA"),$S216,IF(OR(ISNUMBER($R216),$R216="DNA"),$R216,IF(OR(ISNUMBER($Q216),$Q216="DNA"),$Q216,IF(OR(ISNUMBER($N216),$N216="DNA"),$N216,IF(OR(ISNUMBER($M216),$M216="DNA"),$M216,IF(OR(ISNUMBER($L216),$L216="DNA"),$L216,"")))))))))&lt;TODAY())),1,0)+ISNUMBER($O216)*($O216&lt;TODAY())+ISNUMBER($P216)*($P216&lt;TODAY())+ISNUMBER($X216)*($X216&lt;TODAY())+ISNUMBER($Y216)*($Y216&lt;TODAY()))</f>
        <v/>
      </c>
    </row>
    <row r="217">
      <c r="A217" s="25" t="n"/>
      <c r="B217" s="26" t="n"/>
      <c r="C217" s="27" t="n"/>
      <c r="D217" s="25" t="n"/>
      <c r="E217" s="25" t="n"/>
      <c r="F217" s="27" t="n"/>
      <c r="G217" s="25" t="n"/>
      <c r="H217" s="28">
        <f>IF(OR(NOT(AND($A217&lt;&gt;"",OR($G217="",$G217="Active"))),$F217=""),"",INT((TODAY()-$F217+280)/7)&amp;"+"&amp;MOD(TODAY()-$F217+280,7))</f>
        <v/>
      </c>
      <c r="I217" s="28">
        <f>IF(NOT(AND($A217&lt;&gt;"",OR($G217="",$G217="Active"))),"",ISNUMBER($L217)*($L217&gt;=TODAY())*($L217&lt;=TODAY()+7)+ISNUMBER($M217)*($M217&gt;=TODAY())*($M217&lt;=TODAY()+7)+ISNUMBER($N217)*($N217&gt;=TODAY())*($N217&lt;=TODAY()+7)+ISNUMBER($Q217)*($Q217&gt;=TODAY())*($Q217&lt;=TODAY()+7)+ISNUMBER($R217)*($R217&gt;=TODAY())*($R217&lt;=TODAY()+7)+ISNUMBER($S217)*($S217&gt;=TODAY())*($S217&lt;=TODAY()+7)+ISNUMBER($T217)*($T217&gt;=TODAY())*($T217&lt;=TODAY()+7)+ISNUMBER($U217)*($U217&gt;=TODAY())*($U217&lt;=TODAY()+7)+ISNUMBER($V217)*($V217&gt;=TODAY())*($V217&lt;=TODAY()+7)+ISNUMBER($O217)*($O217&gt;=TODAY())*($O217&lt;=TODAY()+7)+ISNUMBER($P217)*($P217&gt;=TODAY())*($P217&lt;=TODAY()+7)+ISNUMBER($X217)*($X217&gt;=TODAY())*($X217&lt;=TODAY()+7)+ISNUMBER($Y217)*($Y217&gt;=TODAY())*($Y217&lt;=TODAY()+7))</f>
        <v/>
      </c>
      <c r="J217" s="28">
        <f>IF(NOT(AND($A217&lt;&gt;"",OR($G217="",$G217="Active"))),"",IF($K217&lt;&gt;"",IF($L217=$K217,"Booking",IF($M217=$K217,"16/40",IF($N217=$K217,"25/40",IF($Q217=$K217,"28/40",IF($R217=$K217,"31/40",IF($S217=$K217,"34/40",IF($T217=$K217,"36/40",IF($U217=$K217,"38/40",IF($V217=$K217,"40/40",""))))))))),IF(IF(OR(ISNUMBER($V217),$V217="DNA"),$V217,IF(OR(ISNUMBER($U217),$U217="DNA"),$U217,IF(OR(ISNUMBER($T217),$T217="DNA"),$T217,IF(OR(ISNUMBER($S217),$S217="DNA"),$S217,IF(OR(ISNUMBER($R217),$R217="DNA"),$R217,IF(OR(ISNUMBER($Q217),$Q217="DNA"),$Q217,IF(OR(ISNUMBER($N217),$N217="DNA"),$N217,IF(OR(ISNUMBER($M217),$M217="DNA"),$M217,IF(OR(ISNUMBER($L217),$L217="DNA"),$L217,"")))))))))="DNA","Rebook DNA",IF(ISNUMBER(IF(OR(ISNUMBER($V217),$V217="DNA"),$V217,IF(OR(ISNUMBER($U217),$U217="DNA"),$U217,IF(OR(ISNUMBER($T217),$T217="DNA"),$T217,IF(OR(ISNUMBER($S217),$S217="DNA"),$S217,IF(OR(ISNUMBER($R217),$R217="DNA"),$R217,IF(OR(ISNUMBER($Q217),$Q217="DNA"),$Q217,IF(OR(ISNUMBER($N217),$N217="DNA"),$N217,IF(OR(ISNUMBER($M217),$M217="DNA"),$M217,IF(OR(ISNUMBER($L217),$L217="DNA"),$L217,"")))))))))),IF(ISNUMBER($V217),"Update status","Missed/not booked?"),""))))</f>
        <v/>
      </c>
      <c r="K217" s="29">
        <f>IF(NOT(AND($A217&lt;&gt;"",OR($G217="",$G217="Active"))),"",IF(MIN(IF(AND(ISNUMBER($L217),$L217&gt;=TODAY()),$L217,99999),IF(AND(ISNUMBER($M217),$M217&gt;=TODAY()),$M217,99999),IF(AND(ISNUMBER($N217),$N217&gt;=TODAY()),$N217,99999),IF(AND(ISNUMBER($Q217),$Q217&gt;=TODAY()),$Q217,99999),IF(AND(ISNUMBER($R217),$R217&gt;=TODAY()),$R217,99999),IF(AND(ISNUMBER($S217),$S217&gt;=TODAY()),$S217,99999),IF(AND(ISNUMBER($T217),$T217&gt;=TODAY()),$T217,99999),IF(AND(ISNUMBER($U217),$U217&gt;=TODAY()),$U217,99999),IF(AND(ISNUMBER($V217),$V217&gt;=TODAY()),$V217,99999))=99999,"",MIN(IF(AND(ISNUMBER($L217),$L217&gt;=TODAY()),$L217,99999),IF(AND(ISNUMBER($M217),$M217&gt;=TODAY()),$M217,99999),IF(AND(ISNUMBER($N217),$N217&gt;=TODAY()),$N217,99999),IF(AND(ISNUMBER($Q217),$Q217&gt;=TODAY()),$Q217,99999),IF(AND(ISNUMBER($R217),$R217&gt;=TODAY()),$R217,99999),IF(AND(ISNUMBER($S217),$S217&gt;=TODAY()),$S217,99999),IF(AND(ISNUMBER($T217),$T217&gt;=TODAY()),$T217,99999),IF(AND(ISNUMBER($U217),$U217&gt;=TODAY()),$U217,99999),IF(AND(ISNUMBER($V217),$V217&gt;=TODAY()),$V217,99999))))</f>
        <v/>
      </c>
      <c r="L217" s="27" t="n"/>
      <c r="M217" s="27" t="n"/>
      <c r="N217" s="27" t="n"/>
      <c r="O217" s="27" t="n"/>
      <c r="P217" s="27" t="n"/>
      <c r="Q217" s="27" t="n"/>
      <c r="R217" s="27" t="n"/>
      <c r="S217" s="27" t="n"/>
      <c r="T217" s="27" t="n"/>
      <c r="U217" s="27" t="n"/>
      <c r="V217" s="27" t="n"/>
      <c r="W217" s="27" t="n"/>
      <c r="X217" s="27" t="n"/>
      <c r="Y217" s="27" t="n"/>
      <c r="Z217" s="30" t="n"/>
      <c r="AA217" s="25" t="n"/>
      <c r="AB217" s="28">
        <f>IF(NOT(AND($A217&lt;&gt;"",OR($G217="",$G217="Active"))),"",IF(OR(IF(OR(ISNUMBER($V217),$V217="DNA"),$V217,IF(OR(ISNUMBER($U217),$U217="DNA"),$U217,IF(OR(ISNUMBER($T217),$T217="DNA"),$T217,IF(OR(ISNUMBER($S217),$S217="DNA"),$S217,IF(OR(ISNUMBER($R217),$R217="DNA"),$R217,IF(OR(ISNUMBER($Q217),$Q217="DNA"),$Q217,IF(OR(ISNUMBER($N217),$N217="DNA"),$N217,IF(OR(ISNUMBER($M217),$M217="DNA"),$M217,IF(OR(ISNUMBER($L217),$L217="DNA"),$L217,"")))))))))="DNA",AND(ISNUMBER(IF(OR(ISNUMBER($V217),$V217="DNA"),$V217,IF(OR(ISNUMBER($U217),$U217="DNA"),$U217,IF(OR(ISNUMBER($T217),$T217="DNA"),$T217,IF(OR(ISNUMBER($S217),$S217="DNA"),$S217,IF(OR(ISNUMBER($R217),$R217="DNA"),$R217,IF(OR(ISNUMBER($Q217),$Q217="DNA"),$Q217,IF(OR(ISNUMBER($N217),$N217="DNA"),$N217,IF(OR(ISNUMBER($M217),$M217="DNA"),$M217,IF(OR(ISNUMBER($L217),$L217="DNA"),$L217,"")))))))))),IF(OR(ISNUMBER($V217),$V217="DNA"),$V217,IF(OR(ISNUMBER($U217),$U217="DNA"),$U217,IF(OR(ISNUMBER($T217),$T217="DNA"),$T217,IF(OR(ISNUMBER($S217),$S217="DNA"),$S217,IF(OR(ISNUMBER($R217),$R217="DNA"),$R217,IF(OR(ISNUMBER($Q217),$Q217="DNA"),$Q217,IF(OR(ISNUMBER($N217),$N217="DNA"),$N217,IF(OR(ISNUMBER($M217),$M217="DNA"),$M217,IF(OR(ISNUMBER($L217),$L217="DNA"),$L217,"")))))))))&lt;TODAY())),1,0)+ISNUMBER($O217)*($O217&lt;TODAY())+ISNUMBER($P217)*($P217&lt;TODAY())+ISNUMBER($X217)*($X217&lt;TODAY())+ISNUMBER($Y217)*($Y217&lt;TODAY()))</f>
        <v/>
      </c>
    </row>
    <row r="218">
      <c r="A218" s="25" t="n"/>
      <c r="B218" s="26" t="n"/>
      <c r="C218" s="27" t="n"/>
      <c r="D218" s="25" t="n"/>
      <c r="E218" s="25" t="n"/>
      <c r="F218" s="27" t="n"/>
      <c r="G218" s="25" t="n"/>
      <c r="H218" s="28">
        <f>IF(OR(NOT(AND($A218&lt;&gt;"",OR($G218="",$G218="Active"))),$F218=""),"",INT((TODAY()-$F218+280)/7)&amp;"+"&amp;MOD(TODAY()-$F218+280,7))</f>
        <v/>
      </c>
      <c r="I218" s="28">
        <f>IF(NOT(AND($A218&lt;&gt;"",OR($G218="",$G218="Active"))),"",ISNUMBER($L218)*($L218&gt;=TODAY())*($L218&lt;=TODAY()+7)+ISNUMBER($M218)*($M218&gt;=TODAY())*($M218&lt;=TODAY()+7)+ISNUMBER($N218)*($N218&gt;=TODAY())*($N218&lt;=TODAY()+7)+ISNUMBER($Q218)*($Q218&gt;=TODAY())*($Q218&lt;=TODAY()+7)+ISNUMBER($R218)*($R218&gt;=TODAY())*($R218&lt;=TODAY()+7)+ISNUMBER($S218)*($S218&gt;=TODAY())*($S218&lt;=TODAY()+7)+ISNUMBER($T218)*($T218&gt;=TODAY())*($T218&lt;=TODAY()+7)+ISNUMBER($U218)*($U218&gt;=TODAY())*($U218&lt;=TODAY()+7)+ISNUMBER($V218)*($V218&gt;=TODAY())*($V218&lt;=TODAY()+7)+ISNUMBER($O218)*($O218&gt;=TODAY())*($O218&lt;=TODAY()+7)+ISNUMBER($P218)*($P218&gt;=TODAY())*($P218&lt;=TODAY()+7)+ISNUMBER($X218)*($X218&gt;=TODAY())*($X218&lt;=TODAY()+7)+ISNUMBER($Y218)*($Y218&gt;=TODAY())*($Y218&lt;=TODAY()+7))</f>
        <v/>
      </c>
      <c r="J218" s="28">
        <f>IF(NOT(AND($A218&lt;&gt;"",OR($G218="",$G218="Active"))),"",IF($K218&lt;&gt;"",IF($L218=$K218,"Booking",IF($M218=$K218,"16/40",IF($N218=$K218,"25/40",IF($Q218=$K218,"28/40",IF($R218=$K218,"31/40",IF($S218=$K218,"34/40",IF($T218=$K218,"36/40",IF($U218=$K218,"38/40",IF($V218=$K218,"40/40",""))))))))),IF(IF(OR(ISNUMBER($V218),$V218="DNA"),$V218,IF(OR(ISNUMBER($U218),$U218="DNA"),$U218,IF(OR(ISNUMBER($T218),$T218="DNA"),$T218,IF(OR(ISNUMBER($S218),$S218="DNA"),$S218,IF(OR(ISNUMBER($R218),$R218="DNA"),$R218,IF(OR(ISNUMBER($Q218),$Q218="DNA"),$Q218,IF(OR(ISNUMBER($N218),$N218="DNA"),$N218,IF(OR(ISNUMBER($M218),$M218="DNA"),$M218,IF(OR(ISNUMBER($L218),$L218="DNA"),$L218,"")))))))))="DNA","Rebook DNA",IF(ISNUMBER(IF(OR(ISNUMBER($V218),$V218="DNA"),$V218,IF(OR(ISNUMBER($U218),$U218="DNA"),$U218,IF(OR(ISNUMBER($T218),$T218="DNA"),$T218,IF(OR(ISNUMBER($S218),$S218="DNA"),$S218,IF(OR(ISNUMBER($R218),$R218="DNA"),$R218,IF(OR(ISNUMBER($Q218),$Q218="DNA"),$Q218,IF(OR(ISNUMBER($N218),$N218="DNA"),$N218,IF(OR(ISNUMBER($M218),$M218="DNA"),$M218,IF(OR(ISNUMBER($L218),$L218="DNA"),$L218,"")))))))))),IF(ISNUMBER($V218),"Update status","Missed/not booked?"),""))))</f>
        <v/>
      </c>
      <c r="K218" s="29">
        <f>IF(NOT(AND($A218&lt;&gt;"",OR($G218="",$G218="Active"))),"",IF(MIN(IF(AND(ISNUMBER($L218),$L218&gt;=TODAY()),$L218,99999),IF(AND(ISNUMBER($M218),$M218&gt;=TODAY()),$M218,99999),IF(AND(ISNUMBER($N218),$N218&gt;=TODAY()),$N218,99999),IF(AND(ISNUMBER($Q218),$Q218&gt;=TODAY()),$Q218,99999),IF(AND(ISNUMBER($R218),$R218&gt;=TODAY()),$R218,99999),IF(AND(ISNUMBER($S218),$S218&gt;=TODAY()),$S218,99999),IF(AND(ISNUMBER($T218),$T218&gt;=TODAY()),$T218,99999),IF(AND(ISNUMBER($U218),$U218&gt;=TODAY()),$U218,99999),IF(AND(ISNUMBER($V218),$V218&gt;=TODAY()),$V218,99999))=99999,"",MIN(IF(AND(ISNUMBER($L218),$L218&gt;=TODAY()),$L218,99999),IF(AND(ISNUMBER($M218),$M218&gt;=TODAY()),$M218,99999),IF(AND(ISNUMBER($N218),$N218&gt;=TODAY()),$N218,99999),IF(AND(ISNUMBER($Q218),$Q218&gt;=TODAY()),$Q218,99999),IF(AND(ISNUMBER($R218),$R218&gt;=TODAY()),$R218,99999),IF(AND(ISNUMBER($S218),$S218&gt;=TODAY()),$S218,99999),IF(AND(ISNUMBER($T218),$T218&gt;=TODAY()),$T218,99999),IF(AND(ISNUMBER($U218),$U218&gt;=TODAY()),$U218,99999),IF(AND(ISNUMBER($V218),$V218&gt;=TODAY()),$V218,99999))))</f>
        <v/>
      </c>
      <c r="L218" s="27" t="n"/>
      <c r="M218" s="27" t="n"/>
      <c r="N218" s="27" t="n"/>
      <c r="O218" s="27" t="n"/>
      <c r="P218" s="27" t="n"/>
      <c r="Q218" s="27" t="n"/>
      <c r="R218" s="27" t="n"/>
      <c r="S218" s="27" t="n"/>
      <c r="T218" s="27" t="n"/>
      <c r="U218" s="27" t="n"/>
      <c r="V218" s="27" t="n"/>
      <c r="W218" s="27" t="n"/>
      <c r="X218" s="27" t="n"/>
      <c r="Y218" s="27" t="n"/>
      <c r="Z218" s="30" t="n"/>
      <c r="AA218" s="25" t="n"/>
      <c r="AB218" s="28">
        <f>IF(NOT(AND($A218&lt;&gt;"",OR($G218="",$G218="Active"))),"",IF(OR(IF(OR(ISNUMBER($V218),$V218="DNA"),$V218,IF(OR(ISNUMBER($U218),$U218="DNA"),$U218,IF(OR(ISNUMBER($T218),$T218="DNA"),$T218,IF(OR(ISNUMBER($S218),$S218="DNA"),$S218,IF(OR(ISNUMBER($R218),$R218="DNA"),$R218,IF(OR(ISNUMBER($Q218),$Q218="DNA"),$Q218,IF(OR(ISNUMBER($N218),$N218="DNA"),$N218,IF(OR(ISNUMBER($M218),$M218="DNA"),$M218,IF(OR(ISNUMBER($L218),$L218="DNA"),$L218,"")))))))))="DNA",AND(ISNUMBER(IF(OR(ISNUMBER($V218),$V218="DNA"),$V218,IF(OR(ISNUMBER($U218),$U218="DNA"),$U218,IF(OR(ISNUMBER($T218),$T218="DNA"),$T218,IF(OR(ISNUMBER($S218),$S218="DNA"),$S218,IF(OR(ISNUMBER($R218),$R218="DNA"),$R218,IF(OR(ISNUMBER($Q218),$Q218="DNA"),$Q218,IF(OR(ISNUMBER($N218),$N218="DNA"),$N218,IF(OR(ISNUMBER($M218),$M218="DNA"),$M218,IF(OR(ISNUMBER($L218),$L218="DNA"),$L218,"")))))))))),IF(OR(ISNUMBER($V218),$V218="DNA"),$V218,IF(OR(ISNUMBER($U218),$U218="DNA"),$U218,IF(OR(ISNUMBER($T218),$T218="DNA"),$T218,IF(OR(ISNUMBER($S218),$S218="DNA"),$S218,IF(OR(ISNUMBER($R218),$R218="DNA"),$R218,IF(OR(ISNUMBER($Q218),$Q218="DNA"),$Q218,IF(OR(ISNUMBER($N218),$N218="DNA"),$N218,IF(OR(ISNUMBER($M218),$M218="DNA"),$M218,IF(OR(ISNUMBER($L218),$L218="DNA"),$L218,"")))))))))&lt;TODAY())),1,0)+ISNUMBER($O218)*($O218&lt;TODAY())+ISNUMBER($P218)*($P218&lt;TODAY())+ISNUMBER($X218)*($X218&lt;TODAY())+ISNUMBER($Y218)*($Y218&lt;TODAY()))</f>
        <v/>
      </c>
    </row>
    <row r="219">
      <c r="A219" s="25" t="n"/>
      <c r="B219" s="26" t="n"/>
      <c r="C219" s="27" t="n"/>
      <c r="D219" s="25" t="n"/>
      <c r="E219" s="25" t="n"/>
      <c r="F219" s="27" t="n"/>
      <c r="G219" s="25" t="n"/>
      <c r="H219" s="28">
        <f>IF(OR(NOT(AND($A219&lt;&gt;"",OR($G219="",$G219="Active"))),$F219=""),"",INT((TODAY()-$F219+280)/7)&amp;"+"&amp;MOD(TODAY()-$F219+280,7))</f>
        <v/>
      </c>
      <c r="I219" s="28">
        <f>IF(NOT(AND($A219&lt;&gt;"",OR($G219="",$G219="Active"))),"",ISNUMBER($L219)*($L219&gt;=TODAY())*($L219&lt;=TODAY()+7)+ISNUMBER($M219)*($M219&gt;=TODAY())*($M219&lt;=TODAY()+7)+ISNUMBER($N219)*($N219&gt;=TODAY())*($N219&lt;=TODAY()+7)+ISNUMBER($Q219)*($Q219&gt;=TODAY())*($Q219&lt;=TODAY()+7)+ISNUMBER($R219)*($R219&gt;=TODAY())*($R219&lt;=TODAY()+7)+ISNUMBER($S219)*($S219&gt;=TODAY())*($S219&lt;=TODAY()+7)+ISNUMBER($T219)*($T219&gt;=TODAY())*($T219&lt;=TODAY()+7)+ISNUMBER($U219)*($U219&gt;=TODAY())*($U219&lt;=TODAY()+7)+ISNUMBER($V219)*($V219&gt;=TODAY())*($V219&lt;=TODAY()+7)+ISNUMBER($O219)*($O219&gt;=TODAY())*($O219&lt;=TODAY()+7)+ISNUMBER($P219)*($P219&gt;=TODAY())*($P219&lt;=TODAY()+7)+ISNUMBER($X219)*($X219&gt;=TODAY())*($X219&lt;=TODAY()+7)+ISNUMBER($Y219)*($Y219&gt;=TODAY())*($Y219&lt;=TODAY()+7))</f>
        <v/>
      </c>
      <c r="J219" s="28">
        <f>IF(NOT(AND($A219&lt;&gt;"",OR($G219="",$G219="Active"))),"",IF($K219&lt;&gt;"",IF($L219=$K219,"Booking",IF($M219=$K219,"16/40",IF($N219=$K219,"25/40",IF($Q219=$K219,"28/40",IF($R219=$K219,"31/40",IF($S219=$K219,"34/40",IF($T219=$K219,"36/40",IF($U219=$K219,"38/40",IF($V219=$K219,"40/40",""))))))))),IF(IF(OR(ISNUMBER($V219),$V219="DNA"),$V219,IF(OR(ISNUMBER($U219),$U219="DNA"),$U219,IF(OR(ISNUMBER($T219),$T219="DNA"),$T219,IF(OR(ISNUMBER($S219),$S219="DNA"),$S219,IF(OR(ISNUMBER($R219),$R219="DNA"),$R219,IF(OR(ISNUMBER($Q219),$Q219="DNA"),$Q219,IF(OR(ISNUMBER($N219),$N219="DNA"),$N219,IF(OR(ISNUMBER($M219),$M219="DNA"),$M219,IF(OR(ISNUMBER($L219),$L219="DNA"),$L219,"")))))))))="DNA","Rebook DNA",IF(ISNUMBER(IF(OR(ISNUMBER($V219),$V219="DNA"),$V219,IF(OR(ISNUMBER($U219),$U219="DNA"),$U219,IF(OR(ISNUMBER($T219),$T219="DNA"),$T219,IF(OR(ISNUMBER($S219),$S219="DNA"),$S219,IF(OR(ISNUMBER($R219),$R219="DNA"),$R219,IF(OR(ISNUMBER($Q219),$Q219="DNA"),$Q219,IF(OR(ISNUMBER($N219),$N219="DNA"),$N219,IF(OR(ISNUMBER($M219),$M219="DNA"),$M219,IF(OR(ISNUMBER($L219),$L219="DNA"),$L219,"")))))))))),IF(ISNUMBER($V219),"Update status","Missed/not booked?"),""))))</f>
        <v/>
      </c>
      <c r="K219" s="29">
        <f>IF(NOT(AND($A219&lt;&gt;"",OR($G219="",$G219="Active"))),"",IF(MIN(IF(AND(ISNUMBER($L219),$L219&gt;=TODAY()),$L219,99999),IF(AND(ISNUMBER($M219),$M219&gt;=TODAY()),$M219,99999),IF(AND(ISNUMBER($N219),$N219&gt;=TODAY()),$N219,99999),IF(AND(ISNUMBER($Q219),$Q219&gt;=TODAY()),$Q219,99999),IF(AND(ISNUMBER($R219),$R219&gt;=TODAY()),$R219,99999),IF(AND(ISNUMBER($S219),$S219&gt;=TODAY()),$S219,99999),IF(AND(ISNUMBER($T219),$T219&gt;=TODAY()),$T219,99999),IF(AND(ISNUMBER($U219),$U219&gt;=TODAY()),$U219,99999),IF(AND(ISNUMBER($V219),$V219&gt;=TODAY()),$V219,99999))=99999,"",MIN(IF(AND(ISNUMBER($L219),$L219&gt;=TODAY()),$L219,99999),IF(AND(ISNUMBER($M219),$M219&gt;=TODAY()),$M219,99999),IF(AND(ISNUMBER($N219),$N219&gt;=TODAY()),$N219,99999),IF(AND(ISNUMBER($Q219),$Q219&gt;=TODAY()),$Q219,99999),IF(AND(ISNUMBER($R219),$R219&gt;=TODAY()),$R219,99999),IF(AND(ISNUMBER($S219),$S219&gt;=TODAY()),$S219,99999),IF(AND(ISNUMBER($T219),$T219&gt;=TODAY()),$T219,99999),IF(AND(ISNUMBER($U219),$U219&gt;=TODAY()),$U219,99999),IF(AND(ISNUMBER($V219),$V219&gt;=TODAY()),$V219,99999))))</f>
        <v/>
      </c>
      <c r="L219" s="27" t="n"/>
      <c r="M219" s="27" t="n"/>
      <c r="N219" s="27" t="n"/>
      <c r="O219" s="27" t="n"/>
      <c r="P219" s="27" t="n"/>
      <c r="Q219" s="27" t="n"/>
      <c r="R219" s="27" t="n"/>
      <c r="S219" s="27" t="n"/>
      <c r="T219" s="27" t="n"/>
      <c r="U219" s="27" t="n"/>
      <c r="V219" s="27" t="n"/>
      <c r="W219" s="27" t="n"/>
      <c r="X219" s="27" t="n"/>
      <c r="Y219" s="27" t="n"/>
      <c r="Z219" s="30" t="n"/>
      <c r="AA219" s="25" t="n"/>
      <c r="AB219" s="28">
        <f>IF(NOT(AND($A219&lt;&gt;"",OR($G219="",$G219="Active"))),"",IF(OR(IF(OR(ISNUMBER($V219),$V219="DNA"),$V219,IF(OR(ISNUMBER($U219),$U219="DNA"),$U219,IF(OR(ISNUMBER($T219),$T219="DNA"),$T219,IF(OR(ISNUMBER($S219),$S219="DNA"),$S219,IF(OR(ISNUMBER($R219),$R219="DNA"),$R219,IF(OR(ISNUMBER($Q219),$Q219="DNA"),$Q219,IF(OR(ISNUMBER($N219),$N219="DNA"),$N219,IF(OR(ISNUMBER($M219),$M219="DNA"),$M219,IF(OR(ISNUMBER($L219),$L219="DNA"),$L219,"")))))))))="DNA",AND(ISNUMBER(IF(OR(ISNUMBER($V219),$V219="DNA"),$V219,IF(OR(ISNUMBER($U219),$U219="DNA"),$U219,IF(OR(ISNUMBER($T219),$T219="DNA"),$T219,IF(OR(ISNUMBER($S219),$S219="DNA"),$S219,IF(OR(ISNUMBER($R219),$R219="DNA"),$R219,IF(OR(ISNUMBER($Q219),$Q219="DNA"),$Q219,IF(OR(ISNUMBER($N219),$N219="DNA"),$N219,IF(OR(ISNUMBER($M219),$M219="DNA"),$M219,IF(OR(ISNUMBER($L219),$L219="DNA"),$L219,"")))))))))),IF(OR(ISNUMBER($V219),$V219="DNA"),$V219,IF(OR(ISNUMBER($U219),$U219="DNA"),$U219,IF(OR(ISNUMBER($T219),$T219="DNA"),$T219,IF(OR(ISNUMBER($S219),$S219="DNA"),$S219,IF(OR(ISNUMBER($R219),$R219="DNA"),$R219,IF(OR(ISNUMBER($Q219),$Q219="DNA"),$Q219,IF(OR(ISNUMBER($N219),$N219="DNA"),$N219,IF(OR(ISNUMBER($M219),$M219="DNA"),$M219,IF(OR(ISNUMBER($L219),$L219="DNA"),$L219,"")))))))))&lt;TODAY())),1,0)+ISNUMBER($O219)*($O219&lt;TODAY())+ISNUMBER($P219)*($P219&lt;TODAY())+ISNUMBER($X219)*($X219&lt;TODAY())+ISNUMBER($Y219)*($Y219&lt;TODAY()))</f>
        <v/>
      </c>
    </row>
    <row r="220">
      <c r="A220" s="25" t="n"/>
      <c r="B220" s="26" t="n"/>
      <c r="C220" s="27" t="n"/>
      <c r="D220" s="25" t="n"/>
      <c r="E220" s="25" t="n"/>
      <c r="F220" s="27" t="n"/>
      <c r="G220" s="25" t="n"/>
      <c r="H220" s="28">
        <f>IF(OR(NOT(AND($A220&lt;&gt;"",OR($G220="",$G220="Active"))),$F220=""),"",INT((TODAY()-$F220+280)/7)&amp;"+"&amp;MOD(TODAY()-$F220+280,7))</f>
        <v/>
      </c>
      <c r="I220" s="28">
        <f>IF(NOT(AND($A220&lt;&gt;"",OR($G220="",$G220="Active"))),"",ISNUMBER($L220)*($L220&gt;=TODAY())*($L220&lt;=TODAY()+7)+ISNUMBER($M220)*($M220&gt;=TODAY())*($M220&lt;=TODAY()+7)+ISNUMBER($N220)*($N220&gt;=TODAY())*($N220&lt;=TODAY()+7)+ISNUMBER($Q220)*($Q220&gt;=TODAY())*($Q220&lt;=TODAY()+7)+ISNUMBER($R220)*($R220&gt;=TODAY())*($R220&lt;=TODAY()+7)+ISNUMBER($S220)*($S220&gt;=TODAY())*($S220&lt;=TODAY()+7)+ISNUMBER($T220)*($T220&gt;=TODAY())*($T220&lt;=TODAY()+7)+ISNUMBER($U220)*($U220&gt;=TODAY())*($U220&lt;=TODAY()+7)+ISNUMBER($V220)*($V220&gt;=TODAY())*($V220&lt;=TODAY()+7)+ISNUMBER($O220)*($O220&gt;=TODAY())*($O220&lt;=TODAY()+7)+ISNUMBER($P220)*($P220&gt;=TODAY())*($P220&lt;=TODAY()+7)+ISNUMBER($X220)*($X220&gt;=TODAY())*($X220&lt;=TODAY()+7)+ISNUMBER($Y220)*($Y220&gt;=TODAY())*($Y220&lt;=TODAY()+7))</f>
        <v/>
      </c>
      <c r="J220" s="28">
        <f>IF(NOT(AND($A220&lt;&gt;"",OR($G220="",$G220="Active"))),"",IF($K220&lt;&gt;"",IF($L220=$K220,"Booking",IF($M220=$K220,"16/40",IF($N220=$K220,"25/40",IF($Q220=$K220,"28/40",IF($R220=$K220,"31/40",IF($S220=$K220,"34/40",IF($T220=$K220,"36/40",IF($U220=$K220,"38/40",IF($V220=$K220,"40/40",""))))))))),IF(IF(OR(ISNUMBER($V220),$V220="DNA"),$V220,IF(OR(ISNUMBER($U220),$U220="DNA"),$U220,IF(OR(ISNUMBER($T220),$T220="DNA"),$T220,IF(OR(ISNUMBER($S220),$S220="DNA"),$S220,IF(OR(ISNUMBER($R220),$R220="DNA"),$R220,IF(OR(ISNUMBER($Q220),$Q220="DNA"),$Q220,IF(OR(ISNUMBER($N220),$N220="DNA"),$N220,IF(OR(ISNUMBER($M220),$M220="DNA"),$M220,IF(OR(ISNUMBER($L220),$L220="DNA"),$L220,"")))))))))="DNA","Rebook DNA",IF(ISNUMBER(IF(OR(ISNUMBER($V220),$V220="DNA"),$V220,IF(OR(ISNUMBER($U220),$U220="DNA"),$U220,IF(OR(ISNUMBER($T220),$T220="DNA"),$T220,IF(OR(ISNUMBER($S220),$S220="DNA"),$S220,IF(OR(ISNUMBER($R220),$R220="DNA"),$R220,IF(OR(ISNUMBER($Q220),$Q220="DNA"),$Q220,IF(OR(ISNUMBER($N220),$N220="DNA"),$N220,IF(OR(ISNUMBER($M220),$M220="DNA"),$M220,IF(OR(ISNUMBER($L220),$L220="DNA"),$L220,"")))))))))),IF(ISNUMBER($V220),"Update status","Missed/not booked?"),""))))</f>
        <v/>
      </c>
      <c r="K220" s="29">
        <f>IF(NOT(AND($A220&lt;&gt;"",OR($G220="",$G220="Active"))),"",IF(MIN(IF(AND(ISNUMBER($L220),$L220&gt;=TODAY()),$L220,99999),IF(AND(ISNUMBER($M220),$M220&gt;=TODAY()),$M220,99999),IF(AND(ISNUMBER($N220),$N220&gt;=TODAY()),$N220,99999),IF(AND(ISNUMBER($Q220),$Q220&gt;=TODAY()),$Q220,99999),IF(AND(ISNUMBER($R220),$R220&gt;=TODAY()),$R220,99999),IF(AND(ISNUMBER($S220),$S220&gt;=TODAY()),$S220,99999),IF(AND(ISNUMBER($T220),$T220&gt;=TODAY()),$T220,99999),IF(AND(ISNUMBER($U220),$U220&gt;=TODAY()),$U220,99999),IF(AND(ISNUMBER($V220),$V220&gt;=TODAY()),$V220,99999))=99999,"",MIN(IF(AND(ISNUMBER($L220),$L220&gt;=TODAY()),$L220,99999),IF(AND(ISNUMBER($M220),$M220&gt;=TODAY()),$M220,99999),IF(AND(ISNUMBER($N220),$N220&gt;=TODAY()),$N220,99999),IF(AND(ISNUMBER($Q220),$Q220&gt;=TODAY()),$Q220,99999),IF(AND(ISNUMBER($R220),$R220&gt;=TODAY()),$R220,99999),IF(AND(ISNUMBER($S220),$S220&gt;=TODAY()),$S220,99999),IF(AND(ISNUMBER($T220),$T220&gt;=TODAY()),$T220,99999),IF(AND(ISNUMBER($U220),$U220&gt;=TODAY()),$U220,99999),IF(AND(ISNUMBER($V220),$V220&gt;=TODAY()),$V220,99999))))</f>
        <v/>
      </c>
      <c r="L220" s="27" t="n"/>
      <c r="M220" s="27" t="n"/>
      <c r="N220" s="27" t="n"/>
      <c r="O220" s="27" t="n"/>
      <c r="P220" s="27" t="n"/>
      <c r="Q220" s="27" t="n"/>
      <c r="R220" s="27" t="n"/>
      <c r="S220" s="27" t="n"/>
      <c r="T220" s="27" t="n"/>
      <c r="U220" s="27" t="n"/>
      <c r="V220" s="27" t="n"/>
      <c r="W220" s="27" t="n"/>
      <c r="X220" s="27" t="n"/>
      <c r="Y220" s="27" t="n"/>
      <c r="Z220" s="30" t="n"/>
      <c r="AA220" s="25" t="n"/>
      <c r="AB220" s="28">
        <f>IF(NOT(AND($A220&lt;&gt;"",OR($G220="",$G220="Active"))),"",IF(OR(IF(OR(ISNUMBER($V220),$V220="DNA"),$V220,IF(OR(ISNUMBER($U220),$U220="DNA"),$U220,IF(OR(ISNUMBER($T220),$T220="DNA"),$T220,IF(OR(ISNUMBER($S220),$S220="DNA"),$S220,IF(OR(ISNUMBER($R220),$R220="DNA"),$R220,IF(OR(ISNUMBER($Q220),$Q220="DNA"),$Q220,IF(OR(ISNUMBER($N220),$N220="DNA"),$N220,IF(OR(ISNUMBER($M220),$M220="DNA"),$M220,IF(OR(ISNUMBER($L220),$L220="DNA"),$L220,"")))))))))="DNA",AND(ISNUMBER(IF(OR(ISNUMBER($V220),$V220="DNA"),$V220,IF(OR(ISNUMBER($U220),$U220="DNA"),$U220,IF(OR(ISNUMBER($T220),$T220="DNA"),$T220,IF(OR(ISNUMBER($S220),$S220="DNA"),$S220,IF(OR(ISNUMBER($R220),$R220="DNA"),$R220,IF(OR(ISNUMBER($Q220),$Q220="DNA"),$Q220,IF(OR(ISNUMBER($N220),$N220="DNA"),$N220,IF(OR(ISNUMBER($M220),$M220="DNA"),$M220,IF(OR(ISNUMBER($L220),$L220="DNA"),$L220,"")))))))))),IF(OR(ISNUMBER($V220),$V220="DNA"),$V220,IF(OR(ISNUMBER($U220),$U220="DNA"),$U220,IF(OR(ISNUMBER($T220),$T220="DNA"),$T220,IF(OR(ISNUMBER($S220),$S220="DNA"),$S220,IF(OR(ISNUMBER($R220),$R220="DNA"),$R220,IF(OR(ISNUMBER($Q220),$Q220="DNA"),$Q220,IF(OR(ISNUMBER($N220),$N220="DNA"),$N220,IF(OR(ISNUMBER($M220),$M220="DNA"),$M220,IF(OR(ISNUMBER($L220),$L220="DNA"),$L220,"")))))))))&lt;TODAY())),1,0)+ISNUMBER($O220)*($O220&lt;TODAY())+ISNUMBER($P220)*($P220&lt;TODAY())+ISNUMBER($X220)*($X220&lt;TODAY())+ISNUMBER($Y220)*($Y220&lt;TODAY()))</f>
        <v/>
      </c>
    </row>
    <row r="221">
      <c r="A221" s="25" t="n"/>
      <c r="B221" s="26" t="n"/>
      <c r="C221" s="27" t="n"/>
      <c r="D221" s="25" t="n"/>
      <c r="E221" s="25" t="n"/>
      <c r="F221" s="27" t="n"/>
      <c r="G221" s="25" t="n"/>
      <c r="H221" s="28">
        <f>IF(OR(NOT(AND($A221&lt;&gt;"",OR($G221="",$G221="Active"))),$F221=""),"",INT((TODAY()-$F221+280)/7)&amp;"+"&amp;MOD(TODAY()-$F221+280,7))</f>
        <v/>
      </c>
      <c r="I221" s="28">
        <f>IF(NOT(AND($A221&lt;&gt;"",OR($G221="",$G221="Active"))),"",ISNUMBER($L221)*($L221&gt;=TODAY())*($L221&lt;=TODAY()+7)+ISNUMBER($M221)*($M221&gt;=TODAY())*($M221&lt;=TODAY()+7)+ISNUMBER($N221)*($N221&gt;=TODAY())*($N221&lt;=TODAY()+7)+ISNUMBER($Q221)*($Q221&gt;=TODAY())*($Q221&lt;=TODAY()+7)+ISNUMBER($R221)*($R221&gt;=TODAY())*($R221&lt;=TODAY()+7)+ISNUMBER($S221)*($S221&gt;=TODAY())*($S221&lt;=TODAY()+7)+ISNUMBER($T221)*($T221&gt;=TODAY())*($T221&lt;=TODAY()+7)+ISNUMBER($U221)*($U221&gt;=TODAY())*($U221&lt;=TODAY()+7)+ISNUMBER($V221)*($V221&gt;=TODAY())*($V221&lt;=TODAY()+7)+ISNUMBER($O221)*($O221&gt;=TODAY())*($O221&lt;=TODAY()+7)+ISNUMBER($P221)*($P221&gt;=TODAY())*($P221&lt;=TODAY()+7)+ISNUMBER($X221)*($X221&gt;=TODAY())*($X221&lt;=TODAY()+7)+ISNUMBER($Y221)*($Y221&gt;=TODAY())*($Y221&lt;=TODAY()+7))</f>
        <v/>
      </c>
      <c r="J221" s="28">
        <f>IF(NOT(AND($A221&lt;&gt;"",OR($G221="",$G221="Active"))),"",IF($K221&lt;&gt;"",IF($L221=$K221,"Booking",IF($M221=$K221,"16/40",IF($N221=$K221,"25/40",IF($Q221=$K221,"28/40",IF($R221=$K221,"31/40",IF($S221=$K221,"34/40",IF($T221=$K221,"36/40",IF($U221=$K221,"38/40",IF($V221=$K221,"40/40",""))))))))),IF(IF(OR(ISNUMBER($V221),$V221="DNA"),$V221,IF(OR(ISNUMBER($U221),$U221="DNA"),$U221,IF(OR(ISNUMBER($T221),$T221="DNA"),$T221,IF(OR(ISNUMBER($S221),$S221="DNA"),$S221,IF(OR(ISNUMBER($R221),$R221="DNA"),$R221,IF(OR(ISNUMBER($Q221),$Q221="DNA"),$Q221,IF(OR(ISNUMBER($N221),$N221="DNA"),$N221,IF(OR(ISNUMBER($M221),$M221="DNA"),$M221,IF(OR(ISNUMBER($L221),$L221="DNA"),$L221,"")))))))))="DNA","Rebook DNA",IF(ISNUMBER(IF(OR(ISNUMBER($V221),$V221="DNA"),$V221,IF(OR(ISNUMBER($U221),$U221="DNA"),$U221,IF(OR(ISNUMBER($T221),$T221="DNA"),$T221,IF(OR(ISNUMBER($S221),$S221="DNA"),$S221,IF(OR(ISNUMBER($R221),$R221="DNA"),$R221,IF(OR(ISNUMBER($Q221),$Q221="DNA"),$Q221,IF(OR(ISNUMBER($N221),$N221="DNA"),$N221,IF(OR(ISNUMBER($M221),$M221="DNA"),$M221,IF(OR(ISNUMBER($L221),$L221="DNA"),$L221,"")))))))))),IF(ISNUMBER($V221),"Update status","Missed/not booked?"),""))))</f>
        <v/>
      </c>
      <c r="K221" s="29">
        <f>IF(NOT(AND($A221&lt;&gt;"",OR($G221="",$G221="Active"))),"",IF(MIN(IF(AND(ISNUMBER($L221),$L221&gt;=TODAY()),$L221,99999),IF(AND(ISNUMBER($M221),$M221&gt;=TODAY()),$M221,99999),IF(AND(ISNUMBER($N221),$N221&gt;=TODAY()),$N221,99999),IF(AND(ISNUMBER($Q221),$Q221&gt;=TODAY()),$Q221,99999),IF(AND(ISNUMBER($R221),$R221&gt;=TODAY()),$R221,99999),IF(AND(ISNUMBER($S221),$S221&gt;=TODAY()),$S221,99999),IF(AND(ISNUMBER($T221),$T221&gt;=TODAY()),$T221,99999),IF(AND(ISNUMBER($U221),$U221&gt;=TODAY()),$U221,99999),IF(AND(ISNUMBER($V221),$V221&gt;=TODAY()),$V221,99999))=99999,"",MIN(IF(AND(ISNUMBER($L221),$L221&gt;=TODAY()),$L221,99999),IF(AND(ISNUMBER($M221),$M221&gt;=TODAY()),$M221,99999),IF(AND(ISNUMBER($N221),$N221&gt;=TODAY()),$N221,99999),IF(AND(ISNUMBER($Q221),$Q221&gt;=TODAY()),$Q221,99999),IF(AND(ISNUMBER($R221),$R221&gt;=TODAY()),$R221,99999),IF(AND(ISNUMBER($S221),$S221&gt;=TODAY()),$S221,99999),IF(AND(ISNUMBER($T221),$T221&gt;=TODAY()),$T221,99999),IF(AND(ISNUMBER($U221),$U221&gt;=TODAY()),$U221,99999),IF(AND(ISNUMBER($V221),$V221&gt;=TODAY()),$V221,99999))))</f>
        <v/>
      </c>
      <c r="L221" s="27" t="n"/>
      <c r="M221" s="27" t="n"/>
      <c r="N221" s="27" t="n"/>
      <c r="O221" s="27" t="n"/>
      <c r="P221" s="27" t="n"/>
      <c r="Q221" s="27" t="n"/>
      <c r="R221" s="27" t="n"/>
      <c r="S221" s="27" t="n"/>
      <c r="T221" s="27" t="n"/>
      <c r="U221" s="27" t="n"/>
      <c r="V221" s="27" t="n"/>
      <c r="W221" s="27" t="n"/>
      <c r="X221" s="27" t="n"/>
      <c r="Y221" s="27" t="n"/>
      <c r="Z221" s="30" t="n"/>
      <c r="AA221" s="25" t="n"/>
      <c r="AB221" s="28">
        <f>IF(NOT(AND($A221&lt;&gt;"",OR($G221="",$G221="Active"))),"",IF(OR(IF(OR(ISNUMBER($V221),$V221="DNA"),$V221,IF(OR(ISNUMBER($U221),$U221="DNA"),$U221,IF(OR(ISNUMBER($T221),$T221="DNA"),$T221,IF(OR(ISNUMBER($S221),$S221="DNA"),$S221,IF(OR(ISNUMBER($R221),$R221="DNA"),$R221,IF(OR(ISNUMBER($Q221),$Q221="DNA"),$Q221,IF(OR(ISNUMBER($N221),$N221="DNA"),$N221,IF(OR(ISNUMBER($M221),$M221="DNA"),$M221,IF(OR(ISNUMBER($L221),$L221="DNA"),$L221,"")))))))))="DNA",AND(ISNUMBER(IF(OR(ISNUMBER($V221),$V221="DNA"),$V221,IF(OR(ISNUMBER($U221),$U221="DNA"),$U221,IF(OR(ISNUMBER($T221),$T221="DNA"),$T221,IF(OR(ISNUMBER($S221),$S221="DNA"),$S221,IF(OR(ISNUMBER($R221),$R221="DNA"),$R221,IF(OR(ISNUMBER($Q221),$Q221="DNA"),$Q221,IF(OR(ISNUMBER($N221),$N221="DNA"),$N221,IF(OR(ISNUMBER($M221),$M221="DNA"),$M221,IF(OR(ISNUMBER($L221),$L221="DNA"),$L221,"")))))))))),IF(OR(ISNUMBER($V221),$V221="DNA"),$V221,IF(OR(ISNUMBER($U221),$U221="DNA"),$U221,IF(OR(ISNUMBER($T221),$T221="DNA"),$T221,IF(OR(ISNUMBER($S221),$S221="DNA"),$S221,IF(OR(ISNUMBER($R221),$R221="DNA"),$R221,IF(OR(ISNUMBER($Q221),$Q221="DNA"),$Q221,IF(OR(ISNUMBER($N221),$N221="DNA"),$N221,IF(OR(ISNUMBER($M221),$M221="DNA"),$M221,IF(OR(ISNUMBER($L221),$L221="DNA"),$L221,"")))))))))&lt;TODAY())),1,0)+ISNUMBER($O221)*($O221&lt;TODAY())+ISNUMBER($P221)*($P221&lt;TODAY())+ISNUMBER($X221)*($X221&lt;TODAY())+ISNUMBER($Y221)*($Y221&lt;TODAY()))</f>
        <v/>
      </c>
    </row>
    <row r="222">
      <c r="A222" s="25" t="n"/>
      <c r="B222" s="26" t="n"/>
      <c r="C222" s="27" t="n"/>
      <c r="D222" s="25" t="n"/>
      <c r="E222" s="25" t="n"/>
      <c r="F222" s="27" t="n"/>
      <c r="G222" s="25" t="n"/>
      <c r="H222" s="28">
        <f>IF(OR(NOT(AND($A222&lt;&gt;"",OR($G222="",$G222="Active"))),$F222=""),"",INT((TODAY()-$F222+280)/7)&amp;"+"&amp;MOD(TODAY()-$F222+280,7))</f>
        <v/>
      </c>
      <c r="I222" s="28">
        <f>IF(NOT(AND($A222&lt;&gt;"",OR($G222="",$G222="Active"))),"",ISNUMBER($L222)*($L222&gt;=TODAY())*($L222&lt;=TODAY()+7)+ISNUMBER($M222)*($M222&gt;=TODAY())*($M222&lt;=TODAY()+7)+ISNUMBER($N222)*($N222&gt;=TODAY())*($N222&lt;=TODAY()+7)+ISNUMBER($Q222)*($Q222&gt;=TODAY())*($Q222&lt;=TODAY()+7)+ISNUMBER($R222)*($R222&gt;=TODAY())*($R222&lt;=TODAY()+7)+ISNUMBER($S222)*($S222&gt;=TODAY())*($S222&lt;=TODAY()+7)+ISNUMBER($T222)*($T222&gt;=TODAY())*($T222&lt;=TODAY()+7)+ISNUMBER($U222)*($U222&gt;=TODAY())*($U222&lt;=TODAY()+7)+ISNUMBER($V222)*($V222&gt;=TODAY())*($V222&lt;=TODAY()+7)+ISNUMBER($O222)*($O222&gt;=TODAY())*($O222&lt;=TODAY()+7)+ISNUMBER($P222)*($P222&gt;=TODAY())*($P222&lt;=TODAY()+7)+ISNUMBER($X222)*($X222&gt;=TODAY())*($X222&lt;=TODAY()+7)+ISNUMBER($Y222)*($Y222&gt;=TODAY())*($Y222&lt;=TODAY()+7))</f>
        <v/>
      </c>
      <c r="J222" s="28">
        <f>IF(NOT(AND($A222&lt;&gt;"",OR($G222="",$G222="Active"))),"",IF($K222&lt;&gt;"",IF($L222=$K222,"Booking",IF($M222=$K222,"16/40",IF($N222=$K222,"25/40",IF($Q222=$K222,"28/40",IF($R222=$K222,"31/40",IF($S222=$K222,"34/40",IF($T222=$K222,"36/40",IF($U222=$K222,"38/40",IF($V222=$K222,"40/40",""))))))))),IF(IF(OR(ISNUMBER($V222),$V222="DNA"),$V222,IF(OR(ISNUMBER($U222),$U222="DNA"),$U222,IF(OR(ISNUMBER($T222),$T222="DNA"),$T222,IF(OR(ISNUMBER($S222),$S222="DNA"),$S222,IF(OR(ISNUMBER($R222),$R222="DNA"),$R222,IF(OR(ISNUMBER($Q222),$Q222="DNA"),$Q222,IF(OR(ISNUMBER($N222),$N222="DNA"),$N222,IF(OR(ISNUMBER($M222),$M222="DNA"),$M222,IF(OR(ISNUMBER($L222),$L222="DNA"),$L222,"")))))))))="DNA","Rebook DNA",IF(ISNUMBER(IF(OR(ISNUMBER($V222),$V222="DNA"),$V222,IF(OR(ISNUMBER($U222),$U222="DNA"),$U222,IF(OR(ISNUMBER($T222),$T222="DNA"),$T222,IF(OR(ISNUMBER($S222),$S222="DNA"),$S222,IF(OR(ISNUMBER($R222),$R222="DNA"),$R222,IF(OR(ISNUMBER($Q222),$Q222="DNA"),$Q222,IF(OR(ISNUMBER($N222),$N222="DNA"),$N222,IF(OR(ISNUMBER($M222),$M222="DNA"),$M222,IF(OR(ISNUMBER($L222),$L222="DNA"),$L222,"")))))))))),IF(ISNUMBER($V222),"Update status","Missed/not booked?"),""))))</f>
        <v/>
      </c>
      <c r="K222" s="29">
        <f>IF(NOT(AND($A222&lt;&gt;"",OR($G222="",$G222="Active"))),"",IF(MIN(IF(AND(ISNUMBER($L222),$L222&gt;=TODAY()),$L222,99999),IF(AND(ISNUMBER($M222),$M222&gt;=TODAY()),$M222,99999),IF(AND(ISNUMBER($N222),$N222&gt;=TODAY()),$N222,99999),IF(AND(ISNUMBER($Q222),$Q222&gt;=TODAY()),$Q222,99999),IF(AND(ISNUMBER($R222),$R222&gt;=TODAY()),$R222,99999),IF(AND(ISNUMBER($S222),$S222&gt;=TODAY()),$S222,99999),IF(AND(ISNUMBER($T222),$T222&gt;=TODAY()),$T222,99999),IF(AND(ISNUMBER($U222),$U222&gt;=TODAY()),$U222,99999),IF(AND(ISNUMBER($V222),$V222&gt;=TODAY()),$V222,99999))=99999,"",MIN(IF(AND(ISNUMBER($L222),$L222&gt;=TODAY()),$L222,99999),IF(AND(ISNUMBER($M222),$M222&gt;=TODAY()),$M222,99999),IF(AND(ISNUMBER($N222),$N222&gt;=TODAY()),$N222,99999),IF(AND(ISNUMBER($Q222),$Q222&gt;=TODAY()),$Q222,99999),IF(AND(ISNUMBER($R222),$R222&gt;=TODAY()),$R222,99999),IF(AND(ISNUMBER($S222),$S222&gt;=TODAY()),$S222,99999),IF(AND(ISNUMBER($T222),$T222&gt;=TODAY()),$T222,99999),IF(AND(ISNUMBER($U222),$U222&gt;=TODAY()),$U222,99999),IF(AND(ISNUMBER($V222),$V222&gt;=TODAY()),$V222,99999))))</f>
        <v/>
      </c>
      <c r="L222" s="27" t="n"/>
      <c r="M222" s="27" t="n"/>
      <c r="N222" s="27" t="n"/>
      <c r="O222" s="27" t="n"/>
      <c r="P222" s="27" t="n"/>
      <c r="Q222" s="27" t="n"/>
      <c r="R222" s="27" t="n"/>
      <c r="S222" s="27" t="n"/>
      <c r="T222" s="27" t="n"/>
      <c r="U222" s="27" t="n"/>
      <c r="V222" s="27" t="n"/>
      <c r="W222" s="27" t="n"/>
      <c r="X222" s="27" t="n"/>
      <c r="Y222" s="27" t="n"/>
      <c r="Z222" s="30" t="n"/>
      <c r="AA222" s="25" t="n"/>
      <c r="AB222" s="28">
        <f>IF(NOT(AND($A222&lt;&gt;"",OR($G222="",$G222="Active"))),"",IF(OR(IF(OR(ISNUMBER($V222),$V222="DNA"),$V222,IF(OR(ISNUMBER($U222),$U222="DNA"),$U222,IF(OR(ISNUMBER($T222),$T222="DNA"),$T222,IF(OR(ISNUMBER($S222),$S222="DNA"),$S222,IF(OR(ISNUMBER($R222),$R222="DNA"),$R222,IF(OR(ISNUMBER($Q222),$Q222="DNA"),$Q222,IF(OR(ISNUMBER($N222),$N222="DNA"),$N222,IF(OR(ISNUMBER($M222),$M222="DNA"),$M222,IF(OR(ISNUMBER($L222),$L222="DNA"),$L222,"")))))))))="DNA",AND(ISNUMBER(IF(OR(ISNUMBER($V222),$V222="DNA"),$V222,IF(OR(ISNUMBER($U222),$U222="DNA"),$U222,IF(OR(ISNUMBER($T222),$T222="DNA"),$T222,IF(OR(ISNUMBER($S222),$S222="DNA"),$S222,IF(OR(ISNUMBER($R222),$R222="DNA"),$R222,IF(OR(ISNUMBER($Q222),$Q222="DNA"),$Q222,IF(OR(ISNUMBER($N222),$N222="DNA"),$N222,IF(OR(ISNUMBER($M222),$M222="DNA"),$M222,IF(OR(ISNUMBER($L222),$L222="DNA"),$L222,"")))))))))),IF(OR(ISNUMBER($V222),$V222="DNA"),$V222,IF(OR(ISNUMBER($U222),$U222="DNA"),$U222,IF(OR(ISNUMBER($T222),$T222="DNA"),$T222,IF(OR(ISNUMBER($S222),$S222="DNA"),$S222,IF(OR(ISNUMBER($R222),$R222="DNA"),$R222,IF(OR(ISNUMBER($Q222),$Q222="DNA"),$Q222,IF(OR(ISNUMBER($N222),$N222="DNA"),$N222,IF(OR(ISNUMBER($M222),$M222="DNA"),$M222,IF(OR(ISNUMBER($L222),$L222="DNA"),$L222,"")))))))))&lt;TODAY())),1,0)+ISNUMBER($O222)*($O222&lt;TODAY())+ISNUMBER($P222)*($P222&lt;TODAY())+ISNUMBER($X222)*($X222&lt;TODAY())+ISNUMBER($Y222)*($Y222&lt;TODAY()))</f>
        <v/>
      </c>
    </row>
    <row r="223">
      <c r="A223" s="25" t="n"/>
      <c r="B223" s="26" t="n"/>
      <c r="C223" s="27" t="n"/>
      <c r="D223" s="25" t="n"/>
      <c r="E223" s="25" t="n"/>
      <c r="F223" s="27" t="n"/>
      <c r="G223" s="25" t="n"/>
      <c r="H223" s="28">
        <f>IF(OR(NOT(AND($A223&lt;&gt;"",OR($G223="",$G223="Active"))),$F223=""),"",INT((TODAY()-$F223+280)/7)&amp;"+"&amp;MOD(TODAY()-$F223+280,7))</f>
        <v/>
      </c>
      <c r="I223" s="28">
        <f>IF(NOT(AND($A223&lt;&gt;"",OR($G223="",$G223="Active"))),"",ISNUMBER($L223)*($L223&gt;=TODAY())*($L223&lt;=TODAY()+7)+ISNUMBER($M223)*($M223&gt;=TODAY())*($M223&lt;=TODAY()+7)+ISNUMBER($N223)*($N223&gt;=TODAY())*($N223&lt;=TODAY()+7)+ISNUMBER($Q223)*($Q223&gt;=TODAY())*($Q223&lt;=TODAY()+7)+ISNUMBER($R223)*($R223&gt;=TODAY())*($R223&lt;=TODAY()+7)+ISNUMBER($S223)*($S223&gt;=TODAY())*($S223&lt;=TODAY()+7)+ISNUMBER($T223)*($T223&gt;=TODAY())*($T223&lt;=TODAY()+7)+ISNUMBER($U223)*($U223&gt;=TODAY())*($U223&lt;=TODAY()+7)+ISNUMBER($V223)*($V223&gt;=TODAY())*($V223&lt;=TODAY()+7)+ISNUMBER($O223)*($O223&gt;=TODAY())*($O223&lt;=TODAY()+7)+ISNUMBER($P223)*($P223&gt;=TODAY())*($P223&lt;=TODAY()+7)+ISNUMBER($X223)*($X223&gt;=TODAY())*($X223&lt;=TODAY()+7)+ISNUMBER($Y223)*($Y223&gt;=TODAY())*($Y223&lt;=TODAY()+7))</f>
        <v/>
      </c>
      <c r="J223" s="28">
        <f>IF(NOT(AND($A223&lt;&gt;"",OR($G223="",$G223="Active"))),"",IF($K223&lt;&gt;"",IF($L223=$K223,"Booking",IF($M223=$K223,"16/40",IF($N223=$K223,"25/40",IF($Q223=$K223,"28/40",IF($R223=$K223,"31/40",IF($S223=$K223,"34/40",IF($T223=$K223,"36/40",IF($U223=$K223,"38/40",IF($V223=$K223,"40/40",""))))))))),IF(IF(OR(ISNUMBER($V223),$V223="DNA"),$V223,IF(OR(ISNUMBER($U223),$U223="DNA"),$U223,IF(OR(ISNUMBER($T223),$T223="DNA"),$T223,IF(OR(ISNUMBER($S223),$S223="DNA"),$S223,IF(OR(ISNUMBER($R223),$R223="DNA"),$R223,IF(OR(ISNUMBER($Q223),$Q223="DNA"),$Q223,IF(OR(ISNUMBER($N223),$N223="DNA"),$N223,IF(OR(ISNUMBER($M223),$M223="DNA"),$M223,IF(OR(ISNUMBER($L223),$L223="DNA"),$L223,"")))))))))="DNA","Rebook DNA",IF(ISNUMBER(IF(OR(ISNUMBER($V223),$V223="DNA"),$V223,IF(OR(ISNUMBER($U223),$U223="DNA"),$U223,IF(OR(ISNUMBER($T223),$T223="DNA"),$T223,IF(OR(ISNUMBER($S223),$S223="DNA"),$S223,IF(OR(ISNUMBER($R223),$R223="DNA"),$R223,IF(OR(ISNUMBER($Q223),$Q223="DNA"),$Q223,IF(OR(ISNUMBER($N223),$N223="DNA"),$N223,IF(OR(ISNUMBER($M223),$M223="DNA"),$M223,IF(OR(ISNUMBER($L223),$L223="DNA"),$L223,"")))))))))),IF(ISNUMBER($V223),"Update status","Missed/not booked?"),""))))</f>
        <v/>
      </c>
      <c r="K223" s="29">
        <f>IF(NOT(AND($A223&lt;&gt;"",OR($G223="",$G223="Active"))),"",IF(MIN(IF(AND(ISNUMBER($L223),$L223&gt;=TODAY()),$L223,99999),IF(AND(ISNUMBER($M223),$M223&gt;=TODAY()),$M223,99999),IF(AND(ISNUMBER($N223),$N223&gt;=TODAY()),$N223,99999),IF(AND(ISNUMBER($Q223),$Q223&gt;=TODAY()),$Q223,99999),IF(AND(ISNUMBER($R223),$R223&gt;=TODAY()),$R223,99999),IF(AND(ISNUMBER($S223),$S223&gt;=TODAY()),$S223,99999),IF(AND(ISNUMBER($T223),$T223&gt;=TODAY()),$T223,99999),IF(AND(ISNUMBER($U223),$U223&gt;=TODAY()),$U223,99999),IF(AND(ISNUMBER($V223),$V223&gt;=TODAY()),$V223,99999))=99999,"",MIN(IF(AND(ISNUMBER($L223),$L223&gt;=TODAY()),$L223,99999),IF(AND(ISNUMBER($M223),$M223&gt;=TODAY()),$M223,99999),IF(AND(ISNUMBER($N223),$N223&gt;=TODAY()),$N223,99999),IF(AND(ISNUMBER($Q223),$Q223&gt;=TODAY()),$Q223,99999),IF(AND(ISNUMBER($R223),$R223&gt;=TODAY()),$R223,99999),IF(AND(ISNUMBER($S223),$S223&gt;=TODAY()),$S223,99999),IF(AND(ISNUMBER($T223),$T223&gt;=TODAY()),$T223,99999),IF(AND(ISNUMBER($U223),$U223&gt;=TODAY()),$U223,99999),IF(AND(ISNUMBER($V223),$V223&gt;=TODAY()),$V223,99999))))</f>
        <v/>
      </c>
      <c r="L223" s="27" t="n"/>
      <c r="M223" s="27" t="n"/>
      <c r="N223" s="27" t="n"/>
      <c r="O223" s="27" t="n"/>
      <c r="P223" s="27" t="n"/>
      <c r="Q223" s="27" t="n"/>
      <c r="R223" s="27" t="n"/>
      <c r="S223" s="27" t="n"/>
      <c r="T223" s="27" t="n"/>
      <c r="U223" s="27" t="n"/>
      <c r="V223" s="27" t="n"/>
      <c r="W223" s="27" t="n"/>
      <c r="X223" s="27" t="n"/>
      <c r="Y223" s="27" t="n"/>
      <c r="Z223" s="30" t="n"/>
      <c r="AA223" s="25" t="n"/>
      <c r="AB223" s="28">
        <f>IF(NOT(AND($A223&lt;&gt;"",OR($G223="",$G223="Active"))),"",IF(OR(IF(OR(ISNUMBER($V223),$V223="DNA"),$V223,IF(OR(ISNUMBER($U223),$U223="DNA"),$U223,IF(OR(ISNUMBER($T223),$T223="DNA"),$T223,IF(OR(ISNUMBER($S223),$S223="DNA"),$S223,IF(OR(ISNUMBER($R223),$R223="DNA"),$R223,IF(OR(ISNUMBER($Q223),$Q223="DNA"),$Q223,IF(OR(ISNUMBER($N223),$N223="DNA"),$N223,IF(OR(ISNUMBER($M223),$M223="DNA"),$M223,IF(OR(ISNUMBER($L223),$L223="DNA"),$L223,"")))))))))="DNA",AND(ISNUMBER(IF(OR(ISNUMBER($V223),$V223="DNA"),$V223,IF(OR(ISNUMBER($U223),$U223="DNA"),$U223,IF(OR(ISNUMBER($T223),$T223="DNA"),$T223,IF(OR(ISNUMBER($S223),$S223="DNA"),$S223,IF(OR(ISNUMBER($R223),$R223="DNA"),$R223,IF(OR(ISNUMBER($Q223),$Q223="DNA"),$Q223,IF(OR(ISNUMBER($N223),$N223="DNA"),$N223,IF(OR(ISNUMBER($M223),$M223="DNA"),$M223,IF(OR(ISNUMBER($L223),$L223="DNA"),$L223,"")))))))))),IF(OR(ISNUMBER($V223),$V223="DNA"),$V223,IF(OR(ISNUMBER($U223),$U223="DNA"),$U223,IF(OR(ISNUMBER($T223),$T223="DNA"),$T223,IF(OR(ISNUMBER($S223),$S223="DNA"),$S223,IF(OR(ISNUMBER($R223),$R223="DNA"),$R223,IF(OR(ISNUMBER($Q223),$Q223="DNA"),$Q223,IF(OR(ISNUMBER($N223),$N223="DNA"),$N223,IF(OR(ISNUMBER($M223),$M223="DNA"),$M223,IF(OR(ISNUMBER($L223),$L223="DNA"),$L223,"")))))))))&lt;TODAY())),1,0)+ISNUMBER($O223)*($O223&lt;TODAY())+ISNUMBER($P223)*($P223&lt;TODAY())+ISNUMBER($X223)*($X223&lt;TODAY())+ISNUMBER($Y223)*($Y223&lt;TODAY()))</f>
        <v/>
      </c>
    </row>
    <row r="224">
      <c r="A224" s="25" t="n"/>
      <c r="B224" s="26" t="n"/>
      <c r="C224" s="27" t="n"/>
      <c r="D224" s="25" t="n"/>
      <c r="E224" s="25" t="n"/>
      <c r="F224" s="27" t="n"/>
      <c r="G224" s="25" t="n"/>
      <c r="H224" s="28">
        <f>IF(OR(NOT(AND($A224&lt;&gt;"",OR($G224="",$G224="Active"))),$F224=""),"",INT((TODAY()-$F224+280)/7)&amp;"+"&amp;MOD(TODAY()-$F224+280,7))</f>
        <v/>
      </c>
      <c r="I224" s="28">
        <f>IF(NOT(AND($A224&lt;&gt;"",OR($G224="",$G224="Active"))),"",ISNUMBER($L224)*($L224&gt;=TODAY())*($L224&lt;=TODAY()+7)+ISNUMBER($M224)*($M224&gt;=TODAY())*($M224&lt;=TODAY()+7)+ISNUMBER($N224)*($N224&gt;=TODAY())*($N224&lt;=TODAY()+7)+ISNUMBER($Q224)*($Q224&gt;=TODAY())*($Q224&lt;=TODAY()+7)+ISNUMBER($R224)*($R224&gt;=TODAY())*($R224&lt;=TODAY()+7)+ISNUMBER($S224)*($S224&gt;=TODAY())*($S224&lt;=TODAY()+7)+ISNUMBER($T224)*($T224&gt;=TODAY())*($T224&lt;=TODAY()+7)+ISNUMBER($U224)*($U224&gt;=TODAY())*($U224&lt;=TODAY()+7)+ISNUMBER($V224)*($V224&gt;=TODAY())*($V224&lt;=TODAY()+7)+ISNUMBER($O224)*($O224&gt;=TODAY())*($O224&lt;=TODAY()+7)+ISNUMBER($P224)*($P224&gt;=TODAY())*($P224&lt;=TODAY()+7)+ISNUMBER($X224)*($X224&gt;=TODAY())*($X224&lt;=TODAY()+7)+ISNUMBER($Y224)*($Y224&gt;=TODAY())*($Y224&lt;=TODAY()+7))</f>
        <v/>
      </c>
      <c r="J224" s="28">
        <f>IF(NOT(AND($A224&lt;&gt;"",OR($G224="",$G224="Active"))),"",IF($K224&lt;&gt;"",IF($L224=$K224,"Booking",IF($M224=$K224,"16/40",IF($N224=$K224,"25/40",IF($Q224=$K224,"28/40",IF($R224=$K224,"31/40",IF($S224=$K224,"34/40",IF($T224=$K224,"36/40",IF($U224=$K224,"38/40",IF($V224=$K224,"40/40",""))))))))),IF(IF(OR(ISNUMBER($V224),$V224="DNA"),$V224,IF(OR(ISNUMBER($U224),$U224="DNA"),$U224,IF(OR(ISNUMBER($T224),$T224="DNA"),$T224,IF(OR(ISNUMBER($S224),$S224="DNA"),$S224,IF(OR(ISNUMBER($R224),$R224="DNA"),$R224,IF(OR(ISNUMBER($Q224),$Q224="DNA"),$Q224,IF(OR(ISNUMBER($N224),$N224="DNA"),$N224,IF(OR(ISNUMBER($M224),$M224="DNA"),$M224,IF(OR(ISNUMBER($L224),$L224="DNA"),$L224,"")))))))))="DNA","Rebook DNA",IF(ISNUMBER(IF(OR(ISNUMBER($V224),$V224="DNA"),$V224,IF(OR(ISNUMBER($U224),$U224="DNA"),$U224,IF(OR(ISNUMBER($T224),$T224="DNA"),$T224,IF(OR(ISNUMBER($S224),$S224="DNA"),$S224,IF(OR(ISNUMBER($R224),$R224="DNA"),$R224,IF(OR(ISNUMBER($Q224),$Q224="DNA"),$Q224,IF(OR(ISNUMBER($N224),$N224="DNA"),$N224,IF(OR(ISNUMBER($M224),$M224="DNA"),$M224,IF(OR(ISNUMBER($L224),$L224="DNA"),$L224,"")))))))))),IF(ISNUMBER($V224),"Update status","Missed/not booked?"),""))))</f>
        <v/>
      </c>
      <c r="K224" s="29">
        <f>IF(NOT(AND($A224&lt;&gt;"",OR($G224="",$G224="Active"))),"",IF(MIN(IF(AND(ISNUMBER($L224),$L224&gt;=TODAY()),$L224,99999),IF(AND(ISNUMBER($M224),$M224&gt;=TODAY()),$M224,99999),IF(AND(ISNUMBER($N224),$N224&gt;=TODAY()),$N224,99999),IF(AND(ISNUMBER($Q224),$Q224&gt;=TODAY()),$Q224,99999),IF(AND(ISNUMBER($R224),$R224&gt;=TODAY()),$R224,99999),IF(AND(ISNUMBER($S224),$S224&gt;=TODAY()),$S224,99999),IF(AND(ISNUMBER($T224),$T224&gt;=TODAY()),$T224,99999),IF(AND(ISNUMBER($U224),$U224&gt;=TODAY()),$U224,99999),IF(AND(ISNUMBER($V224),$V224&gt;=TODAY()),$V224,99999))=99999,"",MIN(IF(AND(ISNUMBER($L224),$L224&gt;=TODAY()),$L224,99999),IF(AND(ISNUMBER($M224),$M224&gt;=TODAY()),$M224,99999),IF(AND(ISNUMBER($N224),$N224&gt;=TODAY()),$N224,99999),IF(AND(ISNUMBER($Q224),$Q224&gt;=TODAY()),$Q224,99999),IF(AND(ISNUMBER($R224),$R224&gt;=TODAY()),$R224,99999),IF(AND(ISNUMBER($S224),$S224&gt;=TODAY()),$S224,99999),IF(AND(ISNUMBER($T224),$T224&gt;=TODAY()),$T224,99999),IF(AND(ISNUMBER($U224),$U224&gt;=TODAY()),$U224,99999),IF(AND(ISNUMBER($V224),$V224&gt;=TODAY()),$V224,99999))))</f>
        <v/>
      </c>
      <c r="L224" s="27" t="n"/>
      <c r="M224" s="27" t="n"/>
      <c r="N224" s="27" t="n"/>
      <c r="O224" s="27" t="n"/>
      <c r="P224" s="27" t="n"/>
      <c r="Q224" s="27" t="n"/>
      <c r="R224" s="27" t="n"/>
      <c r="S224" s="27" t="n"/>
      <c r="T224" s="27" t="n"/>
      <c r="U224" s="27" t="n"/>
      <c r="V224" s="27" t="n"/>
      <c r="W224" s="27" t="n"/>
      <c r="X224" s="27" t="n"/>
      <c r="Y224" s="27" t="n"/>
      <c r="Z224" s="30" t="n"/>
      <c r="AA224" s="25" t="n"/>
      <c r="AB224" s="28">
        <f>IF(NOT(AND($A224&lt;&gt;"",OR($G224="",$G224="Active"))),"",IF(OR(IF(OR(ISNUMBER($V224),$V224="DNA"),$V224,IF(OR(ISNUMBER($U224),$U224="DNA"),$U224,IF(OR(ISNUMBER($T224),$T224="DNA"),$T224,IF(OR(ISNUMBER($S224),$S224="DNA"),$S224,IF(OR(ISNUMBER($R224),$R224="DNA"),$R224,IF(OR(ISNUMBER($Q224),$Q224="DNA"),$Q224,IF(OR(ISNUMBER($N224),$N224="DNA"),$N224,IF(OR(ISNUMBER($M224),$M224="DNA"),$M224,IF(OR(ISNUMBER($L224),$L224="DNA"),$L224,"")))))))))="DNA",AND(ISNUMBER(IF(OR(ISNUMBER($V224),$V224="DNA"),$V224,IF(OR(ISNUMBER($U224),$U224="DNA"),$U224,IF(OR(ISNUMBER($T224),$T224="DNA"),$T224,IF(OR(ISNUMBER($S224),$S224="DNA"),$S224,IF(OR(ISNUMBER($R224),$R224="DNA"),$R224,IF(OR(ISNUMBER($Q224),$Q224="DNA"),$Q224,IF(OR(ISNUMBER($N224),$N224="DNA"),$N224,IF(OR(ISNUMBER($M224),$M224="DNA"),$M224,IF(OR(ISNUMBER($L224),$L224="DNA"),$L224,"")))))))))),IF(OR(ISNUMBER($V224),$V224="DNA"),$V224,IF(OR(ISNUMBER($U224),$U224="DNA"),$U224,IF(OR(ISNUMBER($T224),$T224="DNA"),$T224,IF(OR(ISNUMBER($S224),$S224="DNA"),$S224,IF(OR(ISNUMBER($R224),$R224="DNA"),$R224,IF(OR(ISNUMBER($Q224),$Q224="DNA"),$Q224,IF(OR(ISNUMBER($N224),$N224="DNA"),$N224,IF(OR(ISNUMBER($M224),$M224="DNA"),$M224,IF(OR(ISNUMBER($L224),$L224="DNA"),$L224,"")))))))))&lt;TODAY())),1,0)+ISNUMBER($O224)*($O224&lt;TODAY())+ISNUMBER($P224)*($P224&lt;TODAY())+ISNUMBER($X224)*($X224&lt;TODAY())+ISNUMBER($Y224)*($Y224&lt;TODAY()))</f>
        <v/>
      </c>
    </row>
    <row r="225">
      <c r="A225" s="25" t="n"/>
      <c r="B225" s="26" t="n"/>
      <c r="C225" s="27" t="n"/>
      <c r="D225" s="25" t="n"/>
      <c r="E225" s="25" t="n"/>
      <c r="F225" s="27" t="n"/>
      <c r="G225" s="25" t="n"/>
      <c r="H225" s="28">
        <f>IF(OR(NOT(AND($A225&lt;&gt;"",OR($G225="",$G225="Active"))),$F225=""),"",INT((TODAY()-$F225+280)/7)&amp;"+"&amp;MOD(TODAY()-$F225+280,7))</f>
        <v/>
      </c>
      <c r="I225" s="28">
        <f>IF(NOT(AND($A225&lt;&gt;"",OR($G225="",$G225="Active"))),"",ISNUMBER($L225)*($L225&gt;=TODAY())*($L225&lt;=TODAY()+7)+ISNUMBER($M225)*($M225&gt;=TODAY())*($M225&lt;=TODAY()+7)+ISNUMBER($N225)*($N225&gt;=TODAY())*($N225&lt;=TODAY()+7)+ISNUMBER($Q225)*($Q225&gt;=TODAY())*($Q225&lt;=TODAY()+7)+ISNUMBER($R225)*($R225&gt;=TODAY())*($R225&lt;=TODAY()+7)+ISNUMBER($S225)*($S225&gt;=TODAY())*($S225&lt;=TODAY()+7)+ISNUMBER($T225)*($T225&gt;=TODAY())*($T225&lt;=TODAY()+7)+ISNUMBER($U225)*($U225&gt;=TODAY())*($U225&lt;=TODAY()+7)+ISNUMBER($V225)*($V225&gt;=TODAY())*($V225&lt;=TODAY()+7)+ISNUMBER($O225)*($O225&gt;=TODAY())*($O225&lt;=TODAY()+7)+ISNUMBER($P225)*($P225&gt;=TODAY())*($P225&lt;=TODAY()+7)+ISNUMBER($X225)*($X225&gt;=TODAY())*($X225&lt;=TODAY()+7)+ISNUMBER($Y225)*($Y225&gt;=TODAY())*($Y225&lt;=TODAY()+7))</f>
        <v/>
      </c>
      <c r="J225" s="28">
        <f>IF(NOT(AND($A225&lt;&gt;"",OR($G225="",$G225="Active"))),"",IF($K225&lt;&gt;"",IF($L225=$K225,"Booking",IF($M225=$K225,"16/40",IF($N225=$K225,"25/40",IF($Q225=$K225,"28/40",IF($R225=$K225,"31/40",IF($S225=$K225,"34/40",IF($T225=$K225,"36/40",IF($U225=$K225,"38/40",IF($V225=$K225,"40/40",""))))))))),IF(IF(OR(ISNUMBER($V225),$V225="DNA"),$V225,IF(OR(ISNUMBER($U225),$U225="DNA"),$U225,IF(OR(ISNUMBER($T225),$T225="DNA"),$T225,IF(OR(ISNUMBER($S225),$S225="DNA"),$S225,IF(OR(ISNUMBER($R225),$R225="DNA"),$R225,IF(OR(ISNUMBER($Q225),$Q225="DNA"),$Q225,IF(OR(ISNUMBER($N225),$N225="DNA"),$N225,IF(OR(ISNUMBER($M225),$M225="DNA"),$M225,IF(OR(ISNUMBER($L225),$L225="DNA"),$L225,"")))))))))="DNA","Rebook DNA",IF(ISNUMBER(IF(OR(ISNUMBER($V225),$V225="DNA"),$V225,IF(OR(ISNUMBER($U225),$U225="DNA"),$U225,IF(OR(ISNUMBER($T225),$T225="DNA"),$T225,IF(OR(ISNUMBER($S225),$S225="DNA"),$S225,IF(OR(ISNUMBER($R225),$R225="DNA"),$R225,IF(OR(ISNUMBER($Q225),$Q225="DNA"),$Q225,IF(OR(ISNUMBER($N225),$N225="DNA"),$N225,IF(OR(ISNUMBER($M225),$M225="DNA"),$M225,IF(OR(ISNUMBER($L225),$L225="DNA"),$L225,"")))))))))),IF(ISNUMBER($V225),"Update status","Missed/not booked?"),""))))</f>
        <v/>
      </c>
      <c r="K225" s="29">
        <f>IF(NOT(AND($A225&lt;&gt;"",OR($G225="",$G225="Active"))),"",IF(MIN(IF(AND(ISNUMBER($L225),$L225&gt;=TODAY()),$L225,99999),IF(AND(ISNUMBER($M225),$M225&gt;=TODAY()),$M225,99999),IF(AND(ISNUMBER($N225),$N225&gt;=TODAY()),$N225,99999),IF(AND(ISNUMBER($Q225),$Q225&gt;=TODAY()),$Q225,99999),IF(AND(ISNUMBER($R225),$R225&gt;=TODAY()),$R225,99999),IF(AND(ISNUMBER($S225),$S225&gt;=TODAY()),$S225,99999),IF(AND(ISNUMBER($T225),$T225&gt;=TODAY()),$T225,99999),IF(AND(ISNUMBER($U225),$U225&gt;=TODAY()),$U225,99999),IF(AND(ISNUMBER($V225),$V225&gt;=TODAY()),$V225,99999))=99999,"",MIN(IF(AND(ISNUMBER($L225),$L225&gt;=TODAY()),$L225,99999),IF(AND(ISNUMBER($M225),$M225&gt;=TODAY()),$M225,99999),IF(AND(ISNUMBER($N225),$N225&gt;=TODAY()),$N225,99999),IF(AND(ISNUMBER($Q225),$Q225&gt;=TODAY()),$Q225,99999),IF(AND(ISNUMBER($R225),$R225&gt;=TODAY()),$R225,99999),IF(AND(ISNUMBER($S225),$S225&gt;=TODAY()),$S225,99999),IF(AND(ISNUMBER($T225),$T225&gt;=TODAY()),$T225,99999),IF(AND(ISNUMBER($U225),$U225&gt;=TODAY()),$U225,99999),IF(AND(ISNUMBER($V225),$V225&gt;=TODAY()),$V225,99999))))</f>
        <v/>
      </c>
      <c r="L225" s="27" t="n"/>
      <c r="M225" s="27" t="n"/>
      <c r="N225" s="27" t="n"/>
      <c r="O225" s="27" t="n"/>
      <c r="P225" s="27" t="n"/>
      <c r="Q225" s="27" t="n"/>
      <c r="R225" s="27" t="n"/>
      <c r="S225" s="27" t="n"/>
      <c r="T225" s="27" t="n"/>
      <c r="U225" s="27" t="n"/>
      <c r="V225" s="27" t="n"/>
      <c r="W225" s="27" t="n"/>
      <c r="X225" s="27" t="n"/>
      <c r="Y225" s="27" t="n"/>
      <c r="Z225" s="30" t="n"/>
      <c r="AA225" s="25" t="n"/>
      <c r="AB225" s="28">
        <f>IF(NOT(AND($A225&lt;&gt;"",OR($G225="",$G225="Active"))),"",IF(OR(IF(OR(ISNUMBER($V225),$V225="DNA"),$V225,IF(OR(ISNUMBER($U225),$U225="DNA"),$U225,IF(OR(ISNUMBER($T225),$T225="DNA"),$T225,IF(OR(ISNUMBER($S225),$S225="DNA"),$S225,IF(OR(ISNUMBER($R225),$R225="DNA"),$R225,IF(OR(ISNUMBER($Q225),$Q225="DNA"),$Q225,IF(OR(ISNUMBER($N225),$N225="DNA"),$N225,IF(OR(ISNUMBER($M225),$M225="DNA"),$M225,IF(OR(ISNUMBER($L225),$L225="DNA"),$L225,"")))))))))="DNA",AND(ISNUMBER(IF(OR(ISNUMBER($V225),$V225="DNA"),$V225,IF(OR(ISNUMBER($U225),$U225="DNA"),$U225,IF(OR(ISNUMBER($T225),$T225="DNA"),$T225,IF(OR(ISNUMBER($S225),$S225="DNA"),$S225,IF(OR(ISNUMBER($R225),$R225="DNA"),$R225,IF(OR(ISNUMBER($Q225),$Q225="DNA"),$Q225,IF(OR(ISNUMBER($N225),$N225="DNA"),$N225,IF(OR(ISNUMBER($M225),$M225="DNA"),$M225,IF(OR(ISNUMBER($L225),$L225="DNA"),$L225,"")))))))))),IF(OR(ISNUMBER($V225),$V225="DNA"),$V225,IF(OR(ISNUMBER($U225),$U225="DNA"),$U225,IF(OR(ISNUMBER($T225),$T225="DNA"),$T225,IF(OR(ISNUMBER($S225),$S225="DNA"),$S225,IF(OR(ISNUMBER($R225),$R225="DNA"),$R225,IF(OR(ISNUMBER($Q225),$Q225="DNA"),$Q225,IF(OR(ISNUMBER($N225),$N225="DNA"),$N225,IF(OR(ISNUMBER($M225),$M225="DNA"),$M225,IF(OR(ISNUMBER($L225),$L225="DNA"),$L225,"")))))))))&lt;TODAY())),1,0)+ISNUMBER($O225)*($O225&lt;TODAY())+ISNUMBER($P225)*($P225&lt;TODAY())+ISNUMBER($X225)*($X225&lt;TODAY())+ISNUMBER($Y225)*($Y225&lt;TODAY()))</f>
        <v/>
      </c>
    </row>
    <row r="226">
      <c r="A226" s="25" t="n"/>
      <c r="B226" s="26" t="n"/>
      <c r="C226" s="27" t="n"/>
      <c r="D226" s="25" t="n"/>
      <c r="E226" s="25" t="n"/>
      <c r="F226" s="27" t="n"/>
      <c r="G226" s="25" t="n"/>
      <c r="H226" s="28">
        <f>IF(OR(NOT(AND($A226&lt;&gt;"",OR($G226="",$G226="Active"))),$F226=""),"",INT((TODAY()-$F226+280)/7)&amp;"+"&amp;MOD(TODAY()-$F226+280,7))</f>
        <v/>
      </c>
      <c r="I226" s="28">
        <f>IF(NOT(AND($A226&lt;&gt;"",OR($G226="",$G226="Active"))),"",ISNUMBER($L226)*($L226&gt;=TODAY())*($L226&lt;=TODAY()+7)+ISNUMBER($M226)*($M226&gt;=TODAY())*($M226&lt;=TODAY()+7)+ISNUMBER($N226)*($N226&gt;=TODAY())*($N226&lt;=TODAY()+7)+ISNUMBER($Q226)*($Q226&gt;=TODAY())*($Q226&lt;=TODAY()+7)+ISNUMBER($R226)*($R226&gt;=TODAY())*($R226&lt;=TODAY()+7)+ISNUMBER($S226)*($S226&gt;=TODAY())*($S226&lt;=TODAY()+7)+ISNUMBER($T226)*($T226&gt;=TODAY())*($T226&lt;=TODAY()+7)+ISNUMBER($U226)*($U226&gt;=TODAY())*($U226&lt;=TODAY()+7)+ISNUMBER($V226)*($V226&gt;=TODAY())*($V226&lt;=TODAY()+7)+ISNUMBER($O226)*($O226&gt;=TODAY())*($O226&lt;=TODAY()+7)+ISNUMBER($P226)*($P226&gt;=TODAY())*($P226&lt;=TODAY()+7)+ISNUMBER($X226)*($X226&gt;=TODAY())*($X226&lt;=TODAY()+7)+ISNUMBER($Y226)*($Y226&gt;=TODAY())*($Y226&lt;=TODAY()+7))</f>
        <v/>
      </c>
      <c r="J226" s="28">
        <f>IF(NOT(AND($A226&lt;&gt;"",OR($G226="",$G226="Active"))),"",IF($K226&lt;&gt;"",IF($L226=$K226,"Booking",IF($M226=$K226,"16/40",IF($N226=$K226,"25/40",IF($Q226=$K226,"28/40",IF($R226=$K226,"31/40",IF($S226=$K226,"34/40",IF($T226=$K226,"36/40",IF($U226=$K226,"38/40",IF($V226=$K226,"40/40",""))))))))),IF(IF(OR(ISNUMBER($V226),$V226="DNA"),$V226,IF(OR(ISNUMBER($U226),$U226="DNA"),$U226,IF(OR(ISNUMBER($T226),$T226="DNA"),$T226,IF(OR(ISNUMBER($S226),$S226="DNA"),$S226,IF(OR(ISNUMBER($R226),$R226="DNA"),$R226,IF(OR(ISNUMBER($Q226),$Q226="DNA"),$Q226,IF(OR(ISNUMBER($N226),$N226="DNA"),$N226,IF(OR(ISNUMBER($M226),$M226="DNA"),$M226,IF(OR(ISNUMBER($L226),$L226="DNA"),$L226,"")))))))))="DNA","Rebook DNA",IF(ISNUMBER(IF(OR(ISNUMBER($V226),$V226="DNA"),$V226,IF(OR(ISNUMBER($U226),$U226="DNA"),$U226,IF(OR(ISNUMBER($T226),$T226="DNA"),$T226,IF(OR(ISNUMBER($S226),$S226="DNA"),$S226,IF(OR(ISNUMBER($R226),$R226="DNA"),$R226,IF(OR(ISNUMBER($Q226),$Q226="DNA"),$Q226,IF(OR(ISNUMBER($N226),$N226="DNA"),$N226,IF(OR(ISNUMBER($M226),$M226="DNA"),$M226,IF(OR(ISNUMBER($L226),$L226="DNA"),$L226,"")))))))))),IF(ISNUMBER($V226),"Update status","Missed/not booked?"),""))))</f>
        <v/>
      </c>
      <c r="K226" s="29">
        <f>IF(NOT(AND($A226&lt;&gt;"",OR($G226="",$G226="Active"))),"",IF(MIN(IF(AND(ISNUMBER($L226),$L226&gt;=TODAY()),$L226,99999),IF(AND(ISNUMBER($M226),$M226&gt;=TODAY()),$M226,99999),IF(AND(ISNUMBER($N226),$N226&gt;=TODAY()),$N226,99999),IF(AND(ISNUMBER($Q226),$Q226&gt;=TODAY()),$Q226,99999),IF(AND(ISNUMBER($R226),$R226&gt;=TODAY()),$R226,99999),IF(AND(ISNUMBER($S226),$S226&gt;=TODAY()),$S226,99999),IF(AND(ISNUMBER($T226),$T226&gt;=TODAY()),$T226,99999),IF(AND(ISNUMBER($U226),$U226&gt;=TODAY()),$U226,99999),IF(AND(ISNUMBER($V226),$V226&gt;=TODAY()),$V226,99999))=99999,"",MIN(IF(AND(ISNUMBER($L226),$L226&gt;=TODAY()),$L226,99999),IF(AND(ISNUMBER($M226),$M226&gt;=TODAY()),$M226,99999),IF(AND(ISNUMBER($N226),$N226&gt;=TODAY()),$N226,99999),IF(AND(ISNUMBER($Q226),$Q226&gt;=TODAY()),$Q226,99999),IF(AND(ISNUMBER($R226),$R226&gt;=TODAY()),$R226,99999),IF(AND(ISNUMBER($S226),$S226&gt;=TODAY()),$S226,99999),IF(AND(ISNUMBER($T226),$T226&gt;=TODAY()),$T226,99999),IF(AND(ISNUMBER($U226),$U226&gt;=TODAY()),$U226,99999),IF(AND(ISNUMBER($V226),$V226&gt;=TODAY()),$V226,99999))))</f>
        <v/>
      </c>
      <c r="L226" s="27" t="n"/>
      <c r="M226" s="27" t="n"/>
      <c r="N226" s="27" t="n"/>
      <c r="O226" s="27" t="n"/>
      <c r="P226" s="27" t="n"/>
      <c r="Q226" s="27" t="n"/>
      <c r="R226" s="27" t="n"/>
      <c r="S226" s="27" t="n"/>
      <c r="T226" s="27" t="n"/>
      <c r="U226" s="27" t="n"/>
      <c r="V226" s="27" t="n"/>
      <c r="W226" s="27" t="n"/>
      <c r="X226" s="27" t="n"/>
      <c r="Y226" s="27" t="n"/>
      <c r="Z226" s="30" t="n"/>
      <c r="AA226" s="25" t="n"/>
      <c r="AB226" s="28">
        <f>IF(NOT(AND($A226&lt;&gt;"",OR($G226="",$G226="Active"))),"",IF(OR(IF(OR(ISNUMBER($V226),$V226="DNA"),$V226,IF(OR(ISNUMBER($U226),$U226="DNA"),$U226,IF(OR(ISNUMBER($T226),$T226="DNA"),$T226,IF(OR(ISNUMBER($S226),$S226="DNA"),$S226,IF(OR(ISNUMBER($R226),$R226="DNA"),$R226,IF(OR(ISNUMBER($Q226),$Q226="DNA"),$Q226,IF(OR(ISNUMBER($N226),$N226="DNA"),$N226,IF(OR(ISNUMBER($M226),$M226="DNA"),$M226,IF(OR(ISNUMBER($L226),$L226="DNA"),$L226,"")))))))))="DNA",AND(ISNUMBER(IF(OR(ISNUMBER($V226),$V226="DNA"),$V226,IF(OR(ISNUMBER($U226),$U226="DNA"),$U226,IF(OR(ISNUMBER($T226),$T226="DNA"),$T226,IF(OR(ISNUMBER($S226),$S226="DNA"),$S226,IF(OR(ISNUMBER($R226),$R226="DNA"),$R226,IF(OR(ISNUMBER($Q226),$Q226="DNA"),$Q226,IF(OR(ISNUMBER($N226),$N226="DNA"),$N226,IF(OR(ISNUMBER($M226),$M226="DNA"),$M226,IF(OR(ISNUMBER($L226),$L226="DNA"),$L226,"")))))))))),IF(OR(ISNUMBER($V226),$V226="DNA"),$V226,IF(OR(ISNUMBER($U226),$U226="DNA"),$U226,IF(OR(ISNUMBER($T226),$T226="DNA"),$T226,IF(OR(ISNUMBER($S226),$S226="DNA"),$S226,IF(OR(ISNUMBER($R226),$R226="DNA"),$R226,IF(OR(ISNUMBER($Q226),$Q226="DNA"),$Q226,IF(OR(ISNUMBER($N226),$N226="DNA"),$N226,IF(OR(ISNUMBER($M226),$M226="DNA"),$M226,IF(OR(ISNUMBER($L226),$L226="DNA"),$L226,"")))))))))&lt;TODAY())),1,0)+ISNUMBER($O226)*($O226&lt;TODAY())+ISNUMBER($P226)*($P226&lt;TODAY())+ISNUMBER($X226)*($X226&lt;TODAY())+ISNUMBER($Y226)*($Y226&lt;TODAY()))</f>
        <v/>
      </c>
    </row>
    <row r="227">
      <c r="A227" s="25" t="n"/>
      <c r="B227" s="26" t="n"/>
      <c r="C227" s="27" t="n"/>
      <c r="D227" s="25" t="n"/>
      <c r="E227" s="25" t="n"/>
      <c r="F227" s="27" t="n"/>
      <c r="G227" s="25" t="n"/>
      <c r="H227" s="28">
        <f>IF(OR(NOT(AND($A227&lt;&gt;"",OR($G227="",$G227="Active"))),$F227=""),"",INT((TODAY()-$F227+280)/7)&amp;"+"&amp;MOD(TODAY()-$F227+280,7))</f>
        <v/>
      </c>
      <c r="I227" s="28">
        <f>IF(NOT(AND($A227&lt;&gt;"",OR($G227="",$G227="Active"))),"",ISNUMBER($L227)*($L227&gt;=TODAY())*($L227&lt;=TODAY()+7)+ISNUMBER($M227)*($M227&gt;=TODAY())*($M227&lt;=TODAY()+7)+ISNUMBER($N227)*($N227&gt;=TODAY())*($N227&lt;=TODAY()+7)+ISNUMBER($Q227)*($Q227&gt;=TODAY())*($Q227&lt;=TODAY()+7)+ISNUMBER($R227)*($R227&gt;=TODAY())*($R227&lt;=TODAY()+7)+ISNUMBER($S227)*($S227&gt;=TODAY())*($S227&lt;=TODAY()+7)+ISNUMBER($T227)*($T227&gt;=TODAY())*($T227&lt;=TODAY()+7)+ISNUMBER($U227)*($U227&gt;=TODAY())*($U227&lt;=TODAY()+7)+ISNUMBER($V227)*($V227&gt;=TODAY())*($V227&lt;=TODAY()+7)+ISNUMBER($O227)*($O227&gt;=TODAY())*($O227&lt;=TODAY()+7)+ISNUMBER($P227)*($P227&gt;=TODAY())*($P227&lt;=TODAY()+7)+ISNUMBER($X227)*($X227&gt;=TODAY())*($X227&lt;=TODAY()+7)+ISNUMBER($Y227)*($Y227&gt;=TODAY())*($Y227&lt;=TODAY()+7))</f>
        <v/>
      </c>
      <c r="J227" s="28">
        <f>IF(NOT(AND($A227&lt;&gt;"",OR($G227="",$G227="Active"))),"",IF($K227&lt;&gt;"",IF($L227=$K227,"Booking",IF($M227=$K227,"16/40",IF($N227=$K227,"25/40",IF($Q227=$K227,"28/40",IF($R227=$K227,"31/40",IF($S227=$K227,"34/40",IF($T227=$K227,"36/40",IF($U227=$K227,"38/40",IF($V227=$K227,"40/40",""))))))))),IF(IF(OR(ISNUMBER($V227),$V227="DNA"),$V227,IF(OR(ISNUMBER($U227),$U227="DNA"),$U227,IF(OR(ISNUMBER($T227),$T227="DNA"),$T227,IF(OR(ISNUMBER($S227),$S227="DNA"),$S227,IF(OR(ISNUMBER($R227),$R227="DNA"),$R227,IF(OR(ISNUMBER($Q227),$Q227="DNA"),$Q227,IF(OR(ISNUMBER($N227),$N227="DNA"),$N227,IF(OR(ISNUMBER($M227),$M227="DNA"),$M227,IF(OR(ISNUMBER($L227),$L227="DNA"),$L227,"")))))))))="DNA","Rebook DNA",IF(ISNUMBER(IF(OR(ISNUMBER($V227),$V227="DNA"),$V227,IF(OR(ISNUMBER($U227),$U227="DNA"),$U227,IF(OR(ISNUMBER($T227),$T227="DNA"),$T227,IF(OR(ISNUMBER($S227),$S227="DNA"),$S227,IF(OR(ISNUMBER($R227),$R227="DNA"),$R227,IF(OR(ISNUMBER($Q227),$Q227="DNA"),$Q227,IF(OR(ISNUMBER($N227),$N227="DNA"),$N227,IF(OR(ISNUMBER($M227),$M227="DNA"),$M227,IF(OR(ISNUMBER($L227),$L227="DNA"),$L227,"")))))))))),IF(ISNUMBER($V227),"Update status","Missed/not booked?"),""))))</f>
        <v/>
      </c>
      <c r="K227" s="29">
        <f>IF(NOT(AND($A227&lt;&gt;"",OR($G227="",$G227="Active"))),"",IF(MIN(IF(AND(ISNUMBER($L227),$L227&gt;=TODAY()),$L227,99999),IF(AND(ISNUMBER($M227),$M227&gt;=TODAY()),$M227,99999),IF(AND(ISNUMBER($N227),$N227&gt;=TODAY()),$N227,99999),IF(AND(ISNUMBER($Q227),$Q227&gt;=TODAY()),$Q227,99999),IF(AND(ISNUMBER($R227),$R227&gt;=TODAY()),$R227,99999),IF(AND(ISNUMBER($S227),$S227&gt;=TODAY()),$S227,99999),IF(AND(ISNUMBER($T227),$T227&gt;=TODAY()),$T227,99999),IF(AND(ISNUMBER($U227),$U227&gt;=TODAY()),$U227,99999),IF(AND(ISNUMBER($V227),$V227&gt;=TODAY()),$V227,99999))=99999,"",MIN(IF(AND(ISNUMBER($L227),$L227&gt;=TODAY()),$L227,99999),IF(AND(ISNUMBER($M227),$M227&gt;=TODAY()),$M227,99999),IF(AND(ISNUMBER($N227),$N227&gt;=TODAY()),$N227,99999),IF(AND(ISNUMBER($Q227),$Q227&gt;=TODAY()),$Q227,99999),IF(AND(ISNUMBER($R227),$R227&gt;=TODAY()),$R227,99999),IF(AND(ISNUMBER($S227),$S227&gt;=TODAY()),$S227,99999),IF(AND(ISNUMBER($T227),$T227&gt;=TODAY()),$T227,99999),IF(AND(ISNUMBER($U227),$U227&gt;=TODAY()),$U227,99999),IF(AND(ISNUMBER($V227),$V227&gt;=TODAY()),$V227,99999))))</f>
        <v/>
      </c>
      <c r="L227" s="27" t="n"/>
      <c r="M227" s="27" t="n"/>
      <c r="N227" s="27" t="n"/>
      <c r="O227" s="27" t="n"/>
      <c r="P227" s="27" t="n"/>
      <c r="Q227" s="27" t="n"/>
      <c r="R227" s="27" t="n"/>
      <c r="S227" s="27" t="n"/>
      <c r="T227" s="27" t="n"/>
      <c r="U227" s="27" t="n"/>
      <c r="V227" s="27" t="n"/>
      <c r="W227" s="27" t="n"/>
      <c r="X227" s="27" t="n"/>
      <c r="Y227" s="27" t="n"/>
      <c r="Z227" s="30" t="n"/>
      <c r="AA227" s="25" t="n"/>
      <c r="AB227" s="28">
        <f>IF(NOT(AND($A227&lt;&gt;"",OR($G227="",$G227="Active"))),"",IF(OR(IF(OR(ISNUMBER($V227),$V227="DNA"),$V227,IF(OR(ISNUMBER($U227),$U227="DNA"),$U227,IF(OR(ISNUMBER($T227),$T227="DNA"),$T227,IF(OR(ISNUMBER($S227),$S227="DNA"),$S227,IF(OR(ISNUMBER($R227),$R227="DNA"),$R227,IF(OR(ISNUMBER($Q227),$Q227="DNA"),$Q227,IF(OR(ISNUMBER($N227),$N227="DNA"),$N227,IF(OR(ISNUMBER($M227),$M227="DNA"),$M227,IF(OR(ISNUMBER($L227),$L227="DNA"),$L227,"")))))))))="DNA",AND(ISNUMBER(IF(OR(ISNUMBER($V227),$V227="DNA"),$V227,IF(OR(ISNUMBER($U227),$U227="DNA"),$U227,IF(OR(ISNUMBER($T227),$T227="DNA"),$T227,IF(OR(ISNUMBER($S227),$S227="DNA"),$S227,IF(OR(ISNUMBER($R227),$R227="DNA"),$R227,IF(OR(ISNUMBER($Q227),$Q227="DNA"),$Q227,IF(OR(ISNUMBER($N227),$N227="DNA"),$N227,IF(OR(ISNUMBER($M227),$M227="DNA"),$M227,IF(OR(ISNUMBER($L227),$L227="DNA"),$L227,"")))))))))),IF(OR(ISNUMBER($V227),$V227="DNA"),$V227,IF(OR(ISNUMBER($U227),$U227="DNA"),$U227,IF(OR(ISNUMBER($T227),$T227="DNA"),$T227,IF(OR(ISNUMBER($S227),$S227="DNA"),$S227,IF(OR(ISNUMBER($R227),$R227="DNA"),$R227,IF(OR(ISNUMBER($Q227),$Q227="DNA"),$Q227,IF(OR(ISNUMBER($N227),$N227="DNA"),$N227,IF(OR(ISNUMBER($M227),$M227="DNA"),$M227,IF(OR(ISNUMBER($L227),$L227="DNA"),$L227,"")))))))))&lt;TODAY())),1,0)+ISNUMBER($O227)*($O227&lt;TODAY())+ISNUMBER($P227)*($P227&lt;TODAY())+ISNUMBER($X227)*($X227&lt;TODAY())+ISNUMBER($Y227)*($Y227&lt;TODAY()))</f>
        <v/>
      </c>
    </row>
    <row r="228">
      <c r="A228" s="25" t="n"/>
      <c r="B228" s="26" t="n"/>
      <c r="C228" s="27" t="n"/>
      <c r="D228" s="25" t="n"/>
      <c r="E228" s="25" t="n"/>
      <c r="F228" s="27" t="n"/>
      <c r="G228" s="25" t="n"/>
      <c r="H228" s="28">
        <f>IF(OR(NOT(AND($A228&lt;&gt;"",OR($G228="",$G228="Active"))),$F228=""),"",INT((TODAY()-$F228+280)/7)&amp;"+"&amp;MOD(TODAY()-$F228+280,7))</f>
        <v/>
      </c>
      <c r="I228" s="28">
        <f>IF(NOT(AND($A228&lt;&gt;"",OR($G228="",$G228="Active"))),"",ISNUMBER($L228)*($L228&gt;=TODAY())*($L228&lt;=TODAY()+7)+ISNUMBER($M228)*($M228&gt;=TODAY())*($M228&lt;=TODAY()+7)+ISNUMBER($N228)*($N228&gt;=TODAY())*($N228&lt;=TODAY()+7)+ISNUMBER($Q228)*($Q228&gt;=TODAY())*($Q228&lt;=TODAY()+7)+ISNUMBER($R228)*($R228&gt;=TODAY())*($R228&lt;=TODAY()+7)+ISNUMBER($S228)*($S228&gt;=TODAY())*($S228&lt;=TODAY()+7)+ISNUMBER($T228)*($T228&gt;=TODAY())*($T228&lt;=TODAY()+7)+ISNUMBER($U228)*($U228&gt;=TODAY())*($U228&lt;=TODAY()+7)+ISNUMBER($V228)*($V228&gt;=TODAY())*($V228&lt;=TODAY()+7)+ISNUMBER($O228)*($O228&gt;=TODAY())*($O228&lt;=TODAY()+7)+ISNUMBER($P228)*($P228&gt;=TODAY())*($P228&lt;=TODAY()+7)+ISNUMBER($X228)*($X228&gt;=TODAY())*($X228&lt;=TODAY()+7)+ISNUMBER($Y228)*($Y228&gt;=TODAY())*($Y228&lt;=TODAY()+7))</f>
        <v/>
      </c>
      <c r="J228" s="28">
        <f>IF(NOT(AND($A228&lt;&gt;"",OR($G228="",$G228="Active"))),"",IF($K228&lt;&gt;"",IF($L228=$K228,"Booking",IF($M228=$K228,"16/40",IF($N228=$K228,"25/40",IF($Q228=$K228,"28/40",IF($R228=$K228,"31/40",IF($S228=$K228,"34/40",IF($T228=$K228,"36/40",IF($U228=$K228,"38/40",IF($V228=$K228,"40/40",""))))))))),IF(IF(OR(ISNUMBER($V228),$V228="DNA"),$V228,IF(OR(ISNUMBER($U228),$U228="DNA"),$U228,IF(OR(ISNUMBER($T228),$T228="DNA"),$T228,IF(OR(ISNUMBER($S228),$S228="DNA"),$S228,IF(OR(ISNUMBER($R228),$R228="DNA"),$R228,IF(OR(ISNUMBER($Q228),$Q228="DNA"),$Q228,IF(OR(ISNUMBER($N228),$N228="DNA"),$N228,IF(OR(ISNUMBER($M228),$M228="DNA"),$M228,IF(OR(ISNUMBER($L228),$L228="DNA"),$L228,"")))))))))="DNA","Rebook DNA",IF(ISNUMBER(IF(OR(ISNUMBER($V228),$V228="DNA"),$V228,IF(OR(ISNUMBER($U228),$U228="DNA"),$U228,IF(OR(ISNUMBER($T228),$T228="DNA"),$T228,IF(OR(ISNUMBER($S228),$S228="DNA"),$S228,IF(OR(ISNUMBER($R228),$R228="DNA"),$R228,IF(OR(ISNUMBER($Q228),$Q228="DNA"),$Q228,IF(OR(ISNUMBER($N228),$N228="DNA"),$N228,IF(OR(ISNUMBER($M228),$M228="DNA"),$M228,IF(OR(ISNUMBER($L228),$L228="DNA"),$L228,"")))))))))),IF(ISNUMBER($V228),"Update status","Missed/not booked?"),""))))</f>
        <v/>
      </c>
      <c r="K228" s="29">
        <f>IF(NOT(AND($A228&lt;&gt;"",OR($G228="",$G228="Active"))),"",IF(MIN(IF(AND(ISNUMBER($L228),$L228&gt;=TODAY()),$L228,99999),IF(AND(ISNUMBER($M228),$M228&gt;=TODAY()),$M228,99999),IF(AND(ISNUMBER($N228),$N228&gt;=TODAY()),$N228,99999),IF(AND(ISNUMBER($Q228),$Q228&gt;=TODAY()),$Q228,99999),IF(AND(ISNUMBER($R228),$R228&gt;=TODAY()),$R228,99999),IF(AND(ISNUMBER($S228),$S228&gt;=TODAY()),$S228,99999),IF(AND(ISNUMBER($T228),$T228&gt;=TODAY()),$T228,99999),IF(AND(ISNUMBER($U228),$U228&gt;=TODAY()),$U228,99999),IF(AND(ISNUMBER($V228),$V228&gt;=TODAY()),$V228,99999))=99999,"",MIN(IF(AND(ISNUMBER($L228),$L228&gt;=TODAY()),$L228,99999),IF(AND(ISNUMBER($M228),$M228&gt;=TODAY()),$M228,99999),IF(AND(ISNUMBER($N228),$N228&gt;=TODAY()),$N228,99999),IF(AND(ISNUMBER($Q228),$Q228&gt;=TODAY()),$Q228,99999),IF(AND(ISNUMBER($R228),$R228&gt;=TODAY()),$R228,99999),IF(AND(ISNUMBER($S228),$S228&gt;=TODAY()),$S228,99999),IF(AND(ISNUMBER($T228),$T228&gt;=TODAY()),$T228,99999),IF(AND(ISNUMBER($U228),$U228&gt;=TODAY()),$U228,99999),IF(AND(ISNUMBER($V228),$V228&gt;=TODAY()),$V228,99999))))</f>
        <v/>
      </c>
      <c r="L228" s="27" t="n"/>
      <c r="M228" s="27" t="n"/>
      <c r="N228" s="27" t="n"/>
      <c r="O228" s="27" t="n"/>
      <c r="P228" s="27" t="n"/>
      <c r="Q228" s="27" t="n"/>
      <c r="R228" s="27" t="n"/>
      <c r="S228" s="27" t="n"/>
      <c r="T228" s="27" t="n"/>
      <c r="U228" s="27" t="n"/>
      <c r="V228" s="27" t="n"/>
      <c r="W228" s="27" t="n"/>
      <c r="X228" s="27" t="n"/>
      <c r="Y228" s="27" t="n"/>
      <c r="Z228" s="30" t="n"/>
      <c r="AA228" s="25" t="n"/>
      <c r="AB228" s="28">
        <f>IF(NOT(AND($A228&lt;&gt;"",OR($G228="",$G228="Active"))),"",IF(OR(IF(OR(ISNUMBER($V228),$V228="DNA"),$V228,IF(OR(ISNUMBER($U228),$U228="DNA"),$U228,IF(OR(ISNUMBER($T228),$T228="DNA"),$T228,IF(OR(ISNUMBER($S228),$S228="DNA"),$S228,IF(OR(ISNUMBER($R228),$R228="DNA"),$R228,IF(OR(ISNUMBER($Q228),$Q228="DNA"),$Q228,IF(OR(ISNUMBER($N228),$N228="DNA"),$N228,IF(OR(ISNUMBER($M228),$M228="DNA"),$M228,IF(OR(ISNUMBER($L228),$L228="DNA"),$L228,"")))))))))="DNA",AND(ISNUMBER(IF(OR(ISNUMBER($V228),$V228="DNA"),$V228,IF(OR(ISNUMBER($U228),$U228="DNA"),$U228,IF(OR(ISNUMBER($T228),$T228="DNA"),$T228,IF(OR(ISNUMBER($S228),$S228="DNA"),$S228,IF(OR(ISNUMBER($R228),$R228="DNA"),$R228,IF(OR(ISNUMBER($Q228),$Q228="DNA"),$Q228,IF(OR(ISNUMBER($N228),$N228="DNA"),$N228,IF(OR(ISNUMBER($M228),$M228="DNA"),$M228,IF(OR(ISNUMBER($L228),$L228="DNA"),$L228,"")))))))))),IF(OR(ISNUMBER($V228),$V228="DNA"),$V228,IF(OR(ISNUMBER($U228),$U228="DNA"),$U228,IF(OR(ISNUMBER($T228),$T228="DNA"),$T228,IF(OR(ISNUMBER($S228),$S228="DNA"),$S228,IF(OR(ISNUMBER($R228),$R228="DNA"),$R228,IF(OR(ISNUMBER($Q228),$Q228="DNA"),$Q228,IF(OR(ISNUMBER($N228),$N228="DNA"),$N228,IF(OR(ISNUMBER($M228),$M228="DNA"),$M228,IF(OR(ISNUMBER($L228),$L228="DNA"),$L228,"")))))))))&lt;TODAY())),1,0)+ISNUMBER($O228)*($O228&lt;TODAY())+ISNUMBER($P228)*($P228&lt;TODAY())+ISNUMBER($X228)*($X228&lt;TODAY())+ISNUMBER($Y228)*($Y228&lt;TODAY()))</f>
        <v/>
      </c>
    </row>
    <row r="229">
      <c r="A229" s="25" t="n"/>
      <c r="B229" s="26" t="n"/>
      <c r="C229" s="27" t="n"/>
      <c r="D229" s="25" t="n"/>
      <c r="E229" s="25" t="n"/>
      <c r="F229" s="27" t="n"/>
      <c r="G229" s="25" t="n"/>
      <c r="H229" s="28">
        <f>IF(OR(NOT(AND($A229&lt;&gt;"",OR($G229="",$G229="Active"))),$F229=""),"",INT((TODAY()-$F229+280)/7)&amp;"+"&amp;MOD(TODAY()-$F229+280,7))</f>
        <v/>
      </c>
      <c r="I229" s="28">
        <f>IF(NOT(AND($A229&lt;&gt;"",OR($G229="",$G229="Active"))),"",ISNUMBER($L229)*($L229&gt;=TODAY())*($L229&lt;=TODAY()+7)+ISNUMBER($M229)*($M229&gt;=TODAY())*($M229&lt;=TODAY()+7)+ISNUMBER($N229)*($N229&gt;=TODAY())*($N229&lt;=TODAY()+7)+ISNUMBER($Q229)*($Q229&gt;=TODAY())*($Q229&lt;=TODAY()+7)+ISNUMBER($R229)*($R229&gt;=TODAY())*($R229&lt;=TODAY()+7)+ISNUMBER($S229)*($S229&gt;=TODAY())*($S229&lt;=TODAY()+7)+ISNUMBER($T229)*($T229&gt;=TODAY())*($T229&lt;=TODAY()+7)+ISNUMBER($U229)*($U229&gt;=TODAY())*($U229&lt;=TODAY()+7)+ISNUMBER($V229)*($V229&gt;=TODAY())*($V229&lt;=TODAY()+7)+ISNUMBER($O229)*($O229&gt;=TODAY())*($O229&lt;=TODAY()+7)+ISNUMBER($P229)*($P229&gt;=TODAY())*($P229&lt;=TODAY()+7)+ISNUMBER($X229)*($X229&gt;=TODAY())*($X229&lt;=TODAY()+7)+ISNUMBER($Y229)*($Y229&gt;=TODAY())*($Y229&lt;=TODAY()+7))</f>
        <v/>
      </c>
      <c r="J229" s="28">
        <f>IF(NOT(AND($A229&lt;&gt;"",OR($G229="",$G229="Active"))),"",IF($K229&lt;&gt;"",IF($L229=$K229,"Booking",IF($M229=$K229,"16/40",IF($N229=$K229,"25/40",IF($Q229=$K229,"28/40",IF($R229=$K229,"31/40",IF($S229=$K229,"34/40",IF($T229=$K229,"36/40",IF($U229=$K229,"38/40",IF($V229=$K229,"40/40",""))))))))),IF(IF(OR(ISNUMBER($V229),$V229="DNA"),$V229,IF(OR(ISNUMBER($U229),$U229="DNA"),$U229,IF(OR(ISNUMBER($T229),$T229="DNA"),$T229,IF(OR(ISNUMBER($S229),$S229="DNA"),$S229,IF(OR(ISNUMBER($R229),$R229="DNA"),$R229,IF(OR(ISNUMBER($Q229),$Q229="DNA"),$Q229,IF(OR(ISNUMBER($N229),$N229="DNA"),$N229,IF(OR(ISNUMBER($M229),$M229="DNA"),$M229,IF(OR(ISNUMBER($L229),$L229="DNA"),$L229,"")))))))))="DNA","Rebook DNA",IF(ISNUMBER(IF(OR(ISNUMBER($V229),$V229="DNA"),$V229,IF(OR(ISNUMBER($U229),$U229="DNA"),$U229,IF(OR(ISNUMBER($T229),$T229="DNA"),$T229,IF(OR(ISNUMBER($S229),$S229="DNA"),$S229,IF(OR(ISNUMBER($R229),$R229="DNA"),$R229,IF(OR(ISNUMBER($Q229),$Q229="DNA"),$Q229,IF(OR(ISNUMBER($N229),$N229="DNA"),$N229,IF(OR(ISNUMBER($M229),$M229="DNA"),$M229,IF(OR(ISNUMBER($L229),$L229="DNA"),$L229,"")))))))))),IF(ISNUMBER($V229),"Update status","Missed/not booked?"),""))))</f>
        <v/>
      </c>
      <c r="K229" s="29">
        <f>IF(NOT(AND($A229&lt;&gt;"",OR($G229="",$G229="Active"))),"",IF(MIN(IF(AND(ISNUMBER($L229),$L229&gt;=TODAY()),$L229,99999),IF(AND(ISNUMBER($M229),$M229&gt;=TODAY()),$M229,99999),IF(AND(ISNUMBER($N229),$N229&gt;=TODAY()),$N229,99999),IF(AND(ISNUMBER($Q229),$Q229&gt;=TODAY()),$Q229,99999),IF(AND(ISNUMBER($R229),$R229&gt;=TODAY()),$R229,99999),IF(AND(ISNUMBER($S229),$S229&gt;=TODAY()),$S229,99999),IF(AND(ISNUMBER($T229),$T229&gt;=TODAY()),$T229,99999),IF(AND(ISNUMBER($U229),$U229&gt;=TODAY()),$U229,99999),IF(AND(ISNUMBER($V229),$V229&gt;=TODAY()),$V229,99999))=99999,"",MIN(IF(AND(ISNUMBER($L229),$L229&gt;=TODAY()),$L229,99999),IF(AND(ISNUMBER($M229),$M229&gt;=TODAY()),$M229,99999),IF(AND(ISNUMBER($N229),$N229&gt;=TODAY()),$N229,99999),IF(AND(ISNUMBER($Q229),$Q229&gt;=TODAY()),$Q229,99999),IF(AND(ISNUMBER($R229),$R229&gt;=TODAY()),$R229,99999),IF(AND(ISNUMBER($S229),$S229&gt;=TODAY()),$S229,99999),IF(AND(ISNUMBER($T229),$T229&gt;=TODAY()),$T229,99999),IF(AND(ISNUMBER($U229),$U229&gt;=TODAY()),$U229,99999),IF(AND(ISNUMBER($V229),$V229&gt;=TODAY()),$V229,99999))))</f>
        <v/>
      </c>
      <c r="L229" s="27" t="n"/>
      <c r="M229" s="27" t="n"/>
      <c r="N229" s="27" t="n"/>
      <c r="O229" s="27" t="n"/>
      <c r="P229" s="27" t="n"/>
      <c r="Q229" s="27" t="n"/>
      <c r="R229" s="27" t="n"/>
      <c r="S229" s="27" t="n"/>
      <c r="T229" s="27" t="n"/>
      <c r="U229" s="27" t="n"/>
      <c r="V229" s="27" t="n"/>
      <c r="W229" s="27" t="n"/>
      <c r="X229" s="27" t="n"/>
      <c r="Y229" s="27" t="n"/>
      <c r="Z229" s="30" t="n"/>
      <c r="AA229" s="25" t="n"/>
      <c r="AB229" s="28">
        <f>IF(NOT(AND($A229&lt;&gt;"",OR($G229="",$G229="Active"))),"",IF(OR(IF(OR(ISNUMBER($V229),$V229="DNA"),$V229,IF(OR(ISNUMBER($U229),$U229="DNA"),$U229,IF(OR(ISNUMBER($T229),$T229="DNA"),$T229,IF(OR(ISNUMBER($S229),$S229="DNA"),$S229,IF(OR(ISNUMBER($R229),$R229="DNA"),$R229,IF(OR(ISNUMBER($Q229),$Q229="DNA"),$Q229,IF(OR(ISNUMBER($N229),$N229="DNA"),$N229,IF(OR(ISNUMBER($M229),$M229="DNA"),$M229,IF(OR(ISNUMBER($L229),$L229="DNA"),$L229,"")))))))))="DNA",AND(ISNUMBER(IF(OR(ISNUMBER($V229),$V229="DNA"),$V229,IF(OR(ISNUMBER($U229),$U229="DNA"),$U229,IF(OR(ISNUMBER($T229),$T229="DNA"),$T229,IF(OR(ISNUMBER($S229),$S229="DNA"),$S229,IF(OR(ISNUMBER($R229),$R229="DNA"),$R229,IF(OR(ISNUMBER($Q229),$Q229="DNA"),$Q229,IF(OR(ISNUMBER($N229),$N229="DNA"),$N229,IF(OR(ISNUMBER($M229),$M229="DNA"),$M229,IF(OR(ISNUMBER($L229),$L229="DNA"),$L229,"")))))))))),IF(OR(ISNUMBER($V229),$V229="DNA"),$V229,IF(OR(ISNUMBER($U229),$U229="DNA"),$U229,IF(OR(ISNUMBER($T229),$T229="DNA"),$T229,IF(OR(ISNUMBER($S229),$S229="DNA"),$S229,IF(OR(ISNUMBER($R229),$R229="DNA"),$R229,IF(OR(ISNUMBER($Q229),$Q229="DNA"),$Q229,IF(OR(ISNUMBER($N229),$N229="DNA"),$N229,IF(OR(ISNUMBER($M229),$M229="DNA"),$M229,IF(OR(ISNUMBER($L229),$L229="DNA"),$L229,"")))))))))&lt;TODAY())),1,0)+ISNUMBER($O229)*($O229&lt;TODAY())+ISNUMBER($P229)*($P229&lt;TODAY())+ISNUMBER($X229)*($X229&lt;TODAY())+ISNUMBER($Y229)*($Y229&lt;TODAY()))</f>
        <v/>
      </c>
    </row>
    <row r="230">
      <c r="A230" s="25" t="n"/>
      <c r="B230" s="26" t="n"/>
      <c r="C230" s="27" t="n"/>
      <c r="D230" s="25" t="n"/>
      <c r="E230" s="25" t="n"/>
      <c r="F230" s="27" t="n"/>
      <c r="G230" s="25" t="n"/>
      <c r="H230" s="28">
        <f>IF(OR(NOT(AND($A230&lt;&gt;"",OR($G230="",$G230="Active"))),$F230=""),"",INT((TODAY()-$F230+280)/7)&amp;"+"&amp;MOD(TODAY()-$F230+280,7))</f>
        <v/>
      </c>
      <c r="I230" s="28">
        <f>IF(NOT(AND($A230&lt;&gt;"",OR($G230="",$G230="Active"))),"",ISNUMBER($L230)*($L230&gt;=TODAY())*($L230&lt;=TODAY()+7)+ISNUMBER($M230)*($M230&gt;=TODAY())*($M230&lt;=TODAY()+7)+ISNUMBER($N230)*($N230&gt;=TODAY())*($N230&lt;=TODAY()+7)+ISNUMBER($Q230)*($Q230&gt;=TODAY())*($Q230&lt;=TODAY()+7)+ISNUMBER($R230)*($R230&gt;=TODAY())*($R230&lt;=TODAY()+7)+ISNUMBER($S230)*($S230&gt;=TODAY())*($S230&lt;=TODAY()+7)+ISNUMBER($T230)*($T230&gt;=TODAY())*($T230&lt;=TODAY()+7)+ISNUMBER($U230)*($U230&gt;=TODAY())*($U230&lt;=TODAY()+7)+ISNUMBER($V230)*($V230&gt;=TODAY())*($V230&lt;=TODAY()+7)+ISNUMBER($O230)*($O230&gt;=TODAY())*($O230&lt;=TODAY()+7)+ISNUMBER($P230)*($P230&gt;=TODAY())*($P230&lt;=TODAY()+7)+ISNUMBER($X230)*($X230&gt;=TODAY())*($X230&lt;=TODAY()+7)+ISNUMBER($Y230)*($Y230&gt;=TODAY())*($Y230&lt;=TODAY()+7))</f>
        <v/>
      </c>
      <c r="J230" s="28">
        <f>IF(NOT(AND($A230&lt;&gt;"",OR($G230="",$G230="Active"))),"",IF($K230&lt;&gt;"",IF($L230=$K230,"Booking",IF($M230=$K230,"16/40",IF($N230=$K230,"25/40",IF($Q230=$K230,"28/40",IF($R230=$K230,"31/40",IF($S230=$K230,"34/40",IF($T230=$K230,"36/40",IF($U230=$K230,"38/40",IF($V230=$K230,"40/40",""))))))))),IF(IF(OR(ISNUMBER($V230),$V230="DNA"),$V230,IF(OR(ISNUMBER($U230),$U230="DNA"),$U230,IF(OR(ISNUMBER($T230),$T230="DNA"),$T230,IF(OR(ISNUMBER($S230),$S230="DNA"),$S230,IF(OR(ISNUMBER($R230),$R230="DNA"),$R230,IF(OR(ISNUMBER($Q230),$Q230="DNA"),$Q230,IF(OR(ISNUMBER($N230),$N230="DNA"),$N230,IF(OR(ISNUMBER($M230),$M230="DNA"),$M230,IF(OR(ISNUMBER($L230),$L230="DNA"),$L230,"")))))))))="DNA","Rebook DNA",IF(ISNUMBER(IF(OR(ISNUMBER($V230),$V230="DNA"),$V230,IF(OR(ISNUMBER($U230),$U230="DNA"),$U230,IF(OR(ISNUMBER($T230),$T230="DNA"),$T230,IF(OR(ISNUMBER($S230),$S230="DNA"),$S230,IF(OR(ISNUMBER($R230),$R230="DNA"),$R230,IF(OR(ISNUMBER($Q230),$Q230="DNA"),$Q230,IF(OR(ISNUMBER($N230),$N230="DNA"),$N230,IF(OR(ISNUMBER($M230),$M230="DNA"),$M230,IF(OR(ISNUMBER($L230),$L230="DNA"),$L230,"")))))))))),IF(ISNUMBER($V230),"Update status","Missed/not booked?"),""))))</f>
        <v/>
      </c>
      <c r="K230" s="29">
        <f>IF(NOT(AND($A230&lt;&gt;"",OR($G230="",$G230="Active"))),"",IF(MIN(IF(AND(ISNUMBER($L230),$L230&gt;=TODAY()),$L230,99999),IF(AND(ISNUMBER($M230),$M230&gt;=TODAY()),$M230,99999),IF(AND(ISNUMBER($N230),$N230&gt;=TODAY()),$N230,99999),IF(AND(ISNUMBER($Q230),$Q230&gt;=TODAY()),$Q230,99999),IF(AND(ISNUMBER($R230),$R230&gt;=TODAY()),$R230,99999),IF(AND(ISNUMBER($S230),$S230&gt;=TODAY()),$S230,99999),IF(AND(ISNUMBER($T230),$T230&gt;=TODAY()),$T230,99999),IF(AND(ISNUMBER($U230),$U230&gt;=TODAY()),$U230,99999),IF(AND(ISNUMBER($V230),$V230&gt;=TODAY()),$V230,99999))=99999,"",MIN(IF(AND(ISNUMBER($L230),$L230&gt;=TODAY()),$L230,99999),IF(AND(ISNUMBER($M230),$M230&gt;=TODAY()),$M230,99999),IF(AND(ISNUMBER($N230),$N230&gt;=TODAY()),$N230,99999),IF(AND(ISNUMBER($Q230),$Q230&gt;=TODAY()),$Q230,99999),IF(AND(ISNUMBER($R230),$R230&gt;=TODAY()),$R230,99999),IF(AND(ISNUMBER($S230),$S230&gt;=TODAY()),$S230,99999),IF(AND(ISNUMBER($T230),$T230&gt;=TODAY()),$T230,99999),IF(AND(ISNUMBER($U230),$U230&gt;=TODAY()),$U230,99999),IF(AND(ISNUMBER($V230),$V230&gt;=TODAY()),$V230,99999))))</f>
        <v/>
      </c>
      <c r="L230" s="27" t="n"/>
      <c r="M230" s="27" t="n"/>
      <c r="N230" s="27" t="n"/>
      <c r="O230" s="27" t="n"/>
      <c r="P230" s="27" t="n"/>
      <c r="Q230" s="27" t="n"/>
      <c r="R230" s="27" t="n"/>
      <c r="S230" s="27" t="n"/>
      <c r="T230" s="27" t="n"/>
      <c r="U230" s="27" t="n"/>
      <c r="V230" s="27" t="n"/>
      <c r="W230" s="27" t="n"/>
      <c r="X230" s="27" t="n"/>
      <c r="Y230" s="27" t="n"/>
      <c r="Z230" s="30" t="n"/>
      <c r="AA230" s="25" t="n"/>
      <c r="AB230" s="28">
        <f>IF(NOT(AND($A230&lt;&gt;"",OR($G230="",$G230="Active"))),"",IF(OR(IF(OR(ISNUMBER($V230),$V230="DNA"),$V230,IF(OR(ISNUMBER($U230),$U230="DNA"),$U230,IF(OR(ISNUMBER($T230),$T230="DNA"),$T230,IF(OR(ISNUMBER($S230),$S230="DNA"),$S230,IF(OR(ISNUMBER($R230),$R230="DNA"),$R230,IF(OR(ISNUMBER($Q230),$Q230="DNA"),$Q230,IF(OR(ISNUMBER($N230),$N230="DNA"),$N230,IF(OR(ISNUMBER($M230),$M230="DNA"),$M230,IF(OR(ISNUMBER($L230),$L230="DNA"),$L230,"")))))))))="DNA",AND(ISNUMBER(IF(OR(ISNUMBER($V230),$V230="DNA"),$V230,IF(OR(ISNUMBER($U230),$U230="DNA"),$U230,IF(OR(ISNUMBER($T230),$T230="DNA"),$T230,IF(OR(ISNUMBER($S230),$S230="DNA"),$S230,IF(OR(ISNUMBER($R230),$R230="DNA"),$R230,IF(OR(ISNUMBER($Q230),$Q230="DNA"),$Q230,IF(OR(ISNUMBER($N230),$N230="DNA"),$N230,IF(OR(ISNUMBER($M230),$M230="DNA"),$M230,IF(OR(ISNUMBER($L230),$L230="DNA"),$L230,"")))))))))),IF(OR(ISNUMBER($V230),$V230="DNA"),$V230,IF(OR(ISNUMBER($U230),$U230="DNA"),$U230,IF(OR(ISNUMBER($T230),$T230="DNA"),$T230,IF(OR(ISNUMBER($S230),$S230="DNA"),$S230,IF(OR(ISNUMBER($R230),$R230="DNA"),$R230,IF(OR(ISNUMBER($Q230),$Q230="DNA"),$Q230,IF(OR(ISNUMBER($N230),$N230="DNA"),$N230,IF(OR(ISNUMBER($M230),$M230="DNA"),$M230,IF(OR(ISNUMBER($L230),$L230="DNA"),$L230,"")))))))))&lt;TODAY())),1,0)+ISNUMBER($O230)*($O230&lt;TODAY())+ISNUMBER($P230)*($P230&lt;TODAY())+ISNUMBER($X230)*($X230&lt;TODAY())+ISNUMBER($Y230)*($Y230&lt;TODAY()))</f>
        <v/>
      </c>
    </row>
    <row r="231">
      <c r="A231" s="25" t="n"/>
      <c r="B231" s="26" t="n"/>
      <c r="C231" s="27" t="n"/>
      <c r="D231" s="25" t="n"/>
      <c r="E231" s="25" t="n"/>
      <c r="F231" s="27" t="n"/>
      <c r="G231" s="25" t="n"/>
      <c r="H231" s="28">
        <f>IF(OR(NOT(AND($A231&lt;&gt;"",OR($G231="",$G231="Active"))),$F231=""),"",INT((TODAY()-$F231+280)/7)&amp;"+"&amp;MOD(TODAY()-$F231+280,7))</f>
        <v/>
      </c>
      <c r="I231" s="28">
        <f>IF(NOT(AND($A231&lt;&gt;"",OR($G231="",$G231="Active"))),"",ISNUMBER($L231)*($L231&gt;=TODAY())*($L231&lt;=TODAY()+7)+ISNUMBER($M231)*($M231&gt;=TODAY())*($M231&lt;=TODAY()+7)+ISNUMBER($N231)*($N231&gt;=TODAY())*($N231&lt;=TODAY()+7)+ISNUMBER($Q231)*($Q231&gt;=TODAY())*($Q231&lt;=TODAY()+7)+ISNUMBER($R231)*($R231&gt;=TODAY())*($R231&lt;=TODAY()+7)+ISNUMBER($S231)*($S231&gt;=TODAY())*($S231&lt;=TODAY()+7)+ISNUMBER($T231)*($T231&gt;=TODAY())*($T231&lt;=TODAY()+7)+ISNUMBER($U231)*($U231&gt;=TODAY())*($U231&lt;=TODAY()+7)+ISNUMBER($V231)*($V231&gt;=TODAY())*($V231&lt;=TODAY()+7)+ISNUMBER($O231)*($O231&gt;=TODAY())*($O231&lt;=TODAY()+7)+ISNUMBER($P231)*($P231&gt;=TODAY())*($P231&lt;=TODAY()+7)+ISNUMBER($X231)*($X231&gt;=TODAY())*($X231&lt;=TODAY()+7)+ISNUMBER($Y231)*($Y231&gt;=TODAY())*($Y231&lt;=TODAY()+7))</f>
        <v/>
      </c>
      <c r="J231" s="28">
        <f>IF(NOT(AND($A231&lt;&gt;"",OR($G231="",$G231="Active"))),"",IF($K231&lt;&gt;"",IF($L231=$K231,"Booking",IF($M231=$K231,"16/40",IF($N231=$K231,"25/40",IF($Q231=$K231,"28/40",IF($R231=$K231,"31/40",IF($S231=$K231,"34/40",IF($T231=$K231,"36/40",IF($U231=$K231,"38/40",IF($V231=$K231,"40/40",""))))))))),IF(IF(OR(ISNUMBER($V231),$V231="DNA"),$V231,IF(OR(ISNUMBER($U231),$U231="DNA"),$U231,IF(OR(ISNUMBER($T231),$T231="DNA"),$T231,IF(OR(ISNUMBER($S231),$S231="DNA"),$S231,IF(OR(ISNUMBER($R231),$R231="DNA"),$R231,IF(OR(ISNUMBER($Q231),$Q231="DNA"),$Q231,IF(OR(ISNUMBER($N231),$N231="DNA"),$N231,IF(OR(ISNUMBER($M231),$M231="DNA"),$M231,IF(OR(ISNUMBER($L231),$L231="DNA"),$L231,"")))))))))="DNA","Rebook DNA",IF(ISNUMBER(IF(OR(ISNUMBER($V231),$V231="DNA"),$V231,IF(OR(ISNUMBER($U231),$U231="DNA"),$U231,IF(OR(ISNUMBER($T231),$T231="DNA"),$T231,IF(OR(ISNUMBER($S231),$S231="DNA"),$S231,IF(OR(ISNUMBER($R231),$R231="DNA"),$R231,IF(OR(ISNUMBER($Q231),$Q231="DNA"),$Q231,IF(OR(ISNUMBER($N231),$N231="DNA"),$N231,IF(OR(ISNUMBER($M231),$M231="DNA"),$M231,IF(OR(ISNUMBER($L231),$L231="DNA"),$L231,"")))))))))),IF(ISNUMBER($V231),"Update status","Missed/not booked?"),""))))</f>
        <v/>
      </c>
      <c r="K231" s="29">
        <f>IF(NOT(AND($A231&lt;&gt;"",OR($G231="",$G231="Active"))),"",IF(MIN(IF(AND(ISNUMBER($L231),$L231&gt;=TODAY()),$L231,99999),IF(AND(ISNUMBER($M231),$M231&gt;=TODAY()),$M231,99999),IF(AND(ISNUMBER($N231),$N231&gt;=TODAY()),$N231,99999),IF(AND(ISNUMBER($Q231),$Q231&gt;=TODAY()),$Q231,99999),IF(AND(ISNUMBER($R231),$R231&gt;=TODAY()),$R231,99999),IF(AND(ISNUMBER($S231),$S231&gt;=TODAY()),$S231,99999),IF(AND(ISNUMBER($T231),$T231&gt;=TODAY()),$T231,99999),IF(AND(ISNUMBER($U231),$U231&gt;=TODAY()),$U231,99999),IF(AND(ISNUMBER($V231),$V231&gt;=TODAY()),$V231,99999))=99999,"",MIN(IF(AND(ISNUMBER($L231),$L231&gt;=TODAY()),$L231,99999),IF(AND(ISNUMBER($M231),$M231&gt;=TODAY()),$M231,99999),IF(AND(ISNUMBER($N231),$N231&gt;=TODAY()),$N231,99999),IF(AND(ISNUMBER($Q231),$Q231&gt;=TODAY()),$Q231,99999),IF(AND(ISNUMBER($R231),$R231&gt;=TODAY()),$R231,99999),IF(AND(ISNUMBER($S231),$S231&gt;=TODAY()),$S231,99999),IF(AND(ISNUMBER($T231),$T231&gt;=TODAY()),$T231,99999),IF(AND(ISNUMBER($U231),$U231&gt;=TODAY()),$U231,99999),IF(AND(ISNUMBER($V231),$V231&gt;=TODAY()),$V231,99999))))</f>
        <v/>
      </c>
      <c r="L231" s="27" t="n"/>
      <c r="M231" s="27" t="n"/>
      <c r="N231" s="27" t="n"/>
      <c r="O231" s="27" t="n"/>
      <c r="P231" s="27" t="n"/>
      <c r="Q231" s="27" t="n"/>
      <c r="R231" s="27" t="n"/>
      <c r="S231" s="27" t="n"/>
      <c r="T231" s="27" t="n"/>
      <c r="U231" s="27" t="n"/>
      <c r="V231" s="27" t="n"/>
      <c r="W231" s="27" t="n"/>
      <c r="X231" s="27" t="n"/>
      <c r="Y231" s="27" t="n"/>
      <c r="Z231" s="30" t="n"/>
      <c r="AA231" s="25" t="n"/>
      <c r="AB231" s="28">
        <f>IF(NOT(AND($A231&lt;&gt;"",OR($G231="",$G231="Active"))),"",IF(OR(IF(OR(ISNUMBER($V231),$V231="DNA"),$V231,IF(OR(ISNUMBER($U231),$U231="DNA"),$U231,IF(OR(ISNUMBER($T231),$T231="DNA"),$T231,IF(OR(ISNUMBER($S231),$S231="DNA"),$S231,IF(OR(ISNUMBER($R231),$R231="DNA"),$R231,IF(OR(ISNUMBER($Q231),$Q231="DNA"),$Q231,IF(OR(ISNUMBER($N231),$N231="DNA"),$N231,IF(OR(ISNUMBER($M231),$M231="DNA"),$M231,IF(OR(ISNUMBER($L231),$L231="DNA"),$L231,"")))))))))="DNA",AND(ISNUMBER(IF(OR(ISNUMBER($V231),$V231="DNA"),$V231,IF(OR(ISNUMBER($U231),$U231="DNA"),$U231,IF(OR(ISNUMBER($T231),$T231="DNA"),$T231,IF(OR(ISNUMBER($S231),$S231="DNA"),$S231,IF(OR(ISNUMBER($R231),$R231="DNA"),$R231,IF(OR(ISNUMBER($Q231),$Q231="DNA"),$Q231,IF(OR(ISNUMBER($N231),$N231="DNA"),$N231,IF(OR(ISNUMBER($M231),$M231="DNA"),$M231,IF(OR(ISNUMBER($L231),$L231="DNA"),$L231,"")))))))))),IF(OR(ISNUMBER($V231),$V231="DNA"),$V231,IF(OR(ISNUMBER($U231),$U231="DNA"),$U231,IF(OR(ISNUMBER($T231),$T231="DNA"),$T231,IF(OR(ISNUMBER($S231),$S231="DNA"),$S231,IF(OR(ISNUMBER($R231),$R231="DNA"),$R231,IF(OR(ISNUMBER($Q231),$Q231="DNA"),$Q231,IF(OR(ISNUMBER($N231),$N231="DNA"),$N231,IF(OR(ISNUMBER($M231),$M231="DNA"),$M231,IF(OR(ISNUMBER($L231),$L231="DNA"),$L231,"")))))))))&lt;TODAY())),1,0)+ISNUMBER($O231)*($O231&lt;TODAY())+ISNUMBER($P231)*($P231&lt;TODAY())+ISNUMBER($X231)*($X231&lt;TODAY())+ISNUMBER($Y231)*($Y231&lt;TODAY()))</f>
        <v/>
      </c>
    </row>
    <row r="232">
      <c r="A232" s="25" t="n"/>
      <c r="B232" s="26" t="n"/>
      <c r="C232" s="27" t="n"/>
      <c r="D232" s="25" t="n"/>
      <c r="E232" s="25" t="n"/>
      <c r="F232" s="27" t="n"/>
      <c r="G232" s="25" t="n"/>
      <c r="H232" s="28">
        <f>IF(OR(NOT(AND($A232&lt;&gt;"",OR($G232="",$G232="Active"))),$F232=""),"",INT((TODAY()-$F232+280)/7)&amp;"+"&amp;MOD(TODAY()-$F232+280,7))</f>
        <v/>
      </c>
      <c r="I232" s="28">
        <f>IF(NOT(AND($A232&lt;&gt;"",OR($G232="",$G232="Active"))),"",ISNUMBER($L232)*($L232&gt;=TODAY())*($L232&lt;=TODAY()+7)+ISNUMBER($M232)*($M232&gt;=TODAY())*($M232&lt;=TODAY()+7)+ISNUMBER($N232)*($N232&gt;=TODAY())*($N232&lt;=TODAY()+7)+ISNUMBER($Q232)*($Q232&gt;=TODAY())*($Q232&lt;=TODAY()+7)+ISNUMBER($R232)*($R232&gt;=TODAY())*($R232&lt;=TODAY()+7)+ISNUMBER($S232)*($S232&gt;=TODAY())*($S232&lt;=TODAY()+7)+ISNUMBER($T232)*($T232&gt;=TODAY())*($T232&lt;=TODAY()+7)+ISNUMBER($U232)*($U232&gt;=TODAY())*($U232&lt;=TODAY()+7)+ISNUMBER($V232)*($V232&gt;=TODAY())*($V232&lt;=TODAY()+7)+ISNUMBER($O232)*($O232&gt;=TODAY())*($O232&lt;=TODAY()+7)+ISNUMBER($P232)*($P232&gt;=TODAY())*($P232&lt;=TODAY()+7)+ISNUMBER($X232)*($X232&gt;=TODAY())*($X232&lt;=TODAY()+7)+ISNUMBER($Y232)*($Y232&gt;=TODAY())*($Y232&lt;=TODAY()+7))</f>
        <v/>
      </c>
      <c r="J232" s="28">
        <f>IF(NOT(AND($A232&lt;&gt;"",OR($G232="",$G232="Active"))),"",IF($K232&lt;&gt;"",IF($L232=$K232,"Booking",IF($M232=$K232,"16/40",IF($N232=$K232,"25/40",IF($Q232=$K232,"28/40",IF($R232=$K232,"31/40",IF($S232=$K232,"34/40",IF($T232=$K232,"36/40",IF($U232=$K232,"38/40",IF($V232=$K232,"40/40",""))))))))),IF(IF(OR(ISNUMBER($V232),$V232="DNA"),$V232,IF(OR(ISNUMBER($U232),$U232="DNA"),$U232,IF(OR(ISNUMBER($T232),$T232="DNA"),$T232,IF(OR(ISNUMBER($S232),$S232="DNA"),$S232,IF(OR(ISNUMBER($R232),$R232="DNA"),$R232,IF(OR(ISNUMBER($Q232),$Q232="DNA"),$Q232,IF(OR(ISNUMBER($N232),$N232="DNA"),$N232,IF(OR(ISNUMBER($M232),$M232="DNA"),$M232,IF(OR(ISNUMBER($L232),$L232="DNA"),$L232,"")))))))))="DNA","Rebook DNA",IF(ISNUMBER(IF(OR(ISNUMBER($V232),$V232="DNA"),$V232,IF(OR(ISNUMBER($U232),$U232="DNA"),$U232,IF(OR(ISNUMBER($T232),$T232="DNA"),$T232,IF(OR(ISNUMBER($S232),$S232="DNA"),$S232,IF(OR(ISNUMBER($R232),$R232="DNA"),$R232,IF(OR(ISNUMBER($Q232),$Q232="DNA"),$Q232,IF(OR(ISNUMBER($N232),$N232="DNA"),$N232,IF(OR(ISNUMBER($M232),$M232="DNA"),$M232,IF(OR(ISNUMBER($L232),$L232="DNA"),$L232,"")))))))))),IF(ISNUMBER($V232),"Update status","Missed/not booked?"),""))))</f>
        <v/>
      </c>
      <c r="K232" s="29">
        <f>IF(NOT(AND($A232&lt;&gt;"",OR($G232="",$G232="Active"))),"",IF(MIN(IF(AND(ISNUMBER($L232),$L232&gt;=TODAY()),$L232,99999),IF(AND(ISNUMBER($M232),$M232&gt;=TODAY()),$M232,99999),IF(AND(ISNUMBER($N232),$N232&gt;=TODAY()),$N232,99999),IF(AND(ISNUMBER($Q232),$Q232&gt;=TODAY()),$Q232,99999),IF(AND(ISNUMBER($R232),$R232&gt;=TODAY()),$R232,99999),IF(AND(ISNUMBER($S232),$S232&gt;=TODAY()),$S232,99999),IF(AND(ISNUMBER($T232),$T232&gt;=TODAY()),$T232,99999),IF(AND(ISNUMBER($U232),$U232&gt;=TODAY()),$U232,99999),IF(AND(ISNUMBER($V232),$V232&gt;=TODAY()),$V232,99999))=99999,"",MIN(IF(AND(ISNUMBER($L232),$L232&gt;=TODAY()),$L232,99999),IF(AND(ISNUMBER($M232),$M232&gt;=TODAY()),$M232,99999),IF(AND(ISNUMBER($N232),$N232&gt;=TODAY()),$N232,99999),IF(AND(ISNUMBER($Q232),$Q232&gt;=TODAY()),$Q232,99999),IF(AND(ISNUMBER($R232),$R232&gt;=TODAY()),$R232,99999),IF(AND(ISNUMBER($S232),$S232&gt;=TODAY()),$S232,99999),IF(AND(ISNUMBER($T232),$T232&gt;=TODAY()),$T232,99999),IF(AND(ISNUMBER($U232),$U232&gt;=TODAY()),$U232,99999),IF(AND(ISNUMBER($V232),$V232&gt;=TODAY()),$V232,99999))))</f>
        <v/>
      </c>
      <c r="L232" s="27" t="n"/>
      <c r="M232" s="27" t="n"/>
      <c r="N232" s="27" t="n"/>
      <c r="O232" s="27" t="n"/>
      <c r="P232" s="27" t="n"/>
      <c r="Q232" s="27" t="n"/>
      <c r="R232" s="27" t="n"/>
      <c r="S232" s="27" t="n"/>
      <c r="T232" s="27" t="n"/>
      <c r="U232" s="27" t="n"/>
      <c r="V232" s="27" t="n"/>
      <c r="W232" s="27" t="n"/>
      <c r="X232" s="27" t="n"/>
      <c r="Y232" s="27" t="n"/>
      <c r="Z232" s="30" t="n"/>
      <c r="AA232" s="25" t="n"/>
      <c r="AB232" s="28">
        <f>IF(NOT(AND($A232&lt;&gt;"",OR($G232="",$G232="Active"))),"",IF(OR(IF(OR(ISNUMBER($V232),$V232="DNA"),$V232,IF(OR(ISNUMBER($U232),$U232="DNA"),$U232,IF(OR(ISNUMBER($T232),$T232="DNA"),$T232,IF(OR(ISNUMBER($S232),$S232="DNA"),$S232,IF(OR(ISNUMBER($R232),$R232="DNA"),$R232,IF(OR(ISNUMBER($Q232),$Q232="DNA"),$Q232,IF(OR(ISNUMBER($N232),$N232="DNA"),$N232,IF(OR(ISNUMBER($M232),$M232="DNA"),$M232,IF(OR(ISNUMBER($L232),$L232="DNA"),$L232,"")))))))))="DNA",AND(ISNUMBER(IF(OR(ISNUMBER($V232),$V232="DNA"),$V232,IF(OR(ISNUMBER($U232),$U232="DNA"),$U232,IF(OR(ISNUMBER($T232),$T232="DNA"),$T232,IF(OR(ISNUMBER($S232),$S232="DNA"),$S232,IF(OR(ISNUMBER($R232),$R232="DNA"),$R232,IF(OR(ISNUMBER($Q232),$Q232="DNA"),$Q232,IF(OR(ISNUMBER($N232),$N232="DNA"),$N232,IF(OR(ISNUMBER($M232),$M232="DNA"),$M232,IF(OR(ISNUMBER($L232),$L232="DNA"),$L232,"")))))))))),IF(OR(ISNUMBER($V232),$V232="DNA"),$V232,IF(OR(ISNUMBER($U232),$U232="DNA"),$U232,IF(OR(ISNUMBER($T232),$T232="DNA"),$T232,IF(OR(ISNUMBER($S232),$S232="DNA"),$S232,IF(OR(ISNUMBER($R232),$R232="DNA"),$R232,IF(OR(ISNUMBER($Q232),$Q232="DNA"),$Q232,IF(OR(ISNUMBER($N232),$N232="DNA"),$N232,IF(OR(ISNUMBER($M232),$M232="DNA"),$M232,IF(OR(ISNUMBER($L232),$L232="DNA"),$L232,"")))))))))&lt;TODAY())),1,0)+ISNUMBER($O232)*($O232&lt;TODAY())+ISNUMBER($P232)*($P232&lt;TODAY())+ISNUMBER($X232)*($X232&lt;TODAY())+ISNUMBER($Y232)*($Y232&lt;TODAY()))</f>
        <v/>
      </c>
    </row>
    <row r="233">
      <c r="A233" s="25" t="n"/>
      <c r="B233" s="26" t="n"/>
      <c r="C233" s="27" t="n"/>
      <c r="D233" s="25" t="n"/>
      <c r="E233" s="25" t="n"/>
      <c r="F233" s="27" t="n"/>
      <c r="G233" s="25" t="n"/>
      <c r="H233" s="28">
        <f>IF(OR(NOT(AND($A233&lt;&gt;"",OR($G233="",$G233="Active"))),$F233=""),"",INT((TODAY()-$F233+280)/7)&amp;"+"&amp;MOD(TODAY()-$F233+280,7))</f>
        <v/>
      </c>
      <c r="I233" s="28">
        <f>IF(NOT(AND($A233&lt;&gt;"",OR($G233="",$G233="Active"))),"",ISNUMBER($L233)*($L233&gt;=TODAY())*($L233&lt;=TODAY()+7)+ISNUMBER($M233)*($M233&gt;=TODAY())*($M233&lt;=TODAY()+7)+ISNUMBER($N233)*($N233&gt;=TODAY())*($N233&lt;=TODAY()+7)+ISNUMBER($Q233)*($Q233&gt;=TODAY())*($Q233&lt;=TODAY()+7)+ISNUMBER($R233)*($R233&gt;=TODAY())*($R233&lt;=TODAY()+7)+ISNUMBER($S233)*($S233&gt;=TODAY())*($S233&lt;=TODAY()+7)+ISNUMBER($T233)*($T233&gt;=TODAY())*($T233&lt;=TODAY()+7)+ISNUMBER($U233)*($U233&gt;=TODAY())*($U233&lt;=TODAY()+7)+ISNUMBER($V233)*($V233&gt;=TODAY())*($V233&lt;=TODAY()+7)+ISNUMBER($O233)*($O233&gt;=TODAY())*($O233&lt;=TODAY()+7)+ISNUMBER($P233)*($P233&gt;=TODAY())*($P233&lt;=TODAY()+7)+ISNUMBER($X233)*($X233&gt;=TODAY())*($X233&lt;=TODAY()+7)+ISNUMBER($Y233)*($Y233&gt;=TODAY())*($Y233&lt;=TODAY()+7))</f>
        <v/>
      </c>
      <c r="J233" s="28">
        <f>IF(NOT(AND($A233&lt;&gt;"",OR($G233="",$G233="Active"))),"",IF($K233&lt;&gt;"",IF($L233=$K233,"Booking",IF($M233=$K233,"16/40",IF($N233=$K233,"25/40",IF($Q233=$K233,"28/40",IF($R233=$K233,"31/40",IF($S233=$K233,"34/40",IF($T233=$K233,"36/40",IF($U233=$K233,"38/40",IF($V233=$K233,"40/40",""))))))))),IF(IF(OR(ISNUMBER($V233),$V233="DNA"),$V233,IF(OR(ISNUMBER($U233),$U233="DNA"),$U233,IF(OR(ISNUMBER($T233),$T233="DNA"),$T233,IF(OR(ISNUMBER($S233),$S233="DNA"),$S233,IF(OR(ISNUMBER($R233),$R233="DNA"),$R233,IF(OR(ISNUMBER($Q233),$Q233="DNA"),$Q233,IF(OR(ISNUMBER($N233),$N233="DNA"),$N233,IF(OR(ISNUMBER($M233),$M233="DNA"),$M233,IF(OR(ISNUMBER($L233),$L233="DNA"),$L233,"")))))))))="DNA","Rebook DNA",IF(ISNUMBER(IF(OR(ISNUMBER($V233),$V233="DNA"),$V233,IF(OR(ISNUMBER($U233),$U233="DNA"),$U233,IF(OR(ISNUMBER($T233),$T233="DNA"),$T233,IF(OR(ISNUMBER($S233),$S233="DNA"),$S233,IF(OR(ISNUMBER($R233),$R233="DNA"),$R233,IF(OR(ISNUMBER($Q233),$Q233="DNA"),$Q233,IF(OR(ISNUMBER($N233),$N233="DNA"),$N233,IF(OR(ISNUMBER($M233),$M233="DNA"),$M233,IF(OR(ISNUMBER($L233),$L233="DNA"),$L233,"")))))))))),IF(ISNUMBER($V233),"Update status","Missed/not booked?"),""))))</f>
        <v/>
      </c>
      <c r="K233" s="29">
        <f>IF(NOT(AND($A233&lt;&gt;"",OR($G233="",$G233="Active"))),"",IF(MIN(IF(AND(ISNUMBER($L233),$L233&gt;=TODAY()),$L233,99999),IF(AND(ISNUMBER($M233),$M233&gt;=TODAY()),$M233,99999),IF(AND(ISNUMBER($N233),$N233&gt;=TODAY()),$N233,99999),IF(AND(ISNUMBER($Q233),$Q233&gt;=TODAY()),$Q233,99999),IF(AND(ISNUMBER($R233),$R233&gt;=TODAY()),$R233,99999),IF(AND(ISNUMBER($S233),$S233&gt;=TODAY()),$S233,99999),IF(AND(ISNUMBER($T233),$T233&gt;=TODAY()),$T233,99999),IF(AND(ISNUMBER($U233),$U233&gt;=TODAY()),$U233,99999),IF(AND(ISNUMBER($V233),$V233&gt;=TODAY()),$V233,99999))=99999,"",MIN(IF(AND(ISNUMBER($L233),$L233&gt;=TODAY()),$L233,99999),IF(AND(ISNUMBER($M233),$M233&gt;=TODAY()),$M233,99999),IF(AND(ISNUMBER($N233),$N233&gt;=TODAY()),$N233,99999),IF(AND(ISNUMBER($Q233),$Q233&gt;=TODAY()),$Q233,99999),IF(AND(ISNUMBER($R233),$R233&gt;=TODAY()),$R233,99999),IF(AND(ISNUMBER($S233),$S233&gt;=TODAY()),$S233,99999),IF(AND(ISNUMBER($T233),$T233&gt;=TODAY()),$T233,99999),IF(AND(ISNUMBER($U233),$U233&gt;=TODAY()),$U233,99999),IF(AND(ISNUMBER($V233),$V233&gt;=TODAY()),$V233,99999))))</f>
        <v/>
      </c>
      <c r="L233" s="27" t="n"/>
      <c r="M233" s="27" t="n"/>
      <c r="N233" s="27" t="n"/>
      <c r="O233" s="27" t="n"/>
      <c r="P233" s="27" t="n"/>
      <c r="Q233" s="27" t="n"/>
      <c r="R233" s="27" t="n"/>
      <c r="S233" s="27" t="n"/>
      <c r="T233" s="27" t="n"/>
      <c r="U233" s="27" t="n"/>
      <c r="V233" s="27" t="n"/>
      <c r="W233" s="27" t="n"/>
      <c r="X233" s="27" t="n"/>
      <c r="Y233" s="27" t="n"/>
      <c r="Z233" s="30" t="n"/>
      <c r="AA233" s="25" t="n"/>
      <c r="AB233" s="28">
        <f>IF(NOT(AND($A233&lt;&gt;"",OR($G233="",$G233="Active"))),"",IF(OR(IF(OR(ISNUMBER($V233),$V233="DNA"),$V233,IF(OR(ISNUMBER($U233),$U233="DNA"),$U233,IF(OR(ISNUMBER($T233),$T233="DNA"),$T233,IF(OR(ISNUMBER($S233),$S233="DNA"),$S233,IF(OR(ISNUMBER($R233),$R233="DNA"),$R233,IF(OR(ISNUMBER($Q233),$Q233="DNA"),$Q233,IF(OR(ISNUMBER($N233),$N233="DNA"),$N233,IF(OR(ISNUMBER($M233),$M233="DNA"),$M233,IF(OR(ISNUMBER($L233),$L233="DNA"),$L233,"")))))))))="DNA",AND(ISNUMBER(IF(OR(ISNUMBER($V233),$V233="DNA"),$V233,IF(OR(ISNUMBER($U233),$U233="DNA"),$U233,IF(OR(ISNUMBER($T233),$T233="DNA"),$T233,IF(OR(ISNUMBER($S233),$S233="DNA"),$S233,IF(OR(ISNUMBER($R233),$R233="DNA"),$R233,IF(OR(ISNUMBER($Q233),$Q233="DNA"),$Q233,IF(OR(ISNUMBER($N233),$N233="DNA"),$N233,IF(OR(ISNUMBER($M233),$M233="DNA"),$M233,IF(OR(ISNUMBER($L233),$L233="DNA"),$L233,"")))))))))),IF(OR(ISNUMBER($V233),$V233="DNA"),$V233,IF(OR(ISNUMBER($U233),$U233="DNA"),$U233,IF(OR(ISNUMBER($T233),$T233="DNA"),$T233,IF(OR(ISNUMBER($S233),$S233="DNA"),$S233,IF(OR(ISNUMBER($R233),$R233="DNA"),$R233,IF(OR(ISNUMBER($Q233),$Q233="DNA"),$Q233,IF(OR(ISNUMBER($N233),$N233="DNA"),$N233,IF(OR(ISNUMBER($M233),$M233="DNA"),$M233,IF(OR(ISNUMBER($L233),$L233="DNA"),$L233,"")))))))))&lt;TODAY())),1,0)+ISNUMBER($O233)*($O233&lt;TODAY())+ISNUMBER($P233)*($P233&lt;TODAY())+ISNUMBER($X233)*($X233&lt;TODAY())+ISNUMBER($Y233)*($Y233&lt;TODAY()))</f>
        <v/>
      </c>
    </row>
    <row r="234">
      <c r="A234" s="25" t="n"/>
      <c r="B234" s="26" t="n"/>
      <c r="C234" s="27" t="n"/>
      <c r="D234" s="25" t="n"/>
      <c r="E234" s="25" t="n"/>
      <c r="F234" s="27" t="n"/>
      <c r="G234" s="25" t="n"/>
      <c r="H234" s="28">
        <f>IF(OR(NOT(AND($A234&lt;&gt;"",OR($G234="",$G234="Active"))),$F234=""),"",INT((TODAY()-$F234+280)/7)&amp;"+"&amp;MOD(TODAY()-$F234+280,7))</f>
        <v/>
      </c>
      <c r="I234" s="28">
        <f>IF(NOT(AND($A234&lt;&gt;"",OR($G234="",$G234="Active"))),"",ISNUMBER($L234)*($L234&gt;=TODAY())*($L234&lt;=TODAY()+7)+ISNUMBER($M234)*($M234&gt;=TODAY())*($M234&lt;=TODAY()+7)+ISNUMBER($N234)*($N234&gt;=TODAY())*($N234&lt;=TODAY()+7)+ISNUMBER($Q234)*($Q234&gt;=TODAY())*($Q234&lt;=TODAY()+7)+ISNUMBER($R234)*($R234&gt;=TODAY())*($R234&lt;=TODAY()+7)+ISNUMBER($S234)*($S234&gt;=TODAY())*($S234&lt;=TODAY()+7)+ISNUMBER($T234)*($T234&gt;=TODAY())*($T234&lt;=TODAY()+7)+ISNUMBER($U234)*($U234&gt;=TODAY())*($U234&lt;=TODAY()+7)+ISNUMBER($V234)*($V234&gt;=TODAY())*($V234&lt;=TODAY()+7)+ISNUMBER($O234)*($O234&gt;=TODAY())*($O234&lt;=TODAY()+7)+ISNUMBER($P234)*($P234&gt;=TODAY())*($P234&lt;=TODAY()+7)+ISNUMBER($X234)*($X234&gt;=TODAY())*($X234&lt;=TODAY()+7)+ISNUMBER($Y234)*($Y234&gt;=TODAY())*($Y234&lt;=TODAY()+7))</f>
        <v/>
      </c>
      <c r="J234" s="28">
        <f>IF(NOT(AND($A234&lt;&gt;"",OR($G234="",$G234="Active"))),"",IF($K234&lt;&gt;"",IF($L234=$K234,"Booking",IF($M234=$K234,"16/40",IF($N234=$K234,"25/40",IF($Q234=$K234,"28/40",IF($R234=$K234,"31/40",IF($S234=$K234,"34/40",IF($T234=$K234,"36/40",IF($U234=$K234,"38/40",IF($V234=$K234,"40/40",""))))))))),IF(IF(OR(ISNUMBER($V234),$V234="DNA"),$V234,IF(OR(ISNUMBER($U234),$U234="DNA"),$U234,IF(OR(ISNUMBER($T234),$T234="DNA"),$T234,IF(OR(ISNUMBER($S234),$S234="DNA"),$S234,IF(OR(ISNUMBER($R234),$R234="DNA"),$R234,IF(OR(ISNUMBER($Q234),$Q234="DNA"),$Q234,IF(OR(ISNUMBER($N234),$N234="DNA"),$N234,IF(OR(ISNUMBER($M234),$M234="DNA"),$M234,IF(OR(ISNUMBER($L234),$L234="DNA"),$L234,"")))))))))="DNA","Rebook DNA",IF(ISNUMBER(IF(OR(ISNUMBER($V234),$V234="DNA"),$V234,IF(OR(ISNUMBER($U234),$U234="DNA"),$U234,IF(OR(ISNUMBER($T234),$T234="DNA"),$T234,IF(OR(ISNUMBER($S234),$S234="DNA"),$S234,IF(OR(ISNUMBER($R234),$R234="DNA"),$R234,IF(OR(ISNUMBER($Q234),$Q234="DNA"),$Q234,IF(OR(ISNUMBER($N234),$N234="DNA"),$N234,IF(OR(ISNUMBER($M234),$M234="DNA"),$M234,IF(OR(ISNUMBER($L234),$L234="DNA"),$L234,"")))))))))),IF(ISNUMBER($V234),"Update status","Missed/not booked?"),""))))</f>
        <v/>
      </c>
      <c r="K234" s="29">
        <f>IF(NOT(AND($A234&lt;&gt;"",OR($G234="",$G234="Active"))),"",IF(MIN(IF(AND(ISNUMBER($L234),$L234&gt;=TODAY()),$L234,99999),IF(AND(ISNUMBER($M234),$M234&gt;=TODAY()),$M234,99999),IF(AND(ISNUMBER($N234),$N234&gt;=TODAY()),$N234,99999),IF(AND(ISNUMBER($Q234),$Q234&gt;=TODAY()),$Q234,99999),IF(AND(ISNUMBER($R234),$R234&gt;=TODAY()),$R234,99999),IF(AND(ISNUMBER($S234),$S234&gt;=TODAY()),$S234,99999),IF(AND(ISNUMBER($T234),$T234&gt;=TODAY()),$T234,99999),IF(AND(ISNUMBER($U234),$U234&gt;=TODAY()),$U234,99999),IF(AND(ISNUMBER($V234),$V234&gt;=TODAY()),$V234,99999))=99999,"",MIN(IF(AND(ISNUMBER($L234),$L234&gt;=TODAY()),$L234,99999),IF(AND(ISNUMBER($M234),$M234&gt;=TODAY()),$M234,99999),IF(AND(ISNUMBER($N234),$N234&gt;=TODAY()),$N234,99999),IF(AND(ISNUMBER($Q234),$Q234&gt;=TODAY()),$Q234,99999),IF(AND(ISNUMBER($R234),$R234&gt;=TODAY()),$R234,99999),IF(AND(ISNUMBER($S234),$S234&gt;=TODAY()),$S234,99999),IF(AND(ISNUMBER($T234),$T234&gt;=TODAY()),$T234,99999),IF(AND(ISNUMBER($U234),$U234&gt;=TODAY()),$U234,99999),IF(AND(ISNUMBER($V234),$V234&gt;=TODAY()),$V234,99999))))</f>
        <v/>
      </c>
      <c r="L234" s="27" t="n"/>
      <c r="M234" s="27" t="n"/>
      <c r="N234" s="27" t="n"/>
      <c r="O234" s="27" t="n"/>
      <c r="P234" s="27" t="n"/>
      <c r="Q234" s="27" t="n"/>
      <c r="R234" s="27" t="n"/>
      <c r="S234" s="27" t="n"/>
      <c r="T234" s="27" t="n"/>
      <c r="U234" s="27" t="n"/>
      <c r="V234" s="27" t="n"/>
      <c r="W234" s="27" t="n"/>
      <c r="X234" s="27" t="n"/>
      <c r="Y234" s="27" t="n"/>
      <c r="Z234" s="30" t="n"/>
      <c r="AA234" s="25" t="n"/>
      <c r="AB234" s="28">
        <f>IF(NOT(AND($A234&lt;&gt;"",OR($G234="",$G234="Active"))),"",IF(OR(IF(OR(ISNUMBER($V234),$V234="DNA"),$V234,IF(OR(ISNUMBER($U234),$U234="DNA"),$U234,IF(OR(ISNUMBER($T234),$T234="DNA"),$T234,IF(OR(ISNUMBER($S234),$S234="DNA"),$S234,IF(OR(ISNUMBER($R234),$R234="DNA"),$R234,IF(OR(ISNUMBER($Q234),$Q234="DNA"),$Q234,IF(OR(ISNUMBER($N234),$N234="DNA"),$N234,IF(OR(ISNUMBER($M234),$M234="DNA"),$M234,IF(OR(ISNUMBER($L234),$L234="DNA"),$L234,"")))))))))="DNA",AND(ISNUMBER(IF(OR(ISNUMBER($V234),$V234="DNA"),$V234,IF(OR(ISNUMBER($U234),$U234="DNA"),$U234,IF(OR(ISNUMBER($T234),$T234="DNA"),$T234,IF(OR(ISNUMBER($S234),$S234="DNA"),$S234,IF(OR(ISNUMBER($R234),$R234="DNA"),$R234,IF(OR(ISNUMBER($Q234),$Q234="DNA"),$Q234,IF(OR(ISNUMBER($N234),$N234="DNA"),$N234,IF(OR(ISNUMBER($M234),$M234="DNA"),$M234,IF(OR(ISNUMBER($L234),$L234="DNA"),$L234,"")))))))))),IF(OR(ISNUMBER($V234),$V234="DNA"),$V234,IF(OR(ISNUMBER($U234),$U234="DNA"),$U234,IF(OR(ISNUMBER($T234),$T234="DNA"),$T234,IF(OR(ISNUMBER($S234),$S234="DNA"),$S234,IF(OR(ISNUMBER($R234),$R234="DNA"),$R234,IF(OR(ISNUMBER($Q234),$Q234="DNA"),$Q234,IF(OR(ISNUMBER($N234),$N234="DNA"),$N234,IF(OR(ISNUMBER($M234),$M234="DNA"),$M234,IF(OR(ISNUMBER($L234),$L234="DNA"),$L234,"")))))))))&lt;TODAY())),1,0)+ISNUMBER($O234)*($O234&lt;TODAY())+ISNUMBER($P234)*($P234&lt;TODAY())+ISNUMBER($X234)*($X234&lt;TODAY())+ISNUMBER($Y234)*($Y234&lt;TODAY()))</f>
        <v/>
      </c>
    </row>
    <row r="235">
      <c r="A235" s="25" t="n"/>
      <c r="B235" s="26" t="n"/>
      <c r="C235" s="27" t="n"/>
      <c r="D235" s="25" t="n"/>
      <c r="E235" s="25" t="n"/>
      <c r="F235" s="27" t="n"/>
      <c r="G235" s="25" t="n"/>
      <c r="H235" s="28">
        <f>IF(OR(NOT(AND($A235&lt;&gt;"",OR($G235="",$G235="Active"))),$F235=""),"",INT((TODAY()-$F235+280)/7)&amp;"+"&amp;MOD(TODAY()-$F235+280,7))</f>
        <v/>
      </c>
      <c r="I235" s="28">
        <f>IF(NOT(AND($A235&lt;&gt;"",OR($G235="",$G235="Active"))),"",ISNUMBER($L235)*($L235&gt;=TODAY())*($L235&lt;=TODAY()+7)+ISNUMBER($M235)*($M235&gt;=TODAY())*($M235&lt;=TODAY()+7)+ISNUMBER($N235)*($N235&gt;=TODAY())*($N235&lt;=TODAY()+7)+ISNUMBER($Q235)*($Q235&gt;=TODAY())*($Q235&lt;=TODAY()+7)+ISNUMBER($R235)*($R235&gt;=TODAY())*($R235&lt;=TODAY()+7)+ISNUMBER($S235)*($S235&gt;=TODAY())*($S235&lt;=TODAY()+7)+ISNUMBER($T235)*($T235&gt;=TODAY())*($T235&lt;=TODAY()+7)+ISNUMBER($U235)*($U235&gt;=TODAY())*($U235&lt;=TODAY()+7)+ISNUMBER($V235)*($V235&gt;=TODAY())*($V235&lt;=TODAY()+7)+ISNUMBER($O235)*($O235&gt;=TODAY())*($O235&lt;=TODAY()+7)+ISNUMBER($P235)*($P235&gt;=TODAY())*($P235&lt;=TODAY()+7)+ISNUMBER($X235)*($X235&gt;=TODAY())*($X235&lt;=TODAY()+7)+ISNUMBER($Y235)*($Y235&gt;=TODAY())*($Y235&lt;=TODAY()+7))</f>
        <v/>
      </c>
      <c r="J235" s="28">
        <f>IF(NOT(AND($A235&lt;&gt;"",OR($G235="",$G235="Active"))),"",IF($K235&lt;&gt;"",IF($L235=$K235,"Booking",IF($M235=$K235,"16/40",IF($N235=$K235,"25/40",IF($Q235=$K235,"28/40",IF($R235=$K235,"31/40",IF($S235=$K235,"34/40",IF($T235=$K235,"36/40",IF($U235=$K235,"38/40",IF($V235=$K235,"40/40",""))))))))),IF(IF(OR(ISNUMBER($V235),$V235="DNA"),$V235,IF(OR(ISNUMBER($U235),$U235="DNA"),$U235,IF(OR(ISNUMBER($T235),$T235="DNA"),$T235,IF(OR(ISNUMBER($S235),$S235="DNA"),$S235,IF(OR(ISNUMBER($R235),$R235="DNA"),$R235,IF(OR(ISNUMBER($Q235),$Q235="DNA"),$Q235,IF(OR(ISNUMBER($N235),$N235="DNA"),$N235,IF(OR(ISNUMBER($M235),$M235="DNA"),$M235,IF(OR(ISNUMBER($L235),$L235="DNA"),$L235,"")))))))))="DNA","Rebook DNA",IF(ISNUMBER(IF(OR(ISNUMBER($V235),$V235="DNA"),$V235,IF(OR(ISNUMBER($U235),$U235="DNA"),$U235,IF(OR(ISNUMBER($T235),$T235="DNA"),$T235,IF(OR(ISNUMBER($S235),$S235="DNA"),$S235,IF(OR(ISNUMBER($R235),$R235="DNA"),$R235,IF(OR(ISNUMBER($Q235),$Q235="DNA"),$Q235,IF(OR(ISNUMBER($N235),$N235="DNA"),$N235,IF(OR(ISNUMBER($M235),$M235="DNA"),$M235,IF(OR(ISNUMBER($L235),$L235="DNA"),$L235,"")))))))))),IF(ISNUMBER($V235),"Update status","Missed/not booked?"),""))))</f>
        <v/>
      </c>
      <c r="K235" s="29">
        <f>IF(NOT(AND($A235&lt;&gt;"",OR($G235="",$G235="Active"))),"",IF(MIN(IF(AND(ISNUMBER($L235),$L235&gt;=TODAY()),$L235,99999),IF(AND(ISNUMBER($M235),$M235&gt;=TODAY()),$M235,99999),IF(AND(ISNUMBER($N235),$N235&gt;=TODAY()),$N235,99999),IF(AND(ISNUMBER($Q235),$Q235&gt;=TODAY()),$Q235,99999),IF(AND(ISNUMBER($R235),$R235&gt;=TODAY()),$R235,99999),IF(AND(ISNUMBER($S235),$S235&gt;=TODAY()),$S235,99999),IF(AND(ISNUMBER($T235),$T235&gt;=TODAY()),$T235,99999),IF(AND(ISNUMBER($U235),$U235&gt;=TODAY()),$U235,99999),IF(AND(ISNUMBER($V235),$V235&gt;=TODAY()),$V235,99999))=99999,"",MIN(IF(AND(ISNUMBER($L235),$L235&gt;=TODAY()),$L235,99999),IF(AND(ISNUMBER($M235),$M235&gt;=TODAY()),$M235,99999),IF(AND(ISNUMBER($N235),$N235&gt;=TODAY()),$N235,99999),IF(AND(ISNUMBER($Q235),$Q235&gt;=TODAY()),$Q235,99999),IF(AND(ISNUMBER($R235),$R235&gt;=TODAY()),$R235,99999),IF(AND(ISNUMBER($S235),$S235&gt;=TODAY()),$S235,99999),IF(AND(ISNUMBER($T235),$T235&gt;=TODAY()),$T235,99999),IF(AND(ISNUMBER($U235),$U235&gt;=TODAY()),$U235,99999),IF(AND(ISNUMBER($V235),$V235&gt;=TODAY()),$V235,99999))))</f>
        <v/>
      </c>
      <c r="L235" s="27" t="n"/>
      <c r="M235" s="27" t="n"/>
      <c r="N235" s="27" t="n"/>
      <c r="O235" s="27" t="n"/>
      <c r="P235" s="27" t="n"/>
      <c r="Q235" s="27" t="n"/>
      <c r="R235" s="27" t="n"/>
      <c r="S235" s="27" t="n"/>
      <c r="T235" s="27" t="n"/>
      <c r="U235" s="27" t="n"/>
      <c r="V235" s="27" t="n"/>
      <c r="W235" s="27" t="n"/>
      <c r="X235" s="27" t="n"/>
      <c r="Y235" s="27" t="n"/>
      <c r="Z235" s="30" t="n"/>
      <c r="AA235" s="25" t="n"/>
      <c r="AB235" s="28">
        <f>IF(NOT(AND($A235&lt;&gt;"",OR($G235="",$G235="Active"))),"",IF(OR(IF(OR(ISNUMBER($V235),$V235="DNA"),$V235,IF(OR(ISNUMBER($U235),$U235="DNA"),$U235,IF(OR(ISNUMBER($T235),$T235="DNA"),$T235,IF(OR(ISNUMBER($S235),$S235="DNA"),$S235,IF(OR(ISNUMBER($R235),$R235="DNA"),$R235,IF(OR(ISNUMBER($Q235),$Q235="DNA"),$Q235,IF(OR(ISNUMBER($N235),$N235="DNA"),$N235,IF(OR(ISNUMBER($M235),$M235="DNA"),$M235,IF(OR(ISNUMBER($L235),$L235="DNA"),$L235,"")))))))))="DNA",AND(ISNUMBER(IF(OR(ISNUMBER($V235),$V235="DNA"),$V235,IF(OR(ISNUMBER($U235),$U235="DNA"),$U235,IF(OR(ISNUMBER($T235),$T235="DNA"),$T235,IF(OR(ISNUMBER($S235),$S235="DNA"),$S235,IF(OR(ISNUMBER($R235),$R235="DNA"),$R235,IF(OR(ISNUMBER($Q235),$Q235="DNA"),$Q235,IF(OR(ISNUMBER($N235),$N235="DNA"),$N235,IF(OR(ISNUMBER($M235),$M235="DNA"),$M235,IF(OR(ISNUMBER($L235),$L235="DNA"),$L235,"")))))))))),IF(OR(ISNUMBER($V235),$V235="DNA"),$V235,IF(OR(ISNUMBER($U235),$U235="DNA"),$U235,IF(OR(ISNUMBER($T235),$T235="DNA"),$T235,IF(OR(ISNUMBER($S235),$S235="DNA"),$S235,IF(OR(ISNUMBER($R235),$R235="DNA"),$R235,IF(OR(ISNUMBER($Q235),$Q235="DNA"),$Q235,IF(OR(ISNUMBER($N235),$N235="DNA"),$N235,IF(OR(ISNUMBER($M235),$M235="DNA"),$M235,IF(OR(ISNUMBER($L235),$L235="DNA"),$L235,"")))))))))&lt;TODAY())),1,0)+ISNUMBER($O235)*($O235&lt;TODAY())+ISNUMBER($P235)*($P235&lt;TODAY())+ISNUMBER($X235)*($X235&lt;TODAY())+ISNUMBER($Y235)*($Y235&lt;TODAY()))</f>
        <v/>
      </c>
    </row>
    <row r="236">
      <c r="A236" s="25" t="n"/>
      <c r="B236" s="26" t="n"/>
      <c r="C236" s="27" t="n"/>
      <c r="D236" s="25" t="n"/>
      <c r="E236" s="25" t="n"/>
      <c r="F236" s="27" t="n"/>
      <c r="G236" s="25" t="n"/>
      <c r="H236" s="28">
        <f>IF(OR(NOT(AND($A236&lt;&gt;"",OR($G236="",$G236="Active"))),$F236=""),"",INT((TODAY()-$F236+280)/7)&amp;"+"&amp;MOD(TODAY()-$F236+280,7))</f>
        <v/>
      </c>
      <c r="I236" s="28">
        <f>IF(NOT(AND($A236&lt;&gt;"",OR($G236="",$G236="Active"))),"",ISNUMBER($L236)*($L236&gt;=TODAY())*($L236&lt;=TODAY()+7)+ISNUMBER($M236)*($M236&gt;=TODAY())*($M236&lt;=TODAY()+7)+ISNUMBER($N236)*($N236&gt;=TODAY())*($N236&lt;=TODAY()+7)+ISNUMBER($Q236)*($Q236&gt;=TODAY())*($Q236&lt;=TODAY()+7)+ISNUMBER($R236)*($R236&gt;=TODAY())*($R236&lt;=TODAY()+7)+ISNUMBER($S236)*($S236&gt;=TODAY())*($S236&lt;=TODAY()+7)+ISNUMBER($T236)*($T236&gt;=TODAY())*($T236&lt;=TODAY()+7)+ISNUMBER($U236)*($U236&gt;=TODAY())*($U236&lt;=TODAY()+7)+ISNUMBER($V236)*($V236&gt;=TODAY())*($V236&lt;=TODAY()+7)+ISNUMBER($O236)*($O236&gt;=TODAY())*($O236&lt;=TODAY()+7)+ISNUMBER($P236)*($P236&gt;=TODAY())*($P236&lt;=TODAY()+7)+ISNUMBER($X236)*($X236&gt;=TODAY())*($X236&lt;=TODAY()+7)+ISNUMBER($Y236)*($Y236&gt;=TODAY())*($Y236&lt;=TODAY()+7))</f>
        <v/>
      </c>
      <c r="J236" s="28">
        <f>IF(NOT(AND($A236&lt;&gt;"",OR($G236="",$G236="Active"))),"",IF($K236&lt;&gt;"",IF($L236=$K236,"Booking",IF($M236=$K236,"16/40",IF($N236=$K236,"25/40",IF($Q236=$K236,"28/40",IF($R236=$K236,"31/40",IF($S236=$K236,"34/40",IF($T236=$K236,"36/40",IF($U236=$K236,"38/40",IF($V236=$K236,"40/40",""))))))))),IF(IF(OR(ISNUMBER($V236),$V236="DNA"),$V236,IF(OR(ISNUMBER($U236),$U236="DNA"),$U236,IF(OR(ISNUMBER($T236),$T236="DNA"),$T236,IF(OR(ISNUMBER($S236),$S236="DNA"),$S236,IF(OR(ISNUMBER($R236),$R236="DNA"),$R236,IF(OR(ISNUMBER($Q236),$Q236="DNA"),$Q236,IF(OR(ISNUMBER($N236),$N236="DNA"),$N236,IF(OR(ISNUMBER($M236),$M236="DNA"),$M236,IF(OR(ISNUMBER($L236),$L236="DNA"),$L236,"")))))))))="DNA","Rebook DNA",IF(ISNUMBER(IF(OR(ISNUMBER($V236),$V236="DNA"),$V236,IF(OR(ISNUMBER($U236),$U236="DNA"),$U236,IF(OR(ISNUMBER($T236),$T236="DNA"),$T236,IF(OR(ISNUMBER($S236),$S236="DNA"),$S236,IF(OR(ISNUMBER($R236),$R236="DNA"),$R236,IF(OR(ISNUMBER($Q236),$Q236="DNA"),$Q236,IF(OR(ISNUMBER($N236),$N236="DNA"),$N236,IF(OR(ISNUMBER($M236),$M236="DNA"),$M236,IF(OR(ISNUMBER($L236),$L236="DNA"),$L236,"")))))))))),IF(ISNUMBER($V236),"Update status","Missed/not booked?"),""))))</f>
        <v/>
      </c>
      <c r="K236" s="29">
        <f>IF(NOT(AND($A236&lt;&gt;"",OR($G236="",$G236="Active"))),"",IF(MIN(IF(AND(ISNUMBER($L236),$L236&gt;=TODAY()),$L236,99999),IF(AND(ISNUMBER($M236),$M236&gt;=TODAY()),$M236,99999),IF(AND(ISNUMBER($N236),$N236&gt;=TODAY()),$N236,99999),IF(AND(ISNUMBER($Q236),$Q236&gt;=TODAY()),$Q236,99999),IF(AND(ISNUMBER($R236),$R236&gt;=TODAY()),$R236,99999),IF(AND(ISNUMBER($S236),$S236&gt;=TODAY()),$S236,99999),IF(AND(ISNUMBER($T236),$T236&gt;=TODAY()),$T236,99999),IF(AND(ISNUMBER($U236),$U236&gt;=TODAY()),$U236,99999),IF(AND(ISNUMBER($V236),$V236&gt;=TODAY()),$V236,99999))=99999,"",MIN(IF(AND(ISNUMBER($L236),$L236&gt;=TODAY()),$L236,99999),IF(AND(ISNUMBER($M236),$M236&gt;=TODAY()),$M236,99999),IF(AND(ISNUMBER($N236),$N236&gt;=TODAY()),$N236,99999),IF(AND(ISNUMBER($Q236),$Q236&gt;=TODAY()),$Q236,99999),IF(AND(ISNUMBER($R236),$R236&gt;=TODAY()),$R236,99999),IF(AND(ISNUMBER($S236),$S236&gt;=TODAY()),$S236,99999),IF(AND(ISNUMBER($T236),$T236&gt;=TODAY()),$T236,99999),IF(AND(ISNUMBER($U236),$U236&gt;=TODAY()),$U236,99999),IF(AND(ISNUMBER($V236),$V236&gt;=TODAY()),$V236,99999))))</f>
        <v/>
      </c>
      <c r="L236" s="27" t="n"/>
      <c r="M236" s="27" t="n"/>
      <c r="N236" s="27" t="n"/>
      <c r="O236" s="27" t="n"/>
      <c r="P236" s="27" t="n"/>
      <c r="Q236" s="27" t="n"/>
      <c r="R236" s="27" t="n"/>
      <c r="S236" s="27" t="n"/>
      <c r="T236" s="27" t="n"/>
      <c r="U236" s="27" t="n"/>
      <c r="V236" s="27" t="n"/>
      <c r="W236" s="27" t="n"/>
      <c r="X236" s="27" t="n"/>
      <c r="Y236" s="27" t="n"/>
      <c r="Z236" s="30" t="n"/>
      <c r="AA236" s="25" t="n"/>
      <c r="AB236" s="28">
        <f>IF(NOT(AND($A236&lt;&gt;"",OR($G236="",$G236="Active"))),"",IF(OR(IF(OR(ISNUMBER($V236),$V236="DNA"),$V236,IF(OR(ISNUMBER($U236),$U236="DNA"),$U236,IF(OR(ISNUMBER($T236),$T236="DNA"),$T236,IF(OR(ISNUMBER($S236),$S236="DNA"),$S236,IF(OR(ISNUMBER($R236),$R236="DNA"),$R236,IF(OR(ISNUMBER($Q236),$Q236="DNA"),$Q236,IF(OR(ISNUMBER($N236),$N236="DNA"),$N236,IF(OR(ISNUMBER($M236),$M236="DNA"),$M236,IF(OR(ISNUMBER($L236),$L236="DNA"),$L236,"")))))))))="DNA",AND(ISNUMBER(IF(OR(ISNUMBER($V236),$V236="DNA"),$V236,IF(OR(ISNUMBER($U236),$U236="DNA"),$U236,IF(OR(ISNUMBER($T236),$T236="DNA"),$T236,IF(OR(ISNUMBER($S236),$S236="DNA"),$S236,IF(OR(ISNUMBER($R236),$R236="DNA"),$R236,IF(OR(ISNUMBER($Q236),$Q236="DNA"),$Q236,IF(OR(ISNUMBER($N236),$N236="DNA"),$N236,IF(OR(ISNUMBER($M236),$M236="DNA"),$M236,IF(OR(ISNUMBER($L236),$L236="DNA"),$L236,"")))))))))),IF(OR(ISNUMBER($V236),$V236="DNA"),$V236,IF(OR(ISNUMBER($U236),$U236="DNA"),$U236,IF(OR(ISNUMBER($T236),$T236="DNA"),$T236,IF(OR(ISNUMBER($S236),$S236="DNA"),$S236,IF(OR(ISNUMBER($R236),$R236="DNA"),$R236,IF(OR(ISNUMBER($Q236),$Q236="DNA"),$Q236,IF(OR(ISNUMBER($N236),$N236="DNA"),$N236,IF(OR(ISNUMBER($M236),$M236="DNA"),$M236,IF(OR(ISNUMBER($L236),$L236="DNA"),$L236,"")))))))))&lt;TODAY())),1,0)+ISNUMBER($O236)*($O236&lt;TODAY())+ISNUMBER($P236)*($P236&lt;TODAY())+ISNUMBER($X236)*($X236&lt;TODAY())+ISNUMBER($Y236)*($Y236&lt;TODAY()))</f>
        <v/>
      </c>
    </row>
    <row r="237">
      <c r="A237" s="25" t="n"/>
      <c r="B237" s="26" t="n"/>
      <c r="C237" s="27" t="n"/>
      <c r="D237" s="25" t="n"/>
      <c r="E237" s="25" t="n"/>
      <c r="F237" s="27" t="n"/>
      <c r="G237" s="25" t="n"/>
      <c r="H237" s="28">
        <f>IF(OR(NOT(AND($A237&lt;&gt;"",OR($G237="",$G237="Active"))),$F237=""),"",INT((TODAY()-$F237+280)/7)&amp;"+"&amp;MOD(TODAY()-$F237+280,7))</f>
        <v/>
      </c>
      <c r="I237" s="28">
        <f>IF(NOT(AND($A237&lt;&gt;"",OR($G237="",$G237="Active"))),"",ISNUMBER($L237)*($L237&gt;=TODAY())*($L237&lt;=TODAY()+7)+ISNUMBER($M237)*($M237&gt;=TODAY())*($M237&lt;=TODAY()+7)+ISNUMBER($N237)*($N237&gt;=TODAY())*($N237&lt;=TODAY()+7)+ISNUMBER($Q237)*($Q237&gt;=TODAY())*($Q237&lt;=TODAY()+7)+ISNUMBER($R237)*($R237&gt;=TODAY())*($R237&lt;=TODAY()+7)+ISNUMBER($S237)*($S237&gt;=TODAY())*($S237&lt;=TODAY()+7)+ISNUMBER($T237)*($T237&gt;=TODAY())*($T237&lt;=TODAY()+7)+ISNUMBER($U237)*($U237&gt;=TODAY())*($U237&lt;=TODAY()+7)+ISNUMBER($V237)*($V237&gt;=TODAY())*($V237&lt;=TODAY()+7)+ISNUMBER($O237)*($O237&gt;=TODAY())*($O237&lt;=TODAY()+7)+ISNUMBER($P237)*($P237&gt;=TODAY())*($P237&lt;=TODAY()+7)+ISNUMBER($X237)*($X237&gt;=TODAY())*($X237&lt;=TODAY()+7)+ISNUMBER($Y237)*($Y237&gt;=TODAY())*($Y237&lt;=TODAY()+7))</f>
        <v/>
      </c>
      <c r="J237" s="28">
        <f>IF(NOT(AND($A237&lt;&gt;"",OR($G237="",$G237="Active"))),"",IF($K237&lt;&gt;"",IF($L237=$K237,"Booking",IF($M237=$K237,"16/40",IF($N237=$K237,"25/40",IF($Q237=$K237,"28/40",IF($R237=$K237,"31/40",IF($S237=$K237,"34/40",IF($T237=$K237,"36/40",IF($U237=$K237,"38/40",IF($V237=$K237,"40/40",""))))))))),IF(IF(OR(ISNUMBER($V237),$V237="DNA"),$V237,IF(OR(ISNUMBER($U237),$U237="DNA"),$U237,IF(OR(ISNUMBER($T237),$T237="DNA"),$T237,IF(OR(ISNUMBER($S237),$S237="DNA"),$S237,IF(OR(ISNUMBER($R237),$R237="DNA"),$R237,IF(OR(ISNUMBER($Q237),$Q237="DNA"),$Q237,IF(OR(ISNUMBER($N237),$N237="DNA"),$N237,IF(OR(ISNUMBER($M237),$M237="DNA"),$M237,IF(OR(ISNUMBER($L237),$L237="DNA"),$L237,"")))))))))="DNA","Rebook DNA",IF(ISNUMBER(IF(OR(ISNUMBER($V237),$V237="DNA"),$V237,IF(OR(ISNUMBER($U237),$U237="DNA"),$U237,IF(OR(ISNUMBER($T237),$T237="DNA"),$T237,IF(OR(ISNUMBER($S237),$S237="DNA"),$S237,IF(OR(ISNUMBER($R237),$R237="DNA"),$R237,IF(OR(ISNUMBER($Q237),$Q237="DNA"),$Q237,IF(OR(ISNUMBER($N237),$N237="DNA"),$N237,IF(OR(ISNUMBER($M237),$M237="DNA"),$M237,IF(OR(ISNUMBER($L237),$L237="DNA"),$L237,"")))))))))),IF(ISNUMBER($V237),"Update status","Missed/not booked?"),""))))</f>
        <v/>
      </c>
      <c r="K237" s="29">
        <f>IF(NOT(AND($A237&lt;&gt;"",OR($G237="",$G237="Active"))),"",IF(MIN(IF(AND(ISNUMBER($L237),$L237&gt;=TODAY()),$L237,99999),IF(AND(ISNUMBER($M237),$M237&gt;=TODAY()),$M237,99999),IF(AND(ISNUMBER($N237),$N237&gt;=TODAY()),$N237,99999),IF(AND(ISNUMBER($Q237),$Q237&gt;=TODAY()),$Q237,99999),IF(AND(ISNUMBER($R237),$R237&gt;=TODAY()),$R237,99999),IF(AND(ISNUMBER($S237),$S237&gt;=TODAY()),$S237,99999),IF(AND(ISNUMBER($T237),$T237&gt;=TODAY()),$T237,99999),IF(AND(ISNUMBER($U237),$U237&gt;=TODAY()),$U237,99999),IF(AND(ISNUMBER($V237),$V237&gt;=TODAY()),$V237,99999))=99999,"",MIN(IF(AND(ISNUMBER($L237),$L237&gt;=TODAY()),$L237,99999),IF(AND(ISNUMBER($M237),$M237&gt;=TODAY()),$M237,99999),IF(AND(ISNUMBER($N237),$N237&gt;=TODAY()),$N237,99999),IF(AND(ISNUMBER($Q237),$Q237&gt;=TODAY()),$Q237,99999),IF(AND(ISNUMBER($R237),$R237&gt;=TODAY()),$R237,99999),IF(AND(ISNUMBER($S237),$S237&gt;=TODAY()),$S237,99999),IF(AND(ISNUMBER($T237),$T237&gt;=TODAY()),$T237,99999),IF(AND(ISNUMBER($U237),$U237&gt;=TODAY()),$U237,99999),IF(AND(ISNUMBER($V237),$V237&gt;=TODAY()),$V237,99999))))</f>
        <v/>
      </c>
      <c r="L237" s="27" t="n"/>
      <c r="M237" s="27" t="n"/>
      <c r="N237" s="27" t="n"/>
      <c r="O237" s="27" t="n"/>
      <c r="P237" s="27" t="n"/>
      <c r="Q237" s="27" t="n"/>
      <c r="R237" s="27" t="n"/>
      <c r="S237" s="27" t="n"/>
      <c r="T237" s="27" t="n"/>
      <c r="U237" s="27" t="n"/>
      <c r="V237" s="27" t="n"/>
      <c r="W237" s="27" t="n"/>
      <c r="X237" s="27" t="n"/>
      <c r="Y237" s="27" t="n"/>
      <c r="Z237" s="30" t="n"/>
      <c r="AA237" s="25" t="n"/>
      <c r="AB237" s="28">
        <f>IF(NOT(AND($A237&lt;&gt;"",OR($G237="",$G237="Active"))),"",IF(OR(IF(OR(ISNUMBER($V237),$V237="DNA"),$V237,IF(OR(ISNUMBER($U237),$U237="DNA"),$U237,IF(OR(ISNUMBER($T237),$T237="DNA"),$T237,IF(OR(ISNUMBER($S237),$S237="DNA"),$S237,IF(OR(ISNUMBER($R237),$R237="DNA"),$R237,IF(OR(ISNUMBER($Q237),$Q237="DNA"),$Q237,IF(OR(ISNUMBER($N237),$N237="DNA"),$N237,IF(OR(ISNUMBER($M237),$M237="DNA"),$M237,IF(OR(ISNUMBER($L237),$L237="DNA"),$L237,"")))))))))="DNA",AND(ISNUMBER(IF(OR(ISNUMBER($V237),$V237="DNA"),$V237,IF(OR(ISNUMBER($U237),$U237="DNA"),$U237,IF(OR(ISNUMBER($T237),$T237="DNA"),$T237,IF(OR(ISNUMBER($S237),$S237="DNA"),$S237,IF(OR(ISNUMBER($R237),$R237="DNA"),$R237,IF(OR(ISNUMBER($Q237),$Q237="DNA"),$Q237,IF(OR(ISNUMBER($N237),$N237="DNA"),$N237,IF(OR(ISNUMBER($M237),$M237="DNA"),$M237,IF(OR(ISNUMBER($L237),$L237="DNA"),$L237,"")))))))))),IF(OR(ISNUMBER($V237),$V237="DNA"),$V237,IF(OR(ISNUMBER($U237),$U237="DNA"),$U237,IF(OR(ISNUMBER($T237),$T237="DNA"),$T237,IF(OR(ISNUMBER($S237),$S237="DNA"),$S237,IF(OR(ISNUMBER($R237),$R237="DNA"),$R237,IF(OR(ISNUMBER($Q237),$Q237="DNA"),$Q237,IF(OR(ISNUMBER($N237),$N237="DNA"),$N237,IF(OR(ISNUMBER($M237),$M237="DNA"),$M237,IF(OR(ISNUMBER($L237),$L237="DNA"),$L237,"")))))))))&lt;TODAY())),1,0)+ISNUMBER($O237)*($O237&lt;TODAY())+ISNUMBER($P237)*($P237&lt;TODAY())+ISNUMBER($X237)*($X237&lt;TODAY())+ISNUMBER($Y237)*($Y237&lt;TODAY()))</f>
        <v/>
      </c>
    </row>
    <row r="238">
      <c r="A238" s="25" t="n"/>
      <c r="B238" s="26" t="n"/>
      <c r="C238" s="27" t="n"/>
      <c r="D238" s="25" t="n"/>
      <c r="E238" s="25" t="n"/>
      <c r="F238" s="27" t="n"/>
      <c r="G238" s="25" t="n"/>
      <c r="H238" s="28">
        <f>IF(OR(NOT(AND($A238&lt;&gt;"",OR($G238="",$G238="Active"))),$F238=""),"",INT((TODAY()-$F238+280)/7)&amp;"+"&amp;MOD(TODAY()-$F238+280,7))</f>
        <v/>
      </c>
      <c r="I238" s="28">
        <f>IF(NOT(AND($A238&lt;&gt;"",OR($G238="",$G238="Active"))),"",ISNUMBER($L238)*($L238&gt;=TODAY())*($L238&lt;=TODAY()+7)+ISNUMBER($M238)*($M238&gt;=TODAY())*($M238&lt;=TODAY()+7)+ISNUMBER($N238)*($N238&gt;=TODAY())*($N238&lt;=TODAY()+7)+ISNUMBER($Q238)*($Q238&gt;=TODAY())*($Q238&lt;=TODAY()+7)+ISNUMBER($R238)*($R238&gt;=TODAY())*($R238&lt;=TODAY()+7)+ISNUMBER($S238)*($S238&gt;=TODAY())*($S238&lt;=TODAY()+7)+ISNUMBER($T238)*($T238&gt;=TODAY())*($T238&lt;=TODAY()+7)+ISNUMBER($U238)*($U238&gt;=TODAY())*($U238&lt;=TODAY()+7)+ISNUMBER($V238)*($V238&gt;=TODAY())*($V238&lt;=TODAY()+7)+ISNUMBER($O238)*($O238&gt;=TODAY())*($O238&lt;=TODAY()+7)+ISNUMBER($P238)*($P238&gt;=TODAY())*($P238&lt;=TODAY()+7)+ISNUMBER($X238)*($X238&gt;=TODAY())*($X238&lt;=TODAY()+7)+ISNUMBER($Y238)*($Y238&gt;=TODAY())*($Y238&lt;=TODAY()+7))</f>
        <v/>
      </c>
      <c r="J238" s="28">
        <f>IF(NOT(AND($A238&lt;&gt;"",OR($G238="",$G238="Active"))),"",IF($K238&lt;&gt;"",IF($L238=$K238,"Booking",IF($M238=$K238,"16/40",IF($N238=$K238,"25/40",IF($Q238=$K238,"28/40",IF($R238=$K238,"31/40",IF($S238=$K238,"34/40",IF($T238=$K238,"36/40",IF($U238=$K238,"38/40",IF($V238=$K238,"40/40",""))))))))),IF(IF(OR(ISNUMBER($V238),$V238="DNA"),$V238,IF(OR(ISNUMBER($U238),$U238="DNA"),$U238,IF(OR(ISNUMBER($T238),$T238="DNA"),$T238,IF(OR(ISNUMBER($S238),$S238="DNA"),$S238,IF(OR(ISNUMBER($R238),$R238="DNA"),$R238,IF(OR(ISNUMBER($Q238),$Q238="DNA"),$Q238,IF(OR(ISNUMBER($N238),$N238="DNA"),$N238,IF(OR(ISNUMBER($M238),$M238="DNA"),$M238,IF(OR(ISNUMBER($L238),$L238="DNA"),$L238,"")))))))))="DNA","Rebook DNA",IF(ISNUMBER(IF(OR(ISNUMBER($V238),$V238="DNA"),$V238,IF(OR(ISNUMBER($U238),$U238="DNA"),$U238,IF(OR(ISNUMBER($T238),$T238="DNA"),$T238,IF(OR(ISNUMBER($S238),$S238="DNA"),$S238,IF(OR(ISNUMBER($R238),$R238="DNA"),$R238,IF(OR(ISNUMBER($Q238),$Q238="DNA"),$Q238,IF(OR(ISNUMBER($N238),$N238="DNA"),$N238,IF(OR(ISNUMBER($M238),$M238="DNA"),$M238,IF(OR(ISNUMBER($L238),$L238="DNA"),$L238,"")))))))))),IF(ISNUMBER($V238),"Update status","Missed/not booked?"),""))))</f>
        <v/>
      </c>
      <c r="K238" s="29">
        <f>IF(NOT(AND($A238&lt;&gt;"",OR($G238="",$G238="Active"))),"",IF(MIN(IF(AND(ISNUMBER($L238),$L238&gt;=TODAY()),$L238,99999),IF(AND(ISNUMBER($M238),$M238&gt;=TODAY()),$M238,99999),IF(AND(ISNUMBER($N238),$N238&gt;=TODAY()),$N238,99999),IF(AND(ISNUMBER($Q238),$Q238&gt;=TODAY()),$Q238,99999),IF(AND(ISNUMBER($R238),$R238&gt;=TODAY()),$R238,99999),IF(AND(ISNUMBER($S238),$S238&gt;=TODAY()),$S238,99999),IF(AND(ISNUMBER($T238),$T238&gt;=TODAY()),$T238,99999),IF(AND(ISNUMBER($U238),$U238&gt;=TODAY()),$U238,99999),IF(AND(ISNUMBER($V238),$V238&gt;=TODAY()),$V238,99999))=99999,"",MIN(IF(AND(ISNUMBER($L238),$L238&gt;=TODAY()),$L238,99999),IF(AND(ISNUMBER($M238),$M238&gt;=TODAY()),$M238,99999),IF(AND(ISNUMBER($N238),$N238&gt;=TODAY()),$N238,99999),IF(AND(ISNUMBER($Q238),$Q238&gt;=TODAY()),$Q238,99999),IF(AND(ISNUMBER($R238),$R238&gt;=TODAY()),$R238,99999),IF(AND(ISNUMBER($S238),$S238&gt;=TODAY()),$S238,99999),IF(AND(ISNUMBER($T238),$T238&gt;=TODAY()),$T238,99999),IF(AND(ISNUMBER($U238),$U238&gt;=TODAY()),$U238,99999),IF(AND(ISNUMBER($V238),$V238&gt;=TODAY()),$V238,99999))))</f>
        <v/>
      </c>
      <c r="L238" s="27" t="n"/>
      <c r="M238" s="27" t="n"/>
      <c r="N238" s="27" t="n"/>
      <c r="O238" s="27" t="n"/>
      <c r="P238" s="27" t="n"/>
      <c r="Q238" s="27" t="n"/>
      <c r="R238" s="27" t="n"/>
      <c r="S238" s="27" t="n"/>
      <c r="T238" s="27" t="n"/>
      <c r="U238" s="27" t="n"/>
      <c r="V238" s="27" t="n"/>
      <c r="W238" s="27" t="n"/>
      <c r="X238" s="27" t="n"/>
      <c r="Y238" s="27" t="n"/>
      <c r="Z238" s="30" t="n"/>
      <c r="AA238" s="25" t="n"/>
      <c r="AB238" s="28">
        <f>IF(NOT(AND($A238&lt;&gt;"",OR($G238="",$G238="Active"))),"",IF(OR(IF(OR(ISNUMBER($V238),$V238="DNA"),$V238,IF(OR(ISNUMBER($U238),$U238="DNA"),$U238,IF(OR(ISNUMBER($T238),$T238="DNA"),$T238,IF(OR(ISNUMBER($S238),$S238="DNA"),$S238,IF(OR(ISNUMBER($R238),$R238="DNA"),$R238,IF(OR(ISNUMBER($Q238),$Q238="DNA"),$Q238,IF(OR(ISNUMBER($N238),$N238="DNA"),$N238,IF(OR(ISNUMBER($M238),$M238="DNA"),$M238,IF(OR(ISNUMBER($L238),$L238="DNA"),$L238,"")))))))))="DNA",AND(ISNUMBER(IF(OR(ISNUMBER($V238),$V238="DNA"),$V238,IF(OR(ISNUMBER($U238),$U238="DNA"),$U238,IF(OR(ISNUMBER($T238),$T238="DNA"),$T238,IF(OR(ISNUMBER($S238),$S238="DNA"),$S238,IF(OR(ISNUMBER($R238),$R238="DNA"),$R238,IF(OR(ISNUMBER($Q238),$Q238="DNA"),$Q238,IF(OR(ISNUMBER($N238),$N238="DNA"),$N238,IF(OR(ISNUMBER($M238),$M238="DNA"),$M238,IF(OR(ISNUMBER($L238),$L238="DNA"),$L238,"")))))))))),IF(OR(ISNUMBER($V238),$V238="DNA"),$V238,IF(OR(ISNUMBER($U238),$U238="DNA"),$U238,IF(OR(ISNUMBER($T238),$T238="DNA"),$T238,IF(OR(ISNUMBER($S238),$S238="DNA"),$S238,IF(OR(ISNUMBER($R238),$R238="DNA"),$R238,IF(OR(ISNUMBER($Q238),$Q238="DNA"),$Q238,IF(OR(ISNUMBER($N238),$N238="DNA"),$N238,IF(OR(ISNUMBER($M238),$M238="DNA"),$M238,IF(OR(ISNUMBER($L238),$L238="DNA"),$L238,"")))))))))&lt;TODAY())),1,0)+ISNUMBER($O238)*($O238&lt;TODAY())+ISNUMBER($P238)*($P238&lt;TODAY())+ISNUMBER($X238)*($X238&lt;TODAY())+ISNUMBER($Y238)*($Y238&lt;TODAY()))</f>
        <v/>
      </c>
    </row>
    <row r="239">
      <c r="A239" s="25" t="n"/>
      <c r="B239" s="26" t="n"/>
      <c r="C239" s="27" t="n"/>
      <c r="D239" s="25" t="n"/>
      <c r="E239" s="25" t="n"/>
      <c r="F239" s="27" t="n"/>
      <c r="G239" s="25" t="n"/>
      <c r="H239" s="28">
        <f>IF(OR(NOT(AND($A239&lt;&gt;"",OR($G239="",$G239="Active"))),$F239=""),"",INT((TODAY()-$F239+280)/7)&amp;"+"&amp;MOD(TODAY()-$F239+280,7))</f>
        <v/>
      </c>
      <c r="I239" s="28">
        <f>IF(NOT(AND($A239&lt;&gt;"",OR($G239="",$G239="Active"))),"",ISNUMBER($L239)*($L239&gt;=TODAY())*($L239&lt;=TODAY()+7)+ISNUMBER($M239)*($M239&gt;=TODAY())*($M239&lt;=TODAY()+7)+ISNUMBER($N239)*($N239&gt;=TODAY())*($N239&lt;=TODAY()+7)+ISNUMBER($Q239)*($Q239&gt;=TODAY())*($Q239&lt;=TODAY()+7)+ISNUMBER($R239)*($R239&gt;=TODAY())*($R239&lt;=TODAY()+7)+ISNUMBER($S239)*($S239&gt;=TODAY())*($S239&lt;=TODAY()+7)+ISNUMBER($T239)*($T239&gt;=TODAY())*($T239&lt;=TODAY()+7)+ISNUMBER($U239)*($U239&gt;=TODAY())*($U239&lt;=TODAY()+7)+ISNUMBER($V239)*($V239&gt;=TODAY())*($V239&lt;=TODAY()+7)+ISNUMBER($O239)*($O239&gt;=TODAY())*($O239&lt;=TODAY()+7)+ISNUMBER($P239)*($P239&gt;=TODAY())*($P239&lt;=TODAY()+7)+ISNUMBER($X239)*($X239&gt;=TODAY())*($X239&lt;=TODAY()+7)+ISNUMBER($Y239)*($Y239&gt;=TODAY())*($Y239&lt;=TODAY()+7))</f>
        <v/>
      </c>
      <c r="J239" s="28">
        <f>IF(NOT(AND($A239&lt;&gt;"",OR($G239="",$G239="Active"))),"",IF($K239&lt;&gt;"",IF($L239=$K239,"Booking",IF($M239=$K239,"16/40",IF($N239=$K239,"25/40",IF($Q239=$K239,"28/40",IF($R239=$K239,"31/40",IF($S239=$K239,"34/40",IF($T239=$K239,"36/40",IF($U239=$K239,"38/40",IF($V239=$K239,"40/40",""))))))))),IF(IF(OR(ISNUMBER($V239),$V239="DNA"),$V239,IF(OR(ISNUMBER($U239),$U239="DNA"),$U239,IF(OR(ISNUMBER($T239),$T239="DNA"),$T239,IF(OR(ISNUMBER($S239),$S239="DNA"),$S239,IF(OR(ISNUMBER($R239),$R239="DNA"),$R239,IF(OR(ISNUMBER($Q239),$Q239="DNA"),$Q239,IF(OR(ISNUMBER($N239),$N239="DNA"),$N239,IF(OR(ISNUMBER($M239),$M239="DNA"),$M239,IF(OR(ISNUMBER($L239),$L239="DNA"),$L239,"")))))))))="DNA","Rebook DNA",IF(ISNUMBER(IF(OR(ISNUMBER($V239),$V239="DNA"),$V239,IF(OR(ISNUMBER($U239),$U239="DNA"),$U239,IF(OR(ISNUMBER($T239),$T239="DNA"),$T239,IF(OR(ISNUMBER($S239),$S239="DNA"),$S239,IF(OR(ISNUMBER($R239),$R239="DNA"),$R239,IF(OR(ISNUMBER($Q239),$Q239="DNA"),$Q239,IF(OR(ISNUMBER($N239),$N239="DNA"),$N239,IF(OR(ISNUMBER($M239),$M239="DNA"),$M239,IF(OR(ISNUMBER($L239),$L239="DNA"),$L239,"")))))))))),IF(ISNUMBER($V239),"Update status","Missed/not booked?"),""))))</f>
        <v/>
      </c>
      <c r="K239" s="29">
        <f>IF(NOT(AND($A239&lt;&gt;"",OR($G239="",$G239="Active"))),"",IF(MIN(IF(AND(ISNUMBER($L239),$L239&gt;=TODAY()),$L239,99999),IF(AND(ISNUMBER($M239),$M239&gt;=TODAY()),$M239,99999),IF(AND(ISNUMBER($N239),$N239&gt;=TODAY()),$N239,99999),IF(AND(ISNUMBER($Q239),$Q239&gt;=TODAY()),$Q239,99999),IF(AND(ISNUMBER($R239),$R239&gt;=TODAY()),$R239,99999),IF(AND(ISNUMBER($S239),$S239&gt;=TODAY()),$S239,99999),IF(AND(ISNUMBER($T239),$T239&gt;=TODAY()),$T239,99999),IF(AND(ISNUMBER($U239),$U239&gt;=TODAY()),$U239,99999),IF(AND(ISNUMBER($V239),$V239&gt;=TODAY()),$V239,99999))=99999,"",MIN(IF(AND(ISNUMBER($L239),$L239&gt;=TODAY()),$L239,99999),IF(AND(ISNUMBER($M239),$M239&gt;=TODAY()),$M239,99999),IF(AND(ISNUMBER($N239),$N239&gt;=TODAY()),$N239,99999),IF(AND(ISNUMBER($Q239),$Q239&gt;=TODAY()),$Q239,99999),IF(AND(ISNUMBER($R239),$R239&gt;=TODAY()),$R239,99999),IF(AND(ISNUMBER($S239),$S239&gt;=TODAY()),$S239,99999),IF(AND(ISNUMBER($T239),$T239&gt;=TODAY()),$T239,99999),IF(AND(ISNUMBER($U239),$U239&gt;=TODAY()),$U239,99999),IF(AND(ISNUMBER($V239),$V239&gt;=TODAY()),$V239,99999))))</f>
        <v/>
      </c>
      <c r="L239" s="27" t="n"/>
      <c r="M239" s="27" t="n"/>
      <c r="N239" s="27" t="n"/>
      <c r="O239" s="27" t="n"/>
      <c r="P239" s="27" t="n"/>
      <c r="Q239" s="27" t="n"/>
      <c r="R239" s="27" t="n"/>
      <c r="S239" s="27" t="n"/>
      <c r="T239" s="27" t="n"/>
      <c r="U239" s="27" t="n"/>
      <c r="V239" s="27" t="n"/>
      <c r="W239" s="27" t="n"/>
      <c r="X239" s="27" t="n"/>
      <c r="Y239" s="27" t="n"/>
      <c r="Z239" s="30" t="n"/>
      <c r="AA239" s="25" t="n"/>
      <c r="AB239" s="28">
        <f>IF(NOT(AND($A239&lt;&gt;"",OR($G239="",$G239="Active"))),"",IF(OR(IF(OR(ISNUMBER($V239),$V239="DNA"),$V239,IF(OR(ISNUMBER($U239),$U239="DNA"),$U239,IF(OR(ISNUMBER($T239),$T239="DNA"),$T239,IF(OR(ISNUMBER($S239),$S239="DNA"),$S239,IF(OR(ISNUMBER($R239),$R239="DNA"),$R239,IF(OR(ISNUMBER($Q239),$Q239="DNA"),$Q239,IF(OR(ISNUMBER($N239),$N239="DNA"),$N239,IF(OR(ISNUMBER($M239),$M239="DNA"),$M239,IF(OR(ISNUMBER($L239),$L239="DNA"),$L239,"")))))))))="DNA",AND(ISNUMBER(IF(OR(ISNUMBER($V239),$V239="DNA"),$V239,IF(OR(ISNUMBER($U239),$U239="DNA"),$U239,IF(OR(ISNUMBER($T239),$T239="DNA"),$T239,IF(OR(ISNUMBER($S239),$S239="DNA"),$S239,IF(OR(ISNUMBER($R239),$R239="DNA"),$R239,IF(OR(ISNUMBER($Q239),$Q239="DNA"),$Q239,IF(OR(ISNUMBER($N239),$N239="DNA"),$N239,IF(OR(ISNUMBER($M239),$M239="DNA"),$M239,IF(OR(ISNUMBER($L239),$L239="DNA"),$L239,"")))))))))),IF(OR(ISNUMBER($V239),$V239="DNA"),$V239,IF(OR(ISNUMBER($U239),$U239="DNA"),$U239,IF(OR(ISNUMBER($T239),$T239="DNA"),$T239,IF(OR(ISNUMBER($S239),$S239="DNA"),$S239,IF(OR(ISNUMBER($R239),$R239="DNA"),$R239,IF(OR(ISNUMBER($Q239),$Q239="DNA"),$Q239,IF(OR(ISNUMBER($N239),$N239="DNA"),$N239,IF(OR(ISNUMBER($M239),$M239="DNA"),$M239,IF(OR(ISNUMBER($L239),$L239="DNA"),$L239,"")))))))))&lt;TODAY())),1,0)+ISNUMBER($O239)*($O239&lt;TODAY())+ISNUMBER($P239)*($P239&lt;TODAY())+ISNUMBER($X239)*($X239&lt;TODAY())+ISNUMBER($Y239)*($Y239&lt;TODAY()))</f>
        <v/>
      </c>
    </row>
    <row r="240">
      <c r="A240" s="25" t="n"/>
      <c r="B240" s="26" t="n"/>
      <c r="C240" s="27" t="n"/>
      <c r="D240" s="25" t="n"/>
      <c r="E240" s="25" t="n"/>
      <c r="F240" s="27" t="n"/>
      <c r="G240" s="25" t="n"/>
      <c r="H240" s="28">
        <f>IF(OR(NOT(AND($A240&lt;&gt;"",OR($G240="",$G240="Active"))),$F240=""),"",INT((TODAY()-$F240+280)/7)&amp;"+"&amp;MOD(TODAY()-$F240+280,7))</f>
        <v/>
      </c>
      <c r="I240" s="28">
        <f>IF(NOT(AND($A240&lt;&gt;"",OR($G240="",$G240="Active"))),"",ISNUMBER($L240)*($L240&gt;=TODAY())*($L240&lt;=TODAY()+7)+ISNUMBER($M240)*($M240&gt;=TODAY())*($M240&lt;=TODAY()+7)+ISNUMBER($N240)*($N240&gt;=TODAY())*($N240&lt;=TODAY()+7)+ISNUMBER($Q240)*($Q240&gt;=TODAY())*($Q240&lt;=TODAY()+7)+ISNUMBER($R240)*($R240&gt;=TODAY())*($R240&lt;=TODAY()+7)+ISNUMBER($S240)*($S240&gt;=TODAY())*($S240&lt;=TODAY()+7)+ISNUMBER($T240)*($T240&gt;=TODAY())*($T240&lt;=TODAY()+7)+ISNUMBER($U240)*($U240&gt;=TODAY())*($U240&lt;=TODAY()+7)+ISNUMBER($V240)*($V240&gt;=TODAY())*($V240&lt;=TODAY()+7)+ISNUMBER($O240)*($O240&gt;=TODAY())*($O240&lt;=TODAY()+7)+ISNUMBER($P240)*($P240&gt;=TODAY())*($P240&lt;=TODAY()+7)+ISNUMBER($X240)*($X240&gt;=TODAY())*($X240&lt;=TODAY()+7)+ISNUMBER($Y240)*($Y240&gt;=TODAY())*($Y240&lt;=TODAY()+7))</f>
        <v/>
      </c>
      <c r="J240" s="28">
        <f>IF(NOT(AND($A240&lt;&gt;"",OR($G240="",$G240="Active"))),"",IF($K240&lt;&gt;"",IF($L240=$K240,"Booking",IF($M240=$K240,"16/40",IF($N240=$K240,"25/40",IF($Q240=$K240,"28/40",IF($R240=$K240,"31/40",IF($S240=$K240,"34/40",IF($T240=$K240,"36/40",IF($U240=$K240,"38/40",IF($V240=$K240,"40/40",""))))))))),IF(IF(OR(ISNUMBER($V240),$V240="DNA"),$V240,IF(OR(ISNUMBER($U240),$U240="DNA"),$U240,IF(OR(ISNUMBER($T240),$T240="DNA"),$T240,IF(OR(ISNUMBER($S240),$S240="DNA"),$S240,IF(OR(ISNUMBER($R240),$R240="DNA"),$R240,IF(OR(ISNUMBER($Q240),$Q240="DNA"),$Q240,IF(OR(ISNUMBER($N240),$N240="DNA"),$N240,IF(OR(ISNUMBER($M240),$M240="DNA"),$M240,IF(OR(ISNUMBER($L240),$L240="DNA"),$L240,"")))))))))="DNA","Rebook DNA",IF(ISNUMBER(IF(OR(ISNUMBER($V240),$V240="DNA"),$V240,IF(OR(ISNUMBER($U240),$U240="DNA"),$U240,IF(OR(ISNUMBER($T240),$T240="DNA"),$T240,IF(OR(ISNUMBER($S240),$S240="DNA"),$S240,IF(OR(ISNUMBER($R240),$R240="DNA"),$R240,IF(OR(ISNUMBER($Q240),$Q240="DNA"),$Q240,IF(OR(ISNUMBER($N240),$N240="DNA"),$N240,IF(OR(ISNUMBER($M240),$M240="DNA"),$M240,IF(OR(ISNUMBER($L240),$L240="DNA"),$L240,"")))))))))),IF(ISNUMBER($V240),"Update status","Missed/not booked?"),""))))</f>
        <v/>
      </c>
      <c r="K240" s="29">
        <f>IF(NOT(AND($A240&lt;&gt;"",OR($G240="",$G240="Active"))),"",IF(MIN(IF(AND(ISNUMBER($L240),$L240&gt;=TODAY()),$L240,99999),IF(AND(ISNUMBER($M240),$M240&gt;=TODAY()),$M240,99999),IF(AND(ISNUMBER($N240),$N240&gt;=TODAY()),$N240,99999),IF(AND(ISNUMBER($Q240),$Q240&gt;=TODAY()),$Q240,99999),IF(AND(ISNUMBER($R240),$R240&gt;=TODAY()),$R240,99999),IF(AND(ISNUMBER($S240),$S240&gt;=TODAY()),$S240,99999),IF(AND(ISNUMBER($T240),$T240&gt;=TODAY()),$T240,99999),IF(AND(ISNUMBER($U240),$U240&gt;=TODAY()),$U240,99999),IF(AND(ISNUMBER($V240),$V240&gt;=TODAY()),$V240,99999))=99999,"",MIN(IF(AND(ISNUMBER($L240),$L240&gt;=TODAY()),$L240,99999),IF(AND(ISNUMBER($M240),$M240&gt;=TODAY()),$M240,99999),IF(AND(ISNUMBER($N240),$N240&gt;=TODAY()),$N240,99999),IF(AND(ISNUMBER($Q240),$Q240&gt;=TODAY()),$Q240,99999),IF(AND(ISNUMBER($R240),$R240&gt;=TODAY()),$R240,99999),IF(AND(ISNUMBER($S240),$S240&gt;=TODAY()),$S240,99999),IF(AND(ISNUMBER($T240),$T240&gt;=TODAY()),$T240,99999),IF(AND(ISNUMBER($U240),$U240&gt;=TODAY()),$U240,99999),IF(AND(ISNUMBER($V240),$V240&gt;=TODAY()),$V240,99999))))</f>
        <v/>
      </c>
      <c r="L240" s="27" t="n"/>
      <c r="M240" s="27" t="n"/>
      <c r="N240" s="27" t="n"/>
      <c r="O240" s="27" t="n"/>
      <c r="P240" s="27" t="n"/>
      <c r="Q240" s="27" t="n"/>
      <c r="R240" s="27" t="n"/>
      <c r="S240" s="27" t="n"/>
      <c r="T240" s="27" t="n"/>
      <c r="U240" s="27" t="n"/>
      <c r="V240" s="27" t="n"/>
      <c r="W240" s="27" t="n"/>
      <c r="X240" s="27" t="n"/>
      <c r="Y240" s="27" t="n"/>
      <c r="Z240" s="30" t="n"/>
      <c r="AA240" s="25" t="n"/>
      <c r="AB240" s="28">
        <f>IF(NOT(AND($A240&lt;&gt;"",OR($G240="",$G240="Active"))),"",IF(OR(IF(OR(ISNUMBER($V240),$V240="DNA"),$V240,IF(OR(ISNUMBER($U240),$U240="DNA"),$U240,IF(OR(ISNUMBER($T240),$T240="DNA"),$T240,IF(OR(ISNUMBER($S240),$S240="DNA"),$S240,IF(OR(ISNUMBER($R240),$R240="DNA"),$R240,IF(OR(ISNUMBER($Q240),$Q240="DNA"),$Q240,IF(OR(ISNUMBER($N240),$N240="DNA"),$N240,IF(OR(ISNUMBER($M240),$M240="DNA"),$M240,IF(OR(ISNUMBER($L240),$L240="DNA"),$L240,"")))))))))="DNA",AND(ISNUMBER(IF(OR(ISNUMBER($V240),$V240="DNA"),$V240,IF(OR(ISNUMBER($U240),$U240="DNA"),$U240,IF(OR(ISNUMBER($T240),$T240="DNA"),$T240,IF(OR(ISNUMBER($S240),$S240="DNA"),$S240,IF(OR(ISNUMBER($R240),$R240="DNA"),$R240,IF(OR(ISNUMBER($Q240),$Q240="DNA"),$Q240,IF(OR(ISNUMBER($N240),$N240="DNA"),$N240,IF(OR(ISNUMBER($M240),$M240="DNA"),$M240,IF(OR(ISNUMBER($L240),$L240="DNA"),$L240,"")))))))))),IF(OR(ISNUMBER($V240),$V240="DNA"),$V240,IF(OR(ISNUMBER($U240),$U240="DNA"),$U240,IF(OR(ISNUMBER($T240),$T240="DNA"),$T240,IF(OR(ISNUMBER($S240),$S240="DNA"),$S240,IF(OR(ISNUMBER($R240),$R240="DNA"),$R240,IF(OR(ISNUMBER($Q240),$Q240="DNA"),$Q240,IF(OR(ISNUMBER($N240),$N240="DNA"),$N240,IF(OR(ISNUMBER($M240),$M240="DNA"),$M240,IF(OR(ISNUMBER($L240),$L240="DNA"),$L240,"")))))))))&lt;TODAY())),1,0)+ISNUMBER($O240)*($O240&lt;TODAY())+ISNUMBER($P240)*($P240&lt;TODAY())+ISNUMBER($X240)*($X240&lt;TODAY())+ISNUMBER($Y240)*($Y240&lt;TODAY()))</f>
        <v/>
      </c>
    </row>
    <row r="241">
      <c r="A241" s="25" t="n"/>
      <c r="B241" s="26" t="n"/>
      <c r="C241" s="27" t="n"/>
      <c r="D241" s="25" t="n"/>
      <c r="E241" s="25" t="n"/>
      <c r="F241" s="27" t="n"/>
      <c r="G241" s="25" t="n"/>
      <c r="H241" s="28">
        <f>IF(OR(NOT(AND($A241&lt;&gt;"",OR($G241="",$G241="Active"))),$F241=""),"",INT((TODAY()-$F241+280)/7)&amp;"+"&amp;MOD(TODAY()-$F241+280,7))</f>
        <v/>
      </c>
      <c r="I241" s="28">
        <f>IF(NOT(AND($A241&lt;&gt;"",OR($G241="",$G241="Active"))),"",ISNUMBER($L241)*($L241&gt;=TODAY())*($L241&lt;=TODAY()+7)+ISNUMBER($M241)*($M241&gt;=TODAY())*($M241&lt;=TODAY()+7)+ISNUMBER($N241)*($N241&gt;=TODAY())*($N241&lt;=TODAY()+7)+ISNUMBER($Q241)*($Q241&gt;=TODAY())*($Q241&lt;=TODAY()+7)+ISNUMBER($R241)*($R241&gt;=TODAY())*($R241&lt;=TODAY()+7)+ISNUMBER($S241)*($S241&gt;=TODAY())*($S241&lt;=TODAY()+7)+ISNUMBER($T241)*($T241&gt;=TODAY())*($T241&lt;=TODAY()+7)+ISNUMBER($U241)*($U241&gt;=TODAY())*($U241&lt;=TODAY()+7)+ISNUMBER($V241)*($V241&gt;=TODAY())*($V241&lt;=TODAY()+7)+ISNUMBER($O241)*($O241&gt;=TODAY())*($O241&lt;=TODAY()+7)+ISNUMBER($P241)*($P241&gt;=TODAY())*($P241&lt;=TODAY()+7)+ISNUMBER($X241)*($X241&gt;=TODAY())*($X241&lt;=TODAY()+7)+ISNUMBER($Y241)*($Y241&gt;=TODAY())*($Y241&lt;=TODAY()+7))</f>
        <v/>
      </c>
      <c r="J241" s="28">
        <f>IF(NOT(AND($A241&lt;&gt;"",OR($G241="",$G241="Active"))),"",IF($K241&lt;&gt;"",IF($L241=$K241,"Booking",IF($M241=$K241,"16/40",IF($N241=$K241,"25/40",IF($Q241=$K241,"28/40",IF($R241=$K241,"31/40",IF($S241=$K241,"34/40",IF($T241=$K241,"36/40",IF($U241=$K241,"38/40",IF($V241=$K241,"40/40",""))))))))),IF(IF(OR(ISNUMBER($V241),$V241="DNA"),$V241,IF(OR(ISNUMBER($U241),$U241="DNA"),$U241,IF(OR(ISNUMBER($T241),$T241="DNA"),$T241,IF(OR(ISNUMBER($S241),$S241="DNA"),$S241,IF(OR(ISNUMBER($R241),$R241="DNA"),$R241,IF(OR(ISNUMBER($Q241),$Q241="DNA"),$Q241,IF(OR(ISNUMBER($N241),$N241="DNA"),$N241,IF(OR(ISNUMBER($M241),$M241="DNA"),$M241,IF(OR(ISNUMBER($L241),$L241="DNA"),$L241,"")))))))))="DNA","Rebook DNA",IF(ISNUMBER(IF(OR(ISNUMBER($V241),$V241="DNA"),$V241,IF(OR(ISNUMBER($U241),$U241="DNA"),$U241,IF(OR(ISNUMBER($T241),$T241="DNA"),$T241,IF(OR(ISNUMBER($S241),$S241="DNA"),$S241,IF(OR(ISNUMBER($R241),$R241="DNA"),$R241,IF(OR(ISNUMBER($Q241),$Q241="DNA"),$Q241,IF(OR(ISNUMBER($N241),$N241="DNA"),$N241,IF(OR(ISNUMBER($M241),$M241="DNA"),$M241,IF(OR(ISNUMBER($L241),$L241="DNA"),$L241,"")))))))))),IF(ISNUMBER($V241),"Update status","Missed/not booked?"),""))))</f>
        <v/>
      </c>
      <c r="K241" s="29">
        <f>IF(NOT(AND($A241&lt;&gt;"",OR($G241="",$G241="Active"))),"",IF(MIN(IF(AND(ISNUMBER($L241),$L241&gt;=TODAY()),$L241,99999),IF(AND(ISNUMBER($M241),$M241&gt;=TODAY()),$M241,99999),IF(AND(ISNUMBER($N241),$N241&gt;=TODAY()),$N241,99999),IF(AND(ISNUMBER($Q241),$Q241&gt;=TODAY()),$Q241,99999),IF(AND(ISNUMBER($R241),$R241&gt;=TODAY()),$R241,99999),IF(AND(ISNUMBER($S241),$S241&gt;=TODAY()),$S241,99999),IF(AND(ISNUMBER($T241),$T241&gt;=TODAY()),$T241,99999),IF(AND(ISNUMBER($U241),$U241&gt;=TODAY()),$U241,99999),IF(AND(ISNUMBER($V241),$V241&gt;=TODAY()),$V241,99999))=99999,"",MIN(IF(AND(ISNUMBER($L241),$L241&gt;=TODAY()),$L241,99999),IF(AND(ISNUMBER($M241),$M241&gt;=TODAY()),$M241,99999),IF(AND(ISNUMBER($N241),$N241&gt;=TODAY()),$N241,99999),IF(AND(ISNUMBER($Q241),$Q241&gt;=TODAY()),$Q241,99999),IF(AND(ISNUMBER($R241),$R241&gt;=TODAY()),$R241,99999),IF(AND(ISNUMBER($S241),$S241&gt;=TODAY()),$S241,99999),IF(AND(ISNUMBER($T241),$T241&gt;=TODAY()),$T241,99999),IF(AND(ISNUMBER($U241),$U241&gt;=TODAY()),$U241,99999),IF(AND(ISNUMBER($V241),$V241&gt;=TODAY()),$V241,99999))))</f>
        <v/>
      </c>
      <c r="L241" s="27" t="n"/>
      <c r="M241" s="27" t="n"/>
      <c r="N241" s="27" t="n"/>
      <c r="O241" s="27" t="n"/>
      <c r="P241" s="27" t="n"/>
      <c r="Q241" s="27" t="n"/>
      <c r="R241" s="27" t="n"/>
      <c r="S241" s="27" t="n"/>
      <c r="T241" s="27" t="n"/>
      <c r="U241" s="27" t="n"/>
      <c r="V241" s="27" t="n"/>
      <c r="W241" s="27" t="n"/>
      <c r="X241" s="27" t="n"/>
      <c r="Y241" s="27" t="n"/>
      <c r="Z241" s="30" t="n"/>
      <c r="AA241" s="25" t="n"/>
      <c r="AB241" s="28">
        <f>IF(NOT(AND($A241&lt;&gt;"",OR($G241="",$G241="Active"))),"",IF(OR(IF(OR(ISNUMBER($V241),$V241="DNA"),$V241,IF(OR(ISNUMBER($U241),$U241="DNA"),$U241,IF(OR(ISNUMBER($T241),$T241="DNA"),$T241,IF(OR(ISNUMBER($S241),$S241="DNA"),$S241,IF(OR(ISNUMBER($R241),$R241="DNA"),$R241,IF(OR(ISNUMBER($Q241),$Q241="DNA"),$Q241,IF(OR(ISNUMBER($N241),$N241="DNA"),$N241,IF(OR(ISNUMBER($M241),$M241="DNA"),$M241,IF(OR(ISNUMBER($L241),$L241="DNA"),$L241,"")))))))))="DNA",AND(ISNUMBER(IF(OR(ISNUMBER($V241),$V241="DNA"),$V241,IF(OR(ISNUMBER($U241),$U241="DNA"),$U241,IF(OR(ISNUMBER($T241),$T241="DNA"),$T241,IF(OR(ISNUMBER($S241),$S241="DNA"),$S241,IF(OR(ISNUMBER($R241),$R241="DNA"),$R241,IF(OR(ISNUMBER($Q241),$Q241="DNA"),$Q241,IF(OR(ISNUMBER($N241),$N241="DNA"),$N241,IF(OR(ISNUMBER($M241),$M241="DNA"),$M241,IF(OR(ISNUMBER($L241),$L241="DNA"),$L241,"")))))))))),IF(OR(ISNUMBER($V241),$V241="DNA"),$V241,IF(OR(ISNUMBER($U241),$U241="DNA"),$U241,IF(OR(ISNUMBER($T241),$T241="DNA"),$T241,IF(OR(ISNUMBER($S241),$S241="DNA"),$S241,IF(OR(ISNUMBER($R241),$R241="DNA"),$R241,IF(OR(ISNUMBER($Q241),$Q241="DNA"),$Q241,IF(OR(ISNUMBER($N241),$N241="DNA"),$N241,IF(OR(ISNUMBER($M241),$M241="DNA"),$M241,IF(OR(ISNUMBER($L241),$L241="DNA"),$L241,"")))))))))&lt;TODAY())),1,0)+ISNUMBER($O241)*($O241&lt;TODAY())+ISNUMBER($P241)*($P241&lt;TODAY())+ISNUMBER($X241)*($X241&lt;TODAY())+ISNUMBER($Y241)*($Y241&lt;TODAY()))</f>
        <v/>
      </c>
    </row>
    <row r="242">
      <c r="A242" s="25" t="n"/>
      <c r="B242" s="26" t="n"/>
      <c r="C242" s="27" t="n"/>
      <c r="D242" s="25" t="n"/>
      <c r="E242" s="25" t="n"/>
      <c r="F242" s="27" t="n"/>
      <c r="G242" s="25" t="n"/>
      <c r="H242" s="28">
        <f>IF(OR(NOT(AND($A242&lt;&gt;"",OR($G242="",$G242="Active"))),$F242=""),"",INT((TODAY()-$F242+280)/7)&amp;"+"&amp;MOD(TODAY()-$F242+280,7))</f>
        <v/>
      </c>
      <c r="I242" s="28">
        <f>IF(NOT(AND($A242&lt;&gt;"",OR($G242="",$G242="Active"))),"",ISNUMBER($L242)*($L242&gt;=TODAY())*($L242&lt;=TODAY()+7)+ISNUMBER($M242)*($M242&gt;=TODAY())*($M242&lt;=TODAY()+7)+ISNUMBER($N242)*($N242&gt;=TODAY())*($N242&lt;=TODAY()+7)+ISNUMBER($Q242)*($Q242&gt;=TODAY())*($Q242&lt;=TODAY()+7)+ISNUMBER($R242)*($R242&gt;=TODAY())*($R242&lt;=TODAY()+7)+ISNUMBER($S242)*($S242&gt;=TODAY())*($S242&lt;=TODAY()+7)+ISNUMBER($T242)*($T242&gt;=TODAY())*($T242&lt;=TODAY()+7)+ISNUMBER($U242)*($U242&gt;=TODAY())*($U242&lt;=TODAY()+7)+ISNUMBER($V242)*($V242&gt;=TODAY())*($V242&lt;=TODAY()+7)+ISNUMBER($O242)*($O242&gt;=TODAY())*($O242&lt;=TODAY()+7)+ISNUMBER($P242)*($P242&gt;=TODAY())*($P242&lt;=TODAY()+7)+ISNUMBER($X242)*($X242&gt;=TODAY())*($X242&lt;=TODAY()+7)+ISNUMBER($Y242)*($Y242&gt;=TODAY())*($Y242&lt;=TODAY()+7))</f>
        <v/>
      </c>
      <c r="J242" s="28">
        <f>IF(NOT(AND($A242&lt;&gt;"",OR($G242="",$G242="Active"))),"",IF($K242&lt;&gt;"",IF($L242=$K242,"Booking",IF($M242=$K242,"16/40",IF($N242=$K242,"25/40",IF($Q242=$K242,"28/40",IF($R242=$K242,"31/40",IF($S242=$K242,"34/40",IF($T242=$K242,"36/40",IF($U242=$K242,"38/40",IF($V242=$K242,"40/40",""))))))))),IF(IF(OR(ISNUMBER($V242),$V242="DNA"),$V242,IF(OR(ISNUMBER($U242),$U242="DNA"),$U242,IF(OR(ISNUMBER($T242),$T242="DNA"),$T242,IF(OR(ISNUMBER($S242),$S242="DNA"),$S242,IF(OR(ISNUMBER($R242),$R242="DNA"),$R242,IF(OR(ISNUMBER($Q242),$Q242="DNA"),$Q242,IF(OR(ISNUMBER($N242),$N242="DNA"),$N242,IF(OR(ISNUMBER($M242),$M242="DNA"),$M242,IF(OR(ISNUMBER($L242),$L242="DNA"),$L242,"")))))))))="DNA","Rebook DNA",IF(ISNUMBER(IF(OR(ISNUMBER($V242),$V242="DNA"),$V242,IF(OR(ISNUMBER($U242),$U242="DNA"),$U242,IF(OR(ISNUMBER($T242),$T242="DNA"),$T242,IF(OR(ISNUMBER($S242),$S242="DNA"),$S242,IF(OR(ISNUMBER($R242),$R242="DNA"),$R242,IF(OR(ISNUMBER($Q242),$Q242="DNA"),$Q242,IF(OR(ISNUMBER($N242),$N242="DNA"),$N242,IF(OR(ISNUMBER($M242),$M242="DNA"),$M242,IF(OR(ISNUMBER($L242),$L242="DNA"),$L242,"")))))))))),IF(ISNUMBER($V242),"Update status","Missed/not booked?"),""))))</f>
        <v/>
      </c>
      <c r="K242" s="29">
        <f>IF(NOT(AND($A242&lt;&gt;"",OR($G242="",$G242="Active"))),"",IF(MIN(IF(AND(ISNUMBER($L242),$L242&gt;=TODAY()),$L242,99999),IF(AND(ISNUMBER($M242),$M242&gt;=TODAY()),$M242,99999),IF(AND(ISNUMBER($N242),$N242&gt;=TODAY()),$N242,99999),IF(AND(ISNUMBER($Q242),$Q242&gt;=TODAY()),$Q242,99999),IF(AND(ISNUMBER($R242),$R242&gt;=TODAY()),$R242,99999),IF(AND(ISNUMBER($S242),$S242&gt;=TODAY()),$S242,99999),IF(AND(ISNUMBER($T242),$T242&gt;=TODAY()),$T242,99999),IF(AND(ISNUMBER($U242),$U242&gt;=TODAY()),$U242,99999),IF(AND(ISNUMBER($V242),$V242&gt;=TODAY()),$V242,99999))=99999,"",MIN(IF(AND(ISNUMBER($L242),$L242&gt;=TODAY()),$L242,99999),IF(AND(ISNUMBER($M242),$M242&gt;=TODAY()),$M242,99999),IF(AND(ISNUMBER($N242),$N242&gt;=TODAY()),$N242,99999),IF(AND(ISNUMBER($Q242),$Q242&gt;=TODAY()),$Q242,99999),IF(AND(ISNUMBER($R242),$R242&gt;=TODAY()),$R242,99999),IF(AND(ISNUMBER($S242),$S242&gt;=TODAY()),$S242,99999),IF(AND(ISNUMBER($T242),$T242&gt;=TODAY()),$T242,99999),IF(AND(ISNUMBER($U242),$U242&gt;=TODAY()),$U242,99999),IF(AND(ISNUMBER($V242),$V242&gt;=TODAY()),$V242,99999))))</f>
        <v/>
      </c>
      <c r="L242" s="27" t="n"/>
      <c r="M242" s="27" t="n"/>
      <c r="N242" s="27" t="n"/>
      <c r="O242" s="27" t="n"/>
      <c r="P242" s="27" t="n"/>
      <c r="Q242" s="27" t="n"/>
      <c r="R242" s="27" t="n"/>
      <c r="S242" s="27" t="n"/>
      <c r="T242" s="27" t="n"/>
      <c r="U242" s="27" t="n"/>
      <c r="V242" s="27" t="n"/>
      <c r="W242" s="27" t="n"/>
      <c r="X242" s="27" t="n"/>
      <c r="Y242" s="27" t="n"/>
      <c r="Z242" s="30" t="n"/>
      <c r="AA242" s="25" t="n"/>
      <c r="AB242" s="28">
        <f>IF(NOT(AND($A242&lt;&gt;"",OR($G242="",$G242="Active"))),"",IF(OR(IF(OR(ISNUMBER($V242),$V242="DNA"),$V242,IF(OR(ISNUMBER($U242),$U242="DNA"),$U242,IF(OR(ISNUMBER($T242),$T242="DNA"),$T242,IF(OR(ISNUMBER($S242),$S242="DNA"),$S242,IF(OR(ISNUMBER($R242),$R242="DNA"),$R242,IF(OR(ISNUMBER($Q242),$Q242="DNA"),$Q242,IF(OR(ISNUMBER($N242),$N242="DNA"),$N242,IF(OR(ISNUMBER($M242),$M242="DNA"),$M242,IF(OR(ISNUMBER($L242),$L242="DNA"),$L242,"")))))))))="DNA",AND(ISNUMBER(IF(OR(ISNUMBER($V242),$V242="DNA"),$V242,IF(OR(ISNUMBER($U242),$U242="DNA"),$U242,IF(OR(ISNUMBER($T242),$T242="DNA"),$T242,IF(OR(ISNUMBER($S242),$S242="DNA"),$S242,IF(OR(ISNUMBER($R242),$R242="DNA"),$R242,IF(OR(ISNUMBER($Q242),$Q242="DNA"),$Q242,IF(OR(ISNUMBER($N242),$N242="DNA"),$N242,IF(OR(ISNUMBER($M242),$M242="DNA"),$M242,IF(OR(ISNUMBER($L242),$L242="DNA"),$L242,"")))))))))),IF(OR(ISNUMBER($V242),$V242="DNA"),$V242,IF(OR(ISNUMBER($U242),$U242="DNA"),$U242,IF(OR(ISNUMBER($T242),$T242="DNA"),$T242,IF(OR(ISNUMBER($S242),$S242="DNA"),$S242,IF(OR(ISNUMBER($R242),$R242="DNA"),$R242,IF(OR(ISNUMBER($Q242),$Q242="DNA"),$Q242,IF(OR(ISNUMBER($N242),$N242="DNA"),$N242,IF(OR(ISNUMBER($M242),$M242="DNA"),$M242,IF(OR(ISNUMBER($L242),$L242="DNA"),$L242,"")))))))))&lt;TODAY())),1,0)+ISNUMBER($O242)*($O242&lt;TODAY())+ISNUMBER($P242)*($P242&lt;TODAY())+ISNUMBER($X242)*($X242&lt;TODAY())+ISNUMBER($Y242)*($Y242&lt;TODAY()))</f>
        <v/>
      </c>
    </row>
    <row r="243">
      <c r="A243" s="25" t="n"/>
      <c r="B243" s="26" t="n"/>
      <c r="C243" s="27" t="n"/>
      <c r="D243" s="25" t="n"/>
      <c r="E243" s="25" t="n"/>
      <c r="F243" s="27" t="n"/>
      <c r="G243" s="25" t="n"/>
      <c r="H243" s="28">
        <f>IF(OR(NOT(AND($A243&lt;&gt;"",OR($G243="",$G243="Active"))),$F243=""),"",INT((TODAY()-$F243+280)/7)&amp;"+"&amp;MOD(TODAY()-$F243+280,7))</f>
        <v/>
      </c>
      <c r="I243" s="28">
        <f>IF(NOT(AND($A243&lt;&gt;"",OR($G243="",$G243="Active"))),"",ISNUMBER($L243)*($L243&gt;=TODAY())*($L243&lt;=TODAY()+7)+ISNUMBER($M243)*($M243&gt;=TODAY())*($M243&lt;=TODAY()+7)+ISNUMBER($N243)*($N243&gt;=TODAY())*($N243&lt;=TODAY()+7)+ISNUMBER($Q243)*($Q243&gt;=TODAY())*($Q243&lt;=TODAY()+7)+ISNUMBER($R243)*($R243&gt;=TODAY())*($R243&lt;=TODAY()+7)+ISNUMBER($S243)*($S243&gt;=TODAY())*($S243&lt;=TODAY()+7)+ISNUMBER($T243)*($T243&gt;=TODAY())*($T243&lt;=TODAY()+7)+ISNUMBER($U243)*($U243&gt;=TODAY())*($U243&lt;=TODAY()+7)+ISNUMBER($V243)*($V243&gt;=TODAY())*($V243&lt;=TODAY()+7)+ISNUMBER($O243)*($O243&gt;=TODAY())*($O243&lt;=TODAY()+7)+ISNUMBER($P243)*($P243&gt;=TODAY())*($P243&lt;=TODAY()+7)+ISNUMBER($X243)*($X243&gt;=TODAY())*($X243&lt;=TODAY()+7)+ISNUMBER($Y243)*($Y243&gt;=TODAY())*($Y243&lt;=TODAY()+7))</f>
        <v/>
      </c>
      <c r="J243" s="28">
        <f>IF(NOT(AND($A243&lt;&gt;"",OR($G243="",$G243="Active"))),"",IF($K243&lt;&gt;"",IF($L243=$K243,"Booking",IF($M243=$K243,"16/40",IF($N243=$K243,"25/40",IF($Q243=$K243,"28/40",IF($R243=$K243,"31/40",IF($S243=$K243,"34/40",IF($T243=$K243,"36/40",IF($U243=$K243,"38/40",IF($V243=$K243,"40/40",""))))))))),IF(IF(OR(ISNUMBER($V243),$V243="DNA"),$V243,IF(OR(ISNUMBER($U243),$U243="DNA"),$U243,IF(OR(ISNUMBER($T243),$T243="DNA"),$T243,IF(OR(ISNUMBER($S243),$S243="DNA"),$S243,IF(OR(ISNUMBER($R243),$R243="DNA"),$R243,IF(OR(ISNUMBER($Q243),$Q243="DNA"),$Q243,IF(OR(ISNUMBER($N243),$N243="DNA"),$N243,IF(OR(ISNUMBER($M243),$M243="DNA"),$M243,IF(OR(ISNUMBER($L243),$L243="DNA"),$L243,"")))))))))="DNA","Rebook DNA",IF(ISNUMBER(IF(OR(ISNUMBER($V243),$V243="DNA"),$V243,IF(OR(ISNUMBER($U243),$U243="DNA"),$U243,IF(OR(ISNUMBER($T243),$T243="DNA"),$T243,IF(OR(ISNUMBER($S243),$S243="DNA"),$S243,IF(OR(ISNUMBER($R243),$R243="DNA"),$R243,IF(OR(ISNUMBER($Q243),$Q243="DNA"),$Q243,IF(OR(ISNUMBER($N243),$N243="DNA"),$N243,IF(OR(ISNUMBER($M243),$M243="DNA"),$M243,IF(OR(ISNUMBER($L243),$L243="DNA"),$L243,"")))))))))),IF(ISNUMBER($V243),"Update status","Missed/not booked?"),""))))</f>
        <v/>
      </c>
      <c r="K243" s="29">
        <f>IF(NOT(AND($A243&lt;&gt;"",OR($G243="",$G243="Active"))),"",IF(MIN(IF(AND(ISNUMBER($L243),$L243&gt;=TODAY()),$L243,99999),IF(AND(ISNUMBER($M243),$M243&gt;=TODAY()),$M243,99999),IF(AND(ISNUMBER($N243),$N243&gt;=TODAY()),$N243,99999),IF(AND(ISNUMBER($Q243),$Q243&gt;=TODAY()),$Q243,99999),IF(AND(ISNUMBER($R243),$R243&gt;=TODAY()),$R243,99999),IF(AND(ISNUMBER($S243),$S243&gt;=TODAY()),$S243,99999),IF(AND(ISNUMBER($T243),$T243&gt;=TODAY()),$T243,99999),IF(AND(ISNUMBER($U243),$U243&gt;=TODAY()),$U243,99999),IF(AND(ISNUMBER($V243),$V243&gt;=TODAY()),$V243,99999))=99999,"",MIN(IF(AND(ISNUMBER($L243),$L243&gt;=TODAY()),$L243,99999),IF(AND(ISNUMBER($M243),$M243&gt;=TODAY()),$M243,99999),IF(AND(ISNUMBER($N243),$N243&gt;=TODAY()),$N243,99999),IF(AND(ISNUMBER($Q243),$Q243&gt;=TODAY()),$Q243,99999),IF(AND(ISNUMBER($R243),$R243&gt;=TODAY()),$R243,99999),IF(AND(ISNUMBER($S243),$S243&gt;=TODAY()),$S243,99999),IF(AND(ISNUMBER($T243),$T243&gt;=TODAY()),$T243,99999),IF(AND(ISNUMBER($U243),$U243&gt;=TODAY()),$U243,99999),IF(AND(ISNUMBER($V243),$V243&gt;=TODAY()),$V243,99999))))</f>
        <v/>
      </c>
      <c r="L243" s="27" t="n"/>
      <c r="M243" s="27" t="n"/>
      <c r="N243" s="27" t="n"/>
      <c r="O243" s="27" t="n"/>
      <c r="P243" s="27" t="n"/>
      <c r="Q243" s="27" t="n"/>
      <c r="R243" s="27" t="n"/>
      <c r="S243" s="27" t="n"/>
      <c r="T243" s="27" t="n"/>
      <c r="U243" s="27" t="n"/>
      <c r="V243" s="27" t="n"/>
      <c r="W243" s="27" t="n"/>
      <c r="X243" s="27" t="n"/>
      <c r="Y243" s="27" t="n"/>
      <c r="Z243" s="30" t="n"/>
      <c r="AA243" s="25" t="n"/>
      <c r="AB243" s="28">
        <f>IF(NOT(AND($A243&lt;&gt;"",OR($G243="",$G243="Active"))),"",IF(OR(IF(OR(ISNUMBER($V243),$V243="DNA"),$V243,IF(OR(ISNUMBER($U243),$U243="DNA"),$U243,IF(OR(ISNUMBER($T243),$T243="DNA"),$T243,IF(OR(ISNUMBER($S243),$S243="DNA"),$S243,IF(OR(ISNUMBER($R243),$R243="DNA"),$R243,IF(OR(ISNUMBER($Q243),$Q243="DNA"),$Q243,IF(OR(ISNUMBER($N243),$N243="DNA"),$N243,IF(OR(ISNUMBER($M243),$M243="DNA"),$M243,IF(OR(ISNUMBER($L243),$L243="DNA"),$L243,"")))))))))="DNA",AND(ISNUMBER(IF(OR(ISNUMBER($V243),$V243="DNA"),$V243,IF(OR(ISNUMBER($U243),$U243="DNA"),$U243,IF(OR(ISNUMBER($T243),$T243="DNA"),$T243,IF(OR(ISNUMBER($S243),$S243="DNA"),$S243,IF(OR(ISNUMBER($R243),$R243="DNA"),$R243,IF(OR(ISNUMBER($Q243),$Q243="DNA"),$Q243,IF(OR(ISNUMBER($N243),$N243="DNA"),$N243,IF(OR(ISNUMBER($M243),$M243="DNA"),$M243,IF(OR(ISNUMBER($L243),$L243="DNA"),$L243,"")))))))))),IF(OR(ISNUMBER($V243),$V243="DNA"),$V243,IF(OR(ISNUMBER($U243),$U243="DNA"),$U243,IF(OR(ISNUMBER($T243),$T243="DNA"),$T243,IF(OR(ISNUMBER($S243),$S243="DNA"),$S243,IF(OR(ISNUMBER($R243),$R243="DNA"),$R243,IF(OR(ISNUMBER($Q243),$Q243="DNA"),$Q243,IF(OR(ISNUMBER($N243),$N243="DNA"),$N243,IF(OR(ISNUMBER($M243),$M243="DNA"),$M243,IF(OR(ISNUMBER($L243),$L243="DNA"),$L243,"")))))))))&lt;TODAY())),1,0)+ISNUMBER($O243)*($O243&lt;TODAY())+ISNUMBER($P243)*($P243&lt;TODAY())+ISNUMBER($X243)*($X243&lt;TODAY())+ISNUMBER($Y243)*($Y243&lt;TODAY()))</f>
        <v/>
      </c>
    </row>
    <row r="244">
      <c r="A244" s="25" t="n"/>
      <c r="B244" s="26" t="n"/>
      <c r="C244" s="27" t="n"/>
      <c r="D244" s="25" t="n"/>
      <c r="E244" s="25" t="n"/>
      <c r="F244" s="27" t="n"/>
      <c r="G244" s="25" t="n"/>
      <c r="H244" s="28">
        <f>IF(OR(NOT(AND($A244&lt;&gt;"",OR($G244="",$G244="Active"))),$F244=""),"",INT((TODAY()-$F244+280)/7)&amp;"+"&amp;MOD(TODAY()-$F244+280,7))</f>
        <v/>
      </c>
      <c r="I244" s="28">
        <f>IF(NOT(AND($A244&lt;&gt;"",OR($G244="",$G244="Active"))),"",ISNUMBER($L244)*($L244&gt;=TODAY())*($L244&lt;=TODAY()+7)+ISNUMBER($M244)*($M244&gt;=TODAY())*($M244&lt;=TODAY()+7)+ISNUMBER($N244)*($N244&gt;=TODAY())*($N244&lt;=TODAY()+7)+ISNUMBER($Q244)*($Q244&gt;=TODAY())*($Q244&lt;=TODAY()+7)+ISNUMBER($R244)*($R244&gt;=TODAY())*($R244&lt;=TODAY()+7)+ISNUMBER($S244)*($S244&gt;=TODAY())*($S244&lt;=TODAY()+7)+ISNUMBER($T244)*($T244&gt;=TODAY())*($T244&lt;=TODAY()+7)+ISNUMBER($U244)*($U244&gt;=TODAY())*($U244&lt;=TODAY()+7)+ISNUMBER($V244)*($V244&gt;=TODAY())*($V244&lt;=TODAY()+7)+ISNUMBER($O244)*($O244&gt;=TODAY())*($O244&lt;=TODAY()+7)+ISNUMBER($P244)*($P244&gt;=TODAY())*($P244&lt;=TODAY()+7)+ISNUMBER($X244)*($X244&gt;=TODAY())*($X244&lt;=TODAY()+7)+ISNUMBER($Y244)*($Y244&gt;=TODAY())*($Y244&lt;=TODAY()+7))</f>
        <v/>
      </c>
      <c r="J244" s="28">
        <f>IF(NOT(AND($A244&lt;&gt;"",OR($G244="",$G244="Active"))),"",IF($K244&lt;&gt;"",IF($L244=$K244,"Booking",IF($M244=$K244,"16/40",IF($N244=$K244,"25/40",IF($Q244=$K244,"28/40",IF($R244=$K244,"31/40",IF($S244=$K244,"34/40",IF($T244=$K244,"36/40",IF($U244=$K244,"38/40",IF($V244=$K244,"40/40",""))))))))),IF(IF(OR(ISNUMBER($V244),$V244="DNA"),$V244,IF(OR(ISNUMBER($U244),$U244="DNA"),$U244,IF(OR(ISNUMBER($T244),$T244="DNA"),$T244,IF(OR(ISNUMBER($S244),$S244="DNA"),$S244,IF(OR(ISNUMBER($R244),$R244="DNA"),$R244,IF(OR(ISNUMBER($Q244),$Q244="DNA"),$Q244,IF(OR(ISNUMBER($N244),$N244="DNA"),$N244,IF(OR(ISNUMBER($M244),$M244="DNA"),$M244,IF(OR(ISNUMBER($L244),$L244="DNA"),$L244,"")))))))))="DNA","Rebook DNA",IF(ISNUMBER(IF(OR(ISNUMBER($V244),$V244="DNA"),$V244,IF(OR(ISNUMBER($U244),$U244="DNA"),$U244,IF(OR(ISNUMBER($T244),$T244="DNA"),$T244,IF(OR(ISNUMBER($S244),$S244="DNA"),$S244,IF(OR(ISNUMBER($R244),$R244="DNA"),$R244,IF(OR(ISNUMBER($Q244),$Q244="DNA"),$Q244,IF(OR(ISNUMBER($N244),$N244="DNA"),$N244,IF(OR(ISNUMBER($M244),$M244="DNA"),$M244,IF(OR(ISNUMBER($L244),$L244="DNA"),$L244,"")))))))))),IF(ISNUMBER($V244),"Update status","Missed/not booked?"),""))))</f>
        <v/>
      </c>
      <c r="K244" s="29">
        <f>IF(NOT(AND($A244&lt;&gt;"",OR($G244="",$G244="Active"))),"",IF(MIN(IF(AND(ISNUMBER($L244),$L244&gt;=TODAY()),$L244,99999),IF(AND(ISNUMBER($M244),$M244&gt;=TODAY()),$M244,99999),IF(AND(ISNUMBER($N244),$N244&gt;=TODAY()),$N244,99999),IF(AND(ISNUMBER($Q244),$Q244&gt;=TODAY()),$Q244,99999),IF(AND(ISNUMBER($R244),$R244&gt;=TODAY()),$R244,99999),IF(AND(ISNUMBER($S244),$S244&gt;=TODAY()),$S244,99999),IF(AND(ISNUMBER($T244),$T244&gt;=TODAY()),$T244,99999),IF(AND(ISNUMBER($U244),$U244&gt;=TODAY()),$U244,99999),IF(AND(ISNUMBER($V244),$V244&gt;=TODAY()),$V244,99999))=99999,"",MIN(IF(AND(ISNUMBER($L244),$L244&gt;=TODAY()),$L244,99999),IF(AND(ISNUMBER($M244),$M244&gt;=TODAY()),$M244,99999),IF(AND(ISNUMBER($N244),$N244&gt;=TODAY()),$N244,99999),IF(AND(ISNUMBER($Q244),$Q244&gt;=TODAY()),$Q244,99999),IF(AND(ISNUMBER($R244),$R244&gt;=TODAY()),$R244,99999),IF(AND(ISNUMBER($S244),$S244&gt;=TODAY()),$S244,99999),IF(AND(ISNUMBER($T244),$T244&gt;=TODAY()),$T244,99999),IF(AND(ISNUMBER($U244),$U244&gt;=TODAY()),$U244,99999),IF(AND(ISNUMBER($V244),$V244&gt;=TODAY()),$V244,99999))))</f>
        <v/>
      </c>
      <c r="L244" s="27" t="n"/>
      <c r="M244" s="27" t="n"/>
      <c r="N244" s="27" t="n"/>
      <c r="O244" s="27" t="n"/>
      <c r="P244" s="27" t="n"/>
      <c r="Q244" s="27" t="n"/>
      <c r="R244" s="27" t="n"/>
      <c r="S244" s="27" t="n"/>
      <c r="T244" s="27" t="n"/>
      <c r="U244" s="27" t="n"/>
      <c r="V244" s="27" t="n"/>
      <c r="W244" s="27" t="n"/>
      <c r="X244" s="27" t="n"/>
      <c r="Y244" s="27" t="n"/>
      <c r="Z244" s="30" t="n"/>
      <c r="AA244" s="25" t="n"/>
      <c r="AB244" s="28">
        <f>IF(NOT(AND($A244&lt;&gt;"",OR($G244="",$G244="Active"))),"",IF(OR(IF(OR(ISNUMBER($V244),$V244="DNA"),$V244,IF(OR(ISNUMBER($U244),$U244="DNA"),$U244,IF(OR(ISNUMBER($T244),$T244="DNA"),$T244,IF(OR(ISNUMBER($S244),$S244="DNA"),$S244,IF(OR(ISNUMBER($R244),$R244="DNA"),$R244,IF(OR(ISNUMBER($Q244),$Q244="DNA"),$Q244,IF(OR(ISNUMBER($N244),$N244="DNA"),$N244,IF(OR(ISNUMBER($M244),$M244="DNA"),$M244,IF(OR(ISNUMBER($L244),$L244="DNA"),$L244,"")))))))))="DNA",AND(ISNUMBER(IF(OR(ISNUMBER($V244),$V244="DNA"),$V244,IF(OR(ISNUMBER($U244),$U244="DNA"),$U244,IF(OR(ISNUMBER($T244),$T244="DNA"),$T244,IF(OR(ISNUMBER($S244),$S244="DNA"),$S244,IF(OR(ISNUMBER($R244),$R244="DNA"),$R244,IF(OR(ISNUMBER($Q244),$Q244="DNA"),$Q244,IF(OR(ISNUMBER($N244),$N244="DNA"),$N244,IF(OR(ISNUMBER($M244),$M244="DNA"),$M244,IF(OR(ISNUMBER($L244),$L244="DNA"),$L244,"")))))))))),IF(OR(ISNUMBER($V244),$V244="DNA"),$V244,IF(OR(ISNUMBER($U244),$U244="DNA"),$U244,IF(OR(ISNUMBER($T244),$T244="DNA"),$T244,IF(OR(ISNUMBER($S244),$S244="DNA"),$S244,IF(OR(ISNUMBER($R244),$R244="DNA"),$R244,IF(OR(ISNUMBER($Q244),$Q244="DNA"),$Q244,IF(OR(ISNUMBER($N244),$N244="DNA"),$N244,IF(OR(ISNUMBER($M244),$M244="DNA"),$M244,IF(OR(ISNUMBER($L244),$L244="DNA"),$L244,"")))))))))&lt;TODAY())),1,0)+ISNUMBER($O244)*($O244&lt;TODAY())+ISNUMBER($P244)*($P244&lt;TODAY())+ISNUMBER($X244)*($X244&lt;TODAY())+ISNUMBER($Y244)*($Y244&lt;TODAY()))</f>
        <v/>
      </c>
    </row>
    <row r="245">
      <c r="A245" s="25" t="n"/>
      <c r="B245" s="26" t="n"/>
      <c r="C245" s="27" t="n"/>
      <c r="D245" s="25" t="n"/>
      <c r="E245" s="25" t="n"/>
      <c r="F245" s="27" t="n"/>
      <c r="G245" s="25" t="n"/>
      <c r="H245" s="28">
        <f>IF(OR(NOT(AND($A245&lt;&gt;"",OR($G245="",$G245="Active"))),$F245=""),"",INT((TODAY()-$F245+280)/7)&amp;"+"&amp;MOD(TODAY()-$F245+280,7))</f>
        <v/>
      </c>
      <c r="I245" s="28">
        <f>IF(NOT(AND($A245&lt;&gt;"",OR($G245="",$G245="Active"))),"",ISNUMBER($L245)*($L245&gt;=TODAY())*($L245&lt;=TODAY()+7)+ISNUMBER($M245)*($M245&gt;=TODAY())*($M245&lt;=TODAY()+7)+ISNUMBER($N245)*($N245&gt;=TODAY())*($N245&lt;=TODAY()+7)+ISNUMBER($Q245)*($Q245&gt;=TODAY())*($Q245&lt;=TODAY()+7)+ISNUMBER($R245)*($R245&gt;=TODAY())*($R245&lt;=TODAY()+7)+ISNUMBER($S245)*($S245&gt;=TODAY())*($S245&lt;=TODAY()+7)+ISNUMBER($T245)*($T245&gt;=TODAY())*($T245&lt;=TODAY()+7)+ISNUMBER($U245)*($U245&gt;=TODAY())*($U245&lt;=TODAY()+7)+ISNUMBER($V245)*($V245&gt;=TODAY())*($V245&lt;=TODAY()+7)+ISNUMBER($O245)*($O245&gt;=TODAY())*($O245&lt;=TODAY()+7)+ISNUMBER($P245)*($P245&gt;=TODAY())*($P245&lt;=TODAY()+7)+ISNUMBER($X245)*($X245&gt;=TODAY())*($X245&lt;=TODAY()+7)+ISNUMBER($Y245)*($Y245&gt;=TODAY())*($Y245&lt;=TODAY()+7))</f>
        <v/>
      </c>
      <c r="J245" s="28">
        <f>IF(NOT(AND($A245&lt;&gt;"",OR($G245="",$G245="Active"))),"",IF($K245&lt;&gt;"",IF($L245=$K245,"Booking",IF($M245=$K245,"16/40",IF($N245=$K245,"25/40",IF($Q245=$K245,"28/40",IF($R245=$K245,"31/40",IF($S245=$K245,"34/40",IF($T245=$K245,"36/40",IF($U245=$K245,"38/40",IF($V245=$K245,"40/40",""))))))))),IF(IF(OR(ISNUMBER($V245),$V245="DNA"),$V245,IF(OR(ISNUMBER($U245),$U245="DNA"),$U245,IF(OR(ISNUMBER($T245),$T245="DNA"),$T245,IF(OR(ISNUMBER($S245),$S245="DNA"),$S245,IF(OR(ISNUMBER($R245),$R245="DNA"),$R245,IF(OR(ISNUMBER($Q245),$Q245="DNA"),$Q245,IF(OR(ISNUMBER($N245),$N245="DNA"),$N245,IF(OR(ISNUMBER($M245),$M245="DNA"),$M245,IF(OR(ISNUMBER($L245),$L245="DNA"),$L245,"")))))))))="DNA","Rebook DNA",IF(ISNUMBER(IF(OR(ISNUMBER($V245),$V245="DNA"),$V245,IF(OR(ISNUMBER($U245),$U245="DNA"),$U245,IF(OR(ISNUMBER($T245),$T245="DNA"),$T245,IF(OR(ISNUMBER($S245),$S245="DNA"),$S245,IF(OR(ISNUMBER($R245),$R245="DNA"),$R245,IF(OR(ISNUMBER($Q245),$Q245="DNA"),$Q245,IF(OR(ISNUMBER($N245),$N245="DNA"),$N245,IF(OR(ISNUMBER($M245),$M245="DNA"),$M245,IF(OR(ISNUMBER($L245),$L245="DNA"),$L245,"")))))))))),IF(ISNUMBER($V245),"Update status","Missed/not booked?"),""))))</f>
        <v/>
      </c>
      <c r="K245" s="29">
        <f>IF(NOT(AND($A245&lt;&gt;"",OR($G245="",$G245="Active"))),"",IF(MIN(IF(AND(ISNUMBER($L245),$L245&gt;=TODAY()),$L245,99999),IF(AND(ISNUMBER($M245),$M245&gt;=TODAY()),$M245,99999),IF(AND(ISNUMBER($N245),$N245&gt;=TODAY()),$N245,99999),IF(AND(ISNUMBER($Q245),$Q245&gt;=TODAY()),$Q245,99999),IF(AND(ISNUMBER($R245),$R245&gt;=TODAY()),$R245,99999),IF(AND(ISNUMBER($S245),$S245&gt;=TODAY()),$S245,99999),IF(AND(ISNUMBER($T245),$T245&gt;=TODAY()),$T245,99999),IF(AND(ISNUMBER($U245),$U245&gt;=TODAY()),$U245,99999),IF(AND(ISNUMBER($V245),$V245&gt;=TODAY()),$V245,99999))=99999,"",MIN(IF(AND(ISNUMBER($L245),$L245&gt;=TODAY()),$L245,99999),IF(AND(ISNUMBER($M245),$M245&gt;=TODAY()),$M245,99999),IF(AND(ISNUMBER($N245),$N245&gt;=TODAY()),$N245,99999),IF(AND(ISNUMBER($Q245),$Q245&gt;=TODAY()),$Q245,99999),IF(AND(ISNUMBER($R245),$R245&gt;=TODAY()),$R245,99999),IF(AND(ISNUMBER($S245),$S245&gt;=TODAY()),$S245,99999),IF(AND(ISNUMBER($T245),$T245&gt;=TODAY()),$T245,99999),IF(AND(ISNUMBER($U245),$U245&gt;=TODAY()),$U245,99999),IF(AND(ISNUMBER($V245),$V245&gt;=TODAY()),$V245,99999))))</f>
        <v/>
      </c>
      <c r="L245" s="27" t="n"/>
      <c r="M245" s="27" t="n"/>
      <c r="N245" s="27" t="n"/>
      <c r="O245" s="27" t="n"/>
      <c r="P245" s="27" t="n"/>
      <c r="Q245" s="27" t="n"/>
      <c r="R245" s="27" t="n"/>
      <c r="S245" s="27" t="n"/>
      <c r="T245" s="27" t="n"/>
      <c r="U245" s="27" t="n"/>
      <c r="V245" s="27" t="n"/>
      <c r="W245" s="27" t="n"/>
      <c r="X245" s="27" t="n"/>
      <c r="Y245" s="27" t="n"/>
      <c r="Z245" s="30" t="n"/>
      <c r="AA245" s="25" t="n"/>
      <c r="AB245" s="28">
        <f>IF(NOT(AND($A245&lt;&gt;"",OR($G245="",$G245="Active"))),"",IF(OR(IF(OR(ISNUMBER($V245),$V245="DNA"),$V245,IF(OR(ISNUMBER($U245),$U245="DNA"),$U245,IF(OR(ISNUMBER($T245),$T245="DNA"),$T245,IF(OR(ISNUMBER($S245),$S245="DNA"),$S245,IF(OR(ISNUMBER($R245),$R245="DNA"),$R245,IF(OR(ISNUMBER($Q245),$Q245="DNA"),$Q245,IF(OR(ISNUMBER($N245),$N245="DNA"),$N245,IF(OR(ISNUMBER($M245),$M245="DNA"),$M245,IF(OR(ISNUMBER($L245),$L245="DNA"),$L245,"")))))))))="DNA",AND(ISNUMBER(IF(OR(ISNUMBER($V245),$V245="DNA"),$V245,IF(OR(ISNUMBER($U245),$U245="DNA"),$U245,IF(OR(ISNUMBER($T245),$T245="DNA"),$T245,IF(OR(ISNUMBER($S245),$S245="DNA"),$S245,IF(OR(ISNUMBER($R245),$R245="DNA"),$R245,IF(OR(ISNUMBER($Q245),$Q245="DNA"),$Q245,IF(OR(ISNUMBER($N245),$N245="DNA"),$N245,IF(OR(ISNUMBER($M245),$M245="DNA"),$M245,IF(OR(ISNUMBER($L245),$L245="DNA"),$L245,"")))))))))),IF(OR(ISNUMBER($V245),$V245="DNA"),$V245,IF(OR(ISNUMBER($U245),$U245="DNA"),$U245,IF(OR(ISNUMBER($T245),$T245="DNA"),$T245,IF(OR(ISNUMBER($S245),$S245="DNA"),$S245,IF(OR(ISNUMBER($R245),$R245="DNA"),$R245,IF(OR(ISNUMBER($Q245),$Q245="DNA"),$Q245,IF(OR(ISNUMBER($N245),$N245="DNA"),$N245,IF(OR(ISNUMBER($M245),$M245="DNA"),$M245,IF(OR(ISNUMBER($L245),$L245="DNA"),$L245,"")))))))))&lt;TODAY())),1,0)+ISNUMBER($O245)*($O245&lt;TODAY())+ISNUMBER($P245)*($P245&lt;TODAY())+ISNUMBER($X245)*($X245&lt;TODAY())+ISNUMBER($Y245)*($Y245&lt;TODAY()))</f>
        <v/>
      </c>
    </row>
    <row r="246">
      <c r="A246" s="25" t="n"/>
      <c r="B246" s="26" t="n"/>
      <c r="C246" s="27" t="n"/>
      <c r="D246" s="25" t="n"/>
      <c r="E246" s="25" t="n"/>
      <c r="F246" s="27" t="n"/>
      <c r="G246" s="25" t="n"/>
      <c r="H246" s="28">
        <f>IF(OR(NOT(AND($A246&lt;&gt;"",OR($G246="",$G246="Active"))),$F246=""),"",INT((TODAY()-$F246+280)/7)&amp;"+"&amp;MOD(TODAY()-$F246+280,7))</f>
        <v/>
      </c>
      <c r="I246" s="28">
        <f>IF(NOT(AND($A246&lt;&gt;"",OR($G246="",$G246="Active"))),"",ISNUMBER($L246)*($L246&gt;=TODAY())*($L246&lt;=TODAY()+7)+ISNUMBER($M246)*($M246&gt;=TODAY())*($M246&lt;=TODAY()+7)+ISNUMBER($N246)*($N246&gt;=TODAY())*($N246&lt;=TODAY()+7)+ISNUMBER($Q246)*($Q246&gt;=TODAY())*($Q246&lt;=TODAY()+7)+ISNUMBER($R246)*($R246&gt;=TODAY())*($R246&lt;=TODAY()+7)+ISNUMBER($S246)*($S246&gt;=TODAY())*($S246&lt;=TODAY()+7)+ISNUMBER($T246)*($T246&gt;=TODAY())*($T246&lt;=TODAY()+7)+ISNUMBER($U246)*($U246&gt;=TODAY())*($U246&lt;=TODAY()+7)+ISNUMBER($V246)*($V246&gt;=TODAY())*($V246&lt;=TODAY()+7)+ISNUMBER($O246)*($O246&gt;=TODAY())*($O246&lt;=TODAY()+7)+ISNUMBER($P246)*($P246&gt;=TODAY())*($P246&lt;=TODAY()+7)+ISNUMBER($X246)*($X246&gt;=TODAY())*($X246&lt;=TODAY()+7)+ISNUMBER($Y246)*($Y246&gt;=TODAY())*($Y246&lt;=TODAY()+7))</f>
        <v/>
      </c>
      <c r="J246" s="28">
        <f>IF(NOT(AND($A246&lt;&gt;"",OR($G246="",$G246="Active"))),"",IF($K246&lt;&gt;"",IF($L246=$K246,"Booking",IF($M246=$K246,"16/40",IF($N246=$K246,"25/40",IF($Q246=$K246,"28/40",IF($R246=$K246,"31/40",IF($S246=$K246,"34/40",IF($T246=$K246,"36/40",IF($U246=$K246,"38/40",IF($V246=$K246,"40/40",""))))))))),IF(IF(OR(ISNUMBER($V246),$V246="DNA"),$V246,IF(OR(ISNUMBER($U246),$U246="DNA"),$U246,IF(OR(ISNUMBER($T246),$T246="DNA"),$T246,IF(OR(ISNUMBER($S246),$S246="DNA"),$S246,IF(OR(ISNUMBER($R246),$R246="DNA"),$R246,IF(OR(ISNUMBER($Q246),$Q246="DNA"),$Q246,IF(OR(ISNUMBER($N246),$N246="DNA"),$N246,IF(OR(ISNUMBER($M246),$M246="DNA"),$M246,IF(OR(ISNUMBER($L246),$L246="DNA"),$L246,"")))))))))="DNA","Rebook DNA",IF(ISNUMBER(IF(OR(ISNUMBER($V246),$V246="DNA"),$V246,IF(OR(ISNUMBER($U246),$U246="DNA"),$U246,IF(OR(ISNUMBER($T246),$T246="DNA"),$T246,IF(OR(ISNUMBER($S246),$S246="DNA"),$S246,IF(OR(ISNUMBER($R246),$R246="DNA"),$R246,IF(OR(ISNUMBER($Q246),$Q246="DNA"),$Q246,IF(OR(ISNUMBER($N246),$N246="DNA"),$N246,IF(OR(ISNUMBER($M246),$M246="DNA"),$M246,IF(OR(ISNUMBER($L246),$L246="DNA"),$L246,"")))))))))),IF(ISNUMBER($V246),"Update status","Missed/not booked?"),""))))</f>
        <v/>
      </c>
      <c r="K246" s="29">
        <f>IF(NOT(AND($A246&lt;&gt;"",OR($G246="",$G246="Active"))),"",IF(MIN(IF(AND(ISNUMBER($L246),$L246&gt;=TODAY()),$L246,99999),IF(AND(ISNUMBER($M246),$M246&gt;=TODAY()),$M246,99999),IF(AND(ISNUMBER($N246),$N246&gt;=TODAY()),$N246,99999),IF(AND(ISNUMBER($Q246),$Q246&gt;=TODAY()),$Q246,99999),IF(AND(ISNUMBER($R246),$R246&gt;=TODAY()),$R246,99999),IF(AND(ISNUMBER($S246),$S246&gt;=TODAY()),$S246,99999),IF(AND(ISNUMBER($T246),$T246&gt;=TODAY()),$T246,99999),IF(AND(ISNUMBER($U246),$U246&gt;=TODAY()),$U246,99999),IF(AND(ISNUMBER($V246),$V246&gt;=TODAY()),$V246,99999))=99999,"",MIN(IF(AND(ISNUMBER($L246),$L246&gt;=TODAY()),$L246,99999),IF(AND(ISNUMBER($M246),$M246&gt;=TODAY()),$M246,99999),IF(AND(ISNUMBER($N246),$N246&gt;=TODAY()),$N246,99999),IF(AND(ISNUMBER($Q246),$Q246&gt;=TODAY()),$Q246,99999),IF(AND(ISNUMBER($R246),$R246&gt;=TODAY()),$R246,99999),IF(AND(ISNUMBER($S246),$S246&gt;=TODAY()),$S246,99999),IF(AND(ISNUMBER($T246),$T246&gt;=TODAY()),$T246,99999),IF(AND(ISNUMBER($U246),$U246&gt;=TODAY()),$U246,99999),IF(AND(ISNUMBER($V246),$V246&gt;=TODAY()),$V246,99999))))</f>
        <v/>
      </c>
      <c r="L246" s="27" t="n"/>
      <c r="M246" s="27" t="n"/>
      <c r="N246" s="27" t="n"/>
      <c r="O246" s="27" t="n"/>
      <c r="P246" s="27" t="n"/>
      <c r="Q246" s="27" t="n"/>
      <c r="R246" s="27" t="n"/>
      <c r="S246" s="27" t="n"/>
      <c r="T246" s="27" t="n"/>
      <c r="U246" s="27" t="n"/>
      <c r="V246" s="27" t="n"/>
      <c r="W246" s="27" t="n"/>
      <c r="X246" s="27" t="n"/>
      <c r="Y246" s="27" t="n"/>
      <c r="Z246" s="30" t="n"/>
      <c r="AA246" s="25" t="n"/>
      <c r="AB246" s="28">
        <f>IF(NOT(AND($A246&lt;&gt;"",OR($G246="",$G246="Active"))),"",IF(OR(IF(OR(ISNUMBER($V246),$V246="DNA"),$V246,IF(OR(ISNUMBER($U246),$U246="DNA"),$U246,IF(OR(ISNUMBER($T246),$T246="DNA"),$T246,IF(OR(ISNUMBER($S246),$S246="DNA"),$S246,IF(OR(ISNUMBER($R246),$R246="DNA"),$R246,IF(OR(ISNUMBER($Q246),$Q246="DNA"),$Q246,IF(OR(ISNUMBER($N246),$N246="DNA"),$N246,IF(OR(ISNUMBER($M246),$M246="DNA"),$M246,IF(OR(ISNUMBER($L246),$L246="DNA"),$L246,"")))))))))="DNA",AND(ISNUMBER(IF(OR(ISNUMBER($V246),$V246="DNA"),$V246,IF(OR(ISNUMBER($U246),$U246="DNA"),$U246,IF(OR(ISNUMBER($T246),$T246="DNA"),$T246,IF(OR(ISNUMBER($S246),$S246="DNA"),$S246,IF(OR(ISNUMBER($R246),$R246="DNA"),$R246,IF(OR(ISNUMBER($Q246),$Q246="DNA"),$Q246,IF(OR(ISNUMBER($N246),$N246="DNA"),$N246,IF(OR(ISNUMBER($M246),$M246="DNA"),$M246,IF(OR(ISNUMBER($L246),$L246="DNA"),$L246,"")))))))))),IF(OR(ISNUMBER($V246),$V246="DNA"),$V246,IF(OR(ISNUMBER($U246),$U246="DNA"),$U246,IF(OR(ISNUMBER($T246),$T246="DNA"),$T246,IF(OR(ISNUMBER($S246),$S246="DNA"),$S246,IF(OR(ISNUMBER($R246),$R246="DNA"),$R246,IF(OR(ISNUMBER($Q246),$Q246="DNA"),$Q246,IF(OR(ISNUMBER($N246),$N246="DNA"),$N246,IF(OR(ISNUMBER($M246),$M246="DNA"),$M246,IF(OR(ISNUMBER($L246),$L246="DNA"),$L246,"")))))))))&lt;TODAY())),1,0)+ISNUMBER($O246)*($O246&lt;TODAY())+ISNUMBER($P246)*($P246&lt;TODAY())+ISNUMBER($X246)*($X246&lt;TODAY())+ISNUMBER($Y246)*($Y246&lt;TODAY()))</f>
        <v/>
      </c>
    </row>
    <row r="247">
      <c r="A247" s="25" t="n"/>
      <c r="B247" s="26" t="n"/>
      <c r="C247" s="27" t="n"/>
      <c r="D247" s="25" t="n"/>
      <c r="E247" s="25" t="n"/>
      <c r="F247" s="27" t="n"/>
      <c r="G247" s="25" t="n"/>
      <c r="H247" s="28">
        <f>IF(OR(NOT(AND($A247&lt;&gt;"",OR($G247="",$G247="Active"))),$F247=""),"",INT((TODAY()-$F247+280)/7)&amp;"+"&amp;MOD(TODAY()-$F247+280,7))</f>
        <v/>
      </c>
      <c r="I247" s="28">
        <f>IF(NOT(AND($A247&lt;&gt;"",OR($G247="",$G247="Active"))),"",ISNUMBER($L247)*($L247&gt;=TODAY())*($L247&lt;=TODAY()+7)+ISNUMBER($M247)*($M247&gt;=TODAY())*($M247&lt;=TODAY()+7)+ISNUMBER($N247)*($N247&gt;=TODAY())*($N247&lt;=TODAY()+7)+ISNUMBER($Q247)*($Q247&gt;=TODAY())*($Q247&lt;=TODAY()+7)+ISNUMBER($R247)*($R247&gt;=TODAY())*($R247&lt;=TODAY()+7)+ISNUMBER($S247)*($S247&gt;=TODAY())*($S247&lt;=TODAY()+7)+ISNUMBER($T247)*($T247&gt;=TODAY())*($T247&lt;=TODAY()+7)+ISNUMBER($U247)*($U247&gt;=TODAY())*($U247&lt;=TODAY()+7)+ISNUMBER($V247)*($V247&gt;=TODAY())*($V247&lt;=TODAY()+7)+ISNUMBER($O247)*($O247&gt;=TODAY())*($O247&lt;=TODAY()+7)+ISNUMBER($P247)*($P247&gt;=TODAY())*($P247&lt;=TODAY()+7)+ISNUMBER($X247)*($X247&gt;=TODAY())*($X247&lt;=TODAY()+7)+ISNUMBER($Y247)*($Y247&gt;=TODAY())*($Y247&lt;=TODAY()+7))</f>
        <v/>
      </c>
      <c r="J247" s="28">
        <f>IF(NOT(AND($A247&lt;&gt;"",OR($G247="",$G247="Active"))),"",IF($K247&lt;&gt;"",IF($L247=$K247,"Booking",IF($M247=$K247,"16/40",IF($N247=$K247,"25/40",IF($Q247=$K247,"28/40",IF($R247=$K247,"31/40",IF($S247=$K247,"34/40",IF($T247=$K247,"36/40",IF($U247=$K247,"38/40",IF($V247=$K247,"40/40",""))))))))),IF(IF(OR(ISNUMBER($V247),$V247="DNA"),$V247,IF(OR(ISNUMBER($U247),$U247="DNA"),$U247,IF(OR(ISNUMBER($T247),$T247="DNA"),$T247,IF(OR(ISNUMBER($S247),$S247="DNA"),$S247,IF(OR(ISNUMBER($R247),$R247="DNA"),$R247,IF(OR(ISNUMBER($Q247),$Q247="DNA"),$Q247,IF(OR(ISNUMBER($N247),$N247="DNA"),$N247,IF(OR(ISNUMBER($M247),$M247="DNA"),$M247,IF(OR(ISNUMBER($L247),$L247="DNA"),$L247,"")))))))))="DNA","Rebook DNA",IF(ISNUMBER(IF(OR(ISNUMBER($V247),$V247="DNA"),$V247,IF(OR(ISNUMBER($U247),$U247="DNA"),$U247,IF(OR(ISNUMBER($T247),$T247="DNA"),$T247,IF(OR(ISNUMBER($S247),$S247="DNA"),$S247,IF(OR(ISNUMBER($R247),$R247="DNA"),$R247,IF(OR(ISNUMBER($Q247),$Q247="DNA"),$Q247,IF(OR(ISNUMBER($N247),$N247="DNA"),$N247,IF(OR(ISNUMBER($M247),$M247="DNA"),$M247,IF(OR(ISNUMBER($L247),$L247="DNA"),$L247,"")))))))))),IF(ISNUMBER($V247),"Update status","Missed/not booked?"),""))))</f>
        <v/>
      </c>
      <c r="K247" s="29">
        <f>IF(NOT(AND($A247&lt;&gt;"",OR($G247="",$G247="Active"))),"",IF(MIN(IF(AND(ISNUMBER($L247),$L247&gt;=TODAY()),$L247,99999),IF(AND(ISNUMBER($M247),$M247&gt;=TODAY()),$M247,99999),IF(AND(ISNUMBER($N247),$N247&gt;=TODAY()),$N247,99999),IF(AND(ISNUMBER($Q247),$Q247&gt;=TODAY()),$Q247,99999),IF(AND(ISNUMBER($R247),$R247&gt;=TODAY()),$R247,99999),IF(AND(ISNUMBER($S247),$S247&gt;=TODAY()),$S247,99999),IF(AND(ISNUMBER($T247),$T247&gt;=TODAY()),$T247,99999),IF(AND(ISNUMBER($U247),$U247&gt;=TODAY()),$U247,99999),IF(AND(ISNUMBER($V247),$V247&gt;=TODAY()),$V247,99999))=99999,"",MIN(IF(AND(ISNUMBER($L247),$L247&gt;=TODAY()),$L247,99999),IF(AND(ISNUMBER($M247),$M247&gt;=TODAY()),$M247,99999),IF(AND(ISNUMBER($N247),$N247&gt;=TODAY()),$N247,99999),IF(AND(ISNUMBER($Q247),$Q247&gt;=TODAY()),$Q247,99999),IF(AND(ISNUMBER($R247),$R247&gt;=TODAY()),$R247,99999),IF(AND(ISNUMBER($S247),$S247&gt;=TODAY()),$S247,99999),IF(AND(ISNUMBER($T247),$T247&gt;=TODAY()),$T247,99999),IF(AND(ISNUMBER($U247),$U247&gt;=TODAY()),$U247,99999),IF(AND(ISNUMBER($V247),$V247&gt;=TODAY()),$V247,99999))))</f>
        <v/>
      </c>
      <c r="L247" s="27" t="n"/>
      <c r="M247" s="27" t="n"/>
      <c r="N247" s="27" t="n"/>
      <c r="O247" s="27" t="n"/>
      <c r="P247" s="27" t="n"/>
      <c r="Q247" s="27" t="n"/>
      <c r="R247" s="27" t="n"/>
      <c r="S247" s="27" t="n"/>
      <c r="T247" s="27" t="n"/>
      <c r="U247" s="27" t="n"/>
      <c r="V247" s="27" t="n"/>
      <c r="W247" s="27" t="n"/>
      <c r="X247" s="27" t="n"/>
      <c r="Y247" s="27" t="n"/>
      <c r="Z247" s="30" t="n"/>
      <c r="AA247" s="25" t="n"/>
      <c r="AB247" s="28">
        <f>IF(NOT(AND($A247&lt;&gt;"",OR($G247="",$G247="Active"))),"",IF(OR(IF(OR(ISNUMBER($V247),$V247="DNA"),$V247,IF(OR(ISNUMBER($U247),$U247="DNA"),$U247,IF(OR(ISNUMBER($T247),$T247="DNA"),$T247,IF(OR(ISNUMBER($S247),$S247="DNA"),$S247,IF(OR(ISNUMBER($R247),$R247="DNA"),$R247,IF(OR(ISNUMBER($Q247),$Q247="DNA"),$Q247,IF(OR(ISNUMBER($N247),$N247="DNA"),$N247,IF(OR(ISNUMBER($M247),$M247="DNA"),$M247,IF(OR(ISNUMBER($L247),$L247="DNA"),$L247,"")))))))))="DNA",AND(ISNUMBER(IF(OR(ISNUMBER($V247),$V247="DNA"),$V247,IF(OR(ISNUMBER($U247),$U247="DNA"),$U247,IF(OR(ISNUMBER($T247),$T247="DNA"),$T247,IF(OR(ISNUMBER($S247),$S247="DNA"),$S247,IF(OR(ISNUMBER($R247),$R247="DNA"),$R247,IF(OR(ISNUMBER($Q247),$Q247="DNA"),$Q247,IF(OR(ISNUMBER($N247),$N247="DNA"),$N247,IF(OR(ISNUMBER($M247),$M247="DNA"),$M247,IF(OR(ISNUMBER($L247),$L247="DNA"),$L247,"")))))))))),IF(OR(ISNUMBER($V247),$V247="DNA"),$V247,IF(OR(ISNUMBER($U247),$U247="DNA"),$U247,IF(OR(ISNUMBER($T247),$T247="DNA"),$T247,IF(OR(ISNUMBER($S247),$S247="DNA"),$S247,IF(OR(ISNUMBER($R247),$R247="DNA"),$R247,IF(OR(ISNUMBER($Q247),$Q247="DNA"),$Q247,IF(OR(ISNUMBER($N247),$N247="DNA"),$N247,IF(OR(ISNUMBER($M247),$M247="DNA"),$M247,IF(OR(ISNUMBER($L247),$L247="DNA"),$L247,"")))))))))&lt;TODAY())),1,0)+ISNUMBER($O247)*($O247&lt;TODAY())+ISNUMBER($P247)*($P247&lt;TODAY())+ISNUMBER($X247)*($X247&lt;TODAY())+ISNUMBER($Y247)*($Y247&lt;TODAY()))</f>
        <v/>
      </c>
    </row>
    <row r="248">
      <c r="A248" s="25" t="n"/>
      <c r="B248" s="26" t="n"/>
      <c r="C248" s="27" t="n"/>
      <c r="D248" s="25" t="n"/>
      <c r="E248" s="25" t="n"/>
      <c r="F248" s="27" t="n"/>
      <c r="G248" s="25" t="n"/>
      <c r="H248" s="28">
        <f>IF(OR(NOT(AND($A248&lt;&gt;"",OR($G248="",$G248="Active"))),$F248=""),"",INT((TODAY()-$F248+280)/7)&amp;"+"&amp;MOD(TODAY()-$F248+280,7))</f>
        <v/>
      </c>
      <c r="I248" s="28">
        <f>IF(NOT(AND($A248&lt;&gt;"",OR($G248="",$G248="Active"))),"",ISNUMBER($L248)*($L248&gt;=TODAY())*($L248&lt;=TODAY()+7)+ISNUMBER($M248)*($M248&gt;=TODAY())*($M248&lt;=TODAY()+7)+ISNUMBER($N248)*($N248&gt;=TODAY())*($N248&lt;=TODAY()+7)+ISNUMBER($Q248)*($Q248&gt;=TODAY())*($Q248&lt;=TODAY()+7)+ISNUMBER($R248)*($R248&gt;=TODAY())*($R248&lt;=TODAY()+7)+ISNUMBER($S248)*($S248&gt;=TODAY())*($S248&lt;=TODAY()+7)+ISNUMBER($T248)*($T248&gt;=TODAY())*($T248&lt;=TODAY()+7)+ISNUMBER($U248)*($U248&gt;=TODAY())*($U248&lt;=TODAY()+7)+ISNUMBER($V248)*($V248&gt;=TODAY())*($V248&lt;=TODAY()+7)+ISNUMBER($O248)*($O248&gt;=TODAY())*($O248&lt;=TODAY()+7)+ISNUMBER($P248)*($P248&gt;=TODAY())*($P248&lt;=TODAY()+7)+ISNUMBER($X248)*($X248&gt;=TODAY())*($X248&lt;=TODAY()+7)+ISNUMBER($Y248)*($Y248&gt;=TODAY())*($Y248&lt;=TODAY()+7))</f>
        <v/>
      </c>
      <c r="J248" s="28">
        <f>IF(NOT(AND($A248&lt;&gt;"",OR($G248="",$G248="Active"))),"",IF($K248&lt;&gt;"",IF($L248=$K248,"Booking",IF($M248=$K248,"16/40",IF($N248=$K248,"25/40",IF($Q248=$K248,"28/40",IF($R248=$K248,"31/40",IF($S248=$K248,"34/40",IF($T248=$K248,"36/40",IF($U248=$K248,"38/40",IF($V248=$K248,"40/40",""))))))))),IF(IF(OR(ISNUMBER($V248),$V248="DNA"),$V248,IF(OR(ISNUMBER($U248),$U248="DNA"),$U248,IF(OR(ISNUMBER($T248),$T248="DNA"),$T248,IF(OR(ISNUMBER($S248),$S248="DNA"),$S248,IF(OR(ISNUMBER($R248),$R248="DNA"),$R248,IF(OR(ISNUMBER($Q248),$Q248="DNA"),$Q248,IF(OR(ISNUMBER($N248),$N248="DNA"),$N248,IF(OR(ISNUMBER($M248),$M248="DNA"),$M248,IF(OR(ISNUMBER($L248),$L248="DNA"),$L248,"")))))))))="DNA","Rebook DNA",IF(ISNUMBER(IF(OR(ISNUMBER($V248),$V248="DNA"),$V248,IF(OR(ISNUMBER($U248),$U248="DNA"),$U248,IF(OR(ISNUMBER($T248),$T248="DNA"),$T248,IF(OR(ISNUMBER($S248),$S248="DNA"),$S248,IF(OR(ISNUMBER($R248),$R248="DNA"),$R248,IF(OR(ISNUMBER($Q248),$Q248="DNA"),$Q248,IF(OR(ISNUMBER($N248),$N248="DNA"),$N248,IF(OR(ISNUMBER($M248),$M248="DNA"),$M248,IF(OR(ISNUMBER($L248),$L248="DNA"),$L248,"")))))))))),IF(ISNUMBER($V248),"Update status","Missed/not booked?"),""))))</f>
        <v/>
      </c>
      <c r="K248" s="29">
        <f>IF(NOT(AND($A248&lt;&gt;"",OR($G248="",$G248="Active"))),"",IF(MIN(IF(AND(ISNUMBER($L248),$L248&gt;=TODAY()),$L248,99999),IF(AND(ISNUMBER($M248),$M248&gt;=TODAY()),$M248,99999),IF(AND(ISNUMBER($N248),$N248&gt;=TODAY()),$N248,99999),IF(AND(ISNUMBER($Q248),$Q248&gt;=TODAY()),$Q248,99999),IF(AND(ISNUMBER($R248),$R248&gt;=TODAY()),$R248,99999),IF(AND(ISNUMBER($S248),$S248&gt;=TODAY()),$S248,99999),IF(AND(ISNUMBER($T248),$T248&gt;=TODAY()),$T248,99999),IF(AND(ISNUMBER($U248),$U248&gt;=TODAY()),$U248,99999),IF(AND(ISNUMBER($V248),$V248&gt;=TODAY()),$V248,99999))=99999,"",MIN(IF(AND(ISNUMBER($L248),$L248&gt;=TODAY()),$L248,99999),IF(AND(ISNUMBER($M248),$M248&gt;=TODAY()),$M248,99999),IF(AND(ISNUMBER($N248),$N248&gt;=TODAY()),$N248,99999),IF(AND(ISNUMBER($Q248),$Q248&gt;=TODAY()),$Q248,99999),IF(AND(ISNUMBER($R248),$R248&gt;=TODAY()),$R248,99999),IF(AND(ISNUMBER($S248),$S248&gt;=TODAY()),$S248,99999),IF(AND(ISNUMBER($T248),$T248&gt;=TODAY()),$T248,99999),IF(AND(ISNUMBER($U248),$U248&gt;=TODAY()),$U248,99999),IF(AND(ISNUMBER($V248),$V248&gt;=TODAY()),$V248,99999))))</f>
        <v/>
      </c>
      <c r="L248" s="27" t="n"/>
      <c r="M248" s="27" t="n"/>
      <c r="N248" s="27" t="n"/>
      <c r="O248" s="27" t="n"/>
      <c r="P248" s="27" t="n"/>
      <c r="Q248" s="27" t="n"/>
      <c r="R248" s="27" t="n"/>
      <c r="S248" s="27" t="n"/>
      <c r="T248" s="27" t="n"/>
      <c r="U248" s="27" t="n"/>
      <c r="V248" s="27" t="n"/>
      <c r="W248" s="27" t="n"/>
      <c r="X248" s="27" t="n"/>
      <c r="Y248" s="27" t="n"/>
      <c r="Z248" s="30" t="n"/>
      <c r="AA248" s="25" t="n"/>
      <c r="AB248" s="28">
        <f>IF(NOT(AND($A248&lt;&gt;"",OR($G248="",$G248="Active"))),"",IF(OR(IF(OR(ISNUMBER($V248),$V248="DNA"),$V248,IF(OR(ISNUMBER($U248),$U248="DNA"),$U248,IF(OR(ISNUMBER($T248),$T248="DNA"),$T248,IF(OR(ISNUMBER($S248),$S248="DNA"),$S248,IF(OR(ISNUMBER($R248),$R248="DNA"),$R248,IF(OR(ISNUMBER($Q248),$Q248="DNA"),$Q248,IF(OR(ISNUMBER($N248),$N248="DNA"),$N248,IF(OR(ISNUMBER($M248),$M248="DNA"),$M248,IF(OR(ISNUMBER($L248),$L248="DNA"),$L248,"")))))))))="DNA",AND(ISNUMBER(IF(OR(ISNUMBER($V248),$V248="DNA"),$V248,IF(OR(ISNUMBER($U248),$U248="DNA"),$U248,IF(OR(ISNUMBER($T248),$T248="DNA"),$T248,IF(OR(ISNUMBER($S248),$S248="DNA"),$S248,IF(OR(ISNUMBER($R248),$R248="DNA"),$R248,IF(OR(ISNUMBER($Q248),$Q248="DNA"),$Q248,IF(OR(ISNUMBER($N248),$N248="DNA"),$N248,IF(OR(ISNUMBER($M248),$M248="DNA"),$M248,IF(OR(ISNUMBER($L248),$L248="DNA"),$L248,"")))))))))),IF(OR(ISNUMBER($V248),$V248="DNA"),$V248,IF(OR(ISNUMBER($U248),$U248="DNA"),$U248,IF(OR(ISNUMBER($T248),$T248="DNA"),$T248,IF(OR(ISNUMBER($S248),$S248="DNA"),$S248,IF(OR(ISNUMBER($R248),$R248="DNA"),$R248,IF(OR(ISNUMBER($Q248),$Q248="DNA"),$Q248,IF(OR(ISNUMBER($N248),$N248="DNA"),$N248,IF(OR(ISNUMBER($M248),$M248="DNA"),$M248,IF(OR(ISNUMBER($L248),$L248="DNA"),$L248,"")))))))))&lt;TODAY())),1,0)+ISNUMBER($O248)*($O248&lt;TODAY())+ISNUMBER($P248)*($P248&lt;TODAY())+ISNUMBER($X248)*($X248&lt;TODAY())+ISNUMBER($Y248)*($Y248&lt;TODAY()))</f>
        <v/>
      </c>
    </row>
    <row r="249">
      <c r="A249" s="25" t="n"/>
      <c r="B249" s="26" t="n"/>
      <c r="C249" s="27" t="n"/>
      <c r="D249" s="25" t="n"/>
      <c r="E249" s="25" t="n"/>
      <c r="F249" s="27" t="n"/>
      <c r="G249" s="25" t="n"/>
      <c r="H249" s="28">
        <f>IF(OR(NOT(AND($A249&lt;&gt;"",OR($G249="",$G249="Active"))),$F249=""),"",INT((TODAY()-$F249+280)/7)&amp;"+"&amp;MOD(TODAY()-$F249+280,7))</f>
        <v/>
      </c>
      <c r="I249" s="28">
        <f>IF(NOT(AND($A249&lt;&gt;"",OR($G249="",$G249="Active"))),"",ISNUMBER($L249)*($L249&gt;=TODAY())*($L249&lt;=TODAY()+7)+ISNUMBER($M249)*($M249&gt;=TODAY())*($M249&lt;=TODAY()+7)+ISNUMBER($N249)*($N249&gt;=TODAY())*($N249&lt;=TODAY()+7)+ISNUMBER($Q249)*($Q249&gt;=TODAY())*($Q249&lt;=TODAY()+7)+ISNUMBER($R249)*($R249&gt;=TODAY())*($R249&lt;=TODAY()+7)+ISNUMBER($S249)*($S249&gt;=TODAY())*($S249&lt;=TODAY()+7)+ISNUMBER($T249)*($T249&gt;=TODAY())*($T249&lt;=TODAY()+7)+ISNUMBER($U249)*($U249&gt;=TODAY())*($U249&lt;=TODAY()+7)+ISNUMBER($V249)*($V249&gt;=TODAY())*($V249&lt;=TODAY()+7)+ISNUMBER($O249)*($O249&gt;=TODAY())*($O249&lt;=TODAY()+7)+ISNUMBER($P249)*($P249&gt;=TODAY())*($P249&lt;=TODAY()+7)+ISNUMBER($X249)*($X249&gt;=TODAY())*($X249&lt;=TODAY()+7)+ISNUMBER($Y249)*($Y249&gt;=TODAY())*($Y249&lt;=TODAY()+7))</f>
        <v/>
      </c>
      <c r="J249" s="28">
        <f>IF(NOT(AND($A249&lt;&gt;"",OR($G249="",$G249="Active"))),"",IF($K249&lt;&gt;"",IF($L249=$K249,"Booking",IF($M249=$K249,"16/40",IF($N249=$K249,"25/40",IF($Q249=$K249,"28/40",IF($R249=$K249,"31/40",IF($S249=$K249,"34/40",IF($T249=$K249,"36/40",IF($U249=$K249,"38/40",IF($V249=$K249,"40/40",""))))))))),IF(IF(OR(ISNUMBER($V249),$V249="DNA"),$V249,IF(OR(ISNUMBER($U249),$U249="DNA"),$U249,IF(OR(ISNUMBER($T249),$T249="DNA"),$T249,IF(OR(ISNUMBER($S249),$S249="DNA"),$S249,IF(OR(ISNUMBER($R249),$R249="DNA"),$R249,IF(OR(ISNUMBER($Q249),$Q249="DNA"),$Q249,IF(OR(ISNUMBER($N249),$N249="DNA"),$N249,IF(OR(ISNUMBER($M249),$M249="DNA"),$M249,IF(OR(ISNUMBER($L249),$L249="DNA"),$L249,"")))))))))="DNA","Rebook DNA",IF(ISNUMBER(IF(OR(ISNUMBER($V249),$V249="DNA"),$V249,IF(OR(ISNUMBER($U249),$U249="DNA"),$U249,IF(OR(ISNUMBER($T249),$T249="DNA"),$T249,IF(OR(ISNUMBER($S249),$S249="DNA"),$S249,IF(OR(ISNUMBER($R249),$R249="DNA"),$R249,IF(OR(ISNUMBER($Q249),$Q249="DNA"),$Q249,IF(OR(ISNUMBER($N249),$N249="DNA"),$N249,IF(OR(ISNUMBER($M249),$M249="DNA"),$M249,IF(OR(ISNUMBER($L249),$L249="DNA"),$L249,"")))))))))),IF(ISNUMBER($V249),"Update status","Missed/not booked?"),""))))</f>
        <v/>
      </c>
      <c r="K249" s="29">
        <f>IF(NOT(AND($A249&lt;&gt;"",OR($G249="",$G249="Active"))),"",IF(MIN(IF(AND(ISNUMBER($L249),$L249&gt;=TODAY()),$L249,99999),IF(AND(ISNUMBER($M249),$M249&gt;=TODAY()),$M249,99999),IF(AND(ISNUMBER($N249),$N249&gt;=TODAY()),$N249,99999),IF(AND(ISNUMBER($Q249),$Q249&gt;=TODAY()),$Q249,99999),IF(AND(ISNUMBER($R249),$R249&gt;=TODAY()),$R249,99999),IF(AND(ISNUMBER($S249),$S249&gt;=TODAY()),$S249,99999),IF(AND(ISNUMBER($T249),$T249&gt;=TODAY()),$T249,99999),IF(AND(ISNUMBER($U249),$U249&gt;=TODAY()),$U249,99999),IF(AND(ISNUMBER($V249),$V249&gt;=TODAY()),$V249,99999))=99999,"",MIN(IF(AND(ISNUMBER($L249),$L249&gt;=TODAY()),$L249,99999),IF(AND(ISNUMBER($M249),$M249&gt;=TODAY()),$M249,99999),IF(AND(ISNUMBER($N249),$N249&gt;=TODAY()),$N249,99999),IF(AND(ISNUMBER($Q249),$Q249&gt;=TODAY()),$Q249,99999),IF(AND(ISNUMBER($R249),$R249&gt;=TODAY()),$R249,99999),IF(AND(ISNUMBER($S249),$S249&gt;=TODAY()),$S249,99999),IF(AND(ISNUMBER($T249),$T249&gt;=TODAY()),$T249,99999),IF(AND(ISNUMBER($U249),$U249&gt;=TODAY()),$U249,99999),IF(AND(ISNUMBER($V249),$V249&gt;=TODAY()),$V249,99999))))</f>
        <v/>
      </c>
      <c r="L249" s="27" t="n"/>
      <c r="M249" s="27" t="n"/>
      <c r="N249" s="27" t="n"/>
      <c r="O249" s="27" t="n"/>
      <c r="P249" s="27" t="n"/>
      <c r="Q249" s="27" t="n"/>
      <c r="R249" s="27" t="n"/>
      <c r="S249" s="27" t="n"/>
      <c r="T249" s="27" t="n"/>
      <c r="U249" s="27" t="n"/>
      <c r="V249" s="27" t="n"/>
      <c r="W249" s="27" t="n"/>
      <c r="X249" s="27" t="n"/>
      <c r="Y249" s="27" t="n"/>
      <c r="Z249" s="30" t="n"/>
      <c r="AA249" s="25" t="n"/>
      <c r="AB249" s="28">
        <f>IF(NOT(AND($A249&lt;&gt;"",OR($G249="",$G249="Active"))),"",IF(OR(IF(OR(ISNUMBER($V249),$V249="DNA"),$V249,IF(OR(ISNUMBER($U249),$U249="DNA"),$U249,IF(OR(ISNUMBER($T249),$T249="DNA"),$T249,IF(OR(ISNUMBER($S249),$S249="DNA"),$S249,IF(OR(ISNUMBER($R249),$R249="DNA"),$R249,IF(OR(ISNUMBER($Q249),$Q249="DNA"),$Q249,IF(OR(ISNUMBER($N249),$N249="DNA"),$N249,IF(OR(ISNUMBER($M249),$M249="DNA"),$M249,IF(OR(ISNUMBER($L249),$L249="DNA"),$L249,"")))))))))="DNA",AND(ISNUMBER(IF(OR(ISNUMBER($V249),$V249="DNA"),$V249,IF(OR(ISNUMBER($U249),$U249="DNA"),$U249,IF(OR(ISNUMBER($T249),$T249="DNA"),$T249,IF(OR(ISNUMBER($S249),$S249="DNA"),$S249,IF(OR(ISNUMBER($R249),$R249="DNA"),$R249,IF(OR(ISNUMBER($Q249),$Q249="DNA"),$Q249,IF(OR(ISNUMBER($N249),$N249="DNA"),$N249,IF(OR(ISNUMBER($M249),$M249="DNA"),$M249,IF(OR(ISNUMBER($L249),$L249="DNA"),$L249,"")))))))))),IF(OR(ISNUMBER($V249),$V249="DNA"),$V249,IF(OR(ISNUMBER($U249),$U249="DNA"),$U249,IF(OR(ISNUMBER($T249),$T249="DNA"),$T249,IF(OR(ISNUMBER($S249),$S249="DNA"),$S249,IF(OR(ISNUMBER($R249),$R249="DNA"),$R249,IF(OR(ISNUMBER($Q249),$Q249="DNA"),$Q249,IF(OR(ISNUMBER($N249),$N249="DNA"),$N249,IF(OR(ISNUMBER($M249),$M249="DNA"),$M249,IF(OR(ISNUMBER($L249),$L249="DNA"),$L249,"")))))))))&lt;TODAY())),1,0)+ISNUMBER($O249)*($O249&lt;TODAY())+ISNUMBER($P249)*($P249&lt;TODAY())+ISNUMBER($X249)*($X249&lt;TODAY())+ISNUMBER($Y249)*($Y249&lt;TODAY()))</f>
        <v/>
      </c>
    </row>
    <row r="250">
      <c r="A250" s="25" t="n"/>
      <c r="B250" s="26" t="n"/>
      <c r="C250" s="27" t="n"/>
      <c r="D250" s="25" t="n"/>
      <c r="E250" s="25" t="n"/>
      <c r="F250" s="27" t="n"/>
      <c r="G250" s="25" t="n"/>
      <c r="H250" s="28">
        <f>IF(OR(NOT(AND($A250&lt;&gt;"",OR($G250="",$G250="Active"))),$F250=""),"",INT((TODAY()-$F250+280)/7)&amp;"+"&amp;MOD(TODAY()-$F250+280,7))</f>
        <v/>
      </c>
      <c r="I250" s="28">
        <f>IF(NOT(AND($A250&lt;&gt;"",OR($G250="",$G250="Active"))),"",ISNUMBER($L250)*($L250&gt;=TODAY())*($L250&lt;=TODAY()+7)+ISNUMBER($M250)*($M250&gt;=TODAY())*($M250&lt;=TODAY()+7)+ISNUMBER($N250)*($N250&gt;=TODAY())*($N250&lt;=TODAY()+7)+ISNUMBER($Q250)*($Q250&gt;=TODAY())*($Q250&lt;=TODAY()+7)+ISNUMBER($R250)*($R250&gt;=TODAY())*($R250&lt;=TODAY()+7)+ISNUMBER($S250)*($S250&gt;=TODAY())*($S250&lt;=TODAY()+7)+ISNUMBER($T250)*($T250&gt;=TODAY())*($T250&lt;=TODAY()+7)+ISNUMBER($U250)*($U250&gt;=TODAY())*($U250&lt;=TODAY()+7)+ISNUMBER($V250)*($V250&gt;=TODAY())*($V250&lt;=TODAY()+7)+ISNUMBER($O250)*($O250&gt;=TODAY())*($O250&lt;=TODAY()+7)+ISNUMBER($P250)*($P250&gt;=TODAY())*($P250&lt;=TODAY()+7)+ISNUMBER($X250)*($X250&gt;=TODAY())*($X250&lt;=TODAY()+7)+ISNUMBER($Y250)*($Y250&gt;=TODAY())*($Y250&lt;=TODAY()+7))</f>
        <v/>
      </c>
      <c r="J250" s="28">
        <f>IF(NOT(AND($A250&lt;&gt;"",OR($G250="",$G250="Active"))),"",IF($K250&lt;&gt;"",IF($L250=$K250,"Booking",IF($M250=$K250,"16/40",IF($N250=$K250,"25/40",IF($Q250=$K250,"28/40",IF($R250=$K250,"31/40",IF($S250=$K250,"34/40",IF($T250=$K250,"36/40",IF($U250=$K250,"38/40",IF($V250=$K250,"40/40",""))))))))),IF(IF(OR(ISNUMBER($V250),$V250="DNA"),$V250,IF(OR(ISNUMBER($U250),$U250="DNA"),$U250,IF(OR(ISNUMBER($T250),$T250="DNA"),$T250,IF(OR(ISNUMBER($S250),$S250="DNA"),$S250,IF(OR(ISNUMBER($R250),$R250="DNA"),$R250,IF(OR(ISNUMBER($Q250),$Q250="DNA"),$Q250,IF(OR(ISNUMBER($N250),$N250="DNA"),$N250,IF(OR(ISNUMBER($M250),$M250="DNA"),$M250,IF(OR(ISNUMBER($L250),$L250="DNA"),$L250,"")))))))))="DNA","Rebook DNA",IF(ISNUMBER(IF(OR(ISNUMBER($V250),$V250="DNA"),$V250,IF(OR(ISNUMBER($U250),$U250="DNA"),$U250,IF(OR(ISNUMBER($T250),$T250="DNA"),$T250,IF(OR(ISNUMBER($S250),$S250="DNA"),$S250,IF(OR(ISNUMBER($R250),$R250="DNA"),$R250,IF(OR(ISNUMBER($Q250),$Q250="DNA"),$Q250,IF(OR(ISNUMBER($N250),$N250="DNA"),$N250,IF(OR(ISNUMBER($M250),$M250="DNA"),$M250,IF(OR(ISNUMBER($L250),$L250="DNA"),$L250,"")))))))))),IF(ISNUMBER($V250),"Update status","Missed/not booked?"),""))))</f>
        <v/>
      </c>
      <c r="K250" s="29">
        <f>IF(NOT(AND($A250&lt;&gt;"",OR($G250="",$G250="Active"))),"",IF(MIN(IF(AND(ISNUMBER($L250),$L250&gt;=TODAY()),$L250,99999),IF(AND(ISNUMBER($M250),$M250&gt;=TODAY()),$M250,99999),IF(AND(ISNUMBER($N250),$N250&gt;=TODAY()),$N250,99999),IF(AND(ISNUMBER($Q250),$Q250&gt;=TODAY()),$Q250,99999),IF(AND(ISNUMBER($R250),$R250&gt;=TODAY()),$R250,99999),IF(AND(ISNUMBER($S250),$S250&gt;=TODAY()),$S250,99999),IF(AND(ISNUMBER($T250),$T250&gt;=TODAY()),$T250,99999),IF(AND(ISNUMBER($U250),$U250&gt;=TODAY()),$U250,99999),IF(AND(ISNUMBER($V250),$V250&gt;=TODAY()),$V250,99999))=99999,"",MIN(IF(AND(ISNUMBER($L250),$L250&gt;=TODAY()),$L250,99999),IF(AND(ISNUMBER($M250),$M250&gt;=TODAY()),$M250,99999),IF(AND(ISNUMBER($N250),$N250&gt;=TODAY()),$N250,99999),IF(AND(ISNUMBER($Q250),$Q250&gt;=TODAY()),$Q250,99999),IF(AND(ISNUMBER($R250),$R250&gt;=TODAY()),$R250,99999),IF(AND(ISNUMBER($S250),$S250&gt;=TODAY()),$S250,99999),IF(AND(ISNUMBER($T250),$T250&gt;=TODAY()),$T250,99999),IF(AND(ISNUMBER($U250),$U250&gt;=TODAY()),$U250,99999),IF(AND(ISNUMBER($V250),$V250&gt;=TODAY()),$V250,99999))))</f>
        <v/>
      </c>
      <c r="L250" s="27" t="n"/>
      <c r="M250" s="27" t="n"/>
      <c r="N250" s="27" t="n"/>
      <c r="O250" s="27" t="n"/>
      <c r="P250" s="27" t="n"/>
      <c r="Q250" s="27" t="n"/>
      <c r="R250" s="27" t="n"/>
      <c r="S250" s="27" t="n"/>
      <c r="T250" s="27" t="n"/>
      <c r="U250" s="27" t="n"/>
      <c r="V250" s="27" t="n"/>
      <c r="W250" s="27" t="n"/>
      <c r="X250" s="27" t="n"/>
      <c r="Y250" s="27" t="n"/>
      <c r="Z250" s="30" t="n"/>
      <c r="AA250" s="25" t="n"/>
      <c r="AB250" s="28">
        <f>IF(NOT(AND($A250&lt;&gt;"",OR($G250="",$G250="Active"))),"",IF(OR(IF(OR(ISNUMBER($V250),$V250="DNA"),$V250,IF(OR(ISNUMBER($U250),$U250="DNA"),$U250,IF(OR(ISNUMBER($T250),$T250="DNA"),$T250,IF(OR(ISNUMBER($S250),$S250="DNA"),$S250,IF(OR(ISNUMBER($R250),$R250="DNA"),$R250,IF(OR(ISNUMBER($Q250),$Q250="DNA"),$Q250,IF(OR(ISNUMBER($N250),$N250="DNA"),$N250,IF(OR(ISNUMBER($M250),$M250="DNA"),$M250,IF(OR(ISNUMBER($L250),$L250="DNA"),$L250,"")))))))))="DNA",AND(ISNUMBER(IF(OR(ISNUMBER($V250),$V250="DNA"),$V250,IF(OR(ISNUMBER($U250),$U250="DNA"),$U250,IF(OR(ISNUMBER($T250),$T250="DNA"),$T250,IF(OR(ISNUMBER($S250),$S250="DNA"),$S250,IF(OR(ISNUMBER($R250),$R250="DNA"),$R250,IF(OR(ISNUMBER($Q250),$Q250="DNA"),$Q250,IF(OR(ISNUMBER($N250),$N250="DNA"),$N250,IF(OR(ISNUMBER($M250),$M250="DNA"),$M250,IF(OR(ISNUMBER($L250),$L250="DNA"),$L250,"")))))))))),IF(OR(ISNUMBER($V250),$V250="DNA"),$V250,IF(OR(ISNUMBER($U250),$U250="DNA"),$U250,IF(OR(ISNUMBER($T250),$T250="DNA"),$T250,IF(OR(ISNUMBER($S250),$S250="DNA"),$S250,IF(OR(ISNUMBER($R250),$R250="DNA"),$R250,IF(OR(ISNUMBER($Q250),$Q250="DNA"),$Q250,IF(OR(ISNUMBER($N250),$N250="DNA"),$N250,IF(OR(ISNUMBER($M250),$M250="DNA"),$M250,IF(OR(ISNUMBER($L250),$L250="DNA"),$L250,"")))))))))&lt;TODAY())),1,0)+ISNUMBER($O250)*($O250&lt;TODAY())+ISNUMBER($P250)*($P250&lt;TODAY())+ISNUMBER($X250)*($X250&lt;TODAY())+ISNUMBER($Y250)*($Y250&lt;TODAY()))</f>
        <v/>
      </c>
    </row>
    <row r="251">
      <c r="A251" s="25" t="n"/>
      <c r="B251" s="26" t="n"/>
      <c r="C251" s="27" t="n"/>
      <c r="D251" s="25" t="n"/>
      <c r="E251" s="25" t="n"/>
      <c r="F251" s="27" t="n"/>
      <c r="G251" s="25" t="n"/>
      <c r="H251" s="28">
        <f>IF(OR(NOT(AND($A251&lt;&gt;"",OR($G251="",$G251="Active"))),$F251=""),"",INT((TODAY()-$F251+280)/7)&amp;"+"&amp;MOD(TODAY()-$F251+280,7))</f>
        <v/>
      </c>
      <c r="I251" s="28">
        <f>IF(NOT(AND($A251&lt;&gt;"",OR($G251="",$G251="Active"))),"",ISNUMBER($L251)*($L251&gt;=TODAY())*($L251&lt;=TODAY()+7)+ISNUMBER($M251)*($M251&gt;=TODAY())*($M251&lt;=TODAY()+7)+ISNUMBER($N251)*($N251&gt;=TODAY())*($N251&lt;=TODAY()+7)+ISNUMBER($Q251)*($Q251&gt;=TODAY())*($Q251&lt;=TODAY()+7)+ISNUMBER($R251)*($R251&gt;=TODAY())*($R251&lt;=TODAY()+7)+ISNUMBER($S251)*($S251&gt;=TODAY())*($S251&lt;=TODAY()+7)+ISNUMBER($T251)*($T251&gt;=TODAY())*($T251&lt;=TODAY()+7)+ISNUMBER($U251)*($U251&gt;=TODAY())*($U251&lt;=TODAY()+7)+ISNUMBER($V251)*($V251&gt;=TODAY())*($V251&lt;=TODAY()+7)+ISNUMBER($O251)*($O251&gt;=TODAY())*($O251&lt;=TODAY()+7)+ISNUMBER($P251)*($P251&gt;=TODAY())*($P251&lt;=TODAY()+7)+ISNUMBER($X251)*($X251&gt;=TODAY())*($X251&lt;=TODAY()+7)+ISNUMBER($Y251)*($Y251&gt;=TODAY())*($Y251&lt;=TODAY()+7))</f>
        <v/>
      </c>
      <c r="J251" s="28">
        <f>IF(NOT(AND($A251&lt;&gt;"",OR($G251="",$G251="Active"))),"",IF($K251&lt;&gt;"",IF($L251=$K251,"Booking",IF($M251=$K251,"16/40",IF($N251=$K251,"25/40",IF($Q251=$K251,"28/40",IF($R251=$K251,"31/40",IF($S251=$K251,"34/40",IF($T251=$K251,"36/40",IF($U251=$K251,"38/40",IF($V251=$K251,"40/40",""))))))))),IF(IF(OR(ISNUMBER($V251),$V251="DNA"),$V251,IF(OR(ISNUMBER($U251),$U251="DNA"),$U251,IF(OR(ISNUMBER($T251),$T251="DNA"),$T251,IF(OR(ISNUMBER($S251),$S251="DNA"),$S251,IF(OR(ISNUMBER($R251),$R251="DNA"),$R251,IF(OR(ISNUMBER($Q251),$Q251="DNA"),$Q251,IF(OR(ISNUMBER($N251),$N251="DNA"),$N251,IF(OR(ISNUMBER($M251),$M251="DNA"),$M251,IF(OR(ISNUMBER($L251),$L251="DNA"),$L251,"")))))))))="DNA","Rebook DNA",IF(ISNUMBER(IF(OR(ISNUMBER($V251),$V251="DNA"),$V251,IF(OR(ISNUMBER($U251),$U251="DNA"),$U251,IF(OR(ISNUMBER($T251),$T251="DNA"),$T251,IF(OR(ISNUMBER($S251),$S251="DNA"),$S251,IF(OR(ISNUMBER($R251),$R251="DNA"),$R251,IF(OR(ISNUMBER($Q251),$Q251="DNA"),$Q251,IF(OR(ISNUMBER($N251),$N251="DNA"),$N251,IF(OR(ISNUMBER($M251),$M251="DNA"),$M251,IF(OR(ISNUMBER($L251),$L251="DNA"),$L251,"")))))))))),IF(ISNUMBER($V251),"Update status","Missed/not booked?"),""))))</f>
        <v/>
      </c>
      <c r="K251" s="29">
        <f>IF(NOT(AND($A251&lt;&gt;"",OR($G251="",$G251="Active"))),"",IF(MIN(IF(AND(ISNUMBER($L251),$L251&gt;=TODAY()),$L251,99999),IF(AND(ISNUMBER($M251),$M251&gt;=TODAY()),$M251,99999),IF(AND(ISNUMBER($N251),$N251&gt;=TODAY()),$N251,99999),IF(AND(ISNUMBER($Q251),$Q251&gt;=TODAY()),$Q251,99999),IF(AND(ISNUMBER($R251),$R251&gt;=TODAY()),$R251,99999),IF(AND(ISNUMBER($S251),$S251&gt;=TODAY()),$S251,99999),IF(AND(ISNUMBER($T251),$T251&gt;=TODAY()),$T251,99999),IF(AND(ISNUMBER($U251),$U251&gt;=TODAY()),$U251,99999),IF(AND(ISNUMBER($V251),$V251&gt;=TODAY()),$V251,99999))=99999,"",MIN(IF(AND(ISNUMBER($L251),$L251&gt;=TODAY()),$L251,99999),IF(AND(ISNUMBER($M251),$M251&gt;=TODAY()),$M251,99999),IF(AND(ISNUMBER($N251),$N251&gt;=TODAY()),$N251,99999),IF(AND(ISNUMBER($Q251),$Q251&gt;=TODAY()),$Q251,99999),IF(AND(ISNUMBER($R251),$R251&gt;=TODAY()),$R251,99999),IF(AND(ISNUMBER($S251),$S251&gt;=TODAY()),$S251,99999),IF(AND(ISNUMBER($T251),$T251&gt;=TODAY()),$T251,99999),IF(AND(ISNUMBER($U251),$U251&gt;=TODAY()),$U251,99999),IF(AND(ISNUMBER($V251),$V251&gt;=TODAY()),$V251,99999))))</f>
        <v/>
      </c>
      <c r="L251" s="27" t="n"/>
      <c r="M251" s="27" t="n"/>
      <c r="N251" s="27" t="n"/>
      <c r="O251" s="27" t="n"/>
      <c r="P251" s="27" t="n"/>
      <c r="Q251" s="27" t="n"/>
      <c r="R251" s="27" t="n"/>
      <c r="S251" s="27" t="n"/>
      <c r="T251" s="27" t="n"/>
      <c r="U251" s="27" t="n"/>
      <c r="V251" s="27" t="n"/>
      <c r="W251" s="27" t="n"/>
      <c r="X251" s="27" t="n"/>
      <c r="Y251" s="27" t="n"/>
      <c r="Z251" s="30" t="n"/>
      <c r="AA251" s="25" t="n"/>
      <c r="AB251" s="28">
        <f>IF(NOT(AND($A251&lt;&gt;"",OR($G251="",$G251="Active"))),"",IF(OR(IF(OR(ISNUMBER($V251),$V251="DNA"),$V251,IF(OR(ISNUMBER($U251),$U251="DNA"),$U251,IF(OR(ISNUMBER($T251),$T251="DNA"),$T251,IF(OR(ISNUMBER($S251),$S251="DNA"),$S251,IF(OR(ISNUMBER($R251),$R251="DNA"),$R251,IF(OR(ISNUMBER($Q251),$Q251="DNA"),$Q251,IF(OR(ISNUMBER($N251),$N251="DNA"),$N251,IF(OR(ISNUMBER($M251),$M251="DNA"),$M251,IF(OR(ISNUMBER($L251),$L251="DNA"),$L251,"")))))))))="DNA",AND(ISNUMBER(IF(OR(ISNUMBER($V251),$V251="DNA"),$V251,IF(OR(ISNUMBER($U251),$U251="DNA"),$U251,IF(OR(ISNUMBER($T251),$T251="DNA"),$T251,IF(OR(ISNUMBER($S251),$S251="DNA"),$S251,IF(OR(ISNUMBER($R251),$R251="DNA"),$R251,IF(OR(ISNUMBER($Q251),$Q251="DNA"),$Q251,IF(OR(ISNUMBER($N251),$N251="DNA"),$N251,IF(OR(ISNUMBER($M251),$M251="DNA"),$M251,IF(OR(ISNUMBER($L251),$L251="DNA"),$L251,"")))))))))),IF(OR(ISNUMBER($V251),$V251="DNA"),$V251,IF(OR(ISNUMBER($U251),$U251="DNA"),$U251,IF(OR(ISNUMBER($T251),$T251="DNA"),$T251,IF(OR(ISNUMBER($S251),$S251="DNA"),$S251,IF(OR(ISNUMBER($R251),$R251="DNA"),$R251,IF(OR(ISNUMBER($Q251),$Q251="DNA"),$Q251,IF(OR(ISNUMBER($N251),$N251="DNA"),$N251,IF(OR(ISNUMBER($M251),$M251="DNA"),$M251,IF(OR(ISNUMBER($L251),$L251="DNA"),$L251,"")))))))))&lt;TODAY())),1,0)+ISNUMBER($O251)*($O251&lt;TODAY())+ISNUMBER($P251)*($P251&lt;TODAY())+ISNUMBER($X251)*($X251&lt;TODAY())+ISNUMBER($Y251)*($Y251&lt;TODAY()))</f>
        <v/>
      </c>
    </row>
    <row r="252">
      <c r="A252" s="25" t="n"/>
      <c r="B252" s="26" t="n"/>
      <c r="C252" s="27" t="n"/>
      <c r="D252" s="25" t="n"/>
      <c r="E252" s="25" t="n"/>
      <c r="F252" s="27" t="n"/>
      <c r="G252" s="25" t="n"/>
      <c r="H252" s="28">
        <f>IF(OR(NOT(AND($A252&lt;&gt;"",OR($G252="",$G252="Active"))),$F252=""),"",INT((TODAY()-$F252+280)/7)&amp;"+"&amp;MOD(TODAY()-$F252+280,7))</f>
        <v/>
      </c>
      <c r="I252" s="28">
        <f>IF(NOT(AND($A252&lt;&gt;"",OR($G252="",$G252="Active"))),"",ISNUMBER($L252)*($L252&gt;=TODAY())*($L252&lt;=TODAY()+7)+ISNUMBER($M252)*($M252&gt;=TODAY())*($M252&lt;=TODAY()+7)+ISNUMBER($N252)*($N252&gt;=TODAY())*($N252&lt;=TODAY()+7)+ISNUMBER($Q252)*($Q252&gt;=TODAY())*($Q252&lt;=TODAY()+7)+ISNUMBER($R252)*($R252&gt;=TODAY())*($R252&lt;=TODAY()+7)+ISNUMBER($S252)*($S252&gt;=TODAY())*($S252&lt;=TODAY()+7)+ISNUMBER($T252)*($T252&gt;=TODAY())*($T252&lt;=TODAY()+7)+ISNUMBER($U252)*($U252&gt;=TODAY())*($U252&lt;=TODAY()+7)+ISNUMBER($V252)*($V252&gt;=TODAY())*($V252&lt;=TODAY()+7)+ISNUMBER($O252)*($O252&gt;=TODAY())*($O252&lt;=TODAY()+7)+ISNUMBER($P252)*($P252&gt;=TODAY())*($P252&lt;=TODAY()+7)+ISNUMBER($X252)*($X252&gt;=TODAY())*($X252&lt;=TODAY()+7)+ISNUMBER($Y252)*($Y252&gt;=TODAY())*($Y252&lt;=TODAY()+7))</f>
        <v/>
      </c>
      <c r="J252" s="28">
        <f>IF(NOT(AND($A252&lt;&gt;"",OR($G252="",$G252="Active"))),"",IF($K252&lt;&gt;"",IF($L252=$K252,"Booking",IF($M252=$K252,"16/40",IF($N252=$K252,"25/40",IF($Q252=$K252,"28/40",IF($R252=$K252,"31/40",IF($S252=$K252,"34/40",IF($T252=$K252,"36/40",IF($U252=$K252,"38/40",IF($V252=$K252,"40/40",""))))))))),IF(IF(OR(ISNUMBER($V252),$V252="DNA"),$V252,IF(OR(ISNUMBER($U252),$U252="DNA"),$U252,IF(OR(ISNUMBER($T252),$T252="DNA"),$T252,IF(OR(ISNUMBER($S252),$S252="DNA"),$S252,IF(OR(ISNUMBER($R252),$R252="DNA"),$R252,IF(OR(ISNUMBER($Q252),$Q252="DNA"),$Q252,IF(OR(ISNUMBER($N252),$N252="DNA"),$N252,IF(OR(ISNUMBER($M252),$M252="DNA"),$M252,IF(OR(ISNUMBER($L252),$L252="DNA"),$L252,"")))))))))="DNA","Rebook DNA",IF(ISNUMBER(IF(OR(ISNUMBER($V252),$V252="DNA"),$V252,IF(OR(ISNUMBER($U252),$U252="DNA"),$U252,IF(OR(ISNUMBER($T252),$T252="DNA"),$T252,IF(OR(ISNUMBER($S252),$S252="DNA"),$S252,IF(OR(ISNUMBER($R252),$R252="DNA"),$R252,IF(OR(ISNUMBER($Q252),$Q252="DNA"),$Q252,IF(OR(ISNUMBER($N252),$N252="DNA"),$N252,IF(OR(ISNUMBER($M252),$M252="DNA"),$M252,IF(OR(ISNUMBER($L252),$L252="DNA"),$L252,"")))))))))),IF(ISNUMBER($V252),"Update status","Missed/not booked?"),""))))</f>
        <v/>
      </c>
      <c r="K252" s="29">
        <f>IF(NOT(AND($A252&lt;&gt;"",OR($G252="",$G252="Active"))),"",IF(MIN(IF(AND(ISNUMBER($L252),$L252&gt;=TODAY()),$L252,99999),IF(AND(ISNUMBER($M252),$M252&gt;=TODAY()),$M252,99999),IF(AND(ISNUMBER($N252),$N252&gt;=TODAY()),$N252,99999),IF(AND(ISNUMBER($Q252),$Q252&gt;=TODAY()),$Q252,99999),IF(AND(ISNUMBER($R252),$R252&gt;=TODAY()),$R252,99999),IF(AND(ISNUMBER($S252),$S252&gt;=TODAY()),$S252,99999),IF(AND(ISNUMBER($T252),$T252&gt;=TODAY()),$T252,99999),IF(AND(ISNUMBER($U252),$U252&gt;=TODAY()),$U252,99999),IF(AND(ISNUMBER($V252),$V252&gt;=TODAY()),$V252,99999))=99999,"",MIN(IF(AND(ISNUMBER($L252),$L252&gt;=TODAY()),$L252,99999),IF(AND(ISNUMBER($M252),$M252&gt;=TODAY()),$M252,99999),IF(AND(ISNUMBER($N252),$N252&gt;=TODAY()),$N252,99999),IF(AND(ISNUMBER($Q252),$Q252&gt;=TODAY()),$Q252,99999),IF(AND(ISNUMBER($R252),$R252&gt;=TODAY()),$R252,99999),IF(AND(ISNUMBER($S252),$S252&gt;=TODAY()),$S252,99999),IF(AND(ISNUMBER($T252),$T252&gt;=TODAY()),$T252,99999),IF(AND(ISNUMBER($U252),$U252&gt;=TODAY()),$U252,99999),IF(AND(ISNUMBER($V252),$V252&gt;=TODAY()),$V252,99999))))</f>
        <v/>
      </c>
      <c r="L252" s="27" t="n"/>
      <c r="M252" s="27" t="n"/>
      <c r="N252" s="27" t="n"/>
      <c r="O252" s="27" t="n"/>
      <c r="P252" s="27" t="n"/>
      <c r="Q252" s="27" t="n"/>
      <c r="R252" s="27" t="n"/>
      <c r="S252" s="27" t="n"/>
      <c r="T252" s="27" t="n"/>
      <c r="U252" s="27" t="n"/>
      <c r="V252" s="27" t="n"/>
      <c r="W252" s="27" t="n"/>
      <c r="X252" s="27" t="n"/>
      <c r="Y252" s="27" t="n"/>
      <c r="Z252" s="30" t="n"/>
      <c r="AA252" s="25" t="n"/>
      <c r="AB252" s="28">
        <f>IF(NOT(AND($A252&lt;&gt;"",OR($G252="",$G252="Active"))),"",IF(OR(IF(OR(ISNUMBER($V252),$V252="DNA"),$V252,IF(OR(ISNUMBER($U252),$U252="DNA"),$U252,IF(OR(ISNUMBER($T252),$T252="DNA"),$T252,IF(OR(ISNUMBER($S252),$S252="DNA"),$S252,IF(OR(ISNUMBER($R252),$R252="DNA"),$R252,IF(OR(ISNUMBER($Q252),$Q252="DNA"),$Q252,IF(OR(ISNUMBER($N252),$N252="DNA"),$N252,IF(OR(ISNUMBER($M252),$M252="DNA"),$M252,IF(OR(ISNUMBER($L252),$L252="DNA"),$L252,"")))))))))="DNA",AND(ISNUMBER(IF(OR(ISNUMBER($V252),$V252="DNA"),$V252,IF(OR(ISNUMBER($U252),$U252="DNA"),$U252,IF(OR(ISNUMBER($T252),$T252="DNA"),$T252,IF(OR(ISNUMBER($S252),$S252="DNA"),$S252,IF(OR(ISNUMBER($R252),$R252="DNA"),$R252,IF(OR(ISNUMBER($Q252),$Q252="DNA"),$Q252,IF(OR(ISNUMBER($N252),$N252="DNA"),$N252,IF(OR(ISNUMBER($M252),$M252="DNA"),$M252,IF(OR(ISNUMBER($L252),$L252="DNA"),$L252,"")))))))))),IF(OR(ISNUMBER($V252),$V252="DNA"),$V252,IF(OR(ISNUMBER($U252),$U252="DNA"),$U252,IF(OR(ISNUMBER($T252),$T252="DNA"),$T252,IF(OR(ISNUMBER($S252),$S252="DNA"),$S252,IF(OR(ISNUMBER($R252),$R252="DNA"),$R252,IF(OR(ISNUMBER($Q252),$Q252="DNA"),$Q252,IF(OR(ISNUMBER($N252),$N252="DNA"),$N252,IF(OR(ISNUMBER($M252),$M252="DNA"),$M252,IF(OR(ISNUMBER($L252),$L252="DNA"),$L252,"")))))))))&lt;TODAY())),1,0)+ISNUMBER($O252)*($O252&lt;TODAY())+ISNUMBER($P252)*($P252&lt;TODAY())+ISNUMBER($X252)*($X252&lt;TODAY())+ISNUMBER($Y252)*($Y252&lt;TODAY()))</f>
        <v/>
      </c>
    </row>
    <row r="253">
      <c r="A253" s="25" t="n"/>
      <c r="B253" s="26" t="n"/>
      <c r="C253" s="27" t="n"/>
      <c r="D253" s="25" t="n"/>
      <c r="E253" s="25" t="n"/>
      <c r="F253" s="27" t="n"/>
      <c r="G253" s="25" t="n"/>
      <c r="H253" s="28">
        <f>IF(OR(NOT(AND($A253&lt;&gt;"",OR($G253="",$G253="Active"))),$F253=""),"",INT((TODAY()-$F253+280)/7)&amp;"+"&amp;MOD(TODAY()-$F253+280,7))</f>
        <v/>
      </c>
      <c r="I253" s="28">
        <f>IF(NOT(AND($A253&lt;&gt;"",OR($G253="",$G253="Active"))),"",ISNUMBER($L253)*($L253&gt;=TODAY())*($L253&lt;=TODAY()+7)+ISNUMBER($M253)*($M253&gt;=TODAY())*($M253&lt;=TODAY()+7)+ISNUMBER($N253)*($N253&gt;=TODAY())*($N253&lt;=TODAY()+7)+ISNUMBER($Q253)*($Q253&gt;=TODAY())*($Q253&lt;=TODAY()+7)+ISNUMBER($R253)*($R253&gt;=TODAY())*($R253&lt;=TODAY()+7)+ISNUMBER($S253)*($S253&gt;=TODAY())*($S253&lt;=TODAY()+7)+ISNUMBER($T253)*($T253&gt;=TODAY())*($T253&lt;=TODAY()+7)+ISNUMBER($U253)*($U253&gt;=TODAY())*($U253&lt;=TODAY()+7)+ISNUMBER($V253)*($V253&gt;=TODAY())*($V253&lt;=TODAY()+7)+ISNUMBER($O253)*($O253&gt;=TODAY())*($O253&lt;=TODAY()+7)+ISNUMBER($P253)*($P253&gt;=TODAY())*($P253&lt;=TODAY()+7)+ISNUMBER($X253)*($X253&gt;=TODAY())*($X253&lt;=TODAY()+7)+ISNUMBER($Y253)*($Y253&gt;=TODAY())*($Y253&lt;=TODAY()+7))</f>
        <v/>
      </c>
      <c r="J253" s="28">
        <f>IF(NOT(AND($A253&lt;&gt;"",OR($G253="",$G253="Active"))),"",IF($K253&lt;&gt;"",IF($L253=$K253,"Booking",IF($M253=$K253,"16/40",IF($N253=$K253,"25/40",IF($Q253=$K253,"28/40",IF($R253=$K253,"31/40",IF($S253=$K253,"34/40",IF($T253=$K253,"36/40",IF($U253=$K253,"38/40",IF($V253=$K253,"40/40",""))))))))),IF(IF(OR(ISNUMBER($V253),$V253="DNA"),$V253,IF(OR(ISNUMBER($U253),$U253="DNA"),$U253,IF(OR(ISNUMBER($T253),$T253="DNA"),$T253,IF(OR(ISNUMBER($S253),$S253="DNA"),$S253,IF(OR(ISNUMBER($R253),$R253="DNA"),$R253,IF(OR(ISNUMBER($Q253),$Q253="DNA"),$Q253,IF(OR(ISNUMBER($N253),$N253="DNA"),$N253,IF(OR(ISNUMBER($M253),$M253="DNA"),$M253,IF(OR(ISNUMBER($L253),$L253="DNA"),$L253,"")))))))))="DNA","Rebook DNA",IF(ISNUMBER(IF(OR(ISNUMBER($V253),$V253="DNA"),$V253,IF(OR(ISNUMBER($U253),$U253="DNA"),$U253,IF(OR(ISNUMBER($T253),$T253="DNA"),$T253,IF(OR(ISNUMBER($S253),$S253="DNA"),$S253,IF(OR(ISNUMBER($R253),$R253="DNA"),$R253,IF(OR(ISNUMBER($Q253),$Q253="DNA"),$Q253,IF(OR(ISNUMBER($N253),$N253="DNA"),$N253,IF(OR(ISNUMBER($M253),$M253="DNA"),$M253,IF(OR(ISNUMBER($L253),$L253="DNA"),$L253,"")))))))))),IF(ISNUMBER($V253),"Update status","Missed/not booked?"),""))))</f>
        <v/>
      </c>
      <c r="K253" s="29">
        <f>IF(NOT(AND($A253&lt;&gt;"",OR($G253="",$G253="Active"))),"",IF(MIN(IF(AND(ISNUMBER($L253),$L253&gt;=TODAY()),$L253,99999),IF(AND(ISNUMBER($M253),$M253&gt;=TODAY()),$M253,99999),IF(AND(ISNUMBER($N253),$N253&gt;=TODAY()),$N253,99999),IF(AND(ISNUMBER($Q253),$Q253&gt;=TODAY()),$Q253,99999),IF(AND(ISNUMBER($R253),$R253&gt;=TODAY()),$R253,99999),IF(AND(ISNUMBER($S253),$S253&gt;=TODAY()),$S253,99999),IF(AND(ISNUMBER($T253),$T253&gt;=TODAY()),$T253,99999),IF(AND(ISNUMBER($U253),$U253&gt;=TODAY()),$U253,99999),IF(AND(ISNUMBER($V253),$V253&gt;=TODAY()),$V253,99999))=99999,"",MIN(IF(AND(ISNUMBER($L253),$L253&gt;=TODAY()),$L253,99999),IF(AND(ISNUMBER($M253),$M253&gt;=TODAY()),$M253,99999),IF(AND(ISNUMBER($N253),$N253&gt;=TODAY()),$N253,99999),IF(AND(ISNUMBER($Q253),$Q253&gt;=TODAY()),$Q253,99999),IF(AND(ISNUMBER($R253),$R253&gt;=TODAY()),$R253,99999),IF(AND(ISNUMBER($S253),$S253&gt;=TODAY()),$S253,99999),IF(AND(ISNUMBER($T253),$T253&gt;=TODAY()),$T253,99999),IF(AND(ISNUMBER($U253),$U253&gt;=TODAY()),$U253,99999),IF(AND(ISNUMBER($V253),$V253&gt;=TODAY()),$V253,99999))))</f>
        <v/>
      </c>
      <c r="L253" s="27" t="n"/>
      <c r="M253" s="27" t="n"/>
      <c r="N253" s="27" t="n"/>
      <c r="O253" s="27" t="n"/>
      <c r="P253" s="27" t="n"/>
      <c r="Q253" s="27" t="n"/>
      <c r="R253" s="27" t="n"/>
      <c r="S253" s="27" t="n"/>
      <c r="T253" s="27" t="n"/>
      <c r="U253" s="27" t="n"/>
      <c r="V253" s="27" t="n"/>
      <c r="W253" s="27" t="n"/>
      <c r="X253" s="27" t="n"/>
      <c r="Y253" s="27" t="n"/>
      <c r="Z253" s="30" t="n"/>
      <c r="AA253" s="25" t="n"/>
      <c r="AB253" s="28">
        <f>IF(NOT(AND($A253&lt;&gt;"",OR($G253="",$G253="Active"))),"",IF(OR(IF(OR(ISNUMBER($V253),$V253="DNA"),$V253,IF(OR(ISNUMBER($U253),$U253="DNA"),$U253,IF(OR(ISNUMBER($T253),$T253="DNA"),$T253,IF(OR(ISNUMBER($S253),$S253="DNA"),$S253,IF(OR(ISNUMBER($R253),$R253="DNA"),$R253,IF(OR(ISNUMBER($Q253),$Q253="DNA"),$Q253,IF(OR(ISNUMBER($N253),$N253="DNA"),$N253,IF(OR(ISNUMBER($M253),$M253="DNA"),$M253,IF(OR(ISNUMBER($L253),$L253="DNA"),$L253,"")))))))))="DNA",AND(ISNUMBER(IF(OR(ISNUMBER($V253),$V253="DNA"),$V253,IF(OR(ISNUMBER($U253),$U253="DNA"),$U253,IF(OR(ISNUMBER($T253),$T253="DNA"),$T253,IF(OR(ISNUMBER($S253),$S253="DNA"),$S253,IF(OR(ISNUMBER($R253),$R253="DNA"),$R253,IF(OR(ISNUMBER($Q253),$Q253="DNA"),$Q253,IF(OR(ISNUMBER($N253),$N253="DNA"),$N253,IF(OR(ISNUMBER($M253),$M253="DNA"),$M253,IF(OR(ISNUMBER($L253),$L253="DNA"),$L253,"")))))))))),IF(OR(ISNUMBER($V253),$V253="DNA"),$V253,IF(OR(ISNUMBER($U253),$U253="DNA"),$U253,IF(OR(ISNUMBER($T253),$T253="DNA"),$T253,IF(OR(ISNUMBER($S253),$S253="DNA"),$S253,IF(OR(ISNUMBER($R253),$R253="DNA"),$R253,IF(OR(ISNUMBER($Q253),$Q253="DNA"),$Q253,IF(OR(ISNUMBER($N253),$N253="DNA"),$N253,IF(OR(ISNUMBER($M253),$M253="DNA"),$M253,IF(OR(ISNUMBER($L253),$L253="DNA"),$L253,"")))))))))&lt;TODAY())),1,0)+ISNUMBER($O253)*($O253&lt;TODAY())+ISNUMBER($P253)*($P253&lt;TODAY())+ISNUMBER($X253)*($X253&lt;TODAY())+ISNUMBER($Y253)*($Y253&lt;TODAY()))</f>
        <v/>
      </c>
    </row>
    <row r="254">
      <c r="A254" s="25" t="n"/>
      <c r="B254" s="26" t="n"/>
      <c r="C254" s="27" t="n"/>
      <c r="D254" s="25" t="n"/>
      <c r="E254" s="25" t="n"/>
      <c r="F254" s="27" t="n"/>
      <c r="G254" s="25" t="n"/>
      <c r="H254" s="28">
        <f>IF(OR(NOT(AND($A254&lt;&gt;"",OR($G254="",$G254="Active"))),$F254=""),"",INT((TODAY()-$F254+280)/7)&amp;"+"&amp;MOD(TODAY()-$F254+280,7))</f>
        <v/>
      </c>
      <c r="I254" s="28">
        <f>IF(NOT(AND($A254&lt;&gt;"",OR($G254="",$G254="Active"))),"",ISNUMBER($L254)*($L254&gt;=TODAY())*($L254&lt;=TODAY()+7)+ISNUMBER($M254)*($M254&gt;=TODAY())*($M254&lt;=TODAY()+7)+ISNUMBER($N254)*($N254&gt;=TODAY())*($N254&lt;=TODAY()+7)+ISNUMBER($Q254)*($Q254&gt;=TODAY())*($Q254&lt;=TODAY()+7)+ISNUMBER($R254)*($R254&gt;=TODAY())*($R254&lt;=TODAY()+7)+ISNUMBER($S254)*($S254&gt;=TODAY())*($S254&lt;=TODAY()+7)+ISNUMBER($T254)*($T254&gt;=TODAY())*($T254&lt;=TODAY()+7)+ISNUMBER($U254)*($U254&gt;=TODAY())*($U254&lt;=TODAY()+7)+ISNUMBER($V254)*($V254&gt;=TODAY())*($V254&lt;=TODAY()+7)+ISNUMBER($O254)*($O254&gt;=TODAY())*($O254&lt;=TODAY()+7)+ISNUMBER($P254)*($P254&gt;=TODAY())*($P254&lt;=TODAY()+7)+ISNUMBER($X254)*($X254&gt;=TODAY())*($X254&lt;=TODAY()+7)+ISNUMBER($Y254)*($Y254&gt;=TODAY())*($Y254&lt;=TODAY()+7))</f>
        <v/>
      </c>
      <c r="J254" s="28">
        <f>IF(NOT(AND($A254&lt;&gt;"",OR($G254="",$G254="Active"))),"",IF($K254&lt;&gt;"",IF($L254=$K254,"Booking",IF($M254=$K254,"16/40",IF($N254=$K254,"25/40",IF($Q254=$K254,"28/40",IF($R254=$K254,"31/40",IF($S254=$K254,"34/40",IF($T254=$K254,"36/40",IF($U254=$K254,"38/40",IF($V254=$K254,"40/40",""))))))))),IF(IF(OR(ISNUMBER($V254),$V254="DNA"),$V254,IF(OR(ISNUMBER($U254),$U254="DNA"),$U254,IF(OR(ISNUMBER($T254),$T254="DNA"),$T254,IF(OR(ISNUMBER($S254),$S254="DNA"),$S254,IF(OR(ISNUMBER($R254),$R254="DNA"),$R254,IF(OR(ISNUMBER($Q254),$Q254="DNA"),$Q254,IF(OR(ISNUMBER($N254),$N254="DNA"),$N254,IF(OR(ISNUMBER($M254),$M254="DNA"),$M254,IF(OR(ISNUMBER($L254),$L254="DNA"),$L254,"")))))))))="DNA","Rebook DNA",IF(ISNUMBER(IF(OR(ISNUMBER($V254),$V254="DNA"),$V254,IF(OR(ISNUMBER($U254),$U254="DNA"),$U254,IF(OR(ISNUMBER($T254),$T254="DNA"),$T254,IF(OR(ISNUMBER($S254),$S254="DNA"),$S254,IF(OR(ISNUMBER($R254),$R254="DNA"),$R254,IF(OR(ISNUMBER($Q254),$Q254="DNA"),$Q254,IF(OR(ISNUMBER($N254),$N254="DNA"),$N254,IF(OR(ISNUMBER($M254),$M254="DNA"),$M254,IF(OR(ISNUMBER($L254),$L254="DNA"),$L254,"")))))))))),IF(ISNUMBER($V254),"Update status","Missed/not booked?"),""))))</f>
        <v/>
      </c>
      <c r="K254" s="29">
        <f>IF(NOT(AND($A254&lt;&gt;"",OR($G254="",$G254="Active"))),"",IF(MIN(IF(AND(ISNUMBER($L254),$L254&gt;=TODAY()),$L254,99999),IF(AND(ISNUMBER($M254),$M254&gt;=TODAY()),$M254,99999),IF(AND(ISNUMBER($N254),$N254&gt;=TODAY()),$N254,99999),IF(AND(ISNUMBER($Q254),$Q254&gt;=TODAY()),$Q254,99999),IF(AND(ISNUMBER($R254),$R254&gt;=TODAY()),$R254,99999),IF(AND(ISNUMBER($S254),$S254&gt;=TODAY()),$S254,99999),IF(AND(ISNUMBER($T254),$T254&gt;=TODAY()),$T254,99999),IF(AND(ISNUMBER($U254),$U254&gt;=TODAY()),$U254,99999),IF(AND(ISNUMBER($V254),$V254&gt;=TODAY()),$V254,99999))=99999,"",MIN(IF(AND(ISNUMBER($L254),$L254&gt;=TODAY()),$L254,99999),IF(AND(ISNUMBER($M254),$M254&gt;=TODAY()),$M254,99999),IF(AND(ISNUMBER($N254),$N254&gt;=TODAY()),$N254,99999),IF(AND(ISNUMBER($Q254),$Q254&gt;=TODAY()),$Q254,99999),IF(AND(ISNUMBER($R254),$R254&gt;=TODAY()),$R254,99999),IF(AND(ISNUMBER($S254),$S254&gt;=TODAY()),$S254,99999),IF(AND(ISNUMBER($T254),$T254&gt;=TODAY()),$T254,99999),IF(AND(ISNUMBER($U254),$U254&gt;=TODAY()),$U254,99999),IF(AND(ISNUMBER($V254),$V254&gt;=TODAY()),$V254,99999))))</f>
        <v/>
      </c>
      <c r="L254" s="27" t="n"/>
      <c r="M254" s="27" t="n"/>
      <c r="N254" s="27" t="n"/>
      <c r="O254" s="27" t="n"/>
      <c r="P254" s="27" t="n"/>
      <c r="Q254" s="27" t="n"/>
      <c r="R254" s="27" t="n"/>
      <c r="S254" s="27" t="n"/>
      <c r="T254" s="27" t="n"/>
      <c r="U254" s="27" t="n"/>
      <c r="V254" s="27" t="n"/>
      <c r="W254" s="27" t="n"/>
      <c r="X254" s="27" t="n"/>
      <c r="Y254" s="27" t="n"/>
      <c r="Z254" s="30" t="n"/>
      <c r="AA254" s="25" t="n"/>
      <c r="AB254" s="28">
        <f>IF(NOT(AND($A254&lt;&gt;"",OR($G254="",$G254="Active"))),"",IF(OR(IF(OR(ISNUMBER($V254),$V254="DNA"),$V254,IF(OR(ISNUMBER($U254),$U254="DNA"),$U254,IF(OR(ISNUMBER($T254),$T254="DNA"),$T254,IF(OR(ISNUMBER($S254),$S254="DNA"),$S254,IF(OR(ISNUMBER($R254),$R254="DNA"),$R254,IF(OR(ISNUMBER($Q254),$Q254="DNA"),$Q254,IF(OR(ISNUMBER($N254),$N254="DNA"),$N254,IF(OR(ISNUMBER($M254),$M254="DNA"),$M254,IF(OR(ISNUMBER($L254),$L254="DNA"),$L254,"")))))))))="DNA",AND(ISNUMBER(IF(OR(ISNUMBER($V254),$V254="DNA"),$V254,IF(OR(ISNUMBER($U254),$U254="DNA"),$U254,IF(OR(ISNUMBER($T254),$T254="DNA"),$T254,IF(OR(ISNUMBER($S254),$S254="DNA"),$S254,IF(OR(ISNUMBER($R254),$R254="DNA"),$R254,IF(OR(ISNUMBER($Q254),$Q254="DNA"),$Q254,IF(OR(ISNUMBER($N254),$N254="DNA"),$N254,IF(OR(ISNUMBER($M254),$M254="DNA"),$M254,IF(OR(ISNUMBER($L254),$L254="DNA"),$L254,"")))))))))),IF(OR(ISNUMBER($V254),$V254="DNA"),$V254,IF(OR(ISNUMBER($U254),$U254="DNA"),$U254,IF(OR(ISNUMBER($T254),$T254="DNA"),$T254,IF(OR(ISNUMBER($S254),$S254="DNA"),$S254,IF(OR(ISNUMBER($R254),$R254="DNA"),$R254,IF(OR(ISNUMBER($Q254),$Q254="DNA"),$Q254,IF(OR(ISNUMBER($N254),$N254="DNA"),$N254,IF(OR(ISNUMBER($M254),$M254="DNA"),$M254,IF(OR(ISNUMBER($L254),$L254="DNA"),$L254,"")))))))))&lt;TODAY())),1,0)+ISNUMBER($O254)*($O254&lt;TODAY())+ISNUMBER($P254)*($P254&lt;TODAY())+ISNUMBER($X254)*($X254&lt;TODAY())+ISNUMBER($Y254)*($Y254&lt;TODAY()))</f>
        <v/>
      </c>
    </row>
    <row r="255">
      <c r="A255" s="25" t="n"/>
      <c r="B255" s="26" t="n"/>
      <c r="C255" s="27" t="n"/>
      <c r="D255" s="25" t="n"/>
      <c r="E255" s="25" t="n"/>
      <c r="F255" s="27" t="n"/>
      <c r="G255" s="25" t="n"/>
      <c r="H255" s="28">
        <f>IF(OR(NOT(AND($A255&lt;&gt;"",OR($G255="",$G255="Active"))),$F255=""),"",INT((TODAY()-$F255+280)/7)&amp;"+"&amp;MOD(TODAY()-$F255+280,7))</f>
        <v/>
      </c>
      <c r="I255" s="28">
        <f>IF(NOT(AND($A255&lt;&gt;"",OR($G255="",$G255="Active"))),"",ISNUMBER($L255)*($L255&gt;=TODAY())*($L255&lt;=TODAY()+7)+ISNUMBER($M255)*($M255&gt;=TODAY())*($M255&lt;=TODAY()+7)+ISNUMBER($N255)*($N255&gt;=TODAY())*($N255&lt;=TODAY()+7)+ISNUMBER($Q255)*($Q255&gt;=TODAY())*($Q255&lt;=TODAY()+7)+ISNUMBER($R255)*($R255&gt;=TODAY())*($R255&lt;=TODAY()+7)+ISNUMBER($S255)*($S255&gt;=TODAY())*($S255&lt;=TODAY()+7)+ISNUMBER($T255)*($T255&gt;=TODAY())*($T255&lt;=TODAY()+7)+ISNUMBER($U255)*($U255&gt;=TODAY())*($U255&lt;=TODAY()+7)+ISNUMBER($V255)*($V255&gt;=TODAY())*($V255&lt;=TODAY()+7)+ISNUMBER($O255)*($O255&gt;=TODAY())*($O255&lt;=TODAY()+7)+ISNUMBER($P255)*($P255&gt;=TODAY())*($P255&lt;=TODAY()+7)+ISNUMBER($X255)*($X255&gt;=TODAY())*($X255&lt;=TODAY()+7)+ISNUMBER($Y255)*($Y255&gt;=TODAY())*($Y255&lt;=TODAY()+7))</f>
        <v/>
      </c>
      <c r="J255" s="28">
        <f>IF(NOT(AND($A255&lt;&gt;"",OR($G255="",$G255="Active"))),"",IF($K255&lt;&gt;"",IF($L255=$K255,"Booking",IF($M255=$K255,"16/40",IF($N255=$K255,"25/40",IF($Q255=$K255,"28/40",IF($R255=$K255,"31/40",IF($S255=$K255,"34/40",IF($T255=$K255,"36/40",IF($U255=$K255,"38/40",IF($V255=$K255,"40/40",""))))))))),IF(IF(OR(ISNUMBER($V255),$V255="DNA"),$V255,IF(OR(ISNUMBER($U255),$U255="DNA"),$U255,IF(OR(ISNUMBER($T255),$T255="DNA"),$T255,IF(OR(ISNUMBER($S255),$S255="DNA"),$S255,IF(OR(ISNUMBER($R255),$R255="DNA"),$R255,IF(OR(ISNUMBER($Q255),$Q255="DNA"),$Q255,IF(OR(ISNUMBER($N255),$N255="DNA"),$N255,IF(OR(ISNUMBER($M255),$M255="DNA"),$M255,IF(OR(ISNUMBER($L255),$L255="DNA"),$L255,"")))))))))="DNA","Rebook DNA",IF(ISNUMBER(IF(OR(ISNUMBER($V255),$V255="DNA"),$V255,IF(OR(ISNUMBER($U255),$U255="DNA"),$U255,IF(OR(ISNUMBER($T255),$T255="DNA"),$T255,IF(OR(ISNUMBER($S255),$S255="DNA"),$S255,IF(OR(ISNUMBER($R255),$R255="DNA"),$R255,IF(OR(ISNUMBER($Q255),$Q255="DNA"),$Q255,IF(OR(ISNUMBER($N255),$N255="DNA"),$N255,IF(OR(ISNUMBER($M255),$M255="DNA"),$M255,IF(OR(ISNUMBER($L255),$L255="DNA"),$L255,"")))))))))),IF(ISNUMBER($V255),"Update status","Missed/not booked?"),""))))</f>
        <v/>
      </c>
      <c r="K255" s="29">
        <f>IF(NOT(AND($A255&lt;&gt;"",OR($G255="",$G255="Active"))),"",IF(MIN(IF(AND(ISNUMBER($L255),$L255&gt;=TODAY()),$L255,99999),IF(AND(ISNUMBER($M255),$M255&gt;=TODAY()),$M255,99999),IF(AND(ISNUMBER($N255),$N255&gt;=TODAY()),$N255,99999),IF(AND(ISNUMBER($Q255),$Q255&gt;=TODAY()),$Q255,99999),IF(AND(ISNUMBER($R255),$R255&gt;=TODAY()),$R255,99999),IF(AND(ISNUMBER($S255),$S255&gt;=TODAY()),$S255,99999),IF(AND(ISNUMBER($T255),$T255&gt;=TODAY()),$T255,99999),IF(AND(ISNUMBER($U255),$U255&gt;=TODAY()),$U255,99999),IF(AND(ISNUMBER($V255),$V255&gt;=TODAY()),$V255,99999))=99999,"",MIN(IF(AND(ISNUMBER($L255),$L255&gt;=TODAY()),$L255,99999),IF(AND(ISNUMBER($M255),$M255&gt;=TODAY()),$M255,99999),IF(AND(ISNUMBER($N255),$N255&gt;=TODAY()),$N255,99999),IF(AND(ISNUMBER($Q255),$Q255&gt;=TODAY()),$Q255,99999),IF(AND(ISNUMBER($R255),$R255&gt;=TODAY()),$R255,99999),IF(AND(ISNUMBER($S255),$S255&gt;=TODAY()),$S255,99999),IF(AND(ISNUMBER($T255),$T255&gt;=TODAY()),$T255,99999),IF(AND(ISNUMBER($U255),$U255&gt;=TODAY()),$U255,99999),IF(AND(ISNUMBER($V255),$V255&gt;=TODAY()),$V255,99999))))</f>
        <v/>
      </c>
      <c r="L255" s="27" t="n"/>
      <c r="M255" s="27" t="n"/>
      <c r="N255" s="27" t="n"/>
      <c r="O255" s="27" t="n"/>
      <c r="P255" s="27" t="n"/>
      <c r="Q255" s="27" t="n"/>
      <c r="R255" s="27" t="n"/>
      <c r="S255" s="27" t="n"/>
      <c r="T255" s="27" t="n"/>
      <c r="U255" s="27" t="n"/>
      <c r="V255" s="27" t="n"/>
      <c r="W255" s="27" t="n"/>
      <c r="X255" s="27" t="n"/>
      <c r="Y255" s="27" t="n"/>
      <c r="Z255" s="30" t="n"/>
      <c r="AA255" s="25" t="n"/>
      <c r="AB255" s="28">
        <f>IF(NOT(AND($A255&lt;&gt;"",OR($G255="",$G255="Active"))),"",IF(OR(IF(OR(ISNUMBER($V255),$V255="DNA"),$V255,IF(OR(ISNUMBER($U255),$U255="DNA"),$U255,IF(OR(ISNUMBER($T255),$T255="DNA"),$T255,IF(OR(ISNUMBER($S255),$S255="DNA"),$S255,IF(OR(ISNUMBER($R255),$R255="DNA"),$R255,IF(OR(ISNUMBER($Q255),$Q255="DNA"),$Q255,IF(OR(ISNUMBER($N255),$N255="DNA"),$N255,IF(OR(ISNUMBER($M255),$M255="DNA"),$M255,IF(OR(ISNUMBER($L255),$L255="DNA"),$L255,"")))))))))="DNA",AND(ISNUMBER(IF(OR(ISNUMBER($V255),$V255="DNA"),$V255,IF(OR(ISNUMBER($U255),$U255="DNA"),$U255,IF(OR(ISNUMBER($T255),$T255="DNA"),$T255,IF(OR(ISNUMBER($S255),$S255="DNA"),$S255,IF(OR(ISNUMBER($R255),$R255="DNA"),$R255,IF(OR(ISNUMBER($Q255),$Q255="DNA"),$Q255,IF(OR(ISNUMBER($N255),$N255="DNA"),$N255,IF(OR(ISNUMBER($M255),$M255="DNA"),$M255,IF(OR(ISNUMBER($L255),$L255="DNA"),$L255,"")))))))))),IF(OR(ISNUMBER($V255),$V255="DNA"),$V255,IF(OR(ISNUMBER($U255),$U255="DNA"),$U255,IF(OR(ISNUMBER($T255),$T255="DNA"),$T255,IF(OR(ISNUMBER($S255),$S255="DNA"),$S255,IF(OR(ISNUMBER($R255),$R255="DNA"),$R255,IF(OR(ISNUMBER($Q255),$Q255="DNA"),$Q255,IF(OR(ISNUMBER($N255),$N255="DNA"),$N255,IF(OR(ISNUMBER($M255),$M255="DNA"),$M255,IF(OR(ISNUMBER($L255),$L255="DNA"),$L255,"")))))))))&lt;TODAY())),1,0)+ISNUMBER($O255)*($O255&lt;TODAY())+ISNUMBER($P255)*($P255&lt;TODAY())+ISNUMBER($X255)*($X255&lt;TODAY())+ISNUMBER($Y255)*($Y255&lt;TODAY()))</f>
        <v/>
      </c>
    </row>
    <row r="256">
      <c r="A256" s="25" t="n"/>
      <c r="B256" s="26" t="n"/>
      <c r="C256" s="27" t="n"/>
      <c r="D256" s="25" t="n"/>
      <c r="E256" s="25" t="n"/>
      <c r="F256" s="27" t="n"/>
      <c r="G256" s="25" t="n"/>
      <c r="H256" s="28">
        <f>IF(OR(NOT(AND($A256&lt;&gt;"",OR($G256="",$G256="Active"))),$F256=""),"",INT((TODAY()-$F256+280)/7)&amp;"+"&amp;MOD(TODAY()-$F256+280,7))</f>
        <v/>
      </c>
      <c r="I256" s="28">
        <f>IF(NOT(AND($A256&lt;&gt;"",OR($G256="",$G256="Active"))),"",ISNUMBER($L256)*($L256&gt;=TODAY())*($L256&lt;=TODAY()+7)+ISNUMBER($M256)*($M256&gt;=TODAY())*($M256&lt;=TODAY()+7)+ISNUMBER($N256)*($N256&gt;=TODAY())*($N256&lt;=TODAY()+7)+ISNUMBER($Q256)*($Q256&gt;=TODAY())*($Q256&lt;=TODAY()+7)+ISNUMBER($R256)*($R256&gt;=TODAY())*($R256&lt;=TODAY()+7)+ISNUMBER($S256)*($S256&gt;=TODAY())*($S256&lt;=TODAY()+7)+ISNUMBER($T256)*($T256&gt;=TODAY())*($T256&lt;=TODAY()+7)+ISNUMBER($U256)*($U256&gt;=TODAY())*($U256&lt;=TODAY()+7)+ISNUMBER($V256)*($V256&gt;=TODAY())*($V256&lt;=TODAY()+7)+ISNUMBER($O256)*($O256&gt;=TODAY())*($O256&lt;=TODAY()+7)+ISNUMBER($P256)*($P256&gt;=TODAY())*($P256&lt;=TODAY()+7)+ISNUMBER($X256)*($X256&gt;=TODAY())*($X256&lt;=TODAY()+7)+ISNUMBER($Y256)*($Y256&gt;=TODAY())*($Y256&lt;=TODAY()+7))</f>
        <v/>
      </c>
      <c r="J256" s="28">
        <f>IF(NOT(AND($A256&lt;&gt;"",OR($G256="",$G256="Active"))),"",IF($K256&lt;&gt;"",IF($L256=$K256,"Booking",IF($M256=$K256,"16/40",IF($N256=$K256,"25/40",IF($Q256=$K256,"28/40",IF($R256=$K256,"31/40",IF($S256=$K256,"34/40",IF($T256=$K256,"36/40",IF($U256=$K256,"38/40",IF($V256=$K256,"40/40",""))))))))),IF(IF(OR(ISNUMBER($V256),$V256="DNA"),$V256,IF(OR(ISNUMBER($U256),$U256="DNA"),$U256,IF(OR(ISNUMBER($T256),$T256="DNA"),$T256,IF(OR(ISNUMBER($S256),$S256="DNA"),$S256,IF(OR(ISNUMBER($R256),$R256="DNA"),$R256,IF(OR(ISNUMBER($Q256),$Q256="DNA"),$Q256,IF(OR(ISNUMBER($N256),$N256="DNA"),$N256,IF(OR(ISNUMBER($M256),$M256="DNA"),$M256,IF(OR(ISNUMBER($L256),$L256="DNA"),$L256,"")))))))))="DNA","Rebook DNA",IF(ISNUMBER(IF(OR(ISNUMBER($V256),$V256="DNA"),$V256,IF(OR(ISNUMBER($U256),$U256="DNA"),$U256,IF(OR(ISNUMBER($T256),$T256="DNA"),$T256,IF(OR(ISNUMBER($S256),$S256="DNA"),$S256,IF(OR(ISNUMBER($R256),$R256="DNA"),$R256,IF(OR(ISNUMBER($Q256),$Q256="DNA"),$Q256,IF(OR(ISNUMBER($N256),$N256="DNA"),$N256,IF(OR(ISNUMBER($M256),$M256="DNA"),$M256,IF(OR(ISNUMBER($L256),$L256="DNA"),$L256,"")))))))))),IF(ISNUMBER($V256),"Update status","Missed/not booked?"),""))))</f>
        <v/>
      </c>
      <c r="K256" s="29">
        <f>IF(NOT(AND($A256&lt;&gt;"",OR($G256="",$G256="Active"))),"",IF(MIN(IF(AND(ISNUMBER($L256),$L256&gt;=TODAY()),$L256,99999),IF(AND(ISNUMBER($M256),$M256&gt;=TODAY()),$M256,99999),IF(AND(ISNUMBER($N256),$N256&gt;=TODAY()),$N256,99999),IF(AND(ISNUMBER($Q256),$Q256&gt;=TODAY()),$Q256,99999),IF(AND(ISNUMBER($R256),$R256&gt;=TODAY()),$R256,99999),IF(AND(ISNUMBER($S256),$S256&gt;=TODAY()),$S256,99999),IF(AND(ISNUMBER($T256),$T256&gt;=TODAY()),$T256,99999),IF(AND(ISNUMBER($U256),$U256&gt;=TODAY()),$U256,99999),IF(AND(ISNUMBER($V256),$V256&gt;=TODAY()),$V256,99999))=99999,"",MIN(IF(AND(ISNUMBER($L256),$L256&gt;=TODAY()),$L256,99999),IF(AND(ISNUMBER($M256),$M256&gt;=TODAY()),$M256,99999),IF(AND(ISNUMBER($N256),$N256&gt;=TODAY()),$N256,99999),IF(AND(ISNUMBER($Q256),$Q256&gt;=TODAY()),$Q256,99999),IF(AND(ISNUMBER($R256),$R256&gt;=TODAY()),$R256,99999),IF(AND(ISNUMBER($S256),$S256&gt;=TODAY()),$S256,99999),IF(AND(ISNUMBER($T256),$T256&gt;=TODAY()),$T256,99999),IF(AND(ISNUMBER($U256),$U256&gt;=TODAY()),$U256,99999),IF(AND(ISNUMBER($V256),$V256&gt;=TODAY()),$V256,99999))))</f>
        <v/>
      </c>
      <c r="L256" s="27" t="n"/>
      <c r="M256" s="27" t="n"/>
      <c r="N256" s="27" t="n"/>
      <c r="O256" s="27" t="n"/>
      <c r="P256" s="27" t="n"/>
      <c r="Q256" s="27" t="n"/>
      <c r="R256" s="27" t="n"/>
      <c r="S256" s="27" t="n"/>
      <c r="T256" s="27" t="n"/>
      <c r="U256" s="27" t="n"/>
      <c r="V256" s="27" t="n"/>
      <c r="W256" s="27" t="n"/>
      <c r="X256" s="27" t="n"/>
      <c r="Y256" s="27" t="n"/>
      <c r="Z256" s="30" t="n"/>
      <c r="AA256" s="25" t="n"/>
      <c r="AB256" s="28">
        <f>IF(NOT(AND($A256&lt;&gt;"",OR($G256="",$G256="Active"))),"",IF(OR(IF(OR(ISNUMBER($V256),$V256="DNA"),$V256,IF(OR(ISNUMBER($U256),$U256="DNA"),$U256,IF(OR(ISNUMBER($T256),$T256="DNA"),$T256,IF(OR(ISNUMBER($S256),$S256="DNA"),$S256,IF(OR(ISNUMBER($R256),$R256="DNA"),$R256,IF(OR(ISNUMBER($Q256),$Q256="DNA"),$Q256,IF(OR(ISNUMBER($N256),$N256="DNA"),$N256,IF(OR(ISNUMBER($M256),$M256="DNA"),$M256,IF(OR(ISNUMBER($L256),$L256="DNA"),$L256,"")))))))))="DNA",AND(ISNUMBER(IF(OR(ISNUMBER($V256),$V256="DNA"),$V256,IF(OR(ISNUMBER($U256),$U256="DNA"),$U256,IF(OR(ISNUMBER($T256),$T256="DNA"),$T256,IF(OR(ISNUMBER($S256),$S256="DNA"),$S256,IF(OR(ISNUMBER($R256),$R256="DNA"),$R256,IF(OR(ISNUMBER($Q256),$Q256="DNA"),$Q256,IF(OR(ISNUMBER($N256),$N256="DNA"),$N256,IF(OR(ISNUMBER($M256),$M256="DNA"),$M256,IF(OR(ISNUMBER($L256),$L256="DNA"),$L256,"")))))))))),IF(OR(ISNUMBER($V256),$V256="DNA"),$V256,IF(OR(ISNUMBER($U256),$U256="DNA"),$U256,IF(OR(ISNUMBER($T256),$T256="DNA"),$T256,IF(OR(ISNUMBER($S256),$S256="DNA"),$S256,IF(OR(ISNUMBER($R256),$R256="DNA"),$R256,IF(OR(ISNUMBER($Q256),$Q256="DNA"),$Q256,IF(OR(ISNUMBER($N256),$N256="DNA"),$N256,IF(OR(ISNUMBER($M256),$M256="DNA"),$M256,IF(OR(ISNUMBER($L256),$L256="DNA"),$L256,"")))))))))&lt;TODAY())),1,0)+ISNUMBER($O256)*($O256&lt;TODAY())+ISNUMBER($P256)*($P256&lt;TODAY())+ISNUMBER($X256)*($X256&lt;TODAY())+ISNUMBER($Y256)*($Y256&lt;TODAY()))</f>
        <v/>
      </c>
    </row>
    <row r="257">
      <c r="A257" s="25" t="n"/>
      <c r="B257" s="26" t="n"/>
      <c r="C257" s="27" t="n"/>
      <c r="D257" s="25" t="n"/>
      <c r="E257" s="25" t="n"/>
      <c r="F257" s="27" t="n"/>
      <c r="G257" s="25" t="n"/>
      <c r="H257" s="28">
        <f>IF(OR(NOT(AND($A257&lt;&gt;"",OR($G257="",$G257="Active"))),$F257=""),"",INT((TODAY()-$F257+280)/7)&amp;"+"&amp;MOD(TODAY()-$F257+280,7))</f>
        <v/>
      </c>
      <c r="I257" s="28">
        <f>IF(NOT(AND($A257&lt;&gt;"",OR($G257="",$G257="Active"))),"",ISNUMBER($L257)*($L257&gt;=TODAY())*($L257&lt;=TODAY()+7)+ISNUMBER($M257)*($M257&gt;=TODAY())*($M257&lt;=TODAY()+7)+ISNUMBER($N257)*($N257&gt;=TODAY())*($N257&lt;=TODAY()+7)+ISNUMBER($Q257)*($Q257&gt;=TODAY())*($Q257&lt;=TODAY()+7)+ISNUMBER($R257)*($R257&gt;=TODAY())*($R257&lt;=TODAY()+7)+ISNUMBER($S257)*($S257&gt;=TODAY())*($S257&lt;=TODAY()+7)+ISNUMBER($T257)*($T257&gt;=TODAY())*($T257&lt;=TODAY()+7)+ISNUMBER($U257)*($U257&gt;=TODAY())*($U257&lt;=TODAY()+7)+ISNUMBER($V257)*($V257&gt;=TODAY())*($V257&lt;=TODAY()+7)+ISNUMBER($O257)*($O257&gt;=TODAY())*($O257&lt;=TODAY()+7)+ISNUMBER($P257)*($P257&gt;=TODAY())*($P257&lt;=TODAY()+7)+ISNUMBER($X257)*($X257&gt;=TODAY())*($X257&lt;=TODAY()+7)+ISNUMBER($Y257)*($Y257&gt;=TODAY())*($Y257&lt;=TODAY()+7))</f>
        <v/>
      </c>
      <c r="J257" s="28">
        <f>IF(NOT(AND($A257&lt;&gt;"",OR($G257="",$G257="Active"))),"",IF($K257&lt;&gt;"",IF($L257=$K257,"Booking",IF($M257=$K257,"16/40",IF($N257=$K257,"25/40",IF($Q257=$K257,"28/40",IF($R257=$K257,"31/40",IF($S257=$K257,"34/40",IF($T257=$K257,"36/40",IF($U257=$K257,"38/40",IF($V257=$K257,"40/40",""))))))))),IF(IF(OR(ISNUMBER($V257),$V257="DNA"),$V257,IF(OR(ISNUMBER($U257),$U257="DNA"),$U257,IF(OR(ISNUMBER($T257),$T257="DNA"),$T257,IF(OR(ISNUMBER($S257),$S257="DNA"),$S257,IF(OR(ISNUMBER($R257),$R257="DNA"),$R257,IF(OR(ISNUMBER($Q257),$Q257="DNA"),$Q257,IF(OR(ISNUMBER($N257),$N257="DNA"),$N257,IF(OR(ISNUMBER($M257),$M257="DNA"),$M257,IF(OR(ISNUMBER($L257),$L257="DNA"),$L257,"")))))))))="DNA","Rebook DNA",IF(ISNUMBER(IF(OR(ISNUMBER($V257),$V257="DNA"),$V257,IF(OR(ISNUMBER($U257),$U257="DNA"),$U257,IF(OR(ISNUMBER($T257),$T257="DNA"),$T257,IF(OR(ISNUMBER($S257),$S257="DNA"),$S257,IF(OR(ISNUMBER($R257),$R257="DNA"),$R257,IF(OR(ISNUMBER($Q257),$Q257="DNA"),$Q257,IF(OR(ISNUMBER($N257),$N257="DNA"),$N257,IF(OR(ISNUMBER($M257),$M257="DNA"),$M257,IF(OR(ISNUMBER($L257),$L257="DNA"),$L257,"")))))))))),IF(ISNUMBER($V257),"Update status","Missed/not booked?"),""))))</f>
        <v/>
      </c>
      <c r="K257" s="29">
        <f>IF(NOT(AND($A257&lt;&gt;"",OR($G257="",$G257="Active"))),"",IF(MIN(IF(AND(ISNUMBER($L257),$L257&gt;=TODAY()),$L257,99999),IF(AND(ISNUMBER($M257),$M257&gt;=TODAY()),$M257,99999),IF(AND(ISNUMBER($N257),$N257&gt;=TODAY()),$N257,99999),IF(AND(ISNUMBER($Q257),$Q257&gt;=TODAY()),$Q257,99999),IF(AND(ISNUMBER($R257),$R257&gt;=TODAY()),$R257,99999),IF(AND(ISNUMBER($S257),$S257&gt;=TODAY()),$S257,99999),IF(AND(ISNUMBER($T257),$T257&gt;=TODAY()),$T257,99999),IF(AND(ISNUMBER($U257),$U257&gt;=TODAY()),$U257,99999),IF(AND(ISNUMBER($V257),$V257&gt;=TODAY()),$V257,99999))=99999,"",MIN(IF(AND(ISNUMBER($L257),$L257&gt;=TODAY()),$L257,99999),IF(AND(ISNUMBER($M257),$M257&gt;=TODAY()),$M257,99999),IF(AND(ISNUMBER($N257),$N257&gt;=TODAY()),$N257,99999),IF(AND(ISNUMBER($Q257),$Q257&gt;=TODAY()),$Q257,99999),IF(AND(ISNUMBER($R257),$R257&gt;=TODAY()),$R257,99999),IF(AND(ISNUMBER($S257),$S257&gt;=TODAY()),$S257,99999),IF(AND(ISNUMBER($T257),$T257&gt;=TODAY()),$T257,99999),IF(AND(ISNUMBER($U257),$U257&gt;=TODAY()),$U257,99999),IF(AND(ISNUMBER($V257),$V257&gt;=TODAY()),$V257,99999))))</f>
        <v/>
      </c>
      <c r="L257" s="27" t="n"/>
      <c r="M257" s="27" t="n"/>
      <c r="N257" s="27" t="n"/>
      <c r="O257" s="27" t="n"/>
      <c r="P257" s="27" t="n"/>
      <c r="Q257" s="27" t="n"/>
      <c r="R257" s="27" t="n"/>
      <c r="S257" s="27" t="n"/>
      <c r="T257" s="27" t="n"/>
      <c r="U257" s="27" t="n"/>
      <c r="V257" s="27" t="n"/>
      <c r="W257" s="27" t="n"/>
      <c r="X257" s="27" t="n"/>
      <c r="Y257" s="27" t="n"/>
      <c r="Z257" s="30" t="n"/>
      <c r="AA257" s="25" t="n"/>
      <c r="AB257" s="28">
        <f>IF(NOT(AND($A257&lt;&gt;"",OR($G257="",$G257="Active"))),"",IF(OR(IF(OR(ISNUMBER($V257),$V257="DNA"),$V257,IF(OR(ISNUMBER($U257),$U257="DNA"),$U257,IF(OR(ISNUMBER($T257),$T257="DNA"),$T257,IF(OR(ISNUMBER($S257),$S257="DNA"),$S257,IF(OR(ISNUMBER($R257),$R257="DNA"),$R257,IF(OR(ISNUMBER($Q257),$Q257="DNA"),$Q257,IF(OR(ISNUMBER($N257),$N257="DNA"),$N257,IF(OR(ISNUMBER($M257),$M257="DNA"),$M257,IF(OR(ISNUMBER($L257),$L257="DNA"),$L257,"")))))))))="DNA",AND(ISNUMBER(IF(OR(ISNUMBER($V257),$V257="DNA"),$V257,IF(OR(ISNUMBER($U257),$U257="DNA"),$U257,IF(OR(ISNUMBER($T257),$T257="DNA"),$T257,IF(OR(ISNUMBER($S257),$S257="DNA"),$S257,IF(OR(ISNUMBER($R257),$R257="DNA"),$R257,IF(OR(ISNUMBER($Q257),$Q257="DNA"),$Q257,IF(OR(ISNUMBER($N257),$N257="DNA"),$N257,IF(OR(ISNUMBER($M257),$M257="DNA"),$M257,IF(OR(ISNUMBER($L257),$L257="DNA"),$L257,"")))))))))),IF(OR(ISNUMBER($V257),$V257="DNA"),$V257,IF(OR(ISNUMBER($U257),$U257="DNA"),$U257,IF(OR(ISNUMBER($T257),$T257="DNA"),$T257,IF(OR(ISNUMBER($S257),$S257="DNA"),$S257,IF(OR(ISNUMBER($R257),$R257="DNA"),$R257,IF(OR(ISNUMBER($Q257),$Q257="DNA"),$Q257,IF(OR(ISNUMBER($N257),$N257="DNA"),$N257,IF(OR(ISNUMBER($M257),$M257="DNA"),$M257,IF(OR(ISNUMBER($L257),$L257="DNA"),$L257,"")))))))))&lt;TODAY())),1,0)+ISNUMBER($O257)*($O257&lt;TODAY())+ISNUMBER($P257)*($P257&lt;TODAY())+ISNUMBER($X257)*($X257&lt;TODAY())+ISNUMBER($Y257)*($Y257&lt;TODAY()))</f>
        <v/>
      </c>
    </row>
    <row r="258">
      <c r="A258" s="25" t="n"/>
      <c r="B258" s="26" t="n"/>
      <c r="C258" s="27" t="n"/>
      <c r="D258" s="25" t="n"/>
      <c r="E258" s="25" t="n"/>
      <c r="F258" s="27" t="n"/>
      <c r="G258" s="25" t="n"/>
      <c r="H258" s="28">
        <f>IF(OR(NOT(AND($A258&lt;&gt;"",OR($G258="",$G258="Active"))),$F258=""),"",INT((TODAY()-$F258+280)/7)&amp;"+"&amp;MOD(TODAY()-$F258+280,7))</f>
        <v/>
      </c>
      <c r="I258" s="28">
        <f>IF(NOT(AND($A258&lt;&gt;"",OR($G258="",$G258="Active"))),"",ISNUMBER($L258)*($L258&gt;=TODAY())*($L258&lt;=TODAY()+7)+ISNUMBER($M258)*($M258&gt;=TODAY())*($M258&lt;=TODAY()+7)+ISNUMBER($N258)*($N258&gt;=TODAY())*($N258&lt;=TODAY()+7)+ISNUMBER($Q258)*($Q258&gt;=TODAY())*($Q258&lt;=TODAY()+7)+ISNUMBER($R258)*($R258&gt;=TODAY())*($R258&lt;=TODAY()+7)+ISNUMBER($S258)*($S258&gt;=TODAY())*($S258&lt;=TODAY()+7)+ISNUMBER($T258)*($T258&gt;=TODAY())*($T258&lt;=TODAY()+7)+ISNUMBER($U258)*($U258&gt;=TODAY())*($U258&lt;=TODAY()+7)+ISNUMBER($V258)*($V258&gt;=TODAY())*($V258&lt;=TODAY()+7)+ISNUMBER($O258)*($O258&gt;=TODAY())*($O258&lt;=TODAY()+7)+ISNUMBER($P258)*($P258&gt;=TODAY())*($P258&lt;=TODAY()+7)+ISNUMBER($X258)*($X258&gt;=TODAY())*($X258&lt;=TODAY()+7)+ISNUMBER($Y258)*($Y258&gt;=TODAY())*($Y258&lt;=TODAY()+7))</f>
        <v/>
      </c>
      <c r="J258" s="28">
        <f>IF(NOT(AND($A258&lt;&gt;"",OR($G258="",$G258="Active"))),"",IF($K258&lt;&gt;"",IF($L258=$K258,"Booking",IF($M258=$K258,"16/40",IF($N258=$K258,"25/40",IF($Q258=$K258,"28/40",IF($R258=$K258,"31/40",IF($S258=$K258,"34/40",IF($T258=$K258,"36/40",IF($U258=$K258,"38/40",IF($V258=$K258,"40/40",""))))))))),IF(IF(OR(ISNUMBER($V258),$V258="DNA"),$V258,IF(OR(ISNUMBER($U258),$U258="DNA"),$U258,IF(OR(ISNUMBER($T258),$T258="DNA"),$T258,IF(OR(ISNUMBER($S258),$S258="DNA"),$S258,IF(OR(ISNUMBER($R258),$R258="DNA"),$R258,IF(OR(ISNUMBER($Q258),$Q258="DNA"),$Q258,IF(OR(ISNUMBER($N258),$N258="DNA"),$N258,IF(OR(ISNUMBER($M258),$M258="DNA"),$M258,IF(OR(ISNUMBER($L258),$L258="DNA"),$L258,"")))))))))="DNA","Rebook DNA",IF(ISNUMBER(IF(OR(ISNUMBER($V258),$V258="DNA"),$V258,IF(OR(ISNUMBER($U258),$U258="DNA"),$U258,IF(OR(ISNUMBER($T258),$T258="DNA"),$T258,IF(OR(ISNUMBER($S258),$S258="DNA"),$S258,IF(OR(ISNUMBER($R258),$R258="DNA"),$R258,IF(OR(ISNUMBER($Q258),$Q258="DNA"),$Q258,IF(OR(ISNUMBER($N258),$N258="DNA"),$N258,IF(OR(ISNUMBER($M258),$M258="DNA"),$M258,IF(OR(ISNUMBER($L258),$L258="DNA"),$L258,"")))))))))),IF(ISNUMBER($V258),"Update status","Missed/not booked?"),""))))</f>
        <v/>
      </c>
      <c r="K258" s="29">
        <f>IF(NOT(AND($A258&lt;&gt;"",OR($G258="",$G258="Active"))),"",IF(MIN(IF(AND(ISNUMBER($L258),$L258&gt;=TODAY()),$L258,99999),IF(AND(ISNUMBER($M258),$M258&gt;=TODAY()),$M258,99999),IF(AND(ISNUMBER($N258),$N258&gt;=TODAY()),$N258,99999),IF(AND(ISNUMBER($Q258),$Q258&gt;=TODAY()),$Q258,99999),IF(AND(ISNUMBER($R258),$R258&gt;=TODAY()),$R258,99999),IF(AND(ISNUMBER($S258),$S258&gt;=TODAY()),$S258,99999),IF(AND(ISNUMBER($T258),$T258&gt;=TODAY()),$T258,99999),IF(AND(ISNUMBER($U258),$U258&gt;=TODAY()),$U258,99999),IF(AND(ISNUMBER($V258),$V258&gt;=TODAY()),$V258,99999))=99999,"",MIN(IF(AND(ISNUMBER($L258),$L258&gt;=TODAY()),$L258,99999),IF(AND(ISNUMBER($M258),$M258&gt;=TODAY()),$M258,99999),IF(AND(ISNUMBER($N258),$N258&gt;=TODAY()),$N258,99999),IF(AND(ISNUMBER($Q258),$Q258&gt;=TODAY()),$Q258,99999),IF(AND(ISNUMBER($R258),$R258&gt;=TODAY()),$R258,99999),IF(AND(ISNUMBER($S258),$S258&gt;=TODAY()),$S258,99999),IF(AND(ISNUMBER($T258),$T258&gt;=TODAY()),$T258,99999),IF(AND(ISNUMBER($U258),$U258&gt;=TODAY()),$U258,99999),IF(AND(ISNUMBER($V258),$V258&gt;=TODAY()),$V258,99999))))</f>
        <v/>
      </c>
      <c r="L258" s="27" t="n"/>
      <c r="M258" s="27" t="n"/>
      <c r="N258" s="27" t="n"/>
      <c r="O258" s="27" t="n"/>
      <c r="P258" s="27" t="n"/>
      <c r="Q258" s="27" t="n"/>
      <c r="R258" s="27" t="n"/>
      <c r="S258" s="27" t="n"/>
      <c r="T258" s="27" t="n"/>
      <c r="U258" s="27" t="n"/>
      <c r="V258" s="27" t="n"/>
      <c r="W258" s="27" t="n"/>
      <c r="X258" s="27" t="n"/>
      <c r="Y258" s="27" t="n"/>
      <c r="Z258" s="30" t="n"/>
      <c r="AA258" s="25" t="n"/>
      <c r="AB258" s="28">
        <f>IF(NOT(AND($A258&lt;&gt;"",OR($G258="",$G258="Active"))),"",IF(OR(IF(OR(ISNUMBER($V258),$V258="DNA"),$V258,IF(OR(ISNUMBER($U258),$U258="DNA"),$U258,IF(OR(ISNUMBER($T258),$T258="DNA"),$T258,IF(OR(ISNUMBER($S258),$S258="DNA"),$S258,IF(OR(ISNUMBER($R258),$R258="DNA"),$R258,IF(OR(ISNUMBER($Q258),$Q258="DNA"),$Q258,IF(OR(ISNUMBER($N258),$N258="DNA"),$N258,IF(OR(ISNUMBER($M258),$M258="DNA"),$M258,IF(OR(ISNUMBER($L258),$L258="DNA"),$L258,"")))))))))="DNA",AND(ISNUMBER(IF(OR(ISNUMBER($V258),$V258="DNA"),$V258,IF(OR(ISNUMBER($U258),$U258="DNA"),$U258,IF(OR(ISNUMBER($T258),$T258="DNA"),$T258,IF(OR(ISNUMBER($S258),$S258="DNA"),$S258,IF(OR(ISNUMBER($R258),$R258="DNA"),$R258,IF(OR(ISNUMBER($Q258),$Q258="DNA"),$Q258,IF(OR(ISNUMBER($N258),$N258="DNA"),$N258,IF(OR(ISNUMBER($M258),$M258="DNA"),$M258,IF(OR(ISNUMBER($L258),$L258="DNA"),$L258,"")))))))))),IF(OR(ISNUMBER($V258),$V258="DNA"),$V258,IF(OR(ISNUMBER($U258),$U258="DNA"),$U258,IF(OR(ISNUMBER($T258),$T258="DNA"),$T258,IF(OR(ISNUMBER($S258),$S258="DNA"),$S258,IF(OR(ISNUMBER($R258),$R258="DNA"),$R258,IF(OR(ISNUMBER($Q258),$Q258="DNA"),$Q258,IF(OR(ISNUMBER($N258),$N258="DNA"),$N258,IF(OR(ISNUMBER($M258),$M258="DNA"),$M258,IF(OR(ISNUMBER($L258),$L258="DNA"),$L258,"")))))))))&lt;TODAY())),1,0)+ISNUMBER($O258)*($O258&lt;TODAY())+ISNUMBER($P258)*($P258&lt;TODAY())+ISNUMBER($X258)*($X258&lt;TODAY())+ISNUMBER($Y258)*($Y258&lt;TODAY()))</f>
        <v/>
      </c>
    </row>
    <row r="259">
      <c r="A259" s="25" t="n"/>
      <c r="B259" s="26" t="n"/>
      <c r="C259" s="27" t="n"/>
      <c r="D259" s="25" t="n"/>
      <c r="E259" s="25" t="n"/>
      <c r="F259" s="27" t="n"/>
      <c r="G259" s="25" t="n"/>
      <c r="H259" s="28">
        <f>IF(OR(NOT(AND($A259&lt;&gt;"",OR($G259="",$G259="Active"))),$F259=""),"",INT((TODAY()-$F259+280)/7)&amp;"+"&amp;MOD(TODAY()-$F259+280,7))</f>
        <v/>
      </c>
      <c r="I259" s="28">
        <f>IF(NOT(AND($A259&lt;&gt;"",OR($G259="",$G259="Active"))),"",ISNUMBER($L259)*($L259&gt;=TODAY())*($L259&lt;=TODAY()+7)+ISNUMBER($M259)*($M259&gt;=TODAY())*($M259&lt;=TODAY()+7)+ISNUMBER($N259)*($N259&gt;=TODAY())*($N259&lt;=TODAY()+7)+ISNUMBER($Q259)*($Q259&gt;=TODAY())*($Q259&lt;=TODAY()+7)+ISNUMBER($R259)*($R259&gt;=TODAY())*($R259&lt;=TODAY()+7)+ISNUMBER($S259)*($S259&gt;=TODAY())*($S259&lt;=TODAY()+7)+ISNUMBER($T259)*($T259&gt;=TODAY())*($T259&lt;=TODAY()+7)+ISNUMBER($U259)*($U259&gt;=TODAY())*($U259&lt;=TODAY()+7)+ISNUMBER($V259)*($V259&gt;=TODAY())*($V259&lt;=TODAY()+7)+ISNUMBER($O259)*($O259&gt;=TODAY())*($O259&lt;=TODAY()+7)+ISNUMBER($P259)*($P259&gt;=TODAY())*($P259&lt;=TODAY()+7)+ISNUMBER($X259)*($X259&gt;=TODAY())*($X259&lt;=TODAY()+7)+ISNUMBER($Y259)*($Y259&gt;=TODAY())*($Y259&lt;=TODAY()+7))</f>
        <v/>
      </c>
      <c r="J259" s="28">
        <f>IF(NOT(AND($A259&lt;&gt;"",OR($G259="",$G259="Active"))),"",IF($K259&lt;&gt;"",IF($L259=$K259,"Booking",IF($M259=$K259,"16/40",IF($N259=$K259,"25/40",IF($Q259=$K259,"28/40",IF($R259=$K259,"31/40",IF($S259=$K259,"34/40",IF($T259=$K259,"36/40",IF($U259=$K259,"38/40",IF($V259=$K259,"40/40",""))))))))),IF(IF(OR(ISNUMBER($V259),$V259="DNA"),$V259,IF(OR(ISNUMBER($U259),$U259="DNA"),$U259,IF(OR(ISNUMBER($T259),$T259="DNA"),$T259,IF(OR(ISNUMBER($S259),$S259="DNA"),$S259,IF(OR(ISNUMBER($R259),$R259="DNA"),$R259,IF(OR(ISNUMBER($Q259),$Q259="DNA"),$Q259,IF(OR(ISNUMBER($N259),$N259="DNA"),$N259,IF(OR(ISNUMBER($M259),$M259="DNA"),$M259,IF(OR(ISNUMBER($L259),$L259="DNA"),$L259,"")))))))))="DNA","Rebook DNA",IF(ISNUMBER(IF(OR(ISNUMBER($V259),$V259="DNA"),$V259,IF(OR(ISNUMBER($U259),$U259="DNA"),$U259,IF(OR(ISNUMBER($T259),$T259="DNA"),$T259,IF(OR(ISNUMBER($S259),$S259="DNA"),$S259,IF(OR(ISNUMBER($R259),$R259="DNA"),$R259,IF(OR(ISNUMBER($Q259),$Q259="DNA"),$Q259,IF(OR(ISNUMBER($N259),$N259="DNA"),$N259,IF(OR(ISNUMBER($M259),$M259="DNA"),$M259,IF(OR(ISNUMBER($L259),$L259="DNA"),$L259,"")))))))))),IF(ISNUMBER($V259),"Update status","Missed/not booked?"),""))))</f>
        <v/>
      </c>
      <c r="K259" s="29">
        <f>IF(NOT(AND($A259&lt;&gt;"",OR($G259="",$G259="Active"))),"",IF(MIN(IF(AND(ISNUMBER($L259),$L259&gt;=TODAY()),$L259,99999),IF(AND(ISNUMBER($M259),$M259&gt;=TODAY()),$M259,99999),IF(AND(ISNUMBER($N259),$N259&gt;=TODAY()),$N259,99999),IF(AND(ISNUMBER($Q259),$Q259&gt;=TODAY()),$Q259,99999),IF(AND(ISNUMBER($R259),$R259&gt;=TODAY()),$R259,99999),IF(AND(ISNUMBER($S259),$S259&gt;=TODAY()),$S259,99999),IF(AND(ISNUMBER($T259),$T259&gt;=TODAY()),$T259,99999),IF(AND(ISNUMBER($U259),$U259&gt;=TODAY()),$U259,99999),IF(AND(ISNUMBER($V259),$V259&gt;=TODAY()),$V259,99999))=99999,"",MIN(IF(AND(ISNUMBER($L259),$L259&gt;=TODAY()),$L259,99999),IF(AND(ISNUMBER($M259),$M259&gt;=TODAY()),$M259,99999),IF(AND(ISNUMBER($N259),$N259&gt;=TODAY()),$N259,99999),IF(AND(ISNUMBER($Q259),$Q259&gt;=TODAY()),$Q259,99999),IF(AND(ISNUMBER($R259),$R259&gt;=TODAY()),$R259,99999),IF(AND(ISNUMBER($S259),$S259&gt;=TODAY()),$S259,99999),IF(AND(ISNUMBER($T259),$T259&gt;=TODAY()),$T259,99999),IF(AND(ISNUMBER($U259),$U259&gt;=TODAY()),$U259,99999),IF(AND(ISNUMBER($V259),$V259&gt;=TODAY()),$V259,99999))))</f>
        <v/>
      </c>
      <c r="L259" s="27" t="n"/>
      <c r="M259" s="27" t="n"/>
      <c r="N259" s="27" t="n"/>
      <c r="O259" s="27" t="n"/>
      <c r="P259" s="27" t="n"/>
      <c r="Q259" s="27" t="n"/>
      <c r="R259" s="27" t="n"/>
      <c r="S259" s="27" t="n"/>
      <c r="T259" s="27" t="n"/>
      <c r="U259" s="27" t="n"/>
      <c r="V259" s="27" t="n"/>
      <c r="W259" s="27" t="n"/>
      <c r="X259" s="27" t="n"/>
      <c r="Y259" s="27" t="n"/>
      <c r="Z259" s="30" t="n"/>
      <c r="AA259" s="25" t="n"/>
      <c r="AB259" s="28">
        <f>IF(NOT(AND($A259&lt;&gt;"",OR($G259="",$G259="Active"))),"",IF(OR(IF(OR(ISNUMBER($V259),$V259="DNA"),$V259,IF(OR(ISNUMBER($U259),$U259="DNA"),$U259,IF(OR(ISNUMBER($T259),$T259="DNA"),$T259,IF(OR(ISNUMBER($S259),$S259="DNA"),$S259,IF(OR(ISNUMBER($R259),$R259="DNA"),$R259,IF(OR(ISNUMBER($Q259),$Q259="DNA"),$Q259,IF(OR(ISNUMBER($N259),$N259="DNA"),$N259,IF(OR(ISNUMBER($M259),$M259="DNA"),$M259,IF(OR(ISNUMBER($L259),$L259="DNA"),$L259,"")))))))))="DNA",AND(ISNUMBER(IF(OR(ISNUMBER($V259),$V259="DNA"),$V259,IF(OR(ISNUMBER($U259),$U259="DNA"),$U259,IF(OR(ISNUMBER($T259),$T259="DNA"),$T259,IF(OR(ISNUMBER($S259),$S259="DNA"),$S259,IF(OR(ISNUMBER($R259),$R259="DNA"),$R259,IF(OR(ISNUMBER($Q259),$Q259="DNA"),$Q259,IF(OR(ISNUMBER($N259),$N259="DNA"),$N259,IF(OR(ISNUMBER($M259),$M259="DNA"),$M259,IF(OR(ISNUMBER($L259),$L259="DNA"),$L259,"")))))))))),IF(OR(ISNUMBER($V259),$V259="DNA"),$V259,IF(OR(ISNUMBER($U259),$U259="DNA"),$U259,IF(OR(ISNUMBER($T259),$T259="DNA"),$T259,IF(OR(ISNUMBER($S259),$S259="DNA"),$S259,IF(OR(ISNUMBER($R259),$R259="DNA"),$R259,IF(OR(ISNUMBER($Q259),$Q259="DNA"),$Q259,IF(OR(ISNUMBER($N259),$N259="DNA"),$N259,IF(OR(ISNUMBER($M259),$M259="DNA"),$M259,IF(OR(ISNUMBER($L259),$L259="DNA"),$L259,"")))))))))&lt;TODAY())),1,0)+ISNUMBER($O259)*($O259&lt;TODAY())+ISNUMBER($P259)*($P259&lt;TODAY())+ISNUMBER($X259)*($X259&lt;TODAY())+ISNUMBER($Y259)*($Y259&lt;TODAY()))</f>
        <v/>
      </c>
    </row>
    <row r="260">
      <c r="A260" s="25" t="n"/>
      <c r="B260" s="26" t="n"/>
      <c r="C260" s="27" t="n"/>
      <c r="D260" s="25" t="n"/>
      <c r="E260" s="25" t="n"/>
      <c r="F260" s="27" t="n"/>
      <c r="G260" s="25" t="n"/>
      <c r="H260" s="28">
        <f>IF(OR(NOT(AND($A260&lt;&gt;"",OR($G260="",$G260="Active"))),$F260=""),"",INT((TODAY()-$F260+280)/7)&amp;"+"&amp;MOD(TODAY()-$F260+280,7))</f>
        <v/>
      </c>
      <c r="I260" s="28">
        <f>IF(NOT(AND($A260&lt;&gt;"",OR($G260="",$G260="Active"))),"",ISNUMBER($L260)*($L260&gt;=TODAY())*($L260&lt;=TODAY()+7)+ISNUMBER($M260)*($M260&gt;=TODAY())*($M260&lt;=TODAY()+7)+ISNUMBER($N260)*($N260&gt;=TODAY())*($N260&lt;=TODAY()+7)+ISNUMBER($Q260)*($Q260&gt;=TODAY())*($Q260&lt;=TODAY()+7)+ISNUMBER($R260)*($R260&gt;=TODAY())*($R260&lt;=TODAY()+7)+ISNUMBER($S260)*($S260&gt;=TODAY())*($S260&lt;=TODAY()+7)+ISNUMBER($T260)*($T260&gt;=TODAY())*($T260&lt;=TODAY()+7)+ISNUMBER($U260)*($U260&gt;=TODAY())*($U260&lt;=TODAY()+7)+ISNUMBER($V260)*($V260&gt;=TODAY())*($V260&lt;=TODAY()+7)+ISNUMBER($O260)*($O260&gt;=TODAY())*($O260&lt;=TODAY()+7)+ISNUMBER($P260)*($P260&gt;=TODAY())*($P260&lt;=TODAY()+7)+ISNUMBER($X260)*($X260&gt;=TODAY())*($X260&lt;=TODAY()+7)+ISNUMBER($Y260)*($Y260&gt;=TODAY())*($Y260&lt;=TODAY()+7))</f>
        <v/>
      </c>
      <c r="J260" s="28">
        <f>IF(NOT(AND($A260&lt;&gt;"",OR($G260="",$G260="Active"))),"",IF($K260&lt;&gt;"",IF($L260=$K260,"Booking",IF($M260=$K260,"16/40",IF($N260=$K260,"25/40",IF($Q260=$K260,"28/40",IF($R260=$K260,"31/40",IF($S260=$K260,"34/40",IF($T260=$K260,"36/40",IF($U260=$K260,"38/40",IF($V260=$K260,"40/40",""))))))))),IF(IF(OR(ISNUMBER($V260),$V260="DNA"),$V260,IF(OR(ISNUMBER($U260),$U260="DNA"),$U260,IF(OR(ISNUMBER($T260),$T260="DNA"),$T260,IF(OR(ISNUMBER($S260),$S260="DNA"),$S260,IF(OR(ISNUMBER($R260),$R260="DNA"),$R260,IF(OR(ISNUMBER($Q260),$Q260="DNA"),$Q260,IF(OR(ISNUMBER($N260),$N260="DNA"),$N260,IF(OR(ISNUMBER($M260),$M260="DNA"),$M260,IF(OR(ISNUMBER($L260),$L260="DNA"),$L260,"")))))))))="DNA","Rebook DNA",IF(ISNUMBER(IF(OR(ISNUMBER($V260),$V260="DNA"),$V260,IF(OR(ISNUMBER($U260),$U260="DNA"),$U260,IF(OR(ISNUMBER($T260),$T260="DNA"),$T260,IF(OR(ISNUMBER($S260),$S260="DNA"),$S260,IF(OR(ISNUMBER($R260),$R260="DNA"),$R260,IF(OR(ISNUMBER($Q260),$Q260="DNA"),$Q260,IF(OR(ISNUMBER($N260),$N260="DNA"),$N260,IF(OR(ISNUMBER($M260),$M260="DNA"),$M260,IF(OR(ISNUMBER($L260),$L260="DNA"),$L260,"")))))))))),IF(ISNUMBER($V260),"Update status","Missed/not booked?"),""))))</f>
        <v/>
      </c>
      <c r="K260" s="29">
        <f>IF(NOT(AND($A260&lt;&gt;"",OR($G260="",$G260="Active"))),"",IF(MIN(IF(AND(ISNUMBER($L260),$L260&gt;=TODAY()),$L260,99999),IF(AND(ISNUMBER($M260),$M260&gt;=TODAY()),$M260,99999),IF(AND(ISNUMBER($N260),$N260&gt;=TODAY()),$N260,99999),IF(AND(ISNUMBER($Q260),$Q260&gt;=TODAY()),$Q260,99999),IF(AND(ISNUMBER($R260),$R260&gt;=TODAY()),$R260,99999),IF(AND(ISNUMBER($S260),$S260&gt;=TODAY()),$S260,99999),IF(AND(ISNUMBER($T260),$T260&gt;=TODAY()),$T260,99999),IF(AND(ISNUMBER($U260),$U260&gt;=TODAY()),$U260,99999),IF(AND(ISNUMBER($V260),$V260&gt;=TODAY()),$V260,99999))=99999,"",MIN(IF(AND(ISNUMBER($L260),$L260&gt;=TODAY()),$L260,99999),IF(AND(ISNUMBER($M260),$M260&gt;=TODAY()),$M260,99999),IF(AND(ISNUMBER($N260),$N260&gt;=TODAY()),$N260,99999),IF(AND(ISNUMBER($Q260),$Q260&gt;=TODAY()),$Q260,99999),IF(AND(ISNUMBER($R260),$R260&gt;=TODAY()),$R260,99999),IF(AND(ISNUMBER($S260),$S260&gt;=TODAY()),$S260,99999),IF(AND(ISNUMBER($T260),$T260&gt;=TODAY()),$T260,99999),IF(AND(ISNUMBER($U260),$U260&gt;=TODAY()),$U260,99999),IF(AND(ISNUMBER($V260),$V260&gt;=TODAY()),$V260,99999))))</f>
        <v/>
      </c>
      <c r="L260" s="27" t="n"/>
      <c r="M260" s="27" t="n"/>
      <c r="N260" s="27" t="n"/>
      <c r="O260" s="27" t="n"/>
      <c r="P260" s="27" t="n"/>
      <c r="Q260" s="27" t="n"/>
      <c r="R260" s="27" t="n"/>
      <c r="S260" s="27" t="n"/>
      <c r="T260" s="27" t="n"/>
      <c r="U260" s="27" t="n"/>
      <c r="V260" s="27" t="n"/>
      <c r="W260" s="27" t="n"/>
      <c r="X260" s="27" t="n"/>
      <c r="Y260" s="27" t="n"/>
      <c r="Z260" s="30" t="n"/>
      <c r="AA260" s="25" t="n"/>
      <c r="AB260" s="28">
        <f>IF(NOT(AND($A260&lt;&gt;"",OR($G260="",$G260="Active"))),"",IF(OR(IF(OR(ISNUMBER($V260),$V260="DNA"),$V260,IF(OR(ISNUMBER($U260),$U260="DNA"),$U260,IF(OR(ISNUMBER($T260),$T260="DNA"),$T260,IF(OR(ISNUMBER($S260),$S260="DNA"),$S260,IF(OR(ISNUMBER($R260),$R260="DNA"),$R260,IF(OR(ISNUMBER($Q260),$Q260="DNA"),$Q260,IF(OR(ISNUMBER($N260),$N260="DNA"),$N260,IF(OR(ISNUMBER($M260),$M260="DNA"),$M260,IF(OR(ISNUMBER($L260),$L260="DNA"),$L260,"")))))))))="DNA",AND(ISNUMBER(IF(OR(ISNUMBER($V260),$V260="DNA"),$V260,IF(OR(ISNUMBER($U260),$U260="DNA"),$U260,IF(OR(ISNUMBER($T260),$T260="DNA"),$T260,IF(OR(ISNUMBER($S260),$S260="DNA"),$S260,IF(OR(ISNUMBER($R260),$R260="DNA"),$R260,IF(OR(ISNUMBER($Q260),$Q260="DNA"),$Q260,IF(OR(ISNUMBER($N260),$N260="DNA"),$N260,IF(OR(ISNUMBER($M260),$M260="DNA"),$M260,IF(OR(ISNUMBER($L260),$L260="DNA"),$L260,"")))))))))),IF(OR(ISNUMBER($V260),$V260="DNA"),$V260,IF(OR(ISNUMBER($U260),$U260="DNA"),$U260,IF(OR(ISNUMBER($T260),$T260="DNA"),$T260,IF(OR(ISNUMBER($S260),$S260="DNA"),$S260,IF(OR(ISNUMBER($R260),$R260="DNA"),$R260,IF(OR(ISNUMBER($Q260),$Q260="DNA"),$Q260,IF(OR(ISNUMBER($N260),$N260="DNA"),$N260,IF(OR(ISNUMBER($M260),$M260="DNA"),$M260,IF(OR(ISNUMBER($L260),$L260="DNA"),$L260,"")))))))))&lt;TODAY())),1,0)+ISNUMBER($O260)*($O260&lt;TODAY())+ISNUMBER($P260)*($P260&lt;TODAY())+ISNUMBER($X260)*($X260&lt;TODAY())+ISNUMBER($Y260)*($Y260&lt;TODAY()))</f>
        <v/>
      </c>
    </row>
    <row r="261">
      <c r="A261" s="25" t="n"/>
      <c r="B261" s="26" t="n"/>
      <c r="C261" s="27" t="n"/>
      <c r="D261" s="25" t="n"/>
      <c r="E261" s="25" t="n"/>
      <c r="F261" s="27" t="n"/>
      <c r="G261" s="25" t="n"/>
      <c r="H261" s="28">
        <f>IF(OR(NOT(AND($A261&lt;&gt;"",OR($G261="",$G261="Active"))),$F261=""),"",INT((TODAY()-$F261+280)/7)&amp;"+"&amp;MOD(TODAY()-$F261+280,7))</f>
        <v/>
      </c>
      <c r="I261" s="28">
        <f>IF(NOT(AND($A261&lt;&gt;"",OR($G261="",$G261="Active"))),"",ISNUMBER($L261)*($L261&gt;=TODAY())*($L261&lt;=TODAY()+7)+ISNUMBER($M261)*($M261&gt;=TODAY())*($M261&lt;=TODAY()+7)+ISNUMBER($N261)*($N261&gt;=TODAY())*($N261&lt;=TODAY()+7)+ISNUMBER($Q261)*($Q261&gt;=TODAY())*($Q261&lt;=TODAY()+7)+ISNUMBER($R261)*($R261&gt;=TODAY())*($R261&lt;=TODAY()+7)+ISNUMBER($S261)*($S261&gt;=TODAY())*($S261&lt;=TODAY()+7)+ISNUMBER($T261)*($T261&gt;=TODAY())*($T261&lt;=TODAY()+7)+ISNUMBER($U261)*($U261&gt;=TODAY())*($U261&lt;=TODAY()+7)+ISNUMBER($V261)*($V261&gt;=TODAY())*($V261&lt;=TODAY()+7)+ISNUMBER($O261)*($O261&gt;=TODAY())*($O261&lt;=TODAY()+7)+ISNUMBER($P261)*($P261&gt;=TODAY())*($P261&lt;=TODAY()+7)+ISNUMBER($X261)*($X261&gt;=TODAY())*($X261&lt;=TODAY()+7)+ISNUMBER($Y261)*($Y261&gt;=TODAY())*($Y261&lt;=TODAY()+7))</f>
        <v/>
      </c>
      <c r="J261" s="28">
        <f>IF(NOT(AND($A261&lt;&gt;"",OR($G261="",$G261="Active"))),"",IF($K261&lt;&gt;"",IF($L261=$K261,"Booking",IF($M261=$K261,"16/40",IF($N261=$K261,"25/40",IF($Q261=$K261,"28/40",IF($R261=$K261,"31/40",IF($S261=$K261,"34/40",IF($T261=$K261,"36/40",IF($U261=$K261,"38/40",IF($V261=$K261,"40/40",""))))))))),IF(IF(OR(ISNUMBER($V261),$V261="DNA"),$V261,IF(OR(ISNUMBER($U261),$U261="DNA"),$U261,IF(OR(ISNUMBER($T261),$T261="DNA"),$T261,IF(OR(ISNUMBER($S261),$S261="DNA"),$S261,IF(OR(ISNUMBER($R261),$R261="DNA"),$R261,IF(OR(ISNUMBER($Q261),$Q261="DNA"),$Q261,IF(OR(ISNUMBER($N261),$N261="DNA"),$N261,IF(OR(ISNUMBER($M261),$M261="DNA"),$M261,IF(OR(ISNUMBER($L261),$L261="DNA"),$L261,"")))))))))="DNA","Rebook DNA",IF(ISNUMBER(IF(OR(ISNUMBER($V261),$V261="DNA"),$V261,IF(OR(ISNUMBER($U261),$U261="DNA"),$U261,IF(OR(ISNUMBER($T261),$T261="DNA"),$T261,IF(OR(ISNUMBER($S261),$S261="DNA"),$S261,IF(OR(ISNUMBER($R261),$R261="DNA"),$R261,IF(OR(ISNUMBER($Q261),$Q261="DNA"),$Q261,IF(OR(ISNUMBER($N261),$N261="DNA"),$N261,IF(OR(ISNUMBER($M261),$M261="DNA"),$M261,IF(OR(ISNUMBER($L261),$L261="DNA"),$L261,"")))))))))),IF(ISNUMBER($V261),"Update status","Missed/not booked?"),""))))</f>
        <v/>
      </c>
      <c r="K261" s="29">
        <f>IF(NOT(AND($A261&lt;&gt;"",OR($G261="",$G261="Active"))),"",IF(MIN(IF(AND(ISNUMBER($L261),$L261&gt;=TODAY()),$L261,99999),IF(AND(ISNUMBER($M261),$M261&gt;=TODAY()),$M261,99999),IF(AND(ISNUMBER($N261),$N261&gt;=TODAY()),$N261,99999),IF(AND(ISNUMBER($Q261),$Q261&gt;=TODAY()),$Q261,99999),IF(AND(ISNUMBER($R261),$R261&gt;=TODAY()),$R261,99999),IF(AND(ISNUMBER($S261),$S261&gt;=TODAY()),$S261,99999),IF(AND(ISNUMBER($T261),$T261&gt;=TODAY()),$T261,99999),IF(AND(ISNUMBER($U261),$U261&gt;=TODAY()),$U261,99999),IF(AND(ISNUMBER($V261),$V261&gt;=TODAY()),$V261,99999))=99999,"",MIN(IF(AND(ISNUMBER($L261),$L261&gt;=TODAY()),$L261,99999),IF(AND(ISNUMBER($M261),$M261&gt;=TODAY()),$M261,99999),IF(AND(ISNUMBER($N261),$N261&gt;=TODAY()),$N261,99999),IF(AND(ISNUMBER($Q261),$Q261&gt;=TODAY()),$Q261,99999),IF(AND(ISNUMBER($R261),$R261&gt;=TODAY()),$R261,99999),IF(AND(ISNUMBER($S261),$S261&gt;=TODAY()),$S261,99999),IF(AND(ISNUMBER($T261),$T261&gt;=TODAY()),$T261,99999),IF(AND(ISNUMBER($U261),$U261&gt;=TODAY()),$U261,99999),IF(AND(ISNUMBER($V261),$V261&gt;=TODAY()),$V261,99999))))</f>
        <v/>
      </c>
      <c r="L261" s="27" t="n"/>
      <c r="M261" s="27" t="n"/>
      <c r="N261" s="27" t="n"/>
      <c r="O261" s="27" t="n"/>
      <c r="P261" s="27" t="n"/>
      <c r="Q261" s="27" t="n"/>
      <c r="R261" s="27" t="n"/>
      <c r="S261" s="27" t="n"/>
      <c r="T261" s="27" t="n"/>
      <c r="U261" s="27" t="n"/>
      <c r="V261" s="27" t="n"/>
      <c r="W261" s="27" t="n"/>
      <c r="X261" s="27" t="n"/>
      <c r="Y261" s="27" t="n"/>
      <c r="Z261" s="30" t="n"/>
      <c r="AA261" s="25" t="n"/>
      <c r="AB261" s="28">
        <f>IF(NOT(AND($A261&lt;&gt;"",OR($G261="",$G261="Active"))),"",IF(OR(IF(OR(ISNUMBER($V261),$V261="DNA"),$V261,IF(OR(ISNUMBER($U261),$U261="DNA"),$U261,IF(OR(ISNUMBER($T261),$T261="DNA"),$T261,IF(OR(ISNUMBER($S261),$S261="DNA"),$S261,IF(OR(ISNUMBER($R261),$R261="DNA"),$R261,IF(OR(ISNUMBER($Q261),$Q261="DNA"),$Q261,IF(OR(ISNUMBER($N261),$N261="DNA"),$N261,IF(OR(ISNUMBER($M261),$M261="DNA"),$M261,IF(OR(ISNUMBER($L261),$L261="DNA"),$L261,"")))))))))="DNA",AND(ISNUMBER(IF(OR(ISNUMBER($V261),$V261="DNA"),$V261,IF(OR(ISNUMBER($U261),$U261="DNA"),$U261,IF(OR(ISNUMBER($T261),$T261="DNA"),$T261,IF(OR(ISNUMBER($S261),$S261="DNA"),$S261,IF(OR(ISNUMBER($R261),$R261="DNA"),$R261,IF(OR(ISNUMBER($Q261),$Q261="DNA"),$Q261,IF(OR(ISNUMBER($N261),$N261="DNA"),$N261,IF(OR(ISNUMBER($M261),$M261="DNA"),$M261,IF(OR(ISNUMBER($L261),$L261="DNA"),$L261,"")))))))))),IF(OR(ISNUMBER($V261),$V261="DNA"),$V261,IF(OR(ISNUMBER($U261),$U261="DNA"),$U261,IF(OR(ISNUMBER($T261),$T261="DNA"),$T261,IF(OR(ISNUMBER($S261),$S261="DNA"),$S261,IF(OR(ISNUMBER($R261),$R261="DNA"),$R261,IF(OR(ISNUMBER($Q261),$Q261="DNA"),$Q261,IF(OR(ISNUMBER($N261),$N261="DNA"),$N261,IF(OR(ISNUMBER($M261),$M261="DNA"),$M261,IF(OR(ISNUMBER($L261),$L261="DNA"),$L261,"")))))))))&lt;TODAY())),1,0)+ISNUMBER($O261)*($O261&lt;TODAY())+ISNUMBER($P261)*($P261&lt;TODAY())+ISNUMBER($X261)*($X261&lt;TODAY())+ISNUMBER($Y261)*($Y261&lt;TODAY()))</f>
        <v/>
      </c>
    </row>
    <row r="262">
      <c r="A262" s="25" t="n"/>
      <c r="B262" s="26" t="n"/>
      <c r="C262" s="27" t="n"/>
      <c r="D262" s="25" t="n"/>
      <c r="E262" s="25" t="n"/>
      <c r="F262" s="27" t="n"/>
      <c r="G262" s="25" t="n"/>
      <c r="H262" s="28">
        <f>IF(OR(NOT(AND($A262&lt;&gt;"",OR($G262="",$G262="Active"))),$F262=""),"",INT((TODAY()-$F262+280)/7)&amp;"+"&amp;MOD(TODAY()-$F262+280,7))</f>
        <v/>
      </c>
      <c r="I262" s="28">
        <f>IF(NOT(AND($A262&lt;&gt;"",OR($G262="",$G262="Active"))),"",ISNUMBER($L262)*($L262&gt;=TODAY())*($L262&lt;=TODAY()+7)+ISNUMBER($M262)*($M262&gt;=TODAY())*($M262&lt;=TODAY()+7)+ISNUMBER($N262)*($N262&gt;=TODAY())*($N262&lt;=TODAY()+7)+ISNUMBER($Q262)*($Q262&gt;=TODAY())*($Q262&lt;=TODAY()+7)+ISNUMBER($R262)*($R262&gt;=TODAY())*($R262&lt;=TODAY()+7)+ISNUMBER($S262)*($S262&gt;=TODAY())*($S262&lt;=TODAY()+7)+ISNUMBER($T262)*($T262&gt;=TODAY())*($T262&lt;=TODAY()+7)+ISNUMBER($U262)*($U262&gt;=TODAY())*($U262&lt;=TODAY()+7)+ISNUMBER($V262)*($V262&gt;=TODAY())*($V262&lt;=TODAY()+7)+ISNUMBER($O262)*($O262&gt;=TODAY())*($O262&lt;=TODAY()+7)+ISNUMBER($P262)*($P262&gt;=TODAY())*($P262&lt;=TODAY()+7)+ISNUMBER($X262)*($X262&gt;=TODAY())*($X262&lt;=TODAY()+7)+ISNUMBER($Y262)*($Y262&gt;=TODAY())*($Y262&lt;=TODAY()+7))</f>
        <v/>
      </c>
      <c r="J262" s="28">
        <f>IF(NOT(AND($A262&lt;&gt;"",OR($G262="",$G262="Active"))),"",IF($K262&lt;&gt;"",IF($L262=$K262,"Booking",IF($M262=$K262,"16/40",IF($N262=$K262,"25/40",IF($Q262=$K262,"28/40",IF($R262=$K262,"31/40",IF($S262=$K262,"34/40",IF($T262=$K262,"36/40",IF($U262=$K262,"38/40",IF($V262=$K262,"40/40",""))))))))),IF(IF(OR(ISNUMBER($V262),$V262="DNA"),$V262,IF(OR(ISNUMBER($U262),$U262="DNA"),$U262,IF(OR(ISNUMBER($T262),$T262="DNA"),$T262,IF(OR(ISNUMBER($S262),$S262="DNA"),$S262,IF(OR(ISNUMBER($R262),$R262="DNA"),$R262,IF(OR(ISNUMBER($Q262),$Q262="DNA"),$Q262,IF(OR(ISNUMBER($N262),$N262="DNA"),$N262,IF(OR(ISNUMBER($M262),$M262="DNA"),$M262,IF(OR(ISNUMBER($L262),$L262="DNA"),$L262,"")))))))))="DNA","Rebook DNA",IF(ISNUMBER(IF(OR(ISNUMBER($V262),$V262="DNA"),$V262,IF(OR(ISNUMBER($U262),$U262="DNA"),$U262,IF(OR(ISNUMBER($T262),$T262="DNA"),$T262,IF(OR(ISNUMBER($S262),$S262="DNA"),$S262,IF(OR(ISNUMBER($R262),$R262="DNA"),$R262,IF(OR(ISNUMBER($Q262),$Q262="DNA"),$Q262,IF(OR(ISNUMBER($N262),$N262="DNA"),$N262,IF(OR(ISNUMBER($M262),$M262="DNA"),$M262,IF(OR(ISNUMBER($L262),$L262="DNA"),$L262,"")))))))))),IF(ISNUMBER($V262),"Update status","Missed/not booked?"),""))))</f>
        <v/>
      </c>
      <c r="K262" s="29">
        <f>IF(NOT(AND($A262&lt;&gt;"",OR($G262="",$G262="Active"))),"",IF(MIN(IF(AND(ISNUMBER($L262),$L262&gt;=TODAY()),$L262,99999),IF(AND(ISNUMBER($M262),$M262&gt;=TODAY()),$M262,99999),IF(AND(ISNUMBER($N262),$N262&gt;=TODAY()),$N262,99999),IF(AND(ISNUMBER($Q262),$Q262&gt;=TODAY()),$Q262,99999),IF(AND(ISNUMBER($R262),$R262&gt;=TODAY()),$R262,99999),IF(AND(ISNUMBER($S262),$S262&gt;=TODAY()),$S262,99999),IF(AND(ISNUMBER($T262),$T262&gt;=TODAY()),$T262,99999),IF(AND(ISNUMBER($U262),$U262&gt;=TODAY()),$U262,99999),IF(AND(ISNUMBER($V262),$V262&gt;=TODAY()),$V262,99999))=99999,"",MIN(IF(AND(ISNUMBER($L262),$L262&gt;=TODAY()),$L262,99999),IF(AND(ISNUMBER($M262),$M262&gt;=TODAY()),$M262,99999),IF(AND(ISNUMBER($N262),$N262&gt;=TODAY()),$N262,99999),IF(AND(ISNUMBER($Q262),$Q262&gt;=TODAY()),$Q262,99999),IF(AND(ISNUMBER($R262),$R262&gt;=TODAY()),$R262,99999),IF(AND(ISNUMBER($S262),$S262&gt;=TODAY()),$S262,99999),IF(AND(ISNUMBER($T262),$T262&gt;=TODAY()),$T262,99999),IF(AND(ISNUMBER($U262),$U262&gt;=TODAY()),$U262,99999),IF(AND(ISNUMBER($V262),$V262&gt;=TODAY()),$V262,99999))))</f>
        <v/>
      </c>
      <c r="L262" s="27" t="n"/>
      <c r="M262" s="27" t="n"/>
      <c r="N262" s="27" t="n"/>
      <c r="O262" s="27" t="n"/>
      <c r="P262" s="27" t="n"/>
      <c r="Q262" s="27" t="n"/>
      <c r="R262" s="27" t="n"/>
      <c r="S262" s="27" t="n"/>
      <c r="T262" s="27" t="n"/>
      <c r="U262" s="27" t="n"/>
      <c r="V262" s="27" t="n"/>
      <c r="W262" s="27" t="n"/>
      <c r="X262" s="27" t="n"/>
      <c r="Y262" s="27" t="n"/>
      <c r="Z262" s="30" t="n"/>
      <c r="AA262" s="25" t="n"/>
      <c r="AB262" s="28">
        <f>IF(NOT(AND($A262&lt;&gt;"",OR($G262="",$G262="Active"))),"",IF(OR(IF(OR(ISNUMBER($V262),$V262="DNA"),$V262,IF(OR(ISNUMBER($U262),$U262="DNA"),$U262,IF(OR(ISNUMBER($T262),$T262="DNA"),$T262,IF(OR(ISNUMBER($S262),$S262="DNA"),$S262,IF(OR(ISNUMBER($R262),$R262="DNA"),$R262,IF(OR(ISNUMBER($Q262),$Q262="DNA"),$Q262,IF(OR(ISNUMBER($N262),$N262="DNA"),$N262,IF(OR(ISNUMBER($M262),$M262="DNA"),$M262,IF(OR(ISNUMBER($L262),$L262="DNA"),$L262,"")))))))))="DNA",AND(ISNUMBER(IF(OR(ISNUMBER($V262),$V262="DNA"),$V262,IF(OR(ISNUMBER($U262),$U262="DNA"),$U262,IF(OR(ISNUMBER($T262),$T262="DNA"),$T262,IF(OR(ISNUMBER($S262),$S262="DNA"),$S262,IF(OR(ISNUMBER($R262),$R262="DNA"),$R262,IF(OR(ISNUMBER($Q262),$Q262="DNA"),$Q262,IF(OR(ISNUMBER($N262),$N262="DNA"),$N262,IF(OR(ISNUMBER($M262),$M262="DNA"),$M262,IF(OR(ISNUMBER($L262),$L262="DNA"),$L262,"")))))))))),IF(OR(ISNUMBER($V262),$V262="DNA"),$V262,IF(OR(ISNUMBER($U262),$U262="DNA"),$U262,IF(OR(ISNUMBER($T262),$T262="DNA"),$T262,IF(OR(ISNUMBER($S262),$S262="DNA"),$S262,IF(OR(ISNUMBER($R262),$R262="DNA"),$R262,IF(OR(ISNUMBER($Q262),$Q262="DNA"),$Q262,IF(OR(ISNUMBER($N262),$N262="DNA"),$N262,IF(OR(ISNUMBER($M262),$M262="DNA"),$M262,IF(OR(ISNUMBER($L262),$L262="DNA"),$L262,"")))))))))&lt;TODAY())),1,0)+ISNUMBER($O262)*($O262&lt;TODAY())+ISNUMBER($P262)*($P262&lt;TODAY())+ISNUMBER($X262)*($X262&lt;TODAY())+ISNUMBER($Y262)*($Y262&lt;TODAY()))</f>
        <v/>
      </c>
    </row>
    <row r="263">
      <c r="A263" s="25" t="n"/>
      <c r="B263" s="26" t="n"/>
      <c r="C263" s="27" t="n"/>
      <c r="D263" s="25" t="n"/>
      <c r="E263" s="25" t="n"/>
      <c r="F263" s="27" t="n"/>
      <c r="G263" s="25" t="n"/>
      <c r="H263" s="28">
        <f>IF(OR(NOT(AND($A263&lt;&gt;"",OR($G263="",$G263="Active"))),$F263=""),"",INT((TODAY()-$F263+280)/7)&amp;"+"&amp;MOD(TODAY()-$F263+280,7))</f>
        <v/>
      </c>
      <c r="I263" s="28">
        <f>IF(NOT(AND($A263&lt;&gt;"",OR($G263="",$G263="Active"))),"",ISNUMBER($L263)*($L263&gt;=TODAY())*($L263&lt;=TODAY()+7)+ISNUMBER($M263)*($M263&gt;=TODAY())*($M263&lt;=TODAY()+7)+ISNUMBER($N263)*($N263&gt;=TODAY())*($N263&lt;=TODAY()+7)+ISNUMBER($Q263)*($Q263&gt;=TODAY())*($Q263&lt;=TODAY()+7)+ISNUMBER($R263)*($R263&gt;=TODAY())*($R263&lt;=TODAY()+7)+ISNUMBER($S263)*($S263&gt;=TODAY())*($S263&lt;=TODAY()+7)+ISNUMBER($T263)*($T263&gt;=TODAY())*($T263&lt;=TODAY()+7)+ISNUMBER($U263)*($U263&gt;=TODAY())*($U263&lt;=TODAY()+7)+ISNUMBER($V263)*($V263&gt;=TODAY())*($V263&lt;=TODAY()+7)+ISNUMBER($O263)*($O263&gt;=TODAY())*($O263&lt;=TODAY()+7)+ISNUMBER($P263)*($P263&gt;=TODAY())*($P263&lt;=TODAY()+7)+ISNUMBER($X263)*($X263&gt;=TODAY())*($X263&lt;=TODAY()+7)+ISNUMBER($Y263)*($Y263&gt;=TODAY())*($Y263&lt;=TODAY()+7))</f>
        <v/>
      </c>
      <c r="J263" s="28">
        <f>IF(NOT(AND($A263&lt;&gt;"",OR($G263="",$G263="Active"))),"",IF($K263&lt;&gt;"",IF($L263=$K263,"Booking",IF($M263=$K263,"16/40",IF($N263=$K263,"25/40",IF($Q263=$K263,"28/40",IF($R263=$K263,"31/40",IF($S263=$K263,"34/40",IF($T263=$K263,"36/40",IF($U263=$K263,"38/40",IF($V263=$K263,"40/40",""))))))))),IF(IF(OR(ISNUMBER($V263),$V263="DNA"),$V263,IF(OR(ISNUMBER($U263),$U263="DNA"),$U263,IF(OR(ISNUMBER($T263),$T263="DNA"),$T263,IF(OR(ISNUMBER($S263),$S263="DNA"),$S263,IF(OR(ISNUMBER($R263),$R263="DNA"),$R263,IF(OR(ISNUMBER($Q263),$Q263="DNA"),$Q263,IF(OR(ISNUMBER($N263),$N263="DNA"),$N263,IF(OR(ISNUMBER($M263),$M263="DNA"),$M263,IF(OR(ISNUMBER($L263),$L263="DNA"),$L263,"")))))))))="DNA","Rebook DNA",IF(ISNUMBER(IF(OR(ISNUMBER($V263),$V263="DNA"),$V263,IF(OR(ISNUMBER($U263),$U263="DNA"),$U263,IF(OR(ISNUMBER($T263),$T263="DNA"),$T263,IF(OR(ISNUMBER($S263),$S263="DNA"),$S263,IF(OR(ISNUMBER($R263),$R263="DNA"),$R263,IF(OR(ISNUMBER($Q263),$Q263="DNA"),$Q263,IF(OR(ISNUMBER($N263),$N263="DNA"),$N263,IF(OR(ISNUMBER($M263),$M263="DNA"),$M263,IF(OR(ISNUMBER($L263),$L263="DNA"),$L263,"")))))))))),IF(ISNUMBER($V263),"Update status","Missed/not booked?"),""))))</f>
        <v/>
      </c>
      <c r="K263" s="29">
        <f>IF(NOT(AND($A263&lt;&gt;"",OR($G263="",$G263="Active"))),"",IF(MIN(IF(AND(ISNUMBER($L263),$L263&gt;=TODAY()),$L263,99999),IF(AND(ISNUMBER($M263),$M263&gt;=TODAY()),$M263,99999),IF(AND(ISNUMBER($N263),$N263&gt;=TODAY()),$N263,99999),IF(AND(ISNUMBER($Q263),$Q263&gt;=TODAY()),$Q263,99999),IF(AND(ISNUMBER($R263),$R263&gt;=TODAY()),$R263,99999),IF(AND(ISNUMBER($S263),$S263&gt;=TODAY()),$S263,99999),IF(AND(ISNUMBER($T263),$T263&gt;=TODAY()),$T263,99999),IF(AND(ISNUMBER($U263),$U263&gt;=TODAY()),$U263,99999),IF(AND(ISNUMBER($V263),$V263&gt;=TODAY()),$V263,99999))=99999,"",MIN(IF(AND(ISNUMBER($L263),$L263&gt;=TODAY()),$L263,99999),IF(AND(ISNUMBER($M263),$M263&gt;=TODAY()),$M263,99999),IF(AND(ISNUMBER($N263),$N263&gt;=TODAY()),$N263,99999),IF(AND(ISNUMBER($Q263),$Q263&gt;=TODAY()),$Q263,99999),IF(AND(ISNUMBER($R263),$R263&gt;=TODAY()),$R263,99999),IF(AND(ISNUMBER($S263),$S263&gt;=TODAY()),$S263,99999),IF(AND(ISNUMBER($T263),$T263&gt;=TODAY()),$T263,99999),IF(AND(ISNUMBER($U263),$U263&gt;=TODAY()),$U263,99999),IF(AND(ISNUMBER($V263),$V263&gt;=TODAY()),$V263,99999))))</f>
        <v/>
      </c>
      <c r="L263" s="27" t="n"/>
      <c r="M263" s="27" t="n"/>
      <c r="N263" s="27" t="n"/>
      <c r="O263" s="27" t="n"/>
      <c r="P263" s="27" t="n"/>
      <c r="Q263" s="27" t="n"/>
      <c r="R263" s="27" t="n"/>
      <c r="S263" s="27" t="n"/>
      <c r="T263" s="27" t="n"/>
      <c r="U263" s="27" t="n"/>
      <c r="V263" s="27" t="n"/>
      <c r="W263" s="27" t="n"/>
      <c r="X263" s="27" t="n"/>
      <c r="Y263" s="27" t="n"/>
      <c r="Z263" s="30" t="n"/>
      <c r="AA263" s="25" t="n"/>
      <c r="AB263" s="28">
        <f>IF(NOT(AND($A263&lt;&gt;"",OR($G263="",$G263="Active"))),"",IF(OR(IF(OR(ISNUMBER($V263),$V263="DNA"),$V263,IF(OR(ISNUMBER($U263),$U263="DNA"),$U263,IF(OR(ISNUMBER($T263),$T263="DNA"),$T263,IF(OR(ISNUMBER($S263),$S263="DNA"),$S263,IF(OR(ISNUMBER($R263),$R263="DNA"),$R263,IF(OR(ISNUMBER($Q263),$Q263="DNA"),$Q263,IF(OR(ISNUMBER($N263),$N263="DNA"),$N263,IF(OR(ISNUMBER($M263),$M263="DNA"),$M263,IF(OR(ISNUMBER($L263),$L263="DNA"),$L263,"")))))))))="DNA",AND(ISNUMBER(IF(OR(ISNUMBER($V263),$V263="DNA"),$V263,IF(OR(ISNUMBER($U263),$U263="DNA"),$U263,IF(OR(ISNUMBER($T263),$T263="DNA"),$T263,IF(OR(ISNUMBER($S263),$S263="DNA"),$S263,IF(OR(ISNUMBER($R263),$R263="DNA"),$R263,IF(OR(ISNUMBER($Q263),$Q263="DNA"),$Q263,IF(OR(ISNUMBER($N263),$N263="DNA"),$N263,IF(OR(ISNUMBER($M263),$M263="DNA"),$M263,IF(OR(ISNUMBER($L263),$L263="DNA"),$L263,"")))))))))),IF(OR(ISNUMBER($V263),$V263="DNA"),$V263,IF(OR(ISNUMBER($U263),$U263="DNA"),$U263,IF(OR(ISNUMBER($T263),$T263="DNA"),$T263,IF(OR(ISNUMBER($S263),$S263="DNA"),$S263,IF(OR(ISNUMBER($R263),$R263="DNA"),$R263,IF(OR(ISNUMBER($Q263),$Q263="DNA"),$Q263,IF(OR(ISNUMBER($N263),$N263="DNA"),$N263,IF(OR(ISNUMBER($M263),$M263="DNA"),$M263,IF(OR(ISNUMBER($L263),$L263="DNA"),$L263,"")))))))))&lt;TODAY())),1,0)+ISNUMBER($O263)*($O263&lt;TODAY())+ISNUMBER($P263)*($P263&lt;TODAY())+ISNUMBER($X263)*($X263&lt;TODAY())+ISNUMBER($Y263)*($Y263&lt;TODAY()))</f>
        <v/>
      </c>
    </row>
    <row r="264">
      <c r="A264" s="25" t="n"/>
      <c r="B264" s="26" t="n"/>
      <c r="C264" s="27" t="n"/>
      <c r="D264" s="25" t="n"/>
      <c r="E264" s="25" t="n"/>
      <c r="F264" s="27" t="n"/>
      <c r="G264" s="25" t="n"/>
      <c r="H264" s="28">
        <f>IF(OR(NOT(AND($A264&lt;&gt;"",OR($G264="",$G264="Active"))),$F264=""),"",INT((TODAY()-$F264+280)/7)&amp;"+"&amp;MOD(TODAY()-$F264+280,7))</f>
        <v/>
      </c>
      <c r="I264" s="28">
        <f>IF(NOT(AND($A264&lt;&gt;"",OR($G264="",$G264="Active"))),"",ISNUMBER($L264)*($L264&gt;=TODAY())*($L264&lt;=TODAY()+7)+ISNUMBER($M264)*($M264&gt;=TODAY())*($M264&lt;=TODAY()+7)+ISNUMBER($N264)*($N264&gt;=TODAY())*($N264&lt;=TODAY()+7)+ISNUMBER($Q264)*($Q264&gt;=TODAY())*($Q264&lt;=TODAY()+7)+ISNUMBER($R264)*($R264&gt;=TODAY())*($R264&lt;=TODAY()+7)+ISNUMBER($S264)*($S264&gt;=TODAY())*($S264&lt;=TODAY()+7)+ISNUMBER($T264)*($T264&gt;=TODAY())*($T264&lt;=TODAY()+7)+ISNUMBER($U264)*($U264&gt;=TODAY())*($U264&lt;=TODAY()+7)+ISNUMBER($V264)*($V264&gt;=TODAY())*($V264&lt;=TODAY()+7)+ISNUMBER($O264)*($O264&gt;=TODAY())*($O264&lt;=TODAY()+7)+ISNUMBER($P264)*($P264&gt;=TODAY())*($P264&lt;=TODAY()+7)+ISNUMBER($X264)*($X264&gt;=TODAY())*($X264&lt;=TODAY()+7)+ISNUMBER($Y264)*($Y264&gt;=TODAY())*($Y264&lt;=TODAY()+7))</f>
        <v/>
      </c>
      <c r="J264" s="28">
        <f>IF(NOT(AND($A264&lt;&gt;"",OR($G264="",$G264="Active"))),"",IF($K264&lt;&gt;"",IF($L264=$K264,"Booking",IF($M264=$K264,"16/40",IF($N264=$K264,"25/40",IF($Q264=$K264,"28/40",IF($R264=$K264,"31/40",IF($S264=$K264,"34/40",IF($T264=$K264,"36/40",IF($U264=$K264,"38/40",IF($V264=$K264,"40/40",""))))))))),IF(IF(OR(ISNUMBER($V264),$V264="DNA"),$V264,IF(OR(ISNUMBER($U264),$U264="DNA"),$U264,IF(OR(ISNUMBER($T264),$T264="DNA"),$T264,IF(OR(ISNUMBER($S264),$S264="DNA"),$S264,IF(OR(ISNUMBER($R264),$R264="DNA"),$R264,IF(OR(ISNUMBER($Q264),$Q264="DNA"),$Q264,IF(OR(ISNUMBER($N264),$N264="DNA"),$N264,IF(OR(ISNUMBER($M264),$M264="DNA"),$M264,IF(OR(ISNUMBER($L264),$L264="DNA"),$L264,"")))))))))="DNA","Rebook DNA",IF(ISNUMBER(IF(OR(ISNUMBER($V264),$V264="DNA"),$V264,IF(OR(ISNUMBER($U264),$U264="DNA"),$U264,IF(OR(ISNUMBER($T264),$T264="DNA"),$T264,IF(OR(ISNUMBER($S264),$S264="DNA"),$S264,IF(OR(ISNUMBER($R264),$R264="DNA"),$R264,IF(OR(ISNUMBER($Q264),$Q264="DNA"),$Q264,IF(OR(ISNUMBER($N264),$N264="DNA"),$N264,IF(OR(ISNUMBER($M264),$M264="DNA"),$M264,IF(OR(ISNUMBER($L264),$L264="DNA"),$L264,"")))))))))),IF(ISNUMBER($V264),"Update status","Missed/not booked?"),""))))</f>
        <v/>
      </c>
      <c r="K264" s="29">
        <f>IF(NOT(AND($A264&lt;&gt;"",OR($G264="",$G264="Active"))),"",IF(MIN(IF(AND(ISNUMBER($L264),$L264&gt;=TODAY()),$L264,99999),IF(AND(ISNUMBER($M264),$M264&gt;=TODAY()),$M264,99999),IF(AND(ISNUMBER($N264),$N264&gt;=TODAY()),$N264,99999),IF(AND(ISNUMBER($Q264),$Q264&gt;=TODAY()),$Q264,99999),IF(AND(ISNUMBER($R264),$R264&gt;=TODAY()),$R264,99999),IF(AND(ISNUMBER($S264),$S264&gt;=TODAY()),$S264,99999),IF(AND(ISNUMBER($T264),$T264&gt;=TODAY()),$T264,99999),IF(AND(ISNUMBER($U264),$U264&gt;=TODAY()),$U264,99999),IF(AND(ISNUMBER($V264),$V264&gt;=TODAY()),$V264,99999))=99999,"",MIN(IF(AND(ISNUMBER($L264),$L264&gt;=TODAY()),$L264,99999),IF(AND(ISNUMBER($M264),$M264&gt;=TODAY()),$M264,99999),IF(AND(ISNUMBER($N264),$N264&gt;=TODAY()),$N264,99999),IF(AND(ISNUMBER($Q264),$Q264&gt;=TODAY()),$Q264,99999),IF(AND(ISNUMBER($R264),$R264&gt;=TODAY()),$R264,99999),IF(AND(ISNUMBER($S264),$S264&gt;=TODAY()),$S264,99999),IF(AND(ISNUMBER($T264),$T264&gt;=TODAY()),$T264,99999),IF(AND(ISNUMBER($U264),$U264&gt;=TODAY()),$U264,99999),IF(AND(ISNUMBER($V264),$V264&gt;=TODAY()),$V264,99999))))</f>
        <v/>
      </c>
      <c r="L264" s="27" t="n"/>
      <c r="M264" s="27" t="n"/>
      <c r="N264" s="27" t="n"/>
      <c r="O264" s="27" t="n"/>
      <c r="P264" s="27" t="n"/>
      <c r="Q264" s="27" t="n"/>
      <c r="R264" s="27" t="n"/>
      <c r="S264" s="27" t="n"/>
      <c r="T264" s="27" t="n"/>
      <c r="U264" s="27" t="n"/>
      <c r="V264" s="27" t="n"/>
      <c r="W264" s="27" t="n"/>
      <c r="X264" s="27" t="n"/>
      <c r="Y264" s="27" t="n"/>
      <c r="Z264" s="30" t="n"/>
      <c r="AA264" s="25" t="n"/>
      <c r="AB264" s="28">
        <f>IF(NOT(AND($A264&lt;&gt;"",OR($G264="",$G264="Active"))),"",IF(OR(IF(OR(ISNUMBER($V264),$V264="DNA"),$V264,IF(OR(ISNUMBER($U264),$U264="DNA"),$U264,IF(OR(ISNUMBER($T264),$T264="DNA"),$T264,IF(OR(ISNUMBER($S264),$S264="DNA"),$S264,IF(OR(ISNUMBER($R264),$R264="DNA"),$R264,IF(OR(ISNUMBER($Q264),$Q264="DNA"),$Q264,IF(OR(ISNUMBER($N264),$N264="DNA"),$N264,IF(OR(ISNUMBER($M264),$M264="DNA"),$M264,IF(OR(ISNUMBER($L264),$L264="DNA"),$L264,"")))))))))="DNA",AND(ISNUMBER(IF(OR(ISNUMBER($V264),$V264="DNA"),$V264,IF(OR(ISNUMBER($U264),$U264="DNA"),$U264,IF(OR(ISNUMBER($T264),$T264="DNA"),$T264,IF(OR(ISNUMBER($S264),$S264="DNA"),$S264,IF(OR(ISNUMBER($R264),$R264="DNA"),$R264,IF(OR(ISNUMBER($Q264),$Q264="DNA"),$Q264,IF(OR(ISNUMBER($N264),$N264="DNA"),$N264,IF(OR(ISNUMBER($M264),$M264="DNA"),$M264,IF(OR(ISNUMBER($L264),$L264="DNA"),$L264,"")))))))))),IF(OR(ISNUMBER($V264),$V264="DNA"),$V264,IF(OR(ISNUMBER($U264),$U264="DNA"),$U264,IF(OR(ISNUMBER($T264),$T264="DNA"),$T264,IF(OR(ISNUMBER($S264),$S264="DNA"),$S264,IF(OR(ISNUMBER($R264),$R264="DNA"),$R264,IF(OR(ISNUMBER($Q264),$Q264="DNA"),$Q264,IF(OR(ISNUMBER($N264),$N264="DNA"),$N264,IF(OR(ISNUMBER($M264),$M264="DNA"),$M264,IF(OR(ISNUMBER($L264),$L264="DNA"),$L264,"")))))))))&lt;TODAY())),1,0)+ISNUMBER($O264)*($O264&lt;TODAY())+ISNUMBER($P264)*($P264&lt;TODAY())+ISNUMBER($X264)*($X264&lt;TODAY())+ISNUMBER($Y264)*($Y264&lt;TODAY()))</f>
        <v/>
      </c>
    </row>
    <row r="265">
      <c r="A265" s="25" t="n"/>
      <c r="B265" s="26" t="n"/>
      <c r="C265" s="27" t="n"/>
      <c r="D265" s="25" t="n"/>
      <c r="E265" s="25" t="n"/>
      <c r="F265" s="27" t="n"/>
      <c r="G265" s="25" t="n"/>
      <c r="H265" s="28">
        <f>IF(OR(NOT(AND($A265&lt;&gt;"",OR($G265="",$G265="Active"))),$F265=""),"",INT((TODAY()-$F265+280)/7)&amp;"+"&amp;MOD(TODAY()-$F265+280,7))</f>
        <v/>
      </c>
      <c r="I265" s="28">
        <f>IF(NOT(AND($A265&lt;&gt;"",OR($G265="",$G265="Active"))),"",ISNUMBER($L265)*($L265&gt;=TODAY())*($L265&lt;=TODAY()+7)+ISNUMBER($M265)*($M265&gt;=TODAY())*($M265&lt;=TODAY()+7)+ISNUMBER($N265)*($N265&gt;=TODAY())*($N265&lt;=TODAY()+7)+ISNUMBER($Q265)*($Q265&gt;=TODAY())*($Q265&lt;=TODAY()+7)+ISNUMBER($R265)*($R265&gt;=TODAY())*($R265&lt;=TODAY()+7)+ISNUMBER($S265)*($S265&gt;=TODAY())*($S265&lt;=TODAY()+7)+ISNUMBER($T265)*($T265&gt;=TODAY())*($T265&lt;=TODAY()+7)+ISNUMBER($U265)*($U265&gt;=TODAY())*($U265&lt;=TODAY()+7)+ISNUMBER($V265)*($V265&gt;=TODAY())*($V265&lt;=TODAY()+7)+ISNUMBER($O265)*($O265&gt;=TODAY())*($O265&lt;=TODAY()+7)+ISNUMBER($P265)*($P265&gt;=TODAY())*($P265&lt;=TODAY()+7)+ISNUMBER($X265)*($X265&gt;=TODAY())*($X265&lt;=TODAY()+7)+ISNUMBER($Y265)*($Y265&gt;=TODAY())*($Y265&lt;=TODAY()+7))</f>
        <v/>
      </c>
      <c r="J265" s="28">
        <f>IF(NOT(AND($A265&lt;&gt;"",OR($G265="",$G265="Active"))),"",IF($K265&lt;&gt;"",IF($L265=$K265,"Booking",IF($M265=$K265,"16/40",IF($N265=$K265,"25/40",IF($Q265=$K265,"28/40",IF($R265=$K265,"31/40",IF($S265=$K265,"34/40",IF($T265=$K265,"36/40",IF($U265=$K265,"38/40",IF($V265=$K265,"40/40",""))))))))),IF(IF(OR(ISNUMBER($V265),$V265="DNA"),$V265,IF(OR(ISNUMBER($U265),$U265="DNA"),$U265,IF(OR(ISNUMBER($T265),$T265="DNA"),$T265,IF(OR(ISNUMBER($S265),$S265="DNA"),$S265,IF(OR(ISNUMBER($R265),$R265="DNA"),$R265,IF(OR(ISNUMBER($Q265),$Q265="DNA"),$Q265,IF(OR(ISNUMBER($N265),$N265="DNA"),$N265,IF(OR(ISNUMBER($M265),$M265="DNA"),$M265,IF(OR(ISNUMBER($L265),$L265="DNA"),$L265,"")))))))))="DNA","Rebook DNA",IF(ISNUMBER(IF(OR(ISNUMBER($V265),$V265="DNA"),$V265,IF(OR(ISNUMBER($U265),$U265="DNA"),$U265,IF(OR(ISNUMBER($T265),$T265="DNA"),$T265,IF(OR(ISNUMBER($S265),$S265="DNA"),$S265,IF(OR(ISNUMBER($R265),$R265="DNA"),$R265,IF(OR(ISNUMBER($Q265),$Q265="DNA"),$Q265,IF(OR(ISNUMBER($N265),$N265="DNA"),$N265,IF(OR(ISNUMBER($M265),$M265="DNA"),$M265,IF(OR(ISNUMBER($L265),$L265="DNA"),$L265,"")))))))))),IF(ISNUMBER($V265),"Update status","Missed/not booked?"),""))))</f>
        <v/>
      </c>
      <c r="K265" s="29">
        <f>IF(NOT(AND($A265&lt;&gt;"",OR($G265="",$G265="Active"))),"",IF(MIN(IF(AND(ISNUMBER($L265),$L265&gt;=TODAY()),$L265,99999),IF(AND(ISNUMBER($M265),$M265&gt;=TODAY()),$M265,99999),IF(AND(ISNUMBER($N265),$N265&gt;=TODAY()),$N265,99999),IF(AND(ISNUMBER($Q265),$Q265&gt;=TODAY()),$Q265,99999),IF(AND(ISNUMBER($R265),$R265&gt;=TODAY()),$R265,99999),IF(AND(ISNUMBER($S265),$S265&gt;=TODAY()),$S265,99999),IF(AND(ISNUMBER($T265),$T265&gt;=TODAY()),$T265,99999),IF(AND(ISNUMBER($U265),$U265&gt;=TODAY()),$U265,99999),IF(AND(ISNUMBER($V265),$V265&gt;=TODAY()),$V265,99999))=99999,"",MIN(IF(AND(ISNUMBER($L265),$L265&gt;=TODAY()),$L265,99999),IF(AND(ISNUMBER($M265),$M265&gt;=TODAY()),$M265,99999),IF(AND(ISNUMBER($N265),$N265&gt;=TODAY()),$N265,99999),IF(AND(ISNUMBER($Q265),$Q265&gt;=TODAY()),$Q265,99999),IF(AND(ISNUMBER($R265),$R265&gt;=TODAY()),$R265,99999),IF(AND(ISNUMBER($S265),$S265&gt;=TODAY()),$S265,99999),IF(AND(ISNUMBER($T265),$T265&gt;=TODAY()),$T265,99999),IF(AND(ISNUMBER($U265),$U265&gt;=TODAY()),$U265,99999),IF(AND(ISNUMBER($V265),$V265&gt;=TODAY()),$V265,99999))))</f>
        <v/>
      </c>
      <c r="L265" s="27" t="n"/>
      <c r="M265" s="27" t="n"/>
      <c r="N265" s="27" t="n"/>
      <c r="O265" s="27" t="n"/>
      <c r="P265" s="27" t="n"/>
      <c r="Q265" s="27" t="n"/>
      <c r="R265" s="27" t="n"/>
      <c r="S265" s="27" t="n"/>
      <c r="T265" s="27" t="n"/>
      <c r="U265" s="27" t="n"/>
      <c r="V265" s="27" t="n"/>
      <c r="W265" s="27" t="n"/>
      <c r="X265" s="27" t="n"/>
      <c r="Y265" s="27" t="n"/>
      <c r="Z265" s="30" t="n"/>
      <c r="AA265" s="25" t="n"/>
      <c r="AB265" s="28">
        <f>IF(NOT(AND($A265&lt;&gt;"",OR($G265="",$G265="Active"))),"",IF(OR(IF(OR(ISNUMBER($V265),$V265="DNA"),$V265,IF(OR(ISNUMBER($U265),$U265="DNA"),$U265,IF(OR(ISNUMBER($T265),$T265="DNA"),$T265,IF(OR(ISNUMBER($S265),$S265="DNA"),$S265,IF(OR(ISNUMBER($R265),$R265="DNA"),$R265,IF(OR(ISNUMBER($Q265),$Q265="DNA"),$Q265,IF(OR(ISNUMBER($N265),$N265="DNA"),$N265,IF(OR(ISNUMBER($M265),$M265="DNA"),$M265,IF(OR(ISNUMBER($L265),$L265="DNA"),$L265,"")))))))))="DNA",AND(ISNUMBER(IF(OR(ISNUMBER($V265),$V265="DNA"),$V265,IF(OR(ISNUMBER($U265),$U265="DNA"),$U265,IF(OR(ISNUMBER($T265),$T265="DNA"),$T265,IF(OR(ISNUMBER($S265),$S265="DNA"),$S265,IF(OR(ISNUMBER($R265),$R265="DNA"),$R265,IF(OR(ISNUMBER($Q265),$Q265="DNA"),$Q265,IF(OR(ISNUMBER($N265),$N265="DNA"),$N265,IF(OR(ISNUMBER($M265),$M265="DNA"),$M265,IF(OR(ISNUMBER($L265),$L265="DNA"),$L265,"")))))))))),IF(OR(ISNUMBER($V265),$V265="DNA"),$V265,IF(OR(ISNUMBER($U265),$U265="DNA"),$U265,IF(OR(ISNUMBER($T265),$T265="DNA"),$T265,IF(OR(ISNUMBER($S265),$S265="DNA"),$S265,IF(OR(ISNUMBER($R265),$R265="DNA"),$R265,IF(OR(ISNUMBER($Q265),$Q265="DNA"),$Q265,IF(OR(ISNUMBER($N265),$N265="DNA"),$N265,IF(OR(ISNUMBER($M265),$M265="DNA"),$M265,IF(OR(ISNUMBER($L265),$L265="DNA"),$L265,"")))))))))&lt;TODAY())),1,0)+ISNUMBER($O265)*($O265&lt;TODAY())+ISNUMBER($P265)*($P265&lt;TODAY())+ISNUMBER($X265)*($X265&lt;TODAY())+ISNUMBER($Y265)*($Y265&lt;TODAY()))</f>
        <v/>
      </c>
    </row>
    <row r="266">
      <c r="A266" s="25" t="n"/>
      <c r="B266" s="26" t="n"/>
      <c r="C266" s="27" t="n"/>
      <c r="D266" s="25" t="n"/>
      <c r="E266" s="25" t="n"/>
      <c r="F266" s="27" t="n"/>
      <c r="G266" s="25" t="n"/>
      <c r="H266" s="28">
        <f>IF(OR(NOT(AND($A266&lt;&gt;"",OR($G266="",$G266="Active"))),$F266=""),"",INT((TODAY()-$F266+280)/7)&amp;"+"&amp;MOD(TODAY()-$F266+280,7))</f>
        <v/>
      </c>
      <c r="I266" s="28">
        <f>IF(NOT(AND($A266&lt;&gt;"",OR($G266="",$G266="Active"))),"",ISNUMBER($L266)*($L266&gt;=TODAY())*($L266&lt;=TODAY()+7)+ISNUMBER($M266)*($M266&gt;=TODAY())*($M266&lt;=TODAY()+7)+ISNUMBER($N266)*($N266&gt;=TODAY())*($N266&lt;=TODAY()+7)+ISNUMBER($Q266)*($Q266&gt;=TODAY())*($Q266&lt;=TODAY()+7)+ISNUMBER($R266)*($R266&gt;=TODAY())*($R266&lt;=TODAY()+7)+ISNUMBER($S266)*($S266&gt;=TODAY())*($S266&lt;=TODAY()+7)+ISNUMBER($T266)*($T266&gt;=TODAY())*($T266&lt;=TODAY()+7)+ISNUMBER($U266)*($U266&gt;=TODAY())*($U266&lt;=TODAY()+7)+ISNUMBER($V266)*($V266&gt;=TODAY())*($V266&lt;=TODAY()+7)+ISNUMBER($O266)*($O266&gt;=TODAY())*($O266&lt;=TODAY()+7)+ISNUMBER($P266)*($P266&gt;=TODAY())*($P266&lt;=TODAY()+7)+ISNUMBER($X266)*($X266&gt;=TODAY())*($X266&lt;=TODAY()+7)+ISNUMBER($Y266)*($Y266&gt;=TODAY())*($Y266&lt;=TODAY()+7))</f>
        <v/>
      </c>
      <c r="J266" s="28">
        <f>IF(NOT(AND($A266&lt;&gt;"",OR($G266="",$G266="Active"))),"",IF($K266&lt;&gt;"",IF($L266=$K266,"Booking",IF($M266=$K266,"16/40",IF($N266=$K266,"25/40",IF($Q266=$K266,"28/40",IF($R266=$K266,"31/40",IF($S266=$K266,"34/40",IF($T266=$K266,"36/40",IF($U266=$K266,"38/40",IF($V266=$K266,"40/40",""))))))))),IF(IF(OR(ISNUMBER($V266),$V266="DNA"),$V266,IF(OR(ISNUMBER($U266),$U266="DNA"),$U266,IF(OR(ISNUMBER($T266),$T266="DNA"),$T266,IF(OR(ISNUMBER($S266),$S266="DNA"),$S266,IF(OR(ISNUMBER($R266),$R266="DNA"),$R266,IF(OR(ISNUMBER($Q266),$Q266="DNA"),$Q266,IF(OR(ISNUMBER($N266),$N266="DNA"),$N266,IF(OR(ISNUMBER($M266),$M266="DNA"),$M266,IF(OR(ISNUMBER($L266),$L266="DNA"),$L266,"")))))))))="DNA","Rebook DNA",IF(ISNUMBER(IF(OR(ISNUMBER($V266),$V266="DNA"),$V266,IF(OR(ISNUMBER($U266),$U266="DNA"),$U266,IF(OR(ISNUMBER($T266),$T266="DNA"),$T266,IF(OR(ISNUMBER($S266),$S266="DNA"),$S266,IF(OR(ISNUMBER($R266),$R266="DNA"),$R266,IF(OR(ISNUMBER($Q266),$Q266="DNA"),$Q266,IF(OR(ISNUMBER($N266),$N266="DNA"),$N266,IF(OR(ISNUMBER($M266),$M266="DNA"),$M266,IF(OR(ISNUMBER($L266),$L266="DNA"),$L266,"")))))))))),IF(ISNUMBER($V266),"Update status","Missed/not booked?"),""))))</f>
        <v/>
      </c>
      <c r="K266" s="29">
        <f>IF(NOT(AND($A266&lt;&gt;"",OR($G266="",$G266="Active"))),"",IF(MIN(IF(AND(ISNUMBER($L266),$L266&gt;=TODAY()),$L266,99999),IF(AND(ISNUMBER($M266),$M266&gt;=TODAY()),$M266,99999),IF(AND(ISNUMBER($N266),$N266&gt;=TODAY()),$N266,99999),IF(AND(ISNUMBER($Q266),$Q266&gt;=TODAY()),$Q266,99999),IF(AND(ISNUMBER($R266),$R266&gt;=TODAY()),$R266,99999),IF(AND(ISNUMBER($S266),$S266&gt;=TODAY()),$S266,99999),IF(AND(ISNUMBER($T266),$T266&gt;=TODAY()),$T266,99999),IF(AND(ISNUMBER($U266),$U266&gt;=TODAY()),$U266,99999),IF(AND(ISNUMBER($V266),$V266&gt;=TODAY()),$V266,99999))=99999,"",MIN(IF(AND(ISNUMBER($L266),$L266&gt;=TODAY()),$L266,99999),IF(AND(ISNUMBER($M266),$M266&gt;=TODAY()),$M266,99999),IF(AND(ISNUMBER($N266),$N266&gt;=TODAY()),$N266,99999),IF(AND(ISNUMBER($Q266),$Q266&gt;=TODAY()),$Q266,99999),IF(AND(ISNUMBER($R266),$R266&gt;=TODAY()),$R266,99999),IF(AND(ISNUMBER($S266),$S266&gt;=TODAY()),$S266,99999),IF(AND(ISNUMBER($T266),$T266&gt;=TODAY()),$T266,99999),IF(AND(ISNUMBER($U266),$U266&gt;=TODAY()),$U266,99999),IF(AND(ISNUMBER($V266),$V266&gt;=TODAY()),$V266,99999))))</f>
        <v/>
      </c>
      <c r="L266" s="27" t="n"/>
      <c r="M266" s="27" t="n"/>
      <c r="N266" s="27" t="n"/>
      <c r="O266" s="27" t="n"/>
      <c r="P266" s="27" t="n"/>
      <c r="Q266" s="27" t="n"/>
      <c r="R266" s="27" t="n"/>
      <c r="S266" s="27" t="n"/>
      <c r="T266" s="27" t="n"/>
      <c r="U266" s="27" t="n"/>
      <c r="V266" s="27" t="n"/>
      <c r="W266" s="27" t="n"/>
      <c r="X266" s="27" t="n"/>
      <c r="Y266" s="27" t="n"/>
      <c r="Z266" s="30" t="n"/>
      <c r="AA266" s="25" t="n"/>
      <c r="AB266" s="28">
        <f>IF(NOT(AND($A266&lt;&gt;"",OR($G266="",$G266="Active"))),"",IF(OR(IF(OR(ISNUMBER($V266),$V266="DNA"),$V266,IF(OR(ISNUMBER($U266),$U266="DNA"),$U266,IF(OR(ISNUMBER($T266),$T266="DNA"),$T266,IF(OR(ISNUMBER($S266),$S266="DNA"),$S266,IF(OR(ISNUMBER($R266),$R266="DNA"),$R266,IF(OR(ISNUMBER($Q266),$Q266="DNA"),$Q266,IF(OR(ISNUMBER($N266),$N266="DNA"),$N266,IF(OR(ISNUMBER($M266),$M266="DNA"),$M266,IF(OR(ISNUMBER($L266),$L266="DNA"),$L266,"")))))))))="DNA",AND(ISNUMBER(IF(OR(ISNUMBER($V266),$V266="DNA"),$V266,IF(OR(ISNUMBER($U266),$U266="DNA"),$U266,IF(OR(ISNUMBER($T266),$T266="DNA"),$T266,IF(OR(ISNUMBER($S266),$S266="DNA"),$S266,IF(OR(ISNUMBER($R266),$R266="DNA"),$R266,IF(OR(ISNUMBER($Q266),$Q266="DNA"),$Q266,IF(OR(ISNUMBER($N266),$N266="DNA"),$N266,IF(OR(ISNUMBER($M266),$M266="DNA"),$M266,IF(OR(ISNUMBER($L266),$L266="DNA"),$L266,"")))))))))),IF(OR(ISNUMBER($V266),$V266="DNA"),$V266,IF(OR(ISNUMBER($U266),$U266="DNA"),$U266,IF(OR(ISNUMBER($T266),$T266="DNA"),$T266,IF(OR(ISNUMBER($S266),$S266="DNA"),$S266,IF(OR(ISNUMBER($R266),$R266="DNA"),$R266,IF(OR(ISNUMBER($Q266),$Q266="DNA"),$Q266,IF(OR(ISNUMBER($N266),$N266="DNA"),$N266,IF(OR(ISNUMBER($M266),$M266="DNA"),$M266,IF(OR(ISNUMBER($L266),$L266="DNA"),$L266,"")))))))))&lt;TODAY())),1,0)+ISNUMBER($O266)*($O266&lt;TODAY())+ISNUMBER($P266)*($P266&lt;TODAY())+ISNUMBER($X266)*($X266&lt;TODAY())+ISNUMBER($Y266)*($Y266&lt;TODAY()))</f>
        <v/>
      </c>
    </row>
    <row r="267">
      <c r="A267" s="25" t="n"/>
      <c r="B267" s="26" t="n"/>
      <c r="C267" s="27" t="n"/>
      <c r="D267" s="25" t="n"/>
      <c r="E267" s="25" t="n"/>
      <c r="F267" s="27" t="n"/>
      <c r="G267" s="25" t="n"/>
      <c r="H267" s="28">
        <f>IF(OR(NOT(AND($A267&lt;&gt;"",OR($G267="",$G267="Active"))),$F267=""),"",INT((TODAY()-$F267+280)/7)&amp;"+"&amp;MOD(TODAY()-$F267+280,7))</f>
        <v/>
      </c>
      <c r="I267" s="28">
        <f>IF(NOT(AND($A267&lt;&gt;"",OR($G267="",$G267="Active"))),"",ISNUMBER($L267)*($L267&gt;=TODAY())*($L267&lt;=TODAY()+7)+ISNUMBER($M267)*($M267&gt;=TODAY())*($M267&lt;=TODAY()+7)+ISNUMBER($N267)*($N267&gt;=TODAY())*($N267&lt;=TODAY()+7)+ISNUMBER($Q267)*($Q267&gt;=TODAY())*($Q267&lt;=TODAY()+7)+ISNUMBER($R267)*($R267&gt;=TODAY())*($R267&lt;=TODAY()+7)+ISNUMBER($S267)*($S267&gt;=TODAY())*($S267&lt;=TODAY()+7)+ISNUMBER($T267)*($T267&gt;=TODAY())*($T267&lt;=TODAY()+7)+ISNUMBER($U267)*($U267&gt;=TODAY())*($U267&lt;=TODAY()+7)+ISNUMBER($V267)*($V267&gt;=TODAY())*($V267&lt;=TODAY()+7)+ISNUMBER($O267)*($O267&gt;=TODAY())*($O267&lt;=TODAY()+7)+ISNUMBER($P267)*($P267&gt;=TODAY())*($P267&lt;=TODAY()+7)+ISNUMBER($X267)*($X267&gt;=TODAY())*($X267&lt;=TODAY()+7)+ISNUMBER($Y267)*($Y267&gt;=TODAY())*($Y267&lt;=TODAY()+7))</f>
        <v/>
      </c>
      <c r="J267" s="28">
        <f>IF(NOT(AND($A267&lt;&gt;"",OR($G267="",$G267="Active"))),"",IF($K267&lt;&gt;"",IF($L267=$K267,"Booking",IF($M267=$K267,"16/40",IF($N267=$K267,"25/40",IF($Q267=$K267,"28/40",IF($R267=$K267,"31/40",IF($S267=$K267,"34/40",IF($T267=$K267,"36/40",IF($U267=$K267,"38/40",IF($V267=$K267,"40/40",""))))))))),IF(IF(OR(ISNUMBER($V267),$V267="DNA"),$V267,IF(OR(ISNUMBER($U267),$U267="DNA"),$U267,IF(OR(ISNUMBER($T267),$T267="DNA"),$T267,IF(OR(ISNUMBER($S267),$S267="DNA"),$S267,IF(OR(ISNUMBER($R267),$R267="DNA"),$R267,IF(OR(ISNUMBER($Q267),$Q267="DNA"),$Q267,IF(OR(ISNUMBER($N267),$N267="DNA"),$N267,IF(OR(ISNUMBER($M267),$M267="DNA"),$M267,IF(OR(ISNUMBER($L267),$L267="DNA"),$L267,"")))))))))="DNA","Rebook DNA",IF(ISNUMBER(IF(OR(ISNUMBER($V267),$V267="DNA"),$V267,IF(OR(ISNUMBER($U267),$U267="DNA"),$U267,IF(OR(ISNUMBER($T267),$T267="DNA"),$T267,IF(OR(ISNUMBER($S267),$S267="DNA"),$S267,IF(OR(ISNUMBER($R267),$R267="DNA"),$R267,IF(OR(ISNUMBER($Q267),$Q267="DNA"),$Q267,IF(OR(ISNUMBER($N267),$N267="DNA"),$N267,IF(OR(ISNUMBER($M267),$M267="DNA"),$M267,IF(OR(ISNUMBER($L267),$L267="DNA"),$L267,"")))))))))),IF(ISNUMBER($V267),"Update status","Missed/not booked?"),""))))</f>
        <v/>
      </c>
      <c r="K267" s="29">
        <f>IF(NOT(AND($A267&lt;&gt;"",OR($G267="",$G267="Active"))),"",IF(MIN(IF(AND(ISNUMBER($L267),$L267&gt;=TODAY()),$L267,99999),IF(AND(ISNUMBER($M267),$M267&gt;=TODAY()),$M267,99999),IF(AND(ISNUMBER($N267),$N267&gt;=TODAY()),$N267,99999),IF(AND(ISNUMBER($Q267),$Q267&gt;=TODAY()),$Q267,99999),IF(AND(ISNUMBER($R267),$R267&gt;=TODAY()),$R267,99999),IF(AND(ISNUMBER($S267),$S267&gt;=TODAY()),$S267,99999),IF(AND(ISNUMBER($T267),$T267&gt;=TODAY()),$T267,99999),IF(AND(ISNUMBER($U267),$U267&gt;=TODAY()),$U267,99999),IF(AND(ISNUMBER($V267),$V267&gt;=TODAY()),$V267,99999))=99999,"",MIN(IF(AND(ISNUMBER($L267),$L267&gt;=TODAY()),$L267,99999),IF(AND(ISNUMBER($M267),$M267&gt;=TODAY()),$M267,99999),IF(AND(ISNUMBER($N267),$N267&gt;=TODAY()),$N267,99999),IF(AND(ISNUMBER($Q267),$Q267&gt;=TODAY()),$Q267,99999),IF(AND(ISNUMBER($R267),$R267&gt;=TODAY()),$R267,99999),IF(AND(ISNUMBER($S267),$S267&gt;=TODAY()),$S267,99999),IF(AND(ISNUMBER($T267),$T267&gt;=TODAY()),$T267,99999),IF(AND(ISNUMBER($U267),$U267&gt;=TODAY()),$U267,99999),IF(AND(ISNUMBER($V267),$V267&gt;=TODAY()),$V267,99999))))</f>
        <v/>
      </c>
      <c r="L267" s="27" t="n"/>
      <c r="M267" s="27" t="n"/>
      <c r="N267" s="27" t="n"/>
      <c r="O267" s="27" t="n"/>
      <c r="P267" s="27" t="n"/>
      <c r="Q267" s="27" t="n"/>
      <c r="R267" s="27" t="n"/>
      <c r="S267" s="27" t="n"/>
      <c r="T267" s="27" t="n"/>
      <c r="U267" s="27" t="n"/>
      <c r="V267" s="27" t="n"/>
      <c r="W267" s="27" t="n"/>
      <c r="X267" s="27" t="n"/>
      <c r="Y267" s="27" t="n"/>
      <c r="Z267" s="30" t="n"/>
      <c r="AA267" s="25" t="n"/>
      <c r="AB267" s="28">
        <f>IF(NOT(AND($A267&lt;&gt;"",OR($G267="",$G267="Active"))),"",IF(OR(IF(OR(ISNUMBER($V267),$V267="DNA"),$V267,IF(OR(ISNUMBER($U267),$U267="DNA"),$U267,IF(OR(ISNUMBER($T267),$T267="DNA"),$T267,IF(OR(ISNUMBER($S267),$S267="DNA"),$S267,IF(OR(ISNUMBER($R267),$R267="DNA"),$R267,IF(OR(ISNUMBER($Q267),$Q267="DNA"),$Q267,IF(OR(ISNUMBER($N267),$N267="DNA"),$N267,IF(OR(ISNUMBER($M267),$M267="DNA"),$M267,IF(OR(ISNUMBER($L267),$L267="DNA"),$L267,"")))))))))="DNA",AND(ISNUMBER(IF(OR(ISNUMBER($V267),$V267="DNA"),$V267,IF(OR(ISNUMBER($U267),$U267="DNA"),$U267,IF(OR(ISNUMBER($T267),$T267="DNA"),$T267,IF(OR(ISNUMBER($S267),$S267="DNA"),$S267,IF(OR(ISNUMBER($R267),$R267="DNA"),$R267,IF(OR(ISNUMBER($Q267),$Q267="DNA"),$Q267,IF(OR(ISNUMBER($N267),$N267="DNA"),$N267,IF(OR(ISNUMBER($M267),$M267="DNA"),$M267,IF(OR(ISNUMBER($L267),$L267="DNA"),$L267,"")))))))))),IF(OR(ISNUMBER($V267),$V267="DNA"),$V267,IF(OR(ISNUMBER($U267),$U267="DNA"),$U267,IF(OR(ISNUMBER($T267),$T267="DNA"),$T267,IF(OR(ISNUMBER($S267),$S267="DNA"),$S267,IF(OR(ISNUMBER($R267),$R267="DNA"),$R267,IF(OR(ISNUMBER($Q267),$Q267="DNA"),$Q267,IF(OR(ISNUMBER($N267),$N267="DNA"),$N267,IF(OR(ISNUMBER($M267),$M267="DNA"),$M267,IF(OR(ISNUMBER($L267),$L267="DNA"),$L267,"")))))))))&lt;TODAY())),1,0)+ISNUMBER($O267)*($O267&lt;TODAY())+ISNUMBER($P267)*($P267&lt;TODAY())+ISNUMBER($X267)*($X267&lt;TODAY())+ISNUMBER($Y267)*($Y267&lt;TODAY()))</f>
        <v/>
      </c>
    </row>
    <row r="268">
      <c r="A268" s="25" t="n"/>
      <c r="B268" s="26" t="n"/>
      <c r="C268" s="27" t="n"/>
      <c r="D268" s="25" t="n"/>
      <c r="E268" s="25" t="n"/>
      <c r="F268" s="27" t="n"/>
      <c r="G268" s="25" t="n"/>
      <c r="H268" s="28">
        <f>IF(OR(NOT(AND($A268&lt;&gt;"",OR($G268="",$G268="Active"))),$F268=""),"",INT((TODAY()-$F268+280)/7)&amp;"+"&amp;MOD(TODAY()-$F268+280,7))</f>
        <v/>
      </c>
      <c r="I268" s="28">
        <f>IF(NOT(AND($A268&lt;&gt;"",OR($G268="",$G268="Active"))),"",ISNUMBER($L268)*($L268&gt;=TODAY())*($L268&lt;=TODAY()+7)+ISNUMBER($M268)*($M268&gt;=TODAY())*($M268&lt;=TODAY()+7)+ISNUMBER($N268)*($N268&gt;=TODAY())*($N268&lt;=TODAY()+7)+ISNUMBER($Q268)*($Q268&gt;=TODAY())*($Q268&lt;=TODAY()+7)+ISNUMBER($R268)*($R268&gt;=TODAY())*($R268&lt;=TODAY()+7)+ISNUMBER($S268)*($S268&gt;=TODAY())*($S268&lt;=TODAY()+7)+ISNUMBER($T268)*($T268&gt;=TODAY())*($T268&lt;=TODAY()+7)+ISNUMBER($U268)*($U268&gt;=TODAY())*($U268&lt;=TODAY()+7)+ISNUMBER($V268)*($V268&gt;=TODAY())*($V268&lt;=TODAY()+7)+ISNUMBER($O268)*($O268&gt;=TODAY())*($O268&lt;=TODAY()+7)+ISNUMBER($P268)*($P268&gt;=TODAY())*($P268&lt;=TODAY()+7)+ISNUMBER($X268)*($X268&gt;=TODAY())*($X268&lt;=TODAY()+7)+ISNUMBER($Y268)*($Y268&gt;=TODAY())*($Y268&lt;=TODAY()+7))</f>
        <v/>
      </c>
      <c r="J268" s="28">
        <f>IF(NOT(AND($A268&lt;&gt;"",OR($G268="",$G268="Active"))),"",IF($K268&lt;&gt;"",IF($L268=$K268,"Booking",IF($M268=$K268,"16/40",IF($N268=$K268,"25/40",IF($Q268=$K268,"28/40",IF($R268=$K268,"31/40",IF($S268=$K268,"34/40",IF($T268=$K268,"36/40",IF($U268=$K268,"38/40",IF($V268=$K268,"40/40",""))))))))),IF(IF(OR(ISNUMBER($V268),$V268="DNA"),$V268,IF(OR(ISNUMBER($U268),$U268="DNA"),$U268,IF(OR(ISNUMBER($T268),$T268="DNA"),$T268,IF(OR(ISNUMBER($S268),$S268="DNA"),$S268,IF(OR(ISNUMBER($R268),$R268="DNA"),$R268,IF(OR(ISNUMBER($Q268),$Q268="DNA"),$Q268,IF(OR(ISNUMBER($N268),$N268="DNA"),$N268,IF(OR(ISNUMBER($M268),$M268="DNA"),$M268,IF(OR(ISNUMBER($L268),$L268="DNA"),$L268,"")))))))))="DNA","Rebook DNA",IF(ISNUMBER(IF(OR(ISNUMBER($V268),$V268="DNA"),$V268,IF(OR(ISNUMBER($U268),$U268="DNA"),$U268,IF(OR(ISNUMBER($T268),$T268="DNA"),$T268,IF(OR(ISNUMBER($S268),$S268="DNA"),$S268,IF(OR(ISNUMBER($R268),$R268="DNA"),$R268,IF(OR(ISNUMBER($Q268),$Q268="DNA"),$Q268,IF(OR(ISNUMBER($N268),$N268="DNA"),$N268,IF(OR(ISNUMBER($M268),$M268="DNA"),$M268,IF(OR(ISNUMBER($L268),$L268="DNA"),$L268,"")))))))))),IF(ISNUMBER($V268),"Update status","Missed/not booked?"),""))))</f>
        <v/>
      </c>
      <c r="K268" s="29">
        <f>IF(NOT(AND($A268&lt;&gt;"",OR($G268="",$G268="Active"))),"",IF(MIN(IF(AND(ISNUMBER($L268),$L268&gt;=TODAY()),$L268,99999),IF(AND(ISNUMBER($M268),$M268&gt;=TODAY()),$M268,99999),IF(AND(ISNUMBER($N268),$N268&gt;=TODAY()),$N268,99999),IF(AND(ISNUMBER($Q268),$Q268&gt;=TODAY()),$Q268,99999),IF(AND(ISNUMBER($R268),$R268&gt;=TODAY()),$R268,99999),IF(AND(ISNUMBER($S268),$S268&gt;=TODAY()),$S268,99999),IF(AND(ISNUMBER($T268),$T268&gt;=TODAY()),$T268,99999),IF(AND(ISNUMBER($U268),$U268&gt;=TODAY()),$U268,99999),IF(AND(ISNUMBER($V268),$V268&gt;=TODAY()),$V268,99999))=99999,"",MIN(IF(AND(ISNUMBER($L268),$L268&gt;=TODAY()),$L268,99999),IF(AND(ISNUMBER($M268),$M268&gt;=TODAY()),$M268,99999),IF(AND(ISNUMBER($N268),$N268&gt;=TODAY()),$N268,99999),IF(AND(ISNUMBER($Q268),$Q268&gt;=TODAY()),$Q268,99999),IF(AND(ISNUMBER($R268),$R268&gt;=TODAY()),$R268,99999),IF(AND(ISNUMBER($S268),$S268&gt;=TODAY()),$S268,99999),IF(AND(ISNUMBER($T268),$T268&gt;=TODAY()),$T268,99999),IF(AND(ISNUMBER($U268),$U268&gt;=TODAY()),$U268,99999),IF(AND(ISNUMBER($V268),$V268&gt;=TODAY()),$V268,99999))))</f>
        <v/>
      </c>
      <c r="L268" s="27" t="n"/>
      <c r="M268" s="27" t="n"/>
      <c r="N268" s="27" t="n"/>
      <c r="O268" s="27" t="n"/>
      <c r="P268" s="27" t="n"/>
      <c r="Q268" s="27" t="n"/>
      <c r="R268" s="27" t="n"/>
      <c r="S268" s="27" t="n"/>
      <c r="T268" s="27" t="n"/>
      <c r="U268" s="27" t="n"/>
      <c r="V268" s="27" t="n"/>
      <c r="W268" s="27" t="n"/>
      <c r="X268" s="27" t="n"/>
      <c r="Y268" s="27" t="n"/>
      <c r="Z268" s="30" t="n"/>
      <c r="AA268" s="25" t="n"/>
      <c r="AB268" s="28">
        <f>IF(NOT(AND($A268&lt;&gt;"",OR($G268="",$G268="Active"))),"",IF(OR(IF(OR(ISNUMBER($V268),$V268="DNA"),$V268,IF(OR(ISNUMBER($U268),$U268="DNA"),$U268,IF(OR(ISNUMBER($T268),$T268="DNA"),$T268,IF(OR(ISNUMBER($S268),$S268="DNA"),$S268,IF(OR(ISNUMBER($R268),$R268="DNA"),$R268,IF(OR(ISNUMBER($Q268),$Q268="DNA"),$Q268,IF(OR(ISNUMBER($N268),$N268="DNA"),$N268,IF(OR(ISNUMBER($M268),$M268="DNA"),$M268,IF(OR(ISNUMBER($L268),$L268="DNA"),$L268,"")))))))))="DNA",AND(ISNUMBER(IF(OR(ISNUMBER($V268),$V268="DNA"),$V268,IF(OR(ISNUMBER($U268),$U268="DNA"),$U268,IF(OR(ISNUMBER($T268),$T268="DNA"),$T268,IF(OR(ISNUMBER($S268),$S268="DNA"),$S268,IF(OR(ISNUMBER($R268),$R268="DNA"),$R268,IF(OR(ISNUMBER($Q268),$Q268="DNA"),$Q268,IF(OR(ISNUMBER($N268),$N268="DNA"),$N268,IF(OR(ISNUMBER($M268),$M268="DNA"),$M268,IF(OR(ISNUMBER($L268),$L268="DNA"),$L268,"")))))))))),IF(OR(ISNUMBER($V268),$V268="DNA"),$V268,IF(OR(ISNUMBER($U268),$U268="DNA"),$U268,IF(OR(ISNUMBER($T268),$T268="DNA"),$T268,IF(OR(ISNUMBER($S268),$S268="DNA"),$S268,IF(OR(ISNUMBER($R268),$R268="DNA"),$R268,IF(OR(ISNUMBER($Q268),$Q268="DNA"),$Q268,IF(OR(ISNUMBER($N268),$N268="DNA"),$N268,IF(OR(ISNUMBER($M268),$M268="DNA"),$M268,IF(OR(ISNUMBER($L268),$L268="DNA"),$L268,"")))))))))&lt;TODAY())),1,0)+ISNUMBER($O268)*($O268&lt;TODAY())+ISNUMBER($P268)*($P268&lt;TODAY())+ISNUMBER($X268)*($X268&lt;TODAY())+ISNUMBER($Y268)*($Y268&lt;TODAY()))</f>
        <v/>
      </c>
    </row>
    <row r="269">
      <c r="A269" s="25" t="n"/>
      <c r="B269" s="26" t="n"/>
      <c r="C269" s="27" t="n"/>
      <c r="D269" s="25" t="n"/>
      <c r="E269" s="25" t="n"/>
      <c r="F269" s="27" t="n"/>
      <c r="G269" s="25" t="n"/>
      <c r="H269" s="28">
        <f>IF(OR(NOT(AND($A269&lt;&gt;"",OR($G269="",$G269="Active"))),$F269=""),"",INT((TODAY()-$F269+280)/7)&amp;"+"&amp;MOD(TODAY()-$F269+280,7))</f>
        <v/>
      </c>
      <c r="I269" s="28">
        <f>IF(NOT(AND($A269&lt;&gt;"",OR($G269="",$G269="Active"))),"",ISNUMBER($L269)*($L269&gt;=TODAY())*($L269&lt;=TODAY()+7)+ISNUMBER($M269)*($M269&gt;=TODAY())*($M269&lt;=TODAY()+7)+ISNUMBER($N269)*($N269&gt;=TODAY())*($N269&lt;=TODAY()+7)+ISNUMBER($Q269)*($Q269&gt;=TODAY())*($Q269&lt;=TODAY()+7)+ISNUMBER($R269)*($R269&gt;=TODAY())*($R269&lt;=TODAY()+7)+ISNUMBER($S269)*($S269&gt;=TODAY())*($S269&lt;=TODAY()+7)+ISNUMBER($T269)*($T269&gt;=TODAY())*($T269&lt;=TODAY()+7)+ISNUMBER($U269)*($U269&gt;=TODAY())*($U269&lt;=TODAY()+7)+ISNUMBER($V269)*($V269&gt;=TODAY())*($V269&lt;=TODAY()+7)+ISNUMBER($O269)*($O269&gt;=TODAY())*($O269&lt;=TODAY()+7)+ISNUMBER($P269)*($P269&gt;=TODAY())*($P269&lt;=TODAY()+7)+ISNUMBER($X269)*($X269&gt;=TODAY())*($X269&lt;=TODAY()+7)+ISNUMBER($Y269)*($Y269&gt;=TODAY())*($Y269&lt;=TODAY()+7))</f>
        <v/>
      </c>
      <c r="J269" s="28">
        <f>IF(NOT(AND($A269&lt;&gt;"",OR($G269="",$G269="Active"))),"",IF($K269&lt;&gt;"",IF($L269=$K269,"Booking",IF($M269=$K269,"16/40",IF($N269=$K269,"25/40",IF($Q269=$K269,"28/40",IF($R269=$K269,"31/40",IF($S269=$K269,"34/40",IF($T269=$K269,"36/40",IF($U269=$K269,"38/40",IF($V269=$K269,"40/40",""))))))))),IF(IF(OR(ISNUMBER($V269),$V269="DNA"),$V269,IF(OR(ISNUMBER($U269),$U269="DNA"),$U269,IF(OR(ISNUMBER($T269),$T269="DNA"),$T269,IF(OR(ISNUMBER($S269),$S269="DNA"),$S269,IF(OR(ISNUMBER($R269),$R269="DNA"),$R269,IF(OR(ISNUMBER($Q269),$Q269="DNA"),$Q269,IF(OR(ISNUMBER($N269),$N269="DNA"),$N269,IF(OR(ISNUMBER($M269),$M269="DNA"),$M269,IF(OR(ISNUMBER($L269),$L269="DNA"),$L269,"")))))))))="DNA","Rebook DNA",IF(ISNUMBER(IF(OR(ISNUMBER($V269),$V269="DNA"),$V269,IF(OR(ISNUMBER($U269),$U269="DNA"),$U269,IF(OR(ISNUMBER($T269),$T269="DNA"),$T269,IF(OR(ISNUMBER($S269),$S269="DNA"),$S269,IF(OR(ISNUMBER($R269),$R269="DNA"),$R269,IF(OR(ISNUMBER($Q269),$Q269="DNA"),$Q269,IF(OR(ISNUMBER($N269),$N269="DNA"),$N269,IF(OR(ISNUMBER($M269),$M269="DNA"),$M269,IF(OR(ISNUMBER($L269),$L269="DNA"),$L269,"")))))))))),IF(ISNUMBER($V269),"Update status","Missed/not booked?"),""))))</f>
        <v/>
      </c>
      <c r="K269" s="29">
        <f>IF(NOT(AND($A269&lt;&gt;"",OR($G269="",$G269="Active"))),"",IF(MIN(IF(AND(ISNUMBER($L269),$L269&gt;=TODAY()),$L269,99999),IF(AND(ISNUMBER($M269),$M269&gt;=TODAY()),$M269,99999),IF(AND(ISNUMBER($N269),$N269&gt;=TODAY()),$N269,99999),IF(AND(ISNUMBER($Q269),$Q269&gt;=TODAY()),$Q269,99999),IF(AND(ISNUMBER($R269),$R269&gt;=TODAY()),$R269,99999),IF(AND(ISNUMBER($S269),$S269&gt;=TODAY()),$S269,99999),IF(AND(ISNUMBER($T269),$T269&gt;=TODAY()),$T269,99999),IF(AND(ISNUMBER($U269),$U269&gt;=TODAY()),$U269,99999),IF(AND(ISNUMBER($V269),$V269&gt;=TODAY()),$V269,99999))=99999,"",MIN(IF(AND(ISNUMBER($L269),$L269&gt;=TODAY()),$L269,99999),IF(AND(ISNUMBER($M269),$M269&gt;=TODAY()),$M269,99999),IF(AND(ISNUMBER($N269),$N269&gt;=TODAY()),$N269,99999),IF(AND(ISNUMBER($Q269),$Q269&gt;=TODAY()),$Q269,99999),IF(AND(ISNUMBER($R269),$R269&gt;=TODAY()),$R269,99999),IF(AND(ISNUMBER($S269),$S269&gt;=TODAY()),$S269,99999),IF(AND(ISNUMBER($T269),$T269&gt;=TODAY()),$T269,99999),IF(AND(ISNUMBER($U269),$U269&gt;=TODAY()),$U269,99999),IF(AND(ISNUMBER($V269),$V269&gt;=TODAY()),$V269,99999))))</f>
        <v/>
      </c>
      <c r="L269" s="27" t="n"/>
      <c r="M269" s="27" t="n"/>
      <c r="N269" s="27" t="n"/>
      <c r="O269" s="27" t="n"/>
      <c r="P269" s="27" t="n"/>
      <c r="Q269" s="27" t="n"/>
      <c r="R269" s="27" t="n"/>
      <c r="S269" s="27" t="n"/>
      <c r="T269" s="27" t="n"/>
      <c r="U269" s="27" t="n"/>
      <c r="V269" s="27" t="n"/>
      <c r="W269" s="27" t="n"/>
      <c r="X269" s="27" t="n"/>
      <c r="Y269" s="27" t="n"/>
      <c r="Z269" s="30" t="n"/>
      <c r="AA269" s="25" t="n"/>
      <c r="AB269" s="28">
        <f>IF(NOT(AND($A269&lt;&gt;"",OR($G269="",$G269="Active"))),"",IF(OR(IF(OR(ISNUMBER($V269),$V269="DNA"),$V269,IF(OR(ISNUMBER($U269),$U269="DNA"),$U269,IF(OR(ISNUMBER($T269),$T269="DNA"),$T269,IF(OR(ISNUMBER($S269),$S269="DNA"),$S269,IF(OR(ISNUMBER($R269),$R269="DNA"),$R269,IF(OR(ISNUMBER($Q269),$Q269="DNA"),$Q269,IF(OR(ISNUMBER($N269),$N269="DNA"),$N269,IF(OR(ISNUMBER($M269),$M269="DNA"),$M269,IF(OR(ISNUMBER($L269),$L269="DNA"),$L269,"")))))))))="DNA",AND(ISNUMBER(IF(OR(ISNUMBER($V269),$V269="DNA"),$V269,IF(OR(ISNUMBER($U269),$U269="DNA"),$U269,IF(OR(ISNUMBER($T269),$T269="DNA"),$T269,IF(OR(ISNUMBER($S269),$S269="DNA"),$S269,IF(OR(ISNUMBER($R269),$R269="DNA"),$R269,IF(OR(ISNUMBER($Q269),$Q269="DNA"),$Q269,IF(OR(ISNUMBER($N269),$N269="DNA"),$N269,IF(OR(ISNUMBER($M269),$M269="DNA"),$M269,IF(OR(ISNUMBER($L269),$L269="DNA"),$L269,"")))))))))),IF(OR(ISNUMBER($V269),$V269="DNA"),$V269,IF(OR(ISNUMBER($U269),$U269="DNA"),$U269,IF(OR(ISNUMBER($T269),$T269="DNA"),$T269,IF(OR(ISNUMBER($S269),$S269="DNA"),$S269,IF(OR(ISNUMBER($R269),$R269="DNA"),$R269,IF(OR(ISNUMBER($Q269),$Q269="DNA"),$Q269,IF(OR(ISNUMBER($N269),$N269="DNA"),$N269,IF(OR(ISNUMBER($M269),$M269="DNA"),$M269,IF(OR(ISNUMBER($L269),$L269="DNA"),$L269,"")))))))))&lt;TODAY())),1,0)+ISNUMBER($O269)*($O269&lt;TODAY())+ISNUMBER($P269)*($P269&lt;TODAY())+ISNUMBER($X269)*($X269&lt;TODAY())+ISNUMBER($Y269)*($Y269&lt;TODAY()))</f>
        <v/>
      </c>
    </row>
    <row r="270">
      <c r="A270" s="25" t="n"/>
      <c r="B270" s="26" t="n"/>
      <c r="C270" s="27" t="n"/>
      <c r="D270" s="25" t="n"/>
      <c r="E270" s="25" t="n"/>
      <c r="F270" s="27" t="n"/>
      <c r="G270" s="25" t="n"/>
      <c r="H270" s="28">
        <f>IF(OR(NOT(AND($A270&lt;&gt;"",OR($G270="",$G270="Active"))),$F270=""),"",INT((TODAY()-$F270+280)/7)&amp;"+"&amp;MOD(TODAY()-$F270+280,7))</f>
        <v/>
      </c>
      <c r="I270" s="28">
        <f>IF(NOT(AND($A270&lt;&gt;"",OR($G270="",$G270="Active"))),"",ISNUMBER($L270)*($L270&gt;=TODAY())*($L270&lt;=TODAY()+7)+ISNUMBER($M270)*($M270&gt;=TODAY())*($M270&lt;=TODAY()+7)+ISNUMBER($N270)*($N270&gt;=TODAY())*($N270&lt;=TODAY()+7)+ISNUMBER($Q270)*($Q270&gt;=TODAY())*($Q270&lt;=TODAY()+7)+ISNUMBER($R270)*($R270&gt;=TODAY())*($R270&lt;=TODAY()+7)+ISNUMBER($S270)*($S270&gt;=TODAY())*($S270&lt;=TODAY()+7)+ISNUMBER($T270)*($T270&gt;=TODAY())*($T270&lt;=TODAY()+7)+ISNUMBER($U270)*($U270&gt;=TODAY())*($U270&lt;=TODAY()+7)+ISNUMBER($V270)*($V270&gt;=TODAY())*($V270&lt;=TODAY()+7)+ISNUMBER($O270)*($O270&gt;=TODAY())*($O270&lt;=TODAY()+7)+ISNUMBER($P270)*($P270&gt;=TODAY())*($P270&lt;=TODAY()+7)+ISNUMBER($X270)*($X270&gt;=TODAY())*($X270&lt;=TODAY()+7)+ISNUMBER($Y270)*($Y270&gt;=TODAY())*($Y270&lt;=TODAY()+7))</f>
        <v/>
      </c>
      <c r="J270" s="28">
        <f>IF(NOT(AND($A270&lt;&gt;"",OR($G270="",$G270="Active"))),"",IF($K270&lt;&gt;"",IF($L270=$K270,"Booking",IF($M270=$K270,"16/40",IF($N270=$K270,"25/40",IF($Q270=$K270,"28/40",IF($R270=$K270,"31/40",IF($S270=$K270,"34/40",IF($T270=$K270,"36/40",IF($U270=$K270,"38/40",IF($V270=$K270,"40/40",""))))))))),IF(IF(OR(ISNUMBER($V270),$V270="DNA"),$V270,IF(OR(ISNUMBER($U270),$U270="DNA"),$U270,IF(OR(ISNUMBER($T270),$T270="DNA"),$T270,IF(OR(ISNUMBER($S270),$S270="DNA"),$S270,IF(OR(ISNUMBER($R270),$R270="DNA"),$R270,IF(OR(ISNUMBER($Q270),$Q270="DNA"),$Q270,IF(OR(ISNUMBER($N270),$N270="DNA"),$N270,IF(OR(ISNUMBER($M270),$M270="DNA"),$M270,IF(OR(ISNUMBER($L270),$L270="DNA"),$L270,"")))))))))="DNA","Rebook DNA",IF(ISNUMBER(IF(OR(ISNUMBER($V270),$V270="DNA"),$V270,IF(OR(ISNUMBER($U270),$U270="DNA"),$U270,IF(OR(ISNUMBER($T270),$T270="DNA"),$T270,IF(OR(ISNUMBER($S270),$S270="DNA"),$S270,IF(OR(ISNUMBER($R270),$R270="DNA"),$R270,IF(OR(ISNUMBER($Q270),$Q270="DNA"),$Q270,IF(OR(ISNUMBER($N270),$N270="DNA"),$N270,IF(OR(ISNUMBER($M270),$M270="DNA"),$M270,IF(OR(ISNUMBER($L270),$L270="DNA"),$L270,"")))))))))),IF(ISNUMBER($V270),"Update status","Missed/not booked?"),""))))</f>
        <v/>
      </c>
      <c r="K270" s="29">
        <f>IF(NOT(AND($A270&lt;&gt;"",OR($G270="",$G270="Active"))),"",IF(MIN(IF(AND(ISNUMBER($L270),$L270&gt;=TODAY()),$L270,99999),IF(AND(ISNUMBER($M270),$M270&gt;=TODAY()),$M270,99999),IF(AND(ISNUMBER($N270),$N270&gt;=TODAY()),$N270,99999),IF(AND(ISNUMBER($Q270),$Q270&gt;=TODAY()),$Q270,99999),IF(AND(ISNUMBER($R270),$R270&gt;=TODAY()),$R270,99999),IF(AND(ISNUMBER($S270),$S270&gt;=TODAY()),$S270,99999),IF(AND(ISNUMBER($T270),$T270&gt;=TODAY()),$T270,99999),IF(AND(ISNUMBER($U270),$U270&gt;=TODAY()),$U270,99999),IF(AND(ISNUMBER($V270),$V270&gt;=TODAY()),$V270,99999))=99999,"",MIN(IF(AND(ISNUMBER($L270),$L270&gt;=TODAY()),$L270,99999),IF(AND(ISNUMBER($M270),$M270&gt;=TODAY()),$M270,99999),IF(AND(ISNUMBER($N270),$N270&gt;=TODAY()),$N270,99999),IF(AND(ISNUMBER($Q270),$Q270&gt;=TODAY()),$Q270,99999),IF(AND(ISNUMBER($R270),$R270&gt;=TODAY()),$R270,99999),IF(AND(ISNUMBER($S270),$S270&gt;=TODAY()),$S270,99999),IF(AND(ISNUMBER($T270),$T270&gt;=TODAY()),$T270,99999),IF(AND(ISNUMBER($U270),$U270&gt;=TODAY()),$U270,99999),IF(AND(ISNUMBER($V270),$V270&gt;=TODAY()),$V270,99999))))</f>
        <v/>
      </c>
      <c r="L270" s="27" t="n"/>
      <c r="M270" s="27" t="n"/>
      <c r="N270" s="27" t="n"/>
      <c r="O270" s="27" t="n"/>
      <c r="P270" s="27" t="n"/>
      <c r="Q270" s="27" t="n"/>
      <c r="R270" s="27" t="n"/>
      <c r="S270" s="27" t="n"/>
      <c r="T270" s="27" t="n"/>
      <c r="U270" s="27" t="n"/>
      <c r="V270" s="27" t="n"/>
      <c r="W270" s="27" t="n"/>
      <c r="X270" s="27" t="n"/>
      <c r="Y270" s="27" t="n"/>
      <c r="Z270" s="30" t="n"/>
      <c r="AA270" s="25" t="n"/>
      <c r="AB270" s="28">
        <f>IF(NOT(AND($A270&lt;&gt;"",OR($G270="",$G270="Active"))),"",IF(OR(IF(OR(ISNUMBER($V270),$V270="DNA"),$V270,IF(OR(ISNUMBER($U270),$U270="DNA"),$U270,IF(OR(ISNUMBER($T270),$T270="DNA"),$T270,IF(OR(ISNUMBER($S270),$S270="DNA"),$S270,IF(OR(ISNUMBER($R270),$R270="DNA"),$R270,IF(OR(ISNUMBER($Q270),$Q270="DNA"),$Q270,IF(OR(ISNUMBER($N270),$N270="DNA"),$N270,IF(OR(ISNUMBER($M270),$M270="DNA"),$M270,IF(OR(ISNUMBER($L270),$L270="DNA"),$L270,"")))))))))="DNA",AND(ISNUMBER(IF(OR(ISNUMBER($V270),$V270="DNA"),$V270,IF(OR(ISNUMBER($U270),$U270="DNA"),$U270,IF(OR(ISNUMBER($T270),$T270="DNA"),$T270,IF(OR(ISNUMBER($S270),$S270="DNA"),$S270,IF(OR(ISNUMBER($R270),$R270="DNA"),$R270,IF(OR(ISNUMBER($Q270),$Q270="DNA"),$Q270,IF(OR(ISNUMBER($N270),$N270="DNA"),$N270,IF(OR(ISNUMBER($M270),$M270="DNA"),$M270,IF(OR(ISNUMBER($L270),$L270="DNA"),$L270,"")))))))))),IF(OR(ISNUMBER($V270),$V270="DNA"),$V270,IF(OR(ISNUMBER($U270),$U270="DNA"),$U270,IF(OR(ISNUMBER($T270),$T270="DNA"),$T270,IF(OR(ISNUMBER($S270),$S270="DNA"),$S270,IF(OR(ISNUMBER($R270),$R270="DNA"),$R270,IF(OR(ISNUMBER($Q270),$Q270="DNA"),$Q270,IF(OR(ISNUMBER($N270),$N270="DNA"),$N270,IF(OR(ISNUMBER($M270),$M270="DNA"),$M270,IF(OR(ISNUMBER($L270),$L270="DNA"),$L270,"")))))))))&lt;TODAY())),1,0)+ISNUMBER($O270)*($O270&lt;TODAY())+ISNUMBER($P270)*($P270&lt;TODAY())+ISNUMBER($X270)*($X270&lt;TODAY())+ISNUMBER($Y270)*($Y270&lt;TODAY()))</f>
        <v/>
      </c>
    </row>
    <row r="271">
      <c r="A271" s="25" t="n"/>
      <c r="B271" s="26" t="n"/>
      <c r="C271" s="27" t="n"/>
      <c r="D271" s="25" t="n"/>
      <c r="E271" s="25" t="n"/>
      <c r="F271" s="27" t="n"/>
      <c r="G271" s="25" t="n"/>
      <c r="H271" s="28">
        <f>IF(OR(NOT(AND($A271&lt;&gt;"",OR($G271="",$G271="Active"))),$F271=""),"",INT((TODAY()-$F271+280)/7)&amp;"+"&amp;MOD(TODAY()-$F271+280,7))</f>
        <v/>
      </c>
      <c r="I271" s="28">
        <f>IF(NOT(AND($A271&lt;&gt;"",OR($G271="",$G271="Active"))),"",ISNUMBER($L271)*($L271&gt;=TODAY())*($L271&lt;=TODAY()+7)+ISNUMBER($M271)*($M271&gt;=TODAY())*($M271&lt;=TODAY()+7)+ISNUMBER($N271)*($N271&gt;=TODAY())*($N271&lt;=TODAY()+7)+ISNUMBER($Q271)*($Q271&gt;=TODAY())*($Q271&lt;=TODAY()+7)+ISNUMBER($R271)*($R271&gt;=TODAY())*($R271&lt;=TODAY()+7)+ISNUMBER($S271)*($S271&gt;=TODAY())*($S271&lt;=TODAY()+7)+ISNUMBER($T271)*($T271&gt;=TODAY())*($T271&lt;=TODAY()+7)+ISNUMBER($U271)*($U271&gt;=TODAY())*($U271&lt;=TODAY()+7)+ISNUMBER($V271)*($V271&gt;=TODAY())*($V271&lt;=TODAY()+7)+ISNUMBER($O271)*($O271&gt;=TODAY())*($O271&lt;=TODAY()+7)+ISNUMBER($P271)*($P271&gt;=TODAY())*($P271&lt;=TODAY()+7)+ISNUMBER($X271)*($X271&gt;=TODAY())*($X271&lt;=TODAY()+7)+ISNUMBER($Y271)*($Y271&gt;=TODAY())*($Y271&lt;=TODAY()+7))</f>
        <v/>
      </c>
      <c r="J271" s="28">
        <f>IF(NOT(AND($A271&lt;&gt;"",OR($G271="",$G271="Active"))),"",IF($K271&lt;&gt;"",IF($L271=$K271,"Booking",IF($M271=$K271,"16/40",IF($N271=$K271,"25/40",IF($Q271=$K271,"28/40",IF($R271=$K271,"31/40",IF($S271=$K271,"34/40",IF($T271=$K271,"36/40",IF($U271=$K271,"38/40",IF($V271=$K271,"40/40",""))))))))),IF(IF(OR(ISNUMBER($V271),$V271="DNA"),$V271,IF(OR(ISNUMBER($U271),$U271="DNA"),$U271,IF(OR(ISNUMBER($T271),$T271="DNA"),$T271,IF(OR(ISNUMBER($S271),$S271="DNA"),$S271,IF(OR(ISNUMBER($R271),$R271="DNA"),$R271,IF(OR(ISNUMBER($Q271),$Q271="DNA"),$Q271,IF(OR(ISNUMBER($N271),$N271="DNA"),$N271,IF(OR(ISNUMBER($M271),$M271="DNA"),$M271,IF(OR(ISNUMBER($L271),$L271="DNA"),$L271,"")))))))))="DNA","Rebook DNA",IF(ISNUMBER(IF(OR(ISNUMBER($V271),$V271="DNA"),$V271,IF(OR(ISNUMBER($U271),$U271="DNA"),$U271,IF(OR(ISNUMBER($T271),$T271="DNA"),$T271,IF(OR(ISNUMBER($S271),$S271="DNA"),$S271,IF(OR(ISNUMBER($R271),$R271="DNA"),$R271,IF(OR(ISNUMBER($Q271),$Q271="DNA"),$Q271,IF(OR(ISNUMBER($N271),$N271="DNA"),$N271,IF(OR(ISNUMBER($M271),$M271="DNA"),$M271,IF(OR(ISNUMBER($L271),$L271="DNA"),$L271,"")))))))))),IF(ISNUMBER($V271),"Update status","Missed/not booked?"),""))))</f>
        <v/>
      </c>
      <c r="K271" s="29">
        <f>IF(NOT(AND($A271&lt;&gt;"",OR($G271="",$G271="Active"))),"",IF(MIN(IF(AND(ISNUMBER($L271),$L271&gt;=TODAY()),$L271,99999),IF(AND(ISNUMBER($M271),$M271&gt;=TODAY()),$M271,99999),IF(AND(ISNUMBER($N271),$N271&gt;=TODAY()),$N271,99999),IF(AND(ISNUMBER($Q271),$Q271&gt;=TODAY()),$Q271,99999),IF(AND(ISNUMBER($R271),$R271&gt;=TODAY()),$R271,99999),IF(AND(ISNUMBER($S271),$S271&gt;=TODAY()),$S271,99999),IF(AND(ISNUMBER($T271),$T271&gt;=TODAY()),$T271,99999),IF(AND(ISNUMBER($U271),$U271&gt;=TODAY()),$U271,99999),IF(AND(ISNUMBER($V271),$V271&gt;=TODAY()),$V271,99999))=99999,"",MIN(IF(AND(ISNUMBER($L271),$L271&gt;=TODAY()),$L271,99999),IF(AND(ISNUMBER($M271),$M271&gt;=TODAY()),$M271,99999),IF(AND(ISNUMBER($N271),$N271&gt;=TODAY()),$N271,99999),IF(AND(ISNUMBER($Q271),$Q271&gt;=TODAY()),$Q271,99999),IF(AND(ISNUMBER($R271),$R271&gt;=TODAY()),$R271,99999),IF(AND(ISNUMBER($S271),$S271&gt;=TODAY()),$S271,99999),IF(AND(ISNUMBER($T271),$T271&gt;=TODAY()),$T271,99999),IF(AND(ISNUMBER($U271),$U271&gt;=TODAY()),$U271,99999),IF(AND(ISNUMBER($V271),$V271&gt;=TODAY()),$V271,99999))))</f>
        <v/>
      </c>
      <c r="L271" s="27" t="n"/>
      <c r="M271" s="27" t="n"/>
      <c r="N271" s="27" t="n"/>
      <c r="O271" s="27" t="n"/>
      <c r="P271" s="27" t="n"/>
      <c r="Q271" s="27" t="n"/>
      <c r="R271" s="27" t="n"/>
      <c r="S271" s="27" t="n"/>
      <c r="T271" s="27" t="n"/>
      <c r="U271" s="27" t="n"/>
      <c r="V271" s="27" t="n"/>
      <c r="W271" s="27" t="n"/>
      <c r="X271" s="27" t="n"/>
      <c r="Y271" s="27" t="n"/>
      <c r="Z271" s="30" t="n"/>
      <c r="AA271" s="25" t="n"/>
      <c r="AB271" s="28">
        <f>IF(NOT(AND($A271&lt;&gt;"",OR($G271="",$G271="Active"))),"",IF(OR(IF(OR(ISNUMBER($V271),$V271="DNA"),$V271,IF(OR(ISNUMBER($U271),$U271="DNA"),$U271,IF(OR(ISNUMBER($T271),$T271="DNA"),$T271,IF(OR(ISNUMBER($S271),$S271="DNA"),$S271,IF(OR(ISNUMBER($R271),$R271="DNA"),$R271,IF(OR(ISNUMBER($Q271),$Q271="DNA"),$Q271,IF(OR(ISNUMBER($N271),$N271="DNA"),$N271,IF(OR(ISNUMBER($M271),$M271="DNA"),$M271,IF(OR(ISNUMBER($L271),$L271="DNA"),$L271,"")))))))))="DNA",AND(ISNUMBER(IF(OR(ISNUMBER($V271),$V271="DNA"),$V271,IF(OR(ISNUMBER($U271),$U271="DNA"),$U271,IF(OR(ISNUMBER($T271),$T271="DNA"),$T271,IF(OR(ISNUMBER($S271),$S271="DNA"),$S271,IF(OR(ISNUMBER($R271),$R271="DNA"),$R271,IF(OR(ISNUMBER($Q271),$Q271="DNA"),$Q271,IF(OR(ISNUMBER($N271),$N271="DNA"),$N271,IF(OR(ISNUMBER($M271),$M271="DNA"),$M271,IF(OR(ISNUMBER($L271),$L271="DNA"),$L271,"")))))))))),IF(OR(ISNUMBER($V271),$V271="DNA"),$V271,IF(OR(ISNUMBER($U271),$U271="DNA"),$U271,IF(OR(ISNUMBER($T271),$T271="DNA"),$T271,IF(OR(ISNUMBER($S271),$S271="DNA"),$S271,IF(OR(ISNUMBER($R271),$R271="DNA"),$R271,IF(OR(ISNUMBER($Q271),$Q271="DNA"),$Q271,IF(OR(ISNUMBER($N271),$N271="DNA"),$N271,IF(OR(ISNUMBER($M271),$M271="DNA"),$M271,IF(OR(ISNUMBER($L271),$L271="DNA"),$L271,"")))))))))&lt;TODAY())),1,0)+ISNUMBER($O271)*($O271&lt;TODAY())+ISNUMBER($P271)*($P271&lt;TODAY())+ISNUMBER($X271)*($X271&lt;TODAY())+ISNUMBER($Y271)*($Y271&lt;TODAY()))</f>
        <v/>
      </c>
    </row>
    <row r="272">
      <c r="A272" s="25" t="n"/>
      <c r="B272" s="26" t="n"/>
      <c r="C272" s="27" t="n"/>
      <c r="D272" s="25" t="n"/>
      <c r="E272" s="25" t="n"/>
      <c r="F272" s="27" t="n"/>
      <c r="G272" s="25" t="n"/>
      <c r="H272" s="28">
        <f>IF(OR(NOT(AND($A272&lt;&gt;"",OR($G272="",$G272="Active"))),$F272=""),"",INT((TODAY()-$F272+280)/7)&amp;"+"&amp;MOD(TODAY()-$F272+280,7))</f>
        <v/>
      </c>
      <c r="I272" s="28">
        <f>IF(NOT(AND($A272&lt;&gt;"",OR($G272="",$G272="Active"))),"",ISNUMBER($L272)*($L272&gt;=TODAY())*($L272&lt;=TODAY()+7)+ISNUMBER($M272)*($M272&gt;=TODAY())*($M272&lt;=TODAY()+7)+ISNUMBER($N272)*($N272&gt;=TODAY())*($N272&lt;=TODAY()+7)+ISNUMBER($Q272)*($Q272&gt;=TODAY())*($Q272&lt;=TODAY()+7)+ISNUMBER($R272)*($R272&gt;=TODAY())*($R272&lt;=TODAY()+7)+ISNUMBER($S272)*($S272&gt;=TODAY())*($S272&lt;=TODAY()+7)+ISNUMBER($T272)*($T272&gt;=TODAY())*($T272&lt;=TODAY()+7)+ISNUMBER($U272)*($U272&gt;=TODAY())*($U272&lt;=TODAY()+7)+ISNUMBER($V272)*($V272&gt;=TODAY())*($V272&lt;=TODAY()+7)+ISNUMBER($O272)*($O272&gt;=TODAY())*($O272&lt;=TODAY()+7)+ISNUMBER($P272)*($P272&gt;=TODAY())*($P272&lt;=TODAY()+7)+ISNUMBER($X272)*($X272&gt;=TODAY())*($X272&lt;=TODAY()+7)+ISNUMBER($Y272)*($Y272&gt;=TODAY())*($Y272&lt;=TODAY()+7))</f>
        <v/>
      </c>
      <c r="J272" s="28">
        <f>IF(NOT(AND($A272&lt;&gt;"",OR($G272="",$G272="Active"))),"",IF($K272&lt;&gt;"",IF($L272=$K272,"Booking",IF($M272=$K272,"16/40",IF($N272=$K272,"25/40",IF($Q272=$K272,"28/40",IF($R272=$K272,"31/40",IF($S272=$K272,"34/40",IF($T272=$K272,"36/40",IF($U272=$K272,"38/40",IF($V272=$K272,"40/40",""))))))))),IF(IF(OR(ISNUMBER($V272),$V272="DNA"),$V272,IF(OR(ISNUMBER($U272),$U272="DNA"),$U272,IF(OR(ISNUMBER($T272),$T272="DNA"),$T272,IF(OR(ISNUMBER($S272),$S272="DNA"),$S272,IF(OR(ISNUMBER($R272),$R272="DNA"),$R272,IF(OR(ISNUMBER($Q272),$Q272="DNA"),$Q272,IF(OR(ISNUMBER($N272),$N272="DNA"),$N272,IF(OR(ISNUMBER($M272),$M272="DNA"),$M272,IF(OR(ISNUMBER($L272),$L272="DNA"),$L272,"")))))))))="DNA","Rebook DNA",IF(ISNUMBER(IF(OR(ISNUMBER($V272),$V272="DNA"),$V272,IF(OR(ISNUMBER($U272),$U272="DNA"),$U272,IF(OR(ISNUMBER($T272),$T272="DNA"),$T272,IF(OR(ISNUMBER($S272),$S272="DNA"),$S272,IF(OR(ISNUMBER($R272),$R272="DNA"),$R272,IF(OR(ISNUMBER($Q272),$Q272="DNA"),$Q272,IF(OR(ISNUMBER($N272),$N272="DNA"),$N272,IF(OR(ISNUMBER($M272),$M272="DNA"),$M272,IF(OR(ISNUMBER($L272),$L272="DNA"),$L272,"")))))))))),IF(ISNUMBER($V272),"Update status","Missed/not booked?"),""))))</f>
        <v/>
      </c>
      <c r="K272" s="29">
        <f>IF(NOT(AND($A272&lt;&gt;"",OR($G272="",$G272="Active"))),"",IF(MIN(IF(AND(ISNUMBER($L272),$L272&gt;=TODAY()),$L272,99999),IF(AND(ISNUMBER($M272),$M272&gt;=TODAY()),$M272,99999),IF(AND(ISNUMBER($N272),$N272&gt;=TODAY()),$N272,99999),IF(AND(ISNUMBER($Q272),$Q272&gt;=TODAY()),$Q272,99999),IF(AND(ISNUMBER($R272),$R272&gt;=TODAY()),$R272,99999),IF(AND(ISNUMBER($S272),$S272&gt;=TODAY()),$S272,99999),IF(AND(ISNUMBER($T272),$T272&gt;=TODAY()),$T272,99999),IF(AND(ISNUMBER($U272),$U272&gt;=TODAY()),$U272,99999),IF(AND(ISNUMBER($V272),$V272&gt;=TODAY()),$V272,99999))=99999,"",MIN(IF(AND(ISNUMBER($L272),$L272&gt;=TODAY()),$L272,99999),IF(AND(ISNUMBER($M272),$M272&gt;=TODAY()),$M272,99999),IF(AND(ISNUMBER($N272),$N272&gt;=TODAY()),$N272,99999),IF(AND(ISNUMBER($Q272),$Q272&gt;=TODAY()),$Q272,99999),IF(AND(ISNUMBER($R272),$R272&gt;=TODAY()),$R272,99999),IF(AND(ISNUMBER($S272),$S272&gt;=TODAY()),$S272,99999),IF(AND(ISNUMBER($T272),$T272&gt;=TODAY()),$T272,99999),IF(AND(ISNUMBER($U272),$U272&gt;=TODAY()),$U272,99999),IF(AND(ISNUMBER($V272),$V272&gt;=TODAY()),$V272,99999))))</f>
        <v/>
      </c>
      <c r="L272" s="27" t="n"/>
      <c r="M272" s="27" t="n"/>
      <c r="N272" s="27" t="n"/>
      <c r="O272" s="27" t="n"/>
      <c r="P272" s="27" t="n"/>
      <c r="Q272" s="27" t="n"/>
      <c r="R272" s="27" t="n"/>
      <c r="S272" s="27" t="n"/>
      <c r="T272" s="27" t="n"/>
      <c r="U272" s="27" t="n"/>
      <c r="V272" s="27" t="n"/>
      <c r="W272" s="27" t="n"/>
      <c r="X272" s="27" t="n"/>
      <c r="Y272" s="27" t="n"/>
      <c r="Z272" s="30" t="n"/>
      <c r="AA272" s="25" t="n"/>
      <c r="AB272" s="28">
        <f>IF(NOT(AND($A272&lt;&gt;"",OR($G272="",$G272="Active"))),"",IF(OR(IF(OR(ISNUMBER($V272),$V272="DNA"),$V272,IF(OR(ISNUMBER($U272),$U272="DNA"),$U272,IF(OR(ISNUMBER($T272),$T272="DNA"),$T272,IF(OR(ISNUMBER($S272),$S272="DNA"),$S272,IF(OR(ISNUMBER($R272),$R272="DNA"),$R272,IF(OR(ISNUMBER($Q272),$Q272="DNA"),$Q272,IF(OR(ISNUMBER($N272),$N272="DNA"),$N272,IF(OR(ISNUMBER($M272),$M272="DNA"),$M272,IF(OR(ISNUMBER($L272),$L272="DNA"),$L272,"")))))))))="DNA",AND(ISNUMBER(IF(OR(ISNUMBER($V272),$V272="DNA"),$V272,IF(OR(ISNUMBER($U272),$U272="DNA"),$U272,IF(OR(ISNUMBER($T272),$T272="DNA"),$T272,IF(OR(ISNUMBER($S272),$S272="DNA"),$S272,IF(OR(ISNUMBER($R272),$R272="DNA"),$R272,IF(OR(ISNUMBER($Q272),$Q272="DNA"),$Q272,IF(OR(ISNUMBER($N272),$N272="DNA"),$N272,IF(OR(ISNUMBER($M272),$M272="DNA"),$M272,IF(OR(ISNUMBER($L272),$L272="DNA"),$L272,"")))))))))),IF(OR(ISNUMBER($V272),$V272="DNA"),$V272,IF(OR(ISNUMBER($U272),$U272="DNA"),$U272,IF(OR(ISNUMBER($T272),$T272="DNA"),$T272,IF(OR(ISNUMBER($S272),$S272="DNA"),$S272,IF(OR(ISNUMBER($R272),$R272="DNA"),$R272,IF(OR(ISNUMBER($Q272),$Q272="DNA"),$Q272,IF(OR(ISNUMBER($N272),$N272="DNA"),$N272,IF(OR(ISNUMBER($M272),$M272="DNA"),$M272,IF(OR(ISNUMBER($L272),$L272="DNA"),$L272,"")))))))))&lt;TODAY())),1,0)+ISNUMBER($O272)*($O272&lt;TODAY())+ISNUMBER($P272)*($P272&lt;TODAY())+ISNUMBER($X272)*($X272&lt;TODAY())+ISNUMBER($Y272)*($Y272&lt;TODAY()))</f>
        <v/>
      </c>
    </row>
    <row r="273">
      <c r="A273" s="25" t="n"/>
      <c r="B273" s="26" t="n"/>
      <c r="C273" s="27" t="n"/>
      <c r="D273" s="25" t="n"/>
      <c r="E273" s="25" t="n"/>
      <c r="F273" s="27" t="n"/>
      <c r="G273" s="25" t="n"/>
      <c r="H273" s="28">
        <f>IF(OR(NOT(AND($A273&lt;&gt;"",OR($G273="",$G273="Active"))),$F273=""),"",INT((TODAY()-$F273+280)/7)&amp;"+"&amp;MOD(TODAY()-$F273+280,7))</f>
        <v/>
      </c>
      <c r="I273" s="28">
        <f>IF(NOT(AND($A273&lt;&gt;"",OR($G273="",$G273="Active"))),"",ISNUMBER($L273)*($L273&gt;=TODAY())*($L273&lt;=TODAY()+7)+ISNUMBER($M273)*($M273&gt;=TODAY())*($M273&lt;=TODAY()+7)+ISNUMBER($N273)*($N273&gt;=TODAY())*($N273&lt;=TODAY()+7)+ISNUMBER($Q273)*($Q273&gt;=TODAY())*($Q273&lt;=TODAY()+7)+ISNUMBER($R273)*($R273&gt;=TODAY())*($R273&lt;=TODAY()+7)+ISNUMBER($S273)*($S273&gt;=TODAY())*($S273&lt;=TODAY()+7)+ISNUMBER($T273)*($T273&gt;=TODAY())*($T273&lt;=TODAY()+7)+ISNUMBER($U273)*($U273&gt;=TODAY())*($U273&lt;=TODAY()+7)+ISNUMBER($V273)*($V273&gt;=TODAY())*($V273&lt;=TODAY()+7)+ISNUMBER($O273)*($O273&gt;=TODAY())*($O273&lt;=TODAY()+7)+ISNUMBER($P273)*($P273&gt;=TODAY())*($P273&lt;=TODAY()+7)+ISNUMBER($X273)*($X273&gt;=TODAY())*($X273&lt;=TODAY()+7)+ISNUMBER($Y273)*($Y273&gt;=TODAY())*($Y273&lt;=TODAY()+7))</f>
        <v/>
      </c>
      <c r="J273" s="28">
        <f>IF(NOT(AND($A273&lt;&gt;"",OR($G273="",$G273="Active"))),"",IF($K273&lt;&gt;"",IF($L273=$K273,"Booking",IF($M273=$K273,"16/40",IF($N273=$K273,"25/40",IF($Q273=$K273,"28/40",IF($R273=$K273,"31/40",IF($S273=$K273,"34/40",IF($T273=$K273,"36/40",IF($U273=$K273,"38/40",IF($V273=$K273,"40/40",""))))))))),IF(IF(OR(ISNUMBER($V273),$V273="DNA"),$V273,IF(OR(ISNUMBER($U273),$U273="DNA"),$U273,IF(OR(ISNUMBER($T273),$T273="DNA"),$T273,IF(OR(ISNUMBER($S273),$S273="DNA"),$S273,IF(OR(ISNUMBER($R273),$R273="DNA"),$R273,IF(OR(ISNUMBER($Q273),$Q273="DNA"),$Q273,IF(OR(ISNUMBER($N273),$N273="DNA"),$N273,IF(OR(ISNUMBER($M273),$M273="DNA"),$M273,IF(OR(ISNUMBER($L273),$L273="DNA"),$L273,"")))))))))="DNA","Rebook DNA",IF(ISNUMBER(IF(OR(ISNUMBER($V273),$V273="DNA"),$V273,IF(OR(ISNUMBER($U273),$U273="DNA"),$U273,IF(OR(ISNUMBER($T273),$T273="DNA"),$T273,IF(OR(ISNUMBER($S273),$S273="DNA"),$S273,IF(OR(ISNUMBER($R273),$R273="DNA"),$R273,IF(OR(ISNUMBER($Q273),$Q273="DNA"),$Q273,IF(OR(ISNUMBER($N273),$N273="DNA"),$N273,IF(OR(ISNUMBER($M273),$M273="DNA"),$M273,IF(OR(ISNUMBER($L273),$L273="DNA"),$L273,"")))))))))),IF(ISNUMBER($V273),"Update status","Missed/not booked?"),""))))</f>
        <v/>
      </c>
      <c r="K273" s="29">
        <f>IF(NOT(AND($A273&lt;&gt;"",OR($G273="",$G273="Active"))),"",IF(MIN(IF(AND(ISNUMBER($L273),$L273&gt;=TODAY()),$L273,99999),IF(AND(ISNUMBER($M273),$M273&gt;=TODAY()),$M273,99999),IF(AND(ISNUMBER($N273),$N273&gt;=TODAY()),$N273,99999),IF(AND(ISNUMBER($Q273),$Q273&gt;=TODAY()),$Q273,99999),IF(AND(ISNUMBER($R273),$R273&gt;=TODAY()),$R273,99999),IF(AND(ISNUMBER($S273),$S273&gt;=TODAY()),$S273,99999),IF(AND(ISNUMBER($T273),$T273&gt;=TODAY()),$T273,99999),IF(AND(ISNUMBER($U273),$U273&gt;=TODAY()),$U273,99999),IF(AND(ISNUMBER($V273),$V273&gt;=TODAY()),$V273,99999))=99999,"",MIN(IF(AND(ISNUMBER($L273),$L273&gt;=TODAY()),$L273,99999),IF(AND(ISNUMBER($M273),$M273&gt;=TODAY()),$M273,99999),IF(AND(ISNUMBER($N273),$N273&gt;=TODAY()),$N273,99999),IF(AND(ISNUMBER($Q273),$Q273&gt;=TODAY()),$Q273,99999),IF(AND(ISNUMBER($R273),$R273&gt;=TODAY()),$R273,99999),IF(AND(ISNUMBER($S273),$S273&gt;=TODAY()),$S273,99999),IF(AND(ISNUMBER($T273),$T273&gt;=TODAY()),$T273,99999),IF(AND(ISNUMBER($U273),$U273&gt;=TODAY()),$U273,99999),IF(AND(ISNUMBER($V273),$V273&gt;=TODAY()),$V273,99999))))</f>
        <v/>
      </c>
      <c r="L273" s="27" t="n"/>
      <c r="M273" s="27" t="n"/>
      <c r="N273" s="27" t="n"/>
      <c r="O273" s="27" t="n"/>
      <c r="P273" s="27" t="n"/>
      <c r="Q273" s="27" t="n"/>
      <c r="R273" s="27" t="n"/>
      <c r="S273" s="27" t="n"/>
      <c r="T273" s="27" t="n"/>
      <c r="U273" s="27" t="n"/>
      <c r="V273" s="27" t="n"/>
      <c r="W273" s="27" t="n"/>
      <c r="X273" s="27" t="n"/>
      <c r="Y273" s="27" t="n"/>
      <c r="Z273" s="30" t="n"/>
      <c r="AA273" s="25" t="n"/>
      <c r="AB273" s="28">
        <f>IF(NOT(AND($A273&lt;&gt;"",OR($G273="",$G273="Active"))),"",IF(OR(IF(OR(ISNUMBER($V273),$V273="DNA"),$V273,IF(OR(ISNUMBER($U273),$U273="DNA"),$U273,IF(OR(ISNUMBER($T273),$T273="DNA"),$T273,IF(OR(ISNUMBER($S273),$S273="DNA"),$S273,IF(OR(ISNUMBER($R273),$R273="DNA"),$R273,IF(OR(ISNUMBER($Q273),$Q273="DNA"),$Q273,IF(OR(ISNUMBER($N273),$N273="DNA"),$N273,IF(OR(ISNUMBER($M273),$M273="DNA"),$M273,IF(OR(ISNUMBER($L273),$L273="DNA"),$L273,"")))))))))="DNA",AND(ISNUMBER(IF(OR(ISNUMBER($V273),$V273="DNA"),$V273,IF(OR(ISNUMBER($U273),$U273="DNA"),$U273,IF(OR(ISNUMBER($T273),$T273="DNA"),$T273,IF(OR(ISNUMBER($S273),$S273="DNA"),$S273,IF(OR(ISNUMBER($R273),$R273="DNA"),$R273,IF(OR(ISNUMBER($Q273),$Q273="DNA"),$Q273,IF(OR(ISNUMBER($N273),$N273="DNA"),$N273,IF(OR(ISNUMBER($M273),$M273="DNA"),$M273,IF(OR(ISNUMBER($L273),$L273="DNA"),$L273,"")))))))))),IF(OR(ISNUMBER($V273),$V273="DNA"),$V273,IF(OR(ISNUMBER($U273),$U273="DNA"),$U273,IF(OR(ISNUMBER($T273),$T273="DNA"),$T273,IF(OR(ISNUMBER($S273),$S273="DNA"),$S273,IF(OR(ISNUMBER($R273),$R273="DNA"),$R273,IF(OR(ISNUMBER($Q273),$Q273="DNA"),$Q273,IF(OR(ISNUMBER($N273),$N273="DNA"),$N273,IF(OR(ISNUMBER($M273),$M273="DNA"),$M273,IF(OR(ISNUMBER($L273),$L273="DNA"),$L273,"")))))))))&lt;TODAY())),1,0)+ISNUMBER($O273)*($O273&lt;TODAY())+ISNUMBER($P273)*($P273&lt;TODAY())+ISNUMBER($X273)*($X273&lt;TODAY())+ISNUMBER($Y273)*($Y273&lt;TODAY()))</f>
        <v/>
      </c>
    </row>
    <row r="274">
      <c r="A274" s="25" t="n"/>
      <c r="B274" s="26" t="n"/>
      <c r="C274" s="27" t="n"/>
      <c r="D274" s="25" t="n"/>
      <c r="E274" s="25" t="n"/>
      <c r="F274" s="27" t="n"/>
      <c r="G274" s="25" t="n"/>
      <c r="H274" s="28">
        <f>IF(OR(NOT(AND($A274&lt;&gt;"",OR($G274="",$G274="Active"))),$F274=""),"",INT((TODAY()-$F274+280)/7)&amp;"+"&amp;MOD(TODAY()-$F274+280,7))</f>
        <v/>
      </c>
      <c r="I274" s="28">
        <f>IF(NOT(AND($A274&lt;&gt;"",OR($G274="",$G274="Active"))),"",ISNUMBER($L274)*($L274&gt;=TODAY())*($L274&lt;=TODAY()+7)+ISNUMBER($M274)*($M274&gt;=TODAY())*($M274&lt;=TODAY()+7)+ISNUMBER($N274)*($N274&gt;=TODAY())*($N274&lt;=TODAY()+7)+ISNUMBER($Q274)*($Q274&gt;=TODAY())*($Q274&lt;=TODAY()+7)+ISNUMBER($R274)*($R274&gt;=TODAY())*($R274&lt;=TODAY()+7)+ISNUMBER($S274)*($S274&gt;=TODAY())*($S274&lt;=TODAY()+7)+ISNUMBER($T274)*($T274&gt;=TODAY())*($T274&lt;=TODAY()+7)+ISNUMBER($U274)*($U274&gt;=TODAY())*($U274&lt;=TODAY()+7)+ISNUMBER($V274)*($V274&gt;=TODAY())*($V274&lt;=TODAY()+7)+ISNUMBER($O274)*($O274&gt;=TODAY())*($O274&lt;=TODAY()+7)+ISNUMBER($P274)*($P274&gt;=TODAY())*($P274&lt;=TODAY()+7)+ISNUMBER($X274)*($X274&gt;=TODAY())*($X274&lt;=TODAY()+7)+ISNUMBER($Y274)*($Y274&gt;=TODAY())*($Y274&lt;=TODAY()+7))</f>
        <v/>
      </c>
      <c r="J274" s="28">
        <f>IF(NOT(AND($A274&lt;&gt;"",OR($G274="",$G274="Active"))),"",IF($K274&lt;&gt;"",IF($L274=$K274,"Booking",IF($M274=$K274,"16/40",IF($N274=$K274,"25/40",IF($Q274=$K274,"28/40",IF($R274=$K274,"31/40",IF($S274=$K274,"34/40",IF($T274=$K274,"36/40",IF($U274=$K274,"38/40",IF($V274=$K274,"40/40",""))))))))),IF(IF(OR(ISNUMBER($V274),$V274="DNA"),$V274,IF(OR(ISNUMBER($U274),$U274="DNA"),$U274,IF(OR(ISNUMBER($T274),$T274="DNA"),$T274,IF(OR(ISNUMBER($S274),$S274="DNA"),$S274,IF(OR(ISNUMBER($R274),$R274="DNA"),$R274,IF(OR(ISNUMBER($Q274),$Q274="DNA"),$Q274,IF(OR(ISNUMBER($N274),$N274="DNA"),$N274,IF(OR(ISNUMBER($M274),$M274="DNA"),$M274,IF(OR(ISNUMBER($L274),$L274="DNA"),$L274,"")))))))))="DNA","Rebook DNA",IF(ISNUMBER(IF(OR(ISNUMBER($V274),$V274="DNA"),$V274,IF(OR(ISNUMBER($U274),$U274="DNA"),$U274,IF(OR(ISNUMBER($T274),$T274="DNA"),$T274,IF(OR(ISNUMBER($S274),$S274="DNA"),$S274,IF(OR(ISNUMBER($R274),$R274="DNA"),$R274,IF(OR(ISNUMBER($Q274),$Q274="DNA"),$Q274,IF(OR(ISNUMBER($N274),$N274="DNA"),$N274,IF(OR(ISNUMBER($M274),$M274="DNA"),$M274,IF(OR(ISNUMBER($L274),$L274="DNA"),$L274,"")))))))))),IF(ISNUMBER($V274),"Update status","Missed/not booked?"),""))))</f>
        <v/>
      </c>
      <c r="K274" s="29">
        <f>IF(NOT(AND($A274&lt;&gt;"",OR($G274="",$G274="Active"))),"",IF(MIN(IF(AND(ISNUMBER($L274),$L274&gt;=TODAY()),$L274,99999),IF(AND(ISNUMBER($M274),$M274&gt;=TODAY()),$M274,99999),IF(AND(ISNUMBER($N274),$N274&gt;=TODAY()),$N274,99999),IF(AND(ISNUMBER($Q274),$Q274&gt;=TODAY()),$Q274,99999),IF(AND(ISNUMBER($R274),$R274&gt;=TODAY()),$R274,99999),IF(AND(ISNUMBER($S274),$S274&gt;=TODAY()),$S274,99999),IF(AND(ISNUMBER($T274),$T274&gt;=TODAY()),$T274,99999),IF(AND(ISNUMBER($U274),$U274&gt;=TODAY()),$U274,99999),IF(AND(ISNUMBER($V274),$V274&gt;=TODAY()),$V274,99999))=99999,"",MIN(IF(AND(ISNUMBER($L274),$L274&gt;=TODAY()),$L274,99999),IF(AND(ISNUMBER($M274),$M274&gt;=TODAY()),$M274,99999),IF(AND(ISNUMBER($N274),$N274&gt;=TODAY()),$N274,99999),IF(AND(ISNUMBER($Q274),$Q274&gt;=TODAY()),$Q274,99999),IF(AND(ISNUMBER($R274),$R274&gt;=TODAY()),$R274,99999),IF(AND(ISNUMBER($S274),$S274&gt;=TODAY()),$S274,99999),IF(AND(ISNUMBER($T274),$T274&gt;=TODAY()),$T274,99999),IF(AND(ISNUMBER($U274),$U274&gt;=TODAY()),$U274,99999),IF(AND(ISNUMBER($V274),$V274&gt;=TODAY()),$V274,99999))))</f>
        <v/>
      </c>
      <c r="L274" s="27" t="n"/>
      <c r="M274" s="27" t="n"/>
      <c r="N274" s="27" t="n"/>
      <c r="O274" s="27" t="n"/>
      <c r="P274" s="27" t="n"/>
      <c r="Q274" s="27" t="n"/>
      <c r="R274" s="27" t="n"/>
      <c r="S274" s="27" t="n"/>
      <c r="T274" s="27" t="n"/>
      <c r="U274" s="27" t="n"/>
      <c r="V274" s="27" t="n"/>
      <c r="W274" s="27" t="n"/>
      <c r="X274" s="27" t="n"/>
      <c r="Y274" s="27" t="n"/>
      <c r="Z274" s="30" t="n"/>
      <c r="AA274" s="25" t="n"/>
      <c r="AB274" s="28">
        <f>IF(NOT(AND($A274&lt;&gt;"",OR($G274="",$G274="Active"))),"",IF(OR(IF(OR(ISNUMBER($V274),$V274="DNA"),$V274,IF(OR(ISNUMBER($U274),$U274="DNA"),$U274,IF(OR(ISNUMBER($T274),$T274="DNA"),$T274,IF(OR(ISNUMBER($S274),$S274="DNA"),$S274,IF(OR(ISNUMBER($R274),$R274="DNA"),$R274,IF(OR(ISNUMBER($Q274),$Q274="DNA"),$Q274,IF(OR(ISNUMBER($N274),$N274="DNA"),$N274,IF(OR(ISNUMBER($M274),$M274="DNA"),$M274,IF(OR(ISNUMBER($L274),$L274="DNA"),$L274,"")))))))))="DNA",AND(ISNUMBER(IF(OR(ISNUMBER($V274),$V274="DNA"),$V274,IF(OR(ISNUMBER($U274),$U274="DNA"),$U274,IF(OR(ISNUMBER($T274),$T274="DNA"),$T274,IF(OR(ISNUMBER($S274),$S274="DNA"),$S274,IF(OR(ISNUMBER($R274),$R274="DNA"),$R274,IF(OR(ISNUMBER($Q274),$Q274="DNA"),$Q274,IF(OR(ISNUMBER($N274),$N274="DNA"),$N274,IF(OR(ISNUMBER($M274),$M274="DNA"),$M274,IF(OR(ISNUMBER($L274),$L274="DNA"),$L274,"")))))))))),IF(OR(ISNUMBER($V274),$V274="DNA"),$V274,IF(OR(ISNUMBER($U274),$U274="DNA"),$U274,IF(OR(ISNUMBER($T274),$T274="DNA"),$T274,IF(OR(ISNUMBER($S274),$S274="DNA"),$S274,IF(OR(ISNUMBER($R274),$R274="DNA"),$R274,IF(OR(ISNUMBER($Q274),$Q274="DNA"),$Q274,IF(OR(ISNUMBER($N274),$N274="DNA"),$N274,IF(OR(ISNUMBER($M274),$M274="DNA"),$M274,IF(OR(ISNUMBER($L274),$L274="DNA"),$L274,"")))))))))&lt;TODAY())),1,0)+ISNUMBER($O274)*($O274&lt;TODAY())+ISNUMBER($P274)*($P274&lt;TODAY())+ISNUMBER($X274)*($X274&lt;TODAY())+ISNUMBER($Y274)*($Y274&lt;TODAY()))</f>
        <v/>
      </c>
    </row>
    <row r="275">
      <c r="A275" s="25" t="n"/>
      <c r="B275" s="26" t="n"/>
      <c r="C275" s="27" t="n"/>
      <c r="D275" s="25" t="n"/>
      <c r="E275" s="25" t="n"/>
      <c r="F275" s="27" t="n"/>
      <c r="G275" s="25" t="n"/>
      <c r="H275" s="28">
        <f>IF(OR(NOT(AND($A275&lt;&gt;"",OR($G275="",$G275="Active"))),$F275=""),"",INT((TODAY()-$F275+280)/7)&amp;"+"&amp;MOD(TODAY()-$F275+280,7))</f>
        <v/>
      </c>
      <c r="I275" s="28">
        <f>IF(NOT(AND($A275&lt;&gt;"",OR($G275="",$G275="Active"))),"",ISNUMBER($L275)*($L275&gt;=TODAY())*($L275&lt;=TODAY()+7)+ISNUMBER($M275)*($M275&gt;=TODAY())*($M275&lt;=TODAY()+7)+ISNUMBER($N275)*($N275&gt;=TODAY())*($N275&lt;=TODAY()+7)+ISNUMBER($Q275)*($Q275&gt;=TODAY())*($Q275&lt;=TODAY()+7)+ISNUMBER($R275)*($R275&gt;=TODAY())*($R275&lt;=TODAY()+7)+ISNUMBER($S275)*($S275&gt;=TODAY())*($S275&lt;=TODAY()+7)+ISNUMBER($T275)*($T275&gt;=TODAY())*($T275&lt;=TODAY()+7)+ISNUMBER($U275)*($U275&gt;=TODAY())*($U275&lt;=TODAY()+7)+ISNUMBER($V275)*($V275&gt;=TODAY())*($V275&lt;=TODAY()+7)+ISNUMBER($O275)*($O275&gt;=TODAY())*($O275&lt;=TODAY()+7)+ISNUMBER($P275)*($P275&gt;=TODAY())*($P275&lt;=TODAY()+7)+ISNUMBER($X275)*($X275&gt;=TODAY())*($X275&lt;=TODAY()+7)+ISNUMBER($Y275)*($Y275&gt;=TODAY())*($Y275&lt;=TODAY()+7))</f>
        <v/>
      </c>
      <c r="J275" s="28">
        <f>IF(NOT(AND($A275&lt;&gt;"",OR($G275="",$G275="Active"))),"",IF($K275&lt;&gt;"",IF($L275=$K275,"Booking",IF($M275=$K275,"16/40",IF($N275=$K275,"25/40",IF($Q275=$K275,"28/40",IF($R275=$K275,"31/40",IF($S275=$K275,"34/40",IF($T275=$K275,"36/40",IF($U275=$K275,"38/40",IF($V275=$K275,"40/40",""))))))))),IF(IF(OR(ISNUMBER($V275),$V275="DNA"),$V275,IF(OR(ISNUMBER($U275),$U275="DNA"),$U275,IF(OR(ISNUMBER($T275),$T275="DNA"),$T275,IF(OR(ISNUMBER($S275),$S275="DNA"),$S275,IF(OR(ISNUMBER($R275),$R275="DNA"),$R275,IF(OR(ISNUMBER($Q275),$Q275="DNA"),$Q275,IF(OR(ISNUMBER($N275),$N275="DNA"),$N275,IF(OR(ISNUMBER($M275),$M275="DNA"),$M275,IF(OR(ISNUMBER($L275),$L275="DNA"),$L275,"")))))))))="DNA","Rebook DNA",IF(ISNUMBER(IF(OR(ISNUMBER($V275),$V275="DNA"),$V275,IF(OR(ISNUMBER($U275),$U275="DNA"),$U275,IF(OR(ISNUMBER($T275),$T275="DNA"),$T275,IF(OR(ISNUMBER($S275),$S275="DNA"),$S275,IF(OR(ISNUMBER($R275),$R275="DNA"),$R275,IF(OR(ISNUMBER($Q275),$Q275="DNA"),$Q275,IF(OR(ISNUMBER($N275),$N275="DNA"),$N275,IF(OR(ISNUMBER($M275),$M275="DNA"),$M275,IF(OR(ISNUMBER($L275),$L275="DNA"),$L275,"")))))))))),IF(ISNUMBER($V275),"Update status","Missed/not booked?"),""))))</f>
        <v/>
      </c>
      <c r="K275" s="29">
        <f>IF(NOT(AND($A275&lt;&gt;"",OR($G275="",$G275="Active"))),"",IF(MIN(IF(AND(ISNUMBER($L275),$L275&gt;=TODAY()),$L275,99999),IF(AND(ISNUMBER($M275),$M275&gt;=TODAY()),$M275,99999),IF(AND(ISNUMBER($N275),$N275&gt;=TODAY()),$N275,99999),IF(AND(ISNUMBER($Q275),$Q275&gt;=TODAY()),$Q275,99999),IF(AND(ISNUMBER($R275),$R275&gt;=TODAY()),$R275,99999),IF(AND(ISNUMBER($S275),$S275&gt;=TODAY()),$S275,99999),IF(AND(ISNUMBER($T275),$T275&gt;=TODAY()),$T275,99999),IF(AND(ISNUMBER($U275),$U275&gt;=TODAY()),$U275,99999),IF(AND(ISNUMBER($V275),$V275&gt;=TODAY()),$V275,99999))=99999,"",MIN(IF(AND(ISNUMBER($L275),$L275&gt;=TODAY()),$L275,99999),IF(AND(ISNUMBER($M275),$M275&gt;=TODAY()),$M275,99999),IF(AND(ISNUMBER($N275),$N275&gt;=TODAY()),$N275,99999),IF(AND(ISNUMBER($Q275),$Q275&gt;=TODAY()),$Q275,99999),IF(AND(ISNUMBER($R275),$R275&gt;=TODAY()),$R275,99999),IF(AND(ISNUMBER($S275),$S275&gt;=TODAY()),$S275,99999),IF(AND(ISNUMBER($T275),$T275&gt;=TODAY()),$T275,99999),IF(AND(ISNUMBER($U275),$U275&gt;=TODAY()),$U275,99999),IF(AND(ISNUMBER($V275),$V275&gt;=TODAY()),$V275,99999))))</f>
        <v/>
      </c>
      <c r="L275" s="27" t="n"/>
      <c r="M275" s="27" t="n"/>
      <c r="N275" s="27" t="n"/>
      <c r="O275" s="27" t="n"/>
      <c r="P275" s="27" t="n"/>
      <c r="Q275" s="27" t="n"/>
      <c r="R275" s="27" t="n"/>
      <c r="S275" s="27" t="n"/>
      <c r="T275" s="27" t="n"/>
      <c r="U275" s="27" t="n"/>
      <c r="V275" s="27" t="n"/>
      <c r="W275" s="27" t="n"/>
      <c r="X275" s="27" t="n"/>
      <c r="Y275" s="27" t="n"/>
      <c r="Z275" s="30" t="n"/>
      <c r="AA275" s="25" t="n"/>
      <c r="AB275" s="28">
        <f>IF(NOT(AND($A275&lt;&gt;"",OR($G275="",$G275="Active"))),"",IF(OR(IF(OR(ISNUMBER($V275),$V275="DNA"),$V275,IF(OR(ISNUMBER($U275),$U275="DNA"),$U275,IF(OR(ISNUMBER($T275),$T275="DNA"),$T275,IF(OR(ISNUMBER($S275),$S275="DNA"),$S275,IF(OR(ISNUMBER($R275),$R275="DNA"),$R275,IF(OR(ISNUMBER($Q275),$Q275="DNA"),$Q275,IF(OR(ISNUMBER($N275),$N275="DNA"),$N275,IF(OR(ISNUMBER($M275),$M275="DNA"),$M275,IF(OR(ISNUMBER($L275),$L275="DNA"),$L275,"")))))))))="DNA",AND(ISNUMBER(IF(OR(ISNUMBER($V275),$V275="DNA"),$V275,IF(OR(ISNUMBER($U275),$U275="DNA"),$U275,IF(OR(ISNUMBER($T275),$T275="DNA"),$T275,IF(OR(ISNUMBER($S275),$S275="DNA"),$S275,IF(OR(ISNUMBER($R275),$R275="DNA"),$R275,IF(OR(ISNUMBER($Q275),$Q275="DNA"),$Q275,IF(OR(ISNUMBER($N275),$N275="DNA"),$N275,IF(OR(ISNUMBER($M275),$M275="DNA"),$M275,IF(OR(ISNUMBER($L275),$L275="DNA"),$L275,"")))))))))),IF(OR(ISNUMBER($V275),$V275="DNA"),$V275,IF(OR(ISNUMBER($U275),$U275="DNA"),$U275,IF(OR(ISNUMBER($T275),$T275="DNA"),$T275,IF(OR(ISNUMBER($S275),$S275="DNA"),$S275,IF(OR(ISNUMBER($R275),$R275="DNA"),$R275,IF(OR(ISNUMBER($Q275),$Q275="DNA"),$Q275,IF(OR(ISNUMBER($N275),$N275="DNA"),$N275,IF(OR(ISNUMBER($M275),$M275="DNA"),$M275,IF(OR(ISNUMBER($L275),$L275="DNA"),$L275,"")))))))))&lt;TODAY())),1,0)+ISNUMBER($O275)*($O275&lt;TODAY())+ISNUMBER($P275)*($P275&lt;TODAY())+ISNUMBER($X275)*($X275&lt;TODAY())+ISNUMBER($Y275)*($Y275&lt;TODAY()))</f>
        <v/>
      </c>
    </row>
    <row r="276">
      <c r="A276" s="25" t="n"/>
      <c r="B276" s="26" t="n"/>
      <c r="C276" s="27" t="n"/>
      <c r="D276" s="25" t="n"/>
      <c r="E276" s="25" t="n"/>
      <c r="F276" s="27" t="n"/>
      <c r="G276" s="25" t="n"/>
      <c r="H276" s="28">
        <f>IF(OR(NOT(AND($A276&lt;&gt;"",OR($G276="",$G276="Active"))),$F276=""),"",INT((TODAY()-$F276+280)/7)&amp;"+"&amp;MOD(TODAY()-$F276+280,7))</f>
        <v/>
      </c>
      <c r="I276" s="28">
        <f>IF(NOT(AND($A276&lt;&gt;"",OR($G276="",$G276="Active"))),"",ISNUMBER($L276)*($L276&gt;=TODAY())*($L276&lt;=TODAY()+7)+ISNUMBER($M276)*($M276&gt;=TODAY())*($M276&lt;=TODAY()+7)+ISNUMBER($N276)*($N276&gt;=TODAY())*($N276&lt;=TODAY()+7)+ISNUMBER($Q276)*($Q276&gt;=TODAY())*($Q276&lt;=TODAY()+7)+ISNUMBER($R276)*($R276&gt;=TODAY())*($R276&lt;=TODAY()+7)+ISNUMBER($S276)*($S276&gt;=TODAY())*($S276&lt;=TODAY()+7)+ISNUMBER($T276)*($T276&gt;=TODAY())*($T276&lt;=TODAY()+7)+ISNUMBER($U276)*($U276&gt;=TODAY())*($U276&lt;=TODAY()+7)+ISNUMBER($V276)*($V276&gt;=TODAY())*($V276&lt;=TODAY()+7)+ISNUMBER($O276)*($O276&gt;=TODAY())*($O276&lt;=TODAY()+7)+ISNUMBER($P276)*($P276&gt;=TODAY())*($P276&lt;=TODAY()+7)+ISNUMBER($X276)*($X276&gt;=TODAY())*($X276&lt;=TODAY()+7)+ISNUMBER($Y276)*($Y276&gt;=TODAY())*($Y276&lt;=TODAY()+7))</f>
        <v/>
      </c>
      <c r="J276" s="28">
        <f>IF(NOT(AND($A276&lt;&gt;"",OR($G276="",$G276="Active"))),"",IF($K276&lt;&gt;"",IF($L276=$K276,"Booking",IF($M276=$K276,"16/40",IF($N276=$K276,"25/40",IF($Q276=$K276,"28/40",IF($R276=$K276,"31/40",IF($S276=$K276,"34/40",IF($T276=$K276,"36/40",IF($U276=$K276,"38/40",IF($V276=$K276,"40/40",""))))))))),IF(IF(OR(ISNUMBER($V276),$V276="DNA"),$V276,IF(OR(ISNUMBER($U276),$U276="DNA"),$U276,IF(OR(ISNUMBER($T276),$T276="DNA"),$T276,IF(OR(ISNUMBER($S276),$S276="DNA"),$S276,IF(OR(ISNUMBER($R276),$R276="DNA"),$R276,IF(OR(ISNUMBER($Q276),$Q276="DNA"),$Q276,IF(OR(ISNUMBER($N276),$N276="DNA"),$N276,IF(OR(ISNUMBER($M276),$M276="DNA"),$M276,IF(OR(ISNUMBER($L276),$L276="DNA"),$L276,"")))))))))="DNA","Rebook DNA",IF(ISNUMBER(IF(OR(ISNUMBER($V276),$V276="DNA"),$V276,IF(OR(ISNUMBER($U276),$U276="DNA"),$U276,IF(OR(ISNUMBER($T276),$T276="DNA"),$T276,IF(OR(ISNUMBER($S276),$S276="DNA"),$S276,IF(OR(ISNUMBER($R276),$R276="DNA"),$R276,IF(OR(ISNUMBER($Q276),$Q276="DNA"),$Q276,IF(OR(ISNUMBER($N276),$N276="DNA"),$N276,IF(OR(ISNUMBER($M276),$M276="DNA"),$M276,IF(OR(ISNUMBER($L276),$L276="DNA"),$L276,"")))))))))),IF(ISNUMBER($V276),"Update status","Missed/not booked?"),""))))</f>
        <v/>
      </c>
      <c r="K276" s="29">
        <f>IF(NOT(AND($A276&lt;&gt;"",OR($G276="",$G276="Active"))),"",IF(MIN(IF(AND(ISNUMBER($L276),$L276&gt;=TODAY()),$L276,99999),IF(AND(ISNUMBER($M276),$M276&gt;=TODAY()),$M276,99999),IF(AND(ISNUMBER($N276),$N276&gt;=TODAY()),$N276,99999),IF(AND(ISNUMBER($Q276),$Q276&gt;=TODAY()),$Q276,99999),IF(AND(ISNUMBER($R276),$R276&gt;=TODAY()),$R276,99999),IF(AND(ISNUMBER($S276),$S276&gt;=TODAY()),$S276,99999),IF(AND(ISNUMBER($T276),$T276&gt;=TODAY()),$T276,99999),IF(AND(ISNUMBER($U276),$U276&gt;=TODAY()),$U276,99999),IF(AND(ISNUMBER($V276),$V276&gt;=TODAY()),$V276,99999))=99999,"",MIN(IF(AND(ISNUMBER($L276),$L276&gt;=TODAY()),$L276,99999),IF(AND(ISNUMBER($M276),$M276&gt;=TODAY()),$M276,99999),IF(AND(ISNUMBER($N276),$N276&gt;=TODAY()),$N276,99999),IF(AND(ISNUMBER($Q276),$Q276&gt;=TODAY()),$Q276,99999),IF(AND(ISNUMBER($R276),$R276&gt;=TODAY()),$R276,99999),IF(AND(ISNUMBER($S276),$S276&gt;=TODAY()),$S276,99999),IF(AND(ISNUMBER($T276),$T276&gt;=TODAY()),$T276,99999),IF(AND(ISNUMBER($U276),$U276&gt;=TODAY()),$U276,99999),IF(AND(ISNUMBER($V276),$V276&gt;=TODAY()),$V276,99999))))</f>
        <v/>
      </c>
      <c r="L276" s="27" t="n"/>
      <c r="M276" s="27" t="n"/>
      <c r="N276" s="27" t="n"/>
      <c r="O276" s="27" t="n"/>
      <c r="P276" s="27" t="n"/>
      <c r="Q276" s="27" t="n"/>
      <c r="R276" s="27" t="n"/>
      <c r="S276" s="27" t="n"/>
      <c r="T276" s="27" t="n"/>
      <c r="U276" s="27" t="n"/>
      <c r="V276" s="27" t="n"/>
      <c r="W276" s="27" t="n"/>
      <c r="X276" s="27" t="n"/>
      <c r="Y276" s="27" t="n"/>
      <c r="Z276" s="30" t="n"/>
      <c r="AA276" s="25" t="n"/>
      <c r="AB276" s="28">
        <f>IF(NOT(AND($A276&lt;&gt;"",OR($G276="",$G276="Active"))),"",IF(OR(IF(OR(ISNUMBER($V276),$V276="DNA"),$V276,IF(OR(ISNUMBER($U276),$U276="DNA"),$U276,IF(OR(ISNUMBER($T276),$T276="DNA"),$T276,IF(OR(ISNUMBER($S276),$S276="DNA"),$S276,IF(OR(ISNUMBER($R276),$R276="DNA"),$R276,IF(OR(ISNUMBER($Q276),$Q276="DNA"),$Q276,IF(OR(ISNUMBER($N276),$N276="DNA"),$N276,IF(OR(ISNUMBER($M276),$M276="DNA"),$M276,IF(OR(ISNUMBER($L276),$L276="DNA"),$L276,"")))))))))="DNA",AND(ISNUMBER(IF(OR(ISNUMBER($V276),$V276="DNA"),$V276,IF(OR(ISNUMBER($U276),$U276="DNA"),$U276,IF(OR(ISNUMBER($T276),$T276="DNA"),$T276,IF(OR(ISNUMBER($S276),$S276="DNA"),$S276,IF(OR(ISNUMBER($R276),$R276="DNA"),$R276,IF(OR(ISNUMBER($Q276),$Q276="DNA"),$Q276,IF(OR(ISNUMBER($N276),$N276="DNA"),$N276,IF(OR(ISNUMBER($M276),$M276="DNA"),$M276,IF(OR(ISNUMBER($L276),$L276="DNA"),$L276,"")))))))))),IF(OR(ISNUMBER($V276),$V276="DNA"),$V276,IF(OR(ISNUMBER($U276),$U276="DNA"),$U276,IF(OR(ISNUMBER($T276),$T276="DNA"),$T276,IF(OR(ISNUMBER($S276),$S276="DNA"),$S276,IF(OR(ISNUMBER($R276),$R276="DNA"),$R276,IF(OR(ISNUMBER($Q276),$Q276="DNA"),$Q276,IF(OR(ISNUMBER($N276),$N276="DNA"),$N276,IF(OR(ISNUMBER($M276),$M276="DNA"),$M276,IF(OR(ISNUMBER($L276),$L276="DNA"),$L276,"")))))))))&lt;TODAY())),1,0)+ISNUMBER($O276)*($O276&lt;TODAY())+ISNUMBER($P276)*($P276&lt;TODAY())+ISNUMBER($X276)*($X276&lt;TODAY())+ISNUMBER($Y276)*($Y276&lt;TODAY()))</f>
        <v/>
      </c>
    </row>
    <row r="277">
      <c r="A277" s="25" t="n"/>
      <c r="B277" s="26" t="n"/>
      <c r="C277" s="27" t="n"/>
      <c r="D277" s="25" t="n"/>
      <c r="E277" s="25" t="n"/>
      <c r="F277" s="27" t="n"/>
      <c r="G277" s="25" t="n"/>
      <c r="H277" s="28">
        <f>IF(OR(NOT(AND($A277&lt;&gt;"",OR($G277="",$G277="Active"))),$F277=""),"",INT((TODAY()-$F277+280)/7)&amp;"+"&amp;MOD(TODAY()-$F277+280,7))</f>
        <v/>
      </c>
      <c r="I277" s="28">
        <f>IF(NOT(AND($A277&lt;&gt;"",OR($G277="",$G277="Active"))),"",ISNUMBER($L277)*($L277&gt;=TODAY())*($L277&lt;=TODAY()+7)+ISNUMBER($M277)*($M277&gt;=TODAY())*($M277&lt;=TODAY()+7)+ISNUMBER($N277)*($N277&gt;=TODAY())*($N277&lt;=TODAY()+7)+ISNUMBER($Q277)*($Q277&gt;=TODAY())*($Q277&lt;=TODAY()+7)+ISNUMBER($R277)*($R277&gt;=TODAY())*($R277&lt;=TODAY()+7)+ISNUMBER($S277)*($S277&gt;=TODAY())*($S277&lt;=TODAY()+7)+ISNUMBER($T277)*($T277&gt;=TODAY())*($T277&lt;=TODAY()+7)+ISNUMBER($U277)*($U277&gt;=TODAY())*($U277&lt;=TODAY()+7)+ISNUMBER($V277)*($V277&gt;=TODAY())*($V277&lt;=TODAY()+7)+ISNUMBER($O277)*($O277&gt;=TODAY())*($O277&lt;=TODAY()+7)+ISNUMBER($P277)*($P277&gt;=TODAY())*($P277&lt;=TODAY()+7)+ISNUMBER($X277)*($X277&gt;=TODAY())*($X277&lt;=TODAY()+7)+ISNUMBER($Y277)*($Y277&gt;=TODAY())*($Y277&lt;=TODAY()+7))</f>
        <v/>
      </c>
      <c r="J277" s="28">
        <f>IF(NOT(AND($A277&lt;&gt;"",OR($G277="",$G277="Active"))),"",IF($K277&lt;&gt;"",IF($L277=$K277,"Booking",IF($M277=$K277,"16/40",IF($N277=$K277,"25/40",IF($Q277=$K277,"28/40",IF($R277=$K277,"31/40",IF($S277=$K277,"34/40",IF($T277=$K277,"36/40",IF($U277=$K277,"38/40",IF($V277=$K277,"40/40",""))))))))),IF(IF(OR(ISNUMBER($V277),$V277="DNA"),$V277,IF(OR(ISNUMBER($U277),$U277="DNA"),$U277,IF(OR(ISNUMBER($T277),$T277="DNA"),$T277,IF(OR(ISNUMBER($S277),$S277="DNA"),$S277,IF(OR(ISNUMBER($R277),$R277="DNA"),$R277,IF(OR(ISNUMBER($Q277),$Q277="DNA"),$Q277,IF(OR(ISNUMBER($N277),$N277="DNA"),$N277,IF(OR(ISNUMBER($M277),$M277="DNA"),$M277,IF(OR(ISNUMBER($L277),$L277="DNA"),$L277,"")))))))))="DNA","Rebook DNA",IF(ISNUMBER(IF(OR(ISNUMBER($V277),$V277="DNA"),$V277,IF(OR(ISNUMBER($U277),$U277="DNA"),$U277,IF(OR(ISNUMBER($T277),$T277="DNA"),$T277,IF(OR(ISNUMBER($S277),$S277="DNA"),$S277,IF(OR(ISNUMBER($R277),$R277="DNA"),$R277,IF(OR(ISNUMBER($Q277),$Q277="DNA"),$Q277,IF(OR(ISNUMBER($N277),$N277="DNA"),$N277,IF(OR(ISNUMBER($M277),$M277="DNA"),$M277,IF(OR(ISNUMBER($L277),$L277="DNA"),$L277,"")))))))))),IF(ISNUMBER($V277),"Update status","Missed/not booked?"),""))))</f>
        <v/>
      </c>
      <c r="K277" s="29">
        <f>IF(NOT(AND($A277&lt;&gt;"",OR($G277="",$G277="Active"))),"",IF(MIN(IF(AND(ISNUMBER($L277),$L277&gt;=TODAY()),$L277,99999),IF(AND(ISNUMBER($M277),$M277&gt;=TODAY()),$M277,99999),IF(AND(ISNUMBER($N277),$N277&gt;=TODAY()),$N277,99999),IF(AND(ISNUMBER($Q277),$Q277&gt;=TODAY()),$Q277,99999),IF(AND(ISNUMBER($R277),$R277&gt;=TODAY()),$R277,99999),IF(AND(ISNUMBER($S277),$S277&gt;=TODAY()),$S277,99999),IF(AND(ISNUMBER($T277),$T277&gt;=TODAY()),$T277,99999),IF(AND(ISNUMBER($U277),$U277&gt;=TODAY()),$U277,99999),IF(AND(ISNUMBER($V277),$V277&gt;=TODAY()),$V277,99999))=99999,"",MIN(IF(AND(ISNUMBER($L277),$L277&gt;=TODAY()),$L277,99999),IF(AND(ISNUMBER($M277),$M277&gt;=TODAY()),$M277,99999),IF(AND(ISNUMBER($N277),$N277&gt;=TODAY()),$N277,99999),IF(AND(ISNUMBER($Q277),$Q277&gt;=TODAY()),$Q277,99999),IF(AND(ISNUMBER($R277),$R277&gt;=TODAY()),$R277,99999),IF(AND(ISNUMBER($S277),$S277&gt;=TODAY()),$S277,99999),IF(AND(ISNUMBER($T277),$T277&gt;=TODAY()),$T277,99999),IF(AND(ISNUMBER($U277),$U277&gt;=TODAY()),$U277,99999),IF(AND(ISNUMBER($V277),$V277&gt;=TODAY()),$V277,99999))))</f>
        <v/>
      </c>
      <c r="L277" s="27" t="n"/>
      <c r="M277" s="27" t="n"/>
      <c r="N277" s="27" t="n"/>
      <c r="O277" s="27" t="n"/>
      <c r="P277" s="27" t="n"/>
      <c r="Q277" s="27" t="n"/>
      <c r="R277" s="27" t="n"/>
      <c r="S277" s="27" t="n"/>
      <c r="T277" s="27" t="n"/>
      <c r="U277" s="27" t="n"/>
      <c r="V277" s="27" t="n"/>
      <c r="W277" s="27" t="n"/>
      <c r="X277" s="27" t="n"/>
      <c r="Y277" s="27" t="n"/>
      <c r="Z277" s="30" t="n"/>
      <c r="AA277" s="25" t="n"/>
      <c r="AB277" s="28">
        <f>IF(NOT(AND($A277&lt;&gt;"",OR($G277="",$G277="Active"))),"",IF(OR(IF(OR(ISNUMBER($V277),$V277="DNA"),$V277,IF(OR(ISNUMBER($U277),$U277="DNA"),$U277,IF(OR(ISNUMBER($T277),$T277="DNA"),$T277,IF(OR(ISNUMBER($S277),$S277="DNA"),$S277,IF(OR(ISNUMBER($R277),$R277="DNA"),$R277,IF(OR(ISNUMBER($Q277),$Q277="DNA"),$Q277,IF(OR(ISNUMBER($N277),$N277="DNA"),$N277,IF(OR(ISNUMBER($M277),$M277="DNA"),$M277,IF(OR(ISNUMBER($L277),$L277="DNA"),$L277,"")))))))))="DNA",AND(ISNUMBER(IF(OR(ISNUMBER($V277),$V277="DNA"),$V277,IF(OR(ISNUMBER($U277),$U277="DNA"),$U277,IF(OR(ISNUMBER($T277),$T277="DNA"),$T277,IF(OR(ISNUMBER($S277),$S277="DNA"),$S277,IF(OR(ISNUMBER($R277),$R277="DNA"),$R277,IF(OR(ISNUMBER($Q277),$Q277="DNA"),$Q277,IF(OR(ISNUMBER($N277),$N277="DNA"),$N277,IF(OR(ISNUMBER($M277),$M277="DNA"),$M277,IF(OR(ISNUMBER($L277),$L277="DNA"),$L277,"")))))))))),IF(OR(ISNUMBER($V277),$V277="DNA"),$V277,IF(OR(ISNUMBER($U277),$U277="DNA"),$U277,IF(OR(ISNUMBER($T277),$T277="DNA"),$T277,IF(OR(ISNUMBER($S277),$S277="DNA"),$S277,IF(OR(ISNUMBER($R277),$R277="DNA"),$R277,IF(OR(ISNUMBER($Q277),$Q277="DNA"),$Q277,IF(OR(ISNUMBER($N277),$N277="DNA"),$N277,IF(OR(ISNUMBER($M277),$M277="DNA"),$M277,IF(OR(ISNUMBER($L277),$L277="DNA"),$L277,"")))))))))&lt;TODAY())),1,0)+ISNUMBER($O277)*($O277&lt;TODAY())+ISNUMBER($P277)*($P277&lt;TODAY())+ISNUMBER($X277)*($X277&lt;TODAY())+ISNUMBER($Y277)*($Y277&lt;TODAY()))</f>
        <v/>
      </c>
    </row>
    <row r="278">
      <c r="A278" s="25" t="n"/>
      <c r="B278" s="26" t="n"/>
      <c r="C278" s="27" t="n"/>
      <c r="D278" s="25" t="n"/>
      <c r="E278" s="25" t="n"/>
      <c r="F278" s="27" t="n"/>
      <c r="G278" s="25" t="n"/>
      <c r="H278" s="28">
        <f>IF(OR(NOT(AND($A278&lt;&gt;"",OR($G278="",$G278="Active"))),$F278=""),"",INT((TODAY()-$F278+280)/7)&amp;"+"&amp;MOD(TODAY()-$F278+280,7))</f>
        <v/>
      </c>
      <c r="I278" s="28">
        <f>IF(NOT(AND($A278&lt;&gt;"",OR($G278="",$G278="Active"))),"",ISNUMBER($L278)*($L278&gt;=TODAY())*($L278&lt;=TODAY()+7)+ISNUMBER($M278)*($M278&gt;=TODAY())*($M278&lt;=TODAY()+7)+ISNUMBER($N278)*($N278&gt;=TODAY())*($N278&lt;=TODAY()+7)+ISNUMBER($Q278)*($Q278&gt;=TODAY())*($Q278&lt;=TODAY()+7)+ISNUMBER($R278)*($R278&gt;=TODAY())*($R278&lt;=TODAY()+7)+ISNUMBER($S278)*($S278&gt;=TODAY())*($S278&lt;=TODAY()+7)+ISNUMBER($T278)*($T278&gt;=TODAY())*($T278&lt;=TODAY()+7)+ISNUMBER($U278)*($U278&gt;=TODAY())*($U278&lt;=TODAY()+7)+ISNUMBER($V278)*($V278&gt;=TODAY())*($V278&lt;=TODAY()+7)+ISNUMBER($O278)*($O278&gt;=TODAY())*($O278&lt;=TODAY()+7)+ISNUMBER($P278)*($P278&gt;=TODAY())*($P278&lt;=TODAY()+7)+ISNUMBER($X278)*($X278&gt;=TODAY())*($X278&lt;=TODAY()+7)+ISNUMBER($Y278)*($Y278&gt;=TODAY())*($Y278&lt;=TODAY()+7))</f>
        <v/>
      </c>
      <c r="J278" s="28">
        <f>IF(NOT(AND($A278&lt;&gt;"",OR($G278="",$G278="Active"))),"",IF($K278&lt;&gt;"",IF($L278=$K278,"Booking",IF($M278=$K278,"16/40",IF($N278=$K278,"25/40",IF($Q278=$K278,"28/40",IF($R278=$K278,"31/40",IF($S278=$K278,"34/40",IF($T278=$K278,"36/40",IF($U278=$K278,"38/40",IF($V278=$K278,"40/40",""))))))))),IF(IF(OR(ISNUMBER($V278),$V278="DNA"),$V278,IF(OR(ISNUMBER($U278),$U278="DNA"),$U278,IF(OR(ISNUMBER($T278),$T278="DNA"),$T278,IF(OR(ISNUMBER($S278),$S278="DNA"),$S278,IF(OR(ISNUMBER($R278),$R278="DNA"),$R278,IF(OR(ISNUMBER($Q278),$Q278="DNA"),$Q278,IF(OR(ISNUMBER($N278),$N278="DNA"),$N278,IF(OR(ISNUMBER($M278),$M278="DNA"),$M278,IF(OR(ISNUMBER($L278),$L278="DNA"),$L278,"")))))))))="DNA","Rebook DNA",IF(ISNUMBER(IF(OR(ISNUMBER($V278),$V278="DNA"),$V278,IF(OR(ISNUMBER($U278),$U278="DNA"),$U278,IF(OR(ISNUMBER($T278),$T278="DNA"),$T278,IF(OR(ISNUMBER($S278),$S278="DNA"),$S278,IF(OR(ISNUMBER($R278),$R278="DNA"),$R278,IF(OR(ISNUMBER($Q278),$Q278="DNA"),$Q278,IF(OR(ISNUMBER($N278),$N278="DNA"),$N278,IF(OR(ISNUMBER($M278),$M278="DNA"),$M278,IF(OR(ISNUMBER($L278),$L278="DNA"),$L278,"")))))))))),IF(ISNUMBER($V278),"Update status","Missed/not booked?"),""))))</f>
        <v/>
      </c>
      <c r="K278" s="29">
        <f>IF(NOT(AND($A278&lt;&gt;"",OR($G278="",$G278="Active"))),"",IF(MIN(IF(AND(ISNUMBER($L278),$L278&gt;=TODAY()),$L278,99999),IF(AND(ISNUMBER($M278),$M278&gt;=TODAY()),$M278,99999),IF(AND(ISNUMBER($N278),$N278&gt;=TODAY()),$N278,99999),IF(AND(ISNUMBER($Q278),$Q278&gt;=TODAY()),$Q278,99999),IF(AND(ISNUMBER($R278),$R278&gt;=TODAY()),$R278,99999),IF(AND(ISNUMBER($S278),$S278&gt;=TODAY()),$S278,99999),IF(AND(ISNUMBER($T278),$T278&gt;=TODAY()),$T278,99999),IF(AND(ISNUMBER($U278),$U278&gt;=TODAY()),$U278,99999),IF(AND(ISNUMBER($V278),$V278&gt;=TODAY()),$V278,99999))=99999,"",MIN(IF(AND(ISNUMBER($L278),$L278&gt;=TODAY()),$L278,99999),IF(AND(ISNUMBER($M278),$M278&gt;=TODAY()),$M278,99999),IF(AND(ISNUMBER($N278),$N278&gt;=TODAY()),$N278,99999),IF(AND(ISNUMBER($Q278),$Q278&gt;=TODAY()),$Q278,99999),IF(AND(ISNUMBER($R278),$R278&gt;=TODAY()),$R278,99999),IF(AND(ISNUMBER($S278),$S278&gt;=TODAY()),$S278,99999),IF(AND(ISNUMBER($T278),$T278&gt;=TODAY()),$T278,99999),IF(AND(ISNUMBER($U278),$U278&gt;=TODAY()),$U278,99999),IF(AND(ISNUMBER($V278),$V278&gt;=TODAY()),$V278,99999))))</f>
        <v/>
      </c>
      <c r="L278" s="27" t="n"/>
      <c r="M278" s="27" t="n"/>
      <c r="N278" s="27" t="n"/>
      <c r="O278" s="27" t="n"/>
      <c r="P278" s="27" t="n"/>
      <c r="Q278" s="27" t="n"/>
      <c r="R278" s="27" t="n"/>
      <c r="S278" s="27" t="n"/>
      <c r="T278" s="27" t="n"/>
      <c r="U278" s="27" t="n"/>
      <c r="V278" s="27" t="n"/>
      <c r="W278" s="27" t="n"/>
      <c r="X278" s="27" t="n"/>
      <c r="Y278" s="27" t="n"/>
      <c r="Z278" s="30" t="n"/>
      <c r="AA278" s="25" t="n"/>
      <c r="AB278" s="28">
        <f>IF(NOT(AND($A278&lt;&gt;"",OR($G278="",$G278="Active"))),"",IF(OR(IF(OR(ISNUMBER($V278),$V278="DNA"),$V278,IF(OR(ISNUMBER($U278),$U278="DNA"),$U278,IF(OR(ISNUMBER($T278),$T278="DNA"),$T278,IF(OR(ISNUMBER($S278),$S278="DNA"),$S278,IF(OR(ISNUMBER($R278),$R278="DNA"),$R278,IF(OR(ISNUMBER($Q278),$Q278="DNA"),$Q278,IF(OR(ISNUMBER($N278),$N278="DNA"),$N278,IF(OR(ISNUMBER($M278),$M278="DNA"),$M278,IF(OR(ISNUMBER($L278),$L278="DNA"),$L278,"")))))))))="DNA",AND(ISNUMBER(IF(OR(ISNUMBER($V278),$V278="DNA"),$V278,IF(OR(ISNUMBER($U278),$U278="DNA"),$U278,IF(OR(ISNUMBER($T278),$T278="DNA"),$T278,IF(OR(ISNUMBER($S278),$S278="DNA"),$S278,IF(OR(ISNUMBER($R278),$R278="DNA"),$R278,IF(OR(ISNUMBER($Q278),$Q278="DNA"),$Q278,IF(OR(ISNUMBER($N278),$N278="DNA"),$N278,IF(OR(ISNUMBER($M278),$M278="DNA"),$M278,IF(OR(ISNUMBER($L278),$L278="DNA"),$L278,"")))))))))),IF(OR(ISNUMBER($V278),$V278="DNA"),$V278,IF(OR(ISNUMBER($U278),$U278="DNA"),$U278,IF(OR(ISNUMBER($T278),$T278="DNA"),$T278,IF(OR(ISNUMBER($S278),$S278="DNA"),$S278,IF(OR(ISNUMBER($R278),$R278="DNA"),$R278,IF(OR(ISNUMBER($Q278),$Q278="DNA"),$Q278,IF(OR(ISNUMBER($N278),$N278="DNA"),$N278,IF(OR(ISNUMBER($M278),$M278="DNA"),$M278,IF(OR(ISNUMBER($L278),$L278="DNA"),$L278,"")))))))))&lt;TODAY())),1,0)+ISNUMBER($O278)*($O278&lt;TODAY())+ISNUMBER($P278)*($P278&lt;TODAY())+ISNUMBER($X278)*($X278&lt;TODAY())+ISNUMBER($Y278)*($Y278&lt;TODAY()))</f>
        <v/>
      </c>
    </row>
    <row r="279">
      <c r="A279" s="25" t="n"/>
      <c r="B279" s="26" t="n"/>
      <c r="C279" s="27" t="n"/>
      <c r="D279" s="25" t="n"/>
      <c r="E279" s="25" t="n"/>
      <c r="F279" s="27" t="n"/>
      <c r="G279" s="25" t="n"/>
      <c r="H279" s="28">
        <f>IF(OR(NOT(AND($A279&lt;&gt;"",OR($G279="",$G279="Active"))),$F279=""),"",INT((TODAY()-$F279+280)/7)&amp;"+"&amp;MOD(TODAY()-$F279+280,7))</f>
        <v/>
      </c>
      <c r="I279" s="28">
        <f>IF(NOT(AND($A279&lt;&gt;"",OR($G279="",$G279="Active"))),"",ISNUMBER($L279)*($L279&gt;=TODAY())*($L279&lt;=TODAY()+7)+ISNUMBER($M279)*($M279&gt;=TODAY())*($M279&lt;=TODAY()+7)+ISNUMBER($N279)*($N279&gt;=TODAY())*($N279&lt;=TODAY()+7)+ISNUMBER($Q279)*($Q279&gt;=TODAY())*($Q279&lt;=TODAY()+7)+ISNUMBER($R279)*($R279&gt;=TODAY())*($R279&lt;=TODAY()+7)+ISNUMBER($S279)*($S279&gt;=TODAY())*($S279&lt;=TODAY()+7)+ISNUMBER($T279)*($T279&gt;=TODAY())*($T279&lt;=TODAY()+7)+ISNUMBER($U279)*($U279&gt;=TODAY())*($U279&lt;=TODAY()+7)+ISNUMBER($V279)*($V279&gt;=TODAY())*($V279&lt;=TODAY()+7)+ISNUMBER($O279)*($O279&gt;=TODAY())*($O279&lt;=TODAY()+7)+ISNUMBER($P279)*($P279&gt;=TODAY())*($P279&lt;=TODAY()+7)+ISNUMBER($X279)*($X279&gt;=TODAY())*($X279&lt;=TODAY()+7)+ISNUMBER($Y279)*($Y279&gt;=TODAY())*($Y279&lt;=TODAY()+7))</f>
        <v/>
      </c>
      <c r="J279" s="28">
        <f>IF(NOT(AND($A279&lt;&gt;"",OR($G279="",$G279="Active"))),"",IF($K279&lt;&gt;"",IF($L279=$K279,"Booking",IF($M279=$K279,"16/40",IF($N279=$K279,"25/40",IF($Q279=$K279,"28/40",IF($R279=$K279,"31/40",IF($S279=$K279,"34/40",IF($T279=$K279,"36/40",IF($U279=$K279,"38/40",IF($V279=$K279,"40/40",""))))))))),IF(IF(OR(ISNUMBER($V279),$V279="DNA"),$V279,IF(OR(ISNUMBER($U279),$U279="DNA"),$U279,IF(OR(ISNUMBER($T279),$T279="DNA"),$T279,IF(OR(ISNUMBER($S279),$S279="DNA"),$S279,IF(OR(ISNUMBER($R279),$R279="DNA"),$R279,IF(OR(ISNUMBER($Q279),$Q279="DNA"),$Q279,IF(OR(ISNUMBER($N279),$N279="DNA"),$N279,IF(OR(ISNUMBER($M279),$M279="DNA"),$M279,IF(OR(ISNUMBER($L279),$L279="DNA"),$L279,"")))))))))="DNA","Rebook DNA",IF(ISNUMBER(IF(OR(ISNUMBER($V279),$V279="DNA"),$V279,IF(OR(ISNUMBER($U279),$U279="DNA"),$U279,IF(OR(ISNUMBER($T279),$T279="DNA"),$T279,IF(OR(ISNUMBER($S279),$S279="DNA"),$S279,IF(OR(ISNUMBER($R279),$R279="DNA"),$R279,IF(OR(ISNUMBER($Q279),$Q279="DNA"),$Q279,IF(OR(ISNUMBER($N279),$N279="DNA"),$N279,IF(OR(ISNUMBER($M279),$M279="DNA"),$M279,IF(OR(ISNUMBER($L279),$L279="DNA"),$L279,"")))))))))),IF(ISNUMBER($V279),"Update status","Missed/not booked?"),""))))</f>
        <v/>
      </c>
      <c r="K279" s="29">
        <f>IF(NOT(AND($A279&lt;&gt;"",OR($G279="",$G279="Active"))),"",IF(MIN(IF(AND(ISNUMBER($L279),$L279&gt;=TODAY()),$L279,99999),IF(AND(ISNUMBER($M279),$M279&gt;=TODAY()),$M279,99999),IF(AND(ISNUMBER($N279),$N279&gt;=TODAY()),$N279,99999),IF(AND(ISNUMBER($Q279),$Q279&gt;=TODAY()),$Q279,99999),IF(AND(ISNUMBER($R279),$R279&gt;=TODAY()),$R279,99999),IF(AND(ISNUMBER($S279),$S279&gt;=TODAY()),$S279,99999),IF(AND(ISNUMBER($T279),$T279&gt;=TODAY()),$T279,99999),IF(AND(ISNUMBER($U279),$U279&gt;=TODAY()),$U279,99999),IF(AND(ISNUMBER($V279),$V279&gt;=TODAY()),$V279,99999))=99999,"",MIN(IF(AND(ISNUMBER($L279),$L279&gt;=TODAY()),$L279,99999),IF(AND(ISNUMBER($M279),$M279&gt;=TODAY()),$M279,99999),IF(AND(ISNUMBER($N279),$N279&gt;=TODAY()),$N279,99999),IF(AND(ISNUMBER($Q279),$Q279&gt;=TODAY()),$Q279,99999),IF(AND(ISNUMBER($R279),$R279&gt;=TODAY()),$R279,99999),IF(AND(ISNUMBER($S279),$S279&gt;=TODAY()),$S279,99999),IF(AND(ISNUMBER($T279),$T279&gt;=TODAY()),$T279,99999),IF(AND(ISNUMBER($U279),$U279&gt;=TODAY()),$U279,99999),IF(AND(ISNUMBER($V279),$V279&gt;=TODAY()),$V279,99999))))</f>
        <v/>
      </c>
      <c r="L279" s="27" t="n"/>
      <c r="M279" s="27" t="n"/>
      <c r="N279" s="27" t="n"/>
      <c r="O279" s="27" t="n"/>
      <c r="P279" s="27" t="n"/>
      <c r="Q279" s="27" t="n"/>
      <c r="R279" s="27" t="n"/>
      <c r="S279" s="27" t="n"/>
      <c r="T279" s="27" t="n"/>
      <c r="U279" s="27" t="n"/>
      <c r="V279" s="27" t="n"/>
      <c r="W279" s="27" t="n"/>
      <c r="X279" s="27" t="n"/>
      <c r="Y279" s="27" t="n"/>
      <c r="Z279" s="30" t="n"/>
      <c r="AA279" s="25" t="n"/>
      <c r="AB279" s="28">
        <f>IF(NOT(AND($A279&lt;&gt;"",OR($G279="",$G279="Active"))),"",IF(OR(IF(OR(ISNUMBER($V279),$V279="DNA"),$V279,IF(OR(ISNUMBER($U279),$U279="DNA"),$U279,IF(OR(ISNUMBER($T279),$T279="DNA"),$T279,IF(OR(ISNUMBER($S279),$S279="DNA"),$S279,IF(OR(ISNUMBER($R279),$R279="DNA"),$R279,IF(OR(ISNUMBER($Q279),$Q279="DNA"),$Q279,IF(OR(ISNUMBER($N279),$N279="DNA"),$N279,IF(OR(ISNUMBER($M279),$M279="DNA"),$M279,IF(OR(ISNUMBER($L279),$L279="DNA"),$L279,"")))))))))="DNA",AND(ISNUMBER(IF(OR(ISNUMBER($V279),$V279="DNA"),$V279,IF(OR(ISNUMBER($U279),$U279="DNA"),$U279,IF(OR(ISNUMBER($T279),$T279="DNA"),$T279,IF(OR(ISNUMBER($S279),$S279="DNA"),$S279,IF(OR(ISNUMBER($R279),$R279="DNA"),$R279,IF(OR(ISNUMBER($Q279),$Q279="DNA"),$Q279,IF(OR(ISNUMBER($N279),$N279="DNA"),$N279,IF(OR(ISNUMBER($M279),$M279="DNA"),$M279,IF(OR(ISNUMBER($L279),$L279="DNA"),$L279,"")))))))))),IF(OR(ISNUMBER($V279),$V279="DNA"),$V279,IF(OR(ISNUMBER($U279),$U279="DNA"),$U279,IF(OR(ISNUMBER($T279),$T279="DNA"),$T279,IF(OR(ISNUMBER($S279),$S279="DNA"),$S279,IF(OR(ISNUMBER($R279),$R279="DNA"),$R279,IF(OR(ISNUMBER($Q279),$Q279="DNA"),$Q279,IF(OR(ISNUMBER($N279),$N279="DNA"),$N279,IF(OR(ISNUMBER($M279),$M279="DNA"),$M279,IF(OR(ISNUMBER($L279),$L279="DNA"),$L279,"")))))))))&lt;TODAY())),1,0)+ISNUMBER($O279)*($O279&lt;TODAY())+ISNUMBER($P279)*($P279&lt;TODAY())+ISNUMBER($X279)*($X279&lt;TODAY())+ISNUMBER($Y279)*($Y279&lt;TODAY()))</f>
        <v/>
      </c>
    </row>
    <row r="280">
      <c r="A280" s="25" t="n"/>
      <c r="B280" s="26" t="n"/>
      <c r="C280" s="27" t="n"/>
      <c r="D280" s="25" t="n"/>
      <c r="E280" s="25" t="n"/>
      <c r="F280" s="27" t="n"/>
      <c r="G280" s="25" t="n"/>
      <c r="H280" s="28">
        <f>IF(OR(NOT(AND($A280&lt;&gt;"",OR($G280="",$G280="Active"))),$F280=""),"",INT((TODAY()-$F280+280)/7)&amp;"+"&amp;MOD(TODAY()-$F280+280,7))</f>
        <v/>
      </c>
      <c r="I280" s="28">
        <f>IF(NOT(AND($A280&lt;&gt;"",OR($G280="",$G280="Active"))),"",ISNUMBER($L280)*($L280&gt;=TODAY())*($L280&lt;=TODAY()+7)+ISNUMBER($M280)*($M280&gt;=TODAY())*($M280&lt;=TODAY()+7)+ISNUMBER($N280)*($N280&gt;=TODAY())*($N280&lt;=TODAY()+7)+ISNUMBER($Q280)*($Q280&gt;=TODAY())*($Q280&lt;=TODAY()+7)+ISNUMBER($R280)*($R280&gt;=TODAY())*($R280&lt;=TODAY()+7)+ISNUMBER($S280)*($S280&gt;=TODAY())*($S280&lt;=TODAY()+7)+ISNUMBER($T280)*($T280&gt;=TODAY())*($T280&lt;=TODAY()+7)+ISNUMBER($U280)*($U280&gt;=TODAY())*($U280&lt;=TODAY()+7)+ISNUMBER($V280)*($V280&gt;=TODAY())*($V280&lt;=TODAY()+7)+ISNUMBER($O280)*($O280&gt;=TODAY())*($O280&lt;=TODAY()+7)+ISNUMBER($P280)*($P280&gt;=TODAY())*($P280&lt;=TODAY()+7)+ISNUMBER($X280)*($X280&gt;=TODAY())*($X280&lt;=TODAY()+7)+ISNUMBER($Y280)*($Y280&gt;=TODAY())*($Y280&lt;=TODAY()+7))</f>
        <v/>
      </c>
      <c r="J280" s="28">
        <f>IF(NOT(AND($A280&lt;&gt;"",OR($G280="",$G280="Active"))),"",IF($K280&lt;&gt;"",IF($L280=$K280,"Booking",IF($M280=$K280,"16/40",IF($N280=$K280,"25/40",IF($Q280=$K280,"28/40",IF($R280=$K280,"31/40",IF($S280=$K280,"34/40",IF($T280=$K280,"36/40",IF($U280=$K280,"38/40",IF($V280=$K280,"40/40",""))))))))),IF(IF(OR(ISNUMBER($V280),$V280="DNA"),$V280,IF(OR(ISNUMBER($U280),$U280="DNA"),$U280,IF(OR(ISNUMBER($T280),$T280="DNA"),$T280,IF(OR(ISNUMBER($S280),$S280="DNA"),$S280,IF(OR(ISNUMBER($R280),$R280="DNA"),$R280,IF(OR(ISNUMBER($Q280),$Q280="DNA"),$Q280,IF(OR(ISNUMBER($N280),$N280="DNA"),$N280,IF(OR(ISNUMBER($M280),$M280="DNA"),$M280,IF(OR(ISNUMBER($L280),$L280="DNA"),$L280,"")))))))))="DNA","Rebook DNA",IF(ISNUMBER(IF(OR(ISNUMBER($V280),$V280="DNA"),$V280,IF(OR(ISNUMBER($U280),$U280="DNA"),$U280,IF(OR(ISNUMBER($T280),$T280="DNA"),$T280,IF(OR(ISNUMBER($S280),$S280="DNA"),$S280,IF(OR(ISNUMBER($R280),$R280="DNA"),$R280,IF(OR(ISNUMBER($Q280),$Q280="DNA"),$Q280,IF(OR(ISNUMBER($N280),$N280="DNA"),$N280,IF(OR(ISNUMBER($M280),$M280="DNA"),$M280,IF(OR(ISNUMBER($L280),$L280="DNA"),$L280,"")))))))))),IF(ISNUMBER($V280),"Update status","Missed/not booked?"),""))))</f>
        <v/>
      </c>
      <c r="K280" s="29">
        <f>IF(NOT(AND($A280&lt;&gt;"",OR($G280="",$G280="Active"))),"",IF(MIN(IF(AND(ISNUMBER($L280),$L280&gt;=TODAY()),$L280,99999),IF(AND(ISNUMBER($M280),$M280&gt;=TODAY()),$M280,99999),IF(AND(ISNUMBER($N280),$N280&gt;=TODAY()),$N280,99999),IF(AND(ISNUMBER($Q280),$Q280&gt;=TODAY()),$Q280,99999),IF(AND(ISNUMBER($R280),$R280&gt;=TODAY()),$R280,99999),IF(AND(ISNUMBER($S280),$S280&gt;=TODAY()),$S280,99999),IF(AND(ISNUMBER($T280),$T280&gt;=TODAY()),$T280,99999),IF(AND(ISNUMBER($U280),$U280&gt;=TODAY()),$U280,99999),IF(AND(ISNUMBER($V280),$V280&gt;=TODAY()),$V280,99999))=99999,"",MIN(IF(AND(ISNUMBER($L280),$L280&gt;=TODAY()),$L280,99999),IF(AND(ISNUMBER($M280),$M280&gt;=TODAY()),$M280,99999),IF(AND(ISNUMBER($N280),$N280&gt;=TODAY()),$N280,99999),IF(AND(ISNUMBER($Q280),$Q280&gt;=TODAY()),$Q280,99999),IF(AND(ISNUMBER($R280),$R280&gt;=TODAY()),$R280,99999),IF(AND(ISNUMBER($S280),$S280&gt;=TODAY()),$S280,99999),IF(AND(ISNUMBER($T280),$T280&gt;=TODAY()),$T280,99999),IF(AND(ISNUMBER($U280),$U280&gt;=TODAY()),$U280,99999),IF(AND(ISNUMBER($V280),$V280&gt;=TODAY()),$V280,99999))))</f>
        <v/>
      </c>
      <c r="L280" s="27" t="n"/>
      <c r="M280" s="27" t="n"/>
      <c r="N280" s="27" t="n"/>
      <c r="O280" s="27" t="n"/>
      <c r="P280" s="27" t="n"/>
      <c r="Q280" s="27" t="n"/>
      <c r="R280" s="27" t="n"/>
      <c r="S280" s="27" t="n"/>
      <c r="T280" s="27" t="n"/>
      <c r="U280" s="27" t="n"/>
      <c r="V280" s="27" t="n"/>
      <c r="W280" s="27" t="n"/>
      <c r="X280" s="27" t="n"/>
      <c r="Y280" s="27" t="n"/>
      <c r="Z280" s="30" t="n"/>
      <c r="AA280" s="25" t="n"/>
      <c r="AB280" s="28">
        <f>IF(NOT(AND($A280&lt;&gt;"",OR($G280="",$G280="Active"))),"",IF(OR(IF(OR(ISNUMBER($V280),$V280="DNA"),$V280,IF(OR(ISNUMBER($U280),$U280="DNA"),$U280,IF(OR(ISNUMBER($T280),$T280="DNA"),$T280,IF(OR(ISNUMBER($S280),$S280="DNA"),$S280,IF(OR(ISNUMBER($R280),$R280="DNA"),$R280,IF(OR(ISNUMBER($Q280),$Q280="DNA"),$Q280,IF(OR(ISNUMBER($N280),$N280="DNA"),$N280,IF(OR(ISNUMBER($M280),$M280="DNA"),$M280,IF(OR(ISNUMBER($L280),$L280="DNA"),$L280,"")))))))))="DNA",AND(ISNUMBER(IF(OR(ISNUMBER($V280),$V280="DNA"),$V280,IF(OR(ISNUMBER($U280),$U280="DNA"),$U280,IF(OR(ISNUMBER($T280),$T280="DNA"),$T280,IF(OR(ISNUMBER($S280),$S280="DNA"),$S280,IF(OR(ISNUMBER($R280),$R280="DNA"),$R280,IF(OR(ISNUMBER($Q280),$Q280="DNA"),$Q280,IF(OR(ISNUMBER($N280),$N280="DNA"),$N280,IF(OR(ISNUMBER($M280),$M280="DNA"),$M280,IF(OR(ISNUMBER($L280),$L280="DNA"),$L280,"")))))))))),IF(OR(ISNUMBER($V280),$V280="DNA"),$V280,IF(OR(ISNUMBER($U280),$U280="DNA"),$U280,IF(OR(ISNUMBER($T280),$T280="DNA"),$T280,IF(OR(ISNUMBER($S280),$S280="DNA"),$S280,IF(OR(ISNUMBER($R280),$R280="DNA"),$R280,IF(OR(ISNUMBER($Q280),$Q280="DNA"),$Q280,IF(OR(ISNUMBER($N280),$N280="DNA"),$N280,IF(OR(ISNUMBER($M280),$M280="DNA"),$M280,IF(OR(ISNUMBER($L280),$L280="DNA"),$L280,"")))))))))&lt;TODAY())),1,0)+ISNUMBER($O280)*($O280&lt;TODAY())+ISNUMBER($P280)*($P280&lt;TODAY())+ISNUMBER($X280)*($X280&lt;TODAY())+ISNUMBER($Y280)*($Y280&lt;TODAY()))</f>
        <v/>
      </c>
    </row>
    <row r="281">
      <c r="A281" s="25" t="n"/>
      <c r="B281" s="26" t="n"/>
      <c r="C281" s="27" t="n"/>
      <c r="D281" s="25" t="n"/>
      <c r="E281" s="25" t="n"/>
      <c r="F281" s="27" t="n"/>
      <c r="G281" s="25" t="n"/>
      <c r="H281" s="28">
        <f>IF(OR(NOT(AND($A281&lt;&gt;"",OR($G281="",$G281="Active"))),$F281=""),"",INT((TODAY()-$F281+280)/7)&amp;"+"&amp;MOD(TODAY()-$F281+280,7))</f>
        <v/>
      </c>
      <c r="I281" s="28">
        <f>IF(NOT(AND($A281&lt;&gt;"",OR($G281="",$G281="Active"))),"",ISNUMBER($L281)*($L281&gt;=TODAY())*($L281&lt;=TODAY()+7)+ISNUMBER($M281)*($M281&gt;=TODAY())*($M281&lt;=TODAY()+7)+ISNUMBER($N281)*($N281&gt;=TODAY())*($N281&lt;=TODAY()+7)+ISNUMBER($Q281)*($Q281&gt;=TODAY())*($Q281&lt;=TODAY()+7)+ISNUMBER($R281)*($R281&gt;=TODAY())*($R281&lt;=TODAY()+7)+ISNUMBER($S281)*($S281&gt;=TODAY())*($S281&lt;=TODAY()+7)+ISNUMBER($T281)*($T281&gt;=TODAY())*($T281&lt;=TODAY()+7)+ISNUMBER($U281)*($U281&gt;=TODAY())*($U281&lt;=TODAY()+7)+ISNUMBER($V281)*($V281&gt;=TODAY())*($V281&lt;=TODAY()+7)+ISNUMBER($O281)*($O281&gt;=TODAY())*($O281&lt;=TODAY()+7)+ISNUMBER($P281)*($P281&gt;=TODAY())*($P281&lt;=TODAY()+7)+ISNUMBER($X281)*($X281&gt;=TODAY())*($X281&lt;=TODAY()+7)+ISNUMBER($Y281)*($Y281&gt;=TODAY())*($Y281&lt;=TODAY()+7))</f>
        <v/>
      </c>
      <c r="J281" s="28">
        <f>IF(NOT(AND($A281&lt;&gt;"",OR($G281="",$G281="Active"))),"",IF($K281&lt;&gt;"",IF($L281=$K281,"Booking",IF($M281=$K281,"16/40",IF($N281=$K281,"25/40",IF($Q281=$K281,"28/40",IF($R281=$K281,"31/40",IF($S281=$K281,"34/40",IF($T281=$K281,"36/40",IF($U281=$K281,"38/40",IF($V281=$K281,"40/40",""))))))))),IF(IF(OR(ISNUMBER($V281),$V281="DNA"),$V281,IF(OR(ISNUMBER($U281),$U281="DNA"),$U281,IF(OR(ISNUMBER($T281),$T281="DNA"),$T281,IF(OR(ISNUMBER($S281),$S281="DNA"),$S281,IF(OR(ISNUMBER($R281),$R281="DNA"),$R281,IF(OR(ISNUMBER($Q281),$Q281="DNA"),$Q281,IF(OR(ISNUMBER($N281),$N281="DNA"),$N281,IF(OR(ISNUMBER($M281),$M281="DNA"),$M281,IF(OR(ISNUMBER($L281),$L281="DNA"),$L281,"")))))))))="DNA","Rebook DNA",IF(ISNUMBER(IF(OR(ISNUMBER($V281),$V281="DNA"),$V281,IF(OR(ISNUMBER($U281),$U281="DNA"),$U281,IF(OR(ISNUMBER($T281),$T281="DNA"),$T281,IF(OR(ISNUMBER($S281),$S281="DNA"),$S281,IF(OR(ISNUMBER($R281),$R281="DNA"),$R281,IF(OR(ISNUMBER($Q281),$Q281="DNA"),$Q281,IF(OR(ISNUMBER($N281),$N281="DNA"),$N281,IF(OR(ISNUMBER($M281),$M281="DNA"),$M281,IF(OR(ISNUMBER($L281),$L281="DNA"),$L281,"")))))))))),IF(ISNUMBER($V281),"Update status","Missed/not booked?"),""))))</f>
        <v/>
      </c>
      <c r="K281" s="29">
        <f>IF(NOT(AND($A281&lt;&gt;"",OR($G281="",$G281="Active"))),"",IF(MIN(IF(AND(ISNUMBER($L281),$L281&gt;=TODAY()),$L281,99999),IF(AND(ISNUMBER($M281),$M281&gt;=TODAY()),$M281,99999),IF(AND(ISNUMBER($N281),$N281&gt;=TODAY()),$N281,99999),IF(AND(ISNUMBER($Q281),$Q281&gt;=TODAY()),$Q281,99999),IF(AND(ISNUMBER($R281),$R281&gt;=TODAY()),$R281,99999),IF(AND(ISNUMBER($S281),$S281&gt;=TODAY()),$S281,99999),IF(AND(ISNUMBER($T281),$T281&gt;=TODAY()),$T281,99999),IF(AND(ISNUMBER($U281),$U281&gt;=TODAY()),$U281,99999),IF(AND(ISNUMBER($V281),$V281&gt;=TODAY()),$V281,99999))=99999,"",MIN(IF(AND(ISNUMBER($L281),$L281&gt;=TODAY()),$L281,99999),IF(AND(ISNUMBER($M281),$M281&gt;=TODAY()),$M281,99999),IF(AND(ISNUMBER($N281),$N281&gt;=TODAY()),$N281,99999),IF(AND(ISNUMBER($Q281),$Q281&gt;=TODAY()),$Q281,99999),IF(AND(ISNUMBER($R281),$R281&gt;=TODAY()),$R281,99999),IF(AND(ISNUMBER($S281),$S281&gt;=TODAY()),$S281,99999),IF(AND(ISNUMBER($T281),$T281&gt;=TODAY()),$T281,99999),IF(AND(ISNUMBER($U281),$U281&gt;=TODAY()),$U281,99999),IF(AND(ISNUMBER($V281),$V281&gt;=TODAY()),$V281,99999))))</f>
        <v/>
      </c>
      <c r="L281" s="27" t="n"/>
      <c r="M281" s="27" t="n"/>
      <c r="N281" s="27" t="n"/>
      <c r="O281" s="27" t="n"/>
      <c r="P281" s="27" t="n"/>
      <c r="Q281" s="27" t="n"/>
      <c r="R281" s="27" t="n"/>
      <c r="S281" s="27" t="n"/>
      <c r="T281" s="27" t="n"/>
      <c r="U281" s="27" t="n"/>
      <c r="V281" s="27" t="n"/>
      <c r="W281" s="27" t="n"/>
      <c r="X281" s="27" t="n"/>
      <c r="Y281" s="27" t="n"/>
      <c r="Z281" s="30" t="n"/>
      <c r="AA281" s="25" t="n"/>
      <c r="AB281" s="28">
        <f>IF(NOT(AND($A281&lt;&gt;"",OR($G281="",$G281="Active"))),"",IF(OR(IF(OR(ISNUMBER($V281),$V281="DNA"),$V281,IF(OR(ISNUMBER($U281),$U281="DNA"),$U281,IF(OR(ISNUMBER($T281),$T281="DNA"),$T281,IF(OR(ISNUMBER($S281),$S281="DNA"),$S281,IF(OR(ISNUMBER($R281),$R281="DNA"),$R281,IF(OR(ISNUMBER($Q281),$Q281="DNA"),$Q281,IF(OR(ISNUMBER($N281),$N281="DNA"),$N281,IF(OR(ISNUMBER($M281),$M281="DNA"),$M281,IF(OR(ISNUMBER($L281),$L281="DNA"),$L281,"")))))))))="DNA",AND(ISNUMBER(IF(OR(ISNUMBER($V281),$V281="DNA"),$V281,IF(OR(ISNUMBER($U281),$U281="DNA"),$U281,IF(OR(ISNUMBER($T281),$T281="DNA"),$T281,IF(OR(ISNUMBER($S281),$S281="DNA"),$S281,IF(OR(ISNUMBER($R281),$R281="DNA"),$R281,IF(OR(ISNUMBER($Q281),$Q281="DNA"),$Q281,IF(OR(ISNUMBER($N281),$N281="DNA"),$N281,IF(OR(ISNUMBER($M281),$M281="DNA"),$M281,IF(OR(ISNUMBER($L281),$L281="DNA"),$L281,"")))))))))),IF(OR(ISNUMBER($V281),$V281="DNA"),$V281,IF(OR(ISNUMBER($U281),$U281="DNA"),$U281,IF(OR(ISNUMBER($T281),$T281="DNA"),$T281,IF(OR(ISNUMBER($S281),$S281="DNA"),$S281,IF(OR(ISNUMBER($R281),$R281="DNA"),$R281,IF(OR(ISNUMBER($Q281),$Q281="DNA"),$Q281,IF(OR(ISNUMBER($N281),$N281="DNA"),$N281,IF(OR(ISNUMBER($M281),$M281="DNA"),$M281,IF(OR(ISNUMBER($L281),$L281="DNA"),$L281,"")))))))))&lt;TODAY())),1,0)+ISNUMBER($O281)*($O281&lt;TODAY())+ISNUMBER($P281)*($P281&lt;TODAY())+ISNUMBER($X281)*($X281&lt;TODAY())+ISNUMBER($Y281)*($Y281&lt;TODAY()))</f>
        <v/>
      </c>
    </row>
    <row r="282">
      <c r="A282" s="25" t="n"/>
      <c r="B282" s="26" t="n"/>
      <c r="C282" s="27" t="n"/>
      <c r="D282" s="25" t="n"/>
      <c r="E282" s="25" t="n"/>
      <c r="F282" s="27" t="n"/>
      <c r="G282" s="25" t="n"/>
      <c r="H282" s="28">
        <f>IF(OR(NOT(AND($A282&lt;&gt;"",OR($G282="",$G282="Active"))),$F282=""),"",INT((TODAY()-$F282+280)/7)&amp;"+"&amp;MOD(TODAY()-$F282+280,7))</f>
        <v/>
      </c>
      <c r="I282" s="28">
        <f>IF(NOT(AND($A282&lt;&gt;"",OR($G282="",$G282="Active"))),"",ISNUMBER($L282)*($L282&gt;=TODAY())*($L282&lt;=TODAY()+7)+ISNUMBER($M282)*($M282&gt;=TODAY())*($M282&lt;=TODAY()+7)+ISNUMBER($N282)*($N282&gt;=TODAY())*($N282&lt;=TODAY()+7)+ISNUMBER($Q282)*($Q282&gt;=TODAY())*($Q282&lt;=TODAY()+7)+ISNUMBER($R282)*($R282&gt;=TODAY())*($R282&lt;=TODAY()+7)+ISNUMBER($S282)*($S282&gt;=TODAY())*($S282&lt;=TODAY()+7)+ISNUMBER($T282)*($T282&gt;=TODAY())*($T282&lt;=TODAY()+7)+ISNUMBER($U282)*($U282&gt;=TODAY())*($U282&lt;=TODAY()+7)+ISNUMBER($V282)*($V282&gt;=TODAY())*($V282&lt;=TODAY()+7)+ISNUMBER($O282)*($O282&gt;=TODAY())*($O282&lt;=TODAY()+7)+ISNUMBER($P282)*($P282&gt;=TODAY())*($P282&lt;=TODAY()+7)+ISNUMBER($X282)*($X282&gt;=TODAY())*($X282&lt;=TODAY()+7)+ISNUMBER($Y282)*($Y282&gt;=TODAY())*($Y282&lt;=TODAY()+7))</f>
        <v/>
      </c>
      <c r="J282" s="28">
        <f>IF(NOT(AND($A282&lt;&gt;"",OR($G282="",$G282="Active"))),"",IF($K282&lt;&gt;"",IF($L282=$K282,"Booking",IF($M282=$K282,"16/40",IF($N282=$K282,"25/40",IF($Q282=$K282,"28/40",IF($R282=$K282,"31/40",IF($S282=$K282,"34/40",IF($T282=$K282,"36/40",IF($U282=$K282,"38/40",IF($V282=$K282,"40/40",""))))))))),IF(IF(OR(ISNUMBER($V282),$V282="DNA"),$V282,IF(OR(ISNUMBER($U282),$U282="DNA"),$U282,IF(OR(ISNUMBER($T282),$T282="DNA"),$T282,IF(OR(ISNUMBER($S282),$S282="DNA"),$S282,IF(OR(ISNUMBER($R282),$R282="DNA"),$R282,IF(OR(ISNUMBER($Q282),$Q282="DNA"),$Q282,IF(OR(ISNUMBER($N282),$N282="DNA"),$N282,IF(OR(ISNUMBER($M282),$M282="DNA"),$M282,IF(OR(ISNUMBER($L282),$L282="DNA"),$L282,"")))))))))="DNA","Rebook DNA",IF(ISNUMBER(IF(OR(ISNUMBER($V282),$V282="DNA"),$V282,IF(OR(ISNUMBER($U282),$U282="DNA"),$U282,IF(OR(ISNUMBER($T282),$T282="DNA"),$T282,IF(OR(ISNUMBER($S282),$S282="DNA"),$S282,IF(OR(ISNUMBER($R282),$R282="DNA"),$R282,IF(OR(ISNUMBER($Q282),$Q282="DNA"),$Q282,IF(OR(ISNUMBER($N282),$N282="DNA"),$N282,IF(OR(ISNUMBER($M282),$M282="DNA"),$M282,IF(OR(ISNUMBER($L282),$L282="DNA"),$L282,"")))))))))),IF(ISNUMBER($V282),"Update status","Missed/not booked?"),""))))</f>
        <v/>
      </c>
      <c r="K282" s="29">
        <f>IF(NOT(AND($A282&lt;&gt;"",OR($G282="",$G282="Active"))),"",IF(MIN(IF(AND(ISNUMBER($L282),$L282&gt;=TODAY()),$L282,99999),IF(AND(ISNUMBER($M282),$M282&gt;=TODAY()),$M282,99999),IF(AND(ISNUMBER($N282),$N282&gt;=TODAY()),$N282,99999),IF(AND(ISNUMBER($Q282),$Q282&gt;=TODAY()),$Q282,99999),IF(AND(ISNUMBER($R282),$R282&gt;=TODAY()),$R282,99999),IF(AND(ISNUMBER($S282),$S282&gt;=TODAY()),$S282,99999),IF(AND(ISNUMBER($T282),$T282&gt;=TODAY()),$T282,99999),IF(AND(ISNUMBER($U282),$U282&gt;=TODAY()),$U282,99999),IF(AND(ISNUMBER($V282),$V282&gt;=TODAY()),$V282,99999))=99999,"",MIN(IF(AND(ISNUMBER($L282),$L282&gt;=TODAY()),$L282,99999),IF(AND(ISNUMBER($M282),$M282&gt;=TODAY()),$M282,99999),IF(AND(ISNUMBER($N282),$N282&gt;=TODAY()),$N282,99999),IF(AND(ISNUMBER($Q282),$Q282&gt;=TODAY()),$Q282,99999),IF(AND(ISNUMBER($R282),$R282&gt;=TODAY()),$R282,99999),IF(AND(ISNUMBER($S282),$S282&gt;=TODAY()),$S282,99999),IF(AND(ISNUMBER($T282),$T282&gt;=TODAY()),$T282,99999),IF(AND(ISNUMBER($U282),$U282&gt;=TODAY()),$U282,99999),IF(AND(ISNUMBER($V282),$V282&gt;=TODAY()),$V282,99999))))</f>
        <v/>
      </c>
      <c r="L282" s="27" t="n"/>
      <c r="M282" s="27" t="n"/>
      <c r="N282" s="27" t="n"/>
      <c r="O282" s="27" t="n"/>
      <c r="P282" s="27" t="n"/>
      <c r="Q282" s="27" t="n"/>
      <c r="R282" s="27" t="n"/>
      <c r="S282" s="27" t="n"/>
      <c r="T282" s="27" t="n"/>
      <c r="U282" s="27" t="n"/>
      <c r="V282" s="27" t="n"/>
      <c r="W282" s="27" t="n"/>
      <c r="X282" s="27" t="n"/>
      <c r="Y282" s="27" t="n"/>
      <c r="Z282" s="30" t="n"/>
      <c r="AA282" s="25" t="n"/>
      <c r="AB282" s="28">
        <f>IF(NOT(AND($A282&lt;&gt;"",OR($G282="",$G282="Active"))),"",IF(OR(IF(OR(ISNUMBER($V282),$V282="DNA"),$V282,IF(OR(ISNUMBER($U282),$U282="DNA"),$U282,IF(OR(ISNUMBER($T282),$T282="DNA"),$T282,IF(OR(ISNUMBER($S282),$S282="DNA"),$S282,IF(OR(ISNUMBER($R282),$R282="DNA"),$R282,IF(OR(ISNUMBER($Q282),$Q282="DNA"),$Q282,IF(OR(ISNUMBER($N282),$N282="DNA"),$N282,IF(OR(ISNUMBER($M282),$M282="DNA"),$M282,IF(OR(ISNUMBER($L282),$L282="DNA"),$L282,"")))))))))="DNA",AND(ISNUMBER(IF(OR(ISNUMBER($V282),$V282="DNA"),$V282,IF(OR(ISNUMBER($U282),$U282="DNA"),$U282,IF(OR(ISNUMBER($T282),$T282="DNA"),$T282,IF(OR(ISNUMBER($S282),$S282="DNA"),$S282,IF(OR(ISNUMBER($R282),$R282="DNA"),$R282,IF(OR(ISNUMBER($Q282),$Q282="DNA"),$Q282,IF(OR(ISNUMBER($N282),$N282="DNA"),$N282,IF(OR(ISNUMBER($M282),$M282="DNA"),$M282,IF(OR(ISNUMBER($L282),$L282="DNA"),$L282,"")))))))))),IF(OR(ISNUMBER($V282),$V282="DNA"),$V282,IF(OR(ISNUMBER($U282),$U282="DNA"),$U282,IF(OR(ISNUMBER($T282),$T282="DNA"),$T282,IF(OR(ISNUMBER($S282),$S282="DNA"),$S282,IF(OR(ISNUMBER($R282),$R282="DNA"),$R282,IF(OR(ISNUMBER($Q282),$Q282="DNA"),$Q282,IF(OR(ISNUMBER($N282),$N282="DNA"),$N282,IF(OR(ISNUMBER($M282),$M282="DNA"),$M282,IF(OR(ISNUMBER($L282),$L282="DNA"),$L282,"")))))))))&lt;TODAY())),1,0)+ISNUMBER($O282)*($O282&lt;TODAY())+ISNUMBER($P282)*($P282&lt;TODAY())+ISNUMBER($X282)*($X282&lt;TODAY())+ISNUMBER($Y282)*($Y282&lt;TODAY()))</f>
        <v/>
      </c>
    </row>
    <row r="283">
      <c r="A283" s="25" t="n"/>
      <c r="B283" s="26" t="n"/>
      <c r="C283" s="27" t="n"/>
      <c r="D283" s="25" t="n"/>
      <c r="E283" s="25" t="n"/>
      <c r="F283" s="27" t="n"/>
      <c r="G283" s="25" t="n"/>
      <c r="H283" s="28">
        <f>IF(OR(NOT(AND($A283&lt;&gt;"",OR($G283="",$G283="Active"))),$F283=""),"",INT((TODAY()-$F283+280)/7)&amp;"+"&amp;MOD(TODAY()-$F283+280,7))</f>
        <v/>
      </c>
      <c r="I283" s="28">
        <f>IF(NOT(AND($A283&lt;&gt;"",OR($G283="",$G283="Active"))),"",ISNUMBER($L283)*($L283&gt;=TODAY())*($L283&lt;=TODAY()+7)+ISNUMBER($M283)*($M283&gt;=TODAY())*($M283&lt;=TODAY()+7)+ISNUMBER($N283)*($N283&gt;=TODAY())*($N283&lt;=TODAY()+7)+ISNUMBER($Q283)*($Q283&gt;=TODAY())*($Q283&lt;=TODAY()+7)+ISNUMBER($R283)*($R283&gt;=TODAY())*($R283&lt;=TODAY()+7)+ISNUMBER($S283)*($S283&gt;=TODAY())*($S283&lt;=TODAY()+7)+ISNUMBER($T283)*($T283&gt;=TODAY())*($T283&lt;=TODAY()+7)+ISNUMBER($U283)*($U283&gt;=TODAY())*($U283&lt;=TODAY()+7)+ISNUMBER($V283)*($V283&gt;=TODAY())*($V283&lt;=TODAY()+7)+ISNUMBER($O283)*($O283&gt;=TODAY())*($O283&lt;=TODAY()+7)+ISNUMBER($P283)*($P283&gt;=TODAY())*($P283&lt;=TODAY()+7)+ISNUMBER($X283)*($X283&gt;=TODAY())*($X283&lt;=TODAY()+7)+ISNUMBER($Y283)*($Y283&gt;=TODAY())*($Y283&lt;=TODAY()+7))</f>
        <v/>
      </c>
      <c r="J283" s="28">
        <f>IF(NOT(AND($A283&lt;&gt;"",OR($G283="",$G283="Active"))),"",IF($K283&lt;&gt;"",IF($L283=$K283,"Booking",IF($M283=$K283,"16/40",IF($N283=$K283,"25/40",IF($Q283=$K283,"28/40",IF($R283=$K283,"31/40",IF($S283=$K283,"34/40",IF($T283=$K283,"36/40",IF($U283=$K283,"38/40",IF($V283=$K283,"40/40",""))))))))),IF(IF(OR(ISNUMBER($V283),$V283="DNA"),$V283,IF(OR(ISNUMBER($U283),$U283="DNA"),$U283,IF(OR(ISNUMBER($T283),$T283="DNA"),$T283,IF(OR(ISNUMBER($S283),$S283="DNA"),$S283,IF(OR(ISNUMBER($R283),$R283="DNA"),$R283,IF(OR(ISNUMBER($Q283),$Q283="DNA"),$Q283,IF(OR(ISNUMBER($N283),$N283="DNA"),$N283,IF(OR(ISNUMBER($M283),$M283="DNA"),$M283,IF(OR(ISNUMBER($L283),$L283="DNA"),$L283,"")))))))))="DNA","Rebook DNA",IF(ISNUMBER(IF(OR(ISNUMBER($V283),$V283="DNA"),$V283,IF(OR(ISNUMBER($U283),$U283="DNA"),$U283,IF(OR(ISNUMBER($T283),$T283="DNA"),$T283,IF(OR(ISNUMBER($S283),$S283="DNA"),$S283,IF(OR(ISNUMBER($R283),$R283="DNA"),$R283,IF(OR(ISNUMBER($Q283),$Q283="DNA"),$Q283,IF(OR(ISNUMBER($N283),$N283="DNA"),$N283,IF(OR(ISNUMBER($M283),$M283="DNA"),$M283,IF(OR(ISNUMBER($L283),$L283="DNA"),$L283,"")))))))))),IF(ISNUMBER($V283),"Update status","Missed/not booked?"),""))))</f>
        <v/>
      </c>
      <c r="K283" s="29">
        <f>IF(NOT(AND($A283&lt;&gt;"",OR($G283="",$G283="Active"))),"",IF(MIN(IF(AND(ISNUMBER($L283),$L283&gt;=TODAY()),$L283,99999),IF(AND(ISNUMBER($M283),$M283&gt;=TODAY()),$M283,99999),IF(AND(ISNUMBER($N283),$N283&gt;=TODAY()),$N283,99999),IF(AND(ISNUMBER($Q283),$Q283&gt;=TODAY()),$Q283,99999),IF(AND(ISNUMBER($R283),$R283&gt;=TODAY()),$R283,99999),IF(AND(ISNUMBER($S283),$S283&gt;=TODAY()),$S283,99999),IF(AND(ISNUMBER($T283),$T283&gt;=TODAY()),$T283,99999),IF(AND(ISNUMBER($U283),$U283&gt;=TODAY()),$U283,99999),IF(AND(ISNUMBER($V283),$V283&gt;=TODAY()),$V283,99999))=99999,"",MIN(IF(AND(ISNUMBER($L283),$L283&gt;=TODAY()),$L283,99999),IF(AND(ISNUMBER($M283),$M283&gt;=TODAY()),$M283,99999),IF(AND(ISNUMBER($N283),$N283&gt;=TODAY()),$N283,99999),IF(AND(ISNUMBER($Q283),$Q283&gt;=TODAY()),$Q283,99999),IF(AND(ISNUMBER($R283),$R283&gt;=TODAY()),$R283,99999),IF(AND(ISNUMBER($S283),$S283&gt;=TODAY()),$S283,99999),IF(AND(ISNUMBER($T283),$T283&gt;=TODAY()),$T283,99999),IF(AND(ISNUMBER($U283),$U283&gt;=TODAY()),$U283,99999),IF(AND(ISNUMBER($V283),$V283&gt;=TODAY()),$V283,99999))))</f>
        <v/>
      </c>
      <c r="L283" s="27" t="n"/>
      <c r="M283" s="27" t="n"/>
      <c r="N283" s="27" t="n"/>
      <c r="O283" s="27" t="n"/>
      <c r="P283" s="27" t="n"/>
      <c r="Q283" s="27" t="n"/>
      <c r="R283" s="27" t="n"/>
      <c r="S283" s="27" t="n"/>
      <c r="T283" s="27" t="n"/>
      <c r="U283" s="27" t="n"/>
      <c r="V283" s="27" t="n"/>
      <c r="W283" s="27" t="n"/>
      <c r="X283" s="27" t="n"/>
      <c r="Y283" s="27" t="n"/>
      <c r="Z283" s="30" t="n"/>
      <c r="AA283" s="25" t="n"/>
      <c r="AB283" s="28">
        <f>IF(NOT(AND($A283&lt;&gt;"",OR($G283="",$G283="Active"))),"",IF(OR(IF(OR(ISNUMBER($V283),$V283="DNA"),$V283,IF(OR(ISNUMBER($U283),$U283="DNA"),$U283,IF(OR(ISNUMBER($T283),$T283="DNA"),$T283,IF(OR(ISNUMBER($S283),$S283="DNA"),$S283,IF(OR(ISNUMBER($R283),$R283="DNA"),$R283,IF(OR(ISNUMBER($Q283),$Q283="DNA"),$Q283,IF(OR(ISNUMBER($N283),$N283="DNA"),$N283,IF(OR(ISNUMBER($M283),$M283="DNA"),$M283,IF(OR(ISNUMBER($L283),$L283="DNA"),$L283,"")))))))))="DNA",AND(ISNUMBER(IF(OR(ISNUMBER($V283),$V283="DNA"),$V283,IF(OR(ISNUMBER($U283),$U283="DNA"),$U283,IF(OR(ISNUMBER($T283),$T283="DNA"),$T283,IF(OR(ISNUMBER($S283),$S283="DNA"),$S283,IF(OR(ISNUMBER($R283),$R283="DNA"),$R283,IF(OR(ISNUMBER($Q283),$Q283="DNA"),$Q283,IF(OR(ISNUMBER($N283),$N283="DNA"),$N283,IF(OR(ISNUMBER($M283),$M283="DNA"),$M283,IF(OR(ISNUMBER($L283),$L283="DNA"),$L283,"")))))))))),IF(OR(ISNUMBER($V283),$V283="DNA"),$V283,IF(OR(ISNUMBER($U283),$U283="DNA"),$U283,IF(OR(ISNUMBER($T283),$T283="DNA"),$T283,IF(OR(ISNUMBER($S283),$S283="DNA"),$S283,IF(OR(ISNUMBER($R283),$R283="DNA"),$R283,IF(OR(ISNUMBER($Q283),$Q283="DNA"),$Q283,IF(OR(ISNUMBER($N283),$N283="DNA"),$N283,IF(OR(ISNUMBER($M283),$M283="DNA"),$M283,IF(OR(ISNUMBER($L283),$L283="DNA"),$L283,"")))))))))&lt;TODAY())),1,0)+ISNUMBER($O283)*($O283&lt;TODAY())+ISNUMBER($P283)*($P283&lt;TODAY())+ISNUMBER($X283)*($X283&lt;TODAY())+ISNUMBER($Y283)*($Y283&lt;TODAY()))</f>
        <v/>
      </c>
    </row>
    <row r="284">
      <c r="A284" s="25" t="n"/>
      <c r="B284" s="26" t="n"/>
      <c r="C284" s="27" t="n"/>
      <c r="D284" s="25" t="n"/>
      <c r="E284" s="25" t="n"/>
      <c r="F284" s="27" t="n"/>
      <c r="G284" s="25" t="n"/>
      <c r="H284" s="28">
        <f>IF(OR(NOT(AND($A284&lt;&gt;"",OR($G284="",$G284="Active"))),$F284=""),"",INT((TODAY()-$F284+280)/7)&amp;"+"&amp;MOD(TODAY()-$F284+280,7))</f>
        <v/>
      </c>
      <c r="I284" s="28">
        <f>IF(NOT(AND($A284&lt;&gt;"",OR($G284="",$G284="Active"))),"",ISNUMBER($L284)*($L284&gt;=TODAY())*($L284&lt;=TODAY()+7)+ISNUMBER($M284)*($M284&gt;=TODAY())*($M284&lt;=TODAY()+7)+ISNUMBER($N284)*($N284&gt;=TODAY())*($N284&lt;=TODAY()+7)+ISNUMBER($Q284)*($Q284&gt;=TODAY())*($Q284&lt;=TODAY()+7)+ISNUMBER($R284)*($R284&gt;=TODAY())*($R284&lt;=TODAY()+7)+ISNUMBER($S284)*($S284&gt;=TODAY())*($S284&lt;=TODAY()+7)+ISNUMBER($T284)*($T284&gt;=TODAY())*($T284&lt;=TODAY()+7)+ISNUMBER($U284)*($U284&gt;=TODAY())*($U284&lt;=TODAY()+7)+ISNUMBER($V284)*($V284&gt;=TODAY())*($V284&lt;=TODAY()+7)+ISNUMBER($O284)*($O284&gt;=TODAY())*($O284&lt;=TODAY()+7)+ISNUMBER($P284)*($P284&gt;=TODAY())*($P284&lt;=TODAY()+7)+ISNUMBER($X284)*($X284&gt;=TODAY())*($X284&lt;=TODAY()+7)+ISNUMBER($Y284)*($Y284&gt;=TODAY())*($Y284&lt;=TODAY()+7))</f>
        <v/>
      </c>
      <c r="J284" s="28">
        <f>IF(NOT(AND($A284&lt;&gt;"",OR($G284="",$G284="Active"))),"",IF($K284&lt;&gt;"",IF($L284=$K284,"Booking",IF($M284=$K284,"16/40",IF($N284=$K284,"25/40",IF($Q284=$K284,"28/40",IF($R284=$K284,"31/40",IF($S284=$K284,"34/40",IF($T284=$K284,"36/40",IF($U284=$K284,"38/40",IF($V284=$K284,"40/40",""))))))))),IF(IF(OR(ISNUMBER($V284),$V284="DNA"),$V284,IF(OR(ISNUMBER($U284),$U284="DNA"),$U284,IF(OR(ISNUMBER($T284),$T284="DNA"),$T284,IF(OR(ISNUMBER($S284),$S284="DNA"),$S284,IF(OR(ISNUMBER($R284),$R284="DNA"),$R284,IF(OR(ISNUMBER($Q284),$Q284="DNA"),$Q284,IF(OR(ISNUMBER($N284),$N284="DNA"),$N284,IF(OR(ISNUMBER($M284),$M284="DNA"),$M284,IF(OR(ISNUMBER($L284),$L284="DNA"),$L284,"")))))))))="DNA","Rebook DNA",IF(ISNUMBER(IF(OR(ISNUMBER($V284),$V284="DNA"),$V284,IF(OR(ISNUMBER($U284),$U284="DNA"),$U284,IF(OR(ISNUMBER($T284),$T284="DNA"),$T284,IF(OR(ISNUMBER($S284),$S284="DNA"),$S284,IF(OR(ISNUMBER($R284),$R284="DNA"),$R284,IF(OR(ISNUMBER($Q284),$Q284="DNA"),$Q284,IF(OR(ISNUMBER($N284),$N284="DNA"),$N284,IF(OR(ISNUMBER($M284),$M284="DNA"),$M284,IF(OR(ISNUMBER($L284),$L284="DNA"),$L284,"")))))))))),IF(ISNUMBER($V284),"Update status","Missed/not booked?"),""))))</f>
        <v/>
      </c>
      <c r="K284" s="29">
        <f>IF(NOT(AND($A284&lt;&gt;"",OR($G284="",$G284="Active"))),"",IF(MIN(IF(AND(ISNUMBER($L284),$L284&gt;=TODAY()),$L284,99999),IF(AND(ISNUMBER($M284),$M284&gt;=TODAY()),$M284,99999),IF(AND(ISNUMBER($N284),$N284&gt;=TODAY()),$N284,99999),IF(AND(ISNUMBER($Q284),$Q284&gt;=TODAY()),$Q284,99999),IF(AND(ISNUMBER($R284),$R284&gt;=TODAY()),$R284,99999),IF(AND(ISNUMBER($S284),$S284&gt;=TODAY()),$S284,99999),IF(AND(ISNUMBER($T284),$T284&gt;=TODAY()),$T284,99999),IF(AND(ISNUMBER($U284),$U284&gt;=TODAY()),$U284,99999),IF(AND(ISNUMBER($V284),$V284&gt;=TODAY()),$V284,99999))=99999,"",MIN(IF(AND(ISNUMBER($L284),$L284&gt;=TODAY()),$L284,99999),IF(AND(ISNUMBER($M284),$M284&gt;=TODAY()),$M284,99999),IF(AND(ISNUMBER($N284),$N284&gt;=TODAY()),$N284,99999),IF(AND(ISNUMBER($Q284),$Q284&gt;=TODAY()),$Q284,99999),IF(AND(ISNUMBER($R284),$R284&gt;=TODAY()),$R284,99999),IF(AND(ISNUMBER($S284),$S284&gt;=TODAY()),$S284,99999),IF(AND(ISNUMBER($T284),$T284&gt;=TODAY()),$T284,99999),IF(AND(ISNUMBER($U284),$U284&gt;=TODAY()),$U284,99999),IF(AND(ISNUMBER($V284),$V284&gt;=TODAY()),$V284,99999))))</f>
        <v/>
      </c>
      <c r="L284" s="27" t="n"/>
      <c r="M284" s="27" t="n"/>
      <c r="N284" s="27" t="n"/>
      <c r="O284" s="27" t="n"/>
      <c r="P284" s="27" t="n"/>
      <c r="Q284" s="27" t="n"/>
      <c r="R284" s="27" t="n"/>
      <c r="S284" s="27" t="n"/>
      <c r="T284" s="27" t="n"/>
      <c r="U284" s="27" t="n"/>
      <c r="V284" s="27" t="n"/>
      <c r="W284" s="27" t="n"/>
      <c r="X284" s="27" t="n"/>
      <c r="Y284" s="27" t="n"/>
      <c r="Z284" s="30" t="n"/>
      <c r="AA284" s="25" t="n"/>
      <c r="AB284" s="28">
        <f>IF(NOT(AND($A284&lt;&gt;"",OR($G284="",$G284="Active"))),"",IF(OR(IF(OR(ISNUMBER($V284),$V284="DNA"),$V284,IF(OR(ISNUMBER($U284),$U284="DNA"),$U284,IF(OR(ISNUMBER($T284),$T284="DNA"),$T284,IF(OR(ISNUMBER($S284),$S284="DNA"),$S284,IF(OR(ISNUMBER($R284),$R284="DNA"),$R284,IF(OR(ISNUMBER($Q284),$Q284="DNA"),$Q284,IF(OR(ISNUMBER($N284),$N284="DNA"),$N284,IF(OR(ISNUMBER($M284),$M284="DNA"),$M284,IF(OR(ISNUMBER($L284),$L284="DNA"),$L284,"")))))))))="DNA",AND(ISNUMBER(IF(OR(ISNUMBER($V284),$V284="DNA"),$V284,IF(OR(ISNUMBER($U284),$U284="DNA"),$U284,IF(OR(ISNUMBER($T284),$T284="DNA"),$T284,IF(OR(ISNUMBER($S284),$S284="DNA"),$S284,IF(OR(ISNUMBER($R284),$R284="DNA"),$R284,IF(OR(ISNUMBER($Q284),$Q284="DNA"),$Q284,IF(OR(ISNUMBER($N284),$N284="DNA"),$N284,IF(OR(ISNUMBER($M284),$M284="DNA"),$M284,IF(OR(ISNUMBER($L284),$L284="DNA"),$L284,"")))))))))),IF(OR(ISNUMBER($V284),$V284="DNA"),$V284,IF(OR(ISNUMBER($U284),$U284="DNA"),$U284,IF(OR(ISNUMBER($T284),$T284="DNA"),$T284,IF(OR(ISNUMBER($S284),$S284="DNA"),$S284,IF(OR(ISNUMBER($R284),$R284="DNA"),$R284,IF(OR(ISNUMBER($Q284),$Q284="DNA"),$Q284,IF(OR(ISNUMBER($N284),$N284="DNA"),$N284,IF(OR(ISNUMBER($M284),$M284="DNA"),$M284,IF(OR(ISNUMBER($L284),$L284="DNA"),$L284,"")))))))))&lt;TODAY())),1,0)+ISNUMBER($O284)*($O284&lt;TODAY())+ISNUMBER($P284)*($P284&lt;TODAY())+ISNUMBER($X284)*($X284&lt;TODAY())+ISNUMBER($Y284)*($Y284&lt;TODAY()))</f>
        <v/>
      </c>
    </row>
    <row r="285">
      <c r="A285" s="25" t="n"/>
      <c r="B285" s="26" t="n"/>
      <c r="C285" s="27" t="n"/>
      <c r="D285" s="25" t="n"/>
      <c r="E285" s="25" t="n"/>
      <c r="F285" s="27" t="n"/>
      <c r="G285" s="25" t="n"/>
      <c r="H285" s="28">
        <f>IF(OR(NOT(AND($A285&lt;&gt;"",OR($G285="",$G285="Active"))),$F285=""),"",INT((TODAY()-$F285+280)/7)&amp;"+"&amp;MOD(TODAY()-$F285+280,7))</f>
        <v/>
      </c>
      <c r="I285" s="28">
        <f>IF(NOT(AND($A285&lt;&gt;"",OR($G285="",$G285="Active"))),"",ISNUMBER($L285)*($L285&gt;=TODAY())*($L285&lt;=TODAY()+7)+ISNUMBER($M285)*($M285&gt;=TODAY())*($M285&lt;=TODAY()+7)+ISNUMBER($N285)*($N285&gt;=TODAY())*($N285&lt;=TODAY()+7)+ISNUMBER($Q285)*($Q285&gt;=TODAY())*($Q285&lt;=TODAY()+7)+ISNUMBER($R285)*($R285&gt;=TODAY())*($R285&lt;=TODAY()+7)+ISNUMBER($S285)*($S285&gt;=TODAY())*($S285&lt;=TODAY()+7)+ISNUMBER($T285)*($T285&gt;=TODAY())*($T285&lt;=TODAY()+7)+ISNUMBER($U285)*($U285&gt;=TODAY())*($U285&lt;=TODAY()+7)+ISNUMBER($V285)*($V285&gt;=TODAY())*($V285&lt;=TODAY()+7)+ISNUMBER($O285)*($O285&gt;=TODAY())*($O285&lt;=TODAY()+7)+ISNUMBER($P285)*($P285&gt;=TODAY())*($P285&lt;=TODAY()+7)+ISNUMBER($X285)*($X285&gt;=TODAY())*($X285&lt;=TODAY()+7)+ISNUMBER($Y285)*($Y285&gt;=TODAY())*($Y285&lt;=TODAY()+7))</f>
        <v/>
      </c>
      <c r="J285" s="28">
        <f>IF(NOT(AND($A285&lt;&gt;"",OR($G285="",$G285="Active"))),"",IF($K285&lt;&gt;"",IF($L285=$K285,"Booking",IF($M285=$K285,"16/40",IF($N285=$K285,"25/40",IF($Q285=$K285,"28/40",IF($R285=$K285,"31/40",IF($S285=$K285,"34/40",IF($T285=$K285,"36/40",IF($U285=$K285,"38/40",IF($V285=$K285,"40/40",""))))))))),IF(IF(OR(ISNUMBER($V285),$V285="DNA"),$V285,IF(OR(ISNUMBER($U285),$U285="DNA"),$U285,IF(OR(ISNUMBER($T285),$T285="DNA"),$T285,IF(OR(ISNUMBER($S285),$S285="DNA"),$S285,IF(OR(ISNUMBER($R285),$R285="DNA"),$R285,IF(OR(ISNUMBER($Q285),$Q285="DNA"),$Q285,IF(OR(ISNUMBER($N285),$N285="DNA"),$N285,IF(OR(ISNUMBER($M285),$M285="DNA"),$M285,IF(OR(ISNUMBER($L285),$L285="DNA"),$L285,"")))))))))="DNA","Rebook DNA",IF(ISNUMBER(IF(OR(ISNUMBER($V285),$V285="DNA"),$V285,IF(OR(ISNUMBER($U285),$U285="DNA"),$U285,IF(OR(ISNUMBER($T285),$T285="DNA"),$T285,IF(OR(ISNUMBER($S285),$S285="DNA"),$S285,IF(OR(ISNUMBER($R285),$R285="DNA"),$R285,IF(OR(ISNUMBER($Q285),$Q285="DNA"),$Q285,IF(OR(ISNUMBER($N285),$N285="DNA"),$N285,IF(OR(ISNUMBER($M285),$M285="DNA"),$M285,IF(OR(ISNUMBER($L285),$L285="DNA"),$L285,"")))))))))),IF(ISNUMBER($V285),"Update status","Missed/not booked?"),""))))</f>
        <v/>
      </c>
      <c r="K285" s="29">
        <f>IF(NOT(AND($A285&lt;&gt;"",OR($G285="",$G285="Active"))),"",IF(MIN(IF(AND(ISNUMBER($L285),$L285&gt;=TODAY()),$L285,99999),IF(AND(ISNUMBER($M285),$M285&gt;=TODAY()),$M285,99999),IF(AND(ISNUMBER($N285),$N285&gt;=TODAY()),$N285,99999),IF(AND(ISNUMBER($Q285),$Q285&gt;=TODAY()),$Q285,99999),IF(AND(ISNUMBER($R285),$R285&gt;=TODAY()),$R285,99999),IF(AND(ISNUMBER($S285),$S285&gt;=TODAY()),$S285,99999),IF(AND(ISNUMBER($T285),$T285&gt;=TODAY()),$T285,99999),IF(AND(ISNUMBER($U285),$U285&gt;=TODAY()),$U285,99999),IF(AND(ISNUMBER($V285),$V285&gt;=TODAY()),$V285,99999))=99999,"",MIN(IF(AND(ISNUMBER($L285),$L285&gt;=TODAY()),$L285,99999),IF(AND(ISNUMBER($M285),$M285&gt;=TODAY()),$M285,99999),IF(AND(ISNUMBER($N285),$N285&gt;=TODAY()),$N285,99999),IF(AND(ISNUMBER($Q285),$Q285&gt;=TODAY()),$Q285,99999),IF(AND(ISNUMBER($R285),$R285&gt;=TODAY()),$R285,99999),IF(AND(ISNUMBER($S285),$S285&gt;=TODAY()),$S285,99999),IF(AND(ISNUMBER($T285),$T285&gt;=TODAY()),$T285,99999),IF(AND(ISNUMBER($U285),$U285&gt;=TODAY()),$U285,99999),IF(AND(ISNUMBER($V285),$V285&gt;=TODAY()),$V285,99999))))</f>
        <v/>
      </c>
      <c r="L285" s="27" t="n"/>
      <c r="M285" s="27" t="n"/>
      <c r="N285" s="27" t="n"/>
      <c r="O285" s="27" t="n"/>
      <c r="P285" s="27" t="n"/>
      <c r="Q285" s="27" t="n"/>
      <c r="R285" s="27" t="n"/>
      <c r="S285" s="27" t="n"/>
      <c r="T285" s="27" t="n"/>
      <c r="U285" s="27" t="n"/>
      <c r="V285" s="27" t="n"/>
      <c r="W285" s="27" t="n"/>
      <c r="X285" s="27" t="n"/>
      <c r="Y285" s="27" t="n"/>
      <c r="Z285" s="30" t="n"/>
      <c r="AA285" s="25" t="n"/>
      <c r="AB285" s="28">
        <f>IF(NOT(AND($A285&lt;&gt;"",OR($G285="",$G285="Active"))),"",IF(OR(IF(OR(ISNUMBER($V285),$V285="DNA"),$V285,IF(OR(ISNUMBER($U285),$U285="DNA"),$U285,IF(OR(ISNUMBER($T285),$T285="DNA"),$T285,IF(OR(ISNUMBER($S285),$S285="DNA"),$S285,IF(OR(ISNUMBER($R285),$R285="DNA"),$R285,IF(OR(ISNUMBER($Q285),$Q285="DNA"),$Q285,IF(OR(ISNUMBER($N285),$N285="DNA"),$N285,IF(OR(ISNUMBER($M285),$M285="DNA"),$M285,IF(OR(ISNUMBER($L285),$L285="DNA"),$L285,"")))))))))="DNA",AND(ISNUMBER(IF(OR(ISNUMBER($V285),$V285="DNA"),$V285,IF(OR(ISNUMBER($U285),$U285="DNA"),$U285,IF(OR(ISNUMBER($T285),$T285="DNA"),$T285,IF(OR(ISNUMBER($S285),$S285="DNA"),$S285,IF(OR(ISNUMBER($R285),$R285="DNA"),$R285,IF(OR(ISNUMBER($Q285),$Q285="DNA"),$Q285,IF(OR(ISNUMBER($N285),$N285="DNA"),$N285,IF(OR(ISNUMBER($M285),$M285="DNA"),$M285,IF(OR(ISNUMBER($L285),$L285="DNA"),$L285,"")))))))))),IF(OR(ISNUMBER($V285),$V285="DNA"),$V285,IF(OR(ISNUMBER($U285),$U285="DNA"),$U285,IF(OR(ISNUMBER($T285),$T285="DNA"),$T285,IF(OR(ISNUMBER($S285),$S285="DNA"),$S285,IF(OR(ISNUMBER($R285),$R285="DNA"),$R285,IF(OR(ISNUMBER($Q285),$Q285="DNA"),$Q285,IF(OR(ISNUMBER($N285),$N285="DNA"),$N285,IF(OR(ISNUMBER($M285),$M285="DNA"),$M285,IF(OR(ISNUMBER($L285),$L285="DNA"),$L285,"")))))))))&lt;TODAY())),1,0)+ISNUMBER($O285)*($O285&lt;TODAY())+ISNUMBER($P285)*($P285&lt;TODAY())+ISNUMBER($X285)*($X285&lt;TODAY())+ISNUMBER($Y285)*($Y285&lt;TODAY()))</f>
        <v/>
      </c>
    </row>
    <row r="286">
      <c r="A286" s="25" t="n"/>
      <c r="B286" s="26" t="n"/>
      <c r="C286" s="27" t="n"/>
      <c r="D286" s="25" t="n"/>
      <c r="E286" s="25" t="n"/>
      <c r="F286" s="27" t="n"/>
      <c r="G286" s="25" t="n"/>
      <c r="H286" s="28">
        <f>IF(OR(NOT(AND($A286&lt;&gt;"",OR($G286="",$G286="Active"))),$F286=""),"",INT((TODAY()-$F286+280)/7)&amp;"+"&amp;MOD(TODAY()-$F286+280,7))</f>
        <v/>
      </c>
      <c r="I286" s="28">
        <f>IF(NOT(AND($A286&lt;&gt;"",OR($G286="",$G286="Active"))),"",ISNUMBER($L286)*($L286&gt;=TODAY())*($L286&lt;=TODAY()+7)+ISNUMBER($M286)*($M286&gt;=TODAY())*($M286&lt;=TODAY()+7)+ISNUMBER($N286)*($N286&gt;=TODAY())*($N286&lt;=TODAY()+7)+ISNUMBER($Q286)*($Q286&gt;=TODAY())*($Q286&lt;=TODAY()+7)+ISNUMBER($R286)*($R286&gt;=TODAY())*($R286&lt;=TODAY()+7)+ISNUMBER($S286)*($S286&gt;=TODAY())*($S286&lt;=TODAY()+7)+ISNUMBER($T286)*($T286&gt;=TODAY())*($T286&lt;=TODAY()+7)+ISNUMBER($U286)*($U286&gt;=TODAY())*($U286&lt;=TODAY()+7)+ISNUMBER($V286)*($V286&gt;=TODAY())*($V286&lt;=TODAY()+7)+ISNUMBER($O286)*($O286&gt;=TODAY())*($O286&lt;=TODAY()+7)+ISNUMBER($P286)*($P286&gt;=TODAY())*($P286&lt;=TODAY()+7)+ISNUMBER($X286)*($X286&gt;=TODAY())*($X286&lt;=TODAY()+7)+ISNUMBER($Y286)*($Y286&gt;=TODAY())*($Y286&lt;=TODAY()+7))</f>
        <v/>
      </c>
      <c r="J286" s="28">
        <f>IF(NOT(AND($A286&lt;&gt;"",OR($G286="",$G286="Active"))),"",IF($K286&lt;&gt;"",IF($L286=$K286,"Booking",IF($M286=$K286,"16/40",IF($N286=$K286,"25/40",IF($Q286=$K286,"28/40",IF($R286=$K286,"31/40",IF($S286=$K286,"34/40",IF($T286=$K286,"36/40",IF($U286=$K286,"38/40",IF($V286=$K286,"40/40",""))))))))),IF(IF(OR(ISNUMBER($V286),$V286="DNA"),$V286,IF(OR(ISNUMBER($U286),$U286="DNA"),$U286,IF(OR(ISNUMBER($T286),$T286="DNA"),$T286,IF(OR(ISNUMBER($S286),$S286="DNA"),$S286,IF(OR(ISNUMBER($R286),$R286="DNA"),$R286,IF(OR(ISNUMBER($Q286),$Q286="DNA"),$Q286,IF(OR(ISNUMBER($N286),$N286="DNA"),$N286,IF(OR(ISNUMBER($M286),$M286="DNA"),$M286,IF(OR(ISNUMBER($L286),$L286="DNA"),$L286,"")))))))))="DNA","Rebook DNA",IF(ISNUMBER(IF(OR(ISNUMBER($V286),$V286="DNA"),$V286,IF(OR(ISNUMBER($U286),$U286="DNA"),$U286,IF(OR(ISNUMBER($T286),$T286="DNA"),$T286,IF(OR(ISNUMBER($S286),$S286="DNA"),$S286,IF(OR(ISNUMBER($R286),$R286="DNA"),$R286,IF(OR(ISNUMBER($Q286),$Q286="DNA"),$Q286,IF(OR(ISNUMBER($N286),$N286="DNA"),$N286,IF(OR(ISNUMBER($M286),$M286="DNA"),$M286,IF(OR(ISNUMBER($L286),$L286="DNA"),$L286,"")))))))))),IF(ISNUMBER($V286),"Update status","Missed/not booked?"),""))))</f>
        <v/>
      </c>
      <c r="K286" s="29">
        <f>IF(NOT(AND($A286&lt;&gt;"",OR($G286="",$G286="Active"))),"",IF(MIN(IF(AND(ISNUMBER($L286),$L286&gt;=TODAY()),$L286,99999),IF(AND(ISNUMBER($M286),$M286&gt;=TODAY()),$M286,99999),IF(AND(ISNUMBER($N286),$N286&gt;=TODAY()),$N286,99999),IF(AND(ISNUMBER($Q286),$Q286&gt;=TODAY()),$Q286,99999),IF(AND(ISNUMBER($R286),$R286&gt;=TODAY()),$R286,99999),IF(AND(ISNUMBER($S286),$S286&gt;=TODAY()),$S286,99999),IF(AND(ISNUMBER($T286),$T286&gt;=TODAY()),$T286,99999),IF(AND(ISNUMBER($U286),$U286&gt;=TODAY()),$U286,99999),IF(AND(ISNUMBER($V286),$V286&gt;=TODAY()),$V286,99999))=99999,"",MIN(IF(AND(ISNUMBER($L286),$L286&gt;=TODAY()),$L286,99999),IF(AND(ISNUMBER($M286),$M286&gt;=TODAY()),$M286,99999),IF(AND(ISNUMBER($N286),$N286&gt;=TODAY()),$N286,99999),IF(AND(ISNUMBER($Q286),$Q286&gt;=TODAY()),$Q286,99999),IF(AND(ISNUMBER($R286),$R286&gt;=TODAY()),$R286,99999),IF(AND(ISNUMBER($S286),$S286&gt;=TODAY()),$S286,99999),IF(AND(ISNUMBER($T286),$T286&gt;=TODAY()),$T286,99999),IF(AND(ISNUMBER($U286),$U286&gt;=TODAY()),$U286,99999),IF(AND(ISNUMBER($V286),$V286&gt;=TODAY()),$V286,99999))))</f>
        <v/>
      </c>
      <c r="L286" s="27" t="n"/>
      <c r="M286" s="27" t="n"/>
      <c r="N286" s="27" t="n"/>
      <c r="O286" s="27" t="n"/>
      <c r="P286" s="27" t="n"/>
      <c r="Q286" s="27" t="n"/>
      <c r="R286" s="27" t="n"/>
      <c r="S286" s="27" t="n"/>
      <c r="T286" s="27" t="n"/>
      <c r="U286" s="27" t="n"/>
      <c r="V286" s="27" t="n"/>
      <c r="W286" s="27" t="n"/>
      <c r="X286" s="27" t="n"/>
      <c r="Y286" s="27" t="n"/>
      <c r="Z286" s="30" t="n"/>
      <c r="AA286" s="25" t="n"/>
      <c r="AB286" s="28">
        <f>IF(NOT(AND($A286&lt;&gt;"",OR($G286="",$G286="Active"))),"",IF(OR(IF(OR(ISNUMBER($V286),$V286="DNA"),$V286,IF(OR(ISNUMBER($U286),$U286="DNA"),$U286,IF(OR(ISNUMBER($T286),$T286="DNA"),$T286,IF(OR(ISNUMBER($S286),$S286="DNA"),$S286,IF(OR(ISNUMBER($R286),$R286="DNA"),$R286,IF(OR(ISNUMBER($Q286),$Q286="DNA"),$Q286,IF(OR(ISNUMBER($N286),$N286="DNA"),$N286,IF(OR(ISNUMBER($M286),$M286="DNA"),$M286,IF(OR(ISNUMBER($L286),$L286="DNA"),$L286,"")))))))))="DNA",AND(ISNUMBER(IF(OR(ISNUMBER($V286),$V286="DNA"),$V286,IF(OR(ISNUMBER($U286),$U286="DNA"),$U286,IF(OR(ISNUMBER($T286),$T286="DNA"),$T286,IF(OR(ISNUMBER($S286),$S286="DNA"),$S286,IF(OR(ISNUMBER($R286),$R286="DNA"),$R286,IF(OR(ISNUMBER($Q286),$Q286="DNA"),$Q286,IF(OR(ISNUMBER($N286),$N286="DNA"),$N286,IF(OR(ISNUMBER($M286),$M286="DNA"),$M286,IF(OR(ISNUMBER($L286),$L286="DNA"),$L286,"")))))))))),IF(OR(ISNUMBER($V286),$V286="DNA"),$V286,IF(OR(ISNUMBER($U286),$U286="DNA"),$U286,IF(OR(ISNUMBER($T286),$T286="DNA"),$T286,IF(OR(ISNUMBER($S286),$S286="DNA"),$S286,IF(OR(ISNUMBER($R286),$R286="DNA"),$R286,IF(OR(ISNUMBER($Q286),$Q286="DNA"),$Q286,IF(OR(ISNUMBER($N286),$N286="DNA"),$N286,IF(OR(ISNUMBER($M286),$M286="DNA"),$M286,IF(OR(ISNUMBER($L286),$L286="DNA"),$L286,"")))))))))&lt;TODAY())),1,0)+ISNUMBER($O286)*($O286&lt;TODAY())+ISNUMBER($P286)*($P286&lt;TODAY())+ISNUMBER($X286)*($X286&lt;TODAY())+ISNUMBER($Y286)*($Y286&lt;TODAY()))</f>
        <v/>
      </c>
    </row>
    <row r="287">
      <c r="A287" s="25" t="n"/>
      <c r="B287" s="26" t="n"/>
      <c r="C287" s="27" t="n"/>
      <c r="D287" s="25" t="n"/>
      <c r="E287" s="25" t="n"/>
      <c r="F287" s="27" t="n"/>
      <c r="G287" s="25" t="n"/>
      <c r="H287" s="28">
        <f>IF(OR(NOT(AND($A287&lt;&gt;"",OR($G287="",$G287="Active"))),$F287=""),"",INT((TODAY()-$F287+280)/7)&amp;"+"&amp;MOD(TODAY()-$F287+280,7))</f>
        <v/>
      </c>
      <c r="I287" s="28">
        <f>IF(NOT(AND($A287&lt;&gt;"",OR($G287="",$G287="Active"))),"",ISNUMBER($L287)*($L287&gt;=TODAY())*($L287&lt;=TODAY()+7)+ISNUMBER($M287)*($M287&gt;=TODAY())*($M287&lt;=TODAY()+7)+ISNUMBER($N287)*($N287&gt;=TODAY())*($N287&lt;=TODAY()+7)+ISNUMBER($Q287)*($Q287&gt;=TODAY())*($Q287&lt;=TODAY()+7)+ISNUMBER($R287)*($R287&gt;=TODAY())*($R287&lt;=TODAY()+7)+ISNUMBER($S287)*($S287&gt;=TODAY())*($S287&lt;=TODAY()+7)+ISNUMBER($T287)*($T287&gt;=TODAY())*($T287&lt;=TODAY()+7)+ISNUMBER($U287)*($U287&gt;=TODAY())*($U287&lt;=TODAY()+7)+ISNUMBER($V287)*($V287&gt;=TODAY())*($V287&lt;=TODAY()+7)+ISNUMBER($O287)*($O287&gt;=TODAY())*($O287&lt;=TODAY()+7)+ISNUMBER($P287)*($P287&gt;=TODAY())*($P287&lt;=TODAY()+7)+ISNUMBER($X287)*($X287&gt;=TODAY())*($X287&lt;=TODAY()+7)+ISNUMBER($Y287)*($Y287&gt;=TODAY())*($Y287&lt;=TODAY()+7))</f>
        <v/>
      </c>
      <c r="J287" s="28">
        <f>IF(NOT(AND($A287&lt;&gt;"",OR($G287="",$G287="Active"))),"",IF($K287&lt;&gt;"",IF($L287=$K287,"Booking",IF($M287=$K287,"16/40",IF($N287=$K287,"25/40",IF($Q287=$K287,"28/40",IF($R287=$K287,"31/40",IF($S287=$K287,"34/40",IF($T287=$K287,"36/40",IF($U287=$K287,"38/40",IF($V287=$K287,"40/40",""))))))))),IF(IF(OR(ISNUMBER($V287),$V287="DNA"),$V287,IF(OR(ISNUMBER($U287),$U287="DNA"),$U287,IF(OR(ISNUMBER($T287),$T287="DNA"),$T287,IF(OR(ISNUMBER($S287),$S287="DNA"),$S287,IF(OR(ISNUMBER($R287),$R287="DNA"),$R287,IF(OR(ISNUMBER($Q287),$Q287="DNA"),$Q287,IF(OR(ISNUMBER($N287),$N287="DNA"),$N287,IF(OR(ISNUMBER($M287),$M287="DNA"),$M287,IF(OR(ISNUMBER($L287),$L287="DNA"),$L287,"")))))))))="DNA","Rebook DNA",IF(ISNUMBER(IF(OR(ISNUMBER($V287),$V287="DNA"),$V287,IF(OR(ISNUMBER($U287),$U287="DNA"),$U287,IF(OR(ISNUMBER($T287),$T287="DNA"),$T287,IF(OR(ISNUMBER($S287),$S287="DNA"),$S287,IF(OR(ISNUMBER($R287),$R287="DNA"),$R287,IF(OR(ISNUMBER($Q287),$Q287="DNA"),$Q287,IF(OR(ISNUMBER($N287),$N287="DNA"),$N287,IF(OR(ISNUMBER($M287),$M287="DNA"),$M287,IF(OR(ISNUMBER($L287),$L287="DNA"),$L287,"")))))))))),IF(ISNUMBER($V287),"Update status","Missed/not booked?"),""))))</f>
        <v/>
      </c>
      <c r="K287" s="29">
        <f>IF(NOT(AND($A287&lt;&gt;"",OR($G287="",$G287="Active"))),"",IF(MIN(IF(AND(ISNUMBER($L287),$L287&gt;=TODAY()),$L287,99999),IF(AND(ISNUMBER($M287),$M287&gt;=TODAY()),$M287,99999),IF(AND(ISNUMBER($N287),$N287&gt;=TODAY()),$N287,99999),IF(AND(ISNUMBER($Q287),$Q287&gt;=TODAY()),$Q287,99999),IF(AND(ISNUMBER($R287),$R287&gt;=TODAY()),$R287,99999),IF(AND(ISNUMBER($S287),$S287&gt;=TODAY()),$S287,99999),IF(AND(ISNUMBER($T287),$T287&gt;=TODAY()),$T287,99999),IF(AND(ISNUMBER($U287),$U287&gt;=TODAY()),$U287,99999),IF(AND(ISNUMBER($V287),$V287&gt;=TODAY()),$V287,99999))=99999,"",MIN(IF(AND(ISNUMBER($L287),$L287&gt;=TODAY()),$L287,99999),IF(AND(ISNUMBER($M287),$M287&gt;=TODAY()),$M287,99999),IF(AND(ISNUMBER($N287),$N287&gt;=TODAY()),$N287,99999),IF(AND(ISNUMBER($Q287),$Q287&gt;=TODAY()),$Q287,99999),IF(AND(ISNUMBER($R287),$R287&gt;=TODAY()),$R287,99999),IF(AND(ISNUMBER($S287),$S287&gt;=TODAY()),$S287,99999),IF(AND(ISNUMBER($T287),$T287&gt;=TODAY()),$T287,99999),IF(AND(ISNUMBER($U287),$U287&gt;=TODAY()),$U287,99999),IF(AND(ISNUMBER($V287),$V287&gt;=TODAY()),$V287,99999))))</f>
        <v/>
      </c>
      <c r="L287" s="27" t="n"/>
      <c r="M287" s="27" t="n"/>
      <c r="N287" s="27" t="n"/>
      <c r="O287" s="27" t="n"/>
      <c r="P287" s="27" t="n"/>
      <c r="Q287" s="27" t="n"/>
      <c r="R287" s="27" t="n"/>
      <c r="S287" s="27" t="n"/>
      <c r="T287" s="27" t="n"/>
      <c r="U287" s="27" t="n"/>
      <c r="V287" s="27" t="n"/>
      <c r="W287" s="27" t="n"/>
      <c r="X287" s="27" t="n"/>
      <c r="Y287" s="27" t="n"/>
      <c r="Z287" s="30" t="n"/>
      <c r="AA287" s="25" t="n"/>
      <c r="AB287" s="28">
        <f>IF(NOT(AND($A287&lt;&gt;"",OR($G287="",$G287="Active"))),"",IF(OR(IF(OR(ISNUMBER($V287),$V287="DNA"),$V287,IF(OR(ISNUMBER($U287),$U287="DNA"),$U287,IF(OR(ISNUMBER($T287),$T287="DNA"),$T287,IF(OR(ISNUMBER($S287),$S287="DNA"),$S287,IF(OR(ISNUMBER($R287),$R287="DNA"),$R287,IF(OR(ISNUMBER($Q287),$Q287="DNA"),$Q287,IF(OR(ISNUMBER($N287),$N287="DNA"),$N287,IF(OR(ISNUMBER($M287),$M287="DNA"),$M287,IF(OR(ISNUMBER($L287),$L287="DNA"),$L287,"")))))))))="DNA",AND(ISNUMBER(IF(OR(ISNUMBER($V287),$V287="DNA"),$V287,IF(OR(ISNUMBER($U287),$U287="DNA"),$U287,IF(OR(ISNUMBER($T287),$T287="DNA"),$T287,IF(OR(ISNUMBER($S287),$S287="DNA"),$S287,IF(OR(ISNUMBER($R287),$R287="DNA"),$R287,IF(OR(ISNUMBER($Q287),$Q287="DNA"),$Q287,IF(OR(ISNUMBER($N287),$N287="DNA"),$N287,IF(OR(ISNUMBER($M287),$M287="DNA"),$M287,IF(OR(ISNUMBER($L287),$L287="DNA"),$L287,"")))))))))),IF(OR(ISNUMBER($V287),$V287="DNA"),$V287,IF(OR(ISNUMBER($U287),$U287="DNA"),$U287,IF(OR(ISNUMBER($T287),$T287="DNA"),$T287,IF(OR(ISNUMBER($S287),$S287="DNA"),$S287,IF(OR(ISNUMBER($R287),$R287="DNA"),$R287,IF(OR(ISNUMBER($Q287),$Q287="DNA"),$Q287,IF(OR(ISNUMBER($N287),$N287="DNA"),$N287,IF(OR(ISNUMBER($M287),$M287="DNA"),$M287,IF(OR(ISNUMBER($L287),$L287="DNA"),$L287,"")))))))))&lt;TODAY())),1,0)+ISNUMBER($O287)*($O287&lt;TODAY())+ISNUMBER($P287)*($P287&lt;TODAY())+ISNUMBER($X287)*($X287&lt;TODAY())+ISNUMBER($Y287)*($Y287&lt;TODAY()))</f>
        <v/>
      </c>
    </row>
    <row r="288">
      <c r="A288" s="25" t="n"/>
      <c r="B288" s="26" t="n"/>
      <c r="C288" s="27" t="n"/>
      <c r="D288" s="25" t="n"/>
      <c r="E288" s="25" t="n"/>
      <c r="F288" s="27" t="n"/>
      <c r="G288" s="25" t="n"/>
      <c r="H288" s="28">
        <f>IF(OR(NOT(AND($A288&lt;&gt;"",OR($G288="",$G288="Active"))),$F288=""),"",INT((TODAY()-$F288+280)/7)&amp;"+"&amp;MOD(TODAY()-$F288+280,7))</f>
        <v/>
      </c>
      <c r="I288" s="28">
        <f>IF(NOT(AND($A288&lt;&gt;"",OR($G288="",$G288="Active"))),"",ISNUMBER($L288)*($L288&gt;=TODAY())*($L288&lt;=TODAY()+7)+ISNUMBER($M288)*($M288&gt;=TODAY())*($M288&lt;=TODAY()+7)+ISNUMBER($N288)*($N288&gt;=TODAY())*($N288&lt;=TODAY()+7)+ISNUMBER($Q288)*($Q288&gt;=TODAY())*($Q288&lt;=TODAY()+7)+ISNUMBER($R288)*($R288&gt;=TODAY())*($R288&lt;=TODAY()+7)+ISNUMBER($S288)*($S288&gt;=TODAY())*($S288&lt;=TODAY()+7)+ISNUMBER($T288)*($T288&gt;=TODAY())*($T288&lt;=TODAY()+7)+ISNUMBER($U288)*($U288&gt;=TODAY())*($U288&lt;=TODAY()+7)+ISNUMBER($V288)*($V288&gt;=TODAY())*($V288&lt;=TODAY()+7)+ISNUMBER($O288)*($O288&gt;=TODAY())*($O288&lt;=TODAY()+7)+ISNUMBER($P288)*($P288&gt;=TODAY())*($P288&lt;=TODAY()+7)+ISNUMBER($X288)*($X288&gt;=TODAY())*($X288&lt;=TODAY()+7)+ISNUMBER($Y288)*($Y288&gt;=TODAY())*($Y288&lt;=TODAY()+7))</f>
        <v/>
      </c>
      <c r="J288" s="28">
        <f>IF(NOT(AND($A288&lt;&gt;"",OR($G288="",$G288="Active"))),"",IF($K288&lt;&gt;"",IF($L288=$K288,"Booking",IF($M288=$K288,"16/40",IF($N288=$K288,"25/40",IF($Q288=$K288,"28/40",IF($R288=$K288,"31/40",IF($S288=$K288,"34/40",IF($T288=$K288,"36/40",IF($U288=$K288,"38/40",IF($V288=$K288,"40/40",""))))))))),IF(IF(OR(ISNUMBER($V288),$V288="DNA"),$V288,IF(OR(ISNUMBER($U288),$U288="DNA"),$U288,IF(OR(ISNUMBER($T288),$T288="DNA"),$T288,IF(OR(ISNUMBER($S288),$S288="DNA"),$S288,IF(OR(ISNUMBER($R288),$R288="DNA"),$R288,IF(OR(ISNUMBER($Q288),$Q288="DNA"),$Q288,IF(OR(ISNUMBER($N288),$N288="DNA"),$N288,IF(OR(ISNUMBER($M288),$M288="DNA"),$M288,IF(OR(ISNUMBER($L288),$L288="DNA"),$L288,"")))))))))="DNA","Rebook DNA",IF(ISNUMBER(IF(OR(ISNUMBER($V288),$V288="DNA"),$V288,IF(OR(ISNUMBER($U288),$U288="DNA"),$U288,IF(OR(ISNUMBER($T288),$T288="DNA"),$T288,IF(OR(ISNUMBER($S288),$S288="DNA"),$S288,IF(OR(ISNUMBER($R288),$R288="DNA"),$R288,IF(OR(ISNUMBER($Q288),$Q288="DNA"),$Q288,IF(OR(ISNUMBER($N288),$N288="DNA"),$N288,IF(OR(ISNUMBER($M288),$M288="DNA"),$M288,IF(OR(ISNUMBER($L288),$L288="DNA"),$L288,"")))))))))),IF(ISNUMBER($V288),"Update status","Missed/not booked?"),""))))</f>
        <v/>
      </c>
      <c r="K288" s="29">
        <f>IF(NOT(AND($A288&lt;&gt;"",OR($G288="",$G288="Active"))),"",IF(MIN(IF(AND(ISNUMBER($L288),$L288&gt;=TODAY()),$L288,99999),IF(AND(ISNUMBER($M288),$M288&gt;=TODAY()),$M288,99999),IF(AND(ISNUMBER($N288),$N288&gt;=TODAY()),$N288,99999),IF(AND(ISNUMBER($Q288),$Q288&gt;=TODAY()),$Q288,99999),IF(AND(ISNUMBER($R288),$R288&gt;=TODAY()),$R288,99999),IF(AND(ISNUMBER($S288),$S288&gt;=TODAY()),$S288,99999),IF(AND(ISNUMBER($T288),$T288&gt;=TODAY()),$T288,99999),IF(AND(ISNUMBER($U288),$U288&gt;=TODAY()),$U288,99999),IF(AND(ISNUMBER($V288),$V288&gt;=TODAY()),$V288,99999))=99999,"",MIN(IF(AND(ISNUMBER($L288),$L288&gt;=TODAY()),$L288,99999),IF(AND(ISNUMBER($M288),$M288&gt;=TODAY()),$M288,99999),IF(AND(ISNUMBER($N288),$N288&gt;=TODAY()),$N288,99999),IF(AND(ISNUMBER($Q288),$Q288&gt;=TODAY()),$Q288,99999),IF(AND(ISNUMBER($R288),$R288&gt;=TODAY()),$R288,99999),IF(AND(ISNUMBER($S288),$S288&gt;=TODAY()),$S288,99999),IF(AND(ISNUMBER($T288),$T288&gt;=TODAY()),$T288,99999),IF(AND(ISNUMBER($U288),$U288&gt;=TODAY()),$U288,99999),IF(AND(ISNUMBER($V288),$V288&gt;=TODAY()),$V288,99999))))</f>
        <v/>
      </c>
      <c r="L288" s="27" t="n"/>
      <c r="M288" s="27" t="n"/>
      <c r="N288" s="27" t="n"/>
      <c r="O288" s="27" t="n"/>
      <c r="P288" s="27" t="n"/>
      <c r="Q288" s="27" t="n"/>
      <c r="R288" s="27" t="n"/>
      <c r="S288" s="27" t="n"/>
      <c r="T288" s="27" t="n"/>
      <c r="U288" s="27" t="n"/>
      <c r="V288" s="27" t="n"/>
      <c r="W288" s="27" t="n"/>
      <c r="X288" s="27" t="n"/>
      <c r="Y288" s="27" t="n"/>
      <c r="Z288" s="30" t="n"/>
      <c r="AA288" s="25" t="n"/>
      <c r="AB288" s="28">
        <f>IF(NOT(AND($A288&lt;&gt;"",OR($G288="",$G288="Active"))),"",IF(OR(IF(OR(ISNUMBER($V288),$V288="DNA"),$V288,IF(OR(ISNUMBER($U288),$U288="DNA"),$U288,IF(OR(ISNUMBER($T288),$T288="DNA"),$T288,IF(OR(ISNUMBER($S288),$S288="DNA"),$S288,IF(OR(ISNUMBER($R288),$R288="DNA"),$R288,IF(OR(ISNUMBER($Q288),$Q288="DNA"),$Q288,IF(OR(ISNUMBER($N288),$N288="DNA"),$N288,IF(OR(ISNUMBER($M288),$M288="DNA"),$M288,IF(OR(ISNUMBER($L288),$L288="DNA"),$L288,"")))))))))="DNA",AND(ISNUMBER(IF(OR(ISNUMBER($V288),$V288="DNA"),$V288,IF(OR(ISNUMBER($U288),$U288="DNA"),$U288,IF(OR(ISNUMBER($T288),$T288="DNA"),$T288,IF(OR(ISNUMBER($S288),$S288="DNA"),$S288,IF(OR(ISNUMBER($R288),$R288="DNA"),$R288,IF(OR(ISNUMBER($Q288),$Q288="DNA"),$Q288,IF(OR(ISNUMBER($N288),$N288="DNA"),$N288,IF(OR(ISNUMBER($M288),$M288="DNA"),$M288,IF(OR(ISNUMBER($L288),$L288="DNA"),$L288,"")))))))))),IF(OR(ISNUMBER($V288),$V288="DNA"),$V288,IF(OR(ISNUMBER($U288),$U288="DNA"),$U288,IF(OR(ISNUMBER($T288),$T288="DNA"),$T288,IF(OR(ISNUMBER($S288),$S288="DNA"),$S288,IF(OR(ISNUMBER($R288),$R288="DNA"),$R288,IF(OR(ISNUMBER($Q288),$Q288="DNA"),$Q288,IF(OR(ISNUMBER($N288),$N288="DNA"),$N288,IF(OR(ISNUMBER($M288),$M288="DNA"),$M288,IF(OR(ISNUMBER($L288),$L288="DNA"),$L288,"")))))))))&lt;TODAY())),1,0)+ISNUMBER($O288)*($O288&lt;TODAY())+ISNUMBER($P288)*($P288&lt;TODAY())+ISNUMBER($X288)*($X288&lt;TODAY())+ISNUMBER($Y288)*($Y288&lt;TODAY()))</f>
        <v/>
      </c>
    </row>
    <row r="289">
      <c r="A289" s="25" t="n"/>
      <c r="B289" s="26" t="n"/>
      <c r="C289" s="27" t="n"/>
      <c r="D289" s="25" t="n"/>
      <c r="E289" s="25" t="n"/>
      <c r="F289" s="27" t="n"/>
      <c r="G289" s="25" t="n"/>
      <c r="H289" s="28">
        <f>IF(OR(NOT(AND($A289&lt;&gt;"",OR($G289="",$G289="Active"))),$F289=""),"",INT((TODAY()-$F289+280)/7)&amp;"+"&amp;MOD(TODAY()-$F289+280,7))</f>
        <v/>
      </c>
      <c r="I289" s="28">
        <f>IF(NOT(AND($A289&lt;&gt;"",OR($G289="",$G289="Active"))),"",ISNUMBER($L289)*($L289&gt;=TODAY())*($L289&lt;=TODAY()+7)+ISNUMBER($M289)*($M289&gt;=TODAY())*($M289&lt;=TODAY()+7)+ISNUMBER($N289)*($N289&gt;=TODAY())*($N289&lt;=TODAY()+7)+ISNUMBER($Q289)*($Q289&gt;=TODAY())*($Q289&lt;=TODAY()+7)+ISNUMBER($R289)*($R289&gt;=TODAY())*($R289&lt;=TODAY()+7)+ISNUMBER($S289)*($S289&gt;=TODAY())*($S289&lt;=TODAY()+7)+ISNUMBER($T289)*($T289&gt;=TODAY())*($T289&lt;=TODAY()+7)+ISNUMBER($U289)*($U289&gt;=TODAY())*($U289&lt;=TODAY()+7)+ISNUMBER($V289)*($V289&gt;=TODAY())*($V289&lt;=TODAY()+7)+ISNUMBER($O289)*($O289&gt;=TODAY())*($O289&lt;=TODAY()+7)+ISNUMBER($P289)*($P289&gt;=TODAY())*($P289&lt;=TODAY()+7)+ISNUMBER($X289)*($X289&gt;=TODAY())*($X289&lt;=TODAY()+7)+ISNUMBER($Y289)*($Y289&gt;=TODAY())*($Y289&lt;=TODAY()+7))</f>
        <v/>
      </c>
      <c r="J289" s="28">
        <f>IF(NOT(AND($A289&lt;&gt;"",OR($G289="",$G289="Active"))),"",IF($K289&lt;&gt;"",IF($L289=$K289,"Booking",IF($M289=$K289,"16/40",IF($N289=$K289,"25/40",IF($Q289=$K289,"28/40",IF($R289=$K289,"31/40",IF($S289=$K289,"34/40",IF($T289=$K289,"36/40",IF($U289=$K289,"38/40",IF($V289=$K289,"40/40",""))))))))),IF(IF(OR(ISNUMBER($V289),$V289="DNA"),$V289,IF(OR(ISNUMBER($U289),$U289="DNA"),$U289,IF(OR(ISNUMBER($T289),$T289="DNA"),$T289,IF(OR(ISNUMBER($S289),$S289="DNA"),$S289,IF(OR(ISNUMBER($R289),$R289="DNA"),$R289,IF(OR(ISNUMBER($Q289),$Q289="DNA"),$Q289,IF(OR(ISNUMBER($N289),$N289="DNA"),$N289,IF(OR(ISNUMBER($M289),$M289="DNA"),$M289,IF(OR(ISNUMBER($L289),$L289="DNA"),$L289,"")))))))))="DNA","Rebook DNA",IF(ISNUMBER(IF(OR(ISNUMBER($V289),$V289="DNA"),$V289,IF(OR(ISNUMBER($U289),$U289="DNA"),$U289,IF(OR(ISNUMBER($T289),$T289="DNA"),$T289,IF(OR(ISNUMBER($S289),$S289="DNA"),$S289,IF(OR(ISNUMBER($R289),$R289="DNA"),$R289,IF(OR(ISNUMBER($Q289),$Q289="DNA"),$Q289,IF(OR(ISNUMBER($N289),$N289="DNA"),$N289,IF(OR(ISNUMBER($M289),$M289="DNA"),$M289,IF(OR(ISNUMBER($L289),$L289="DNA"),$L289,"")))))))))),IF(ISNUMBER($V289),"Update status","Missed/not booked?"),""))))</f>
        <v/>
      </c>
      <c r="K289" s="29">
        <f>IF(NOT(AND($A289&lt;&gt;"",OR($G289="",$G289="Active"))),"",IF(MIN(IF(AND(ISNUMBER($L289),$L289&gt;=TODAY()),$L289,99999),IF(AND(ISNUMBER($M289),$M289&gt;=TODAY()),$M289,99999),IF(AND(ISNUMBER($N289),$N289&gt;=TODAY()),$N289,99999),IF(AND(ISNUMBER($Q289),$Q289&gt;=TODAY()),$Q289,99999),IF(AND(ISNUMBER($R289),$R289&gt;=TODAY()),$R289,99999),IF(AND(ISNUMBER($S289),$S289&gt;=TODAY()),$S289,99999),IF(AND(ISNUMBER($T289),$T289&gt;=TODAY()),$T289,99999),IF(AND(ISNUMBER($U289),$U289&gt;=TODAY()),$U289,99999),IF(AND(ISNUMBER($V289),$V289&gt;=TODAY()),$V289,99999))=99999,"",MIN(IF(AND(ISNUMBER($L289),$L289&gt;=TODAY()),$L289,99999),IF(AND(ISNUMBER($M289),$M289&gt;=TODAY()),$M289,99999),IF(AND(ISNUMBER($N289),$N289&gt;=TODAY()),$N289,99999),IF(AND(ISNUMBER($Q289),$Q289&gt;=TODAY()),$Q289,99999),IF(AND(ISNUMBER($R289),$R289&gt;=TODAY()),$R289,99999),IF(AND(ISNUMBER($S289),$S289&gt;=TODAY()),$S289,99999),IF(AND(ISNUMBER($T289),$T289&gt;=TODAY()),$T289,99999),IF(AND(ISNUMBER($U289),$U289&gt;=TODAY()),$U289,99999),IF(AND(ISNUMBER($V289),$V289&gt;=TODAY()),$V289,99999))))</f>
        <v/>
      </c>
      <c r="L289" s="27" t="n"/>
      <c r="M289" s="27" t="n"/>
      <c r="N289" s="27" t="n"/>
      <c r="O289" s="27" t="n"/>
      <c r="P289" s="27" t="n"/>
      <c r="Q289" s="27" t="n"/>
      <c r="R289" s="27" t="n"/>
      <c r="S289" s="27" t="n"/>
      <c r="T289" s="27" t="n"/>
      <c r="U289" s="27" t="n"/>
      <c r="V289" s="27" t="n"/>
      <c r="W289" s="27" t="n"/>
      <c r="X289" s="27" t="n"/>
      <c r="Y289" s="27" t="n"/>
      <c r="Z289" s="30" t="n"/>
      <c r="AA289" s="25" t="n"/>
      <c r="AB289" s="28">
        <f>IF(NOT(AND($A289&lt;&gt;"",OR($G289="",$G289="Active"))),"",IF(OR(IF(OR(ISNUMBER($V289),$V289="DNA"),$V289,IF(OR(ISNUMBER($U289),$U289="DNA"),$U289,IF(OR(ISNUMBER($T289),$T289="DNA"),$T289,IF(OR(ISNUMBER($S289),$S289="DNA"),$S289,IF(OR(ISNUMBER($R289),$R289="DNA"),$R289,IF(OR(ISNUMBER($Q289),$Q289="DNA"),$Q289,IF(OR(ISNUMBER($N289),$N289="DNA"),$N289,IF(OR(ISNUMBER($M289),$M289="DNA"),$M289,IF(OR(ISNUMBER($L289),$L289="DNA"),$L289,"")))))))))="DNA",AND(ISNUMBER(IF(OR(ISNUMBER($V289),$V289="DNA"),$V289,IF(OR(ISNUMBER($U289),$U289="DNA"),$U289,IF(OR(ISNUMBER($T289),$T289="DNA"),$T289,IF(OR(ISNUMBER($S289),$S289="DNA"),$S289,IF(OR(ISNUMBER($R289),$R289="DNA"),$R289,IF(OR(ISNUMBER($Q289),$Q289="DNA"),$Q289,IF(OR(ISNUMBER($N289),$N289="DNA"),$N289,IF(OR(ISNUMBER($M289),$M289="DNA"),$M289,IF(OR(ISNUMBER($L289),$L289="DNA"),$L289,"")))))))))),IF(OR(ISNUMBER($V289),$V289="DNA"),$V289,IF(OR(ISNUMBER($U289),$U289="DNA"),$U289,IF(OR(ISNUMBER($T289),$T289="DNA"),$T289,IF(OR(ISNUMBER($S289),$S289="DNA"),$S289,IF(OR(ISNUMBER($R289),$R289="DNA"),$R289,IF(OR(ISNUMBER($Q289),$Q289="DNA"),$Q289,IF(OR(ISNUMBER($N289),$N289="DNA"),$N289,IF(OR(ISNUMBER($M289),$M289="DNA"),$M289,IF(OR(ISNUMBER($L289),$L289="DNA"),$L289,"")))))))))&lt;TODAY())),1,0)+ISNUMBER($O289)*($O289&lt;TODAY())+ISNUMBER($P289)*($P289&lt;TODAY())+ISNUMBER($X289)*($X289&lt;TODAY())+ISNUMBER($Y289)*($Y289&lt;TODAY()))</f>
        <v/>
      </c>
    </row>
    <row r="290">
      <c r="A290" s="25" t="n"/>
      <c r="B290" s="26" t="n"/>
      <c r="C290" s="27" t="n"/>
      <c r="D290" s="25" t="n"/>
      <c r="E290" s="25" t="n"/>
      <c r="F290" s="27" t="n"/>
      <c r="G290" s="25" t="n"/>
      <c r="H290" s="28">
        <f>IF(OR(NOT(AND($A290&lt;&gt;"",OR($G290="",$G290="Active"))),$F290=""),"",INT((TODAY()-$F290+280)/7)&amp;"+"&amp;MOD(TODAY()-$F290+280,7))</f>
        <v/>
      </c>
      <c r="I290" s="28">
        <f>IF(NOT(AND($A290&lt;&gt;"",OR($G290="",$G290="Active"))),"",ISNUMBER($L290)*($L290&gt;=TODAY())*($L290&lt;=TODAY()+7)+ISNUMBER($M290)*($M290&gt;=TODAY())*($M290&lt;=TODAY()+7)+ISNUMBER($N290)*($N290&gt;=TODAY())*($N290&lt;=TODAY()+7)+ISNUMBER($Q290)*($Q290&gt;=TODAY())*($Q290&lt;=TODAY()+7)+ISNUMBER($R290)*($R290&gt;=TODAY())*($R290&lt;=TODAY()+7)+ISNUMBER($S290)*($S290&gt;=TODAY())*($S290&lt;=TODAY()+7)+ISNUMBER($T290)*($T290&gt;=TODAY())*($T290&lt;=TODAY()+7)+ISNUMBER($U290)*($U290&gt;=TODAY())*($U290&lt;=TODAY()+7)+ISNUMBER($V290)*($V290&gt;=TODAY())*($V290&lt;=TODAY()+7)+ISNUMBER($O290)*($O290&gt;=TODAY())*($O290&lt;=TODAY()+7)+ISNUMBER($P290)*($P290&gt;=TODAY())*($P290&lt;=TODAY()+7)+ISNUMBER($X290)*($X290&gt;=TODAY())*($X290&lt;=TODAY()+7)+ISNUMBER($Y290)*($Y290&gt;=TODAY())*($Y290&lt;=TODAY()+7))</f>
        <v/>
      </c>
      <c r="J290" s="28">
        <f>IF(NOT(AND($A290&lt;&gt;"",OR($G290="",$G290="Active"))),"",IF($K290&lt;&gt;"",IF($L290=$K290,"Booking",IF($M290=$K290,"16/40",IF($N290=$K290,"25/40",IF($Q290=$K290,"28/40",IF($R290=$K290,"31/40",IF($S290=$K290,"34/40",IF($T290=$K290,"36/40",IF($U290=$K290,"38/40",IF($V290=$K290,"40/40",""))))))))),IF(IF(OR(ISNUMBER($V290),$V290="DNA"),$V290,IF(OR(ISNUMBER($U290),$U290="DNA"),$U290,IF(OR(ISNUMBER($T290),$T290="DNA"),$T290,IF(OR(ISNUMBER($S290),$S290="DNA"),$S290,IF(OR(ISNUMBER($R290),$R290="DNA"),$R290,IF(OR(ISNUMBER($Q290),$Q290="DNA"),$Q290,IF(OR(ISNUMBER($N290),$N290="DNA"),$N290,IF(OR(ISNUMBER($M290),$M290="DNA"),$M290,IF(OR(ISNUMBER($L290),$L290="DNA"),$L290,"")))))))))="DNA","Rebook DNA",IF(ISNUMBER(IF(OR(ISNUMBER($V290),$V290="DNA"),$V290,IF(OR(ISNUMBER($U290),$U290="DNA"),$U290,IF(OR(ISNUMBER($T290),$T290="DNA"),$T290,IF(OR(ISNUMBER($S290),$S290="DNA"),$S290,IF(OR(ISNUMBER($R290),$R290="DNA"),$R290,IF(OR(ISNUMBER($Q290),$Q290="DNA"),$Q290,IF(OR(ISNUMBER($N290),$N290="DNA"),$N290,IF(OR(ISNUMBER($M290),$M290="DNA"),$M290,IF(OR(ISNUMBER($L290),$L290="DNA"),$L290,"")))))))))),IF(ISNUMBER($V290),"Update status","Missed/not booked?"),""))))</f>
        <v/>
      </c>
      <c r="K290" s="29">
        <f>IF(NOT(AND($A290&lt;&gt;"",OR($G290="",$G290="Active"))),"",IF(MIN(IF(AND(ISNUMBER($L290),$L290&gt;=TODAY()),$L290,99999),IF(AND(ISNUMBER($M290),$M290&gt;=TODAY()),$M290,99999),IF(AND(ISNUMBER($N290),$N290&gt;=TODAY()),$N290,99999),IF(AND(ISNUMBER($Q290),$Q290&gt;=TODAY()),$Q290,99999),IF(AND(ISNUMBER($R290),$R290&gt;=TODAY()),$R290,99999),IF(AND(ISNUMBER($S290),$S290&gt;=TODAY()),$S290,99999),IF(AND(ISNUMBER($T290),$T290&gt;=TODAY()),$T290,99999),IF(AND(ISNUMBER($U290),$U290&gt;=TODAY()),$U290,99999),IF(AND(ISNUMBER($V290),$V290&gt;=TODAY()),$V290,99999))=99999,"",MIN(IF(AND(ISNUMBER($L290),$L290&gt;=TODAY()),$L290,99999),IF(AND(ISNUMBER($M290),$M290&gt;=TODAY()),$M290,99999),IF(AND(ISNUMBER($N290),$N290&gt;=TODAY()),$N290,99999),IF(AND(ISNUMBER($Q290),$Q290&gt;=TODAY()),$Q290,99999),IF(AND(ISNUMBER($R290),$R290&gt;=TODAY()),$R290,99999),IF(AND(ISNUMBER($S290),$S290&gt;=TODAY()),$S290,99999),IF(AND(ISNUMBER($T290),$T290&gt;=TODAY()),$T290,99999),IF(AND(ISNUMBER($U290),$U290&gt;=TODAY()),$U290,99999),IF(AND(ISNUMBER($V290),$V290&gt;=TODAY()),$V290,99999))))</f>
        <v/>
      </c>
      <c r="L290" s="27" t="n"/>
      <c r="M290" s="27" t="n"/>
      <c r="N290" s="27" t="n"/>
      <c r="O290" s="27" t="n"/>
      <c r="P290" s="27" t="n"/>
      <c r="Q290" s="27" t="n"/>
      <c r="R290" s="27" t="n"/>
      <c r="S290" s="27" t="n"/>
      <c r="T290" s="27" t="n"/>
      <c r="U290" s="27" t="n"/>
      <c r="V290" s="27" t="n"/>
      <c r="W290" s="27" t="n"/>
      <c r="X290" s="27" t="n"/>
      <c r="Y290" s="27" t="n"/>
      <c r="Z290" s="30" t="n"/>
      <c r="AA290" s="25" t="n"/>
      <c r="AB290" s="28">
        <f>IF(NOT(AND($A290&lt;&gt;"",OR($G290="",$G290="Active"))),"",IF(OR(IF(OR(ISNUMBER($V290),$V290="DNA"),$V290,IF(OR(ISNUMBER($U290),$U290="DNA"),$U290,IF(OR(ISNUMBER($T290),$T290="DNA"),$T290,IF(OR(ISNUMBER($S290),$S290="DNA"),$S290,IF(OR(ISNUMBER($R290),$R290="DNA"),$R290,IF(OR(ISNUMBER($Q290),$Q290="DNA"),$Q290,IF(OR(ISNUMBER($N290),$N290="DNA"),$N290,IF(OR(ISNUMBER($M290),$M290="DNA"),$M290,IF(OR(ISNUMBER($L290),$L290="DNA"),$L290,"")))))))))="DNA",AND(ISNUMBER(IF(OR(ISNUMBER($V290),$V290="DNA"),$V290,IF(OR(ISNUMBER($U290),$U290="DNA"),$U290,IF(OR(ISNUMBER($T290),$T290="DNA"),$T290,IF(OR(ISNUMBER($S290),$S290="DNA"),$S290,IF(OR(ISNUMBER($R290),$R290="DNA"),$R290,IF(OR(ISNUMBER($Q290),$Q290="DNA"),$Q290,IF(OR(ISNUMBER($N290),$N290="DNA"),$N290,IF(OR(ISNUMBER($M290),$M290="DNA"),$M290,IF(OR(ISNUMBER($L290),$L290="DNA"),$L290,"")))))))))),IF(OR(ISNUMBER($V290),$V290="DNA"),$V290,IF(OR(ISNUMBER($U290),$U290="DNA"),$U290,IF(OR(ISNUMBER($T290),$T290="DNA"),$T290,IF(OR(ISNUMBER($S290),$S290="DNA"),$S290,IF(OR(ISNUMBER($R290),$R290="DNA"),$R290,IF(OR(ISNUMBER($Q290),$Q290="DNA"),$Q290,IF(OR(ISNUMBER($N290),$N290="DNA"),$N290,IF(OR(ISNUMBER($M290),$M290="DNA"),$M290,IF(OR(ISNUMBER($L290),$L290="DNA"),$L290,"")))))))))&lt;TODAY())),1,0)+ISNUMBER($O290)*($O290&lt;TODAY())+ISNUMBER($P290)*($P290&lt;TODAY())+ISNUMBER($X290)*($X290&lt;TODAY())+ISNUMBER($Y290)*($Y290&lt;TODAY()))</f>
        <v/>
      </c>
    </row>
    <row r="291">
      <c r="A291" s="25" t="n"/>
      <c r="B291" s="26" t="n"/>
      <c r="C291" s="27" t="n"/>
      <c r="D291" s="25" t="n"/>
      <c r="E291" s="25" t="n"/>
      <c r="F291" s="27" t="n"/>
      <c r="G291" s="25" t="n"/>
      <c r="H291" s="28">
        <f>IF(OR(NOT(AND($A291&lt;&gt;"",OR($G291="",$G291="Active"))),$F291=""),"",INT((TODAY()-$F291+280)/7)&amp;"+"&amp;MOD(TODAY()-$F291+280,7))</f>
        <v/>
      </c>
      <c r="I291" s="28">
        <f>IF(NOT(AND($A291&lt;&gt;"",OR($G291="",$G291="Active"))),"",ISNUMBER($L291)*($L291&gt;=TODAY())*($L291&lt;=TODAY()+7)+ISNUMBER($M291)*($M291&gt;=TODAY())*($M291&lt;=TODAY()+7)+ISNUMBER($N291)*($N291&gt;=TODAY())*($N291&lt;=TODAY()+7)+ISNUMBER($Q291)*($Q291&gt;=TODAY())*($Q291&lt;=TODAY()+7)+ISNUMBER($R291)*($R291&gt;=TODAY())*($R291&lt;=TODAY()+7)+ISNUMBER($S291)*($S291&gt;=TODAY())*($S291&lt;=TODAY()+7)+ISNUMBER($T291)*($T291&gt;=TODAY())*($T291&lt;=TODAY()+7)+ISNUMBER($U291)*($U291&gt;=TODAY())*($U291&lt;=TODAY()+7)+ISNUMBER($V291)*($V291&gt;=TODAY())*($V291&lt;=TODAY()+7)+ISNUMBER($O291)*($O291&gt;=TODAY())*($O291&lt;=TODAY()+7)+ISNUMBER($P291)*($P291&gt;=TODAY())*($P291&lt;=TODAY()+7)+ISNUMBER($X291)*($X291&gt;=TODAY())*($X291&lt;=TODAY()+7)+ISNUMBER($Y291)*($Y291&gt;=TODAY())*($Y291&lt;=TODAY()+7))</f>
        <v/>
      </c>
      <c r="J291" s="28">
        <f>IF(NOT(AND($A291&lt;&gt;"",OR($G291="",$G291="Active"))),"",IF($K291&lt;&gt;"",IF($L291=$K291,"Booking",IF($M291=$K291,"16/40",IF($N291=$K291,"25/40",IF($Q291=$K291,"28/40",IF($R291=$K291,"31/40",IF($S291=$K291,"34/40",IF($T291=$K291,"36/40",IF($U291=$K291,"38/40",IF($V291=$K291,"40/40",""))))))))),IF(IF(OR(ISNUMBER($V291),$V291="DNA"),$V291,IF(OR(ISNUMBER($U291),$U291="DNA"),$U291,IF(OR(ISNUMBER($T291),$T291="DNA"),$T291,IF(OR(ISNUMBER($S291),$S291="DNA"),$S291,IF(OR(ISNUMBER($R291),$R291="DNA"),$R291,IF(OR(ISNUMBER($Q291),$Q291="DNA"),$Q291,IF(OR(ISNUMBER($N291),$N291="DNA"),$N291,IF(OR(ISNUMBER($M291),$M291="DNA"),$M291,IF(OR(ISNUMBER($L291),$L291="DNA"),$L291,"")))))))))="DNA","Rebook DNA",IF(ISNUMBER(IF(OR(ISNUMBER($V291),$V291="DNA"),$V291,IF(OR(ISNUMBER($U291),$U291="DNA"),$U291,IF(OR(ISNUMBER($T291),$T291="DNA"),$T291,IF(OR(ISNUMBER($S291),$S291="DNA"),$S291,IF(OR(ISNUMBER($R291),$R291="DNA"),$R291,IF(OR(ISNUMBER($Q291),$Q291="DNA"),$Q291,IF(OR(ISNUMBER($N291),$N291="DNA"),$N291,IF(OR(ISNUMBER($M291),$M291="DNA"),$M291,IF(OR(ISNUMBER($L291),$L291="DNA"),$L291,"")))))))))),IF(ISNUMBER($V291),"Update status","Missed/not booked?"),""))))</f>
        <v/>
      </c>
      <c r="K291" s="29">
        <f>IF(NOT(AND($A291&lt;&gt;"",OR($G291="",$G291="Active"))),"",IF(MIN(IF(AND(ISNUMBER($L291),$L291&gt;=TODAY()),$L291,99999),IF(AND(ISNUMBER($M291),$M291&gt;=TODAY()),$M291,99999),IF(AND(ISNUMBER($N291),$N291&gt;=TODAY()),$N291,99999),IF(AND(ISNUMBER($Q291),$Q291&gt;=TODAY()),$Q291,99999),IF(AND(ISNUMBER($R291),$R291&gt;=TODAY()),$R291,99999),IF(AND(ISNUMBER($S291),$S291&gt;=TODAY()),$S291,99999),IF(AND(ISNUMBER($T291),$T291&gt;=TODAY()),$T291,99999),IF(AND(ISNUMBER($U291),$U291&gt;=TODAY()),$U291,99999),IF(AND(ISNUMBER($V291),$V291&gt;=TODAY()),$V291,99999))=99999,"",MIN(IF(AND(ISNUMBER($L291),$L291&gt;=TODAY()),$L291,99999),IF(AND(ISNUMBER($M291),$M291&gt;=TODAY()),$M291,99999),IF(AND(ISNUMBER($N291),$N291&gt;=TODAY()),$N291,99999),IF(AND(ISNUMBER($Q291),$Q291&gt;=TODAY()),$Q291,99999),IF(AND(ISNUMBER($R291),$R291&gt;=TODAY()),$R291,99999),IF(AND(ISNUMBER($S291),$S291&gt;=TODAY()),$S291,99999),IF(AND(ISNUMBER($T291),$T291&gt;=TODAY()),$T291,99999),IF(AND(ISNUMBER($U291),$U291&gt;=TODAY()),$U291,99999),IF(AND(ISNUMBER($V291),$V291&gt;=TODAY()),$V291,99999))))</f>
        <v/>
      </c>
      <c r="L291" s="27" t="n"/>
      <c r="M291" s="27" t="n"/>
      <c r="N291" s="27" t="n"/>
      <c r="O291" s="27" t="n"/>
      <c r="P291" s="27" t="n"/>
      <c r="Q291" s="27" t="n"/>
      <c r="R291" s="27" t="n"/>
      <c r="S291" s="27" t="n"/>
      <c r="T291" s="27" t="n"/>
      <c r="U291" s="27" t="n"/>
      <c r="V291" s="27" t="n"/>
      <c r="W291" s="27" t="n"/>
      <c r="X291" s="27" t="n"/>
      <c r="Y291" s="27" t="n"/>
      <c r="Z291" s="30" t="n"/>
      <c r="AA291" s="25" t="n"/>
      <c r="AB291" s="28">
        <f>IF(NOT(AND($A291&lt;&gt;"",OR($G291="",$G291="Active"))),"",IF(OR(IF(OR(ISNUMBER($V291),$V291="DNA"),$V291,IF(OR(ISNUMBER($U291),$U291="DNA"),$U291,IF(OR(ISNUMBER($T291),$T291="DNA"),$T291,IF(OR(ISNUMBER($S291),$S291="DNA"),$S291,IF(OR(ISNUMBER($R291),$R291="DNA"),$R291,IF(OR(ISNUMBER($Q291),$Q291="DNA"),$Q291,IF(OR(ISNUMBER($N291),$N291="DNA"),$N291,IF(OR(ISNUMBER($M291),$M291="DNA"),$M291,IF(OR(ISNUMBER($L291),$L291="DNA"),$L291,"")))))))))="DNA",AND(ISNUMBER(IF(OR(ISNUMBER($V291),$V291="DNA"),$V291,IF(OR(ISNUMBER($U291),$U291="DNA"),$U291,IF(OR(ISNUMBER($T291),$T291="DNA"),$T291,IF(OR(ISNUMBER($S291),$S291="DNA"),$S291,IF(OR(ISNUMBER($R291),$R291="DNA"),$R291,IF(OR(ISNUMBER($Q291),$Q291="DNA"),$Q291,IF(OR(ISNUMBER($N291),$N291="DNA"),$N291,IF(OR(ISNUMBER($M291),$M291="DNA"),$M291,IF(OR(ISNUMBER($L291),$L291="DNA"),$L291,"")))))))))),IF(OR(ISNUMBER($V291),$V291="DNA"),$V291,IF(OR(ISNUMBER($U291),$U291="DNA"),$U291,IF(OR(ISNUMBER($T291),$T291="DNA"),$T291,IF(OR(ISNUMBER($S291),$S291="DNA"),$S291,IF(OR(ISNUMBER($R291),$R291="DNA"),$R291,IF(OR(ISNUMBER($Q291),$Q291="DNA"),$Q291,IF(OR(ISNUMBER($N291),$N291="DNA"),$N291,IF(OR(ISNUMBER($M291),$M291="DNA"),$M291,IF(OR(ISNUMBER($L291),$L291="DNA"),$L291,"")))))))))&lt;TODAY())),1,0)+ISNUMBER($O291)*($O291&lt;TODAY())+ISNUMBER($P291)*($P291&lt;TODAY())+ISNUMBER($X291)*($X291&lt;TODAY())+ISNUMBER($Y291)*($Y291&lt;TODAY()))</f>
        <v/>
      </c>
    </row>
    <row r="292">
      <c r="A292" s="25" t="n"/>
      <c r="B292" s="26" t="n"/>
      <c r="C292" s="27" t="n"/>
      <c r="D292" s="25" t="n"/>
      <c r="E292" s="25" t="n"/>
      <c r="F292" s="27" t="n"/>
      <c r="G292" s="25" t="n"/>
      <c r="H292" s="28">
        <f>IF(OR(NOT(AND($A292&lt;&gt;"",OR($G292="",$G292="Active"))),$F292=""),"",INT((TODAY()-$F292+280)/7)&amp;"+"&amp;MOD(TODAY()-$F292+280,7))</f>
        <v/>
      </c>
      <c r="I292" s="28">
        <f>IF(NOT(AND($A292&lt;&gt;"",OR($G292="",$G292="Active"))),"",ISNUMBER($L292)*($L292&gt;=TODAY())*($L292&lt;=TODAY()+7)+ISNUMBER($M292)*($M292&gt;=TODAY())*($M292&lt;=TODAY()+7)+ISNUMBER($N292)*($N292&gt;=TODAY())*($N292&lt;=TODAY()+7)+ISNUMBER($Q292)*($Q292&gt;=TODAY())*($Q292&lt;=TODAY()+7)+ISNUMBER($R292)*($R292&gt;=TODAY())*($R292&lt;=TODAY()+7)+ISNUMBER($S292)*($S292&gt;=TODAY())*($S292&lt;=TODAY()+7)+ISNUMBER($T292)*($T292&gt;=TODAY())*($T292&lt;=TODAY()+7)+ISNUMBER($U292)*($U292&gt;=TODAY())*($U292&lt;=TODAY()+7)+ISNUMBER($V292)*($V292&gt;=TODAY())*($V292&lt;=TODAY()+7)+ISNUMBER($O292)*($O292&gt;=TODAY())*($O292&lt;=TODAY()+7)+ISNUMBER($P292)*($P292&gt;=TODAY())*($P292&lt;=TODAY()+7)+ISNUMBER($X292)*($X292&gt;=TODAY())*($X292&lt;=TODAY()+7)+ISNUMBER($Y292)*($Y292&gt;=TODAY())*($Y292&lt;=TODAY()+7))</f>
        <v/>
      </c>
      <c r="J292" s="28">
        <f>IF(NOT(AND($A292&lt;&gt;"",OR($G292="",$G292="Active"))),"",IF($K292&lt;&gt;"",IF($L292=$K292,"Booking",IF($M292=$K292,"16/40",IF($N292=$K292,"25/40",IF($Q292=$K292,"28/40",IF($R292=$K292,"31/40",IF($S292=$K292,"34/40",IF($T292=$K292,"36/40",IF($U292=$K292,"38/40",IF($V292=$K292,"40/40",""))))))))),IF(IF(OR(ISNUMBER($V292),$V292="DNA"),$V292,IF(OR(ISNUMBER($U292),$U292="DNA"),$U292,IF(OR(ISNUMBER($T292),$T292="DNA"),$T292,IF(OR(ISNUMBER($S292),$S292="DNA"),$S292,IF(OR(ISNUMBER($R292),$R292="DNA"),$R292,IF(OR(ISNUMBER($Q292),$Q292="DNA"),$Q292,IF(OR(ISNUMBER($N292),$N292="DNA"),$N292,IF(OR(ISNUMBER($M292),$M292="DNA"),$M292,IF(OR(ISNUMBER($L292),$L292="DNA"),$L292,"")))))))))="DNA","Rebook DNA",IF(ISNUMBER(IF(OR(ISNUMBER($V292),$V292="DNA"),$V292,IF(OR(ISNUMBER($U292),$U292="DNA"),$U292,IF(OR(ISNUMBER($T292),$T292="DNA"),$T292,IF(OR(ISNUMBER($S292),$S292="DNA"),$S292,IF(OR(ISNUMBER($R292),$R292="DNA"),$R292,IF(OR(ISNUMBER($Q292),$Q292="DNA"),$Q292,IF(OR(ISNUMBER($N292),$N292="DNA"),$N292,IF(OR(ISNUMBER($M292),$M292="DNA"),$M292,IF(OR(ISNUMBER($L292),$L292="DNA"),$L292,"")))))))))),IF(ISNUMBER($V292),"Update status","Missed/not booked?"),""))))</f>
        <v/>
      </c>
      <c r="K292" s="29">
        <f>IF(NOT(AND($A292&lt;&gt;"",OR($G292="",$G292="Active"))),"",IF(MIN(IF(AND(ISNUMBER($L292),$L292&gt;=TODAY()),$L292,99999),IF(AND(ISNUMBER($M292),$M292&gt;=TODAY()),$M292,99999),IF(AND(ISNUMBER($N292),$N292&gt;=TODAY()),$N292,99999),IF(AND(ISNUMBER($Q292),$Q292&gt;=TODAY()),$Q292,99999),IF(AND(ISNUMBER($R292),$R292&gt;=TODAY()),$R292,99999),IF(AND(ISNUMBER($S292),$S292&gt;=TODAY()),$S292,99999),IF(AND(ISNUMBER($T292),$T292&gt;=TODAY()),$T292,99999),IF(AND(ISNUMBER($U292),$U292&gt;=TODAY()),$U292,99999),IF(AND(ISNUMBER($V292),$V292&gt;=TODAY()),$V292,99999))=99999,"",MIN(IF(AND(ISNUMBER($L292),$L292&gt;=TODAY()),$L292,99999),IF(AND(ISNUMBER($M292),$M292&gt;=TODAY()),$M292,99999),IF(AND(ISNUMBER($N292),$N292&gt;=TODAY()),$N292,99999),IF(AND(ISNUMBER($Q292),$Q292&gt;=TODAY()),$Q292,99999),IF(AND(ISNUMBER($R292),$R292&gt;=TODAY()),$R292,99999),IF(AND(ISNUMBER($S292),$S292&gt;=TODAY()),$S292,99999),IF(AND(ISNUMBER($T292),$T292&gt;=TODAY()),$T292,99999),IF(AND(ISNUMBER($U292),$U292&gt;=TODAY()),$U292,99999),IF(AND(ISNUMBER($V292),$V292&gt;=TODAY()),$V292,99999))))</f>
        <v/>
      </c>
      <c r="L292" s="27" t="n"/>
      <c r="M292" s="27" t="n"/>
      <c r="N292" s="27" t="n"/>
      <c r="O292" s="27" t="n"/>
      <c r="P292" s="27" t="n"/>
      <c r="Q292" s="27" t="n"/>
      <c r="R292" s="27" t="n"/>
      <c r="S292" s="27" t="n"/>
      <c r="T292" s="27" t="n"/>
      <c r="U292" s="27" t="n"/>
      <c r="V292" s="27" t="n"/>
      <c r="W292" s="27" t="n"/>
      <c r="X292" s="27" t="n"/>
      <c r="Y292" s="27" t="n"/>
      <c r="Z292" s="30" t="n"/>
      <c r="AA292" s="25" t="n"/>
      <c r="AB292" s="28">
        <f>IF(NOT(AND($A292&lt;&gt;"",OR($G292="",$G292="Active"))),"",IF(OR(IF(OR(ISNUMBER($V292),$V292="DNA"),$V292,IF(OR(ISNUMBER($U292),$U292="DNA"),$U292,IF(OR(ISNUMBER($T292),$T292="DNA"),$T292,IF(OR(ISNUMBER($S292),$S292="DNA"),$S292,IF(OR(ISNUMBER($R292),$R292="DNA"),$R292,IF(OR(ISNUMBER($Q292),$Q292="DNA"),$Q292,IF(OR(ISNUMBER($N292),$N292="DNA"),$N292,IF(OR(ISNUMBER($M292),$M292="DNA"),$M292,IF(OR(ISNUMBER($L292),$L292="DNA"),$L292,"")))))))))="DNA",AND(ISNUMBER(IF(OR(ISNUMBER($V292),$V292="DNA"),$V292,IF(OR(ISNUMBER($U292),$U292="DNA"),$U292,IF(OR(ISNUMBER($T292),$T292="DNA"),$T292,IF(OR(ISNUMBER($S292),$S292="DNA"),$S292,IF(OR(ISNUMBER($R292),$R292="DNA"),$R292,IF(OR(ISNUMBER($Q292),$Q292="DNA"),$Q292,IF(OR(ISNUMBER($N292),$N292="DNA"),$N292,IF(OR(ISNUMBER($M292),$M292="DNA"),$M292,IF(OR(ISNUMBER($L292),$L292="DNA"),$L292,"")))))))))),IF(OR(ISNUMBER($V292),$V292="DNA"),$V292,IF(OR(ISNUMBER($U292),$U292="DNA"),$U292,IF(OR(ISNUMBER($T292),$T292="DNA"),$T292,IF(OR(ISNUMBER($S292),$S292="DNA"),$S292,IF(OR(ISNUMBER($R292),$R292="DNA"),$R292,IF(OR(ISNUMBER($Q292),$Q292="DNA"),$Q292,IF(OR(ISNUMBER($N292),$N292="DNA"),$N292,IF(OR(ISNUMBER($M292),$M292="DNA"),$M292,IF(OR(ISNUMBER($L292),$L292="DNA"),$L292,"")))))))))&lt;TODAY())),1,0)+ISNUMBER($O292)*($O292&lt;TODAY())+ISNUMBER($P292)*($P292&lt;TODAY())+ISNUMBER($X292)*($X292&lt;TODAY())+ISNUMBER($Y292)*($Y292&lt;TODAY()))</f>
        <v/>
      </c>
    </row>
    <row r="293">
      <c r="A293" s="25" t="n"/>
      <c r="B293" s="26" t="n"/>
      <c r="C293" s="27" t="n"/>
      <c r="D293" s="25" t="n"/>
      <c r="E293" s="25" t="n"/>
      <c r="F293" s="27" t="n"/>
      <c r="G293" s="25" t="n"/>
      <c r="H293" s="28">
        <f>IF(OR(NOT(AND($A293&lt;&gt;"",OR($G293="",$G293="Active"))),$F293=""),"",INT((TODAY()-$F293+280)/7)&amp;"+"&amp;MOD(TODAY()-$F293+280,7))</f>
        <v/>
      </c>
      <c r="I293" s="28">
        <f>IF(NOT(AND($A293&lt;&gt;"",OR($G293="",$G293="Active"))),"",ISNUMBER($L293)*($L293&gt;=TODAY())*($L293&lt;=TODAY()+7)+ISNUMBER($M293)*($M293&gt;=TODAY())*($M293&lt;=TODAY()+7)+ISNUMBER($N293)*($N293&gt;=TODAY())*($N293&lt;=TODAY()+7)+ISNUMBER($Q293)*($Q293&gt;=TODAY())*($Q293&lt;=TODAY()+7)+ISNUMBER($R293)*($R293&gt;=TODAY())*($R293&lt;=TODAY()+7)+ISNUMBER($S293)*($S293&gt;=TODAY())*($S293&lt;=TODAY()+7)+ISNUMBER($T293)*($T293&gt;=TODAY())*($T293&lt;=TODAY()+7)+ISNUMBER($U293)*($U293&gt;=TODAY())*($U293&lt;=TODAY()+7)+ISNUMBER($V293)*($V293&gt;=TODAY())*($V293&lt;=TODAY()+7)+ISNUMBER($O293)*($O293&gt;=TODAY())*($O293&lt;=TODAY()+7)+ISNUMBER($P293)*($P293&gt;=TODAY())*($P293&lt;=TODAY()+7)+ISNUMBER($X293)*($X293&gt;=TODAY())*($X293&lt;=TODAY()+7)+ISNUMBER($Y293)*($Y293&gt;=TODAY())*($Y293&lt;=TODAY()+7))</f>
        <v/>
      </c>
      <c r="J293" s="28">
        <f>IF(NOT(AND($A293&lt;&gt;"",OR($G293="",$G293="Active"))),"",IF($K293&lt;&gt;"",IF($L293=$K293,"Booking",IF($M293=$K293,"16/40",IF($N293=$K293,"25/40",IF($Q293=$K293,"28/40",IF($R293=$K293,"31/40",IF($S293=$K293,"34/40",IF($T293=$K293,"36/40",IF($U293=$K293,"38/40",IF($V293=$K293,"40/40",""))))))))),IF(IF(OR(ISNUMBER($V293),$V293="DNA"),$V293,IF(OR(ISNUMBER($U293),$U293="DNA"),$U293,IF(OR(ISNUMBER($T293),$T293="DNA"),$T293,IF(OR(ISNUMBER($S293),$S293="DNA"),$S293,IF(OR(ISNUMBER($R293),$R293="DNA"),$R293,IF(OR(ISNUMBER($Q293),$Q293="DNA"),$Q293,IF(OR(ISNUMBER($N293),$N293="DNA"),$N293,IF(OR(ISNUMBER($M293),$M293="DNA"),$M293,IF(OR(ISNUMBER($L293),$L293="DNA"),$L293,"")))))))))="DNA","Rebook DNA",IF(ISNUMBER(IF(OR(ISNUMBER($V293),$V293="DNA"),$V293,IF(OR(ISNUMBER($U293),$U293="DNA"),$U293,IF(OR(ISNUMBER($T293),$T293="DNA"),$T293,IF(OR(ISNUMBER($S293),$S293="DNA"),$S293,IF(OR(ISNUMBER($R293),$R293="DNA"),$R293,IF(OR(ISNUMBER($Q293),$Q293="DNA"),$Q293,IF(OR(ISNUMBER($N293),$N293="DNA"),$N293,IF(OR(ISNUMBER($M293),$M293="DNA"),$M293,IF(OR(ISNUMBER($L293),$L293="DNA"),$L293,"")))))))))),IF(ISNUMBER($V293),"Update status","Missed/not booked?"),""))))</f>
        <v/>
      </c>
      <c r="K293" s="29">
        <f>IF(NOT(AND($A293&lt;&gt;"",OR($G293="",$G293="Active"))),"",IF(MIN(IF(AND(ISNUMBER($L293),$L293&gt;=TODAY()),$L293,99999),IF(AND(ISNUMBER($M293),$M293&gt;=TODAY()),$M293,99999),IF(AND(ISNUMBER($N293),$N293&gt;=TODAY()),$N293,99999),IF(AND(ISNUMBER($Q293),$Q293&gt;=TODAY()),$Q293,99999),IF(AND(ISNUMBER($R293),$R293&gt;=TODAY()),$R293,99999),IF(AND(ISNUMBER($S293),$S293&gt;=TODAY()),$S293,99999),IF(AND(ISNUMBER($T293),$T293&gt;=TODAY()),$T293,99999),IF(AND(ISNUMBER($U293),$U293&gt;=TODAY()),$U293,99999),IF(AND(ISNUMBER($V293),$V293&gt;=TODAY()),$V293,99999))=99999,"",MIN(IF(AND(ISNUMBER($L293),$L293&gt;=TODAY()),$L293,99999),IF(AND(ISNUMBER($M293),$M293&gt;=TODAY()),$M293,99999),IF(AND(ISNUMBER($N293),$N293&gt;=TODAY()),$N293,99999),IF(AND(ISNUMBER($Q293),$Q293&gt;=TODAY()),$Q293,99999),IF(AND(ISNUMBER($R293),$R293&gt;=TODAY()),$R293,99999),IF(AND(ISNUMBER($S293),$S293&gt;=TODAY()),$S293,99999),IF(AND(ISNUMBER($T293),$T293&gt;=TODAY()),$T293,99999),IF(AND(ISNUMBER($U293),$U293&gt;=TODAY()),$U293,99999),IF(AND(ISNUMBER($V293),$V293&gt;=TODAY()),$V293,99999))))</f>
        <v/>
      </c>
      <c r="L293" s="27" t="n"/>
      <c r="M293" s="27" t="n"/>
      <c r="N293" s="27" t="n"/>
      <c r="O293" s="27" t="n"/>
      <c r="P293" s="27" t="n"/>
      <c r="Q293" s="27" t="n"/>
      <c r="R293" s="27" t="n"/>
      <c r="S293" s="27" t="n"/>
      <c r="T293" s="27" t="n"/>
      <c r="U293" s="27" t="n"/>
      <c r="V293" s="27" t="n"/>
      <c r="W293" s="27" t="n"/>
      <c r="X293" s="27" t="n"/>
      <c r="Y293" s="27" t="n"/>
      <c r="Z293" s="30" t="n"/>
      <c r="AA293" s="25" t="n"/>
      <c r="AB293" s="28">
        <f>IF(NOT(AND($A293&lt;&gt;"",OR($G293="",$G293="Active"))),"",IF(OR(IF(OR(ISNUMBER($V293),$V293="DNA"),$V293,IF(OR(ISNUMBER($U293),$U293="DNA"),$U293,IF(OR(ISNUMBER($T293),$T293="DNA"),$T293,IF(OR(ISNUMBER($S293),$S293="DNA"),$S293,IF(OR(ISNUMBER($R293),$R293="DNA"),$R293,IF(OR(ISNUMBER($Q293),$Q293="DNA"),$Q293,IF(OR(ISNUMBER($N293),$N293="DNA"),$N293,IF(OR(ISNUMBER($M293),$M293="DNA"),$M293,IF(OR(ISNUMBER($L293),$L293="DNA"),$L293,"")))))))))="DNA",AND(ISNUMBER(IF(OR(ISNUMBER($V293),$V293="DNA"),$V293,IF(OR(ISNUMBER($U293),$U293="DNA"),$U293,IF(OR(ISNUMBER($T293),$T293="DNA"),$T293,IF(OR(ISNUMBER($S293),$S293="DNA"),$S293,IF(OR(ISNUMBER($R293),$R293="DNA"),$R293,IF(OR(ISNUMBER($Q293),$Q293="DNA"),$Q293,IF(OR(ISNUMBER($N293),$N293="DNA"),$N293,IF(OR(ISNUMBER($M293),$M293="DNA"),$M293,IF(OR(ISNUMBER($L293),$L293="DNA"),$L293,"")))))))))),IF(OR(ISNUMBER($V293),$V293="DNA"),$V293,IF(OR(ISNUMBER($U293),$U293="DNA"),$U293,IF(OR(ISNUMBER($T293),$T293="DNA"),$T293,IF(OR(ISNUMBER($S293),$S293="DNA"),$S293,IF(OR(ISNUMBER($R293),$R293="DNA"),$R293,IF(OR(ISNUMBER($Q293),$Q293="DNA"),$Q293,IF(OR(ISNUMBER($N293),$N293="DNA"),$N293,IF(OR(ISNUMBER($M293),$M293="DNA"),$M293,IF(OR(ISNUMBER($L293),$L293="DNA"),$L293,"")))))))))&lt;TODAY())),1,0)+ISNUMBER($O293)*($O293&lt;TODAY())+ISNUMBER($P293)*($P293&lt;TODAY())+ISNUMBER($X293)*($X293&lt;TODAY())+ISNUMBER($Y293)*($Y293&lt;TODAY()))</f>
        <v/>
      </c>
    </row>
    <row r="294">
      <c r="A294" s="25" t="n"/>
      <c r="B294" s="26" t="n"/>
      <c r="C294" s="27" t="n"/>
      <c r="D294" s="25" t="n"/>
      <c r="E294" s="25" t="n"/>
      <c r="F294" s="27" t="n"/>
      <c r="G294" s="25" t="n"/>
      <c r="H294" s="28">
        <f>IF(OR(NOT(AND($A294&lt;&gt;"",OR($G294="",$G294="Active"))),$F294=""),"",INT((TODAY()-$F294+280)/7)&amp;"+"&amp;MOD(TODAY()-$F294+280,7))</f>
        <v/>
      </c>
      <c r="I294" s="28">
        <f>IF(NOT(AND($A294&lt;&gt;"",OR($G294="",$G294="Active"))),"",ISNUMBER($L294)*($L294&gt;=TODAY())*($L294&lt;=TODAY()+7)+ISNUMBER($M294)*($M294&gt;=TODAY())*($M294&lt;=TODAY()+7)+ISNUMBER($N294)*($N294&gt;=TODAY())*($N294&lt;=TODAY()+7)+ISNUMBER($Q294)*($Q294&gt;=TODAY())*($Q294&lt;=TODAY()+7)+ISNUMBER($R294)*($R294&gt;=TODAY())*($R294&lt;=TODAY()+7)+ISNUMBER($S294)*($S294&gt;=TODAY())*($S294&lt;=TODAY()+7)+ISNUMBER($T294)*($T294&gt;=TODAY())*($T294&lt;=TODAY()+7)+ISNUMBER($U294)*($U294&gt;=TODAY())*($U294&lt;=TODAY()+7)+ISNUMBER($V294)*($V294&gt;=TODAY())*($V294&lt;=TODAY()+7)+ISNUMBER($O294)*($O294&gt;=TODAY())*($O294&lt;=TODAY()+7)+ISNUMBER($P294)*($P294&gt;=TODAY())*($P294&lt;=TODAY()+7)+ISNUMBER($X294)*($X294&gt;=TODAY())*($X294&lt;=TODAY()+7)+ISNUMBER($Y294)*($Y294&gt;=TODAY())*($Y294&lt;=TODAY()+7))</f>
        <v/>
      </c>
      <c r="J294" s="28">
        <f>IF(NOT(AND($A294&lt;&gt;"",OR($G294="",$G294="Active"))),"",IF($K294&lt;&gt;"",IF($L294=$K294,"Booking",IF($M294=$K294,"16/40",IF($N294=$K294,"25/40",IF($Q294=$K294,"28/40",IF($R294=$K294,"31/40",IF($S294=$K294,"34/40",IF($T294=$K294,"36/40",IF($U294=$K294,"38/40",IF($V294=$K294,"40/40",""))))))))),IF(IF(OR(ISNUMBER($V294),$V294="DNA"),$V294,IF(OR(ISNUMBER($U294),$U294="DNA"),$U294,IF(OR(ISNUMBER($T294),$T294="DNA"),$T294,IF(OR(ISNUMBER($S294),$S294="DNA"),$S294,IF(OR(ISNUMBER($R294),$R294="DNA"),$R294,IF(OR(ISNUMBER($Q294),$Q294="DNA"),$Q294,IF(OR(ISNUMBER($N294),$N294="DNA"),$N294,IF(OR(ISNUMBER($M294),$M294="DNA"),$M294,IF(OR(ISNUMBER($L294),$L294="DNA"),$L294,"")))))))))="DNA","Rebook DNA",IF(ISNUMBER(IF(OR(ISNUMBER($V294),$V294="DNA"),$V294,IF(OR(ISNUMBER($U294),$U294="DNA"),$U294,IF(OR(ISNUMBER($T294),$T294="DNA"),$T294,IF(OR(ISNUMBER($S294),$S294="DNA"),$S294,IF(OR(ISNUMBER($R294),$R294="DNA"),$R294,IF(OR(ISNUMBER($Q294),$Q294="DNA"),$Q294,IF(OR(ISNUMBER($N294),$N294="DNA"),$N294,IF(OR(ISNUMBER($M294),$M294="DNA"),$M294,IF(OR(ISNUMBER($L294),$L294="DNA"),$L294,"")))))))))),IF(ISNUMBER($V294),"Update status","Missed/not booked?"),""))))</f>
        <v/>
      </c>
      <c r="K294" s="29">
        <f>IF(NOT(AND($A294&lt;&gt;"",OR($G294="",$G294="Active"))),"",IF(MIN(IF(AND(ISNUMBER($L294),$L294&gt;=TODAY()),$L294,99999),IF(AND(ISNUMBER($M294),$M294&gt;=TODAY()),$M294,99999),IF(AND(ISNUMBER($N294),$N294&gt;=TODAY()),$N294,99999),IF(AND(ISNUMBER($Q294),$Q294&gt;=TODAY()),$Q294,99999),IF(AND(ISNUMBER($R294),$R294&gt;=TODAY()),$R294,99999),IF(AND(ISNUMBER($S294),$S294&gt;=TODAY()),$S294,99999),IF(AND(ISNUMBER($T294),$T294&gt;=TODAY()),$T294,99999),IF(AND(ISNUMBER($U294),$U294&gt;=TODAY()),$U294,99999),IF(AND(ISNUMBER($V294),$V294&gt;=TODAY()),$V294,99999))=99999,"",MIN(IF(AND(ISNUMBER($L294),$L294&gt;=TODAY()),$L294,99999),IF(AND(ISNUMBER($M294),$M294&gt;=TODAY()),$M294,99999),IF(AND(ISNUMBER($N294),$N294&gt;=TODAY()),$N294,99999),IF(AND(ISNUMBER($Q294),$Q294&gt;=TODAY()),$Q294,99999),IF(AND(ISNUMBER($R294),$R294&gt;=TODAY()),$R294,99999),IF(AND(ISNUMBER($S294),$S294&gt;=TODAY()),$S294,99999),IF(AND(ISNUMBER($T294),$T294&gt;=TODAY()),$T294,99999),IF(AND(ISNUMBER($U294),$U294&gt;=TODAY()),$U294,99999),IF(AND(ISNUMBER($V294),$V294&gt;=TODAY()),$V294,99999))))</f>
        <v/>
      </c>
      <c r="L294" s="27" t="n"/>
      <c r="M294" s="27" t="n"/>
      <c r="N294" s="27" t="n"/>
      <c r="O294" s="27" t="n"/>
      <c r="P294" s="27" t="n"/>
      <c r="Q294" s="27" t="n"/>
      <c r="R294" s="27" t="n"/>
      <c r="S294" s="27" t="n"/>
      <c r="T294" s="27" t="n"/>
      <c r="U294" s="27" t="n"/>
      <c r="V294" s="27" t="n"/>
      <c r="W294" s="27" t="n"/>
      <c r="X294" s="27" t="n"/>
      <c r="Y294" s="27" t="n"/>
      <c r="Z294" s="30" t="n"/>
      <c r="AA294" s="25" t="n"/>
      <c r="AB294" s="28">
        <f>IF(NOT(AND($A294&lt;&gt;"",OR($G294="",$G294="Active"))),"",IF(OR(IF(OR(ISNUMBER($V294),$V294="DNA"),$V294,IF(OR(ISNUMBER($U294),$U294="DNA"),$U294,IF(OR(ISNUMBER($T294),$T294="DNA"),$T294,IF(OR(ISNUMBER($S294),$S294="DNA"),$S294,IF(OR(ISNUMBER($R294),$R294="DNA"),$R294,IF(OR(ISNUMBER($Q294),$Q294="DNA"),$Q294,IF(OR(ISNUMBER($N294),$N294="DNA"),$N294,IF(OR(ISNUMBER($M294),$M294="DNA"),$M294,IF(OR(ISNUMBER($L294),$L294="DNA"),$L294,"")))))))))="DNA",AND(ISNUMBER(IF(OR(ISNUMBER($V294),$V294="DNA"),$V294,IF(OR(ISNUMBER($U294),$U294="DNA"),$U294,IF(OR(ISNUMBER($T294),$T294="DNA"),$T294,IF(OR(ISNUMBER($S294),$S294="DNA"),$S294,IF(OR(ISNUMBER($R294),$R294="DNA"),$R294,IF(OR(ISNUMBER($Q294),$Q294="DNA"),$Q294,IF(OR(ISNUMBER($N294),$N294="DNA"),$N294,IF(OR(ISNUMBER($M294),$M294="DNA"),$M294,IF(OR(ISNUMBER($L294),$L294="DNA"),$L294,"")))))))))),IF(OR(ISNUMBER($V294),$V294="DNA"),$V294,IF(OR(ISNUMBER($U294),$U294="DNA"),$U294,IF(OR(ISNUMBER($T294),$T294="DNA"),$T294,IF(OR(ISNUMBER($S294),$S294="DNA"),$S294,IF(OR(ISNUMBER($R294),$R294="DNA"),$R294,IF(OR(ISNUMBER($Q294),$Q294="DNA"),$Q294,IF(OR(ISNUMBER($N294),$N294="DNA"),$N294,IF(OR(ISNUMBER($M294),$M294="DNA"),$M294,IF(OR(ISNUMBER($L294),$L294="DNA"),$L294,"")))))))))&lt;TODAY())),1,0)+ISNUMBER($O294)*($O294&lt;TODAY())+ISNUMBER($P294)*($P294&lt;TODAY())+ISNUMBER($X294)*($X294&lt;TODAY())+ISNUMBER($Y294)*($Y294&lt;TODAY()))</f>
        <v/>
      </c>
    </row>
    <row r="295">
      <c r="A295" s="25" t="n"/>
      <c r="B295" s="26" t="n"/>
      <c r="C295" s="27" t="n"/>
      <c r="D295" s="25" t="n"/>
      <c r="E295" s="25" t="n"/>
      <c r="F295" s="27" t="n"/>
      <c r="G295" s="25" t="n"/>
      <c r="H295" s="28">
        <f>IF(OR(NOT(AND($A295&lt;&gt;"",OR($G295="",$G295="Active"))),$F295=""),"",INT((TODAY()-$F295+280)/7)&amp;"+"&amp;MOD(TODAY()-$F295+280,7))</f>
        <v/>
      </c>
      <c r="I295" s="28">
        <f>IF(NOT(AND($A295&lt;&gt;"",OR($G295="",$G295="Active"))),"",ISNUMBER($L295)*($L295&gt;=TODAY())*($L295&lt;=TODAY()+7)+ISNUMBER($M295)*($M295&gt;=TODAY())*($M295&lt;=TODAY()+7)+ISNUMBER($N295)*($N295&gt;=TODAY())*($N295&lt;=TODAY()+7)+ISNUMBER($Q295)*($Q295&gt;=TODAY())*($Q295&lt;=TODAY()+7)+ISNUMBER($R295)*($R295&gt;=TODAY())*($R295&lt;=TODAY()+7)+ISNUMBER($S295)*($S295&gt;=TODAY())*($S295&lt;=TODAY()+7)+ISNUMBER($T295)*($T295&gt;=TODAY())*($T295&lt;=TODAY()+7)+ISNUMBER($U295)*($U295&gt;=TODAY())*($U295&lt;=TODAY()+7)+ISNUMBER($V295)*($V295&gt;=TODAY())*($V295&lt;=TODAY()+7)+ISNUMBER($O295)*($O295&gt;=TODAY())*($O295&lt;=TODAY()+7)+ISNUMBER($P295)*($P295&gt;=TODAY())*($P295&lt;=TODAY()+7)+ISNUMBER($X295)*($X295&gt;=TODAY())*($X295&lt;=TODAY()+7)+ISNUMBER($Y295)*($Y295&gt;=TODAY())*($Y295&lt;=TODAY()+7))</f>
        <v/>
      </c>
      <c r="J295" s="28">
        <f>IF(NOT(AND($A295&lt;&gt;"",OR($G295="",$G295="Active"))),"",IF($K295&lt;&gt;"",IF($L295=$K295,"Booking",IF($M295=$K295,"16/40",IF($N295=$K295,"25/40",IF($Q295=$K295,"28/40",IF($R295=$K295,"31/40",IF($S295=$K295,"34/40",IF($T295=$K295,"36/40",IF($U295=$K295,"38/40",IF($V295=$K295,"40/40",""))))))))),IF(IF(OR(ISNUMBER($V295),$V295="DNA"),$V295,IF(OR(ISNUMBER($U295),$U295="DNA"),$U295,IF(OR(ISNUMBER($T295),$T295="DNA"),$T295,IF(OR(ISNUMBER($S295),$S295="DNA"),$S295,IF(OR(ISNUMBER($R295),$R295="DNA"),$R295,IF(OR(ISNUMBER($Q295),$Q295="DNA"),$Q295,IF(OR(ISNUMBER($N295),$N295="DNA"),$N295,IF(OR(ISNUMBER($M295),$M295="DNA"),$M295,IF(OR(ISNUMBER($L295),$L295="DNA"),$L295,"")))))))))="DNA","Rebook DNA",IF(ISNUMBER(IF(OR(ISNUMBER($V295),$V295="DNA"),$V295,IF(OR(ISNUMBER($U295),$U295="DNA"),$U295,IF(OR(ISNUMBER($T295),$T295="DNA"),$T295,IF(OR(ISNUMBER($S295),$S295="DNA"),$S295,IF(OR(ISNUMBER($R295),$R295="DNA"),$R295,IF(OR(ISNUMBER($Q295),$Q295="DNA"),$Q295,IF(OR(ISNUMBER($N295),$N295="DNA"),$N295,IF(OR(ISNUMBER($M295),$M295="DNA"),$M295,IF(OR(ISNUMBER($L295),$L295="DNA"),$L295,"")))))))))),IF(ISNUMBER($V295),"Update status","Missed/not booked?"),""))))</f>
        <v/>
      </c>
      <c r="K295" s="29">
        <f>IF(NOT(AND($A295&lt;&gt;"",OR($G295="",$G295="Active"))),"",IF(MIN(IF(AND(ISNUMBER($L295),$L295&gt;=TODAY()),$L295,99999),IF(AND(ISNUMBER($M295),$M295&gt;=TODAY()),$M295,99999),IF(AND(ISNUMBER($N295),$N295&gt;=TODAY()),$N295,99999),IF(AND(ISNUMBER($Q295),$Q295&gt;=TODAY()),$Q295,99999),IF(AND(ISNUMBER($R295),$R295&gt;=TODAY()),$R295,99999),IF(AND(ISNUMBER($S295),$S295&gt;=TODAY()),$S295,99999),IF(AND(ISNUMBER($T295),$T295&gt;=TODAY()),$T295,99999),IF(AND(ISNUMBER($U295),$U295&gt;=TODAY()),$U295,99999),IF(AND(ISNUMBER($V295),$V295&gt;=TODAY()),$V295,99999))=99999,"",MIN(IF(AND(ISNUMBER($L295),$L295&gt;=TODAY()),$L295,99999),IF(AND(ISNUMBER($M295),$M295&gt;=TODAY()),$M295,99999),IF(AND(ISNUMBER($N295),$N295&gt;=TODAY()),$N295,99999),IF(AND(ISNUMBER($Q295),$Q295&gt;=TODAY()),$Q295,99999),IF(AND(ISNUMBER($R295),$R295&gt;=TODAY()),$R295,99999),IF(AND(ISNUMBER($S295),$S295&gt;=TODAY()),$S295,99999),IF(AND(ISNUMBER($T295),$T295&gt;=TODAY()),$T295,99999),IF(AND(ISNUMBER($U295),$U295&gt;=TODAY()),$U295,99999),IF(AND(ISNUMBER($V295),$V295&gt;=TODAY()),$V295,99999))))</f>
        <v/>
      </c>
      <c r="L295" s="27" t="n"/>
      <c r="M295" s="27" t="n"/>
      <c r="N295" s="27" t="n"/>
      <c r="O295" s="27" t="n"/>
      <c r="P295" s="27" t="n"/>
      <c r="Q295" s="27" t="n"/>
      <c r="R295" s="27" t="n"/>
      <c r="S295" s="27" t="n"/>
      <c r="T295" s="27" t="n"/>
      <c r="U295" s="27" t="n"/>
      <c r="V295" s="27" t="n"/>
      <c r="W295" s="27" t="n"/>
      <c r="X295" s="27" t="n"/>
      <c r="Y295" s="27" t="n"/>
      <c r="Z295" s="30" t="n"/>
      <c r="AA295" s="25" t="n"/>
      <c r="AB295" s="28">
        <f>IF(NOT(AND($A295&lt;&gt;"",OR($G295="",$G295="Active"))),"",IF(OR(IF(OR(ISNUMBER($V295),$V295="DNA"),$V295,IF(OR(ISNUMBER($U295),$U295="DNA"),$U295,IF(OR(ISNUMBER($T295),$T295="DNA"),$T295,IF(OR(ISNUMBER($S295),$S295="DNA"),$S295,IF(OR(ISNUMBER($R295),$R295="DNA"),$R295,IF(OR(ISNUMBER($Q295),$Q295="DNA"),$Q295,IF(OR(ISNUMBER($N295),$N295="DNA"),$N295,IF(OR(ISNUMBER($M295),$M295="DNA"),$M295,IF(OR(ISNUMBER($L295),$L295="DNA"),$L295,"")))))))))="DNA",AND(ISNUMBER(IF(OR(ISNUMBER($V295),$V295="DNA"),$V295,IF(OR(ISNUMBER($U295),$U295="DNA"),$U295,IF(OR(ISNUMBER($T295),$T295="DNA"),$T295,IF(OR(ISNUMBER($S295),$S295="DNA"),$S295,IF(OR(ISNUMBER($R295),$R295="DNA"),$R295,IF(OR(ISNUMBER($Q295),$Q295="DNA"),$Q295,IF(OR(ISNUMBER($N295),$N295="DNA"),$N295,IF(OR(ISNUMBER($M295),$M295="DNA"),$M295,IF(OR(ISNUMBER($L295),$L295="DNA"),$L295,"")))))))))),IF(OR(ISNUMBER($V295),$V295="DNA"),$V295,IF(OR(ISNUMBER($U295),$U295="DNA"),$U295,IF(OR(ISNUMBER($T295),$T295="DNA"),$T295,IF(OR(ISNUMBER($S295),$S295="DNA"),$S295,IF(OR(ISNUMBER($R295),$R295="DNA"),$R295,IF(OR(ISNUMBER($Q295),$Q295="DNA"),$Q295,IF(OR(ISNUMBER($N295),$N295="DNA"),$N295,IF(OR(ISNUMBER($M295),$M295="DNA"),$M295,IF(OR(ISNUMBER($L295),$L295="DNA"),$L295,"")))))))))&lt;TODAY())),1,0)+ISNUMBER($O295)*($O295&lt;TODAY())+ISNUMBER($P295)*($P295&lt;TODAY())+ISNUMBER($X295)*($X295&lt;TODAY())+ISNUMBER($Y295)*($Y295&lt;TODAY()))</f>
        <v/>
      </c>
    </row>
    <row r="296">
      <c r="A296" s="25" t="n"/>
      <c r="B296" s="26" t="n"/>
      <c r="C296" s="27" t="n"/>
      <c r="D296" s="25" t="n"/>
      <c r="E296" s="25" t="n"/>
      <c r="F296" s="27" t="n"/>
      <c r="G296" s="25" t="n"/>
      <c r="H296" s="28">
        <f>IF(OR(NOT(AND($A296&lt;&gt;"",OR($G296="",$G296="Active"))),$F296=""),"",INT((TODAY()-$F296+280)/7)&amp;"+"&amp;MOD(TODAY()-$F296+280,7))</f>
        <v/>
      </c>
      <c r="I296" s="28">
        <f>IF(NOT(AND($A296&lt;&gt;"",OR($G296="",$G296="Active"))),"",ISNUMBER($L296)*($L296&gt;=TODAY())*($L296&lt;=TODAY()+7)+ISNUMBER($M296)*($M296&gt;=TODAY())*($M296&lt;=TODAY()+7)+ISNUMBER($N296)*($N296&gt;=TODAY())*($N296&lt;=TODAY()+7)+ISNUMBER($Q296)*($Q296&gt;=TODAY())*($Q296&lt;=TODAY()+7)+ISNUMBER($R296)*($R296&gt;=TODAY())*($R296&lt;=TODAY()+7)+ISNUMBER($S296)*($S296&gt;=TODAY())*($S296&lt;=TODAY()+7)+ISNUMBER($T296)*($T296&gt;=TODAY())*($T296&lt;=TODAY()+7)+ISNUMBER($U296)*($U296&gt;=TODAY())*($U296&lt;=TODAY()+7)+ISNUMBER($V296)*($V296&gt;=TODAY())*($V296&lt;=TODAY()+7)+ISNUMBER($O296)*($O296&gt;=TODAY())*($O296&lt;=TODAY()+7)+ISNUMBER($P296)*($P296&gt;=TODAY())*($P296&lt;=TODAY()+7)+ISNUMBER($X296)*($X296&gt;=TODAY())*($X296&lt;=TODAY()+7)+ISNUMBER($Y296)*($Y296&gt;=TODAY())*($Y296&lt;=TODAY()+7))</f>
        <v/>
      </c>
      <c r="J296" s="28">
        <f>IF(NOT(AND($A296&lt;&gt;"",OR($G296="",$G296="Active"))),"",IF($K296&lt;&gt;"",IF($L296=$K296,"Booking",IF($M296=$K296,"16/40",IF($N296=$K296,"25/40",IF($Q296=$K296,"28/40",IF($R296=$K296,"31/40",IF($S296=$K296,"34/40",IF($T296=$K296,"36/40",IF($U296=$K296,"38/40",IF($V296=$K296,"40/40",""))))))))),IF(IF(OR(ISNUMBER($V296),$V296="DNA"),$V296,IF(OR(ISNUMBER($U296),$U296="DNA"),$U296,IF(OR(ISNUMBER($T296),$T296="DNA"),$T296,IF(OR(ISNUMBER($S296),$S296="DNA"),$S296,IF(OR(ISNUMBER($R296),$R296="DNA"),$R296,IF(OR(ISNUMBER($Q296),$Q296="DNA"),$Q296,IF(OR(ISNUMBER($N296),$N296="DNA"),$N296,IF(OR(ISNUMBER($M296),$M296="DNA"),$M296,IF(OR(ISNUMBER($L296),$L296="DNA"),$L296,"")))))))))="DNA","Rebook DNA",IF(ISNUMBER(IF(OR(ISNUMBER($V296),$V296="DNA"),$V296,IF(OR(ISNUMBER($U296),$U296="DNA"),$U296,IF(OR(ISNUMBER($T296),$T296="DNA"),$T296,IF(OR(ISNUMBER($S296),$S296="DNA"),$S296,IF(OR(ISNUMBER($R296),$R296="DNA"),$R296,IF(OR(ISNUMBER($Q296),$Q296="DNA"),$Q296,IF(OR(ISNUMBER($N296),$N296="DNA"),$N296,IF(OR(ISNUMBER($M296),$M296="DNA"),$M296,IF(OR(ISNUMBER($L296),$L296="DNA"),$L296,"")))))))))),IF(ISNUMBER($V296),"Update status","Missed/not booked?"),""))))</f>
        <v/>
      </c>
      <c r="K296" s="29">
        <f>IF(NOT(AND($A296&lt;&gt;"",OR($G296="",$G296="Active"))),"",IF(MIN(IF(AND(ISNUMBER($L296),$L296&gt;=TODAY()),$L296,99999),IF(AND(ISNUMBER($M296),$M296&gt;=TODAY()),$M296,99999),IF(AND(ISNUMBER($N296),$N296&gt;=TODAY()),$N296,99999),IF(AND(ISNUMBER($Q296),$Q296&gt;=TODAY()),$Q296,99999),IF(AND(ISNUMBER($R296),$R296&gt;=TODAY()),$R296,99999),IF(AND(ISNUMBER($S296),$S296&gt;=TODAY()),$S296,99999),IF(AND(ISNUMBER($T296),$T296&gt;=TODAY()),$T296,99999),IF(AND(ISNUMBER($U296),$U296&gt;=TODAY()),$U296,99999),IF(AND(ISNUMBER($V296),$V296&gt;=TODAY()),$V296,99999))=99999,"",MIN(IF(AND(ISNUMBER($L296),$L296&gt;=TODAY()),$L296,99999),IF(AND(ISNUMBER($M296),$M296&gt;=TODAY()),$M296,99999),IF(AND(ISNUMBER($N296),$N296&gt;=TODAY()),$N296,99999),IF(AND(ISNUMBER($Q296),$Q296&gt;=TODAY()),$Q296,99999),IF(AND(ISNUMBER($R296),$R296&gt;=TODAY()),$R296,99999),IF(AND(ISNUMBER($S296),$S296&gt;=TODAY()),$S296,99999),IF(AND(ISNUMBER($T296),$T296&gt;=TODAY()),$T296,99999),IF(AND(ISNUMBER($U296),$U296&gt;=TODAY()),$U296,99999),IF(AND(ISNUMBER($V296),$V296&gt;=TODAY()),$V296,99999))))</f>
        <v/>
      </c>
      <c r="L296" s="27" t="n"/>
      <c r="M296" s="27" t="n"/>
      <c r="N296" s="27" t="n"/>
      <c r="O296" s="27" t="n"/>
      <c r="P296" s="27" t="n"/>
      <c r="Q296" s="27" t="n"/>
      <c r="R296" s="27" t="n"/>
      <c r="S296" s="27" t="n"/>
      <c r="T296" s="27" t="n"/>
      <c r="U296" s="27" t="n"/>
      <c r="V296" s="27" t="n"/>
      <c r="W296" s="27" t="n"/>
      <c r="X296" s="27" t="n"/>
      <c r="Y296" s="27" t="n"/>
      <c r="Z296" s="30" t="n"/>
      <c r="AA296" s="25" t="n"/>
      <c r="AB296" s="28">
        <f>IF(NOT(AND($A296&lt;&gt;"",OR($G296="",$G296="Active"))),"",IF(OR(IF(OR(ISNUMBER($V296),$V296="DNA"),$V296,IF(OR(ISNUMBER($U296),$U296="DNA"),$U296,IF(OR(ISNUMBER($T296),$T296="DNA"),$T296,IF(OR(ISNUMBER($S296),$S296="DNA"),$S296,IF(OR(ISNUMBER($R296),$R296="DNA"),$R296,IF(OR(ISNUMBER($Q296),$Q296="DNA"),$Q296,IF(OR(ISNUMBER($N296),$N296="DNA"),$N296,IF(OR(ISNUMBER($M296),$M296="DNA"),$M296,IF(OR(ISNUMBER($L296),$L296="DNA"),$L296,"")))))))))="DNA",AND(ISNUMBER(IF(OR(ISNUMBER($V296),$V296="DNA"),$V296,IF(OR(ISNUMBER($U296),$U296="DNA"),$U296,IF(OR(ISNUMBER($T296),$T296="DNA"),$T296,IF(OR(ISNUMBER($S296),$S296="DNA"),$S296,IF(OR(ISNUMBER($R296),$R296="DNA"),$R296,IF(OR(ISNUMBER($Q296),$Q296="DNA"),$Q296,IF(OR(ISNUMBER($N296),$N296="DNA"),$N296,IF(OR(ISNUMBER($M296),$M296="DNA"),$M296,IF(OR(ISNUMBER($L296),$L296="DNA"),$L296,"")))))))))),IF(OR(ISNUMBER($V296),$V296="DNA"),$V296,IF(OR(ISNUMBER($U296),$U296="DNA"),$U296,IF(OR(ISNUMBER($T296),$T296="DNA"),$T296,IF(OR(ISNUMBER($S296),$S296="DNA"),$S296,IF(OR(ISNUMBER($R296),$R296="DNA"),$R296,IF(OR(ISNUMBER($Q296),$Q296="DNA"),$Q296,IF(OR(ISNUMBER($N296),$N296="DNA"),$N296,IF(OR(ISNUMBER($M296),$M296="DNA"),$M296,IF(OR(ISNUMBER($L296),$L296="DNA"),$L296,"")))))))))&lt;TODAY())),1,0)+ISNUMBER($O296)*($O296&lt;TODAY())+ISNUMBER($P296)*($P296&lt;TODAY())+ISNUMBER($X296)*($X296&lt;TODAY())+ISNUMBER($Y296)*($Y296&lt;TODAY()))</f>
        <v/>
      </c>
    </row>
    <row r="297">
      <c r="A297" s="25" t="n"/>
      <c r="B297" s="26" t="n"/>
      <c r="C297" s="27" t="n"/>
      <c r="D297" s="25" t="n"/>
      <c r="E297" s="25" t="n"/>
      <c r="F297" s="27" t="n"/>
      <c r="G297" s="25" t="n"/>
      <c r="H297" s="28">
        <f>IF(OR(NOT(AND($A297&lt;&gt;"",OR($G297="",$G297="Active"))),$F297=""),"",INT((TODAY()-$F297+280)/7)&amp;"+"&amp;MOD(TODAY()-$F297+280,7))</f>
        <v/>
      </c>
      <c r="I297" s="28">
        <f>IF(NOT(AND($A297&lt;&gt;"",OR($G297="",$G297="Active"))),"",ISNUMBER($L297)*($L297&gt;=TODAY())*($L297&lt;=TODAY()+7)+ISNUMBER($M297)*($M297&gt;=TODAY())*($M297&lt;=TODAY()+7)+ISNUMBER($N297)*($N297&gt;=TODAY())*($N297&lt;=TODAY()+7)+ISNUMBER($Q297)*($Q297&gt;=TODAY())*($Q297&lt;=TODAY()+7)+ISNUMBER($R297)*($R297&gt;=TODAY())*($R297&lt;=TODAY()+7)+ISNUMBER($S297)*($S297&gt;=TODAY())*($S297&lt;=TODAY()+7)+ISNUMBER($T297)*($T297&gt;=TODAY())*($T297&lt;=TODAY()+7)+ISNUMBER($U297)*($U297&gt;=TODAY())*($U297&lt;=TODAY()+7)+ISNUMBER($V297)*($V297&gt;=TODAY())*($V297&lt;=TODAY()+7)+ISNUMBER($O297)*($O297&gt;=TODAY())*($O297&lt;=TODAY()+7)+ISNUMBER($P297)*($P297&gt;=TODAY())*($P297&lt;=TODAY()+7)+ISNUMBER($X297)*($X297&gt;=TODAY())*($X297&lt;=TODAY()+7)+ISNUMBER($Y297)*($Y297&gt;=TODAY())*($Y297&lt;=TODAY()+7))</f>
        <v/>
      </c>
      <c r="J297" s="28">
        <f>IF(NOT(AND($A297&lt;&gt;"",OR($G297="",$G297="Active"))),"",IF($K297&lt;&gt;"",IF($L297=$K297,"Booking",IF($M297=$K297,"16/40",IF($N297=$K297,"25/40",IF($Q297=$K297,"28/40",IF($R297=$K297,"31/40",IF($S297=$K297,"34/40",IF($T297=$K297,"36/40",IF($U297=$K297,"38/40",IF($V297=$K297,"40/40",""))))))))),IF(IF(OR(ISNUMBER($V297),$V297="DNA"),$V297,IF(OR(ISNUMBER($U297),$U297="DNA"),$U297,IF(OR(ISNUMBER($T297),$T297="DNA"),$T297,IF(OR(ISNUMBER($S297),$S297="DNA"),$S297,IF(OR(ISNUMBER($R297),$R297="DNA"),$R297,IF(OR(ISNUMBER($Q297),$Q297="DNA"),$Q297,IF(OR(ISNUMBER($N297),$N297="DNA"),$N297,IF(OR(ISNUMBER($M297),$M297="DNA"),$M297,IF(OR(ISNUMBER($L297),$L297="DNA"),$L297,"")))))))))="DNA","Rebook DNA",IF(ISNUMBER(IF(OR(ISNUMBER($V297),$V297="DNA"),$V297,IF(OR(ISNUMBER($U297),$U297="DNA"),$U297,IF(OR(ISNUMBER($T297),$T297="DNA"),$T297,IF(OR(ISNUMBER($S297),$S297="DNA"),$S297,IF(OR(ISNUMBER($R297),$R297="DNA"),$R297,IF(OR(ISNUMBER($Q297),$Q297="DNA"),$Q297,IF(OR(ISNUMBER($N297),$N297="DNA"),$N297,IF(OR(ISNUMBER($M297),$M297="DNA"),$M297,IF(OR(ISNUMBER($L297),$L297="DNA"),$L297,"")))))))))),IF(ISNUMBER($V297),"Update status","Missed/not booked?"),""))))</f>
        <v/>
      </c>
      <c r="K297" s="29">
        <f>IF(NOT(AND($A297&lt;&gt;"",OR($G297="",$G297="Active"))),"",IF(MIN(IF(AND(ISNUMBER($L297),$L297&gt;=TODAY()),$L297,99999),IF(AND(ISNUMBER($M297),$M297&gt;=TODAY()),$M297,99999),IF(AND(ISNUMBER($N297),$N297&gt;=TODAY()),$N297,99999),IF(AND(ISNUMBER($Q297),$Q297&gt;=TODAY()),$Q297,99999),IF(AND(ISNUMBER($R297),$R297&gt;=TODAY()),$R297,99999),IF(AND(ISNUMBER($S297),$S297&gt;=TODAY()),$S297,99999),IF(AND(ISNUMBER($T297),$T297&gt;=TODAY()),$T297,99999),IF(AND(ISNUMBER($U297),$U297&gt;=TODAY()),$U297,99999),IF(AND(ISNUMBER($V297),$V297&gt;=TODAY()),$V297,99999))=99999,"",MIN(IF(AND(ISNUMBER($L297),$L297&gt;=TODAY()),$L297,99999),IF(AND(ISNUMBER($M297),$M297&gt;=TODAY()),$M297,99999),IF(AND(ISNUMBER($N297),$N297&gt;=TODAY()),$N297,99999),IF(AND(ISNUMBER($Q297),$Q297&gt;=TODAY()),$Q297,99999),IF(AND(ISNUMBER($R297),$R297&gt;=TODAY()),$R297,99999),IF(AND(ISNUMBER($S297),$S297&gt;=TODAY()),$S297,99999),IF(AND(ISNUMBER($T297),$T297&gt;=TODAY()),$T297,99999),IF(AND(ISNUMBER($U297),$U297&gt;=TODAY()),$U297,99999),IF(AND(ISNUMBER($V297),$V297&gt;=TODAY()),$V297,99999))))</f>
        <v/>
      </c>
      <c r="L297" s="27" t="n"/>
      <c r="M297" s="27" t="n"/>
      <c r="N297" s="27" t="n"/>
      <c r="O297" s="27" t="n"/>
      <c r="P297" s="27" t="n"/>
      <c r="Q297" s="27" t="n"/>
      <c r="R297" s="27" t="n"/>
      <c r="S297" s="27" t="n"/>
      <c r="T297" s="27" t="n"/>
      <c r="U297" s="27" t="n"/>
      <c r="V297" s="27" t="n"/>
      <c r="W297" s="27" t="n"/>
      <c r="X297" s="27" t="n"/>
      <c r="Y297" s="27" t="n"/>
      <c r="Z297" s="30" t="n"/>
      <c r="AA297" s="25" t="n"/>
      <c r="AB297" s="28">
        <f>IF(NOT(AND($A297&lt;&gt;"",OR($G297="",$G297="Active"))),"",IF(OR(IF(OR(ISNUMBER($V297),$V297="DNA"),$V297,IF(OR(ISNUMBER($U297),$U297="DNA"),$U297,IF(OR(ISNUMBER($T297),$T297="DNA"),$T297,IF(OR(ISNUMBER($S297),$S297="DNA"),$S297,IF(OR(ISNUMBER($R297),$R297="DNA"),$R297,IF(OR(ISNUMBER($Q297),$Q297="DNA"),$Q297,IF(OR(ISNUMBER($N297),$N297="DNA"),$N297,IF(OR(ISNUMBER($M297),$M297="DNA"),$M297,IF(OR(ISNUMBER($L297),$L297="DNA"),$L297,"")))))))))="DNA",AND(ISNUMBER(IF(OR(ISNUMBER($V297),$V297="DNA"),$V297,IF(OR(ISNUMBER($U297),$U297="DNA"),$U297,IF(OR(ISNUMBER($T297),$T297="DNA"),$T297,IF(OR(ISNUMBER($S297),$S297="DNA"),$S297,IF(OR(ISNUMBER($R297),$R297="DNA"),$R297,IF(OR(ISNUMBER($Q297),$Q297="DNA"),$Q297,IF(OR(ISNUMBER($N297),$N297="DNA"),$N297,IF(OR(ISNUMBER($M297),$M297="DNA"),$M297,IF(OR(ISNUMBER($L297),$L297="DNA"),$L297,"")))))))))),IF(OR(ISNUMBER($V297),$V297="DNA"),$V297,IF(OR(ISNUMBER($U297),$U297="DNA"),$U297,IF(OR(ISNUMBER($T297),$T297="DNA"),$T297,IF(OR(ISNUMBER($S297),$S297="DNA"),$S297,IF(OR(ISNUMBER($R297),$R297="DNA"),$R297,IF(OR(ISNUMBER($Q297),$Q297="DNA"),$Q297,IF(OR(ISNUMBER($N297),$N297="DNA"),$N297,IF(OR(ISNUMBER($M297),$M297="DNA"),$M297,IF(OR(ISNUMBER($L297),$L297="DNA"),$L297,"")))))))))&lt;TODAY())),1,0)+ISNUMBER($O297)*($O297&lt;TODAY())+ISNUMBER($P297)*($P297&lt;TODAY())+ISNUMBER($X297)*($X297&lt;TODAY())+ISNUMBER($Y297)*($Y297&lt;TODAY()))</f>
        <v/>
      </c>
    </row>
    <row r="298">
      <c r="A298" s="25" t="n"/>
      <c r="B298" s="26" t="n"/>
      <c r="C298" s="27" t="n"/>
      <c r="D298" s="25" t="n"/>
      <c r="E298" s="25" t="n"/>
      <c r="F298" s="27" t="n"/>
      <c r="G298" s="25" t="n"/>
      <c r="H298" s="28">
        <f>IF(OR(NOT(AND($A298&lt;&gt;"",OR($G298="",$G298="Active"))),$F298=""),"",INT((TODAY()-$F298+280)/7)&amp;"+"&amp;MOD(TODAY()-$F298+280,7))</f>
        <v/>
      </c>
      <c r="I298" s="28">
        <f>IF(NOT(AND($A298&lt;&gt;"",OR($G298="",$G298="Active"))),"",ISNUMBER($L298)*($L298&gt;=TODAY())*($L298&lt;=TODAY()+7)+ISNUMBER($M298)*($M298&gt;=TODAY())*($M298&lt;=TODAY()+7)+ISNUMBER($N298)*($N298&gt;=TODAY())*($N298&lt;=TODAY()+7)+ISNUMBER($Q298)*($Q298&gt;=TODAY())*($Q298&lt;=TODAY()+7)+ISNUMBER($R298)*($R298&gt;=TODAY())*($R298&lt;=TODAY()+7)+ISNUMBER($S298)*($S298&gt;=TODAY())*($S298&lt;=TODAY()+7)+ISNUMBER($T298)*($T298&gt;=TODAY())*($T298&lt;=TODAY()+7)+ISNUMBER($U298)*($U298&gt;=TODAY())*($U298&lt;=TODAY()+7)+ISNUMBER($V298)*($V298&gt;=TODAY())*($V298&lt;=TODAY()+7)+ISNUMBER($O298)*($O298&gt;=TODAY())*($O298&lt;=TODAY()+7)+ISNUMBER($P298)*($P298&gt;=TODAY())*($P298&lt;=TODAY()+7)+ISNUMBER($X298)*($X298&gt;=TODAY())*($X298&lt;=TODAY()+7)+ISNUMBER($Y298)*($Y298&gt;=TODAY())*($Y298&lt;=TODAY()+7))</f>
        <v/>
      </c>
      <c r="J298" s="28">
        <f>IF(NOT(AND($A298&lt;&gt;"",OR($G298="",$G298="Active"))),"",IF($K298&lt;&gt;"",IF($L298=$K298,"Booking",IF($M298=$K298,"16/40",IF($N298=$K298,"25/40",IF($Q298=$K298,"28/40",IF($R298=$K298,"31/40",IF($S298=$K298,"34/40",IF($T298=$K298,"36/40",IF($U298=$K298,"38/40",IF($V298=$K298,"40/40",""))))))))),IF(IF(OR(ISNUMBER($V298),$V298="DNA"),$V298,IF(OR(ISNUMBER($U298),$U298="DNA"),$U298,IF(OR(ISNUMBER($T298),$T298="DNA"),$T298,IF(OR(ISNUMBER($S298),$S298="DNA"),$S298,IF(OR(ISNUMBER($R298),$R298="DNA"),$R298,IF(OR(ISNUMBER($Q298),$Q298="DNA"),$Q298,IF(OR(ISNUMBER($N298),$N298="DNA"),$N298,IF(OR(ISNUMBER($M298),$M298="DNA"),$M298,IF(OR(ISNUMBER($L298),$L298="DNA"),$L298,"")))))))))="DNA","Rebook DNA",IF(ISNUMBER(IF(OR(ISNUMBER($V298),$V298="DNA"),$V298,IF(OR(ISNUMBER($U298),$U298="DNA"),$U298,IF(OR(ISNUMBER($T298),$T298="DNA"),$T298,IF(OR(ISNUMBER($S298),$S298="DNA"),$S298,IF(OR(ISNUMBER($R298),$R298="DNA"),$R298,IF(OR(ISNUMBER($Q298),$Q298="DNA"),$Q298,IF(OR(ISNUMBER($N298),$N298="DNA"),$N298,IF(OR(ISNUMBER($M298),$M298="DNA"),$M298,IF(OR(ISNUMBER($L298),$L298="DNA"),$L298,"")))))))))),IF(ISNUMBER($V298),"Update status","Missed/not booked?"),""))))</f>
        <v/>
      </c>
      <c r="K298" s="29">
        <f>IF(NOT(AND($A298&lt;&gt;"",OR($G298="",$G298="Active"))),"",IF(MIN(IF(AND(ISNUMBER($L298),$L298&gt;=TODAY()),$L298,99999),IF(AND(ISNUMBER($M298),$M298&gt;=TODAY()),$M298,99999),IF(AND(ISNUMBER($N298),$N298&gt;=TODAY()),$N298,99999),IF(AND(ISNUMBER($Q298),$Q298&gt;=TODAY()),$Q298,99999),IF(AND(ISNUMBER($R298),$R298&gt;=TODAY()),$R298,99999),IF(AND(ISNUMBER($S298),$S298&gt;=TODAY()),$S298,99999),IF(AND(ISNUMBER($T298),$T298&gt;=TODAY()),$T298,99999),IF(AND(ISNUMBER($U298),$U298&gt;=TODAY()),$U298,99999),IF(AND(ISNUMBER($V298),$V298&gt;=TODAY()),$V298,99999))=99999,"",MIN(IF(AND(ISNUMBER($L298),$L298&gt;=TODAY()),$L298,99999),IF(AND(ISNUMBER($M298),$M298&gt;=TODAY()),$M298,99999),IF(AND(ISNUMBER($N298),$N298&gt;=TODAY()),$N298,99999),IF(AND(ISNUMBER($Q298),$Q298&gt;=TODAY()),$Q298,99999),IF(AND(ISNUMBER($R298),$R298&gt;=TODAY()),$R298,99999),IF(AND(ISNUMBER($S298),$S298&gt;=TODAY()),$S298,99999),IF(AND(ISNUMBER($T298),$T298&gt;=TODAY()),$T298,99999),IF(AND(ISNUMBER($U298),$U298&gt;=TODAY()),$U298,99999),IF(AND(ISNUMBER($V298),$V298&gt;=TODAY()),$V298,99999))))</f>
        <v/>
      </c>
      <c r="L298" s="27" t="n"/>
      <c r="M298" s="27" t="n"/>
      <c r="N298" s="27" t="n"/>
      <c r="O298" s="27" t="n"/>
      <c r="P298" s="27" t="n"/>
      <c r="Q298" s="27" t="n"/>
      <c r="R298" s="27" t="n"/>
      <c r="S298" s="27" t="n"/>
      <c r="T298" s="27" t="n"/>
      <c r="U298" s="27" t="n"/>
      <c r="V298" s="27" t="n"/>
      <c r="W298" s="27" t="n"/>
      <c r="X298" s="27" t="n"/>
      <c r="Y298" s="27" t="n"/>
      <c r="Z298" s="30" t="n"/>
      <c r="AA298" s="25" t="n"/>
      <c r="AB298" s="28">
        <f>IF(NOT(AND($A298&lt;&gt;"",OR($G298="",$G298="Active"))),"",IF(OR(IF(OR(ISNUMBER($V298),$V298="DNA"),$V298,IF(OR(ISNUMBER($U298),$U298="DNA"),$U298,IF(OR(ISNUMBER($T298),$T298="DNA"),$T298,IF(OR(ISNUMBER($S298),$S298="DNA"),$S298,IF(OR(ISNUMBER($R298),$R298="DNA"),$R298,IF(OR(ISNUMBER($Q298),$Q298="DNA"),$Q298,IF(OR(ISNUMBER($N298),$N298="DNA"),$N298,IF(OR(ISNUMBER($M298),$M298="DNA"),$M298,IF(OR(ISNUMBER($L298),$L298="DNA"),$L298,"")))))))))="DNA",AND(ISNUMBER(IF(OR(ISNUMBER($V298),$V298="DNA"),$V298,IF(OR(ISNUMBER($U298),$U298="DNA"),$U298,IF(OR(ISNUMBER($T298),$T298="DNA"),$T298,IF(OR(ISNUMBER($S298),$S298="DNA"),$S298,IF(OR(ISNUMBER($R298),$R298="DNA"),$R298,IF(OR(ISNUMBER($Q298),$Q298="DNA"),$Q298,IF(OR(ISNUMBER($N298),$N298="DNA"),$N298,IF(OR(ISNUMBER($M298),$M298="DNA"),$M298,IF(OR(ISNUMBER($L298),$L298="DNA"),$L298,"")))))))))),IF(OR(ISNUMBER($V298),$V298="DNA"),$V298,IF(OR(ISNUMBER($U298),$U298="DNA"),$U298,IF(OR(ISNUMBER($T298),$T298="DNA"),$T298,IF(OR(ISNUMBER($S298),$S298="DNA"),$S298,IF(OR(ISNUMBER($R298),$R298="DNA"),$R298,IF(OR(ISNUMBER($Q298),$Q298="DNA"),$Q298,IF(OR(ISNUMBER($N298),$N298="DNA"),$N298,IF(OR(ISNUMBER($M298),$M298="DNA"),$M298,IF(OR(ISNUMBER($L298),$L298="DNA"),$L298,"")))))))))&lt;TODAY())),1,0)+ISNUMBER($O298)*($O298&lt;TODAY())+ISNUMBER($P298)*($P298&lt;TODAY())+ISNUMBER($X298)*($X298&lt;TODAY())+ISNUMBER($Y298)*($Y298&lt;TODAY()))</f>
        <v/>
      </c>
    </row>
    <row r="299">
      <c r="A299" s="25" t="n"/>
      <c r="B299" s="26" t="n"/>
      <c r="C299" s="27" t="n"/>
      <c r="D299" s="25" t="n"/>
      <c r="E299" s="25" t="n"/>
      <c r="F299" s="27" t="n"/>
      <c r="G299" s="25" t="n"/>
      <c r="H299" s="28">
        <f>IF(OR(NOT(AND($A299&lt;&gt;"",OR($G299="",$G299="Active"))),$F299=""),"",INT((TODAY()-$F299+280)/7)&amp;"+"&amp;MOD(TODAY()-$F299+280,7))</f>
        <v/>
      </c>
      <c r="I299" s="28">
        <f>IF(NOT(AND($A299&lt;&gt;"",OR($G299="",$G299="Active"))),"",ISNUMBER($L299)*($L299&gt;=TODAY())*($L299&lt;=TODAY()+7)+ISNUMBER($M299)*($M299&gt;=TODAY())*($M299&lt;=TODAY()+7)+ISNUMBER($N299)*($N299&gt;=TODAY())*($N299&lt;=TODAY()+7)+ISNUMBER($Q299)*($Q299&gt;=TODAY())*($Q299&lt;=TODAY()+7)+ISNUMBER($R299)*($R299&gt;=TODAY())*($R299&lt;=TODAY()+7)+ISNUMBER($S299)*($S299&gt;=TODAY())*($S299&lt;=TODAY()+7)+ISNUMBER($T299)*($T299&gt;=TODAY())*($T299&lt;=TODAY()+7)+ISNUMBER($U299)*($U299&gt;=TODAY())*($U299&lt;=TODAY()+7)+ISNUMBER($V299)*($V299&gt;=TODAY())*($V299&lt;=TODAY()+7)+ISNUMBER($O299)*($O299&gt;=TODAY())*($O299&lt;=TODAY()+7)+ISNUMBER($P299)*($P299&gt;=TODAY())*($P299&lt;=TODAY()+7)+ISNUMBER($X299)*($X299&gt;=TODAY())*($X299&lt;=TODAY()+7)+ISNUMBER($Y299)*($Y299&gt;=TODAY())*($Y299&lt;=TODAY()+7))</f>
        <v/>
      </c>
      <c r="J299" s="28">
        <f>IF(NOT(AND($A299&lt;&gt;"",OR($G299="",$G299="Active"))),"",IF($K299&lt;&gt;"",IF($L299=$K299,"Booking",IF($M299=$K299,"16/40",IF($N299=$K299,"25/40",IF($Q299=$K299,"28/40",IF($R299=$K299,"31/40",IF($S299=$K299,"34/40",IF($T299=$K299,"36/40",IF($U299=$K299,"38/40",IF($V299=$K299,"40/40",""))))))))),IF(IF(OR(ISNUMBER($V299),$V299="DNA"),$V299,IF(OR(ISNUMBER($U299),$U299="DNA"),$U299,IF(OR(ISNUMBER($T299),$T299="DNA"),$T299,IF(OR(ISNUMBER($S299),$S299="DNA"),$S299,IF(OR(ISNUMBER($R299),$R299="DNA"),$R299,IF(OR(ISNUMBER($Q299),$Q299="DNA"),$Q299,IF(OR(ISNUMBER($N299),$N299="DNA"),$N299,IF(OR(ISNUMBER($M299),$M299="DNA"),$M299,IF(OR(ISNUMBER($L299),$L299="DNA"),$L299,"")))))))))="DNA","Rebook DNA",IF(ISNUMBER(IF(OR(ISNUMBER($V299),$V299="DNA"),$V299,IF(OR(ISNUMBER($U299),$U299="DNA"),$U299,IF(OR(ISNUMBER($T299),$T299="DNA"),$T299,IF(OR(ISNUMBER($S299),$S299="DNA"),$S299,IF(OR(ISNUMBER($R299),$R299="DNA"),$R299,IF(OR(ISNUMBER($Q299),$Q299="DNA"),$Q299,IF(OR(ISNUMBER($N299),$N299="DNA"),$N299,IF(OR(ISNUMBER($M299),$M299="DNA"),$M299,IF(OR(ISNUMBER($L299),$L299="DNA"),$L299,"")))))))))),IF(ISNUMBER($V299),"Update status","Missed/not booked?"),""))))</f>
        <v/>
      </c>
      <c r="K299" s="29">
        <f>IF(NOT(AND($A299&lt;&gt;"",OR($G299="",$G299="Active"))),"",IF(MIN(IF(AND(ISNUMBER($L299),$L299&gt;=TODAY()),$L299,99999),IF(AND(ISNUMBER($M299),$M299&gt;=TODAY()),$M299,99999),IF(AND(ISNUMBER($N299),$N299&gt;=TODAY()),$N299,99999),IF(AND(ISNUMBER($Q299),$Q299&gt;=TODAY()),$Q299,99999),IF(AND(ISNUMBER($R299),$R299&gt;=TODAY()),$R299,99999),IF(AND(ISNUMBER($S299),$S299&gt;=TODAY()),$S299,99999),IF(AND(ISNUMBER($T299),$T299&gt;=TODAY()),$T299,99999),IF(AND(ISNUMBER($U299),$U299&gt;=TODAY()),$U299,99999),IF(AND(ISNUMBER($V299),$V299&gt;=TODAY()),$V299,99999))=99999,"",MIN(IF(AND(ISNUMBER($L299),$L299&gt;=TODAY()),$L299,99999),IF(AND(ISNUMBER($M299),$M299&gt;=TODAY()),$M299,99999),IF(AND(ISNUMBER($N299),$N299&gt;=TODAY()),$N299,99999),IF(AND(ISNUMBER($Q299),$Q299&gt;=TODAY()),$Q299,99999),IF(AND(ISNUMBER($R299),$R299&gt;=TODAY()),$R299,99999),IF(AND(ISNUMBER($S299),$S299&gt;=TODAY()),$S299,99999),IF(AND(ISNUMBER($T299),$T299&gt;=TODAY()),$T299,99999),IF(AND(ISNUMBER($U299),$U299&gt;=TODAY()),$U299,99999),IF(AND(ISNUMBER($V299),$V299&gt;=TODAY()),$V299,99999))))</f>
        <v/>
      </c>
      <c r="L299" s="27" t="n"/>
      <c r="M299" s="27" t="n"/>
      <c r="N299" s="27" t="n"/>
      <c r="O299" s="27" t="n"/>
      <c r="P299" s="27" t="n"/>
      <c r="Q299" s="27" t="n"/>
      <c r="R299" s="27" t="n"/>
      <c r="S299" s="27" t="n"/>
      <c r="T299" s="27" t="n"/>
      <c r="U299" s="27" t="n"/>
      <c r="V299" s="27" t="n"/>
      <c r="W299" s="27" t="n"/>
      <c r="X299" s="27" t="n"/>
      <c r="Y299" s="27" t="n"/>
      <c r="Z299" s="30" t="n"/>
      <c r="AA299" s="25" t="n"/>
      <c r="AB299" s="28">
        <f>IF(NOT(AND($A299&lt;&gt;"",OR($G299="",$G299="Active"))),"",IF(OR(IF(OR(ISNUMBER($V299),$V299="DNA"),$V299,IF(OR(ISNUMBER($U299),$U299="DNA"),$U299,IF(OR(ISNUMBER($T299),$T299="DNA"),$T299,IF(OR(ISNUMBER($S299),$S299="DNA"),$S299,IF(OR(ISNUMBER($R299),$R299="DNA"),$R299,IF(OR(ISNUMBER($Q299),$Q299="DNA"),$Q299,IF(OR(ISNUMBER($N299),$N299="DNA"),$N299,IF(OR(ISNUMBER($M299),$M299="DNA"),$M299,IF(OR(ISNUMBER($L299),$L299="DNA"),$L299,"")))))))))="DNA",AND(ISNUMBER(IF(OR(ISNUMBER($V299),$V299="DNA"),$V299,IF(OR(ISNUMBER($U299),$U299="DNA"),$U299,IF(OR(ISNUMBER($T299),$T299="DNA"),$T299,IF(OR(ISNUMBER($S299),$S299="DNA"),$S299,IF(OR(ISNUMBER($R299),$R299="DNA"),$R299,IF(OR(ISNUMBER($Q299),$Q299="DNA"),$Q299,IF(OR(ISNUMBER($N299),$N299="DNA"),$N299,IF(OR(ISNUMBER($M299),$M299="DNA"),$M299,IF(OR(ISNUMBER($L299),$L299="DNA"),$L299,"")))))))))),IF(OR(ISNUMBER($V299),$V299="DNA"),$V299,IF(OR(ISNUMBER($U299),$U299="DNA"),$U299,IF(OR(ISNUMBER($T299),$T299="DNA"),$T299,IF(OR(ISNUMBER($S299),$S299="DNA"),$S299,IF(OR(ISNUMBER($R299),$R299="DNA"),$R299,IF(OR(ISNUMBER($Q299),$Q299="DNA"),$Q299,IF(OR(ISNUMBER($N299),$N299="DNA"),$N299,IF(OR(ISNUMBER($M299),$M299="DNA"),$M299,IF(OR(ISNUMBER($L299),$L299="DNA"),$L299,"")))))))))&lt;TODAY())),1,0)+ISNUMBER($O299)*($O299&lt;TODAY())+ISNUMBER($P299)*($P299&lt;TODAY())+ISNUMBER($X299)*($X299&lt;TODAY())+ISNUMBER($Y299)*($Y299&lt;TODAY()))</f>
        <v/>
      </c>
    </row>
    <row r="300">
      <c r="A300" s="25" t="n"/>
      <c r="B300" s="26" t="n"/>
      <c r="C300" s="27" t="n"/>
      <c r="D300" s="25" t="n"/>
      <c r="E300" s="25" t="n"/>
      <c r="F300" s="27" t="n"/>
      <c r="G300" s="25" t="n"/>
      <c r="H300" s="28">
        <f>IF(OR(NOT(AND($A300&lt;&gt;"",OR($G300="",$G300="Active"))),$F300=""),"",INT((TODAY()-$F300+280)/7)&amp;"+"&amp;MOD(TODAY()-$F300+280,7))</f>
        <v/>
      </c>
      <c r="I300" s="28">
        <f>IF(NOT(AND($A300&lt;&gt;"",OR($G300="",$G300="Active"))),"",ISNUMBER($L300)*($L300&gt;=TODAY())*($L300&lt;=TODAY()+7)+ISNUMBER($M300)*($M300&gt;=TODAY())*($M300&lt;=TODAY()+7)+ISNUMBER($N300)*($N300&gt;=TODAY())*($N300&lt;=TODAY()+7)+ISNUMBER($Q300)*($Q300&gt;=TODAY())*($Q300&lt;=TODAY()+7)+ISNUMBER($R300)*($R300&gt;=TODAY())*($R300&lt;=TODAY()+7)+ISNUMBER($S300)*($S300&gt;=TODAY())*($S300&lt;=TODAY()+7)+ISNUMBER($T300)*($T300&gt;=TODAY())*($T300&lt;=TODAY()+7)+ISNUMBER($U300)*($U300&gt;=TODAY())*($U300&lt;=TODAY()+7)+ISNUMBER($V300)*($V300&gt;=TODAY())*($V300&lt;=TODAY()+7)+ISNUMBER($O300)*($O300&gt;=TODAY())*($O300&lt;=TODAY()+7)+ISNUMBER($P300)*($P300&gt;=TODAY())*($P300&lt;=TODAY()+7)+ISNUMBER($X300)*($X300&gt;=TODAY())*($X300&lt;=TODAY()+7)+ISNUMBER($Y300)*($Y300&gt;=TODAY())*($Y300&lt;=TODAY()+7))</f>
        <v/>
      </c>
      <c r="J300" s="28">
        <f>IF(NOT(AND($A300&lt;&gt;"",OR($G300="",$G300="Active"))),"",IF($K300&lt;&gt;"",IF($L300=$K300,"Booking",IF($M300=$K300,"16/40",IF($N300=$K300,"25/40",IF($Q300=$K300,"28/40",IF($R300=$K300,"31/40",IF($S300=$K300,"34/40",IF($T300=$K300,"36/40",IF($U300=$K300,"38/40",IF($V300=$K300,"40/40",""))))))))),IF(IF(OR(ISNUMBER($V300),$V300="DNA"),$V300,IF(OR(ISNUMBER($U300),$U300="DNA"),$U300,IF(OR(ISNUMBER($T300),$T300="DNA"),$T300,IF(OR(ISNUMBER($S300),$S300="DNA"),$S300,IF(OR(ISNUMBER($R300),$R300="DNA"),$R300,IF(OR(ISNUMBER($Q300),$Q300="DNA"),$Q300,IF(OR(ISNUMBER($N300),$N300="DNA"),$N300,IF(OR(ISNUMBER($M300),$M300="DNA"),$M300,IF(OR(ISNUMBER($L300),$L300="DNA"),$L300,"")))))))))="DNA","Rebook DNA",IF(ISNUMBER(IF(OR(ISNUMBER($V300),$V300="DNA"),$V300,IF(OR(ISNUMBER($U300),$U300="DNA"),$U300,IF(OR(ISNUMBER($T300),$T300="DNA"),$T300,IF(OR(ISNUMBER($S300),$S300="DNA"),$S300,IF(OR(ISNUMBER($R300),$R300="DNA"),$R300,IF(OR(ISNUMBER($Q300),$Q300="DNA"),$Q300,IF(OR(ISNUMBER($N300),$N300="DNA"),$N300,IF(OR(ISNUMBER($M300),$M300="DNA"),$M300,IF(OR(ISNUMBER($L300),$L300="DNA"),$L300,"")))))))))),IF(ISNUMBER($V300),"Update status","Missed/not booked?"),""))))</f>
        <v/>
      </c>
      <c r="K300" s="29">
        <f>IF(NOT(AND($A300&lt;&gt;"",OR($G300="",$G300="Active"))),"",IF(MIN(IF(AND(ISNUMBER($L300),$L300&gt;=TODAY()),$L300,99999),IF(AND(ISNUMBER($M300),$M300&gt;=TODAY()),$M300,99999),IF(AND(ISNUMBER($N300),$N300&gt;=TODAY()),$N300,99999),IF(AND(ISNUMBER($Q300),$Q300&gt;=TODAY()),$Q300,99999),IF(AND(ISNUMBER($R300),$R300&gt;=TODAY()),$R300,99999),IF(AND(ISNUMBER($S300),$S300&gt;=TODAY()),$S300,99999),IF(AND(ISNUMBER($T300),$T300&gt;=TODAY()),$T300,99999),IF(AND(ISNUMBER($U300),$U300&gt;=TODAY()),$U300,99999),IF(AND(ISNUMBER($V300),$V300&gt;=TODAY()),$V300,99999))=99999,"",MIN(IF(AND(ISNUMBER($L300),$L300&gt;=TODAY()),$L300,99999),IF(AND(ISNUMBER($M300),$M300&gt;=TODAY()),$M300,99999),IF(AND(ISNUMBER($N300),$N300&gt;=TODAY()),$N300,99999),IF(AND(ISNUMBER($Q300),$Q300&gt;=TODAY()),$Q300,99999),IF(AND(ISNUMBER($R300),$R300&gt;=TODAY()),$R300,99999),IF(AND(ISNUMBER($S300),$S300&gt;=TODAY()),$S300,99999),IF(AND(ISNUMBER($T300),$T300&gt;=TODAY()),$T300,99999),IF(AND(ISNUMBER($U300),$U300&gt;=TODAY()),$U300,99999),IF(AND(ISNUMBER($V300),$V300&gt;=TODAY()),$V300,99999))))</f>
        <v/>
      </c>
      <c r="L300" s="27" t="n"/>
      <c r="M300" s="27" t="n"/>
      <c r="N300" s="27" t="n"/>
      <c r="O300" s="27" t="n"/>
      <c r="P300" s="27" t="n"/>
      <c r="Q300" s="27" t="n"/>
      <c r="R300" s="27" t="n"/>
      <c r="S300" s="27" t="n"/>
      <c r="T300" s="27" t="n"/>
      <c r="U300" s="27" t="n"/>
      <c r="V300" s="27" t="n"/>
      <c r="W300" s="27" t="n"/>
      <c r="X300" s="27" t="n"/>
      <c r="Y300" s="27" t="n"/>
      <c r="Z300" s="30" t="n"/>
      <c r="AA300" s="25" t="n"/>
      <c r="AB300" s="28">
        <f>IF(NOT(AND($A300&lt;&gt;"",OR($G300="",$G300="Active"))),"",IF(OR(IF(OR(ISNUMBER($V300),$V300="DNA"),$V300,IF(OR(ISNUMBER($U300),$U300="DNA"),$U300,IF(OR(ISNUMBER($T300),$T300="DNA"),$T300,IF(OR(ISNUMBER($S300),$S300="DNA"),$S300,IF(OR(ISNUMBER($R300),$R300="DNA"),$R300,IF(OR(ISNUMBER($Q300),$Q300="DNA"),$Q300,IF(OR(ISNUMBER($N300),$N300="DNA"),$N300,IF(OR(ISNUMBER($M300),$M300="DNA"),$M300,IF(OR(ISNUMBER($L300),$L300="DNA"),$L300,"")))))))))="DNA",AND(ISNUMBER(IF(OR(ISNUMBER($V300),$V300="DNA"),$V300,IF(OR(ISNUMBER($U300),$U300="DNA"),$U300,IF(OR(ISNUMBER($T300),$T300="DNA"),$T300,IF(OR(ISNUMBER($S300),$S300="DNA"),$S300,IF(OR(ISNUMBER($R300),$R300="DNA"),$R300,IF(OR(ISNUMBER($Q300),$Q300="DNA"),$Q300,IF(OR(ISNUMBER($N300),$N300="DNA"),$N300,IF(OR(ISNUMBER($M300),$M300="DNA"),$M300,IF(OR(ISNUMBER($L300),$L300="DNA"),$L300,"")))))))))),IF(OR(ISNUMBER($V300),$V300="DNA"),$V300,IF(OR(ISNUMBER($U300),$U300="DNA"),$U300,IF(OR(ISNUMBER($T300),$T300="DNA"),$T300,IF(OR(ISNUMBER($S300),$S300="DNA"),$S300,IF(OR(ISNUMBER($R300),$R300="DNA"),$R300,IF(OR(ISNUMBER($Q300),$Q300="DNA"),$Q300,IF(OR(ISNUMBER($N300),$N300="DNA"),$N300,IF(OR(ISNUMBER($M300),$M300="DNA"),$M300,IF(OR(ISNUMBER($L300),$L300="DNA"),$L300,"")))))))))&lt;TODAY())),1,0)+ISNUMBER($O300)*($O300&lt;TODAY())+ISNUMBER($P300)*($P300&lt;TODAY())+ISNUMBER($X300)*($X300&lt;TODAY())+ISNUMBER($Y300)*($Y300&lt;TODAY()))</f>
        <v/>
      </c>
    </row>
    <row r="301">
      <c r="A301" s="25" t="n"/>
      <c r="B301" s="26" t="n"/>
      <c r="C301" s="27" t="n"/>
      <c r="D301" s="25" t="n"/>
      <c r="E301" s="25" t="n"/>
      <c r="F301" s="27" t="n"/>
      <c r="G301" s="25" t="n"/>
      <c r="H301" s="28">
        <f>IF(OR(NOT(AND($A301&lt;&gt;"",OR($G301="",$G301="Active"))),$F301=""),"",INT((TODAY()-$F301+280)/7)&amp;"+"&amp;MOD(TODAY()-$F301+280,7))</f>
        <v/>
      </c>
      <c r="I301" s="28">
        <f>IF(NOT(AND($A301&lt;&gt;"",OR($G301="",$G301="Active"))),"",ISNUMBER($L301)*($L301&gt;=TODAY())*($L301&lt;=TODAY()+7)+ISNUMBER($M301)*($M301&gt;=TODAY())*($M301&lt;=TODAY()+7)+ISNUMBER($N301)*($N301&gt;=TODAY())*($N301&lt;=TODAY()+7)+ISNUMBER($Q301)*($Q301&gt;=TODAY())*($Q301&lt;=TODAY()+7)+ISNUMBER($R301)*($R301&gt;=TODAY())*($R301&lt;=TODAY()+7)+ISNUMBER($S301)*($S301&gt;=TODAY())*($S301&lt;=TODAY()+7)+ISNUMBER($T301)*($T301&gt;=TODAY())*($T301&lt;=TODAY()+7)+ISNUMBER($U301)*($U301&gt;=TODAY())*($U301&lt;=TODAY()+7)+ISNUMBER($V301)*($V301&gt;=TODAY())*($V301&lt;=TODAY()+7)+ISNUMBER($O301)*($O301&gt;=TODAY())*($O301&lt;=TODAY()+7)+ISNUMBER($P301)*($P301&gt;=TODAY())*($P301&lt;=TODAY()+7)+ISNUMBER($X301)*($X301&gt;=TODAY())*($X301&lt;=TODAY()+7)+ISNUMBER($Y301)*($Y301&gt;=TODAY())*($Y301&lt;=TODAY()+7))</f>
        <v/>
      </c>
      <c r="J301" s="28">
        <f>IF(NOT(AND($A301&lt;&gt;"",OR($G301="",$G301="Active"))),"",IF($K301&lt;&gt;"",IF($L301=$K301,"Booking",IF($M301=$K301,"16/40",IF($N301=$K301,"25/40",IF($Q301=$K301,"28/40",IF($R301=$K301,"31/40",IF($S301=$K301,"34/40",IF($T301=$K301,"36/40",IF($U301=$K301,"38/40",IF($V301=$K301,"40/40",""))))))))),IF(IF(OR(ISNUMBER($V301),$V301="DNA"),$V301,IF(OR(ISNUMBER($U301),$U301="DNA"),$U301,IF(OR(ISNUMBER($T301),$T301="DNA"),$T301,IF(OR(ISNUMBER($S301),$S301="DNA"),$S301,IF(OR(ISNUMBER($R301),$R301="DNA"),$R301,IF(OR(ISNUMBER($Q301),$Q301="DNA"),$Q301,IF(OR(ISNUMBER($N301),$N301="DNA"),$N301,IF(OR(ISNUMBER($M301),$M301="DNA"),$M301,IF(OR(ISNUMBER($L301),$L301="DNA"),$L301,"")))))))))="DNA","Rebook DNA",IF(ISNUMBER(IF(OR(ISNUMBER($V301),$V301="DNA"),$V301,IF(OR(ISNUMBER($U301),$U301="DNA"),$U301,IF(OR(ISNUMBER($T301),$T301="DNA"),$T301,IF(OR(ISNUMBER($S301),$S301="DNA"),$S301,IF(OR(ISNUMBER($R301),$R301="DNA"),$R301,IF(OR(ISNUMBER($Q301),$Q301="DNA"),$Q301,IF(OR(ISNUMBER($N301),$N301="DNA"),$N301,IF(OR(ISNUMBER($M301),$M301="DNA"),$M301,IF(OR(ISNUMBER($L301),$L301="DNA"),$L301,"")))))))))),IF(ISNUMBER($V301),"Update status","Missed/not booked?"),""))))</f>
        <v/>
      </c>
      <c r="K301" s="29">
        <f>IF(NOT(AND($A301&lt;&gt;"",OR($G301="",$G301="Active"))),"",IF(MIN(IF(AND(ISNUMBER($L301),$L301&gt;=TODAY()),$L301,99999),IF(AND(ISNUMBER($M301),$M301&gt;=TODAY()),$M301,99999),IF(AND(ISNUMBER($N301),$N301&gt;=TODAY()),$N301,99999),IF(AND(ISNUMBER($Q301),$Q301&gt;=TODAY()),$Q301,99999),IF(AND(ISNUMBER($R301),$R301&gt;=TODAY()),$R301,99999),IF(AND(ISNUMBER($S301),$S301&gt;=TODAY()),$S301,99999),IF(AND(ISNUMBER($T301),$T301&gt;=TODAY()),$T301,99999),IF(AND(ISNUMBER($U301),$U301&gt;=TODAY()),$U301,99999),IF(AND(ISNUMBER($V301),$V301&gt;=TODAY()),$V301,99999))=99999,"",MIN(IF(AND(ISNUMBER($L301),$L301&gt;=TODAY()),$L301,99999),IF(AND(ISNUMBER($M301),$M301&gt;=TODAY()),$M301,99999),IF(AND(ISNUMBER($N301),$N301&gt;=TODAY()),$N301,99999),IF(AND(ISNUMBER($Q301),$Q301&gt;=TODAY()),$Q301,99999),IF(AND(ISNUMBER($R301),$R301&gt;=TODAY()),$R301,99999),IF(AND(ISNUMBER($S301),$S301&gt;=TODAY()),$S301,99999),IF(AND(ISNUMBER($T301),$T301&gt;=TODAY()),$T301,99999),IF(AND(ISNUMBER($U301),$U301&gt;=TODAY()),$U301,99999),IF(AND(ISNUMBER($V301),$V301&gt;=TODAY()),$V301,99999))))</f>
        <v/>
      </c>
      <c r="L301" s="27" t="n"/>
      <c r="M301" s="27" t="n"/>
      <c r="N301" s="27" t="n"/>
      <c r="O301" s="27" t="n"/>
      <c r="P301" s="27" t="n"/>
      <c r="Q301" s="27" t="n"/>
      <c r="R301" s="27" t="n"/>
      <c r="S301" s="27" t="n"/>
      <c r="T301" s="27" t="n"/>
      <c r="U301" s="27" t="n"/>
      <c r="V301" s="27" t="n"/>
      <c r="W301" s="27" t="n"/>
      <c r="X301" s="27" t="n"/>
      <c r="Y301" s="27" t="n"/>
      <c r="Z301" s="30" t="n"/>
      <c r="AA301" s="25" t="n"/>
      <c r="AB301" s="28">
        <f>IF(NOT(AND($A301&lt;&gt;"",OR($G301="",$G301="Active"))),"",IF(OR(IF(OR(ISNUMBER($V301),$V301="DNA"),$V301,IF(OR(ISNUMBER($U301),$U301="DNA"),$U301,IF(OR(ISNUMBER($T301),$T301="DNA"),$T301,IF(OR(ISNUMBER($S301),$S301="DNA"),$S301,IF(OR(ISNUMBER($R301),$R301="DNA"),$R301,IF(OR(ISNUMBER($Q301),$Q301="DNA"),$Q301,IF(OR(ISNUMBER($N301),$N301="DNA"),$N301,IF(OR(ISNUMBER($M301),$M301="DNA"),$M301,IF(OR(ISNUMBER($L301),$L301="DNA"),$L301,"")))))))))="DNA",AND(ISNUMBER(IF(OR(ISNUMBER($V301),$V301="DNA"),$V301,IF(OR(ISNUMBER($U301),$U301="DNA"),$U301,IF(OR(ISNUMBER($T301),$T301="DNA"),$T301,IF(OR(ISNUMBER($S301),$S301="DNA"),$S301,IF(OR(ISNUMBER($R301),$R301="DNA"),$R301,IF(OR(ISNUMBER($Q301),$Q301="DNA"),$Q301,IF(OR(ISNUMBER($N301),$N301="DNA"),$N301,IF(OR(ISNUMBER($M301),$M301="DNA"),$M301,IF(OR(ISNUMBER($L301),$L301="DNA"),$L301,"")))))))))),IF(OR(ISNUMBER($V301),$V301="DNA"),$V301,IF(OR(ISNUMBER($U301),$U301="DNA"),$U301,IF(OR(ISNUMBER($T301),$T301="DNA"),$T301,IF(OR(ISNUMBER($S301),$S301="DNA"),$S301,IF(OR(ISNUMBER($R301),$R301="DNA"),$R301,IF(OR(ISNUMBER($Q301),$Q301="DNA"),$Q301,IF(OR(ISNUMBER($N301),$N301="DNA"),$N301,IF(OR(ISNUMBER($M301),$M301="DNA"),$M301,IF(OR(ISNUMBER($L301),$L301="DNA"),$L301,"")))))))))&lt;TODAY())),1,0)+ISNUMBER($O301)*($O301&lt;TODAY())+ISNUMBER($P301)*($P301&lt;TODAY())+ISNUMBER($X301)*($X301&lt;TODAY())+ISNUMBER($Y301)*($Y301&lt;TODAY()))</f>
        <v/>
      </c>
    </row>
    <row r="302">
      <c r="A302" s="25" t="n"/>
      <c r="B302" s="26" t="n"/>
      <c r="C302" s="27" t="n"/>
      <c r="D302" s="25" t="n"/>
      <c r="E302" s="25" t="n"/>
      <c r="F302" s="27" t="n"/>
      <c r="G302" s="25" t="n"/>
      <c r="H302" s="28">
        <f>IF(OR(NOT(AND($A302&lt;&gt;"",OR($G302="",$G302="Active"))),$F302=""),"",INT((TODAY()-$F302+280)/7)&amp;"+"&amp;MOD(TODAY()-$F302+280,7))</f>
        <v/>
      </c>
      <c r="I302" s="28">
        <f>IF(NOT(AND($A302&lt;&gt;"",OR($G302="",$G302="Active"))),"",ISNUMBER($L302)*($L302&gt;=TODAY())*($L302&lt;=TODAY()+7)+ISNUMBER($M302)*($M302&gt;=TODAY())*($M302&lt;=TODAY()+7)+ISNUMBER($N302)*($N302&gt;=TODAY())*($N302&lt;=TODAY()+7)+ISNUMBER($Q302)*($Q302&gt;=TODAY())*($Q302&lt;=TODAY()+7)+ISNUMBER($R302)*($R302&gt;=TODAY())*($R302&lt;=TODAY()+7)+ISNUMBER($S302)*($S302&gt;=TODAY())*($S302&lt;=TODAY()+7)+ISNUMBER($T302)*($T302&gt;=TODAY())*($T302&lt;=TODAY()+7)+ISNUMBER($U302)*($U302&gt;=TODAY())*($U302&lt;=TODAY()+7)+ISNUMBER($V302)*($V302&gt;=TODAY())*($V302&lt;=TODAY()+7)+ISNUMBER($O302)*($O302&gt;=TODAY())*($O302&lt;=TODAY()+7)+ISNUMBER($P302)*($P302&gt;=TODAY())*($P302&lt;=TODAY()+7)+ISNUMBER($X302)*($X302&gt;=TODAY())*($X302&lt;=TODAY()+7)+ISNUMBER($Y302)*($Y302&gt;=TODAY())*($Y302&lt;=TODAY()+7))</f>
        <v/>
      </c>
      <c r="J302" s="28">
        <f>IF(NOT(AND($A302&lt;&gt;"",OR($G302="",$G302="Active"))),"",IF($K302&lt;&gt;"",IF($L302=$K302,"Booking",IF($M302=$K302,"16/40",IF($N302=$K302,"25/40",IF($Q302=$K302,"28/40",IF($R302=$K302,"31/40",IF($S302=$K302,"34/40",IF($T302=$K302,"36/40",IF($U302=$K302,"38/40",IF($V302=$K302,"40/40",""))))))))),IF(IF(OR(ISNUMBER($V302),$V302="DNA"),$V302,IF(OR(ISNUMBER($U302),$U302="DNA"),$U302,IF(OR(ISNUMBER($T302),$T302="DNA"),$T302,IF(OR(ISNUMBER($S302),$S302="DNA"),$S302,IF(OR(ISNUMBER($R302),$R302="DNA"),$R302,IF(OR(ISNUMBER($Q302),$Q302="DNA"),$Q302,IF(OR(ISNUMBER($N302),$N302="DNA"),$N302,IF(OR(ISNUMBER($M302),$M302="DNA"),$M302,IF(OR(ISNUMBER($L302),$L302="DNA"),$L302,"")))))))))="DNA","Rebook DNA",IF(ISNUMBER(IF(OR(ISNUMBER($V302),$V302="DNA"),$V302,IF(OR(ISNUMBER($U302),$U302="DNA"),$U302,IF(OR(ISNUMBER($T302),$T302="DNA"),$T302,IF(OR(ISNUMBER($S302),$S302="DNA"),$S302,IF(OR(ISNUMBER($R302),$R302="DNA"),$R302,IF(OR(ISNUMBER($Q302),$Q302="DNA"),$Q302,IF(OR(ISNUMBER($N302),$N302="DNA"),$N302,IF(OR(ISNUMBER($M302),$M302="DNA"),$M302,IF(OR(ISNUMBER($L302),$L302="DNA"),$L302,"")))))))))),IF(ISNUMBER($V302),"Update status","Missed/not booked?"),""))))</f>
        <v/>
      </c>
      <c r="K302" s="29">
        <f>IF(NOT(AND($A302&lt;&gt;"",OR($G302="",$G302="Active"))),"",IF(MIN(IF(AND(ISNUMBER($L302),$L302&gt;=TODAY()),$L302,99999),IF(AND(ISNUMBER($M302),$M302&gt;=TODAY()),$M302,99999),IF(AND(ISNUMBER($N302),$N302&gt;=TODAY()),$N302,99999),IF(AND(ISNUMBER($Q302),$Q302&gt;=TODAY()),$Q302,99999),IF(AND(ISNUMBER($R302),$R302&gt;=TODAY()),$R302,99999),IF(AND(ISNUMBER($S302),$S302&gt;=TODAY()),$S302,99999),IF(AND(ISNUMBER($T302),$T302&gt;=TODAY()),$T302,99999),IF(AND(ISNUMBER($U302),$U302&gt;=TODAY()),$U302,99999),IF(AND(ISNUMBER($V302),$V302&gt;=TODAY()),$V302,99999))=99999,"",MIN(IF(AND(ISNUMBER($L302),$L302&gt;=TODAY()),$L302,99999),IF(AND(ISNUMBER($M302),$M302&gt;=TODAY()),$M302,99999),IF(AND(ISNUMBER($N302),$N302&gt;=TODAY()),$N302,99999),IF(AND(ISNUMBER($Q302),$Q302&gt;=TODAY()),$Q302,99999),IF(AND(ISNUMBER($R302),$R302&gt;=TODAY()),$R302,99999),IF(AND(ISNUMBER($S302),$S302&gt;=TODAY()),$S302,99999),IF(AND(ISNUMBER($T302),$T302&gt;=TODAY()),$T302,99999),IF(AND(ISNUMBER($U302),$U302&gt;=TODAY()),$U302,99999),IF(AND(ISNUMBER($V302),$V302&gt;=TODAY()),$V302,99999))))</f>
        <v/>
      </c>
      <c r="L302" s="27" t="n"/>
      <c r="M302" s="27" t="n"/>
      <c r="N302" s="27" t="n"/>
      <c r="O302" s="27" t="n"/>
      <c r="P302" s="27" t="n"/>
      <c r="Q302" s="27" t="n"/>
      <c r="R302" s="27" t="n"/>
      <c r="S302" s="27" t="n"/>
      <c r="T302" s="27" t="n"/>
      <c r="U302" s="27" t="n"/>
      <c r="V302" s="27" t="n"/>
      <c r="W302" s="27" t="n"/>
      <c r="X302" s="27" t="n"/>
      <c r="Y302" s="27" t="n"/>
      <c r="Z302" s="30" t="n"/>
      <c r="AA302" s="25" t="n"/>
      <c r="AB302" s="28">
        <f>IF(NOT(AND($A302&lt;&gt;"",OR($G302="",$G302="Active"))),"",IF(OR(IF(OR(ISNUMBER($V302),$V302="DNA"),$V302,IF(OR(ISNUMBER($U302),$U302="DNA"),$U302,IF(OR(ISNUMBER($T302),$T302="DNA"),$T302,IF(OR(ISNUMBER($S302),$S302="DNA"),$S302,IF(OR(ISNUMBER($R302),$R302="DNA"),$R302,IF(OR(ISNUMBER($Q302),$Q302="DNA"),$Q302,IF(OR(ISNUMBER($N302),$N302="DNA"),$N302,IF(OR(ISNUMBER($M302),$M302="DNA"),$M302,IF(OR(ISNUMBER($L302),$L302="DNA"),$L302,"")))))))))="DNA",AND(ISNUMBER(IF(OR(ISNUMBER($V302),$V302="DNA"),$V302,IF(OR(ISNUMBER($U302),$U302="DNA"),$U302,IF(OR(ISNUMBER($T302),$T302="DNA"),$T302,IF(OR(ISNUMBER($S302),$S302="DNA"),$S302,IF(OR(ISNUMBER($R302),$R302="DNA"),$R302,IF(OR(ISNUMBER($Q302),$Q302="DNA"),$Q302,IF(OR(ISNUMBER($N302),$N302="DNA"),$N302,IF(OR(ISNUMBER($M302),$M302="DNA"),$M302,IF(OR(ISNUMBER($L302),$L302="DNA"),$L302,"")))))))))),IF(OR(ISNUMBER($V302),$V302="DNA"),$V302,IF(OR(ISNUMBER($U302),$U302="DNA"),$U302,IF(OR(ISNUMBER($T302),$T302="DNA"),$T302,IF(OR(ISNUMBER($S302),$S302="DNA"),$S302,IF(OR(ISNUMBER($R302),$R302="DNA"),$R302,IF(OR(ISNUMBER($Q302),$Q302="DNA"),$Q302,IF(OR(ISNUMBER($N302),$N302="DNA"),$N302,IF(OR(ISNUMBER($M302),$M302="DNA"),$M302,IF(OR(ISNUMBER($L302),$L302="DNA"),$L302,"")))))))))&lt;TODAY())),1,0)+ISNUMBER($O302)*($O302&lt;TODAY())+ISNUMBER($P302)*($P302&lt;TODAY())+ISNUMBER($X302)*($X302&lt;TODAY())+ISNUMBER($Y302)*($Y302&lt;TODAY()))</f>
        <v/>
      </c>
    </row>
    <row r="303">
      <c r="A303" s="25" t="n"/>
      <c r="B303" s="26" t="n"/>
      <c r="C303" s="27" t="n"/>
      <c r="D303" s="25" t="n"/>
      <c r="E303" s="25" t="n"/>
      <c r="F303" s="27" t="n"/>
      <c r="G303" s="25" t="n"/>
      <c r="H303" s="28">
        <f>IF(OR(NOT(AND($A303&lt;&gt;"",OR($G303="",$G303="Active"))),$F303=""),"",INT((TODAY()-$F303+280)/7)&amp;"+"&amp;MOD(TODAY()-$F303+280,7))</f>
        <v/>
      </c>
      <c r="I303" s="28">
        <f>IF(NOT(AND($A303&lt;&gt;"",OR($G303="",$G303="Active"))),"",ISNUMBER($L303)*($L303&gt;=TODAY())*($L303&lt;=TODAY()+7)+ISNUMBER($M303)*($M303&gt;=TODAY())*($M303&lt;=TODAY()+7)+ISNUMBER($N303)*($N303&gt;=TODAY())*($N303&lt;=TODAY()+7)+ISNUMBER($Q303)*($Q303&gt;=TODAY())*($Q303&lt;=TODAY()+7)+ISNUMBER($R303)*($R303&gt;=TODAY())*($R303&lt;=TODAY()+7)+ISNUMBER($S303)*($S303&gt;=TODAY())*($S303&lt;=TODAY()+7)+ISNUMBER($T303)*($T303&gt;=TODAY())*($T303&lt;=TODAY()+7)+ISNUMBER($U303)*($U303&gt;=TODAY())*($U303&lt;=TODAY()+7)+ISNUMBER($V303)*($V303&gt;=TODAY())*($V303&lt;=TODAY()+7)+ISNUMBER($O303)*($O303&gt;=TODAY())*($O303&lt;=TODAY()+7)+ISNUMBER($P303)*($P303&gt;=TODAY())*($P303&lt;=TODAY()+7)+ISNUMBER($X303)*($X303&gt;=TODAY())*($X303&lt;=TODAY()+7)+ISNUMBER($Y303)*($Y303&gt;=TODAY())*($Y303&lt;=TODAY()+7))</f>
        <v/>
      </c>
      <c r="J303" s="28">
        <f>IF(NOT(AND($A303&lt;&gt;"",OR($G303="",$G303="Active"))),"",IF($K303&lt;&gt;"",IF($L303=$K303,"Booking",IF($M303=$K303,"16/40",IF($N303=$K303,"25/40",IF($Q303=$K303,"28/40",IF($R303=$K303,"31/40",IF($S303=$K303,"34/40",IF($T303=$K303,"36/40",IF($U303=$K303,"38/40",IF($V303=$K303,"40/40",""))))))))),IF(IF(OR(ISNUMBER($V303),$V303="DNA"),$V303,IF(OR(ISNUMBER($U303),$U303="DNA"),$U303,IF(OR(ISNUMBER($T303),$T303="DNA"),$T303,IF(OR(ISNUMBER($S303),$S303="DNA"),$S303,IF(OR(ISNUMBER($R303),$R303="DNA"),$R303,IF(OR(ISNUMBER($Q303),$Q303="DNA"),$Q303,IF(OR(ISNUMBER($N303),$N303="DNA"),$N303,IF(OR(ISNUMBER($M303),$M303="DNA"),$M303,IF(OR(ISNUMBER($L303),$L303="DNA"),$L303,"")))))))))="DNA","Rebook DNA",IF(ISNUMBER(IF(OR(ISNUMBER($V303),$V303="DNA"),$V303,IF(OR(ISNUMBER($U303),$U303="DNA"),$U303,IF(OR(ISNUMBER($T303),$T303="DNA"),$T303,IF(OR(ISNUMBER($S303),$S303="DNA"),$S303,IF(OR(ISNUMBER($R303),$R303="DNA"),$R303,IF(OR(ISNUMBER($Q303),$Q303="DNA"),$Q303,IF(OR(ISNUMBER($N303),$N303="DNA"),$N303,IF(OR(ISNUMBER($M303),$M303="DNA"),$M303,IF(OR(ISNUMBER($L303),$L303="DNA"),$L303,"")))))))))),IF(ISNUMBER($V303),"Update status","Missed/not booked?"),""))))</f>
        <v/>
      </c>
      <c r="K303" s="29">
        <f>IF(NOT(AND($A303&lt;&gt;"",OR($G303="",$G303="Active"))),"",IF(MIN(IF(AND(ISNUMBER($L303),$L303&gt;=TODAY()),$L303,99999),IF(AND(ISNUMBER($M303),$M303&gt;=TODAY()),$M303,99999),IF(AND(ISNUMBER($N303),$N303&gt;=TODAY()),$N303,99999),IF(AND(ISNUMBER($Q303),$Q303&gt;=TODAY()),$Q303,99999),IF(AND(ISNUMBER($R303),$R303&gt;=TODAY()),$R303,99999),IF(AND(ISNUMBER($S303),$S303&gt;=TODAY()),$S303,99999),IF(AND(ISNUMBER($T303),$T303&gt;=TODAY()),$T303,99999),IF(AND(ISNUMBER($U303),$U303&gt;=TODAY()),$U303,99999),IF(AND(ISNUMBER($V303),$V303&gt;=TODAY()),$V303,99999))=99999,"",MIN(IF(AND(ISNUMBER($L303),$L303&gt;=TODAY()),$L303,99999),IF(AND(ISNUMBER($M303),$M303&gt;=TODAY()),$M303,99999),IF(AND(ISNUMBER($N303),$N303&gt;=TODAY()),$N303,99999),IF(AND(ISNUMBER($Q303),$Q303&gt;=TODAY()),$Q303,99999),IF(AND(ISNUMBER($R303),$R303&gt;=TODAY()),$R303,99999),IF(AND(ISNUMBER($S303),$S303&gt;=TODAY()),$S303,99999),IF(AND(ISNUMBER($T303),$T303&gt;=TODAY()),$T303,99999),IF(AND(ISNUMBER($U303),$U303&gt;=TODAY()),$U303,99999),IF(AND(ISNUMBER($V303),$V303&gt;=TODAY()),$V303,99999))))</f>
        <v/>
      </c>
      <c r="L303" s="27" t="n"/>
      <c r="M303" s="27" t="n"/>
      <c r="N303" s="27" t="n"/>
      <c r="O303" s="27" t="n"/>
      <c r="P303" s="27" t="n"/>
      <c r="Q303" s="27" t="n"/>
      <c r="R303" s="27" t="n"/>
      <c r="S303" s="27" t="n"/>
      <c r="T303" s="27" t="n"/>
      <c r="U303" s="27" t="n"/>
      <c r="V303" s="27" t="n"/>
      <c r="W303" s="27" t="n"/>
      <c r="X303" s="27" t="n"/>
      <c r="Y303" s="27" t="n"/>
      <c r="Z303" s="30" t="n"/>
      <c r="AA303" s="25" t="n"/>
      <c r="AB303" s="28">
        <f>IF(NOT(AND($A303&lt;&gt;"",OR($G303="",$G303="Active"))),"",IF(OR(IF(OR(ISNUMBER($V303),$V303="DNA"),$V303,IF(OR(ISNUMBER($U303),$U303="DNA"),$U303,IF(OR(ISNUMBER($T303),$T303="DNA"),$T303,IF(OR(ISNUMBER($S303),$S303="DNA"),$S303,IF(OR(ISNUMBER($R303),$R303="DNA"),$R303,IF(OR(ISNUMBER($Q303),$Q303="DNA"),$Q303,IF(OR(ISNUMBER($N303),$N303="DNA"),$N303,IF(OR(ISNUMBER($M303),$M303="DNA"),$M303,IF(OR(ISNUMBER($L303),$L303="DNA"),$L303,"")))))))))="DNA",AND(ISNUMBER(IF(OR(ISNUMBER($V303),$V303="DNA"),$V303,IF(OR(ISNUMBER($U303),$U303="DNA"),$U303,IF(OR(ISNUMBER($T303),$T303="DNA"),$T303,IF(OR(ISNUMBER($S303),$S303="DNA"),$S303,IF(OR(ISNUMBER($R303),$R303="DNA"),$R303,IF(OR(ISNUMBER($Q303),$Q303="DNA"),$Q303,IF(OR(ISNUMBER($N303),$N303="DNA"),$N303,IF(OR(ISNUMBER($M303),$M303="DNA"),$M303,IF(OR(ISNUMBER($L303),$L303="DNA"),$L303,"")))))))))),IF(OR(ISNUMBER($V303),$V303="DNA"),$V303,IF(OR(ISNUMBER($U303),$U303="DNA"),$U303,IF(OR(ISNUMBER($T303),$T303="DNA"),$T303,IF(OR(ISNUMBER($S303),$S303="DNA"),$S303,IF(OR(ISNUMBER($R303),$R303="DNA"),$R303,IF(OR(ISNUMBER($Q303),$Q303="DNA"),$Q303,IF(OR(ISNUMBER($N303),$N303="DNA"),$N303,IF(OR(ISNUMBER($M303),$M303="DNA"),$M303,IF(OR(ISNUMBER($L303),$L303="DNA"),$L303,"")))))))))&lt;TODAY())),1,0)+ISNUMBER($O303)*($O303&lt;TODAY())+ISNUMBER($P303)*($P303&lt;TODAY())+ISNUMBER($X303)*($X303&lt;TODAY())+ISNUMBER($Y303)*($Y303&lt;TODAY()))</f>
        <v/>
      </c>
    </row>
    <row r="304">
      <c r="A304" s="25" t="n"/>
      <c r="B304" s="26" t="n"/>
      <c r="C304" s="27" t="n"/>
      <c r="D304" s="25" t="n"/>
      <c r="E304" s="25" t="n"/>
      <c r="F304" s="27" t="n"/>
      <c r="G304" s="25" t="n"/>
      <c r="H304" s="28">
        <f>IF(OR(NOT(AND($A304&lt;&gt;"",OR($G304="",$G304="Active"))),$F304=""),"",INT((TODAY()-$F304+280)/7)&amp;"+"&amp;MOD(TODAY()-$F304+280,7))</f>
        <v/>
      </c>
      <c r="I304" s="28">
        <f>IF(NOT(AND($A304&lt;&gt;"",OR($G304="",$G304="Active"))),"",ISNUMBER($L304)*($L304&gt;=TODAY())*($L304&lt;=TODAY()+7)+ISNUMBER($M304)*($M304&gt;=TODAY())*($M304&lt;=TODAY()+7)+ISNUMBER($N304)*($N304&gt;=TODAY())*($N304&lt;=TODAY()+7)+ISNUMBER($Q304)*($Q304&gt;=TODAY())*($Q304&lt;=TODAY()+7)+ISNUMBER($R304)*($R304&gt;=TODAY())*($R304&lt;=TODAY()+7)+ISNUMBER($S304)*($S304&gt;=TODAY())*($S304&lt;=TODAY()+7)+ISNUMBER($T304)*($T304&gt;=TODAY())*($T304&lt;=TODAY()+7)+ISNUMBER($U304)*($U304&gt;=TODAY())*($U304&lt;=TODAY()+7)+ISNUMBER($V304)*($V304&gt;=TODAY())*($V304&lt;=TODAY()+7)+ISNUMBER($O304)*($O304&gt;=TODAY())*($O304&lt;=TODAY()+7)+ISNUMBER($P304)*($P304&gt;=TODAY())*($P304&lt;=TODAY()+7)+ISNUMBER($X304)*($X304&gt;=TODAY())*($X304&lt;=TODAY()+7)+ISNUMBER($Y304)*($Y304&gt;=TODAY())*($Y304&lt;=TODAY()+7))</f>
        <v/>
      </c>
      <c r="J304" s="28">
        <f>IF(NOT(AND($A304&lt;&gt;"",OR($G304="",$G304="Active"))),"",IF($K304&lt;&gt;"",IF($L304=$K304,"Booking",IF($M304=$K304,"16/40",IF($N304=$K304,"25/40",IF($Q304=$K304,"28/40",IF($R304=$K304,"31/40",IF($S304=$K304,"34/40",IF($T304=$K304,"36/40",IF($U304=$K304,"38/40",IF($V304=$K304,"40/40",""))))))))),IF(IF(OR(ISNUMBER($V304),$V304="DNA"),$V304,IF(OR(ISNUMBER($U304),$U304="DNA"),$U304,IF(OR(ISNUMBER($T304),$T304="DNA"),$T304,IF(OR(ISNUMBER($S304),$S304="DNA"),$S304,IF(OR(ISNUMBER($R304),$R304="DNA"),$R304,IF(OR(ISNUMBER($Q304),$Q304="DNA"),$Q304,IF(OR(ISNUMBER($N304),$N304="DNA"),$N304,IF(OR(ISNUMBER($M304),$M304="DNA"),$M304,IF(OR(ISNUMBER($L304),$L304="DNA"),$L304,"")))))))))="DNA","Rebook DNA",IF(ISNUMBER(IF(OR(ISNUMBER($V304),$V304="DNA"),$V304,IF(OR(ISNUMBER($U304),$U304="DNA"),$U304,IF(OR(ISNUMBER($T304),$T304="DNA"),$T304,IF(OR(ISNUMBER($S304),$S304="DNA"),$S304,IF(OR(ISNUMBER($R304),$R304="DNA"),$R304,IF(OR(ISNUMBER($Q304),$Q304="DNA"),$Q304,IF(OR(ISNUMBER($N304),$N304="DNA"),$N304,IF(OR(ISNUMBER($M304),$M304="DNA"),$M304,IF(OR(ISNUMBER($L304),$L304="DNA"),$L304,"")))))))))),IF(ISNUMBER($V304),"Update status","Missed/not booked?"),""))))</f>
        <v/>
      </c>
      <c r="K304" s="29">
        <f>IF(NOT(AND($A304&lt;&gt;"",OR($G304="",$G304="Active"))),"",IF(MIN(IF(AND(ISNUMBER($L304),$L304&gt;=TODAY()),$L304,99999),IF(AND(ISNUMBER($M304),$M304&gt;=TODAY()),$M304,99999),IF(AND(ISNUMBER($N304),$N304&gt;=TODAY()),$N304,99999),IF(AND(ISNUMBER($Q304),$Q304&gt;=TODAY()),$Q304,99999),IF(AND(ISNUMBER($R304),$R304&gt;=TODAY()),$R304,99999),IF(AND(ISNUMBER($S304),$S304&gt;=TODAY()),$S304,99999),IF(AND(ISNUMBER($T304),$T304&gt;=TODAY()),$T304,99999),IF(AND(ISNUMBER($U304),$U304&gt;=TODAY()),$U304,99999),IF(AND(ISNUMBER($V304),$V304&gt;=TODAY()),$V304,99999))=99999,"",MIN(IF(AND(ISNUMBER($L304),$L304&gt;=TODAY()),$L304,99999),IF(AND(ISNUMBER($M304),$M304&gt;=TODAY()),$M304,99999),IF(AND(ISNUMBER($N304),$N304&gt;=TODAY()),$N304,99999),IF(AND(ISNUMBER($Q304),$Q304&gt;=TODAY()),$Q304,99999),IF(AND(ISNUMBER($R304),$R304&gt;=TODAY()),$R304,99999),IF(AND(ISNUMBER($S304),$S304&gt;=TODAY()),$S304,99999),IF(AND(ISNUMBER($T304),$T304&gt;=TODAY()),$T304,99999),IF(AND(ISNUMBER($U304),$U304&gt;=TODAY()),$U304,99999),IF(AND(ISNUMBER($V304),$V304&gt;=TODAY()),$V304,99999))))</f>
        <v/>
      </c>
      <c r="L304" s="27" t="n"/>
      <c r="M304" s="27" t="n"/>
      <c r="N304" s="27" t="n"/>
      <c r="O304" s="27" t="n"/>
      <c r="P304" s="27" t="n"/>
      <c r="Q304" s="27" t="n"/>
      <c r="R304" s="27" t="n"/>
      <c r="S304" s="27" t="n"/>
      <c r="T304" s="27" t="n"/>
      <c r="U304" s="27" t="n"/>
      <c r="V304" s="27" t="n"/>
      <c r="W304" s="27" t="n"/>
      <c r="X304" s="27" t="n"/>
      <c r="Y304" s="27" t="n"/>
      <c r="Z304" s="30" t="n"/>
      <c r="AA304" s="25" t="n"/>
      <c r="AB304" s="28">
        <f>IF(NOT(AND($A304&lt;&gt;"",OR($G304="",$G304="Active"))),"",IF(OR(IF(OR(ISNUMBER($V304),$V304="DNA"),$V304,IF(OR(ISNUMBER($U304),$U304="DNA"),$U304,IF(OR(ISNUMBER($T304),$T304="DNA"),$T304,IF(OR(ISNUMBER($S304),$S304="DNA"),$S304,IF(OR(ISNUMBER($R304),$R304="DNA"),$R304,IF(OR(ISNUMBER($Q304),$Q304="DNA"),$Q304,IF(OR(ISNUMBER($N304),$N304="DNA"),$N304,IF(OR(ISNUMBER($M304),$M304="DNA"),$M304,IF(OR(ISNUMBER($L304),$L304="DNA"),$L304,"")))))))))="DNA",AND(ISNUMBER(IF(OR(ISNUMBER($V304),$V304="DNA"),$V304,IF(OR(ISNUMBER($U304),$U304="DNA"),$U304,IF(OR(ISNUMBER($T304),$T304="DNA"),$T304,IF(OR(ISNUMBER($S304),$S304="DNA"),$S304,IF(OR(ISNUMBER($R304),$R304="DNA"),$R304,IF(OR(ISNUMBER($Q304),$Q304="DNA"),$Q304,IF(OR(ISNUMBER($N304),$N304="DNA"),$N304,IF(OR(ISNUMBER($M304),$M304="DNA"),$M304,IF(OR(ISNUMBER($L304),$L304="DNA"),$L304,"")))))))))),IF(OR(ISNUMBER($V304),$V304="DNA"),$V304,IF(OR(ISNUMBER($U304),$U304="DNA"),$U304,IF(OR(ISNUMBER($T304),$T304="DNA"),$T304,IF(OR(ISNUMBER($S304),$S304="DNA"),$S304,IF(OR(ISNUMBER($R304),$R304="DNA"),$R304,IF(OR(ISNUMBER($Q304),$Q304="DNA"),$Q304,IF(OR(ISNUMBER($N304),$N304="DNA"),$N304,IF(OR(ISNUMBER($M304),$M304="DNA"),$M304,IF(OR(ISNUMBER($L304),$L304="DNA"),$L304,"")))))))))&lt;TODAY())),1,0)+ISNUMBER($O304)*($O304&lt;TODAY())+ISNUMBER($P304)*($P304&lt;TODAY())+ISNUMBER($X304)*($X304&lt;TODAY())+ISNUMBER($Y304)*($Y304&lt;TODAY()))</f>
        <v/>
      </c>
    </row>
    <row r="305">
      <c r="A305" s="25" t="n"/>
      <c r="B305" s="26" t="n"/>
      <c r="C305" s="27" t="n"/>
      <c r="D305" s="25" t="n"/>
      <c r="E305" s="25" t="n"/>
      <c r="F305" s="27" t="n"/>
      <c r="G305" s="25" t="n"/>
      <c r="H305" s="28">
        <f>IF(OR(NOT(AND($A305&lt;&gt;"",OR($G305="",$G305="Active"))),$F305=""),"",INT((TODAY()-$F305+280)/7)&amp;"+"&amp;MOD(TODAY()-$F305+280,7))</f>
        <v/>
      </c>
      <c r="I305" s="28">
        <f>IF(NOT(AND($A305&lt;&gt;"",OR($G305="",$G305="Active"))),"",ISNUMBER($L305)*($L305&gt;=TODAY())*($L305&lt;=TODAY()+7)+ISNUMBER($M305)*($M305&gt;=TODAY())*($M305&lt;=TODAY()+7)+ISNUMBER($N305)*($N305&gt;=TODAY())*($N305&lt;=TODAY()+7)+ISNUMBER($Q305)*($Q305&gt;=TODAY())*($Q305&lt;=TODAY()+7)+ISNUMBER($R305)*($R305&gt;=TODAY())*($R305&lt;=TODAY()+7)+ISNUMBER($S305)*($S305&gt;=TODAY())*($S305&lt;=TODAY()+7)+ISNUMBER($T305)*($T305&gt;=TODAY())*($T305&lt;=TODAY()+7)+ISNUMBER($U305)*($U305&gt;=TODAY())*($U305&lt;=TODAY()+7)+ISNUMBER($V305)*($V305&gt;=TODAY())*($V305&lt;=TODAY()+7)+ISNUMBER($O305)*($O305&gt;=TODAY())*($O305&lt;=TODAY()+7)+ISNUMBER($P305)*($P305&gt;=TODAY())*($P305&lt;=TODAY()+7)+ISNUMBER($X305)*($X305&gt;=TODAY())*($X305&lt;=TODAY()+7)+ISNUMBER($Y305)*($Y305&gt;=TODAY())*($Y305&lt;=TODAY()+7))</f>
        <v/>
      </c>
      <c r="J305" s="28">
        <f>IF(NOT(AND($A305&lt;&gt;"",OR($G305="",$G305="Active"))),"",IF($K305&lt;&gt;"",IF($L305=$K305,"Booking",IF($M305=$K305,"16/40",IF($N305=$K305,"25/40",IF($Q305=$K305,"28/40",IF($R305=$K305,"31/40",IF($S305=$K305,"34/40",IF($T305=$K305,"36/40",IF($U305=$K305,"38/40",IF($V305=$K305,"40/40",""))))))))),IF(IF(OR(ISNUMBER($V305),$V305="DNA"),$V305,IF(OR(ISNUMBER($U305),$U305="DNA"),$U305,IF(OR(ISNUMBER($T305),$T305="DNA"),$T305,IF(OR(ISNUMBER($S305),$S305="DNA"),$S305,IF(OR(ISNUMBER($R305),$R305="DNA"),$R305,IF(OR(ISNUMBER($Q305),$Q305="DNA"),$Q305,IF(OR(ISNUMBER($N305),$N305="DNA"),$N305,IF(OR(ISNUMBER($M305),$M305="DNA"),$M305,IF(OR(ISNUMBER($L305),$L305="DNA"),$L305,"")))))))))="DNA","Rebook DNA",IF(ISNUMBER(IF(OR(ISNUMBER($V305),$V305="DNA"),$V305,IF(OR(ISNUMBER($U305),$U305="DNA"),$U305,IF(OR(ISNUMBER($T305),$T305="DNA"),$T305,IF(OR(ISNUMBER($S305),$S305="DNA"),$S305,IF(OR(ISNUMBER($R305),$R305="DNA"),$R305,IF(OR(ISNUMBER($Q305),$Q305="DNA"),$Q305,IF(OR(ISNUMBER($N305),$N305="DNA"),$N305,IF(OR(ISNUMBER($M305),$M305="DNA"),$M305,IF(OR(ISNUMBER($L305),$L305="DNA"),$L305,"")))))))))),IF(ISNUMBER($V305),"Update status","Missed/not booked?"),""))))</f>
        <v/>
      </c>
      <c r="K305" s="29">
        <f>IF(NOT(AND($A305&lt;&gt;"",OR($G305="",$G305="Active"))),"",IF(MIN(IF(AND(ISNUMBER($L305),$L305&gt;=TODAY()),$L305,99999),IF(AND(ISNUMBER($M305),$M305&gt;=TODAY()),$M305,99999),IF(AND(ISNUMBER($N305),$N305&gt;=TODAY()),$N305,99999),IF(AND(ISNUMBER($Q305),$Q305&gt;=TODAY()),$Q305,99999),IF(AND(ISNUMBER($R305),$R305&gt;=TODAY()),$R305,99999),IF(AND(ISNUMBER($S305),$S305&gt;=TODAY()),$S305,99999),IF(AND(ISNUMBER($T305),$T305&gt;=TODAY()),$T305,99999),IF(AND(ISNUMBER($U305),$U305&gt;=TODAY()),$U305,99999),IF(AND(ISNUMBER($V305),$V305&gt;=TODAY()),$V305,99999))=99999,"",MIN(IF(AND(ISNUMBER($L305),$L305&gt;=TODAY()),$L305,99999),IF(AND(ISNUMBER($M305),$M305&gt;=TODAY()),$M305,99999),IF(AND(ISNUMBER($N305),$N305&gt;=TODAY()),$N305,99999),IF(AND(ISNUMBER($Q305),$Q305&gt;=TODAY()),$Q305,99999),IF(AND(ISNUMBER($R305),$R305&gt;=TODAY()),$R305,99999),IF(AND(ISNUMBER($S305),$S305&gt;=TODAY()),$S305,99999),IF(AND(ISNUMBER($T305),$T305&gt;=TODAY()),$T305,99999),IF(AND(ISNUMBER($U305),$U305&gt;=TODAY()),$U305,99999),IF(AND(ISNUMBER($V305),$V305&gt;=TODAY()),$V305,99999))))</f>
        <v/>
      </c>
      <c r="L305" s="27" t="n"/>
      <c r="M305" s="27" t="n"/>
      <c r="N305" s="27" t="n"/>
      <c r="O305" s="27" t="n"/>
      <c r="P305" s="27" t="n"/>
      <c r="Q305" s="27" t="n"/>
      <c r="R305" s="27" t="n"/>
      <c r="S305" s="27" t="n"/>
      <c r="T305" s="27" t="n"/>
      <c r="U305" s="27" t="n"/>
      <c r="V305" s="27" t="n"/>
      <c r="W305" s="27" t="n"/>
      <c r="X305" s="27" t="n"/>
      <c r="Y305" s="27" t="n"/>
      <c r="Z305" s="30" t="n"/>
      <c r="AA305" s="25" t="n"/>
      <c r="AB305" s="28">
        <f>IF(NOT(AND($A305&lt;&gt;"",OR($G305="",$G305="Active"))),"",IF(OR(IF(OR(ISNUMBER($V305),$V305="DNA"),$V305,IF(OR(ISNUMBER($U305),$U305="DNA"),$U305,IF(OR(ISNUMBER($T305),$T305="DNA"),$T305,IF(OR(ISNUMBER($S305),$S305="DNA"),$S305,IF(OR(ISNUMBER($R305),$R305="DNA"),$R305,IF(OR(ISNUMBER($Q305),$Q305="DNA"),$Q305,IF(OR(ISNUMBER($N305),$N305="DNA"),$N305,IF(OR(ISNUMBER($M305),$M305="DNA"),$M305,IF(OR(ISNUMBER($L305),$L305="DNA"),$L305,"")))))))))="DNA",AND(ISNUMBER(IF(OR(ISNUMBER($V305),$V305="DNA"),$V305,IF(OR(ISNUMBER($U305),$U305="DNA"),$U305,IF(OR(ISNUMBER($T305),$T305="DNA"),$T305,IF(OR(ISNUMBER($S305),$S305="DNA"),$S305,IF(OR(ISNUMBER($R305),$R305="DNA"),$R305,IF(OR(ISNUMBER($Q305),$Q305="DNA"),$Q305,IF(OR(ISNUMBER($N305),$N305="DNA"),$N305,IF(OR(ISNUMBER($M305),$M305="DNA"),$M305,IF(OR(ISNUMBER($L305),$L305="DNA"),$L305,"")))))))))),IF(OR(ISNUMBER($V305),$V305="DNA"),$V305,IF(OR(ISNUMBER($U305),$U305="DNA"),$U305,IF(OR(ISNUMBER($T305),$T305="DNA"),$T305,IF(OR(ISNUMBER($S305),$S305="DNA"),$S305,IF(OR(ISNUMBER($R305),$R305="DNA"),$R305,IF(OR(ISNUMBER($Q305),$Q305="DNA"),$Q305,IF(OR(ISNUMBER($N305),$N305="DNA"),$N305,IF(OR(ISNUMBER($M305),$M305="DNA"),$M305,IF(OR(ISNUMBER($L305),$L305="DNA"),$L305,"")))))))))&lt;TODAY())),1,0)+ISNUMBER($O305)*($O305&lt;TODAY())+ISNUMBER($P305)*($P305&lt;TODAY())+ISNUMBER($X305)*($X305&lt;TODAY())+ISNUMBER($Y305)*($Y305&lt;TODAY()))</f>
        <v/>
      </c>
    </row>
    <row r="306">
      <c r="A306" s="25" t="n"/>
      <c r="B306" s="26" t="n"/>
      <c r="C306" s="27" t="n"/>
      <c r="D306" s="25" t="n"/>
      <c r="E306" s="25" t="n"/>
      <c r="F306" s="27" t="n"/>
      <c r="G306" s="25" t="n"/>
      <c r="H306" s="28">
        <f>IF(OR(NOT(AND($A306&lt;&gt;"",OR($G306="",$G306="Active"))),$F306=""),"",INT((TODAY()-$F306+280)/7)&amp;"+"&amp;MOD(TODAY()-$F306+280,7))</f>
        <v/>
      </c>
      <c r="I306" s="28">
        <f>IF(NOT(AND($A306&lt;&gt;"",OR($G306="",$G306="Active"))),"",ISNUMBER($L306)*($L306&gt;=TODAY())*($L306&lt;=TODAY()+7)+ISNUMBER($M306)*($M306&gt;=TODAY())*($M306&lt;=TODAY()+7)+ISNUMBER($N306)*($N306&gt;=TODAY())*($N306&lt;=TODAY()+7)+ISNUMBER($Q306)*($Q306&gt;=TODAY())*($Q306&lt;=TODAY()+7)+ISNUMBER($R306)*($R306&gt;=TODAY())*($R306&lt;=TODAY()+7)+ISNUMBER($S306)*($S306&gt;=TODAY())*($S306&lt;=TODAY()+7)+ISNUMBER($T306)*($T306&gt;=TODAY())*($T306&lt;=TODAY()+7)+ISNUMBER($U306)*($U306&gt;=TODAY())*($U306&lt;=TODAY()+7)+ISNUMBER($V306)*($V306&gt;=TODAY())*($V306&lt;=TODAY()+7)+ISNUMBER($O306)*($O306&gt;=TODAY())*($O306&lt;=TODAY()+7)+ISNUMBER($P306)*($P306&gt;=TODAY())*($P306&lt;=TODAY()+7)+ISNUMBER($X306)*($X306&gt;=TODAY())*($X306&lt;=TODAY()+7)+ISNUMBER($Y306)*($Y306&gt;=TODAY())*($Y306&lt;=TODAY()+7))</f>
        <v/>
      </c>
      <c r="J306" s="28">
        <f>IF(NOT(AND($A306&lt;&gt;"",OR($G306="",$G306="Active"))),"",IF($K306&lt;&gt;"",IF($L306=$K306,"Booking",IF($M306=$K306,"16/40",IF($N306=$K306,"25/40",IF($Q306=$K306,"28/40",IF($R306=$K306,"31/40",IF($S306=$K306,"34/40",IF($T306=$K306,"36/40",IF($U306=$K306,"38/40",IF($V306=$K306,"40/40",""))))))))),IF(IF(OR(ISNUMBER($V306),$V306="DNA"),$V306,IF(OR(ISNUMBER($U306),$U306="DNA"),$U306,IF(OR(ISNUMBER($T306),$T306="DNA"),$T306,IF(OR(ISNUMBER($S306),$S306="DNA"),$S306,IF(OR(ISNUMBER($R306),$R306="DNA"),$R306,IF(OR(ISNUMBER($Q306),$Q306="DNA"),$Q306,IF(OR(ISNUMBER($N306),$N306="DNA"),$N306,IF(OR(ISNUMBER($M306),$M306="DNA"),$M306,IF(OR(ISNUMBER($L306),$L306="DNA"),$L306,"")))))))))="DNA","Rebook DNA",IF(ISNUMBER(IF(OR(ISNUMBER($V306),$V306="DNA"),$V306,IF(OR(ISNUMBER($U306),$U306="DNA"),$U306,IF(OR(ISNUMBER($T306),$T306="DNA"),$T306,IF(OR(ISNUMBER($S306),$S306="DNA"),$S306,IF(OR(ISNUMBER($R306),$R306="DNA"),$R306,IF(OR(ISNUMBER($Q306),$Q306="DNA"),$Q306,IF(OR(ISNUMBER($N306),$N306="DNA"),$N306,IF(OR(ISNUMBER($M306),$M306="DNA"),$M306,IF(OR(ISNUMBER($L306),$L306="DNA"),$L306,"")))))))))),IF(ISNUMBER($V306),"Update status","Missed/not booked?"),""))))</f>
        <v/>
      </c>
      <c r="K306" s="29">
        <f>IF(NOT(AND($A306&lt;&gt;"",OR($G306="",$G306="Active"))),"",IF(MIN(IF(AND(ISNUMBER($L306),$L306&gt;=TODAY()),$L306,99999),IF(AND(ISNUMBER($M306),$M306&gt;=TODAY()),$M306,99999),IF(AND(ISNUMBER($N306),$N306&gt;=TODAY()),$N306,99999),IF(AND(ISNUMBER($Q306),$Q306&gt;=TODAY()),$Q306,99999),IF(AND(ISNUMBER($R306),$R306&gt;=TODAY()),$R306,99999),IF(AND(ISNUMBER($S306),$S306&gt;=TODAY()),$S306,99999),IF(AND(ISNUMBER($T306),$T306&gt;=TODAY()),$T306,99999),IF(AND(ISNUMBER($U306),$U306&gt;=TODAY()),$U306,99999),IF(AND(ISNUMBER($V306),$V306&gt;=TODAY()),$V306,99999))=99999,"",MIN(IF(AND(ISNUMBER($L306),$L306&gt;=TODAY()),$L306,99999),IF(AND(ISNUMBER($M306),$M306&gt;=TODAY()),$M306,99999),IF(AND(ISNUMBER($N306),$N306&gt;=TODAY()),$N306,99999),IF(AND(ISNUMBER($Q306),$Q306&gt;=TODAY()),$Q306,99999),IF(AND(ISNUMBER($R306),$R306&gt;=TODAY()),$R306,99999),IF(AND(ISNUMBER($S306),$S306&gt;=TODAY()),$S306,99999),IF(AND(ISNUMBER($T306),$T306&gt;=TODAY()),$T306,99999),IF(AND(ISNUMBER($U306),$U306&gt;=TODAY()),$U306,99999),IF(AND(ISNUMBER($V306),$V306&gt;=TODAY()),$V306,99999))))</f>
        <v/>
      </c>
      <c r="L306" s="27" t="n"/>
      <c r="M306" s="27" t="n"/>
      <c r="N306" s="27" t="n"/>
      <c r="O306" s="27" t="n"/>
      <c r="P306" s="27" t="n"/>
      <c r="Q306" s="27" t="n"/>
      <c r="R306" s="27" t="n"/>
      <c r="S306" s="27" t="n"/>
      <c r="T306" s="27" t="n"/>
      <c r="U306" s="27" t="n"/>
      <c r="V306" s="27" t="n"/>
      <c r="W306" s="27" t="n"/>
      <c r="X306" s="27" t="n"/>
      <c r="Y306" s="27" t="n"/>
      <c r="Z306" s="30" t="n"/>
      <c r="AA306" s="25" t="n"/>
      <c r="AB306" s="28">
        <f>IF(NOT(AND($A306&lt;&gt;"",OR($G306="",$G306="Active"))),"",IF(OR(IF(OR(ISNUMBER($V306),$V306="DNA"),$V306,IF(OR(ISNUMBER($U306),$U306="DNA"),$U306,IF(OR(ISNUMBER($T306),$T306="DNA"),$T306,IF(OR(ISNUMBER($S306),$S306="DNA"),$S306,IF(OR(ISNUMBER($R306),$R306="DNA"),$R306,IF(OR(ISNUMBER($Q306),$Q306="DNA"),$Q306,IF(OR(ISNUMBER($N306),$N306="DNA"),$N306,IF(OR(ISNUMBER($M306),$M306="DNA"),$M306,IF(OR(ISNUMBER($L306),$L306="DNA"),$L306,"")))))))))="DNA",AND(ISNUMBER(IF(OR(ISNUMBER($V306),$V306="DNA"),$V306,IF(OR(ISNUMBER($U306),$U306="DNA"),$U306,IF(OR(ISNUMBER($T306),$T306="DNA"),$T306,IF(OR(ISNUMBER($S306),$S306="DNA"),$S306,IF(OR(ISNUMBER($R306),$R306="DNA"),$R306,IF(OR(ISNUMBER($Q306),$Q306="DNA"),$Q306,IF(OR(ISNUMBER($N306),$N306="DNA"),$N306,IF(OR(ISNUMBER($M306),$M306="DNA"),$M306,IF(OR(ISNUMBER($L306),$L306="DNA"),$L306,"")))))))))),IF(OR(ISNUMBER($V306),$V306="DNA"),$V306,IF(OR(ISNUMBER($U306),$U306="DNA"),$U306,IF(OR(ISNUMBER($T306),$T306="DNA"),$T306,IF(OR(ISNUMBER($S306),$S306="DNA"),$S306,IF(OR(ISNUMBER($R306),$R306="DNA"),$R306,IF(OR(ISNUMBER($Q306),$Q306="DNA"),$Q306,IF(OR(ISNUMBER($N306),$N306="DNA"),$N306,IF(OR(ISNUMBER($M306),$M306="DNA"),$M306,IF(OR(ISNUMBER($L306),$L306="DNA"),$L306,"")))))))))&lt;TODAY())),1,0)+ISNUMBER($O306)*($O306&lt;TODAY())+ISNUMBER($P306)*($P306&lt;TODAY())+ISNUMBER($X306)*($X306&lt;TODAY())+ISNUMBER($Y306)*($Y306&lt;TODAY()))</f>
        <v/>
      </c>
    </row>
    <row r="307">
      <c r="A307" s="25" t="n"/>
      <c r="B307" s="26" t="n"/>
      <c r="C307" s="27" t="n"/>
      <c r="D307" s="25" t="n"/>
      <c r="E307" s="25" t="n"/>
      <c r="F307" s="27" t="n"/>
      <c r="G307" s="25" t="n"/>
      <c r="H307" s="28">
        <f>IF(OR(NOT(AND($A307&lt;&gt;"",OR($G307="",$G307="Active"))),$F307=""),"",INT((TODAY()-$F307+280)/7)&amp;"+"&amp;MOD(TODAY()-$F307+280,7))</f>
        <v/>
      </c>
      <c r="I307" s="28">
        <f>IF(NOT(AND($A307&lt;&gt;"",OR($G307="",$G307="Active"))),"",ISNUMBER($L307)*($L307&gt;=TODAY())*($L307&lt;=TODAY()+7)+ISNUMBER($M307)*($M307&gt;=TODAY())*($M307&lt;=TODAY()+7)+ISNUMBER($N307)*($N307&gt;=TODAY())*($N307&lt;=TODAY()+7)+ISNUMBER($Q307)*($Q307&gt;=TODAY())*($Q307&lt;=TODAY()+7)+ISNUMBER($R307)*($R307&gt;=TODAY())*($R307&lt;=TODAY()+7)+ISNUMBER($S307)*($S307&gt;=TODAY())*($S307&lt;=TODAY()+7)+ISNUMBER($T307)*($T307&gt;=TODAY())*($T307&lt;=TODAY()+7)+ISNUMBER($U307)*($U307&gt;=TODAY())*($U307&lt;=TODAY()+7)+ISNUMBER($V307)*($V307&gt;=TODAY())*($V307&lt;=TODAY()+7)+ISNUMBER($O307)*($O307&gt;=TODAY())*($O307&lt;=TODAY()+7)+ISNUMBER($P307)*($P307&gt;=TODAY())*($P307&lt;=TODAY()+7)+ISNUMBER($X307)*($X307&gt;=TODAY())*($X307&lt;=TODAY()+7)+ISNUMBER($Y307)*($Y307&gt;=TODAY())*($Y307&lt;=TODAY()+7))</f>
        <v/>
      </c>
      <c r="J307" s="28">
        <f>IF(NOT(AND($A307&lt;&gt;"",OR($G307="",$G307="Active"))),"",IF($K307&lt;&gt;"",IF($L307=$K307,"Booking",IF($M307=$K307,"16/40",IF($N307=$K307,"25/40",IF($Q307=$K307,"28/40",IF($R307=$K307,"31/40",IF($S307=$K307,"34/40",IF($T307=$K307,"36/40",IF($U307=$K307,"38/40",IF($V307=$K307,"40/40",""))))))))),IF(IF(OR(ISNUMBER($V307),$V307="DNA"),$V307,IF(OR(ISNUMBER($U307),$U307="DNA"),$U307,IF(OR(ISNUMBER($T307),$T307="DNA"),$T307,IF(OR(ISNUMBER($S307),$S307="DNA"),$S307,IF(OR(ISNUMBER($R307),$R307="DNA"),$R307,IF(OR(ISNUMBER($Q307),$Q307="DNA"),$Q307,IF(OR(ISNUMBER($N307),$N307="DNA"),$N307,IF(OR(ISNUMBER($M307),$M307="DNA"),$M307,IF(OR(ISNUMBER($L307),$L307="DNA"),$L307,"")))))))))="DNA","Rebook DNA",IF(ISNUMBER(IF(OR(ISNUMBER($V307),$V307="DNA"),$V307,IF(OR(ISNUMBER($U307),$U307="DNA"),$U307,IF(OR(ISNUMBER($T307),$T307="DNA"),$T307,IF(OR(ISNUMBER($S307),$S307="DNA"),$S307,IF(OR(ISNUMBER($R307),$R307="DNA"),$R307,IF(OR(ISNUMBER($Q307),$Q307="DNA"),$Q307,IF(OR(ISNUMBER($N307),$N307="DNA"),$N307,IF(OR(ISNUMBER($M307),$M307="DNA"),$M307,IF(OR(ISNUMBER($L307),$L307="DNA"),$L307,"")))))))))),IF(ISNUMBER($V307),"Update status","Missed/not booked?"),""))))</f>
        <v/>
      </c>
      <c r="K307" s="29">
        <f>IF(NOT(AND($A307&lt;&gt;"",OR($G307="",$G307="Active"))),"",IF(MIN(IF(AND(ISNUMBER($L307),$L307&gt;=TODAY()),$L307,99999),IF(AND(ISNUMBER($M307),$M307&gt;=TODAY()),$M307,99999),IF(AND(ISNUMBER($N307),$N307&gt;=TODAY()),$N307,99999),IF(AND(ISNUMBER($Q307),$Q307&gt;=TODAY()),$Q307,99999),IF(AND(ISNUMBER($R307),$R307&gt;=TODAY()),$R307,99999),IF(AND(ISNUMBER($S307),$S307&gt;=TODAY()),$S307,99999),IF(AND(ISNUMBER($T307),$T307&gt;=TODAY()),$T307,99999),IF(AND(ISNUMBER($U307),$U307&gt;=TODAY()),$U307,99999),IF(AND(ISNUMBER($V307),$V307&gt;=TODAY()),$V307,99999))=99999,"",MIN(IF(AND(ISNUMBER($L307),$L307&gt;=TODAY()),$L307,99999),IF(AND(ISNUMBER($M307),$M307&gt;=TODAY()),$M307,99999),IF(AND(ISNUMBER($N307),$N307&gt;=TODAY()),$N307,99999),IF(AND(ISNUMBER($Q307),$Q307&gt;=TODAY()),$Q307,99999),IF(AND(ISNUMBER($R307),$R307&gt;=TODAY()),$R307,99999),IF(AND(ISNUMBER($S307),$S307&gt;=TODAY()),$S307,99999),IF(AND(ISNUMBER($T307),$T307&gt;=TODAY()),$T307,99999),IF(AND(ISNUMBER($U307),$U307&gt;=TODAY()),$U307,99999),IF(AND(ISNUMBER($V307),$V307&gt;=TODAY()),$V307,99999))))</f>
        <v/>
      </c>
      <c r="L307" s="27" t="n"/>
      <c r="M307" s="27" t="n"/>
      <c r="N307" s="27" t="n"/>
      <c r="O307" s="27" t="n"/>
      <c r="P307" s="27" t="n"/>
      <c r="Q307" s="27" t="n"/>
      <c r="R307" s="27" t="n"/>
      <c r="S307" s="27" t="n"/>
      <c r="T307" s="27" t="n"/>
      <c r="U307" s="27" t="n"/>
      <c r="V307" s="27" t="n"/>
      <c r="W307" s="27" t="n"/>
      <c r="X307" s="27" t="n"/>
      <c r="Y307" s="27" t="n"/>
      <c r="Z307" s="30" t="n"/>
      <c r="AA307" s="25" t="n"/>
      <c r="AB307" s="28">
        <f>IF(NOT(AND($A307&lt;&gt;"",OR($G307="",$G307="Active"))),"",IF(OR(IF(OR(ISNUMBER($V307),$V307="DNA"),$V307,IF(OR(ISNUMBER($U307),$U307="DNA"),$U307,IF(OR(ISNUMBER($T307),$T307="DNA"),$T307,IF(OR(ISNUMBER($S307),$S307="DNA"),$S307,IF(OR(ISNUMBER($R307),$R307="DNA"),$R307,IF(OR(ISNUMBER($Q307),$Q307="DNA"),$Q307,IF(OR(ISNUMBER($N307),$N307="DNA"),$N307,IF(OR(ISNUMBER($M307),$M307="DNA"),$M307,IF(OR(ISNUMBER($L307),$L307="DNA"),$L307,"")))))))))="DNA",AND(ISNUMBER(IF(OR(ISNUMBER($V307),$V307="DNA"),$V307,IF(OR(ISNUMBER($U307),$U307="DNA"),$U307,IF(OR(ISNUMBER($T307),$T307="DNA"),$T307,IF(OR(ISNUMBER($S307),$S307="DNA"),$S307,IF(OR(ISNUMBER($R307),$R307="DNA"),$R307,IF(OR(ISNUMBER($Q307),$Q307="DNA"),$Q307,IF(OR(ISNUMBER($N307),$N307="DNA"),$N307,IF(OR(ISNUMBER($M307),$M307="DNA"),$M307,IF(OR(ISNUMBER($L307),$L307="DNA"),$L307,"")))))))))),IF(OR(ISNUMBER($V307),$V307="DNA"),$V307,IF(OR(ISNUMBER($U307),$U307="DNA"),$U307,IF(OR(ISNUMBER($T307),$T307="DNA"),$T307,IF(OR(ISNUMBER($S307),$S307="DNA"),$S307,IF(OR(ISNUMBER($R307),$R307="DNA"),$R307,IF(OR(ISNUMBER($Q307),$Q307="DNA"),$Q307,IF(OR(ISNUMBER($N307),$N307="DNA"),$N307,IF(OR(ISNUMBER($M307),$M307="DNA"),$M307,IF(OR(ISNUMBER($L307),$L307="DNA"),$L307,"")))))))))&lt;TODAY())),1,0)+ISNUMBER($O307)*($O307&lt;TODAY())+ISNUMBER($P307)*($P307&lt;TODAY())+ISNUMBER($X307)*($X307&lt;TODAY())+ISNUMBER($Y307)*($Y307&lt;TODAY()))</f>
        <v/>
      </c>
    </row>
    <row r="308">
      <c r="A308" s="25" t="n"/>
      <c r="B308" s="26" t="n"/>
      <c r="C308" s="27" t="n"/>
      <c r="D308" s="25" t="n"/>
      <c r="E308" s="25" t="n"/>
      <c r="F308" s="27" t="n"/>
      <c r="G308" s="25" t="n"/>
      <c r="H308" s="28">
        <f>IF(OR(NOT(AND($A308&lt;&gt;"",OR($G308="",$G308="Active"))),$F308=""),"",INT((TODAY()-$F308+280)/7)&amp;"+"&amp;MOD(TODAY()-$F308+280,7))</f>
        <v/>
      </c>
      <c r="I308" s="28">
        <f>IF(NOT(AND($A308&lt;&gt;"",OR($G308="",$G308="Active"))),"",ISNUMBER($L308)*($L308&gt;=TODAY())*($L308&lt;=TODAY()+7)+ISNUMBER($M308)*($M308&gt;=TODAY())*($M308&lt;=TODAY()+7)+ISNUMBER($N308)*($N308&gt;=TODAY())*($N308&lt;=TODAY()+7)+ISNUMBER($Q308)*($Q308&gt;=TODAY())*($Q308&lt;=TODAY()+7)+ISNUMBER($R308)*($R308&gt;=TODAY())*($R308&lt;=TODAY()+7)+ISNUMBER($S308)*($S308&gt;=TODAY())*($S308&lt;=TODAY()+7)+ISNUMBER($T308)*($T308&gt;=TODAY())*($T308&lt;=TODAY()+7)+ISNUMBER($U308)*($U308&gt;=TODAY())*($U308&lt;=TODAY()+7)+ISNUMBER($V308)*($V308&gt;=TODAY())*($V308&lt;=TODAY()+7)+ISNUMBER($O308)*($O308&gt;=TODAY())*($O308&lt;=TODAY()+7)+ISNUMBER($P308)*($P308&gt;=TODAY())*($P308&lt;=TODAY()+7)+ISNUMBER($X308)*($X308&gt;=TODAY())*($X308&lt;=TODAY()+7)+ISNUMBER($Y308)*($Y308&gt;=TODAY())*($Y308&lt;=TODAY()+7))</f>
        <v/>
      </c>
      <c r="J308" s="28">
        <f>IF(NOT(AND($A308&lt;&gt;"",OR($G308="",$G308="Active"))),"",IF($K308&lt;&gt;"",IF($L308=$K308,"Booking",IF($M308=$K308,"16/40",IF($N308=$K308,"25/40",IF($Q308=$K308,"28/40",IF($R308=$K308,"31/40",IF($S308=$K308,"34/40",IF($T308=$K308,"36/40",IF($U308=$K308,"38/40",IF($V308=$K308,"40/40",""))))))))),IF(IF(OR(ISNUMBER($V308),$V308="DNA"),$V308,IF(OR(ISNUMBER($U308),$U308="DNA"),$U308,IF(OR(ISNUMBER($T308),$T308="DNA"),$T308,IF(OR(ISNUMBER($S308),$S308="DNA"),$S308,IF(OR(ISNUMBER($R308),$R308="DNA"),$R308,IF(OR(ISNUMBER($Q308),$Q308="DNA"),$Q308,IF(OR(ISNUMBER($N308),$N308="DNA"),$N308,IF(OR(ISNUMBER($M308),$M308="DNA"),$M308,IF(OR(ISNUMBER($L308),$L308="DNA"),$L308,"")))))))))="DNA","Rebook DNA",IF(ISNUMBER(IF(OR(ISNUMBER($V308),$V308="DNA"),$V308,IF(OR(ISNUMBER($U308),$U308="DNA"),$U308,IF(OR(ISNUMBER($T308),$T308="DNA"),$T308,IF(OR(ISNUMBER($S308),$S308="DNA"),$S308,IF(OR(ISNUMBER($R308),$R308="DNA"),$R308,IF(OR(ISNUMBER($Q308),$Q308="DNA"),$Q308,IF(OR(ISNUMBER($N308),$N308="DNA"),$N308,IF(OR(ISNUMBER($M308),$M308="DNA"),$M308,IF(OR(ISNUMBER($L308),$L308="DNA"),$L308,"")))))))))),IF(ISNUMBER($V308),"Update status","Missed/not booked?"),""))))</f>
        <v/>
      </c>
      <c r="K308" s="29">
        <f>IF(NOT(AND($A308&lt;&gt;"",OR($G308="",$G308="Active"))),"",IF(MIN(IF(AND(ISNUMBER($L308),$L308&gt;=TODAY()),$L308,99999),IF(AND(ISNUMBER($M308),$M308&gt;=TODAY()),$M308,99999),IF(AND(ISNUMBER($N308),$N308&gt;=TODAY()),$N308,99999),IF(AND(ISNUMBER($Q308),$Q308&gt;=TODAY()),$Q308,99999),IF(AND(ISNUMBER($R308),$R308&gt;=TODAY()),$R308,99999),IF(AND(ISNUMBER($S308),$S308&gt;=TODAY()),$S308,99999),IF(AND(ISNUMBER($T308),$T308&gt;=TODAY()),$T308,99999),IF(AND(ISNUMBER($U308),$U308&gt;=TODAY()),$U308,99999),IF(AND(ISNUMBER($V308),$V308&gt;=TODAY()),$V308,99999))=99999,"",MIN(IF(AND(ISNUMBER($L308),$L308&gt;=TODAY()),$L308,99999),IF(AND(ISNUMBER($M308),$M308&gt;=TODAY()),$M308,99999),IF(AND(ISNUMBER($N308),$N308&gt;=TODAY()),$N308,99999),IF(AND(ISNUMBER($Q308),$Q308&gt;=TODAY()),$Q308,99999),IF(AND(ISNUMBER($R308),$R308&gt;=TODAY()),$R308,99999),IF(AND(ISNUMBER($S308),$S308&gt;=TODAY()),$S308,99999),IF(AND(ISNUMBER($T308),$T308&gt;=TODAY()),$T308,99999),IF(AND(ISNUMBER($U308),$U308&gt;=TODAY()),$U308,99999),IF(AND(ISNUMBER($V308),$V308&gt;=TODAY()),$V308,99999))))</f>
        <v/>
      </c>
      <c r="L308" s="27" t="n"/>
      <c r="M308" s="27" t="n"/>
      <c r="N308" s="27" t="n"/>
      <c r="O308" s="27" t="n"/>
      <c r="P308" s="27" t="n"/>
      <c r="Q308" s="27" t="n"/>
      <c r="R308" s="27" t="n"/>
      <c r="S308" s="27" t="n"/>
      <c r="T308" s="27" t="n"/>
      <c r="U308" s="27" t="n"/>
      <c r="V308" s="27" t="n"/>
      <c r="W308" s="27" t="n"/>
      <c r="X308" s="27" t="n"/>
      <c r="Y308" s="27" t="n"/>
      <c r="Z308" s="30" t="n"/>
      <c r="AA308" s="25" t="n"/>
      <c r="AB308" s="28">
        <f>IF(NOT(AND($A308&lt;&gt;"",OR($G308="",$G308="Active"))),"",IF(OR(IF(OR(ISNUMBER($V308),$V308="DNA"),$V308,IF(OR(ISNUMBER($U308),$U308="DNA"),$U308,IF(OR(ISNUMBER($T308),$T308="DNA"),$T308,IF(OR(ISNUMBER($S308),$S308="DNA"),$S308,IF(OR(ISNUMBER($R308),$R308="DNA"),$R308,IF(OR(ISNUMBER($Q308),$Q308="DNA"),$Q308,IF(OR(ISNUMBER($N308),$N308="DNA"),$N308,IF(OR(ISNUMBER($M308),$M308="DNA"),$M308,IF(OR(ISNUMBER($L308),$L308="DNA"),$L308,"")))))))))="DNA",AND(ISNUMBER(IF(OR(ISNUMBER($V308),$V308="DNA"),$V308,IF(OR(ISNUMBER($U308),$U308="DNA"),$U308,IF(OR(ISNUMBER($T308),$T308="DNA"),$T308,IF(OR(ISNUMBER($S308),$S308="DNA"),$S308,IF(OR(ISNUMBER($R308),$R308="DNA"),$R308,IF(OR(ISNUMBER($Q308),$Q308="DNA"),$Q308,IF(OR(ISNUMBER($N308),$N308="DNA"),$N308,IF(OR(ISNUMBER($M308),$M308="DNA"),$M308,IF(OR(ISNUMBER($L308),$L308="DNA"),$L308,"")))))))))),IF(OR(ISNUMBER($V308),$V308="DNA"),$V308,IF(OR(ISNUMBER($U308),$U308="DNA"),$U308,IF(OR(ISNUMBER($T308),$T308="DNA"),$T308,IF(OR(ISNUMBER($S308),$S308="DNA"),$S308,IF(OR(ISNUMBER($R308),$R308="DNA"),$R308,IF(OR(ISNUMBER($Q308),$Q308="DNA"),$Q308,IF(OR(ISNUMBER($N308),$N308="DNA"),$N308,IF(OR(ISNUMBER($M308),$M308="DNA"),$M308,IF(OR(ISNUMBER($L308),$L308="DNA"),$L308,"")))))))))&lt;TODAY())),1,0)+ISNUMBER($O308)*($O308&lt;TODAY())+ISNUMBER($P308)*($P308&lt;TODAY())+ISNUMBER($X308)*($X308&lt;TODAY())+ISNUMBER($Y308)*($Y308&lt;TODAY()))</f>
        <v/>
      </c>
    </row>
    <row r="309">
      <c r="A309" s="25" t="n"/>
      <c r="B309" s="26" t="n"/>
      <c r="C309" s="27" t="n"/>
      <c r="D309" s="25" t="n"/>
      <c r="E309" s="25" t="n"/>
      <c r="F309" s="27" t="n"/>
      <c r="G309" s="25" t="n"/>
      <c r="H309" s="28">
        <f>IF(OR(NOT(AND($A309&lt;&gt;"",OR($G309="",$G309="Active"))),$F309=""),"",INT((TODAY()-$F309+280)/7)&amp;"+"&amp;MOD(TODAY()-$F309+280,7))</f>
        <v/>
      </c>
      <c r="I309" s="28">
        <f>IF(NOT(AND($A309&lt;&gt;"",OR($G309="",$G309="Active"))),"",ISNUMBER($L309)*($L309&gt;=TODAY())*($L309&lt;=TODAY()+7)+ISNUMBER($M309)*($M309&gt;=TODAY())*($M309&lt;=TODAY()+7)+ISNUMBER($N309)*($N309&gt;=TODAY())*($N309&lt;=TODAY()+7)+ISNUMBER($Q309)*($Q309&gt;=TODAY())*($Q309&lt;=TODAY()+7)+ISNUMBER($R309)*($R309&gt;=TODAY())*($R309&lt;=TODAY()+7)+ISNUMBER($S309)*($S309&gt;=TODAY())*($S309&lt;=TODAY()+7)+ISNUMBER($T309)*($T309&gt;=TODAY())*($T309&lt;=TODAY()+7)+ISNUMBER($U309)*($U309&gt;=TODAY())*($U309&lt;=TODAY()+7)+ISNUMBER($V309)*($V309&gt;=TODAY())*($V309&lt;=TODAY()+7)+ISNUMBER($O309)*($O309&gt;=TODAY())*($O309&lt;=TODAY()+7)+ISNUMBER($P309)*($P309&gt;=TODAY())*($P309&lt;=TODAY()+7)+ISNUMBER($X309)*($X309&gt;=TODAY())*($X309&lt;=TODAY()+7)+ISNUMBER($Y309)*($Y309&gt;=TODAY())*($Y309&lt;=TODAY()+7))</f>
        <v/>
      </c>
      <c r="J309" s="28">
        <f>IF(NOT(AND($A309&lt;&gt;"",OR($G309="",$G309="Active"))),"",IF($K309&lt;&gt;"",IF($L309=$K309,"Booking",IF($M309=$K309,"16/40",IF($N309=$K309,"25/40",IF($Q309=$K309,"28/40",IF($R309=$K309,"31/40",IF($S309=$K309,"34/40",IF($T309=$K309,"36/40",IF($U309=$K309,"38/40",IF($V309=$K309,"40/40",""))))))))),IF(IF(OR(ISNUMBER($V309),$V309="DNA"),$V309,IF(OR(ISNUMBER($U309),$U309="DNA"),$U309,IF(OR(ISNUMBER($T309),$T309="DNA"),$T309,IF(OR(ISNUMBER($S309),$S309="DNA"),$S309,IF(OR(ISNUMBER($R309),$R309="DNA"),$R309,IF(OR(ISNUMBER($Q309),$Q309="DNA"),$Q309,IF(OR(ISNUMBER($N309),$N309="DNA"),$N309,IF(OR(ISNUMBER($M309),$M309="DNA"),$M309,IF(OR(ISNUMBER($L309),$L309="DNA"),$L309,"")))))))))="DNA","Rebook DNA",IF(ISNUMBER(IF(OR(ISNUMBER($V309),$V309="DNA"),$V309,IF(OR(ISNUMBER($U309),$U309="DNA"),$U309,IF(OR(ISNUMBER($T309),$T309="DNA"),$T309,IF(OR(ISNUMBER($S309),$S309="DNA"),$S309,IF(OR(ISNUMBER($R309),$R309="DNA"),$R309,IF(OR(ISNUMBER($Q309),$Q309="DNA"),$Q309,IF(OR(ISNUMBER($N309),$N309="DNA"),$N309,IF(OR(ISNUMBER($M309),$M309="DNA"),$M309,IF(OR(ISNUMBER($L309),$L309="DNA"),$L309,"")))))))))),IF(ISNUMBER($V309),"Update status","Missed/not booked?"),""))))</f>
        <v/>
      </c>
      <c r="K309" s="29">
        <f>IF(NOT(AND($A309&lt;&gt;"",OR($G309="",$G309="Active"))),"",IF(MIN(IF(AND(ISNUMBER($L309),$L309&gt;=TODAY()),$L309,99999),IF(AND(ISNUMBER($M309),$M309&gt;=TODAY()),$M309,99999),IF(AND(ISNUMBER($N309),$N309&gt;=TODAY()),$N309,99999),IF(AND(ISNUMBER($Q309),$Q309&gt;=TODAY()),$Q309,99999),IF(AND(ISNUMBER($R309),$R309&gt;=TODAY()),$R309,99999),IF(AND(ISNUMBER($S309),$S309&gt;=TODAY()),$S309,99999),IF(AND(ISNUMBER($T309),$T309&gt;=TODAY()),$T309,99999),IF(AND(ISNUMBER($U309),$U309&gt;=TODAY()),$U309,99999),IF(AND(ISNUMBER($V309),$V309&gt;=TODAY()),$V309,99999))=99999,"",MIN(IF(AND(ISNUMBER($L309),$L309&gt;=TODAY()),$L309,99999),IF(AND(ISNUMBER($M309),$M309&gt;=TODAY()),$M309,99999),IF(AND(ISNUMBER($N309),$N309&gt;=TODAY()),$N309,99999),IF(AND(ISNUMBER($Q309),$Q309&gt;=TODAY()),$Q309,99999),IF(AND(ISNUMBER($R309),$R309&gt;=TODAY()),$R309,99999),IF(AND(ISNUMBER($S309),$S309&gt;=TODAY()),$S309,99999),IF(AND(ISNUMBER($T309),$T309&gt;=TODAY()),$T309,99999),IF(AND(ISNUMBER($U309),$U309&gt;=TODAY()),$U309,99999),IF(AND(ISNUMBER($V309),$V309&gt;=TODAY()),$V309,99999))))</f>
        <v/>
      </c>
      <c r="L309" s="27" t="n"/>
      <c r="M309" s="27" t="n"/>
      <c r="N309" s="27" t="n"/>
      <c r="O309" s="27" t="n"/>
      <c r="P309" s="27" t="n"/>
      <c r="Q309" s="27" t="n"/>
      <c r="R309" s="27" t="n"/>
      <c r="S309" s="27" t="n"/>
      <c r="T309" s="27" t="n"/>
      <c r="U309" s="27" t="n"/>
      <c r="V309" s="27" t="n"/>
      <c r="W309" s="27" t="n"/>
      <c r="X309" s="27" t="n"/>
      <c r="Y309" s="27" t="n"/>
      <c r="Z309" s="30" t="n"/>
      <c r="AA309" s="25" t="n"/>
      <c r="AB309" s="28">
        <f>IF(NOT(AND($A309&lt;&gt;"",OR($G309="",$G309="Active"))),"",IF(OR(IF(OR(ISNUMBER($V309),$V309="DNA"),$V309,IF(OR(ISNUMBER($U309),$U309="DNA"),$U309,IF(OR(ISNUMBER($T309),$T309="DNA"),$T309,IF(OR(ISNUMBER($S309),$S309="DNA"),$S309,IF(OR(ISNUMBER($R309),$R309="DNA"),$R309,IF(OR(ISNUMBER($Q309),$Q309="DNA"),$Q309,IF(OR(ISNUMBER($N309),$N309="DNA"),$N309,IF(OR(ISNUMBER($M309),$M309="DNA"),$M309,IF(OR(ISNUMBER($L309),$L309="DNA"),$L309,"")))))))))="DNA",AND(ISNUMBER(IF(OR(ISNUMBER($V309),$V309="DNA"),$V309,IF(OR(ISNUMBER($U309),$U309="DNA"),$U309,IF(OR(ISNUMBER($T309),$T309="DNA"),$T309,IF(OR(ISNUMBER($S309),$S309="DNA"),$S309,IF(OR(ISNUMBER($R309),$R309="DNA"),$R309,IF(OR(ISNUMBER($Q309),$Q309="DNA"),$Q309,IF(OR(ISNUMBER($N309),$N309="DNA"),$N309,IF(OR(ISNUMBER($M309),$M309="DNA"),$M309,IF(OR(ISNUMBER($L309),$L309="DNA"),$L309,"")))))))))),IF(OR(ISNUMBER($V309),$V309="DNA"),$V309,IF(OR(ISNUMBER($U309),$U309="DNA"),$U309,IF(OR(ISNUMBER($T309),$T309="DNA"),$T309,IF(OR(ISNUMBER($S309),$S309="DNA"),$S309,IF(OR(ISNUMBER($R309),$R309="DNA"),$R309,IF(OR(ISNUMBER($Q309),$Q309="DNA"),$Q309,IF(OR(ISNUMBER($N309),$N309="DNA"),$N309,IF(OR(ISNUMBER($M309),$M309="DNA"),$M309,IF(OR(ISNUMBER($L309),$L309="DNA"),$L309,"")))))))))&lt;TODAY())),1,0)+ISNUMBER($O309)*($O309&lt;TODAY())+ISNUMBER($P309)*($P309&lt;TODAY())+ISNUMBER($X309)*($X309&lt;TODAY())+ISNUMBER($Y309)*($Y309&lt;TODAY()))</f>
        <v/>
      </c>
    </row>
    <row r="310">
      <c r="A310" s="25" t="n"/>
      <c r="B310" s="26" t="n"/>
      <c r="C310" s="27" t="n"/>
      <c r="D310" s="25" t="n"/>
      <c r="E310" s="25" t="n"/>
      <c r="F310" s="27" t="n"/>
      <c r="G310" s="25" t="n"/>
      <c r="H310" s="28">
        <f>IF(OR(NOT(AND($A310&lt;&gt;"",OR($G310="",$G310="Active"))),$F310=""),"",INT((TODAY()-$F310+280)/7)&amp;"+"&amp;MOD(TODAY()-$F310+280,7))</f>
        <v/>
      </c>
      <c r="I310" s="28">
        <f>IF(NOT(AND($A310&lt;&gt;"",OR($G310="",$G310="Active"))),"",ISNUMBER($L310)*($L310&gt;=TODAY())*($L310&lt;=TODAY()+7)+ISNUMBER($M310)*($M310&gt;=TODAY())*($M310&lt;=TODAY()+7)+ISNUMBER($N310)*($N310&gt;=TODAY())*($N310&lt;=TODAY()+7)+ISNUMBER($Q310)*($Q310&gt;=TODAY())*($Q310&lt;=TODAY()+7)+ISNUMBER($R310)*($R310&gt;=TODAY())*($R310&lt;=TODAY()+7)+ISNUMBER($S310)*($S310&gt;=TODAY())*($S310&lt;=TODAY()+7)+ISNUMBER($T310)*($T310&gt;=TODAY())*($T310&lt;=TODAY()+7)+ISNUMBER($U310)*($U310&gt;=TODAY())*($U310&lt;=TODAY()+7)+ISNUMBER($V310)*($V310&gt;=TODAY())*($V310&lt;=TODAY()+7)+ISNUMBER($O310)*($O310&gt;=TODAY())*($O310&lt;=TODAY()+7)+ISNUMBER($P310)*($P310&gt;=TODAY())*($P310&lt;=TODAY()+7)+ISNUMBER($X310)*($X310&gt;=TODAY())*($X310&lt;=TODAY()+7)+ISNUMBER($Y310)*($Y310&gt;=TODAY())*($Y310&lt;=TODAY()+7))</f>
        <v/>
      </c>
      <c r="J310" s="28">
        <f>IF(NOT(AND($A310&lt;&gt;"",OR($G310="",$G310="Active"))),"",IF($K310&lt;&gt;"",IF($L310=$K310,"Booking",IF($M310=$K310,"16/40",IF($N310=$K310,"25/40",IF($Q310=$K310,"28/40",IF($R310=$K310,"31/40",IF($S310=$K310,"34/40",IF($T310=$K310,"36/40",IF($U310=$K310,"38/40",IF($V310=$K310,"40/40",""))))))))),IF(IF(OR(ISNUMBER($V310),$V310="DNA"),$V310,IF(OR(ISNUMBER($U310),$U310="DNA"),$U310,IF(OR(ISNUMBER($T310),$T310="DNA"),$T310,IF(OR(ISNUMBER($S310),$S310="DNA"),$S310,IF(OR(ISNUMBER($R310),$R310="DNA"),$R310,IF(OR(ISNUMBER($Q310),$Q310="DNA"),$Q310,IF(OR(ISNUMBER($N310),$N310="DNA"),$N310,IF(OR(ISNUMBER($M310),$M310="DNA"),$M310,IF(OR(ISNUMBER($L310),$L310="DNA"),$L310,"")))))))))="DNA","Rebook DNA",IF(ISNUMBER(IF(OR(ISNUMBER($V310),$V310="DNA"),$V310,IF(OR(ISNUMBER($U310),$U310="DNA"),$U310,IF(OR(ISNUMBER($T310),$T310="DNA"),$T310,IF(OR(ISNUMBER($S310),$S310="DNA"),$S310,IF(OR(ISNUMBER($R310),$R310="DNA"),$R310,IF(OR(ISNUMBER($Q310),$Q310="DNA"),$Q310,IF(OR(ISNUMBER($N310),$N310="DNA"),$N310,IF(OR(ISNUMBER($M310),$M310="DNA"),$M310,IF(OR(ISNUMBER($L310),$L310="DNA"),$L310,"")))))))))),IF(ISNUMBER($V310),"Update status","Missed/not booked?"),""))))</f>
        <v/>
      </c>
      <c r="K310" s="29">
        <f>IF(NOT(AND($A310&lt;&gt;"",OR($G310="",$G310="Active"))),"",IF(MIN(IF(AND(ISNUMBER($L310),$L310&gt;=TODAY()),$L310,99999),IF(AND(ISNUMBER($M310),$M310&gt;=TODAY()),$M310,99999),IF(AND(ISNUMBER($N310),$N310&gt;=TODAY()),$N310,99999),IF(AND(ISNUMBER($Q310),$Q310&gt;=TODAY()),$Q310,99999),IF(AND(ISNUMBER($R310),$R310&gt;=TODAY()),$R310,99999),IF(AND(ISNUMBER($S310),$S310&gt;=TODAY()),$S310,99999),IF(AND(ISNUMBER($T310),$T310&gt;=TODAY()),$T310,99999),IF(AND(ISNUMBER($U310),$U310&gt;=TODAY()),$U310,99999),IF(AND(ISNUMBER($V310),$V310&gt;=TODAY()),$V310,99999))=99999,"",MIN(IF(AND(ISNUMBER($L310),$L310&gt;=TODAY()),$L310,99999),IF(AND(ISNUMBER($M310),$M310&gt;=TODAY()),$M310,99999),IF(AND(ISNUMBER($N310),$N310&gt;=TODAY()),$N310,99999),IF(AND(ISNUMBER($Q310),$Q310&gt;=TODAY()),$Q310,99999),IF(AND(ISNUMBER($R310),$R310&gt;=TODAY()),$R310,99999),IF(AND(ISNUMBER($S310),$S310&gt;=TODAY()),$S310,99999),IF(AND(ISNUMBER($T310),$T310&gt;=TODAY()),$T310,99999),IF(AND(ISNUMBER($U310),$U310&gt;=TODAY()),$U310,99999),IF(AND(ISNUMBER($V310),$V310&gt;=TODAY()),$V310,99999))))</f>
        <v/>
      </c>
      <c r="L310" s="27" t="n"/>
      <c r="M310" s="27" t="n"/>
      <c r="N310" s="27" t="n"/>
      <c r="O310" s="27" t="n"/>
      <c r="P310" s="27" t="n"/>
      <c r="Q310" s="27" t="n"/>
      <c r="R310" s="27" t="n"/>
      <c r="S310" s="27" t="n"/>
      <c r="T310" s="27" t="n"/>
      <c r="U310" s="27" t="n"/>
      <c r="V310" s="27" t="n"/>
      <c r="W310" s="27" t="n"/>
      <c r="X310" s="27" t="n"/>
      <c r="Y310" s="27" t="n"/>
      <c r="Z310" s="30" t="n"/>
      <c r="AA310" s="25" t="n"/>
      <c r="AB310" s="28">
        <f>IF(NOT(AND($A310&lt;&gt;"",OR($G310="",$G310="Active"))),"",IF(OR(IF(OR(ISNUMBER($V310),$V310="DNA"),$V310,IF(OR(ISNUMBER($U310),$U310="DNA"),$U310,IF(OR(ISNUMBER($T310),$T310="DNA"),$T310,IF(OR(ISNUMBER($S310),$S310="DNA"),$S310,IF(OR(ISNUMBER($R310),$R310="DNA"),$R310,IF(OR(ISNUMBER($Q310),$Q310="DNA"),$Q310,IF(OR(ISNUMBER($N310),$N310="DNA"),$N310,IF(OR(ISNUMBER($M310),$M310="DNA"),$M310,IF(OR(ISNUMBER($L310),$L310="DNA"),$L310,"")))))))))="DNA",AND(ISNUMBER(IF(OR(ISNUMBER($V310),$V310="DNA"),$V310,IF(OR(ISNUMBER($U310),$U310="DNA"),$U310,IF(OR(ISNUMBER($T310),$T310="DNA"),$T310,IF(OR(ISNUMBER($S310),$S310="DNA"),$S310,IF(OR(ISNUMBER($R310),$R310="DNA"),$R310,IF(OR(ISNUMBER($Q310),$Q310="DNA"),$Q310,IF(OR(ISNUMBER($N310),$N310="DNA"),$N310,IF(OR(ISNUMBER($M310),$M310="DNA"),$M310,IF(OR(ISNUMBER($L310),$L310="DNA"),$L310,"")))))))))),IF(OR(ISNUMBER($V310),$V310="DNA"),$V310,IF(OR(ISNUMBER($U310),$U310="DNA"),$U310,IF(OR(ISNUMBER($T310),$T310="DNA"),$T310,IF(OR(ISNUMBER($S310),$S310="DNA"),$S310,IF(OR(ISNUMBER($R310),$R310="DNA"),$R310,IF(OR(ISNUMBER($Q310),$Q310="DNA"),$Q310,IF(OR(ISNUMBER($N310),$N310="DNA"),$N310,IF(OR(ISNUMBER($M310),$M310="DNA"),$M310,IF(OR(ISNUMBER($L310),$L310="DNA"),$L310,"")))))))))&lt;TODAY())),1,0)+ISNUMBER($O310)*($O310&lt;TODAY())+ISNUMBER($P310)*($P310&lt;TODAY())+ISNUMBER($X310)*($X310&lt;TODAY())+ISNUMBER($Y310)*($Y310&lt;TODAY()))</f>
        <v/>
      </c>
    </row>
    <row r="311">
      <c r="A311" s="25" t="n"/>
      <c r="B311" s="26" t="n"/>
      <c r="C311" s="27" t="n"/>
      <c r="D311" s="25" t="n"/>
      <c r="E311" s="25" t="n"/>
      <c r="F311" s="27" t="n"/>
      <c r="G311" s="25" t="n"/>
      <c r="H311" s="28">
        <f>IF(OR(NOT(AND($A311&lt;&gt;"",OR($G311="",$G311="Active"))),$F311=""),"",INT((TODAY()-$F311+280)/7)&amp;"+"&amp;MOD(TODAY()-$F311+280,7))</f>
        <v/>
      </c>
      <c r="I311" s="28">
        <f>IF(NOT(AND($A311&lt;&gt;"",OR($G311="",$G311="Active"))),"",ISNUMBER($L311)*($L311&gt;=TODAY())*($L311&lt;=TODAY()+7)+ISNUMBER($M311)*($M311&gt;=TODAY())*($M311&lt;=TODAY()+7)+ISNUMBER($N311)*($N311&gt;=TODAY())*($N311&lt;=TODAY()+7)+ISNUMBER($Q311)*($Q311&gt;=TODAY())*($Q311&lt;=TODAY()+7)+ISNUMBER($R311)*($R311&gt;=TODAY())*($R311&lt;=TODAY()+7)+ISNUMBER($S311)*($S311&gt;=TODAY())*($S311&lt;=TODAY()+7)+ISNUMBER($T311)*($T311&gt;=TODAY())*($T311&lt;=TODAY()+7)+ISNUMBER($U311)*($U311&gt;=TODAY())*($U311&lt;=TODAY()+7)+ISNUMBER($V311)*($V311&gt;=TODAY())*($V311&lt;=TODAY()+7)+ISNUMBER($O311)*($O311&gt;=TODAY())*($O311&lt;=TODAY()+7)+ISNUMBER($P311)*($P311&gt;=TODAY())*($P311&lt;=TODAY()+7)+ISNUMBER($X311)*($X311&gt;=TODAY())*($X311&lt;=TODAY()+7)+ISNUMBER($Y311)*($Y311&gt;=TODAY())*($Y311&lt;=TODAY()+7))</f>
        <v/>
      </c>
      <c r="J311" s="28">
        <f>IF(NOT(AND($A311&lt;&gt;"",OR($G311="",$G311="Active"))),"",IF($K311&lt;&gt;"",IF($L311=$K311,"Booking",IF($M311=$K311,"16/40",IF($N311=$K311,"25/40",IF($Q311=$K311,"28/40",IF($R311=$K311,"31/40",IF($S311=$K311,"34/40",IF($T311=$K311,"36/40",IF($U311=$K311,"38/40",IF($V311=$K311,"40/40",""))))))))),IF(IF(OR(ISNUMBER($V311),$V311="DNA"),$V311,IF(OR(ISNUMBER($U311),$U311="DNA"),$U311,IF(OR(ISNUMBER($T311),$T311="DNA"),$T311,IF(OR(ISNUMBER($S311),$S311="DNA"),$S311,IF(OR(ISNUMBER($R311),$R311="DNA"),$R311,IF(OR(ISNUMBER($Q311),$Q311="DNA"),$Q311,IF(OR(ISNUMBER($N311),$N311="DNA"),$N311,IF(OR(ISNUMBER($M311),$M311="DNA"),$M311,IF(OR(ISNUMBER($L311),$L311="DNA"),$L311,"")))))))))="DNA","Rebook DNA",IF(ISNUMBER(IF(OR(ISNUMBER($V311),$V311="DNA"),$V311,IF(OR(ISNUMBER($U311),$U311="DNA"),$U311,IF(OR(ISNUMBER($T311),$T311="DNA"),$T311,IF(OR(ISNUMBER($S311),$S311="DNA"),$S311,IF(OR(ISNUMBER($R311),$R311="DNA"),$R311,IF(OR(ISNUMBER($Q311),$Q311="DNA"),$Q311,IF(OR(ISNUMBER($N311),$N311="DNA"),$N311,IF(OR(ISNUMBER($M311),$M311="DNA"),$M311,IF(OR(ISNUMBER($L311),$L311="DNA"),$L311,"")))))))))),IF(ISNUMBER($V311),"Update status","Missed/not booked?"),""))))</f>
        <v/>
      </c>
      <c r="K311" s="29">
        <f>IF(NOT(AND($A311&lt;&gt;"",OR($G311="",$G311="Active"))),"",IF(MIN(IF(AND(ISNUMBER($L311),$L311&gt;=TODAY()),$L311,99999),IF(AND(ISNUMBER($M311),$M311&gt;=TODAY()),$M311,99999),IF(AND(ISNUMBER($N311),$N311&gt;=TODAY()),$N311,99999),IF(AND(ISNUMBER($Q311),$Q311&gt;=TODAY()),$Q311,99999),IF(AND(ISNUMBER($R311),$R311&gt;=TODAY()),$R311,99999),IF(AND(ISNUMBER($S311),$S311&gt;=TODAY()),$S311,99999),IF(AND(ISNUMBER($T311),$T311&gt;=TODAY()),$T311,99999),IF(AND(ISNUMBER($U311),$U311&gt;=TODAY()),$U311,99999),IF(AND(ISNUMBER($V311),$V311&gt;=TODAY()),$V311,99999))=99999,"",MIN(IF(AND(ISNUMBER($L311),$L311&gt;=TODAY()),$L311,99999),IF(AND(ISNUMBER($M311),$M311&gt;=TODAY()),$M311,99999),IF(AND(ISNUMBER($N311),$N311&gt;=TODAY()),$N311,99999),IF(AND(ISNUMBER($Q311),$Q311&gt;=TODAY()),$Q311,99999),IF(AND(ISNUMBER($R311),$R311&gt;=TODAY()),$R311,99999),IF(AND(ISNUMBER($S311),$S311&gt;=TODAY()),$S311,99999),IF(AND(ISNUMBER($T311),$T311&gt;=TODAY()),$T311,99999),IF(AND(ISNUMBER($U311),$U311&gt;=TODAY()),$U311,99999),IF(AND(ISNUMBER($V311),$V311&gt;=TODAY()),$V311,99999))))</f>
        <v/>
      </c>
      <c r="L311" s="27" t="n"/>
      <c r="M311" s="27" t="n"/>
      <c r="N311" s="27" t="n"/>
      <c r="O311" s="27" t="n"/>
      <c r="P311" s="27" t="n"/>
      <c r="Q311" s="27" t="n"/>
      <c r="R311" s="27" t="n"/>
      <c r="S311" s="27" t="n"/>
      <c r="T311" s="27" t="n"/>
      <c r="U311" s="27" t="n"/>
      <c r="V311" s="27" t="n"/>
      <c r="W311" s="27" t="n"/>
      <c r="X311" s="27" t="n"/>
      <c r="Y311" s="27" t="n"/>
      <c r="Z311" s="30" t="n"/>
      <c r="AA311" s="25" t="n"/>
      <c r="AB311" s="28">
        <f>IF(NOT(AND($A311&lt;&gt;"",OR($G311="",$G311="Active"))),"",IF(OR(IF(OR(ISNUMBER($V311),$V311="DNA"),$V311,IF(OR(ISNUMBER($U311),$U311="DNA"),$U311,IF(OR(ISNUMBER($T311),$T311="DNA"),$T311,IF(OR(ISNUMBER($S311),$S311="DNA"),$S311,IF(OR(ISNUMBER($R311),$R311="DNA"),$R311,IF(OR(ISNUMBER($Q311),$Q311="DNA"),$Q311,IF(OR(ISNUMBER($N311),$N311="DNA"),$N311,IF(OR(ISNUMBER($M311),$M311="DNA"),$M311,IF(OR(ISNUMBER($L311),$L311="DNA"),$L311,"")))))))))="DNA",AND(ISNUMBER(IF(OR(ISNUMBER($V311),$V311="DNA"),$V311,IF(OR(ISNUMBER($U311),$U311="DNA"),$U311,IF(OR(ISNUMBER($T311),$T311="DNA"),$T311,IF(OR(ISNUMBER($S311),$S311="DNA"),$S311,IF(OR(ISNUMBER($R311),$R311="DNA"),$R311,IF(OR(ISNUMBER($Q311),$Q311="DNA"),$Q311,IF(OR(ISNUMBER($N311),$N311="DNA"),$N311,IF(OR(ISNUMBER($M311),$M311="DNA"),$M311,IF(OR(ISNUMBER($L311),$L311="DNA"),$L311,"")))))))))),IF(OR(ISNUMBER($V311),$V311="DNA"),$V311,IF(OR(ISNUMBER($U311),$U311="DNA"),$U311,IF(OR(ISNUMBER($T311),$T311="DNA"),$T311,IF(OR(ISNUMBER($S311),$S311="DNA"),$S311,IF(OR(ISNUMBER($R311),$R311="DNA"),$R311,IF(OR(ISNUMBER($Q311),$Q311="DNA"),$Q311,IF(OR(ISNUMBER($N311),$N311="DNA"),$N311,IF(OR(ISNUMBER($M311),$M311="DNA"),$M311,IF(OR(ISNUMBER($L311),$L311="DNA"),$L311,"")))))))))&lt;TODAY())),1,0)+ISNUMBER($O311)*($O311&lt;TODAY())+ISNUMBER($P311)*($P311&lt;TODAY())+ISNUMBER($X311)*($X311&lt;TODAY())+ISNUMBER($Y311)*($Y311&lt;TODAY()))</f>
        <v/>
      </c>
    </row>
    <row r="312">
      <c r="A312" s="25" t="n"/>
      <c r="B312" s="26" t="n"/>
      <c r="C312" s="27" t="n"/>
      <c r="D312" s="25" t="n"/>
      <c r="E312" s="25" t="n"/>
      <c r="F312" s="27" t="n"/>
      <c r="G312" s="25" t="n"/>
      <c r="H312" s="28">
        <f>IF(OR(NOT(AND($A312&lt;&gt;"",OR($G312="",$G312="Active"))),$F312=""),"",INT((TODAY()-$F312+280)/7)&amp;"+"&amp;MOD(TODAY()-$F312+280,7))</f>
        <v/>
      </c>
      <c r="I312" s="28">
        <f>IF(NOT(AND($A312&lt;&gt;"",OR($G312="",$G312="Active"))),"",ISNUMBER($L312)*($L312&gt;=TODAY())*($L312&lt;=TODAY()+7)+ISNUMBER($M312)*($M312&gt;=TODAY())*($M312&lt;=TODAY()+7)+ISNUMBER($N312)*($N312&gt;=TODAY())*($N312&lt;=TODAY()+7)+ISNUMBER($Q312)*($Q312&gt;=TODAY())*($Q312&lt;=TODAY()+7)+ISNUMBER($R312)*($R312&gt;=TODAY())*($R312&lt;=TODAY()+7)+ISNUMBER($S312)*($S312&gt;=TODAY())*($S312&lt;=TODAY()+7)+ISNUMBER($T312)*($T312&gt;=TODAY())*($T312&lt;=TODAY()+7)+ISNUMBER($U312)*($U312&gt;=TODAY())*($U312&lt;=TODAY()+7)+ISNUMBER($V312)*($V312&gt;=TODAY())*($V312&lt;=TODAY()+7)+ISNUMBER($O312)*($O312&gt;=TODAY())*($O312&lt;=TODAY()+7)+ISNUMBER($P312)*($P312&gt;=TODAY())*($P312&lt;=TODAY()+7)+ISNUMBER($X312)*($X312&gt;=TODAY())*($X312&lt;=TODAY()+7)+ISNUMBER($Y312)*($Y312&gt;=TODAY())*($Y312&lt;=TODAY()+7))</f>
        <v/>
      </c>
      <c r="J312" s="28">
        <f>IF(NOT(AND($A312&lt;&gt;"",OR($G312="",$G312="Active"))),"",IF($K312&lt;&gt;"",IF($L312=$K312,"Booking",IF($M312=$K312,"16/40",IF($N312=$K312,"25/40",IF($Q312=$K312,"28/40",IF($R312=$K312,"31/40",IF($S312=$K312,"34/40",IF($T312=$K312,"36/40",IF($U312=$K312,"38/40",IF($V312=$K312,"40/40",""))))))))),IF(IF(OR(ISNUMBER($V312),$V312="DNA"),$V312,IF(OR(ISNUMBER($U312),$U312="DNA"),$U312,IF(OR(ISNUMBER($T312),$T312="DNA"),$T312,IF(OR(ISNUMBER($S312),$S312="DNA"),$S312,IF(OR(ISNUMBER($R312),$R312="DNA"),$R312,IF(OR(ISNUMBER($Q312),$Q312="DNA"),$Q312,IF(OR(ISNUMBER($N312),$N312="DNA"),$N312,IF(OR(ISNUMBER($M312),$M312="DNA"),$M312,IF(OR(ISNUMBER($L312),$L312="DNA"),$L312,"")))))))))="DNA","Rebook DNA",IF(ISNUMBER(IF(OR(ISNUMBER($V312),$V312="DNA"),$V312,IF(OR(ISNUMBER($U312),$U312="DNA"),$U312,IF(OR(ISNUMBER($T312),$T312="DNA"),$T312,IF(OR(ISNUMBER($S312),$S312="DNA"),$S312,IF(OR(ISNUMBER($R312),$R312="DNA"),$R312,IF(OR(ISNUMBER($Q312),$Q312="DNA"),$Q312,IF(OR(ISNUMBER($N312),$N312="DNA"),$N312,IF(OR(ISNUMBER($M312),$M312="DNA"),$M312,IF(OR(ISNUMBER($L312),$L312="DNA"),$L312,"")))))))))),IF(ISNUMBER($V312),"Update status","Missed/not booked?"),""))))</f>
        <v/>
      </c>
      <c r="K312" s="29">
        <f>IF(NOT(AND($A312&lt;&gt;"",OR($G312="",$G312="Active"))),"",IF(MIN(IF(AND(ISNUMBER($L312),$L312&gt;=TODAY()),$L312,99999),IF(AND(ISNUMBER($M312),$M312&gt;=TODAY()),$M312,99999),IF(AND(ISNUMBER($N312),$N312&gt;=TODAY()),$N312,99999),IF(AND(ISNUMBER($Q312),$Q312&gt;=TODAY()),$Q312,99999),IF(AND(ISNUMBER($R312),$R312&gt;=TODAY()),$R312,99999),IF(AND(ISNUMBER($S312),$S312&gt;=TODAY()),$S312,99999),IF(AND(ISNUMBER($T312),$T312&gt;=TODAY()),$T312,99999),IF(AND(ISNUMBER($U312),$U312&gt;=TODAY()),$U312,99999),IF(AND(ISNUMBER($V312),$V312&gt;=TODAY()),$V312,99999))=99999,"",MIN(IF(AND(ISNUMBER($L312),$L312&gt;=TODAY()),$L312,99999),IF(AND(ISNUMBER($M312),$M312&gt;=TODAY()),$M312,99999),IF(AND(ISNUMBER($N312),$N312&gt;=TODAY()),$N312,99999),IF(AND(ISNUMBER($Q312),$Q312&gt;=TODAY()),$Q312,99999),IF(AND(ISNUMBER($R312),$R312&gt;=TODAY()),$R312,99999),IF(AND(ISNUMBER($S312),$S312&gt;=TODAY()),$S312,99999),IF(AND(ISNUMBER($T312),$T312&gt;=TODAY()),$T312,99999),IF(AND(ISNUMBER($U312),$U312&gt;=TODAY()),$U312,99999),IF(AND(ISNUMBER($V312),$V312&gt;=TODAY()),$V312,99999))))</f>
        <v/>
      </c>
      <c r="L312" s="27" t="n"/>
      <c r="M312" s="27" t="n"/>
      <c r="N312" s="27" t="n"/>
      <c r="O312" s="27" t="n"/>
      <c r="P312" s="27" t="n"/>
      <c r="Q312" s="27" t="n"/>
      <c r="R312" s="27" t="n"/>
      <c r="S312" s="27" t="n"/>
      <c r="T312" s="27" t="n"/>
      <c r="U312" s="27" t="n"/>
      <c r="V312" s="27" t="n"/>
      <c r="W312" s="27" t="n"/>
      <c r="X312" s="27" t="n"/>
      <c r="Y312" s="27" t="n"/>
      <c r="Z312" s="30" t="n"/>
      <c r="AA312" s="25" t="n"/>
      <c r="AB312" s="28">
        <f>IF(NOT(AND($A312&lt;&gt;"",OR($G312="",$G312="Active"))),"",IF(OR(IF(OR(ISNUMBER($V312),$V312="DNA"),$V312,IF(OR(ISNUMBER($U312),$U312="DNA"),$U312,IF(OR(ISNUMBER($T312),$T312="DNA"),$T312,IF(OR(ISNUMBER($S312),$S312="DNA"),$S312,IF(OR(ISNUMBER($R312),$R312="DNA"),$R312,IF(OR(ISNUMBER($Q312),$Q312="DNA"),$Q312,IF(OR(ISNUMBER($N312),$N312="DNA"),$N312,IF(OR(ISNUMBER($M312),$M312="DNA"),$M312,IF(OR(ISNUMBER($L312),$L312="DNA"),$L312,"")))))))))="DNA",AND(ISNUMBER(IF(OR(ISNUMBER($V312),$V312="DNA"),$V312,IF(OR(ISNUMBER($U312),$U312="DNA"),$U312,IF(OR(ISNUMBER($T312),$T312="DNA"),$T312,IF(OR(ISNUMBER($S312),$S312="DNA"),$S312,IF(OR(ISNUMBER($R312),$R312="DNA"),$R312,IF(OR(ISNUMBER($Q312),$Q312="DNA"),$Q312,IF(OR(ISNUMBER($N312),$N312="DNA"),$N312,IF(OR(ISNUMBER($M312),$M312="DNA"),$M312,IF(OR(ISNUMBER($L312),$L312="DNA"),$L312,"")))))))))),IF(OR(ISNUMBER($V312),$V312="DNA"),$V312,IF(OR(ISNUMBER($U312),$U312="DNA"),$U312,IF(OR(ISNUMBER($T312),$T312="DNA"),$T312,IF(OR(ISNUMBER($S312),$S312="DNA"),$S312,IF(OR(ISNUMBER($R312),$R312="DNA"),$R312,IF(OR(ISNUMBER($Q312),$Q312="DNA"),$Q312,IF(OR(ISNUMBER($N312),$N312="DNA"),$N312,IF(OR(ISNUMBER($M312),$M312="DNA"),$M312,IF(OR(ISNUMBER($L312),$L312="DNA"),$L312,"")))))))))&lt;TODAY())),1,0)+ISNUMBER($O312)*($O312&lt;TODAY())+ISNUMBER($P312)*($P312&lt;TODAY())+ISNUMBER($X312)*($X312&lt;TODAY())+ISNUMBER($Y312)*($Y312&lt;TODAY()))</f>
        <v/>
      </c>
    </row>
    <row r="313">
      <c r="A313" s="25" t="n"/>
      <c r="B313" s="26" t="n"/>
      <c r="C313" s="27" t="n"/>
      <c r="D313" s="25" t="n"/>
      <c r="E313" s="25" t="n"/>
      <c r="F313" s="27" t="n"/>
      <c r="G313" s="25" t="n"/>
      <c r="H313" s="28">
        <f>IF(OR(NOT(AND($A313&lt;&gt;"",OR($G313="",$G313="Active"))),$F313=""),"",INT((TODAY()-$F313+280)/7)&amp;"+"&amp;MOD(TODAY()-$F313+280,7))</f>
        <v/>
      </c>
      <c r="I313" s="28">
        <f>IF(NOT(AND($A313&lt;&gt;"",OR($G313="",$G313="Active"))),"",ISNUMBER($L313)*($L313&gt;=TODAY())*($L313&lt;=TODAY()+7)+ISNUMBER($M313)*($M313&gt;=TODAY())*($M313&lt;=TODAY()+7)+ISNUMBER($N313)*($N313&gt;=TODAY())*($N313&lt;=TODAY()+7)+ISNUMBER($Q313)*($Q313&gt;=TODAY())*($Q313&lt;=TODAY()+7)+ISNUMBER($R313)*($R313&gt;=TODAY())*($R313&lt;=TODAY()+7)+ISNUMBER($S313)*($S313&gt;=TODAY())*($S313&lt;=TODAY()+7)+ISNUMBER($T313)*($T313&gt;=TODAY())*($T313&lt;=TODAY()+7)+ISNUMBER($U313)*($U313&gt;=TODAY())*($U313&lt;=TODAY()+7)+ISNUMBER($V313)*($V313&gt;=TODAY())*($V313&lt;=TODAY()+7)+ISNUMBER($O313)*($O313&gt;=TODAY())*($O313&lt;=TODAY()+7)+ISNUMBER($P313)*($P313&gt;=TODAY())*($P313&lt;=TODAY()+7)+ISNUMBER($X313)*($X313&gt;=TODAY())*($X313&lt;=TODAY()+7)+ISNUMBER($Y313)*($Y313&gt;=TODAY())*($Y313&lt;=TODAY()+7))</f>
        <v/>
      </c>
      <c r="J313" s="28">
        <f>IF(NOT(AND($A313&lt;&gt;"",OR($G313="",$G313="Active"))),"",IF($K313&lt;&gt;"",IF($L313=$K313,"Booking",IF($M313=$K313,"16/40",IF($N313=$K313,"25/40",IF($Q313=$K313,"28/40",IF($R313=$K313,"31/40",IF($S313=$K313,"34/40",IF($T313=$K313,"36/40",IF($U313=$K313,"38/40",IF($V313=$K313,"40/40",""))))))))),IF(IF(OR(ISNUMBER($V313),$V313="DNA"),$V313,IF(OR(ISNUMBER($U313),$U313="DNA"),$U313,IF(OR(ISNUMBER($T313),$T313="DNA"),$T313,IF(OR(ISNUMBER($S313),$S313="DNA"),$S313,IF(OR(ISNUMBER($R313),$R313="DNA"),$R313,IF(OR(ISNUMBER($Q313),$Q313="DNA"),$Q313,IF(OR(ISNUMBER($N313),$N313="DNA"),$N313,IF(OR(ISNUMBER($M313),$M313="DNA"),$M313,IF(OR(ISNUMBER($L313),$L313="DNA"),$L313,"")))))))))="DNA","Rebook DNA",IF(ISNUMBER(IF(OR(ISNUMBER($V313),$V313="DNA"),$V313,IF(OR(ISNUMBER($U313),$U313="DNA"),$U313,IF(OR(ISNUMBER($T313),$T313="DNA"),$T313,IF(OR(ISNUMBER($S313),$S313="DNA"),$S313,IF(OR(ISNUMBER($R313),$R313="DNA"),$R313,IF(OR(ISNUMBER($Q313),$Q313="DNA"),$Q313,IF(OR(ISNUMBER($N313),$N313="DNA"),$N313,IF(OR(ISNUMBER($M313),$M313="DNA"),$M313,IF(OR(ISNUMBER($L313),$L313="DNA"),$L313,"")))))))))),IF(ISNUMBER($V313),"Update status","Missed/not booked?"),""))))</f>
        <v/>
      </c>
      <c r="K313" s="29">
        <f>IF(NOT(AND($A313&lt;&gt;"",OR($G313="",$G313="Active"))),"",IF(MIN(IF(AND(ISNUMBER($L313),$L313&gt;=TODAY()),$L313,99999),IF(AND(ISNUMBER($M313),$M313&gt;=TODAY()),$M313,99999),IF(AND(ISNUMBER($N313),$N313&gt;=TODAY()),$N313,99999),IF(AND(ISNUMBER($Q313),$Q313&gt;=TODAY()),$Q313,99999),IF(AND(ISNUMBER($R313),$R313&gt;=TODAY()),$R313,99999),IF(AND(ISNUMBER($S313),$S313&gt;=TODAY()),$S313,99999),IF(AND(ISNUMBER($T313),$T313&gt;=TODAY()),$T313,99999),IF(AND(ISNUMBER($U313),$U313&gt;=TODAY()),$U313,99999),IF(AND(ISNUMBER($V313),$V313&gt;=TODAY()),$V313,99999))=99999,"",MIN(IF(AND(ISNUMBER($L313),$L313&gt;=TODAY()),$L313,99999),IF(AND(ISNUMBER($M313),$M313&gt;=TODAY()),$M313,99999),IF(AND(ISNUMBER($N313),$N313&gt;=TODAY()),$N313,99999),IF(AND(ISNUMBER($Q313),$Q313&gt;=TODAY()),$Q313,99999),IF(AND(ISNUMBER($R313),$R313&gt;=TODAY()),$R313,99999),IF(AND(ISNUMBER($S313),$S313&gt;=TODAY()),$S313,99999),IF(AND(ISNUMBER($T313),$T313&gt;=TODAY()),$T313,99999),IF(AND(ISNUMBER($U313),$U313&gt;=TODAY()),$U313,99999),IF(AND(ISNUMBER($V313),$V313&gt;=TODAY()),$V313,99999))))</f>
        <v/>
      </c>
      <c r="L313" s="27" t="n"/>
      <c r="M313" s="27" t="n"/>
      <c r="N313" s="27" t="n"/>
      <c r="O313" s="27" t="n"/>
      <c r="P313" s="27" t="n"/>
      <c r="Q313" s="27" t="n"/>
      <c r="R313" s="27" t="n"/>
      <c r="S313" s="27" t="n"/>
      <c r="T313" s="27" t="n"/>
      <c r="U313" s="27" t="n"/>
      <c r="V313" s="27" t="n"/>
      <c r="W313" s="27" t="n"/>
      <c r="X313" s="27" t="n"/>
      <c r="Y313" s="27" t="n"/>
      <c r="Z313" s="30" t="n"/>
      <c r="AA313" s="25" t="n"/>
      <c r="AB313" s="28">
        <f>IF(NOT(AND($A313&lt;&gt;"",OR($G313="",$G313="Active"))),"",IF(OR(IF(OR(ISNUMBER($V313),$V313="DNA"),$V313,IF(OR(ISNUMBER($U313),$U313="DNA"),$U313,IF(OR(ISNUMBER($T313),$T313="DNA"),$T313,IF(OR(ISNUMBER($S313),$S313="DNA"),$S313,IF(OR(ISNUMBER($R313),$R313="DNA"),$R313,IF(OR(ISNUMBER($Q313),$Q313="DNA"),$Q313,IF(OR(ISNUMBER($N313),$N313="DNA"),$N313,IF(OR(ISNUMBER($M313),$M313="DNA"),$M313,IF(OR(ISNUMBER($L313),$L313="DNA"),$L313,"")))))))))="DNA",AND(ISNUMBER(IF(OR(ISNUMBER($V313),$V313="DNA"),$V313,IF(OR(ISNUMBER($U313),$U313="DNA"),$U313,IF(OR(ISNUMBER($T313),$T313="DNA"),$T313,IF(OR(ISNUMBER($S313),$S313="DNA"),$S313,IF(OR(ISNUMBER($R313),$R313="DNA"),$R313,IF(OR(ISNUMBER($Q313),$Q313="DNA"),$Q313,IF(OR(ISNUMBER($N313),$N313="DNA"),$N313,IF(OR(ISNUMBER($M313),$M313="DNA"),$M313,IF(OR(ISNUMBER($L313),$L313="DNA"),$L313,"")))))))))),IF(OR(ISNUMBER($V313),$V313="DNA"),$V313,IF(OR(ISNUMBER($U313),$U313="DNA"),$U313,IF(OR(ISNUMBER($T313),$T313="DNA"),$T313,IF(OR(ISNUMBER($S313),$S313="DNA"),$S313,IF(OR(ISNUMBER($R313),$R313="DNA"),$R313,IF(OR(ISNUMBER($Q313),$Q313="DNA"),$Q313,IF(OR(ISNUMBER($N313),$N313="DNA"),$N313,IF(OR(ISNUMBER($M313),$M313="DNA"),$M313,IF(OR(ISNUMBER($L313),$L313="DNA"),$L313,"")))))))))&lt;TODAY())),1,0)+ISNUMBER($O313)*($O313&lt;TODAY())+ISNUMBER($P313)*($P313&lt;TODAY())+ISNUMBER($X313)*($X313&lt;TODAY())+ISNUMBER($Y313)*($Y313&lt;TODAY()))</f>
        <v/>
      </c>
    </row>
    <row r="314">
      <c r="A314" s="25" t="n"/>
      <c r="B314" s="26" t="n"/>
      <c r="C314" s="27" t="n"/>
      <c r="D314" s="25" t="n"/>
      <c r="E314" s="25" t="n"/>
      <c r="F314" s="27" t="n"/>
      <c r="G314" s="25" t="n"/>
      <c r="H314" s="28">
        <f>IF(OR(NOT(AND($A314&lt;&gt;"",OR($G314="",$G314="Active"))),$F314=""),"",INT((TODAY()-$F314+280)/7)&amp;"+"&amp;MOD(TODAY()-$F314+280,7))</f>
        <v/>
      </c>
      <c r="I314" s="28">
        <f>IF(NOT(AND($A314&lt;&gt;"",OR($G314="",$G314="Active"))),"",ISNUMBER($L314)*($L314&gt;=TODAY())*($L314&lt;=TODAY()+7)+ISNUMBER($M314)*($M314&gt;=TODAY())*($M314&lt;=TODAY()+7)+ISNUMBER($N314)*($N314&gt;=TODAY())*($N314&lt;=TODAY()+7)+ISNUMBER($Q314)*($Q314&gt;=TODAY())*($Q314&lt;=TODAY()+7)+ISNUMBER($R314)*($R314&gt;=TODAY())*($R314&lt;=TODAY()+7)+ISNUMBER($S314)*($S314&gt;=TODAY())*($S314&lt;=TODAY()+7)+ISNUMBER($T314)*($T314&gt;=TODAY())*($T314&lt;=TODAY()+7)+ISNUMBER($U314)*($U314&gt;=TODAY())*($U314&lt;=TODAY()+7)+ISNUMBER($V314)*($V314&gt;=TODAY())*($V314&lt;=TODAY()+7)+ISNUMBER($O314)*($O314&gt;=TODAY())*($O314&lt;=TODAY()+7)+ISNUMBER($P314)*($P314&gt;=TODAY())*($P314&lt;=TODAY()+7)+ISNUMBER($X314)*($X314&gt;=TODAY())*($X314&lt;=TODAY()+7)+ISNUMBER($Y314)*($Y314&gt;=TODAY())*($Y314&lt;=TODAY()+7))</f>
        <v/>
      </c>
      <c r="J314" s="28">
        <f>IF(NOT(AND($A314&lt;&gt;"",OR($G314="",$G314="Active"))),"",IF($K314&lt;&gt;"",IF($L314=$K314,"Booking",IF($M314=$K314,"16/40",IF($N314=$K314,"25/40",IF($Q314=$K314,"28/40",IF($R314=$K314,"31/40",IF($S314=$K314,"34/40",IF($T314=$K314,"36/40",IF($U314=$K314,"38/40",IF($V314=$K314,"40/40",""))))))))),IF(IF(OR(ISNUMBER($V314),$V314="DNA"),$V314,IF(OR(ISNUMBER($U314),$U314="DNA"),$U314,IF(OR(ISNUMBER($T314),$T314="DNA"),$T314,IF(OR(ISNUMBER($S314),$S314="DNA"),$S314,IF(OR(ISNUMBER($R314),$R314="DNA"),$R314,IF(OR(ISNUMBER($Q314),$Q314="DNA"),$Q314,IF(OR(ISNUMBER($N314),$N314="DNA"),$N314,IF(OR(ISNUMBER($M314),$M314="DNA"),$M314,IF(OR(ISNUMBER($L314),$L314="DNA"),$L314,"")))))))))="DNA","Rebook DNA",IF(ISNUMBER(IF(OR(ISNUMBER($V314),$V314="DNA"),$V314,IF(OR(ISNUMBER($U314),$U314="DNA"),$U314,IF(OR(ISNUMBER($T314),$T314="DNA"),$T314,IF(OR(ISNUMBER($S314),$S314="DNA"),$S314,IF(OR(ISNUMBER($R314),$R314="DNA"),$R314,IF(OR(ISNUMBER($Q314),$Q314="DNA"),$Q314,IF(OR(ISNUMBER($N314),$N314="DNA"),$N314,IF(OR(ISNUMBER($M314),$M314="DNA"),$M314,IF(OR(ISNUMBER($L314),$L314="DNA"),$L314,"")))))))))),IF(ISNUMBER($V314),"Update status","Missed/not booked?"),""))))</f>
        <v/>
      </c>
      <c r="K314" s="29">
        <f>IF(NOT(AND($A314&lt;&gt;"",OR($G314="",$G314="Active"))),"",IF(MIN(IF(AND(ISNUMBER($L314),$L314&gt;=TODAY()),$L314,99999),IF(AND(ISNUMBER($M314),$M314&gt;=TODAY()),$M314,99999),IF(AND(ISNUMBER($N314),$N314&gt;=TODAY()),$N314,99999),IF(AND(ISNUMBER($Q314),$Q314&gt;=TODAY()),$Q314,99999),IF(AND(ISNUMBER($R314),$R314&gt;=TODAY()),$R314,99999),IF(AND(ISNUMBER($S314),$S314&gt;=TODAY()),$S314,99999),IF(AND(ISNUMBER($T314),$T314&gt;=TODAY()),$T314,99999),IF(AND(ISNUMBER($U314),$U314&gt;=TODAY()),$U314,99999),IF(AND(ISNUMBER($V314),$V314&gt;=TODAY()),$V314,99999))=99999,"",MIN(IF(AND(ISNUMBER($L314),$L314&gt;=TODAY()),$L314,99999),IF(AND(ISNUMBER($M314),$M314&gt;=TODAY()),$M314,99999),IF(AND(ISNUMBER($N314),$N314&gt;=TODAY()),$N314,99999),IF(AND(ISNUMBER($Q314),$Q314&gt;=TODAY()),$Q314,99999),IF(AND(ISNUMBER($R314),$R314&gt;=TODAY()),$R314,99999),IF(AND(ISNUMBER($S314),$S314&gt;=TODAY()),$S314,99999),IF(AND(ISNUMBER($T314),$T314&gt;=TODAY()),$T314,99999),IF(AND(ISNUMBER($U314),$U314&gt;=TODAY()),$U314,99999),IF(AND(ISNUMBER($V314),$V314&gt;=TODAY()),$V314,99999))))</f>
        <v/>
      </c>
      <c r="L314" s="27" t="n"/>
      <c r="M314" s="27" t="n"/>
      <c r="N314" s="27" t="n"/>
      <c r="O314" s="27" t="n"/>
      <c r="P314" s="27" t="n"/>
      <c r="Q314" s="27" t="n"/>
      <c r="R314" s="27" t="n"/>
      <c r="S314" s="27" t="n"/>
      <c r="T314" s="27" t="n"/>
      <c r="U314" s="27" t="n"/>
      <c r="V314" s="27" t="n"/>
      <c r="W314" s="27" t="n"/>
      <c r="X314" s="27" t="n"/>
      <c r="Y314" s="27" t="n"/>
      <c r="Z314" s="30" t="n"/>
      <c r="AA314" s="25" t="n"/>
      <c r="AB314" s="28">
        <f>IF(NOT(AND($A314&lt;&gt;"",OR($G314="",$G314="Active"))),"",IF(OR(IF(OR(ISNUMBER($V314),$V314="DNA"),$V314,IF(OR(ISNUMBER($U314),$U314="DNA"),$U314,IF(OR(ISNUMBER($T314),$T314="DNA"),$T314,IF(OR(ISNUMBER($S314),$S314="DNA"),$S314,IF(OR(ISNUMBER($R314),$R314="DNA"),$R314,IF(OR(ISNUMBER($Q314),$Q314="DNA"),$Q314,IF(OR(ISNUMBER($N314),$N314="DNA"),$N314,IF(OR(ISNUMBER($M314),$M314="DNA"),$M314,IF(OR(ISNUMBER($L314),$L314="DNA"),$L314,"")))))))))="DNA",AND(ISNUMBER(IF(OR(ISNUMBER($V314),$V314="DNA"),$V314,IF(OR(ISNUMBER($U314),$U314="DNA"),$U314,IF(OR(ISNUMBER($T314),$T314="DNA"),$T314,IF(OR(ISNUMBER($S314),$S314="DNA"),$S314,IF(OR(ISNUMBER($R314),$R314="DNA"),$R314,IF(OR(ISNUMBER($Q314),$Q314="DNA"),$Q314,IF(OR(ISNUMBER($N314),$N314="DNA"),$N314,IF(OR(ISNUMBER($M314),$M314="DNA"),$M314,IF(OR(ISNUMBER($L314),$L314="DNA"),$L314,"")))))))))),IF(OR(ISNUMBER($V314),$V314="DNA"),$V314,IF(OR(ISNUMBER($U314),$U314="DNA"),$U314,IF(OR(ISNUMBER($T314),$T314="DNA"),$T314,IF(OR(ISNUMBER($S314),$S314="DNA"),$S314,IF(OR(ISNUMBER($R314),$R314="DNA"),$R314,IF(OR(ISNUMBER($Q314),$Q314="DNA"),$Q314,IF(OR(ISNUMBER($N314),$N314="DNA"),$N314,IF(OR(ISNUMBER($M314),$M314="DNA"),$M314,IF(OR(ISNUMBER($L314),$L314="DNA"),$L314,"")))))))))&lt;TODAY())),1,0)+ISNUMBER($O314)*($O314&lt;TODAY())+ISNUMBER($P314)*($P314&lt;TODAY())+ISNUMBER($X314)*($X314&lt;TODAY())+ISNUMBER($Y314)*($Y314&lt;TODAY()))</f>
        <v/>
      </c>
    </row>
    <row r="315">
      <c r="A315" s="25" t="n"/>
      <c r="B315" s="26" t="n"/>
      <c r="C315" s="27" t="n"/>
      <c r="D315" s="25" t="n"/>
      <c r="E315" s="25" t="n"/>
      <c r="F315" s="27" t="n"/>
      <c r="G315" s="25" t="n"/>
      <c r="H315" s="28">
        <f>IF(OR(NOT(AND($A315&lt;&gt;"",OR($G315="",$G315="Active"))),$F315=""),"",INT((TODAY()-$F315+280)/7)&amp;"+"&amp;MOD(TODAY()-$F315+280,7))</f>
        <v/>
      </c>
      <c r="I315" s="28">
        <f>IF(NOT(AND($A315&lt;&gt;"",OR($G315="",$G315="Active"))),"",ISNUMBER($L315)*($L315&gt;=TODAY())*($L315&lt;=TODAY()+7)+ISNUMBER($M315)*($M315&gt;=TODAY())*($M315&lt;=TODAY()+7)+ISNUMBER($N315)*($N315&gt;=TODAY())*($N315&lt;=TODAY()+7)+ISNUMBER($Q315)*($Q315&gt;=TODAY())*($Q315&lt;=TODAY()+7)+ISNUMBER($R315)*($R315&gt;=TODAY())*($R315&lt;=TODAY()+7)+ISNUMBER($S315)*($S315&gt;=TODAY())*($S315&lt;=TODAY()+7)+ISNUMBER($T315)*($T315&gt;=TODAY())*($T315&lt;=TODAY()+7)+ISNUMBER($U315)*($U315&gt;=TODAY())*($U315&lt;=TODAY()+7)+ISNUMBER($V315)*($V315&gt;=TODAY())*($V315&lt;=TODAY()+7)+ISNUMBER($O315)*($O315&gt;=TODAY())*($O315&lt;=TODAY()+7)+ISNUMBER($P315)*($P315&gt;=TODAY())*($P315&lt;=TODAY()+7)+ISNUMBER($X315)*($X315&gt;=TODAY())*($X315&lt;=TODAY()+7)+ISNUMBER($Y315)*($Y315&gt;=TODAY())*($Y315&lt;=TODAY()+7))</f>
        <v/>
      </c>
      <c r="J315" s="28">
        <f>IF(NOT(AND($A315&lt;&gt;"",OR($G315="",$G315="Active"))),"",IF($K315&lt;&gt;"",IF($L315=$K315,"Booking",IF($M315=$K315,"16/40",IF($N315=$K315,"25/40",IF($Q315=$K315,"28/40",IF($R315=$K315,"31/40",IF($S315=$K315,"34/40",IF($T315=$K315,"36/40",IF($U315=$K315,"38/40",IF($V315=$K315,"40/40",""))))))))),IF(IF(OR(ISNUMBER($V315),$V315="DNA"),$V315,IF(OR(ISNUMBER($U315),$U315="DNA"),$U315,IF(OR(ISNUMBER($T315),$T315="DNA"),$T315,IF(OR(ISNUMBER($S315),$S315="DNA"),$S315,IF(OR(ISNUMBER($R315),$R315="DNA"),$R315,IF(OR(ISNUMBER($Q315),$Q315="DNA"),$Q315,IF(OR(ISNUMBER($N315),$N315="DNA"),$N315,IF(OR(ISNUMBER($M315),$M315="DNA"),$M315,IF(OR(ISNUMBER($L315),$L315="DNA"),$L315,"")))))))))="DNA","Rebook DNA",IF(ISNUMBER(IF(OR(ISNUMBER($V315),$V315="DNA"),$V315,IF(OR(ISNUMBER($U315),$U315="DNA"),$U315,IF(OR(ISNUMBER($T315),$T315="DNA"),$T315,IF(OR(ISNUMBER($S315),$S315="DNA"),$S315,IF(OR(ISNUMBER($R315),$R315="DNA"),$R315,IF(OR(ISNUMBER($Q315),$Q315="DNA"),$Q315,IF(OR(ISNUMBER($N315),$N315="DNA"),$N315,IF(OR(ISNUMBER($M315),$M315="DNA"),$M315,IF(OR(ISNUMBER($L315),$L315="DNA"),$L315,"")))))))))),IF(ISNUMBER($V315),"Update status","Missed/not booked?"),""))))</f>
        <v/>
      </c>
      <c r="K315" s="29">
        <f>IF(NOT(AND($A315&lt;&gt;"",OR($G315="",$G315="Active"))),"",IF(MIN(IF(AND(ISNUMBER($L315),$L315&gt;=TODAY()),$L315,99999),IF(AND(ISNUMBER($M315),$M315&gt;=TODAY()),$M315,99999),IF(AND(ISNUMBER($N315),$N315&gt;=TODAY()),$N315,99999),IF(AND(ISNUMBER($Q315),$Q315&gt;=TODAY()),$Q315,99999),IF(AND(ISNUMBER($R315),$R315&gt;=TODAY()),$R315,99999),IF(AND(ISNUMBER($S315),$S315&gt;=TODAY()),$S315,99999),IF(AND(ISNUMBER($T315),$T315&gt;=TODAY()),$T315,99999),IF(AND(ISNUMBER($U315),$U315&gt;=TODAY()),$U315,99999),IF(AND(ISNUMBER($V315),$V315&gt;=TODAY()),$V315,99999))=99999,"",MIN(IF(AND(ISNUMBER($L315),$L315&gt;=TODAY()),$L315,99999),IF(AND(ISNUMBER($M315),$M315&gt;=TODAY()),$M315,99999),IF(AND(ISNUMBER($N315),$N315&gt;=TODAY()),$N315,99999),IF(AND(ISNUMBER($Q315),$Q315&gt;=TODAY()),$Q315,99999),IF(AND(ISNUMBER($R315),$R315&gt;=TODAY()),$R315,99999),IF(AND(ISNUMBER($S315),$S315&gt;=TODAY()),$S315,99999),IF(AND(ISNUMBER($T315),$T315&gt;=TODAY()),$T315,99999),IF(AND(ISNUMBER($U315),$U315&gt;=TODAY()),$U315,99999),IF(AND(ISNUMBER($V315),$V315&gt;=TODAY()),$V315,99999))))</f>
        <v/>
      </c>
      <c r="L315" s="27" t="n"/>
      <c r="M315" s="27" t="n"/>
      <c r="N315" s="27" t="n"/>
      <c r="O315" s="27" t="n"/>
      <c r="P315" s="27" t="n"/>
      <c r="Q315" s="27" t="n"/>
      <c r="R315" s="27" t="n"/>
      <c r="S315" s="27" t="n"/>
      <c r="T315" s="27" t="n"/>
      <c r="U315" s="27" t="n"/>
      <c r="V315" s="27" t="n"/>
      <c r="W315" s="27" t="n"/>
      <c r="X315" s="27" t="n"/>
      <c r="Y315" s="27" t="n"/>
      <c r="Z315" s="30" t="n"/>
      <c r="AA315" s="25" t="n"/>
      <c r="AB315" s="28">
        <f>IF(NOT(AND($A315&lt;&gt;"",OR($G315="",$G315="Active"))),"",IF(OR(IF(OR(ISNUMBER($V315),$V315="DNA"),$V315,IF(OR(ISNUMBER($U315),$U315="DNA"),$U315,IF(OR(ISNUMBER($T315),$T315="DNA"),$T315,IF(OR(ISNUMBER($S315),$S315="DNA"),$S315,IF(OR(ISNUMBER($R315),$R315="DNA"),$R315,IF(OR(ISNUMBER($Q315),$Q315="DNA"),$Q315,IF(OR(ISNUMBER($N315),$N315="DNA"),$N315,IF(OR(ISNUMBER($M315),$M315="DNA"),$M315,IF(OR(ISNUMBER($L315),$L315="DNA"),$L315,"")))))))))="DNA",AND(ISNUMBER(IF(OR(ISNUMBER($V315),$V315="DNA"),$V315,IF(OR(ISNUMBER($U315),$U315="DNA"),$U315,IF(OR(ISNUMBER($T315),$T315="DNA"),$T315,IF(OR(ISNUMBER($S315),$S315="DNA"),$S315,IF(OR(ISNUMBER($R315),$R315="DNA"),$R315,IF(OR(ISNUMBER($Q315),$Q315="DNA"),$Q315,IF(OR(ISNUMBER($N315),$N315="DNA"),$N315,IF(OR(ISNUMBER($M315),$M315="DNA"),$M315,IF(OR(ISNUMBER($L315),$L315="DNA"),$L315,"")))))))))),IF(OR(ISNUMBER($V315),$V315="DNA"),$V315,IF(OR(ISNUMBER($U315),$U315="DNA"),$U315,IF(OR(ISNUMBER($T315),$T315="DNA"),$T315,IF(OR(ISNUMBER($S315),$S315="DNA"),$S315,IF(OR(ISNUMBER($R315),$R315="DNA"),$R315,IF(OR(ISNUMBER($Q315),$Q315="DNA"),$Q315,IF(OR(ISNUMBER($N315),$N315="DNA"),$N315,IF(OR(ISNUMBER($M315),$M315="DNA"),$M315,IF(OR(ISNUMBER($L315),$L315="DNA"),$L315,"")))))))))&lt;TODAY())),1,0)+ISNUMBER($O315)*($O315&lt;TODAY())+ISNUMBER($P315)*($P315&lt;TODAY())+ISNUMBER($X315)*($X315&lt;TODAY())+ISNUMBER($Y315)*($Y315&lt;TODAY()))</f>
        <v/>
      </c>
    </row>
    <row r="316">
      <c r="A316" s="25" t="n"/>
      <c r="B316" s="26" t="n"/>
      <c r="C316" s="27" t="n"/>
      <c r="D316" s="25" t="n"/>
      <c r="E316" s="25" t="n"/>
      <c r="F316" s="27" t="n"/>
      <c r="G316" s="25" t="n"/>
      <c r="H316" s="28">
        <f>IF(OR(NOT(AND($A316&lt;&gt;"",OR($G316="",$G316="Active"))),$F316=""),"",INT((TODAY()-$F316+280)/7)&amp;"+"&amp;MOD(TODAY()-$F316+280,7))</f>
        <v/>
      </c>
      <c r="I316" s="28">
        <f>IF(NOT(AND($A316&lt;&gt;"",OR($G316="",$G316="Active"))),"",ISNUMBER($L316)*($L316&gt;=TODAY())*($L316&lt;=TODAY()+7)+ISNUMBER($M316)*($M316&gt;=TODAY())*($M316&lt;=TODAY()+7)+ISNUMBER($N316)*($N316&gt;=TODAY())*($N316&lt;=TODAY()+7)+ISNUMBER($Q316)*($Q316&gt;=TODAY())*($Q316&lt;=TODAY()+7)+ISNUMBER($R316)*($R316&gt;=TODAY())*($R316&lt;=TODAY()+7)+ISNUMBER($S316)*($S316&gt;=TODAY())*($S316&lt;=TODAY()+7)+ISNUMBER($T316)*($T316&gt;=TODAY())*($T316&lt;=TODAY()+7)+ISNUMBER($U316)*($U316&gt;=TODAY())*($U316&lt;=TODAY()+7)+ISNUMBER($V316)*($V316&gt;=TODAY())*($V316&lt;=TODAY()+7)+ISNUMBER($O316)*($O316&gt;=TODAY())*($O316&lt;=TODAY()+7)+ISNUMBER($P316)*($P316&gt;=TODAY())*($P316&lt;=TODAY()+7)+ISNUMBER($X316)*($X316&gt;=TODAY())*($X316&lt;=TODAY()+7)+ISNUMBER($Y316)*($Y316&gt;=TODAY())*($Y316&lt;=TODAY()+7))</f>
        <v/>
      </c>
      <c r="J316" s="28">
        <f>IF(NOT(AND($A316&lt;&gt;"",OR($G316="",$G316="Active"))),"",IF($K316&lt;&gt;"",IF($L316=$K316,"Booking",IF($M316=$K316,"16/40",IF($N316=$K316,"25/40",IF($Q316=$K316,"28/40",IF($R316=$K316,"31/40",IF($S316=$K316,"34/40",IF($T316=$K316,"36/40",IF($U316=$K316,"38/40",IF($V316=$K316,"40/40",""))))))))),IF(IF(OR(ISNUMBER($V316),$V316="DNA"),$V316,IF(OR(ISNUMBER($U316),$U316="DNA"),$U316,IF(OR(ISNUMBER($T316),$T316="DNA"),$T316,IF(OR(ISNUMBER($S316),$S316="DNA"),$S316,IF(OR(ISNUMBER($R316),$R316="DNA"),$R316,IF(OR(ISNUMBER($Q316),$Q316="DNA"),$Q316,IF(OR(ISNUMBER($N316),$N316="DNA"),$N316,IF(OR(ISNUMBER($M316),$M316="DNA"),$M316,IF(OR(ISNUMBER($L316),$L316="DNA"),$L316,"")))))))))="DNA","Rebook DNA",IF(ISNUMBER(IF(OR(ISNUMBER($V316),$V316="DNA"),$V316,IF(OR(ISNUMBER($U316),$U316="DNA"),$U316,IF(OR(ISNUMBER($T316),$T316="DNA"),$T316,IF(OR(ISNUMBER($S316),$S316="DNA"),$S316,IF(OR(ISNUMBER($R316),$R316="DNA"),$R316,IF(OR(ISNUMBER($Q316),$Q316="DNA"),$Q316,IF(OR(ISNUMBER($N316),$N316="DNA"),$N316,IF(OR(ISNUMBER($M316),$M316="DNA"),$M316,IF(OR(ISNUMBER($L316),$L316="DNA"),$L316,"")))))))))),IF(ISNUMBER($V316),"Update status","Missed/not booked?"),""))))</f>
        <v/>
      </c>
      <c r="K316" s="29">
        <f>IF(NOT(AND($A316&lt;&gt;"",OR($G316="",$G316="Active"))),"",IF(MIN(IF(AND(ISNUMBER($L316),$L316&gt;=TODAY()),$L316,99999),IF(AND(ISNUMBER($M316),$M316&gt;=TODAY()),$M316,99999),IF(AND(ISNUMBER($N316),$N316&gt;=TODAY()),$N316,99999),IF(AND(ISNUMBER($Q316),$Q316&gt;=TODAY()),$Q316,99999),IF(AND(ISNUMBER($R316),$R316&gt;=TODAY()),$R316,99999),IF(AND(ISNUMBER($S316),$S316&gt;=TODAY()),$S316,99999),IF(AND(ISNUMBER($T316),$T316&gt;=TODAY()),$T316,99999),IF(AND(ISNUMBER($U316),$U316&gt;=TODAY()),$U316,99999),IF(AND(ISNUMBER($V316),$V316&gt;=TODAY()),$V316,99999))=99999,"",MIN(IF(AND(ISNUMBER($L316),$L316&gt;=TODAY()),$L316,99999),IF(AND(ISNUMBER($M316),$M316&gt;=TODAY()),$M316,99999),IF(AND(ISNUMBER($N316),$N316&gt;=TODAY()),$N316,99999),IF(AND(ISNUMBER($Q316),$Q316&gt;=TODAY()),$Q316,99999),IF(AND(ISNUMBER($R316),$R316&gt;=TODAY()),$R316,99999),IF(AND(ISNUMBER($S316),$S316&gt;=TODAY()),$S316,99999),IF(AND(ISNUMBER($T316),$T316&gt;=TODAY()),$T316,99999),IF(AND(ISNUMBER($U316),$U316&gt;=TODAY()),$U316,99999),IF(AND(ISNUMBER($V316),$V316&gt;=TODAY()),$V316,99999))))</f>
        <v/>
      </c>
      <c r="L316" s="27" t="n"/>
      <c r="M316" s="27" t="n"/>
      <c r="N316" s="27" t="n"/>
      <c r="O316" s="27" t="n"/>
      <c r="P316" s="27" t="n"/>
      <c r="Q316" s="27" t="n"/>
      <c r="R316" s="27" t="n"/>
      <c r="S316" s="27" t="n"/>
      <c r="T316" s="27" t="n"/>
      <c r="U316" s="27" t="n"/>
      <c r="V316" s="27" t="n"/>
      <c r="W316" s="27" t="n"/>
      <c r="X316" s="27" t="n"/>
      <c r="Y316" s="27" t="n"/>
      <c r="Z316" s="30" t="n"/>
      <c r="AA316" s="25" t="n"/>
      <c r="AB316" s="28">
        <f>IF(NOT(AND($A316&lt;&gt;"",OR($G316="",$G316="Active"))),"",IF(OR(IF(OR(ISNUMBER($V316),$V316="DNA"),$V316,IF(OR(ISNUMBER($U316),$U316="DNA"),$U316,IF(OR(ISNUMBER($T316),$T316="DNA"),$T316,IF(OR(ISNUMBER($S316),$S316="DNA"),$S316,IF(OR(ISNUMBER($R316),$R316="DNA"),$R316,IF(OR(ISNUMBER($Q316),$Q316="DNA"),$Q316,IF(OR(ISNUMBER($N316),$N316="DNA"),$N316,IF(OR(ISNUMBER($M316),$M316="DNA"),$M316,IF(OR(ISNUMBER($L316),$L316="DNA"),$L316,"")))))))))="DNA",AND(ISNUMBER(IF(OR(ISNUMBER($V316),$V316="DNA"),$V316,IF(OR(ISNUMBER($U316),$U316="DNA"),$U316,IF(OR(ISNUMBER($T316),$T316="DNA"),$T316,IF(OR(ISNUMBER($S316),$S316="DNA"),$S316,IF(OR(ISNUMBER($R316),$R316="DNA"),$R316,IF(OR(ISNUMBER($Q316),$Q316="DNA"),$Q316,IF(OR(ISNUMBER($N316),$N316="DNA"),$N316,IF(OR(ISNUMBER($M316),$M316="DNA"),$M316,IF(OR(ISNUMBER($L316),$L316="DNA"),$L316,"")))))))))),IF(OR(ISNUMBER($V316),$V316="DNA"),$V316,IF(OR(ISNUMBER($U316),$U316="DNA"),$U316,IF(OR(ISNUMBER($T316),$T316="DNA"),$T316,IF(OR(ISNUMBER($S316),$S316="DNA"),$S316,IF(OR(ISNUMBER($R316),$R316="DNA"),$R316,IF(OR(ISNUMBER($Q316),$Q316="DNA"),$Q316,IF(OR(ISNUMBER($N316),$N316="DNA"),$N316,IF(OR(ISNUMBER($M316),$M316="DNA"),$M316,IF(OR(ISNUMBER($L316),$L316="DNA"),$L316,"")))))))))&lt;TODAY())),1,0)+ISNUMBER($O316)*($O316&lt;TODAY())+ISNUMBER($P316)*($P316&lt;TODAY())+ISNUMBER($X316)*($X316&lt;TODAY())+ISNUMBER($Y316)*($Y316&lt;TODAY()))</f>
        <v/>
      </c>
    </row>
    <row r="317">
      <c r="A317" s="25" t="n"/>
      <c r="B317" s="26" t="n"/>
      <c r="C317" s="27" t="n"/>
      <c r="D317" s="25" t="n"/>
      <c r="E317" s="25" t="n"/>
      <c r="F317" s="27" t="n"/>
      <c r="G317" s="25" t="n"/>
      <c r="H317" s="28">
        <f>IF(OR(NOT(AND($A317&lt;&gt;"",OR($G317="",$G317="Active"))),$F317=""),"",INT((TODAY()-$F317+280)/7)&amp;"+"&amp;MOD(TODAY()-$F317+280,7))</f>
        <v/>
      </c>
      <c r="I317" s="28">
        <f>IF(NOT(AND($A317&lt;&gt;"",OR($G317="",$G317="Active"))),"",ISNUMBER($L317)*($L317&gt;=TODAY())*($L317&lt;=TODAY()+7)+ISNUMBER($M317)*($M317&gt;=TODAY())*($M317&lt;=TODAY()+7)+ISNUMBER($N317)*($N317&gt;=TODAY())*($N317&lt;=TODAY()+7)+ISNUMBER($Q317)*($Q317&gt;=TODAY())*($Q317&lt;=TODAY()+7)+ISNUMBER($R317)*($R317&gt;=TODAY())*($R317&lt;=TODAY()+7)+ISNUMBER($S317)*($S317&gt;=TODAY())*($S317&lt;=TODAY()+7)+ISNUMBER($T317)*($T317&gt;=TODAY())*($T317&lt;=TODAY()+7)+ISNUMBER($U317)*($U317&gt;=TODAY())*($U317&lt;=TODAY()+7)+ISNUMBER($V317)*($V317&gt;=TODAY())*($V317&lt;=TODAY()+7)+ISNUMBER($O317)*($O317&gt;=TODAY())*($O317&lt;=TODAY()+7)+ISNUMBER($P317)*($P317&gt;=TODAY())*($P317&lt;=TODAY()+7)+ISNUMBER($X317)*($X317&gt;=TODAY())*($X317&lt;=TODAY()+7)+ISNUMBER($Y317)*($Y317&gt;=TODAY())*($Y317&lt;=TODAY()+7))</f>
        <v/>
      </c>
      <c r="J317" s="28">
        <f>IF(NOT(AND($A317&lt;&gt;"",OR($G317="",$G317="Active"))),"",IF($K317&lt;&gt;"",IF($L317=$K317,"Booking",IF($M317=$K317,"16/40",IF($N317=$K317,"25/40",IF($Q317=$K317,"28/40",IF($R317=$K317,"31/40",IF($S317=$K317,"34/40",IF($T317=$K317,"36/40",IF($U317=$K317,"38/40",IF($V317=$K317,"40/40",""))))))))),IF(IF(OR(ISNUMBER($V317),$V317="DNA"),$V317,IF(OR(ISNUMBER($U317),$U317="DNA"),$U317,IF(OR(ISNUMBER($T317),$T317="DNA"),$T317,IF(OR(ISNUMBER($S317),$S317="DNA"),$S317,IF(OR(ISNUMBER($R317),$R317="DNA"),$R317,IF(OR(ISNUMBER($Q317),$Q317="DNA"),$Q317,IF(OR(ISNUMBER($N317),$N317="DNA"),$N317,IF(OR(ISNUMBER($M317),$M317="DNA"),$M317,IF(OR(ISNUMBER($L317),$L317="DNA"),$L317,"")))))))))="DNA","Rebook DNA",IF(ISNUMBER(IF(OR(ISNUMBER($V317),$V317="DNA"),$V317,IF(OR(ISNUMBER($U317),$U317="DNA"),$U317,IF(OR(ISNUMBER($T317),$T317="DNA"),$T317,IF(OR(ISNUMBER($S317),$S317="DNA"),$S317,IF(OR(ISNUMBER($R317),$R317="DNA"),$R317,IF(OR(ISNUMBER($Q317),$Q317="DNA"),$Q317,IF(OR(ISNUMBER($N317),$N317="DNA"),$N317,IF(OR(ISNUMBER($M317),$M317="DNA"),$M317,IF(OR(ISNUMBER($L317),$L317="DNA"),$L317,"")))))))))),IF(ISNUMBER($V317),"Update status","Missed/not booked?"),""))))</f>
        <v/>
      </c>
      <c r="K317" s="29">
        <f>IF(NOT(AND($A317&lt;&gt;"",OR($G317="",$G317="Active"))),"",IF(MIN(IF(AND(ISNUMBER($L317),$L317&gt;=TODAY()),$L317,99999),IF(AND(ISNUMBER($M317),$M317&gt;=TODAY()),$M317,99999),IF(AND(ISNUMBER($N317),$N317&gt;=TODAY()),$N317,99999),IF(AND(ISNUMBER($Q317),$Q317&gt;=TODAY()),$Q317,99999),IF(AND(ISNUMBER($R317),$R317&gt;=TODAY()),$R317,99999),IF(AND(ISNUMBER($S317),$S317&gt;=TODAY()),$S317,99999),IF(AND(ISNUMBER($T317),$T317&gt;=TODAY()),$T317,99999),IF(AND(ISNUMBER($U317),$U317&gt;=TODAY()),$U317,99999),IF(AND(ISNUMBER($V317),$V317&gt;=TODAY()),$V317,99999))=99999,"",MIN(IF(AND(ISNUMBER($L317),$L317&gt;=TODAY()),$L317,99999),IF(AND(ISNUMBER($M317),$M317&gt;=TODAY()),$M317,99999),IF(AND(ISNUMBER($N317),$N317&gt;=TODAY()),$N317,99999),IF(AND(ISNUMBER($Q317),$Q317&gt;=TODAY()),$Q317,99999),IF(AND(ISNUMBER($R317),$R317&gt;=TODAY()),$R317,99999),IF(AND(ISNUMBER($S317),$S317&gt;=TODAY()),$S317,99999),IF(AND(ISNUMBER($T317),$T317&gt;=TODAY()),$T317,99999),IF(AND(ISNUMBER($U317),$U317&gt;=TODAY()),$U317,99999),IF(AND(ISNUMBER($V317),$V317&gt;=TODAY()),$V317,99999))))</f>
        <v/>
      </c>
      <c r="L317" s="27" t="n"/>
      <c r="M317" s="27" t="n"/>
      <c r="N317" s="27" t="n"/>
      <c r="O317" s="27" t="n"/>
      <c r="P317" s="27" t="n"/>
      <c r="Q317" s="27" t="n"/>
      <c r="R317" s="27" t="n"/>
      <c r="S317" s="27" t="n"/>
      <c r="T317" s="27" t="n"/>
      <c r="U317" s="27" t="n"/>
      <c r="V317" s="27" t="n"/>
      <c r="W317" s="27" t="n"/>
      <c r="X317" s="27" t="n"/>
      <c r="Y317" s="27" t="n"/>
      <c r="Z317" s="30" t="n"/>
      <c r="AA317" s="25" t="n"/>
      <c r="AB317" s="28">
        <f>IF(NOT(AND($A317&lt;&gt;"",OR($G317="",$G317="Active"))),"",IF(OR(IF(OR(ISNUMBER($V317),$V317="DNA"),$V317,IF(OR(ISNUMBER($U317),$U317="DNA"),$U317,IF(OR(ISNUMBER($T317),$T317="DNA"),$T317,IF(OR(ISNUMBER($S317),$S317="DNA"),$S317,IF(OR(ISNUMBER($R317),$R317="DNA"),$R317,IF(OR(ISNUMBER($Q317),$Q317="DNA"),$Q317,IF(OR(ISNUMBER($N317),$N317="DNA"),$N317,IF(OR(ISNUMBER($M317),$M317="DNA"),$M317,IF(OR(ISNUMBER($L317),$L317="DNA"),$L317,"")))))))))="DNA",AND(ISNUMBER(IF(OR(ISNUMBER($V317),$V317="DNA"),$V317,IF(OR(ISNUMBER($U317),$U317="DNA"),$U317,IF(OR(ISNUMBER($T317),$T317="DNA"),$T317,IF(OR(ISNUMBER($S317),$S317="DNA"),$S317,IF(OR(ISNUMBER($R317),$R317="DNA"),$R317,IF(OR(ISNUMBER($Q317),$Q317="DNA"),$Q317,IF(OR(ISNUMBER($N317),$N317="DNA"),$N317,IF(OR(ISNUMBER($M317),$M317="DNA"),$M317,IF(OR(ISNUMBER($L317),$L317="DNA"),$L317,"")))))))))),IF(OR(ISNUMBER($V317),$V317="DNA"),$V317,IF(OR(ISNUMBER($U317),$U317="DNA"),$U317,IF(OR(ISNUMBER($T317),$T317="DNA"),$T317,IF(OR(ISNUMBER($S317),$S317="DNA"),$S317,IF(OR(ISNUMBER($R317),$R317="DNA"),$R317,IF(OR(ISNUMBER($Q317),$Q317="DNA"),$Q317,IF(OR(ISNUMBER($N317),$N317="DNA"),$N317,IF(OR(ISNUMBER($M317),$M317="DNA"),$M317,IF(OR(ISNUMBER($L317),$L317="DNA"),$L317,"")))))))))&lt;TODAY())),1,0)+ISNUMBER($O317)*($O317&lt;TODAY())+ISNUMBER($P317)*($P317&lt;TODAY())+ISNUMBER($X317)*($X317&lt;TODAY())+ISNUMBER($Y317)*($Y317&lt;TODAY()))</f>
        <v/>
      </c>
    </row>
    <row r="318">
      <c r="A318" s="25" t="n"/>
      <c r="B318" s="26" t="n"/>
      <c r="C318" s="27" t="n"/>
      <c r="D318" s="25" t="n"/>
      <c r="E318" s="25" t="n"/>
      <c r="F318" s="27" t="n"/>
      <c r="G318" s="25" t="n"/>
      <c r="H318" s="28">
        <f>IF(OR(NOT(AND($A318&lt;&gt;"",OR($G318="",$G318="Active"))),$F318=""),"",INT((TODAY()-$F318+280)/7)&amp;"+"&amp;MOD(TODAY()-$F318+280,7))</f>
        <v/>
      </c>
      <c r="I318" s="28">
        <f>IF(NOT(AND($A318&lt;&gt;"",OR($G318="",$G318="Active"))),"",ISNUMBER($L318)*($L318&gt;=TODAY())*($L318&lt;=TODAY()+7)+ISNUMBER($M318)*($M318&gt;=TODAY())*($M318&lt;=TODAY()+7)+ISNUMBER($N318)*($N318&gt;=TODAY())*($N318&lt;=TODAY()+7)+ISNUMBER($Q318)*($Q318&gt;=TODAY())*($Q318&lt;=TODAY()+7)+ISNUMBER($R318)*($R318&gt;=TODAY())*($R318&lt;=TODAY()+7)+ISNUMBER($S318)*($S318&gt;=TODAY())*($S318&lt;=TODAY()+7)+ISNUMBER($T318)*($T318&gt;=TODAY())*($T318&lt;=TODAY()+7)+ISNUMBER($U318)*($U318&gt;=TODAY())*($U318&lt;=TODAY()+7)+ISNUMBER($V318)*($V318&gt;=TODAY())*($V318&lt;=TODAY()+7)+ISNUMBER($O318)*($O318&gt;=TODAY())*($O318&lt;=TODAY()+7)+ISNUMBER($P318)*($P318&gt;=TODAY())*($P318&lt;=TODAY()+7)+ISNUMBER($X318)*($X318&gt;=TODAY())*($X318&lt;=TODAY()+7)+ISNUMBER($Y318)*($Y318&gt;=TODAY())*($Y318&lt;=TODAY()+7))</f>
        <v/>
      </c>
      <c r="J318" s="28">
        <f>IF(NOT(AND($A318&lt;&gt;"",OR($G318="",$G318="Active"))),"",IF($K318&lt;&gt;"",IF($L318=$K318,"Booking",IF($M318=$K318,"16/40",IF($N318=$K318,"25/40",IF($Q318=$K318,"28/40",IF($R318=$K318,"31/40",IF($S318=$K318,"34/40",IF($T318=$K318,"36/40",IF($U318=$K318,"38/40",IF($V318=$K318,"40/40",""))))))))),IF(IF(OR(ISNUMBER($V318),$V318="DNA"),$V318,IF(OR(ISNUMBER($U318),$U318="DNA"),$U318,IF(OR(ISNUMBER($T318),$T318="DNA"),$T318,IF(OR(ISNUMBER($S318),$S318="DNA"),$S318,IF(OR(ISNUMBER($R318),$R318="DNA"),$R318,IF(OR(ISNUMBER($Q318),$Q318="DNA"),$Q318,IF(OR(ISNUMBER($N318),$N318="DNA"),$N318,IF(OR(ISNUMBER($M318),$M318="DNA"),$M318,IF(OR(ISNUMBER($L318),$L318="DNA"),$L318,"")))))))))="DNA","Rebook DNA",IF(ISNUMBER(IF(OR(ISNUMBER($V318),$V318="DNA"),$V318,IF(OR(ISNUMBER($U318),$U318="DNA"),$U318,IF(OR(ISNUMBER($T318),$T318="DNA"),$T318,IF(OR(ISNUMBER($S318),$S318="DNA"),$S318,IF(OR(ISNUMBER($R318),$R318="DNA"),$R318,IF(OR(ISNUMBER($Q318),$Q318="DNA"),$Q318,IF(OR(ISNUMBER($N318),$N318="DNA"),$N318,IF(OR(ISNUMBER($M318),$M318="DNA"),$M318,IF(OR(ISNUMBER($L318),$L318="DNA"),$L318,"")))))))))),IF(ISNUMBER($V318),"Update status","Missed/not booked?"),""))))</f>
        <v/>
      </c>
      <c r="K318" s="29">
        <f>IF(NOT(AND($A318&lt;&gt;"",OR($G318="",$G318="Active"))),"",IF(MIN(IF(AND(ISNUMBER($L318),$L318&gt;=TODAY()),$L318,99999),IF(AND(ISNUMBER($M318),$M318&gt;=TODAY()),$M318,99999),IF(AND(ISNUMBER($N318),$N318&gt;=TODAY()),$N318,99999),IF(AND(ISNUMBER($Q318),$Q318&gt;=TODAY()),$Q318,99999),IF(AND(ISNUMBER($R318),$R318&gt;=TODAY()),$R318,99999),IF(AND(ISNUMBER($S318),$S318&gt;=TODAY()),$S318,99999),IF(AND(ISNUMBER($T318),$T318&gt;=TODAY()),$T318,99999),IF(AND(ISNUMBER($U318),$U318&gt;=TODAY()),$U318,99999),IF(AND(ISNUMBER($V318),$V318&gt;=TODAY()),$V318,99999))=99999,"",MIN(IF(AND(ISNUMBER($L318),$L318&gt;=TODAY()),$L318,99999),IF(AND(ISNUMBER($M318),$M318&gt;=TODAY()),$M318,99999),IF(AND(ISNUMBER($N318),$N318&gt;=TODAY()),$N318,99999),IF(AND(ISNUMBER($Q318),$Q318&gt;=TODAY()),$Q318,99999),IF(AND(ISNUMBER($R318),$R318&gt;=TODAY()),$R318,99999),IF(AND(ISNUMBER($S318),$S318&gt;=TODAY()),$S318,99999),IF(AND(ISNUMBER($T318),$T318&gt;=TODAY()),$T318,99999),IF(AND(ISNUMBER($U318),$U318&gt;=TODAY()),$U318,99999),IF(AND(ISNUMBER($V318),$V318&gt;=TODAY()),$V318,99999))))</f>
        <v/>
      </c>
      <c r="L318" s="27" t="n"/>
      <c r="M318" s="27" t="n"/>
      <c r="N318" s="27" t="n"/>
      <c r="O318" s="27" t="n"/>
      <c r="P318" s="27" t="n"/>
      <c r="Q318" s="27" t="n"/>
      <c r="R318" s="27" t="n"/>
      <c r="S318" s="27" t="n"/>
      <c r="T318" s="27" t="n"/>
      <c r="U318" s="27" t="n"/>
      <c r="V318" s="27" t="n"/>
      <c r="W318" s="27" t="n"/>
      <c r="X318" s="27" t="n"/>
      <c r="Y318" s="27" t="n"/>
      <c r="Z318" s="30" t="n"/>
      <c r="AA318" s="25" t="n"/>
      <c r="AB318" s="28">
        <f>IF(NOT(AND($A318&lt;&gt;"",OR($G318="",$G318="Active"))),"",IF(OR(IF(OR(ISNUMBER($V318),$V318="DNA"),$V318,IF(OR(ISNUMBER($U318),$U318="DNA"),$U318,IF(OR(ISNUMBER($T318),$T318="DNA"),$T318,IF(OR(ISNUMBER($S318),$S318="DNA"),$S318,IF(OR(ISNUMBER($R318),$R318="DNA"),$R318,IF(OR(ISNUMBER($Q318),$Q318="DNA"),$Q318,IF(OR(ISNUMBER($N318),$N318="DNA"),$N318,IF(OR(ISNUMBER($M318),$M318="DNA"),$M318,IF(OR(ISNUMBER($L318),$L318="DNA"),$L318,"")))))))))="DNA",AND(ISNUMBER(IF(OR(ISNUMBER($V318),$V318="DNA"),$V318,IF(OR(ISNUMBER($U318),$U318="DNA"),$U318,IF(OR(ISNUMBER($T318),$T318="DNA"),$T318,IF(OR(ISNUMBER($S318),$S318="DNA"),$S318,IF(OR(ISNUMBER($R318),$R318="DNA"),$R318,IF(OR(ISNUMBER($Q318),$Q318="DNA"),$Q318,IF(OR(ISNUMBER($N318),$N318="DNA"),$N318,IF(OR(ISNUMBER($M318),$M318="DNA"),$M318,IF(OR(ISNUMBER($L318),$L318="DNA"),$L318,"")))))))))),IF(OR(ISNUMBER($V318),$V318="DNA"),$V318,IF(OR(ISNUMBER($U318),$U318="DNA"),$U318,IF(OR(ISNUMBER($T318),$T318="DNA"),$T318,IF(OR(ISNUMBER($S318),$S318="DNA"),$S318,IF(OR(ISNUMBER($R318),$R318="DNA"),$R318,IF(OR(ISNUMBER($Q318),$Q318="DNA"),$Q318,IF(OR(ISNUMBER($N318),$N318="DNA"),$N318,IF(OR(ISNUMBER($M318),$M318="DNA"),$M318,IF(OR(ISNUMBER($L318),$L318="DNA"),$L318,"")))))))))&lt;TODAY())),1,0)+ISNUMBER($O318)*($O318&lt;TODAY())+ISNUMBER($P318)*($P318&lt;TODAY())+ISNUMBER($X318)*($X318&lt;TODAY())+ISNUMBER($Y318)*($Y318&lt;TODAY()))</f>
        <v/>
      </c>
    </row>
    <row r="319">
      <c r="A319" s="25" t="n"/>
      <c r="B319" s="26" t="n"/>
      <c r="C319" s="27" t="n"/>
      <c r="D319" s="25" t="n"/>
      <c r="E319" s="25" t="n"/>
      <c r="F319" s="27" t="n"/>
      <c r="G319" s="25" t="n"/>
      <c r="H319" s="28">
        <f>IF(OR(NOT(AND($A319&lt;&gt;"",OR($G319="",$G319="Active"))),$F319=""),"",INT((TODAY()-$F319+280)/7)&amp;"+"&amp;MOD(TODAY()-$F319+280,7))</f>
        <v/>
      </c>
      <c r="I319" s="28">
        <f>IF(NOT(AND($A319&lt;&gt;"",OR($G319="",$G319="Active"))),"",ISNUMBER($L319)*($L319&gt;=TODAY())*($L319&lt;=TODAY()+7)+ISNUMBER($M319)*($M319&gt;=TODAY())*($M319&lt;=TODAY()+7)+ISNUMBER($N319)*($N319&gt;=TODAY())*($N319&lt;=TODAY()+7)+ISNUMBER($Q319)*($Q319&gt;=TODAY())*($Q319&lt;=TODAY()+7)+ISNUMBER($R319)*($R319&gt;=TODAY())*($R319&lt;=TODAY()+7)+ISNUMBER($S319)*($S319&gt;=TODAY())*($S319&lt;=TODAY()+7)+ISNUMBER($T319)*($T319&gt;=TODAY())*($T319&lt;=TODAY()+7)+ISNUMBER($U319)*($U319&gt;=TODAY())*($U319&lt;=TODAY()+7)+ISNUMBER($V319)*($V319&gt;=TODAY())*($V319&lt;=TODAY()+7)+ISNUMBER($O319)*($O319&gt;=TODAY())*($O319&lt;=TODAY()+7)+ISNUMBER($P319)*($P319&gt;=TODAY())*($P319&lt;=TODAY()+7)+ISNUMBER($X319)*($X319&gt;=TODAY())*($X319&lt;=TODAY()+7)+ISNUMBER($Y319)*($Y319&gt;=TODAY())*($Y319&lt;=TODAY()+7))</f>
        <v/>
      </c>
      <c r="J319" s="28">
        <f>IF(NOT(AND($A319&lt;&gt;"",OR($G319="",$G319="Active"))),"",IF($K319&lt;&gt;"",IF($L319=$K319,"Booking",IF($M319=$K319,"16/40",IF($N319=$K319,"25/40",IF($Q319=$K319,"28/40",IF($R319=$K319,"31/40",IF($S319=$K319,"34/40",IF($T319=$K319,"36/40",IF($U319=$K319,"38/40",IF($V319=$K319,"40/40",""))))))))),IF(IF(OR(ISNUMBER($V319),$V319="DNA"),$V319,IF(OR(ISNUMBER($U319),$U319="DNA"),$U319,IF(OR(ISNUMBER($T319),$T319="DNA"),$T319,IF(OR(ISNUMBER($S319),$S319="DNA"),$S319,IF(OR(ISNUMBER($R319),$R319="DNA"),$R319,IF(OR(ISNUMBER($Q319),$Q319="DNA"),$Q319,IF(OR(ISNUMBER($N319),$N319="DNA"),$N319,IF(OR(ISNUMBER($M319),$M319="DNA"),$M319,IF(OR(ISNUMBER($L319),$L319="DNA"),$L319,"")))))))))="DNA","Rebook DNA",IF(ISNUMBER(IF(OR(ISNUMBER($V319),$V319="DNA"),$V319,IF(OR(ISNUMBER($U319),$U319="DNA"),$U319,IF(OR(ISNUMBER($T319),$T319="DNA"),$T319,IF(OR(ISNUMBER($S319),$S319="DNA"),$S319,IF(OR(ISNUMBER($R319),$R319="DNA"),$R319,IF(OR(ISNUMBER($Q319),$Q319="DNA"),$Q319,IF(OR(ISNUMBER($N319),$N319="DNA"),$N319,IF(OR(ISNUMBER($M319),$M319="DNA"),$M319,IF(OR(ISNUMBER($L319),$L319="DNA"),$L319,"")))))))))),IF(ISNUMBER($V319),"Update status","Missed/not booked?"),""))))</f>
        <v/>
      </c>
      <c r="K319" s="29">
        <f>IF(NOT(AND($A319&lt;&gt;"",OR($G319="",$G319="Active"))),"",IF(MIN(IF(AND(ISNUMBER($L319),$L319&gt;=TODAY()),$L319,99999),IF(AND(ISNUMBER($M319),$M319&gt;=TODAY()),$M319,99999),IF(AND(ISNUMBER($N319),$N319&gt;=TODAY()),$N319,99999),IF(AND(ISNUMBER($Q319),$Q319&gt;=TODAY()),$Q319,99999),IF(AND(ISNUMBER($R319),$R319&gt;=TODAY()),$R319,99999),IF(AND(ISNUMBER($S319),$S319&gt;=TODAY()),$S319,99999),IF(AND(ISNUMBER($T319),$T319&gt;=TODAY()),$T319,99999),IF(AND(ISNUMBER($U319),$U319&gt;=TODAY()),$U319,99999),IF(AND(ISNUMBER($V319),$V319&gt;=TODAY()),$V319,99999))=99999,"",MIN(IF(AND(ISNUMBER($L319),$L319&gt;=TODAY()),$L319,99999),IF(AND(ISNUMBER($M319),$M319&gt;=TODAY()),$M319,99999),IF(AND(ISNUMBER($N319),$N319&gt;=TODAY()),$N319,99999),IF(AND(ISNUMBER($Q319),$Q319&gt;=TODAY()),$Q319,99999),IF(AND(ISNUMBER($R319),$R319&gt;=TODAY()),$R319,99999),IF(AND(ISNUMBER($S319),$S319&gt;=TODAY()),$S319,99999),IF(AND(ISNUMBER($T319),$T319&gt;=TODAY()),$T319,99999),IF(AND(ISNUMBER($U319),$U319&gt;=TODAY()),$U319,99999),IF(AND(ISNUMBER($V319),$V319&gt;=TODAY()),$V319,99999))))</f>
        <v/>
      </c>
      <c r="L319" s="27" t="n"/>
      <c r="M319" s="27" t="n"/>
      <c r="N319" s="27" t="n"/>
      <c r="O319" s="27" t="n"/>
      <c r="P319" s="27" t="n"/>
      <c r="Q319" s="27" t="n"/>
      <c r="R319" s="27" t="n"/>
      <c r="S319" s="27" t="n"/>
      <c r="T319" s="27" t="n"/>
      <c r="U319" s="27" t="n"/>
      <c r="V319" s="27" t="n"/>
      <c r="W319" s="27" t="n"/>
      <c r="X319" s="27" t="n"/>
      <c r="Y319" s="27" t="n"/>
      <c r="Z319" s="30" t="n"/>
      <c r="AA319" s="25" t="n"/>
      <c r="AB319" s="28">
        <f>IF(NOT(AND($A319&lt;&gt;"",OR($G319="",$G319="Active"))),"",IF(OR(IF(OR(ISNUMBER($V319),$V319="DNA"),$V319,IF(OR(ISNUMBER($U319),$U319="DNA"),$U319,IF(OR(ISNUMBER($T319),$T319="DNA"),$T319,IF(OR(ISNUMBER($S319),$S319="DNA"),$S319,IF(OR(ISNUMBER($R319),$R319="DNA"),$R319,IF(OR(ISNUMBER($Q319),$Q319="DNA"),$Q319,IF(OR(ISNUMBER($N319),$N319="DNA"),$N319,IF(OR(ISNUMBER($M319),$M319="DNA"),$M319,IF(OR(ISNUMBER($L319),$L319="DNA"),$L319,"")))))))))="DNA",AND(ISNUMBER(IF(OR(ISNUMBER($V319),$V319="DNA"),$V319,IF(OR(ISNUMBER($U319),$U319="DNA"),$U319,IF(OR(ISNUMBER($T319),$T319="DNA"),$T319,IF(OR(ISNUMBER($S319),$S319="DNA"),$S319,IF(OR(ISNUMBER($R319),$R319="DNA"),$R319,IF(OR(ISNUMBER($Q319),$Q319="DNA"),$Q319,IF(OR(ISNUMBER($N319),$N319="DNA"),$N319,IF(OR(ISNUMBER($M319),$M319="DNA"),$M319,IF(OR(ISNUMBER($L319),$L319="DNA"),$L319,"")))))))))),IF(OR(ISNUMBER($V319),$V319="DNA"),$V319,IF(OR(ISNUMBER($U319),$U319="DNA"),$U319,IF(OR(ISNUMBER($T319),$T319="DNA"),$T319,IF(OR(ISNUMBER($S319),$S319="DNA"),$S319,IF(OR(ISNUMBER($R319),$R319="DNA"),$R319,IF(OR(ISNUMBER($Q319),$Q319="DNA"),$Q319,IF(OR(ISNUMBER($N319),$N319="DNA"),$N319,IF(OR(ISNUMBER($M319),$M319="DNA"),$M319,IF(OR(ISNUMBER($L319),$L319="DNA"),$L319,"")))))))))&lt;TODAY())),1,0)+ISNUMBER($O319)*($O319&lt;TODAY())+ISNUMBER($P319)*($P319&lt;TODAY())+ISNUMBER($X319)*($X319&lt;TODAY())+ISNUMBER($Y319)*($Y319&lt;TODAY()))</f>
        <v/>
      </c>
    </row>
    <row r="320">
      <c r="A320" s="25" t="n"/>
      <c r="B320" s="26" t="n"/>
      <c r="C320" s="27" t="n"/>
      <c r="D320" s="25" t="n"/>
      <c r="E320" s="25" t="n"/>
      <c r="F320" s="27" t="n"/>
      <c r="G320" s="25" t="n"/>
      <c r="H320" s="28">
        <f>IF(OR(NOT(AND($A320&lt;&gt;"",OR($G320="",$G320="Active"))),$F320=""),"",INT((TODAY()-$F320+280)/7)&amp;"+"&amp;MOD(TODAY()-$F320+280,7))</f>
        <v/>
      </c>
      <c r="I320" s="28">
        <f>IF(NOT(AND($A320&lt;&gt;"",OR($G320="",$G320="Active"))),"",ISNUMBER($L320)*($L320&gt;=TODAY())*($L320&lt;=TODAY()+7)+ISNUMBER($M320)*($M320&gt;=TODAY())*($M320&lt;=TODAY()+7)+ISNUMBER($N320)*($N320&gt;=TODAY())*($N320&lt;=TODAY()+7)+ISNUMBER($Q320)*($Q320&gt;=TODAY())*($Q320&lt;=TODAY()+7)+ISNUMBER($R320)*($R320&gt;=TODAY())*($R320&lt;=TODAY()+7)+ISNUMBER($S320)*($S320&gt;=TODAY())*($S320&lt;=TODAY()+7)+ISNUMBER($T320)*($T320&gt;=TODAY())*($T320&lt;=TODAY()+7)+ISNUMBER($U320)*($U320&gt;=TODAY())*($U320&lt;=TODAY()+7)+ISNUMBER($V320)*($V320&gt;=TODAY())*($V320&lt;=TODAY()+7)+ISNUMBER($O320)*($O320&gt;=TODAY())*($O320&lt;=TODAY()+7)+ISNUMBER($P320)*($P320&gt;=TODAY())*($P320&lt;=TODAY()+7)+ISNUMBER($X320)*($X320&gt;=TODAY())*($X320&lt;=TODAY()+7)+ISNUMBER($Y320)*($Y320&gt;=TODAY())*($Y320&lt;=TODAY()+7))</f>
        <v/>
      </c>
      <c r="J320" s="28">
        <f>IF(NOT(AND($A320&lt;&gt;"",OR($G320="",$G320="Active"))),"",IF($K320&lt;&gt;"",IF($L320=$K320,"Booking",IF($M320=$K320,"16/40",IF($N320=$K320,"25/40",IF($Q320=$K320,"28/40",IF($R320=$K320,"31/40",IF($S320=$K320,"34/40",IF($T320=$K320,"36/40",IF($U320=$K320,"38/40",IF($V320=$K320,"40/40",""))))))))),IF(IF(OR(ISNUMBER($V320),$V320="DNA"),$V320,IF(OR(ISNUMBER($U320),$U320="DNA"),$U320,IF(OR(ISNUMBER($T320),$T320="DNA"),$T320,IF(OR(ISNUMBER($S320),$S320="DNA"),$S320,IF(OR(ISNUMBER($R320),$R320="DNA"),$R320,IF(OR(ISNUMBER($Q320),$Q320="DNA"),$Q320,IF(OR(ISNUMBER($N320),$N320="DNA"),$N320,IF(OR(ISNUMBER($M320),$M320="DNA"),$M320,IF(OR(ISNUMBER($L320),$L320="DNA"),$L320,"")))))))))="DNA","Rebook DNA",IF(ISNUMBER(IF(OR(ISNUMBER($V320),$V320="DNA"),$V320,IF(OR(ISNUMBER($U320),$U320="DNA"),$U320,IF(OR(ISNUMBER($T320),$T320="DNA"),$T320,IF(OR(ISNUMBER($S320),$S320="DNA"),$S320,IF(OR(ISNUMBER($R320),$R320="DNA"),$R320,IF(OR(ISNUMBER($Q320),$Q320="DNA"),$Q320,IF(OR(ISNUMBER($N320),$N320="DNA"),$N320,IF(OR(ISNUMBER($M320),$M320="DNA"),$M320,IF(OR(ISNUMBER($L320),$L320="DNA"),$L320,"")))))))))),IF(ISNUMBER($V320),"Update status","Missed/not booked?"),""))))</f>
        <v/>
      </c>
      <c r="K320" s="29">
        <f>IF(NOT(AND($A320&lt;&gt;"",OR($G320="",$G320="Active"))),"",IF(MIN(IF(AND(ISNUMBER($L320),$L320&gt;=TODAY()),$L320,99999),IF(AND(ISNUMBER($M320),$M320&gt;=TODAY()),$M320,99999),IF(AND(ISNUMBER($N320),$N320&gt;=TODAY()),$N320,99999),IF(AND(ISNUMBER($Q320),$Q320&gt;=TODAY()),$Q320,99999),IF(AND(ISNUMBER($R320),$R320&gt;=TODAY()),$R320,99999),IF(AND(ISNUMBER($S320),$S320&gt;=TODAY()),$S320,99999),IF(AND(ISNUMBER($T320),$T320&gt;=TODAY()),$T320,99999),IF(AND(ISNUMBER($U320),$U320&gt;=TODAY()),$U320,99999),IF(AND(ISNUMBER($V320),$V320&gt;=TODAY()),$V320,99999))=99999,"",MIN(IF(AND(ISNUMBER($L320),$L320&gt;=TODAY()),$L320,99999),IF(AND(ISNUMBER($M320),$M320&gt;=TODAY()),$M320,99999),IF(AND(ISNUMBER($N320),$N320&gt;=TODAY()),$N320,99999),IF(AND(ISNUMBER($Q320),$Q320&gt;=TODAY()),$Q320,99999),IF(AND(ISNUMBER($R320),$R320&gt;=TODAY()),$R320,99999),IF(AND(ISNUMBER($S320),$S320&gt;=TODAY()),$S320,99999),IF(AND(ISNUMBER($T320),$T320&gt;=TODAY()),$T320,99999),IF(AND(ISNUMBER($U320),$U320&gt;=TODAY()),$U320,99999),IF(AND(ISNUMBER($V320),$V320&gt;=TODAY()),$V320,99999))))</f>
        <v/>
      </c>
      <c r="L320" s="27" t="n"/>
      <c r="M320" s="27" t="n"/>
      <c r="N320" s="27" t="n"/>
      <c r="O320" s="27" t="n"/>
      <c r="P320" s="27" t="n"/>
      <c r="Q320" s="27" t="n"/>
      <c r="R320" s="27" t="n"/>
      <c r="S320" s="27" t="n"/>
      <c r="T320" s="27" t="n"/>
      <c r="U320" s="27" t="n"/>
      <c r="V320" s="27" t="n"/>
      <c r="W320" s="27" t="n"/>
      <c r="X320" s="27" t="n"/>
      <c r="Y320" s="27" t="n"/>
      <c r="Z320" s="30" t="n"/>
      <c r="AA320" s="25" t="n"/>
      <c r="AB320" s="28">
        <f>IF(NOT(AND($A320&lt;&gt;"",OR($G320="",$G320="Active"))),"",IF(OR(IF(OR(ISNUMBER($V320),$V320="DNA"),$V320,IF(OR(ISNUMBER($U320),$U320="DNA"),$U320,IF(OR(ISNUMBER($T320),$T320="DNA"),$T320,IF(OR(ISNUMBER($S320),$S320="DNA"),$S320,IF(OR(ISNUMBER($R320),$R320="DNA"),$R320,IF(OR(ISNUMBER($Q320),$Q320="DNA"),$Q320,IF(OR(ISNUMBER($N320),$N320="DNA"),$N320,IF(OR(ISNUMBER($M320),$M320="DNA"),$M320,IF(OR(ISNUMBER($L320),$L320="DNA"),$L320,"")))))))))="DNA",AND(ISNUMBER(IF(OR(ISNUMBER($V320),$V320="DNA"),$V320,IF(OR(ISNUMBER($U320),$U320="DNA"),$U320,IF(OR(ISNUMBER($T320),$T320="DNA"),$T320,IF(OR(ISNUMBER($S320),$S320="DNA"),$S320,IF(OR(ISNUMBER($R320),$R320="DNA"),$R320,IF(OR(ISNUMBER($Q320),$Q320="DNA"),$Q320,IF(OR(ISNUMBER($N320),$N320="DNA"),$N320,IF(OR(ISNUMBER($M320),$M320="DNA"),$M320,IF(OR(ISNUMBER($L320),$L320="DNA"),$L320,"")))))))))),IF(OR(ISNUMBER($V320),$V320="DNA"),$V320,IF(OR(ISNUMBER($U320),$U320="DNA"),$U320,IF(OR(ISNUMBER($T320),$T320="DNA"),$T320,IF(OR(ISNUMBER($S320),$S320="DNA"),$S320,IF(OR(ISNUMBER($R320),$R320="DNA"),$R320,IF(OR(ISNUMBER($Q320),$Q320="DNA"),$Q320,IF(OR(ISNUMBER($N320),$N320="DNA"),$N320,IF(OR(ISNUMBER($M320),$M320="DNA"),$M320,IF(OR(ISNUMBER($L320),$L320="DNA"),$L320,"")))))))))&lt;TODAY())),1,0)+ISNUMBER($O320)*($O320&lt;TODAY())+ISNUMBER($P320)*($P320&lt;TODAY())+ISNUMBER($X320)*($X320&lt;TODAY())+ISNUMBER($Y320)*($Y320&lt;TODAY()))</f>
        <v/>
      </c>
    </row>
    <row r="321">
      <c r="A321" s="25" t="n"/>
      <c r="B321" s="26" t="n"/>
      <c r="C321" s="27" t="n"/>
      <c r="D321" s="25" t="n"/>
      <c r="E321" s="25" t="n"/>
      <c r="F321" s="27" t="n"/>
      <c r="G321" s="25" t="n"/>
      <c r="H321" s="28">
        <f>IF(OR(NOT(AND($A321&lt;&gt;"",OR($G321="",$G321="Active"))),$F321=""),"",INT((TODAY()-$F321+280)/7)&amp;"+"&amp;MOD(TODAY()-$F321+280,7))</f>
        <v/>
      </c>
      <c r="I321" s="28">
        <f>IF(NOT(AND($A321&lt;&gt;"",OR($G321="",$G321="Active"))),"",ISNUMBER($L321)*($L321&gt;=TODAY())*($L321&lt;=TODAY()+7)+ISNUMBER($M321)*($M321&gt;=TODAY())*($M321&lt;=TODAY()+7)+ISNUMBER($N321)*($N321&gt;=TODAY())*($N321&lt;=TODAY()+7)+ISNUMBER($Q321)*($Q321&gt;=TODAY())*($Q321&lt;=TODAY()+7)+ISNUMBER($R321)*($R321&gt;=TODAY())*($R321&lt;=TODAY()+7)+ISNUMBER($S321)*($S321&gt;=TODAY())*($S321&lt;=TODAY()+7)+ISNUMBER($T321)*($T321&gt;=TODAY())*($T321&lt;=TODAY()+7)+ISNUMBER($U321)*($U321&gt;=TODAY())*($U321&lt;=TODAY()+7)+ISNUMBER($V321)*($V321&gt;=TODAY())*($V321&lt;=TODAY()+7)+ISNUMBER($O321)*($O321&gt;=TODAY())*($O321&lt;=TODAY()+7)+ISNUMBER($P321)*($P321&gt;=TODAY())*($P321&lt;=TODAY()+7)+ISNUMBER($X321)*($X321&gt;=TODAY())*($X321&lt;=TODAY()+7)+ISNUMBER($Y321)*($Y321&gt;=TODAY())*($Y321&lt;=TODAY()+7))</f>
        <v/>
      </c>
      <c r="J321" s="28">
        <f>IF(NOT(AND($A321&lt;&gt;"",OR($G321="",$G321="Active"))),"",IF($K321&lt;&gt;"",IF($L321=$K321,"Booking",IF($M321=$K321,"16/40",IF($N321=$K321,"25/40",IF($Q321=$K321,"28/40",IF($R321=$K321,"31/40",IF($S321=$K321,"34/40",IF($T321=$K321,"36/40",IF($U321=$K321,"38/40",IF($V321=$K321,"40/40",""))))))))),IF(IF(OR(ISNUMBER($V321),$V321="DNA"),$V321,IF(OR(ISNUMBER($U321),$U321="DNA"),$U321,IF(OR(ISNUMBER($T321),$T321="DNA"),$T321,IF(OR(ISNUMBER($S321),$S321="DNA"),$S321,IF(OR(ISNUMBER($R321),$R321="DNA"),$R321,IF(OR(ISNUMBER($Q321),$Q321="DNA"),$Q321,IF(OR(ISNUMBER($N321),$N321="DNA"),$N321,IF(OR(ISNUMBER($M321),$M321="DNA"),$M321,IF(OR(ISNUMBER($L321),$L321="DNA"),$L321,"")))))))))="DNA","Rebook DNA",IF(ISNUMBER(IF(OR(ISNUMBER($V321),$V321="DNA"),$V321,IF(OR(ISNUMBER($U321),$U321="DNA"),$U321,IF(OR(ISNUMBER($T321),$T321="DNA"),$T321,IF(OR(ISNUMBER($S321),$S321="DNA"),$S321,IF(OR(ISNUMBER($R321),$R321="DNA"),$R321,IF(OR(ISNUMBER($Q321),$Q321="DNA"),$Q321,IF(OR(ISNUMBER($N321),$N321="DNA"),$N321,IF(OR(ISNUMBER($M321),$M321="DNA"),$M321,IF(OR(ISNUMBER($L321),$L321="DNA"),$L321,"")))))))))),IF(ISNUMBER($V321),"Update status","Missed/not booked?"),""))))</f>
        <v/>
      </c>
      <c r="K321" s="29">
        <f>IF(NOT(AND($A321&lt;&gt;"",OR($G321="",$G321="Active"))),"",IF(MIN(IF(AND(ISNUMBER($L321),$L321&gt;=TODAY()),$L321,99999),IF(AND(ISNUMBER($M321),$M321&gt;=TODAY()),$M321,99999),IF(AND(ISNUMBER($N321),$N321&gt;=TODAY()),$N321,99999),IF(AND(ISNUMBER($Q321),$Q321&gt;=TODAY()),$Q321,99999),IF(AND(ISNUMBER($R321),$R321&gt;=TODAY()),$R321,99999),IF(AND(ISNUMBER($S321),$S321&gt;=TODAY()),$S321,99999),IF(AND(ISNUMBER($T321),$T321&gt;=TODAY()),$T321,99999),IF(AND(ISNUMBER($U321),$U321&gt;=TODAY()),$U321,99999),IF(AND(ISNUMBER($V321),$V321&gt;=TODAY()),$V321,99999))=99999,"",MIN(IF(AND(ISNUMBER($L321),$L321&gt;=TODAY()),$L321,99999),IF(AND(ISNUMBER($M321),$M321&gt;=TODAY()),$M321,99999),IF(AND(ISNUMBER($N321),$N321&gt;=TODAY()),$N321,99999),IF(AND(ISNUMBER($Q321),$Q321&gt;=TODAY()),$Q321,99999),IF(AND(ISNUMBER($R321),$R321&gt;=TODAY()),$R321,99999),IF(AND(ISNUMBER($S321),$S321&gt;=TODAY()),$S321,99999),IF(AND(ISNUMBER($T321),$T321&gt;=TODAY()),$T321,99999),IF(AND(ISNUMBER($U321),$U321&gt;=TODAY()),$U321,99999),IF(AND(ISNUMBER($V321),$V321&gt;=TODAY()),$V321,99999))))</f>
        <v/>
      </c>
      <c r="L321" s="27" t="n"/>
      <c r="M321" s="27" t="n"/>
      <c r="N321" s="27" t="n"/>
      <c r="O321" s="27" t="n"/>
      <c r="P321" s="27" t="n"/>
      <c r="Q321" s="27" t="n"/>
      <c r="R321" s="27" t="n"/>
      <c r="S321" s="27" t="n"/>
      <c r="T321" s="27" t="n"/>
      <c r="U321" s="27" t="n"/>
      <c r="V321" s="27" t="n"/>
      <c r="W321" s="27" t="n"/>
      <c r="X321" s="27" t="n"/>
      <c r="Y321" s="27" t="n"/>
      <c r="Z321" s="30" t="n"/>
      <c r="AA321" s="25" t="n"/>
      <c r="AB321" s="28">
        <f>IF(NOT(AND($A321&lt;&gt;"",OR($G321="",$G321="Active"))),"",IF(OR(IF(OR(ISNUMBER($V321),$V321="DNA"),$V321,IF(OR(ISNUMBER($U321),$U321="DNA"),$U321,IF(OR(ISNUMBER($T321),$T321="DNA"),$T321,IF(OR(ISNUMBER($S321),$S321="DNA"),$S321,IF(OR(ISNUMBER($R321),$R321="DNA"),$R321,IF(OR(ISNUMBER($Q321),$Q321="DNA"),$Q321,IF(OR(ISNUMBER($N321),$N321="DNA"),$N321,IF(OR(ISNUMBER($M321),$M321="DNA"),$M321,IF(OR(ISNUMBER($L321),$L321="DNA"),$L321,"")))))))))="DNA",AND(ISNUMBER(IF(OR(ISNUMBER($V321),$V321="DNA"),$V321,IF(OR(ISNUMBER($U321),$U321="DNA"),$U321,IF(OR(ISNUMBER($T321),$T321="DNA"),$T321,IF(OR(ISNUMBER($S321),$S321="DNA"),$S321,IF(OR(ISNUMBER($R321),$R321="DNA"),$R321,IF(OR(ISNUMBER($Q321),$Q321="DNA"),$Q321,IF(OR(ISNUMBER($N321),$N321="DNA"),$N321,IF(OR(ISNUMBER($M321),$M321="DNA"),$M321,IF(OR(ISNUMBER($L321),$L321="DNA"),$L321,"")))))))))),IF(OR(ISNUMBER($V321),$V321="DNA"),$V321,IF(OR(ISNUMBER($U321),$U321="DNA"),$U321,IF(OR(ISNUMBER($T321),$T321="DNA"),$T321,IF(OR(ISNUMBER($S321),$S321="DNA"),$S321,IF(OR(ISNUMBER($R321),$R321="DNA"),$R321,IF(OR(ISNUMBER($Q321),$Q321="DNA"),$Q321,IF(OR(ISNUMBER($N321),$N321="DNA"),$N321,IF(OR(ISNUMBER($M321),$M321="DNA"),$M321,IF(OR(ISNUMBER($L321),$L321="DNA"),$L321,"")))))))))&lt;TODAY())),1,0)+ISNUMBER($O321)*($O321&lt;TODAY())+ISNUMBER($P321)*($P321&lt;TODAY())+ISNUMBER($X321)*($X321&lt;TODAY())+ISNUMBER($Y321)*($Y321&lt;TODAY()))</f>
        <v/>
      </c>
    </row>
    <row r="322">
      <c r="A322" s="25" t="n"/>
      <c r="B322" s="26" t="n"/>
      <c r="C322" s="27" t="n"/>
      <c r="D322" s="25" t="n"/>
      <c r="E322" s="25" t="n"/>
      <c r="F322" s="27" t="n"/>
      <c r="G322" s="25" t="n"/>
      <c r="H322" s="28">
        <f>IF(OR(NOT(AND($A322&lt;&gt;"",OR($G322="",$G322="Active"))),$F322=""),"",INT((TODAY()-$F322+280)/7)&amp;"+"&amp;MOD(TODAY()-$F322+280,7))</f>
        <v/>
      </c>
      <c r="I322" s="28">
        <f>IF(NOT(AND($A322&lt;&gt;"",OR($G322="",$G322="Active"))),"",ISNUMBER($L322)*($L322&gt;=TODAY())*($L322&lt;=TODAY()+7)+ISNUMBER($M322)*($M322&gt;=TODAY())*($M322&lt;=TODAY()+7)+ISNUMBER($N322)*($N322&gt;=TODAY())*($N322&lt;=TODAY()+7)+ISNUMBER($Q322)*($Q322&gt;=TODAY())*($Q322&lt;=TODAY()+7)+ISNUMBER($R322)*($R322&gt;=TODAY())*($R322&lt;=TODAY()+7)+ISNUMBER($S322)*($S322&gt;=TODAY())*($S322&lt;=TODAY()+7)+ISNUMBER($T322)*($T322&gt;=TODAY())*($T322&lt;=TODAY()+7)+ISNUMBER($U322)*($U322&gt;=TODAY())*($U322&lt;=TODAY()+7)+ISNUMBER($V322)*($V322&gt;=TODAY())*($V322&lt;=TODAY()+7)+ISNUMBER($O322)*($O322&gt;=TODAY())*($O322&lt;=TODAY()+7)+ISNUMBER($P322)*($P322&gt;=TODAY())*($P322&lt;=TODAY()+7)+ISNUMBER($X322)*($X322&gt;=TODAY())*($X322&lt;=TODAY()+7)+ISNUMBER($Y322)*($Y322&gt;=TODAY())*($Y322&lt;=TODAY()+7))</f>
        <v/>
      </c>
      <c r="J322" s="28">
        <f>IF(NOT(AND($A322&lt;&gt;"",OR($G322="",$G322="Active"))),"",IF($K322&lt;&gt;"",IF($L322=$K322,"Booking",IF($M322=$K322,"16/40",IF($N322=$K322,"25/40",IF($Q322=$K322,"28/40",IF($R322=$K322,"31/40",IF($S322=$K322,"34/40",IF($T322=$K322,"36/40",IF($U322=$K322,"38/40",IF($V322=$K322,"40/40",""))))))))),IF(IF(OR(ISNUMBER($V322),$V322="DNA"),$V322,IF(OR(ISNUMBER($U322),$U322="DNA"),$U322,IF(OR(ISNUMBER($T322),$T322="DNA"),$T322,IF(OR(ISNUMBER($S322),$S322="DNA"),$S322,IF(OR(ISNUMBER($R322),$R322="DNA"),$R322,IF(OR(ISNUMBER($Q322),$Q322="DNA"),$Q322,IF(OR(ISNUMBER($N322),$N322="DNA"),$N322,IF(OR(ISNUMBER($M322),$M322="DNA"),$M322,IF(OR(ISNUMBER($L322),$L322="DNA"),$L322,"")))))))))="DNA","Rebook DNA",IF(ISNUMBER(IF(OR(ISNUMBER($V322),$V322="DNA"),$V322,IF(OR(ISNUMBER($U322),$U322="DNA"),$U322,IF(OR(ISNUMBER($T322),$T322="DNA"),$T322,IF(OR(ISNUMBER($S322),$S322="DNA"),$S322,IF(OR(ISNUMBER($R322),$R322="DNA"),$R322,IF(OR(ISNUMBER($Q322),$Q322="DNA"),$Q322,IF(OR(ISNUMBER($N322),$N322="DNA"),$N322,IF(OR(ISNUMBER($M322),$M322="DNA"),$M322,IF(OR(ISNUMBER($L322),$L322="DNA"),$L322,"")))))))))),IF(ISNUMBER($V322),"Update status","Missed/not booked?"),""))))</f>
        <v/>
      </c>
      <c r="K322" s="29">
        <f>IF(NOT(AND($A322&lt;&gt;"",OR($G322="",$G322="Active"))),"",IF(MIN(IF(AND(ISNUMBER($L322),$L322&gt;=TODAY()),$L322,99999),IF(AND(ISNUMBER($M322),$M322&gt;=TODAY()),$M322,99999),IF(AND(ISNUMBER($N322),$N322&gt;=TODAY()),$N322,99999),IF(AND(ISNUMBER($Q322),$Q322&gt;=TODAY()),$Q322,99999),IF(AND(ISNUMBER($R322),$R322&gt;=TODAY()),$R322,99999),IF(AND(ISNUMBER($S322),$S322&gt;=TODAY()),$S322,99999),IF(AND(ISNUMBER($T322),$T322&gt;=TODAY()),$T322,99999),IF(AND(ISNUMBER($U322),$U322&gt;=TODAY()),$U322,99999),IF(AND(ISNUMBER($V322),$V322&gt;=TODAY()),$V322,99999))=99999,"",MIN(IF(AND(ISNUMBER($L322),$L322&gt;=TODAY()),$L322,99999),IF(AND(ISNUMBER($M322),$M322&gt;=TODAY()),$M322,99999),IF(AND(ISNUMBER($N322),$N322&gt;=TODAY()),$N322,99999),IF(AND(ISNUMBER($Q322),$Q322&gt;=TODAY()),$Q322,99999),IF(AND(ISNUMBER($R322),$R322&gt;=TODAY()),$R322,99999),IF(AND(ISNUMBER($S322),$S322&gt;=TODAY()),$S322,99999),IF(AND(ISNUMBER($T322),$T322&gt;=TODAY()),$T322,99999),IF(AND(ISNUMBER($U322),$U322&gt;=TODAY()),$U322,99999),IF(AND(ISNUMBER($V322),$V322&gt;=TODAY()),$V322,99999))))</f>
        <v/>
      </c>
      <c r="L322" s="27" t="n"/>
      <c r="M322" s="27" t="n"/>
      <c r="N322" s="27" t="n"/>
      <c r="O322" s="27" t="n"/>
      <c r="P322" s="27" t="n"/>
      <c r="Q322" s="27" t="n"/>
      <c r="R322" s="27" t="n"/>
      <c r="S322" s="27" t="n"/>
      <c r="T322" s="27" t="n"/>
      <c r="U322" s="27" t="n"/>
      <c r="V322" s="27" t="n"/>
      <c r="W322" s="27" t="n"/>
      <c r="X322" s="27" t="n"/>
      <c r="Y322" s="27" t="n"/>
      <c r="Z322" s="30" t="n"/>
      <c r="AA322" s="25" t="n"/>
      <c r="AB322" s="28">
        <f>IF(NOT(AND($A322&lt;&gt;"",OR($G322="",$G322="Active"))),"",IF(OR(IF(OR(ISNUMBER($V322),$V322="DNA"),$V322,IF(OR(ISNUMBER($U322),$U322="DNA"),$U322,IF(OR(ISNUMBER($T322),$T322="DNA"),$T322,IF(OR(ISNUMBER($S322),$S322="DNA"),$S322,IF(OR(ISNUMBER($R322),$R322="DNA"),$R322,IF(OR(ISNUMBER($Q322),$Q322="DNA"),$Q322,IF(OR(ISNUMBER($N322),$N322="DNA"),$N322,IF(OR(ISNUMBER($M322),$M322="DNA"),$M322,IF(OR(ISNUMBER($L322),$L322="DNA"),$L322,"")))))))))="DNA",AND(ISNUMBER(IF(OR(ISNUMBER($V322),$V322="DNA"),$V322,IF(OR(ISNUMBER($U322),$U322="DNA"),$U322,IF(OR(ISNUMBER($T322),$T322="DNA"),$T322,IF(OR(ISNUMBER($S322),$S322="DNA"),$S322,IF(OR(ISNUMBER($R322),$R322="DNA"),$R322,IF(OR(ISNUMBER($Q322),$Q322="DNA"),$Q322,IF(OR(ISNUMBER($N322),$N322="DNA"),$N322,IF(OR(ISNUMBER($M322),$M322="DNA"),$M322,IF(OR(ISNUMBER($L322),$L322="DNA"),$L322,"")))))))))),IF(OR(ISNUMBER($V322),$V322="DNA"),$V322,IF(OR(ISNUMBER($U322),$U322="DNA"),$U322,IF(OR(ISNUMBER($T322),$T322="DNA"),$T322,IF(OR(ISNUMBER($S322),$S322="DNA"),$S322,IF(OR(ISNUMBER($R322),$R322="DNA"),$R322,IF(OR(ISNUMBER($Q322),$Q322="DNA"),$Q322,IF(OR(ISNUMBER($N322),$N322="DNA"),$N322,IF(OR(ISNUMBER($M322),$M322="DNA"),$M322,IF(OR(ISNUMBER($L322),$L322="DNA"),$L322,"")))))))))&lt;TODAY())),1,0)+ISNUMBER($O322)*($O322&lt;TODAY())+ISNUMBER($P322)*($P322&lt;TODAY())+ISNUMBER($X322)*($X322&lt;TODAY())+ISNUMBER($Y322)*($Y322&lt;TODAY()))</f>
        <v/>
      </c>
    </row>
    <row r="323">
      <c r="A323" s="25" t="n"/>
      <c r="B323" s="26" t="n"/>
      <c r="C323" s="27" t="n"/>
      <c r="D323" s="25" t="n"/>
      <c r="E323" s="25" t="n"/>
      <c r="F323" s="27" t="n"/>
      <c r="G323" s="25" t="n"/>
      <c r="H323" s="28">
        <f>IF(OR(NOT(AND($A323&lt;&gt;"",OR($G323="",$G323="Active"))),$F323=""),"",INT((TODAY()-$F323+280)/7)&amp;"+"&amp;MOD(TODAY()-$F323+280,7))</f>
        <v/>
      </c>
      <c r="I323" s="28">
        <f>IF(NOT(AND($A323&lt;&gt;"",OR($G323="",$G323="Active"))),"",ISNUMBER($L323)*($L323&gt;=TODAY())*($L323&lt;=TODAY()+7)+ISNUMBER($M323)*($M323&gt;=TODAY())*($M323&lt;=TODAY()+7)+ISNUMBER($N323)*($N323&gt;=TODAY())*($N323&lt;=TODAY()+7)+ISNUMBER($Q323)*($Q323&gt;=TODAY())*($Q323&lt;=TODAY()+7)+ISNUMBER($R323)*($R323&gt;=TODAY())*($R323&lt;=TODAY()+7)+ISNUMBER($S323)*($S323&gt;=TODAY())*($S323&lt;=TODAY()+7)+ISNUMBER($T323)*($T323&gt;=TODAY())*($T323&lt;=TODAY()+7)+ISNUMBER($U323)*($U323&gt;=TODAY())*($U323&lt;=TODAY()+7)+ISNUMBER($V323)*($V323&gt;=TODAY())*($V323&lt;=TODAY()+7)+ISNUMBER($O323)*($O323&gt;=TODAY())*($O323&lt;=TODAY()+7)+ISNUMBER($P323)*($P323&gt;=TODAY())*($P323&lt;=TODAY()+7)+ISNUMBER($X323)*($X323&gt;=TODAY())*($X323&lt;=TODAY()+7)+ISNUMBER($Y323)*($Y323&gt;=TODAY())*($Y323&lt;=TODAY()+7))</f>
        <v/>
      </c>
      <c r="J323" s="28">
        <f>IF(NOT(AND($A323&lt;&gt;"",OR($G323="",$G323="Active"))),"",IF($K323&lt;&gt;"",IF($L323=$K323,"Booking",IF($M323=$K323,"16/40",IF($N323=$K323,"25/40",IF($Q323=$K323,"28/40",IF($R323=$K323,"31/40",IF($S323=$K323,"34/40",IF($T323=$K323,"36/40",IF($U323=$K323,"38/40",IF($V323=$K323,"40/40",""))))))))),IF(IF(OR(ISNUMBER($V323),$V323="DNA"),$V323,IF(OR(ISNUMBER($U323),$U323="DNA"),$U323,IF(OR(ISNUMBER($T323),$T323="DNA"),$T323,IF(OR(ISNUMBER($S323),$S323="DNA"),$S323,IF(OR(ISNUMBER($R323),$R323="DNA"),$R323,IF(OR(ISNUMBER($Q323),$Q323="DNA"),$Q323,IF(OR(ISNUMBER($N323),$N323="DNA"),$N323,IF(OR(ISNUMBER($M323),$M323="DNA"),$M323,IF(OR(ISNUMBER($L323),$L323="DNA"),$L323,"")))))))))="DNA","Rebook DNA",IF(ISNUMBER(IF(OR(ISNUMBER($V323),$V323="DNA"),$V323,IF(OR(ISNUMBER($U323),$U323="DNA"),$U323,IF(OR(ISNUMBER($T323),$T323="DNA"),$T323,IF(OR(ISNUMBER($S323),$S323="DNA"),$S323,IF(OR(ISNUMBER($R323),$R323="DNA"),$R323,IF(OR(ISNUMBER($Q323),$Q323="DNA"),$Q323,IF(OR(ISNUMBER($N323),$N323="DNA"),$N323,IF(OR(ISNUMBER($M323),$M323="DNA"),$M323,IF(OR(ISNUMBER($L323),$L323="DNA"),$L323,"")))))))))),IF(ISNUMBER($V323),"Update status","Missed/not booked?"),""))))</f>
        <v/>
      </c>
      <c r="K323" s="29">
        <f>IF(NOT(AND($A323&lt;&gt;"",OR($G323="",$G323="Active"))),"",IF(MIN(IF(AND(ISNUMBER($L323),$L323&gt;=TODAY()),$L323,99999),IF(AND(ISNUMBER($M323),$M323&gt;=TODAY()),$M323,99999),IF(AND(ISNUMBER($N323),$N323&gt;=TODAY()),$N323,99999),IF(AND(ISNUMBER($Q323),$Q323&gt;=TODAY()),$Q323,99999),IF(AND(ISNUMBER($R323),$R323&gt;=TODAY()),$R323,99999),IF(AND(ISNUMBER($S323),$S323&gt;=TODAY()),$S323,99999),IF(AND(ISNUMBER($T323),$T323&gt;=TODAY()),$T323,99999),IF(AND(ISNUMBER($U323),$U323&gt;=TODAY()),$U323,99999),IF(AND(ISNUMBER($V323),$V323&gt;=TODAY()),$V323,99999))=99999,"",MIN(IF(AND(ISNUMBER($L323),$L323&gt;=TODAY()),$L323,99999),IF(AND(ISNUMBER($M323),$M323&gt;=TODAY()),$M323,99999),IF(AND(ISNUMBER($N323),$N323&gt;=TODAY()),$N323,99999),IF(AND(ISNUMBER($Q323),$Q323&gt;=TODAY()),$Q323,99999),IF(AND(ISNUMBER($R323),$R323&gt;=TODAY()),$R323,99999),IF(AND(ISNUMBER($S323),$S323&gt;=TODAY()),$S323,99999),IF(AND(ISNUMBER($T323),$T323&gt;=TODAY()),$T323,99999),IF(AND(ISNUMBER($U323),$U323&gt;=TODAY()),$U323,99999),IF(AND(ISNUMBER($V323),$V323&gt;=TODAY()),$V323,99999))))</f>
        <v/>
      </c>
      <c r="L323" s="27" t="n"/>
      <c r="M323" s="27" t="n"/>
      <c r="N323" s="27" t="n"/>
      <c r="O323" s="27" t="n"/>
      <c r="P323" s="27" t="n"/>
      <c r="Q323" s="27" t="n"/>
      <c r="R323" s="27" t="n"/>
      <c r="S323" s="27" t="n"/>
      <c r="T323" s="27" t="n"/>
      <c r="U323" s="27" t="n"/>
      <c r="V323" s="27" t="n"/>
      <c r="W323" s="27" t="n"/>
      <c r="X323" s="27" t="n"/>
      <c r="Y323" s="27" t="n"/>
      <c r="Z323" s="30" t="n"/>
      <c r="AA323" s="25" t="n"/>
      <c r="AB323" s="28">
        <f>IF(NOT(AND($A323&lt;&gt;"",OR($G323="",$G323="Active"))),"",IF(OR(IF(OR(ISNUMBER($V323),$V323="DNA"),$V323,IF(OR(ISNUMBER($U323),$U323="DNA"),$U323,IF(OR(ISNUMBER($T323),$T323="DNA"),$T323,IF(OR(ISNUMBER($S323),$S323="DNA"),$S323,IF(OR(ISNUMBER($R323),$R323="DNA"),$R323,IF(OR(ISNUMBER($Q323),$Q323="DNA"),$Q323,IF(OR(ISNUMBER($N323),$N323="DNA"),$N323,IF(OR(ISNUMBER($M323),$M323="DNA"),$M323,IF(OR(ISNUMBER($L323),$L323="DNA"),$L323,"")))))))))="DNA",AND(ISNUMBER(IF(OR(ISNUMBER($V323),$V323="DNA"),$V323,IF(OR(ISNUMBER($U323),$U323="DNA"),$U323,IF(OR(ISNUMBER($T323),$T323="DNA"),$T323,IF(OR(ISNUMBER($S323),$S323="DNA"),$S323,IF(OR(ISNUMBER($R323),$R323="DNA"),$R323,IF(OR(ISNUMBER($Q323),$Q323="DNA"),$Q323,IF(OR(ISNUMBER($N323),$N323="DNA"),$N323,IF(OR(ISNUMBER($M323),$M323="DNA"),$M323,IF(OR(ISNUMBER($L323),$L323="DNA"),$L323,"")))))))))),IF(OR(ISNUMBER($V323),$V323="DNA"),$V323,IF(OR(ISNUMBER($U323),$U323="DNA"),$U323,IF(OR(ISNUMBER($T323),$T323="DNA"),$T323,IF(OR(ISNUMBER($S323),$S323="DNA"),$S323,IF(OR(ISNUMBER($R323),$R323="DNA"),$R323,IF(OR(ISNUMBER($Q323),$Q323="DNA"),$Q323,IF(OR(ISNUMBER($N323),$N323="DNA"),$N323,IF(OR(ISNUMBER($M323),$M323="DNA"),$M323,IF(OR(ISNUMBER($L323),$L323="DNA"),$L323,"")))))))))&lt;TODAY())),1,0)+ISNUMBER($O323)*($O323&lt;TODAY())+ISNUMBER($P323)*($P323&lt;TODAY())+ISNUMBER($X323)*($X323&lt;TODAY())+ISNUMBER($Y323)*($Y323&lt;TODAY()))</f>
        <v/>
      </c>
    </row>
    <row r="324">
      <c r="A324" s="25" t="n"/>
      <c r="B324" s="26" t="n"/>
      <c r="C324" s="27" t="n"/>
      <c r="D324" s="25" t="n"/>
      <c r="E324" s="25" t="n"/>
      <c r="F324" s="27" t="n"/>
      <c r="G324" s="25" t="n"/>
      <c r="H324" s="28">
        <f>IF(OR(NOT(AND($A324&lt;&gt;"",OR($G324="",$G324="Active"))),$F324=""),"",INT((TODAY()-$F324+280)/7)&amp;"+"&amp;MOD(TODAY()-$F324+280,7))</f>
        <v/>
      </c>
      <c r="I324" s="28">
        <f>IF(NOT(AND($A324&lt;&gt;"",OR($G324="",$G324="Active"))),"",ISNUMBER($L324)*($L324&gt;=TODAY())*($L324&lt;=TODAY()+7)+ISNUMBER($M324)*($M324&gt;=TODAY())*($M324&lt;=TODAY()+7)+ISNUMBER($N324)*($N324&gt;=TODAY())*($N324&lt;=TODAY()+7)+ISNUMBER($Q324)*($Q324&gt;=TODAY())*($Q324&lt;=TODAY()+7)+ISNUMBER($R324)*($R324&gt;=TODAY())*($R324&lt;=TODAY()+7)+ISNUMBER($S324)*($S324&gt;=TODAY())*($S324&lt;=TODAY()+7)+ISNUMBER($T324)*($T324&gt;=TODAY())*($T324&lt;=TODAY()+7)+ISNUMBER($U324)*($U324&gt;=TODAY())*($U324&lt;=TODAY()+7)+ISNUMBER($V324)*($V324&gt;=TODAY())*($V324&lt;=TODAY()+7)+ISNUMBER($O324)*($O324&gt;=TODAY())*($O324&lt;=TODAY()+7)+ISNUMBER($P324)*($P324&gt;=TODAY())*($P324&lt;=TODAY()+7)+ISNUMBER($X324)*($X324&gt;=TODAY())*($X324&lt;=TODAY()+7)+ISNUMBER($Y324)*($Y324&gt;=TODAY())*($Y324&lt;=TODAY()+7))</f>
        <v/>
      </c>
      <c r="J324" s="28">
        <f>IF(NOT(AND($A324&lt;&gt;"",OR($G324="",$G324="Active"))),"",IF($K324&lt;&gt;"",IF($L324=$K324,"Booking",IF($M324=$K324,"16/40",IF($N324=$K324,"25/40",IF($Q324=$K324,"28/40",IF($R324=$K324,"31/40",IF($S324=$K324,"34/40",IF($T324=$K324,"36/40",IF($U324=$K324,"38/40",IF($V324=$K324,"40/40",""))))))))),IF(IF(OR(ISNUMBER($V324),$V324="DNA"),$V324,IF(OR(ISNUMBER($U324),$U324="DNA"),$U324,IF(OR(ISNUMBER($T324),$T324="DNA"),$T324,IF(OR(ISNUMBER($S324),$S324="DNA"),$S324,IF(OR(ISNUMBER($R324),$R324="DNA"),$R324,IF(OR(ISNUMBER($Q324),$Q324="DNA"),$Q324,IF(OR(ISNUMBER($N324),$N324="DNA"),$N324,IF(OR(ISNUMBER($M324),$M324="DNA"),$M324,IF(OR(ISNUMBER($L324),$L324="DNA"),$L324,"")))))))))="DNA","Rebook DNA",IF(ISNUMBER(IF(OR(ISNUMBER($V324),$V324="DNA"),$V324,IF(OR(ISNUMBER($U324),$U324="DNA"),$U324,IF(OR(ISNUMBER($T324),$T324="DNA"),$T324,IF(OR(ISNUMBER($S324),$S324="DNA"),$S324,IF(OR(ISNUMBER($R324),$R324="DNA"),$R324,IF(OR(ISNUMBER($Q324),$Q324="DNA"),$Q324,IF(OR(ISNUMBER($N324),$N324="DNA"),$N324,IF(OR(ISNUMBER($M324),$M324="DNA"),$M324,IF(OR(ISNUMBER($L324),$L324="DNA"),$L324,"")))))))))),IF(ISNUMBER($V324),"Update status","Missed/not booked?"),""))))</f>
        <v/>
      </c>
      <c r="K324" s="29">
        <f>IF(NOT(AND($A324&lt;&gt;"",OR($G324="",$G324="Active"))),"",IF(MIN(IF(AND(ISNUMBER($L324),$L324&gt;=TODAY()),$L324,99999),IF(AND(ISNUMBER($M324),$M324&gt;=TODAY()),$M324,99999),IF(AND(ISNUMBER($N324),$N324&gt;=TODAY()),$N324,99999),IF(AND(ISNUMBER($Q324),$Q324&gt;=TODAY()),$Q324,99999),IF(AND(ISNUMBER($R324),$R324&gt;=TODAY()),$R324,99999),IF(AND(ISNUMBER($S324),$S324&gt;=TODAY()),$S324,99999),IF(AND(ISNUMBER($T324),$T324&gt;=TODAY()),$T324,99999),IF(AND(ISNUMBER($U324),$U324&gt;=TODAY()),$U324,99999),IF(AND(ISNUMBER($V324),$V324&gt;=TODAY()),$V324,99999))=99999,"",MIN(IF(AND(ISNUMBER($L324),$L324&gt;=TODAY()),$L324,99999),IF(AND(ISNUMBER($M324),$M324&gt;=TODAY()),$M324,99999),IF(AND(ISNUMBER($N324),$N324&gt;=TODAY()),$N324,99999),IF(AND(ISNUMBER($Q324),$Q324&gt;=TODAY()),$Q324,99999),IF(AND(ISNUMBER($R324),$R324&gt;=TODAY()),$R324,99999),IF(AND(ISNUMBER($S324),$S324&gt;=TODAY()),$S324,99999),IF(AND(ISNUMBER($T324),$T324&gt;=TODAY()),$T324,99999),IF(AND(ISNUMBER($U324),$U324&gt;=TODAY()),$U324,99999),IF(AND(ISNUMBER($V324),$V324&gt;=TODAY()),$V324,99999))))</f>
        <v/>
      </c>
      <c r="L324" s="27" t="n"/>
      <c r="M324" s="27" t="n"/>
      <c r="N324" s="27" t="n"/>
      <c r="O324" s="27" t="n"/>
      <c r="P324" s="27" t="n"/>
      <c r="Q324" s="27" t="n"/>
      <c r="R324" s="27" t="n"/>
      <c r="S324" s="27" t="n"/>
      <c r="T324" s="27" t="n"/>
      <c r="U324" s="27" t="n"/>
      <c r="V324" s="27" t="n"/>
      <c r="W324" s="27" t="n"/>
      <c r="X324" s="27" t="n"/>
      <c r="Y324" s="27" t="n"/>
      <c r="Z324" s="30" t="n"/>
      <c r="AA324" s="25" t="n"/>
      <c r="AB324" s="28">
        <f>IF(NOT(AND($A324&lt;&gt;"",OR($G324="",$G324="Active"))),"",IF(OR(IF(OR(ISNUMBER($V324),$V324="DNA"),$V324,IF(OR(ISNUMBER($U324),$U324="DNA"),$U324,IF(OR(ISNUMBER($T324),$T324="DNA"),$T324,IF(OR(ISNUMBER($S324),$S324="DNA"),$S324,IF(OR(ISNUMBER($R324),$R324="DNA"),$R324,IF(OR(ISNUMBER($Q324),$Q324="DNA"),$Q324,IF(OR(ISNUMBER($N324),$N324="DNA"),$N324,IF(OR(ISNUMBER($M324),$M324="DNA"),$M324,IF(OR(ISNUMBER($L324),$L324="DNA"),$L324,"")))))))))="DNA",AND(ISNUMBER(IF(OR(ISNUMBER($V324),$V324="DNA"),$V324,IF(OR(ISNUMBER($U324),$U324="DNA"),$U324,IF(OR(ISNUMBER($T324),$T324="DNA"),$T324,IF(OR(ISNUMBER($S324),$S324="DNA"),$S324,IF(OR(ISNUMBER($R324),$R324="DNA"),$R324,IF(OR(ISNUMBER($Q324),$Q324="DNA"),$Q324,IF(OR(ISNUMBER($N324),$N324="DNA"),$N324,IF(OR(ISNUMBER($M324),$M324="DNA"),$M324,IF(OR(ISNUMBER($L324),$L324="DNA"),$L324,"")))))))))),IF(OR(ISNUMBER($V324),$V324="DNA"),$V324,IF(OR(ISNUMBER($U324),$U324="DNA"),$U324,IF(OR(ISNUMBER($T324),$T324="DNA"),$T324,IF(OR(ISNUMBER($S324),$S324="DNA"),$S324,IF(OR(ISNUMBER($R324),$R324="DNA"),$R324,IF(OR(ISNUMBER($Q324),$Q324="DNA"),$Q324,IF(OR(ISNUMBER($N324),$N324="DNA"),$N324,IF(OR(ISNUMBER($M324),$M324="DNA"),$M324,IF(OR(ISNUMBER($L324),$L324="DNA"),$L324,"")))))))))&lt;TODAY())),1,0)+ISNUMBER($O324)*($O324&lt;TODAY())+ISNUMBER($P324)*($P324&lt;TODAY())+ISNUMBER($X324)*($X324&lt;TODAY())+ISNUMBER($Y324)*($Y324&lt;TODAY()))</f>
        <v/>
      </c>
    </row>
    <row r="325">
      <c r="A325" s="25" t="n"/>
      <c r="B325" s="26" t="n"/>
      <c r="C325" s="27" t="n"/>
      <c r="D325" s="25" t="n"/>
      <c r="E325" s="25" t="n"/>
      <c r="F325" s="27" t="n"/>
      <c r="G325" s="25" t="n"/>
      <c r="H325" s="28">
        <f>IF(OR(NOT(AND($A325&lt;&gt;"",OR($G325="",$G325="Active"))),$F325=""),"",INT((TODAY()-$F325+280)/7)&amp;"+"&amp;MOD(TODAY()-$F325+280,7))</f>
        <v/>
      </c>
      <c r="I325" s="28">
        <f>IF(NOT(AND($A325&lt;&gt;"",OR($G325="",$G325="Active"))),"",ISNUMBER($L325)*($L325&gt;=TODAY())*($L325&lt;=TODAY()+7)+ISNUMBER($M325)*($M325&gt;=TODAY())*($M325&lt;=TODAY()+7)+ISNUMBER($N325)*($N325&gt;=TODAY())*($N325&lt;=TODAY()+7)+ISNUMBER($Q325)*($Q325&gt;=TODAY())*($Q325&lt;=TODAY()+7)+ISNUMBER($R325)*($R325&gt;=TODAY())*($R325&lt;=TODAY()+7)+ISNUMBER($S325)*($S325&gt;=TODAY())*($S325&lt;=TODAY()+7)+ISNUMBER($T325)*($T325&gt;=TODAY())*($T325&lt;=TODAY()+7)+ISNUMBER($U325)*($U325&gt;=TODAY())*($U325&lt;=TODAY()+7)+ISNUMBER($V325)*($V325&gt;=TODAY())*($V325&lt;=TODAY()+7)+ISNUMBER($O325)*($O325&gt;=TODAY())*($O325&lt;=TODAY()+7)+ISNUMBER($P325)*($P325&gt;=TODAY())*($P325&lt;=TODAY()+7)+ISNUMBER($X325)*($X325&gt;=TODAY())*($X325&lt;=TODAY()+7)+ISNUMBER($Y325)*($Y325&gt;=TODAY())*($Y325&lt;=TODAY()+7))</f>
        <v/>
      </c>
      <c r="J325" s="28">
        <f>IF(NOT(AND($A325&lt;&gt;"",OR($G325="",$G325="Active"))),"",IF($K325&lt;&gt;"",IF($L325=$K325,"Booking",IF($M325=$K325,"16/40",IF($N325=$K325,"25/40",IF($Q325=$K325,"28/40",IF($R325=$K325,"31/40",IF($S325=$K325,"34/40",IF($T325=$K325,"36/40",IF($U325=$K325,"38/40",IF($V325=$K325,"40/40",""))))))))),IF(IF(OR(ISNUMBER($V325),$V325="DNA"),$V325,IF(OR(ISNUMBER($U325),$U325="DNA"),$U325,IF(OR(ISNUMBER($T325),$T325="DNA"),$T325,IF(OR(ISNUMBER($S325),$S325="DNA"),$S325,IF(OR(ISNUMBER($R325),$R325="DNA"),$R325,IF(OR(ISNUMBER($Q325),$Q325="DNA"),$Q325,IF(OR(ISNUMBER($N325),$N325="DNA"),$N325,IF(OR(ISNUMBER($M325),$M325="DNA"),$M325,IF(OR(ISNUMBER($L325),$L325="DNA"),$L325,"")))))))))="DNA","Rebook DNA",IF(ISNUMBER(IF(OR(ISNUMBER($V325),$V325="DNA"),$V325,IF(OR(ISNUMBER($U325),$U325="DNA"),$U325,IF(OR(ISNUMBER($T325),$T325="DNA"),$T325,IF(OR(ISNUMBER($S325),$S325="DNA"),$S325,IF(OR(ISNUMBER($R325),$R325="DNA"),$R325,IF(OR(ISNUMBER($Q325),$Q325="DNA"),$Q325,IF(OR(ISNUMBER($N325),$N325="DNA"),$N325,IF(OR(ISNUMBER($M325),$M325="DNA"),$M325,IF(OR(ISNUMBER($L325),$L325="DNA"),$L325,"")))))))))),IF(ISNUMBER($V325),"Update status","Missed/not booked?"),""))))</f>
        <v/>
      </c>
      <c r="K325" s="29">
        <f>IF(NOT(AND($A325&lt;&gt;"",OR($G325="",$G325="Active"))),"",IF(MIN(IF(AND(ISNUMBER($L325),$L325&gt;=TODAY()),$L325,99999),IF(AND(ISNUMBER($M325),$M325&gt;=TODAY()),$M325,99999),IF(AND(ISNUMBER($N325),$N325&gt;=TODAY()),$N325,99999),IF(AND(ISNUMBER($Q325),$Q325&gt;=TODAY()),$Q325,99999),IF(AND(ISNUMBER($R325),$R325&gt;=TODAY()),$R325,99999),IF(AND(ISNUMBER($S325),$S325&gt;=TODAY()),$S325,99999),IF(AND(ISNUMBER($T325),$T325&gt;=TODAY()),$T325,99999),IF(AND(ISNUMBER($U325),$U325&gt;=TODAY()),$U325,99999),IF(AND(ISNUMBER($V325),$V325&gt;=TODAY()),$V325,99999))=99999,"",MIN(IF(AND(ISNUMBER($L325),$L325&gt;=TODAY()),$L325,99999),IF(AND(ISNUMBER($M325),$M325&gt;=TODAY()),$M325,99999),IF(AND(ISNUMBER($N325),$N325&gt;=TODAY()),$N325,99999),IF(AND(ISNUMBER($Q325),$Q325&gt;=TODAY()),$Q325,99999),IF(AND(ISNUMBER($R325),$R325&gt;=TODAY()),$R325,99999),IF(AND(ISNUMBER($S325),$S325&gt;=TODAY()),$S325,99999),IF(AND(ISNUMBER($T325),$T325&gt;=TODAY()),$T325,99999),IF(AND(ISNUMBER($U325),$U325&gt;=TODAY()),$U325,99999),IF(AND(ISNUMBER($V325),$V325&gt;=TODAY()),$V325,99999))))</f>
        <v/>
      </c>
      <c r="L325" s="27" t="n"/>
      <c r="M325" s="27" t="n"/>
      <c r="N325" s="27" t="n"/>
      <c r="O325" s="27" t="n"/>
      <c r="P325" s="27" t="n"/>
      <c r="Q325" s="27" t="n"/>
      <c r="R325" s="27" t="n"/>
      <c r="S325" s="27" t="n"/>
      <c r="T325" s="27" t="n"/>
      <c r="U325" s="27" t="n"/>
      <c r="V325" s="27" t="n"/>
      <c r="W325" s="27" t="n"/>
      <c r="X325" s="27" t="n"/>
      <c r="Y325" s="27" t="n"/>
      <c r="Z325" s="30" t="n"/>
      <c r="AA325" s="25" t="n"/>
      <c r="AB325" s="28">
        <f>IF(NOT(AND($A325&lt;&gt;"",OR($G325="",$G325="Active"))),"",IF(OR(IF(OR(ISNUMBER($V325),$V325="DNA"),$V325,IF(OR(ISNUMBER($U325),$U325="DNA"),$U325,IF(OR(ISNUMBER($T325),$T325="DNA"),$T325,IF(OR(ISNUMBER($S325),$S325="DNA"),$S325,IF(OR(ISNUMBER($R325),$R325="DNA"),$R325,IF(OR(ISNUMBER($Q325),$Q325="DNA"),$Q325,IF(OR(ISNUMBER($N325),$N325="DNA"),$N325,IF(OR(ISNUMBER($M325),$M325="DNA"),$M325,IF(OR(ISNUMBER($L325),$L325="DNA"),$L325,"")))))))))="DNA",AND(ISNUMBER(IF(OR(ISNUMBER($V325),$V325="DNA"),$V325,IF(OR(ISNUMBER($U325),$U325="DNA"),$U325,IF(OR(ISNUMBER($T325),$T325="DNA"),$T325,IF(OR(ISNUMBER($S325),$S325="DNA"),$S325,IF(OR(ISNUMBER($R325),$R325="DNA"),$R325,IF(OR(ISNUMBER($Q325),$Q325="DNA"),$Q325,IF(OR(ISNUMBER($N325),$N325="DNA"),$N325,IF(OR(ISNUMBER($M325),$M325="DNA"),$M325,IF(OR(ISNUMBER($L325),$L325="DNA"),$L325,"")))))))))),IF(OR(ISNUMBER($V325),$V325="DNA"),$V325,IF(OR(ISNUMBER($U325),$U325="DNA"),$U325,IF(OR(ISNUMBER($T325),$T325="DNA"),$T325,IF(OR(ISNUMBER($S325),$S325="DNA"),$S325,IF(OR(ISNUMBER($R325),$R325="DNA"),$R325,IF(OR(ISNUMBER($Q325),$Q325="DNA"),$Q325,IF(OR(ISNUMBER($N325),$N325="DNA"),$N325,IF(OR(ISNUMBER($M325),$M325="DNA"),$M325,IF(OR(ISNUMBER($L325),$L325="DNA"),$L325,"")))))))))&lt;TODAY())),1,0)+ISNUMBER($O325)*($O325&lt;TODAY())+ISNUMBER($P325)*($P325&lt;TODAY())+ISNUMBER($X325)*($X325&lt;TODAY())+ISNUMBER($Y325)*($Y325&lt;TODAY()))</f>
        <v/>
      </c>
    </row>
    <row r="326">
      <c r="A326" s="25" t="n"/>
      <c r="B326" s="26" t="n"/>
      <c r="C326" s="27" t="n"/>
      <c r="D326" s="25" t="n"/>
      <c r="E326" s="25" t="n"/>
      <c r="F326" s="27" t="n"/>
      <c r="G326" s="25" t="n"/>
      <c r="H326" s="28">
        <f>IF(OR(NOT(AND($A326&lt;&gt;"",OR($G326="",$G326="Active"))),$F326=""),"",INT((TODAY()-$F326+280)/7)&amp;"+"&amp;MOD(TODAY()-$F326+280,7))</f>
        <v/>
      </c>
      <c r="I326" s="28">
        <f>IF(NOT(AND($A326&lt;&gt;"",OR($G326="",$G326="Active"))),"",ISNUMBER($L326)*($L326&gt;=TODAY())*($L326&lt;=TODAY()+7)+ISNUMBER($M326)*($M326&gt;=TODAY())*($M326&lt;=TODAY()+7)+ISNUMBER($N326)*($N326&gt;=TODAY())*($N326&lt;=TODAY()+7)+ISNUMBER($Q326)*($Q326&gt;=TODAY())*($Q326&lt;=TODAY()+7)+ISNUMBER($R326)*($R326&gt;=TODAY())*($R326&lt;=TODAY()+7)+ISNUMBER($S326)*($S326&gt;=TODAY())*($S326&lt;=TODAY()+7)+ISNUMBER($T326)*($T326&gt;=TODAY())*($T326&lt;=TODAY()+7)+ISNUMBER($U326)*($U326&gt;=TODAY())*($U326&lt;=TODAY()+7)+ISNUMBER($V326)*($V326&gt;=TODAY())*($V326&lt;=TODAY()+7)+ISNUMBER($O326)*($O326&gt;=TODAY())*($O326&lt;=TODAY()+7)+ISNUMBER($P326)*($P326&gt;=TODAY())*($P326&lt;=TODAY()+7)+ISNUMBER($X326)*($X326&gt;=TODAY())*($X326&lt;=TODAY()+7)+ISNUMBER($Y326)*($Y326&gt;=TODAY())*($Y326&lt;=TODAY()+7))</f>
        <v/>
      </c>
      <c r="J326" s="28">
        <f>IF(NOT(AND($A326&lt;&gt;"",OR($G326="",$G326="Active"))),"",IF($K326&lt;&gt;"",IF($L326=$K326,"Booking",IF($M326=$K326,"16/40",IF($N326=$K326,"25/40",IF($Q326=$K326,"28/40",IF($R326=$K326,"31/40",IF($S326=$K326,"34/40",IF($T326=$K326,"36/40",IF($U326=$K326,"38/40",IF($V326=$K326,"40/40",""))))))))),IF(IF(OR(ISNUMBER($V326),$V326="DNA"),$V326,IF(OR(ISNUMBER($U326),$U326="DNA"),$U326,IF(OR(ISNUMBER($T326),$T326="DNA"),$T326,IF(OR(ISNUMBER($S326),$S326="DNA"),$S326,IF(OR(ISNUMBER($R326),$R326="DNA"),$R326,IF(OR(ISNUMBER($Q326),$Q326="DNA"),$Q326,IF(OR(ISNUMBER($N326),$N326="DNA"),$N326,IF(OR(ISNUMBER($M326),$M326="DNA"),$M326,IF(OR(ISNUMBER($L326),$L326="DNA"),$L326,"")))))))))="DNA","Rebook DNA",IF(ISNUMBER(IF(OR(ISNUMBER($V326),$V326="DNA"),$V326,IF(OR(ISNUMBER($U326),$U326="DNA"),$U326,IF(OR(ISNUMBER($T326),$T326="DNA"),$T326,IF(OR(ISNUMBER($S326),$S326="DNA"),$S326,IF(OR(ISNUMBER($R326),$R326="DNA"),$R326,IF(OR(ISNUMBER($Q326),$Q326="DNA"),$Q326,IF(OR(ISNUMBER($N326),$N326="DNA"),$N326,IF(OR(ISNUMBER($M326),$M326="DNA"),$M326,IF(OR(ISNUMBER($L326),$L326="DNA"),$L326,"")))))))))),IF(ISNUMBER($V326),"Update status","Missed/not booked?"),""))))</f>
        <v/>
      </c>
      <c r="K326" s="29">
        <f>IF(NOT(AND($A326&lt;&gt;"",OR($G326="",$G326="Active"))),"",IF(MIN(IF(AND(ISNUMBER($L326),$L326&gt;=TODAY()),$L326,99999),IF(AND(ISNUMBER($M326),$M326&gt;=TODAY()),$M326,99999),IF(AND(ISNUMBER($N326),$N326&gt;=TODAY()),$N326,99999),IF(AND(ISNUMBER($Q326),$Q326&gt;=TODAY()),$Q326,99999),IF(AND(ISNUMBER($R326),$R326&gt;=TODAY()),$R326,99999),IF(AND(ISNUMBER($S326),$S326&gt;=TODAY()),$S326,99999),IF(AND(ISNUMBER($T326),$T326&gt;=TODAY()),$T326,99999),IF(AND(ISNUMBER($U326),$U326&gt;=TODAY()),$U326,99999),IF(AND(ISNUMBER($V326),$V326&gt;=TODAY()),$V326,99999))=99999,"",MIN(IF(AND(ISNUMBER($L326),$L326&gt;=TODAY()),$L326,99999),IF(AND(ISNUMBER($M326),$M326&gt;=TODAY()),$M326,99999),IF(AND(ISNUMBER($N326),$N326&gt;=TODAY()),$N326,99999),IF(AND(ISNUMBER($Q326),$Q326&gt;=TODAY()),$Q326,99999),IF(AND(ISNUMBER($R326),$R326&gt;=TODAY()),$R326,99999),IF(AND(ISNUMBER($S326),$S326&gt;=TODAY()),$S326,99999),IF(AND(ISNUMBER($T326),$T326&gt;=TODAY()),$T326,99999),IF(AND(ISNUMBER($U326),$U326&gt;=TODAY()),$U326,99999),IF(AND(ISNUMBER($V326),$V326&gt;=TODAY()),$V326,99999))))</f>
        <v/>
      </c>
      <c r="L326" s="27" t="n"/>
      <c r="M326" s="27" t="n"/>
      <c r="N326" s="27" t="n"/>
      <c r="O326" s="27" t="n"/>
      <c r="P326" s="27" t="n"/>
      <c r="Q326" s="27" t="n"/>
      <c r="R326" s="27" t="n"/>
      <c r="S326" s="27" t="n"/>
      <c r="T326" s="27" t="n"/>
      <c r="U326" s="27" t="n"/>
      <c r="V326" s="27" t="n"/>
      <c r="W326" s="27" t="n"/>
      <c r="X326" s="27" t="n"/>
      <c r="Y326" s="27" t="n"/>
      <c r="Z326" s="30" t="n"/>
      <c r="AA326" s="25" t="n"/>
      <c r="AB326" s="28">
        <f>IF(NOT(AND($A326&lt;&gt;"",OR($G326="",$G326="Active"))),"",IF(OR(IF(OR(ISNUMBER($V326),$V326="DNA"),$V326,IF(OR(ISNUMBER($U326),$U326="DNA"),$U326,IF(OR(ISNUMBER($T326),$T326="DNA"),$T326,IF(OR(ISNUMBER($S326),$S326="DNA"),$S326,IF(OR(ISNUMBER($R326),$R326="DNA"),$R326,IF(OR(ISNUMBER($Q326),$Q326="DNA"),$Q326,IF(OR(ISNUMBER($N326),$N326="DNA"),$N326,IF(OR(ISNUMBER($M326),$M326="DNA"),$M326,IF(OR(ISNUMBER($L326),$L326="DNA"),$L326,"")))))))))="DNA",AND(ISNUMBER(IF(OR(ISNUMBER($V326),$V326="DNA"),$V326,IF(OR(ISNUMBER($U326),$U326="DNA"),$U326,IF(OR(ISNUMBER($T326),$T326="DNA"),$T326,IF(OR(ISNUMBER($S326),$S326="DNA"),$S326,IF(OR(ISNUMBER($R326),$R326="DNA"),$R326,IF(OR(ISNUMBER($Q326),$Q326="DNA"),$Q326,IF(OR(ISNUMBER($N326),$N326="DNA"),$N326,IF(OR(ISNUMBER($M326),$M326="DNA"),$M326,IF(OR(ISNUMBER($L326),$L326="DNA"),$L326,"")))))))))),IF(OR(ISNUMBER($V326),$V326="DNA"),$V326,IF(OR(ISNUMBER($U326),$U326="DNA"),$U326,IF(OR(ISNUMBER($T326),$T326="DNA"),$T326,IF(OR(ISNUMBER($S326),$S326="DNA"),$S326,IF(OR(ISNUMBER($R326),$R326="DNA"),$R326,IF(OR(ISNUMBER($Q326),$Q326="DNA"),$Q326,IF(OR(ISNUMBER($N326),$N326="DNA"),$N326,IF(OR(ISNUMBER($M326),$M326="DNA"),$M326,IF(OR(ISNUMBER($L326),$L326="DNA"),$L326,"")))))))))&lt;TODAY())),1,0)+ISNUMBER($O326)*($O326&lt;TODAY())+ISNUMBER($P326)*($P326&lt;TODAY())+ISNUMBER($X326)*($X326&lt;TODAY())+ISNUMBER($Y326)*($Y326&lt;TODAY()))</f>
        <v/>
      </c>
    </row>
    <row r="327">
      <c r="A327" s="25" t="n"/>
      <c r="B327" s="26" t="n"/>
      <c r="C327" s="27" t="n"/>
      <c r="D327" s="25" t="n"/>
      <c r="E327" s="25" t="n"/>
      <c r="F327" s="27" t="n"/>
      <c r="G327" s="25" t="n"/>
      <c r="H327" s="28">
        <f>IF(OR(NOT(AND($A327&lt;&gt;"",OR($G327="",$G327="Active"))),$F327=""),"",INT((TODAY()-$F327+280)/7)&amp;"+"&amp;MOD(TODAY()-$F327+280,7))</f>
        <v/>
      </c>
      <c r="I327" s="28">
        <f>IF(NOT(AND($A327&lt;&gt;"",OR($G327="",$G327="Active"))),"",ISNUMBER($L327)*($L327&gt;=TODAY())*($L327&lt;=TODAY()+7)+ISNUMBER($M327)*($M327&gt;=TODAY())*($M327&lt;=TODAY()+7)+ISNUMBER($N327)*($N327&gt;=TODAY())*($N327&lt;=TODAY()+7)+ISNUMBER($Q327)*($Q327&gt;=TODAY())*($Q327&lt;=TODAY()+7)+ISNUMBER($R327)*($R327&gt;=TODAY())*($R327&lt;=TODAY()+7)+ISNUMBER($S327)*($S327&gt;=TODAY())*($S327&lt;=TODAY()+7)+ISNUMBER($T327)*($T327&gt;=TODAY())*($T327&lt;=TODAY()+7)+ISNUMBER($U327)*($U327&gt;=TODAY())*($U327&lt;=TODAY()+7)+ISNUMBER($V327)*($V327&gt;=TODAY())*($V327&lt;=TODAY()+7)+ISNUMBER($O327)*($O327&gt;=TODAY())*($O327&lt;=TODAY()+7)+ISNUMBER($P327)*($P327&gt;=TODAY())*($P327&lt;=TODAY()+7)+ISNUMBER($X327)*($X327&gt;=TODAY())*($X327&lt;=TODAY()+7)+ISNUMBER($Y327)*($Y327&gt;=TODAY())*($Y327&lt;=TODAY()+7))</f>
        <v/>
      </c>
      <c r="J327" s="28">
        <f>IF(NOT(AND($A327&lt;&gt;"",OR($G327="",$G327="Active"))),"",IF($K327&lt;&gt;"",IF($L327=$K327,"Booking",IF($M327=$K327,"16/40",IF($N327=$K327,"25/40",IF($Q327=$K327,"28/40",IF($R327=$K327,"31/40",IF($S327=$K327,"34/40",IF($T327=$K327,"36/40",IF($U327=$K327,"38/40",IF($V327=$K327,"40/40",""))))))))),IF(IF(OR(ISNUMBER($V327),$V327="DNA"),$V327,IF(OR(ISNUMBER($U327),$U327="DNA"),$U327,IF(OR(ISNUMBER($T327),$T327="DNA"),$T327,IF(OR(ISNUMBER($S327),$S327="DNA"),$S327,IF(OR(ISNUMBER($R327),$R327="DNA"),$R327,IF(OR(ISNUMBER($Q327),$Q327="DNA"),$Q327,IF(OR(ISNUMBER($N327),$N327="DNA"),$N327,IF(OR(ISNUMBER($M327),$M327="DNA"),$M327,IF(OR(ISNUMBER($L327),$L327="DNA"),$L327,"")))))))))="DNA","Rebook DNA",IF(ISNUMBER(IF(OR(ISNUMBER($V327),$V327="DNA"),$V327,IF(OR(ISNUMBER($U327),$U327="DNA"),$U327,IF(OR(ISNUMBER($T327),$T327="DNA"),$T327,IF(OR(ISNUMBER($S327),$S327="DNA"),$S327,IF(OR(ISNUMBER($R327),$R327="DNA"),$R327,IF(OR(ISNUMBER($Q327),$Q327="DNA"),$Q327,IF(OR(ISNUMBER($N327),$N327="DNA"),$N327,IF(OR(ISNUMBER($M327),$M327="DNA"),$M327,IF(OR(ISNUMBER($L327),$L327="DNA"),$L327,"")))))))))),IF(ISNUMBER($V327),"Update status","Missed/not booked?"),""))))</f>
        <v/>
      </c>
      <c r="K327" s="29">
        <f>IF(NOT(AND($A327&lt;&gt;"",OR($G327="",$G327="Active"))),"",IF(MIN(IF(AND(ISNUMBER($L327),$L327&gt;=TODAY()),$L327,99999),IF(AND(ISNUMBER($M327),$M327&gt;=TODAY()),$M327,99999),IF(AND(ISNUMBER($N327),$N327&gt;=TODAY()),$N327,99999),IF(AND(ISNUMBER($Q327),$Q327&gt;=TODAY()),$Q327,99999),IF(AND(ISNUMBER($R327),$R327&gt;=TODAY()),$R327,99999),IF(AND(ISNUMBER($S327),$S327&gt;=TODAY()),$S327,99999),IF(AND(ISNUMBER($T327),$T327&gt;=TODAY()),$T327,99999),IF(AND(ISNUMBER($U327),$U327&gt;=TODAY()),$U327,99999),IF(AND(ISNUMBER($V327),$V327&gt;=TODAY()),$V327,99999))=99999,"",MIN(IF(AND(ISNUMBER($L327),$L327&gt;=TODAY()),$L327,99999),IF(AND(ISNUMBER($M327),$M327&gt;=TODAY()),$M327,99999),IF(AND(ISNUMBER($N327),$N327&gt;=TODAY()),$N327,99999),IF(AND(ISNUMBER($Q327),$Q327&gt;=TODAY()),$Q327,99999),IF(AND(ISNUMBER($R327),$R327&gt;=TODAY()),$R327,99999),IF(AND(ISNUMBER($S327),$S327&gt;=TODAY()),$S327,99999),IF(AND(ISNUMBER($T327),$T327&gt;=TODAY()),$T327,99999),IF(AND(ISNUMBER($U327),$U327&gt;=TODAY()),$U327,99999),IF(AND(ISNUMBER($V327),$V327&gt;=TODAY()),$V327,99999))))</f>
        <v/>
      </c>
      <c r="L327" s="27" t="n"/>
      <c r="M327" s="27" t="n"/>
      <c r="N327" s="27" t="n"/>
      <c r="O327" s="27" t="n"/>
      <c r="P327" s="27" t="n"/>
      <c r="Q327" s="27" t="n"/>
      <c r="R327" s="27" t="n"/>
      <c r="S327" s="27" t="n"/>
      <c r="T327" s="27" t="n"/>
      <c r="U327" s="27" t="n"/>
      <c r="V327" s="27" t="n"/>
      <c r="W327" s="27" t="n"/>
      <c r="X327" s="27" t="n"/>
      <c r="Y327" s="27" t="n"/>
      <c r="Z327" s="30" t="n"/>
      <c r="AA327" s="25" t="n"/>
      <c r="AB327" s="28">
        <f>IF(NOT(AND($A327&lt;&gt;"",OR($G327="",$G327="Active"))),"",IF(OR(IF(OR(ISNUMBER($V327),$V327="DNA"),$V327,IF(OR(ISNUMBER($U327),$U327="DNA"),$U327,IF(OR(ISNUMBER($T327),$T327="DNA"),$T327,IF(OR(ISNUMBER($S327),$S327="DNA"),$S327,IF(OR(ISNUMBER($R327),$R327="DNA"),$R327,IF(OR(ISNUMBER($Q327),$Q327="DNA"),$Q327,IF(OR(ISNUMBER($N327),$N327="DNA"),$N327,IF(OR(ISNUMBER($M327),$M327="DNA"),$M327,IF(OR(ISNUMBER($L327),$L327="DNA"),$L327,"")))))))))="DNA",AND(ISNUMBER(IF(OR(ISNUMBER($V327),$V327="DNA"),$V327,IF(OR(ISNUMBER($U327),$U327="DNA"),$U327,IF(OR(ISNUMBER($T327),$T327="DNA"),$T327,IF(OR(ISNUMBER($S327),$S327="DNA"),$S327,IF(OR(ISNUMBER($R327),$R327="DNA"),$R327,IF(OR(ISNUMBER($Q327),$Q327="DNA"),$Q327,IF(OR(ISNUMBER($N327),$N327="DNA"),$N327,IF(OR(ISNUMBER($M327),$M327="DNA"),$M327,IF(OR(ISNUMBER($L327),$L327="DNA"),$L327,"")))))))))),IF(OR(ISNUMBER($V327),$V327="DNA"),$V327,IF(OR(ISNUMBER($U327),$U327="DNA"),$U327,IF(OR(ISNUMBER($T327),$T327="DNA"),$T327,IF(OR(ISNUMBER($S327),$S327="DNA"),$S327,IF(OR(ISNUMBER($R327),$R327="DNA"),$R327,IF(OR(ISNUMBER($Q327),$Q327="DNA"),$Q327,IF(OR(ISNUMBER($N327),$N327="DNA"),$N327,IF(OR(ISNUMBER($M327),$M327="DNA"),$M327,IF(OR(ISNUMBER($L327),$L327="DNA"),$L327,"")))))))))&lt;TODAY())),1,0)+ISNUMBER($O327)*($O327&lt;TODAY())+ISNUMBER($P327)*($P327&lt;TODAY())+ISNUMBER($X327)*($X327&lt;TODAY())+ISNUMBER($Y327)*($Y327&lt;TODAY()))</f>
        <v/>
      </c>
    </row>
    <row r="328">
      <c r="A328" s="25" t="n"/>
      <c r="B328" s="26" t="n"/>
      <c r="C328" s="27" t="n"/>
      <c r="D328" s="25" t="n"/>
      <c r="E328" s="25" t="n"/>
      <c r="F328" s="27" t="n"/>
      <c r="G328" s="25" t="n"/>
      <c r="H328" s="28">
        <f>IF(OR(NOT(AND($A328&lt;&gt;"",OR($G328="",$G328="Active"))),$F328=""),"",INT((TODAY()-$F328+280)/7)&amp;"+"&amp;MOD(TODAY()-$F328+280,7))</f>
        <v/>
      </c>
      <c r="I328" s="28">
        <f>IF(NOT(AND($A328&lt;&gt;"",OR($G328="",$G328="Active"))),"",ISNUMBER($L328)*($L328&gt;=TODAY())*($L328&lt;=TODAY()+7)+ISNUMBER($M328)*($M328&gt;=TODAY())*($M328&lt;=TODAY()+7)+ISNUMBER($N328)*($N328&gt;=TODAY())*($N328&lt;=TODAY()+7)+ISNUMBER($Q328)*($Q328&gt;=TODAY())*($Q328&lt;=TODAY()+7)+ISNUMBER($R328)*($R328&gt;=TODAY())*($R328&lt;=TODAY()+7)+ISNUMBER($S328)*($S328&gt;=TODAY())*($S328&lt;=TODAY()+7)+ISNUMBER($T328)*($T328&gt;=TODAY())*($T328&lt;=TODAY()+7)+ISNUMBER($U328)*($U328&gt;=TODAY())*($U328&lt;=TODAY()+7)+ISNUMBER($V328)*($V328&gt;=TODAY())*($V328&lt;=TODAY()+7)+ISNUMBER($O328)*($O328&gt;=TODAY())*($O328&lt;=TODAY()+7)+ISNUMBER($P328)*($P328&gt;=TODAY())*($P328&lt;=TODAY()+7)+ISNUMBER($X328)*($X328&gt;=TODAY())*($X328&lt;=TODAY()+7)+ISNUMBER($Y328)*($Y328&gt;=TODAY())*($Y328&lt;=TODAY()+7))</f>
        <v/>
      </c>
      <c r="J328" s="28">
        <f>IF(NOT(AND($A328&lt;&gt;"",OR($G328="",$G328="Active"))),"",IF($K328&lt;&gt;"",IF($L328=$K328,"Booking",IF($M328=$K328,"16/40",IF($N328=$K328,"25/40",IF($Q328=$K328,"28/40",IF($R328=$K328,"31/40",IF($S328=$K328,"34/40",IF($T328=$K328,"36/40",IF($U328=$K328,"38/40",IF($V328=$K328,"40/40",""))))))))),IF(IF(OR(ISNUMBER($V328),$V328="DNA"),$V328,IF(OR(ISNUMBER($U328),$U328="DNA"),$U328,IF(OR(ISNUMBER($T328),$T328="DNA"),$T328,IF(OR(ISNUMBER($S328),$S328="DNA"),$S328,IF(OR(ISNUMBER($R328),$R328="DNA"),$R328,IF(OR(ISNUMBER($Q328),$Q328="DNA"),$Q328,IF(OR(ISNUMBER($N328),$N328="DNA"),$N328,IF(OR(ISNUMBER($M328),$M328="DNA"),$M328,IF(OR(ISNUMBER($L328),$L328="DNA"),$L328,"")))))))))="DNA","Rebook DNA",IF(ISNUMBER(IF(OR(ISNUMBER($V328),$V328="DNA"),$V328,IF(OR(ISNUMBER($U328),$U328="DNA"),$U328,IF(OR(ISNUMBER($T328),$T328="DNA"),$T328,IF(OR(ISNUMBER($S328),$S328="DNA"),$S328,IF(OR(ISNUMBER($R328),$R328="DNA"),$R328,IF(OR(ISNUMBER($Q328),$Q328="DNA"),$Q328,IF(OR(ISNUMBER($N328),$N328="DNA"),$N328,IF(OR(ISNUMBER($M328),$M328="DNA"),$M328,IF(OR(ISNUMBER($L328),$L328="DNA"),$L328,"")))))))))),IF(ISNUMBER($V328),"Update status","Missed/not booked?"),""))))</f>
        <v/>
      </c>
      <c r="K328" s="29">
        <f>IF(NOT(AND($A328&lt;&gt;"",OR($G328="",$G328="Active"))),"",IF(MIN(IF(AND(ISNUMBER($L328),$L328&gt;=TODAY()),$L328,99999),IF(AND(ISNUMBER($M328),$M328&gt;=TODAY()),$M328,99999),IF(AND(ISNUMBER($N328),$N328&gt;=TODAY()),$N328,99999),IF(AND(ISNUMBER($Q328),$Q328&gt;=TODAY()),$Q328,99999),IF(AND(ISNUMBER($R328),$R328&gt;=TODAY()),$R328,99999),IF(AND(ISNUMBER($S328),$S328&gt;=TODAY()),$S328,99999),IF(AND(ISNUMBER($T328),$T328&gt;=TODAY()),$T328,99999),IF(AND(ISNUMBER($U328),$U328&gt;=TODAY()),$U328,99999),IF(AND(ISNUMBER($V328),$V328&gt;=TODAY()),$V328,99999))=99999,"",MIN(IF(AND(ISNUMBER($L328),$L328&gt;=TODAY()),$L328,99999),IF(AND(ISNUMBER($M328),$M328&gt;=TODAY()),$M328,99999),IF(AND(ISNUMBER($N328),$N328&gt;=TODAY()),$N328,99999),IF(AND(ISNUMBER($Q328),$Q328&gt;=TODAY()),$Q328,99999),IF(AND(ISNUMBER($R328),$R328&gt;=TODAY()),$R328,99999),IF(AND(ISNUMBER($S328),$S328&gt;=TODAY()),$S328,99999),IF(AND(ISNUMBER($T328),$T328&gt;=TODAY()),$T328,99999),IF(AND(ISNUMBER($U328),$U328&gt;=TODAY()),$U328,99999),IF(AND(ISNUMBER($V328),$V328&gt;=TODAY()),$V328,99999))))</f>
        <v/>
      </c>
      <c r="L328" s="27" t="n"/>
      <c r="M328" s="27" t="n"/>
      <c r="N328" s="27" t="n"/>
      <c r="O328" s="27" t="n"/>
      <c r="P328" s="27" t="n"/>
      <c r="Q328" s="27" t="n"/>
      <c r="R328" s="27" t="n"/>
      <c r="S328" s="27" t="n"/>
      <c r="T328" s="27" t="n"/>
      <c r="U328" s="27" t="n"/>
      <c r="V328" s="27" t="n"/>
      <c r="W328" s="27" t="n"/>
      <c r="X328" s="27" t="n"/>
      <c r="Y328" s="27" t="n"/>
      <c r="Z328" s="30" t="n"/>
      <c r="AA328" s="25" t="n"/>
      <c r="AB328" s="28">
        <f>IF(NOT(AND($A328&lt;&gt;"",OR($G328="",$G328="Active"))),"",IF(OR(IF(OR(ISNUMBER($V328),$V328="DNA"),$V328,IF(OR(ISNUMBER($U328),$U328="DNA"),$U328,IF(OR(ISNUMBER($T328),$T328="DNA"),$T328,IF(OR(ISNUMBER($S328),$S328="DNA"),$S328,IF(OR(ISNUMBER($R328),$R328="DNA"),$R328,IF(OR(ISNUMBER($Q328),$Q328="DNA"),$Q328,IF(OR(ISNUMBER($N328),$N328="DNA"),$N328,IF(OR(ISNUMBER($M328),$M328="DNA"),$M328,IF(OR(ISNUMBER($L328),$L328="DNA"),$L328,"")))))))))="DNA",AND(ISNUMBER(IF(OR(ISNUMBER($V328),$V328="DNA"),$V328,IF(OR(ISNUMBER($U328),$U328="DNA"),$U328,IF(OR(ISNUMBER($T328),$T328="DNA"),$T328,IF(OR(ISNUMBER($S328),$S328="DNA"),$S328,IF(OR(ISNUMBER($R328),$R328="DNA"),$R328,IF(OR(ISNUMBER($Q328),$Q328="DNA"),$Q328,IF(OR(ISNUMBER($N328),$N328="DNA"),$N328,IF(OR(ISNUMBER($M328),$M328="DNA"),$M328,IF(OR(ISNUMBER($L328),$L328="DNA"),$L328,"")))))))))),IF(OR(ISNUMBER($V328),$V328="DNA"),$V328,IF(OR(ISNUMBER($U328),$U328="DNA"),$U328,IF(OR(ISNUMBER($T328),$T328="DNA"),$T328,IF(OR(ISNUMBER($S328),$S328="DNA"),$S328,IF(OR(ISNUMBER($R328),$R328="DNA"),$R328,IF(OR(ISNUMBER($Q328),$Q328="DNA"),$Q328,IF(OR(ISNUMBER($N328),$N328="DNA"),$N328,IF(OR(ISNUMBER($M328),$M328="DNA"),$M328,IF(OR(ISNUMBER($L328),$L328="DNA"),$L328,"")))))))))&lt;TODAY())),1,0)+ISNUMBER($O328)*($O328&lt;TODAY())+ISNUMBER($P328)*($P328&lt;TODAY())+ISNUMBER($X328)*($X328&lt;TODAY())+ISNUMBER($Y328)*($Y328&lt;TODAY()))</f>
        <v/>
      </c>
    </row>
    <row r="329">
      <c r="A329" s="25" t="n"/>
      <c r="B329" s="26" t="n"/>
      <c r="C329" s="27" t="n"/>
      <c r="D329" s="25" t="n"/>
      <c r="E329" s="25" t="n"/>
      <c r="F329" s="27" t="n"/>
      <c r="G329" s="25" t="n"/>
      <c r="H329" s="28">
        <f>IF(OR(NOT(AND($A329&lt;&gt;"",OR($G329="",$G329="Active"))),$F329=""),"",INT((TODAY()-$F329+280)/7)&amp;"+"&amp;MOD(TODAY()-$F329+280,7))</f>
        <v/>
      </c>
      <c r="I329" s="28">
        <f>IF(NOT(AND($A329&lt;&gt;"",OR($G329="",$G329="Active"))),"",ISNUMBER($L329)*($L329&gt;=TODAY())*($L329&lt;=TODAY()+7)+ISNUMBER($M329)*($M329&gt;=TODAY())*($M329&lt;=TODAY()+7)+ISNUMBER($N329)*($N329&gt;=TODAY())*($N329&lt;=TODAY()+7)+ISNUMBER($Q329)*($Q329&gt;=TODAY())*($Q329&lt;=TODAY()+7)+ISNUMBER($R329)*($R329&gt;=TODAY())*($R329&lt;=TODAY()+7)+ISNUMBER($S329)*($S329&gt;=TODAY())*($S329&lt;=TODAY()+7)+ISNUMBER($T329)*($T329&gt;=TODAY())*($T329&lt;=TODAY()+7)+ISNUMBER($U329)*($U329&gt;=TODAY())*($U329&lt;=TODAY()+7)+ISNUMBER($V329)*($V329&gt;=TODAY())*($V329&lt;=TODAY()+7)+ISNUMBER($O329)*($O329&gt;=TODAY())*($O329&lt;=TODAY()+7)+ISNUMBER($P329)*($P329&gt;=TODAY())*($P329&lt;=TODAY()+7)+ISNUMBER($X329)*($X329&gt;=TODAY())*($X329&lt;=TODAY()+7)+ISNUMBER($Y329)*($Y329&gt;=TODAY())*($Y329&lt;=TODAY()+7))</f>
        <v/>
      </c>
      <c r="J329" s="28">
        <f>IF(NOT(AND($A329&lt;&gt;"",OR($G329="",$G329="Active"))),"",IF($K329&lt;&gt;"",IF($L329=$K329,"Booking",IF($M329=$K329,"16/40",IF($N329=$K329,"25/40",IF($Q329=$K329,"28/40",IF($R329=$K329,"31/40",IF($S329=$K329,"34/40",IF($T329=$K329,"36/40",IF($U329=$K329,"38/40",IF($V329=$K329,"40/40",""))))))))),IF(IF(OR(ISNUMBER($V329),$V329="DNA"),$V329,IF(OR(ISNUMBER($U329),$U329="DNA"),$U329,IF(OR(ISNUMBER($T329),$T329="DNA"),$T329,IF(OR(ISNUMBER($S329),$S329="DNA"),$S329,IF(OR(ISNUMBER($R329),$R329="DNA"),$R329,IF(OR(ISNUMBER($Q329),$Q329="DNA"),$Q329,IF(OR(ISNUMBER($N329),$N329="DNA"),$N329,IF(OR(ISNUMBER($M329),$M329="DNA"),$M329,IF(OR(ISNUMBER($L329),$L329="DNA"),$L329,"")))))))))="DNA","Rebook DNA",IF(ISNUMBER(IF(OR(ISNUMBER($V329),$V329="DNA"),$V329,IF(OR(ISNUMBER($U329),$U329="DNA"),$U329,IF(OR(ISNUMBER($T329),$T329="DNA"),$T329,IF(OR(ISNUMBER($S329),$S329="DNA"),$S329,IF(OR(ISNUMBER($R329),$R329="DNA"),$R329,IF(OR(ISNUMBER($Q329),$Q329="DNA"),$Q329,IF(OR(ISNUMBER($N329),$N329="DNA"),$N329,IF(OR(ISNUMBER($M329),$M329="DNA"),$M329,IF(OR(ISNUMBER($L329),$L329="DNA"),$L329,"")))))))))),IF(ISNUMBER($V329),"Update status","Missed/not booked?"),""))))</f>
        <v/>
      </c>
      <c r="K329" s="29">
        <f>IF(NOT(AND($A329&lt;&gt;"",OR($G329="",$G329="Active"))),"",IF(MIN(IF(AND(ISNUMBER($L329),$L329&gt;=TODAY()),$L329,99999),IF(AND(ISNUMBER($M329),$M329&gt;=TODAY()),$M329,99999),IF(AND(ISNUMBER($N329),$N329&gt;=TODAY()),$N329,99999),IF(AND(ISNUMBER($Q329),$Q329&gt;=TODAY()),$Q329,99999),IF(AND(ISNUMBER($R329),$R329&gt;=TODAY()),$R329,99999),IF(AND(ISNUMBER($S329),$S329&gt;=TODAY()),$S329,99999),IF(AND(ISNUMBER($T329),$T329&gt;=TODAY()),$T329,99999),IF(AND(ISNUMBER($U329),$U329&gt;=TODAY()),$U329,99999),IF(AND(ISNUMBER($V329),$V329&gt;=TODAY()),$V329,99999))=99999,"",MIN(IF(AND(ISNUMBER($L329),$L329&gt;=TODAY()),$L329,99999),IF(AND(ISNUMBER($M329),$M329&gt;=TODAY()),$M329,99999),IF(AND(ISNUMBER($N329),$N329&gt;=TODAY()),$N329,99999),IF(AND(ISNUMBER($Q329),$Q329&gt;=TODAY()),$Q329,99999),IF(AND(ISNUMBER($R329),$R329&gt;=TODAY()),$R329,99999),IF(AND(ISNUMBER($S329),$S329&gt;=TODAY()),$S329,99999),IF(AND(ISNUMBER($T329),$T329&gt;=TODAY()),$T329,99999),IF(AND(ISNUMBER($U329),$U329&gt;=TODAY()),$U329,99999),IF(AND(ISNUMBER($V329),$V329&gt;=TODAY()),$V329,99999))))</f>
        <v/>
      </c>
      <c r="L329" s="27" t="n"/>
      <c r="M329" s="27" t="n"/>
      <c r="N329" s="27" t="n"/>
      <c r="O329" s="27" t="n"/>
      <c r="P329" s="27" t="n"/>
      <c r="Q329" s="27" t="n"/>
      <c r="R329" s="27" t="n"/>
      <c r="S329" s="27" t="n"/>
      <c r="T329" s="27" t="n"/>
      <c r="U329" s="27" t="n"/>
      <c r="V329" s="27" t="n"/>
      <c r="W329" s="27" t="n"/>
      <c r="X329" s="27" t="n"/>
      <c r="Y329" s="27" t="n"/>
      <c r="Z329" s="30" t="n"/>
      <c r="AA329" s="25" t="n"/>
      <c r="AB329" s="28">
        <f>IF(NOT(AND($A329&lt;&gt;"",OR($G329="",$G329="Active"))),"",IF(OR(IF(OR(ISNUMBER($V329),$V329="DNA"),$V329,IF(OR(ISNUMBER($U329),$U329="DNA"),$U329,IF(OR(ISNUMBER($T329),$T329="DNA"),$T329,IF(OR(ISNUMBER($S329),$S329="DNA"),$S329,IF(OR(ISNUMBER($R329),$R329="DNA"),$R329,IF(OR(ISNUMBER($Q329),$Q329="DNA"),$Q329,IF(OR(ISNUMBER($N329),$N329="DNA"),$N329,IF(OR(ISNUMBER($M329),$M329="DNA"),$M329,IF(OR(ISNUMBER($L329),$L329="DNA"),$L329,"")))))))))="DNA",AND(ISNUMBER(IF(OR(ISNUMBER($V329),$V329="DNA"),$V329,IF(OR(ISNUMBER($U329),$U329="DNA"),$U329,IF(OR(ISNUMBER($T329),$T329="DNA"),$T329,IF(OR(ISNUMBER($S329),$S329="DNA"),$S329,IF(OR(ISNUMBER($R329),$R329="DNA"),$R329,IF(OR(ISNUMBER($Q329),$Q329="DNA"),$Q329,IF(OR(ISNUMBER($N329),$N329="DNA"),$N329,IF(OR(ISNUMBER($M329),$M329="DNA"),$M329,IF(OR(ISNUMBER($L329),$L329="DNA"),$L329,"")))))))))),IF(OR(ISNUMBER($V329),$V329="DNA"),$V329,IF(OR(ISNUMBER($U329),$U329="DNA"),$U329,IF(OR(ISNUMBER($T329),$T329="DNA"),$T329,IF(OR(ISNUMBER($S329),$S329="DNA"),$S329,IF(OR(ISNUMBER($R329),$R329="DNA"),$R329,IF(OR(ISNUMBER($Q329),$Q329="DNA"),$Q329,IF(OR(ISNUMBER($N329),$N329="DNA"),$N329,IF(OR(ISNUMBER($M329),$M329="DNA"),$M329,IF(OR(ISNUMBER($L329),$L329="DNA"),$L329,"")))))))))&lt;TODAY())),1,0)+ISNUMBER($O329)*($O329&lt;TODAY())+ISNUMBER($P329)*($P329&lt;TODAY())+ISNUMBER($X329)*($X329&lt;TODAY())+ISNUMBER($Y329)*($Y329&lt;TODAY()))</f>
        <v/>
      </c>
    </row>
    <row r="330">
      <c r="A330" s="25" t="n"/>
      <c r="B330" s="26" t="n"/>
      <c r="C330" s="27" t="n"/>
      <c r="D330" s="25" t="n"/>
      <c r="E330" s="25" t="n"/>
      <c r="F330" s="27" t="n"/>
      <c r="G330" s="25" t="n"/>
      <c r="H330" s="28">
        <f>IF(OR(NOT(AND($A330&lt;&gt;"",OR($G330="",$G330="Active"))),$F330=""),"",INT((TODAY()-$F330+280)/7)&amp;"+"&amp;MOD(TODAY()-$F330+280,7))</f>
        <v/>
      </c>
      <c r="I330" s="28">
        <f>IF(NOT(AND($A330&lt;&gt;"",OR($G330="",$G330="Active"))),"",ISNUMBER($L330)*($L330&gt;=TODAY())*($L330&lt;=TODAY()+7)+ISNUMBER($M330)*($M330&gt;=TODAY())*($M330&lt;=TODAY()+7)+ISNUMBER($N330)*($N330&gt;=TODAY())*($N330&lt;=TODAY()+7)+ISNUMBER($Q330)*($Q330&gt;=TODAY())*($Q330&lt;=TODAY()+7)+ISNUMBER($R330)*($R330&gt;=TODAY())*($R330&lt;=TODAY()+7)+ISNUMBER($S330)*($S330&gt;=TODAY())*($S330&lt;=TODAY()+7)+ISNUMBER($T330)*($T330&gt;=TODAY())*($T330&lt;=TODAY()+7)+ISNUMBER($U330)*($U330&gt;=TODAY())*($U330&lt;=TODAY()+7)+ISNUMBER($V330)*($V330&gt;=TODAY())*($V330&lt;=TODAY()+7)+ISNUMBER($O330)*($O330&gt;=TODAY())*($O330&lt;=TODAY()+7)+ISNUMBER($P330)*($P330&gt;=TODAY())*($P330&lt;=TODAY()+7)+ISNUMBER($X330)*($X330&gt;=TODAY())*($X330&lt;=TODAY()+7)+ISNUMBER($Y330)*($Y330&gt;=TODAY())*($Y330&lt;=TODAY()+7))</f>
        <v/>
      </c>
      <c r="J330" s="28">
        <f>IF(NOT(AND($A330&lt;&gt;"",OR($G330="",$G330="Active"))),"",IF($K330&lt;&gt;"",IF($L330=$K330,"Booking",IF($M330=$K330,"16/40",IF($N330=$K330,"25/40",IF($Q330=$K330,"28/40",IF($R330=$K330,"31/40",IF($S330=$K330,"34/40",IF($T330=$K330,"36/40",IF($U330=$K330,"38/40",IF($V330=$K330,"40/40",""))))))))),IF(IF(OR(ISNUMBER($V330),$V330="DNA"),$V330,IF(OR(ISNUMBER($U330),$U330="DNA"),$U330,IF(OR(ISNUMBER($T330),$T330="DNA"),$T330,IF(OR(ISNUMBER($S330),$S330="DNA"),$S330,IF(OR(ISNUMBER($R330),$R330="DNA"),$R330,IF(OR(ISNUMBER($Q330),$Q330="DNA"),$Q330,IF(OR(ISNUMBER($N330),$N330="DNA"),$N330,IF(OR(ISNUMBER($M330),$M330="DNA"),$M330,IF(OR(ISNUMBER($L330),$L330="DNA"),$L330,"")))))))))="DNA","Rebook DNA",IF(ISNUMBER(IF(OR(ISNUMBER($V330),$V330="DNA"),$V330,IF(OR(ISNUMBER($U330),$U330="DNA"),$U330,IF(OR(ISNUMBER($T330),$T330="DNA"),$T330,IF(OR(ISNUMBER($S330),$S330="DNA"),$S330,IF(OR(ISNUMBER($R330),$R330="DNA"),$R330,IF(OR(ISNUMBER($Q330),$Q330="DNA"),$Q330,IF(OR(ISNUMBER($N330),$N330="DNA"),$N330,IF(OR(ISNUMBER($M330),$M330="DNA"),$M330,IF(OR(ISNUMBER($L330),$L330="DNA"),$L330,"")))))))))),IF(ISNUMBER($V330),"Update status","Missed/not booked?"),""))))</f>
        <v/>
      </c>
      <c r="K330" s="29">
        <f>IF(NOT(AND($A330&lt;&gt;"",OR($G330="",$G330="Active"))),"",IF(MIN(IF(AND(ISNUMBER($L330),$L330&gt;=TODAY()),$L330,99999),IF(AND(ISNUMBER($M330),$M330&gt;=TODAY()),$M330,99999),IF(AND(ISNUMBER($N330),$N330&gt;=TODAY()),$N330,99999),IF(AND(ISNUMBER($Q330),$Q330&gt;=TODAY()),$Q330,99999),IF(AND(ISNUMBER($R330),$R330&gt;=TODAY()),$R330,99999),IF(AND(ISNUMBER($S330),$S330&gt;=TODAY()),$S330,99999),IF(AND(ISNUMBER($T330),$T330&gt;=TODAY()),$T330,99999),IF(AND(ISNUMBER($U330),$U330&gt;=TODAY()),$U330,99999),IF(AND(ISNUMBER($V330),$V330&gt;=TODAY()),$V330,99999))=99999,"",MIN(IF(AND(ISNUMBER($L330),$L330&gt;=TODAY()),$L330,99999),IF(AND(ISNUMBER($M330),$M330&gt;=TODAY()),$M330,99999),IF(AND(ISNUMBER($N330),$N330&gt;=TODAY()),$N330,99999),IF(AND(ISNUMBER($Q330),$Q330&gt;=TODAY()),$Q330,99999),IF(AND(ISNUMBER($R330),$R330&gt;=TODAY()),$R330,99999),IF(AND(ISNUMBER($S330),$S330&gt;=TODAY()),$S330,99999),IF(AND(ISNUMBER($T330),$T330&gt;=TODAY()),$T330,99999),IF(AND(ISNUMBER($U330),$U330&gt;=TODAY()),$U330,99999),IF(AND(ISNUMBER($V330),$V330&gt;=TODAY()),$V330,99999))))</f>
        <v/>
      </c>
      <c r="L330" s="27" t="n"/>
      <c r="M330" s="27" t="n"/>
      <c r="N330" s="27" t="n"/>
      <c r="O330" s="27" t="n"/>
      <c r="P330" s="27" t="n"/>
      <c r="Q330" s="27" t="n"/>
      <c r="R330" s="27" t="n"/>
      <c r="S330" s="27" t="n"/>
      <c r="T330" s="27" t="n"/>
      <c r="U330" s="27" t="n"/>
      <c r="V330" s="27" t="n"/>
      <c r="W330" s="27" t="n"/>
      <c r="X330" s="27" t="n"/>
      <c r="Y330" s="27" t="n"/>
      <c r="Z330" s="30" t="n"/>
      <c r="AA330" s="25" t="n"/>
      <c r="AB330" s="28">
        <f>IF(NOT(AND($A330&lt;&gt;"",OR($G330="",$G330="Active"))),"",IF(OR(IF(OR(ISNUMBER($V330),$V330="DNA"),$V330,IF(OR(ISNUMBER($U330),$U330="DNA"),$U330,IF(OR(ISNUMBER($T330),$T330="DNA"),$T330,IF(OR(ISNUMBER($S330),$S330="DNA"),$S330,IF(OR(ISNUMBER($R330),$R330="DNA"),$R330,IF(OR(ISNUMBER($Q330),$Q330="DNA"),$Q330,IF(OR(ISNUMBER($N330),$N330="DNA"),$N330,IF(OR(ISNUMBER($M330),$M330="DNA"),$M330,IF(OR(ISNUMBER($L330),$L330="DNA"),$L330,"")))))))))="DNA",AND(ISNUMBER(IF(OR(ISNUMBER($V330),$V330="DNA"),$V330,IF(OR(ISNUMBER($U330),$U330="DNA"),$U330,IF(OR(ISNUMBER($T330),$T330="DNA"),$T330,IF(OR(ISNUMBER($S330),$S330="DNA"),$S330,IF(OR(ISNUMBER($R330),$R330="DNA"),$R330,IF(OR(ISNUMBER($Q330),$Q330="DNA"),$Q330,IF(OR(ISNUMBER($N330),$N330="DNA"),$N330,IF(OR(ISNUMBER($M330),$M330="DNA"),$M330,IF(OR(ISNUMBER($L330),$L330="DNA"),$L330,"")))))))))),IF(OR(ISNUMBER($V330),$V330="DNA"),$V330,IF(OR(ISNUMBER($U330),$U330="DNA"),$U330,IF(OR(ISNUMBER($T330),$T330="DNA"),$T330,IF(OR(ISNUMBER($S330),$S330="DNA"),$S330,IF(OR(ISNUMBER($R330),$R330="DNA"),$R330,IF(OR(ISNUMBER($Q330),$Q330="DNA"),$Q330,IF(OR(ISNUMBER($N330),$N330="DNA"),$N330,IF(OR(ISNUMBER($M330),$M330="DNA"),$M330,IF(OR(ISNUMBER($L330),$L330="DNA"),$L330,"")))))))))&lt;TODAY())),1,0)+ISNUMBER($O330)*($O330&lt;TODAY())+ISNUMBER($P330)*($P330&lt;TODAY())+ISNUMBER($X330)*($X330&lt;TODAY())+ISNUMBER($Y330)*($Y330&lt;TODAY()))</f>
        <v/>
      </c>
    </row>
    <row r="331">
      <c r="A331" s="25" t="n"/>
      <c r="B331" s="26" t="n"/>
      <c r="C331" s="27" t="n"/>
      <c r="D331" s="25" t="n"/>
      <c r="E331" s="25" t="n"/>
      <c r="F331" s="27" t="n"/>
      <c r="G331" s="25" t="n"/>
      <c r="H331" s="28">
        <f>IF(OR(NOT(AND($A331&lt;&gt;"",OR($G331="",$G331="Active"))),$F331=""),"",INT((TODAY()-$F331+280)/7)&amp;"+"&amp;MOD(TODAY()-$F331+280,7))</f>
        <v/>
      </c>
      <c r="I331" s="28">
        <f>IF(NOT(AND($A331&lt;&gt;"",OR($G331="",$G331="Active"))),"",ISNUMBER($L331)*($L331&gt;=TODAY())*($L331&lt;=TODAY()+7)+ISNUMBER($M331)*($M331&gt;=TODAY())*($M331&lt;=TODAY()+7)+ISNUMBER($N331)*($N331&gt;=TODAY())*($N331&lt;=TODAY()+7)+ISNUMBER($Q331)*($Q331&gt;=TODAY())*($Q331&lt;=TODAY()+7)+ISNUMBER($R331)*($R331&gt;=TODAY())*($R331&lt;=TODAY()+7)+ISNUMBER($S331)*($S331&gt;=TODAY())*($S331&lt;=TODAY()+7)+ISNUMBER($T331)*($T331&gt;=TODAY())*($T331&lt;=TODAY()+7)+ISNUMBER($U331)*($U331&gt;=TODAY())*($U331&lt;=TODAY()+7)+ISNUMBER($V331)*($V331&gt;=TODAY())*($V331&lt;=TODAY()+7)+ISNUMBER($O331)*($O331&gt;=TODAY())*($O331&lt;=TODAY()+7)+ISNUMBER($P331)*($P331&gt;=TODAY())*($P331&lt;=TODAY()+7)+ISNUMBER($X331)*($X331&gt;=TODAY())*($X331&lt;=TODAY()+7)+ISNUMBER($Y331)*($Y331&gt;=TODAY())*($Y331&lt;=TODAY()+7))</f>
        <v/>
      </c>
      <c r="J331" s="28">
        <f>IF(NOT(AND($A331&lt;&gt;"",OR($G331="",$G331="Active"))),"",IF($K331&lt;&gt;"",IF($L331=$K331,"Booking",IF($M331=$K331,"16/40",IF($N331=$K331,"25/40",IF($Q331=$K331,"28/40",IF($R331=$K331,"31/40",IF($S331=$K331,"34/40",IF($T331=$K331,"36/40",IF($U331=$K331,"38/40",IF($V331=$K331,"40/40",""))))))))),IF(IF(OR(ISNUMBER($V331),$V331="DNA"),$V331,IF(OR(ISNUMBER($U331),$U331="DNA"),$U331,IF(OR(ISNUMBER($T331),$T331="DNA"),$T331,IF(OR(ISNUMBER($S331),$S331="DNA"),$S331,IF(OR(ISNUMBER($R331),$R331="DNA"),$R331,IF(OR(ISNUMBER($Q331),$Q331="DNA"),$Q331,IF(OR(ISNUMBER($N331),$N331="DNA"),$N331,IF(OR(ISNUMBER($M331),$M331="DNA"),$M331,IF(OR(ISNUMBER($L331),$L331="DNA"),$L331,"")))))))))="DNA","Rebook DNA",IF(ISNUMBER(IF(OR(ISNUMBER($V331),$V331="DNA"),$V331,IF(OR(ISNUMBER($U331),$U331="DNA"),$U331,IF(OR(ISNUMBER($T331),$T331="DNA"),$T331,IF(OR(ISNUMBER($S331),$S331="DNA"),$S331,IF(OR(ISNUMBER($R331),$R331="DNA"),$R331,IF(OR(ISNUMBER($Q331),$Q331="DNA"),$Q331,IF(OR(ISNUMBER($N331),$N331="DNA"),$N331,IF(OR(ISNUMBER($M331),$M331="DNA"),$M331,IF(OR(ISNUMBER($L331),$L331="DNA"),$L331,"")))))))))),IF(ISNUMBER($V331),"Update status","Missed/not booked?"),""))))</f>
        <v/>
      </c>
      <c r="K331" s="29">
        <f>IF(NOT(AND($A331&lt;&gt;"",OR($G331="",$G331="Active"))),"",IF(MIN(IF(AND(ISNUMBER($L331),$L331&gt;=TODAY()),$L331,99999),IF(AND(ISNUMBER($M331),$M331&gt;=TODAY()),$M331,99999),IF(AND(ISNUMBER($N331),$N331&gt;=TODAY()),$N331,99999),IF(AND(ISNUMBER($Q331),$Q331&gt;=TODAY()),$Q331,99999),IF(AND(ISNUMBER($R331),$R331&gt;=TODAY()),$R331,99999),IF(AND(ISNUMBER($S331),$S331&gt;=TODAY()),$S331,99999),IF(AND(ISNUMBER($T331),$T331&gt;=TODAY()),$T331,99999),IF(AND(ISNUMBER($U331),$U331&gt;=TODAY()),$U331,99999),IF(AND(ISNUMBER($V331),$V331&gt;=TODAY()),$V331,99999))=99999,"",MIN(IF(AND(ISNUMBER($L331),$L331&gt;=TODAY()),$L331,99999),IF(AND(ISNUMBER($M331),$M331&gt;=TODAY()),$M331,99999),IF(AND(ISNUMBER($N331),$N331&gt;=TODAY()),$N331,99999),IF(AND(ISNUMBER($Q331),$Q331&gt;=TODAY()),$Q331,99999),IF(AND(ISNUMBER($R331),$R331&gt;=TODAY()),$R331,99999),IF(AND(ISNUMBER($S331),$S331&gt;=TODAY()),$S331,99999),IF(AND(ISNUMBER($T331),$T331&gt;=TODAY()),$T331,99999),IF(AND(ISNUMBER($U331),$U331&gt;=TODAY()),$U331,99999),IF(AND(ISNUMBER($V331),$V331&gt;=TODAY()),$V331,99999))))</f>
        <v/>
      </c>
      <c r="L331" s="27" t="n"/>
      <c r="M331" s="27" t="n"/>
      <c r="N331" s="27" t="n"/>
      <c r="O331" s="27" t="n"/>
      <c r="P331" s="27" t="n"/>
      <c r="Q331" s="27" t="n"/>
      <c r="R331" s="27" t="n"/>
      <c r="S331" s="27" t="n"/>
      <c r="T331" s="27" t="n"/>
      <c r="U331" s="27" t="n"/>
      <c r="V331" s="27" t="n"/>
      <c r="W331" s="27" t="n"/>
      <c r="X331" s="27" t="n"/>
      <c r="Y331" s="27" t="n"/>
      <c r="Z331" s="30" t="n"/>
      <c r="AA331" s="25" t="n"/>
      <c r="AB331" s="28">
        <f>IF(NOT(AND($A331&lt;&gt;"",OR($G331="",$G331="Active"))),"",IF(OR(IF(OR(ISNUMBER($V331),$V331="DNA"),$V331,IF(OR(ISNUMBER($U331),$U331="DNA"),$U331,IF(OR(ISNUMBER($T331),$T331="DNA"),$T331,IF(OR(ISNUMBER($S331),$S331="DNA"),$S331,IF(OR(ISNUMBER($R331),$R331="DNA"),$R331,IF(OR(ISNUMBER($Q331),$Q331="DNA"),$Q331,IF(OR(ISNUMBER($N331),$N331="DNA"),$N331,IF(OR(ISNUMBER($M331),$M331="DNA"),$M331,IF(OR(ISNUMBER($L331),$L331="DNA"),$L331,"")))))))))="DNA",AND(ISNUMBER(IF(OR(ISNUMBER($V331),$V331="DNA"),$V331,IF(OR(ISNUMBER($U331),$U331="DNA"),$U331,IF(OR(ISNUMBER($T331),$T331="DNA"),$T331,IF(OR(ISNUMBER($S331),$S331="DNA"),$S331,IF(OR(ISNUMBER($R331),$R331="DNA"),$R331,IF(OR(ISNUMBER($Q331),$Q331="DNA"),$Q331,IF(OR(ISNUMBER($N331),$N331="DNA"),$N331,IF(OR(ISNUMBER($M331),$M331="DNA"),$M331,IF(OR(ISNUMBER($L331),$L331="DNA"),$L331,"")))))))))),IF(OR(ISNUMBER($V331),$V331="DNA"),$V331,IF(OR(ISNUMBER($U331),$U331="DNA"),$U331,IF(OR(ISNUMBER($T331),$T331="DNA"),$T331,IF(OR(ISNUMBER($S331),$S331="DNA"),$S331,IF(OR(ISNUMBER($R331),$R331="DNA"),$R331,IF(OR(ISNUMBER($Q331),$Q331="DNA"),$Q331,IF(OR(ISNUMBER($N331),$N331="DNA"),$N331,IF(OR(ISNUMBER($M331),$M331="DNA"),$M331,IF(OR(ISNUMBER($L331),$L331="DNA"),$L331,"")))))))))&lt;TODAY())),1,0)+ISNUMBER($O331)*($O331&lt;TODAY())+ISNUMBER($P331)*($P331&lt;TODAY())+ISNUMBER($X331)*($X331&lt;TODAY())+ISNUMBER($Y331)*($Y331&lt;TODAY()))</f>
        <v/>
      </c>
    </row>
    <row r="332">
      <c r="A332" s="25" t="n"/>
      <c r="B332" s="26" t="n"/>
      <c r="C332" s="27" t="n"/>
      <c r="D332" s="25" t="n"/>
      <c r="E332" s="25" t="n"/>
      <c r="F332" s="27" t="n"/>
      <c r="G332" s="25" t="n"/>
      <c r="H332" s="28">
        <f>IF(OR(NOT(AND($A332&lt;&gt;"",OR($G332="",$G332="Active"))),$F332=""),"",INT((TODAY()-$F332+280)/7)&amp;"+"&amp;MOD(TODAY()-$F332+280,7))</f>
        <v/>
      </c>
      <c r="I332" s="28">
        <f>IF(NOT(AND($A332&lt;&gt;"",OR($G332="",$G332="Active"))),"",ISNUMBER($L332)*($L332&gt;=TODAY())*($L332&lt;=TODAY()+7)+ISNUMBER($M332)*($M332&gt;=TODAY())*($M332&lt;=TODAY()+7)+ISNUMBER($N332)*($N332&gt;=TODAY())*($N332&lt;=TODAY()+7)+ISNUMBER($Q332)*($Q332&gt;=TODAY())*($Q332&lt;=TODAY()+7)+ISNUMBER($R332)*($R332&gt;=TODAY())*($R332&lt;=TODAY()+7)+ISNUMBER($S332)*($S332&gt;=TODAY())*($S332&lt;=TODAY()+7)+ISNUMBER($T332)*($T332&gt;=TODAY())*($T332&lt;=TODAY()+7)+ISNUMBER($U332)*($U332&gt;=TODAY())*($U332&lt;=TODAY()+7)+ISNUMBER($V332)*($V332&gt;=TODAY())*($V332&lt;=TODAY()+7)+ISNUMBER($O332)*($O332&gt;=TODAY())*($O332&lt;=TODAY()+7)+ISNUMBER($P332)*($P332&gt;=TODAY())*($P332&lt;=TODAY()+7)+ISNUMBER($X332)*($X332&gt;=TODAY())*($X332&lt;=TODAY()+7)+ISNUMBER($Y332)*($Y332&gt;=TODAY())*($Y332&lt;=TODAY()+7))</f>
        <v/>
      </c>
      <c r="J332" s="28">
        <f>IF(NOT(AND($A332&lt;&gt;"",OR($G332="",$G332="Active"))),"",IF($K332&lt;&gt;"",IF($L332=$K332,"Booking",IF($M332=$K332,"16/40",IF($N332=$K332,"25/40",IF($Q332=$K332,"28/40",IF($R332=$K332,"31/40",IF($S332=$K332,"34/40",IF($T332=$K332,"36/40",IF($U332=$K332,"38/40",IF($V332=$K332,"40/40",""))))))))),IF(IF(OR(ISNUMBER($V332),$V332="DNA"),$V332,IF(OR(ISNUMBER($U332),$U332="DNA"),$U332,IF(OR(ISNUMBER($T332),$T332="DNA"),$T332,IF(OR(ISNUMBER($S332),$S332="DNA"),$S332,IF(OR(ISNUMBER($R332),$R332="DNA"),$R332,IF(OR(ISNUMBER($Q332),$Q332="DNA"),$Q332,IF(OR(ISNUMBER($N332),$N332="DNA"),$N332,IF(OR(ISNUMBER($M332),$M332="DNA"),$M332,IF(OR(ISNUMBER($L332),$L332="DNA"),$L332,"")))))))))="DNA","Rebook DNA",IF(ISNUMBER(IF(OR(ISNUMBER($V332),$V332="DNA"),$V332,IF(OR(ISNUMBER($U332),$U332="DNA"),$U332,IF(OR(ISNUMBER($T332),$T332="DNA"),$T332,IF(OR(ISNUMBER($S332),$S332="DNA"),$S332,IF(OR(ISNUMBER($R332),$R332="DNA"),$R332,IF(OR(ISNUMBER($Q332),$Q332="DNA"),$Q332,IF(OR(ISNUMBER($N332),$N332="DNA"),$N332,IF(OR(ISNUMBER($M332),$M332="DNA"),$M332,IF(OR(ISNUMBER($L332),$L332="DNA"),$L332,"")))))))))),IF(ISNUMBER($V332),"Update status","Missed/not booked?"),""))))</f>
        <v/>
      </c>
      <c r="K332" s="29">
        <f>IF(NOT(AND($A332&lt;&gt;"",OR($G332="",$G332="Active"))),"",IF(MIN(IF(AND(ISNUMBER($L332),$L332&gt;=TODAY()),$L332,99999),IF(AND(ISNUMBER($M332),$M332&gt;=TODAY()),$M332,99999),IF(AND(ISNUMBER($N332),$N332&gt;=TODAY()),$N332,99999),IF(AND(ISNUMBER($Q332),$Q332&gt;=TODAY()),$Q332,99999),IF(AND(ISNUMBER($R332),$R332&gt;=TODAY()),$R332,99999),IF(AND(ISNUMBER($S332),$S332&gt;=TODAY()),$S332,99999),IF(AND(ISNUMBER($T332),$T332&gt;=TODAY()),$T332,99999),IF(AND(ISNUMBER($U332),$U332&gt;=TODAY()),$U332,99999),IF(AND(ISNUMBER($V332),$V332&gt;=TODAY()),$V332,99999))=99999,"",MIN(IF(AND(ISNUMBER($L332),$L332&gt;=TODAY()),$L332,99999),IF(AND(ISNUMBER($M332),$M332&gt;=TODAY()),$M332,99999),IF(AND(ISNUMBER($N332),$N332&gt;=TODAY()),$N332,99999),IF(AND(ISNUMBER($Q332),$Q332&gt;=TODAY()),$Q332,99999),IF(AND(ISNUMBER($R332),$R332&gt;=TODAY()),$R332,99999),IF(AND(ISNUMBER($S332),$S332&gt;=TODAY()),$S332,99999),IF(AND(ISNUMBER($T332),$T332&gt;=TODAY()),$T332,99999),IF(AND(ISNUMBER($U332),$U332&gt;=TODAY()),$U332,99999),IF(AND(ISNUMBER($V332),$V332&gt;=TODAY()),$V332,99999))))</f>
        <v/>
      </c>
      <c r="L332" s="27" t="n"/>
      <c r="M332" s="27" t="n"/>
      <c r="N332" s="27" t="n"/>
      <c r="O332" s="27" t="n"/>
      <c r="P332" s="27" t="n"/>
      <c r="Q332" s="27" t="n"/>
      <c r="R332" s="27" t="n"/>
      <c r="S332" s="27" t="n"/>
      <c r="T332" s="27" t="n"/>
      <c r="U332" s="27" t="n"/>
      <c r="V332" s="27" t="n"/>
      <c r="W332" s="27" t="n"/>
      <c r="X332" s="27" t="n"/>
      <c r="Y332" s="27" t="n"/>
      <c r="Z332" s="30" t="n"/>
      <c r="AA332" s="25" t="n"/>
      <c r="AB332" s="28">
        <f>IF(NOT(AND($A332&lt;&gt;"",OR($G332="",$G332="Active"))),"",IF(OR(IF(OR(ISNUMBER($V332),$V332="DNA"),$V332,IF(OR(ISNUMBER($U332),$U332="DNA"),$U332,IF(OR(ISNUMBER($T332),$T332="DNA"),$T332,IF(OR(ISNUMBER($S332),$S332="DNA"),$S332,IF(OR(ISNUMBER($R332),$R332="DNA"),$R332,IF(OR(ISNUMBER($Q332),$Q332="DNA"),$Q332,IF(OR(ISNUMBER($N332),$N332="DNA"),$N332,IF(OR(ISNUMBER($M332),$M332="DNA"),$M332,IF(OR(ISNUMBER($L332),$L332="DNA"),$L332,"")))))))))="DNA",AND(ISNUMBER(IF(OR(ISNUMBER($V332),$V332="DNA"),$V332,IF(OR(ISNUMBER($U332),$U332="DNA"),$U332,IF(OR(ISNUMBER($T332),$T332="DNA"),$T332,IF(OR(ISNUMBER($S332),$S332="DNA"),$S332,IF(OR(ISNUMBER($R332),$R332="DNA"),$R332,IF(OR(ISNUMBER($Q332),$Q332="DNA"),$Q332,IF(OR(ISNUMBER($N332),$N332="DNA"),$N332,IF(OR(ISNUMBER($M332),$M332="DNA"),$M332,IF(OR(ISNUMBER($L332),$L332="DNA"),$L332,"")))))))))),IF(OR(ISNUMBER($V332),$V332="DNA"),$V332,IF(OR(ISNUMBER($U332),$U332="DNA"),$U332,IF(OR(ISNUMBER($T332),$T332="DNA"),$T332,IF(OR(ISNUMBER($S332),$S332="DNA"),$S332,IF(OR(ISNUMBER($R332),$R332="DNA"),$R332,IF(OR(ISNUMBER($Q332),$Q332="DNA"),$Q332,IF(OR(ISNUMBER($N332),$N332="DNA"),$N332,IF(OR(ISNUMBER($M332),$M332="DNA"),$M332,IF(OR(ISNUMBER($L332),$L332="DNA"),$L332,"")))))))))&lt;TODAY())),1,0)+ISNUMBER($O332)*($O332&lt;TODAY())+ISNUMBER($P332)*($P332&lt;TODAY())+ISNUMBER($X332)*($X332&lt;TODAY())+ISNUMBER($Y332)*($Y332&lt;TODAY()))</f>
        <v/>
      </c>
    </row>
    <row r="333">
      <c r="A333" s="25" t="n"/>
      <c r="B333" s="26" t="n"/>
      <c r="C333" s="27" t="n"/>
      <c r="D333" s="25" t="n"/>
      <c r="E333" s="25" t="n"/>
      <c r="F333" s="27" t="n"/>
      <c r="G333" s="25" t="n"/>
      <c r="H333" s="28">
        <f>IF(OR(NOT(AND($A333&lt;&gt;"",OR($G333="",$G333="Active"))),$F333=""),"",INT((TODAY()-$F333+280)/7)&amp;"+"&amp;MOD(TODAY()-$F333+280,7))</f>
        <v/>
      </c>
      <c r="I333" s="28">
        <f>IF(NOT(AND($A333&lt;&gt;"",OR($G333="",$G333="Active"))),"",ISNUMBER($L333)*($L333&gt;=TODAY())*($L333&lt;=TODAY()+7)+ISNUMBER($M333)*($M333&gt;=TODAY())*($M333&lt;=TODAY()+7)+ISNUMBER($N333)*($N333&gt;=TODAY())*($N333&lt;=TODAY()+7)+ISNUMBER($Q333)*($Q333&gt;=TODAY())*($Q333&lt;=TODAY()+7)+ISNUMBER($R333)*($R333&gt;=TODAY())*($R333&lt;=TODAY()+7)+ISNUMBER($S333)*($S333&gt;=TODAY())*($S333&lt;=TODAY()+7)+ISNUMBER($T333)*($T333&gt;=TODAY())*($T333&lt;=TODAY()+7)+ISNUMBER($U333)*($U333&gt;=TODAY())*($U333&lt;=TODAY()+7)+ISNUMBER($V333)*($V333&gt;=TODAY())*($V333&lt;=TODAY()+7)+ISNUMBER($O333)*($O333&gt;=TODAY())*($O333&lt;=TODAY()+7)+ISNUMBER($P333)*($P333&gt;=TODAY())*($P333&lt;=TODAY()+7)+ISNUMBER($X333)*($X333&gt;=TODAY())*($X333&lt;=TODAY()+7)+ISNUMBER($Y333)*($Y333&gt;=TODAY())*($Y333&lt;=TODAY()+7))</f>
        <v/>
      </c>
      <c r="J333" s="28">
        <f>IF(NOT(AND($A333&lt;&gt;"",OR($G333="",$G333="Active"))),"",IF($K333&lt;&gt;"",IF($L333=$K333,"Booking",IF($M333=$K333,"16/40",IF($N333=$K333,"25/40",IF($Q333=$K333,"28/40",IF($R333=$K333,"31/40",IF($S333=$K333,"34/40",IF($T333=$K333,"36/40",IF($U333=$K333,"38/40",IF($V333=$K333,"40/40",""))))))))),IF(IF(OR(ISNUMBER($V333),$V333="DNA"),$V333,IF(OR(ISNUMBER($U333),$U333="DNA"),$U333,IF(OR(ISNUMBER($T333),$T333="DNA"),$T333,IF(OR(ISNUMBER($S333),$S333="DNA"),$S333,IF(OR(ISNUMBER($R333),$R333="DNA"),$R333,IF(OR(ISNUMBER($Q333),$Q333="DNA"),$Q333,IF(OR(ISNUMBER($N333),$N333="DNA"),$N333,IF(OR(ISNUMBER($M333),$M333="DNA"),$M333,IF(OR(ISNUMBER($L333),$L333="DNA"),$L333,"")))))))))="DNA","Rebook DNA",IF(ISNUMBER(IF(OR(ISNUMBER($V333),$V333="DNA"),$V333,IF(OR(ISNUMBER($U333),$U333="DNA"),$U333,IF(OR(ISNUMBER($T333),$T333="DNA"),$T333,IF(OR(ISNUMBER($S333),$S333="DNA"),$S333,IF(OR(ISNUMBER($R333),$R333="DNA"),$R333,IF(OR(ISNUMBER($Q333),$Q333="DNA"),$Q333,IF(OR(ISNUMBER($N333),$N333="DNA"),$N333,IF(OR(ISNUMBER($M333),$M333="DNA"),$M333,IF(OR(ISNUMBER($L333),$L333="DNA"),$L333,"")))))))))),IF(ISNUMBER($V333),"Update status","Missed/not booked?"),""))))</f>
        <v/>
      </c>
      <c r="K333" s="29">
        <f>IF(NOT(AND($A333&lt;&gt;"",OR($G333="",$G333="Active"))),"",IF(MIN(IF(AND(ISNUMBER($L333),$L333&gt;=TODAY()),$L333,99999),IF(AND(ISNUMBER($M333),$M333&gt;=TODAY()),$M333,99999),IF(AND(ISNUMBER($N333),$N333&gt;=TODAY()),$N333,99999),IF(AND(ISNUMBER($Q333),$Q333&gt;=TODAY()),$Q333,99999),IF(AND(ISNUMBER($R333),$R333&gt;=TODAY()),$R333,99999),IF(AND(ISNUMBER($S333),$S333&gt;=TODAY()),$S333,99999),IF(AND(ISNUMBER($T333),$T333&gt;=TODAY()),$T333,99999),IF(AND(ISNUMBER($U333),$U333&gt;=TODAY()),$U333,99999),IF(AND(ISNUMBER($V333),$V333&gt;=TODAY()),$V333,99999))=99999,"",MIN(IF(AND(ISNUMBER($L333),$L333&gt;=TODAY()),$L333,99999),IF(AND(ISNUMBER($M333),$M333&gt;=TODAY()),$M333,99999),IF(AND(ISNUMBER($N333),$N333&gt;=TODAY()),$N333,99999),IF(AND(ISNUMBER($Q333),$Q333&gt;=TODAY()),$Q333,99999),IF(AND(ISNUMBER($R333),$R333&gt;=TODAY()),$R333,99999),IF(AND(ISNUMBER($S333),$S333&gt;=TODAY()),$S333,99999),IF(AND(ISNUMBER($T333),$T333&gt;=TODAY()),$T333,99999),IF(AND(ISNUMBER($U333),$U333&gt;=TODAY()),$U333,99999),IF(AND(ISNUMBER($V333),$V333&gt;=TODAY()),$V333,99999))))</f>
        <v/>
      </c>
      <c r="L333" s="27" t="n"/>
      <c r="M333" s="27" t="n"/>
      <c r="N333" s="27" t="n"/>
      <c r="O333" s="27" t="n"/>
      <c r="P333" s="27" t="n"/>
      <c r="Q333" s="27" t="n"/>
      <c r="R333" s="27" t="n"/>
      <c r="S333" s="27" t="n"/>
      <c r="T333" s="27" t="n"/>
      <c r="U333" s="27" t="n"/>
      <c r="V333" s="27" t="n"/>
      <c r="W333" s="27" t="n"/>
      <c r="X333" s="27" t="n"/>
      <c r="Y333" s="27" t="n"/>
      <c r="Z333" s="30" t="n"/>
      <c r="AA333" s="25" t="n"/>
      <c r="AB333" s="28">
        <f>IF(NOT(AND($A333&lt;&gt;"",OR($G333="",$G333="Active"))),"",IF(OR(IF(OR(ISNUMBER($V333),$V333="DNA"),$V333,IF(OR(ISNUMBER($U333),$U333="DNA"),$U333,IF(OR(ISNUMBER($T333),$T333="DNA"),$T333,IF(OR(ISNUMBER($S333),$S333="DNA"),$S333,IF(OR(ISNUMBER($R333),$R333="DNA"),$R333,IF(OR(ISNUMBER($Q333),$Q333="DNA"),$Q333,IF(OR(ISNUMBER($N333),$N333="DNA"),$N333,IF(OR(ISNUMBER($M333),$M333="DNA"),$M333,IF(OR(ISNUMBER($L333),$L333="DNA"),$L333,"")))))))))="DNA",AND(ISNUMBER(IF(OR(ISNUMBER($V333),$V333="DNA"),$V333,IF(OR(ISNUMBER($U333),$U333="DNA"),$U333,IF(OR(ISNUMBER($T333),$T333="DNA"),$T333,IF(OR(ISNUMBER($S333),$S333="DNA"),$S333,IF(OR(ISNUMBER($R333),$R333="DNA"),$R333,IF(OR(ISNUMBER($Q333),$Q333="DNA"),$Q333,IF(OR(ISNUMBER($N333),$N333="DNA"),$N333,IF(OR(ISNUMBER($M333),$M333="DNA"),$M333,IF(OR(ISNUMBER($L333),$L333="DNA"),$L333,"")))))))))),IF(OR(ISNUMBER($V333),$V333="DNA"),$V333,IF(OR(ISNUMBER($U333),$U333="DNA"),$U333,IF(OR(ISNUMBER($T333),$T333="DNA"),$T333,IF(OR(ISNUMBER($S333),$S333="DNA"),$S333,IF(OR(ISNUMBER($R333),$R333="DNA"),$R333,IF(OR(ISNUMBER($Q333),$Q333="DNA"),$Q333,IF(OR(ISNUMBER($N333),$N333="DNA"),$N333,IF(OR(ISNUMBER($M333),$M333="DNA"),$M333,IF(OR(ISNUMBER($L333),$L333="DNA"),$L333,"")))))))))&lt;TODAY())),1,0)+ISNUMBER($O333)*($O333&lt;TODAY())+ISNUMBER($P333)*($P333&lt;TODAY())+ISNUMBER($X333)*($X333&lt;TODAY())+ISNUMBER($Y333)*($Y333&lt;TODAY()))</f>
        <v/>
      </c>
    </row>
    <row r="334">
      <c r="A334" s="25" t="n"/>
      <c r="B334" s="26" t="n"/>
      <c r="C334" s="27" t="n"/>
      <c r="D334" s="25" t="n"/>
      <c r="E334" s="25" t="n"/>
      <c r="F334" s="27" t="n"/>
      <c r="G334" s="25" t="n"/>
      <c r="H334" s="28">
        <f>IF(OR(NOT(AND($A334&lt;&gt;"",OR($G334="",$G334="Active"))),$F334=""),"",INT((TODAY()-$F334+280)/7)&amp;"+"&amp;MOD(TODAY()-$F334+280,7))</f>
        <v/>
      </c>
      <c r="I334" s="28">
        <f>IF(NOT(AND($A334&lt;&gt;"",OR($G334="",$G334="Active"))),"",ISNUMBER($L334)*($L334&gt;=TODAY())*($L334&lt;=TODAY()+7)+ISNUMBER($M334)*($M334&gt;=TODAY())*($M334&lt;=TODAY()+7)+ISNUMBER($N334)*($N334&gt;=TODAY())*($N334&lt;=TODAY()+7)+ISNUMBER($Q334)*($Q334&gt;=TODAY())*($Q334&lt;=TODAY()+7)+ISNUMBER($R334)*($R334&gt;=TODAY())*($R334&lt;=TODAY()+7)+ISNUMBER($S334)*($S334&gt;=TODAY())*($S334&lt;=TODAY()+7)+ISNUMBER($T334)*($T334&gt;=TODAY())*($T334&lt;=TODAY()+7)+ISNUMBER($U334)*($U334&gt;=TODAY())*($U334&lt;=TODAY()+7)+ISNUMBER($V334)*($V334&gt;=TODAY())*($V334&lt;=TODAY()+7)+ISNUMBER($O334)*($O334&gt;=TODAY())*($O334&lt;=TODAY()+7)+ISNUMBER($P334)*($P334&gt;=TODAY())*($P334&lt;=TODAY()+7)+ISNUMBER($X334)*($X334&gt;=TODAY())*($X334&lt;=TODAY()+7)+ISNUMBER($Y334)*($Y334&gt;=TODAY())*($Y334&lt;=TODAY()+7))</f>
        <v/>
      </c>
      <c r="J334" s="28">
        <f>IF(NOT(AND($A334&lt;&gt;"",OR($G334="",$G334="Active"))),"",IF($K334&lt;&gt;"",IF($L334=$K334,"Booking",IF($M334=$K334,"16/40",IF($N334=$K334,"25/40",IF($Q334=$K334,"28/40",IF($R334=$K334,"31/40",IF($S334=$K334,"34/40",IF($T334=$K334,"36/40",IF($U334=$K334,"38/40",IF($V334=$K334,"40/40",""))))))))),IF(IF(OR(ISNUMBER($V334),$V334="DNA"),$V334,IF(OR(ISNUMBER($U334),$U334="DNA"),$U334,IF(OR(ISNUMBER($T334),$T334="DNA"),$T334,IF(OR(ISNUMBER($S334),$S334="DNA"),$S334,IF(OR(ISNUMBER($R334),$R334="DNA"),$R334,IF(OR(ISNUMBER($Q334),$Q334="DNA"),$Q334,IF(OR(ISNUMBER($N334),$N334="DNA"),$N334,IF(OR(ISNUMBER($M334),$M334="DNA"),$M334,IF(OR(ISNUMBER($L334),$L334="DNA"),$L334,"")))))))))="DNA","Rebook DNA",IF(ISNUMBER(IF(OR(ISNUMBER($V334),$V334="DNA"),$V334,IF(OR(ISNUMBER($U334),$U334="DNA"),$U334,IF(OR(ISNUMBER($T334),$T334="DNA"),$T334,IF(OR(ISNUMBER($S334),$S334="DNA"),$S334,IF(OR(ISNUMBER($R334),$R334="DNA"),$R334,IF(OR(ISNUMBER($Q334),$Q334="DNA"),$Q334,IF(OR(ISNUMBER($N334),$N334="DNA"),$N334,IF(OR(ISNUMBER($M334),$M334="DNA"),$M334,IF(OR(ISNUMBER($L334),$L334="DNA"),$L334,"")))))))))),IF(ISNUMBER($V334),"Update status","Missed/not booked?"),""))))</f>
        <v/>
      </c>
      <c r="K334" s="29">
        <f>IF(NOT(AND($A334&lt;&gt;"",OR($G334="",$G334="Active"))),"",IF(MIN(IF(AND(ISNUMBER($L334),$L334&gt;=TODAY()),$L334,99999),IF(AND(ISNUMBER($M334),$M334&gt;=TODAY()),$M334,99999),IF(AND(ISNUMBER($N334),$N334&gt;=TODAY()),$N334,99999),IF(AND(ISNUMBER($Q334),$Q334&gt;=TODAY()),$Q334,99999),IF(AND(ISNUMBER($R334),$R334&gt;=TODAY()),$R334,99999),IF(AND(ISNUMBER($S334),$S334&gt;=TODAY()),$S334,99999),IF(AND(ISNUMBER($T334),$T334&gt;=TODAY()),$T334,99999),IF(AND(ISNUMBER($U334),$U334&gt;=TODAY()),$U334,99999),IF(AND(ISNUMBER($V334),$V334&gt;=TODAY()),$V334,99999))=99999,"",MIN(IF(AND(ISNUMBER($L334),$L334&gt;=TODAY()),$L334,99999),IF(AND(ISNUMBER($M334),$M334&gt;=TODAY()),$M334,99999),IF(AND(ISNUMBER($N334),$N334&gt;=TODAY()),$N334,99999),IF(AND(ISNUMBER($Q334),$Q334&gt;=TODAY()),$Q334,99999),IF(AND(ISNUMBER($R334),$R334&gt;=TODAY()),$R334,99999),IF(AND(ISNUMBER($S334),$S334&gt;=TODAY()),$S334,99999),IF(AND(ISNUMBER($T334),$T334&gt;=TODAY()),$T334,99999),IF(AND(ISNUMBER($U334),$U334&gt;=TODAY()),$U334,99999),IF(AND(ISNUMBER($V334),$V334&gt;=TODAY()),$V334,99999))))</f>
        <v/>
      </c>
      <c r="L334" s="27" t="n"/>
      <c r="M334" s="27" t="n"/>
      <c r="N334" s="27" t="n"/>
      <c r="O334" s="27" t="n"/>
      <c r="P334" s="27" t="n"/>
      <c r="Q334" s="27" t="n"/>
      <c r="R334" s="27" t="n"/>
      <c r="S334" s="27" t="n"/>
      <c r="T334" s="27" t="n"/>
      <c r="U334" s="27" t="n"/>
      <c r="V334" s="27" t="n"/>
      <c r="W334" s="27" t="n"/>
      <c r="X334" s="27" t="n"/>
      <c r="Y334" s="27" t="n"/>
      <c r="Z334" s="30" t="n"/>
      <c r="AA334" s="25" t="n"/>
      <c r="AB334" s="28">
        <f>IF(NOT(AND($A334&lt;&gt;"",OR($G334="",$G334="Active"))),"",IF(OR(IF(OR(ISNUMBER($V334),$V334="DNA"),$V334,IF(OR(ISNUMBER($U334),$U334="DNA"),$U334,IF(OR(ISNUMBER($T334),$T334="DNA"),$T334,IF(OR(ISNUMBER($S334),$S334="DNA"),$S334,IF(OR(ISNUMBER($R334),$R334="DNA"),$R334,IF(OR(ISNUMBER($Q334),$Q334="DNA"),$Q334,IF(OR(ISNUMBER($N334),$N334="DNA"),$N334,IF(OR(ISNUMBER($M334),$M334="DNA"),$M334,IF(OR(ISNUMBER($L334),$L334="DNA"),$L334,"")))))))))="DNA",AND(ISNUMBER(IF(OR(ISNUMBER($V334),$V334="DNA"),$V334,IF(OR(ISNUMBER($U334),$U334="DNA"),$U334,IF(OR(ISNUMBER($T334),$T334="DNA"),$T334,IF(OR(ISNUMBER($S334),$S334="DNA"),$S334,IF(OR(ISNUMBER($R334),$R334="DNA"),$R334,IF(OR(ISNUMBER($Q334),$Q334="DNA"),$Q334,IF(OR(ISNUMBER($N334),$N334="DNA"),$N334,IF(OR(ISNUMBER($M334),$M334="DNA"),$M334,IF(OR(ISNUMBER($L334),$L334="DNA"),$L334,"")))))))))),IF(OR(ISNUMBER($V334),$V334="DNA"),$V334,IF(OR(ISNUMBER($U334),$U334="DNA"),$U334,IF(OR(ISNUMBER($T334),$T334="DNA"),$T334,IF(OR(ISNUMBER($S334),$S334="DNA"),$S334,IF(OR(ISNUMBER($R334),$R334="DNA"),$R334,IF(OR(ISNUMBER($Q334),$Q334="DNA"),$Q334,IF(OR(ISNUMBER($N334),$N334="DNA"),$N334,IF(OR(ISNUMBER($M334),$M334="DNA"),$M334,IF(OR(ISNUMBER($L334),$L334="DNA"),$L334,"")))))))))&lt;TODAY())),1,0)+ISNUMBER($O334)*($O334&lt;TODAY())+ISNUMBER($P334)*($P334&lt;TODAY())+ISNUMBER($X334)*($X334&lt;TODAY())+ISNUMBER($Y334)*($Y334&lt;TODAY()))</f>
        <v/>
      </c>
    </row>
    <row r="335">
      <c r="A335" s="25" t="n"/>
      <c r="B335" s="26" t="n"/>
      <c r="C335" s="27" t="n"/>
      <c r="D335" s="25" t="n"/>
      <c r="E335" s="25" t="n"/>
      <c r="F335" s="27" t="n"/>
      <c r="G335" s="25" t="n"/>
      <c r="H335" s="28">
        <f>IF(OR(NOT(AND($A335&lt;&gt;"",OR($G335="",$G335="Active"))),$F335=""),"",INT((TODAY()-$F335+280)/7)&amp;"+"&amp;MOD(TODAY()-$F335+280,7))</f>
        <v/>
      </c>
      <c r="I335" s="28">
        <f>IF(NOT(AND($A335&lt;&gt;"",OR($G335="",$G335="Active"))),"",ISNUMBER($L335)*($L335&gt;=TODAY())*($L335&lt;=TODAY()+7)+ISNUMBER($M335)*($M335&gt;=TODAY())*($M335&lt;=TODAY()+7)+ISNUMBER($N335)*($N335&gt;=TODAY())*($N335&lt;=TODAY()+7)+ISNUMBER($Q335)*($Q335&gt;=TODAY())*($Q335&lt;=TODAY()+7)+ISNUMBER($R335)*($R335&gt;=TODAY())*($R335&lt;=TODAY()+7)+ISNUMBER($S335)*($S335&gt;=TODAY())*($S335&lt;=TODAY()+7)+ISNUMBER($T335)*($T335&gt;=TODAY())*($T335&lt;=TODAY()+7)+ISNUMBER($U335)*($U335&gt;=TODAY())*($U335&lt;=TODAY()+7)+ISNUMBER($V335)*($V335&gt;=TODAY())*($V335&lt;=TODAY()+7)+ISNUMBER($O335)*($O335&gt;=TODAY())*($O335&lt;=TODAY()+7)+ISNUMBER($P335)*($P335&gt;=TODAY())*($P335&lt;=TODAY()+7)+ISNUMBER($X335)*($X335&gt;=TODAY())*($X335&lt;=TODAY()+7)+ISNUMBER($Y335)*($Y335&gt;=TODAY())*($Y335&lt;=TODAY()+7))</f>
        <v/>
      </c>
      <c r="J335" s="28">
        <f>IF(NOT(AND($A335&lt;&gt;"",OR($G335="",$G335="Active"))),"",IF($K335&lt;&gt;"",IF($L335=$K335,"Booking",IF($M335=$K335,"16/40",IF($N335=$K335,"25/40",IF($Q335=$K335,"28/40",IF($R335=$K335,"31/40",IF($S335=$K335,"34/40",IF($T335=$K335,"36/40",IF($U335=$K335,"38/40",IF($V335=$K335,"40/40",""))))))))),IF(IF(OR(ISNUMBER($V335),$V335="DNA"),$V335,IF(OR(ISNUMBER($U335),$U335="DNA"),$U335,IF(OR(ISNUMBER($T335),$T335="DNA"),$T335,IF(OR(ISNUMBER($S335),$S335="DNA"),$S335,IF(OR(ISNUMBER($R335),$R335="DNA"),$R335,IF(OR(ISNUMBER($Q335),$Q335="DNA"),$Q335,IF(OR(ISNUMBER($N335),$N335="DNA"),$N335,IF(OR(ISNUMBER($M335),$M335="DNA"),$M335,IF(OR(ISNUMBER($L335),$L335="DNA"),$L335,"")))))))))="DNA","Rebook DNA",IF(ISNUMBER(IF(OR(ISNUMBER($V335),$V335="DNA"),$V335,IF(OR(ISNUMBER($U335),$U335="DNA"),$U335,IF(OR(ISNUMBER($T335),$T335="DNA"),$T335,IF(OR(ISNUMBER($S335),$S335="DNA"),$S335,IF(OR(ISNUMBER($R335),$R335="DNA"),$R335,IF(OR(ISNUMBER($Q335),$Q335="DNA"),$Q335,IF(OR(ISNUMBER($N335),$N335="DNA"),$N335,IF(OR(ISNUMBER($M335),$M335="DNA"),$M335,IF(OR(ISNUMBER($L335),$L335="DNA"),$L335,"")))))))))),IF(ISNUMBER($V335),"Update status","Missed/not booked?"),""))))</f>
        <v/>
      </c>
      <c r="K335" s="29">
        <f>IF(NOT(AND($A335&lt;&gt;"",OR($G335="",$G335="Active"))),"",IF(MIN(IF(AND(ISNUMBER($L335),$L335&gt;=TODAY()),$L335,99999),IF(AND(ISNUMBER($M335),$M335&gt;=TODAY()),$M335,99999),IF(AND(ISNUMBER($N335),$N335&gt;=TODAY()),$N335,99999),IF(AND(ISNUMBER($Q335),$Q335&gt;=TODAY()),$Q335,99999),IF(AND(ISNUMBER($R335),$R335&gt;=TODAY()),$R335,99999),IF(AND(ISNUMBER($S335),$S335&gt;=TODAY()),$S335,99999),IF(AND(ISNUMBER($T335),$T335&gt;=TODAY()),$T335,99999),IF(AND(ISNUMBER($U335),$U335&gt;=TODAY()),$U335,99999),IF(AND(ISNUMBER($V335),$V335&gt;=TODAY()),$V335,99999))=99999,"",MIN(IF(AND(ISNUMBER($L335),$L335&gt;=TODAY()),$L335,99999),IF(AND(ISNUMBER($M335),$M335&gt;=TODAY()),$M335,99999),IF(AND(ISNUMBER($N335),$N335&gt;=TODAY()),$N335,99999),IF(AND(ISNUMBER($Q335),$Q335&gt;=TODAY()),$Q335,99999),IF(AND(ISNUMBER($R335),$R335&gt;=TODAY()),$R335,99999),IF(AND(ISNUMBER($S335),$S335&gt;=TODAY()),$S335,99999),IF(AND(ISNUMBER($T335),$T335&gt;=TODAY()),$T335,99999),IF(AND(ISNUMBER($U335),$U335&gt;=TODAY()),$U335,99999),IF(AND(ISNUMBER($V335),$V335&gt;=TODAY()),$V335,99999))))</f>
        <v/>
      </c>
      <c r="L335" s="27" t="n"/>
      <c r="M335" s="27" t="n"/>
      <c r="N335" s="27" t="n"/>
      <c r="O335" s="27" t="n"/>
      <c r="P335" s="27" t="n"/>
      <c r="Q335" s="27" t="n"/>
      <c r="R335" s="27" t="n"/>
      <c r="S335" s="27" t="n"/>
      <c r="T335" s="27" t="n"/>
      <c r="U335" s="27" t="n"/>
      <c r="V335" s="27" t="n"/>
      <c r="W335" s="27" t="n"/>
      <c r="X335" s="27" t="n"/>
      <c r="Y335" s="27" t="n"/>
      <c r="Z335" s="30" t="n"/>
      <c r="AA335" s="25" t="n"/>
      <c r="AB335" s="28">
        <f>IF(NOT(AND($A335&lt;&gt;"",OR($G335="",$G335="Active"))),"",IF(OR(IF(OR(ISNUMBER($V335),$V335="DNA"),$V335,IF(OR(ISNUMBER($U335),$U335="DNA"),$U335,IF(OR(ISNUMBER($T335),$T335="DNA"),$T335,IF(OR(ISNUMBER($S335),$S335="DNA"),$S335,IF(OR(ISNUMBER($R335),$R335="DNA"),$R335,IF(OR(ISNUMBER($Q335),$Q335="DNA"),$Q335,IF(OR(ISNUMBER($N335),$N335="DNA"),$N335,IF(OR(ISNUMBER($M335),$M335="DNA"),$M335,IF(OR(ISNUMBER($L335),$L335="DNA"),$L335,"")))))))))="DNA",AND(ISNUMBER(IF(OR(ISNUMBER($V335),$V335="DNA"),$V335,IF(OR(ISNUMBER($U335),$U335="DNA"),$U335,IF(OR(ISNUMBER($T335),$T335="DNA"),$T335,IF(OR(ISNUMBER($S335),$S335="DNA"),$S335,IF(OR(ISNUMBER($R335),$R335="DNA"),$R335,IF(OR(ISNUMBER($Q335),$Q335="DNA"),$Q335,IF(OR(ISNUMBER($N335),$N335="DNA"),$N335,IF(OR(ISNUMBER($M335),$M335="DNA"),$M335,IF(OR(ISNUMBER($L335),$L335="DNA"),$L335,"")))))))))),IF(OR(ISNUMBER($V335),$V335="DNA"),$V335,IF(OR(ISNUMBER($U335),$U335="DNA"),$U335,IF(OR(ISNUMBER($T335),$T335="DNA"),$T335,IF(OR(ISNUMBER($S335),$S335="DNA"),$S335,IF(OR(ISNUMBER($R335),$R335="DNA"),$R335,IF(OR(ISNUMBER($Q335),$Q335="DNA"),$Q335,IF(OR(ISNUMBER($N335),$N335="DNA"),$N335,IF(OR(ISNUMBER($M335),$M335="DNA"),$M335,IF(OR(ISNUMBER($L335),$L335="DNA"),$L335,"")))))))))&lt;TODAY())),1,0)+ISNUMBER($O335)*($O335&lt;TODAY())+ISNUMBER($P335)*($P335&lt;TODAY())+ISNUMBER($X335)*($X335&lt;TODAY())+ISNUMBER($Y335)*($Y335&lt;TODAY()))</f>
        <v/>
      </c>
    </row>
    <row r="336">
      <c r="A336" s="25" t="n"/>
      <c r="B336" s="26" t="n"/>
      <c r="C336" s="27" t="n"/>
      <c r="D336" s="25" t="n"/>
      <c r="E336" s="25" t="n"/>
      <c r="F336" s="27" t="n"/>
      <c r="G336" s="25" t="n"/>
      <c r="H336" s="28">
        <f>IF(OR(NOT(AND($A336&lt;&gt;"",OR($G336="",$G336="Active"))),$F336=""),"",INT((TODAY()-$F336+280)/7)&amp;"+"&amp;MOD(TODAY()-$F336+280,7))</f>
        <v/>
      </c>
      <c r="I336" s="28">
        <f>IF(NOT(AND($A336&lt;&gt;"",OR($G336="",$G336="Active"))),"",ISNUMBER($L336)*($L336&gt;=TODAY())*($L336&lt;=TODAY()+7)+ISNUMBER($M336)*($M336&gt;=TODAY())*($M336&lt;=TODAY()+7)+ISNUMBER($N336)*($N336&gt;=TODAY())*($N336&lt;=TODAY()+7)+ISNUMBER($Q336)*($Q336&gt;=TODAY())*($Q336&lt;=TODAY()+7)+ISNUMBER($R336)*($R336&gt;=TODAY())*($R336&lt;=TODAY()+7)+ISNUMBER($S336)*($S336&gt;=TODAY())*($S336&lt;=TODAY()+7)+ISNUMBER($T336)*($T336&gt;=TODAY())*($T336&lt;=TODAY()+7)+ISNUMBER($U336)*($U336&gt;=TODAY())*($U336&lt;=TODAY()+7)+ISNUMBER($V336)*($V336&gt;=TODAY())*($V336&lt;=TODAY()+7)+ISNUMBER($O336)*($O336&gt;=TODAY())*($O336&lt;=TODAY()+7)+ISNUMBER($P336)*($P336&gt;=TODAY())*($P336&lt;=TODAY()+7)+ISNUMBER($X336)*($X336&gt;=TODAY())*($X336&lt;=TODAY()+7)+ISNUMBER($Y336)*($Y336&gt;=TODAY())*($Y336&lt;=TODAY()+7))</f>
        <v/>
      </c>
      <c r="J336" s="28">
        <f>IF(NOT(AND($A336&lt;&gt;"",OR($G336="",$G336="Active"))),"",IF($K336&lt;&gt;"",IF($L336=$K336,"Booking",IF($M336=$K336,"16/40",IF($N336=$K336,"25/40",IF($Q336=$K336,"28/40",IF($R336=$K336,"31/40",IF($S336=$K336,"34/40",IF($T336=$K336,"36/40",IF($U336=$K336,"38/40",IF($V336=$K336,"40/40",""))))))))),IF(IF(OR(ISNUMBER($V336),$V336="DNA"),$V336,IF(OR(ISNUMBER($U336),$U336="DNA"),$U336,IF(OR(ISNUMBER($T336),$T336="DNA"),$T336,IF(OR(ISNUMBER($S336),$S336="DNA"),$S336,IF(OR(ISNUMBER($R336),$R336="DNA"),$R336,IF(OR(ISNUMBER($Q336),$Q336="DNA"),$Q336,IF(OR(ISNUMBER($N336),$N336="DNA"),$N336,IF(OR(ISNUMBER($M336),$M336="DNA"),$M336,IF(OR(ISNUMBER($L336),$L336="DNA"),$L336,"")))))))))="DNA","Rebook DNA",IF(ISNUMBER(IF(OR(ISNUMBER($V336),$V336="DNA"),$V336,IF(OR(ISNUMBER($U336),$U336="DNA"),$U336,IF(OR(ISNUMBER($T336),$T336="DNA"),$T336,IF(OR(ISNUMBER($S336),$S336="DNA"),$S336,IF(OR(ISNUMBER($R336),$R336="DNA"),$R336,IF(OR(ISNUMBER($Q336),$Q336="DNA"),$Q336,IF(OR(ISNUMBER($N336),$N336="DNA"),$N336,IF(OR(ISNUMBER($M336),$M336="DNA"),$M336,IF(OR(ISNUMBER($L336),$L336="DNA"),$L336,"")))))))))),IF(ISNUMBER($V336),"Update status","Missed/not booked?"),""))))</f>
        <v/>
      </c>
      <c r="K336" s="29">
        <f>IF(NOT(AND($A336&lt;&gt;"",OR($G336="",$G336="Active"))),"",IF(MIN(IF(AND(ISNUMBER($L336),$L336&gt;=TODAY()),$L336,99999),IF(AND(ISNUMBER($M336),$M336&gt;=TODAY()),$M336,99999),IF(AND(ISNUMBER($N336),$N336&gt;=TODAY()),$N336,99999),IF(AND(ISNUMBER($Q336),$Q336&gt;=TODAY()),$Q336,99999),IF(AND(ISNUMBER($R336),$R336&gt;=TODAY()),$R336,99999),IF(AND(ISNUMBER($S336),$S336&gt;=TODAY()),$S336,99999),IF(AND(ISNUMBER($T336),$T336&gt;=TODAY()),$T336,99999),IF(AND(ISNUMBER($U336),$U336&gt;=TODAY()),$U336,99999),IF(AND(ISNUMBER($V336),$V336&gt;=TODAY()),$V336,99999))=99999,"",MIN(IF(AND(ISNUMBER($L336),$L336&gt;=TODAY()),$L336,99999),IF(AND(ISNUMBER($M336),$M336&gt;=TODAY()),$M336,99999),IF(AND(ISNUMBER($N336),$N336&gt;=TODAY()),$N336,99999),IF(AND(ISNUMBER($Q336),$Q336&gt;=TODAY()),$Q336,99999),IF(AND(ISNUMBER($R336),$R336&gt;=TODAY()),$R336,99999),IF(AND(ISNUMBER($S336),$S336&gt;=TODAY()),$S336,99999),IF(AND(ISNUMBER($T336),$T336&gt;=TODAY()),$T336,99999),IF(AND(ISNUMBER($U336),$U336&gt;=TODAY()),$U336,99999),IF(AND(ISNUMBER($V336),$V336&gt;=TODAY()),$V336,99999))))</f>
        <v/>
      </c>
      <c r="L336" s="27" t="n"/>
      <c r="M336" s="27" t="n"/>
      <c r="N336" s="27" t="n"/>
      <c r="O336" s="27" t="n"/>
      <c r="P336" s="27" t="n"/>
      <c r="Q336" s="27" t="n"/>
      <c r="R336" s="27" t="n"/>
      <c r="S336" s="27" t="n"/>
      <c r="T336" s="27" t="n"/>
      <c r="U336" s="27" t="n"/>
      <c r="V336" s="27" t="n"/>
      <c r="W336" s="27" t="n"/>
      <c r="X336" s="27" t="n"/>
      <c r="Y336" s="27" t="n"/>
      <c r="Z336" s="30" t="n"/>
      <c r="AA336" s="25" t="n"/>
      <c r="AB336" s="28">
        <f>IF(NOT(AND($A336&lt;&gt;"",OR($G336="",$G336="Active"))),"",IF(OR(IF(OR(ISNUMBER($V336),$V336="DNA"),$V336,IF(OR(ISNUMBER($U336),$U336="DNA"),$U336,IF(OR(ISNUMBER($T336),$T336="DNA"),$T336,IF(OR(ISNUMBER($S336),$S336="DNA"),$S336,IF(OR(ISNUMBER($R336),$R336="DNA"),$R336,IF(OR(ISNUMBER($Q336),$Q336="DNA"),$Q336,IF(OR(ISNUMBER($N336),$N336="DNA"),$N336,IF(OR(ISNUMBER($M336),$M336="DNA"),$M336,IF(OR(ISNUMBER($L336),$L336="DNA"),$L336,"")))))))))="DNA",AND(ISNUMBER(IF(OR(ISNUMBER($V336),$V336="DNA"),$V336,IF(OR(ISNUMBER($U336),$U336="DNA"),$U336,IF(OR(ISNUMBER($T336),$T336="DNA"),$T336,IF(OR(ISNUMBER($S336),$S336="DNA"),$S336,IF(OR(ISNUMBER($R336),$R336="DNA"),$R336,IF(OR(ISNUMBER($Q336),$Q336="DNA"),$Q336,IF(OR(ISNUMBER($N336),$N336="DNA"),$N336,IF(OR(ISNUMBER($M336),$M336="DNA"),$M336,IF(OR(ISNUMBER($L336),$L336="DNA"),$L336,"")))))))))),IF(OR(ISNUMBER($V336),$V336="DNA"),$V336,IF(OR(ISNUMBER($U336),$U336="DNA"),$U336,IF(OR(ISNUMBER($T336),$T336="DNA"),$T336,IF(OR(ISNUMBER($S336),$S336="DNA"),$S336,IF(OR(ISNUMBER($R336),$R336="DNA"),$R336,IF(OR(ISNUMBER($Q336),$Q336="DNA"),$Q336,IF(OR(ISNUMBER($N336),$N336="DNA"),$N336,IF(OR(ISNUMBER($M336),$M336="DNA"),$M336,IF(OR(ISNUMBER($L336),$L336="DNA"),$L336,"")))))))))&lt;TODAY())),1,0)+ISNUMBER($O336)*($O336&lt;TODAY())+ISNUMBER($P336)*($P336&lt;TODAY())+ISNUMBER($X336)*($X336&lt;TODAY())+ISNUMBER($Y336)*($Y336&lt;TODAY()))</f>
        <v/>
      </c>
    </row>
    <row r="337">
      <c r="A337" s="25" t="n"/>
      <c r="B337" s="26" t="n"/>
      <c r="C337" s="27" t="n"/>
      <c r="D337" s="25" t="n"/>
      <c r="E337" s="25" t="n"/>
      <c r="F337" s="27" t="n"/>
      <c r="G337" s="25" t="n"/>
      <c r="H337" s="28">
        <f>IF(OR(NOT(AND($A337&lt;&gt;"",OR($G337="",$G337="Active"))),$F337=""),"",INT((TODAY()-$F337+280)/7)&amp;"+"&amp;MOD(TODAY()-$F337+280,7))</f>
        <v/>
      </c>
      <c r="I337" s="28">
        <f>IF(NOT(AND($A337&lt;&gt;"",OR($G337="",$G337="Active"))),"",ISNUMBER($L337)*($L337&gt;=TODAY())*($L337&lt;=TODAY()+7)+ISNUMBER($M337)*($M337&gt;=TODAY())*($M337&lt;=TODAY()+7)+ISNUMBER($N337)*($N337&gt;=TODAY())*($N337&lt;=TODAY()+7)+ISNUMBER($Q337)*($Q337&gt;=TODAY())*($Q337&lt;=TODAY()+7)+ISNUMBER($R337)*($R337&gt;=TODAY())*($R337&lt;=TODAY()+7)+ISNUMBER($S337)*($S337&gt;=TODAY())*($S337&lt;=TODAY()+7)+ISNUMBER($T337)*($T337&gt;=TODAY())*($T337&lt;=TODAY()+7)+ISNUMBER($U337)*($U337&gt;=TODAY())*($U337&lt;=TODAY()+7)+ISNUMBER($V337)*($V337&gt;=TODAY())*($V337&lt;=TODAY()+7)+ISNUMBER($O337)*($O337&gt;=TODAY())*($O337&lt;=TODAY()+7)+ISNUMBER($P337)*($P337&gt;=TODAY())*($P337&lt;=TODAY()+7)+ISNUMBER($X337)*($X337&gt;=TODAY())*($X337&lt;=TODAY()+7)+ISNUMBER($Y337)*($Y337&gt;=TODAY())*($Y337&lt;=TODAY()+7))</f>
        <v/>
      </c>
      <c r="J337" s="28">
        <f>IF(NOT(AND($A337&lt;&gt;"",OR($G337="",$G337="Active"))),"",IF($K337&lt;&gt;"",IF($L337=$K337,"Booking",IF($M337=$K337,"16/40",IF($N337=$K337,"25/40",IF($Q337=$K337,"28/40",IF($R337=$K337,"31/40",IF($S337=$K337,"34/40",IF($T337=$K337,"36/40",IF($U337=$K337,"38/40",IF($V337=$K337,"40/40",""))))))))),IF(IF(OR(ISNUMBER($V337),$V337="DNA"),$V337,IF(OR(ISNUMBER($U337),$U337="DNA"),$U337,IF(OR(ISNUMBER($T337),$T337="DNA"),$T337,IF(OR(ISNUMBER($S337),$S337="DNA"),$S337,IF(OR(ISNUMBER($R337),$R337="DNA"),$R337,IF(OR(ISNUMBER($Q337),$Q337="DNA"),$Q337,IF(OR(ISNUMBER($N337),$N337="DNA"),$N337,IF(OR(ISNUMBER($M337),$M337="DNA"),$M337,IF(OR(ISNUMBER($L337),$L337="DNA"),$L337,"")))))))))="DNA","Rebook DNA",IF(ISNUMBER(IF(OR(ISNUMBER($V337),$V337="DNA"),$V337,IF(OR(ISNUMBER($U337),$U337="DNA"),$U337,IF(OR(ISNUMBER($T337),$T337="DNA"),$T337,IF(OR(ISNUMBER($S337),$S337="DNA"),$S337,IF(OR(ISNUMBER($R337),$R337="DNA"),$R337,IF(OR(ISNUMBER($Q337),$Q337="DNA"),$Q337,IF(OR(ISNUMBER($N337),$N337="DNA"),$N337,IF(OR(ISNUMBER($M337),$M337="DNA"),$M337,IF(OR(ISNUMBER($L337),$L337="DNA"),$L337,"")))))))))),IF(ISNUMBER($V337),"Update status","Missed/not booked?"),""))))</f>
        <v/>
      </c>
      <c r="K337" s="29">
        <f>IF(NOT(AND($A337&lt;&gt;"",OR($G337="",$G337="Active"))),"",IF(MIN(IF(AND(ISNUMBER($L337),$L337&gt;=TODAY()),$L337,99999),IF(AND(ISNUMBER($M337),$M337&gt;=TODAY()),$M337,99999),IF(AND(ISNUMBER($N337),$N337&gt;=TODAY()),$N337,99999),IF(AND(ISNUMBER($Q337),$Q337&gt;=TODAY()),$Q337,99999),IF(AND(ISNUMBER($R337),$R337&gt;=TODAY()),$R337,99999),IF(AND(ISNUMBER($S337),$S337&gt;=TODAY()),$S337,99999),IF(AND(ISNUMBER($T337),$T337&gt;=TODAY()),$T337,99999),IF(AND(ISNUMBER($U337),$U337&gt;=TODAY()),$U337,99999),IF(AND(ISNUMBER($V337),$V337&gt;=TODAY()),$V337,99999))=99999,"",MIN(IF(AND(ISNUMBER($L337),$L337&gt;=TODAY()),$L337,99999),IF(AND(ISNUMBER($M337),$M337&gt;=TODAY()),$M337,99999),IF(AND(ISNUMBER($N337),$N337&gt;=TODAY()),$N337,99999),IF(AND(ISNUMBER($Q337),$Q337&gt;=TODAY()),$Q337,99999),IF(AND(ISNUMBER($R337),$R337&gt;=TODAY()),$R337,99999),IF(AND(ISNUMBER($S337),$S337&gt;=TODAY()),$S337,99999),IF(AND(ISNUMBER($T337),$T337&gt;=TODAY()),$T337,99999),IF(AND(ISNUMBER($U337),$U337&gt;=TODAY()),$U337,99999),IF(AND(ISNUMBER($V337),$V337&gt;=TODAY()),$V337,99999))))</f>
        <v/>
      </c>
      <c r="L337" s="27" t="n"/>
      <c r="M337" s="27" t="n"/>
      <c r="N337" s="27" t="n"/>
      <c r="O337" s="27" t="n"/>
      <c r="P337" s="27" t="n"/>
      <c r="Q337" s="27" t="n"/>
      <c r="R337" s="27" t="n"/>
      <c r="S337" s="27" t="n"/>
      <c r="T337" s="27" t="n"/>
      <c r="U337" s="27" t="n"/>
      <c r="V337" s="27" t="n"/>
      <c r="W337" s="27" t="n"/>
      <c r="X337" s="27" t="n"/>
      <c r="Y337" s="27" t="n"/>
      <c r="Z337" s="30" t="n"/>
      <c r="AA337" s="25" t="n"/>
      <c r="AB337" s="28">
        <f>IF(NOT(AND($A337&lt;&gt;"",OR($G337="",$G337="Active"))),"",IF(OR(IF(OR(ISNUMBER($V337),$V337="DNA"),$V337,IF(OR(ISNUMBER($U337),$U337="DNA"),$U337,IF(OR(ISNUMBER($T337),$T337="DNA"),$T337,IF(OR(ISNUMBER($S337),$S337="DNA"),$S337,IF(OR(ISNUMBER($R337),$R337="DNA"),$R337,IF(OR(ISNUMBER($Q337),$Q337="DNA"),$Q337,IF(OR(ISNUMBER($N337),$N337="DNA"),$N337,IF(OR(ISNUMBER($M337),$M337="DNA"),$M337,IF(OR(ISNUMBER($L337),$L337="DNA"),$L337,"")))))))))="DNA",AND(ISNUMBER(IF(OR(ISNUMBER($V337),$V337="DNA"),$V337,IF(OR(ISNUMBER($U337),$U337="DNA"),$U337,IF(OR(ISNUMBER($T337),$T337="DNA"),$T337,IF(OR(ISNUMBER($S337),$S337="DNA"),$S337,IF(OR(ISNUMBER($R337),$R337="DNA"),$R337,IF(OR(ISNUMBER($Q337),$Q337="DNA"),$Q337,IF(OR(ISNUMBER($N337),$N337="DNA"),$N337,IF(OR(ISNUMBER($M337),$M337="DNA"),$M337,IF(OR(ISNUMBER($L337),$L337="DNA"),$L337,"")))))))))),IF(OR(ISNUMBER($V337),$V337="DNA"),$V337,IF(OR(ISNUMBER($U337),$U337="DNA"),$U337,IF(OR(ISNUMBER($T337),$T337="DNA"),$T337,IF(OR(ISNUMBER($S337),$S337="DNA"),$S337,IF(OR(ISNUMBER($R337),$R337="DNA"),$R337,IF(OR(ISNUMBER($Q337),$Q337="DNA"),$Q337,IF(OR(ISNUMBER($N337),$N337="DNA"),$N337,IF(OR(ISNUMBER($M337),$M337="DNA"),$M337,IF(OR(ISNUMBER($L337),$L337="DNA"),$L337,"")))))))))&lt;TODAY())),1,0)+ISNUMBER($O337)*($O337&lt;TODAY())+ISNUMBER($P337)*($P337&lt;TODAY())+ISNUMBER($X337)*($X337&lt;TODAY())+ISNUMBER($Y337)*($Y337&lt;TODAY()))</f>
        <v/>
      </c>
    </row>
    <row r="338">
      <c r="A338" s="25" t="n"/>
      <c r="B338" s="26" t="n"/>
      <c r="C338" s="27" t="n"/>
      <c r="D338" s="25" t="n"/>
      <c r="E338" s="25" t="n"/>
      <c r="F338" s="27" t="n"/>
      <c r="G338" s="25" t="n"/>
      <c r="H338" s="28">
        <f>IF(OR(NOT(AND($A338&lt;&gt;"",OR($G338="",$G338="Active"))),$F338=""),"",INT((TODAY()-$F338+280)/7)&amp;"+"&amp;MOD(TODAY()-$F338+280,7))</f>
        <v/>
      </c>
      <c r="I338" s="28">
        <f>IF(NOT(AND($A338&lt;&gt;"",OR($G338="",$G338="Active"))),"",ISNUMBER($L338)*($L338&gt;=TODAY())*($L338&lt;=TODAY()+7)+ISNUMBER($M338)*($M338&gt;=TODAY())*($M338&lt;=TODAY()+7)+ISNUMBER($N338)*($N338&gt;=TODAY())*($N338&lt;=TODAY()+7)+ISNUMBER($Q338)*($Q338&gt;=TODAY())*($Q338&lt;=TODAY()+7)+ISNUMBER($R338)*($R338&gt;=TODAY())*($R338&lt;=TODAY()+7)+ISNUMBER($S338)*($S338&gt;=TODAY())*($S338&lt;=TODAY()+7)+ISNUMBER($T338)*($T338&gt;=TODAY())*($T338&lt;=TODAY()+7)+ISNUMBER($U338)*($U338&gt;=TODAY())*($U338&lt;=TODAY()+7)+ISNUMBER($V338)*($V338&gt;=TODAY())*($V338&lt;=TODAY()+7)+ISNUMBER($O338)*($O338&gt;=TODAY())*($O338&lt;=TODAY()+7)+ISNUMBER($P338)*($P338&gt;=TODAY())*($P338&lt;=TODAY()+7)+ISNUMBER($X338)*($X338&gt;=TODAY())*($X338&lt;=TODAY()+7)+ISNUMBER($Y338)*($Y338&gt;=TODAY())*($Y338&lt;=TODAY()+7))</f>
        <v/>
      </c>
      <c r="J338" s="28">
        <f>IF(NOT(AND($A338&lt;&gt;"",OR($G338="",$G338="Active"))),"",IF($K338&lt;&gt;"",IF($L338=$K338,"Booking",IF($M338=$K338,"16/40",IF($N338=$K338,"25/40",IF($Q338=$K338,"28/40",IF($R338=$K338,"31/40",IF($S338=$K338,"34/40",IF($T338=$K338,"36/40",IF($U338=$K338,"38/40",IF($V338=$K338,"40/40",""))))))))),IF(IF(OR(ISNUMBER($V338),$V338="DNA"),$V338,IF(OR(ISNUMBER($U338),$U338="DNA"),$U338,IF(OR(ISNUMBER($T338),$T338="DNA"),$T338,IF(OR(ISNUMBER($S338),$S338="DNA"),$S338,IF(OR(ISNUMBER($R338),$R338="DNA"),$R338,IF(OR(ISNUMBER($Q338),$Q338="DNA"),$Q338,IF(OR(ISNUMBER($N338),$N338="DNA"),$N338,IF(OR(ISNUMBER($M338),$M338="DNA"),$M338,IF(OR(ISNUMBER($L338),$L338="DNA"),$L338,"")))))))))="DNA","Rebook DNA",IF(ISNUMBER(IF(OR(ISNUMBER($V338),$V338="DNA"),$V338,IF(OR(ISNUMBER($U338),$U338="DNA"),$U338,IF(OR(ISNUMBER($T338),$T338="DNA"),$T338,IF(OR(ISNUMBER($S338),$S338="DNA"),$S338,IF(OR(ISNUMBER($R338),$R338="DNA"),$R338,IF(OR(ISNUMBER($Q338),$Q338="DNA"),$Q338,IF(OR(ISNUMBER($N338),$N338="DNA"),$N338,IF(OR(ISNUMBER($M338),$M338="DNA"),$M338,IF(OR(ISNUMBER($L338),$L338="DNA"),$L338,"")))))))))),IF(ISNUMBER($V338),"Update status","Missed/not booked?"),""))))</f>
        <v/>
      </c>
      <c r="K338" s="29">
        <f>IF(NOT(AND($A338&lt;&gt;"",OR($G338="",$G338="Active"))),"",IF(MIN(IF(AND(ISNUMBER($L338),$L338&gt;=TODAY()),$L338,99999),IF(AND(ISNUMBER($M338),$M338&gt;=TODAY()),$M338,99999),IF(AND(ISNUMBER($N338),$N338&gt;=TODAY()),$N338,99999),IF(AND(ISNUMBER($Q338),$Q338&gt;=TODAY()),$Q338,99999),IF(AND(ISNUMBER($R338),$R338&gt;=TODAY()),$R338,99999),IF(AND(ISNUMBER($S338),$S338&gt;=TODAY()),$S338,99999),IF(AND(ISNUMBER($T338),$T338&gt;=TODAY()),$T338,99999),IF(AND(ISNUMBER($U338),$U338&gt;=TODAY()),$U338,99999),IF(AND(ISNUMBER($V338),$V338&gt;=TODAY()),$V338,99999))=99999,"",MIN(IF(AND(ISNUMBER($L338),$L338&gt;=TODAY()),$L338,99999),IF(AND(ISNUMBER($M338),$M338&gt;=TODAY()),$M338,99999),IF(AND(ISNUMBER($N338),$N338&gt;=TODAY()),$N338,99999),IF(AND(ISNUMBER($Q338),$Q338&gt;=TODAY()),$Q338,99999),IF(AND(ISNUMBER($R338),$R338&gt;=TODAY()),$R338,99999),IF(AND(ISNUMBER($S338),$S338&gt;=TODAY()),$S338,99999),IF(AND(ISNUMBER($T338),$T338&gt;=TODAY()),$T338,99999),IF(AND(ISNUMBER($U338),$U338&gt;=TODAY()),$U338,99999),IF(AND(ISNUMBER($V338),$V338&gt;=TODAY()),$V338,99999))))</f>
        <v/>
      </c>
      <c r="L338" s="27" t="n"/>
      <c r="M338" s="27" t="n"/>
      <c r="N338" s="27" t="n"/>
      <c r="O338" s="27" t="n"/>
      <c r="P338" s="27" t="n"/>
      <c r="Q338" s="27" t="n"/>
      <c r="R338" s="27" t="n"/>
      <c r="S338" s="27" t="n"/>
      <c r="T338" s="27" t="n"/>
      <c r="U338" s="27" t="n"/>
      <c r="V338" s="27" t="n"/>
      <c r="W338" s="27" t="n"/>
      <c r="X338" s="27" t="n"/>
      <c r="Y338" s="27" t="n"/>
      <c r="Z338" s="30" t="n"/>
      <c r="AA338" s="25" t="n"/>
      <c r="AB338" s="28">
        <f>IF(NOT(AND($A338&lt;&gt;"",OR($G338="",$G338="Active"))),"",IF(OR(IF(OR(ISNUMBER($V338),$V338="DNA"),$V338,IF(OR(ISNUMBER($U338),$U338="DNA"),$U338,IF(OR(ISNUMBER($T338),$T338="DNA"),$T338,IF(OR(ISNUMBER($S338),$S338="DNA"),$S338,IF(OR(ISNUMBER($R338),$R338="DNA"),$R338,IF(OR(ISNUMBER($Q338),$Q338="DNA"),$Q338,IF(OR(ISNUMBER($N338),$N338="DNA"),$N338,IF(OR(ISNUMBER($M338),$M338="DNA"),$M338,IF(OR(ISNUMBER($L338),$L338="DNA"),$L338,"")))))))))="DNA",AND(ISNUMBER(IF(OR(ISNUMBER($V338),$V338="DNA"),$V338,IF(OR(ISNUMBER($U338),$U338="DNA"),$U338,IF(OR(ISNUMBER($T338),$T338="DNA"),$T338,IF(OR(ISNUMBER($S338),$S338="DNA"),$S338,IF(OR(ISNUMBER($R338),$R338="DNA"),$R338,IF(OR(ISNUMBER($Q338),$Q338="DNA"),$Q338,IF(OR(ISNUMBER($N338),$N338="DNA"),$N338,IF(OR(ISNUMBER($M338),$M338="DNA"),$M338,IF(OR(ISNUMBER($L338),$L338="DNA"),$L338,"")))))))))),IF(OR(ISNUMBER($V338),$V338="DNA"),$V338,IF(OR(ISNUMBER($U338),$U338="DNA"),$U338,IF(OR(ISNUMBER($T338),$T338="DNA"),$T338,IF(OR(ISNUMBER($S338),$S338="DNA"),$S338,IF(OR(ISNUMBER($R338),$R338="DNA"),$R338,IF(OR(ISNUMBER($Q338),$Q338="DNA"),$Q338,IF(OR(ISNUMBER($N338),$N338="DNA"),$N338,IF(OR(ISNUMBER($M338),$M338="DNA"),$M338,IF(OR(ISNUMBER($L338),$L338="DNA"),$L338,"")))))))))&lt;TODAY())),1,0)+ISNUMBER($O338)*($O338&lt;TODAY())+ISNUMBER($P338)*($P338&lt;TODAY())+ISNUMBER($X338)*($X338&lt;TODAY())+ISNUMBER($Y338)*($Y338&lt;TODAY()))</f>
        <v/>
      </c>
    </row>
    <row r="339">
      <c r="A339" s="25" t="n"/>
      <c r="B339" s="26" t="n"/>
      <c r="C339" s="27" t="n"/>
      <c r="D339" s="25" t="n"/>
      <c r="E339" s="25" t="n"/>
      <c r="F339" s="27" t="n"/>
      <c r="G339" s="25" t="n"/>
      <c r="H339" s="28">
        <f>IF(OR(NOT(AND($A339&lt;&gt;"",OR($G339="",$G339="Active"))),$F339=""),"",INT((TODAY()-$F339+280)/7)&amp;"+"&amp;MOD(TODAY()-$F339+280,7))</f>
        <v/>
      </c>
      <c r="I339" s="28">
        <f>IF(NOT(AND($A339&lt;&gt;"",OR($G339="",$G339="Active"))),"",ISNUMBER($L339)*($L339&gt;=TODAY())*($L339&lt;=TODAY()+7)+ISNUMBER($M339)*($M339&gt;=TODAY())*($M339&lt;=TODAY()+7)+ISNUMBER($N339)*($N339&gt;=TODAY())*($N339&lt;=TODAY()+7)+ISNUMBER($Q339)*($Q339&gt;=TODAY())*($Q339&lt;=TODAY()+7)+ISNUMBER($R339)*($R339&gt;=TODAY())*($R339&lt;=TODAY()+7)+ISNUMBER($S339)*($S339&gt;=TODAY())*($S339&lt;=TODAY()+7)+ISNUMBER($T339)*($T339&gt;=TODAY())*($T339&lt;=TODAY()+7)+ISNUMBER($U339)*($U339&gt;=TODAY())*($U339&lt;=TODAY()+7)+ISNUMBER($V339)*($V339&gt;=TODAY())*($V339&lt;=TODAY()+7)+ISNUMBER($O339)*($O339&gt;=TODAY())*($O339&lt;=TODAY()+7)+ISNUMBER($P339)*($P339&gt;=TODAY())*($P339&lt;=TODAY()+7)+ISNUMBER($X339)*($X339&gt;=TODAY())*($X339&lt;=TODAY()+7)+ISNUMBER($Y339)*($Y339&gt;=TODAY())*($Y339&lt;=TODAY()+7))</f>
        <v/>
      </c>
      <c r="J339" s="28">
        <f>IF(NOT(AND($A339&lt;&gt;"",OR($G339="",$G339="Active"))),"",IF($K339&lt;&gt;"",IF($L339=$K339,"Booking",IF($M339=$K339,"16/40",IF($N339=$K339,"25/40",IF($Q339=$K339,"28/40",IF($R339=$K339,"31/40",IF($S339=$K339,"34/40",IF($T339=$K339,"36/40",IF($U339=$K339,"38/40",IF($V339=$K339,"40/40",""))))))))),IF(IF(OR(ISNUMBER($V339),$V339="DNA"),$V339,IF(OR(ISNUMBER($U339),$U339="DNA"),$U339,IF(OR(ISNUMBER($T339),$T339="DNA"),$T339,IF(OR(ISNUMBER($S339),$S339="DNA"),$S339,IF(OR(ISNUMBER($R339),$R339="DNA"),$R339,IF(OR(ISNUMBER($Q339),$Q339="DNA"),$Q339,IF(OR(ISNUMBER($N339),$N339="DNA"),$N339,IF(OR(ISNUMBER($M339),$M339="DNA"),$M339,IF(OR(ISNUMBER($L339),$L339="DNA"),$L339,"")))))))))="DNA","Rebook DNA",IF(ISNUMBER(IF(OR(ISNUMBER($V339),$V339="DNA"),$V339,IF(OR(ISNUMBER($U339),$U339="DNA"),$U339,IF(OR(ISNUMBER($T339),$T339="DNA"),$T339,IF(OR(ISNUMBER($S339),$S339="DNA"),$S339,IF(OR(ISNUMBER($R339),$R339="DNA"),$R339,IF(OR(ISNUMBER($Q339),$Q339="DNA"),$Q339,IF(OR(ISNUMBER($N339),$N339="DNA"),$N339,IF(OR(ISNUMBER($M339),$M339="DNA"),$M339,IF(OR(ISNUMBER($L339),$L339="DNA"),$L339,"")))))))))),IF(ISNUMBER($V339),"Update status","Missed/not booked?"),""))))</f>
        <v/>
      </c>
      <c r="K339" s="29">
        <f>IF(NOT(AND($A339&lt;&gt;"",OR($G339="",$G339="Active"))),"",IF(MIN(IF(AND(ISNUMBER($L339),$L339&gt;=TODAY()),$L339,99999),IF(AND(ISNUMBER($M339),$M339&gt;=TODAY()),$M339,99999),IF(AND(ISNUMBER($N339),$N339&gt;=TODAY()),$N339,99999),IF(AND(ISNUMBER($Q339),$Q339&gt;=TODAY()),$Q339,99999),IF(AND(ISNUMBER($R339),$R339&gt;=TODAY()),$R339,99999),IF(AND(ISNUMBER($S339),$S339&gt;=TODAY()),$S339,99999),IF(AND(ISNUMBER($T339),$T339&gt;=TODAY()),$T339,99999),IF(AND(ISNUMBER($U339),$U339&gt;=TODAY()),$U339,99999),IF(AND(ISNUMBER($V339),$V339&gt;=TODAY()),$V339,99999))=99999,"",MIN(IF(AND(ISNUMBER($L339),$L339&gt;=TODAY()),$L339,99999),IF(AND(ISNUMBER($M339),$M339&gt;=TODAY()),$M339,99999),IF(AND(ISNUMBER($N339),$N339&gt;=TODAY()),$N339,99999),IF(AND(ISNUMBER($Q339),$Q339&gt;=TODAY()),$Q339,99999),IF(AND(ISNUMBER($R339),$R339&gt;=TODAY()),$R339,99999),IF(AND(ISNUMBER($S339),$S339&gt;=TODAY()),$S339,99999),IF(AND(ISNUMBER($T339),$T339&gt;=TODAY()),$T339,99999),IF(AND(ISNUMBER($U339),$U339&gt;=TODAY()),$U339,99999),IF(AND(ISNUMBER($V339),$V339&gt;=TODAY()),$V339,99999))))</f>
        <v/>
      </c>
      <c r="L339" s="27" t="n"/>
      <c r="M339" s="27" t="n"/>
      <c r="N339" s="27" t="n"/>
      <c r="O339" s="27" t="n"/>
      <c r="P339" s="27" t="n"/>
      <c r="Q339" s="27" t="n"/>
      <c r="R339" s="27" t="n"/>
      <c r="S339" s="27" t="n"/>
      <c r="T339" s="27" t="n"/>
      <c r="U339" s="27" t="n"/>
      <c r="V339" s="27" t="n"/>
      <c r="W339" s="27" t="n"/>
      <c r="X339" s="27" t="n"/>
      <c r="Y339" s="27" t="n"/>
      <c r="Z339" s="30" t="n"/>
      <c r="AA339" s="25" t="n"/>
      <c r="AB339" s="28">
        <f>IF(NOT(AND($A339&lt;&gt;"",OR($G339="",$G339="Active"))),"",IF(OR(IF(OR(ISNUMBER($V339),$V339="DNA"),$V339,IF(OR(ISNUMBER($U339),$U339="DNA"),$U339,IF(OR(ISNUMBER($T339),$T339="DNA"),$T339,IF(OR(ISNUMBER($S339),$S339="DNA"),$S339,IF(OR(ISNUMBER($R339),$R339="DNA"),$R339,IF(OR(ISNUMBER($Q339),$Q339="DNA"),$Q339,IF(OR(ISNUMBER($N339),$N339="DNA"),$N339,IF(OR(ISNUMBER($M339),$M339="DNA"),$M339,IF(OR(ISNUMBER($L339),$L339="DNA"),$L339,"")))))))))="DNA",AND(ISNUMBER(IF(OR(ISNUMBER($V339),$V339="DNA"),$V339,IF(OR(ISNUMBER($U339),$U339="DNA"),$U339,IF(OR(ISNUMBER($T339),$T339="DNA"),$T339,IF(OR(ISNUMBER($S339),$S339="DNA"),$S339,IF(OR(ISNUMBER($R339),$R339="DNA"),$R339,IF(OR(ISNUMBER($Q339),$Q339="DNA"),$Q339,IF(OR(ISNUMBER($N339),$N339="DNA"),$N339,IF(OR(ISNUMBER($M339),$M339="DNA"),$M339,IF(OR(ISNUMBER($L339),$L339="DNA"),$L339,"")))))))))),IF(OR(ISNUMBER($V339),$V339="DNA"),$V339,IF(OR(ISNUMBER($U339),$U339="DNA"),$U339,IF(OR(ISNUMBER($T339),$T339="DNA"),$T339,IF(OR(ISNUMBER($S339),$S339="DNA"),$S339,IF(OR(ISNUMBER($R339),$R339="DNA"),$R339,IF(OR(ISNUMBER($Q339),$Q339="DNA"),$Q339,IF(OR(ISNUMBER($N339),$N339="DNA"),$N339,IF(OR(ISNUMBER($M339),$M339="DNA"),$M339,IF(OR(ISNUMBER($L339),$L339="DNA"),$L339,"")))))))))&lt;TODAY())),1,0)+ISNUMBER($O339)*($O339&lt;TODAY())+ISNUMBER($P339)*($P339&lt;TODAY())+ISNUMBER($X339)*($X339&lt;TODAY())+ISNUMBER($Y339)*($Y339&lt;TODAY()))</f>
        <v/>
      </c>
    </row>
    <row r="340">
      <c r="A340" s="25" t="n"/>
      <c r="B340" s="26" t="n"/>
      <c r="C340" s="27" t="n"/>
      <c r="D340" s="25" t="n"/>
      <c r="E340" s="25" t="n"/>
      <c r="F340" s="27" t="n"/>
      <c r="G340" s="25" t="n"/>
      <c r="H340" s="28">
        <f>IF(OR(NOT(AND($A340&lt;&gt;"",OR($G340="",$G340="Active"))),$F340=""),"",INT((TODAY()-$F340+280)/7)&amp;"+"&amp;MOD(TODAY()-$F340+280,7))</f>
        <v/>
      </c>
      <c r="I340" s="28">
        <f>IF(NOT(AND($A340&lt;&gt;"",OR($G340="",$G340="Active"))),"",ISNUMBER($L340)*($L340&gt;=TODAY())*($L340&lt;=TODAY()+7)+ISNUMBER($M340)*($M340&gt;=TODAY())*($M340&lt;=TODAY()+7)+ISNUMBER($N340)*($N340&gt;=TODAY())*($N340&lt;=TODAY()+7)+ISNUMBER($Q340)*($Q340&gt;=TODAY())*($Q340&lt;=TODAY()+7)+ISNUMBER($R340)*($R340&gt;=TODAY())*($R340&lt;=TODAY()+7)+ISNUMBER($S340)*($S340&gt;=TODAY())*($S340&lt;=TODAY()+7)+ISNUMBER($T340)*($T340&gt;=TODAY())*($T340&lt;=TODAY()+7)+ISNUMBER($U340)*($U340&gt;=TODAY())*($U340&lt;=TODAY()+7)+ISNUMBER($V340)*($V340&gt;=TODAY())*($V340&lt;=TODAY()+7)+ISNUMBER($O340)*($O340&gt;=TODAY())*($O340&lt;=TODAY()+7)+ISNUMBER($P340)*($P340&gt;=TODAY())*($P340&lt;=TODAY()+7)+ISNUMBER($X340)*($X340&gt;=TODAY())*($X340&lt;=TODAY()+7)+ISNUMBER($Y340)*($Y340&gt;=TODAY())*($Y340&lt;=TODAY()+7))</f>
        <v/>
      </c>
      <c r="J340" s="28">
        <f>IF(NOT(AND($A340&lt;&gt;"",OR($G340="",$G340="Active"))),"",IF($K340&lt;&gt;"",IF($L340=$K340,"Booking",IF($M340=$K340,"16/40",IF($N340=$K340,"25/40",IF($Q340=$K340,"28/40",IF($R340=$K340,"31/40",IF($S340=$K340,"34/40",IF($T340=$K340,"36/40",IF($U340=$K340,"38/40",IF($V340=$K340,"40/40",""))))))))),IF(IF(OR(ISNUMBER($V340),$V340="DNA"),$V340,IF(OR(ISNUMBER($U340),$U340="DNA"),$U340,IF(OR(ISNUMBER($T340),$T340="DNA"),$T340,IF(OR(ISNUMBER($S340),$S340="DNA"),$S340,IF(OR(ISNUMBER($R340),$R340="DNA"),$R340,IF(OR(ISNUMBER($Q340),$Q340="DNA"),$Q340,IF(OR(ISNUMBER($N340),$N340="DNA"),$N340,IF(OR(ISNUMBER($M340),$M340="DNA"),$M340,IF(OR(ISNUMBER($L340),$L340="DNA"),$L340,"")))))))))="DNA","Rebook DNA",IF(ISNUMBER(IF(OR(ISNUMBER($V340),$V340="DNA"),$V340,IF(OR(ISNUMBER($U340),$U340="DNA"),$U340,IF(OR(ISNUMBER($T340),$T340="DNA"),$T340,IF(OR(ISNUMBER($S340),$S340="DNA"),$S340,IF(OR(ISNUMBER($R340),$R340="DNA"),$R340,IF(OR(ISNUMBER($Q340),$Q340="DNA"),$Q340,IF(OR(ISNUMBER($N340),$N340="DNA"),$N340,IF(OR(ISNUMBER($M340),$M340="DNA"),$M340,IF(OR(ISNUMBER($L340),$L340="DNA"),$L340,"")))))))))),IF(ISNUMBER($V340),"Update status","Missed/not booked?"),""))))</f>
        <v/>
      </c>
      <c r="K340" s="29">
        <f>IF(NOT(AND($A340&lt;&gt;"",OR($G340="",$G340="Active"))),"",IF(MIN(IF(AND(ISNUMBER($L340),$L340&gt;=TODAY()),$L340,99999),IF(AND(ISNUMBER($M340),$M340&gt;=TODAY()),$M340,99999),IF(AND(ISNUMBER($N340),$N340&gt;=TODAY()),$N340,99999),IF(AND(ISNUMBER($Q340),$Q340&gt;=TODAY()),$Q340,99999),IF(AND(ISNUMBER($R340),$R340&gt;=TODAY()),$R340,99999),IF(AND(ISNUMBER($S340),$S340&gt;=TODAY()),$S340,99999),IF(AND(ISNUMBER($T340),$T340&gt;=TODAY()),$T340,99999),IF(AND(ISNUMBER($U340),$U340&gt;=TODAY()),$U340,99999),IF(AND(ISNUMBER($V340),$V340&gt;=TODAY()),$V340,99999))=99999,"",MIN(IF(AND(ISNUMBER($L340),$L340&gt;=TODAY()),$L340,99999),IF(AND(ISNUMBER($M340),$M340&gt;=TODAY()),$M340,99999),IF(AND(ISNUMBER($N340),$N340&gt;=TODAY()),$N340,99999),IF(AND(ISNUMBER($Q340),$Q340&gt;=TODAY()),$Q340,99999),IF(AND(ISNUMBER($R340),$R340&gt;=TODAY()),$R340,99999),IF(AND(ISNUMBER($S340),$S340&gt;=TODAY()),$S340,99999),IF(AND(ISNUMBER($T340),$T340&gt;=TODAY()),$T340,99999),IF(AND(ISNUMBER($U340),$U340&gt;=TODAY()),$U340,99999),IF(AND(ISNUMBER($V340),$V340&gt;=TODAY()),$V340,99999))))</f>
        <v/>
      </c>
      <c r="L340" s="27" t="n"/>
      <c r="M340" s="27" t="n"/>
      <c r="N340" s="27" t="n"/>
      <c r="O340" s="27" t="n"/>
      <c r="P340" s="27" t="n"/>
      <c r="Q340" s="27" t="n"/>
      <c r="R340" s="27" t="n"/>
      <c r="S340" s="27" t="n"/>
      <c r="T340" s="27" t="n"/>
      <c r="U340" s="27" t="n"/>
      <c r="V340" s="27" t="n"/>
      <c r="W340" s="27" t="n"/>
      <c r="X340" s="27" t="n"/>
      <c r="Y340" s="27" t="n"/>
      <c r="Z340" s="30" t="n"/>
      <c r="AA340" s="25" t="n"/>
      <c r="AB340" s="28">
        <f>IF(NOT(AND($A340&lt;&gt;"",OR($G340="",$G340="Active"))),"",IF(OR(IF(OR(ISNUMBER($V340),$V340="DNA"),$V340,IF(OR(ISNUMBER($U340),$U340="DNA"),$U340,IF(OR(ISNUMBER($T340),$T340="DNA"),$T340,IF(OR(ISNUMBER($S340),$S340="DNA"),$S340,IF(OR(ISNUMBER($R340),$R340="DNA"),$R340,IF(OR(ISNUMBER($Q340),$Q340="DNA"),$Q340,IF(OR(ISNUMBER($N340),$N340="DNA"),$N340,IF(OR(ISNUMBER($M340),$M340="DNA"),$M340,IF(OR(ISNUMBER($L340),$L340="DNA"),$L340,"")))))))))="DNA",AND(ISNUMBER(IF(OR(ISNUMBER($V340),$V340="DNA"),$V340,IF(OR(ISNUMBER($U340),$U340="DNA"),$U340,IF(OR(ISNUMBER($T340),$T340="DNA"),$T340,IF(OR(ISNUMBER($S340),$S340="DNA"),$S340,IF(OR(ISNUMBER($R340),$R340="DNA"),$R340,IF(OR(ISNUMBER($Q340),$Q340="DNA"),$Q340,IF(OR(ISNUMBER($N340),$N340="DNA"),$N340,IF(OR(ISNUMBER($M340),$M340="DNA"),$M340,IF(OR(ISNUMBER($L340),$L340="DNA"),$L340,"")))))))))),IF(OR(ISNUMBER($V340),$V340="DNA"),$V340,IF(OR(ISNUMBER($U340),$U340="DNA"),$U340,IF(OR(ISNUMBER($T340),$T340="DNA"),$T340,IF(OR(ISNUMBER($S340),$S340="DNA"),$S340,IF(OR(ISNUMBER($R340),$R340="DNA"),$R340,IF(OR(ISNUMBER($Q340),$Q340="DNA"),$Q340,IF(OR(ISNUMBER($N340),$N340="DNA"),$N340,IF(OR(ISNUMBER($M340),$M340="DNA"),$M340,IF(OR(ISNUMBER($L340),$L340="DNA"),$L340,"")))))))))&lt;TODAY())),1,0)+ISNUMBER($O340)*($O340&lt;TODAY())+ISNUMBER($P340)*($P340&lt;TODAY())+ISNUMBER($X340)*($X340&lt;TODAY())+ISNUMBER($Y340)*($Y340&lt;TODAY()))</f>
        <v/>
      </c>
    </row>
    <row r="341">
      <c r="A341" s="25" t="n"/>
      <c r="B341" s="26" t="n"/>
      <c r="C341" s="27" t="n"/>
      <c r="D341" s="25" t="n"/>
      <c r="E341" s="25" t="n"/>
      <c r="F341" s="27" t="n"/>
      <c r="G341" s="25" t="n"/>
      <c r="H341" s="28">
        <f>IF(OR(NOT(AND($A341&lt;&gt;"",OR($G341="",$G341="Active"))),$F341=""),"",INT((TODAY()-$F341+280)/7)&amp;"+"&amp;MOD(TODAY()-$F341+280,7))</f>
        <v/>
      </c>
      <c r="I341" s="28">
        <f>IF(NOT(AND($A341&lt;&gt;"",OR($G341="",$G341="Active"))),"",ISNUMBER($L341)*($L341&gt;=TODAY())*($L341&lt;=TODAY()+7)+ISNUMBER($M341)*($M341&gt;=TODAY())*($M341&lt;=TODAY()+7)+ISNUMBER($N341)*($N341&gt;=TODAY())*($N341&lt;=TODAY()+7)+ISNUMBER($Q341)*($Q341&gt;=TODAY())*($Q341&lt;=TODAY()+7)+ISNUMBER($R341)*($R341&gt;=TODAY())*($R341&lt;=TODAY()+7)+ISNUMBER($S341)*($S341&gt;=TODAY())*($S341&lt;=TODAY()+7)+ISNUMBER($T341)*($T341&gt;=TODAY())*($T341&lt;=TODAY()+7)+ISNUMBER($U341)*($U341&gt;=TODAY())*($U341&lt;=TODAY()+7)+ISNUMBER($V341)*($V341&gt;=TODAY())*($V341&lt;=TODAY()+7)+ISNUMBER($O341)*($O341&gt;=TODAY())*($O341&lt;=TODAY()+7)+ISNUMBER($P341)*($P341&gt;=TODAY())*($P341&lt;=TODAY()+7)+ISNUMBER($X341)*($X341&gt;=TODAY())*($X341&lt;=TODAY()+7)+ISNUMBER($Y341)*($Y341&gt;=TODAY())*($Y341&lt;=TODAY()+7))</f>
        <v/>
      </c>
      <c r="J341" s="28">
        <f>IF(NOT(AND($A341&lt;&gt;"",OR($G341="",$G341="Active"))),"",IF($K341&lt;&gt;"",IF($L341=$K341,"Booking",IF($M341=$K341,"16/40",IF($N341=$K341,"25/40",IF($Q341=$K341,"28/40",IF($R341=$K341,"31/40",IF($S341=$K341,"34/40",IF($T341=$K341,"36/40",IF($U341=$K341,"38/40",IF($V341=$K341,"40/40",""))))))))),IF(IF(OR(ISNUMBER($V341),$V341="DNA"),$V341,IF(OR(ISNUMBER($U341),$U341="DNA"),$U341,IF(OR(ISNUMBER($T341),$T341="DNA"),$T341,IF(OR(ISNUMBER($S341),$S341="DNA"),$S341,IF(OR(ISNUMBER($R341),$R341="DNA"),$R341,IF(OR(ISNUMBER($Q341),$Q341="DNA"),$Q341,IF(OR(ISNUMBER($N341),$N341="DNA"),$N341,IF(OR(ISNUMBER($M341),$M341="DNA"),$M341,IF(OR(ISNUMBER($L341),$L341="DNA"),$L341,"")))))))))="DNA","Rebook DNA",IF(ISNUMBER(IF(OR(ISNUMBER($V341),$V341="DNA"),$V341,IF(OR(ISNUMBER($U341),$U341="DNA"),$U341,IF(OR(ISNUMBER($T341),$T341="DNA"),$T341,IF(OR(ISNUMBER($S341),$S341="DNA"),$S341,IF(OR(ISNUMBER($R341),$R341="DNA"),$R341,IF(OR(ISNUMBER($Q341),$Q341="DNA"),$Q341,IF(OR(ISNUMBER($N341),$N341="DNA"),$N341,IF(OR(ISNUMBER($M341),$M341="DNA"),$M341,IF(OR(ISNUMBER($L341),$L341="DNA"),$L341,"")))))))))),IF(ISNUMBER($V341),"Update status","Missed/not booked?"),""))))</f>
        <v/>
      </c>
      <c r="K341" s="29">
        <f>IF(NOT(AND($A341&lt;&gt;"",OR($G341="",$G341="Active"))),"",IF(MIN(IF(AND(ISNUMBER($L341),$L341&gt;=TODAY()),$L341,99999),IF(AND(ISNUMBER($M341),$M341&gt;=TODAY()),$M341,99999),IF(AND(ISNUMBER($N341),$N341&gt;=TODAY()),$N341,99999),IF(AND(ISNUMBER($Q341),$Q341&gt;=TODAY()),$Q341,99999),IF(AND(ISNUMBER($R341),$R341&gt;=TODAY()),$R341,99999),IF(AND(ISNUMBER($S341),$S341&gt;=TODAY()),$S341,99999),IF(AND(ISNUMBER($T341),$T341&gt;=TODAY()),$T341,99999),IF(AND(ISNUMBER($U341),$U341&gt;=TODAY()),$U341,99999),IF(AND(ISNUMBER($V341),$V341&gt;=TODAY()),$V341,99999))=99999,"",MIN(IF(AND(ISNUMBER($L341),$L341&gt;=TODAY()),$L341,99999),IF(AND(ISNUMBER($M341),$M341&gt;=TODAY()),$M341,99999),IF(AND(ISNUMBER($N341),$N341&gt;=TODAY()),$N341,99999),IF(AND(ISNUMBER($Q341),$Q341&gt;=TODAY()),$Q341,99999),IF(AND(ISNUMBER($R341),$R341&gt;=TODAY()),$R341,99999),IF(AND(ISNUMBER($S341),$S341&gt;=TODAY()),$S341,99999),IF(AND(ISNUMBER($T341),$T341&gt;=TODAY()),$T341,99999),IF(AND(ISNUMBER($U341),$U341&gt;=TODAY()),$U341,99999),IF(AND(ISNUMBER($V341),$V341&gt;=TODAY()),$V341,99999))))</f>
        <v/>
      </c>
      <c r="L341" s="27" t="n"/>
      <c r="M341" s="27" t="n"/>
      <c r="N341" s="27" t="n"/>
      <c r="O341" s="27" t="n"/>
      <c r="P341" s="27" t="n"/>
      <c r="Q341" s="27" t="n"/>
      <c r="R341" s="27" t="n"/>
      <c r="S341" s="27" t="n"/>
      <c r="T341" s="27" t="n"/>
      <c r="U341" s="27" t="n"/>
      <c r="V341" s="27" t="n"/>
      <c r="W341" s="27" t="n"/>
      <c r="X341" s="27" t="n"/>
      <c r="Y341" s="27" t="n"/>
      <c r="Z341" s="30" t="n"/>
      <c r="AA341" s="25" t="n"/>
      <c r="AB341" s="28">
        <f>IF(NOT(AND($A341&lt;&gt;"",OR($G341="",$G341="Active"))),"",IF(OR(IF(OR(ISNUMBER($V341),$V341="DNA"),$V341,IF(OR(ISNUMBER($U341),$U341="DNA"),$U341,IF(OR(ISNUMBER($T341),$T341="DNA"),$T341,IF(OR(ISNUMBER($S341),$S341="DNA"),$S341,IF(OR(ISNUMBER($R341),$R341="DNA"),$R341,IF(OR(ISNUMBER($Q341),$Q341="DNA"),$Q341,IF(OR(ISNUMBER($N341),$N341="DNA"),$N341,IF(OR(ISNUMBER($M341),$M341="DNA"),$M341,IF(OR(ISNUMBER($L341),$L341="DNA"),$L341,"")))))))))="DNA",AND(ISNUMBER(IF(OR(ISNUMBER($V341),$V341="DNA"),$V341,IF(OR(ISNUMBER($U341),$U341="DNA"),$U341,IF(OR(ISNUMBER($T341),$T341="DNA"),$T341,IF(OR(ISNUMBER($S341),$S341="DNA"),$S341,IF(OR(ISNUMBER($R341),$R341="DNA"),$R341,IF(OR(ISNUMBER($Q341),$Q341="DNA"),$Q341,IF(OR(ISNUMBER($N341),$N341="DNA"),$N341,IF(OR(ISNUMBER($M341),$M341="DNA"),$M341,IF(OR(ISNUMBER($L341),$L341="DNA"),$L341,"")))))))))),IF(OR(ISNUMBER($V341),$V341="DNA"),$V341,IF(OR(ISNUMBER($U341),$U341="DNA"),$U341,IF(OR(ISNUMBER($T341),$T341="DNA"),$T341,IF(OR(ISNUMBER($S341),$S341="DNA"),$S341,IF(OR(ISNUMBER($R341),$R341="DNA"),$R341,IF(OR(ISNUMBER($Q341),$Q341="DNA"),$Q341,IF(OR(ISNUMBER($N341),$N341="DNA"),$N341,IF(OR(ISNUMBER($M341),$M341="DNA"),$M341,IF(OR(ISNUMBER($L341),$L341="DNA"),$L341,"")))))))))&lt;TODAY())),1,0)+ISNUMBER($O341)*($O341&lt;TODAY())+ISNUMBER($P341)*($P341&lt;TODAY())+ISNUMBER($X341)*($X341&lt;TODAY())+ISNUMBER($Y341)*($Y341&lt;TODAY()))</f>
        <v/>
      </c>
    </row>
    <row r="342">
      <c r="A342" s="25" t="n"/>
      <c r="B342" s="26" t="n"/>
      <c r="C342" s="27" t="n"/>
      <c r="D342" s="25" t="n"/>
      <c r="E342" s="25" t="n"/>
      <c r="F342" s="27" t="n"/>
      <c r="G342" s="25" t="n"/>
      <c r="H342" s="28">
        <f>IF(OR(NOT(AND($A342&lt;&gt;"",OR($G342="",$G342="Active"))),$F342=""),"",INT((TODAY()-$F342+280)/7)&amp;"+"&amp;MOD(TODAY()-$F342+280,7))</f>
        <v/>
      </c>
      <c r="I342" s="28">
        <f>IF(NOT(AND($A342&lt;&gt;"",OR($G342="",$G342="Active"))),"",ISNUMBER($L342)*($L342&gt;=TODAY())*($L342&lt;=TODAY()+7)+ISNUMBER($M342)*($M342&gt;=TODAY())*($M342&lt;=TODAY()+7)+ISNUMBER($N342)*($N342&gt;=TODAY())*($N342&lt;=TODAY()+7)+ISNUMBER($Q342)*($Q342&gt;=TODAY())*($Q342&lt;=TODAY()+7)+ISNUMBER($R342)*($R342&gt;=TODAY())*($R342&lt;=TODAY()+7)+ISNUMBER($S342)*($S342&gt;=TODAY())*($S342&lt;=TODAY()+7)+ISNUMBER($T342)*($T342&gt;=TODAY())*($T342&lt;=TODAY()+7)+ISNUMBER($U342)*($U342&gt;=TODAY())*($U342&lt;=TODAY()+7)+ISNUMBER($V342)*($V342&gt;=TODAY())*($V342&lt;=TODAY()+7)+ISNUMBER($O342)*($O342&gt;=TODAY())*($O342&lt;=TODAY()+7)+ISNUMBER($P342)*($P342&gt;=TODAY())*($P342&lt;=TODAY()+7)+ISNUMBER($X342)*($X342&gt;=TODAY())*($X342&lt;=TODAY()+7)+ISNUMBER($Y342)*($Y342&gt;=TODAY())*($Y342&lt;=TODAY()+7))</f>
        <v/>
      </c>
      <c r="J342" s="28">
        <f>IF(NOT(AND($A342&lt;&gt;"",OR($G342="",$G342="Active"))),"",IF($K342&lt;&gt;"",IF($L342=$K342,"Booking",IF($M342=$K342,"16/40",IF($N342=$K342,"25/40",IF($Q342=$K342,"28/40",IF($R342=$K342,"31/40",IF($S342=$K342,"34/40",IF($T342=$K342,"36/40",IF($U342=$K342,"38/40",IF($V342=$K342,"40/40",""))))))))),IF(IF(OR(ISNUMBER($V342),$V342="DNA"),$V342,IF(OR(ISNUMBER($U342),$U342="DNA"),$U342,IF(OR(ISNUMBER($T342),$T342="DNA"),$T342,IF(OR(ISNUMBER($S342),$S342="DNA"),$S342,IF(OR(ISNUMBER($R342),$R342="DNA"),$R342,IF(OR(ISNUMBER($Q342),$Q342="DNA"),$Q342,IF(OR(ISNUMBER($N342),$N342="DNA"),$N342,IF(OR(ISNUMBER($M342),$M342="DNA"),$M342,IF(OR(ISNUMBER($L342),$L342="DNA"),$L342,"")))))))))="DNA","Rebook DNA",IF(ISNUMBER(IF(OR(ISNUMBER($V342),$V342="DNA"),$V342,IF(OR(ISNUMBER($U342),$U342="DNA"),$U342,IF(OR(ISNUMBER($T342),$T342="DNA"),$T342,IF(OR(ISNUMBER($S342),$S342="DNA"),$S342,IF(OR(ISNUMBER($R342),$R342="DNA"),$R342,IF(OR(ISNUMBER($Q342),$Q342="DNA"),$Q342,IF(OR(ISNUMBER($N342),$N342="DNA"),$N342,IF(OR(ISNUMBER($M342),$M342="DNA"),$M342,IF(OR(ISNUMBER($L342),$L342="DNA"),$L342,"")))))))))),IF(ISNUMBER($V342),"Update status","Missed/not booked?"),""))))</f>
        <v/>
      </c>
      <c r="K342" s="29">
        <f>IF(NOT(AND($A342&lt;&gt;"",OR($G342="",$G342="Active"))),"",IF(MIN(IF(AND(ISNUMBER($L342),$L342&gt;=TODAY()),$L342,99999),IF(AND(ISNUMBER($M342),$M342&gt;=TODAY()),$M342,99999),IF(AND(ISNUMBER($N342),$N342&gt;=TODAY()),$N342,99999),IF(AND(ISNUMBER($Q342),$Q342&gt;=TODAY()),$Q342,99999),IF(AND(ISNUMBER($R342),$R342&gt;=TODAY()),$R342,99999),IF(AND(ISNUMBER($S342),$S342&gt;=TODAY()),$S342,99999),IF(AND(ISNUMBER($T342),$T342&gt;=TODAY()),$T342,99999),IF(AND(ISNUMBER($U342),$U342&gt;=TODAY()),$U342,99999),IF(AND(ISNUMBER($V342),$V342&gt;=TODAY()),$V342,99999))=99999,"",MIN(IF(AND(ISNUMBER($L342),$L342&gt;=TODAY()),$L342,99999),IF(AND(ISNUMBER($M342),$M342&gt;=TODAY()),$M342,99999),IF(AND(ISNUMBER($N342),$N342&gt;=TODAY()),$N342,99999),IF(AND(ISNUMBER($Q342),$Q342&gt;=TODAY()),$Q342,99999),IF(AND(ISNUMBER($R342),$R342&gt;=TODAY()),$R342,99999),IF(AND(ISNUMBER($S342),$S342&gt;=TODAY()),$S342,99999),IF(AND(ISNUMBER($T342),$T342&gt;=TODAY()),$T342,99999),IF(AND(ISNUMBER($U342),$U342&gt;=TODAY()),$U342,99999),IF(AND(ISNUMBER($V342),$V342&gt;=TODAY()),$V342,99999))))</f>
        <v/>
      </c>
      <c r="L342" s="27" t="n"/>
      <c r="M342" s="27" t="n"/>
      <c r="N342" s="27" t="n"/>
      <c r="O342" s="27" t="n"/>
      <c r="P342" s="27" t="n"/>
      <c r="Q342" s="27" t="n"/>
      <c r="R342" s="27" t="n"/>
      <c r="S342" s="27" t="n"/>
      <c r="T342" s="27" t="n"/>
      <c r="U342" s="27" t="n"/>
      <c r="V342" s="27" t="n"/>
      <c r="W342" s="27" t="n"/>
      <c r="X342" s="27" t="n"/>
      <c r="Y342" s="27" t="n"/>
      <c r="Z342" s="30" t="n"/>
      <c r="AA342" s="25" t="n"/>
      <c r="AB342" s="28">
        <f>IF(NOT(AND($A342&lt;&gt;"",OR($G342="",$G342="Active"))),"",IF(OR(IF(OR(ISNUMBER($V342),$V342="DNA"),$V342,IF(OR(ISNUMBER($U342),$U342="DNA"),$U342,IF(OR(ISNUMBER($T342),$T342="DNA"),$T342,IF(OR(ISNUMBER($S342),$S342="DNA"),$S342,IF(OR(ISNUMBER($R342),$R342="DNA"),$R342,IF(OR(ISNUMBER($Q342),$Q342="DNA"),$Q342,IF(OR(ISNUMBER($N342),$N342="DNA"),$N342,IF(OR(ISNUMBER($M342),$M342="DNA"),$M342,IF(OR(ISNUMBER($L342),$L342="DNA"),$L342,"")))))))))="DNA",AND(ISNUMBER(IF(OR(ISNUMBER($V342),$V342="DNA"),$V342,IF(OR(ISNUMBER($U342),$U342="DNA"),$U342,IF(OR(ISNUMBER($T342),$T342="DNA"),$T342,IF(OR(ISNUMBER($S342),$S342="DNA"),$S342,IF(OR(ISNUMBER($R342),$R342="DNA"),$R342,IF(OR(ISNUMBER($Q342),$Q342="DNA"),$Q342,IF(OR(ISNUMBER($N342),$N342="DNA"),$N342,IF(OR(ISNUMBER($M342),$M342="DNA"),$M342,IF(OR(ISNUMBER($L342),$L342="DNA"),$L342,"")))))))))),IF(OR(ISNUMBER($V342),$V342="DNA"),$V342,IF(OR(ISNUMBER($U342),$U342="DNA"),$U342,IF(OR(ISNUMBER($T342),$T342="DNA"),$T342,IF(OR(ISNUMBER($S342),$S342="DNA"),$S342,IF(OR(ISNUMBER($R342),$R342="DNA"),$R342,IF(OR(ISNUMBER($Q342),$Q342="DNA"),$Q342,IF(OR(ISNUMBER($N342),$N342="DNA"),$N342,IF(OR(ISNUMBER($M342),$M342="DNA"),$M342,IF(OR(ISNUMBER($L342),$L342="DNA"),$L342,"")))))))))&lt;TODAY())),1,0)+ISNUMBER($O342)*($O342&lt;TODAY())+ISNUMBER($P342)*($P342&lt;TODAY())+ISNUMBER($X342)*($X342&lt;TODAY())+ISNUMBER($Y342)*($Y342&lt;TODAY()))</f>
        <v/>
      </c>
    </row>
    <row r="343">
      <c r="A343" s="25" t="n"/>
      <c r="B343" s="26" t="n"/>
      <c r="C343" s="27" t="n"/>
      <c r="D343" s="25" t="n"/>
      <c r="E343" s="25" t="n"/>
      <c r="F343" s="27" t="n"/>
      <c r="G343" s="25" t="n"/>
      <c r="H343" s="28">
        <f>IF(OR(NOT(AND($A343&lt;&gt;"",OR($G343="",$G343="Active"))),$F343=""),"",INT((TODAY()-$F343+280)/7)&amp;"+"&amp;MOD(TODAY()-$F343+280,7))</f>
        <v/>
      </c>
      <c r="I343" s="28">
        <f>IF(NOT(AND($A343&lt;&gt;"",OR($G343="",$G343="Active"))),"",ISNUMBER($L343)*($L343&gt;=TODAY())*($L343&lt;=TODAY()+7)+ISNUMBER($M343)*($M343&gt;=TODAY())*($M343&lt;=TODAY()+7)+ISNUMBER($N343)*($N343&gt;=TODAY())*($N343&lt;=TODAY()+7)+ISNUMBER($Q343)*($Q343&gt;=TODAY())*($Q343&lt;=TODAY()+7)+ISNUMBER($R343)*($R343&gt;=TODAY())*($R343&lt;=TODAY()+7)+ISNUMBER($S343)*($S343&gt;=TODAY())*($S343&lt;=TODAY()+7)+ISNUMBER($T343)*($T343&gt;=TODAY())*($T343&lt;=TODAY()+7)+ISNUMBER($U343)*($U343&gt;=TODAY())*($U343&lt;=TODAY()+7)+ISNUMBER($V343)*($V343&gt;=TODAY())*($V343&lt;=TODAY()+7)+ISNUMBER($O343)*($O343&gt;=TODAY())*($O343&lt;=TODAY()+7)+ISNUMBER($P343)*($P343&gt;=TODAY())*($P343&lt;=TODAY()+7)+ISNUMBER($X343)*($X343&gt;=TODAY())*($X343&lt;=TODAY()+7)+ISNUMBER($Y343)*($Y343&gt;=TODAY())*($Y343&lt;=TODAY()+7))</f>
        <v/>
      </c>
      <c r="J343" s="28">
        <f>IF(NOT(AND($A343&lt;&gt;"",OR($G343="",$G343="Active"))),"",IF($K343&lt;&gt;"",IF($L343=$K343,"Booking",IF($M343=$K343,"16/40",IF($N343=$K343,"25/40",IF($Q343=$K343,"28/40",IF($R343=$K343,"31/40",IF($S343=$K343,"34/40",IF($T343=$K343,"36/40",IF($U343=$K343,"38/40",IF($V343=$K343,"40/40",""))))))))),IF(IF(OR(ISNUMBER($V343),$V343="DNA"),$V343,IF(OR(ISNUMBER($U343),$U343="DNA"),$U343,IF(OR(ISNUMBER($T343),$T343="DNA"),$T343,IF(OR(ISNUMBER($S343),$S343="DNA"),$S343,IF(OR(ISNUMBER($R343),$R343="DNA"),$R343,IF(OR(ISNUMBER($Q343),$Q343="DNA"),$Q343,IF(OR(ISNUMBER($N343),$N343="DNA"),$N343,IF(OR(ISNUMBER($M343),$M343="DNA"),$M343,IF(OR(ISNUMBER($L343),$L343="DNA"),$L343,"")))))))))="DNA","Rebook DNA",IF(ISNUMBER(IF(OR(ISNUMBER($V343),$V343="DNA"),$V343,IF(OR(ISNUMBER($U343),$U343="DNA"),$U343,IF(OR(ISNUMBER($T343),$T343="DNA"),$T343,IF(OR(ISNUMBER($S343),$S343="DNA"),$S343,IF(OR(ISNUMBER($R343),$R343="DNA"),$R343,IF(OR(ISNUMBER($Q343),$Q343="DNA"),$Q343,IF(OR(ISNUMBER($N343),$N343="DNA"),$N343,IF(OR(ISNUMBER($M343),$M343="DNA"),$M343,IF(OR(ISNUMBER($L343),$L343="DNA"),$L343,"")))))))))),IF(ISNUMBER($V343),"Update status","Missed/not booked?"),""))))</f>
        <v/>
      </c>
      <c r="K343" s="29">
        <f>IF(NOT(AND($A343&lt;&gt;"",OR($G343="",$G343="Active"))),"",IF(MIN(IF(AND(ISNUMBER($L343),$L343&gt;=TODAY()),$L343,99999),IF(AND(ISNUMBER($M343),$M343&gt;=TODAY()),$M343,99999),IF(AND(ISNUMBER($N343),$N343&gt;=TODAY()),$N343,99999),IF(AND(ISNUMBER($Q343),$Q343&gt;=TODAY()),$Q343,99999),IF(AND(ISNUMBER($R343),$R343&gt;=TODAY()),$R343,99999),IF(AND(ISNUMBER($S343),$S343&gt;=TODAY()),$S343,99999),IF(AND(ISNUMBER($T343),$T343&gt;=TODAY()),$T343,99999),IF(AND(ISNUMBER($U343),$U343&gt;=TODAY()),$U343,99999),IF(AND(ISNUMBER($V343),$V343&gt;=TODAY()),$V343,99999))=99999,"",MIN(IF(AND(ISNUMBER($L343),$L343&gt;=TODAY()),$L343,99999),IF(AND(ISNUMBER($M343),$M343&gt;=TODAY()),$M343,99999),IF(AND(ISNUMBER($N343),$N343&gt;=TODAY()),$N343,99999),IF(AND(ISNUMBER($Q343),$Q343&gt;=TODAY()),$Q343,99999),IF(AND(ISNUMBER($R343),$R343&gt;=TODAY()),$R343,99999),IF(AND(ISNUMBER($S343),$S343&gt;=TODAY()),$S343,99999),IF(AND(ISNUMBER($T343),$T343&gt;=TODAY()),$T343,99999),IF(AND(ISNUMBER($U343),$U343&gt;=TODAY()),$U343,99999),IF(AND(ISNUMBER($V343),$V343&gt;=TODAY()),$V343,99999))))</f>
        <v/>
      </c>
      <c r="L343" s="27" t="n"/>
      <c r="M343" s="27" t="n"/>
      <c r="N343" s="27" t="n"/>
      <c r="O343" s="27" t="n"/>
      <c r="P343" s="27" t="n"/>
      <c r="Q343" s="27" t="n"/>
      <c r="R343" s="27" t="n"/>
      <c r="S343" s="27" t="n"/>
      <c r="T343" s="27" t="n"/>
      <c r="U343" s="27" t="n"/>
      <c r="V343" s="27" t="n"/>
      <c r="W343" s="27" t="n"/>
      <c r="X343" s="27" t="n"/>
      <c r="Y343" s="27" t="n"/>
      <c r="Z343" s="30" t="n"/>
      <c r="AA343" s="25" t="n"/>
      <c r="AB343" s="28">
        <f>IF(NOT(AND($A343&lt;&gt;"",OR($G343="",$G343="Active"))),"",IF(OR(IF(OR(ISNUMBER($V343),$V343="DNA"),$V343,IF(OR(ISNUMBER($U343),$U343="DNA"),$U343,IF(OR(ISNUMBER($T343),$T343="DNA"),$T343,IF(OR(ISNUMBER($S343),$S343="DNA"),$S343,IF(OR(ISNUMBER($R343),$R343="DNA"),$R343,IF(OR(ISNUMBER($Q343),$Q343="DNA"),$Q343,IF(OR(ISNUMBER($N343),$N343="DNA"),$N343,IF(OR(ISNUMBER($M343),$M343="DNA"),$M343,IF(OR(ISNUMBER($L343),$L343="DNA"),$L343,"")))))))))="DNA",AND(ISNUMBER(IF(OR(ISNUMBER($V343),$V343="DNA"),$V343,IF(OR(ISNUMBER($U343),$U343="DNA"),$U343,IF(OR(ISNUMBER($T343),$T343="DNA"),$T343,IF(OR(ISNUMBER($S343),$S343="DNA"),$S343,IF(OR(ISNUMBER($R343),$R343="DNA"),$R343,IF(OR(ISNUMBER($Q343),$Q343="DNA"),$Q343,IF(OR(ISNUMBER($N343),$N343="DNA"),$N343,IF(OR(ISNUMBER($M343),$M343="DNA"),$M343,IF(OR(ISNUMBER($L343),$L343="DNA"),$L343,"")))))))))),IF(OR(ISNUMBER($V343),$V343="DNA"),$V343,IF(OR(ISNUMBER($U343),$U343="DNA"),$U343,IF(OR(ISNUMBER($T343),$T343="DNA"),$T343,IF(OR(ISNUMBER($S343),$S343="DNA"),$S343,IF(OR(ISNUMBER($R343),$R343="DNA"),$R343,IF(OR(ISNUMBER($Q343),$Q343="DNA"),$Q343,IF(OR(ISNUMBER($N343),$N343="DNA"),$N343,IF(OR(ISNUMBER($M343),$M343="DNA"),$M343,IF(OR(ISNUMBER($L343),$L343="DNA"),$L343,"")))))))))&lt;TODAY())),1,0)+ISNUMBER($O343)*($O343&lt;TODAY())+ISNUMBER($P343)*($P343&lt;TODAY())+ISNUMBER($X343)*($X343&lt;TODAY())+ISNUMBER($Y343)*($Y343&lt;TODAY()))</f>
        <v/>
      </c>
    </row>
    <row r="344">
      <c r="A344" s="25" t="n"/>
      <c r="B344" s="26" t="n"/>
      <c r="C344" s="27" t="n"/>
      <c r="D344" s="25" t="n"/>
      <c r="E344" s="25" t="n"/>
      <c r="F344" s="27" t="n"/>
      <c r="G344" s="25" t="n"/>
      <c r="H344" s="28">
        <f>IF(OR(NOT(AND($A344&lt;&gt;"",OR($G344="",$G344="Active"))),$F344=""),"",INT((TODAY()-$F344+280)/7)&amp;"+"&amp;MOD(TODAY()-$F344+280,7))</f>
        <v/>
      </c>
      <c r="I344" s="28">
        <f>IF(NOT(AND($A344&lt;&gt;"",OR($G344="",$G344="Active"))),"",ISNUMBER($L344)*($L344&gt;=TODAY())*($L344&lt;=TODAY()+7)+ISNUMBER($M344)*($M344&gt;=TODAY())*($M344&lt;=TODAY()+7)+ISNUMBER($N344)*($N344&gt;=TODAY())*($N344&lt;=TODAY()+7)+ISNUMBER($Q344)*($Q344&gt;=TODAY())*($Q344&lt;=TODAY()+7)+ISNUMBER($R344)*($R344&gt;=TODAY())*($R344&lt;=TODAY()+7)+ISNUMBER($S344)*($S344&gt;=TODAY())*($S344&lt;=TODAY()+7)+ISNUMBER($T344)*($T344&gt;=TODAY())*($T344&lt;=TODAY()+7)+ISNUMBER($U344)*($U344&gt;=TODAY())*($U344&lt;=TODAY()+7)+ISNUMBER($V344)*($V344&gt;=TODAY())*($V344&lt;=TODAY()+7)+ISNUMBER($O344)*($O344&gt;=TODAY())*($O344&lt;=TODAY()+7)+ISNUMBER($P344)*($P344&gt;=TODAY())*($P344&lt;=TODAY()+7)+ISNUMBER($X344)*($X344&gt;=TODAY())*($X344&lt;=TODAY()+7)+ISNUMBER($Y344)*($Y344&gt;=TODAY())*($Y344&lt;=TODAY()+7))</f>
        <v/>
      </c>
      <c r="J344" s="28">
        <f>IF(NOT(AND($A344&lt;&gt;"",OR($G344="",$G344="Active"))),"",IF($K344&lt;&gt;"",IF($L344=$K344,"Booking",IF($M344=$K344,"16/40",IF($N344=$K344,"25/40",IF($Q344=$K344,"28/40",IF($R344=$K344,"31/40",IF($S344=$K344,"34/40",IF($T344=$K344,"36/40",IF($U344=$K344,"38/40",IF($V344=$K344,"40/40",""))))))))),IF(IF(OR(ISNUMBER($V344),$V344="DNA"),$V344,IF(OR(ISNUMBER($U344),$U344="DNA"),$U344,IF(OR(ISNUMBER($T344),$T344="DNA"),$T344,IF(OR(ISNUMBER($S344),$S344="DNA"),$S344,IF(OR(ISNUMBER($R344),$R344="DNA"),$R344,IF(OR(ISNUMBER($Q344),$Q344="DNA"),$Q344,IF(OR(ISNUMBER($N344),$N344="DNA"),$N344,IF(OR(ISNUMBER($M344),$M344="DNA"),$M344,IF(OR(ISNUMBER($L344),$L344="DNA"),$L344,"")))))))))="DNA","Rebook DNA",IF(ISNUMBER(IF(OR(ISNUMBER($V344),$V344="DNA"),$V344,IF(OR(ISNUMBER($U344),$U344="DNA"),$U344,IF(OR(ISNUMBER($T344),$T344="DNA"),$T344,IF(OR(ISNUMBER($S344),$S344="DNA"),$S344,IF(OR(ISNUMBER($R344),$R344="DNA"),$R344,IF(OR(ISNUMBER($Q344),$Q344="DNA"),$Q344,IF(OR(ISNUMBER($N344),$N344="DNA"),$N344,IF(OR(ISNUMBER($M344),$M344="DNA"),$M344,IF(OR(ISNUMBER($L344),$L344="DNA"),$L344,"")))))))))),IF(ISNUMBER($V344),"Update status","Missed/not booked?"),""))))</f>
        <v/>
      </c>
      <c r="K344" s="29">
        <f>IF(NOT(AND($A344&lt;&gt;"",OR($G344="",$G344="Active"))),"",IF(MIN(IF(AND(ISNUMBER($L344),$L344&gt;=TODAY()),$L344,99999),IF(AND(ISNUMBER($M344),$M344&gt;=TODAY()),$M344,99999),IF(AND(ISNUMBER($N344),$N344&gt;=TODAY()),$N344,99999),IF(AND(ISNUMBER($Q344),$Q344&gt;=TODAY()),$Q344,99999),IF(AND(ISNUMBER($R344),$R344&gt;=TODAY()),$R344,99999),IF(AND(ISNUMBER($S344),$S344&gt;=TODAY()),$S344,99999),IF(AND(ISNUMBER($T344),$T344&gt;=TODAY()),$T344,99999),IF(AND(ISNUMBER($U344),$U344&gt;=TODAY()),$U344,99999),IF(AND(ISNUMBER($V344),$V344&gt;=TODAY()),$V344,99999))=99999,"",MIN(IF(AND(ISNUMBER($L344),$L344&gt;=TODAY()),$L344,99999),IF(AND(ISNUMBER($M344),$M344&gt;=TODAY()),$M344,99999),IF(AND(ISNUMBER($N344),$N344&gt;=TODAY()),$N344,99999),IF(AND(ISNUMBER($Q344),$Q344&gt;=TODAY()),$Q344,99999),IF(AND(ISNUMBER($R344),$R344&gt;=TODAY()),$R344,99999),IF(AND(ISNUMBER($S344),$S344&gt;=TODAY()),$S344,99999),IF(AND(ISNUMBER($T344),$T344&gt;=TODAY()),$T344,99999),IF(AND(ISNUMBER($U344),$U344&gt;=TODAY()),$U344,99999),IF(AND(ISNUMBER($V344),$V344&gt;=TODAY()),$V344,99999))))</f>
        <v/>
      </c>
      <c r="L344" s="27" t="n"/>
      <c r="M344" s="27" t="n"/>
      <c r="N344" s="27" t="n"/>
      <c r="O344" s="27" t="n"/>
      <c r="P344" s="27" t="n"/>
      <c r="Q344" s="27" t="n"/>
      <c r="R344" s="27" t="n"/>
      <c r="S344" s="27" t="n"/>
      <c r="T344" s="27" t="n"/>
      <c r="U344" s="27" t="n"/>
      <c r="V344" s="27" t="n"/>
      <c r="W344" s="27" t="n"/>
      <c r="X344" s="27" t="n"/>
      <c r="Y344" s="27" t="n"/>
      <c r="Z344" s="30" t="n"/>
      <c r="AA344" s="25" t="n"/>
      <c r="AB344" s="28">
        <f>IF(NOT(AND($A344&lt;&gt;"",OR($G344="",$G344="Active"))),"",IF(OR(IF(OR(ISNUMBER($V344),$V344="DNA"),$V344,IF(OR(ISNUMBER($U344),$U344="DNA"),$U344,IF(OR(ISNUMBER($T344),$T344="DNA"),$T344,IF(OR(ISNUMBER($S344),$S344="DNA"),$S344,IF(OR(ISNUMBER($R344),$R344="DNA"),$R344,IF(OR(ISNUMBER($Q344),$Q344="DNA"),$Q344,IF(OR(ISNUMBER($N344),$N344="DNA"),$N344,IF(OR(ISNUMBER($M344),$M344="DNA"),$M344,IF(OR(ISNUMBER($L344),$L344="DNA"),$L344,"")))))))))="DNA",AND(ISNUMBER(IF(OR(ISNUMBER($V344),$V344="DNA"),$V344,IF(OR(ISNUMBER($U344),$U344="DNA"),$U344,IF(OR(ISNUMBER($T344),$T344="DNA"),$T344,IF(OR(ISNUMBER($S344),$S344="DNA"),$S344,IF(OR(ISNUMBER($R344),$R344="DNA"),$R344,IF(OR(ISNUMBER($Q344),$Q344="DNA"),$Q344,IF(OR(ISNUMBER($N344),$N344="DNA"),$N344,IF(OR(ISNUMBER($M344),$M344="DNA"),$M344,IF(OR(ISNUMBER($L344),$L344="DNA"),$L344,"")))))))))),IF(OR(ISNUMBER($V344),$V344="DNA"),$V344,IF(OR(ISNUMBER($U344),$U344="DNA"),$U344,IF(OR(ISNUMBER($T344),$T344="DNA"),$T344,IF(OR(ISNUMBER($S344),$S344="DNA"),$S344,IF(OR(ISNUMBER($R344),$R344="DNA"),$R344,IF(OR(ISNUMBER($Q344),$Q344="DNA"),$Q344,IF(OR(ISNUMBER($N344),$N344="DNA"),$N344,IF(OR(ISNUMBER($M344),$M344="DNA"),$M344,IF(OR(ISNUMBER($L344),$L344="DNA"),$L344,"")))))))))&lt;TODAY())),1,0)+ISNUMBER($O344)*($O344&lt;TODAY())+ISNUMBER($P344)*($P344&lt;TODAY())+ISNUMBER($X344)*($X344&lt;TODAY())+ISNUMBER($Y344)*($Y344&lt;TODAY()))</f>
        <v/>
      </c>
    </row>
    <row r="345">
      <c r="A345" s="25" t="n"/>
      <c r="B345" s="26" t="n"/>
      <c r="C345" s="27" t="n"/>
      <c r="D345" s="25" t="n"/>
      <c r="E345" s="25" t="n"/>
      <c r="F345" s="27" t="n"/>
      <c r="G345" s="25" t="n"/>
      <c r="H345" s="28">
        <f>IF(OR(NOT(AND($A345&lt;&gt;"",OR($G345="",$G345="Active"))),$F345=""),"",INT((TODAY()-$F345+280)/7)&amp;"+"&amp;MOD(TODAY()-$F345+280,7))</f>
        <v/>
      </c>
      <c r="I345" s="28">
        <f>IF(NOT(AND($A345&lt;&gt;"",OR($G345="",$G345="Active"))),"",ISNUMBER($L345)*($L345&gt;=TODAY())*($L345&lt;=TODAY()+7)+ISNUMBER($M345)*($M345&gt;=TODAY())*($M345&lt;=TODAY()+7)+ISNUMBER($N345)*($N345&gt;=TODAY())*($N345&lt;=TODAY()+7)+ISNUMBER($Q345)*($Q345&gt;=TODAY())*($Q345&lt;=TODAY()+7)+ISNUMBER($R345)*($R345&gt;=TODAY())*($R345&lt;=TODAY()+7)+ISNUMBER($S345)*($S345&gt;=TODAY())*($S345&lt;=TODAY()+7)+ISNUMBER($T345)*($T345&gt;=TODAY())*($T345&lt;=TODAY()+7)+ISNUMBER($U345)*($U345&gt;=TODAY())*($U345&lt;=TODAY()+7)+ISNUMBER($V345)*($V345&gt;=TODAY())*($V345&lt;=TODAY()+7)+ISNUMBER($O345)*($O345&gt;=TODAY())*($O345&lt;=TODAY()+7)+ISNUMBER($P345)*($P345&gt;=TODAY())*($P345&lt;=TODAY()+7)+ISNUMBER($X345)*($X345&gt;=TODAY())*($X345&lt;=TODAY()+7)+ISNUMBER($Y345)*($Y345&gt;=TODAY())*($Y345&lt;=TODAY()+7))</f>
        <v/>
      </c>
      <c r="J345" s="28">
        <f>IF(NOT(AND($A345&lt;&gt;"",OR($G345="",$G345="Active"))),"",IF($K345&lt;&gt;"",IF($L345=$K345,"Booking",IF($M345=$K345,"16/40",IF($N345=$K345,"25/40",IF($Q345=$K345,"28/40",IF($R345=$K345,"31/40",IF($S345=$K345,"34/40",IF($T345=$K345,"36/40",IF($U345=$K345,"38/40",IF($V345=$K345,"40/40",""))))))))),IF(IF(OR(ISNUMBER($V345),$V345="DNA"),$V345,IF(OR(ISNUMBER($U345),$U345="DNA"),$U345,IF(OR(ISNUMBER($T345),$T345="DNA"),$T345,IF(OR(ISNUMBER($S345),$S345="DNA"),$S345,IF(OR(ISNUMBER($R345),$R345="DNA"),$R345,IF(OR(ISNUMBER($Q345),$Q345="DNA"),$Q345,IF(OR(ISNUMBER($N345),$N345="DNA"),$N345,IF(OR(ISNUMBER($M345),$M345="DNA"),$M345,IF(OR(ISNUMBER($L345),$L345="DNA"),$L345,"")))))))))="DNA","Rebook DNA",IF(ISNUMBER(IF(OR(ISNUMBER($V345),$V345="DNA"),$V345,IF(OR(ISNUMBER($U345),$U345="DNA"),$U345,IF(OR(ISNUMBER($T345),$T345="DNA"),$T345,IF(OR(ISNUMBER($S345),$S345="DNA"),$S345,IF(OR(ISNUMBER($R345),$R345="DNA"),$R345,IF(OR(ISNUMBER($Q345),$Q345="DNA"),$Q345,IF(OR(ISNUMBER($N345),$N345="DNA"),$N345,IF(OR(ISNUMBER($M345),$M345="DNA"),$M345,IF(OR(ISNUMBER($L345),$L345="DNA"),$L345,"")))))))))),IF(ISNUMBER($V345),"Update status","Missed/not booked?"),""))))</f>
        <v/>
      </c>
      <c r="K345" s="29">
        <f>IF(NOT(AND($A345&lt;&gt;"",OR($G345="",$G345="Active"))),"",IF(MIN(IF(AND(ISNUMBER($L345),$L345&gt;=TODAY()),$L345,99999),IF(AND(ISNUMBER($M345),$M345&gt;=TODAY()),$M345,99999),IF(AND(ISNUMBER($N345),$N345&gt;=TODAY()),$N345,99999),IF(AND(ISNUMBER($Q345),$Q345&gt;=TODAY()),$Q345,99999),IF(AND(ISNUMBER($R345),$R345&gt;=TODAY()),$R345,99999),IF(AND(ISNUMBER($S345),$S345&gt;=TODAY()),$S345,99999),IF(AND(ISNUMBER($T345),$T345&gt;=TODAY()),$T345,99999),IF(AND(ISNUMBER($U345),$U345&gt;=TODAY()),$U345,99999),IF(AND(ISNUMBER($V345),$V345&gt;=TODAY()),$V345,99999))=99999,"",MIN(IF(AND(ISNUMBER($L345),$L345&gt;=TODAY()),$L345,99999),IF(AND(ISNUMBER($M345),$M345&gt;=TODAY()),$M345,99999),IF(AND(ISNUMBER($N345),$N345&gt;=TODAY()),$N345,99999),IF(AND(ISNUMBER($Q345),$Q345&gt;=TODAY()),$Q345,99999),IF(AND(ISNUMBER($R345),$R345&gt;=TODAY()),$R345,99999),IF(AND(ISNUMBER($S345),$S345&gt;=TODAY()),$S345,99999),IF(AND(ISNUMBER($T345),$T345&gt;=TODAY()),$T345,99999),IF(AND(ISNUMBER($U345),$U345&gt;=TODAY()),$U345,99999),IF(AND(ISNUMBER($V345),$V345&gt;=TODAY()),$V345,99999))))</f>
        <v/>
      </c>
      <c r="L345" s="27" t="n"/>
      <c r="M345" s="27" t="n"/>
      <c r="N345" s="27" t="n"/>
      <c r="O345" s="27" t="n"/>
      <c r="P345" s="27" t="n"/>
      <c r="Q345" s="27" t="n"/>
      <c r="R345" s="27" t="n"/>
      <c r="S345" s="27" t="n"/>
      <c r="T345" s="27" t="n"/>
      <c r="U345" s="27" t="n"/>
      <c r="V345" s="27" t="n"/>
      <c r="W345" s="27" t="n"/>
      <c r="X345" s="27" t="n"/>
      <c r="Y345" s="27" t="n"/>
      <c r="Z345" s="30" t="n"/>
      <c r="AA345" s="25" t="n"/>
      <c r="AB345" s="28">
        <f>IF(NOT(AND($A345&lt;&gt;"",OR($G345="",$G345="Active"))),"",IF(OR(IF(OR(ISNUMBER($V345),$V345="DNA"),$V345,IF(OR(ISNUMBER($U345),$U345="DNA"),$U345,IF(OR(ISNUMBER($T345),$T345="DNA"),$T345,IF(OR(ISNUMBER($S345),$S345="DNA"),$S345,IF(OR(ISNUMBER($R345),$R345="DNA"),$R345,IF(OR(ISNUMBER($Q345),$Q345="DNA"),$Q345,IF(OR(ISNUMBER($N345),$N345="DNA"),$N345,IF(OR(ISNUMBER($M345),$M345="DNA"),$M345,IF(OR(ISNUMBER($L345),$L345="DNA"),$L345,"")))))))))="DNA",AND(ISNUMBER(IF(OR(ISNUMBER($V345),$V345="DNA"),$V345,IF(OR(ISNUMBER($U345),$U345="DNA"),$U345,IF(OR(ISNUMBER($T345),$T345="DNA"),$T345,IF(OR(ISNUMBER($S345),$S345="DNA"),$S345,IF(OR(ISNUMBER($R345),$R345="DNA"),$R345,IF(OR(ISNUMBER($Q345),$Q345="DNA"),$Q345,IF(OR(ISNUMBER($N345),$N345="DNA"),$N345,IF(OR(ISNUMBER($M345),$M345="DNA"),$M345,IF(OR(ISNUMBER($L345),$L345="DNA"),$L345,"")))))))))),IF(OR(ISNUMBER($V345),$V345="DNA"),$V345,IF(OR(ISNUMBER($U345),$U345="DNA"),$U345,IF(OR(ISNUMBER($T345),$T345="DNA"),$T345,IF(OR(ISNUMBER($S345),$S345="DNA"),$S345,IF(OR(ISNUMBER($R345),$R345="DNA"),$R345,IF(OR(ISNUMBER($Q345),$Q345="DNA"),$Q345,IF(OR(ISNUMBER($N345),$N345="DNA"),$N345,IF(OR(ISNUMBER($M345),$M345="DNA"),$M345,IF(OR(ISNUMBER($L345),$L345="DNA"),$L345,"")))))))))&lt;TODAY())),1,0)+ISNUMBER($O345)*($O345&lt;TODAY())+ISNUMBER($P345)*($P345&lt;TODAY())+ISNUMBER($X345)*($X345&lt;TODAY())+ISNUMBER($Y345)*($Y345&lt;TODAY()))</f>
        <v/>
      </c>
    </row>
    <row r="346">
      <c r="A346" s="25" t="n"/>
      <c r="B346" s="26" t="n"/>
      <c r="C346" s="27" t="n"/>
      <c r="D346" s="25" t="n"/>
      <c r="E346" s="25" t="n"/>
      <c r="F346" s="27" t="n"/>
      <c r="G346" s="25" t="n"/>
      <c r="H346" s="28">
        <f>IF(OR(NOT(AND($A346&lt;&gt;"",OR($G346="",$G346="Active"))),$F346=""),"",INT((TODAY()-$F346+280)/7)&amp;"+"&amp;MOD(TODAY()-$F346+280,7))</f>
        <v/>
      </c>
      <c r="I346" s="28">
        <f>IF(NOT(AND($A346&lt;&gt;"",OR($G346="",$G346="Active"))),"",ISNUMBER($L346)*($L346&gt;=TODAY())*($L346&lt;=TODAY()+7)+ISNUMBER($M346)*($M346&gt;=TODAY())*($M346&lt;=TODAY()+7)+ISNUMBER($N346)*($N346&gt;=TODAY())*($N346&lt;=TODAY()+7)+ISNUMBER($Q346)*($Q346&gt;=TODAY())*($Q346&lt;=TODAY()+7)+ISNUMBER($R346)*($R346&gt;=TODAY())*($R346&lt;=TODAY()+7)+ISNUMBER($S346)*($S346&gt;=TODAY())*($S346&lt;=TODAY()+7)+ISNUMBER($T346)*($T346&gt;=TODAY())*($T346&lt;=TODAY()+7)+ISNUMBER($U346)*($U346&gt;=TODAY())*($U346&lt;=TODAY()+7)+ISNUMBER($V346)*($V346&gt;=TODAY())*($V346&lt;=TODAY()+7)+ISNUMBER($O346)*($O346&gt;=TODAY())*($O346&lt;=TODAY()+7)+ISNUMBER($P346)*($P346&gt;=TODAY())*($P346&lt;=TODAY()+7)+ISNUMBER($X346)*($X346&gt;=TODAY())*($X346&lt;=TODAY()+7)+ISNUMBER($Y346)*($Y346&gt;=TODAY())*($Y346&lt;=TODAY()+7))</f>
        <v/>
      </c>
      <c r="J346" s="28">
        <f>IF(NOT(AND($A346&lt;&gt;"",OR($G346="",$G346="Active"))),"",IF($K346&lt;&gt;"",IF($L346=$K346,"Booking",IF($M346=$K346,"16/40",IF($N346=$K346,"25/40",IF($Q346=$K346,"28/40",IF($R346=$K346,"31/40",IF($S346=$K346,"34/40",IF($T346=$K346,"36/40",IF($U346=$K346,"38/40",IF($V346=$K346,"40/40",""))))))))),IF(IF(OR(ISNUMBER($V346),$V346="DNA"),$V346,IF(OR(ISNUMBER($U346),$U346="DNA"),$U346,IF(OR(ISNUMBER($T346),$T346="DNA"),$T346,IF(OR(ISNUMBER($S346),$S346="DNA"),$S346,IF(OR(ISNUMBER($R346),$R346="DNA"),$R346,IF(OR(ISNUMBER($Q346),$Q346="DNA"),$Q346,IF(OR(ISNUMBER($N346),$N346="DNA"),$N346,IF(OR(ISNUMBER($M346),$M346="DNA"),$M346,IF(OR(ISNUMBER($L346),$L346="DNA"),$L346,"")))))))))="DNA","Rebook DNA",IF(ISNUMBER(IF(OR(ISNUMBER($V346),$V346="DNA"),$V346,IF(OR(ISNUMBER($U346),$U346="DNA"),$U346,IF(OR(ISNUMBER($T346),$T346="DNA"),$T346,IF(OR(ISNUMBER($S346),$S346="DNA"),$S346,IF(OR(ISNUMBER($R346),$R346="DNA"),$R346,IF(OR(ISNUMBER($Q346),$Q346="DNA"),$Q346,IF(OR(ISNUMBER($N346),$N346="DNA"),$N346,IF(OR(ISNUMBER($M346),$M346="DNA"),$M346,IF(OR(ISNUMBER($L346),$L346="DNA"),$L346,"")))))))))),IF(ISNUMBER($V346),"Update status","Missed/not booked?"),""))))</f>
        <v/>
      </c>
      <c r="K346" s="29">
        <f>IF(NOT(AND($A346&lt;&gt;"",OR($G346="",$G346="Active"))),"",IF(MIN(IF(AND(ISNUMBER($L346),$L346&gt;=TODAY()),$L346,99999),IF(AND(ISNUMBER($M346),$M346&gt;=TODAY()),$M346,99999),IF(AND(ISNUMBER($N346),$N346&gt;=TODAY()),$N346,99999),IF(AND(ISNUMBER($Q346),$Q346&gt;=TODAY()),$Q346,99999),IF(AND(ISNUMBER($R346),$R346&gt;=TODAY()),$R346,99999),IF(AND(ISNUMBER($S346),$S346&gt;=TODAY()),$S346,99999),IF(AND(ISNUMBER($T346),$T346&gt;=TODAY()),$T346,99999),IF(AND(ISNUMBER($U346),$U346&gt;=TODAY()),$U346,99999),IF(AND(ISNUMBER($V346),$V346&gt;=TODAY()),$V346,99999))=99999,"",MIN(IF(AND(ISNUMBER($L346),$L346&gt;=TODAY()),$L346,99999),IF(AND(ISNUMBER($M346),$M346&gt;=TODAY()),$M346,99999),IF(AND(ISNUMBER($N346),$N346&gt;=TODAY()),$N346,99999),IF(AND(ISNUMBER($Q346),$Q346&gt;=TODAY()),$Q346,99999),IF(AND(ISNUMBER($R346),$R346&gt;=TODAY()),$R346,99999),IF(AND(ISNUMBER($S346),$S346&gt;=TODAY()),$S346,99999),IF(AND(ISNUMBER($T346),$T346&gt;=TODAY()),$T346,99999),IF(AND(ISNUMBER($U346),$U346&gt;=TODAY()),$U346,99999),IF(AND(ISNUMBER($V346),$V346&gt;=TODAY()),$V346,99999))))</f>
        <v/>
      </c>
      <c r="L346" s="27" t="n"/>
      <c r="M346" s="27" t="n"/>
      <c r="N346" s="27" t="n"/>
      <c r="O346" s="27" t="n"/>
      <c r="P346" s="27" t="n"/>
      <c r="Q346" s="27" t="n"/>
      <c r="R346" s="27" t="n"/>
      <c r="S346" s="27" t="n"/>
      <c r="T346" s="27" t="n"/>
      <c r="U346" s="27" t="n"/>
      <c r="V346" s="27" t="n"/>
      <c r="W346" s="27" t="n"/>
      <c r="X346" s="27" t="n"/>
      <c r="Y346" s="27" t="n"/>
      <c r="Z346" s="30" t="n"/>
      <c r="AA346" s="25" t="n"/>
      <c r="AB346" s="28">
        <f>IF(NOT(AND($A346&lt;&gt;"",OR($G346="",$G346="Active"))),"",IF(OR(IF(OR(ISNUMBER($V346),$V346="DNA"),$V346,IF(OR(ISNUMBER($U346),$U346="DNA"),$U346,IF(OR(ISNUMBER($T346),$T346="DNA"),$T346,IF(OR(ISNUMBER($S346),$S346="DNA"),$S346,IF(OR(ISNUMBER($R346),$R346="DNA"),$R346,IF(OR(ISNUMBER($Q346),$Q346="DNA"),$Q346,IF(OR(ISNUMBER($N346),$N346="DNA"),$N346,IF(OR(ISNUMBER($M346),$M346="DNA"),$M346,IF(OR(ISNUMBER($L346),$L346="DNA"),$L346,"")))))))))="DNA",AND(ISNUMBER(IF(OR(ISNUMBER($V346),$V346="DNA"),$V346,IF(OR(ISNUMBER($U346),$U346="DNA"),$U346,IF(OR(ISNUMBER($T346),$T346="DNA"),$T346,IF(OR(ISNUMBER($S346),$S346="DNA"),$S346,IF(OR(ISNUMBER($R346),$R346="DNA"),$R346,IF(OR(ISNUMBER($Q346),$Q346="DNA"),$Q346,IF(OR(ISNUMBER($N346),$N346="DNA"),$N346,IF(OR(ISNUMBER($M346),$M346="DNA"),$M346,IF(OR(ISNUMBER($L346),$L346="DNA"),$L346,"")))))))))),IF(OR(ISNUMBER($V346),$V346="DNA"),$V346,IF(OR(ISNUMBER($U346),$U346="DNA"),$U346,IF(OR(ISNUMBER($T346),$T346="DNA"),$T346,IF(OR(ISNUMBER($S346),$S346="DNA"),$S346,IF(OR(ISNUMBER($R346),$R346="DNA"),$R346,IF(OR(ISNUMBER($Q346),$Q346="DNA"),$Q346,IF(OR(ISNUMBER($N346),$N346="DNA"),$N346,IF(OR(ISNUMBER($M346),$M346="DNA"),$M346,IF(OR(ISNUMBER($L346),$L346="DNA"),$L346,"")))))))))&lt;TODAY())),1,0)+ISNUMBER($O346)*($O346&lt;TODAY())+ISNUMBER($P346)*($P346&lt;TODAY())+ISNUMBER($X346)*($X346&lt;TODAY())+ISNUMBER($Y346)*($Y346&lt;TODAY()))</f>
        <v/>
      </c>
    </row>
    <row r="347">
      <c r="A347" s="25" t="n"/>
      <c r="B347" s="26" t="n"/>
      <c r="C347" s="27" t="n"/>
      <c r="D347" s="25" t="n"/>
      <c r="E347" s="25" t="n"/>
      <c r="F347" s="27" t="n"/>
      <c r="G347" s="25" t="n"/>
      <c r="H347" s="28">
        <f>IF(OR(NOT(AND($A347&lt;&gt;"",OR($G347="",$G347="Active"))),$F347=""),"",INT((TODAY()-$F347+280)/7)&amp;"+"&amp;MOD(TODAY()-$F347+280,7))</f>
        <v/>
      </c>
      <c r="I347" s="28">
        <f>IF(NOT(AND($A347&lt;&gt;"",OR($G347="",$G347="Active"))),"",ISNUMBER($L347)*($L347&gt;=TODAY())*($L347&lt;=TODAY()+7)+ISNUMBER($M347)*($M347&gt;=TODAY())*($M347&lt;=TODAY()+7)+ISNUMBER($N347)*($N347&gt;=TODAY())*($N347&lt;=TODAY()+7)+ISNUMBER($Q347)*($Q347&gt;=TODAY())*($Q347&lt;=TODAY()+7)+ISNUMBER($R347)*($R347&gt;=TODAY())*($R347&lt;=TODAY()+7)+ISNUMBER($S347)*($S347&gt;=TODAY())*($S347&lt;=TODAY()+7)+ISNUMBER($T347)*($T347&gt;=TODAY())*($T347&lt;=TODAY()+7)+ISNUMBER($U347)*($U347&gt;=TODAY())*($U347&lt;=TODAY()+7)+ISNUMBER($V347)*($V347&gt;=TODAY())*($V347&lt;=TODAY()+7)+ISNUMBER($O347)*($O347&gt;=TODAY())*($O347&lt;=TODAY()+7)+ISNUMBER($P347)*($P347&gt;=TODAY())*($P347&lt;=TODAY()+7)+ISNUMBER($X347)*($X347&gt;=TODAY())*($X347&lt;=TODAY()+7)+ISNUMBER($Y347)*($Y347&gt;=TODAY())*($Y347&lt;=TODAY()+7))</f>
        <v/>
      </c>
      <c r="J347" s="28">
        <f>IF(NOT(AND($A347&lt;&gt;"",OR($G347="",$G347="Active"))),"",IF($K347&lt;&gt;"",IF($L347=$K347,"Booking",IF($M347=$K347,"16/40",IF($N347=$K347,"25/40",IF($Q347=$K347,"28/40",IF($R347=$K347,"31/40",IF($S347=$K347,"34/40",IF($T347=$K347,"36/40",IF($U347=$K347,"38/40",IF($V347=$K347,"40/40",""))))))))),IF(IF(OR(ISNUMBER($V347),$V347="DNA"),$V347,IF(OR(ISNUMBER($U347),$U347="DNA"),$U347,IF(OR(ISNUMBER($T347),$T347="DNA"),$T347,IF(OR(ISNUMBER($S347),$S347="DNA"),$S347,IF(OR(ISNUMBER($R347),$R347="DNA"),$R347,IF(OR(ISNUMBER($Q347),$Q347="DNA"),$Q347,IF(OR(ISNUMBER($N347),$N347="DNA"),$N347,IF(OR(ISNUMBER($M347),$M347="DNA"),$M347,IF(OR(ISNUMBER($L347),$L347="DNA"),$L347,"")))))))))="DNA","Rebook DNA",IF(ISNUMBER(IF(OR(ISNUMBER($V347),$V347="DNA"),$V347,IF(OR(ISNUMBER($U347),$U347="DNA"),$U347,IF(OR(ISNUMBER($T347),$T347="DNA"),$T347,IF(OR(ISNUMBER($S347),$S347="DNA"),$S347,IF(OR(ISNUMBER($R347),$R347="DNA"),$R347,IF(OR(ISNUMBER($Q347),$Q347="DNA"),$Q347,IF(OR(ISNUMBER($N347),$N347="DNA"),$N347,IF(OR(ISNUMBER($M347),$M347="DNA"),$M347,IF(OR(ISNUMBER($L347),$L347="DNA"),$L347,"")))))))))),IF(ISNUMBER($V347),"Update status","Missed/not booked?"),""))))</f>
        <v/>
      </c>
      <c r="K347" s="29">
        <f>IF(NOT(AND($A347&lt;&gt;"",OR($G347="",$G347="Active"))),"",IF(MIN(IF(AND(ISNUMBER($L347),$L347&gt;=TODAY()),$L347,99999),IF(AND(ISNUMBER($M347),$M347&gt;=TODAY()),$M347,99999),IF(AND(ISNUMBER($N347),$N347&gt;=TODAY()),$N347,99999),IF(AND(ISNUMBER($Q347),$Q347&gt;=TODAY()),$Q347,99999),IF(AND(ISNUMBER($R347),$R347&gt;=TODAY()),$R347,99999),IF(AND(ISNUMBER($S347),$S347&gt;=TODAY()),$S347,99999),IF(AND(ISNUMBER($T347),$T347&gt;=TODAY()),$T347,99999),IF(AND(ISNUMBER($U347),$U347&gt;=TODAY()),$U347,99999),IF(AND(ISNUMBER($V347),$V347&gt;=TODAY()),$V347,99999))=99999,"",MIN(IF(AND(ISNUMBER($L347),$L347&gt;=TODAY()),$L347,99999),IF(AND(ISNUMBER($M347),$M347&gt;=TODAY()),$M347,99999),IF(AND(ISNUMBER($N347),$N347&gt;=TODAY()),$N347,99999),IF(AND(ISNUMBER($Q347),$Q347&gt;=TODAY()),$Q347,99999),IF(AND(ISNUMBER($R347),$R347&gt;=TODAY()),$R347,99999),IF(AND(ISNUMBER($S347),$S347&gt;=TODAY()),$S347,99999),IF(AND(ISNUMBER($T347),$T347&gt;=TODAY()),$T347,99999),IF(AND(ISNUMBER($U347),$U347&gt;=TODAY()),$U347,99999),IF(AND(ISNUMBER($V347),$V347&gt;=TODAY()),$V347,99999))))</f>
        <v/>
      </c>
      <c r="L347" s="27" t="n"/>
      <c r="M347" s="27" t="n"/>
      <c r="N347" s="27" t="n"/>
      <c r="O347" s="27" t="n"/>
      <c r="P347" s="27" t="n"/>
      <c r="Q347" s="27" t="n"/>
      <c r="R347" s="27" t="n"/>
      <c r="S347" s="27" t="n"/>
      <c r="T347" s="27" t="n"/>
      <c r="U347" s="27" t="n"/>
      <c r="V347" s="27" t="n"/>
      <c r="W347" s="27" t="n"/>
      <c r="X347" s="27" t="n"/>
      <c r="Y347" s="27" t="n"/>
      <c r="Z347" s="30" t="n"/>
      <c r="AA347" s="25" t="n"/>
      <c r="AB347" s="28">
        <f>IF(NOT(AND($A347&lt;&gt;"",OR($G347="",$G347="Active"))),"",IF(OR(IF(OR(ISNUMBER($V347),$V347="DNA"),$V347,IF(OR(ISNUMBER($U347),$U347="DNA"),$U347,IF(OR(ISNUMBER($T347),$T347="DNA"),$T347,IF(OR(ISNUMBER($S347),$S347="DNA"),$S347,IF(OR(ISNUMBER($R347),$R347="DNA"),$R347,IF(OR(ISNUMBER($Q347),$Q347="DNA"),$Q347,IF(OR(ISNUMBER($N347),$N347="DNA"),$N347,IF(OR(ISNUMBER($M347),$M347="DNA"),$M347,IF(OR(ISNUMBER($L347),$L347="DNA"),$L347,"")))))))))="DNA",AND(ISNUMBER(IF(OR(ISNUMBER($V347),$V347="DNA"),$V347,IF(OR(ISNUMBER($U347),$U347="DNA"),$U347,IF(OR(ISNUMBER($T347),$T347="DNA"),$T347,IF(OR(ISNUMBER($S347),$S347="DNA"),$S347,IF(OR(ISNUMBER($R347),$R347="DNA"),$R347,IF(OR(ISNUMBER($Q347),$Q347="DNA"),$Q347,IF(OR(ISNUMBER($N347),$N347="DNA"),$N347,IF(OR(ISNUMBER($M347),$M347="DNA"),$M347,IF(OR(ISNUMBER($L347),$L347="DNA"),$L347,"")))))))))),IF(OR(ISNUMBER($V347),$V347="DNA"),$V347,IF(OR(ISNUMBER($U347),$U347="DNA"),$U347,IF(OR(ISNUMBER($T347),$T347="DNA"),$T347,IF(OR(ISNUMBER($S347),$S347="DNA"),$S347,IF(OR(ISNUMBER($R347),$R347="DNA"),$R347,IF(OR(ISNUMBER($Q347),$Q347="DNA"),$Q347,IF(OR(ISNUMBER($N347),$N347="DNA"),$N347,IF(OR(ISNUMBER($M347),$M347="DNA"),$M347,IF(OR(ISNUMBER($L347),$L347="DNA"),$L347,"")))))))))&lt;TODAY())),1,0)+ISNUMBER($O347)*($O347&lt;TODAY())+ISNUMBER($P347)*($P347&lt;TODAY())+ISNUMBER($X347)*($X347&lt;TODAY())+ISNUMBER($Y347)*($Y347&lt;TODAY()))</f>
        <v/>
      </c>
    </row>
    <row r="348">
      <c r="A348" s="25" t="n"/>
      <c r="B348" s="26" t="n"/>
      <c r="C348" s="27" t="n"/>
      <c r="D348" s="25" t="n"/>
      <c r="E348" s="25" t="n"/>
      <c r="F348" s="27" t="n"/>
      <c r="G348" s="25" t="n"/>
      <c r="H348" s="28">
        <f>IF(OR(NOT(AND($A348&lt;&gt;"",OR($G348="",$G348="Active"))),$F348=""),"",INT((TODAY()-$F348+280)/7)&amp;"+"&amp;MOD(TODAY()-$F348+280,7))</f>
        <v/>
      </c>
      <c r="I348" s="28">
        <f>IF(NOT(AND($A348&lt;&gt;"",OR($G348="",$G348="Active"))),"",ISNUMBER($L348)*($L348&gt;=TODAY())*($L348&lt;=TODAY()+7)+ISNUMBER($M348)*($M348&gt;=TODAY())*($M348&lt;=TODAY()+7)+ISNUMBER($N348)*($N348&gt;=TODAY())*($N348&lt;=TODAY()+7)+ISNUMBER($Q348)*($Q348&gt;=TODAY())*($Q348&lt;=TODAY()+7)+ISNUMBER($R348)*($R348&gt;=TODAY())*($R348&lt;=TODAY()+7)+ISNUMBER($S348)*($S348&gt;=TODAY())*($S348&lt;=TODAY()+7)+ISNUMBER($T348)*($T348&gt;=TODAY())*($T348&lt;=TODAY()+7)+ISNUMBER($U348)*($U348&gt;=TODAY())*($U348&lt;=TODAY()+7)+ISNUMBER($V348)*($V348&gt;=TODAY())*($V348&lt;=TODAY()+7)+ISNUMBER($O348)*($O348&gt;=TODAY())*($O348&lt;=TODAY()+7)+ISNUMBER($P348)*($P348&gt;=TODAY())*($P348&lt;=TODAY()+7)+ISNUMBER($X348)*($X348&gt;=TODAY())*($X348&lt;=TODAY()+7)+ISNUMBER($Y348)*($Y348&gt;=TODAY())*($Y348&lt;=TODAY()+7))</f>
        <v/>
      </c>
      <c r="J348" s="28">
        <f>IF(NOT(AND($A348&lt;&gt;"",OR($G348="",$G348="Active"))),"",IF($K348&lt;&gt;"",IF($L348=$K348,"Booking",IF($M348=$K348,"16/40",IF($N348=$K348,"25/40",IF($Q348=$K348,"28/40",IF($R348=$K348,"31/40",IF($S348=$K348,"34/40",IF($T348=$K348,"36/40",IF($U348=$K348,"38/40",IF($V348=$K348,"40/40",""))))))))),IF(IF(OR(ISNUMBER($V348),$V348="DNA"),$V348,IF(OR(ISNUMBER($U348),$U348="DNA"),$U348,IF(OR(ISNUMBER($T348),$T348="DNA"),$T348,IF(OR(ISNUMBER($S348),$S348="DNA"),$S348,IF(OR(ISNUMBER($R348),$R348="DNA"),$R348,IF(OR(ISNUMBER($Q348),$Q348="DNA"),$Q348,IF(OR(ISNUMBER($N348),$N348="DNA"),$N348,IF(OR(ISNUMBER($M348),$M348="DNA"),$M348,IF(OR(ISNUMBER($L348),$L348="DNA"),$L348,"")))))))))="DNA","Rebook DNA",IF(ISNUMBER(IF(OR(ISNUMBER($V348),$V348="DNA"),$V348,IF(OR(ISNUMBER($U348),$U348="DNA"),$U348,IF(OR(ISNUMBER($T348),$T348="DNA"),$T348,IF(OR(ISNUMBER($S348),$S348="DNA"),$S348,IF(OR(ISNUMBER($R348),$R348="DNA"),$R348,IF(OR(ISNUMBER($Q348),$Q348="DNA"),$Q348,IF(OR(ISNUMBER($N348),$N348="DNA"),$N348,IF(OR(ISNUMBER($M348),$M348="DNA"),$M348,IF(OR(ISNUMBER($L348),$L348="DNA"),$L348,"")))))))))),IF(ISNUMBER($V348),"Update status","Missed/not booked?"),""))))</f>
        <v/>
      </c>
      <c r="K348" s="29">
        <f>IF(NOT(AND($A348&lt;&gt;"",OR($G348="",$G348="Active"))),"",IF(MIN(IF(AND(ISNUMBER($L348),$L348&gt;=TODAY()),$L348,99999),IF(AND(ISNUMBER($M348),$M348&gt;=TODAY()),$M348,99999),IF(AND(ISNUMBER($N348),$N348&gt;=TODAY()),$N348,99999),IF(AND(ISNUMBER($Q348),$Q348&gt;=TODAY()),$Q348,99999),IF(AND(ISNUMBER($R348),$R348&gt;=TODAY()),$R348,99999),IF(AND(ISNUMBER($S348),$S348&gt;=TODAY()),$S348,99999),IF(AND(ISNUMBER($T348),$T348&gt;=TODAY()),$T348,99999),IF(AND(ISNUMBER($U348),$U348&gt;=TODAY()),$U348,99999),IF(AND(ISNUMBER($V348),$V348&gt;=TODAY()),$V348,99999))=99999,"",MIN(IF(AND(ISNUMBER($L348),$L348&gt;=TODAY()),$L348,99999),IF(AND(ISNUMBER($M348),$M348&gt;=TODAY()),$M348,99999),IF(AND(ISNUMBER($N348),$N348&gt;=TODAY()),$N348,99999),IF(AND(ISNUMBER($Q348),$Q348&gt;=TODAY()),$Q348,99999),IF(AND(ISNUMBER($R348),$R348&gt;=TODAY()),$R348,99999),IF(AND(ISNUMBER($S348),$S348&gt;=TODAY()),$S348,99999),IF(AND(ISNUMBER($T348),$T348&gt;=TODAY()),$T348,99999),IF(AND(ISNUMBER($U348),$U348&gt;=TODAY()),$U348,99999),IF(AND(ISNUMBER($V348),$V348&gt;=TODAY()),$V348,99999))))</f>
        <v/>
      </c>
      <c r="L348" s="27" t="n"/>
      <c r="M348" s="27" t="n"/>
      <c r="N348" s="27" t="n"/>
      <c r="O348" s="27" t="n"/>
      <c r="P348" s="27" t="n"/>
      <c r="Q348" s="27" t="n"/>
      <c r="R348" s="27" t="n"/>
      <c r="S348" s="27" t="n"/>
      <c r="T348" s="27" t="n"/>
      <c r="U348" s="27" t="n"/>
      <c r="V348" s="27" t="n"/>
      <c r="W348" s="27" t="n"/>
      <c r="X348" s="27" t="n"/>
      <c r="Y348" s="27" t="n"/>
      <c r="Z348" s="30" t="n"/>
      <c r="AA348" s="25" t="n"/>
      <c r="AB348" s="28">
        <f>IF(NOT(AND($A348&lt;&gt;"",OR($G348="",$G348="Active"))),"",IF(OR(IF(OR(ISNUMBER($V348),$V348="DNA"),$V348,IF(OR(ISNUMBER($U348),$U348="DNA"),$U348,IF(OR(ISNUMBER($T348),$T348="DNA"),$T348,IF(OR(ISNUMBER($S348),$S348="DNA"),$S348,IF(OR(ISNUMBER($R348),$R348="DNA"),$R348,IF(OR(ISNUMBER($Q348),$Q348="DNA"),$Q348,IF(OR(ISNUMBER($N348),$N348="DNA"),$N348,IF(OR(ISNUMBER($M348),$M348="DNA"),$M348,IF(OR(ISNUMBER($L348),$L348="DNA"),$L348,"")))))))))="DNA",AND(ISNUMBER(IF(OR(ISNUMBER($V348),$V348="DNA"),$V348,IF(OR(ISNUMBER($U348),$U348="DNA"),$U348,IF(OR(ISNUMBER($T348),$T348="DNA"),$T348,IF(OR(ISNUMBER($S348),$S348="DNA"),$S348,IF(OR(ISNUMBER($R348),$R348="DNA"),$R348,IF(OR(ISNUMBER($Q348),$Q348="DNA"),$Q348,IF(OR(ISNUMBER($N348),$N348="DNA"),$N348,IF(OR(ISNUMBER($M348),$M348="DNA"),$M348,IF(OR(ISNUMBER($L348),$L348="DNA"),$L348,"")))))))))),IF(OR(ISNUMBER($V348),$V348="DNA"),$V348,IF(OR(ISNUMBER($U348),$U348="DNA"),$U348,IF(OR(ISNUMBER($T348),$T348="DNA"),$T348,IF(OR(ISNUMBER($S348),$S348="DNA"),$S348,IF(OR(ISNUMBER($R348),$R348="DNA"),$R348,IF(OR(ISNUMBER($Q348),$Q348="DNA"),$Q348,IF(OR(ISNUMBER($N348),$N348="DNA"),$N348,IF(OR(ISNUMBER($M348),$M348="DNA"),$M348,IF(OR(ISNUMBER($L348),$L348="DNA"),$L348,"")))))))))&lt;TODAY())),1,0)+ISNUMBER($O348)*($O348&lt;TODAY())+ISNUMBER($P348)*($P348&lt;TODAY())+ISNUMBER($X348)*($X348&lt;TODAY())+ISNUMBER($Y348)*($Y348&lt;TODAY()))</f>
        <v/>
      </c>
    </row>
    <row r="349">
      <c r="A349" s="25" t="n"/>
      <c r="B349" s="26" t="n"/>
      <c r="C349" s="27" t="n"/>
      <c r="D349" s="25" t="n"/>
      <c r="E349" s="25" t="n"/>
      <c r="F349" s="27" t="n"/>
      <c r="G349" s="25" t="n"/>
      <c r="H349" s="28">
        <f>IF(OR(NOT(AND($A349&lt;&gt;"",OR($G349="",$G349="Active"))),$F349=""),"",INT((TODAY()-$F349+280)/7)&amp;"+"&amp;MOD(TODAY()-$F349+280,7))</f>
        <v/>
      </c>
      <c r="I349" s="28">
        <f>IF(NOT(AND($A349&lt;&gt;"",OR($G349="",$G349="Active"))),"",ISNUMBER($L349)*($L349&gt;=TODAY())*($L349&lt;=TODAY()+7)+ISNUMBER($M349)*($M349&gt;=TODAY())*($M349&lt;=TODAY()+7)+ISNUMBER($N349)*($N349&gt;=TODAY())*($N349&lt;=TODAY()+7)+ISNUMBER($Q349)*($Q349&gt;=TODAY())*($Q349&lt;=TODAY()+7)+ISNUMBER($R349)*($R349&gt;=TODAY())*($R349&lt;=TODAY()+7)+ISNUMBER($S349)*($S349&gt;=TODAY())*($S349&lt;=TODAY()+7)+ISNUMBER($T349)*($T349&gt;=TODAY())*($T349&lt;=TODAY()+7)+ISNUMBER($U349)*($U349&gt;=TODAY())*($U349&lt;=TODAY()+7)+ISNUMBER($V349)*($V349&gt;=TODAY())*($V349&lt;=TODAY()+7)+ISNUMBER($O349)*($O349&gt;=TODAY())*($O349&lt;=TODAY()+7)+ISNUMBER($P349)*($P349&gt;=TODAY())*($P349&lt;=TODAY()+7)+ISNUMBER($X349)*($X349&gt;=TODAY())*($X349&lt;=TODAY()+7)+ISNUMBER($Y349)*($Y349&gt;=TODAY())*($Y349&lt;=TODAY()+7))</f>
        <v/>
      </c>
      <c r="J349" s="28">
        <f>IF(NOT(AND($A349&lt;&gt;"",OR($G349="",$G349="Active"))),"",IF($K349&lt;&gt;"",IF($L349=$K349,"Booking",IF($M349=$K349,"16/40",IF($N349=$K349,"25/40",IF($Q349=$K349,"28/40",IF($R349=$K349,"31/40",IF($S349=$K349,"34/40",IF($T349=$K349,"36/40",IF($U349=$K349,"38/40",IF($V349=$K349,"40/40",""))))))))),IF(IF(OR(ISNUMBER($V349),$V349="DNA"),$V349,IF(OR(ISNUMBER($U349),$U349="DNA"),$U349,IF(OR(ISNUMBER($T349),$T349="DNA"),$T349,IF(OR(ISNUMBER($S349),$S349="DNA"),$S349,IF(OR(ISNUMBER($R349),$R349="DNA"),$R349,IF(OR(ISNUMBER($Q349),$Q349="DNA"),$Q349,IF(OR(ISNUMBER($N349),$N349="DNA"),$N349,IF(OR(ISNUMBER($M349),$M349="DNA"),$M349,IF(OR(ISNUMBER($L349),$L349="DNA"),$L349,"")))))))))="DNA","Rebook DNA",IF(ISNUMBER(IF(OR(ISNUMBER($V349),$V349="DNA"),$V349,IF(OR(ISNUMBER($U349),$U349="DNA"),$U349,IF(OR(ISNUMBER($T349),$T349="DNA"),$T349,IF(OR(ISNUMBER($S349),$S349="DNA"),$S349,IF(OR(ISNUMBER($R349),$R349="DNA"),$R349,IF(OR(ISNUMBER($Q349),$Q349="DNA"),$Q349,IF(OR(ISNUMBER($N349),$N349="DNA"),$N349,IF(OR(ISNUMBER($M349),$M349="DNA"),$M349,IF(OR(ISNUMBER($L349),$L349="DNA"),$L349,"")))))))))),IF(ISNUMBER($V349),"Update status","Missed/not booked?"),""))))</f>
        <v/>
      </c>
      <c r="K349" s="29">
        <f>IF(NOT(AND($A349&lt;&gt;"",OR($G349="",$G349="Active"))),"",IF(MIN(IF(AND(ISNUMBER($L349),$L349&gt;=TODAY()),$L349,99999),IF(AND(ISNUMBER($M349),$M349&gt;=TODAY()),$M349,99999),IF(AND(ISNUMBER($N349),$N349&gt;=TODAY()),$N349,99999),IF(AND(ISNUMBER($Q349),$Q349&gt;=TODAY()),$Q349,99999),IF(AND(ISNUMBER($R349),$R349&gt;=TODAY()),$R349,99999),IF(AND(ISNUMBER($S349),$S349&gt;=TODAY()),$S349,99999),IF(AND(ISNUMBER($T349),$T349&gt;=TODAY()),$T349,99999),IF(AND(ISNUMBER($U349),$U349&gt;=TODAY()),$U349,99999),IF(AND(ISNUMBER($V349),$V349&gt;=TODAY()),$V349,99999))=99999,"",MIN(IF(AND(ISNUMBER($L349),$L349&gt;=TODAY()),$L349,99999),IF(AND(ISNUMBER($M349),$M349&gt;=TODAY()),$M349,99999),IF(AND(ISNUMBER($N349),$N349&gt;=TODAY()),$N349,99999),IF(AND(ISNUMBER($Q349),$Q349&gt;=TODAY()),$Q349,99999),IF(AND(ISNUMBER($R349),$R349&gt;=TODAY()),$R349,99999),IF(AND(ISNUMBER($S349),$S349&gt;=TODAY()),$S349,99999),IF(AND(ISNUMBER($T349),$T349&gt;=TODAY()),$T349,99999),IF(AND(ISNUMBER($U349),$U349&gt;=TODAY()),$U349,99999),IF(AND(ISNUMBER($V349),$V349&gt;=TODAY()),$V349,99999))))</f>
        <v/>
      </c>
      <c r="L349" s="27" t="n"/>
      <c r="M349" s="27" t="n"/>
      <c r="N349" s="27" t="n"/>
      <c r="O349" s="27" t="n"/>
      <c r="P349" s="27" t="n"/>
      <c r="Q349" s="27" t="n"/>
      <c r="R349" s="27" t="n"/>
      <c r="S349" s="27" t="n"/>
      <c r="T349" s="27" t="n"/>
      <c r="U349" s="27" t="n"/>
      <c r="V349" s="27" t="n"/>
      <c r="W349" s="27" t="n"/>
      <c r="X349" s="27" t="n"/>
      <c r="Y349" s="27" t="n"/>
      <c r="Z349" s="30" t="n"/>
      <c r="AA349" s="25" t="n"/>
      <c r="AB349" s="28">
        <f>IF(NOT(AND($A349&lt;&gt;"",OR($G349="",$G349="Active"))),"",IF(OR(IF(OR(ISNUMBER($V349),$V349="DNA"),$V349,IF(OR(ISNUMBER($U349),$U349="DNA"),$U349,IF(OR(ISNUMBER($T349),$T349="DNA"),$T349,IF(OR(ISNUMBER($S349),$S349="DNA"),$S349,IF(OR(ISNUMBER($R349),$R349="DNA"),$R349,IF(OR(ISNUMBER($Q349),$Q349="DNA"),$Q349,IF(OR(ISNUMBER($N349),$N349="DNA"),$N349,IF(OR(ISNUMBER($M349),$M349="DNA"),$M349,IF(OR(ISNUMBER($L349),$L349="DNA"),$L349,"")))))))))="DNA",AND(ISNUMBER(IF(OR(ISNUMBER($V349),$V349="DNA"),$V349,IF(OR(ISNUMBER($U349),$U349="DNA"),$U349,IF(OR(ISNUMBER($T349),$T349="DNA"),$T349,IF(OR(ISNUMBER($S349),$S349="DNA"),$S349,IF(OR(ISNUMBER($R349),$R349="DNA"),$R349,IF(OR(ISNUMBER($Q349),$Q349="DNA"),$Q349,IF(OR(ISNUMBER($N349),$N349="DNA"),$N349,IF(OR(ISNUMBER($M349),$M349="DNA"),$M349,IF(OR(ISNUMBER($L349),$L349="DNA"),$L349,"")))))))))),IF(OR(ISNUMBER($V349),$V349="DNA"),$V349,IF(OR(ISNUMBER($U349),$U349="DNA"),$U349,IF(OR(ISNUMBER($T349),$T349="DNA"),$T349,IF(OR(ISNUMBER($S349),$S349="DNA"),$S349,IF(OR(ISNUMBER($R349),$R349="DNA"),$R349,IF(OR(ISNUMBER($Q349),$Q349="DNA"),$Q349,IF(OR(ISNUMBER($N349),$N349="DNA"),$N349,IF(OR(ISNUMBER($M349),$M349="DNA"),$M349,IF(OR(ISNUMBER($L349),$L349="DNA"),$L349,"")))))))))&lt;TODAY())),1,0)+ISNUMBER($O349)*($O349&lt;TODAY())+ISNUMBER($P349)*($P349&lt;TODAY())+ISNUMBER($X349)*($X349&lt;TODAY())+ISNUMBER($Y349)*($Y349&lt;TODAY()))</f>
        <v/>
      </c>
    </row>
    <row r="350">
      <c r="A350" s="25" t="n"/>
      <c r="B350" s="26" t="n"/>
      <c r="C350" s="27" t="n"/>
      <c r="D350" s="25" t="n"/>
      <c r="E350" s="25" t="n"/>
      <c r="F350" s="27" t="n"/>
      <c r="G350" s="25" t="n"/>
      <c r="H350" s="28">
        <f>IF(OR(NOT(AND($A350&lt;&gt;"",OR($G350="",$G350="Active"))),$F350=""),"",INT((TODAY()-$F350+280)/7)&amp;"+"&amp;MOD(TODAY()-$F350+280,7))</f>
        <v/>
      </c>
      <c r="I350" s="28">
        <f>IF(NOT(AND($A350&lt;&gt;"",OR($G350="",$G350="Active"))),"",ISNUMBER($L350)*($L350&gt;=TODAY())*($L350&lt;=TODAY()+7)+ISNUMBER($M350)*($M350&gt;=TODAY())*($M350&lt;=TODAY()+7)+ISNUMBER($N350)*($N350&gt;=TODAY())*($N350&lt;=TODAY()+7)+ISNUMBER($Q350)*($Q350&gt;=TODAY())*($Q350&lt;=TODAY()+7)+ISNUMBER($R350)*($R350&gt;=TODAY())*($R350&lt;=TODAY()+7)+ISNUMBER($S350)*($S350&gt;=TODAY())*($S350&lt;=TODAY()+7)+ISNUMBER($T350)*($T350&gt;=TODAY())*($T350&lt;=TODAY()+7)+ISNUMBER($U350)*($U350&gt;=TODAY())*($U350&lt;=TODAY()+7)+ISNUMBER($V350)*($V350&gt;=TODAY())*($V350&lt;=TODAY()+7)+ISNUMBER($O350)*($O350&gt;=TODAY())*($O350&lt;=TODAY()+7)+ISNUMBER($P350)*($P350&gt;=TODAY())*($P350&lt;=TODAY()+7)+ISNUMBER($X350)*($X350&gt;=TODAY())*($X350&lt;=TODAY()+7)+ISNUMBER($Y350)*($Y350&gt;=TODAY())*($Y350&lt;=TODAY()+7))</f>
        <v/>
      </c>
      <c r="J350" s="28">
        <f>IF(NOT(AND($A350&lt;&gt;"",OR($G350="",$G350="Active"))),"",IF($K350&lt;&gt;"",IF($L350=$K350,"Booking",IF($M350=$K350,"16/40",IF($N350=$K350,"25/40",IF($Q350=$K350,"28/40",IF($R350=$K350,"31/40",IF($S350=$K350,"34/40",IF($T350=$K350,"36/40",IF($U350=$K350,"38/40",IF($V350=$K350,"40/40",""))))))))),IF(IF(OR(ISNUMBER($V350),$V350="DNA"),$V350,IF(OR(ISNUMBER($U350),$U350="DNA"),$U350,IF(OR(ISNUMBER($T350),$T350="DNA"),$T350,IF(OR(ISNUMBER($S350),$S350="DNA"),$S350,IF(OR(ISNUMBER($R350),$R350="DNA"),$R350,IF(OR(ISNUMBER($Q350),$Q350="DNA"),$Q350,IF(OR(ISNUMBER($N350),$N350="DNA"),$N350,IF(OR(ISNUMBER($M350),$M350="DNA"),$M350,IF(OR(ISNUMBER($L350),$L350="DNA"),$L350,"")))))))))="DNA","Rebook DNA",IF(ISNUMBER(IF(OR(ISNUMBER($V350),$V350="DNA"),$V350,IF(OR(ISNUMBER($U350),$U350="DNA"),$U350,IF(OR(ISNUMBER($T350),$T350="DNA"),$T350,IF(OR(ISNUMBER($S350),$S350="DNA"),$S350,IF(OR(ISNUMBER($R350),$R350="DNA"),$R350,IF(OR(ISNUMBER($Q350),$Q350="DNA"),$Q350,IF(OR(ISNUMBER($N350),$N350="DNA"),$N350,IF(OR(ISNUMBER($M350),$M350="DNA"),$M350,IF(OR(ISNUMBER($L350),$L350="DNA"),$L350,"")))))))))),IF(ISNUMBER($V350),"Update status","Missed/not booked?"),""))))</f>
        <v/>
      </c>
      <c r="K350" s="29">
        <f>IF(NOT(AND($A350&lt;&gt;"",OR($G350="",$G350="Active"))),"",IF(MIN(IF(AND(ISNUMBER($L350),$L350&gt;=TODAY()),$L350,99999),IF(AND(ISNUMBER($M350),$M350&gt;=TODAY()),$M350,99999),IF(AND(ISNUMBER($N350),$N350&gt;=TODAY()),$N350,99999),IF(AND(ISNUMBER($Q350),$Q350&gt;=TODAY()),$Q350,99999),IF(AND(ISNUMBER($R350),$R350&gt;=TODAY()),$R350,99999),IF(AND(ISNUMBER($S350),$S350&gt;=TODAY()),$S350,99999),IF(AND(ISNUMBER($T350),$T350&gt;=TODAY()),$T350,99999),IF(AND(ISNUMBER($U350),$U350&gt;=TODAY()),$U350,99999),IF(AND(ISNUMBER($V350),$V350&gt;=TODAY()),$V350,99999))=99999,"",MIN(IF(AND(ISNUMBER($L350),$L350&gt;=TODAY()),$L350,99999),IF(AND(ISNUMBER($M350),$M350&gt;=TODAY()),$M350,99999),IF(AND(ISNUMBER($N350),$N350&gt;=TODAY()),$N350,99999),IF(AND(ISNUMBER($Q350),$Q350&gt;=TODAY()),$Q350,99999),IF(AND(ISNUMBER($R350),$R350&gt;=TODAY()),$R350,99999),IF(AND(ISNUMBER($S350),$S350&gt;=TODAY()),$S350,99999),IF(AND(ISNUMBER($T350),$T350&gt;=TODAY()),$T350,99999),IF(AND(ISNUMBER($U350),$U350&gt;=TODAY()),$U350,99999),IF(AND(ISNUMBER($V350),$V350&gt;=TODAY()),$V350,99999))))</f>
        <v/>
      </c>
      <c r="L350" s="27" t="n"/>
      <c r="M350" s="27" t="n"/>
      <c r="N350" s="27" t="n"/>
      <c r="O350" s="27" t="n"/>
      <c r="P350" s="27" t="n"/>
      <c r="Q350" s="27" t="n"/>
      <c r="R350" s="27" t="n"/>
      <c r="S350" s="27" t="n"/>
      <c r="T350" s="27" t="n"/>
      <c r="U350" s="27" t="n"/>
      <c r="V350" s="27" t="n"/>
      <c r="W350" s="27" t="n"/>
      <c r="X350" s="27" t="n"/>
      <c r="Y350" s="27" t="n"/>
      <c r="Z350" s="30" t="n"/>
      <c r="AA350" s="25" t="n"/>
      <c r="AB350" s="28">
        <f>IF(NOT(AND($A350&lt;&gt;"",OR($G350="",$G350="Active"))),"",IF(OR(IF(OR(ISNUMBER($V350),$V350="DNA"),$V350,IF(OR(ISNUMBER($U350),$U350="DNA"),$U350,IF(OR(ISNUMBER($T350),$T350="DNA"),$T350,IF(OR(ISNUMBER($S350),$S350="DNA"),$S350,IF(OR(ISNUMBER($R350),$R350="DNA"),$R350,IF(OR(ISNUMBER($Q350),$Q350="DNA"),$Q350,IF(OR(ISNUMBER($N350),$N350="DNA"),$N350,IF(OR(ISNUMBER($M350),$M350="DNA"),$M350,IF(OR(ISNUMBER($L350),$L350="DNA"),$L350,"")))))))))="DNA",AND(ISNUMBER(IF(OR(ISNUMBER($V350),$V350="DNA"),$V350,IF(OR(ISNUMBER($U350),$U350="DNA"),$U350,IF(OR(ISNUMBER($T350),$T350="DNA"),$T350,IF(OR(ISNUMBER($S350),$S350="DNA"),$S350,IF(OR(ISNUMBER($R350),$R350="DNA"),$R350,IF(OR(ISNUMBER($Q350),$Q350="DNA"),$Q350,IF(OR(ISNUMBER($N350),$N350="DNA"),$N350,IF(OR(ISNUMBER($M350),$M350="DNA"),$M350,IF(OR(ISNUMBER($L350),$L350="DNA"),$L350,"")))))))))),IF(OR(ISNUMBER($V350),$V350="DNA"),$V350,IF(OR(ISNUMBER($U350),$U350="DNA"),$U350,IF(OR(ISNUMBER($T350),$T350="DNA"),$T350,IF(OR(ISNUMBER($S350),$S350="DNA"),$S350,IF(OR(ISNUMBER($R350),$R350="DNA"),$R350,IF(OR(ISNUMBER($Q350),$Q350="DNA"),$Q350,IF(OR(ISNUMBER($N350),$N350="DNA"),$N350,IF(OR(ISNUMBER($M350),$M350="DNA"),$M350,IF(OR(ISNUMBER($L350),$L350="DNA"),$L350,"")))))))))&lt;TODAY())),1,0)+ISNUMBER($O350)*($O350&lt;TODAY())+ISNUMBER($P350)*($P350&lt;TODAY())+ISNUMBER($X350)*($X350&lt;TODAY())+ISNUMBER($Y350)*($Y350&lt;TODAY()))</f>
        <v/>
      </c>
    </row>
    <row r="351">
      <c r="A351" s="25" t="n"/>
      <c r="B351" s="26" t="n"/>
      <c r="C351" s="27" t="n"/>
      <c r="D351" s="25" t="n"/>
      <c r="E351" s="25" t="n"/>
      <c r="F351" s="27" t="n"/>
      <c r="G351" s="25" t="n"/>
      <c r="H351" s="28">
        <f>IF(OR(NOT(AND($A351&lt;&gt;"",OR($G351="",$G351="Active"))),$F351=""),"",INT((TODAY()-$F351+280)/7)&amp;"+"&amp;MOD(TODAY()-$F351+280,7))</f>
        <v/>
      </c>
      <c r="I351" s="28">
        <f>IF(NOT(AND($A351&lt;&gt;"",OR($G351="",$G351="Active"))),"",ISNUMBER($L351)*($L351&gt;=TODAY())*($L351&lt;=TODAY()+7)+ISNUMBER($M351)*($M351&gt;=TODAY())*($M351&lt;=TODAY()+7)+ISNUMBER($N351)*($N351&gt;=TODAY())*($N351&lt;=TODAY()+7)+ISNUMBER($Q351)*($Q351&gt;=TODAY())*($Q351&lt;=TODAY()+7)+ISNUMBER($R351)*($R351&gt;=TODAY())*($R351&lt;=TODAY()+7)+ISNUMBER($S351)*($S351&gt;=TODAY())*($S351&lt;=TODAY()+7)+ISNUMBER($T351)*($T351&gt;=TODAY())*($T351&lt;=TODAY()+7)+ISNUMBER($U351)*($U351&gt;=TODAY())*($U351&lt;=TODAY()+7)+ISNUMBER($V351)*($V351&gt;=TODAY())*($V351&lt;=TODAY()+7)+ISNUMBER($O351)*($O351&gt;=TODAY())*($O351&lt;=TODAY()+7)+ISNUMBER($P351)*($P351&gt;=TODAY())*($P351&lt;=TODAY()+7)+ISNUMBER($X351)*($X351&gt;=TODAY())*($X351&lt;=TODAY()+7)+ISNUMBER($Y351)*($Y351&gt;=TODAY())*($Y351&lt;=TODAY()+7))</f>
        <v/>
      </c>
      <c r="J351" s="28">
        <f>IF(NOT(AND($A351&lt;&gt;"",OR($G351="",$G351="Active"))),"",IF($K351&lt;&gt;"",IF($L351=$K351,"Booking",IF($M351=$K351,"16/40",IF($N351=$K351,"25/40",IF($Q351=$K351,"28/40",IF($R351=$K351,"31/40",IF($S351=$K351,"34/40",IF($T351=$K351,"36/40",IF($U351=$K351,"38/40",IF($V351=$K351,"40/40",""))))))))),IF(IF(OR(ISNUMBER($V351),$V351="DNA"),$V351,IF(OR(ISNUMBER($U351),$U351="DNA"),$U351,IF(OR(ISNUMBER($T351),$T351="DNA"),$T351,IF(OR(ISNUMBER($S351),$S351="DNA"),$S351,IF(OR(ISNUMBER($R351),$R351="DNA"),$R351,IF(OR(ISNUMBER($Q351),$Q351="DNA"),$Q351,IF(OR(ISNUMBER($N351),$N351="DNA"),$N351,IF(OR(ISNUMBER($M351),$M351="DNA"),$M351,IF(OR(ISNUMBER($L351),$L351="DNA"),$L351,"")))))))))="DNA","Rebook DNA",IF(ISNUMBER(IF(OR(ISNUMBER($V351),$V351="DNA"),$V351,IF(OR(ISNUMBER($U351),$U351="DNA"),$U351,IF(OR(ISNUMBER($T351),$T351="DNA"),$T351,IF(OR(ISNUMBER($S351),$S351="DNA"),$S351,IF(OR(ISNUMBER($R351),$R351="DNA"),$R351,IF(OR(ISNUMBER($Q351),$Q351="DNA"),$Q351,IF(OR(ISNUMBER($N351),$N351="DNA"),$N351,IF(OR(ISNUMBER($M351),$M351="DNA"),$M351,IF(OR(ISNUMBER($L351),$L351="DNA"),$L351,"")))))))))),IF(ISNUMBER($V351),"Update status","Missed/not booked?"),""))))</f>
        <v/>
      </c>
      <c r="K351" s="29">
        <f>IF(NOT(AND($A351&lt;&gt;"",OR($G351="",$G351="Active"))),"",IF(MIN(IF(AND(ISNUMBER($L351),$L351&gt;=TODAY()),$L351,99999),IF(AND(ISNUMBER($M351),$M351&gt;=TODAY()),$M351,99999),IF(AND(ISNUMBER($N351),$N351&gt;=TODAY()),$N351,99999),IF(AND(ISNUMBER($Q351),$Q351&gt;=TODAY()),$Q351,99999),IF(AND(ISNUMBER($R351),$R351&gt;=TODAY()),$R351,99999),IF(AND(ISNUMBER($S351),$S351&gt;=TODAY()),$S351,99999),IF(AND(ISNUMBER($T351),$T351&gt;=TODAY()),$T351,99999),IF(AND(ISNUMBER($U351),$U351&gt;=TODAY()),$U351,99999),IF(AND(ISNUMBER($V351),$V351&gt;=TODAY()),$V351,99999))=99999,"",MIN(IF(AND(ISNUMBER($L351),$L351&gt;=TODAY()),$L351,99999),IF(AND(ISNUMBER($M351),$M351&gt;=TODAY()),$M351,99999),IF(AND(ISNUMBER($N351),$N351&gt;=TODAY()),$N351,99999),IF(AND(ISNUMBER($Q351),$Q351&gt;=TODAY()),$Q351,99999),IF(AND(ISNUMBER($R351),$R351&gt;=TODAY()),$R351,99999),IF(AND(ISNUMBER($S351),$S351&gt;=TODAY()),$S351,99999),IF(AND(ISNUMBER($T351),$T351&gt;=TODAY()),$T351,99999),IF(AND(ISNUMBER($U351),$U351&gt;=TODAY()),$U351,99999),IF(AND(ISNUMBER($V351),$V351&gt;=TODAY()),$V351,99999))))</f>
        <v/>
      </c>
      <c r="L351" s="27" t="n"/>
      <c r="M351" s="27" t="n"/>
      <c r="N351" s="27" t="n"/>
      <c r="O351" s="27" t="n"/>
      <c r="P351" s="27" t="n"/>
      <c r="Q351" s="27" t="n"/>
      <c r="R351" s="27" t="n"/>
      <c r="S351" s="27" t="n"/>
      <c r="T351" s="27" t="n"/>
      <c r="U351" s="27" t="n"/>
      <c r="V351" s="27" t="n"/>
      <c r="W351" s="27" t="n"/>
      <c r="X351" s="27" t="n"/>
      <c r="Y351" s="27" t="n"/>
      <c r="Z351" s="30" t="n"/>
      <c r="AA351" s="25" t="n"/>
      <c r="AB351" s="28">
        <f>IF(NOT(AND($A351&lt;&gt;"",OR($G351="",$G351="Active"))),"",IF(OR(IF(OR(ISNUMBER($V351),$V351="DNA"),$V351,IF(OR(ISNUMBER($U351),$U351="DNA"),$U351,IF(OR(ISNUMBER($T351),$T351="DNA"),$T351,IF(OR(ISNUMBER($S351),$S351="DNA"),$S351,IF(OR(ISNUMBER($R351),$R351="DNA"),$R351,IF(OR(ISNUMBER($Q351),$Q351="DNA"),$Q351,IF(OR(ISNUMBER($N351),$N351="DNA"),$N351,IF(OR(ISNUMBER($M351),$M351="DNA"),$M351,IF(OR(ISNUMBER($L351),$L351="DNA"),$L351,"")))))))))="DNA",AND(ISNUMBER(IF(OR(ISNUMBER($V351),$V351="DNA"),$V351,IF(OR(ISNUMBER($U351),$U351="DNA"),$U351,IF(OR(ISNUMBER($T351),$T351="DNA"),$T351,IF(OR(ISNUMBER($S351),$S351="DNA"),$S351,IF(OR(ISNUMBER($R351),$R351="DNA"),$R351,IF(OR(ISNUMBER($Q351),$Q351="DNA"),$Q351,IF(OR(ISNUMBER($N351),$N351="DNA"),$N351,IF(OR(ISNUMBER($M351),$M351="DNA"),$M351,IF(OR(ISNUMBER($L351),$L351="DNA"),$L351,"")))))))))),IF(OR(ISNUMBER($V351),$V351="DNA"),$V351,IF(OR(ISNUMBER($U351),$U351="DNA"),$U351,IF(OR(ISNUMBER($T351),$T351="DNA"),$T351,IF(OR(ISNUMBER($S351),$S351="DNA"),$S351,IF(OR(ISNUMBER($R351),$R351="DNA"),$R351,IF(OR(ISNUMBER($Q351),$Q351="DNA"),$Q351,IF(OR(ISNUMBER($N351),$N351="DNA"),$N351,IF(OR(ISNUMBER($M351),$M351="DNA"),$M351,IF(OR(ISNUMBER($L351),$L351="DNA"),$L351,"")))))))))&lt;TODAY())),1,0)+ISNUMBER($O351)*($O351&lt;TODAY())+ISNUMBER($P351)*($P351&lt;TODAY())+ISNUMBER($X351)*($X351&lt;TODAY())+ISNUMBER($Y351)*($Y351&lt;TODAY()))</f>
        <v/>
      </c>
    </row>
    <row r="352">
      <c r="A352" s="25" t="n"/>
      <c r="B352" s="26" t="n"/>
      <c r="C352" s="27" t="n"/>
      <c r="D352" s="25" t="n"/>
      <c r="E352" s="25" t="n"/>
      <c r="F352" s="27" t="n"/>
      <c r="G352" s="25" t="n"/>
      <c r="H352" s="28">
        <f>IF(OR(NOT(AND($A352&lt;&gt;"",OR($G352="",$G352="Active"))),$F352=""),"",INT((TODAY()-$F352+280)/7)&amp;"+"&amp;MOD(TODAY()-$F352+280,7))</f>
        <v/>
      </c>
      <c r="I352" s="28">
        <f>IF(NOT(AND($A352&lt;&gt;"",OR($G352="",$G352="Active"))),"",ISNUMBER($L352)*($L352&gt;=TODAY())*($L352&lt;=TODAY()+7)+ISNUMBER($M352)*($M352&gt;=TODAY())*($M352&lt;=TODAY()+7)+ISNUMBER($N352)*($N352&gt;=TODAY())*($N352&lt;=TODAY()+7)+ISNUMBER($Q352)*($Q352&gt;=TODAY())*($Q352&lt;=TODAY()+7)+ISNUMBER($R352)*($R352&gt;=TODAY())*($R352&lt;=TODAY()+7)+ISNUMBER($S352)*($S352&gt;=TODAY())*($S352&lt;=TODAY()+7)+ISNUMBER($T352)*($T352&gt;=TODAY())*($T352&lt;=TODAY()+7)+ISNUMBER($U352)*($U352&gt;=TODAY())*($U352&lt;=TODAY()+7)+ISNUMBER($V352)*($V352&gt;=TODAY())*($V352&lt;=TODAY()+7)+ISNUMBER($O352)*($O352&gt;=TODAY())*($O352&lt;=TODAY()+7)+ISNUMBER($P352)*($P352&gt;=TODAY())*($P352&lt;=TODAY()+7)+ISNUMBER($X352)*($X352&gt;=TODAY())*($X352&lt;=TODAY()+7)+ISNUMBER($Y352)*($Y352&gt;=TODAY())*($Y352&lt;=TODAY()+7))</f>
        <v/>
      </c>
      <c r="J352" s="28">
        <f>IF(NOT(AND($A352&lt;&gt;"",OR($G352="",$G352="Active"))),"",IF($K352&lt;&gt;"",IF($L352=$K352,"Booking",IF($M352=$K352,"16/40",IF($N352=$K352,"25/40",IF($Q352=$K352,"28/40",IF($R352=$K352,"31/40",IF($S352=$K352,"34/40",IF($T352=$K352,"36/40",IF($U352=$K352,"38/40",IF($V352=$K352,"40/40",""))))))))),IF(IF(OR(ISNUMBER($V352),$V352="DNA"),$V352,IF(OR(ISNUMBER($U352),$U352="DNA"),$U352,IF(OR(ISNUMBER($T352),$T352="DNA"),$T352,IF(OR(ISNUMBER($S352),$S352="DNA"),$S352,IF(OR(ISNUMBER($R352),$R352="DNA"),$R352,IF(OR(ISNUMBER($Q352),$Q352="DNA"),$Q352,IF(OR(ISNUMBER($N352),$N352="DNA"),$N352,IF(OR(ISNUMBER($M352),$M352="DNA"),$M352,IF(OR(ISNUMBER($L352),$L352="DNA"),$L352,"")))))))))="DNA","Rebook DNA",IF(ISNUMBER(IF(OR(ISNUMBER($V352),$V352="DNA"),$V352,IF(OR(ISNUMBER($U352),$U352="DNA"),$U352,IF(OR(ISNUMBER($T352),$T352="DNA"),$T352,IF(OR(ISNUMBER($S352),$S352="DNA"),$S352,IF(OR(ISNUMBER($R352),$R352="DNA"),$R352,IF(OR(ISNUMBER($Q352),$Q352="DNA"),$Q352,IF(OR(ISNUMBER($N352),$N352="DNA"),$N352,IF(OR(ISNUMBER($M352),$M352="DNA"),$M352,IF(OR(ISNUMBER($L352),$L352="DNA"),$L352,"")))))))))),IF(ISNUMBER($V352),"Update status","Missed/not booked?"),""))))</f>
        <v/>
      </c>
      <c r="K352" s="29">
        <f>IF(NOT(AND($A352&lt;&gt;"",OR($G352="",$G352="Active"))),"",IF(MIN(IF(AND(ISNUMBER($L352),$L352&gt;=TODAY()),$L352,99999),IF(AND(ISNUMBER($M352),$M352&gt;=TODAY()),$M352,99999),IF(AND(ISNUMBER($N352),$N352&gt;=TODAY()),$N352,99999),IF(AND(ISNUMBER($Q352),$Q352&gt;=TODAY()),$Q352,99999),IF(AND(ISNUMBER($R352),$R352&gt;=TODAY()),$R352,99999),IF(AND(ISNUMBER($S352),$S352&gt;=TODAY()),$S352,99999),IF(AND(ISNUMBER($T352),$T352&gt;=TODAY()),$T352,99999),IF(AND(ISNUMBER($U352),$U352&gt;=TODAY()),$U352,99999),IF(AND(ISNUMBER($V352),$V352&gt;=TODAY()),$V352,99999))=99999,"",MIN(IF(AND(ISNUMBER($L352),$L352&gt;=TODAY()),$L352,99999),IF(AND(ISNUMBER($M352),$M352&gt;=TODAY()),$M352,99999),IF(AND(ISNUMBER($N352),$N352&gt;=TODAY()),$N352,99999),IF(AND(ISNUMBER($Q352),$Q352&gt;=TODAY()),$Q352,99999),IF(AND(ISNUMBER($R352),$R352&gt;=TODAY()),$R352,99999),IF(AND(ISNUMBER($S352),$S352&gt;=TODAY()),$S352,99999),IF(AND(ISNUMBER($T352),$T352&gt;=TODAY()),$T352,99999),IF(AND(ISNUMBER($U352),$U352&gt;=TODAY()),$U352,99999),IF(AND(ISNUMBER($V352),$V352&gt;=TODAY()),$V352,99999))))</f>
        <v/>
      </c>
      <c r="L352" s="27" t="n"/>
      <c r="M352" s="27" t="n"/>
      <c r="N352" s="27" t="n"/>
      <c r="O352" s="27" t="n"/>
      <c r="P352" s="27" t="n"/>
      <c r="Q352" s="27" t="n"/>
      <c r="R352" s="27" t="n"/>
      <c r="S352" s="27" t="n"/>
      <c r="T352" s="27" t="n"/>
      <c r="U352" s="27" t="n"/>
      <c r="V352" s="27" t="n"/>
      <c r="W352" s="27" t="n"/>
      <c r="X352" s="27" t="n"/>
      <c r="Y352" s="27" t="n"/>
      <c r="Z352" s="30" t="n"/>
      <c r="AA352" s="25" t="n"/>
      <c r="AB352" s="28">
        <f>IF(NOT(AND($A352&lt;&gt;"",OR($G352="",$G352="Active"))),"",IF(OR(IF(OR(ISNUMBER($V352),$V352="DNA"),$V352,IF(OR(ISNUMBER($U352),$U352="DNA"),$U352,IF(OR(ISNUMBER($T352),$T352="DNA"),$T352,IF(OR(ISNUMBER($S352),$S352="DNA"),$S352,IF(OR(ISNUMBER($R352),$R352="DNA"),$R352,IF(OR(ISNUMBER($Q352),$Q352="DNA"),$Q352,IF(OR(ISNUMBER($N352),$N352="DNA"),$N352,IF(OR(ISNUMBER($M352),$M352="DNA"),$M352,IF(OR(ISNUMBER($L352),$L352="DNA"),$L352,"")))))))))="DNA",AND(ISNUMBER(IF(OR(ISNUMBER($V352),$V352="DNA"),$V352,IF(OR(ISNUMBER($U352),$U352="DNA"),$U352,IF(OR(ISNUMBER($T352),$T352="DNA"),$T352,IF(OR(ISNUMBER($S352),$S352="DNA"),$S352,IF(OR(ISNUMBER($R352),$R352="DNA"),$R352,IF(OR(ISNUMBER($Q352),$Q352="DNA"),$Q352,IF(OR(ISNUMBER($N352),$N352="DNA"),$N352,IF(OR(ISNUMBER($M352),$M352="DNA"),$M352,IF(OR(ISNUMBER($L352),$L352="DNA"),$L352,"")))))))))),IF(OR(ISNUMBER($V352),$V352="DNA"),$V352,IF(OR(ISNUMBER($U352),$U352="DNA"),$U352,IF(OR(ISNUMBER($T352),$T352="DNA"),$T352,IF(OR(ISNUMBER($S352),$S352="DNA"),$S352,IF(OR(ISNUMBER($R352),$R352="DNA"),$R352,IF(OR(ISNUMBER($Q352),$Q352="DNA"),$Q352,IF(OR(ISNUMBER($N352),$N352="DNA"),$N352,IF(OR(ISNUMBER($M352),$M352="DNA"),$M352,IF(OR(ISNUMBER($L352),$L352="DNA"),$L352,"")))))))))&lt;TODAY())),1,0)+ISNUMBER($O352)*($O352&lt;TODAY())+ISNUMBER($P352)*($P352&lt;TODAY())+ISNUMBER($X352)*($X352&lt;TODAY())+ISNUMBER($Y352)*($Y352&lt;TODAY()))</f>
        <v/>
      </c>
    </row>
    <row r="353">
      <c r="A353" s="25" t="n"/>
      <c r="B353" s="26" t="n"/>
      <c r="C353" s="27" t="n"/>
      <c r="D353" s="25" t="n"/>
      <c r="E353" s="25" t="n"/>
      <c r="F353" s="27" t="n"/>
      <c r="G353" s="25" t="n"/>
      <c r="H353" s="28">
        <f>IF(OR(NOT(AND($A353&lt;&gt;"",OR($G353="",$G353="Active"))),$F353=""),"",INT((TODAY()-$F353+280)/7)&amp;"+"&amp;MOD(TODAY()-$F353+280,7))</f>
        <v/>
      </c>
      <c r="I353" s="28">
        <f>IF(NOT(AND($A353&lt;&gt;"",OR($G353="",$G353="Active"))),"",ISNUMBER($L353)*($L353&gt;=TODAY())*($L353&lt;=TODAY()+7)+ISNUMBER($M353)*($M353&gt;=TODAY())*($M353&lt;=TODAY()+7)+ISNUMBER($N353)*($N353&gt;=TODAY())*($N353&lt;=TODAY()+7)+ISNUMBER($Q353)*($Q353&gt;=TODAY())*($Q353&lt;=TODAY()+7)+ISNUMBER($R353)*($R353&gt;=TODAY())*($R353&lt;=TODAY()+7)+ISNUMBER($S353)*($S353&gt;=TODAY())*($S353&lt;=TODAY()+7)+ISNUMBER($T353)*($T353&gt;=TODAY())*($T353&lt;=TODAY()+7)+ISNUMBER($U353)*($U353&gt;=TODAY())*($U353&lt;=TODAY()+7)+ISNUMBER($V353)*($V353&gt;=TODAY())*($V353&lt;=TODAY()+7)+ISNUMBER($O353)*($O353&gt;=TODAY())*($O353&lt;=TODAY()+7)+ISNUMBER($P353)*($P353&gt;=TODAY())*($P353&lt;=TODAY()+7)+ISNUMBER($X353)*($X353&gt;=TODAY())*($X353&lt;=TODAY()+7)+ISNUMBER($Y353)*($Y353&gt;=TODAY())*($Y353&lt;=TODAY()+7))</f>
        <v/>
      </c>
      <c r="J353" s="28">
        <f>IF(NOT(AND($A353&lt;&gt;"",OR($G353="",$G353="Active"))),"",IF($K353&lt;&gt;"",IF($L353=$K353,"Booking",IF($M353=$K353,"16/40",IF($N353=$K353,"25/40",IF($Q353=$K353,"28/40",IF($R353=$K353,"31/40",IF($S353=$K353,"34/40",IF($T353=$K353,"36/40",IF($U353=$K353,"38/40",IF($V353=$K353,"40/40",""))))))))),IF(IF(OR(ISNUMBER($V353),$V353="DNA"),$V353,IF(OR(ISNUMBER($U353),$U353="DNA"),$U353,IF(OR(ISNUMBER($T353),$T353="DNA"),$T353,IF(OR(ISNUMBER($S353),$S353="DNA"),$S353,IF(OR(ISNUMBER($R353),$R353="DNA"),$R353,IF(OR(ISNUMBER($Q353),$Q353="DNA"),$Q353,IF(OR(ISNUMBER($N353),$N353="DNA"),$N353,IF(OR(ISNUMBER($M353),$M353="DNA"),$M353,IF(OR(ISNUMBER($L353),$L353="DNA"),$L353,"")))))))))="DNA","Rebook DNA",IF(ISNUMBER(IF(OR(ISNUMBER($V353),$V353="DNA"),$V353,IF(OR(ISNUMBER($U353),$U353="DNA"),$U353,IF(OR(ISNUMBER($T353),$T353="DNA"),$T353,IF(OR(ISNUMBER($S353),$S353="DNA"),$S353,IF(OR(ISNUMBER($R353),$R353="DNA"),$R353,IF(OR(ISNUMBER($Q353),$Q353="DNA"),$Q353,IF(OR(ISNUMBER($N353),$N353="DNA"),$N353,IF(OR(ISNUMBER($M353),$M353="DNA"),$M353,IF(OR(ISNUMBER($L353),$L353="DNA"),$L353,"")))))))))),IF(ISNUMBER($V353),"Update status","Missed/not booked?"),""))))</f>
        <v/>
      </c>
      <c r="K353" s="29">
        <f>IF(NOT(AND($A353&lt;&gt;"",OR($G353="",$G353="Active"))),"",IF(MIN(IF(AND(ISNUMBER($L353),$L353&gt;=TODAY()),$L353,99999),IF(AND(ISNUMBER($M353),$M353&gt;=TODAY()),$M353,99999),IF(AND(ISNUMBER($N353),$N353&gt;=TODAY()),$N353,99999),IF(AND(ISNUMBER($Q353),$Q353&gt;=TODAY()),$Q353,99999),IF(AND(ISNUMBER($R353),$R353&gt;=TODAY()),$R353,99999),IF(AND(ISNUMBER($S353),$S353&gt;=TODAY()),$S353,99999),IF(AND(ISNUMBER($T353),$T353&gt;=TODAY()),$T353,99999),IF(AND(ISNUMBER($U353),$U353&gt;=TODAY()),$U353,99999),IF(AND(ISNUMBER($V353),$V353&gt;=TODAY()),$V353,99999))=99999,"",MIN(IF(AND(ISNUMBER($L353),$L353&gt;=TODAY()),$L353,99999),IF(AND(ISNUMBER($M353),$M353&gt;=TODAY()),$M353,99999),IF(AND(ISNUMBER($N353),$N353&gt;=TODAY()),$N353,99999),IF(AND(ISNUMBER($Q353),$Q353&gt;=TODAY()),$Q353,99999),IF(AND(ISNUMBER($R353),$R353&gt;=TODAY()),$R353,99999),IF(AND(ISNUMBER($S353),$S353&gt;=TODAY()),$S353,99999),IF(AND(ISNUMBER($T353),$T353&gt;=TODAY()),$T353,99999),IF(AND(ISNUMBER($U353),$U353&gt;=TODAY()),$U353,99999),IF(AND(ISNUMBER($V353),$V353&gt;=TODAY()),$V353,99999))))</f>
        <v/>
      </c>
      <c r="L353" s="27" t="n"/>
      <c r="M353" s="27" t="n"/>
      <c r="N353" s="27" t="n"/>
      <c r="O353" s="27" t="n"/>
      <c r="P353" s="27" t="n"/>
      <c r="Q353" s="27" t="n"/>
      <c r="R353" s="27" t="n"/>
      <c r="S353" s="27" t="n"/>
      <c r="T353" s="27" t="n"/>
      <c r="U353" s="27" t="n"/>
      <c r="V353" s="27" t="n"/>
      <c r="W353" s="27" t="n"/>
      <c r="X353" s="27" t="n"/>
      <c r="Y353" s="27" t="n"/>
      <c r="Z353" s="30" t="n"/>
      <c r="AA353" s="25" t="n"/>
      <c r="AB353" s="28">
        <f>IF(NOT(AND($A353&lt;&gt;"",OR($G353="",$G353="Active"))),"",IF(OR(IF(OR(ISNUMBER($V353),$V353="DNA"),$V353,IF(OR(ISNUMBER($U353),$U353="DNA"),$U353,IF(OR(ISNUMBER($T353),$T353="DNA"),$T353,IF(OR(ISNUMBER($S353),$S353="DNA"),$S353,IF(OR(ISNUMBER($R353),$R353="DNA"),$R353,IF(OR(ISNUMBER($Q353),$Q353="DNA"),$Q353,IF(OR(ISNUMBER($N353),$N353="DNA"),$N353,IF(OR(ISNUMBER($M353),$M353="DNA"),$M353,IF(OR(ISNUMBER($L353),$L353="DNA"),$L353,"")))))))))="DNA",AND(ISNUMBER(IF(OR(ISNUMBER($V353),$V353="DNA"),$V353,IF(OR(ISNUMBER($U353),$U353="DNA"),$U353,IF(OR(ISNUMBER($T353),$T353="DNA"),$T353,IF(OR(ISNUMBER($S353),$S353="DNA"),$S353,IF(OR(ISNUMBER($R353),$R353="DNA"),$R353,IF(OR(ISNUMBER($Q353),$Q353="DNA"),$Q353,IF(OR(ISNUMBER($N353),$N353="DNA"),$N353,IF(OR(ISNUMBER($M353),$M353="DNA"),$M353,IF(OR(ISNUMBER($L353),$L353="DNA"),$L353,"")))))))))),IF(OR(ISNUMBER($V353),$V353="DNA"),$V353,IF(OR(ISNUMBER($U353),$U353="DNA"),$U353,IF(OR(ISNUMBER($T353),$T353="DNA"),$T353,IF(OR(ISNUMBER($S353),$S353="DNA"),$S353,IF(OR(ISNUMBER($R353),$R353="DNA"),$R353,IF(OR(ISNUMBER($Q353),$Q353="DNA"),$Q353,IF(OR(ISNUMBER($N353),$N353="DNA"),$N353,IF(OR(ISNUMBER($M353),$M353="DNA"),$M353,IF(OR(ISNUMBER($L353),$L353="DNA"),$L353,"")))))))))&lt;TODAY())),1,0)+ISNUMBER($O353)*($O353&lt;TODAY())+ISNUMBER($P353)*($P353&lt;TODAY())+ISNUMBER($X353)*($X353&lt;TODAY())+ISNUMBER($Y353)*($Y353&lt;TODAY()))</f>
        <v/>
      </c>
    </row>
    <row r="354">
      <c r="A354" s="25" t="n"/>
      <c r="B354" s="26" t="n"/>
      <c r="C354" s="27" t="n"/>
      <c r="D354" s="25" t="n"/>
      <c r="E354" s="25" t="n"/>
      <c r="F354" s="27" t="n"/>
      <c r="G354" s="25" t="n"/>
      <c r="H354" s="28">
        <f>IF(OR(NOT(AND($A354&lt;&gt;"",OR($G354="",$G354="Active"))),$F354=""),"",INT((TODAY()-$F354+280)/7)&amp;"+"&amp;MOD(TODAY()-$F354+280,7))</f>
        <v/>
      </c>
      <c r="I354" s="28">
        <f>IF(NOT(AND($A354&lt;&gt;"",OR($G354="",$G354="Active"))),"",ISNUMBER($L354)*($L354&gt;=TODAY())*($L354&lt;=TODAY()+7)+ISNUMBER($M354)*($M354&gt;=TODAY())*($M354&lt;=TODAY()+7)+ISNUMBER($N354)*($N354&gt;=TODAY())*($N354&lt;=TODAY()+7)+ISNUMBER($Q354)*($Q354&gt;=TODAY())*($Q354&lt;=TODAY()+7)+ISNUMBER($R354)*($R354&gt;=TODAY())*($R354&lt;=TODAY()+7)+ISNUMBER($S354)*($S354&gt;=TODAY())*($S354&lt;=TODAY()+7)+ISNUMBER($T354)*($T354&gt;=TODAY())*($T354&lt;=TODAY()+7)+ISNUMBER($U354)*($U354&gt;=TODAY())*($U354&lt;=TODAY()+7)+ISNUMBER($V354)*($V354&gt;=TODAY())*($V354&lt;=TODAY()+7)+ISNUMBER($O354)*($O354&gt;=TODAY())*($O354&lt;=TODAY()+7)+ISNUMBER($P354)*($P354&gt;=TODAY())*($P354&lt;=TODAY()+7)+ISNUMBER($X354)*($X354&gt;=TODAY())*($X354&lt;=TODAY()+7)+ISNUMBER($Y354)*($Y354&gt;=TODAY())*($Y354&lt;=TODAY()+7))</f>
        <v/>
      </c>
      <c r="J354" s="28">
        <f>IF(NOT(AND($A354&lt;&gt;"",OR($G354="",$G354="Active"))),"",IF($K354&lt;&gt;"",IF($L354=$K354,"Booking",IF($M354=$K354,"16/40",IF($N354=$K354,"25/40",IF($Q354=$K354,"28/40",IF($R354=$K354,"31/40",IF($S354=$K354,"34/40",IF($T354=$K354,"36/40",IF($U354=$K354,"38/40",IF($V354=$K354,"40/40",""))))))))),IF(IF(OR(ISNUMBER($V354),$V354="DNA"),$V354,IF(OR(ISNUMBER($U354),$U354="DNA"),$U354,IF(OR(ISNUMBER($T354),$T354="DNA"),$T354,IF(OR(ISNUMBER($S354),$S354="DNA"),$S354,IF(OR(ISNUMBER($R354),$R354="DNA"),$R354,IF(OR(ISNUMBER($Q354),$Q354="DNA"),$Q354,IF(OR(ISNUMBER($N354),$N354="DNA"),$N354,IF(OR(ISNUMBER($M354),$M354="DNA"),$M354,IF(OR(ISNUMBER($L354),$L354="DNA"),$L354,"")))))))))="DNA","Rebook DNA",IF(ISNUMBER(IF(OR(ISNUMBER($V354),$V354="DNA"),$V354,IF(OR(ISNUMBER($U354),$U354="DNA"),$U354,IF(OR(ISNUMBER($T354),$T354="DNA"),$T354,IF(OR(ISNUMBER($S354),$S354="DNA"),$S354,IF(OR(ISNUMBER($R354),$R354="DNA"),$R354,IF(OR(ISNUMBER($Q354),$Q354="DNA"),$Q354,IF(OR(ISNUMBER($N354),$N354="DNA"),$N354,IF(OR(ISNUMBER($M354),$M354="DNA"),$M354,IF(OR(ISNUMBER($L354),$L354="DNA"),$L354,"")))))))))),IF(ISNUMBER($V354),"Update status","Missed/not booked?"),""))))</f>
        <v/>
      </c>
      <c r="K354" s="29">
        <f>IF(NOT(AND($A354&lt;&gt;"",OR($G354="",$G354="Active"))),"",IF(MIN(IF(AND(ISNUMBER($L354),$L354&gt;=TODAY()),$L354,99999),IF(AND(ISNUMBER($M354),$M354&gt;=TODAY()),$M354,99999),IF(AND(ISNUMBER($N354),$N354&gt;=TODAY()),$N354,99999),IF(AND(ISNUMBER($Q354),$Q354&gt;=TODAY()),$Q354,99999),IF(AND(ISNUMBER($R354),$R354&gt;=TODAY()),$R354,99999),IF(AND(ISNUMBER($S354),$S354&gt;=TODAY()),$S354,99999),IF(AND(ISNUMBER($T354),$T354&gt;=TODAY()),$T354,99999),IF(AND(ISNUMBER($U354),$U354&gt;=TODAY()),$U354,99999),IF(AND(ISNUMBER($V354),$V354&gt;=TODAY()),$V354,99999))=99999,"",MIN(IF(AND(ISNUMBER($L354),$L354&gt;=TODAY()),$L354,99999),IF(AND(ISNUMBER($M354),$M354&gt;=TODAY()),$M354,99999),IF(AND(ISNUMBER($N354),$N354&gt;=TODAY()),$N354,99999),IF(AND(ISNUMBER($Q354),$Q354&gt;=TODAY()),$Q354,99999),IF(AND(ISNUMBER($R354),$R354&gt;=TODAY()),$R354,99999),IF(AND(ISNUMBER($S354),$S354&gt;=TODAY()),$S354,99999),IF(AND(ISNUMBER($T354),$T354&gt;=TODAY()),$T354,99999),IF(AND(ISNUMBER($U354),$U354&gt;=TODAY()),$U354,99999),IF(AND(ISNUMBER($V354),$V354&gt;=TODAY()),$V354,99999))))</f>
        <v/>
      </c>
      <c r="L354" s="27" t="n"/>
      <c r="M354" s="27" t="n"/>
      <c r="N354" s="27" t="n"/>
      <c r="O354" s="27" t="n"/>
      <c r="P354" s="27" t="n"/>
      <c r="Q354" s="27" t="n"/>
      <c r="R354" s="27" t="n"/>
      <c r="S354" s="27" t="n"/>
      <c r="T354" s="27" t="n"/>
      <c r="U354" s="27" t="n"/>
      <c r="V354" s="27" t="n"/>
      <c r="W354" s="27" t="n"/>
      <c r="X354" s="27" t="n"/>
      <c r="Y354" s="27" t="n"/>
      <c r="Z354" s="30" t="n"/>
      <c r="AA354" s="25" t="n"/>
      <c r="AB354" s="28">
        <f>IF(NOT(AND($A354&lt;&gt;"",OR($G354="",$G354="Active"))),"",IF(OR(IF(OR(ISNUMBER($V354),$V354="DNA"),$V354,IF(OR(ISNUMBER($U354),$U354="DNA"),$U354,IF(OR(ISNUMBER($T354),$T354="DNA"),$T354,IF(OR(ISNUMBER($S354),$S354="DNA"),$S354,IF(OR(ISNUMBER($R354),$R354="DNA"),$R354,IF(OR(ISNUMBER($Q354),$Q354="DNA"),$Q354,IF(OR(ISNUMBER($N354),$N354="DNA"),$N354,IF(OR(ISNUMBER($M354),$M354="DNA"),$M354,IF(OR(ISNUMBER($L354),$L354="DNA"),$L354,"")))))))))="DNA",AND(ISNUMBER(IF(OR(ISNUMBER($V354),$V354="DNA"),$V354,IF(OR(ISNUMBER($U354),$U354="DNA"),$U354,IF(OR(ISNUMBER($T354),$T354="DNA"),$T354,IF(OR(ISNUMBER($S354),$S354="DNA"),$S354,IF(OR(ISNUMBER($R354),$R354="DNA"),$R354,IF(OR(ISNUMBER($Q354),$Q354="DNA"),$Q354,IF(OR(ISNUMBER($N354),$N354="DNA"),$N354,IF(OR(ISNUMBER($M354),$M354="DNA"),$M354,IF(OR(ISNUMBER($L354),$L354="DNA"),$L354,"")))))))))),IF(OR(ISNUMBER($V354),$V354="DNA"),$V354,IF(OR(ISNUMBER($U354),$U354="DNA"),$U354,IF(OR(ISNUMBER($T354),$T354="DNA"),$T354,IF(OR(ISNUMBER($S354),$S354="DNA"),$S354,IF(OR(ISNUMBER($R354),$R354="DNA"),$R354,IF(OR(ISNUMBER($Q354),$Q354="DNA"),$Q354,IF(OR(ISNUMBER($N354),$N354="DNA"),$N354,IF(OR(ISNUMBER($M354),$M354="DNA"),$M354,IF(OR(ISNUMBER($L354),$L354="DNA"),$L354,"")))))))))&lt;TODAY())),1,0)+ISNUMBER($O354)*($O354&lt;TODAY())+ISNUMBER($P354)*($P354&lt;TODAY())+ISNUMBER($X354)*($X354&lt;TODAY())+ISNUMBER($Y354)*($Y354&lt;TODAY()))</f>
        <v/>
      </c>
    </row>
    <row r="355">
      <c r="A355" s="25" t="n"/>
      <c r="B355" s="26" t="n"/>
      <c r="C355" s="27" t="n"/>
      <c r="D355" s="25" t="n"/>
      <c r="E355" s="25" t="n"/>
      <c r="F355" s="27" t="n"/>
      <c r="G355" s="25" t="n"/>
      <c r="H355" s="28">
        <f>IF(OR(NOT(AND($A355&lt;&gt;"",OR($G355="",$G355="Active"))),$F355=""),"",INT((TODAY()-$F355+280)/7)&amp;"+"&amp;MOD(TODAY()-$F355+280,7))</f>
        <v/>
      </c>
      <c r="I355" s="28">
        <f>IF(NOT(AND($A355&lt;&gt;"",OR($G355="",$G355="Active"))),"",ISNUMBER($L355)*($L355&gt;=TODAY())*($L355&lt;=TODAY()+7)+ISNUMBER($M355)*($M355&gt;=TODAY())*($M355&lt;=TODAY()+7)+ISNUMBER($N355)*($N355&gt;=TODAY())*($N355&lt;=TODAY()+7)+ISNUMBER($Q355)*($Q355&gt;=TODAY())*($Q355&lt;=TODAY()+7)+ISNUMBER($R355)*($R355&gt;=TODAY())*($R355&lt;=TODAY()+7)+ISNUMBER($S355)*($S355&gt;=TODAY())*($S355&lt;=TODAY()+7)+ISNUMBER($T355)*($T355&gt;=TODAY())*($T355&lt;=TODAY()+7)+ISNUMBER($U355)*($U355&gt;=TODAY())*($U355&lt;=TODAY()+7)+ISNUMBER($V355)*($V355&gt;=TODAY())*($V355&lt;=TODAY()+7)+ISNUMBER($O355)*($O355&gt;=TODAY())*($O355&lt;=TODAY()+7)+ISNUMBER($P355)*($P355&gt;=TODAY())*($P355&lt;=TODAY()+7)+ISNUMBER($X355)*($X355&gt;=TODAY())*($X355&lt;=TODAY()+7)+ISNUMBER($Y355)*($Y355&gt;=TODAY())*($Y355&lt;=TODAY()+7))</f>
        <v/>
      </c>
      <c r="J355" s="28">
        <f>IF(NOT(AND($A355&lt;&gt;"",OR($G355="",$G355="Active"))),"",IF($K355&lt;&gt;"",IF($L355=$K355,"Booking",IF($M355=$K355,"16/40",IF($N355=$K355,"25/40",IF($Q355=$K355,"28/40",IF($R355=$K355,"31/40",IF($S355=$K355,"34/40",IF($T355=$K355,"36/40",IF($U355=$K355,"38/40",IF($V355=$K355,"40/40",""))))))))),IF(IF(OR(ISNUMBER($V355),$V355="DNA"),$V355,IF(OR(ISNUMBER($U355),$U355="DNA"),$U355,IF(OR(ISNUMBER($T355),$T355="DNA"),$T355,IF(OR(ISNUMBER($S355),$S355="DNA"),$S355,IF(OR(ISNUMBER($R355),$R355="DNA"),$R355,IF(OR(ISNUMBER($Q355),$Q355="DNA"),$Q355,IF(OR(ISNUMBER($N355),$N355="DNA"),$N355,IF(OR(ISNUMBER($M355),$M355="DNA"),$M355,IF(OR(ISNUMBER($L355),$L355="DNA"),$L355,"")))))))))="DNA","Rebook DNA",IF(ISNUMBER(IF(OR(ISNUMBER($V355),$V355="DNA"),$V355,IF(OR(ISNUMBER($U355),$U355="DNA"),$U355,IF(OR(ISNUMBER($T355),$T355="DNA"),$T355,IF(OR(ISNUMBER($S355),$S355="DNA"),$S355,IF(OR(ISNUMBER($R355),$R355="DNA"),$R355,IF(OR(ISNUMBER($Q355),$Q355="DNA"),$Q355,IF(OR(ISNUMBER($N355),$N355="DNA"),$N355,IF(OR(ISNUMBER($M355),$M355="DNA"),$M355,IF(OR(ISNUMBER($L355),$L355="DNA"),$L355,"")))))))))),IF(ISNUMBER($V355),"Update status","Missed/not booked?"),""))))</f>
        <v/>
      </c>
      <c r="K355" s="29">
        <f>IF(NOT(AND($A355&lt;&gt;"",OR($G355="",$G355="Active"))),"",IF(MIN(IF(AND(ISNUMBER($L355),$L355&gt;=TODAY()),$L355,99999),IF(AND(ISNUMBER($M355),$M355&gt;=TODAY()),$M355,99999),IF(AND(ISNUMBER($N355),$N355&gt;=TODAY()),$N355,99999),IF(AND(ISNUMBER($Q355),$Q355&gt;=TODAY()),$Q355,99999),IF(AND(ISNUMBER($R355),$R355&gt;=TODAY()),$R355,99999),IF(AND(ISNUMBER($S355),$S355&gt;=TODAY()),$S355,99999),IF(AND(ISNUMBER($T355),$T355&gt;=TODAY()),$T355,99999),IF(AND(ISNUMBER($U355),$U355&gt;=TODAY()),$U355,99999),IF(AND(ISNUMBER($V355),$V355&gt;=TODAY()),$V355,99999))=99999,"",MIN(IF(AND(ISNUMBER($L355),$L355&gt;=TODAY()),$L355,99999),IF(AND(ISNUMBER($M355),$M355&gt;=TODAY()),$M355,99999),IF(AND(ISNUMBER($N355),$N355&gt;=TODAY()),$N355,99999),IF(AND(ISNUMBER($Q355),$Q355&gt;=TODAY()),$Q355,99999),IF(AND(ISNUMBER($R355),$R355&gt;=TODAY()),$R355,99999),IF(AND(ISNUMBER($S355),$S355&gt;=TODAY()),$S355,99999),IF(AND(ISNUMBER($T355),$T355&gt;=TODAY()),$T355,99999),IF(AND(ISNUMBER($U355),$U355&gt;=TODAY()),$U355,99999),IF(AND(ISNUMBER($V355),$V355&gt;=TODAY()),$V355,99999))))</f>
        <v/>
      </c>
      <c r="L355" s="27" t="n"/>
      <c r="M355" s="27" t="n"/>
      <c r="N355" s="27" t="n"/>
      <c r="O355" s="27" t="n"/>
      <c r="P355" s="27" t="n"/>
      <c r="Q355" s="27" t="n"/>
      <c r="R355" s="27" t="n"/>
      <c r="S355" s="27" t="n"/>
      <c r="T355" s="27" t="n"/>
      <c r="U355" s="27" t="n"/>
      <c r="V355" s="27" t="n"/>
      <c r="W355" s="27" t="n"/>
      <c r="X355" s="27" t="n"/>
      <c r="Y355" s="27" t="n"/>
      <c r="Z355" s="30" t="n"/>
      <c r="AA355" s="25" t="n"/>
      <c r="AB355" s="28">
        <f>IF(NOT(AND($A355&lt;&gt;"",OR($G355="",$G355="Active"))),"",IF(OR(IF(OR(ISNUMBER($V355),$V355="DNA"),$V355,IF(OR(ISNUMBER($U355),$U355="DNA"),$U355,IF(OR(ISNUMBER($T355),$T355="DNA"),$T355,IF(OR(ISNUMBER($S355),$S355="DNA"),$S355,IF(OR(ISNUMBER($R355),$R355="DNA"),$R355,IF(OR(ISNUMBER($Q355),$Q355="DNA"),$Q355,IF(OR(ISNUMBER($N355),$N355="DNA"),$N355,IF(OR(ISNUMBER($M355),$M355="DNA"),$M355,IF(OR(ISNUMBER($L355),$L355="DNA"),$L355,"")))))))))="DNA",AND(ISNUMBER(IF(OR(ISNUMBER($V355),$V355="DNA"),$V355,IF(OR(ISNUMBER($U355),$U355="DNA"),$U355,IF(OR(ISNUMBER($T355),$T355="DNA"),$T355,IF(OR(ISNUMBER($S355),$S355="DNA"),$S355,IF(OR(ISNUMBER($R355),$R355="DNA"),$R355,IF(OR(ISNUMBER($Q355),$Q355="DNA"),$Q355,IF(OR(ISNUMBER($N355),$N355="DNA"),$N355,IF(OR(ISNUMBER($M355),$M355="DNA"),$M355,IF(OR(ISNUMBER($L355),$L355="DNA"),$L355,"")))))))))),IF(OR(ISNUMBER($V355),$V355="DNA"),$V355,IF(OR(ISNUMBER($U355),$U355="DNA"),$U355,IF(OR(ISNUMBER($T355),$T355="DNA"),$T355,IF(OR(ISNUMBER($S355),$S355="DNA"),$S355,IF(OR(ISNUMBER($R355),$R355="DNA"),$R355,IF(OR(ISNUMBER($Q355),$Q355="DNA"),$Q355,IF(OR(ISNUMBER($N355),$N355="DNA"),$N355,IF(OR(ISNUMBER($M355),$M355="DNA"),$M355,IF(OR(ISNUMBER($L355),$L355="DNA"),$L355,"")))))))))&lt;TODAY())),1,0)+ISNUMBER($O355)*($O355&lt;TODAY())+ISNUMBER($P355)*($P355&lt;TODAY())+ISNUMBER($X355)*($X355&lt;TODAY())+ISNUMBER($Y355)*($Y355&lt;TODAY()))</f>
        <v/>
      </c>
    </row>
    <row r="356">
      <c r="A356" s="25" t="n"/>
      <c r="B356" s="26" t="n"/>
      <c r="C356" s="27" t="n"/>
      <c r="D356" s="25" t="n"/>
      <c r="E356" s="25" t="n"/>
      <c r="F356" s="27" t="n"/>
      <c r="G356" s="25" t="n"/>
      <c r="H356" s="28">
        <f>IF(OR(NOT(AND($A356&lt;&gt;"",OR($G356="",$G356="Active"))),$F356=""),"",INT((TODAY()-$F356+280)/7)&amp;"+"&amp;MOD(TODAY()-$F356+280,7))</f>
        <v/>
      </c>
      <c r="I356" s="28">
        <f>IF(NOT(AND($A356&lt;&gt;"",OR($G356="",$G356="Active"))),"",ISNUMBER($L356)*($L356&gt;=TODAY())*($L356&lt;=TODAY()+7)+ISNUMBER($M356)*($M356&gt;=TODAY())*($M356&lt;=TODAY()+7)+ISNUMBER($N356)*($N356&gt;=TODAY())*($N356&lt;=TODAY()+7)+ISNUMBER($Q356)*($Q356&gt;=TODAY())*($Q356&lt;=TODAY()+7)+ISNUMBER($R356)*($R356&gt;=TODAY())*($R356&lt;=TODAY()+7)+ISNUMBER($S356)*($S356&gt;=TODAY())*($S356&lt;=TODAY()+7)+ISNUMBER($T356)*($T356&gt;=TODAY())*($T356&lt;=TODAY()+7)+ISNUMBER($U356)*($U356&gt;=TODAY())*($U356&lt;=TODAY()+7)+ISNUMBER($V356)*($V356&gt;=TODAY())*($V356&lt;=TODAY()+7)+ISNUMBER($O356)*($O356&gt;=TODAY())*($O356&lt;=TODAY()+7)+ISNUMBER($P356)*($P356&gt;=TODAY())*($P356&lt;=TODAY()+7)+ISNUMBER($X356)*($X356&gt;=TODAY())*($X356&lt;=TODAY()+7)+ISNUMBER($Y356)*($Y356&gt;=TODAY())*($Y356&lt;=TODAY()+7))</f>
        <v/>
      </c>
      <c r="J356" s="28">
        <f>IF(NOT(AND($A356&lt;&gt;"",OR($G356="",$G356="Active"))),"",IF($K356&lt;&gt;"",IF($L356=$K356,"Booking",IF($M356=$K356,"16/40",IF($N356=$K356,"25/40",IF($Q356=$K356,"28/40",IF($R356=$K356,"31/40",IF($S356=$K356,"34/40",IF($T356=$K356,"36/40",IF($U356=$K356,"38/40",IF($V356=$K356,"40/40",""))))))))),IF(IF(OR(ISNUMBER($V356),$V356="DNA"),$V356,IF(OR(ISNUMBER($U356),$U356="DNA"),$U356,IF(OR(ISNUMBER($T356),$T356="DNA"),$T356,IF(OR(ISNUMBER($S356),$S356="DNA"),$S356,IF(OR(ISNUMBER($R356),$R356="DNA"),$R356,IF(OR(ISNUMBER($Q356),$Q356="DNA"),$Q356,IF(OR(ISNUMBER($N356),$N356="DNA"),$N356,IF(OR(ISNUMBER($M356),$M356="DNA"),$M356,IF(OR(ISNUMBER($L356),$L356="DNA"),$L356,"")))))))))="DNA","Rebook DNA",IF(ISNUMBER(IF(OR(ISNUMBER($V356),$V356="DNA"),$V356,IF(OR(ISNUMBER($U356),$U356="DNA"),$U356,IF(OR(ISNUMBER($T356),$T356="DNA"),$T356,IF(OR(ISNUMBER($S356),$S356="DNA"),$S356,IF(OR(ISNUMBER($R356),$R356="DNA"),$R356,IF(OR(ISNUMBER($Q356),$Q356="DNA"),$Q356,IF(OR(ISNUMBER($N356),$N356="DNA"),$N356,IF(OR(ISNUMBER($M356),$M356="DNA"),$M356,IF(OR(ISNUMBER($L356),$L356="DNA"),$L356,"")))))))))),IF(ISNUMBER($V356),"Update status","Missed/not booked?"),""))))</f>
        <v/>
      </c>
      <c r="K356" s="29">
        <f>IF(NOT(AND($A356&lt;&gt;"",OR($G356="",$G356="Active"))),"",IF(MIN(IF(AND(ISNUMBER($L356),$L356&gt;=TODAY()),$L356,99999),IF(AND(ISNUMBER($M356),$M356&gt;=TODAY()),$M356,99999),IF(AND(ISNUMBER($N356),$N356&gt;=TODAY()),$N356,99999),IF(AND(ISNUMBER($Q356),$Q356&gt;=TODAY()),$Q356,99999),IF(AND(ISNUMBER($R356),$R356&gt;=TODAY()),$R356,99999),IF(AND(ISNUMBER($S356),$S356&gt;=TODAY()),$S356,99999),IF(AND(ISNUMBER($T356),$T356&gt;=TODAY()),$T356,99999),IF(AND(ISNUMBER($U356),$U356&gt;=TODAY()),$U356,99999),IF(AND(ISNUMBER($V356),$V356&gt;=TODAY()),$V356,99999))=99999,"",MIN(IF(AND(ISNUMBER($L356),$L356&gt;=TODAY()),$L356,99999),IF(AND(ISNUMBER($M356),$M356&gt;=TODAY()),$M356,99999),IF(AND(ISNUMBER($N356),$N356&gt;=TODAY()),$N356,99999),IF(AND(ISNUMBER($Q356),$Q356&gt;=TODAY()),$Q356,99999),IF(AND(ISNUMBER($R356),$R356&gt;=TODAY()),$R356,99999),IF(AND(ISNUMBER($S356),$S356&gt;=TODAY()),$S356,99999),IF(AND(ISNUMBER($T356),$T356&gt;=TODAY()),$T356,99999),IF(AND(ISNUMBER($U356),$U356&gt;=TODAY()),$U356,99999),IF(AND(ISNUMBER($V356),$V356&gt;=TODAY()),$V356,99999))))</f>
        <v/>
      </c>
      <c r="L356" s="27" t="n"/>
      <c r="M356" s="27" t="n"/>
      <c r="N356" s="27" t="n"/>
      <c r="O356" s="27" t="n"/>
      <c r="P356" s="27" t="n"/>
      <c r="Q356" s="27" t="n"/>
      <c r="R356" s="27" t="n"/>
      <c r="S356" s="27" t="n"/>
      <c r="T356" s="27" t="n"/>
      <c r="U356" s="27" t="n"/>
      <c r="V356" s="27" t="n"/>
      <c r="W356" s="27" t="n"/>
      <c r="X356" s="27" t="n"/>
      <c r="Y356" s="27" t="n"/>
      <c r="Z356" s="30" t="n"/>
      <c r="AA356" s="25" t="n"/>
      <c r="AB356" s="28">
        <f>IF(NOT(AND($A356&lt;&gt;"",OR($G356="",$G356="Active"))),"",IF(OR(IF(OR(ISNUMBER($V356),$V356="DNA"),$V356,IF(OR(ISNUMBER($U356),$U356="DNA"),$U356,IF(OR(ISNUMBER($T356),$T356="DNA"),$T356,IF(OR(ISNUMBER($S356),$S356="DNA"),$S356,IF(OR(ISNUMBER($R356),$R356="DNA"),$R356,IF(OR(ISNUMBER($Q356),$Q356="DNA"),$Q356,IF(OR(ISNUMBER($N356),$N356="DNA"),$N356,IF(OR(ISNUMBER($M356),$M356="DNA"),$M356,IF(OR(ISNUMBER($L356),$L356="DNA"),$L356,"")))))))))="DNA",AND(ISNUMBER(IF(OR(ISNUMBER($V356),$V356="DNA"),$V356,IF(OR(ISNUMBER($U356),$U356="DNA"),$U356,IF(OR(ISNUMBER($T356),$T356="DNA"),$T356,IF(OR(ISNUMBER($S356),$S356="DNA"),$S356,IF(OR(ISNUMBER($R356),$R356="DNA"),$R356,IF(OR(ISNUMBER($Q356),$Q356="DNA"),$Q356,IF(OR(ISNUMBER($N356),$N356="DNA"),$N356,IF(OR(ISNUMBER($M356),$M356="DNA"),$M356,IF(OR(ISNUMBER($L356),$L356="DNA"),$L356,"")))))))))),IF(OR(ISNUMBER($V356),$V356="DNA"),$V356,IF(OR(ISNUMBER($U356),$U356="DNA"),$U356,IF(OR(ISNUMBER($T356),$T356="DNA"),$T356,IF(OR(ISNUMBER($S356),$S356="DNA"),$S356,IF(OR(ISNUMBER($R356),$R356="DNA"),$R356,IF(OR(ISNUMBER($Q356),$Q356="DNA"),$Q356,IF(OR(ISNUMBER($N356),$N356="DNA"),$N356,IF(OR(ISNUMBER($M356),$M356="DNA"),$M356,IF(OR(ISNUMBER($L356),$L356="DNA"),$L356,"")))))))))&lt;TODAY())),1,0)+ISNUMBER($O356)*($O356&lt;TODAY())+ISNUMBER($P356)*($P356&lt;TODAY())+ISNUMBER($X356)*($X356&lt;TODAY())+ISNUMBER($Y356)*($Y356&lt;TODAY()))</f>
        <v/>
      </c>
    </row>
    <row r="357">
      <c r="A357" s="25" t="n"/>
      <c r="B357" s="26" t="n"/>
      <c r="C357" s="27" t="n"/>
      <c r="D357" s="25" t="n"/>
      <c r="E357" s="25" t="n"/>
      <c r="F357" s="27" t="n"/>
      <c r="G357" s="25" t="n"/>
      <c r="H357" s="28">
        <f>IF(OR(NOT(AND($A357&lt;&gt;"",OR($G357="",$G357="Active"))),$F357=""),"",INT((TODAY()-$F357+280)/7)&amp;"+"&amp;MOD(TODAY()-$F357+280,7))</f>
        <v/>
      </c>
      <c r="I357" s="28">
        <f>IF(NOT(AND($A357&lt;&gt;"",OR($G357="",$G357="Active"))),"",ISNUMBER($L357)*($L357&gt;=TODAY())*($L357&lt;=TODAY()+7)+ISNUMBER($M357)*($M357&gt;=TODAY())*($M357&lt;=TODAY()+7)+ISNUMBER($N357)*($N357&gt;=TODAY())*($N357&lt;=TODAY()+7)+ISNUMBER($Q357)*($Q357&gt;=TODAY())*($Q357&lt;=TODAY()+7)+ISNUMBER($R357)*($R357&gt;=TODAY())*($R357&lt;=TODAY()+7)+ISNUMBER($S357)*($S357&gt;=TODAY())*($S357&lt;=TODAY()+7)+ISNUMBER($T357)*($T357&gt;=TODAY())*($T357&lt;=TODAY()+7)+ISNUMBER($U357)*($U357&gt;=TODAY())*($U357&lt;=TODAY()+7)+ISNUMBER($V357)*($V357&gt;=TODAY())*($V357&lt;=TODAY()+7)+ISNUMBER($O357)*($O357&gt;=TODAY())*($O357&lt;=TODAY()+7)+ISNUMBER($P357)*($P357&gt;=TODAY())*($P357&lt;=TODAY()+7)+ISNUMBER($X357)*($X357&gt;=TODAY())*($X357&lt;=TODAY()+7)+ISNUMBER($Y357)*($Y357&gt;=TODAY())*($Y357&lt;=TODAY()+7))</f>
        <v/>
      </c>
      <c r="J357" s="28">
        <f>IF(NOT(AND($A357&lt;&gt;"",OR($G357="",$G357="Active"))),"",IF($K357&lt;&gt;"",IF($L357=$K357,"Booking",IF($M357=$K357,"16/40",IF($N357=$K357,"25/40",IF($Q357=$K357,"28/40",IF($R357=$K357,"31/40",IF($S357=$K357,"34/40",IF($T357=$K357,"36/40",IF($U357=$K357,"38/40",IF($V357=$K357,"40/40",""))))))))),IF(IF(OR(ISNUMBER($V357),$V357="DNA"),$V357,IF(OR(ISNUMBER($U357),$U357="DNA"),$U357,IF(OR(ISNUMBER($T357),$T357="DNA"),$T357,IF(OR(ISNUMBER($S357),$S357="DNA"),$S357,IF(OR(ISNUMBER($R357),$R357="DNA"),$R357,IF(OR(ISNUMBER($Q357),$Q357="DNA"),$Q357,IF(OR(ISNUMBER($N357),$N357="DNA"),$N357,IF(OR(ISNUMBER($M357),$M357="DNA"),$M357,IF(OR(ISNUMBER($L357),$L357="DNA"),$L357,"")))))))))="DNA","Rebook DNA",IF(ISNUMBER(IF(OR(ISNUMBER($V357),$V357="DNA"),$V357,IF(OR(ISNUMBER($U357),$U357="DNA"),$U357,IF(OR(ISNUMBER($T357),$T357="DNA"),$T357,IF(OR(ISNUMBER($S357),$S357="DNA"),$S357,IF(OR(ISNUMBER($R357),$R357="DNA"),$R357,IF(OR(ISNUMBER($Q357),$Q357="DNA"),$Q357,IF(OR(ISNUMBER($N357),$N357="DNA"),$N357,IF(OR(ISNUMBER($M357),$M357="DNA"),$M357,IF(OR(ISNUMBER($L357),$L357="DNA"),$L357,"")))))))))),IF(ISNUMBER($V357),"Update status","Missed/not booked?"),""))))</f>
        <v/>
      </c>
      <c r="K357" s="29">
        <f>IF(NOT(AND($A357&lt;&gt;"",OR($G357="",$G357="Active"))),"",IF(MIN(IF(AND(ISNUMBER($L357),$L357&gt;=TODAY()),$L357,99999),IF(AND(ISNUMBER($M357),$M357&gt;=TODAY()),$M357,99999),IF(AND(ISNUMBER($N357),$N357&gt;=TODAY()),$N357,99999),IF(AND(ISNUMBER($Q357),$Q357&gt;=TODAY()),$Q357,99999),IF(AND(ISNUMBER($R357),$R357&gt;=TODAY()),$R357,99999),IF(AND(ISNUMBER($S357),$S357&gt;=TODAY()),$S357,99999),IF(AND(ISNUMBER($T357),$T357&gt;=TODAY()),$T357,99999),IF(AND(ISNUMBER($U357),$U357&gt;=TODAY()),$U357,99999),IF(AND(ISNUMBER($V357),$V357&gt;=TODAY()),$V357,99999))=99999,"",MIN(IF(AND(ISNUMBER($L357),$L357&gt;=TODAY()),$L357,99999),IF(AND(ISNUMBER($M357),$M357&gt;=TODAY()),$M357,99999),IF(AND(ISNUMBER($N357),$N357&gt;=TODAY()),$N357,99999),IF(AND(ISNUMBER($Q357),$Q357&gt;=TODAY()),$Q357,99999),IF(AND(ISNUMBER($R357),$R357&gt;=TODAY()),$R357,99999),IF(AND(ISNUMBER($S357),$S357&gt;=TODAY()),$S357,99999),IF(AND(ISNUMBER($T357),$T357&gt;=TODAY()),$T357,99999),IF(AND(ISNUMBER($U357),$U357&gt;=TODAY()),$U357,99999),IF(AND(ISNUMBER($V357),$V357&gt;=TODAY()),$V357,99999))))</f>
        <v/>
      </c>
      <c r="L357" s="27" t="n"/>
      <c r="M357" s="27" t="n"/>
      <c r="N357" s="27" t="n"/>
      <c r="O357" s="27" t="n"/>
      <c r="P357" s="27" t="n"/>
      <c r="Q357" s="27" t="n"/>
      <c r="R357" s="27" t="n"/>
      <c r="S357" s="27" t="n"/>
      <c r="T357" s="27" t="n"/>
      <c r="U357" s="27" t="n"/>
      <c r="V357" s="27" t="n"/>
      <c r="W357" s="27" t="n"/>
      <c r="X357" s="27" t="n"/>
      <c r="Y357" s="27" t="n"/>
      <c r="Z357" s="30" t="n"/>
      <c r="AA357" s="25" t="n"/>
      <c r="AB357" s="28">
        <f>IF(NOT(AND($A357&lt;&gt;"",OR($G357="",$G357="Active"))),"",IF(OR(IF(OR(ISNUMBER($V357),$V357="DNA"),$V357,IF(OR(ISNUMBER($U357),$U357="DNA"),$U357,IF(OR(ISNUMBER($T357),$T357="DNA"),$T357,IF(OR(ISNUMBER($S357),$S357="DNA"),$S357,IF(OR(ISNUMBER($R357),$R357="DNA"),$R357,IF(OR(ISNUMBER($Q357),$Q357="DNA"),$Q357,IF(OR(ISNUMBER($N357),$N357="DNA"),$N357,IF(OR(ISNUMBER($M357),$M357="DNA"),$M357,IF(OR(ISNUMBER($L357),$L357="DNA"),$L357,"")))))))))="DNA",AND(ISNUMBER(IF(OR(ISNUMBER($V357),$V357="DNA"),$V357,IF(OR(ISNUMBER($U357),$U357="DNA"),$U357,IF(OR(ISNUMBER($T357),$T357="DNA"),$T357,IF(OR(ISNUMBER($S357),$S357="DNA"),$S357,IF(OR(ISNUMBER($R357),$R357="DNA"),$R357,IF(OR(ISNUMBER($Q357),$Q357="DNA"),$Q357,IF(OR(ISNUMBER($N357),$N357="DNA"),$N357,IF(OR(ISNUMBER($M357),$M357="DNA"),$M357,IF(OR(ISNUMBER($L357),$L357="DNA"),$L357,"")))))))))),IF(OR(ISNUMBER($V357),$V357="DNA"),$V357,IF(OR(ISNUMBER($U357),$U357="DNA"),$U357,IF(OR(ISNUMBER($T357),$T357="DNA"),$T357,IF(OR(ISNUMBER($S357),$S357="DNA"),$S357,IF(OR(ISNUMBER($R357),$R357="DNA"),$R357,IF(OR(ISNUMBER($Q357),$Q357="DNA"),$Q357,IF(OR(ISNUMBER($N357),$N357="DNA"),$N357,IF(OR(ISNUMBER($M357),$M357="DNA"),$M357,IF(OR(ISNUMBER($L357),$L357="DNA"),$L357,"")))))))))&lt;TODAY())),1,0)+ISNUMBER($O357)*($O357&lt;TODAY())+ISNUMBER($P357)*($P357&lt;TODAY())+ISNUMBER($X357)*($X357&lt;TODAY())+ISNUMBER($Y357)*($Y357&lt;TODAY()))</f>
        <v/>
      </c>
    </row>
    <row r="358">
      <c r="A358" s="25" t="n"/>
      <c r="B358" s="26" t="n"/>
      <c r="C358" s="27" t="n"/>
      <c r="D358" s="25" t="n"/>
      <c r="E358" s="25" t="n"/>
      <c r="F358" s="27" t="n"/>
      <c r="G358" s="25" t="n"/>
      <c r="H358" s="28">
        <f>IF(OR(NOT(AND($A358&lt;&gt;"",OR($G358="",$G358="Active"))),$F358=""),"",INT((TODAY()-$F358+280)/7)&amp;"+"&amp;MOD(TODAY()-$F358+280,7))</f>
        <v/>
      </c>
      <c r="I358" s="28">
        <f>IF(NOT(AND($A358&lt;&gt;"",OR($G358="",$G358="Active"))),"",ISNUMBER($L358)*($L358&gt;=TODAY())*($L358&lt;=TODAY()+7)+ISNUMBER($M358)*($M358&gt;=TODAY())*($M358&lt;=TODAY()+7)+ISNUMBER($N358)*($N358&gt;=TODAY())*($N358&lt;=TODAY()+7)+ISNUMBER($Q358)*($Q358&gt;=TODAY())*($Q358&lt;=TODAY()+7)+ISNUMBER($R358)*($R358&gt;=TODAY())*($R358&lt;=TODAY()+7)+ISNUMBER($S358)*($S358&gt;=TODAY())*($S358&lt;=TODAY()+7)+ISNUMBER($T358)*($T358&gt;=TODAY())*($T358&lt;=TODAY()+7)+ISNUMBER($U358)*($U358&gt;=TODAY())*($U358&lt;=TODAY()+7)+ISNUMBER($V358)*($V358&gt;=TODAY())*($V358&lt;=TODAY()+7)+ISNUMBER($O358)*($O358&gt;=TODAY())*($O358&lt;=TODAY()+7)+ISNUMBER($P358)*($P358&gt;=TODAY())*($P358&lt;=TODAY()+7)+ISNUMBER($X358)*($X358&gt;=TODAY())*($X358&lt;=TODAY()+7)+ISNUMBER($Y358)*($Y358&gt;=TODAY())*($Y358&lt;=TODAY()+7))</f>
        <v/>
      </c>
      <c r="J358" s="28">
        <f>IF(NOT(AND($A358&lt;&gt;"",OR($G358="",$G358="Active"))),"",IF($K358&lt;&gt;"",IF($L358=$K358,"Booking",IF($M358=$K358,"16/40",IF($N358=$K358,"25/40",IF($Q358=$K358,"28/40",IF($R358=$K358,"31/40",IF($S358=$K358,"34/40",IF($T358=$K358,"36/40",IF($U358=$K358,"38/40",IF($V358=$K358,"40/40",""))))))))),IF(IF(OR(ISNUMBER($V358),$V358="DNA"),$V358,IF(OR(ISNUMBER($U358),$U358="DNA"),$U358,IF(OR(ISNUMBER($T358),$T358="DNA"),$T358,IF(OR(ISNUMBER($S358),$S358="DNA"),$S358,IF(OR(ISNUMBER($R358),$R358="DNA"),$R358,IF(OR(ISNUMBER($Q358),$Q358="DNA"),$Q358,IF(OR(ISNUMBER($N358),$N358="DNA"),$N358,IF(OR(ISNUMBER($M358),$M358="DNA"),$M358,IF(OR(ISNUMBER($L358),$L358="DNA"),$L358,"")))))))))="DNA","Rebook DNA",IF(ISNUMBER(IF(OR(ISNUMBER($V358),$V358="DNA"),$V358,IF(OR(ISNUMBER($U358),$U358="DNA"),$U358,IF(OR(ISNUMBER($T358),$T358="DNA"),$T358,IF(OR(ISNUMBER($S358),$S358="DNA"),$S358,IF(OR(ISNUMBER($R358),$R358="DNA"),$R358,IF(OR(ISNUMBER($Q358),$Q358="DNA"),$Q358,IF(OR(ISNUMBER($N358),$N358="DNA"),$N358,IF(OR(ISNUMBER($M358),$M358="DNA"),$M358,IF(OR(ISNUMBER($L358),$L358="DNA"),$L358,"")))))))))),IF(ISNUMBER($V358),"Update status","Missed/not booked?"),""))))</f>
        <v/>
      </c>
      <c r="K358" s="29">
        <f>IF(NOT(AND($A358&lt;&gt;"",OR($G358="",$G358="Active"))),"",IF(MIN(IF(AND(ISNUMBER($L358),$L358&gt;=TODAY()),$L358,99999),IF(AND(ISNUMBER($M358),$M358&gt;=TODAY()),$M358,99999),IF(AND(ISNUMBER($N358),$N358&gt;=TODAY()),$N358,99999),IF(AND(ISNUMBER($Q358),$Q358&gt;=TODAY()),$Q358,99999),IF(AND(ISNUMBER($R358),$R358&gt;=TODAY()),$R358,99999),IF(AND(ISNUMBER($S358),$S358&gt;=TODAY()),$S358,99999),IF(AND(ISNUMBER($T358),$T358&gt;=TODAY()),$T358,99999),IF(AND(ISNUMBER($U358),$U358&gt;=TODAY()),$U358,99999),IF(AND(ISNUMBER($V358),$V358&gt;=TODAY()),$V358,99999))=99999,"",MIN(IF(AND(ISNUMBER($L358),$L358&gt;=TODAY()),$L358,99999),IF(AND(ISNUMBER($M358),$M358&gt;=TODAY()),$M358,99999),IF(AND(ISNUMBER($N358),$N358&gt;=TODAY()),$N358,99999),IF(AND(ISNUMBER($Q358),$Q358&gt;=TODAY()),$Q358,99999),IF(AND(ISNUMBER($R358),$R358&gt;=TODAY()),$R358,99999),IF(AND(ISNUMBER($S358),$S358&gt;=TODAY()),$S358,99999),IF(AND(ISNUMBER($T358),$T358&gt;=TODAY()),$T358,99999),IF(AND(ISNUMBER($U358),$U358&gt;=TODAY()),$U358,99999),IF(AND(ISNUMBER($V358),$V358&gt;=TODAY()),$V358,99999))))</f>
        <v/>
      </c>
      <c r="L358" s="27" t="n"/>
      <c r="M358" s="27" t="n"/>
      <c r="N358" s="27" t="n"/>
      <c r="O358" s="27" t="n"/>
      <c r="P358" s="27" t="n"/>
      <c r="Q358" s="27" t="n"/>
      <c r="R358" s="27" t="n"/>
      <c r="S358" s="27" t="n"/>
      <c r="T358" s="27" t="n"/>
      <c r="U358" s="27" t="n"/>
      <c r="V358" s="27" t="n"/>
      <c r="W358" s="27" t="n"/>
      <c r="X358" s="27" t="n"/>
      <c r="Y358" s="27" t="n"/>
      <c r="Z358" s="30" t="n"/>
      <c r="AA358" s="25" t="n"/>
      <c r="AB358" s="28">
        <f>IF(NOT(AND($A358&lt;&gt;"",OR($G358="",$G358="Active"))),"",IF(OR(IF(OR(ISNUMBER($V358),$V358="DNA"),$V358,IF(OR(ISNUMBER($U358),$U358="DNA"),$U358,IF(OR(ISNUMBER($T358),$T358="DNA"),$T358,IF(OR(ISNUMBER($S358),$S358="DNA"),$S358,IF(OR(ISNUMBER($R358),$R358="DNA"),$R358,IF(OR(ISNUMBER($Q358),$Q358="DNA"),$Q358,IF(OR(ISNUMBER($N358),$N358="DNA"),$N358,IF(OR(ISNUMBER($M358),$M358="DNA"),$M358,IF(OR(ISNUMBER($L358),$L358="DNA"),$L358,"")))))))))="DNA",AND(ISNUMBER(IF(OR(ISNUMBER($V358),$V358="DNA"),$V358,IF(OR(ISNUMBER($U358),$U358="DNA"),$U358,IF(OR(ISNUMBER($T358),$T358="DNA"),$T358,IF(OR(ISNUMBER($S358),$S358="DNA"),$S358,IF(OR(ISNUMBER($R358),$R358="DNA"),$R358,IF(OR(ISNUMBER($Q358),$Q358="DNA"),$Q358,IF(OR(ISNUMBER($N358),$N358="DNA"),$N358,IF(OR(ISNUMBER($M358),$M358="DNA"),$M358,IF(OR(ISNUMBER($L358),$L358="DNA"),$L358,"")))))))))),IF(OR(ISNUMBER($V358),$V358="DNA"),$V358,IF(OR(ISNUMBER($U358),$U358="DNA"),$U358,IF(OR(ISNUMBER($T358),$T358="DNA"),$T358,IF(OR(ISNUMBER($S358),$S358="DNA"),$S358,IF(OR(ISNUMBER($R358),$R358="DNA"),$R358,IF(OR(ISNUMBER($Q358),$Q358="DNA"),$Q358,IF(OR(ISNUMBER($N358),$N358="DNA"),$N358,IF(OR(ISNUMBER($M358),$M358="DNA"),$M358,IF(OR(ISNUMBER($L358),$L358="DNA"),$L358,"")))))))))&lt;TODAY())),1,0)+ISNUMBER($O358)*($O358&lt;TODAY())+ISNUMBER($P358)*($P358&lt;TODAY())+ISNUMBER($X358)*($X358&lt;TODAY())+ISNUMBER($Y358)*($Y358&lt;TODAY()))</f>
        <v/>
      </c>
    </row>
    <row r="359">
      <c r="A359" s="25" t="n"/>
      <c r="B359" s="26" t="n"/>
      <c r="C359" s="27" t="n"/>
      <c r="D359" s="25" t="n"/>
      <c r="E359" s="25" t="n"/>
      <c r="F359" s="27" t="n"/>
      <c r="G359" s="25" t="n"/>
      <c r="H359" s="28">
        <f>IF(OR(NOT(AND($A359&lt;&gt;"",OR($G359="",$G359="Active"))),$F359=""),"",INT((TODAY()-$F359+280)/7)&amp;"+"&amp;MOD(TODAY()-$F359+280,7))</f>
        <v/>
      </c>
      <c r="I359" s="28">
        <f>IF(NOT(AND($A359&lt;&gt;"",OR($G359="",$G359="Active"))),"",ISNUMBER($L359)*($L359&gt;=TODAY())*($L359&lt;=TODAY()+7)+ISNUMBER($M359)*($M359&gt;=TODAY())*($M359&lt;=TODAY()+7)+ISNUMBER($N359)*($N359&gt;=TODAY())*($N359&lt;=TODAY()+7)+ISNUMBER($Q359)*($Q359&gt;=TODAY())*($Q359&lt;=TODAY()+7)+ISNUMBER($R359)*($R359&gt;=TODAY())*($R359&lt;=TODAY()+7)+ISNUMBER($S359)*($S359&gt;=TODAY())*($S359&lt;=TODAY()+7)+ISNUMBER($T359)*($T359&gt;=TODAY())*($T359&lt;=TODAY()+7)+ISNUMBER($U359)*($U359&gt;=TODAY())*($U359&lt;=TODAY()+7)+ISNUMBER($V359)*($V359&gt;=TODAY())*($V359&lt;=TODAY()+7)+ISNUMBER($O359)*($O359&gt;=TODAY())*($O359&lt;=TODAY()+7)+ISNUMBER($P359)*($P359&gt;=TODAY())*($P359&lt;=TODAY()+7)+ISNUMBER($X359)*($X359&gt;=TODAY())*($X359&lt;=TODAY()+7)+ISNUMBER($Y359)*($Y359&gt;=TODAY())*($Y359&lt;=TODAY()+7))</f>
        <v/>
      </c>
      <c r="J359" s="28">
        <f>IF(NOT(AND($A359&lt;&gt;"",OR($G359="",$G359="Active"))),"",IF($K359&lt;&gt;"",IF($L359=$K359,"Booking",IF($M359=$K359,"16/40",IF($N359=$K359,"25/40",IF($Q359=$K359,"28/40",IF($R359=$K359,"31/40",IF($S359=$K359,"34/40",IF($T359=$K359,"36/40",IF($U359=$K359,"38/40",IF($V359=$K359,"40/40",""))))))))),IF(IF(OR(ISNUMBER($V359),$V359="DNA"),$V359,IF(OR(ISNUMBER($U359),$U359="DNA"),$U359,IF(OR(ISNUMBER($T359),$T359="DNA"),$T359,IF(OR(ISNUMBER($S359),$S359="DNA"),$S359,IF(OR(ISNUMBER($R359),$R359="DNA"),$R359,IF(OR(ISNUMBER($Q359),$Q359="DNA"),$Q359,IF(OR(ISNUMBER($N359),$N359="DNA"),$N359,IF(OR(ISNUMBER($M359),$M359="DNA"),$M359,IF(OR(ISNUMBER($L359),$L359="DNA"),$L359,"")))))))))="DNA","Rebook DNA",IF(ISNUMBER(IF(OR(ISNUMBER($V359),$V359="DNA"),$V359,IF(OR(ISNUMBER($U359),$U359="DNA"),$U359,IF(OR(ISNUMBER($T359),$T359="DNA"),$T359,IF(OR(ISNUMBER($S359),$S359="DNA"),$S359,IF(OR(ISNUMBER($R359),$R359="DNA"),$R359,IF(OR(ISNUMBER($Q359),$Q359="DNA"),$Q359,IF(OR(ISNUMBER($N359),$N359="DNA"),$N359,IF(OR(ISNUMBER($M359),$M359="DNA"),$M359,IF(OR(ISNUMBER($L359),$L359="DNA"),$L359,"")))))))))),IF(ISNUMBER($V359),"Update status","Missed/not booked?"),""))))</f>
        <v/>
      </c>
      <c r="K359" s="29">
        <f>IF(NOT(AND($A359&lt;&gt;"",OR($G359="",$G359="Active"))),"",IF(MIN(IF(AND(ISNUMBER($L359),$L359&gt;=TODAY()),$L359,99999),IF(AND(ISNUMBER($M359),$M359&gt;=TODAY()),$M359,99999),IF(AND(ISNUMBER($N359),$N359&gt;=TODAY()),$N359,99999),IF(AND(ISNUMBER($Q359),$Q359&gt;=TODAY()),$Q359,99999),IF(AND(ISNUMBER($R359),$R359&gt;=TODAY()),$R359,99999),IF(AND(ISNUMBER($S359),$S359&gt;=TODAY()),$S359,99999),IF(AND(ISNUMBER($T359),$T359&gt;=TODAY()),$T359,99999),IF(AND(ISNUMBER($U359),$U359&gt;=TODAY()),$U359,99999),IF(AND(ISNUMBER($V359),$V359&gt;=TODAY()),$V359,99999))=99999,"",MIN(IF(AND(ISNUMBER($L359),$L359&gt;=TODAY()),$L359,99999),IF(AND(ISNUMBER($M359),$M359&gt;=TODAY()),$M359,99999),IF(AND(ISNUMBER($N359),$N359&gt;=TODAY()),$N359,99999),IF(AND(ISNUMBER($Q359),$Q359&gt;=TODAY()),$Q359,99999),IF(AND(ISNUMBER($R359),$R359&gt;=TODAY()),$R359,99999),IF(AND(ISNUMBER($S359),$S359&gt;=TODAY()),$S359,99999),IF(AND(ISNUMBER($T359),$T359&gt;=TODAY()),$T359,99999),IF(AND(ISNUMBER($U359),$U359&gt;=TODAY()),$U359,99999),IF(AND(ISNUMBER($V359),$V359&gt;=TODAY()),$V359,99999))))</f>
        <v/>
      </c>
      <c r="L359" s="27" t="n"/>
      <c r="M359" s="27" t="n"/>
      <c r="N359" s="27" t="n"/>
      <c r="O359" s="27" t="n"/>
      <c r="P359" s="27" t="n"/>
      <c r="Q359" s="27" t="n"/>
      <c r="R359" s="27" t="n"/>
      <c r="S359" s="27" t="n"/>
      <c r="T359" s="27" t="n"/>
      <c r="U359" s="27" t="n"/>
      <c r="V359" s="27" t="n"/>
      <c r="W359" s="27" t="n"/>
      <c r="X359" s="27" t="n"/>
      <c r="Y359" s="27" t="n"/>
      <c r="Z359" s="30" t="n"/>
      <c r="AA359" s="25" t="n"/>
      <c r="AB359" s="28">
        <f>IF(NOT(AND($A359&lt;&gt;"",OR($G359="",$G359="Active"))),"",IF(OR(IF(OR(ISNUMBER($V359),$V359="DNA"),$V359,IF(OR(ISNUMBER($U359),$U359="DNA"),$U359,IF(OR(ISNUMBER($T359),$T359="DNA"),$T359,IF(OR(ISNUMBER($S359),$S359="DNA"),$S359,IF(OR(ISNUMBER($R359),$R359="DNA"),$R359,IF(OR(ISNUMBER($Q359),$Q359="DNA"),$Q359,IF(OR(ISNUMBER($N359),$N359="DNA"),$N359,IF(OR(ISNUMBER($M359),$M359="DNA"),$M359,IF(OR(ISNUMBER($L359),$L359="DNA"),$L359,"")))))))))="DNA",AND(ISNUMBER(IF(OR(ISNUMBER($V359),$V359="DNA"),$V359,IF(OR(ISNUMBER($U359),$U359="DNA"),$U359,IF(OR(ISNUMBER($T359),$T359="DNA"),$T359,IF(OR(ISNUMBER($S359),$S359="DNA"),$S359,IF(OR(ISNUMBER($R359),$R359="DNA"),$R359,IF(OR(ISNUMBER($Q359),$Q359="DNA"),$Q359,IF(OR(ISNUMBER($N359),$N359="DNA"),$N359,IF(OR(ISNUMBER($M359),$M359="DNA"),$M359,IF(OR(ISNUMBER($L359),$L359="DNA"),$L359,"")))))))))),IF(OR(ISNUMBER($V359),$V359="DNA"),$V359,IF(OR(ISNUMBER($U359),$U359="DNA"),$U359,IF(OR(ISNUMBER($T359),$T359="DNA"),$T359,IF(OR(ISNUMBER($S359),$S359="DNA"),$S359,IF(OR(ISNUMBER($R359),$R359="DNA"),$R359,IF(OR(ISNUMBER($Q359),$Q359="DNA"),$Q359,IF(OR(ISNUMBER($N359),$N359="DNA"),$N359,IF(OR(ISNUMBER($M359),$M359="DNA"),$M359,IF(OR(ISNUMBER($L359),$L359="DNA"),$L359,"")))))))))&lt;TODAY())),1,0)+ISNUMBER($O359)*($O359&lt;TODAY())+ISNUMBER($P359)*($P359&lt;TODAY())+ISNUMBER($X359)*($X359&lt;TODAY())+ISNUMBER($Y359)*($Y359&lt;TODAY()))</f>
        <v/>
      </c>
    </row>
    <row r="360">
      <c r="A360" s="25" t="n"/>
      <c r="B360" s="26" t="n"/>
      <c r="C360" s="27" t="n"/>
      <c r="D360" s="25" t="n"/>
      <c r="E360" s="25" t="n"/>
      <c r="F360" s="27" t="n"/>
      <c r="G360" s="25" t="n"/>
      <c r="H360" s="28">
        <f>IF(OR(NOT(AND($A360&lt;&gt;"",OR($G360="",$G360="Active"))),$F360=""),"",INT((TODAY()-$F360+280)/7)&amp;"+"&amp;MOD(TODAY()-$F360+280,7))</f>
        <v/>
      </c>
      <c r="I360" s="28">
        <f>IF(NOT(AND($A360&lt;&gt;"",OR($G360="",$G360="Active"))),"",ISNUMBER($L360)*($L360&gt;=TODAY())*($L360&lt;=TODAY()+7)+ISNUMBER($M360)*($M360&gt;=TODAY())*($M360&lt;=TODAY()+7)+ISNUMBER($N360)*($N360&gt;=TODAY())*($N360&lt;=TODAY()+7)+ISNUMBER($Q360)*($Q360&gt;=TODAY())*($Q360&lt;=TODAY()+7)+ISNUMBER($R360)*($R360&gt;=TODAY())*($R360&lt;=TODAY()+7)+ISNUMBER($S360)*($S360&gt;=TODAY())*($S360&lt;=TODAY()+7)+ISNUMBER($T360)*($T360&gt;=TODAY())*($T360&lt;=TODAY()+7)+ISNUMBER($U360)*($U360&gt;=TODAY())*($U360&lt;=TODAY()+7)+ISNUMBER($V360)*($V360&gt;=TODAY())*($V360&lt;=TODAY()+7)+ISNUMBER($O360)*($O360&gt;=TODAY())*($O360&lt;=TODAY()+7)+ISNUMBER($P360)*($P360&gt;=TODAY())*($P360&lt;=TODAY()+7)+ISNUMBER($X360)*($X360&gt;=TODAY())*($X360&lt;=TODAY()+7)+ISNUMBER($Y360)*($Y360&gt;=TODAY())*($Y360&lt;=TODAY()+7))</f>
        <v/>
      </c>
      <c r="J360" s="28">
        <f>IF(NOT(AND($A360&lt;&gt;"",OR($G360="",$G360="Active"))),"",IF($K360&lt;&gt;"",IF($L360=$K360,"Booking",IF($M360=$K360,"16/40",IF($N360=$K360,"25/40",IF($Q360=$K360,"28/40",IF($R360=$K360,"31/40",IF($S360=$K360,"34/40",IF($T360=$K360,"36/40",IF($U360=$K360,"38/40",IF($V360=$K360,"40/40",""))))))))),IF(IF(OR(ISNUMBER($V360),$V360="DNA"),$V360,IF(OR(ISNUMBER($U360),$U360="DNA"),$U360,IF(OR(ISNUMBER($T360),$T360="DNA"),$T360,IF(OR(ISNUMBER($S360),$S360="DNA"),$S360,IF(OR(ISNUMBER($R360),$R360="DNA"),$R360,IF(OR(ISNUMBER($Q360),$Q360="DNA"),$Q360,IF(OR(ISNUMBER($N360),$N360="DNA"),$N360,IF(OR(ISNUMBER($M360),$M360="DNA"),$M360,IF(OR(ISNUMBER($L360),$L360="DNA"),$L360,"")))))))))="DNA","Rebook DNA",IF(ISNUMBER(IF(OR(ISNUMBER($V360),$V360="DNA"),$V360,IF(OR(ISNUMBER($U360),$U360="DNA"),$U360,IF(OR(ISNUMBER($T360),$T360="DNA"),$T360,IF(OR(ISNUMBER($S360),$S360="DNA"),$S360,IF(OR(ISNUMBER($R360),$R360="DNA"),$R360,IF(OR(ISNUMBER($Q360),$Q360="DNA"),$Q360,IF(OR(ISNUMBER($N360),$N360="DNA"),$N360,IF(OR(ISNUMBER($M360),$M360="DNA"),$M360,IF(OR(ISNUMBER($L360),$L360="DNA"),$L360,"")))))))))),IF(ISNUMBER($V360),"Update status","Missed/not booked?"),""))))</f>
        <v/>
      </c>
      <c r="K360" s="29">
        <f>IF(NOT(AND($A360&lt;&gt;"",OR($G360="",$G360="Active"))),"",IF(MIN(IF(AND(ISNUMBER($L360),$L360&gt;=TODAY()),$L360,99999),IF(AND(ISNUMBER($M360),$M360&gt;=TODAY()),$M360,99999),IF(AND(ISNUMBER($N360),$N360&gt;=TODAY()),$N360,99999),IF(AND(ISNUMBER($Q360),$Q360&gt;=TODAY()),$Q360,99999),IF(AND(ISNUMBER($R360),$R360&gt;=TODAY()),$R360,99999),IF(AND(ISNUMBER($S360),$S360&gt;=TODAY()),$S360,99999),IF(AND(ISNUMBER($T360),$T360&gt;=TODAY()),$T360,99999),IF(AND(ISNUMBER($U360),$U360&gt;=TODAY()),$U360,99999),IF(AND(ISNUMBER($V360),$V360&gt;=TODAY()),$V360,99999))=99999,"",MIN(IF(AND(ISNUMBER($L360),$L360&gt;=TODAY()),$L360,99999),IF(AND(ISNUMBER($M360),$M360&gt;=TODAY()),$M360,99999),IF(AND(ISNUMBER($N360),$N360&gt;=TODAY()),$N360,99999),IF(AND(ISNUMBER($Q360),$Q360&gt;=TODAY()),$Q360,99999),IF(AND(ISNUMBER($R360),$R360&gt;=TODAY()),$R360,99999),IF(AND(ISNUMBER($S360),$S360&gt;=TODAY()),$S360,99999),IF(AND(ISNUMBER($T360),$T360&gt;=TODAY()),$T360,99999),IF(AND(ISNUMBER($U360),$U360&gt;=TODAY()),$U360,99999),IF(AND(ISNUMBER($V360),$V360&gt;=TODAY()),$V360,99999))))</f>
        <v/>
      </c>
      <c r="L360" s="27" t="n"/>
      <c r="M360" s="27" t="n"/>
      <c r="N360" s="27" t="n"/>
      <c r="O360" s="27" t="n"/>
      <c r="P360" s="27" t="n"/>
      <c r="Q360" s="27" t="n"/>
      <c r="R360" s="27" t="n"/>
      <c r="S360" s="27" t="n"/>
      <c r="T360" s="27" t="n"/>
      <c r="U360" s="27" t="n"/>
      <c r="V360" s="27" t="n"/>
      <c r="W360" s="27" t="n"/>
      <c r="X360" s="27" t="n"/>
      <c r="Y360" s="27" t="n"/>
      <c r="Z360" s="30" t="n"/>
      <c r="AA360" s="25" t="n"/>
      <c r="AB360" s="28">
        <f>IF(NOT(AND($A360&lt;&gt;"",OR($G360="",$G360="Active"))),"",IF(OR(IF(OR(ISNUMBER($V360),$V360="DNA"),$V360,IF(OR(ISNUMBER($U360),$U360="DNA"),$U360,IF(OR(ISNUMBER($T360),$T360="DNA"),$T360,IF(OR(ISNUMBER($S360),$S360="DNA"),$S360,IF(OR(ISNUMBER($R360),$R360="DNA"),$R360,IF(OR(ISNUMBER($Q360),$Q360="DNA"),$Q360,IF(OR(ISNUMBER($N360),$N360="DNA"),$N360,IF(OR(ISNUMBER($M360),$M360="DNA"),$M360,IF(OR(ISNUMBER($L360),$L360="DNA"),$L360,"")))))))))="DNA",AND(ISNUMBER(IF(OR(ISNUMBER($V360),$V360="DNA"),$V360,IF(OR(ISNUMBER($U360),$U360="DNA"),$U360,IF(OR(ISNUMBER($T360),$T360="DNA"),$T360,IF(OR(ISNUMBER($S360),$S360="DNA"),$S360,IF(OR(ISNUMBER($R360),$R360="DNA"),$R360,IF(OR(ISNUMBER($Q360),$Q360="DNA"),$Q360,IF(OR(ISNUMBER($N360),$N360="DNA"),$N360,IF(OR(ISNUMBER($M360),$M360="DNA"),$M360,IF(OR(ISNUMBER($L360),$L360="DNA"),$L360,"")))))))))),IF(OR(ISNUMBER($V360),$V360="DNA"),$V360,IF(OR(ISNUMBER($U360),$U360="DNA"),$U360,IF(OR(ISNUMBER($T360),$T360="DNA"),$T360,IF(OR(ISNUMBER($S360),$S360="DNA"),$S360,IF(OR(ISNUMBER($R360),$R360="DNA"),$R360,IF(OR(ISNUMBER($Q360),$Q360="DNA"),$Q360,IF(OR(ISNUMBER($N360),$N360="DNA"),$N360,IF(OR(ISNUMBER($M360),$M360="DNA"),$M360,IF(OR(ISNUMBER($L360),$L360="DNA"),$L360,"")))))))))&lt;TODAY())),1,0)+ISNUMBER($O360)*($O360&lt;TODAY())+ISNUMBER($P360)*($P360&lt;TODAY())+ISNUMBER($X360)*($X360&lt;TODAY())+ISNUMBER($Y360)*($Y360&lt;TODAY()))</f>
        <v/>
      </c>
    </row>
    <row r="361">
      <c r="A361" s="25" t="n"/>
      <c r="B361" s="26" t="n"/>
      <c r="C361" s="27" t="n"/>
      <c r="D361" s="25" t="n"/>
      <c r="E361" s="25" t="n"/>
      <c r="F361" s="27" t="n"/>
      <c r="G361" s="25" t="n"/>
      <c r="H361" s="28">
        <f>IF(OR(NOT(AND($A361&lt;&gt;"",OR($G361="",$G361="Active"))),$F361=""),"",INT((TODAY()-$F361+280)/7)&amp;"+"&amp;MOD(TODAY()-$F361+280,7))</f>
        <v/>
      </c>
      <c r="I361" s="28">
        <f>IF(NOT(AND($A361&lt;&gt;"",OR($G361="",$G361="Active"))),"",ISNUMBER($L361)*($L361&gt;=TODAY())*($L361&lt;=TODAY()+7)+ISNUMBER($M361)*($M361&gt;=TODAY())*($M361&lt;=TODAY()+7)+ISNUMBER($N361)*($N361&gt;=TODAY())*($N361&lt;=TODAY()+7)+ISNUMBER($Q361)*($Q361&gt;=TODAY())*($Q361&lt;=TODAY()+7)+ISNUMBER($R361)*($R361&gt;=TODAY())*($R361&lt;=TODAY()+7)+ISNUMBER($S361)*($S361&gt;=TODAY())*($S361&lt;=TODAY()+7)+ISNUMBER($T361)*($T361&gt;=TODAY())*($T361&lt;=TODAY()+7)+ISNUMBER($U361)*($U361&gt;=TODAY())*($U361&lt;=TODAY()+7)+ISNUMBER($V361)*($V361&gt;=TODAY())*($V361&lt;=TODAY()+7)+ISNUMBER($O361)*($O361&gt;=TODAY())*($O361&lt;=TODAY()+7)+ISNUMBER($P361)*($P361&gt;=TODAY())*($P361&lt;=TODAY()+7)+ISNUMBER($X361)*($X361&gt;=TODAY())*($X361&lt;=TODAY()+7)+ISNUMBER($Y361)*($Y361&gt;=TODAY())*($Y361&lt;=TODAY()+7))</f>
        <v/>
      </c>
      <c r="J361" s="28">
        <f>IF(NOT(AND($A361&lt;&gt;"",OR($G361="",$G361="Active"))),"",IF($K361&lt;&gt;"",IF($L361=$K361,"Booking",IF($M361=$K361,"16/40",IF($N361=$K361,"25/40",IF($Q361=$K361,"28/40",IF($R361=$K361,"31/40",IF($S361=$K361,"34/40",IF($T361=$K361,"36/40",IF($U361=$K361,"38/40",IF($V361=$K361,"40/40",""))))))))),IF(IF(OR(ISNUMBER($V361),$V361="DNA"),$V361,IF(OR(ISNUMBER($U361),$U361="DNA"),$U361,IF(OR(ISNUMBER($T361),$T361="DNA"),$T361,IF(OR(ISNUMBER($S361),$S361="DNA"),$S361,IF(OR(ISNUMBER($R361),$R361="DNA"),$R361,IF(OR(ISNUMBER($Q361),$Q361="DNA"),$Q361,IF(OR(ISNUMBER($N361),$N361="DNA"),$N361,IF(OR(ISNUMBER($M361),$M361="DNA"),$M361,IF(OR(ISNUMBER($L361),$L361="DNA"),$L361,"")))))))))="DNA","Rebook DNA",IF(ISNUMBER(IF(OR(ISNUMBER($V361),$V361="DNA"),$V361,IF(OR(ISNUMBER($U361),$U361="DNA"),$U361,IF(OR(ISNUMBER($T361),$T361="DNA"),$T361,IF(OR(ISNUMBER($S361),$S361="DNA"),$S361,IF(OR(ISNUMBER($R361),$R361="DNA"),$R361,IF(OR(ISNUMBER($Q361),$Q361="DNA"),$Q361,IF(OR(ISNUMBER($N361),$N361="DNA"),$N361,IF(OR(ISNUMBER($M361),$M361="DNA"),$M361,IF(OR(ISNUMBER($L361),$L361="DNA"),$L361,"")))))))))),IF(ISNUMBER($V361),"Update status","Missed/not booked?"),""))))</f>
        <v/>
      </c>
      <c r="K361" s="29">
        <f>IF(NOT(AND($A361&lt;&gt;"",OR($G361="",$G361="Active"))),"",IF(MIN(IF(AND(ISNUMBER($L361),$L361&gt;=TODAY()),$L361,99999),IF(AND(ISNUMBER($M361),$M361&gt;=TODAY()),$M361,99999),IF(AND(ISNUMBER($N361),$N361&gt;=TODAY()),$N361,99999),IF(AND(ISNUMBER($Q361),$Q361&gt;=TODAY()),$Q361,99999),IF(AND(ISNUMBER($R361),$R361&gt;=TODAY()),$R361,99999),IF(AND(ISNUMBER($S361),$S361&gt;=TODAY()),$S361,99999),IF(AND(ISNUMBER($T361),$T361&gt;=TODAY()),$T361,99999),IF(AND(ISNUMBER($U361),$U361&gt;=TODAY()),$U361,99999),IF(AND(ISNUMBER($V361),$V361&gt;=TODAY()),$V361,99999))=99999,"",MIN(IF(AND(ISNUMBER($L361),$L361&gt;=TODAY()),$L361,99999),IF(AND(ISNUMBER($M361),$M361&gt;=TODAY()),$M361,99999),IF(AND(ISNUMBER($N361),$N361&gt;=TODAY()),$N361,99999),IF(AND(ISNUMBER($Q361),$Q361&gt;=TODAY()),$Q361,99999),IF(AND(ISNUMBER($R361),$R361&gt;=TODAY()),$R361,99999),IF(AND(ISNUMBER($S361),$S361&gt;=TODAY()),$S361,99999),IF(AND(ISNUMBER($T361),$T361&gt;=TODAY()),$T361,99999),IF(AND(ISNUMBER($U361),$U361&gt;=TODAY()),$U361,99999),IF(AND(ISNUMBER($V361),$V361&gt;=TODAY()),$V361,99999))))</f>
        <v/>
      </c>
      <c r="L361" s="27" t="n"/>
      <c r="M361" s="27" t="n"/>
      <c r="N361" s="27" t="n"/>
      <c r="O361" s="27" t="n"/>
      <c r="P361" s="27" t="n"/>
      <c r="Q361" s="27" t="n"/>
      <c r="R361" s="27" t="n"/>
      <c r="S361" s="27" t="n"/>
      <c r="T361" s="27" t="n"/>
      <c r="U361" s="27" t="n"/>
      <c r="V361" s="27" t="n"/>
      <c r="W361" s="27" t="n"/>
      <c r="X361" s="27" t="n"/>
      <c r="Y361" s="27" t="n"/>
      <c r="Z361" s="30" t="n"/>
      <c r="AA361" s="25" t="n"/>
      <c r="AB361" s="28">
        <f>IF(NOT(AND($A361&lt;&gt;"",OR($G361="",$G361="Active"))),"",IF(OR(IF(OR(ISNUMBER($V361),$V361="DNA"),$V361,IF(OR(ISNUMBER($U361),$U361="DNA"),$U361,IF(OR(ISNUMBER($T361),$T361="DNA"),$T361,IF(OR(ISNUMBER($S361),$S361="DNA"),$S361,IF(OR(ISNUMBER($R361),$R361="DNA"),$R361,IF(OR(ISNUMBER($Q361),$Q361="DNA"),$Q361,IF(OR(ISNUMBER($N361),$N361="DNA"),$N361,IF(OR(ISNUMBER($M361),$M361="DNA"),$M361,IF(OR(ISNUMBER($L361),$L361="DNA"),$L361,"")))))))))="DNA",AND(ISNUMBER(IF(OR(ISNUMBER($V361),$V361="DNA"),$V361,IF(OR(ISNUMBER($U361),$U361="DNA"),$U361,IF(OR(ISNUMBER($T361),$T361="DNA"),$T361,IF(OR(ISNUMBER($S361),$S361="DNA"),$S361,IF(OR(ISNUMBER($R361),$R361="DNA"),$R361,IF(OR(ISNUMBER($Q361),$Q361="DNA"),$Q361,IF(OR(ISNUMBER($N361),$N361="DNA"),$N361,IF(OR(ISNUMBER($M361),$M361="DNA"),$M361,IF(OR(ISNUMBER($L361),$L361="DNA"),$L361,"")))))))))),IF(OR(ISNUMBER($V361),$V361="DNA"),$V361,IF(OR(ISNUMBER($U361),$U361="DNA"),$U361,IF(OR(ISNUMBER($T361),$T361="DNA"),$T361,IF(OR(ISNUMBER($S361),$S361="DNA"),$S361,IF(OR(ISNUMBER($R361),$R361="DNA"),$R361,IF(OR(ISNUMBER($Q361),$Q361="DNA"),$Q361,IF(OR(ISNUMBER($N361),$N361="DNA"),$N361,IF(OR(ISNUMBER($M361),$M361="DNA"),$M361,IF(OR(ISNUMBER($L361),$L361="DNA"),$L361,"")))))))))&lt;TODAY())),1,0)+ISNUMBER($O361)*($O361&lt;TODAY())+ISNUMBER($P361)*($P361&lt;TODAY())+ISNUMBER($X361)*($X361&lt;TODAY())+ISNUMBER($Y361)*($Y361&lt;TODAY()))</f>
        <v/>
      </c>
    </row>
    <row r="362">
      <c r="A362" s="25" t="n"/>
      <c r="B362" s="26" t="n"/>
      <c r="C362" s="27" t="n"/>
      <c r="D362" s="25" t="n"/>
      <c r="E362" s="25" t="n"/>
      <c r="F362" s="27" t="n"/>
      <c r="G362" s="25" t="n"/>
      <c r="H362" s="28">
        <f>IF(OR(NOT(AND($A362&lt;&gt;"",OR($G362="",$G362="Active"))),$F362=""),"",INT((TODAY()-$F362+280)/7)&amp;"+"&amp;MOD(TODAY()-$F362+280,7))</f>
        <v/>
      </c>
      <c r="I362" s="28">
        <f>IF(NOT(AND($A362&lt;&gt;"",OR($G362="",$G362="Active"))),"",ISNUMBER($L362)*($L362&gt;=TODAY())*($L362&lt;=TODAY()+7)+ISNUMBER($M362)*($M362&gt;=TODAY())*($M362&lt;=TODAY()+7)+ISNUMBER($N362)*($N362&gt;=TODAY())*($N362&lt;=TODAY()+7)+ISNUMBER($Q362)*($Q362&gt;=TODAY())*($Q362&lt;=TODAY()+7)+ISNUMBER($R362)*($R362&gt;=TODAY())*($R362&lt;=TODAY()+7)+ISNUMBER($S362)*($S362&gt;=TODAY())*($S362&lt;=TODAY()+7)+ISNUMBER($T362)*($T362&gt;=TODAY())*($T362&lt;=TODAY()+7)+ISNUMBER($U362)*($U362&gt;=TODAY())*($U362&lt;=TODAY()+7)+ISNUMBER($V362)*($V362&gt;=TODAY())*($V362&lt;=TODAY()+7)+ISNUMBER($O362)*($O362&gt;=TODAY())*($O362&lt;=TODAY()+7)+ISNUMBER($P362)*($P362&gt;=TODAY())*($P362&lt;=TODAY()+7)+ISNUMBER($X362)*($X362&gt;=TODAY())*($X362&lt;=TODAY()+7)+ISNUMBER($Y362)*($Y362&gt;=TODAY())*($Y362&lt;=TODAY()+7))</f>
        <v/>
      </c>
      <c r="J362" s="28">
        <f>IF(NOT(AND($A362&lt;&gt;"",OR($G362="",$G362="Active"))),"",IF($K362&lt;&gt;"",IF($L362=$K362,"Booking",IF($M362=$K362,"16/40",IF($N362=$K362,"25/40",IF($Q362=$K362,"28/40",IF($R362=$K362,"31/40",IF($S362=$K362,"34/40",IF($T362=$K362,"36/40",IF($U362=$K362,"38/40",IF($V362=$K362,"40/40",""))))))))),IF(IF(OR(ISNUMBER($V362),$V362="DNA"),$V362,IF(OR(ISNUMBER($U362),$U362="DNA"),$U362,IF(OR(ISNUMBER($T362),$T362="DNA"),$T362,IF(OR(ISNUMBER($S362),$S362="DNA"),$S362,IF(OR(ISNUMBER($R362),$R362="DNA"),$R362,IF(OR(ISNUMBER($Q362),$Q362="DNA"),$Q362,IF(OR(ISNUMBER($N362),$N362="DNA"),$N362,IF(OR(ISNUMBER($M362),$M362="DNA"),$M362,IF(OR(ISNUMBER($L362),$L362="DNA"),$L362,"")))))))))="DNA","Rebook DNA",IF(ISNUMBER(IF(OR(ISNUMBER($V362),$V362="DNA"),$V362,IF(OR(ISNUMBER($U362),$U362="DNA"),$U362,IF(OR(ISNUMBER($T362),$T362="DNA"),$T362,IF(OR(ISNUMBER($S362),$S362="DNA"),$S362,IF(OR(ISNUMBER($R362),$R362="DNA"),$R362,IF(OR(ISNUMBER($Q362),$Q362="DNA"),$Q362,IF(OR(ISNUMBER($N362),$N362="DNA"),$N362,IF(OR(ISNUMBER($M362),$M362="DNA"),$M362,IF(OR(ISNUMBER($L362),$L362="DNA"),$L362,"")))))))))),IF(ISNUMBER($V362),"Update status","Missed/not booked?"),""))))</f>
        <v/>
      </c>
      <c r="K362" s="29">
        <f>IF(NOT(AND($A362&lt;&gt;"",OR($G362="",$G362="Active"))),"",IF(MIN(IF(AND(ISNUMBER($L362),$L362&gt;=TODAY()),$L362,99999),IF(AND(ISNUMBER($M362),$M362&gt;=TODAY()),$M362,99999),IF(AND(ISNUMBER($N362),$N362&gt;=TODAY()),$N362,99999),IF(AND(ISNUMBER($Q362),$Q362&gt;=TODAY()),$Q362,99999),IF(AND(ISNUMBER($R362),$R362&gt;=TODAY()),$R362,99999),IF(AND(ISNUMBER($S362),$S362&gt;=TODAY()),$S362,99999),IF(AND(ISNUMBER($T362),$T362&gt;=TODAY()),$T362,99999),IF(AND(ISNUMBER($U362),$U362&gt;=TODAY()),$U362,99999),IF(AND(ISNUMBER($V362),$V362&gt;=TODAY()),$V362,99999))=99999,"",MIN(IF(AND(ISNUMBER($L362),$L362&gt;=TODAY()),$L362,99999),IF(AND(ISNUMBER($M362),$M362&gt;=TODAY()),$M362,99999),IF(AND(ISNUMBER($N362),$N362&gt;=TODAY()),$N362,99999),IF(AND(ISNUMBER($Q362),$Q362&gt;=TODAY()),$Q362,99999),IF(AND(ISNUMBER($R362),$R362&gt;=TODAY()),$R362,99999),IF(AND(ISNUMBER($S362),$S362&gt;=TODAY()),$S362,99999),IF(AND(ISNUMBER($T362),$T362&gt;=TODAY()),$T362,99999),IF(AND(ISNUMBER($U362),$U362&gt;=TODAY()),$U362,99999),IF(AND(ISNUMBER($V362),$V362&gt;=TODAY()),$V362,99999))))</f>
        <v/>
      </c>
      <c r="L362" s="27" t="n"/>
      <c r="M362" s="27" t="n"/>
      <c r="N362" s="27" t="n"/>
      <c r="O362" s="27" t="n"/>
      <c r="P362" s="27" t="n"/>
      <c r="Q362" s="27" t="n"/>
      <c r="R362" s="27" t="n"/>
      <c r="S362" s="27" t="n"/>
      <c r="T362" s="27" t="n"/>
      <c r="U362" s="27" t="n"/>
      <c r="V362" s="27" t="n"/>
      <c r="W362" s="27" t="n"/>
      <c r="X362" s="27" t="n"/>
      <c r="Y362" s="27" t="n"/>
      <c r="Z362" s="30" t="n"/>
      <c r="AA362" s="25" t="n"/>
      <c r="AB362" s="28">
        <f>IF(NOT(AND($A362&lt;&gt;"",OR($G362="",$G362="Active"))),"",IF(OR(IF(OR(ISNUMBER($V362),$V362="DNA"),$V362,IF(OR(ISNUMBER($U362),$U362="DNA"),$U362,IF(OR(ISNUMBER($T362),$T362="DNA"),$T362,IF(OR(ISNUMBER($S362),$S362="DNA"),$S362,IF(OR(ISNUMBER($R362),$R362="DNA"),$R362,IF(OR(ISNUMBER($Q362),$Q362="DNA"),$Q362,IF(OR(ISNUMBER($N362),$N362="DNA"),$N362,IF(OR(ISNUMBER($M362),$M362="DNA"),$M362,IF(OR(ISNUMBER($L362),$L362="DNA"),$L362,"")))))))))="DNA",AND(ISNUMBER(IF(OR(ISNUMBER($V362),$V362="DNA"),$V362,IF(OR(ISNUMBER($U362),$U362="DNA"),$U362,IF(OR(ISNUMBER($T362),$T362="DNA"),$T362,IF(OR(ISNUMBER($S362),$S362="DNA"),$S362,IF(OR(ISNUMBER($R362),$R362="DNA"),$R362,IF(OR(ISNUMBER($Q362),$Q362="DNA"),$Q362,IF(OR(ISNUMBER($N362),$N362="DNA"),$N362,IF(OR(ISNUMBER($M362),$M362="DNA"),$M362,IF(OR(ISNUMBER($L362),$L362="DNA"),$L362,"")))))))))),IF(OR(ISNUMBER($V362),$V362="DNA"),$V362,IF(OR(ISNUMBER($U362),$U362="DNA"),$U362,IF(OR(ISNUMBER($T362),$T362="DNA"),$T362,IF(OR(ISNUMBER($S362),$S362="DNA"),$S362,IF(OR(ISNUMBER($R362),$R362="DNA"),$R362,IF(OR(ISNUMBER($Q362),$Q362="DNA"),$Q362,IF(OR(ISNUMBER($N362),$N362="DNA"),$N362,IF(OR(ISNUMBER($M362),$M362="DNA"),$M362,IF(OR(ISNUMBER($L362),$L362="DNA"),$L362,"")))))))))&lt;TODAY())),1,0)+ISNUMBER($O362)*($O362&lt;TODAY())+ISNUMBER($P362)*($P362&lt;TODAY())+ISNUMBER($X362)*($X362&lt;TODAY())+ISNUMBER($Y362)*($Y362&lt;TODAY()))</f>
        <v/>
      </c>
    </row>
    <row r="363">
      <c r="A363" s="25" t="n"/>
      <c r="B363" s="26" t="n"/>
      <c r="C363" s="27" t="n"/>
      <c r="D363" s="25" t="n"/>
      <c r="E363" s="25" t="n"/>
      <c r="F363" s="27" t="n"/>
      <c r="G363" s="25" t="n"/>
      <c r="H363" s="28">
        <f>IF(OR(NOT(AND($A363&lt;&gt;"",OR($G363="",$G363="Active"))),$F363=""),"",INT((TODAY()-$F363+280)/7)&amp;"+"&amp;MOD(TODAY()-$F363+280,7))</f>
        <v/>
      </c>
      <c r="I363" s="28">
        <f>IF(NOT(AND($A363&lt;&gt;"",OR($G363="",$G363="Active"))),"",ISNUMBER($L363)*($L363&gt;=TODAY())*($L363&lt;=TODAY()+7)+ISNUMBER($M363)*($M363&gt;=TODAY())*($M363&lt;=TODAY()+7)+ISNUMBER($N363)*($N363&gt;=TODAY())*($N363&lt;=TODAY()+7)+ISNUMBER($Q363)*($Q363&gt;=TODAY())*($Q363&lt;=TODAY()+7)+ISNUMBER($R363)*($R363&gt;=TODAY())*($R363&lt;=TODAY()+7)+ISNUMBER($S363)*($S363&gt;=TODAY())*($S363&lt;=TODAY()+7)+ISNUMBER($T363)*($T363&gt;=TODAY())*($T363&lt;=TODAY()+7)+ISNUMBER($U363)*($U363&gt;=TODAY())*($U363&lt;=TODAY()+7)+ISNUMBER($V363)*($V363&gt;=TODAY())*($V363&lt;=TODAY()+7)+ISNUMBER($O363)*($O363&gt;=TODAY())*($O363&lt;=TODAY()+7)+ISNUMBER($P363)*($P363&gt;=TODAY())*($P363&lt;=TODAY()+7)+ISNUMBER($X363)*($X363&gt;=TODAY())*($X363&lt;=TODAY()+7)+ISNUMBER($Y363)*($Y363&gt;=TODAY())*($Y363&lt;=TODAY()+7))</f>
        <v/>
      </c>
      <c r="J363" s="28">
        <f>IF(NOT(AND($A363&lt;&gt;"",OR($G363="",$G363="Active"))),"",IF($K363&lt;&gt;"",IF($L363=$K363,"Booking",IF($M363=$K363,"16/40",IF($N363=$K363,"25/40",IF($Q363=$K363,"28/40",IF($R363=$K363,"31/40",IF($S363=$K363,"34/40",IF($T363=$K363,"36/40",IF($U363=$K363,"38/40",IF($V363=$K363,"40/40",""))))))))),IF(IF(OR(ISNUMBER($V363),$V363="DNA"),$V363,IF(OR(ISNUMBER($U363),$U363="DNA"),$U363,IF(OR(ISNUMBER($T363),$T363="DNA"),$T363,IF(OR(ISNUMBER($S363),$S363="DNA"),$S363,IF(OR(ISNUMBER($R363),$R363="DNA"),$R363,IF(OR(ISNUMBER($Q363),$Q363="DNA"),$Q363,IF(OR(ISNUMBER($N363),$N363="DNA"),$N363,IF(OR(ISNUMBER($M363),$M363="DNA"),$M363,IF(OR(ISNUMBER($L363),$L363="DNA"),$L363,"")))))))))="DNA","Rebook DNA",IF(ISNUMBER(IF(OR(ISNUMBER($V363),$V363="DNA"),$V363,IF(OR(ISNUMBER($U363),$U363="DNA"),$U363,IF(OR(ISNUMBER($T363),$T363="DNA"),$T363,IF(OR(ISNUMBER($S363),$S363="DNA"),$S363,IF(OR(ISNUMBER($R363),$R363="DNA"),$R363,IF(OR(ISNUMBER($Q363),$Q363="DNA"),$Q363,IF(OR(ISNUMBER($N363),$N363="DNA"),$N363,IF(OR(ISNUMBER($M363),$M363="DNA"),$M363,IF(OR(ISNUMBER($L363),$L363="DNA"),$L363,"")))))))))),IF(ISNUMBER($V363),"Update status","Missed/not booked?"),""))))</f>
        <v/>
      </c>
      <c r="K363" s="29">
        <f>IF(NOT(AND($A363&lt;&gt;"",OR($G363="",$G363="Active"))),"",IF(MIN(IF(AND(ISNUMBER($L363),$L363&gt;=TODAY()),$L363,99999),IF(AND(ISNUMBER($M363),$M363&gt;=TODAY()),$M363,99999),IF(AND(ISNUMBER($N363),$N363&gt;=TODAY()),$N363,99999),IF(AND(ISNUMBER($Q363),$Q363&gt;=TODAY()),$Q363,99999),IF(AND(ISNUMBER($R363),$R363&gt;=TODAY()),$R363,99999),IF(AND(ISNUMBER($S363),$S363&gt;=TODAY()),$S363,99999),IF(AND(ISNUMBER($T363),$T363&gt;=TODAY()),$T363,99999),IF(AND(ISNUMBER($U363),$U363&gt;=TODAY()),$U363,99999),IF(AND(ISNUMBER($V363),$V363&gt;=TODAY()),$V363,99999))=99999,"",MIN(IF(AND(ISNUMBER($L363),$L363&gt;=TODAY()),$L363,99999),IF(AND(ISNUMBER($M363),$M363&gt;=TODAY()),$M363,99999),IF(AND(ISNUMBER($N363),$N363&gt;=TODAY()),$N363,99999),IF(AND(ISNUMBER($Q363),$Q363&gt;=TODAY()),$Q363,99999),IF(AND(ISNUMBER($R363),$R363&gt;=TODAY()),$R363,99999),IF(AND(ISNUMBER($S363),$S363&gt;=TODAY()),$S363,99999),IF(AND(ISNUMBER($T363),$T363&gt;=TODAY()),$T363,99999),IF(AND(ISNUMBER($U363),$U363&gt;=TODAY()),$U363,99999),IF(AND(ISNUMBER($V363),$V363&gt;=TODAY()),$V363,99999))))</f>
        <v/>
      </c>
      <c r="L363" s="27" t="n"/>
      <c r="M363" s="27" t="n"/>
      <c r="N363" s="27" t="n"/>
      <c r="O363" s="27" t="n"/>
      <c r="P363" s="27" t="n"/>
      <c r="Q363" s="27" t="n"/>
      <c r="R363" s="27" t="n"/>
      <c r="S363" s="27" t="n"/>
      <c r="T363" s="27" t="n"/>
      <c r="U363" s="27" t="n"/>
      <c r="V363" s="27" t="n"/>
      <c r="W363" s="27" t="n"/>
      <c r="X363" s="27" t="n"/>
      <c r="Y363" s="27" t="n"/>
      <c r="Z363" s="30" t="n"/>
      <c r="AA363" s="25" t="n"/>
      <c r="AB363" s="28">
        <f>IF(NOT(AND($A363&lt;&gt;"",OR($G363="",$G363="Active"))),"",IF(OR(IF(OR(ISNUMBER($V363),$V363="DNA"),$V363,IF(OR(ISNUMBER($U363),$U363="DNA"),$U363,IF(OR(ISNUMBER($T363),$T363="DNA"),$T363,IF(OR(ISNUMBER($S363),$S363="DNA"),$S363,IF(OR(ISNUMBER($R363),$R363="DNA"),$R363,IF(OR(ISNUMBER($Q363),$Q363="DNA"),$Q363,IF(OR(ISNUMBER($N363),$N363="DNA"),$N363,IF(OR(ISNUMBER($M363),$M363="DNA"),$M363,IF(OR(ISNUMBER($L363),$L363="DNA"),$L363,"")))))))))="DNA",AND(ISNUMBER(IF(OR(ISNUMBER($V363),$V363="DNA"),$V363,IF(OR(ISNUMBER($U363),$U363="DNA"),$U363,IF(OR(ISNUMBER($T363),$T363="DNA"),$T363,IF(OR(ISNUMBER($S363),$S363="DNA"),$S363,IF(OR(ISNUMBER($R363),$R363="DNA"),$R363,IF(OR(ISNUMBER($Q363),$Q363="DNA"),$Q363,IF(OR(ISNUMBER($N363),$N363="DNA"),$N363,IF(OR(ISNUMBER($M363),$M363="DNA"),$M363,IF(OR(ISNUMBER($L363),$L363="DNA"),$L363,"")))))))))),IF(OR(ISNUMBER($V363),$V363="DNA"),$V363,IF(OR(ISNUMBER($U363),$U363="DNA"),$U363,IF(OR(ISNUMBER($T363),$T363="DNA"),$T363,IF(OR(ISNUMBER($S363),$S363="DNA"),$S363,IF(OR(ISNUMBER($R363),$R363="DNA"),$R363,IF(OR(ISNUMBER($Q363),$Q363="DNA"),$Q363,IF(OR(ISNUMBER($N363),$N363="DNA"),$N363,IF(OR(ISNUMBER($M363),$M363="DNA"),$M363,IF(OR(ISNUMBER($L363),$L363="DNA"),$L363,"")))))))))&lt;TODAY())),1,0)+ISNUMBER($O363)*($O363&lt;TODAY())+ISNUMBER($P363)*($P363&lt;TODAY())+ISNUMBER($X363)*($X363&lt;TODAY())+ISNUMBER($Y363)*($Y363&lt;TODAY()))</f>
        <v/>
      </c>
    </row>
    <row r="364">
      <c r="A364" s="25" t="n"/>
      <c r="B364" s="26" t="n"/>
      <c r="C364" s="27" t="n"/>
      <c r="D364" s="25" t="n"/>
      <c r="E364" s="25" t="n"/>
      <c r="F364" s="27" t="n"/>
      <c r="G364" s="25" t="n"/>
      <c r="H364" s="28">
        <f>IF(OR(NOT(AND($A364&lt;&gt;"",OR($G364="",$G364="Active"))),$F364=""),"",INT((TODAY()-$F364+280)/7)&amp;"+"&amp;MOD(TODAY()-$F364+280,7))</f>
        <v/>
      </c>
      <c r="I364" s="28">
        <f>IF(NOT(AND($A364&lt;&gt;"",OR($G364="",$G364="Active"))),"",ISNUMBER($L364)*($L364&gt;=TODAY())*($L364&lt;=TODAY()+7)+ISNUMBER($M364)*($M364&gt;=TODAY())*($M364&lt;=TODAY()+7)+ISNUMBER($N364)*($N364&gt;=TODAY())*($N364&lt;=TODAY()+7)+ISNUMBER($Q364)*($Q364&gt;=TODAY())*($Q364&lt;=TODAY()+7)+ISNUMBER($R364)*($R364&gt;=TODAY())*($R364&lt;=TODAY()+7)+ISNUMBER($S364)*($S364&gt;=TODAY())*($S364&lt;=TODAY()+7)+ISNUMBER($T364)*($T364&gt;=TODAY())*($T364&lt;=TODAY()+7)+ISNUMBER($U364)*($U364&gt;=TODAY())*($U364&lt;=TODAY()+7)+ISNUMBER($V364)*($V364&gt;=TODAY())*($V364&lt;=TODAY()+7)+ISNUMBER($O364)*($O364&gt;=TODAY())*($O364&lt;=TODAY()+7)+ISNUMBER($P364)*($P364&gt;=TODAY())*($P364&lt;=TODAY()+7)+ISNUMBER($X364)*($X364&gt;=TODAY())*($X364&lt;=TODAY()+7)+ISNUMBER($Y364)*($Y364&gt;=TODAY())*($Y364&lt;=TODAY()+7))</f>
        <v/>
      </c>
      <c r="J364" s="28">
        <f>IF(NOT(AND($A364&lt;&gt;"",OR($G364="",$G364="Active"))),"",IF($K364&lt;&gt;"",IF($L364=$K364,"Booking",IF($M364=$K364,"16/40",IF($N364=$K364,"25/40",IF($Q364=$K364,"28/40",IF($R364=$K364,"31/40",IF($S364=$K364,"34/40",IF($T364=$K364,"36/40",IF($U364=$K364,"38/40",IF($V364=$K364,"40/40",""))))))))),IF(IF(OR(ISNUMBER($V364),$V364="DNA"),$V364,IF(OR(ISNUMBER($U364),$U364="DNA"),$U364,IF(OR(ISNUMBER($T364),$T364="DNA"),$T364,IF(OR(ISNUMBER($S364),$S364="DNA"),$S364,IF(OR(ISNUMBER($R364),$R364="DNA"),$R364,IF(OR(ISNUMBER($Q364),$Q364="DNA"),$Q364,IF(OR(ISNUMBER($N364),$N364="DNA"),$N364,IF(OR(ISNUMBER($M364),$M364="DNA"),$M364,IF(OR(ISNUMBER($L364),$L364="DNA"),$L364,"")))))))))="DNA","Rebook DNA",IF(ISNUMBER(IF(OR(ISNUMBER($V364),$V364="DNA"),$V364,IF(OR(ISNUMBER($U364),$U364="DNA"),$U364,IF(OR(ISNUMBER($T364),$T364="DNA"),$T364,IF(OR(ISNUMBER($S364),$S364="DNA"),$S364,IF(OR(ISNUMBER($R364),$R364="DNA"),$R364,IF(OR(ISNUMBER($Q364),$Q364="DNA"),$Q364,IF(OR(ISNUMBER($N364),$N364="DNA"),$N364,IF(OR(ISNUMBER($M364),$M364="DNA"),$M364,IF(OR(ISNUMBER($L364),$L364="DNA"),$L364,"")))))))))),IF(ISNUMBER($V364),"Update status","Missed/not booked?"),""))))</f>
        <v/>
      </c>
      <c r="K364" s="29">
        <f>IF(NOT(AND($A364&lt;&gt;"",OR($G364="",$G364="Active"))),"",IF(MIN(IF(AND(ISNUMBER($L364),$L364&gt;=TODAY()),$L364,99999),IF(AND(ISNUMBER($M364),$M364&gt;=TODAY()),$M364,99999),IF(AND(ISNUMBER($N364),$N364&gt;=TODAY()),$N364,99999),IF(AND(ISNUMBER($Q364),$Q364&gt;=TODAY()),$Q364,99999),IF(AND(ISNUMBER($R364),$R364&gt;=TODAY()),$R364,99999),IF(AND(ISNUMBER($S364),$S364&gt;=TODAY()),$S364,99999),IF(AND(ISNUMBER($T364),$T364&gt;=TODAY()),$T364,99999),IF(AND(ISNUMBER($U364),$U364&gt;=TODAY()),$U364,99999),IF(AND(ISNUMBER($V364),$V364&gt;=TODAY()),$V364,99999))=99999,"",MIN(IF(AND(ISNUMBER($L364),$L364&gt;=TODAY()),$L364,99999),IF(AND(ISNUMBER($M364),$M364&gt;=TODAY()),$M364,99999),IF(AND(ISNUMBER($N364),$N364&gt;=TODAY()),$N364,99999),IF(AND(ISNUMBER($Q364),$Q364&gt;=TODAY()),$Q364,99999),IF(AND(ISNUMBER($R364),$R364&gt;=TODAY()),$R364,99999),IF(AND(ISNUMBER($S364),$S364&gt;=TODAY()),$S364,99999),IF(AND(ISNUMBER($T364),$T364&gt;=TODAY()),$T364,99999),IF(AND(ISNUMBER($U364),$U364&gt;=TODAY()),$U364,99999),IF(AND(ISNUMBER($V364),$V364&gt;=TODAY()),$V364,99999))))</f>
        <v/>
      </c>
      <c r="L364" s="27" t="n"/>
      <c r="M364" s="27" t="n"/>
      <c r="N364" s="27" t="n"/>
      <c r="O364" s="27" t="n"/>
      <c r="P364" s="27" t="n"/>
      <c r="Q364" s="27" t="n"/>
      <c r="R364" s="27" t="n"/>
      <c r="S364" s="27" t="n"/>
      <c r="T364" s="27" t="n"/>
      <c r="U364" s="27" t="n"/>
      <c r="V364" s="27" t="n"/>
      <c r="W364" s="27" t="n"/>
      <c r="X364" s="27" t="n"/>
      <c r="Y364" s="27" t="n"/>
      <c r="Z364" s="30" t="n"/>
      <c r="AA364" s="25" t="n"/>
      <c r="AB364" s="28">
        <f>IF(NOT(AND($A364&lt;&gt;"",OR($G364="",$G364="Active"))),"",IF(OR(IF(OR(ISNUMBER($V364),$V364="DNA"),$V364,IF(OR(ISNUMBER($U364),$U364="DNA"),$U364,IF(OR(ISNUMBER($T364),$T364="DNA"),$T364,IF(OR(ISNUMBER($S364),$S364="DNA"),$S364,IF(OR(ISNUMBER($R364),$R364="DNA"),$R364,IF(OR(ISNUMBER($Q364),$Q364="DNA"),$Q364,IF(OR(ISNUMBER($N364),$N364="DNA"),$N364,IF(OR(ISNUMBER($M364),$M364="DNA"),$M364,IF(OR(ISNUMBER($L364),$L364="DNA"),$L364,"")))))))))="DNA",AND(ISNUMBER(IF(OR(ISNUMBER($V364),$V364="DNA"),$V364,IF(OR(ISNUMBER($U364),$U364="DNA"),$U364,IF(OR(ISNUMBER($T364),$T364="DNA"),$T364,IF(OR(ISNUMBER($S364),$S364="DNA"),$S364,IF(OR(ISNUMBER($R364),$R364="DNA"),$R364,IF(OR(ISNUMBER($Q364),$Q364="DNA"),$Q364,IF(OR(ISNUMBER($N364),$N364="DNA"),$N364,IF(OR(ISNUMBER($M364),$M364="DNA"),$M364,IF(OR(ISNUMBER($L364),$L364="DNA"),$L364,"")))))))))),IF(OR(ISNUMBER($V364),$V364="DNA"),$V364,IF(OR(ISNUMBER($U364),$U364="DNA"),$U364,IF(OR(ISNUMBER($T364),$T364="DNA"),$T364,IF(OR(ISNUMBER($S364),$S364="DNA"),$S364,IF(OR(ISNUMBER($R364),$R364="DNA"),$R364,IF(OR(ISNUMBER($Q364),$Q364="DNA"),$Q364,IF(OR(ISNUMBER($N364),$N364="DNA"),$N364,IF(OR(ISNUMBER($M364),$M364="DNA"),$M364,IF(OR(ISNUMBER($L364),$L364="DNA"),$L364,"")))))))))&lt;TODAY())),1,0)+ISNUMBER($O364)*($O364&lt;TODAY())+ISNUMBER($P364)*($P364&lt;TODAY())+ISNUMBER($X364)*($X364&lt;TODAY())+ISNUMBER($Y364)*($Y364&lt;TODAY()))</f>
        <v/>
      </c>
    </row>
    <row r="365">
      <c r="A365" s="25" t="n"/>
      <c r="B365" s="26" t="n"/>
      <c r="C365" s="27" t="n"/>
      <c r="D365" s="25" t="n"/>
      <c r="E365" s="25" t="n"/>
      <c r="F365" s="27" t="n"/>
      <c r="G365" s="25" t="n"/>
      <c r="H365" s="28">
        <f>IF(OR(NOT(AND($A365&lt;&gt;"",OR($G365="",$G365="Active"))),$F365=""),"",INT((TODAY()-$F365+280)/7)&amp;"+"&amp;MOD(TODAY()-$F365+280,7))</f>
        <v/>
      </c>
      <c r="I365" s="28">
        <f>IF(NOT(AND($A365&lt;&gt;"",OR($G365="",$G365="Active"))),"",ISNUMBER($L365)*($L365&gt;=TODAY())*($L365&lt;=TODAY()+7)+ISNUMBER($M365)*($M365&gt;=TODAY())*($M365&lt;=TODAY()+7)+ISNUMBER($N365)*($N365&gt;=TODAY())*($N365&lt;=TODAY()+7)+ISNUMBER($Q365)*($Q365&gt;=TODAY())*($Q365&lt;=TODAY()+7)+ISNUMBER($R365)*($R365&gt;=TODAY())*($R365&lt;=TODAY()+7)+ISNUMBER($S365)*($S365&gt;=TODAY())*($S365&lt;=TODAY()+7)+ISNUMBER($T365)*($T365&gt;=TODAY())*($T365&lt;=TODAY()+7)+ISNUMBER($U365)*($U365&gt;=TODAY())*($U365&lt;=TODAY()+7)+ISNUMBER($V365)*($V365&gt;=TODAY())*($V365&lt;=TODAY()+7)+ISNUMBER($O365)*($O365&gt;=TODAY())*($O365&lt;=TODAY()+7)+ISNUMBER($P365)*($P365&gt;=TODAY())*($P365&lt;=TODAY()+7)+ISNUMBER($X365)*($X365&gt;=TODAY())*($X365&lt;=TODAY()+7)+ISNUMBER($Y365)*($Y365&gt;=TODAY())*($Y365&lt;=TODAY()+7))</f>
        <v/>
      </c>
      <c r="J365" s="28">
        <f>IF(NOT(AND($A365&lt;&gt;"",OR($G365="",$G365="Active"))),"",IF($K365&lt;&gt;"",IF($L365=$K365,"Booking",IF($M365=$K365,"16/40",IF($N365=$K365,"25/40",IF($Q365=$K365,"28/40",IF($R365=$K365,"31/40",IF($S365=$K365,"34/40",IF($T365=$K365,"36/40",IF($U365=$K365,"38/40",IF($V365=$K365,"40/40",""))))))))),IF(IF(OR(ISNUMBER($V365),$V365="DNA"),$V365,IF(OR(ISNUMBER($U365),$U365="DNA"),$U365,IF(OR(ISNUMBER($T365),$T365="DNA"),$T365,IF(OR(ISNUMBER($S365),$S365="DNA"),$S365,IF(OR(ISNUMBER($R365),$R365="DNA"),$R365,IF(OR(ISNUMBER($Q365),$Q365="DNA"),$Q365,IF(OR(ISNUMBER($N365),$N365="DNA"),$N365,IF(OR(ISNUMBER($M365),$M365="DNA"),$M365,IF(OR(ISNUMBER($L365),$L365="DNA"),$L365,"")))))))))="DNA","Rebook DNA",IF(ISNUMBER(IF(OR(ISNUMBER($V365),$V365="DNA"),$V365,IF(OR(ISNUMBER($U365),$U365="DNA"),$U365,IF(OR(ISNUMBER($T365),$T365="DNA"),$T365,IF(OR(ISNUMBER($S365),$S365="DNA"),$S365,IF(OR(ISNUMBER($R365),$R365="DNA"),$R365,IF(OR(ISNUMBER($Q365),$Q365="DNA"),$Q365,IF(OR(ISNUMBER($N365),$N365="DNA"),$N365,IF(OR(ISNUMBER($M365),$M365="DNA"),$M365,IF(OR(ISNUMBER($L365),$L365="DNA"),$L365,"")))))))))),IF(ISNUMBER($V365),"Update status","Missed/not booked?"),""))))</f>
        <v/>
      </c>
      <c r="K365" s="29">
        <f>IF(NOT(AND($A365&lt;&gt;"",OR($G365="",$G365="Active"))),"",IF(MIN(IF(AND(ISNUMBER($L365),$L365&gt;=TODAY()),$L365,99999),IF(AND(ISNUMBER($M365),$M365&gt;=TODAY()),$M365,99999),IF(AND(ISNUMBER($N365),$N365&gt;=TODAY()),$N365,99999),IF(AND(ISNUMBER($Q365),$Q365&gt;=TODAY()),$Q365,99999),IF(AND(ISNUMBER($R365),$R365&gt;=TODAY()),$R365,99999),IF(AND(ISNUMBER($S365),$S365&gt;=TODAY()),$S365,99999),IF(AND(ISNUMBER($T365),$T365&gt;=TODAY()),$T365,99999),IF(AND(ISNUMBER($U365),$U365&gt;=TODAY()),$U365,99999),IF(AND(ISNUMBER($V365),$V365&gt;=TODAY()),$V365,99999))=99999,"",MIN(IF(AND(ISNUMBER($L365),$L365&gt;=TODAY()),$L365,99999),IF(AND(ISNUMBER($M365),$M365&gt;=TODAY()),$M365,99999),IF(AND(ISNUMBER($N365),$N365&gt;=TODAY()),$N365,99999),IF(AND(ISNUMBER($Q365),$Q365&gt;=TODAY()),$Q365,99999),IF(AND(ISNUMBER($R365),$R365&gt;=TODAY()),$R365,99999),IF(AND(ISNUMBER($S365),$S365&gt;=TODAY()),$S365,99999),IF(AND(ISNUMBER($T365),$T365&gt;=TODAY()),$T365,99999),IF(AND(ISNUMBER($U365),$U365&gt;=TODAY()),$U365,99999),IF(AND(ISNUMBER($V365),$V365&gt;=TODAY()),$V365,99999))))</f>
        <v/>
      </c>
      <c r="L365" s="27" t="n"/>
      <c r="M365" s="27" t="n"/>
      <c r="N365" s="27" t="n"/>
      <c r="O365" s="27" t="n"/>
      <c r="P365" s="27" t="n"/>
      <c r="Q365" s="27" t="n"/>
      <c r="R365" s="27" t="n"/>
      <c r="S365" s="27" t="n"/>
      <c r="T365" s="27" t="n"/>
      <c r="U365" s="27" t="n"/>
      <c r="V365" s="27" t="n"/>
      <c r="W365" s="27" t="n"/>
      <c r="X365" s="27" t="n"/>
      <c r="Y365" s="27" t="n"/>
      <c r="Z365" s="30" t="n"/>
      <c r="AA365" s="25" t="n"/>
      <c r="AB365" s="28">
        <f>IF(NOT(AND($A365&lt;&gt;"",OR($G365="",$G365="Active"))),"",IF(OR(IF(OR(ISNUMBER($V365),$V365="DNA"),$V365,IF(OR(ISNUMBER($U365),$U365="DNA"),$U365,IF(OR(ISNUMBER($T365),$T365="DNA"),$T365,IF(OR(ISNUMBER($S365),$S365="DNA"),$S365,IF(OR(ISNUMBER($R365),$R365="DNA"),$R365,IF(OR(ISNUMBER($Q365),$Q365="DNA"),$Q365,IF(OR(ISNUMBER($N365),$N365="DNA"),$N365,IF(OR(ISNUMBER($M365),$M365="DNA"),$M365,IF(OR(ISNUMBER($L365),$L365="DNA"),$L365,"")))))))))="DNA",AND(ISNUMBER(IF(OR(ISNUMBER($V365),$V365="DNA"),$V365,IF(OR(ISNUMBER($U365),$U365="DNA"),$U365,IF(OR(ISNUMBER($T365),$T365="DNA"),$T365,IF(OR(ISNUMBER($S365),$S365="DNA"),$S365,IF(OR(ISNUMBER($R365),$R365="DNA"),$R365,IF(OR(ISNUMBER($Q365),$Q365="DNA"),$Q365,IF(OR(ISNUMBER($N365),$N365="DNA"),$N365,IF(OR(ISNUMBER($M365),$M365="DNA"),$M365,IF(OR(ISNUMBER($L365),$L365="DNA"),$L365,"")))))))))),IF(OR(ISNUMBER($V365),$V365="DNA"),$V365,IF(OR(ISNUMBER($U365),$U365="DNA"),$U365,IF(OR(ISNUMBER($T365),$T365="DNA"),$T365,IF(OR(ISNUMBER($S365),$S365="DNA"),$S365,IF(OR(ISNUMBER($R365),$R365="DNA"),$R365,IF(OR(ISNUMBER($Q365),$Q365="DNA"),$Q365,IF(OR(ISNUMBER($N365),$N365="DNA"),$N365,IF(OR(ISNUMBER($M365),$M365="DNA"),$M365,IF(OR(ISNUMBER($L365),$L365="DNA"),$L365,"")))))))))&lt;TODAY())),1,0)+ISNUMBER($O365)*($O365&lt;TODAY())+ISNUMBER($P365)*($P365&lt;TODAY())+ISNUMBER($X365)*($X365&lt;TODAY())+ISNUMBER($Y365)*($Y365&lt;TODAY()))</f>
        <v/>
      </c>
    </row>
    <row r="366">
      <c r="A366" s="25" t="n"/>
      <c r="B366" s="26" t="n"/>
      <c r="C366" s="27" t="n"/>
      <c r="D366" s="25" t="n"/>
      <c r="E366" s="25" t="n"/>
      <c r="F366" s="27" t="n"/>
      <c r="G366" s="25" t="n"/>
      <c r="H366" s="28">
        <f>IF(OR(NOT(AND($A366&lt;&gt;"",OR($G366="",$G366="Active"))),$F366=""),"",INT((TODAY()-$F366+280)/7)&amp;"+"&amp;MOD(TODAY()-$F366+280,7))</f>
        <v/>
      </c>
      <c r="I366" s="28">
        <f>IF(NOT(AND($A366&lt;&gt;"",OR($G366="",$G366="Active"))),"",ISNUMBER($L366)*($L366&gt;=TODAY())*($L366&lt;=TODAY()+7)+ISNUMBER($M366)*($M366&gt;=TODAY())*($M366&lt;=TODAY()+7)+ISNUMBER($N366)*($N366&gt;=TODAY())*($N366&lt;=TODAY()+7)+ISNUMBER($Q366)*($Q366&gt;=TODAY())*($Q366&lt;=TODAY()+7)+ISNUMBER($R366)*($R366&gt;=TODAY())*($R366&lt;=TODAY()+7)+ISNUMBER($S366)*($S366&gt;=TODAY())*($S366&lt;=TODAY()+7)+ISNUMBER($T366)*($T366&gt;=TODAY())*($T366&lt;=TODAY()+7)+ISNUMBER($U366)*($U366&gt;=TODAY())*($U366&lt;=TODAY()+7)+ISNUMBER($V366)*($V366&gt;=TODAY())*($V366&lt;=TODAY()+7)+ISNUMBER($O366)*($O366&gt;=TODAY())*($O366&lt;=TODAY()+7)+ISNUMBER($P366)*($P366&gt;=TODAY())*($P366&lt;=TODAY()+7)+ISNUMBER($X366)*($X366&gt;=TODAY())*($X366&lt;=TODAY()+7)+ISNUMBER($Y366)*($Y366&gt;=TODAY())*($Y366&lt;=TODAY()+7))</f>
        <v/>
      </c>
      <c r="J366" s="28">
        <f>IF(NOT(AND($A366&lt;&gt;"",OR($G366="",$G366="Active"))),"",IF($K366&lt;&gt;"",IF($L366=$K366,"Booking",IF($M366=$K366,"16/40",IF($N366=$K366,"25/40",IF($Q366=$K366,"28/40",IF($R366=$K366,"31/40",IF($S366=$K366,"34/40",IF($T366=$K366,"36/40",IF($U366=$K366,"38/40",IF($V366=$K366,"40/40",""))))))))),IF(IF(OR(ISNUMBER($V366),$V366="DNA"),$V366,IF(OR(ISNUMBER($U366),$U366="DNA"),$U366,IF(OR(ISNUMBER($T366),$T366="DNA"),$T366,IF(OR(ISNUMBER($S366),$S366="DNA"),$S366,IF(OR(ISNUMBER($R366),$R366="DNA"),$R366,IF(OR(ISNUMBER($Q366),$Q366="DNA"),$Q366,IF(OR(ISNUMBER($N366),$N366="DNA"),$N366,IF(OR(ISNUMBER($M366),$M366="DNA"),$M366,IF(OR(ISNUMBER($L366),$L366="DNA"),$L366,"")))))))))="DNA","Rebook DNA",IF(ISNUMBER(IF(OR(ISNUMBER($V366),$V366="DNA"),$V366,IF(OR(ISNUMBER($U366),$U366="DNA"),$U366,IF(OR(ISNUMBER($T366),$T366="DNA"),$T366,IF(OR(ISNUMBER($S366),$S366="DNA"),$S366,IF(OR(ISNUMBER($R366),$R366="DNA"),$R366,IF(OR(ISNUMBER($Q366),$Q366="DNA"),$Q366,IF(OR(ISNUMBER($N366),$N366="DNA"),$N366,IF(OR(ISNUMBER($M366),$M366="DNA"),$M366,IF(OR(ISNUMBER($L366),$L366="DNA"),$L366,"")))))))))),IF(ISNUMBER($V366),"Update status","Missed/not booked?"),""))))</f>
        <v/>
      </c>
      <c r="K366" s="29">
        <f>IF(NOT(AND($A366&lt;&gt;"",OR($G366="",$G366="Active"))),"",IF(MIN(IF(AND(ISNUMBER($L366),$L366&gt;=TODAY()),$L366,99999),IF(AND(ISNUMBER($M366),$M366&gt;=TODAY()),$M366,99999),IF(AND(ISNUMBER($N366),$N366&gt;=TODAY()),$N366,99999),IF(AND(ISNUMBER($Q366),$Q366&gt;=TODAY()),$Q366,99999),IF(AND(ISNUMBER($R366),$R366&gt;=TODAY()),$R366,99999),IF(AND(ISNUMBER($S366),$S366&gt;=TODAY()),$S366,99999),IF(AND(ISNUMBER($T366),$T366&gt;=TODAY()),$T366,99999),IF(AND(ISNUMBER($U366),$U366&gt;=TODAY()),$U366,99999),IF(AND(ISNUMBER($V366),$V366&gt;=TODAY()),$V366,99999))=99999,"",MIN(IF(AND(ISNUMBER($L366),$L366&gt;=TODAY()),$L366,99999),IF(AND(ISNUMBER($M366),$M366&gt;=TODAY()),$M366,99999),IF(AND(ISNUMBER($N366),$N366&gt;=TODAY()),$N366,99999),IF(AND(ISNUMBER($Q366),$Q366&gt;=TODAY()),$Q366,99999),IF(AND(ISNUMBER($R366),$R366&gt;=TODAY()),$R366,99999),IF(AND(ISNUMBER($S366),$S366&gt;=TODAY()),$S366,99999),IF(AND(ISNUMBER($T366),$T366&gt;=TODAY()),$T366,99999),IF(AND(ISNUMBER($U366),$U366&gt;=TODAY()),$U366,99999),IF(AND(ISNUMBER($V366),$V366&gt;=TODAY()),$V366,99999))))</f>
        <v/>
      </c>
      <c r="L366" s="27" t="n"/>
      <c r="M366" s="27" t="n"/>
      <c r="N366" s="27" t="n"/>
      <c r="O366" s="27" t="n"/>
      <c r="P366" s="27" t="n"/>
      <c r="Q366" s="27" t="n"/>
      <c r="R366" s="27" t="n"/>
      <c r="S366" s="27" t="n"/>
      <c r="T366" s="27" t="n"/>
      <c r="U366" s="27" t="n"/>
      <c r="V366" s="27" t="n"/>
      <c r="W366" s="27" t="n"/>
      <c r="X366" s="27" t="n"/>
      <c r="Y366" s="27" t="n"/>
      <c r="Z366" s="30" t="n"/>
      <c r="AA366" s="25" t="n"/>
      <c r="AB366" s="28">
        <f>IF(NOT(AND($A366&lt;&gt;"",OR($G366="",$G366="Active"))),"",IF(OR(IF(OR(ISNUMBER($V366),$V366="DNA"),$V366,IF(OR(ISNUMBER($U366),$U366="DNA"),$U366,IF(OR(ISNUMBER($T366),$T366="DNA"),$T366,IF(OR(ISNUMBER($S366),$S366="DNA"),$S366,IF(OR(ISNUMBER($R366),$R366="DNA"),$R366,IF(OR(ISNUMBER($Q366),$Q366="DNA"),$Q366,IF(OR(ISNUMBER($N366),$N366="DNA"),$N366,IF(OR(ISNUMBER($M366),$M366="DNA"),$M366,IF(OR(ISNUMBER($L366),$L366="DNA"),$L366,"")))))))))="DNA",AND(ISNUMBER(IF(OR(ISNUMBER($V366),$V366="DNA"),$V366,IF(OR(ISNUMBER($U366),$U366="DNA"),$U366,IF(OR(ISNUMBER($T366),$T366="DNA"),$T366,IF(OR(ISNUMBER($S366),$S366="DNA"),$S366,IF(OR(ISNUMBER($R366),$R366="DNA"),$R366,IF(OR(ISNUMBER($Q366),$Q366="DNA"),$Q366,IF(OR(ISNUMBER($N366),$N366="DNA"),$N366,IF(OR(ISNUMBER($M366),$M366="DNA"),$M366,IF(OR(ISNUMBER($L366),$L366="DNA"),$L366,"")))))))))),IF(OR(ISNUMBER($V366),$V366="DNA"),$V366,IF(OR(ISNUMBER($U366),$U366="DNA"),$U366,IF(OR(ISNUMBER($T366),$T366="DNA"),$T366,IF(OR(ISNUMBER($S366),$S366="DNA"),$S366,IF(OR(ISNUMBER($R366),$R366="DNA"),$R366,IF(OR(ISNUMBER($Q366),$Q366="DNA"),$Q366,IF(OR(ISNUMBER($N366),$N366="DNA"),$N366,IF(OR(ISNUMBER($M366),$M366="DNA"),$M366,IF(OR(ISNUMBER($L366),$L366="DNA"),$L366,"")))))))))&lt;TODAY())),1,0)+ISNUMBER($O366)*($O366&lt;TODAY())+ISNUMBER($P366)*($P366&lt;TODAY())+ISNUMBER($X366)*($X366&lt;TODAY())+ISNUMBER($Y366)*($Y366&lt;TODAY()))</f>
        <v/>
      </c>
    </row>
    <row r="367">
      <c r="A367" s="25" t="n"/>
      <c r="B367" s="26" t="n"/>
      <c r="C367" s="27" t="n"/>
      <c r="D367" s="25" t="n"/>
      <c r="E367" s="25" t="n"/>
      <c r="F367" s="27" t="n"/>
      <c r="G367" s="25" t="n"/>
      <c r="H367" s="28">
        <f>IF(OR(NOT(AND($A367&lt;&gt;"",OR($G367="",$G367="Active"))),$F367=""),"",INT((TODAY()-$F367+280)/7)&amp;"+"&amp;MOD(TODAY()-$F367+280,7))</f>
        <v/>
      </c>
      <c r="I367" s="28">
        <f>IF(NOT(AND($A367&lt;&gt;"",OR($G367="",$G367="Active"))),"",ISNUMBER($L367)*($L367&gt;=TODAY())*($L367&lt;=TODAY()+7)+ISNUMBER($M367)*($M367&gt;=TODAY())*($M367&lt;=TODAY()+7)+ISNUMBER($N367)*($N367&gt;=TODAY())*($N367&lt;=TODAY()+7)+ISNUMBER($Q367)*($Q367&gt;=TODAY())*($Q367&lt;=TODAY()+7)+ISNUMBER($R367)*($R367&gt;=TODAY())*($R367&lt;=TODAY()+7)+ISNUMBER($S367)*($S367&gt;=TODAY())*($S367&lt;=TODAY()+7)+ISNUMBER($T367)*($T367&gt;=TODAY())*($T367&lt;=TODAY()+7)+ISNUMBER($U367)*($U367&gt;=TODAY())*($U367&lt;=TODAY()+7)+ISNUMBER($V367)*($V367&gt;=TODAY())*($V367&lt;=TODAY()+7)+ISNUMBER($O367)*($O367&gt;=TODAY())*($O367&lt;=TODAY()+7)+ISNUMBER($P367)*($P367&gt;=TODAY())*($P367&lt;=TODAY()+7)+ISNUMBER($X367)*($X367&gt;=TODAY())*($X367&lt;=TODAY()+7)+ISNUMBER($Y367)*($Y367&gt;=TODAY())*($Y367&lt;=TODAY()+7))</f>
        <v/>
      </c>
      <c r="J367" s="28">
        <f>IF(NOT(AND($A367&lt;&gt;"",OR($G367="",$G367="Active"))),"",IF($K367&lt;&gt;"",IF($L367=$K367,"Booking",IF($M367=$K367,"16/40",IF($N367=$K367,"25/40",IF($Q367=$K367,"28/40",IF($R367=$K367,"31/40",IF($S367=$K367,"34/40",IF($T367=$K367,"36/40",IF($U367=$K367,"38/40",IF($V367=$K367,"40/40",""))))))))),IF(IF(OR(ISNUMBER($V367),$V367="DNA"),$V367,IF(OR(ISNUMBER($U367),$U367="DNA"),$U367,IF(OR(ISNUMBER($T367),$T367="DNA"),$T367,IF(OR(ISNUMBER($S367),$S367="DNA"),$S367,IF(OR(ISNUMBER($R367),$R367="DNA"),$R367,IF(OR(ISNUMBER($Q367),$Q367="DNA"),$Q367,IF(OR(ISNUMBER($N367),$N367="DNA"),$N367,IF(OR(ISNUMBER($M367),$M367="DNA"),$M367,IF(OR(ISNUMBER($L367),$L367="DNA"),$L367,"")))))))))="DNA","Rebook DNA",IF(ISNUMBER(IF(OR(ISNUMBER($V367),$V367="DNA"),$V367,IF(OR(ISNUMBER($U367),$U367="DNA"),$U367,IF(OR(ISNUMBER($T367),$T367="DNA"),$T367,IF(OR(ISNUMBER($S367),$S367="DNA"),$S367,IF(OR(ISNUMBER($R367),$R367="DNA"),$R367,IF(OR(ISNUMBER($Q367),$Q367="DNA"),$Q367,IF(OR(ISNUMBER($N367),$N367="DNA"),$N367,IF(OR(ISNUMBER($M367),$M367="DNA"),$M367,IF(OR(ISNUMBER($L367),$L367="DNA"),$L367,"")))))))))),IF(ISNUMBER($V367),"Update status","Missed/not booked?"),""))))</f>
        <v/>
      </c>
      <c r="K367" s="29">
        <f>IF(NOT(AND($A367&lt;&gt;"",OR($G367="",$G367="Active"))),"",IF(MIN(IF(AND(ISNUMBER($L367),$L367&gt;=TODAY()),$L367,99999),IF(AND(ISNUMBER($M367),$M367&gt;=TODAY()),$M367,99999),IF(AND(ISNUMBER($N367),$N367&gt;=TODAY()),$N367,99999),IF(AND(ISNUMBER($Q367),$Q367&gt;=TODAY()),$Q367,99999),IF(AND(ISNUMBER($R367),$R367&gt;=TODAY()),$R367,99999),IF(AND(ISNUMBER($S367),$S367&gt;=TODAY()),$S367,99999),IF(AND(ISNUMBER($T367),$T367&gt;=TODAY()),$T367,99999),IF(AND(ISNUMBER($U367),$U367&gt;=TODAY()),$U367,99999),IF(AND(ISNUMBER($V367),$V367&gt;=TODAY()),$V367,99999))=99999,"",MIN(IF(AND(ISNUMBER($L367),$L367&gt;=TODAY()),$L367,99999),IF(AND(ISNUMBER($M367),$M367&gt;=TODAY()),$M367,99999),IF(AND(ISNUMBER($N367),$N367&gt;=TODAY()),$N367,99999),IF(AND(ISNUMBER($Q367),$Q367&gt;=TODAY()),$Q367,99999),IF(AND(ISNUMBER($R367),$R367&gt;=TODAY()),$R367,99999),IF(AND(ISNUMBER($S367),$S367&gt;=TODAY()),$S367,99999),IF(AND(ISNUMBER($T367),$T367&gt;=TODAY()),$T367,99999),IF(AND(ISNUMBER($U367),$U367&gt;=TODAY()),$U367,99999),IF(AND(ISNUMBER($V367),$V367&gt;=TODAY()),$V367,99999))))</f>
        <v/>
      </c>
      <c r="L367" s="27" t="n"/>
      <c r="M367" s="27" t="n"/>
      <c r="N367" s="27" t="n"/>
      <c r="O367" s="27" t="n"/>
      <c r="P367" s="27" t="n"/>
      <c r="Q367" s="27" t="n"/>
      <c r="R367" s="27" t="n"/>
      <c r="S367" s="27" t="n"/>
      <c r="T367" s="27" t="n"/>
      <c r="U367" s="27" t="n"/>
      <c r="V367" s="27" t="n"/>
      <c r="W367" s="27" t="n"/>
      <c r="X367" s="27" t="n"/>
      <c r="Y367" s="27" t="n"/>
      <c r="Z367" s="30" t="n"/>
      <c r="AA367" s="25" t="n"/>
      <c r="AB367" s="28">
        <f>IF(NOT(AND($A367&lt;&gt;"",OR($G367="",$G367="Active"))),"",IF(OR(IF(OR(ISNUMBER($V367),$V367="DNA"),$V367,IF(OR(ISNUMBER($U367),$U367="DNA"),$U367,IF(OR(ISNUMBER($T367),$T367="DNA"),$T367,IF(OR(ISNUMBER($S367),$S367="DNA"),$S367,IF(OR(ISNUMBER($R367),$R367="DNA"),$R367,IF(OR(ISNUMBER($Q367),$Q367="DNA"),$Q367,IF(OR(ISNUMBER($N367),$N367="DNA"),$N367,IF(OR(ISNUMBER($M367),$M367="DNA"),$M367,IF(OR(ISNUMBER($L367),$L367="DNA"),$L367,"")))))))))="DNA",AND(ISNUMBER(IF(OR(ISNUMBER($V367),$V367="DNA"),$V367,IF(OR(ISNUMBER($U367),$U367="DNA"),$U367,IF(OR(ISNUMBER($T367),$T367="DNA"),$T367,IF(OR(ISNUMBER($S367),$S367="DNA"),$S367,IF(OR(ISNUMBER($R367),$R367="DNA"),$R367,IF(OR(ISNUMBER($Q367),$Q367="DNA"),$Q367,IF(OR(ISNUMBER($N367),$N367="DNA"),$N367,IF(OR(ISNUMBER($M367),$M367="DNA"),$M367,IF(OR(ISNUMBER($L367),$L367="DNA"),$L367,"")))))))))),IF(OR(ISNUMBER($V367),$V367="DNA"),$V367,IF(OR(ISNUMBER($U367),$U367="DNA"),$U367,IF(OR(ISNUMBER($T367),$T367="DNA"),$T367,IF(OR(ISNUMBER($S367),$S367="DNA"),$S367,IF(OR(ISNUMBER($R367),$R367="DNA"),$R367,IF(OR(ISNUMBER($Q367),$Q367="DNA"),$Q367,IF(OR(ISNUMBER($N367),$N367="DNA"),$N367,IF(OR(ISNUMBER($M367),$M367="DNA"),$M367,IF(OR(ISNUMBER($L367),$L367="DNA"),$L367,"")))))))))&lt;TODAY())),1,0)+ISNUMBER($O367)*($O367&lt;TODAY())+ISNUMBER($P367)*($P367&lt;TODAY())+ISNUMBER($X367)*($X367&lt;TODAY())+ISNUMBER($Y367)*($Y367&lt;TODAY()))</f>
        <v/>
      </c>
    </row>
    <row r="368">
      <c r="A368" s="25" t="n"/>
      <c r="B368" s="26" t="n"/>
      <c r="C368" s="27" t="n"/>
      <c r="D368" s="25" t="n"/>
      <c r="E368" s="25" t="n"/>
      <c r="F368" s="27" t="n"/>
      <c r="G368" s="25" t="n"/>
      <c r="H368" s="28">
        <f>IF(OR(NOT(AND($A368&lt;&gt;"",OR($G368="",$G368="Active"))),$F368=""),"",INT((TODAY()-$F368+280)/7)&amp;"+"&amp;MOD(TODAY()-$F368+280,7))</f>
        <v/>
      </c>
      <c r="I368" s="28">
        <f>IF(NOT(AND($A368&lt;&gt;"",OR($G368="",$G368="Active"))),"",ISNUMBER($L368)*($L368&gt;=TODAY())*($L368&lt;=TODAY()+7)+ISNUMBER($M368)*($M368&gt;=TODAY())*($M368&lt;=TODAY()+7)+ISNUMBER($N368)*($N368&gt;=TODAY())*($N368&lt;=TODAY()+7)+ISNUMBER($Q368)*($Q368&gt;=TODAY())*($Q368&lt;=TODAY()+7)+ISNUMBER($R368)*($R368&gt;=TODAY())*($R368&lt;=TODAY()+7)+ISNUMBER($S368)*($S368&gt;=TODAY())*($S368&lt;=TODAY()+7)+ISNUMBER($T368)*($T368&gt;=TODAY())*($T368&lt;=TODAY()+7)+ISNUMBER($U368)*($U368&gt;=TODAY())*($U368&lt;=TODAY()+7)+ISNUMBER($V368)*($V368&gt;=TODAY())*($V368&lt;=TODAY()+7)+ISNUMBER($O368)*($O368&gt;=TODAY())*($O368&lt;=TODAY()+7)+ISNUMBER($P368)*($P368&gt;=TODAY())*($P368&lt;=TODAY()+7)+ISNUMBER($X368)*($X368&gt;=TODAY())*($X368&lt;=TODAY()+7)+ISNUMBER($Y368)*($Y368&gt;=TODAY())*($Y368&lt;=TODAY()+7))</f>
        <v/>
      </c>
      <c r="J368" s="28">
        <f>IF(NOT(AND($A368&lt;&gt;"",OR($G368="",$G368="Active"))),"",IF($K368&lt;&gt;"",IF($L368=$K368,"Booking",IF($M368=$K368,"16/40",IF($N368=$K368,"25/40",IF($Q368=$K368,"28/40",IF($R368=$K368,"31/40",IF($S368=$K368,"34/40",IF($T368=$K368,"36/40",IF($U368=$K368,"38/40",IF($V368=$K368,"40/40",""))))))))),IF(IF(OR(ISNUMBER($V368),$V368="DNA"),$V368,IF(OR(ISNUMBER($U368),$U368="DNA"),$U368,IF(OR(ISNUMBER($T368),$T368="DNA"),$T368,IF(OR(ISNUMBER($S368),$S368="DNA"),$S368,IF(OR(ISNUMBER($R368),$R368="DNA"),$R368,IF(OR(ISNUMBER($Q368),$Q368="DNA"),$Q368,IF(OR(ISNUMBER($N368),$N368="DNA"),$N368,IF(OR(ISNUMBER($M368),$M368="DNA"),$M368,IF(OR(ISNUMBER($L368),$L368="DNA"),$L368,"")))))))))="DNA","Rebook DNA",IF(ISNUMBER(IF(OR(ISNUMBER($V368),$V368="DNA"),$V368,IF(OR(ISNUMBER($U368),$U368="DNA"),$U368,IF(OR(ISNUMBER($T368),$T368="DNA"),$T368,IF(OR(ISNUMBER($S368),$S368="DNA"),$S368,IF(OR(ISNUMBER($R368),$R368="DNA"),$R368,IF(OR(ISNUMBER($Q368),$Q368="DNA"),$Q368,IF(OR(ISNUMBER($N368),$N368="DNA"),$N368,IF(OR(ISNUMBER($M368),$M368="DNA"),$M368,IF(OR(ISNUMBER($L368),$L368="DNA"),$L368,"")))))))))),IF(ISNUMBER($V368),"Update status","Missed/not booked?"),""))))</f>
        <v/>
      </c>
      <c r="K368" s="29">
        <f>IF(NOT(AND($A368&lt;&gt;"",OR($G368="",$G368="Active"))),"",IF(MIN(IF(AND(ISNUMBER($L368),$L368&gt;=TODAY()),$L368,99999),IF(AND(ISNUMBER($M368),$M368&gt;=TODAY()),$M368,99999),IF(AND(ISNUMBER($N368),$N368&gt;=TODAY()),$N368,99999),IF(AND(ISNUMBER($Q368),$Q368&gt;=TODAY()),$Q368,99999),IF(AND(ISNUMBER($R368),$R368&gt;=TODAY()),$R368,99999),IF(AND(ISNUMBER($S368),$S368&gt;=TODAY()),$S368,99999),IF(AND(ISNUMBER($T368),$T368&gt;=TODAY()),$T368,99999),IF(AND(ISNUMBER($U368),$U368&gt;=TODAY()),$U368,99999),IF(AND(ISNUMBER($V368),$V368&gt;=TODAY()),$V368,99999))=99999,"",MIN(IF(AND(ISNUMBER($L368),$L368&gt;=TODAY()),$L368,99999),IF(AND(ISNUMBER($M368),$M368&gt;=TODAY()),$M368,99999),IF(AND(ISNUMBER($N368),$N368&gt;=TODAY()),$N368,99999),IF(AND(ISNUMBER($Q368),$Q368&gt;=TODAY()),$Q368,99999),IF(AND(ISNUMBER($R368),$R368&gt;=TODAY()),$R368,99999),IF(AND(ISNUMBER($S368),$S368&gt;=TODAY()),$S368,99999),IF(AND(ISNUMBER($T368),$T368&gt;=TODAY()),$T368,99999),IF(AND(ISNUMBER($U368),$U368&gt;=TODAY()),$U368,99999),IF(AND(ISNUMBER($V368),$V368&gt;=TODAY()),$V368,99999))))</f>
        <v/>
      </c>
      <c r="L368" s="27" t="n"/>
      <c r="M368" s="27" t="n"/>
      <c r="N368" s="27" t="n"/>
      <c r="O368" s="27" t="n"/>
      <c r="P368" s="27" t="n"/>
      <c r="Q368" s="27" t="n"/>
      <c r="R368" s="27" t="n"/>
      <c r="S368" s="27" t="n"/>
      <c r="T368" s="27" t="n"/>
      <c r="U368" s="27" t="n"/>
      <c r="V368" s="27" t="n"/>
      <c r="W368" s="27" t="n"/>
      <c r="X368" s="27" t="n"/>
      <c r="Y368" s="27" t="n"/>
      <c r="Z368" s="30" t="n"/>
      <c r="AA368" s="25" t="n"/>
      <c r="AB368" s="28">
        <f>IF(NOT(AND($A368&lt;&gt;"",OR($G368="",$G368="Active"))),"",IF(OR(IF(OR(ISNUMBER($V368),$V368="DNA"),$V368,IF(OR(ISNUMBER($U368),$U368="DNA"),$U368,IF(OR(ISNUMBER($T368),$T368="DNA"),$T368,IF(OR(ISNUMBER($S368),$S368="DNA"),$S368,IF(OR(ISNUMBER($R368),$R368="DNA"),$R368,IF(OR(ISNUMBER($Q368),$Q368="DNA"),$Q368,IF(OR(ISNUMBER($N368),$N368="DNA"),$N368,IF(OR(ISNUMBER($M368),$M368="DNA"),$M368,IF(OR(ISNUMBER($L368),$L368="DNA"),$L368,"")))))))))="DNA",AND(ISNUMBER(IF(OR(ISNUMBER($V368),$V368="DNA"),$V368,IF(OR(ISNUMBER($U368),$U368="DNA"),$U368,IF(OR(ISNUMBER($T368),$T368="DNA"),$T368,IF(OR(ISNUMBER($S368),$S368="DNA"),$S368,IF(OR(ISNUMBER($R368),$R368="DNA"),$R368,IF(OR(ISNUMBER($Q368),$Q368="DNA"),$Q368,IF(OR(ISNUMBER($N368),$N368="DNA"),$N368,IF(OR(ISNUMBER($M368),$M368="DNA"),$M368,IF(OR(ISNUMBER($L368),$L368="DNA"),$L368,"")))))))))),IF(OR(ISNUMBER($V368),$V368="DNA"),$V368,IF(OR(ISNUMBER($U368),$U368="DNA"),$U368,IF(OR(ISNUMBER($T368),$T368="DNA"),$T368,IF(OR(ISNUMBER($S368),$S368="DNA"),$S368,IF(OR(ISNUMBER($R368),$R368="DNA"),$R368,IF(OR(ISNUMBER($Q368),$Q368="DNA"),$Q368,IF(OR(ISNUMBER($N368),$N368="DNA"),$N368,IF(OR(ISNUMBER($M368),$M368="DNA"),$M368,IF(OR(ISNUMBER($L368),$L368="DNA"),$L368,"")))))))))&lt;TODAY())),1,0)+ISNUMBER($O368)*($O368&lt;TODAY())+ISNUMBER($P368)*($P368&lt;TODAY())+ISNUMBER($X368)*($X368&lt;TODAY())+ISNUMBER($Y368)*($Y368&lt;TODAY()))</f>
        <v/>
      </c>
    </row>
    <row r="369">
      <c r="A369" s="25" t="n"/>
      <c r="B369" s="26" t="n"/>
      <c r="C369" s="27" t="n"/>
      <c r="D369" s="25" t="n"/>
      <c r="E369" s="25" t="n"/>
      <c r="F369" s="27" t="n"/>
      <c r="G369" s="25" t="n"/>
      <c r="H369" s="28">
        <f>IF(OR(NOT(AND($A369&lt;&gt;"",OR($G369="",$G369="Active"))),$F369=""),"",INT((TODAY()-$F369+280)/7)&amp;"+"&amp;MOD(TODAY()-$F369+280,7))</f>
        <v/>
      </c>
      <c r="I369" s="28">
        <f>IF(NOT(AND($A369&lt;&gt;"",OR($G369="",$G369="Active"))),"",ISNUMBER($L369)*($L369&gt;=TODAY())*($L369&lt;=TODAY()+7)+ISNUMBER($M369)*($M369&gt;=TODAY())*($M369&lt;=TODAY()+7)+ISNUMBER($N369)*($N369&gt;=TODAY())*($N369&lt;=TODAY()+7)+ISNUMBER($Q369)*($Q369&gt;=TODAY())*($Q369&lt;=TODAY()+7)+ISNUMBER($R369)*($R369&gt;=TODAY())*($R369&lt;=TODAY()+7)+ISNUMBER($S369)*($S369&gt;=TODAY())*($S369&lt;=TODAY()+7)+ISNUMBER($T369)*($T369&gt;=TODAY())*($T369&lt;=TODAY()+7)+ISNUMBER($U369)*($U369&gt;=TODAY())*($U369&lt;=TODAY()+7)+ISNUMBER($V369)*($V369&gt;=TODAY())*($V369&lt;=TODAY()+7)+ISNUMBER($O369)*($O369&gt;=TODAY())*($O369&lt;=TODAY()+7)+ISNUMBER($P369)*($P369&gt;=TODAY())*($P369&lt;=TODAY()+7)+ISNUMBER($X369)*($X369&gt;=TODAY())*($X369&lt;=TODAY()+7)+ISNUMBER($Y369)*($Y369&gt;=TODAY())*($Y369&lt;=TODAY()+7))</f>
        <v/>
      </c>
      <c r="J369" s="28">
        <f>IF(NOT(AND($A369&lt;&gt;"",OR($G369="",$G369="Active"))),"",IF($K369&lt;&gt;"",IF($L369=$K369,"Booking",IF($M369=$K369,"16/40",IF($N369=$K369,"25/40",IF($Q369=$K369,"28/40",IF($R369=$K369,"31/40",IF($S369=$K369,"34/40",IF($T369=$K369,"36/40",IF($U369=$K369,"38/40",IF($V369=$K369,"40/40",""))))))))),IF(IF(OR(ISNUMBER($V369),$V369="DNA"),$V369,IF(OR(ISNUMBER($U369),$U369="DNA"),$U369,IF(OR(ISNUMBER($T369),$T369="DNA"),$T369,IF(OR(ISNUMBER($S369),$S369="DNA"),$S369,IF(OR(ISNUMBER($R369),$R369="DNA"),$R369,IF(OR(ISNUMBER($Q369),$Q369="DNA"),$Q369,IF(OR(ISNUMBER($N369),$N369="DNA"),$N369,IF(OR(ISNUMBER($M369),$M369="DNA"),$M369,IF(OR(ISNUMBER($L369),$L369="DNA"),$L369,"")))))))))="DNA","Rebook DNA",IF(ISNUMBER(IF(OR(ISNUMBER($V369),$V369="DNA"),$V369,IF(OR(ISNUMBER($U369),$U369="DNA"),$U369,IF(OR(ISNUMBER($T369),$T369="DNA"),$T369,IF(OR(ISNUMBER($S369),$S369="DNA"),$S369,IF(OR(ISNUMBER($R369),$R369="DNA"),$R369,IF(OR(ISNUMBER($Q369),$Q369="DNA"),$Q369,IF(OR(ISNUMBER($N369),$N369="DNA"),$N369,IF(OR(ISNUMBER($M369),$M369="DNA"),$M369,IF(OR(ISNUMBER($L369),$L369="DNA"),$L369,"")))))))))),IF(ISNUMBER($V369),"Update status","Missed/not booked?"),""))))</f>
        <v/>
      </c>
      <c r="K369" s="29">
        <f>IF(NOT(AND($A369&lt;&gt;"",OR($G369="",$G369="Active"))),"",IF(MIN(IF(AND(ISNUMBER($L369),$L369&gt;=TODAY()),$L369,99999),IF(AND(ISNUMBER($M369),$M369&gt;=TODAY()),$M369,99999),IF(AND(ISNUMBER($N369),$N369&gt;=TODAY()),$N369,99999),IF(AND(ISNUMBER($Q369),$Q369&gt;=TODAY()),$Q369,99999),IF(AND(ISNUMBER($R369),$R369&gt;=TODAY()),$R369,99999),IF(AND(ISNUMBER($S369),$S369&gt;=TODAY()),$S369,99999),IF(AND(ISNUMBER($T369),$T369&gt;=TODAY()),$T369,99999),IF(AND(ISNUMBER($U369),$U369&gt;=TODAY()),$U369,99999),IF(AND(ISNUMBER($V369),$V369&gt;=TODAY()),$V369,99999))=99999,"",MIN(IF(AND(ISNUMBER($L369),$L369&gt;=TODAY()),$L369,99999),IF(AND(ISNUMBER($M369),$M369&gt;=TODAY()),$M369,99999),IF(AND(ISNUMBER($N369),$N369&gt;=TODAY()),$N369,99999),IF(AND(ISNUMBER($Q369),$Q369&gt;=TODAY()),$Q369,99999),IF(AND(ISNUMBER($R369),$R369&gt;=TODAY()),$R369,99999),IF(AND(ISNUMBER($S369),$S369&gt;=TODAY()),$S369,99999),IF(AND(ISNUMBER($T369),$T369&gt;=TODAY()),$T369,99999),IF(AND(ISNUMBER($U369),$U369&gt;=TODAY()),$U369,99999),IF(AND(ISNUMBER($V369),$V369&gt;=TODAY()),$V369,99999))))</f>
        <v/>
      </c>
      <c r="L369" s="27" t="n"/>
      <c r="M369" s="27" t="n"/>
      <c r="N369" s="27" t="n"/>
      <c r="O369" s="27" t="n"/>
      <c r="P369" s="27" t="n"/>
      <c r="Q369" s="27" t="n"/>
      <c r="R369" s="27" t="n"/>
      <c r="S369" s="27" t="n"/>
      <c r="T369" s="27" t="n"/>
      <c r="U369" s="27" t="n"/>
      <c r="V369" s="27" t="n"/>
      <c r="W369" s="27" t="n"/>
      <c r="X369" s="27" t="n"/>
      <c r="Y369" s="27" t="n"/>
      <c r="Z369" s="30" t="n"/>
      <c r="AA369" s="25" t="n"/>
      <c r="AB369" s="28">
        <f>IF(NOT(AND($A369&lt;&gt;"",OR($G369="",$G369="Active"))),"",IF(OR(IF(OR(ISNUMBER($V369),$V369="DNA"),$V369,IF(OR(ISNUMBER($U369),$U369="DNA"),$U369,IF(OR(ISNUMBER($T369),$T369="DNA"),$T369,IF(OR(ISNUMBER($S369),$S369="DNA"),$S369,IF(OR(ISNUMBER($R369),$R369="DNA"),$R369,IF(OR(ISNUMBER($Q369),$Q369="DNA"),$Q369,IF(OR(ISNUMBER($N369),$N369="DNA"),$N369,IF(OR(ISNUMBER($M369),$M369="DNA"),$M369,IF(OR(ISNUMBER($L369),$L369="DNA"),$L369,"")))))))))="DNA",AND(ISNUMBER(IF(OR(ISNUMBER($V369),$V369="DNA"),$V369,IF(OR(ISNUMBER($U369),$U369="DNA"),$U369,IF(OR(ISNUMBER($T369),$T369="DNA"),$T369,IF(OR(ISNUMBER($S369),$S369="DNA"),$S369,IF(OR(ISNUMBER($R369),$R369="DNA"),$R369,IF(OR(ISNUMBER($Q369),$Q369="DNA"),$Q369,IF(OR(ISNUMBER($N369),$N369="DNA"),$N369,IF(OR(ISNUMBER($M369),$M369="DNA"),$M369,IF(OR(ISNUMBER($L369),$L369="DNA"),$L369,"")))))))))),IF(OR(ISNUMBER($V369),$V369="DNA"),$V369,IF(OR(ISNUMBER($U369),$U369="DNA"),$U369,IF(OR(ISNUMBER($T369),$T369="DNA"),$T369,IF(OR(ISNUMBER($S369),$S369="DNA"),$S369,IF(OR(ISNUMBER($R369),$R369="DNA"),$R369,IF(OR(ISNUMBER($Q369),$Q369="DNA"),$Q369,IF(OR(ISNUMBER($N369),$N369="DNA"),$N369,IF(OR(ISNUMBER($M369),$M369="DNA"),$M369,IF(OR(ISNUMBER($L369),$L369="DNA"),$L369,"")))))))))&lt;TODAY())),1,0)+ISNUMBER($O369)*($O369&lt;TODAY())+ISNUMBER($P369)*($P369&lt;TODAY())+ISNUMBER($X369)*($X369&lt;TODAY())+ISNUMBER($Y369)*($Y369&lt;TODAY()))</f>
        <v/>
      </c>
    </row>
    <row r="370">
      <c r="A370" s="25" t="n"/>
      <c r="B370" s="26" t="n"/>
      <c r="C370" s="27" t="n"/>
      <c r="D370" s="25" t="n"/>
      <c r="E370" s="25" t="n"/>
      <c r="F370" s="27" t="n"/>
      <c r="G370" s="25" t="n"/>
      <c r="H370" s="28">
        <f>IF(OR(NOT(AND($A370&lt;&gt;"",OR($G370="",$G370="Active"))),$F370=""),"",INT((TODAY()-$F370+280)/7)&amp;"+"&amp;MOD(TODAY()-$F370+280,7))</f>
        <v/>
      </c>
      <c r="I370" s="28">
        <f>IF(NOT(AND($A370&lt;&gt;"",OR($G370="",$G370="Active"))),"",ISNUMBER($L370)*($L370&gt;=TODAY())*($L370&lt;=TODAY()+7)+ISNUMBER($M370)*($M370&gt;=TODAY())*($M370&lt;=TODAY()+7)+ISNUMBER($N370)*($N370&gt;=TODAY())*($N370&lt;=TODAY()+7)+ISNUMBER($Q370)*($Q370&gt;=TODAY())*($Q370&lt;=TODAY()+7)+ISNUMBER($R370)*($R370&gt;=TODAY())*($R370&lt;=TODAY()+7)+ISNUMBER($S370)*($S370&gt;=TODAY())*($S370&lt;=TODAY()+7)+ISNUMBER($T370)*($T370&gt;=TODAY())*($T370&lt;=TODAY()+7)+ISNUMBER($U370)*($U370&gt;=TODAY())*($U370&lt;=TODAY()+7)+ISNUMBER($V370)*($V370&gt;=TODAY())*($V370&lt;=TODAY()+7)+ISNUMBER($O370)*($O370&gt;=TODAY())*($O370&lt;=TODAY()+7)+ISNUMBER($P370)*($P370&gt;=TODAY())*($P370&lt;=TODAY()+7)+ISNUMBER($X370)*($X370&gt;=TODAY())*($X370&lt;=TODAY()+7)+ISNUMBER($Y370)*($Y370&gt;=TODAY())*($Y370&lt;=TODAY()+7))</f>
        <v/>
      </c>
      <c r="J370" s="28">
        <f>IF(NOT(AND($A370&lt;&gt;"",OR($G370="",$G370="Active"))),"",IF($K370&lt;&gt;"",IF($L370=$K370,"Booking",IF($M370=$K370,"16/40",IF($N370=$K370,"25/40",IF($Q370=$K370,"28/40",IF($R370=$K370,"31/40",IF($S370=$K370,"34/40",IF($T370=$K370,"36/40",IF($U370=$K370,"38/40",IF($V370=$K370,"40/40",""))))))))),IF(IF(OR(ISNUMBER($V370),$V370="DNA"),$V370,IF(OR(ISNUMBER($U370),$U370="DNA"),$U370,IF(OR(ISNUMBER($T370),$T370="DNA"),$T370,IF(OR(ISNUMBER($S370),$S370="DNA"),$S370,IF(OR(ISNUMBER($R370),$R370="DNA"),$R370,IF(OR(ISNUMBER($Q370),$Q370="DNA"),$Q370,IF(OR(ISNUMBER($N370),$N370="DNA"),$N370,IF(OR(ISNUMBER($M370),$M370="DNA"),$M370,IF(OR(ISNUMBER($L370),$L370="DNA"),$L370,"")))))))))="DNA","Rebook DNA",IF(ISNUMBER(IF(OR(ISNUMBER($V370),$V370="DNA"),$V370,IF(OR(ISNUMBER($U370),$U370="DNA"),$U370,IF(OR(ISNUMBER($T370),$T370="DNA"),$T370,IF(OR(ISNUMBER($S370),$S370="DNA"),$S370,IF(OR(ISNUMBER($R370),$R370="DNA"),$R370,IF(OR(ISNUMBER($Q370),$Q370="DNA"),$Q370,IF(OR(ISNUMBER($N370),$N370="DNA"),$N370,IF(OR(ISNUMBER($M370),$M370="DNA"),$M370,IF(OR(ISNUMBER($L370),$L370="DNA"),$L370,"")))))))))),IF(ISNUMBER($V370),"Update status","Missed/not booked?"),""))))</f>
        <v/>
      </c>
      <c r="K370" s="29">
        <f>IF(NOT(AND($A370&lt;&gt;"",OR($G370="",$G370="Active"))),"",IF(MIN(IF(AND(ISNUMBER($L370),$L370&gt;=TODAY()),$L370,99999),IF(AND(ISNUMBER($M370),$M370&gt;=TODAY()),$M370,99999),IF(AND(ISNUMBER($N370),$N370&gt;=TODAY()),$N370,99999),IF(AND(ISNUMBER($Q370),$Q370&gt;=TODAY()),$Q370,99999),IF(AND(ISNUMBER($R370),$R370&gt;=TODAY()),$R370,99999),IF(AND(ISNUMBER($S370),$S370&gt;=TODAY()),$S370,99999),IF(AND(ISNUMBER($T370),$T370&gt;=TODAY()),$T370,99999),IF(AND(ISNUMBER($U370),$U370&gt;=TODAY()),$U370,99999),IF(AND(ISNUMBER($V370),$V370&gt;=TODAY()),$V370,99999))=99999,"",MIN(IF(AND(ISNUMBER($L370),$L370&gt;=TODAY()),$L370,99999),IF(AND(ISNUMBER($M370),$M370&gt;=TODAY()),$M370,99999),IF(AND(ISNUMBER($N370),$N370&gt;=TODAY()),$N370,99999),IF(AND(ISNUMBER($Q370),$Q370&gt;=TODAY()),$Q370,99999),IF(AND(ISNUMBER($R370),$R370&gt;=TODAY()),$R370,99999),IF(AND(ISNUMBER($S370),$S370&gt;=TODAY()),$S370,99999),IF(AND(ISNUMBER($T370),$T370&gt;=TODAY()),$T370,99999),IF(AND(ISNUMBER($U370),$U370&gt;=TODAY()),$U370,99999),IF(AND(ISNUMBER($V370),$V370&gt;=TODAY()),$V370,99999))))</f>
        <v/>
      </c>
      <c r="L370" s="27" t="n"/>
      <c r="M370" s="27" t="n"/>
      <c r="N370" s="27" t="n"/>
      <c r="O370" s="27" t="n"/>
      <c r="P370" s="27" t="n"/>
      <c r="Q370" s="27" t="n"/>
      <c r="R370" s="27" t="n"/>
      <c r="S370" s="27" t="n"/>
      <c r="T370" s="27" t="n"/>
      <c r="U370" s="27" t="n"/>
      <c r="V370" s="27" t="n"/>
      <c r="W370" s="27" t="n"/>
      <c r="X370" s="27" t="n"/>
      <c r="Y370" s="27" t="n"/>
      <c r="Z370" s="30" t="n"/>
      <c r="AA370" s="25" t="n"/>
      <c r="AB370" s="28">
        <f>IF(NOT(AND($A370&lt;&gt;"",OR($G370="",$G370="Active"))),"",IF(OR(IF(OR(ISNUMBER($V370),$V370="DNA"),$V370,IF(OR(ISNUMBER($U370),$U370="DNA"),$U370,IF(OR(ISNUMBER($T370),$T370="DNA"),$T370,IF(OR(ISNUMBER($S370),$S370="DNA"),$S370,IF(OR(ISNUMBER($R370),$R370="DNA"),$R370,IF(OR(ISNUMBER($Q370),$Q370="DNA"),$Q370,IF(OR(ISNUMBER($N370),$N370="DNA"),$N370,IF(OR(ISNUMBER($M370),$M370="DNA"),$M370,IF(OR(ISNUMBER($L370),$L370="DNA"),$L370,"")))))))))="DNA",AND(ISNUMBER(IF(OR(ISNUMBER($V370),$V370="DNA"),$V370,IF(OR(ISNUMBER($U370),$U370="DNA"),$U370,IF(OR(ISNUMBER($T370),$T370="DNA"),$T370,IF(OR(ISNUMBER($S370),$S370="DNA"),$S370,IF(OR(ISNUMBER($R370),$R370="DNA"),$R370,IF(OR(ISNUMBER($Q370),$Q370="DNA"),$Q370,IF(OR(ISNUMBER($N370),$N370="DNA"),$N370,IF(OR(ISNUMBER($M370),$M370="DNA"),$M370,IF(OR(ISNUMBER($L370),$L370="DNA"),$L370,"")))))))))),IF(OR(ISNUMBER($V370),$V370="DNA"),$V370,IF(OR(ISNUMBER($U370),$U370="DNA"),$U370,IF(OR(ISNUMBER($T370),$T370="DNA"),$T370,IF(OR(ISNUMBER($S370),$S370="DNA"),$S370,IF(OR(ISNUMBER($R370),$R370="DNA"),$R370,IF(OR(ISNUMBER($Q370),$Q370="DNA"),$Q370,IF(OR(ISNUMBER($N370),$N370="DNA"),$N370,IF(OR(ISNUMBER($M370),$M370="DNA"),$M370,IF(OR(ISNUMBER($L370),$L370="DNA"),$L370,"")))))))))&lt;TODAY())),1,0)+ISNUMBER($O370)*($O370&lt;TODAY())+ISNUMBER($P370)*($P370&lt;TODAY())+ISNUMBER($X370)*($X370&lt;TODAY())+ISNUMBER($Y370)*($Y370&lt;TODAY()))</f>
        <v/>
      </c>
    </row>
    <row r="371">
      <c r="A371" s="25" t="n"/>
      <c r="B371" s="26" t="n"/>
      <c r="C371" s="27" t="n"/>
      <c r="D371" s="25" t="n"/>
      <c r="E371" s="25" t="n"/>
      <c r="F371" s="27" t="n"/>
      <c r="G371" s="25" t="n"/>
      <c r="H371" s="28">
        <f>IF(OR(NOT(AND($A371&lt;&gt;"",OR($G371="",$G371="Active"))),$F371=""),"",INT((TODAY()-$F371+280)/7)&amp;"+"&amp;MOD(TODAY()-$F371+280,7))</f>
        <v/>
      </c>
      <c r="I371" s="28">
        <f>IF(NOT(AND($A371&lt;&gt;"",OR($G371="",$G371="Active"))),"",ISNUMBER($L371)*($L371&gt;=TODAY())*($L371&lt;=TODAY()+7)+ISNUMBER($M371)*($M371&gt;=TODAY())*($M371&lt;=TODAY()+7)+ISNUMBER($N371)*($N371&gt;=TODAY())*($N371&lt;=TODAY()+7)+ISNUMBER($Q371)*($Q371&gt;=TODAY())*($Q371&lt;=TODAY()+7)+ISNUMBER($R371)*($R371&gt;=TODAY())*($R371&lt;=TODAY()+7)+ISNUMBER($S371)*($S371&gt;=TODAY())*($S371&lt;=TODAY()+7)+ISNUMBER($T371)*($T371&gt;=TODAY())*($T371&lt;=TODAY()+7)+ISNUMBER($U371)*($U371&gt;=TODAY())*($U371&lt;=TODAY()+7)+ISNUMBER($V371)*($V371&gt;=TODAY())*($V371&lt;=TODAY()+7)+ISNUMBER($O371)*($O371&gt;=TODAY())*($O371&lt;=TODAY()+7)+ISNUMBER($P371)*($P371&gt;=TODAY())*($P371&lt;=TODAY()+7)+ISNUMBER($X371)*($X371&gt;=TODAY())*($X371&lt;=TODAY()+7)+ISNUMBER($Y371)*($Y371&gt;=TODAY())*($Y371&lt;=TODAY()+7))</f>
        <v/>
      </c>
      <c r="J371" s="28">
        <f>IF(NOT(AND($A371&lt;&gt;"",OR($G371="",$G371="Active"))),"",IF($K371&lt;&gt;"",IF($L371=$K371,"Booking",IF($M371=$K371,"16/40",IF($N371=$K371,"25/40",IF($Q371=$K371,"28/40",IF($R371=$K371,"31/40",IF($S371=$K371,"34/40",IF($T371=$K371,"36/40",IF($U371=$K371,"38/40",IF($V371=$K371,"40/40",""))))))))),IF(IF(OR(ISNUMBER($V371),$V371="DNA"),$V371,IF(OR(ISNUMBER($U371),$U371="DNA"),$U371,IF(OR(ISNUMBER($T371),$T371="DNA"),$T371,IF(OR(ISNUMBER($S371),$S371="DNA"),$S371,IF(OR(ISNUMBER($R371),$R371="DNA"),$R371,IF(OR(ISNUMBER($Q371),$Q371="DNA"),$Q371,IF(OR(ISNUMBER($N371),$N371="DNA"),$N371,IF(OR(ISNUMBER($M371),$M371="DNA"),$M371,IF(OR(ISNUMBER($L371),$L371="DNA"),$L371,"")))))))))="DNA","Rebook DNA",IF(ISNUMBER(IF(OR(ISNUMBER($V371),$V371="DNA"),$V371,IF(OR(ISNUMBER($U371),$U371="DNA"),$U371,IF(OR(ISNUMBER($T371),$T371="DNA"),$T371,IF(OR(ISNUMBER($S371),$S371="DNA"),$S371,IF(OR(ISNUMBER($R371),$R371="DNA"),$R371,IF(OR(ISNUMBER($Q371),$Q371="DNA"),$Q371,IF(OR(ISNUMBER($N371),$N371="DNA"),$N371,IF(OR(ISNUMBER($M371),$M371="DNA"),$M371,IF(OR(ISNUMBER($L371),$L371="DNA"),$L371,"")))))))))),IF(ISNUMBER($V371),"Update status","Missed/not booked?"),""))))</f>
        <v/>
      </c>
      <c r="K371" s="29">
        <f>IF(NOT(AND($A371&lt;&gt;"",OR($G371="",$G371="Active"))),"",IF(MIN(IF(AND(ISNUMBER($L371),$L371&gt;=TODAY()),$L371,99999),IF(AND(ISNUMBER($M371),$M371&gt;=TODAY()),$M371,99999),IF(AND(ISNUMBER($N371),$N371&gt;=TODAY()),$N371,99999),IF(AND(ISNUMBER($Q371),$Q371&gt;=TODAY()),$Q371,99999),IF(AND(ISNUMBER($R371),$R371&gt;=TODAY()),$R371,99999),IF(AND(ISNUMBER($S371),$S371&gt;=TODAY()),$S371,99999),IF(AND(ISNUMBER($T371),$T371&gt;=TODAY()),$T371,99999),IF(AND(ISNUMBER($U371),$U371&gt;=TODAY()),$U371,99999),IF(AND(ISNUMBER($V371),$V371&gt;=TODAY()),$V371,99999))=99999,"",MIN(IF(AND(ISNUMBER($L371),$L371&gt;=TODAY()),$L371,99999),IF(AND(ISNUMBER($M371),$M371&gt;=TODAY()),$M371,99999),IF(AND(ISNUMBER($N371),$N371&gt;=TODAY()),$N371,99999),IF(AND(ISNUMBER($Q371),$Q371&gt;=TODAY()),$Q371,99999),IF(AND(ISNUMBER($R371),$R371&gt;=TODAY()),$R371,99999),IF(AND(ISNUMBER($S371),$S371&gt;=TODAY()),$S371,99999),IF(AND(ISNUMBER($T371),$T371&gt;=TODAY()),$T371,99999),IF(AND(ISNUMBER($U371),$U371&gt;=TODAY()),$U371,99999),IF(AND(ISNUMBER($V371),$V371&gt;=TODAY()),$V371,99999))))</f>
        <v/>
      </c>
      <c r="L371" s="27" t="n"/>
      <c r="M371" s="27" t="n"/>
      <c r="N371" s="27" t="n"/>
      <c r="O371" s="27" t="n"/>
      <c r="P371" s="27" t="n"/>
      <c r="Q371" s="27" t="n"/>
      <c r="R371" s="27" t="n"/>
      <c r="S371" s="27" t="n"/>
      <c r="T371" s="27" t="n"/>
      <c r="U371" s="27" t="n"/>
      <c r="V371" s="27" t="n"/>
      <c r="W371" s="27" t="n"/>
      <c r="X371" s="27" t="n"/>
      <c r="Y371" s="27" t="n"/>
      <c r="Z371" s="30" t="n"/>
      <c r="AA371" s="25" t="n"/>
      <c r="AB371" s="28">
        <f>IF(NOT(AND($A371&lt;&gt;"",OR($G371="",$G371="Active"))),"",IF(OR(IF(OR(ISNUMBER($V371),$V371="DNA"),$V371,IF(OR(ISNUMBER($U371),$U371="DNA"),$U371,IF(OR(ISNUMBER($T371),$T371="DNA"),$T371,IF(OR(ISNUMBER($S371),$S371="DNA"),$S371,IF(OR(ISNUMBER($R371),$R371="DNA"),$R371,IF(OR(ISNUMBER($Q371),$Q371="DNA"),$Q371,IF(OR(ISNUMBER($N371),$N371="DNA"),$N371,IF(OR(ISNUMBER($M371),$M371="DNA"),$M371,IF(OR(ISNUMBER($L371),$L371="DNA"),$L371,"")))))))))="DNA",AND(ISNUMBER(IF(OR(ISNUMBER($V371),$V371="DNA"),$V371,IF(OR(ISNUMBER($U371),$U371="DNA"),$U371,IF(OR(ISNUMBER($T371),$T371="DNA"),$T371,IF(OR(ISNUMBER($S371),$S371="DNA"),$S371,IF(OR(ISNUMBER($R371),$R371="DNA"),$R371,IF(OR(ISNUMBER($Q371),$Q371="DNA"),$Q371,IF(OR(ISNUMBER($N371),$N371="DNA"),$N371,IF(OR(ISNUMBER($M371),$M371="DNA"),$M371,IF(OR(ISNUMBER($L371),$L371="DNA"),$L371,"")))))))))),IF(OR(ISNUMBER($V371),$V371="DNA"),$V371,IF(OR(ISNUMBER($U371),$U371="DNA"),$U371,IF(OR(ISNUMBER($T371),$T371="DNA"),$T371,IF(OR(ISNUMBER($S371),$S371="DNA"),$S371,IF(OR(ISNUMBER($R371),$R371="DNA"),$R371,IF(OR(ISNUMBER($Q371),$Q371="DNA"),$Q371,IF(OR(ISNUMBER($N371),$N371="DNA"),$N371,IF(OR(ISNUMBER($M371),$M371="DNA"),$M371,IF(OR(ISNUMBER($L371),$L371="DNA"),$L371,"")))))))))&lt;TODAY())),1,0)+ISNUMBER($O371)*($O371&lt;TODAY())+ISNUMBER($P371)*($P371&lt;TODAY())+ISNUMBER($X371)*($X371&lt;TODAY())+ISNUMBER($Y371)*($Y371&lt;TODAY()))</f>
        <v/>
      </c>
    </row>
    <row r="372">
      <c r="A372" s="25" t="n"/>
      <c r="B372" s="26" t="n"/>
      <c r="C372" s="27" t="n"/>
      <c r="D372" s="25" t="n"/>
      <c r="E372" s="25" t="n"/>
      <c r="F372" s="27" t="n"/>
      <c r="G372" s="25" t="n"/>
      <c r="H372" s="28">
        <f>IF(OR(NOT(AND($A372&lt;&gt;"",OR($G372="",$G372="Active"))),$F372=""),"",INT((TODAY()-$F372+280)/7)&amp;"+"&amp;MOD(TODAY()-$F372+280,7))</f>
        <v/>
      </c>
      <c r="I372" s="28">
        <f>IF(NOT(AND($A372&lt;&gt;"",OR($G372="",$G372="Active"))),"",ISNUMBER($L372)*($L372&gt;=TODAY())*($L372&lt;=TODAY()+7)+ISNUMBER($M372)*($M372&gt;=TODAY())*($M372&lt;=TODAY()+7)+ISNUMBER($N372)*($N372&gt;=TODAY())*($N372&lt;=TODAY()+7)+ISNUMBER($Q372)*($Q372&gt;=TODAY())*($Q372&lt;=TODAY()+7)+ISNUMBER($R372)*($R372&gt;=TODAY())*($R372&lt;=TODAY()+7)+ISNUMBER($S372)*($S372&gt;=TODAY())*($S372&lt;=TODAY()+7)+ISNUMBER($T372)*($T372&gt;=TODAY())*($T372&lt;=TODAY()+7)+ISNUMBER($U372)*($U372&gt;=TODAY())*($U372&lt;=TODAY()+7)+ISNUMBER($V372)*($V372&gt;=TODAY())*($V372&lt;=TODAY()+7)+ISNUMBER($O372)*($O372&gt;=TODAY())*($O372&lt;=TODAY()+7)+ISNUMBER($P372)*($P372&gt;=TODAY())*($P372&lt;=TODAY()+7)+ISNUMBER($X372)*($X372&gt;=TODAY())*($X372&lt;=TODAY()+7)+ISNUMBER($Y372)*($Y372&gt;=TODAY())*($Y372&lt;=TODAY()+7))</f>
        <v/>
      </c>
      <c r="J372" s="28">
        <f>IF(NOT(AND($A372&lt;&gt;"",OR($G372="",$G372="Active"))),"",IF($K372&lt;&gt;"",IF($L372=$K372,"Booking",IF($M372=$K372,"16/40",IF($N372=$K372,"25/40",IF($Q372=$K372,"28/40",IF($R372=$K372,"31/40",IF($S372=$K372,"34/40",IF($T372=$K372,"36/40",IF($U372=$K372,"38/40",IF($V372=$K372,"40/40",""))))))))),IF(IF(OR(ISNUMBER($V372),$V372="DNA"),$V372,IF(OR(ISNUMBER($U372),$U372="DNA"),$U372,IF(OR(ISNUMBER($T372),$T372="DNA"),$T372,IF(OR(ISNUMBER($S372),$S372="DNA"),$S372,IF(OR(ISNUMBER($R372),$R372="DNA"),$R372,IF(OR(ISNUMBER($Q372),$Q372="DNA"),$Q372,IF(OR(ISNUMBER($N372),$N372="DNA"),$N372,IF(OR(ISNUMBER($M372),$M372="DNA"),$M372,IF(OR(ISNUMBER($L372),$L372="DNA"),$L372,"")))))))))="DNA","Rebook DNA",IF(ISNUMBER(IF(OR(ISNUMBER($V372),$V372="DNA"),$V372,IF(OR(ISNUMBER($U372),$U372="DNA"),$U372,IF(OR(ISNUMBER($T372),$T372="DNA"),$T372,IF(OR(ISNUMBER($S372),$S372="DNA"),$S372,IF(OR(ISNUMBER($R372),$R372="DNA"),$R372,IF(OR(ISNUMBER($Q372),$Q372="DNA"),$Q372,IF(OR(ISNUMBER($N372),$N372="DNA"),$N372,IF(OR(ISNUMBER($M372),$M372="DNA"),$M372,IF(OR(ISNUMBER($L372),$L372="DNA"),$L372,"")))))))))),IF(ISNUMBER($V372),"Update status","Missed/not booked?"),""))))</f>
        <v/>
      </c>
      <c r="K372" s="29">
        <f>IF(NOT(AND($A372&lt;&gt;"",OR($G372="",$G372="Active"))),"",IF(MIN(IF(AND(ISNUMBER($L372),$L372&gt;=TODAY()),$L372,99999),IF(AND(ISNUMBER($M372),$M372&gt;=TODAY()),$M372,99999),IF(AND(ISNUMBER($N372),$N372&gt;=TODAY()),$N372,99999),IF(AND(ISNUMBER($Q372),$Q372&gt;=TODAY()),$Q372,99999),IF(AND(ISNUMBER($R372),$R372&gt;=TODAY()),$R372,99999),IF(AND(ISNUMBER($S372),$S372&gt;=TODAY()),$S372,99999),IF(AND(ISNUMBER($T372),$T372&gt;=TODAY()),$T372,99999),IF(AND(ISNUMBER($U372),$U372&gt;=TODAY()),$U372,99999),IF(AND(ISNUMBER($V372),$V372&gt;=TODAY()),$V372,99999))=99999,"",MIN(IF(AND(ISNUMBER($L372),$L372&gt;=TODAY()),$L372,99999),IF(AND(ISNUMBER($M372),$M372&gt;=TODAY()),$M372,99999),IF(AND(ISNUMBER($N372),$N372&gt;=TODAY()),$N372,99999),IF(AND(ISNUMBER($Q372),$Q372&gt;=TODAY()),$Q372,99999),IF(AND(ISNUMBER($R372),$R372&gt;=TODAY()),$R372,99999),IF(AND(ISNUMBER($S372),$S372&gt;=TODAY()),$S372,99999),IF(AND(ISNUMBER($T372),$T372&gt;=TODAY()),$T372,99999),IF(AND(ISNUMBER($U372),$U372&gt;=TODAY()),$U372,99999),IF(AND(ISNUMBER($V372),$V372&gt;=TODAY()),$V372,99999))))</f>
        <v/>
      </c>
      <c r="L372" s="27" t="n"/>
      <c r="M372" s="27" t="n"/>
      <c r="N372" s="27" t="n"/>
      <c r="O372" s="27" t="n"/>
      <c r="P372" s="27" t="n"/>
      <c r="Q372" s="27" t="n"/>
      <c r="R372" s="27" t="n"/>
      <c r="S372" s="27" t="n"/>
      <c r="T372" s="27" t="n"/>
      <c r="U372" s="27" t="n"/>
      <c r="V372" s="27" t="n"/>
      <c r="W372" s="27" t="n"/>
      <c r="X372" s="27" t="n"/>
      <c r="Y372" s="27" t="n"/>
      <c r="Z372" s="30" t="n"/>
      <c r="AA372" s="25" t="n"/>
      <c r="AB372" s="28">
        <f>IF(NOT(AND($A372&lt;&gt;"",OR($G372="",$G372="Active"))),"",IF(OR(IF(OR(ISNUMBER($V372),$V372="DNA"),$V372,IF(OR(ISNUMBER($U372),$U372="DNA"),$U372,IF(OR(ISNUMBER($T372),$T372="DNA"),$T372,IF(OR(ISNUMBER($S372),$S372="DNA"),$S372,IF(OR(ISNUMBER($R372),$R372="DNA"),$R372,IF(OR(ISNUMBER($Q372),$Q372="DNA"),$Q372,IF(OR(ISNUMBER($N372),$N372="DNA"),$N372,IF(OR(ISNUMBER($M372),$M372="DNA"),$M372,IF(OR(ISNUMBER($L372),$L372="DNA"),$L372,"")))))))))="DNA",AND(ISNUMBER(IF(OR(ISNUMBER($V372),$V372="DNA"),$V372,IF(OR(ISNUMBER($U372),$U372="DNA"),$U372,IF(OR(ISNUMBER($T372),$T372="DNA"),$T372,IF(OR(ISNUMBER($S372),$S372="DNA"),$S372,IF(OR(ISNUMBER($R372),$R372="DNA"),$R372,IF(OR(ISNUMBER($Q372),$Q372="DNA"),$Q372,IF(OR(ISNUMBER($N372),$N372="DNA"),$N372,IF(OR(ISNUMBER($M372),$M372="DNA"),$M372,IF(OR(ISNUMBER($L372),$L372="DNA"),$L372,"")))))))))),IF(OR(ISNUMBER($V372),$V372="DNA"),$V372,IF(OR(ISNUMBER($U372),$U372="DNA"),$U372,IF(OR(ISNUMBER($T372),$T372="DNA"),$T372,IF(OR(ISNUMBER($S372),$S372="DNA"),$S372,IF(OR(ISNUMBER($R372),$R372="DNA"),$R372,IF(OR(ISNUMBER($Q372),$Q372="DNA"),$Q372,IF(OR(ISNUMBER($N372),$N372="DNA"),$N372,IF(OR(ISNUMBER($M372),$M372="DNA"),$M372,IF(OR(ISNUMBER($L372),$L372="DNA"),$L372,"")))))))))&lt;TODAY())),1,0)+ISNUMBER($O372)*($O372&lt;TODAY())+ISNUMBER($P372)*($P372&lt;TODAY())+ISNUMBER($X372)*($X372&lt;TODAY())+ISNUMBER($Y372)*($Y372&lt;TODAY()))</f>
        <v/>
      </c>
    </row>
    <row r="373">
      <c r="A373" s="25" t="n"/>
      <c r="B373" s="26" t="n"/>
      <c r="C373" s="27" t="n"/>
      <c r="D373" s="25" t="n"/>
      <c r="E373" s="25" t="n"/>
      <c r="F373" s="27" t="n"/>
      <c r="G373" s="25" t="n"/>
      <c r="H373" s="28">
        <f>IF(OR(NOT(AND($A373&lt;&gt;"",OR($G373="",$G373="Active"))),$F373=""),"",INT((TODAY()-$F373+280)/7)&amp;"+"&amp;MOD(TODAY()-$F373+280,7))</f>
        <v/>
      </c>
      <c r="I373" s="28">
        <f>IF(NOT(AND($A373&lt;&gt;"",OR($G373="",$G373="Active"))),"",ISNUMBER($L373)*($L373&gt;=TODAY())*($L373&lt;=TODAY()+7)+ISNUMBER($M373)*($M373&gt;=TODAY())*($M373&lt;=TODAY()+7)+ISNUMBER($N373)*($N373&gt;=TODAY())*($N373&lt;=TODAY()+7)+ISNUMBER($Q373)*($Q373&gt;=TODAY())*($Q373&lt;=TODAY()+7)+ISNUMBER($R373)*($R373&gt;=TODAY())*($R373&lt;=TODAY()+7)+ISNUMBER($S373)*($S373&gt;=TODAY())*($S373&lt;=TODAY()+7)+ISNUMBER($T373)*($T373&gt;=TODAY())*($T373&lt;=TODAY()+7)+ISNUMBER($U373)*($U373&gt;=TODAY())*($U373&lt;=TODAY()+7)+ISNUMBER($V373)*($V373&gt;=TODAY())*($V373&lt;=TODAY()+7)+ISNUMBER($O373)*($O373&gt;=TODAY())*($O373&lt;=TODAY()+7)+ISNUMBER($P373)*($P373&gt;=TODAY())*($P373&lt;=TODAY()+7)+ISNUMBER($X373)*($X373&gt;=TODAY())*($X373&lt;=TODAY()+7)+ISNUMBER($Y373)*($Y373&gt;=TODAY())*($Y373&lt;=TODAY()+7))</f>
        <v/>
      </c>
      <c r="J373" s="28">
        <f>IF(NOT(AND($A373&lt;&gt;"",OR($G373="",$G373="Active"))),"",IF($K373&lt;&gt;"",IF($L373=$K373,"Booking",IF($M373=$K373,"16/40",IF($N373=$K373,"25/40",IF($Q373=$K373,"28/40",IF($R373=$K373,"31/40",IF($S373=$K373,"34/40",IF($T373=$K373,"36/40",IF($U373=$K373,"38/40",IF($V373=$K373,"40/40",""))))))))),IF(IF(OR(ISNUMBER($V373),$V373="DNA"),$V373,IF(OR(ISNUMBER($U373),$U373="DNA"),$U373,IF(OR(ISNUMBER($T373),$T373="DNA"),$T373,IF(OR(ISNUMBER($S373),$S373="DNA"),$S373,IF(OR(ISNUMBER($R373),$R373="DNA"),$R373,IF(OR(ISNUMBER($Q373),$Q373="DNA"),$Q373,IF(OR(ISNUMBER($N373),$N373="DNA"),$N373,IF(OR(ISNUMBER($M373),$M373="DNA"),$M373,IF(OR(ISNUMBER($L373),$L373="DNA"),$L373,"")))))))))="DNA","Rebook DNA",IF(ISNUMBER(IF(OR(ISNUMBER($V373),$V373="DNA"),$V373,IF(OR(ISNUMBER($U373),$U373="DNA"),$U373,IF(OR(ISNUMBER($T373),$T373="DNA"),$T373,IF(OR(ISNUMBER($S373),$S373="DNA"),$S373,IF(OR(ISNUMBER($R373),$R373="DNA"),$R373,IF(OR(ISNUMBER($Q373),$Q373="DNA"),$Q373,IF(OR(ISNUMBER($N373),$N373="DNA"),$N373,IF(OR(ISNUMBER($M373),$M373="DNA"),$M373,IF(OR(ISNUMBER($L373),$L373="DNA"),$L373,"")))))))))),IF(ISNUMBER($V373),"Update status","Missed/not booked?"),""))))</f>
        <v/>
      </c>
      <c r="K373" s="29">
        <f>IF(NOT(AND($A373&lt;&gt;"",OR($G373="",$G373="Active"))),"",IF(MIN(IF(AND(ISNUMBER($L373),$L373&gt;=TODAY()),$L373,99999),IF(AND(ISNUMBER($M373),$M373&gt;=TODAY()),$M373,99999),IF(AND(ISNUMBER($N373),$N373&gt;=TODAY()),$N373,99999),IF(AND(ISNUMBER($Q373),$Q373&gt;=TODAY()),$Q373,99999),IF(AND(ISNUMBER($R373),$R373&gt;=TODAY()),$R373,99999),IF(AND(ISNUMBER($S373),$S373&gt;=TODAY()),$S373,99999),IF(AND(ISNUMBER($T373),$T373&gt;=TODAY()),$T373,99999),IF(AND(ISNUMBER($U373),$U373&gt;=TODAY()),$U373,99999),IF(AND(ISNUMBER($V373),$V373&gt;=TODAY()),$V373,99999))=99999,"",MIN(IF(AND(ISNUMBER($L373),$L373&gt;=TODAY()),$L373,99999),IF(AND(ISNUMBER($M373),$M373&gt;=TODAY()),$M373,99999),IF(AND(ISNUMBER($N373),$N373&gt;=TODAY()),$N373,99999),IF(AND(ISNUMBER($Q373),$Q373&gt;=TODAY()),$Q373,99999),IF(AND(ISNUMBER($R373),$R373&gt;=TODAY()),$R373,99999),IF(AND(ISNUMBER($S373),$S373&gt;=TODAY()),$S373,99999),IF(AND(ISNUMBER($T373),$T373&gt;=TODAY()),$T373,99999),IF(AND(ISNUMBER($U373),$U373&gt;=TODAY()),$U373,99999),IF(AND(ISNUMBER($V373),$V373&gt;=TODAY()),$V373,99999))))</f>
        <v/>
      </c>
      <c r="L373" s="27" t="n"/>
      <c r="M373" s="27" t="n"/>
      <c r="N373" s="27" t="n"/>
      <c r="O373" s="27" t="n"/>
      <c r="P373" s="27" t="n"/>
      <c r="Q373" s="27" t="n"/>
      <c r="R373" s="27" t="n"/>
      <c r="S373" s="27" t="n"/>
      <c r="T373" s="27" t="n"/>
      <c r="U373" s="27" t="n"/>
      <c r="V373" s="27" t="n"/>
      <c r="W373" s="27" t="n"/>
      <c r="X373" s="27" t="n"/>
      <c r="Y373" s="27" t="n"/>
      <c r="Z373" s="30" t="n"/>
      <c r="AA373" s="25" t="n"/>
      <c r="AB373" s="28">
        <f>IF(NOT(AND($A373&lt;&gt;"",OR($G373="",$G373="Active"))),"",IF(OR(IF(OR(ISNUMBER($V373),$V373="DNA"),$V373,IF(OR(ISNUMBER($U373),$U373="DNA"),$U373,IF(OR(ISNUMBER($T373),$T373="DNA"),$T373,IF(OR(ISNUMBER($S373),$S373="DNA"),$S373,IF(OR(ISNUMBER($R373),$R373="DNA"),$R373,IF(OR(ISNUMBER($Q373),$Q373="DNA"),$Q373,IF(OR(ISNUMBER($N373),$N373="DNA"),$N373,IF(OR(ISNUMBER($M373),$M373="DNA"),$M373,IF(OR(ISNUMBER($L373),$L373="DNA"),$L373,"")))))))))="DNA",AND(ISNUMBER(IF(OR(ISNUMBER($V373),$V373="DNA"),$V373,IF(OR(ISNUMBER($U373),$U373="DNA"),$U373,IF(OR(ISNUMBER($T373),$T373="DNA"),$T373,IF(OR(ISNUMBER($S373),$S373="DNA"),$S373,IF(OR(ISNUMBER($R373),$R373="DNA"),$R373,IF(OR(ISNUMBER($Q373),$Q373="DNA"),$Q373,IF(OR(ISNUMBER($N373),$N373="DNA"),$N373,IF(OR(ISNUMBER($M373),$M373="DNA"),$M373,IF(OR(ISNUMBER($L373),$L373="DNA"),$L373,"")))))))))),IF(OR(ISNUMBER($V373),$V373="DNA"),$V373,IF(OR(ISNUMBER($U373),$U373="DNA"),$U373,IF(OR(ISNUMBER($T373),$T373="DNA"),$T373,IF(OR(ISNUMBER($S373),$S373="DNA"),$S373,IF(OR(ISNUMBER($R373),$R373="DNA"),$R373,IF(OR(ISNUMBER($Q373),$Q373="DNA"),$Q373,IF(OR(ISNUMBER($N373),$N373="DNA"),$N373,IF(OR(ISNUMBER($M373),$M373="DNA"),$M373,IF(OR(ISNUMBER($L373),$L373="DNA"),$L373,"")))))))))&lt;TODAY())),1,0)+ISNUMBER($O373)*($O373&lt;TODAY())+ISNUMBER($P373)*($P373&lt;TODAY())+ISNUMBER($X373)*($X373&lt;TODAY())+ISNUMBER($Y373)*($Y373&lt;TODAY()))</f>
        <v/>
      </c>
    </row>
    <row r="374">
      <c r="A374" s="25" t="n"/>
      <c r="B374" s="26" t="n"/>
      <c r="C374" s="27" t="n"/>
      <c r="D374" s="25" t="n"/>
      <c r="E374" s="25" t="n"/>
      <c r="F374" s="27" t="n"/>
      <c r="G374" s="25" t="n"/>
      <c r="H374" s="28">
        <f>IF(OR(NOT(AND($A374&lt;&gt;"",OR($G374="",$G374="Active"))),$F374=""),"",INT((TODAY()-$F374+280)/7)&amp;"+"&amp;MOD(TODAY()-$F374+280,7))</f>
        <v/>
      </c>
      <c r="I374" s="28">
        <f>IF(NOT(AND($A374&lt;&gt;"",OR($G374="",$G374="Active"))),"",ISNUMBER($L374)*($L374&gt;=TODAY())*($L374&lt;=TODAY()+7)+ISNUMBER($M374)*($M374&gt;=TODAY())*($M374&lt;=TODAY()+7)+ISNUMBER($N374)*($N374&gt;=TODAY())*($N374&lt;=TODAY()+7)+ISNUMBER($Q374)*($Q374&gt;=TODAY())*($Q374&lt;=TODAY()+7)+ISNUMBER($R374)*($R374&gt;=TODAY())*($R374&lt;=TODAY()+7)+ISNUMBER($S374)*($S374&gt;=TODAY())*($S374&lt;=TODAY()+7)+ISNUMBER($T374)*($T374&gt;=TODAY())*($T374&lt;=TODAY()+7)+ISNUMBER($U374)*($U374&gt;=TODAY())*($U374&lt;=TODAY()+7)+ISNUMBER($V374)*($V374&gt;=TODAY())*($V374&lt;=TODAY()+7)+ISNUMBER($O374)*($O374&gt;=TODAY())*($O374&lt;=TODAY()+7)+ISNUMBER($P374)*($P374&gt;=TODAY())*($P374&lt;=TODAY()+7)+ISNUMBER($X374)*($X374&gt;=TODAY())*($X374&lt;=TODAY()+7)+ISNUMBER($Y374)*($Y374&gt;=TODAY())*($Y374&lt;=TODAY()+7))</f>
        <v/>
      </c>
      <c r="J374" s="28">
        <f>IF(NOT(AND($A374&lt;&gt;"",OR($G374="",$G374="Active"))),"",IF($K374&lt;&gt;"",IF($L374=$K374,"Booking",IF($M374=$K374,"16/40",IF($N374=$K374,"25/40",IF($Q374=$K374,"28/40",IF($R374=$K374,"31/40",IF($S374=$K374,"34/40",IF($T374=$K374,"36/40",IF($U374=$K374,"38/40",IF($V374=$K374,"40/40",""))))))))),IF(IF(OR(ISNUMBER($V374),$V374="DNA"),$V374,IF(OR(ISNUMBER($U374),$U374="DNA"),$U374,IF(OR(ISNUMBER($T374),$T374="DNA"),$T374,IF(OR(ISNUMBER($S374),$S374="DNA"),$S374,IF(OR(ISNUMBER($R374),$R374="DNA"),$R374,IF(OR(ISNUMBER($Q374),$Q374="DNA"),$Q374,IF(OR(ISNUMBER($N374),$N374="DNA"),$N374,IF(OR(ISNUMBER($M374),$M374="DNA"),$M374,IF(OR(ISNUMBER($L374),$L374="DNA"),$L374,"")))))))))="DNA","Rebook DNA",IF(ISNUMBER(IF(OR(ISNUMBER($V374),$V374="DNA"),$V374,IF(OR(ISNUMBER($U374),$U374="DNA"),$U374,IF(OR(ISNUMBER($T374),$T374="DNA"),$T374,IF(OR(ISNUMBER($S374),$S374="DNA"),$S374,IF(OR(ISNUMBER($R374),$R374="DNA"),$R374,IF(OR(ISNUMBER($Q374),$Q374="DNA"),$Q374,IF(OR(ISNUMBER($N374),$N374="DNA"),$N374,IF(OR(ISNUMBER($M374),$M374="DNA"),$M374,IF(OR(ISNUMBER($L374),$L374="DNA"),$L374,"")))))))))),IF(ISNUMBER($V374),"Update status","Missed/not booked?"),""))))</f>
        <v/>
      </c>
      <c r="K374" s="29">
        <f>IF(NOT(AND($A374&lt;&gt;"",OR($G374="",$G374="Active"))),"",IF(MIN(IF(AND(ISNUMBER($L374),$L374&gt;=TODAY()),$L374,99999),IF(AND(ISNUMBER($M374),$M374&gt;=TODAY()),$M374,99999),IF(AND(ISNUMBER($N374),$N374&gt;=TODAY()),$N374,99999),IF(AND(ISNUMBER($Q374),$Q374&gt;=TODAY()),$Q374,99999),IF(AND(ISNUMBER($R374),$R374&gt;=TODAY()),$R374,99999),IF(AND(ISNUMBER($S374),$S374&gt;=TODAY()),$S374,99999),IF(AND(ISNUMBER($T374),$T374&gt;=TODAY()),$T374,99999),IF(AND(ISNUMBER($U374),$U374&gt;=TODAY()),$U374,99999),IF(AND(ISNUMBER($V374),$V374&gt;=TODAY()),$V374,99999))=99999,"",MIN(IF(AND(ISNUMBER($L374),$L374&gt;=TODAY()),$L374,99999),IF(AND(ISNUMBER($M374),$M374&gt;=TODAY()),$M374,99999),IF(AND(ISNUMBER($N374),$N374&gt;=TODAY()),$N374,99999),IF(AND(ISNUMBER($Q374),$Q374&gt;=TODAY()),$Q374,99999),IF(AND(ISNUMBER($R374),$R374&gt;=TODAY()),$R374,99999),IF(AND(ISNUMBER($S374),$S374&gt;=TODAY()),$S374,99999),IF(AND(ISNUMBER($T374),$T374&gt;=TODAY()),$T374,99999),IF(AND(ISNUMBER($U374),$U374&gt;=TODAY()),$U374,99999),IF(AND(ISNUMBER($V374),$V374&gt;=TODAY()),$V374,99999))))</f>
        <v/>
      </c>
      <c r="L374" s="27" t="n"/>
      <c r="M374" s="27" t="n"/>
      <c r="N374" s="27" t="n"/>
      <c r="O374" s="27" t="n"/>
      <c r="P374" s="27" t="n"/>
      <c r="Q374" s="27" t="n"/>
      <c r="R374" s="27" t="n"/>
      <c r="S374" s="27" t="n"/>
      <c r="T374" s="27" t="n"/>
      <c r="U374" s="27" t="n"/>
      <c r="V374" s="27" t="n"/>
      <c r="W374" s="27" t="n"/>
      <c r="X374" s="27" t="n"/>
      <c r="Y374" s="27" t="n"/>
      <c r="Z374" s="30" t="n"/>
      <c r="AA374" s="25" t="n"/>
      <c r="AB374" s="28">
        <f>IF(NOT(AND($A374&lt;&gt;"",OR($G374="",$G374="Active"))),"",IF(OR(IF(OR(ISNUMBER($V374),$V374="DNA"),$V374,IF(OR(ISNUMBER($U374),$U374="DNA"),$U374,IF(OR(ISNUMBER($T374),$T374="DNA"),$T374,IF(OR(ISNUMBER($S374),$S374="DNA"),$S374,IF(OR(ISNUMBER($R374),$R374="DNA"),$R374,IF(OR(ISNUMBER($Q374),$Q374="DNA"),$Q374,IF(OR(ISNUMBER($N374),$N374="DNA"),$N374,IF(OR(ISNUMBER($M374),$M374="DNA"),$M374,IF(OR(ISNUMBER($L374),$L374="DNA"),$L374,"")))))))))="DNA",AND(ISNUMBER(IF(OR(ISNUMBER($V374),$V374="DNA"),$V374,IF(OR(ISNUMBER($U374),$U374="DNA"),$U374,IF(OR(ISNUMBER($T374),$T374="DNA"),$T374,IF(OR(ISNUMBER($S374),$S374="DNA"),$S374,IF(OR(ISNUMBER($R374),$R374="DNA"),$R374,IF(OR(ISNUMBER($Q374),$Q374="DNA"),$Q374,IF(OR(ISNUMBER($N374),$N374="DNA"),$N374,IF(OR(ISNUMBER($M374),$M374="DNA"),$M374,IF(OR(ISNUMBER($L374),$L374="DNA"),$L374,"")))))))))),IF(OR(ISNUMBER($V374),$V374="DNA"),$V374,IF(OR(ISNUMBER($U374),$U374="DNA"),$U374,IF(OR(ISNUMBER($T374),$T374="DNA"),$T374,IF(OR(ISNUMBER($S374),$S374="DNA"),$S374,IF(OR(ISNUMBER($R374),$R374="DNA"),$R374,IF(OR(ISNUMBER($Q374),$Q374="DNA"),$Q374,IF(OR(ISNUMBER($N374),$N374="DNA"),$N374,IF(OR(ISNUMBER($M374),$M374="DNA"),$M374,IF(OR(ISNUMBER($L374),$L374="DNA"),$L374,"")))))))))&lt;TODAY())),1,0)+ISNUMBER($O374)*($O374&lt;TODAY())+ISNUMBER($P374)*($P374&lt;TODAY())+ISNUMBER($X374)*($X374&lt;TODAY())+ISNUMBER($Y374)*($Y374&lt;TODAY()))</f>
        <v/>
      </c>
    </row>
    <row r="375">
      <c r="A375" s="25" t="n"/>
      <c r="B375" s="26" t="n"/>
      <c r="C375" s="27" t="n"/>
      <c r="D375" s="25" t="n"/>
      <c r="E375" s="25" t="n"/>
      <c r="F375" s="27" t="n"/>
      <c r="G375" s="25" t="n"/>
      <c r="H375" s="28">
        <f>IF(OR(NOT(AND($A375&lt;&gt;"",OR($G375="",$G375="Active"))),$F375=""),"",INT((TODAY()-$F375+280)/7)&amp;"+"&amp;MOD(TODAY()-$F375+280,7))</f>
        <v/>
      </c>
      <c r="I375" s="28">
        <f>IF(NOT(AND($A375&lt;&gt;"",OR($G375="",$G375="Active"))),"",ISNUMBER($L375)*($L375&gt;=TODAY())*($L375&lt;=TODAY()+7)+ISNUMBER($M375)*($M375&gt;=TODAY())*($M375&lt;=TODAY()+7)+ISNUMBER($N375)*($N375&gt;=TODAY())*($N375&lt;=TODAY()+7)+ISNUMBER($Q375)*($Q375&gt;=TODAY())*($Q375&lt;=TODAY()+7)+ISNUMBER($R375)*($R375&gt;=TODAY())*($R375&lt;=TODAY()+7)+ISNUMBER($S375)*($S375&gt;=TODAY())*($S375&lt;=TODAY()+7)+ISNUMBER($T375)*($T375&gt;=TODAY())*($T375&lt;=TODAY()+7)+ISNUMBER($U375)*($U375&gt;=TODAY())*($U375&lt;=TODAY()+7)+ISNUMBER($V375)*($V375&gt;=TODAY())*($V375&lt;=TODAY()+7)+ISNUMBER($O375)*($O375&gt;=TODAY())*($O375&lt;=TODAY()+7)+ISNUMBER($P375)*($P375&gt;=TODAY())*($P375&lt;=TODAY()+7)+ISNUMBER($X375)*($X375&gt;=TODAY())*($X375&lt;=TODAY()+7)+ISNUMBER($Y375)*($Y375&gt;=TODAY())*($Y375&lt;=TODAY()+7))</f>
        <v/>
      </c>
      <c r="J375" s="28">
        <f>IF(NOT(AND($A375&lt;&gt;"",OR($G375="",$G375="Active"))),"",IF($K375&lt;&gt;"",IF($L375=$K375,"Booking",IF($M375=$K375,"16/40",IF($N375=$K375,"25/40",IF($Q375=$K375,"28/40",IF($R375=$K375,"31/40",IF($S375=$K375,"34/40",IF($T375=$K375,"36/40",IF($U375=$K375,"38/40",IF($V375=$K375,"40/40",""))))))))),IF(IF(OR(ISNUMBER($V375),$V375="DNA"),$V375,IF(OR(ISNUMBER($U375),$U375="DNA"),$U375,IF(OR(ISNUMBER($T375),$T375="DNA"),$T375,IF(OR(ISNUMBER($S375),$S375="DNA"),$S375,IF(OR(ISNUMBER($R375),$R375="DNA"),$R375,IF(OR(ISNUMBER($Q375),$Q375="DNA"),$Q375,IF(OR(ISNUMBER($N375),$N375="DNA"),$N375,IF(OR(ISNUMBER($M375),$M375="DNA"),$M375,IF(OR(ISNUMBER($L375),$L375="DNA"),$L375,"")))))))))="DNA","Rebook DNA",IF(ISNUMBER(IF(OR(ISNUMBER($V375),$V375="DNA"),$V375,IF(OR(ISNUMBER($U375),$U375="DNA"),$U375,IF(OR(ISNUMBER($T375),$T375="DNA"),$T375,IF(OR(ISNUMBER($S375),$S375="DNA"),$S375,IF(OR(ISNUMBER($R375),$R375="DNA"),$R375,IF(OR(ISNUMBER($Q375),$Q375="DNA"),$Q375,IF(OR(ISNUMBER($N375),$N375="DNA"),$N375,IF(OR(ISNUMBER($M375),$M375="DNA"),$M375,IF(OR(ISNUMBER($L375),$L375="DNA"),$L375,"")))))))))),IF(ISNUMBER($V375),"Update status","Missed/not booked?"),""))))</f>
        <v/>
      </c>
      <c r="K375" s="29">
        <f>IF(NOT(AND($A375&lt;&gt;"",OR($G375="",$G375="Active"))),"",IF(MIN(IF(AND(ISNUMBER($L375),$L375&gt;=TODAY()),$L375,99999),IF(AND(ISNUMBER($M375),$M375&gt;=TODAY()),$M375,99999),IF(AND(ISNUMBER($N375),$N375&gt;=TODAY()),$N375,99999),IF(AND(ISNUMBER($Q375),$Q375&gt;=TODAY()),$Q375,99999),IF(AND(ISNUMBER($R375),$R375&gt;=TODAY()),$R375,99999),IF(AND(ISNUMBER($S375),$S375&gt;=TODAY()),$S375,99999),IF(AND(ISNUMBER($T375),$T375&gt;=TODAY()),$T375,99999),IF(AND(ISNUMBER($U375),$U375&gt;=TODAY()),$U375,99999),IF(AND(ISNUMBER($V375),$V375&gt;=TODAY()),$V375,99999))=99999,"",MIN(IF(AND(ISNUMBER($L375),$L375&gt;=TODAY()),$L375,99999),IF(AND(ISNUMBER($M375),$M375&gt;=TODAY()),$M375,99999),IF(AND(ISNUMBER($N375),$N375&gt;=TODAY()),$N375,99999),IF(AND(ISNUMBER($Q375),$Q375&gt;=TODAY()),$Q375,99999),IF(AND(ISNUMBER($R375),$R375&gt;=TODAY()),$R375,99999),IF(AND(ISNUMBER($S375),$S375&gt;=TODAY()),$S375,99999),IF(AND(ISNUMBER($T375),$T375&gt;=TODAY()),$T375,99999),IF(AND(ISNUMBER($U375),$U375&gt;=TODAY()),$U375,99999),IF(AND(ISNUMBER($V375),$V375&gt;=TODAY()),$V375,99999))))</f>
        <v/>
      </c>
      <c r="L375" s="27" t="n"/>
      <c r="M375" s="27" t="n"/>
      <c r="N375" s="27" t="n"/>
      <c r="O375" s="27" t="n"/>
      <c r="P375" s="27" t="n"/>
      <c r="Q375" s="27" t="n"/>
      <c r="R375" s="27" t="n"/>
      <c r="S375" s="27" t="n"/>
      <c r="T375" s="27" t="n"/>
      <c r="U375" s="27" t="n"/>
      <c r="V375" s="27" t="n"/>
      <c r="W375" s="27" t="n"/>
      <c r="X375" s="27" t="n"/>
      <c r="Y375" s="27" t="n"/>
      <c r="Z375" s="30" t="n"/>
      <c r="AA375" s="25" t="n"/>
      <c r="AB375" s="28">
        <f>IF(NOT(AND($A375&lt;&gt;"",OR($G375="",$G375="Active"))),"",IF(OR(IF(OR(ISNUMBER($V375),$V375="DNA"),$V375,IF(OR(ISNUMBER($U375),$U375="DNA"),$U375,IF(OR(ISNUMBER($T375),$T375="DNA"),$T375,IF(OR(ISNUMBER($S375),$S375="DNA"),$S375,IF(OR(ISNUMBER($R375),$R375="DNA"),$R375,IF(OR(ISNUMBER($Q375),$Q375="DNA"),$Q375,IF(OR(ISNUMBER($N375),$N375="DNA"),$N375,IF(OR(ISNUMBER($M375),$M375="DNA"),$M375,IF(OR(ISNUMBER($L375),$L375="DNA"),$L375,"")))))))))="DNA",AND(ISNUMBER(IF(OR(ISNUMBER($V375),$V375="DNA"),$V375,IF(OR(ISNUMBER($U375),$U375="DNA"),$U375,IF(OR(ISNUMBER($T375),$T375="DNA"),$T375,IF(OR(ISNUMBER($S375),$S375="DNA"),$S375,IF(OR(ISNUMBER($R375),$R375="DNA"),$R375,IF(OR(ISNUMBER($Q375),$Q375="DNA"),$Q375,IF(OR(ISNUMBER($N375),$N375="DNA"),$N375,IF(OR(ISNUMBER($M375),$M375="DNA"),$M375,IF(OR(ISNUMBER($L375),$L375="DNA"),$L375,"")))))))))),IF(OR(ISNUMBER($V375),$V375="DNA"),$V375,IF(OR(ISNUMBER($U375),$U375="DNA"),$U375,IF(OR(ISNUMBER($T375),$T375="DNA"),$T375,IF(OR(ISNUMBER($S375),$S375="DNA"),$S375,IF(OR(ISNUMBER($R375),$R375="DNA"),$R375,IF(OR(ISNUMBER($Q375),$Q375="DNA"),$Q375,IF(OR(ISNUMBER($N375),$N375="DNA"),$N375,IF(OR(ISNUMBER($M375),$M375="DNA"),$M375,IF(OR(ISNUMBER($L375),$L375="DNA"),$L375,"")))))))))&lt;TODAY())),1,0)+ISNUMBER($O375)*($O375&lt;TODAY())+ISNUMBER($P375)*($P375&lt;TODAY())+ISNUMBER($X375)*($X375&lt;TODAY())+ISNUMBER($Y375)*($Y375&lt;TODAY()))</f>
        <v/>
      </c>
    </row>
    <row r="376">
      <c r="A376" s="25" t="n"/>
      <c r="B376" s="26" t="n"/>
      <c r="C376" s="27" t="n"/>
      <c r="D376" s="25" t="n"/>
      <c r="E376" s="25" t="n"/>
      <c r="F376" s="27" t="n"/>
      <c r="G376" s="25" t="n"/>
      <c r="H376" s="28">
        <f>IF(OR(NOT(AND($A376&lt;&gt;"",OR($G376="",$G376="Active"))),$F376=""),"",INT((TODAY()-$F376+280)/7)&amp;"+"&amp;MOD(TODAY()-$F376+280,7))</f>
        <v/>
      </c>
      <c r="I376" s="28">
        <f>IF(NOT(AND($A376&lt;&gt;"",OR($G376="",$G376="Active"))),"",ISNUMBER($L376)*($L376&gt;=TODAY())*($L376&lt;=TODAY()+7)+ISNUMBER($M376)*($M376&gt;=TODAY())*($M376&lt;=TODAY()+7)+ISNUMBER($N376)*($N376&gt;=TODAY())*($N376&lt;=TODAY()+7)+ISNUMBER($Q376)*($Q376&gt;=TODAY())*($Q376&lt;=TODAY()+7)+ISNUMBER($R376)*($R376&gt;=TODAY())*($R376&lt;=TODAY()+7)+ISNUMBER($S376)*($S376&gt;=TODAY())*($S376&lt;=TODAY()+7)+ISNUMBER($T376)*($T376&gt;=TODAY())*($T376&lt;=TODAY()+7)+ISNUMBER($U376)*($U376&gt;=TODAY())*($U376&lt;=TODAY()+7)+ISNUMBER($V376)*($V376&gt;=TODAY())*($V376&lt;=TODAY()+7)+ISNUMBER($O376)*($O376&gt;=TODAY())*($O376&lt;=TODAY()+7)+ISNUMBER($P376)*($P376&gt;=TODAY())*($P376&lt;=TODAY()+7)+ISNUMBER($X376)*($X376&gt;=TODAY())*($X376&lt;=TODAY()+7)+ISNUMBER($Y376)*($Y376&gt;=TODAY())*($Y376&lt;=TODAY()+7))</f>
        <v/>
      </c>
      <c r="J376" s="28">
        <f>IF(NOT(AND($A376&lt;&gt;"",OR($G376="",$G376="Active"))),"",IF($K376&lt;&gt;"",IF($L376=$K376,"Booking",IF($M376=$K376,"16/40",IF($N376=$K376,"25/40",IF($Q376=$K376,"28/40",IF($R376=$K376,"31/40",IF($S376=$K376,"34/40",IF($T376=$K376,"36/40",IF($U376=$K376,"38/40",IF($V376=$K376,"40/40",""))))))))),IF(IF(OR(ISNUMBER($V376),$V376="DNA"),$V376,IF(OR(ISNUMBER($U376),$U376="DNA"),$U376,IF(OR(ISNUMBER($T376),$T376="DNA"),$T376,IF(OR(ISNUMBER($S376),$S376="DNA"),$S376,IF(OR(ISNUMBER($R376),$R376="DNA"),$R376,IF(OR(ISNUMBER($Q376),$Q376="DNA"),$Q376,IF(OR(ISNUMBER($N376),$N376="DNA"),$N376,IF(OR(ISNUMBER($M376),$M376="DNA"),$M376,IF(OR(ISNUMBER($L376),$L376="DNA"),$L376,"")))))))))="DNA","Rebook DNA",IF(ISNUMBER(IF(OR(ISNUMBER($V376),$V376="DNA"),$V376,IF(OR(ISNUMBER($U376),$U376="DNA"),$U376,IF(OR(ISNUMBER($T376),$T376="DNA"),$T376,IF(OR(ISNUMBER($S376),$S376="DNA"),$S376,IF(OR(ISNUMBER($R376),$R376="DNA"),$R376,IF(OR(ISNUMBER($Q376),$Q376="DNA"),$Q376,IF(OR(ISNUMBER($N376),$N376="DNA"),$N376,IF(OR(ISNUMBER($M376),$M376="DNA"),$M376,IF(OR(ISNUMBER($L376),$L376="DNA"),$L376,"")))))))))),IF(ISNUMBER($V376),"Update status","Missed/not booked?"),""))))</f>
        <v/>
      </c>
      <c r="K376" s="29">
        <f>IF(NOT(AND($A376&lt;&gt;"",OR($G376="",$G376="Active"))),"",IF(MIN(IF(AND(ISNUMBER($L376),$L376&gt;=TODAY()),$L376,99999),IF(AND(ISNUMBER($M376),$M376&gt;=TODAY()),$M376,99999),IF(AND(ISNUMBER($N376),$N376&gt;=TODAY()),$N376,99999),IF(AND(ISNUMBER($Q376),$Q376&gt;=TODAY()),$Q376,99999),IF(AND(ISNUMBER($R376),$R376&gt;=TODAY()),$R376,99999),IF(AND(ISNUMBER($S376),$S376&gt;=TODAY()),$S376,99999),IF(AND(ISNUMBER($T376),$T376&gt;=TODAY()),$T376,99999),IF(AND(ISNUMBER($U376),$U376&gt;=TODAY()),$U376,99999),IF(AND(ISNUMBER($V376),$V376&gt;=TODAY()),$V376,99999))=99999,"",MIN(IF(AND(ISNUMBER($L376),$L376&gt;=TODAY()),$L376,99999),IF(AND(ISNUMBER($M376),$M376&gt;=TODAY()),$M376,99999),IF(AND(ISNUMBER($N376),$N376&gt;=TODAY()),$N376,99999),IF(AND(ISNUMBER($Q376),$Q376&gt;=TODAY()),$Q376,99999),IF(AND(ISNUMBER($R376),$R376&gt;=TODAY()),$R376,99999),IF(AND(ISNUMBER($S376),$S376&gt;=TODAY()),$S376,99999),IF(AND(ISNUMBER($T376),$T376&gt;=TODAY()),$T376,99999),IF(AND(ISNUMBER($U376),$U376&gt;=TODAY()),$U376,99999),IF(AND(ISNUMBER($V376),$V376&gt;=TODAY()),$V376,99999))))</f>
        <v/>
      </c>
      <c r="L376" s="27" t="n"/>
      <c r="M376" s="27" t="n"/>
      <c r="N376" s="27" t="n"/>
      <c r="O376" s="27" t="n"/>
      <c r="P376" s="27" t="n"/>
      <c r="Q376" s="27" t="n"/>
      <c r="R376" s="27" t="n"/>
      <c r="S376" s="27" t="n"/>
      <c r="T376" s="27" t="n"/>
      <c r="U376" s="27" t="n"/>
      <c r="V376" s="27" t="n"/>
      <c r="W376" s="27" t="n"/>
      <c r="X376" s="27" t="n"/>
      <c r="Y376" s="27" t="n"/>
      <c r="Z376" s="30" t="n"/>
      <c r="AA376" s="25" t="n"/>
      <c r="AB376" s="28">
        <f>IF(NOT(AND($A376&lt;&gt;"",OR($G376="",$G376="Active"))),"",IF(OR(IF(OR(ISNUMBER($V376),$V376="DNA"),$V376,IF(OR(ISNUMBER($U376),$U376="DNA"),$U376,IF(OR(ISNUMBER($T376),$T376="DNA"),$T376,IF(OR(ISNUMBER($S376),$S376="DNA"),$S376,IF(OR(ISNUMBER($R376),$R376="DNA"),$R376,IF(OR(ISNUMBER($Q376),$Q376="DNA"),$Q376,IF(OR(ISNUMBER($N376),$N376="DNA"),$N376,IF(OR(ISNUMBER($M376),$M376="DNA"),$M376,IF(OR(ISNUMBER($L376),$L376="DNA"),$L376,"")))))))))="DNA",AND(ISNUMBER(IF(OR(ISNUMBER($V376),$V376="DNA"),$V376,IF(OR(ISNUMBER($U376),$U376="DNA"),$U376,IF(OR(ISNUMBER($T376),$T376="DNA"),$T376,IF(OR(ISNUMBER($S376),$S376="DNA"),$S376,IF(OR(ISNUMBER($R376),$R376="DNA"),$R376,IF(OR(ISNUMBER($Q376),$Q376="DNA"),$Q376,IF(OR(ISNUMBER($N376),$N376="DNA"),$N376,IF(OR(ISNUMBER($M376),$M376="DNA"),$M376,IF(OR(ISNUMBER($L376),$L376="DNA"),$L376,"")))))))))),IF(OR(ISNUMBER($V376),$V376="DNA"),$V376,IF(OR(ISNUMBER($U376),$U376="DNA"),$U376,IF(OR(ISNUMBER($T376),$T376="DNA"),$T376,IF(OR(ISNUMBER($S376),$S376="DNA"),$S376,IF(OR(ISNUMBER($R376),$R376="DNA"),$R376,IF(OR(ISNUMBER($Q376),$Q376="DNA"),$Q376,IF(OR(ISNUMBER($N376),$N376="DNA"),$N376,IF(OR(ISNUMBER($M376),$M376="DNA"),$M376,IF(OR(ISNUMBER($L376),$L376="DNA"),$L376,"")))))))))&lt;TODAY())),1,0)+ISNUMBER($O376)*($O376&lt;TODAY())+ISNUMBER($P376)*($P376&lt;TODAY())+ISNUMBER($X376)*($X376&lt;TODAY())+ISNUMBER($Y376)*($Y376&lt;TODAY()))</f>
        <v/>
      </c>
    </row>
    <row r="377">
      <c r="A377" s="25" t="n"/>
      <c r="B377" s="26" t="n"/>
      <c r="C377" s="27" t="n"/>
      <c r="D377" s="25" t="n"/>
      <c r="E377" s="25" t="n"/>
      <c r="F377" s="27" t="n"/>
      <c r="G377" s="25" t="n"/>
      <c r="H377" s="28">
        <f>IF(OR(NOT(AND($A377&lt;&gt;"",OR($G377="",$G377="Active"))),$F377=""),"",INT((TODAY()-$F377+280)/7)&amp;"+"&amp;MOD(TODAY()-$F377+280,7))</f>
        <v/>
      </c>
      <c r="I377" s="28">
        <f>IF(NOT(AND($A377&lt;&gt;"",OR($G377="",$G377="Active"))),"",ISNUMBER($L377)*($L377&gt;=TODAY())*($L377&lt;=TODAY()+7)+ISNUMBER($M377)*($M377&gt;=TODAY())*($M377&lt;=TODAY()+7)+ISNUMBER($N377)*($N377&gt;=TODAY())*($N377&lt;=TODAY()+7)+ISNUMBER($Q377)*($Q377&gt;=TODAY())*($Q377&lt;=TODAY()+7)+ISNUMBER($R377)*($R377&gt;=TODAY())*($R377&lt;=TODAY()+7)+ISNUMBER($S377)*($S377&gt;=TODAY())*($S377&lt;=TODAY()+7)+ISNUMBER($T377)*($T377&gt;=TODAY())*($T377&lt;=TODAY()+7)+ISNUMBER($U377)*($U377&gt;=TODAY())*($U377&lt;=TODAY()+7)+ISNUMBER($V377)*($V377&gt;=TODAY())*($V377&lt;=TODAY()+7)+ISNUMBER($O377)*($O377&gt;=TODAY())*($O377&lt;=TODAY()+7)+ISNUMBER($P377)*($P377&gt;=TODAY())*($P377&lt;=TODAY()+7)+ISNUMBER($X377)*($X377&gt;=TODAY())*($X377&lt;=TODAY()+7)+ISNUMBER($Y377)*($Y377&gt;=TODAY())*($Y377&lt;=TODAY()+7))</f>
        <v/>
      </c>
      <c r="J377" s="28">
        <f>IF(NOT(AND($A377&lt;&gt;"",OR($G377="",$G377="Active"))),"",IF($K377&lt;&gt;"",IF($L377=$K377,"Booking",IF($M377=$K377,"16/40",IF($N377=$K377,"25/40",IF($Q377=$K377,"28/40",IF($R377=$K377,"31/40",IF($S377=$K377,"34/40",IF($T377=$K377,"36/40",IF($U377=$K377,"38/40",IF($V377=$K377,"40/40",""))))))))),IF(IF(OR(ISNUMBER($V377),$V377="DNA"),$V377,IF(OR(ISNUMBER($U377),$U377="DNA"),$U377,IF(OR(ISNUMBER($T377),$T377="DNA"),$T377,IF(OR(ISNUMBER($S377),$S377="DNA"),$S377,IF(OR(ISNUMBER($R377),$R377="DNA"),$R377,IF(OR(ISNUMBER($Q377),$Q377="DNA"),$Q377,IF(OR(ISNUMBER($N377),$N377="DNA"),$N377,IF(OR(ISNUMBER($M377),$M377="DNA"),$M377,IF(OR(ISNUMBER($L377),$L377="DNA"),$L377,"")))))))))="DNA","Rebook DNA",IF(ISNUMBER(IF(OR(ISNUMBER($V377),$V377="DNA"),$V377,IF(OR(ISNUMBER($U377),$U377="DNA"),$U377,IF(OR(ISNUMBER($T377),$T377="DNA"),$T377,IF(OR(ISNUMBER($S377),$S377="DNA"),$S377,IF(OR(ISNUMBER($R377),$R377="DNA"),$R377,IF(OR(ISNUMBER($Q377),$Q377="DNA"),$Q377,IF(OR(ISNUMBER($N377),$N377="DNA"),$N377,IF(OR(ISNUMBER($M377),$M377="DNA"),$M377,IF(OR(ISNUMBER($L377),$L377="DNA"),$L377,"")))))))))),IF(ISNUMBER($V377),"Update status","Missed/not booked?"),""))))</f>
        <v/>
      </c>
      <c r="K377" s="29">
        <f>IF(NOT(AND($A377&lt;&gt;"",OR($G377="",$G377="Active"))),"",IF(MIN(IF(AND(ISNUMBER($L377),$L377&gt;=TODAY()),$L377,99999),IF(AND(ISNUMBER($M377),$M377&gt;=TODAY()),$M377,99999),IF(AND(ISNUMBER($N377),$N377&gt;=TODAY()),$N377,99999),IF(AND(ISNUMBER($Q377),$Q377&gt;=TODAY()),$Q377,99999),IF(AND(ISNUMBER($R377),$R377&gt;=TODAY()),$R377,99999),IF(AND(ISNUMBER($S377),$S377&gt;=TODAY()),$S377,99999),IF(AND(ISNUMBER($T377),$T377&gt;=TODAY()),$T377,99999),IF(AND(ISNUMBER($U377),$U377&gt;=TODAY()),$U377,99999),IF(AND(ISNUMBER($V377),$V377&gt;=TODAY()),$V377,99999))=99999,"",MIN(IF(AND(ISNUMBER($L377),$L377&gt;=TODAY()),$L377,99999),IF(AND(ISNUMBER($M377),$M377&gt;=TODAY()),$M377,99999),IF(AND(ISNUMBER($N377),$N377&gt;=TODAY()),$N377,99999),IF(AND(ISNUMBER($Q377),$Q377&gt;=TODAY()),$Q377,99999),IF(AND(ISNUMBER($R377),$R377&gt;=TODAY()),$R377,99999),IF(AND(ISNUMBER($S377),$S377&gt;=TODAY()),$S377,99999),IF(AND(ISNUMBER($T377),$T377&gt;=TODAY()),$T377,99999),IF(AND(ISNUMBER($U377),$U377&gt;=TODAY()),$U377,99999),IF(AND(ISNUMBER($V377),$V377&gt;=TODAY()),$V377,99999))))</f>
        <v/>
      </c>
      <c r="L377" s="27" t="n"/>
      <c r="M377" s="27" t="n"/>
      <c r="N377" s="27" t="n"/>
      <c r="O377" s="27" t="n"/>
      <c r="P377" s="27" t="n"/>
      <c r="Q377" s="27" t="n"/>
      <c r="R377" s="27" t="n"/>
      <c r="S377" s="27" t="n"/>
      <c r="T377" s="27" t="n"/>
      <c r="U377" s="27" t="n"/>
      <c r="V377" s="27" t="n"/>
      <c r="W377" s="27" t="n"/>
      <c r="X377" s="27" t="n"/>
      <c r="Y377" s="27" t="n"/>
      <c r="Z377" s="30" t="n"/>
      <c r="AA377" s="25" t="n"/>
      <c r="AB377" s="28">
        <f>IF(NOT(AND($A377&lt;&gt;"",OR($G377="",$G377="Active"))),"",IF(OR(IF(OR(ISNUMBER($V377),$V377="DNA"),$V377,IF(OR(ISNUMBER($U377),$U377="DNA"),$U377,IF(OR(ISNUMBER($T377),$T377="DNA"),$T377,IF(OR(ISNUMBER($S377),$S377="DNA"),$S377,IF(OR(ISNUMBER($R377),$R377="DNA"),$R377,IF(OR(ISNUMBER($Q377),$Q377="DNA"),$Q377,IF(OR(ISNUMBER($N377),$N377="DNA"),$N377,IF(OR(ISNUMBER($M377),$M377="DNA"),$M377,IF(OR(ISNUMBER($L377),$L377="DNA"),$L377,"")))))))))="DNA",AND(ISNUMBER(IF(OR(ISNUMBER($V377),$V377="DNA"),$V377,IF(OR(ISNUMBER($U377),$U377="DNA"),$U377,IF(OR(ISNUMBER($T377),$T377="DNA"),$T377,IF(OR(ISNUMBER($S377),$S377="DNA"),$S377,IF(OR(ISNUMBER($R377),$R377="DNA"),$R377,IF(OR(ISNUMBER($Q377),$Q377="DNA"),$Q377,IF(OR(ISNUMBER($N377),$N377="DNA"),$N377,IF(OR(ISNUMBER($M377),$M377="DNA"),$M377,IF(OR(ISNUMBER($L377),$L377="DNA"),$L377,"")))))))))),IF(OR(ISNUMBER($V377),$V377="DNA"),$V377,IF(OR(ISNUMBER($U377),$U377="DNA"),$U377,IF(OR(ISNUMBER($T377),$T377="DNA"),$T377,IF(OR(ISNUMBER($S377),$S377="DNA"),$S377,IF(OR(ISNUMBER($R377),$R377="DNA"),$R377,IF(OR(ISNUMBER($Q377),$Q377="DNA"),$Q377,IF(OR(ISNUMBER($N377),$N377="DNA"),$N377,IF(OR(ISNUMBER($M377),$M377="DNA"),$M377,IF(OR(ISNUMBER($L377),$L377="DNA"),$L377,"")))))))))&lt;TODAY())),1,0)+ISNUMBER($O377)*($O377&lt;TODAY())+ISNUMBER($P377)*($P377&lt;TODAY())+ISNUMBER($X377)*($X377&lt;TODAY())+ISNUMBER($Y377)*($Y377&lt;TODAY()))</f>
        <v/>
      </c>
    </row>
    <row r="378">
      <c r="A378" s="25" t="n"/>
      <c r="B378" s="26" t="n"/>
      <c r="C378" s="27" t="n"/>
      <c r="D378" s="25" t="n"/>
      <c r="E378" s="25" t="n"/>
      <c r="F378" s="27" t="n"/>
      <c r="G378" s="25" t="n"/>
      <c r="H378" s="28">
        <f>IF(OR(NOT(AND($A378&lt;&gt;"",OR($G378="",$G378="Active"))),$F378=""),"",INT((TODAY()-$F378+280)/7)&amp;"+"&amp;MOD(TODAY()-$F378+280,7))</f>
        <v/>
      </c>
      <c r="I378" s="28">
        <f>IF(NOT(AND($A378&lt;&gt;"",OR($G378="",$G378="Active"))),"",ISNUMBER($L378)*($L378&gt;=TODAY())*($L378&lt;=TODAY()+7)+ISNUMBER($M378)*($M378&gt;=TODAY())*($M378&lt;=TODAY()+7)+ISNUMBER($N378)*($N378&gt;=TODAY())*($N378&lt;=TODAY()+7)+ISNUMBER($Q378)*($Q378&gt;=TODAY())*($Q378&lt;=TODAY()+7)+ISNUMBER($R378)*($R378&gt;=TODAY())*($R378&lt;=TODAY()+7)+ISNUMBER($S378)*($S378&gt;=TODAY())*($S378&lt;=TODAY()+7)+ISNUMBER($T378)*($T378&gt;=TODAY())*($T378&lt;=TODAY()+7)+ISNUMBER($U378)*($U378&gt;=TODAY())*($U378&lt;=TODAY()+7)+ISNUMBER($V378)*($V378&gt;=TODAY())*($V378&lt;=TODAY()+7)+ISNUMBER($O378)*($O378&gt;=TODAY())*($O378&lt;=TODAY()+7)+ISNUMBER($P378)*($P378&gt;=TODAY())*($P378&lt;=TODAY()+7)+ISNUMBER($X378)*($X378&gt;=TODAY())*($X378&lt;=TODAY()+7)+ISNUMBER($Y378)*($Y378&gt;=TODAY())*($Y378&lt;=TODAY()+7))</f>
        <v/>
      </c>
      <c r="J378" s="28">
        <f>IF(NOT(AND($A378&lt;&gt;"",OR($G378="",$G378="Active"))),"",IF($K378&lt;&gt;"",IF($L378=$K378,"Booking",IF($M378=$K378,"16/40",IF($N378=$K378,"25/40",IF($Q378=$K378,"28/40",IF($R378=$K378,"31/40",IF($S378=$K378,"34/40",IF($T378=$K378,"36/40",IF($U378=$K378,"38/40",IF($V378=$K378,"40/40",""))))))))),IF(IF(OR(ISNUMBER($V378),$V378="DNA"),$V378,IF(OR(ISNUMBER($U378),$U378="DNA"),$U378,IF(OR(ISNUMBER($T378),$T378="DNA"),$T378,IF(OR(ISNUMBER($S378),$S378="DNA"),$S378,IF(OR(ISNUMBER($R378),$R378="DNA"),$R378,IF(OR(ISNUMBER($Q378),$Q378="DNA"),$Q378,IF(OR(ISNUMBER($N378),$N378="DNA"),$N378,IF(OR(ISNUMBER($M378),$M378="DNA"),$M378,IF(OR(ISNUMBER($L378),$L378="DNA"),$L378,"")))))))))="DNA","Rebook DNA",IF(ISNUMBER(IF(OR(ISNUMBER($V378),$V378="DNA"),$V378,IF(OR(ISNUMBER($U378),$U378="DNA"),$U378,IF(OR(ISNUMBER($T378),$T378="DNA"),$T378,IF(OR(ISNUMBER($S378),$S378="DNA"),$S378,IF(OR(ISNUMBER($R378),$R378="DNA"),$R378,IF(OR(ISNUMBER($Q378),$Q378="DNA"),$Q378,IF(OR(ISNUMBER($N378),$N378="DNA"),$N378,IF(OR(ISNUMBER($M378),$M378="DNA"),$M378,IF(OR(ISNUMBER($L378),$L378="DNA"),$L378,"")))))))))),IF(ISNUMBER($V378),"Update status","Missed/not booked?"),""))))</f>
        <v/>
      </c>
      <c r="K378" s="29">
        <f>IF(NOT(AND($A378&lt;&gt;"",OR($G378="",$G378="Active"))),"",IF(MIN(IF(AND(ISNUMBER($L378),$L378&gt;=TODAY()),$L378,99999),IF(AND(ISNUMBER($M378),$M378&gt;=TODAY()),$M378,99999),IF(AND(ISNUMBER($N378),$N378&gt;=TODAY()),$N378,99999),IF(AND(ISNUMBER($Q378),$Q378&gt;=TODAY()),$Q378,99999),IF(AND(ISNUMBER($R378),$R378&gt;=TODAY()),$R378,99999),IF(AND(ISNUMBER($S378),$S378&gt;=TODAY()),$S378,99999),IF(AND(ISNUMBER($T378),$T378&gt;=TODAY()),$T378,99999),IF(AND(ISNUMBER($U378),$U378&gt;=TODAY()),$U378,99999),IF(AND(ISNUMBER($V378),$V378&gt;=TODAY()),$V378,99999))=99999,"",MIN(IF(AND(ISNUMBER($L378),$L378&gt;=TODAY()),$L378,99999),IF(AND(ISNUMBER($M378),$M378&gt;=TODAY()),$M378,99999),IF(AND(ISNUMBER($N378),$N378&gt;=TODAY()),$N378,99999),IF(AND(ISNUMBER($Q378),$Q378&gt;=TODAY()),$Q378,99999),IF(AND(ISNUMBER($R378),$R378&gt;=TODAY()),$R378,99999),IF(AND(ISNUMBER($S378),$S378&gt;=TODAY()),$S378,99999),IF(AND(ISNUMBER($T378),$T378&gt;=TODAY()),$T378,99999),IF(AND(ISNUMBER($U378),$U378&gt;=TODAY()),$U378,99999),IF(AND(ISNUMBER($V378),$V378&gt;=TODAY()),$V378,99999))))</f>
        <v/>
      </c>
      <c r="L378" s="27" t="n"/>
      <c r="M378" s="27" t="n"/>
      <c r="N378" s="27" t="n"/>
      <c r="O378" s="27" t="n"/>
      <c r="P378" s="27" t="n"/>
      <c r="Q378" s="27" t="n"/>
      <c r="R378" s="27" t="n"/>
      <c r="S378" s="27" t="n"/>
      <c r="T378" s="27" t="n"/>
      <c r="U378" s="27" t="n"/>
      <c r="V378" s="27" t="n"/>
      <c r="W378" s="27" t="n"/>
      <c r="X378" s="27" t="n"/>
      <c r="Y378" s="27" t="n"/>
      <c r="Z378" s="30" t="n"/>
      <c r="AA378" s="25" t="n"/>
      <c r="AB378" s="28">
        <f>IF(NOT(AND($A378&lt;&gt;"",OR($G378="",$G378="Active"))),"",IF(OR(IF(OR(ISNUMBER($V378),$V378="DNA"),$V378,IF(OR(ISNUMBER($U378),$U378="DNA"),$U378,IF(OR(ISNUMBER($T378),$T378="DNA"),$T378,IF(OR(ISNUMBER($S378),$S378="DNA"),$S378,IF(OR(ISNUMBER($R378),$R378="DNA"),$R378,IF(OR(ISNUMBER($Q378),$Q378="DNA"),$Q378,IF(OR(ISNUMBER($N378),$N378="DNA"),$N378,IF(OR(ISNUMBER($M378),$M378="DNA"),$M378,IF(OR(ISNUMBER($L378),$L378="DNA"),$L378,"")))))))))="DNA",AND(ISNUMBER(IF(OR(ISNUMBER($V378),$V378="DNA"),$V378,IF(OR(ISNUMBER($U378),$U378="DNA"),$U378,IF(OR(ISNUMBER($T378),$T378="DNA"),$T378,IF(OR(ISNUMBER($S378),$S378="DNA"),$S378,IF(OR(ISNUMBER($R378),$R378="DNA"),$R378,IF(OR(ISNUMBER($Q378),$Q378="DNA"),$Q378,IF(OR(ISNUMBER($N378),$N378="DNA"),$N378,IF(OR(ISNUMBER($M378),$M378="DNA"),$M378,IF(OR(ISNUMBER($L378),$L378="DNA"),$L378,"")))))))))),IF(OR(ISNUMBER($V378),$V378="DNA"),$V378,IF(OR(ISNUMBER($U378),$U378="DNA"),$U378,IF(OR(ISNUMBER($T378),$T378="DNA"),$T378,IF(OR(ISNUMBER($S378),$S378="DNA"),$S378,IF(OR(ISNUMBER($R378),$R378="DNA"),$R378,IF(OR(ISNUMBER($Q378),$Q378="DNA"),$Q378,IF(OR(ISNUMBER($N378),$N378="DNA"),$N378,IF(OR(ISNUMBER($M378),$M378="DNA"),$M378,IF(OR(ISNUMBER($L378),$L378="DNA"),$L378,"")))))))))&lt;TODAY())),1,0)+ISNUMBER($O378)*($O378&lt;TODAY())+ISNUMBER($P378)*($P378&lt;TODAY())+ISNUMBER($X378)*($X378&lt;TODAY())+ISNUMBER($Y378)*($Y378&lt;TODAY()))</f>
        <v/>
      </c>
    </row>
    <row r="379">
      <c r="A379" s="25" t="n"/>
      <c r="B379" s="26" t="n"/>
      <c r="C379" s="27" t="n"/>
      <c r="D379" s="25" t="n"/>
      <c r="E379" s="25" t="n"/>
      <c r="F379" s="27" t="n"/>
      <c r="G379" s="25" t="n"/>
      <c r="H379" s="28">
        <f>IF(OR(NOT(AND($A379&lt;&gt;"",OR($G379="",$G379="Active"))),$F379=""),"",INT((TODAY()-$F379+280)/7)&amp;"+"&amp;MOD(TODAY()-$F379+280,7))</f>
        <v/>
      </c>
      <c r="I379" s="28">
        <f>IF(NOT(AND($A379&lt;&gt;"",OR($G379="",$G379="Active"))),"",ISNUMBER($L379)*($L379&gt;=TODAY())*($L379&lt;=TODAY()+7)+ISNUMBER($M379)*($M379&gt;=TODAY())*($M379&lt;=TODAY()+7)+ISNUMBER($N379)*($N379&gt;=TODAY())*($N379&lt;=TODAY()+7)+ISNUMBER($Q379)*($Q379&gt;=TODAY())*($Q379&lt;=TODAY()+7)+ISNUMBER($R379)*($R379&gt;=TODAY())*($R379&lt;=TODAY()+7)+ISNUMBER($S379)*($S379&gt;=TODAY())*($S379&lt;=TODAY()+7)+ISNUMBER($T379)*($T379&gt;=TODAY())*($T379&lt;=TODAY()+7)+ISNUMBER($U379)*($U379&gt;=TODAY())*($U379&lt;=TODAY()+7)+ISNUMBER($V379)*($V379&gt;=TODAY())*($V379&lt;=TODAY()+7)+ISNUMBER($O379)*($O379&gt;=TODAY())*($O379&lt;=TODAY()+7)+ISNUMBER($P379)*($P379&gt;=TODAY())*($P379&lt;=TODAY()+7)+ISNUMBER($X379)*($X379&gt;=TODAY())*($X379&lt;=TODAY()+7)+ISNUMBER($Y379)*($Y379&gt;=TODAY())*($Y379&lt;=TODAY()+7))</f>
        <v/>
      </c>
      <c r="J379" s="28">
        <f>IF(NOT(AND($A379&lt;&gt;"",OR($G379="",$G379="Active"))),"",IF($K379&lt;&gt;"",IF($L379=$K379,"Booking",IF($M379=$K379,"16/40",IF($N379=$K379,"25/40",IF($Q379=$K379,"28/40",IF($R379=$K379,"31/40",IF($S379=$K379,"34/40",IF($T379=$K379,"36/40",IF($U379=$K379,"38/40",IF($V379=$K379,"40/40",""))))))))),IF(IF(OR(ISNUMBER($V379),$V379="DNA"),$V379,IF(OR(ISNUMBER($U379),$U379="DNA"),$U379,IF(OR(ISNUMBER($T379),$T379="DNA"),$T379,IF(OR(ISNUMBER($S379),$S379="DNA"),$S379,IF(OR(ISNUMBER($R379),$R379="DNA"),$R379,IF(OR(ISNUMBER($Q379),$Q379="DNA"),$Q379,IF(OR(ISNUMBER($N379),$N379="DNA"),$N379,IF(OR(ISNUMBER($M379),$M379="DNA"),$M379,IF(OR(ISNUMBER($L379),$L379="DNA"),$L379,"")))))))))="DNA","Rebook DNA",IF(ISNUMBER(IF(OR(ISNUMBER($V379),$V379="DNA"),$V379,IF(OR(ISNUMBER($U379),$U379="DNA"),$U379,IF(OR(ISNUMBER($T379),$T379="DNA"),$T379,IF(OR(ISNUMBER($S379),$S379="DNA"),$S379,IF(OR(ISNUMBER($R379),$R379="DNA"),$R379,IF(OR(ISNUMBER($Q379),$Q379="DNA"),$Q379,IF(OR(ISNUMBER($N379),$N379="DNA"),$N379,IF(OR(ISNUMBER($M379),$M379="DNA"),$M379,IF(OR(ISNUMBER($L379),$L379="DNA"),$L379,"")))))))))),IF(ISNUMBER($V379),"Update status","Missed/not booked?"),""))))</f>
        <v/>
      </c>
      <c r="K379" s="29">
        <f>IF(NOT(AND($A379&lt;&gt;"",OR($G379="",$G379="Active"))),"",IF(MIN(IF(AND(ISNUMBER($L379),$L379&gt;=TODAY()),$L379,99999),IF(AND(ISNUMBER($M379),$M379&gt;=TODAY()),$M379,99999),IF(AND(ISNUMBER($N379),$N379&gt;=TODAY()),$N379,99999),IF(AND(ISNUMBER($Q379),$Q379&gt;=TODAY()),$Q379,99999),IF(AND(ISNUMBER($R379),$R379&gt;=TODAY()),$R379,99999),IF(AND(ISNUMBER($S379),$S379&gt;=TODAY()),$S379,99999),IF(AND(ISNUMBER($T379),$T379&gt;=TODAY()),$T379,99999),IF(AND(ISNUMBER($U379),$U379&gt;=TODAY()),$U379,99999),IF(AND(ISNUMBER($V379),$V379&gt;=TODAY()),$V379,99999))=99999,"",MIN(IF(AND(ISNUMBER($L379),$L379&gt;=TODAY()),$L379,99999),IF(AND(ISNUMBER($M379),$M379&gt;=TODAY()),$M379,99999),IF(AND(ISNUMBER($N379),$N379&gt;=TODAY()),$N379,99999),IF(AND(ISNUMBER($Q379),$Q379&gt;=TODAY()),$Q379,99999),IF(AND(ISNUMBER($R379),$R379&gt;=TODAY()),$R379,99999),IF(AND(ISNUMBER($S379),$S379&gt;=TODAY()),$S379,99999),IF(AND(ISNUMBER($T379),$T379&gt;=TODAY()),$T379,99999),IF(AND(ISNUMBER($U379),$U379&gt;=TODAY()),$U379,99999),IF(AND(ISNUMBER($V379),$V379&gt;=TODAY()),$V379,99999))))</f>
        <v/>
      </c>
      <c r="L379" s="27" t="n"/>
      <c r="M379" s="27" t="n"/>
      <c r="N379" s="27" t="n"/>
      <c r="O379" s="27" t="n"/>
      <c r="P379" s="27" t="n"/>
      <c r="Q379" s="27" t="n"/>
      <c r="R379" s="27" t="n"/>
      <c r="S379" s="27" t="n"/>
      <c r="T379" s="27" t="n"/>
      <c r="U379" s="27" t="n"/>
      <c r="V379" s="27" t="n"/>
      <c r="W379" s="27" t="n"/>
      <c r="X379" s="27" t="n"/>
      <c r="Y379" s="27" t="n"/>
      <c r="Z379" s="30" t="n"/>
      <c r="AA379" s="25" t="n"/>
      <c r="AB379" s="28">
        <f>IF(NOT(AND($A379&lt;&gt;"",OR($G379="",$G379="Active"))),"",IF(OR(IF(OR(ISNUMBER($V379),$V379="DNA"),$V379,IF(OR(ISNUMBER($U379),$U379="DNA"),$U379,IF(OR(ISNUMBER($T379),$T379="DNA"),$T379,IF(OR(ISNUMBER($S379),$S379="DNA"),$S379,IF(OR(ISNUMBER($R379),$R379="DNA"),$R379,IF(OR(ISNUMBER($Q379),$Q379="DNA"),$Q379,IF(OR(ISNUMBER($N379),$N379="DNA"),$N379,IF(OR(ISNUMBER($M379),$M379="DNA"),$M379,IF(OR(ISNUMBER($L379),$L379="DNA"),$L379,"")))))))))="DNA",AND(ISNUMBER(IF(OR(ISNUMBER($V379),$V379="DNA"),$V379,IF(OR(ISNUMBER($U379),$U379="DNA"),$U379,IF(OR(ISNUMBER($T379),$T379="DNA"),$T379,IF(OR(ISNUMBER($S379),$S379="DNA"),$S379,IF(OR(ISNUMBER($R379),$R379="DNA"),$R379,IF(OR(ISNUMBER($Q379),$Q379="DNA"),$Q379,IF(OR(ISNUMBER($N379),$N379="DNA"),$N379,IF(OR(ISNUMBER($M379),$M379="DNA"),$M379,IF(OR(ISNUMBER($L379),$L379="DNA"),$L379,"")))))))))),IF(OR(ISNUMBER($V379),$V379="DNA"),$V379,IF(OR(ISNUMBER($U379),$U379="DNA"),$U379,IF(OR(ISNUMBER($T379),$T379="DNA"),$T379,IF(OR(ISNUMBER($S379),$S379="DNA"),$S379,IF(OR(ISNUMBER($R379),$R379="DNA"),$R379,IF(OR(ISNUMBER($Q379),$Q379="DNA"),$Q379,IF(OR(ISNUMBER($N379),$N379="DNA"),$N379,IF(OR(ISNUMBER($M379),$M379="DNA"),$M379,IF(OR(ISNUMBER($L379),$L379="DNA"),$L379,"")))))))))&lt;TODAY())),1,0)+ISNUMBER($O379)*($O379&lt;TODAY())+ISNUMBER($P379)*($P379&lt;TODAY())+ISNUMBER($X379)*($X379&lt;TODAY())+ISNUMBER($Y379)*($Y379&lt;TODAY()))</f>
        <v/>
      </c>
    </row>
    <row r="380">
      <c r="A380" s="25" t="n"/>
      <c r="B380" s="26" t="n"/>
      <c r="C380" s="27" t="n"/>
      <c r="D380" s="25" t="n"/>
      <c r="E380" s="25" t="n"/>
      <c r="F380" s="27" t="n"/>
      <c r="G380" s="25" t="n"/>
      <c r="H380" s="28">
        <f>IF(OR(NOT(AND($A380&lt;&gt;"",OR($G380="",$G380="Active"))),$F380=""),"",INT((TODAY()-$F380+280)/7)&amp;"+"&amp;MOD(TODAY()-$F380+280,7))</f>
        <v/>
      </c>
      <c r="I380" s="28">
        <f>IF(NOT(AND($A380&lt;&gt;"",OR($G380="",$G380="Active"))),"",ISNUMBER($L380)*($L380&gt;=TODAY())*($L380&lt;=TODAY()+7)+ISNUMBER($M380)*($M380&gt;=TODAY())*($M380&lt;=TODAY()+7)+ISNUMBER($N380)*($N380&gt;=TODAY())*($N380&lt;=TODAY()+7)+ISNUMBER($Q380)*($Q380&gt;=TODAY())*($Q380&lt;=TODAY()+7)+ISNUMBER($R380)*($R380&gt;=TODAY())*($R380&lt;=TODAY()+7)+ISNUMBER($S380)*($S380&gt;=TODAY())*($S380&lt;=TODAY()+7)+ISNUMBER($T380)*($T380&gt;=TODAY())*($T380&lt;=TODAY()+7)+ISNUMBER($U380)*($U380&gt;=TODAY())*($U380&lt;=TODAY()+7)+ISNUMBER($V380)*($V380&gt;=TODAY())*($V380&lt;=TODAY()+7)+ISNUMBER($O380)*($O380&gt;=TODAY())*($O380&lt;=TODAY()+7)+ISNUMBER($P380)*($P380&gt;=TODAY())*($P380&lt;=TODAY()+7)+ISNUMBER($X380)*($X380&gt;=TODAY())*($X380&lt;=TODAY()+7)+ISNUMBER($Y380)*($Y380&gt;=TODAY())*($Y380&lt;=TODAY()+7))</f>
        <v/>
      </c>
      <c r="J380" s="28">
        <f>IF(NOT(AND($A380&lt;&gt;"",OR($G380="",$G380="Active"))),"",IF($K380&lt;&gt;"",IF($L380=$K380,"Booking",IF($M380=$K380,"16/40",IF($N380=$K380,"25/40",IF($Q380=$K380,"28/40",IF($R380=$K380,"31/40",IF($S380=$K380,"34/40",IF($T380=$K380,"36/40",IF($U380=$K380,"38/40",IF($V380=$K380,"40/40",""))))))))),IF(IF(OR(ISNUMBER($V380),$V380="DNA"),$V380,IF(OR(ISNUMBER($U380),$U380="DNA"),$U380,IF(OR(ISNUMBER($T380),$T380="DNA"),$T380,IF(OR(ISNUMBER($S380),$S380="DNA"),$S380,IF(OR(ISNUMBER($R380),$R380="DNA"),$R380,IF(OR(ISNUMBER($Q380),$Q380="DNA"),$Q380,IF(OR(ISNUMBER($N380),$N380="DNA"),$N380,IF(OR(ISNUMBER($M380),$M380="DNA"),$M380,IF(OR(ISNUMBER($L380),$L380="DNA"),$L380,"")))))))))="DNA","Rebook DNA",IF(ISNUMBER(IF(OR(ISNUMBER($V380),$V380="DNA"),$V380,IF(OR(ISNUMBER($U380),$U380="DNA"),$U380,IF(OR(ISNUMBER($T380),$T380="DNA"),$T380,IF(OR(ISNUMBER($S380),$S380="DNA"),$S380,IF(OR(ISNUMBER($R380),$R380="DNA"),$R380,IF(OR(ISNUMBER($Q380),$Q380="DNA"),$Q380,IF(OR(ISNUMBER($N380),$N380="DNA"),$N380,IF(OR(ISNUMBER($M380),$M380="DNA"),$M380,IF(OR(ISNUMBER($L380),$L380="DNA"),$L380,"")))))))))),IF(ISNUMBER($V380),"Update status","Missed/not booked?"),""))))</f>
        <v/>
      </c>
      <c r="K380" s="29">
        <f>IF(NOT(AND($A380&lt;&gt;"",OR($G380="",$G380="Active"))),"",IF(MIN(IF(AND(ISNUMBER($L380),$L380&gt;=TODAY()),$L380,99999),IF(AND(ISNUMBER($M380),$M380&gt;=TODAY()),$M380,99999),IF(AND(ISNUMBER($N380),$N380&gt;=TODAY()),$N380,99999),IF(AND(ISNUMBER($Q380),$Q380&gt;=TODAY()),$Q380,99999),IF(AND(ISNUMBER($R380),$R380&gt;=TODAY()),$R380,99999),IF(AND(ISNUMBER($S380),$S380&gt;=TODAY()),$S380,99999),IF(AND(ISNUMBER($T380),$T380&gt;=TODAY()),$T380,99999),IF(AND(ISNUMBER($U380),$U380&gt;=TODAY()),$U380,99999),IF(AND(ISNUMBER($V380),$V380&gt;=TODAY()),$V380,99999))=99999,"",MIN(IF(AND(ISNUMBER($L380),$L380&gt;=TODAY()),$L380,99999),IF(AND(ISNUMBER($M380),$M380&gt;=TODAY()),$M380,99999),IF(AND(ISNUMBER($N380),$N380&gt;=TODAY()),$N380,99999),IF(AND(ISNUMBER($Q380),$Q380&gt;=TODAY()),$Q380,99999),IF(AND(ISNUMBER($R380),$R380&gt;=TODAY()),$R380,99999),IF(AND(ISNUMBER($S380),$S380&gt;=TODAY()),$S380,99999),IF(AND(ISNUMBER($T380),$T380&gt;=TODAY()),$T380,99999),IF(AND(ISNUMBER($U380),$U380&gt;=TODAY()),$U380,99999),IF(AND(ISNUMBER($V380),$V380&gt;=TODAY()),$V380,99999))))</f>
        <v/>
      </c>
      <c r="L380" s="27" t="n"/>
      <c r="M380" s="27" t="n"/>
      <c r="N380" s="27" t="n"/>
      <c r="O380" s="27" t="n"/>
      <c r="P380" s="27" t="n"/>
      <c r="Q380" s="27" t="n"/>
      <c r="R380" s="27" t="n"/>
      <c r="S380" s="27" t="n"/>
      <c r="T380" s="27" t="n"/>
      <c r="U380" s="27" t="n"/>
      <c r="V380" s="27" t="n"/>
      <c r="W380" s="27" t="n"/>
      <c r="X380" s="27" t="n"/>
      <c r="Y380" s="27" t="n"/>
      <c r="Z380" s="30" t="n"/>
      <c r="AA380" s="25" t="n"/>
      <c r="AB380" s="28">
        <f>IF(NOT(AND($A380&lt;&gt;"",OR($G380="",$G380="Active"))),"",IF(OR(IF(OR(ISNUMBER($V380),$V380="DNA"),$V380,IF(OR(ISNUMBER($U380),$U380="DNA"),$U380,IF(OR(ISNUMBER($T380),$T380="DNA"),$T380,IF(OR(ISNUMBER($S380),$S380="DNA"),$S380,IF(OR(ISNUMBER($R380),$R380="DNA"),$R380,IF(OR(ISNUMBER($Q380),$Q380="DNA"),$Q380,IF(OR(ISNUMBER($N380),$N380="DNA"),$N380,IF(OR(ISNUMBER($M380),$M380="DNA"),$M380,IF(OR(ISNUMBER($L380),$L380="DNA"),$L380,"")))))))))="DNA",AND(ISNUMBER(IF(OR(ISNUMBER($V380),$V380="DNA"),$V380,IF(OR(ISNUMBER($U380),$U380="DNA"),$U380,IF(OR(ISNUMBER($T380),$T380="DNA"),$T380,IF(OR(ISNUMBER($S380),$S380="DNA"),$S380,IF(OR(ISNUMBER($R380),$R380="DNA"),$R380,IF(OR(ISNUMBER($Q380),$Q380="DNA"),$Q380,IF(OR(ISNUMBER($N380),$N380="DNA"),$N380,IF(OR(ISNUMBER($M380),$M380="DNA"),$M380,IF(OR(ISNUMBER($L380),$L380="DNA"),$L380,"")))))))))),IF(OR(ISNUMBER($V380),$V380="DNA"),$V380,IF(OR(ISNUMBER($U380),$U380="DNA"),$U380,IF(OR(ISNUMBER($T380),$T380="DNA"),$T380,IF(OR(ISNUMBER($S380),$S380="DNA"),$S380,IF(OR(ISNUMBER($R380),$R380="DNA"),$R380,IF(OR(ISNUMBER($Q380),$Q380="DNA"),$Q380,IF(OR(ISNUMBER($N380),$N380="DNA"),$N380,IF(OR(ISNUMBER($M380),$M380="DNA"),$M380,IF(OR(ISNUMBER($L380),$L380="DNA"),$L380,"")))))))))&lt;TODAY())),1,0)+ISNUMBER($O380)*($O380&lt;TODAY())+ISNUMBER($P380)*($P380&lt;TODAY())+ISNUMBER($X380)*($X380&lt;TODAY())+ISNUMBER($Y380)*($Y380&lt;TODAY()))</f>
        <v/>
      </c>
    </row>
    <row r="381">
      <c r="A381" s="25" t="n"/>
      <c r="B381" s="26" t="n"/>
      <c r="C381" s="27" t="n"/>
      <c r="D381" s="25" t="n"/>
      <c r="E381" s="25" t="n"/>
      <c r="F381" s="27" t="n"/>
      <c r="G381" s="25" t="n"/>
      <c r="H381" s="28">
        <f>IF(OR(NOT(AND($A381&lt;&gt;"",OR($G381="",$G381="Active"))),$F381=""),"",INT((TODAY()-$F381+280)/7)&amp;"+"&amp;MOD(TODAY()-$F381+280,7))</f>
        <v/>
      </c>
      <c r="I381" s="28">
        <f>IF(NOT(AND($A381&lt;&gt;"",OR($G381="",$G381="Active"))),"",ISNUMBER($L381)*($L381&gt;=TODAY())*($L381&lt;=TODAY()+7)+ISNUMBER($M381)*($M381&gt;=TODAY())*($M381&lt;=TODAY()+7)+ISNUMBER($N381)*($N381&gt;=TODAY())*($N381&lt;=TODAY()+7)+ISNUMBER($Q381)*($Q381&gt;=TODAY())*($Q381&lt;=TODAY()+7)+ISNUMBER($R381)*($R381&gt;=TODAY())*($R381&lt;=TODAY()+7)+ISNUMBER($S381)*($S381&gt;=TODAY())*($S381&lt;=TODAY()+7)+ISNUMBER($T381)*($T381&gt;=TODAY())*($T381&lt;=TODAY()+7)+ISNUMBER($U381)*($U381&gt;=TODAY())*($U381&lt;=TODAY()+7)+ISNUMBER($V381)*($V381&gt;=TODAY())*($V381&lt;=TODAY()+7)+ISNUMBER($O381)*($O381&gt;=TODAY())*($O381&lt;=TODAY()+7)+ISNUMBER($P381)*($P381&gt;=TODAY())*($P381&lt;=TODAY()+7)+ISNUMBER($X381)*($X381&gt;=TODAY())*($X381&lt;=TODAY()+7)+ISNUMBER($Y381)*($Y381&gt;=TODAY())*($Y381&lt;=TODAY()+7))</f>
        <v/>
      </c>
      <c r="J381" s="28">
        <f>IF(NOT(AND($A381&lt;&gt;"",OR($G381="",$G381="Active"))),"",IF($K381&lt;&gt;"",IF($L381=$K381,"Booking",IF($M381=$K381,"16/40",IF($N381=$K381,"25/40",IF($Q381=$K381,"28/40",IF($R381=$K381,"31/40",IF($S381=$K381,"34/40",IF($T381=$K381,"36/40",IF($U381=$K381,"38/40",IF($V381=$K381,"40/40",""))))))))),IF(IF(OR(ISNUMBER($V381),$V381="DNA"),$V381,IF(OR(ISNUMBER($U381),$U381="DNA"),$U381,IF(OR(ISNUMBER($T381),$T381="DNA"),$T381,IF(OR(ISNUMBER($S381),$S381="DNA"),$S381,IF(OR(ISNUMBER($R381),$R381="DNA"),$R381,IF(OR(ISNUMBER($Q381),$Q381="DNA"),$Q381,IF(OR(ISNUMBER($N381),$N381="DNA"),$N381,IF(OR(ISNUMBER($M381),$M381="DNA"),$M381,IF(OR(ISNUMBER($L381),$L381="DNA"),$L381,"")))))))))="DNA","Rebook DNA",IF(ISNUMBER(IF(OR(ISNUMBER($V381),$V381="DNA"),$V381,IF(OR(ISNUMBER($U381),$U381="DNA"),$U381,IF(OR(ISNUMBER($T381),$T381="DNA"),$T381,IF(OR(ISNUMBER($S381),$S381="DNA"),$S381,IF(OR(ISNUMBER($R381),$R381="DNA"),$R381,IF(OR(ISNUMBER($Q381),$Q381="DNA"),$Q381,IF(OR(ISNUMBER($N381),$N381="DNA"),$N381,IF(OR(ISNUMBER($M381),$M381="DNA"),$M381,IF(OR(ISNUMBER($L381),$L381="DNA"),$L381,"")))))))))),IF(ISNUMBER($V381),"Update status","Missed/not booked?"),""))))</f>
        <v/>
      </c>
      <c r="K381" s="29">
        <f>IF(NOT(AND($A381&lt;&gt;"",OR($G381="",$G381="Active"))),"",IF(MIN(IF(AND(ISNUMBER($L381),$L381&gt;=TODAY()),$L381,99999),IF(AND(ISNUMBER($M381),$M381&gt;=TODAY()),$M381,99999),IF(AND(ISNUMBER($N381),$N381&gt;=TODAY()),$N381,99999),IF(AND(ISNUMBER($Q381),$Q381&gt;=TODAY()),$Q381,99999),IF(AND(ISNUMBER($R381),$R381&gt;=TODAY()),$R381,99999),IF(AND(ISNUMBER($S381),$S381&gt;=TODAY()),$S381,99999),IF(AND(ISNUMBER($T381),$T381&gt;=TODAY()),$T381,99999),IF(AND(ISNUMBER($U381),$U381&gt;=TODAY()),$U381,99999),IF(AND(ISNUMBER($V381),$V381&gt;=TODAY()),$V381,99999))=99999,"",MIN(IF(AND(ISNUMBER($L381),$L381&gt;=TODAY()),$L381,99999),IF(AND(ISNUMBER($M381),$M381&gt;=TODAY()),$M381,99999),IF(AND(ISNUMBER($N381),$N381&gt;=TODAY()),$N381,99999),IF(AND(ISNUMBER($Q381),$Q381&gt;=TODAY()),$Q381,99999),IF(AND(ISNUMBER($R381),$R381&gt;=TODAY()),$R381,99999),IF(AND(ISNUMBER($S381),$S381&gt;=TODAY()),$S381,99999),IF(AND(ISNUMBER($T381),$T381&gt;=TODAY()),$T381,99999),IF(AND(ISNUMBER($U381),$U381&gt;=TODAY()),$U381,99999),IF(AND(ISNUMBER($V381),$V381&gt;=TODAY()),$V381,99999))))</f>
        <v/>
      </c>
      <c r="L381" s="27" t="n"/>
      <c r="M381" s="27" t="n"/>
      <c r="N381" s="27" t="n"/>
      <c r="O381" s="27" t="n"/>
      <c r="P381" s="27" t="n"/>
      <c r="Q381" s="27" t="n"/>
      <c r="R381" s="27" t="n"/>
      <c r="S381" s="27" t="n"/>
      <c r="T381" s="27" t="n"/>
      <c r="U381" s="27" t="n"/>
      <c r="V381" s="27" t="n"/>
      <c r="W381" s="27" t="n"/>
      <c r="X381" s="27" t="n"/>
      <c r="Y381" s="27" t="n"/>
      <c r="Z381" s="30" t="n"/>
      <c r="AA381" s="25" t="n"/>
      <c r="AB381" s="28">
        <f>IF(NOT(AND($A381&lt;&gt;"",OR($G381="",$G381="Active"))),"",IF(OR(IF(OR(ISNUMBER($V381),$V381="DNA"),$V381,IF(OR(ISNUMBER($U381),$U381="DNA"),$U381,IF(OR(ISNUMBER($T381),$T381="DNA"),$T381,IF(OR(ISNUMBER($S381),$S381="DNA"),$S381,IF(OR(ISNUMBER($R381),$R381="DNA"),$R381,IF(OR(ISNUMBER($Q381),$Q381="DNA"),$Q381,IF(OR(ISNUMBER($N381),$N381="DNA"),$N381,IF(OR(ISNUMBER($M381),$M381="DNA"),$M381,IF(OR(ISNUMBER($L381),$L381="DNA"),$L381,"")))))))))="DNA",AND(ISNUMBER(IF(OR(ISNUMBER($V381),$V381="DNA"),$V381,IF(OR(ISNUMBER($U381),$U381="DNA"),$U381,IF(OR(ISNUMBER($T381),$T381="DNA"),$T381,IF(OR(ISNUMBER($S381),$S381="DNA"),$S381,IF(OR(ISNUMBER($R381),$R381="DNA"),$R381,IF(OR(ISNUMBER($Q381),$Q381="DNA"),$Q381,IF(OR(ISNUMBER($N381),$N381="DNA"),$N381,IF(OR(ISNUMBER($M381),$M381="DNA"),$M381,IF(OR(ISNUMBER($L381),$L381="DNA"),$L381,"")))))))))),IF(OR(ISNUMBER($V381),$V381="DNA"),$V381,IF(OR(ISNUMBER($U381),$U381="DNA"),$U381,IF(OR(ISNUMBER($T381),$T381="DNA"),$T381,IF(OR(ISNUMBER($S381),$S381="DNA"),$S381,IF(OR(ISNUMBER($R381),$R381="DNA"),$R381,IF(OR(ISNUMBER($Q381),$Q381="DNA"),$Q381,IF(OR(ISNUMBER($N381),$N381="DNA"),$N381,IF(OR(ISNUMBER($M381),$M381="DNA"),$M381,IF(OR(ISNUMBER($L381),$L381="DNA"),$L381,"")))))))))&lt;TODAY())),1,0)+ISNUMBER($O381)*($O381&lt;TODAY())+ISNUMBER($P381)*($P381&lt;TODAY())+ISNUMBER($X381)*($X381&lt;TODAY())+ISNUMBER($Y381)*($Y381&lt;TODAY()))</f>
        <v/>
      </c>
    </row>
    <row r="382">
      <c r="A382" s="25" t="n"/>
      <c r="B382" s="26" t="n"/>
      <c r="C382" s="27" t="n"/>
      <c r="D382" s="25" t="n"/>
      <c r="E382" s="25" t="n"/>
      <c r="F382" s="27" t="n"/>
      <c r="G382" s="25" t="n"/>
      <c r="H382" s="28">
        <f>IF(OR(NOT(AND($A382&lt;&gt;"",OR($G382="",$G382="Active"))),$F382=""),"",INT((TODAY()-$F382+280)/7)&amp;"+"&amp;MOD(TODAY()-$F382+280,7))</f>
        <v/>
      </c>
      <c r="I382" s="28">
        <f>IF(NOT(AND($A382&lt;&gt;"",OR($G382="",$G382="Active"))),"",ISNUMBER($L382)*($L382&gt;=TODAY())*($L382&lt;=TODAY()+7)+ISNUMBER($M382)*($M382&gt;=TODAY())*($M382&lt;=TODAY()+7)+ISNUMBER($N382)*($N382&gt;=TODAY())*($N382&lt;=TODAY()+7)+ISNUMBER($Q382)*($Q382&gt;=TODAY())*($Q382&lt;=TODAY()+7)+ISNUMBER($R382)*($R382&gt;=TODAY())*($R382&lt;=TODAY()+7)+ISNUMBER($S382)*($S382&gt;=TODAY())*($S382&lt;=TODAY()+7)+ISNUMBER($T382)*($T382&gt;=TODAY())*($T382&lt;=TODAY()+7)+ISNUMBER($U382)*($U382&gt;=TODAY())*($U382&lt;=TODAY()+7)+ISNUMBER($V382)*($V382&gt;=TODAY())*($V382&lt;=TODAY()+7)+ISNUMBER($O382)*($O382&gt;=TODAY())*($O382&lt;=TODAY()+7)+ISNUMBER($P382)*($P382&gt;=TODAY())*($P382&lt;=TODAY()+7)+ISNUMBER($X382)*($X382&gt;=TODAY())*($X382&lt;=TODAY()+7)+ISNUMBER($Y382)*($Y382&gt;=TODAY())*($Y382&lt;=TODAY()+7))</f>
        <v/>
      </c>
      <c r="J382" s="28">
        <f>IF(NOT(AND($A382&lt;&gt;"",OR($G382="",$G382="Active"))),"",IF($K382&lt;&gt;"",IF($L382=$K382,"Booking",IF($M382=$K382,"16/40",IF($N382=$K382,"25/40",IF($Q382=$K382,"28/40",IF($R382=$K382,"31/40",IF($S382=$K382,"34/40",IF($T382=$K382,"36/40",IF($U382=$K382,"38/40",IF($V382=$K382,"40/40",""))))))))),IF(IF(OR(ISNUMBER($V382),$V382="DNA"),$V382,IF(OR(ISNUMBER($U382),$U382="DNA"),$U382,IF(OR(ISNUMBER($T382),$T382="DNA"),$T382,IF(OR(ISNUMBER($S382),$S382="DNA"),$S382,IF(OR(ISNUMBER($R382),$R382="DNA"),$R382,IF(OR(ISNUMBER($Q382),$Q382="DNA"),$Q382,IF(OR(ISNUMBER($N382),$N382="DNA"),$N382,IF(OR(ISNUMBER($M382),$M382="DNA"),$M382,IF(OR(ISNUMBER($L382),$L382="DNA"),$L382,"")))))))))="DNA","Rebook DNA",IF(ISNUMBER(IF(OR(ISNUMBER($V382),$V382="DNA"),$V382,IF(OR(ISNUMBER($U382),$U382="DNA"),$U382,IF(OR(ISNUMBER($T382),$T382="DNA"),$T382,IF(OR(ISNUMBER($S382),$S382="DNA"),$S382,IF(OR(ISNUMBER($R382),$R382="DNA"),$R382,IF(OR(ISNUMBER($Q382),$Q382="DNA"),$Q382,IF(OR(ISNUMBER($N382),$N382="DNA"),$N382,IF(OR(ISNUMBER($M382),$M382="DNA"),$M382,IF(OR(ISNUMBER($L382),$L382="DNA"),$L382,"")))))))))),IF(ISNUMBER($V382),"Update status","Missed/not booked?"),""))))</f>
        <v/>
      </c>
      <c r="K382" s="29">
        <f>IF(NOT(AND($A382&lt;&gt;"",OR($G382="",$G382="Active"))),"",IF(MIN(IF(AND(ISNUMBER($L382),$L382&gt;=TODAY()),$L382,99999),IF(AND(ISNUMBER($M382),$M382&gt;=TODAY()),$M382,99999),IF(AND(ISNUMBER($N382),$N382&gt;=TODAY()),$N382,99999),IF(AND(ISNUMBER($Q382),$Q382&gt;=TODAY()),$Q382,99999),IF(AND(ISNUMBER($R382),$R382&gt;=TODAY()),$R382,99999),IF(AND(ISNUMBER($S382),$S382&gt;=TODAY()),$S382,99999),IF(AND(ISNUMBER($T382),$T382&gt;=TODAY()),$T382,99999),IF(AND(ISNUMBER($U382),$U382&gt;=TODAY()),$U382,99999),IF(AND(ISNUMBER($V382),$V382&gt;=TODAY()),$V382,99999))=99999,"",MIN(IF(AND(ISNUMBER($L382),$L382&gt;=TODAY()),$L382,99999),IF(AND(ISNUMBER($M382),$M382&gt;=TODAY()),$M382,99999),IF(AND(ISNUMBER($N382),$N382&gt;=TODAY()),$N382,99999),IF(AND(ISNUMBER($Q382),$Q382&gt;=TODAY()),$Q382,99999),IF(AND(ISNUMBER($R382),$R382&gt;=TODAY()),$R382,99999),IF(AND(ISNUMBER($S382),$S382&gt;=TODAY()),$S382,99999),IF(AND(ISNUMBER($T382),$T382&gt;=TODAY()),$T382,99999),IF(AND(ISNUMBER($U382),$U382&gt;=TODAY()),$U382,99999),IF(AND(ISNUMBER($V382),$V382&gt;=TODAY()),$V382,99999))))</f>
        <v/>
      </c>
      <c r="L382" s="27" t="n"/>
      <c r="M382" s="27" t="n"/>
      <c r="N382" s="27" t="n"/>
      <c r="O382" s="27" t="n"/>
      <c r="P382" s="27" t="n"/>
      <c r="Q382" s="27" t="n"/>
      <c r="R382" s="27" t="n"/>
      <c r="S382" s="27" t="n"/>
      <c r="T382" s="27" t="n"/>
      <c r="U382" s="27" t="n"/>
      <c r="V382" s="27" t="n"/>
      <c r="W382" s="27" t="n"/>
      <c r="X382" s="27" t="n"/>
      <c r="Y382" s="27" t="n"/>
      <c r="Z382" s="30" t="n"/>
      <c r="AA382" s="25" t="n"/>
      <c r="AB382" s="28">
        <f>IF(NOT(AND($A382&lt;&gt;"",OR($G382="",$G382="Active"))),"",IF(OR(IF(OR(ISNUMBER($V382),$V382="DNA"),$V382,IF(OR(ISNUMBER($U382),$U382="DNA"),$U382,IF(OR(ISNUMBER($T382),$T382="DNA"),$T382,IF(OR(ISNUMBER($S382),$S382="DNA"),$S382,IF(OR(ISNUMBER($R382),$R382="DNA"),$R382,IF(OR(ISNUMBER($Q382),$Q382="DNA"),$Q382,IF(OR(ISNUMBER($N382),$N382="DNA"),$N382,IF(OR(ISNUMBER($M382),$M382="DNA"),$M382,IF(OR(ISNUMBER($L382),$L382="DNA"),$L382,"")))))))))="DNA",AND(ISNUMBER(IF(OR(ISNUMBER($V382),$V382="DNA"),$V382,IF(OR(ISNUMBER($U382),$U382="DNA"),$U382,IF(OR(ISNUMBER($T382),$T382="DNA"),$T382,IF(OR(ISNUMBER($S382),$S382="DNA"),$S382,IF(OR(ISNUMBER($R382),$R382="DNA"),$R382,IF(OR(ISNUMBER($Q382),$Q382="DNA"),$Q382,IF(OR(ISNUMBER($N382),$N382="DNA"),$N382,IF(OR(ISNUMBER($M382),$M382="DNA"),$M382,IF(OR(ISNUMBER($L382),$L382="DNA"),$L382,"")))))))))),IF(OR(ISNUMBER($V382),$V382="DNA"),$V382,IF(OR(ISNUMBER($U382),$U382="DNA"),$U382,IF(OR(ISNUMBER($T382),$T382="DNA"),$T382,IF(OR(ISNUMBER($S382),$S382="DNA"),$S382,IF(OR(ISNUMBER($R382),$R382="DNA"),$R382,IF(OR(ISNUMBER($Q382),$Q382="DNA"),$Q382,IF(OR(ISNUMBER($N382),$N382="DNA"),$N382,IF(OR(ISNUMBER($M382),$M382="DNA"),$M382,IF(OR(ISNUMBER($L382),$L382="DNA"),$L382,"")))))))))&lt;TODAY())),1,0)+ISNUMBER($O382)*($O382&lt;TODAY())+ISNUMBER($P382)*($P382&lt;TODAY())+ISNUMBER($X382)*($X382&lt;TODAY())+ISNUMBER($Y382)*($Y382&lt;TODAY()))</f>
        <v/>
      </c>
    </row>
    <row r="383">
      <c r="A383" s="25" t="n"/>
      <c r="B383" s="26" t="n"/>
      <c r="C383" s="27" t="n"/>
      <c r="D383" s="25" t="n"/>
      <c r="E383" s="25" t="n"/>
      <c r="F383" s="27" t="n"/>
      <c r="G383" s="25" t="n"/>
      <c r="H383" s="28">
        <f>IF(OR(NOT(AND($A383&lt;&gt;"",OR($G383="",$G383="Active"))),$F383=""),"",INT((TODAY()-$F383+280)/7)&amp;"+"&amp;MOD(TODAY()-$F383+280,7))</f>
        <v/>
      </c>
      <c r="I383" s="28">
        <f>IF(NOT(AND($A383&lt;&gt;"",OR($G383="",$G383="Active"))),"",ISNUMBER($L383)*($L383&gt;=TODAY())*($L383&lt;=TODAY()+7)+ISNUMBER($M383)*($M383&gt;=TODAY())*($M383&lt;=TODAY()+7)+ISNUMBER($N383)*($N383&gt;=TODAY())*($N383&lt;=TODAY()+7)+ISNUMBER($Q383)*($Q383&gt;=TODAY())*($Q383&lt;=TODAY()+7)+ISNUMBER($R383)*($R383&gt;=TODAY())*($R383&lt;=TODAY()+7)+ISNUMBER($S383)*($S383&gt;=TODAY())*($S383&lt;=TODAY()+7)+ISNUMBER($T383)*($T383&gt;=TODAY())*($T383&lt;=TODAY()+7)+ISNUMBER($U383)*($U383&gt;=TODAY())*($U383&lt;=TODAY()+7)+ISNUMBER($V383)*($V383&gt;=TODAY())*($V383&lt;=TODAY()+7)+ISNUMBER($O383)*($O383&gt;=TODAY())*($O383&lt;=TODAY()+7)+ISNUMBER($P383)*($P383&gt;=TODAY())*($P383&lt;=TODAY()+7)+ISNUMBER($X383)*($X383&gt;=TODAY())*($X383&lt;=TODAY()+7)+ISNUMBER($Y383)*($Y383&gt;=TODAY())*($Y383&lt;=TODAY()+7))</f>
        <v/>
      </c>
      <c r="J383" s="28">
        <f>IF(NOT(AND($A383&lt;&gt;"",OR($G383="",$G383="Active"))),"",IF($K383&lt;&gt;"",IF($L383=$K383,"Booking",IF($M383=$K383,"16/40",IF($N383=$K383,"25/40",IF($Q383=$K383,"28/40",IF($R383=$K383,"31/40",IF($S383=$K383,"34/40",IF($T383=$K383,"36/40",IF($U383=$K383,"38/40",IF($V383=$K383,"40/40",""))))))))),IF(IF(OR(ISNUMBER($V383),$V383="DNA"),$V383,IF(OR(ISNUMBER($U383),$U383="DNA"),$U383,IF(OR(ISNUMBER($T383),$T383="DNA"),$T383,IF(OR(ISNUMBER($S383),$S383="DNA"),$S383,IF(OR(ISNUMBER($R383),$R383="DNA"),$R383,IF(OR(ISNUMBER($Q383),$Q383="DNA"),$Q383,IF(OR(ISNUMBER($N383),$N383="DNA"),$N383,IF(OR(ISNUMBER($M383),$M383="DNA"),$M383,IF(OR(ISNUMBER($L383),$L383="DNA"),$L383,"")))))))))="DNA","Rebook DNA",IF(ISNUMBER(IF(OR(ISNUMBER($V383),$V383="DNA"),$V383,IF(OR(ISNUMBER($U383),$U383="DNA"),$U383,IF(OR(ISNUMBER($T383),$T383="DNA"),$T383,IF(OR(ISNUMBER($S383),$S383="DNA"),$S383,IF(OR(ISNUMBER($R383),$R383="DNA"),$R383,IF(OR(ISNUMBER($Q383),$Q383="DNA"),$Q383,IF(OR(ISNUMBER($N383),$N383="DNA"),$N383,IF(OR(ISNUMBER($M383),$M383="DNA"),$M383,IF(OR(ISNUMBER($L383),$L383="DNA"),$L383,"")))))))))),IF(ISNUMBER($V383),"Update status","Missed/not booked?"),""))))</f>
        <v/>
      </c>
      <c r="K383" s="29">
        <f>IF(NOT(AND($A383&lt;&gt;"",OR($G383="",$G383="Active"))),"",IF(MIN(IF(AND(ISNUMBER($L383),$L383&gt;=TODAY()),$L383,99999),IF(AND(ISNUMBER($M383),$M383&gt;=TODAY()),$M383,99999),IF(AND(ISNUMBER($N383),$N383&gt;=TODAY()),$N383,99999),IF(AND(ISNUMBER($Q383),$Q383&gt;=TODAY()),$Q383,99999),IF(AND(ISNUMBER($R383),$R383&gt;=TODAY()),$R383,99999),IF(AND(ISNUMBER($S383),$S383&gt;=TODAY()),$S383,99999),IF(AND(ISNUMBER($T383),$T383&gt;=TODAY()),$T383,99999),IF(AND(ISNUMBER($U383),$U383&gt;=TODAY()),$U383,99999),IF(AND(ISNUMBER($V383),$V383&gt;=TODAY()),$V383,99999))=99999,"",MIN(IF(AND(ISNUMBER($L383),$L383&gt;=TODAY()),$L383,99999),IF(AND(ISNUMBER($M383),$M383&gt;=TODAY()),$M383,99999),IF(AND(ISNUMBER($N383),$N383&gt;=TODAY()),$N383,99999),IF(AND(ISNUMBER($Q383),$Q383&gt;=TODAY()),$Q383,99999),IF(AND(ISNUMBER($R383),$R383&gt;=TODAY()),$R383,99999),IF(AND(ISNUMBER($S383),$S383&gt;=TODAY()),$S383,99999),IF(AND(ISNUMBER($T383),$T383&gt;=TODAY()),$T383,99999),IF(AND(ISNUMBER($U383),$U383&gt;=TODAY()),$U383,99999),IF(AND(ISNUMBER($V383),$V383&gt;=TODAY()),$V383,99999))))</f>
        <v/>
      </c>
      <c r="L383" s="27" t="n"/>
      <c r="M383" s="27" t="n"/>
      <c r="N383" s="27" t="n"/>
      <c r="O383" s="27" t="n"/>
      <c r="P383" s="27" t="n"/>
      <c r="Q383" s="27" t="n"/>
      <c r="R383" s="27" t="n"/>
      <c r="S383" s="27" t="n"/>
      <c r="T383" s="27" t="n"/>
      <c r="U383" s="27" t="n"/>
      <c r="V383" s="27" t="n"/>
      <c r="W383" s="27" t="n"/>
      <c r="X383" s="27" t="n"/>
      <c r="Y383" s="27" t="n"/>
      <c r="Z383" s="30" t="n"/>
      <c r="AA383" s="25" t="n"/>
      <c r="AB383" s="28">
        <f>IF(NOT(AND($A383&lt;&gt;"",OR($G383="",$G383="Active"))),"",IF(OR(IF(OR(ISNUMBER($V383),$V383="DNA"),$V383,IF(OR(ISNUMBER($U383),$U383="DNA"),$U383,IF(OR(ISNUMBER($T383),$T383="DNA"),$T383,IF(OR(ISNUMBER($S383),$S383="DNA"),$S383,IF(OR(ISNUMBER($R383),$R383="DNA"),$R383,IF(OR(ISNUMBER($Q383),$Q383="DNA"),$Q383,IF(OR(ISNUMBER($N383),$N383="DNA"),$N383,IF(OR(ISNUMBER($M383),$M383="DNA"),$M383,IF(OR(ISNUMBER($L383),$L383="DNA"),$L383,"")))))))))="DNA",AND(ISNUMBER(IF(OR(ISNUMBER($V383),$V383="DNA"),$V383,IF(OR(ISNUMBER($U383),$U383="DNA"),$U383,IF(OR(ISNUMBER($T383),$T383="DNA"),$T383,IF(OR(ISNUMBER($S383),$S383="DNA"),$S383,IF(OR(ISNUMBER($R383),$R383="DNA"),$R383,IF(OR(ISNUMBER($Q383),$Q383="DNA"),$Q383,IF(OR(ISNUMBER($N383),$N383="DNA"),$N383,IF(OR(ISNUMBER($M383),$M383="DNA"),$M383,IF(OR(ISNUMBER($L383),$L383="DNA"),$L383,"")))))))))),IF(OR(ISNUMBER($V383),$V383="DNA"),$V383,IF(OR(ISNUMBER($U383),$U383="DNA"),$U383,IF(OR(ISNUMBER($T383),$T383="DNA"),$T383,IF(OR(ISNUMBER($S383),$S383="DNA"),$S383,IF(OR(ISNUMBER($R383),$R383="DNA"),$R383,IF(OR(ISNUMBER($Q383),$Q383="DNA"),$Q383,IF(OR(ISNUMBER($N383),$N383="DNA"),$N383,IF(OR(ISNUMBER($M383),$M383="DNA"),$M383,IF(OR(ISNUMBER($L383),$L383="DNA"),$L383,"")))))))))&lt;TODAY())),1,0)+ISNUMBER($O383)*($O383&lt;TODAY())+ISNUMBER($P383)*($P383&lt;TODAY())+ISNUMBER($X383)*($X383&lt;TODAY())+ISNUMBER($Y383)*($Y383&lt;TODAY()))</f>
        <v/>
      </c>
    </row>
    <row r="384">
      <c r="A384" s="25" t="n"/>
      <c r="B384" s="26" t="n"/>
      <c r="C384" s="27" t="n"/>
      <c r="D384" s="25" t="n"/>
      <c r="E384" s="25" t="n"/>
      <c r="F384" s="27" t="n"/>
      <c r="G384" s="25" t="n"/>
      <c r="H384" s="28">
        <f>IF(OR(NOT(AND($A384&lt;&gt;"",OR($G384="",$G384="Active"))),$F384=""),"",INT((TODAY()-$F384+280)/7)&amp;"+"&amp;MOD(TODAY()-$F384+280,7))</f>
        <v/>
      </c>
      <c r="I384" s="28">
        <f>IF(NOT(AND($A384&lt;&gt;"",OR($G384="",$G384="Active"))),"",ISNUMBER($L384)*($L384&gt;=TODAY())*($L384&lt;=TODAY()+7)+ISNUMBER($M384)*($M384&gt;=TODAY())*($M384&lt;=TODAY()+7)+ISNUMBER($N384)*($N384&gt;=TODAY())*($N384&lt;=TODAY()+7)+ISNUMBER($Q384)*($Q384&gt;=TODAY())*($Q384&lt;=TODAY()+7)+ISNUMBER($R384)*($R384&gt;=TODAY())*($R384&lt;=TODAY()+7)+ISNUMBER($S384)*($S384&gt;=TODAY())*($S384&lt;=TODAY()+7)+ISNUMBER($T384)*($T384&gt;=TODAY())*($T384&lt;=TODAY()+7)+ISNUMBER($U384)*($U384&gt;=TODAY())*($U384&lt;=TODAY()+7)+ISNUMBER($V384)*($V384&gt;=TODAY())*($V384&lt;=TODAY()+7)+ISNUMBER($O384)*($O384&gt;=TODAY())*($O384&lt;=TODAY()+7)+ISNUMBER($P384)*($P384&gt;=TODAY())*($P384&lt;=TODAY()+7)+ISNUMBER($X384)*($X384&gt;=TODAY())*($X384&lt;=TODAY()+7)+ISNUMBER($Y384)*($Y384&gt;=TODAY())*($Y384&lt;=TODAY()+7))</f>
        <v/>
      </c>
      <c r="J384" s="28">
        <f>IF(NOT(AND($A384&lt;&gt;"",OR($G384="",$G384="Active"))),"",IF($K384&lt;&gt;"",IF($L384=$K384,"Booking",IF($M384=$K384,"16/40",IF($N384=$K384,"25/40",IF($Q384=$K384,"28/40",IF($R384=$K384,"31/40",IF($S384=$K384,"34/40",IF($T384=$K384,"36/40",IF($U384=$K384,"38/40",IF($V384=$K384,"40/40",""))))))))),IF(IF(OR(ISNUMBER($V384),$V384="DNA"),$V384,IF(OR(ISNUMBER($U384),$U384="DNA"),$U384,IF(OR(ISNUMBER($T384),$T384="DNA"),$T384,IF(OR(ISNUMBER($S384),$S384="DNA"),$S384,IF(OR(ISNUMBER($R384),$R384="DNA"),$R384,IF(OR(ISNUMBER($Q384),$Q384="DNA"),$Q384,IF(OR(ISNUMBER($N384),$N384="DNA"),$N384,IF(OR(ISNUMBER($M384),$M384="DNA"),$M384,IF(OR(ISNUMBER($L384),$L384="DNA"),$L384,"")))))))))="DNA","Rebook DNA",IF(ISNUMBER(IF(OR(ISNUMBER($V384),$V384="DNA"),$V384,IF(OR(ISNUMBER($U384),$U384="DNA"),$U384,IF(OR(ISNUMBER($T384),$T384="DNA"),$T384,IF(OR(ISNUMBER($S384),$S384="DNA"),$S384,IF(OR(ISNUMBER($R384),$R384="DNA"),$R384,IF(OR(ISNUMBER($Q384),$Q384="DNA"),$Q384,IF(OR(ISNUMBER($N384),$N384="DNA"),$N384,IF(OR(ISNUMBER($M384),$M384="DNA"),$M384,IF(OR(ISNUMBER($L384),$L384="DNA"),$L384,"")))))))))),IF(ISNUMBER($V384),"Update status","Missed/not booked?"),""))))</f>
        <v/>
      </c>
      <c r="K384" s="29">
        <f>IF(NOT(AND($A384&lt;&gt;"",OR($G384="",$G384="Active"))),"",IF(MIN(IF(AND(ISNUMBER($L384),$L384&gt;=TODAY()),$L384,99999),IF(AND(ISNUMBER($M384),$M384&gt;=TODAY()),$M384,99999),IF(AND(ISNUMBER($N384),$N384&gt;=TODAY()),$N384,99999),IF(AND(ISNUMBER($Q384),$Q384&gt;=TODAY()),$Q384,99999),IF(AND(ISNUMBER($R384),$R384&gt;=TODAY()),$R384,99999),IF(AND(ISNUMBER($S384),$S384&gt;=TODAY()),$S384,99999),IF(AND(ISNUMBER($T384),$T384&gt;=TODAY()),$T384,99999),IF(AND(ISNUMBER($U384),$U384&gt;=TODAY()),$U384,99999),IF(AND(ISNUMBER($V384),$V384&gt;=TODAY()),$V384,99999))=99999,"",MIN(IF(AND(ISNUMBER($L384),$L384&gt;=TODAY()),$L384,99999),IF(AND(ISNUMBER($M384),$M384&gt;=TODAY()),$M384,99999),IF(AND(ISNUMBER($N384),$N384&gt;=TODAY()),$N384,99999),IF(AND(ISNUMBER($Q384),$Q384&gt;=TODAY()),$Q384,99999),IF(AND(ISNUMBER($R384),$R384&gt;=TODAY()),$R384,99999),IF(AND(ISNUMBER($S384),$S384&gt;=TODAY()),$S384,99999),IF(AND(ISNUMBER($T384),$T384&gt;=TODAY()),$T384,99999),IF(AND(ISNUMBER($U384),$U384&gt;=TODAY()),$U384,99999),IF(AND(ISNUMBER($V384),$V384&gt;=TODAY()),$V384,99999))))</f>
        <v/>
      </c>
      <c r="L384" s="27" t="n"/>
      <c r="M384" s="27" t="n"/>
      <c r="N384" s="27" t="n"/>
      <c r="O384" s="27" t="n"/>
      <c r="P384" s="27" t="n"/>
      <c r="Q384" s="27" t="n"/>
      <c r="R384" s="27" t="n"/>
      <c r="S384" s="27" t="n"/>
      <c r="T384" s="27" t="n"/>
      <c r="U384" s="27" t="n"/>
      <c r="V384" s="27" t="n"/>
      <c r="W384" s="27" t="n"/>
      <c r="X384" s="27" t="n"/>
      <c r="Y384" s="27" t="n"/>
      <c r="Z384" s="30" t="n"/>
      <c r="AA384" s="25" t="n"/>
      <c r="AB384" s="28">
        <f>IF(NOT(AND($A384&lt;&gt;"",OR($G384="",$G384="Active"))),"",IF(OR(IF(OR(ISNUMBER($V384),$V384="DNA"),$V384,IF(OR(ISNUMBER($U384),$U384="DNA"),$U384,IF(OR(ISNUMBER($T384),$T384="DNA"),$T384,IF(OR(ISNUMBER($S384),$S384="DNA"),$S384,IF(OR(ISNUMBER($R384),$R384="DNA"),$R384,IF(OR(ISNUMBER($Q384),$Q384="DNA"),$Q384,IF(OR(ISNUMBER($N384),$N384="DNA"),$N384,IF(OR(ISNUMBER($M384),$M384="DNA"),$M384,IF(OR(ISNUMBER($L384),$L384="DNA"),$L384,"")))))))))="DNA",AND(ISNUMBER(IF(OR(ISNUMBER($V384),$V384="DNA"),$V384,IF(OR(ISNUMBER($U384),$U384="DNA"),$U384,IF(OR(ISNUMBER($T384),$T384="DNA"),$T384,IF(OR(ISNUMBER($S384),$S384="DNA"),$S384,IF(OR(ISNUMBER($R384),$R384="DNA"),$R384,IF(OR(ISNUMBER($Q384),$Q384="DNA"),$Q384,IF(OR(ISNUMBER($N384),$N384="DNA"),$N384,IF(OR(ISNUMBER($M384),$M384="DNA"),$M384,IF(OR(ISNUMBER($L384),$L384="DNA"),$L384,"")))))))))),IF(OR(ISNUMBER($V384),$V384="DNA"),$V384,IF(OR(ISNUMBER($U384),$U384="DNA"),$U384,IF(OR(ISNUMBER($T384),$T384="DNA"),$T384,IF(OR(ISNUMBER($S384),$S384="DNA"),$S384,IF(OR(ISNUMBER($R384),$R384="DNA"),$R384,IF(OR(ISNUMBER($Q384),$Q384="DNA"),$Q384,IF(OR(ISNUMBER($N384),$N384="DNA"),$N384,IF(OR(ISNUMBER($M384),$M384="DNA"),$M384,IF(OR(ISNUMBER($L384),$L384="DNA"),$L384,"")))))))))&lt;TODAY())),1,0)+ISNUMBER($O384)*($O384&lt;TODAY())+ISNUMBER($P384)*($P384&lt;TODAY())+ISNUMBER($X384)*($X384&lt;TODAY())+ISNUMBER($Y384)*($Y384&lt;TODAY()))</f>
        <v/>
      </c>
    </row>
    <row r="385">
      <c r="A385" s="25" t="n"/>
      <c r="B385" s="26" t="n"/>
      <c r="C385" s="27" t="n"/>
      <c r="D385" s="25" t="n"/>
      <c r="E385" s="25" t="n"/>
      <c r="F385" s="27" t="n"/>
      <c r="G385" s="25" t="n"/>
      <c r="H385" s="28">
        <f>IF(OR(NOT(AND($A385&lt;&gt;"",OR($G385="",$G385="Active"))),$F385=""),"",INT((TODAY()-$F385+280)/7)&amp;"+"&amp;MOD(TODAY()-$F385+280,7))</f>
        <v/>
      </c>
      <c r="I385" s="28">
        <f>IF(NOT(AND($A385&lt;&gt;"",OR($G385="",$G385="Active"))),"",ISNUMBER($L385)*($L385&gt;=TODAY())*($L385&lt;=TODAY()+7)+ISNUMBER($M385)*($M385&gt;=TODAY())*($M385&lt;=TODAY()+7)+ISNUMBER($N385)*($N385&gt;=TODAY())*($N385&lt;=TODAY()+7)+ISNUMBER($Q385)*($Q385&gt;=TODAY())*($Q385&lt;=TODAY()+7)+ISNUMBER($R385)*($R385&gt;=TODAY())*($R385&lt;=TODAY()+7)+ISNUMBER($S385)*($S385&gt;=TODAY())*($S385&lt;=TODAY()+7)+ISNUMBER($T385)*($T385&gt;=TODAY())*($T385&lt;=TODAY()+7)+ISNUMBER($U385)*($U385&gt;=TODAY())*($U385&lt;=TODAY()+7)+ISNUMBER($V385)*($V385&gt;=TODAY())*($V385&lt;=TODAY()+7)+ISNUMBER($O385)*($O385&gt;=TODAY())*($O385&lt;=TODAY()+7)+ISNUMBER($P385)*($P385&gt;=TODAY())*($P385&lt;=TODAY()+7)+ISNUMBER($X385)*($X385&gt;=TODAY())*($X385&lt;=TODAY()+7)+ISNUMBER($Y385)*($Y385&gt;=TODAY())*($Y385&lt;=TODAY()+7))</f>
        <v/>
      </c>
      <c r="J385" s="28">
        <f>IF(NOT(AND($A385&lt;&gt;"",OR($G385="",$G385="Active"))),"",IF($K385&lt;&gt;"",IF($L385=$K385,"Booking",IF($M385=$K385,"16/40",IF($N385=$K385,"25/40",IF($Q385=$K385,"28/40",IF($R385=$K385,"31/40",IF($S385=$K385,"34/40",IF($T385=$K385,"36/40",IF($U385=$K385,"38/40",IF($V385=$K385,"40/40",""))))))))),IF(IF(OR(ISNUMBER($V385),$V385="DNA"),$V385,IF(OR(ISNUMBER($U385),$U385="DNA"),$U385,IF(OR(ISNUMBER($T385),$T385="DNA"),$T385,IF(OR(ISNUMBER($S385),$S385="DNA"),$S385,IF(OR(ISNUMBER($R385),$R385="DNA"),$R385,IF(OR(ISNUMBER($Q385),$Q385="DNA"),$Q385,IF(OR(ISNUMBER($N385),$N385="DNA"),$N385,IF(OR(ISNUMBER($M385),$M385="DNA"),$M385,IF(OR(ISNUMBER($L385),$L385="DNA"),$L385,"")))))))))="DNA","Rebook DNA",IF(ISNUMBER(IF(OR(ISNUMBER($V385),$V385="DNA"),$V385,IF(OR(ISNUMBER($U385),$U385="DNA"),$U385,IF(OR(ISNUMBER($T385),$T385="DNA"),$T385,IF(OR(ISNUMBER($S385),$S385="DNA"),$S385,IF(OR(ISNUMBER($R385),$R385="DNA"),$R385,IF(OR(ISNUMBER($Q385),$Q385="DNA"),$Q385,IF(OR(ISNUMBER($N385),$N385="DNA"),$N385,IF(OR(ISNUMBER($M385),$M385="DNA"),$M385,IF(OR(ISNUMBER($L385),$L385="DNA"),$L385,"")))))))))),IF(ISNUMBER($V385),"Update status","Missed/not booked?"),""))))</f>
        <v/>
      </c>
      <c r="K385" s="29">
        <f>IF(NOT(AND($A385&lt;&gt;"",OR($G385="",$G385="Active"))),"",IF(MIN(IF(AND(ISNUMBER($L385),$L385&gt;=TODAY()),$L385,99999),IF(AND(ISNUMBER($M385),$M385&gt;=TODAY()),$M385,99999),IF(AND(ISNUMBER($N385),$N385&gt;=TODAY()),$N385,99999),IF(AND(ISNUMBER($Q385),$Q385&gt;=TODAY()),$Q385,99999),IF(AND(ISNUMBER($R385),$R385&gt;=TODAY()),$R385,99999),IF(AND(ISNUMBER($S385),$S385&gt;=TODAY()),$S385,99999),IF(AND(ISNUMBER($T385),$T385&gt;=TODAY()),$T385,99999),IF(AND(ISNUMBER($U385),$U385&gt;=TODAY()),$U385,99999),IF(AND(ISNUMBER($V385),$V385&gt;=TODAY()),$V385,99999))=99999,"",MIN(IF(AND(ISNUMBER($L385),$L385&gt;=TODAY()),$L385,99999),IF(AND(ISNUMBER($M385),$M385&gt;=TODAY()),$M385,99999),IF(AND(ISNUMBER($N385),$N385&gt;=TODAY()),$N385,99999),IF(AND(ISNUMBER($Q385),$Q385&gt;=TODAY()),$Q385,99999),IF(AND(ISNUMBER($R385),$R385&gt;=TODAY()),$R385,99999),IF(AND(ISNUMBER($S385),$S385&gt;=TODAY()),$S385,99999),IF(AND(ISNUMBER($T385),$T385&gt;=TODAY()),$T385,99999),IF(AND(ISNUMBER($U385),$U385&gt;=TODAY()),$U385,99999),IF(AND(ISNUMBER($V385),$V385&gt;=TODAY()),$V385,99999))))</f>
        <v/>
      </c>
      <c r="L385" s="27" t="n"/>
      <c r="M385" s="27" t="n"/>
      <c r="N385" s="27" t="n"/>
      <c r="O385" s="27" t="n"/>
      <c r="P385" s="27" t="n"/>
      <c r="Q385" s="27" t="n"/>
      <c r="R385" s="27" t="n"/>
      <c r="S385" s="27" t="n"/>
      <c r="T385" s="27" t="n"/>
      <c r="U385" s="27" t="n"/>
      <c r="V385" s="27" t="n"/>
      <c r="W385" s="27" t="n"/>
      <c r="X385" s="27" t="n"/>
      <c r="Y385" s="27" t="n"/>
      <c r="Z385" s="30" t="n"/>
      <c r="AA385" s="25" t="n"/>
      <c r="AB385" s="28">
        <f>IF(NOT(AND($A385&lt;&gt;"",OR($G385="",$G385="Active"))),"",IF(OR(IF(OR(ISNUMBER($V385),$V385="DNA"),$V385,IF(OR(ISNUMBER($U385),$U385="DNA"),$U385,IF(OR(ISNUMBER($T385),$T385="DNA"),$T385,IF(OR(ISNUMBER($S385),$S385="DNA"),$S385,IF(OR(ISNUMBER($R385),$R385="DNA"),$R385,IF(OR(ISNUMBER($Q385),$Q385="DNA"),$Q385,IF(OR(ISNUMBER($N385),$N385="DNA"),$N385,IF(OR(ISNUMBER($M385),$M385="DNA"),$M385,IF(OR(ISNUMBER($L385),$L385="DNA"),$L385,"")))))))))="DNA",AND(ISNUMBER(IF(OR(ISNUMBER($V385),$V385="DNA"),$V385,IF(OR(ISNUMBER($U385),$U385="DNA"),$U385,IF(OR(ISNUMBER($T385),$T385="DNA"),$T385,IF(OR(ISNUMBER($S385),$S385="DNA"),$S385,IF(OR(ISNUMBER($R385),$R385="DNA"),$R385,IF(OR(ISNUMBER($Q385),$Q385="DNA"),$Q385,IF(OR(ISNUMBER($N385),$N385="DNA"),$N385,IF(OR(ISNUMBER($M385),$M385="DNA"),$M385,IF(OR(ISNUMBER($L385),$L385="DNA"),$L385,"")))))))))),IF(OR(ISNUMBER($V385),$V385="DNA"),$V385,IF(OR(ISNUMBER($U385),$U385="DNA"),$U385,IF(OR(ISNUMBER($T385),$T385="DNA"),$T385,IF(OR(ISNUMBER($S385),$S385="DNA"),$S385,IF(OR(ISNUMBER($R385),$R385="DNA"),$R385,IF(OR(ISNUMBER($Q385),$Q385="DNA"),$Q385,IF(OR(ISNUMBER($N385),$N385="DNA"),$N385,IF(OR(ISNUMBER($M385),$M385="DNA"),$M385,IF(OR(ISNUMBER($L385),$L385="DNA"),$L385,"")))))))))&lt;TODAY())),1,0)+ISNUMBER($O385)*($O385&lt;TODAY())+ISNUMBER($P385)*($P385&lt;TODAY())+ISNUMBER($X385)*($X385&lt;TODAY())+ISNUMBER($Y385)*($Y385&lt;TODAY()))</f>
        <v/>
      </c>
    </row>
    <row r="386">
      <c r="A386" s="25" t="n"/>
      <c r="B386" s="26" t="n"/>
      <c r="C386" s="27" t="n"/>
      <c r="D386" s="25" t="n"/>
      <c r="E386" s="25" t="n"/>
      <c r="F386" s="27" t="n"/>
      <c r="G386" s="25" t="n"/>
      <c r="H386" s="28">
        <f>IF(OR(NOT(AND($A386&lt;&gt;"",OR($G386="",$G386="Active"))),$F386=""),"",INT((TODAY()-$F386+280)/7)&amp;"+"&amp;MOD(TODAY()-$F386+280,7))</f>
        <v/>
      </c>
      <c r="I386" s="28">
        <f>IF(NOT(AND($A386&lt;&gt;"",OR($G386="",$G386="Active"))),"",ISNUMBER($L386)*($L386&gt;=TODAY())*($L386&lt;=TODAY()+7)+ISNUMBER($M386)*($M386&gt;=TODAY())*($M386&lt;=TODAY()+7)+ISNUMBER($N386)*($N386&gt;=TODAY())*($N386&lt;=TODAY()+7)+ISNUMBER($Q386)*($Q386&gt;=TODAY())*($Q386&lt;=TODAY()+7)+ISNUMBER($R386)*($R386&gt;=TODAY())*($R386&lt;=TODAY()+7)+ISNUMBER($S386)*($S386&gt;=TODAY())*($S386&lt;=TODAY()+7)+ISNUMBER($T386)*($T386&gt;=TODAY())*($T386&lt;=TODAY()+7)+ISNUMBER($U386)*($U386&gt;=TODAY())*($U386&lt;=TODAY()+7)+ISNUMBER($V386)*($V386&gt;=TODAY())*($V386&lt;=TODAY()+7)+ISNUMBER($O386)*($O386&gt;=TODAY())*($O386&lt;=TODAY()+7)+ISNUMBER($P386)*($P386&gt;=TODAY())*($P386&lt;=TODAY()+7)+ISNUMBER($X386)*($X386&gt;=TODAY())*($X386&lt;=TODAY()+7)+ISNUMBER($Y386)*($Y386&gt;=TODAY())*($Y386&lt;=TODAY()+7))</f>
        <v/>
      </c>
      <c r="J386" s="28">
        <f>IF(NOT(AND($A386&lt;&gt;"",OR($G386="",$G386="Active"))),"",IF($K386&lt;&gt;"",IF($L386=$K386,"Booking",IF($M386=$K386,"16/40",IF($N386=$K386,"25/40",IF($Q386=$K386,"28/40",IF($R386=$K386,"31/40",IF($S386=$K386,"34/40",IF($T386=$K386,"36/40",IF($U386=$K386,"38/40",IF($V386=$K386,"40/40",""))))))))),IF(IF(OR(ISNUMBER($V386),$V386="DNA"),$V386,IF(OR(ISNUMBER($U386),$U386="DNA"),$U386,IF(OR(ISNUMBER($T386),$T386="DNA"),$T386,IF(OR(ISNUMBER($S386),$S386="DNA"),$S386,IF(OR(ISNUMBER($R386),$R386="DNA"),$R386,IF(OR(ISNUMBER($Q386),$Q386="DNA"),$Q386,IF(OR(ISNUMBER($N386),$N386="DNA"),$N386,IF(OR(ISNUMBER($M386),$M386="DNA"),$M386,IF(OR(ISNUMBER($L386),$L386="DNA"),$L386,"")))))))))="DNA","Rebook DNA",IF(ISNUMBER(IF(OR(ISNUMBER($V386),$V386="DNA"),$V386,IF(OR(ISNUMBER($U386),$U386="DNA"),$U386,IF(OR(ISNUMBER($T386),$T386="DNA"),$T386,IF(OR(ISNUMBER($S386),$S386="DNA"),$S386,IF(OR(ISNUMBER($R386),$R386="DNA"),$R386,IF(OR(ISNUMBER($Q386),$Q386="DNA"),$Q386,IF(OR(ISNUMBER($N386),$N386="DNA"),$N386,IF(OR(ISNUMBER($M386),$M386="DNA"),$M386,IF(OR(ISNUMBER($L386),$L386="DNA"),$L386,"")))))))))),IF(ISNUMBER($V386),"Update status","Missed/not booked?"),""))))</f>
        <v/>
      </c>
      <c r="K386" s="29">
        <f>IF(NOT(AND($A386&lt;&gt;"",OR($G386="",$G386="Active"))),"",IF(MIN(IF(AND(ISNUMBER($L386),$L386&gt;=TODAY()),$L386,99999),IF(AND(ISNUMBER($M386),$M386&gt;=TODAY()),$M386,99999),IF(AND(ISNUMBER($N386),$N386&gt;=TODAY()),$N386,99999),IF(AND(ISNUMBER($Q386),$Q386&gt;=TODAY()),$Q386,99999),IF(AND(ISNUMBER($R386),$R386&gt;=TODAY()),$R386,99999),IF(AND(ISNUMBER($S386),$S386&gt;=TODAY()),$S386,99999),IF(AND(ISNUMBER($T386),$T386&gt;=TODAY()),$T386,99999),IF(AND(ISNUMBER($U386),$U386&gt;=TODAY()),$U386,99999),IF(AND(ISNUMBER($V386),$V386&gt;=TODAY()),$V386,99999))=99999,"",MIN(IF(AND(ISNUMBER($L386),$L386&gt;=TODAY()),$L386,99999),IF(AND(ISNUMBER($M386),$M386&gt;=TODAY()),$M386,99999),IF(AND(ISNUMBER($N386),$N386&gt;=TODAY()),$N386,99999),IF(AND(ISNUMBER($Q386),$Q386&gt;=TODAY()),$Q386,99999),IF(AND(ISNUMBER($R386),$R386&gt;=TODAY()),$R386,99999),IF(AND(ISNUMBER($S386),$S386&gt;=TODAY()),$S386,99999),IF(AND(ISNUMBER($T386),$T386&gt;=TODAY()),$T386,99999),IF(AND(ISNUMBER($U386),$U386&gt;=TODAY()),$U386,99999),IF(AND(ISNUMBER($V386),$V386&gt;=TODAY()),$V386,99999))))</f>
        <v/>
      </c>
      <c r="L386" s="27" t="n"/>
      <c r="M386" s="27" t="n"/>
      <c r="N386" s="27" t="n"/>
      <c r="O386" s="27" t="n"/>
      <c r="P386" s="27" t="n"/>
      <c r="Q386" s="27" t="n"/>
      <c r="R386" s="27" t="n"/>
      <c r="S386" s="27" t="n"/>
      <c r="T386" s="27" t="n"/>
      <c r="U386" s="27" t="n"/>
      <c r="V386" s="27" t="n"/>
      <c r="W386" s="27" t="n"/>
      <c r="X386" s="27" t="n"/>
      <c r="Y386" s="27" t="n"/>
      <c r="Z386" s="30" t="n"/>
      <c r="AA386" s="25" t="n"/>
      <c r="AB386" s="28">
        <f>IF(NOT(AND($A386&lt;&gt;"",OR($G386="",$G386="Active"))),"",IF(OR(IF(OR(ISNUMBER($V386),$V386="DNA"),$V386,IF(OR(ISNUMBER($U386),$U386="DNA"),$U386,IF(OR(ISNUMBER($T386),$T386="DNA"),$T386,IF(OR(ISNUMBER($S386),$S386="DNA"),$S386,IF(OR(ISNUMBER($R386),$R386="DNA"),$R386,IF(OR(ISNUMBER($Q386),$Q386="DNA"),$Q386,IF(OR(ISNUMBER($N386),$N386="DNA"),$N386,IF(OR(ISNUMBER($M386),$M386="DNA"),$M386,IF(OR(ISNUMBER($L386),$L386="DNA"),$L386,"")))))))))="DNA",AND(ISNUMBER(IF(OR(ISNUMBER($V386),$V386="DNA"),$V386,IF(OR(ISNUMBER($U386),$U386="DNA"),$U386,IF(OR(ISNUMBER($T386),$T386="DNA"),$T386,IF(OR(ISNUMBER($S386),$S386="DNA"),$S386,IF(OR(ISNUMBER($R386),$R386="DNA"),$R386,IF(OR(ISNUMBER($Q386),$Q386="DNA"),$Q386,IF(OR(ISNUMBER($N386),$N386="DNA"),$N386,IF(OR(ISNUMBER($M386),$M386="DNA"),$M386,IF(OR(ISNUMBER($L386),$L386="DNA"),$L386,"")))))))))),IF(OR(ISNUMBER($V386),$V386="DNA"),$V386,IF(OR(ISNUMBER($U386),$U386="DNA"),$U386,IF(OR(ISNUMBER($T386),$T386="DNA"),$T386,IF(OR(ISNUMBER($S386),$S386="DNA"),$S386,IF(OR(ISNUMBER($R386),$R386="DNA"),$R386,IF(OR(ISNUMBER($Q386),$Q386="DNA"),$Q386,IF(OR(ISNUMBER($N386),$N386="DNA"),$N386,IF(OR(ISNUMBER($M386),$M386="DNA"),$M386,IF(OR(ISNUMBER($L386),$L386="DNA"),$L386,"")))))))))&lt;TODAY())),1,0)+ISNUMBER($O386)*($O386&lt;TODAY())+ISNUMBER($P386)*($P386&lt;TODAY())+ISNUMBER($X386)*($X386&lt;TODAY())+ISNUMBER($Y386)*($Y386&lt;TODAY()))</f>
        <v/>
      </c>
    </row>
    <row r="387">
      <c r="A387" s="25" t="n"/>
      <c r="B387" s="26" t="n"/>
      <c r="C387" s="27" t="n"/>
      <c r="D387" s="25" t="n"/>
      <c r="E387" s="25" t="n"/>
      <c r="F387" s="27" t="n"/>
      <c r="G387" s="25" t="n"/>
      <c r="H387" s="28">
        <f>IF(OR(NOT(AND($A387&lt;&gt;"",OR($G387="",$G387="Active"))),$F387=""),"",INT((TODAY()-$F387+280)/7)&amp;"+"&amp;MOD(TODAY()-$F387+280,7))</f>
        <v/>
      </c>
      <c r="I387" s="28">
        <f>IF(NOT(AND($A387&lt;&gt;"",OR($G387="",$G387="Active"))),"",ISNUMBER($L387)*($L387&gt;=TODAY())*($L387&lt;=TODAY()+7)+ISNUMBER($M387)*($M387&gt;=TODAY())*($M387&lt;=TODAY()+7)+ISNUMBER($N387)*($N387&gt;=TODAY())*($N387&lt;=TODAY()+7)+ISNUMBER($Q387)*($Q387&gt;=TODAY())*($Q387&lt;=TODAY()+7)+ISNUMBER($R387)*($R387&gt;=TODAY())*($R387&lt;=TODAY()+7)+ISNUMBER($S387)*($S387&gt;=TODAY())*($S387&lt;=TODAY()+7)+ISNUMBER($T387)*($T387&gt;=TODAY())*($T387&lt;=TODAY()+7)+ISNUMBER($U387)*($U387&gt;=TODAY())*($U387&lt;=TODAY()+7)+ISNUMBER($V387)*($V387&gt;=TODAY())*($V387&lt;=TODAY()+7)+ISNUMBER($O387)*($O387&gt;=TODAY())*($O387&lt;=TODAY()+7)+ISNUMBER($P387)*($P387&gt;=TODAY())*($P387&lt;=TODAY()+7)+ISNUMBER($X387)*($X387&gt;=TODAY())*($X387&lt;=TODAY()+7)+ISNUMBER($Y387)*($Y387&gt;=TODAY())*($Y387&lt;=TODAY()+7))</f>
        <v/>
      </c>
      <c r="J387" s="28">
        <f>IF(NOT(AND($A387&lt;&gt;"",OR($G387="",$G387="Active"))),"",IF($K387&lt;&gt;"",IF($L387=$K387,"Booking",IF($M387=$K387,"16/40",IF($N387=$K387,"25/40",IF($Q387=$K387,"28/40",IF($R387=$K387,"31/40",IF($S387=$K387,"34/40",IF($T387=$K387,"36/40",IF($U387=$K387,"38/40",IF($V387=$K387,"40/40",""))))))))),IF(IF(OR(ISNUMBER($V387),$V387="DNA"),$V387,IF(OR(ISNUMBER($U387),$U387="DNA"),$U387,IF(OR(ISNUMBER($T387),$T387="DNA"),$T387,IF(OR(ISNUMBER($S387),$S387="DNA"),$S387,IF(OR(ISNUMBER($R387),$R387="DNA"),$R387,IF(OR(ISNUMBER($Q387),$Q387="DNA"),$Q387,IF(OR(ISNUMBER($N387),$N387="DNA"),$N387,IF(OR(ISNUMBER($M387),$M387="DNA"),$M387,IF(OR(ISNUMBER($L387),$L387="DNA"),$L387,"")))))))))="DNA","Rebook DNA",IF(ISNUMBER(IF(OR(ISNUMBER($V387),$V387="DNA"),$V387,IF(OR(ISNUMBER($U387),$U387="DNA"),$U387,IF(OR(ISNUMBER($T387),$T387="DNA"),$T387,IF(OR(ISNUMBER($S387),$S387="DNA"),$S387,IF(OR(ISNUMBER($R387),$R387="DNA"),$R387,IF(OR(ISNUMBER($Q387),$Q387="DNA"),$Q387,IF(OR(ISNUMBER($N387),$N387="DNA"),$N387,IF(OR(ISNUMBER($M387),$M387="DNA"),$M387,IF(OR(ISNUMBER($L387),$L387="DNA"),$L387,"")))))))))),IF(ISNUMBER($V387),"Update status","Missed/not booked?"),""))))</f>
        <v/>
      </c>
      <c r="K387" s="29">
        <f>IF(NOT(AND($A387&lt;&gt;"",OR($G387="",$G387="Active"))),"",IF(MIN(IF(AND(ISNUMBER($L387),$L387&gt;=TODAY()),$L387,99999),IF(AND(ISNUMBER($M387),$M387&gt;=TODAY()),$M387,99999),IF(AND(ISNUMBER($N387),$N387&gt;=TODAY()),$N387,99999),IF(AND(ISNUMBER($Q387),$Q387&gt;=TODAY()),$Q387,99999),IF(AND(ISNUMBER($R387),$R387&gt;=TODAY()),$R387,99999),IF(AND(ISNUMBER($S387),$S387&gt;=TODAY()),$S387,99999),IF(AND(ISNUMBER($T387),$T387&gt;=TODAY()),$T387,99999),IF(AND(ISNUMBER($U387),$U387&gt;=TODAY()),$U387,99999),IF(AND(ISNUMBER($V387),$V387&gt;=TODAY()),$V387,99999))=99999,"",MIN(IF(AND(ISNUMBER($L387),$L387&gt;=TODAY()),$L387,99999),IF(AND(ISNUMBER($M387),$M387&gt;=TODAY()),$M387,99999),IF(AND(ISNUMBER($N387),$N387&gt;=TODAY()),$N387,99999),IF(AND(ISNUMBER($Q387),$Q387&gt;=TODAY()),$Q387,99999),IF(AND(ISNUMBER($R387),$R387&gt;=TODAY()),$R387,99999),IF(AND(ISNUMBER($S387),$S387&gt;=TODAY()),$S387,99999),IF(AND(ISNUMBER($T387),$T387&gt;=TODAY()),$T387,99999),IF(AND(ISNUMBER($U387),$U387&gt;=TODAY()),$U387,99999),IF(AND(ISNUMBER($V387),$V387&gt;=TODAY()),$V387,99999))))</f>
        <v/>
      </c>
      <c r="L387" s="27" t="n"/>
      <c r="M387" s="27" t="n"/>
      <c r="N387" s="27" t="n"/>
      <c r="O387" s="27" t="n"/>
      <c r="P387" s="27" t="n"/>
      <c r="Q387" s="27" t="n"/>
      <c r="R387" s="27" t="n"/>
      <c r="S387" s="27" t="n"/>
      <c r="T387" s="27" t="n"/>
      <c r="U387" s="27" t="n"/>
      <c r="V387" s="27" t="n"/>
      <c r="W387" s="27" t="n"/>
      <c r="X387" s="27" t="n"/>
      <c r="Y387" s="27" t="n"/>
      <c r="Z387" s="30" t="n"/>
      <c r="AA387" s="25" t="n"/>
      <c r="AB387" s="28">
        <f>IF(NOT(AND($A387&lt;&gt;"",OR($G387="",$G387="Active"))),"",IF(OR(IF(OR(ISNUMBER($V387),$V387="DNA"),$V387,IF(OR(ISNUMBER($U387),$U387="DNA"),$U387,IF(OR(ISNUMBER($T387),$T387="DNA"),$T387,IF(OR(ISNUMBER($S387),$S387="DNA"),$S387,IF(OR(ISNUMBER($R387),$R387="DNA"),$R387,IF(OR(ISNUMBER($Q387),$Q387="DNA"),$Q387,IF(OR(ISNUMBER($N387),$N387="DNA"),$N387,IF(OR(ISNUMBER($M387),$M387="DNA"),$M387,IF(OR(ISNUMBER($L387),$L387="DNA"),$L387,"")))))))))="DNA",AND(ISNUMBER(IF(OR(ISNUMBER($V387),$V387="DNA"),$V387,IF(OR(ISNUMBER($U387),$U387="DNA"),$U387,IF(OR(ISNUMBER($T387),$T387="DNA"),$T387,IF(OR(ISNUMBER($S387),$S387="DNA"),$S387,IF(OR(ISNUMBER($R387),$R387="DNA"),$R387,IF(OR(ISNUMBER($Q387),$Q387="DNA"),$Q387,IF(OR(ISNUMBER($N387),$N387="DNA"),$N387,IF(OR(ISNUMBER($M387),$M387="DNA"),$M387,IF(OR(ISNUMBER($L387),$L387="DNA"),$L387,"")))))))))),IF(OR(ISNUMBER($V387),$V387="DNA"),$V387,IF(OR(ISNUMBER($U387),$U387="DNA"),$U387,IF(OR(ISNUMBER($T387),$T387="DNA"),$T387,IF(OR(ISNUMBER($S387),$S387="DNA"),$S387,IF(OR(ISNUMBER($R387),$R387="DNA"),$R387,IF(OR(ISNUMBER($Q387),$Q387="DNA"),$Q387,IF(OR(ISNUMBER($N387),$N387="DNA"),$N387,IF(OR(ISNUMBER($M387),$M387="DNA"),$M387,IF(OR(ISNUMBER($L387),$L387="DNA"),$L387,"")))))))))&lt;TODAY())),1,0)+ISNUMBER($O387)*($O387&lt;TODAY())+ISNUMBER($P387)*($P387&lt;TODAY())+ISNUMBER($X387)*($X387&lt;TODAY())+ISNUMBER($Y387)*($Y387&lt;TODAY()))</f>
        <v/>
      </c>
    </row>
    <row r="388">
      <c r="A388" s="25" t="n"/>
      <c r="B388" s="26" t="n"/>
      <c r="C388" s="27" t="n"/>
      <c r="D388" s="25" t="n"/>
      <c r="E388" s="25" t="n"/>
      <c r="F388" s="27" t="n"/>
      <c r="G388" s="25" t="n"/>
      <c r="H388" s="28">
        <f>IF(OR(NOT(AND($A388&lt;&gt;"",OR($G388="",$G388="Active"))),$F388=""),"",INT((TODAY()-$F388+280)/7)&amp;"+"&amp;MOD(TODAY()-$F388+280,7))</f>
        <v/>
      </c>
      <c r="I388" s="28">
        <f>IF(NOT(AND($A388&lt;&gt;"",OR($G388="",$G388="Active"))),"",ISNUMBER($L388)*($L388&gt;=TODAY())*($L388&lt;=TODAY()+7)+ISNUMBER($M388)*($M388&gt;=TODAY())*($M388&lt;=TODAY()+7)+ISNUMBER($N388)*($N388&gt;=TODAY())*($N388&lt;=TODAY()+7)+ISNUMBER($Q388)*($Q388&gt;=TODAY())*($Q388&lt;=TODAY()+7)+ISNUMBER($R388)*($R388&gt;=TODAY())*($R388&lt;=TODAY()+7)+ISNUMBER($S388)*($S388&gt;=TODAY())*($S388&lt;=TODAY()+7)+ISNUMBER($T388)*($T388&gt;=TODAY())*($T388&lt;=TODAY()+7)+ISNUMBER($U388)*($U388&gt;=TODAY())*($U388&lt;=TODAY()+7)+ISNUMBER($V388)*($V388&gt;=TODAY())*($V388&lt;=TODAY()+7)+ISNUMBER($O388)*($O388&gt;=TODAY())*($O388&lt;=TODAY()+7)+ISNUMBER($P388)*($P388&gt;=TODAY())*($P388&lt;=TODAY()+7)+ISNUMBER($X388)*($X388&gt;=TODAY())*($X388&lt;=TODAY()+7)+ISNUMBER($Y388)*($Y388&gt;=TODAY())*($Y388&lt;=TODAY()+7))</f>
        <v/>
      </c>
      <c r="J388" s="28">
        <f>IF(NOT(AND($A388&lt;&gt;"",OR($G388="",$G388="Active"))),"",IF($K388&lt;&gt;"",IF($L388=$K388,"Booking",IF($M388=$K388,"16/40",IF($N388=$K388,"25/40",IF($Q388=$K388,"28/40",IF($R388=$K388,"31/40",IF($S388=$K388,"34/40",IF($T388=$K388,"36/40",IF($U388=$K388,"38/40",IF($V388=$K388,"40/40",""))))))))),IF(IF(OR(ISNUMBER($V388),$V388="DNA"),$V388,IF(OR(ISNUMBER($U388),$U388="DNA"),$U388,IF(OR(ISNUMBER($T388),$T388="DNA"),$T388,IF(OR(ISNUMBER($S388),$S388="DNA"),$S388,IF(OR(ISNUMBER($R388),$R388="DNA"),$R388,IF(OR(ISNUMBER($Q388),$Q388="DNA"),$Q388,IF(OR(ISNUMBER($N388),$N388="DNA"),$N388,IF(OR(ISNUMBER($M388),$M388="DNA"),$M388,IF(OR(ISNUMBER($L388),$L388="DNA"),$L388,"")))))))))="DNA","Rebook DNA",IF(ISNUMBER(IF(OR(ISNUMBER($V388),$V388="DNA"),$V388,IF(OR(ISNUMBER($U388),$U388="DNA"),$U388,IF(OR(ISNUMBER($T388),$T388="DNA"),$T388,IF(OR(ISNUMBER($S388),$S388="DNA"),$S388,IF(OR(ISNUMBER($R388),$R388="DNA"),$R388,IF(OR(ISNUMBER($Q388),$Q388="DNA"),$Q388,IF(OR(ISNUMBER($N388),$N388="DNA"),$N388,IF(OR(ISNUMBER($M388),$M388="DNA"),$M388,IF(OR(ISNUMBER($L388),$L388="DNA"),$L388,"")))))))))),IF(ISNUMBER($V388),"Update status","Missed/not booked?"),""))))</f>
        <v/>
      </c>
      <c r="K388" s="29">
        <f>IF(NOT(AND($A388&lt;&gt;"",OR($G388="",$G388="Active"))),"",IF(MIN(IF(AND(ISNUMBER($L388),$L388&gt;=TODAY()),$L388,99999),IF(AND(ISNUMBER($M388),$M388&gt;=TODAY()),$M388,99999),IF(AND(ISNUMBER($N388),$N388&gt;=TODAY()),$N388,99999),IF(AND(ISNUMBER($Q388),$Q388&gt;=TODAY()),$Q388,99999),IF(AND(ISNUMBER($R388),$R388&gt;=TODAY()),$R388,99999),IF(AND(ISNUMBER($S388),$S388&gt;=TODAY()),$S388,99999),IF(AND(ISNUMBER($T388),$T388&gt;=TODAY()),$T388,99999),IF(AND(ISNUMBER($U388),$U388&gt;=TODAY()),$U388,99999),IF(AND(ISNUMBER($V388),$V388&gt;=TODAY()),$V388,99999))=99999,"",MIN(IF(AND(ISNUMBER($L388),$L388&gt;=TODAY()),$L388,99999),IF(AND(ISNUMBER($M388),$M388&gt;=TODAY()),$M388,99999),IF(AND(ISNUMBER($N388),$N388&gt;=TODAY()),$N388,99999),IF(AND(ISNUMBER($Q388),$Q388&gt;=TODAY()),$Q388,99999),IF(AND(ISNUMBER($R388),$R388&gt;=TODAY()),$R388,99999),IF(AND(ISNUMBER($S388),$S388&gt;=TODAY()),$S388,99999),IF(AND(ISNUMBER($T388),$T388&gt;=TODAY()),$T388,99999),IF(AND(ISNUMBER($U388),$U388&gt;=TODAY()),$U388,99999),IF(AND(ISNUMBER($V388),$V388&gt;=TODAY()),$V388,99999))))</f>
        <v/>
      </c>
      <c r="L388" s="27" t="n"/>
      <c r="M388" s="27" t="n"/>
      <c r="N388" s="27" t="n"/>
      <c r="O388" s="27" t="n"/>
      <c r="P388" s="27" t="n"/>
      <c r="Q388" s="27" t="n"/>
      <c r="R388" s="27" t="n"/>
      <c r="S388" s="27" t="n"/>
      <c r="T388" s="27" t="n"/>
      <c r="U388" s="27" t="n"/>
      <c r="V388" s="27" t="n"/>
      <c r="W388" s="27" t="n"/>
      <c r="X388" s="27" t="n"/>
      <c r="Y388" s="27" t="n"/>
      <c r="Z388" s="30" t="n"/>
      <c r="AA388" s="25" t="n"/>
      <c r="AB388" s="28">
        <f>IF(NOT(AND($A388&lt;&gt;"",OR($G388="",$G388="Active"))),"",IF(OR(IF(OR(ISNUMBER($V388),$V388="DNA"),$V388,IF(OR(ISNUMBER($U388),$U388="DNA"),$U388,IF(OR(ISNUMBER($T388),$T388="DNA"),$T388,IF(OR(ISNUMBER($S388),$S388="DNA"),$S388,IF(OR(ISNUMBER($R388),$R388="DNA"),$R388,IF(OR(ISNUMBER($Q388),$Q388="DNA"),$Q388,IF(OR(ISNUMBER($N388),$N388="DNA"),$N388,IF(OR(ISNUMBER($M388),$M388="DNA"),$M388,IF(OR(ISNUMBER($L388),$L388="DNA"),$L388,"")))))))))="DNA",AND(ISNUMBER(IF(OR(ISNUMBER($V388),$V388="DNA"),$V388,IF(OR(ISNUMBER($U388),$U388="DNA"),$U388,IF(OR(ISNUMBER($T388),$T388="DNA"),$T388,IF(OR(ISNUMBER($S388),$S388="DNA"),$S388,IF(OR(ISNUMBER($R388),$R388="DNA"),$R388,IF(OR(ISNUMBER($Q388),$Q388="DNA"),$Q388,IF(OR(ISNUMBER($N388),$N388="DNA"),$N388,IF(OR(ISNUMBER($M388),$M388="DNA"),$M388,IF(OR(ISNUMBER($L388),$L388="DNA"),$L388,"")))))))))),IF(OR(ISNUMBER($V388),$V388="DNA"),$V388,IF(OR(ISNUMBER($U388),$U388="DNA"),$U388,IF(OR(ISNUMBER($T388),$T388="DNA"),$T388,IF(OR(ISNUMBER($S388),$S388="DNA"),$S388,IF(OR(ISNUMBER($R388),$R388="DNA"),$R388,IF(OR(ISNUMBER($Q388),$Q388="DNA"),$Q388,IF(OR(ISNUMBER($N388),$N388="DNA"),$N388,IF(OR(ISNUMBER($M388),$M388="DNA"),$M388,IF(OR(ISNUMBER($L388),$L388="DNA"),$L388,"")))))))))&lt;TODAY())),1,0)+ISNUMBER($O388)*($O388&lt;TODAY())+ISNUMBER($P388)*($P388&lt;TODAY())+ISNUMBER($X388)*($X388&lt;TODAY())+ISNUMBER($Y388)*($Y388&lt;TODAY()))</f>
        <v/>
      </c>
    </row>
    <row r="389">
      <c r="A389" s="25" t="n"/>
      <c r="B389" s="26" t="n"/>
      <c r="C389" s="27" t="n"/>
      <c r="D389" s="25" t="n"/>
      <c r="E389" s="25" t="n"/>
      <c r="F389" s="27" t="n"/>
      <c r="G389" s="25" t="n"/>
      <c r="H389" s="28">
        <f>IF(OR(NOT(AND($A389&lt;&gt;"",OR($G389="",$G389="Active"))),$F389=""),"",INT((TODAY()-$F389+280)/7)&amp;"+"&amp;MOD(TODAY()-$F389+280,7))</f>
        <v/>
      </c>
      <c r="I389" s="28">
        <f>IF(NOT(AND($A389&lt;&gt;"",OR($G389="",$G389="Active"))),"",ISNUMBER($L389)*($L389&gt;=TODAY())*($L389&lt;=TODAY()+7)+ISNUMBER($M389)*($M389&gt;=TODAY())*($M389&lt;=TODAY()+7)+ISNUMBER($N389)*($N389&gt;=TODAY())*($N389&lt;=TODAY()+7)+ISNUMBER($Q389)*($Q389&gt;=TODAY())*($Q389&lt;=TODAY()+7)+ISNUMBER($R389)*($R389&gt;=TODAY())*($R389&lt;=TODAY()+7)+ISNUMBER($S389)*($S389&gt;=TODAY())*($S389&lt;=TODAY()+7)+ISNUMBER($T389)*($T389&gt;=TODAY())*($T389&lt;=TODAY()+7)+ISNUMBER($U389)*($U389&gt;=TODAY())*($U389&lt;=TODAY()+7)+ISNUMBER($V389)*($V389&gt;=TODAY())*($V389&lt;=TODAY()+7)+ISNUMBER($O389)*($O389&gt;=TODAY())*($O389&lt;=TODAY()+7)+ISNUMBER($P389)*($P389&gt;=TODAY())*($P389&lt;=TODAY()+7)+ISNUMBER($X389)*($X389&gt;=TODAY())*($X389&lt;=TODAY()+7)+ISNUMBER($Y389)*($Y389&gt;=TODAY())*($Y389&lt;=TODAY()+7))</f>
        <v/>
      </c>
      <c r="J389" s="28">
        <f>IF(NOT(AND($A389&lt;&gt;"",OR($G389="",$G389="Active"))),"",IF($K389&lt;&gt;"",IF($L389=$K389,"Booking",IF($M389=$K389,"16/40",IF($N389=$K389,"25/40",IF($Q389=$K389,"28/40",IF($R389=$K389,"31/40",IF($S389=$K389,"34/40",IF($T389=$K389,"36/40",IF($U389=$K389,"38/40",IF($V389=$K389,"40/40",""))))))))),IF(IF(OR(ISNUMBER($V389),$V389="DNA"),$V389,IF(OR(ISNUMBER($U389),$U389="DNA"),$U389,IF(OR(ISNUMBER($T389),$T389="DNA"),$T389,IF(OR(ISNUMBER($S389),$S389="DNA"),$S389,IF(OR(ISNUMBER($R389),$R389="DNA"),$R389,IF(OR(ISNUMBER($Q389),$Q389="DNA"),$Q389,IF(OR(ISNUMBER($N389),$N389="DNA"),$N389,IF(OR(ISNUMBER($M389),$M389="DNA"),$M389,IF(OR(ISNUMBER($L389),$L389="DNA"),$L389,"")))))))))="DNA","Rebook DNA",IF(ISNUMBER(IF(OR(ISNUMBER($V389),$V389="DNA"),$V389,IF(OR(ISNUMBER($U389),$U389="DNA"),$U389,IF(OR(ISNUMBER($T389),$T389="DNA"),$T389,IF(OR(ISNUMBER($S389),$S389="DNA"),$S389,IF(OR(ISNUMBER($R389),$R389="DNA"),$R389,IF(OR(ISNUMBER($Q389),$Q389="DNA"),$Q389,IF(OR(ISNUMBER($N389),$N389="DNA"),$N389,IF(OR(ISNUMBER($M389),$M389="DNA"),$M389,IF(OR(ISNUMBER($L389),$L389="DNA"),$L389,"")))))))))),IF(ISNUMBER($V389),"Update status","Missed/not booked?"),""))))</f>
        <v/>
      </c>
      <c r="K389" s="29">
        <f>IF(NOT(AND($A389&lt;&gt;"",OR($G389="",$G389="Active"))),"",IF(MIN(IF(AND(ISNUMBER($L389),$L389&gt;=TODAY()),$L389,99999),IF(AND(ISNUMBER($M389),$M389&gt;=TODAY()),$M389,99999),IF(AND(ISNUMBER($N389),$N389&gt;=TODAY()),$N389,99999),IF(AND(ISNUMBER($Q389),$Q389&gt;=TODAY()),$Q389,99999),IF(AND(ISNUMBER($R389),$R389&gt;=TODAY()),$R389,99999),IF(AND(ISNUMBER($S389),$S389&gt;=TODAY()),$S389,99999),IF(AND(ISNUMBER($T389),$T389&gt;=TODAY()),$T389,99999),IF(AND(ISNUMBER($U389),$U389&gt;=TODAY()),$U389,99999),IF(AND(ISNUMBER($V389),$V389&gt;=TODAY()),$V389,99999))=99999,"",MIN(IF(AND(ISNUMBER($L389),$L389&gt;=TODAY()),$L389,99999),IF(AND(ISNUMBER($M389),$M389&gt;=TODAY()),$M389,99999),IF(AND(ISNUMBER($N389),$N389&gt;=TODAY()),$N389,99999),IF(AND(ISNUMBER($Q389),$Q389&gt;=TODAY()),$Q389,99999),IF(AND(ISNUMBER($R389),$R389&gt;=TODAY()),$R389,99999),IF(AND(ISNUMBER($S389),$S389&gt;=TODAY()),$S389,99999),IF(AND(ISNUMBER($T389),$T389&gt;=TODAY()),$T389,99999),IF(AND(ISNUMBER($U389),$U389&gt;=TODAY()),$U389,99999),IF(AND(ISNUMBER($V389),$V389&gt;=TODAY()),$V389,99999))))</f>
        <v/>
      </c>
      <c r="L389" s="27" t="n"/>
      <c r="M389" s="27" t="n"/>
      <c r="N389" s="27" t="n"/>
      <c r="O389" s="27" t="n"/>
      <c r="P389" s="27" t="n"/>
      <c r="Q389" s="27" t="n"/>
      <c r="R389" s="27" t="n"/>
      <c r="S389" s="27" t="n"/>
      <c r="T389" s="27" t="n"/>
      <c r="U389" s="27" t="n"/>
      <c r="V389" s="27" t="n"/>
      <c r="W389" s="27" t="n"/>
      <c r="X389" s="27" t="n"/>
      <c r="Y389" s="27" t="n"/>
      <c r="Z389" s="30" t="n"/>
      <c r="AA389" s="25" t="n"/>
      <c r="AB389" s="28">
        <f>IF(NOT(AND($A389&lt;&gt;"",OR($G389="",$G389="Active"))),"",IF(OR(IF(OR(ISNUMBER($V389),$V389="DNA"),$V389,IF(OR(ISNUMBER($U389),$U389="DNA"),$U389,IF(OR(ISNUMBER($T389),$T389="DNA"),$T389,IF(OR(ISNUMBER($S389),$S389="DNA"),$S389,IF(OR(ISNUMBER($R389),$R389="DNA"),$R389,IF(OR(ISNUMBER($Q389),$Q389="DNA"),$Q389,IF(OR(ISNUMBER($N389),$N389="DNA"),$N389,IF(OR(ISNUMBER($M389),$M389="DNA"),$M389,IF(OR(ISNUMBER($L389),$L389="DNA"),$L389,"")))))))))="DNA",AND(ISNUMBER(IF(OR(ISNUMBER($V389),$V389="DNA"),$V389,IF(OR(ISNUMBER($U389),$U389="DNA"),$U389,IF(OR(ISNUMBER($T389),$T389="DNA"),$T389,IF(OR(ISNUMBER($S389),$S389="DNA"),$S389,IF(OR(ISNUMBER($R389),$R389="DNA"),$R389,IF(OR(ISNUMBER($Q389),$Q389="DNA"),$Q389,IF(OR(ISNUMBER($N389),$N389="DNA"),$N389,IF(OR(ISNUMBER($M389),$M389="DNA"),$M389,IF(OR(ISNUMBER($L389),$L389="DNA"),$L389,"")))))))))),IF(OR(ISNUMBER($V389),$V389="DNA"),$V389,IF(OR(ISNUMBER($U389),$U389="DNA"),$U389,IF(OR(ISNUMBER($T389),$T389="DNA"),$T389,IF(OR(ISNUMBER($S389),$S389="DNA"),$S389,IF(OR(ISNUMBER($R389),$R389="DNA"),$R389,IF(OR(ISNUMBER($Q389),$Q389="DNA"),$Q389,IF(OR(ISNUMBER($N389),$N389="DNA"),$N389,IF(OR(ISNUMBER($M389),$M389="DNA"),$M389,IF(OR(ISNUMBER($L389),$L389="DNA"),$L389,"")))))))))&lt;TODAY())),1,0)+ISNUMBER($O389)*($O389&lt;TODAY())+ISNUMBER($P389)*($P389&lt;TODAY())+ISNUMBER($X389)*($X389&lt;TODAY())+ISNUMBER($Y389)*($Y389&lt;TODAY()))</f>
        <v/>
      </c>
    </row>
    <row r="390">
      <c r="A390" s="25" t="n"/>
      <c r="B390" s="26" t="n"/>
      <c r="C390" s="27" t="n"/>
      <c r="D390" s="25" t="n"/>
      <c r="E390" s="25" t="n"/>
      <c r="F390" s="27" t="n"/>
      <c r="G390" s="25" t="n"/>
      <c r="H390" s="28">
        <f>IF(OR(NOT(AND($A390&lt;&gt;"",OR($G390="",$G390="Active"))),$F390=""),"",INT((TODAY()-$F390+280)/7)&amp;"+"&amp;MOD(TODAY()-$F390+280,7))</f>
        <v/>
      </c>
      <c r="I390" s="28">
        <f>IF(NOT(AND($A390&lt;&gt;"",OR($G390="",$G390="Active"))),"",ISNUMBER($L390)*($L390&gt;=TODAY())*($L390&lt;=TODAY()+7)+ISNUMBER($M390)*($M390&gt;=TODAY())*($M390&lt;=TODAY()+7)+ISNUMBER($N390)*($N390&gt;=TODAY())*($N390&lt;=TODAY()+7)+ISNUMBER($Q390)*($Q390&gt;=TODAY())*($Q390&lt;=TODAY()+7)+ISNUMBER($R390)*($R390&gt;=TODAY())*($R390&lt;=TODAY()+7)+ISNUMBER($S390)*($S390&gt;=TODAY())*($S390&lt;=TODAY()+7)+ISNUMBER($T390)*($T390&gt;=TODAY())*($T390&lt;=TODAY()+7)+ISNUMBER($U390)*($U390&gt;=TODAY())*($U390&lt;=TODAY()+7)+ISNUMBER($V390)*($V390&gt;=TODAY())*($V390&lt;=TODAY()+7)+ISNUMBER($O390)*($O390&gt;=TODAY())*($O390&lt;=TODAY()+7)+ISNUMBER($P390)*($P390&gt;=TODAY())*($P390&lt;=TODAY()+7)+ISNUMBER($X390)*($X390&gt;=TODAY())*($X390&lt;=TODAY()+7)+ISNUMBER($Y390)*($Y390&gt;=TODAY())*($Y390&lt;=TODAY()+7))</f>
        <v/>
      </c>
      <c r="J390" s="28">
        <f>IF(NOT(AND($A390&lt;&gt;"",OR($G390="",$G390="Active"))),"",IF($K390&lt;&gt;"",IF($L390=$K390,"Booking",IF($M390=$K390,"16/40",IF($N390=$K390,"25/40",IF($Q390=$K390,"28/40",IF($R390=$K390,"31/40",IF($S390=$K390,"34/40",IF($T390=$K390,"36/40",IF($U390=$K390,"38/40",IF($V390=$K390,"40/40",""))))))))),IF(IF(OR(ISNUMBER($V390),$V390="DNA"),$V390,IF(OR(ISNUMBER($U390),$U390="DNA"),$U390,IF(OR(ISNUMBER($T390),$T390="DNA"),$T390,IF(OR(ISNUMBER($S390),$S390="DNA"),$S390,IF(OR(ISNUMBER($R390),$R390="DNA"),$R390,IF(OR(ISNUMBER($Q390),$Q390="DNA"),$Q390,IF(OR(ISNUMBER($N390),$N390="DNA"),$N390,IF(OR(ISNUMBER($M390),$M390="DNA"),$M390,IF(OR(ISNUMBER($L390),$L390="DNA"),$L390,"")))))))))="DNA","Rebook DNA",IF(ISNUMBER(IF(OR(ISNUMBER($V390),$V390="DNA"),$V390,IF(OR(ISNUMBER($U390),$U390="DNA"),$U390,IF(OR(ISNUMBER($T390),$T390="DNA"),$T390,IF(OR(ISNUMBER($S390),$S390="DNA"),$S390,IF(OR(ISNUMBER($R390),$R390="DNA"),$R390,IF(OR(ISNUMBER($Q390),$Q390="DNA"),$Q390,IF(OR(ISNUMBER($N390),$N390="DNA"),$N390,IF(OR(ISNUMBER($M390),$M390="DNA"),$M390,IF(OR(ISNUMBER($L390),$L390="DNA"),$L390,"")))))))))),IF(ISNUMBER($V390),"Update status","Missed/not booked?"),""))))</f>
        <v/>
      </c>
      <c r="K390" s="29">
        <f>IF(NOT(AND($A390&lt;&gt;"",OR($G390="",$G390="Active"))),"",IF(MIN(IF(AND(ISNUMBER($L390),$L390&gt;=TODAY()),$L390,99999),IF(AND(ISNUMBER($M390),$M390&gt;=TODAY()),$M390,99999),IF(AND(ISNUMBER($N390),$N390&gt;=TODAY()),$N390,99999),IF(AND(ISNUMBER($Q390),$Q390&gt;=TODAY()),$Q390,99999),IF(AND(ISNUMBER($R390),$R390&gt;=TODAY()),$R390,99999),IF(AND(ISNUMBER($S390),$S390&gt;=TODAY()),$S390,99999),IF(AND(ISNUMBER($T390),$T390&gt;=TODAY()),$T390,99999),IF(AND(ISNUMBER($U390),$U390&gt;=TODAY()),$U390,99999),IF(AND(ISNUMBER($V390),$V390&gt;=TODAY()),$V390,99999))=99999,"",MIN(IF(AND(ISNUMBER($L390),$L390&gt;=TODAY()),$L390,99999),IF(AND(ISNUMBER($M390),$M390&gt;=TODAY()),$M390,99999),IF(AND(ISNUMBER($N390),$N390&gt;=TODAY()),$N390,99999),IF(AND(ISNUMBER($Q390),$Q390&gt;=TODAY()),$Q390,99999),IF(AND(ISNUMBER($R390),$R390&gt;=TODAY()),$R390,99999),IF(AND(ISNUMBER($S390),$S390&gt;=TODAY()),$S390,99999),IF(AND(ISNUMBER($T390),$T390&gt;=TODAY()),$T390,99999),IF(AND(ISNUMBER($U390),$U390&gt;=TODAY()),$U390,99999),IF(AND(ISNUMBER($V390),$V390&gt;=TODAY()),$V390,99999))))</f>
        <v/>
      </c>
      <c r="L390" s="27" t="n"/>
      <c r="M390" s="27" t="n"/>
      <c r="N390" s="27" t="n"/>
      <c r="O390" s="27" t="n"/>
      <c r="P390" s="27" t="n"/>
      <c r="Q390" s="27" t="n"/>
      <c r="R390" s="27" t="n"/>
      <c r="S390" s="27" t="n"/>
      <c r="T390" s="27" t="n"/>
      <c r="U390" s="27" t="n"/>
      <c r="V390" s="27" t="n"/>
      <c r="W390" s="27" t="n"/>
      <c r="X390" s="27" t="n"/>
      <c r="Y390" s="27" t="n"/>
      <c r="Z390" s="30" t="n"/>
      <c r="AA390" s="25" t="n"/>
      <c r="AB390" s="28">
        <f>IF(NOT(AND($A390&lt;&gt;"",OR($G390="",$G390="Active"))),"",IF(OR(IF(OR(ISNUMBER($V390),$V390="DNA"),$V390,IF(OR(ISNUMBER($U390),$U390="DNA"),$U390,IF(OR(ISNUMBER($T390),$T390="DNA"),$T390,IF(OR(ISNUMBER($S390),$S390="DNA"),$S390,IF(OR(ISNUMBER($R390),$R390="DNA"),$R390,IF(OR(ISNUMBER($Q390),$Q390="DNA"),$Q390,IF(OR(ISNUMBER($N390),$N390="DNA"),$N390,IF(OR(ISNUMBER($M390),$M390="DNA"),$M390,IF(OR(ISNUMBER($L390),$L390="DNA"),$L390,"")))))))))="DNA",AND(ISNUMBER(IF(OR(ISNUMBER($V390),$V390="DNA"),$V390,IF(OR(ISNUMBER($U390),$U390="DNA"),$U390,IF(OR(ISNUMBER($T390),$T390="DNA"),$T390,IF(OR(ISNUMBER($S390),$S390="DNA"),$S390,IF(OR(ISNUMBER($R390),$R390="DNA"),$R390,IF(OR(ISNUMBER($Q390),$Q390="DNA"),$Q390,IF(OR(ISNUMBER($N390),$N390="DNA"),$N390,IF(OR(ISNUMBER($M390),$M390="DNA"),$M390,IF(OR(ISNUMBER($L390),$L390="DNA"),$L390,"")))))))))),IF(OR(ISNUMBER($V390),$V390="DNA"),$V390,IF(OR(ISNUMBER($U390),$U390="DNA"),$U390,IF(OR(ISNUMBER($T390),$T390="DNA"),$T390,IF(OR(ISNUMBER($S390),$S390="DNA"),$S390,IF(OR(ISNUMBER($R390),$R390="DNA"),$R390,IF(OR(ISNUMBER($Q390),$Q390="DNA"),$Q390,IF(OR(ISNUMBER($N390),$N390="DNA"),$N390,IF(OR(ISNUMBER($M390),$M390="DNA"),$M390,IF(OR(ISNUMBER($L390),$L390="DNA"),$L390,"")))))))))&lt;TODAY())),1,0)+ISNUMBER($O390)*($O390&lt;TODAY())+ISNUMBER($P390)*($P390&lt;TODAY())+ISNUMBER($X390)*($X390&lt;TODAY())+ISNUMBER($Y390)*($Y390&lt;TODAY()))</f>
        <v/>
      </c>
    </row>
    <row r="391">
      <c r="A391" s="25" t="n"/>
      <c r="B391" s="26" t="n"/>
      <c r="C391" s="27" t="n"/>
      <c r="D391" s="25" t="n"/>
      <c r="E391" s="25" t="n"/>
      <c r="F391" s="27" t="n"/>
      <c r="G391" s="25" t="n"/>
      <c r="H391" s="28">
        <f>IF(OR(NOT(AND($A391&lt;&gt;"",OR($G391="",$G391="Active"))),$F391=""),"",INT((TODAY()-$F391+280)/7)&amp;"+"&amp;MOD(TODAY()-$F391+280,7))</f>
        <v/>
      </c>
      <c r="I391" s="28">
        <f>IF(NOT(AND($A391&lt;&gt;"",OR($G391="",$G391="Active"))),"",ISNUMBER($L391)*($L391&gt;=TODAY())*($L391&lt;=TODAY()+7)+ISNUMBER($M391)*($M391&gt;=TODAY())*($M391&lt;=TODAY()+7)+ISNUMBER($N391)*($N391&gt;=TODAY())*($N391&lt;=TODAY()+7)+ISNUMBER($Q391)*($Q391&gt;=TODAY())*($Q391&lt;=TODAY()+7)+ISNUMBER($R391)*($R391&gt;=TODAY())*($R391&lt;=TODAY()+7)+ISNUMBER($S391)*($S391&gt;=TODAY())*($S391&lt;=TODAY()+7)+ISNUMBER($T391)*($T391&gt;=TODAY())*($T391&lt;=TODAY()+7)+ISNUMBER($U391)*($U391&gt;=TODAY())*($U391&lt;=TODAY()+7)+ISNUMBER($V391)*($V391&gt;=TODAY())*($V391&lt;=TODAY()+7)+ISNUMBER($O391)*($O391&gt;=TODAY())*($O391&lt;=TODAY()+7)+ISNUMBER($P391)*($P391&gt;=TODAY())*($P391&lt;=TODAY()+7)+ISNUMBER($X391)*($X391&gt;=TODAY())*($X391&lt;=TODAY()+7)+ISNUMBER($Y391)*($Y391&gt;=TODAY())*($Y391&lt;=TODAY()+7))</f>
        <v/>
      </c>
      <c r="J391" s="28">
        <f>IF(NOT(AND($A391&lt;&gt;"",OR($G391="",$G391="Active"))),"",IF($K391&lt;&gt;"",IF($L391=$K391,"Booking",IF($M391=$K391,"16/40",IF($N391=$K391,"25/40",IF($Q391=$K391,"28/40",IF($R391=$K391,"31/40",IF($S391=$K391,"34/40",IF($T391=$K391,"36/40",IF($U391=$K391,"38/40",IF($V391=$K391,"40/40",""))))))))),IF(IF(OR(ISNUMBER($V391),$V391="DNA"),$V391,IF(OR(ISNUMBER($U391),$U391="DNA"),$U391,IF(OR(ISNUMBER($T391),$T391="DNA"),$T391,IF(OR(ISNUMBER($S391),$S391="DNA"),$S391,IF(OR(ISNUMBER($R391),$R391="DNA"),$R391,IF(OR(ISNUMBER($Q391),$Q391="DNA"),$Q391,IF(OR(ISNUMBER($N391),$N391="DNA"),$N391,IF(OR(ISNUMBER($M391),$M391="DNA"),$M391,IF(OR(ISNUMBER($L391),$L391="DNA"),$L391,"")))))))))="DNA","Rebook DNA",IF(ISNUMBER(IF(OR(ISNUMBER($V391),$V391="DNA"),$V391,IF(OR(ISNUMBER($U391),$U391="DNA"),$U391,IF(OR(ISNUMBER($T391),$T391="DNA"),$T391,IF(OR(ISNUMBER($S391),$S391="DNA"),$S391,IF(OR(ISNUMBER($R391),$R391="DNA"),$R391,IF(OR(ISNUMBER($Q391),$Q391="DNA"),$Q391,IF(OR(ISNUMBER($N391),$N391="DNA"),$N391,IF(OR(ISNUMBER($M391),$M391="DNA"),$M391,IF(OR(ISNUMBER($L391),$L391="DNA"),$L391,"")))))))))),IF(ISNUMBER($V391),"Update status","Missed/not booked?"),""))))</f>
        <v/>
      </c>
      <c r="K391" s="29">
        <f>IF(NOT(AND($A391&lt;&gt;"",OR($G391="",$G391="Active"))),"",IF(MIN(IF(AND(ISNUMBER($L391),$L391&gt;=TODAY()),$L391,99999),IF(AND(ISNUMBER($M391),$M391&gt;=TODAY()),$M391,99999),IF(AND(ISNUMBER($N391),$N391&gt;=TODAY()),$N391,99999),IF(AND(ISNUMBER($Q391),$Q391&gt;=TODAY()),$Q391,99999),IF(AND(ISNUMBER($R391),$R391&gt;=TODAY()),$R391,99999),IF(AND(ISNUMBER($S391),$S391&gt;=TODAY()),$S391,99999),IF(AND(ISNUMBER($T391),$T391&gt;=TODAY()),$T391,99999),IF(AND(ISNUMBER($U391),$U391&gt;=TODAY()),$U391,99999),IF(AND(ISNUMBER($V391),$V391&gt;=TODAY()),$V391,99999))=99999,"",MIN(IF(AND(ISNUMBER($L391),$L391&gt;=TODAY()),$L391,99999),IF(AND(ISNUMBER($M391),$M391&gt;=TODAY()),$M391,99999),IF(AND(ISNUMBER($N391),$N391&gt;=TODAY()),$N391,99999),IF(AND(ISNUMBER($Q391),$Q391&gt;=TODAY()),$Q391,99999),IF(AND(ISNUMBER($R391),$R391&gt;=TODAY()),$R391,99999),IF(AND(ISNUMBER($S391),$S391&gt;=TODAY()),$S391,99999),IF(AND(ISNUMBER($T391),$T391&gt;=TODAY()),$T391,99999),IF(AND(ISNUMBER($U391),$U391&gt;=TODAY()),$U391,99999),IF(AND(ISNUMBER($V391),$V391&gt;=TODAY()),$V391,99999))))</f>
        <v/>
      </c>
      <c r="L391" s="27" t="n"/>
      <c r="M391" s="27" t="n"/>
      <c r="N391" s="27" t="n"/>
      <c r="O391" s="27" t="n"/>
      <c r="P391" s="27" t="n"/>
      <c r="Q391" s="27" t="n"/>
      <c r="R391" s="27" t="n"/>
      <c r="S391" s="27" t="n"/>
      <c r="T391" s="27" t="n"/>
      <c r="U391" s="27" t="n"/>
      <c r="V391" s="27" t="n"/>
      <c r="W391" s="27" t="n"/>
      <c r="X391" s="27" t="n"/>
      <c r="Y391" s="27" t="n"/>
      <c r="Z391" s="30" t="n"/>
      <c r="AA391" s="25" t="n"/>
      <c r="AB391" s="28">
        <f>IF(NOT(AND($A391&lt;&gt;"",OR($G391="",$G391="Active"))),"",IF(OR(IF(OR(ISNUMBER($V391),$V391="DNA"),$V391,IF(OR(ISNUMBER($U391),$U391="DNA"),$U391,IF(OR(ISNUMBER($T391),$T391="DNA"),$T391,IF(OR(ISNUMBER($S391),$S391="DNA"),$S391,IF(OR(ISNUMBER($R391),$R391="DNA"),$R391,IF(OR(ISNUMBER($Q391),$Q391="DNA"),$Q391,IF(OR(ISNUMBER($N391),$N391="DNA"),$N391,IF(OR(ISNUMBER($M391),$M391="DNA"),$M391,IF(OR(ISNUMBER($L391),$L391="DNA"),$L391,"")))))))))="DNA",AND(ISNUMBER(IF(OR(ISNUMBER($V391),$V391="DNA"),$V391,IF(OR(ISNUMBER($U391),$U391="DNA"),$U391,IF(OR(ISNUMBER($T391),$T391="DNA"),$T391,IF(OR(ISNUMBER($S391),$S391="DNA"),$S391,IF(OR(ISNUMBER($R391),$R391="DNA"),$R391,IF(OR(ISNUMBER($Q391),$Q391="DNA"),$Q391,IF(OR(ISNUMBER($N391),$N391="DNA"),$N391,IF(OR(ISNUMBER($M391),$M391="DNA"),$M391,IF(OR(ISNUMBER($L391),$L391="DNA"),$L391,"")))))))))),IF(OR(ISNUMBER($V391),$V391="DNA"),$V391,IF(OR(ISNUMBER($U391),$U391="DNA"),$U391,IF(OR(ISNUMBER($T391),$T391="DNA"),$T391,IF(OR(ISNUMBER($S391),$S391="DNA"),$S391,IF(OR(ISNUMBER($R391),$R391="DNA"),$R391,IF(OR(ISNUMBER($Q391),$Q391="DNA"),$Q391,IF(OR(ISNUMBER($N391),$N391="DNA"),$N391,IF(OR(ISNUMBER($M391),$M391="DNA"),$M391,IF(OR(ISNUMBER($L391),$L391="DNA"),$L391,"")))))))))&lt;TODAY())),1,0)+ISNUMBER($O391)*($O391&lt;TODAY())+ISNUMBER($P391)*($P391&lt;TODAY())+ISNUMBER($X391)*($X391&lt;TODAY())+ISNUMBER($Y391)*($Y391&lt;TODAY()))</f>
        <v/>
      </c>
    </row>
    <row r="392">
      <c r="A392" s="25" t="n"/>
      <c r="B392" s="26" t="n"/>
      <c r="C392" s="27" t="n"/>
      <c r="D392" s="25" t="n"/>
      <c r="E392" s="25" t="n"/>
      <c r="F392" s="27" t="n"/>
      <c r="G392" s="25" t="n"/>
      <c r="H392" s="28">
        <f>IF(OR(NOT(AND($A392&lt;&gt;"",OR($G392="",$G392="Active"))),$F392=""),"",INT((TODAY()-$F392+280)/7)&amp;"+"&amp;MOD(TODAY()-$F392+280,7))</f>
        <v/>
      </c>
      <c r="I392" s="28">
        <f>IF(NOT(AND($A392&lt;&gt;"",OR($G392="",$G392="Active"))),"",ISNUMBER($L392)*($L392&gt;=TODAY())*($L392&lt;=TODAY()+7)+ISNUMBER($M392)*($M392&gt;=TODAY())*($M392&lt;=TODAY()+7)+ISNUMBER($N392)*($N392&gt;=TODAY())*($N392&lt;=TODAY()+7)+ISNUMBER($Q392)*($Q392&gt;=TODAY())*($Q392&lt;=TODAY()+7)+ISNUMBER($R392)*($R392&gt;=TODAY())*($R392&lt;=TODAY()+7)+ISNUMBER($S392)*($S392&gt;=TODAY())*($S392&lt;=TODAY()+7)+ISNUMBER($T392)*($T392&gt;=TODAY())*($T392&lt;=TODAY()+7)+ISNUMBER($U392)*($U392&gt;=TODAY())*($U392&lt;=TODAY()+7)+ISNUMBER($V392)*($V392&gt;=TODAY())*($V392&lt;=TODAY()+7)+ISNUMBER($O392)*($O392&gt;=TODAY())*($O392&lt;=TODAY()+7)+ISNUMBER($P392)*($P392&gt;=TODAY())*($P392&lt;=TODAY()+7)+ISNUMBER($X392)*($X392&gt;=TODAY())*($X392&lt;=TODAY()+7)+ISNUMBER($Y392)*($Y392&gt;=TODAY())*($Y392&lt;=TODAY()+7))</f>
        <v/>
      </c>
      <c r="J392" s="28">
        <f>IF(NOT(AND($A392&lt;&gt;"",OR($G392="",$G392="Active"))),"",IF($K392&lt;&gt;"",IF($L392=$K392,"Booking",IF($M392=$K392,"16/40",IF($N392=$K392,"25/40",IF($Q392=$K392,"28/40",IF($R392=$K392,"31/40",IF($S392=$K392,"34/40",IF($T392=$K392,"36/40",IF($U392=$K392,"38/40",IF($V392=$K392,"40/40",""))))))))),IF(IF(OR(ISNUMBER($V392),$V392="DNA"),$V392,IF(OR(ISNUMBER($U392),$U392="DNA"),$U392,IF(OR(ISNUMBER($T392),$T392="DNA"),$T392,IF(OR(ISNUMBER($S392),$S392="DNA"),$S392,IF(OR(ISNUMBER($R392),$R392="DNA"),$R392,IF(OR(ISNUMBER($Q392),$Q392="DNA"),$Q392,IF(OR(ISNUMBER($N392),$N392="DNA"),$N392,IF(OR(ISNUMBER($M392),$M392="DNA"),$M392,IF(OR(ISNUMBER($L392),$L392="DNA"),$L392,"")))))))))="DNA","Rebook DNA",IF(ISNUMBER(IF(OR(ISNUMBER($V392),$V392="DNA"),$V392,IF(OR(ISNUMBER($U392),$U392="DNA"),$U392,IF(OR(ISNUMBER($T392),$T392="DNA"),$T392,IF(OR(ISNUMBER($S392),$S392="DNA"),$S392,IF(OR(ISNUMBER($R392),$R392="DNA"),$R392,IF(OR(ISNUMBER($Q392),$Q392="DNA"),$Q392,IF(OR(ISNUMBER($N392),$N392="DNA"),$N392,IF(OR(ISNUMBER($M392),$M392="DNA"),$M392,IF(OR(ISNUMBER($L392),$L392="DNA"),$L392,"")))))))))),IF(ISNUMBER($V392),"Update status","Missed/not booked?"),""))))</f>
        <v/>
      </c>
      <c r="K392" s="29">
        <f>IF(NOT(AND($A392&lt;&gt;"",OR($G392="",$G392="Active"))),"",IF(MIN(IF(AND(ISNUMBER($L392),$L392&gt;=TODAY()),$L392,99999),IF(AND(ISNUMBER($M392),$M392&gt;=TODAY()),$M392,99999),IF(AND(ISNUMBER($N392),$N392&gt;=TODAY()),$N392,99999),IF(AND(ISNUMBER($Q392),$Q392&gt;=TODAY()),$Q392,99999),IF(AND(ISNUMBER($R392),$R392&gt;=TODAY()),$R392,99999),IF(AND(ISNUMBER($S392),$S392&gt;=TODAY()),$S392,99999),IF(AND(ISNUMBER($T392),$T392&gt;=TODAY()),$T392,99999),IF(AND(ISNUMBER($U392),$U392&gt;=TODAY()),$U392,99999),IF(AND(ISNUMBER($V392),$V392&gt;=TODAY()),$V392,99999))=99999,"",MIN(IF(AND(ISNUMBER($L392),$L392&gt;=TODAY()),$L392,99999),IF(AND(ISNUMBER($M392),$M392&gt;=TODAY()),$M392,99999),IF(AND(ISNUMBER($N392),$N392&gt;=TODAY()),$N392,99999),IF(AND(ISNUMBER($Q392),$Q392&gt;=TODAY()),$Q392,99999),IF(AND(ISNUMBER($R392),$R392&gt;=TODAY()),$R392,99999),IF(AND(ISNUMBER($S392),$S392&gt;=TODAY()),$S392,99999),IF(AND(ISNUMBER($T392),$T392&gt;=TODAY()),$T392,99999),IF(AND(ISNUMBER($U392),$U392&gt;=TODAY()),$U392,99999),IF(AND(ISNUMBER($V392),$V392&gt;=TODAY()),$V392,99999))))</f>
        <v/>
      </c>
      <c r="L392" s="27" t="n"/>
      <c r="M392" s="27" t="n"/>
      <c r="N392" s="27" t="n"/>
      <c r="O392" s="27" t="n"/>
      <c r="P392" s="27" t="n"/>
      <c r="Q392" s="27" t="n"/>
      <c r="R392" s="27" t="n"/>
      <c r="S392" s="27" t="n"/>
      <c r="T392" s="27" t="n"/>
      <c r="U392" s="27" t="n"/>
      <c r="V392" s="27" t="n"/>
      <c r="W392" s="27" t="n"/>
      <c r="X392" s="27" t="n"/>
      <c r="Y392" s="27" t="n"/>
      <c r="Z392" s="30" t="n"/>
      <c r="AA392" s="25" t="n"/>
      <c r="AB392" s="28">
        <f>IF(NOT(AND($A392&lt;&gt;"",OR($G392="",$G392="Active"))),"",IF(OR(IF(OR(ISNUMBER($V392),$V392="DNA"),$V392,IF(OR(ISNUMBER($U392),$U392="DNA"),$U392,IF(OR(ISNUMBER($T392),$T392="DNA"),$T392,IF(OR(ISNUMBER($S392),$S392="DNA"),$S392,IF(OR(ISNUMBER($R392),$R392="DNA"),$R392,IF(OR(ISNUMBER($Q392),$Q392="DNA"),$Q392,IF(OR(ISNUMBER($N392),$N392="DNA"),$N392,IF(OR(ISNUMBER($M392),$M392="DNA"),$M392,IF(OR(ISNUMBER($L392),$L392="DNA"),$L392,"")))))))))="DNA",AND(ISNUMBER(IF(OR(ISNUMBER($V392),$V392="DNA"),$V392,IF(OR(ISNUMBER($U392),$U392="DNA"),$U392,IF(OR(ISNUMBER($T392),$T392="DNA"),$T392,IF(OR(ISNUMBER($S392),$S392="DNA"),$S392,IF(OR(ISNUMBER($R392),$R392="DNA"),$R392,IF(OR(ISNUMBER($Q392),$Q392="DNA"),$Q392,IF(OR(ISNUMBER($N392),$N392="DNA"),$N392,IF(OR(ISNUMBER($M392),$M392="DNA"),$M392,IF(OR(ISNUMBER($L392),$L392="DNA"),$L392,"")))))))))),IF(OR(ISNUMBER($V392),$V392="DNA"),$V392,IF(OR(ISNUMBER($U392),$U392="DNA"),$U392,IF(OR(ISNUMBER($T392),$T392="DNA"),$T392,IF(OR(ISNUMBER($S392),$S392="DNA"),$S392,IF(OR(ISNUMBER($R392),$R392="DNA"),$R392,IF(OR(ISNUMBER($Q392),$Q392="DNA"),$Q392,IF(OR(ISNUMBER($N392),$N392="DNA"),$N392,IF(OR(ISNUMBER($M392),$M392="DNA"),$M392,IF(OR(ISNUMBER($L392),$L392="DNA"),$L392,"")))))))))&lt;TODAY())),1,0)+ISNUMBER($O392)*($O392&lt;TODAY())+ISNUMBER($P392)*($P392&lt;TODAY())+ISNUMBER($X392)*($X392&lt;TODAY())+ISNUMBER($Y392)*($Y392&lt;TODAY()))</f>
        <v/>
      </c>
    </row>
    <row r="393">
      <c r="A393" s="25" t="n"/>
      <c r="B393" s="26" t="n"/>
      <c r="C393" s="27" t="n"/>
      <c r="D393" s="25" t="n"/>
      <c r="E393" s="25" t="n"/>
      <c r="F393" s="27" t="n"/>
      <c r="G393" s="25" t="n"/>
      <c r="H393" s="28">
        <f>IF(OR(NOT(AND($A393&lt;&gt;"",OR($G393="",$G393="Active"))),$F393=""),"",INT((TODAY()-$F393+280)/7)&amp;"+"&amp;MOD(TODAY()-$F393+280,7))</f>
        <v/>
      </c>
      <c r="I393" s="28">
        <f>IF(NOT(AND($A393&lt;&gt;"",OR($G393="",$G393="Active"))),"",ISNUMBER($L393)*($L393&gt;=TODAY())*($L393&lt;=TODAY()+7)+ISNUMBER($M393)*($M393&gt;=TODAY())*($M393&lt;=TODAY()+7)+ISNUMBER($N393)*($N393&gt;=TODAY())*($N393&lt;=TODAY()+7)+ISNUMBER($Q393)*($Q393&gt;=TODAY())*($Q393&lt;=TODAY()+7)+ISNUMBER($R393)*($R393&gt;=TODAY())*($R393&lt;=TODAY()+7)+ISNUMBER($S393)*($S393&gt;=TODAY())*($S393&lt;=TODAY()+7)+ISNUMBER($T393)*($T393&gt;=TODAY())*($T393&lt;=TODAY()+7)+ISNUMBER($U393)*($U393&gt;=TODAY())*($U393&lt;=TODAY()+7)+ISNUMBER($V393)*($V393&gt;=TODAY())*($V393&lt;=TODAY()+7)+ISNUMBER($O393)*($O393&gt;=TODAY())*($O393&lt;=TODAY()+7)+ISNUMBER($P393)*($P393&gt;=TODAY())*($P393&lt;=TODAY()+7)+ISNUMBER($X393)*($X393&gt;=TODAY())*($X393&lt;=TODAY()+7)+ISNUMBER($Y393)*($Y393&gt;=TODAY())*($Y393&lt;=TODAY()+7))</f>
        <v/>
      </c>
      <c r="J393" s="28">
        <f>IF(NOT(AND($A393&lt;&gt;"",OR($G393="",$G393="Active"))),"",IF($K393&lt;&gt;"",IF($L393=$K393,"Booking",IF($M393=$K393,"16/40",IF($N393=$K393,"25/40",IF($Q393=$K393,"28/40",IF($R393=$K393,"31/40",IF($S393=$K393,"34/40",IF($T393=$K393,"36/40",IF($U393=$K393,"38/40",IF($V393=$K393,"40/40",""))))))))),IF(IF(OR(ISNUMBER($V393),$V393="DNA"),$V393,IF(OR(ISNUMBER($U393),$U393="DNA"),$U393,IF(OR(ISNUMBER($T393),$T393="DNA"),$T393,IF(OR(ISNUMBER($S393),$S393="DNA"),$S393,IF(OR(ISNUMBER($R393),$R393="DNA"),$R393,IF(OR(ISNUMBER($Q393),$Q393="DNA"),$Q393,IF(OR(ISNUMBER($N393),$N393="DNA"),$N393,IF(OR(ISNUMBER($M393),$M393="DNA"),$M393,IF(OR(ISNUMBER($L393),$L393="DNA"),$L393,"")))))))))="DNA","Rebook DNA",IF(ISNUMBER(IF(OR(ISNUMBER($V393),$V393="DNA"),$V393,IF(OR(ISNUMBER($U393),$U393="DNA"),$U393,IF(OR(ISNUMBER($T393),$T393="DNA"),$T393,IF(OR(ISNUMBER($S393),$S393="DNA"),$S393,IF(OR(ISNUMBER($R393),$R393="DNA"),$R393,IF(OR(ISNUMBER($Q393),$Q393="DNA"),$Q393,IF(OR(ISNUMBER($N393),$N393="DNA"),$N393,IF(OR(ISNUMBER($M393),$M393="DNA"),$M393,IF(OR(ISNUMBER($L393),$L393="DNA"),$L393,"")))))))))),IF(ISNUMBER($V393),"Update status","Missed/not booked?"),""))))</f>
        <v/>
      </c>
      <c r="K393" s="29">
        <f>IF(NOT(AND($A393&lt;&gt;"",OR($G393="",$G393="Active"))),"",IF(MIN(IF(AND(ISNUMBER($L393),$L393&gt;=TODAY()),$L393,99999),IF(AND(ISNUMBER($M393),$M393&gt;=TODAY()),$M393,99999),IF(AND(ISNUMBER($N393),$N393&gt;=TODAY()),$N393,99999),IF(AND(ISNUMBER($Q393),$Q393&gt;=TODAY()),$Q393,99999),IF(AND(ISNUMBER($R393),$R393&gt;=TODAY()),$R393,99999),IF(AND(ISNUMBER($S393),$S393&gt;=TODAY()),$S393,99999),IF(AND(ISNUMBER($T393),$T393&gt;=TODAY()),$T393,99999),IF(AND(ISNUMBER($U393),$U393&gt;=TODAY()),$U393,99999),IF(AND(ISNUMBER($V393),$V393&gt;=TODAY()),$V393,99999))=99999,"",MIN(IF(AND(ISNUMBER($L393),$L393&gt;=TODAY()),$L393,99999),IF(AND(ISNUMBER($M393),$M393&gt;=TODAY()),$M393,99999),IF(AND(ISNUMBER($N393),$N393&gt;=TODAY()),$N393,99999),IF(AND(ISNUMBER($Q393),$Q393&gt;=TODAY()),$Q393,99999),IF(AND(ISNUMBER($R393),$R393&gt;=TODAY()),$R393,99999),IF(AND(ISNUMBER($S393),$S393&gt;=TODAY()),$S393,99999),IF(AND(ISNUMBER($T393),$T393&gt;=TODAY()),$T393,99999),IF(AND(ISNUMBER($U393),$U393&gt;=TODAY()),$U393,99999),IF(AND(ISNUMBER($V393),$V393&gt;=TODAY()),$V393,99999))))</f>
        <v/>
      </c>
      <c r="L393" s="27" t="n"/>
      <c r="M393" s="27" t="n"/>
      <c r="N393" s="27" t="n"/>
      <c r="O393" s="27" t="n"/>
      <c r="P393" s="27" t="n"/>
      <c r="Q393" s="27" t="n"/>
      <c r="R393" s="27" t="n"/>
      <c r="S393" s="27" t="n"/>
      <c r="T393" s="27" t="n"/>
      <c r="U393" s="27" t="n"/>
      <c r="V393" s="27" t="n"/>
      <c r="W393" s="27" t="n"/>
      <c r="X393" s="27" t="n"/>
      <c r="Y393" s="27" t="n"/>
      <c r="Z393" s="30" t="n"/>
      <c r="AA393" s="25" t="n"/>
      <c r="AB393" s="28">
        <f>IF(NOT(AND($A393&lt;&gt;"",OR($G393="",$G393="Active"))),"",IF(OR(IF(OR(ISNUMBER($V393),$V393="DNA"),$V393,IF(OR(ISNUMBER($U393),$U393="DNA"),$U393,IF(OR(ISNUMBER($T393),$T393="DNA"),$T393,IF(OR(ISNUMBER($S393),$S393="DNA"),$S393,IF(OR(ISNUMBER($R393),$R393="DNA"),$R393,IF(OR(ISNUMBER($Q393),$Q393="DNA"),$Q393,IF(OR(ISNUMBER($N393),$N393="DNA"),$N393,IF(OR(ISNUMBER($M393),$M393="DNA"),$M393,IF(OR(ISNUMBER($L393),$L393="DNA"),$L393,"")))))))))="DNA",AND(ISNUMBER(IF(OR(ISNUMBER($V393),$V393="DNA"),$V393,IF(OR(ISNUMBER($U393),$U393="DNA"),$U393,IF(OR(ISNUMBER($T393),$T393="DNA"),$T393,IF(OR(ISNUMBER($S393),$S393="DNA"),$S393,IF(OR(ISNUMBER($R393),$R393="DNA"),$R393,IF(OR(ISNUMBER($Q393),$Q393="DNA"),$Q393,IF(OR(ISNUMBER($N393),$N393="DNA"),$N393,IF(OR(ISNUMBER($M393),$M393="DNA"),$M393,IF(OR(ISNUMBER($L393),$L393="DNA"),$L393,"")))))))))),IF(OR(ISNUMBER($V393),$V393="DNA"),$V393,IF(OR(ISNUMBER($U393),$U393="DNA"),$U393,IF(OR(ISNUMBER($T393),$T393="DNA"),$T393,IF(OR(ISNUMBER($S393),$S393="DNA"),$S393,IF(OR(ISNUMBER($R393),$R393="DNA"),$R393,IF(OR(ISNUMBER($Q393),$Q393="DNA"),$Q393,IF(OR(ISNUMBER($N393),$N393="DNA"),$N393,IF(OR(ISNUMBER($M393),$M393="DNA"),$M393,IF(OR(ISNUMBER($L393),$L393="DNA"),$L393,"")))))))))&lt;TODAY())),1,0)+ISNUMBER($O393)*($O393&lt;TODAY())+ISNUMBER($P393)*($P393&lt;TODAY())+ISNUMBER($X393)*($X393&lt;TODAY())+ISNUMBER($Y393)*($Y393&lt;TODAY()))</f>
        <v/>
      </c>
    </row>
    <row r="394">
      <c r="A394" s="25" t="n"/>
      <c r="B394" s="26" t="n"/>
      <c r="C394" s="27" t="n"/>
      <c r="D394" s="25" t="n"/>
      <c r="E394" s="25" t="n"/>
      <c r="F394" s="27" t="n"/>
      <c r="G394" s="25" t="n"/>
      <c r="H394" s="28">
        <f>IF(OR(NOT(AND($A394&lt;&gt;"",OR($G394="",$G394="Active"))),$F394=""),"",INT((TODAY()-$F394+280)/7)&amp;"+"&amp;MOD(TODAY()-$F394+280,7))</f>
        <v/>
      </c>
      <c r="I394" s="28">
        <f>IF(NOT(AND($A394&lt;&gt;"",OR($G394="",$G394="Active"))),"",ISNUMBER($L394)*($L394&gt;=TODAY())*($L394&lt;=TODAY()+7)+ISNUMBER($M394)*($M394&gt;=TODAY())*($M394&lt;=TODAY()+7)+ISNUMBER($N394)*($N394&gt;=TODAY())*($N394&lt;=TODAY()+7)+ISNUMBER($Q394)*($Q394&gt;=TODAY())*($Q394&lt;=TODAY()+7)+ISNUMBER($R394)*($R394&gt;=TODAY())*($R394&lt;=TODAY()+7)+ISNUMBER($S394)*($S394&gt;=TODAY())*($S394&lt;=TODAY()+7)+ISNUMBER($T394)*($T394&gt;=TODAY())*($T394&lt;=TODAY()+7)+ISNUMBER($U394)*($U394&gt;=TODAY())*($U394&lt;=TODAY()+7)+ISNUMBER($V394)*($V394&gt;=TODAY())*($V394&lt;=TODAY()+7)+ISNUMBER($O394)*($O394&gt;=TODAY())*($O394&lt;=TODAY()+7)+ISNUMBER($P394)*($P394&gt;=TODAY())*($P394&lt;=TODAY()+7)+ISNUMBER($X394)*($X394&gt;=TODAY())*($X394&lt;=TODAY()+7)+ISNUMBER($Y394)*($Y394&gt;=TODAY())*($Y394&lt;=TODAY()+7))</f>
        <v/>
      </c>
      <c r="J394" s="28">
        <f>IF(NOT(AND($A394&lt;&gt;"",OR($G394="",$G394="Active"))),"",IF($K394&lt;&gt;"",IF($L394=$K394,"Booking",IF($M394=$K394,"16/40",IF($N394=$K394,"25/40",IF($Q394=$K394,"28/40",IF($R394=$K394,"31/40",IF($S394=$K394,"34/40",IF($T394=$K394,"36/40",IF($U394=$K394,"38/40",IF($V394=$K394,"40/40",""))))))))),IF(IF(OR(ISNUMBER($V394),$V394="DNA"),$V394,IF(OR(ISNUMBER($U394),$U394="DNA"),$U394,IF(OR(ISNUMBER($T394),$T394="DNA"),$T394,IF(OR(ISNUMBER($S394),$S394="DNA"),$S394,IF(OR(ISNUMBER($R394),$R394="DNA"),$R394,IF(OR(ISNUMBER($Q394),$Q394="DNA"),$Q394,IF(OR(ISNUMBER($N394),$N394="DNA"),$N394,IF(OR(ISNUMBER($M394),$M394="DNA"),$M394,IF(OR(ISNUMBER($L394),$L394="DNA"),$L394,"")))))))))="DNA","Rebook DNA",IF(ISNUMBER(IF(OR(ISNUMBER($V394),$V394="DNA"),$V394,IF(OR(ISNUMBER($U394),$U394="DNA"),$U394,IF(OR(ISNUMBER($T394),$T394="DNA"),$T394,IF(OR(ISNUMBER($S394),$S394="DNA"),$S394,IF(OR(ISNUMBER($R394),$R394="DNA"),$R394,IF(OR(ISNUMBER($Q394),$Q394="DNA"),$Q394,IF(OR(ISNUMBER($N394),$N394="DNA"),$N394,IF(OR(ISNUMBER($M394),$M394="DNA"),$M394,IF(OR(ISNUMBER($L394),$L394="DNA"),$L394,"")))))))))),IF(ISNUMBER($V394),"Update status","Missed/not booked?"),""))))</f>
        <v/>
      </c>
      <c r="K394" s="29">
        <f>IF(NOT(AND($A394&lt;&gt;"",OR($G394="",$G394="Active"))),"",IF(MIN(IF(AND(ISNUMBER($L394),$L394&gt;=TODAY()),$L394,99999),IF(AND(ISNUMBER($M394),$M394&gt;=TODAY()),$M394,99999),IF(AND(ISNUMBER($N394),$N394&gt;=TODAY()),$N394,99999),IF(AND(ISNUMBER($Q394),$Q394&gt;=TODAY()),$Q394,99999),IF(AND(ISNUMBER($R394),$R394&gt;=TODAY()),$R394,99999),IF(AND(ISNUMBER($S394),$S394&gt;=TODAY()),$S394,99999),IF(AND(ISNUMBER($T394),$T394&gt;=TODAY()),$T394,99999),IF(AND(ISNUMBER($U394),$U394&gt;=TODAY()),$U394,99999),IF(AND(ISNUMBER($V394),$V394&gt;=TODAY()),$V394,99999))=99999,"",MIN(IF(AND(ISNUMBER($L394),$L394&gt;=TODAY()),$L394,99999),IF(AND(ISNUMBER($M394),$M394&gt;=TODAY()),$M394,99999),IF(AND(ISNUMBER($N394),$N394&gt;=TODAY()),$N394,99999),IF(AND(ISNUMBER($Q394),$Q394&gt;=TODAY()),$Q394,99999),IF(AND(ISNUMBER($R394),$R394&gt;=TODAY()),$R394,99999),IF(AND(ISNUMBER($S394),$S394&gt;=TODAY()),$S394,99999),IF(AND(ISNUMBER($T394),$T394&gt;=TODAY()),$T394,99999),IF(AND(ISNUMBER($U394),$U394&gt;=TODAY()),$U394,99999),IF(AND(ISNUMBER($V394),$V394&gt;=TODAY()),$V394,99999))))</f>
        <v/>
      </c>
      <c r="L394" s="27" t="n"/>
      <c r="M394" s="27" t="n"/>
      <c r="N394" s="27" t="n"/>
      <c r="O394" s="27" t="n"/>
      <c r="P394" s="27" t="n"/>
      <c r="Q394" s="27" t="n"/>
      <c r="R394" s="27" t="n"/>
      <c r="S394" s="27" t="n"/>
      <c r="T394" s="27" t="n"/>
      <c r="U394" s="27" t="n"/>
      <c r="V394" s="27" t="n"/>
      <c r="W394" s="27" t="n"/>
      <c r="X394" s="27" t="n"/>
      <c r="Y394" s="27" t="n"/>
      <c r="Z394" s="30" t="n"/>
      <c r="AA394" s="25" t="n"/>
      <c r="AB394" s="28">
        <f>IF(NOT(AND($A394&lt;&gt;"",OR($G394="",$G394="Active"))),"",IF(OR(IF(OR(ISNUMBER($V394),$V394="DNA"),$V394,IF(OR(ISNUMBER($U394),$U394="DNA"),$U394,IF(OR(ISNUMBER($T394),$T394="DNA"),$T394,IF(OR(ISNUMBER($S394),$S394="DNA"),$S394,IF(OR(ISNUMBER($R394),$R394="DNA"),$R394,IF(OR(ISNUMBER($Q394),$Q394="DNA"),$Q394,IF(OR(ISNUMBER($N394),$N394="DNA"),$N394,IF(OR(ISNUMBER($M394),$M394="DNA"),$M394,IF(OR(ISNUMBER($L394),$L394="DNA"),$L394,"")))))))))="DNA",AND(ISNUMBER(IF(OR(ISNUMBER($V394),$V394="DNA"),$V394,IF(OR(ISNUMBER($U394),$U394="DNA"),$U394,IF(OR(ISNUMBER($T394),$T394="DNA"),$T394,IF(OR(ISNUMBER($S394),$S394="DNA"),$S394,IF(OR(ISNUMBER($R394),$R394="DNA"),$R394,IF(OR(ISNUMBER($Q394),$Q394="DNA"),$Q394,IF(OR(ISNUMBER($N394),$N394="DNA"),$N394,IF(OR(ISNUMBER($M394),$M394="DNA"),$M394,IF(OR(ISNUMBER($L394),$L394="DNA"),$L394,"")))))))))),IF(OR(ISNUMBER($V394),$V394="DNA"),$V394,IF(OR(ISNUMBER($U394),$U394="DNA"),$U394,IF(OR(ISNUMBER($T394),$T394="DNA"),$T394,IF(OR(ISNUMBER($S394),$S394="DNA"),$S394,IF(OR(ISNUMBER($R394),$R394="DNA"),$R394,IF(OR(ISNUMBER($Q394),$Q394="DNA"),$Q394,IF(OR(ISNUMBER($N394),$N394="DNA"),$N394,IF(OR(ISNUMBER($M394),$M394="DNA"),$M394,IF(OR(ISNUMBER($L394),$L394="DNA"),$L394,"")))))))))&lt;TODAY())),1,0)+ISNUMBER($O394)*($O394&lt;TODAY())+ISNUMBER($P394)*($P394&lt;TODAY())+ISNUMBER($X394)*($X394&lt;TODAY())+ISNUMBER($Y394)*($Y394&lt;TODAY()))</f>
        <v/>
      </c>
    </row>
    <row r="395">
      <c r="A395" s="25" t="n"/>
      <c r="B395" s="26" t="n"/>
      <c r="C395" s="27" t="n"/>
      <c r="D395" s="25" t="n"/>
      <c r="E395" s="25" t="n"/>
      <c r="F395" s="27" t="n"/>
      <c r="G395" s="25" t="n"/>
      <c r="H395" s="28">
        <f>IF(OR(NOT(AND($A395&lt;&gt;"",OR($G395="",$G395="Active"))),$F395=""),"",INT((TODAY()-$F395+280)/7)&amp;"+"&amp;MOD(TODAY()-$F395+280,7))</f>
        <v/>
      </c>
      <c r="I395" s="28">
        <f>IF(NOT(AND($A395&lt;&gt;"",OR($G395="",$G395="Active"))),"",ISNUMBER($L395)*($L395&gt;=TODAY())*($L395&lt;=TODAY()+7)+ISNUMBER($M395)*($M395&gt;=TODAY())*($M395&lt;=TODAY()+7)+ISNUMBER($N395)*($N395&gt;=TODAY())*($N395&lt;=TODAY()+7)+ISNUMBER($Q395)*($Q395&gt;=TODAY())*($Q395&lt;=TODAY()+7)+ISNUMBER($R395)*($R395&gt;=TODAY())*($R395&lt;=TODAY()+7)+ISNUMBER($S395)*($S395&gt;=TODAY())*($S395&lt;=TODAY()+7)+ISNUMBER($T395)*($T395&gt;=TODAY())*($T395&lt;=TODAY()+7)+ISNUMBER($U395)*($U395&gt;=TODAY())*($U395&lt;=TODAY()+7)+ISNUMBER($V395)*($V395&gt;=TODAY())*($V395&lt;=TODAY()+7)+ISNUMBER($O395)*($O395&gt;=TODAY())*($O395&lt;=TODAY()+7)+ISNUMBER($P395)*($P395&gt;=TODAY())*($P395&lt;=TODAY()+7)+ISNUMBER($X395)*($X395&gt;=TODAY())*($X395&lt;=TODAY()+7)+ISNUMBER($Y395)*($Y395&gt;=TODAY())*($Y395&lt;=TODAY()+7))</f>
        <v/>
      </c>
      <c r="J395" s="28">
        <f>IF(NOT(AND($A395&lt;&gt;"",OR($G395="",$G395="Active"))),"",IF($K395&lt;&gt;"",IF($L395=$K395,"Booking",IF($M395=$K395,"16/40",IF($N395=$K395,"25/40",IF($Q395=$K395,"28/40",IF($R395=$K395,"31/40",IF($S395=$K395,"34/40",IF($T395=$K395,"36/40",IF($U395=$K395,"38/40",IF($V395=$K395,"40/40",""))))))))),IF(IF(OR(ISNUMBER($V395),$V395="DNA"),$V395,IF(OR(ISNUMBER($U395),$U395="DNA"),$U395,IF(OR(ISNUMBER($T395),$T395="DNA"),$T395,IF(OR(ISNUMBER($S395),$S395="DNA"),$S395,IF(OR(ISNUMBER($R395),$R395="DNA"),$R395,IF(OR(ISNUMBER($Q395),$Q395="DNA"),$Q395,IF(OR(ISNUMBER($N395),$N395="DNA"),$N395,IF(OR(ISNUMBER($M395),$M395="DNA"),$M395,IF(OR(ISNUMBER($L395),$L395="DNA"),$L395,"")))))))))="DNA","Rebook DNA",IF(ISNUMBER(IF(OR(ISNUMBER($V395),$V395="DNA"),$V395,IF(OR(ISNUMBER($U395),$U395="DNA"),$U395,IF(OR(ISNUMBER($T395),$T395="DNA"),$T395,IF(OR(ISNUMBER($S395),$S395="DNA"),$S395,IF(OR(ISNUMBER($R395),$R395="DNA"),$R395,IF(OR(ISNUMBER($Q395),$Q395="DNA"),$Q395,IF(OR(ISNUMBER($N395),$N395="DNA"),$N395,IF(OR(ISNUMBER($M395),$M395="DNA"),$M395,IF(OR(ISNUMBER($L395),$L395="DNA"),$L395,"")))))))))),IF(ISNUMBER($V395),"Update status","Missed/not booked?"),""))))</f>
        <v/>
      </c>
      <c r="K395" s="29">
        <f>IF(NOT(AND($A395&lt;&gt;"",OR($G395="",$G395="Active"))),"",IF(MIN(IF(AND(ISNUMBER($L395),$L395&gt;=TODAY()),$L395,99999),IF(AND(ISNUMBER($M395),$M395&gt;=TODAY()),$M395,99999),IF(AND(ISNUMBER($N395),$N395&gt;=TODAY()),$N395,99999),IF(AND(ISNUMBER($Q395),$Q395&gt;=TODAY()),$Q395,99999),IF(AND(ISNUMBER($R395),$R395&gt;=TODAY()),$R395,99999),IF(AND(ISNUMBER($S395),$S395&gt;=TODAY()),$S395,99999),IF(AND(ISNUMBER($T395),$T395&gt;=TODAY()),$T395,99999),IF(AND(ISNUMBER($U395),$U395&gt;=TODAY()),$U395,99999),IF(AND(ISNUMBER($V395),$V395&gt;=TODAY()),$V395,99999))=99999,"",MIN(IF(AND(ISNUMBER($L395),$L395&gt;=TODAY()),$L395,99999),IF(AND(ISNUMBER($M395),$M395&gt;=TODAY()),$M395,99999),IF(AND(ISNUMBER($N395),$N395&gt;=TODAY()),$N395,99999),IF(AND(ISNUMBER($Q395),$Q395&gt;=TODAY()),$Q395,99999),IF(AND(ISNUMBER($R395),$R395&gt;=TODAY()),$R395,99999),IF(AND(ISNUMBER($S395),$S395&gt;=TODAY()),$S395,99999),IF(AND(ISNUMBER($T395),$T395&gt;=TODAY()),$T395,99999),IF(AND(ISNUMBER($U395),$U395&gt;=TODAY()),$U395,99999),IF(AND(ISNUMBER($V395),$V395&gt;=TODAY()),$V395,99999))))</f>
        <v/>
      </c>
      <c r="L395" s="27" t="n"/>
      <c r="M395" s="27" t="n"/>
      <c r="N395" s="27" t="n"/>
      <c r="O395" s="27" t="n"/>
      <c r="P395" s="27" t="n"/>
      <c r="Q395" s="27" t="n"/>
      <c r="R395" s="27" t="n"/>
      <c r="S395" s="27" t="n"/>
      <c r="T395" s="27" t="n"/>
      <c r="U395" s="27" t="n"/>
      <c r="V395" s="27" t="n"/>
      <c r="W395" s="27" t="n"/>
      <c r="X395" s="27" t="n"/>
      <c r="Y395" s="27" t="n"/>
      <c r="Z395" s="30" t="n"/>
      <c r="AA395" s="25" t="n"/>
      <c r="AB395" s="28">
        <f>IF(NOT(AND($A395&lt;&gt;"",OR($G395="",$G395="Active"))),"",IF(OR(IF(OR(ISNUMBER($V395),$V395="DNA"),$V395,IF(OR(ISNUMBER($U395),$U395="DNA"),$U395,IF(OR(ISNUMBER($T395),$T395="DNA"),$T395,IF(OR(ISNUMBER($S395),$S395="DNA"),$S395,IF(OR(ISNUMBER($R395),$R395="DNA"),$R395,IF(OR(ISNUMBER($Q395),$Q395="DNA"),$Q395,IF(OR(ISNUMBER($N395),$N395="DNA"),$N395,IF(OR(ISNUMBER($M395),$M395="DNA"),$M395,IF(OR(ISNUMBER($L395),$L395="DNA"),$L395,"")))))))))="DNA",AND(ISNUMBER(IF(OR(ISNUMBER($V395),$V395="DNA"),$V395,IF(OR(ISNUMBER($U395),$U395="DNA"),$U395,IF(OR(ISNUMBER($T395),$T395="DNA"),$T395,IF(OR(ISNUMBER($S395),$S395="DNA"),$S395,IF(OR(ISNUMBER($R395),$R395="DNA"),$R395,IF(OR(ISNUMBER($Q395),$Q395="DNA"),$Q395,IF(OR(ISNUMBER($N395),$N395="DNA"),$N395,IF(OR(ISNUMBER($M395),$M395="DNA"),$M395,IF(OR(ISNUMBER($L395),$L395="DNA"),$L395,"")))))))))),IF(OR(ISNUMBER($V395),$V395="DNA"),$V395,IF(OR(ISNUMBER($U395),$U395="DNA"),$U395,IF(OR(ISNUMBER($T395),$T395="DNA"),$T395,IF(OR(ISNUMBER($S395),$S395="DNA"),$S395,IF(OR(ISNUMBER($R395),$R395="DNA"),$R395,IF(OR(ISNUMBER($Q395),$Q395="DNA"),$Q395,IF(OR(ISNUMBER($N395),$N395="DNA"),$N395,IF(OR(ISNUMBER($M395),$M395="DNA"),$M395,IF(OR(ISNUMBER($L395),$L395="DNA"),$L395,"")))))))))&lt;TODAY())),1,0)+ISNUMBER($O395)*($O395&lt;TODAY())+ISNUMBER($P395)*($P395&lt;TODAY())+ISNUMBER($X395)*($X395&lt;TODAY())+ISNUMBER($Y395)*($Y395&lt;TODAY()))</f>
        <v/>
      </c>
    </row>
    <row r="396">
      <c r="A396" s="25" t="n"/>
      <c r="B396" s="26" t="n"/>
      <c r="C396" s="27" t="n"/>
      <c r="D396" s="25" t="n"/>
      <c r="E396" s="25" t="n"/>
      <c r="F396" s="27" t="n"/>
      <c r="G396" s="25" t="n"/>
      <c r="H396" s="28">
        <f>IF(OR(NOT(AND($A396&lt;&gt;"",OR($G396="",$G396="Active"))),$F396=""),"",INT((TODAY()-$F396+280)/7)&amp;"+"&amp;MOD(TODAY()-$F396+280,7))</f>
        <v/>
      </c>
      <c r="I396" s="28">
        <f>IF(NOT(AND($A396&lt;&gt;"",OR($G396="",$G396="Active"))),"",ISNUMBER($L396)*($L396&gt;=TODAY())*($L396&lt;=TODAY()+7)+ISNUMBER($M396)*($M396&gt;=TODAY())*($M396&lt;=TODAY()+7)+ISNUMBER($N396)*($N396&gt;=TODAY())*($N396&lt;=TODAY()+7)+ISNUMBER($Q396)*($Q396&gt;=TODAY())*($Q396&lt;=TODAY()+7)+ISNUMBER($R396)*($R396&gt;=TODAY())*($R396&lt;=TODAY()+7)+ISNUMBER($S396)*($S396&gt;=TODAY())*($S396&lt;=TODAY()+7)+ISNUMBER($T396)*($T396&gt;=TODAY())*($T396&lt;=TODAY()+7)+ISNUMBER($U396)*($U396&gt;=TODAY())*($U396&lt;=TODAY()+7)+ISNUMBER($V396)*($V396&gt;=TODAY())*($V396&lt;=TODAY()+7)+ISNUMBER($O396)*($O396&gt;=TODAY())*($O396&lt;=TODAY()+7)+ISNUMBER($P396)*($P396&gt;=TODAY())*($P396&lt;=TODAY()+7)+ISNUMBER($X396)*($X396&gt;=TODAY())*($X396&lt;=TODAY()+7)+ISNUMBER($Y396)*($Y396&gt;=TODAY())*($Y396&lt;=TODAY()+7))</f>
        <v/>
      </c>
      <c r="J396" s="28">
        <f>IF(NOT(AND($A396&lt;&gt;"",OR($G396="",$G396="Active"))),"",IF($K396&lt;&gt;"",IF($L396=$K396,"Booking",IF($M396=$K396,"16/40",IF($N396=$K396,"25/40",IF($Q396=$K396,"28/40",IF($R396=$K396,"31/40",IF($S396=$K396,"34/40",IF($T396=$K396,"36/40",IF($U396=$K396,"38/40",IF($V396=$K396,"40/40",""))))))))),IF(IF(OR(ISNUMBER($V396),$V396="DNA"),$V396,IF(OR(ISNUMBER($U396),$U396="DNA"),$U396,IF(OR(ISNUMBER($T396),$T396="DNA"),$T396,IF(OR(ISNUMBER($S396),$S396="DNA"),$S396,IF(OR(ISNUMBER($R396),$R396="DNA"),$R396,IF(OR(ISNUMBER($Q396),$Q396="DNA"),$Q396,IF(OR(ISNUMBER($N396),$N396="DNA"),$N396,IF(OR(ISNUMBER($M396),$M396="DNA"),$M396,IF(OR(ISNUMBER($L396),$L396="DNA"),$L396,"")))))))))="DNA","Rebook DNA",IF(ISNUMBER(IF(OR(ISNUMBER($V396),$V396="DNA"),$V396,IF(OR(ISNUMBER($U396),$U396="DNA"),$U396,IF(OR(ISNUMBER($T396),$T396="DNA"),$T396,IF(OR(ISNUMBER($S396),$S396="DNA"),$S396,IF(OR(ISNUMBER($R396),$R396="DNA"),$R396,IF(OR(ISNUMBER($Q396),$Q396="DNA"),$Q396,IF(OR(ISNUMBER($N396),$N396="DNA"),$N396,IF(OR(ISNUMBER($M396),$M396="DNA"),$M396,IF(OR(ISNUMBER($L396),$L396="DNA"),$L396,"")))))))))),IF(ISNUMBER($V396),"Update status","Missed/not booked?"),""))))</f>
        <v/>
      </c>
      <c r="K396" s="29">
        <f>IF(NOT(AND($A396&lt;&gt;"",OR($G396="",$G396="Active"))),"",IF(MIN(IF(AND(ISNUMBER($L396),$L396&gt;=TODAY()),$L396,99999),IF(AND(ISNUMBER($M396),$M396&gt;=TODAY()),$M396,99999),IF(AND(ISNUMBER($N396),$N396&gt;=TODAY()),$N396,99999),IF(AND(ISNUMBER($Q396),$Q396&gt;=TODAY()),$Q396,99999),IF(AND(ISNUMBER($R396),$R396&gt;=TODAY()),$R396,99999),IF(AND(ISNUMBER($S396),$S396&gt;=TODAY()),$S396,99999),IF(AND(ISNUMBER($T396),$T396&gt;=TODAY()),$T396,99999),IF(AND(ISNUMBER($U396),$U396&gt;=TODAY()),$U396,99999),IF(AND(ISNUMBER($V396),$V396&gt;=TODAY()),$V396,99999))=99999,"",MIN(IF(AND(ISNUMBER($L396),$L396&gt;=TODAY()),$L396,99999),IF(AND(ISNUMBER($M396),$M396&gt;=TODAY()),$M396,99999),IF(AND(ISNUMBER($N396),$N396&gt;=TODAY()),$N396,99999),IF(AND(ISNUMBER($Q396),$Q396&gt;=TODAY()),$Q396,99999),IF(AND(ISNUMBER($R396),$R396&gt;=TODAY()),$R396,99999),IF(AND(ISNUMBER($S396),$S396&gt;=TODAY()),$S396,99999),IF(AND(ISNUMBER($T396),$T396&gt;=TODAY()),$T396,99999),IF(AND(ISNUMBER($U396),$U396&gt;=TODAY()),$U396,99999),IF(AND(ISNUMBER($V396),$V396&gt;=TODAY()),$V396,99999))))</f>
        <v/>
      </c>
      <c r="L396" s="27" t="n"/>
      <c r="M396" s="27" t="n"/>
      <c r="N396" s="27" t="n"/>
      <c r="O396" s="27" t="n"/>
      <c r="P396" s="27" t="n"/>
      <c r="Q396" s="27" t="n"/>
      <c r="R396" s="27" t="n"/>
      <c r="S396" s="27" t="n"/>
      <c r="T396" s="27" t="n"/>
      <c r="U396" s="27" t="n"/>
      <c r="V396" s="27" t="n"/>
      <c r="W396" s="27" t="n"/>
      <c r="X396" s="27" t="n"/>
      <c r="Y396" s="27" t="n"/>
      <c r="Z396" s="30" t="n"/>
      <c r="AA396" s="25" t="n"/>
      <c r="AB396" s="28">
        <f>IF(NOT(AND($A396&lt;&gt;"",OR($G396="",$G396="Active"))),"",IF(OR(IF(OR(ISNUMBER($V396),$V396="DNA"),$V396,IF(OR(ISNUMBER($U396),$U396="DNA"),$U396,IF(OR(ISNUMBER($T396),$T396="DNA"),$T396,IF(OR(ISNUMBER($S396),$S396="DNA"),$S396,IF(OR(ISNUMBER($R396),$R396="DNA"),$R396,IF(OR(ISNUMBER($Q396),$Q396="DNA"),$Q396,IF(OR(ISNUMBER($N396),$N396="DNA"),$N396,IF(OR(ISNUMBER($M396),$M396="DNA"),$M396,IF(OR(ISNUMBER($L396),$L396="DNA"),$L396,"")))))))))="DNA",AND(ISNUMBER(IF(OR(ISNUMBER($V396),$V396="DNA"),$V396,IF(OR(ISNUMBER($U396),$U396="DNA"),$U396,IF(OR(ISNUMBER($T396),$T396="DNA"),$T396,IF(OR(ISNUMBER($S396),$S396="DNA"),$S396,IF(OR(ISNUMBER($R396),$R396="DNA"),$R396,IF(OR(ISNUMBER($Q396),$Q396="DNA"),$Q396,IF(OR(ISNUMBER($N396),$N396="DNA"),$N396,IF(OR(ISNUMBER($M396),$M396="DNA"),$M396,IF(OR(ISNUMBER($L396),$L396="DNA"),$L396,"")))))))))),IF(OR(ISNUMBER($V396),$V396="DNA"),$V396,IF(OR(ISNUMBER($U396),$U396="DNA"),$U396,IF(OR(ISNUMBER($T396),$T396="DNA"),$T396,IF(OR(ISNUMBER($S396),$S396="DNA"),$S396,IF(OR(ISNUMBER($R396),$R396="DNA"),$R396,IF(OR(ISNUMBER($Q396),$Q396="DNA"),$Q396,IF(OR(ISNUMBER($N396),$N396="DNA"),$N396,IF(OR(ISNUMBER($M396),$M396="DNA"),$M396,IF(OR(ISNUMBER($L396),$L396="DNA"),$L396,"")))))))))&lt;TODAY())),1,0)+ISNUMBER($O396)*($O396&lt;TODAY())+ISNUMBER($P396)*($P396&lt;TODAY())+ISNUMBER($X396)*($X396&lt;TODAY())+ISNUMBER($Y396)*($Y396&lt;TODAY()))</f>
        <v/>
      </c>
    </row>
    <row r="397">
      <c r="A397" s="25" t="n"/>
      <c r="B397" s="26" t="n"/>
      <c r="C397" s="27" t="n"/>
      <c r="D397" s="25" t="n"/>
      <c r="E397" s="25" t="n"/>
      <c r="F397" s="27" t="n"/>
      <c r="G397" s="25" t="n"/>
      <c r="H397" s="28">
        <f>IF(OR(NOT(AND($A397&lt;&gt;"",OR($G397="",$G397="Active"))),$F397=""),"",INT((TODAY()-$F397+280)/7)&amp;"+"&amp;MOD(TODAY()-$F397+280,7))</f>
        <v/>
      </c>
      <c r="I397" s="28">
        <f>IF(NOT(AND($A397&lt;&gt;"",OR($G397="",$G397="Active"))),"",ISNUMBER($L397)*($L397&gt;=TODAY())*($L397&lt;=TODAY()+7)+ISNUMBER($M397)*($M397&gt;=TODAY())*($M397&lt;=TODAY()+7)+ISNUMBER($N397)*($N397&gt;=TODAY())*($N397&lt;=TODAY()+7)+ISNUMBER($Q397)*($Q397&gt;=TODAY())*($Q397&lt;=TODAY()+7)+ISNUMBER($R397)*($R397&gt;=TODAY())*($R397&lt;=TODAY()+7)+ISNUMBER($S397)*($S397&gt;=TODAY())*($S397&lt;=TODAY()+7)+ISNUMBER($T397)*($T397&gt;=TODAY())*($T397&lt;=TODAY()+7)+ISNUMBER($U397)*($U397&gt;=TODAY())*($U397&lt;=TODAY()+7)+ISNUMBER($V397)*($V397&gt;=TODAY())*($V397&lt;=TODAY()+7)+ISNUMBER($O397)*($O397&gt;=TODAY())*($O397&lt;=TODAY()+7)+ISNUMBER($P397)*($P397&gt;=TODAY())*($P397&lt;=TODAY()+7)+ISNUMBER($X397)*($X397&gt;=TODAY())*($X397&lt;=TODAY()+7)+ISNUMBER($Y397)*($Y397&gt;=TODAY())*($Y397&lt;=TODAY()+7))</f>
        <v/>
      </c>
      <c r="J397" s="28">
        <f>IF(NOT(AND($A397&lt;&gt;"",OR($G397="",$G397="Active"))),"",IF($K397&lt;&gt;"",IF($L397=$K397,"Booking",IF($M397=$K397,"16/40",IF($N397=$K397,"25/40",IF($Q397=$K397,"28/40",IF($R397=$K397,"31/40",IF($S397=$K397,"34/40",IF($T397=$K397,"36/40",IF($U397=$K397,"38/40",IF($V397=$K397,"40/40",""))))))))),IF(IF(OR(ISNUMBER($V397),$V397="DNA"),$V397,IF(OR(ISNUMBER($U397),$U397="DNA"),$U397,IF(OR(ISNUMBER($T397),$T397="DNA"),$T397,IF(OR(ISNUMBER($S397),$S397="DNA"),$S397,IF(OR(ISNUMBER($R397),$R397="DNA"),$R397,IF(OR(ISNUMBER($Q397),$Q397="DNA"),$Q397,IF(OR(ISNUMBER($N397),$N397="DNA"),$N397,IF(OR(ISNUMBER($M397),$M397="DNA"),$M397,IF(OR(ISNUMBER($L397),$L397="DNA"),$L397,"")))))))))="DNA","Rebook DNA",IF(ISNUMBER(IF(OR(ISNUMBER($V397),$V397="DNA"),$V397,IF(OR(ISNUMBER($U397),$U397="DNA"),$U397,IF(OR(ISNUMBER($T397),$T397="DNA"),$T397,IF(OR(ISNUMBER($S397),$S397="DNA"),$S397,IF(OR(ISNUMBER($R397),$R397="DNA"),$R397,IF(OR(ISNUMBER($Q397),$Q397="DNA"),$Q397,IF(OR(ISNUMBER($N397),$N397="DNA"),$N397,IF(OR(ISNUMBER($M397),$M397="DNA"),$M397,IF(OR(ISNUMBER($L397),$L397="DNA"),$L397,"")))))))))),IF(ISNUMBER($V397),"Update status","Missed/not booked?"),""))))</f>
        <v/>
      </c>
      <c r="K397" s="29">
        <f>IF(NOT(AND($A397&lt;&gt;"",OR($G397="",$G397="Active"))),"",IF(MIN(IF(AND(ISNUMBER($L397),$L397&gt;=TODAY()),$L397,99999),IF(AND(ISNUMBER($M397),$M397&gt;=TODAY()),$M397,99999),IF(AND(ISNUMBER($N397),$N397&gt;=TODAY()),$N397,99999),IF(AND(ISNUMBER($Q397),$Q397&gt;=TODAY()),$Q397,99999),IF(AND(ISNUMBER($R397),$R397&gt;=TODAY()),$R397,99999),IF(AND(ISNUMBER($S397),$S397&gt;=TODAY()),$S397,99999),IF(AND(ISNUMBER($T397),$T397&gt;=TODAY()),$T397,99999),IF(AND(ISNUMBER($U397),$U397&gt;=TODAY()),$U397,99999),IF(AND(ISNUMBER($V397),$V397&gt;=TODAY()),$V397,99999))=99999,"",MIN(IF(AND(ISNUMBER($L397),$L397&gt;=TODAY()),$L397,99999),IF(AND(ISNUMBER($M397),$M397&gt;=TODAY()),$M397,99999),IF(AND(ISNUMBER($N397),$N397&gt;=TODAY()),$N397,99999),IF(AND(ISNUMBER($Q397),$Q397&gt;=TODAY()),$Q397,99999),IF(AND(ISNUMBER($R397),$R397&gt;=TODAY()),$R397,99999),IF(AND(ISNUMBER($S397),$S397&gt;=TODAY()),$S397,99999),IF(AND(ISNUMBER($T397),$T397&gt;=TODAY()),$T397,99999),IF(AND(ISNUMBER($U397),$U397&gt;=TODAY()),$U397,99999),IF(AND(ISNUMBER($V397),$V397&gt;=TODAY()),$V397,99999))))</f>
        <v/>
      </c>
      <c r="L397" s="27" t="n"/>
      <c r="M397" s="27" t="n"/>
      <c r="N397" s="27" t="n"/>
      <c r="O397" s="27" t="n"/>
      <c r="P397" s="27" t="n"/>
      <c r="Q397" s="27" t="n"/>
      <c r="R397" s="27" t="n"/>
      <c r="S397" s="27" t="n"/>
      <c r="T397" s="27" t="n"/>
      <c r="U397" s="27" t="n"/>
      <c r="V397" s="27" t="n"/>
      <c r="W397" s="27" t="n"/>
      <c r="X397" s="27" t="n"/>
      <c r="Y397" s="27" t="n"/>
      <c r="Z397" s="30" t="n"/>
      <c r="AA397" s="25" t="n"/>
      <c r="AB397" s="28">
        <f>IF(NOT(AND($A397&lt;&gt;"",OR($G397="",$G397="Active"))),"",IF(OR(IF(OR(ISNUMBER($V397),$V397="DNA"),$V397,IF(OR(ISNUMBER($U397),$U397="DNA"),$U397,IF(OR(ISNUMBER($T397),$T397="DNA"),$T397,IF(OR(ISNUMBER($S397),$S397="DNA"),$S397,IF(OR(ISNUMBER($R397),$R397="DNA"),$R397,IF(OR(ISNUMBER($Q397),$Q397="DNA"),$Q397,IF(OR(ISNUMBER($N397),$N397="DNA"),$N397,IF(OR(ISNUMBER($M397),$M397="DNA"),$M397,IF(OR(ISNUMBER($L397),$L397="DNA"),$L397,"")))))))))="DNA",AND(ISNUMBER(IF(OR(ISNUMBER($V397),$V397="DNA"),$V397,IF(OR(ISNUMBER($U397),$U397="DNA"),$U397,IF(OR(ISNUMBER($T397),$T397="DNA"),$T397,IF(OR(ISNUMBER($S397),$S397="DNA"),$S397,IF(OR(ISNUMBER($R397),$R397="DNA"),$R397,IF(OR(ISNUMBER($Q397),$Q397="DNA"),$Q397,IF(OR(ISNUMBER($N397),$N397="DNA"),$N397,IF(OR(ISNUMBER($M397),$M397="DNA"),$M397,IF(OR(ISNUMBER($L397),$L397="DNA"),$L397,"")))))))))),IF(OR(ISNUMBER($V397),$V397="DNA"),$V397,IF(OR(ISNUMBER($U397),$U397="DNA"),$U397,IF(OR(ISNUMBER($T397),$T397="DNA"),$T397,IF(OR(ISNUMBER($S397),$S397="DNA"),$S397,IF(OR(ISNUMBER($R397),$R397="DNA"),$R397,IF(OR(ISNUMBER($Q397),$Q397="DNA"),$Q397,IF(OR(ISNUMBER($N397),$N397="DNA"),$N397,IF(OR(ISNUMBER($M397),$M397="DNA"),$M397,IF(OR(ISNUMBER($L397),$L397="DNA"),$L397,"")))))))))&lt;TODAY())),1,0)+ISNUMBER($O397)*($O397&lt;TODAY())+ISNUMBER($P397)*($P397&lt;TODAY())+ISNUMBER($X397)*($X397&lt;TODAY())+ISNUMBER($Y397)*($Y397&lt;TODAY()))</f>
        <v/>
      </c>
    </row>
    <row r="398">
      <c r="A398" s="25" t="n"/>
      <c r="B398" s="26" t="n"/>
      <c r="C398" s="27" t="n"/>
      <c r="D398" s="25" t="n"/>
      <c r="E398" s="25" t="n"/>
      <c r="F398" s="27" t="n"/>
      <c r="G398" s="25" t="n"/>
      <c r="H398" s="28">
        <f>IF(OR(NOT(AND($A398&lt;&gt;"",OR($G398="",$G398="Active"))),$F398=""),"",INT((TODAY()-$F398+280)/7)&amp;"+"&amp;MOD(TODAY()-$F398+280,7))</f>
        <v/>
      </c>
      <c r="I398" s="28">
        <f>IF(NOT(AND($A398&lt;&gt;"",OR($G398="",$G398="Active"))),"",ISNUMBER($L398)*($L398&gt;=TODAY())*($L398&lt;=TODAY()+7)+ISNUMBER($M398)*($M398&gt;=TODAY())*($M398&lt;=TODAY()+7)+ISNUMBER($N398)*($N398&gt;=TODAY())*($N398&lt;=TODAY()+7)+ISNUMBER($Q398)*($Q398&gt;=TODAY())*($Q398&lt;=TODAY()+7)+ISNUMBER($R398)*($R398&gt;=TODAY())*($R398&lt;=TODAY()+7)+ISNUMBER($S398)*($S398&gt;=TODAY())*($S398&lt;=TODAY()+7)+ISNUMBER($T398)*($T398&gt;=TODAY())*($T398&lt;=TODAY()+7)+ISNUMBER($U398)*($U398&gt;=TODAY())*($U398&lt;=TODAY()+7)+ISNUMBER($V398)*($V398&gt;=TODAY())*($V398&lt;=TODAY()+7)+ISNUMBER($O398)*($O398&gt;=TODAY())*($O398&lt;=TODAY()+7)+ISNUMBER($P398)*($P398&gt;=TODAY())*($P398&lt;=TODAY()+7)+ISNUMBER($X398)*($X398&gt;=TODAY())*($X398&lt;=TODAY()+7)+ISNUMBER($Y398)*($Y398&gt;=TODAY())*($Y398&lt;=TODAY()+7))</f>
        <v/>
      </c>
      <c r="J398" s="28">
        <f>IF(NOT(AND($A398&lt;&gt;"",OR($G398="",$G398="Active"))),"",IF($K398&lt;&gt;"",IF($L398=$K398,"Booking",IF($M398=$K398,"16/40",IF($N398=$K398,"25/40",IF($Q398=$K398,"28/40",IF($R398=$K398,"31/40",IF($S398=$K398,"34/40",IF($T398=$K398,"36/40",IF($U398=$K398,"38/40",IF($V398=$K398,"40/40",""))))))))),IF(IF(OR(ISNUMBER($V398),$V398="DNA"),$V398,IF(OR(ISNUMBER($U398),$U398="DNA"),$U398,IF(OR(ISNUMBER($T398),$T398="DNA"),$T398,IF(OR(ISNUMBER($S398),$S398="DNA"),$S398,IF(OR(ISNUMBER($R398),$R398="DNA"),$R398,IF(OR(ISNUMBER($Q398),$Q398="DNA"),$Q398,IF(OR(ISNUMBER($N398),$N398="DNA"),$N398,IF(OR(ISNUMBER($M398),$M398="DNA"),$M398,IF(OR(ISNUMBER($L398),$L398="DNA"),$L398,"")))))))))="DNA","Rebook DNA",IF(ISNUMBER(IF(OR(ISNUMBER($V398),$V398="DNA"),$V398,IF(OR(ISNUMBER($U398),$U398="DNA"),$U398,IF(OR(ISNUMBER($T398),$T398="DNA"),$T398,IF(OR(ISNUMBER($S398),$S398="DNA"),$S398,IF(OR(ISNUMBER($R398),$R398="DNA"),$R398,IF(OR(ISNUMBER($Q398),$Q398="DNA"),$Q398,IF(OR(ISNUMBER($N398),$N398="DNA"),$N398,IF(OR(ISNUMBER($M398),$M398="DNA"),$M398,IF(OR(ISNUMBER($L398),$L398="DNA"),$L398,"")))))))))),IF(ISNUMBER($V398),"Update status","Missed/not booked?"),""))))</f>
        <v/>
      </c>
      <c r="K398" s="29">
        <f>IF(NOT(AND($A398&lt;&gt;"",OR($G398="",$G398="Active"))),"",IF(MIN(IF(AND(ISNUMBER($L398),$L398&gt;=TODAY()),$L398,99999),IF(AND(ISNUMBER($M398),$M398&gt;=TODAY()),$M398,99999),IF(AND(ISNUMBER($N398),$N398&gt;=TODAY()),$N398,99999),IF(AND(ISNUMBER($Q398),$Q398&gt;=TODAY()),$Q398,99999),IF(AND(ISNUMBER($R398),$R398&gt;=TODAY()),$R398,99999),IF(AND(ISNUMBER($S398),$S398&gt;=TODAY()),$S398,99999),IF(AND(ISNUMBER($T398),$T398&gt;=TODAY()),$T398,99999),IF(AND(ISNUMBER($U398),$U398&gt;=TODAY()),$U398,99999),IF(AND(ISNUMBER($V398),$V398&gt;=TODAY()),$V398,99999))=99999,"",MIN(IF(AND(ISNUMBER($L398),$L398&gt;=TODAY()),$L398,99999),IF(AND(ISNUMBER($M398),$M398&gt;=TODAY()),$M398,99999),IF(AND(ISNUMBER($N398),$N398&gt;=TODAY()),$N398,99999),IF(AND(ISNUMBER($Q398),$Q398&gt;=TODAY()),$Q398,99999),IF(AND(ISNUMBER($R398),$R398&gt;=TODAY()),$R398,99999),IF(AND(ISNUMBER($S398),$S398&gt;=TODAY()),$S398,99999),IF(AND(ISNUMBER($T398),$T398&gt;=TODAY()),$T398,99999),IF(AND(ISNUMBER($U398),$U398&gt;=TODAY()),$U398,99999),IF(AND(ISNUMBER($V398),$V398&gt;=TODAY()),$V398,99999))))</f>
        <v/>
      </c>
      <c r="L398" s="27" t="n"/>
      <c r="M398" s="27" t="n"/>
      <c r="N398" s="27" t="n"/>
      <c r="O398" s="27" t="n"/>
      <c r="P398" s="27" t="n"/>
      <c r="Q398" s="27" t="n"/>
      <c r="R398" s="27" t="n"/>
      <c r="S398" s="27" t="n"/>
      <c r="T398" s="27" t="n"/>
      <c r="U398" s="27" t="n"/>
      <c r="V398" s="27" t="n"/>
      <c r="W398" s="27" t="n"/>
      <c r="X398" s="27" t="n"/>
      <c r="Y398" s="27" t="n"/>
      <c r="Z398" s="30" t="n"/>
      <c r="AA398" s="25" t="n"/>
      <c r="AB398" s="28">
        <f>IF(NOT(AND($A398&lt;&gt;"",OR($G398="",$G398="Active"))),"",IF(OR(IF(OR(ISNUMBER($V398),$V398="DNA"),$V398,IF(OR(ISNUMBER($U398),$U398="DNA"),$U398,IF(OR(ISNUMBER($T398),$T398="DNA"),$T398,IF(OR(ISNUMBER($S398),$S398="DNA"),$S398,IF(OR(ISNUMBER($R398),$R398="DNA"),$R398,IF(OR(ISNUMBER($Q398),$Q398="DNA"),$Q398,IF(OR(ISNUMBER($N398),$N398="DNA"),$N398,IF(OR(ISNUMBER($M398),$M398="DNA"),$M398,IF(OR(ISNUMBER($L398),$L398="DNA"),$L398,"")))))))))="DNA",AND(ISNUMBER(IF(OR(ISNUMBER($V398),$V398="DNA"),$V398,IF(OR(ISNUMBER($U398),$U398="DNA"),$U398,IF(OR(ISNUMBER($T398),$T398="DNA"),$T398,IF(OR(ISNUMBER($S398),$S398="DNA"),$S398,IF(OR(ISNUMBER($R398),$R398="DNA"),$R398,IF(OR(ISNUMBER($Q398),$Q398="DNA"),$Q398,IF(OR(ISNUMBER($N398),$N398="DNA"),$N398,IF(OR(ISNUMBER($M398),$M398="DNA"),$M398,IF(OR(ISNUMBER($L398),$L398="DNA"),$L398,"")))))))))),IF(OR(ISNUMBER($V398),$V398="DNA"),$V398,IF(OR(ISNUMBER($U398),$U398="DNA"),$U398,IF(OR(ISNUMBER($T398),$T398="DNA"),$T398,IF(OR(ISNUMBER($S398),$S398="DNA"),$S398,IF(OR(ISNUMBER($R398),$R398="DNA"),$R398,IF(OR(ISNUMBER($Q398),$Q398="DNA"),$Q398,IF(OR(ISNUMBER($N398),$N398="DNA"),$N398,IF(OR(ISNUMBER($M398),$M398="DNA"),$M398,IF(OR(ISNUMBER($L398),$L398="DNA"),$L398,"")))))))))&lt;TODAY())),1,0)+ISNUMBER($O398)*($O398&lt;TODAY())+ISNUMBER($P398)*($P398&lt;TODAY())+ISNUMBER($X398)*($X398&lt;TODAY())+ISNUMBER($Y398)*($Y398&lt;TODAY()))</f>
        <v/>
      </c>
    </row>
    <row r="399">
      <c r="A399" s="25" t="n"/>
      <c r="B399" s="26" t="n"/>
      <c r="C399" s="27" t="n"/>
      <c r="D399" s="25" t="n"/>
      <c r="E399" s="25" t="n"/>
      <c r="F399" s="27" t="n"/>
      <c r="G399" s="25" t="n"/>
      <c r="H399" s="28">
        <f>IF(OR(NOT(AND($A399&lt;&gt;"",OR($G399="",$G399="Active"))),$F399=""),"",INT((TODAY()-$F399+280)/7)&amp;"+"&amp;MOD(TODAY()-$F399+280,7))</f>
        <v/>
      </c>
      <c r="I399" s="28">
        <f>IF(NOT(AND($A399&lt;&gt;"",OR($G399="",$G399="Active"))),"",ISNUMBER($L399)*($L399&gt;=TODAY())*($L399&lt;=TODAY()+7)+ISNUMBER($M399)*($M399&gt;=TODAY())*($M399&lt;=TODAY()+7)+ISNUMBER($N399)*($N399&gt;=TODAY())*($N399&lt;=TODAY()+7)+ISNUMBER($Q399)*($Q399&gt;=TODAY())*($Q399&lt;=TODAY()+7)+ISNUMBER($R399)*($R399&gt;=TODAY())*($R399&lt;=TODAY()+7)+ISNUMBER($S399)*($S399&gt;=TODAY())*($S399&lt;=TODAY()+7)+ISNUMBER($T399)*($T399&gt;=TODAY())*($T399&lt;=TODAY()+7)+ISNUMBER($U399)*($U399&gt;=TODAY())*($U399&lt;=TODAY()+7)+ISNUMBER($V399)*($V399&gt;=TODAY())*($V399&lt;=TODAY()+7)+ISNUMBER($O399)*($O399&gt;=TODAY())*($O399&lt;=TODAY()+7)+ISNUMBER($P399)*($P399&gt;=TODAY())*($P399&lt;=TODAY()+7)+ISNUMBER($X399)*($X399&gt;=TODAY())*($X399&lt;=TODAY()+7)+ISNUMBER($Y399)*($Y399&gt;=TODAY())*($Y399&lt;=TODAY()+7))</f>
        <v/>
      </c>
      <c r="J399" s="28">
        <f>IF(NOT(AND($A399&lt;&gt;"",OR($G399="",$G399="Active"))),"",IF($K399&lt;&gt;"",IF($L399=$K399,"Booking",IF($M399=$K399,"16/40",IF($N399=$K399,"25/40",IF($Q399=$K399,"28/40",IF($R399=$K399,"31/40",IF($S399=$K399,"34/40",IF($T399=$K399,"36/40",IF($U399=$K399,"38/40",IF($V399=$K399,"40/40",""))))))))),IF(IF(OR(ISNUMBER($V399),$V399="DNA"),$V399,IF(OR(ISNUMBER($U399),$U399="DNA"),$U399,IF(OR(ISNUMBER($T399),$T399="DNA"),$T399,IF(OR(ISNUMBER($S399),$S399="DNA"),$S399,IF(OR(ISNUMBER($R399),$R399="DNA"),$R399,IF(OR(ISNUMBER($Q399),$Q399="DNA"),$Q399,IF(OR(ISNUMBER($N399),$N399="DNA"),$N399,IF(OR(ISNUMBER($M399),$M399="DNA"),$M399,IF(OR(ISNUMBER($L399),$L399="DNA"),$L399,"")))))))))="DNA","Rebook DNA",IF(ISNUMBER(IF(OR(ISNUMBER($V399),$V399="DNA"),$V399,IF(OR(ISNUMBER($U399),$U399="DNA"),$U399,IF(OR(ISNUMBER($T399),$T399="DNA"),$T399,IF(OR(ISNUMBER($S399),$S399="DNA"),$S399,IF(OR(ISNUMBER($R399),$R399="DNA"),$R399,IF(OR(ISNUMBER($Q399),$Q399="DNA"),$Q399,IF(OR(ISNUMBER($N399),$N399="DNA"),$N399,IF(OR(ISNUMBER($M399),$M399="DNA"),$M399,IF(OR(ISNUMBER($L399),$L399="DNA"),$L399,"")))))))))),IF(ISNUMBER($V399),"Update status","Missed/not booked?"),""))))</f>
        <v/>
      </c>
      <c r="K399" s="29">
        <f>IF(NOT(AND($A399&lt;&gt;"",OR($G399="",$G399="Active"))),"",IF(MIN(IF(AND(ISNUMBER($L399),$L399&gt;=TODAY()),$L399,99999),IF(AND(ISNUMBER($M399),$M399&gt;=TODAY()),$M399,99999),IF(AND(ISNUMBER($N399),$N399&gt;=TODAY()),$N399,99999),IF(AND(ISNUMBER($Q399),$Q399&gt;=TODAY()),$Q399,99999),IF(AND(ISNUMBER($R399),$R399&gt;=TODAY()),$R399,99999),IF(AND(ISNUMBER($S399),$S399&gt;=TODAY()),$S399,99999),IF(AND(ISNUMBER($T399),$T399&gt;=TODAY()),$T399,99999),IF(AND(ISNUMBER($U399),$U399&gt;=TODAY()),$U399,99999),IF(AND(ISNUMBER($V399),$V399&gt;=TODAY()),$V399,99999))=99999,"",MIN(IF(AND(ISNUMBER($L399),$L399&gt;=TODAY()),$L399,99999),IF(AND(ISNUMBER($M399),$M399&gt;=TODAY()),$M399,99999),IF(AND(ISNUMBER($N399),$N399&gt;=TODAY()),$N399,99999),IF(AND(ISNUMBER($Q399),$Q399&gt;=TODAY()),$Q399,99999),IF(AND(ISNUMBER($R399),$R399&gt;=TODAY()),$R399,99999),IF(AND(ISNUMBER($S399),$S399&gt;=TODAY()),$S399,99999),IF(AND(ISNUMBER($T399),$T399&gt;=TODAY()),$T399,99999),IF(AND(ISNUMBER($U399),$U399&gt;=TODAY()),$U399,99999),IF(AND(ISNUMBER($V399),$V399&gt;=TODAY()),$V399,99999))))</f>
        <v/>
      </c>
      <c r="L399" s="27" t="n"/>
      <c r="M399" s="27" t="n"/>
      <c r="N399" s="27" t="n"/>
      <c r="O399" s="27" t="n"/>
      <c r="P399" s="27" t="n"/>
      <c r="Q399" s="27" t="n"/>
      <c r="R399" s="27" t="n"/>
      <c r="S399" s="27" t="n"/>
      <c r="T399" s="27" t="n"/>
      <c r="U399" s="27" t="n"/>
      <c r="V399" s="27" t="n"/>
      <c r="W399" s="27" t="n"/>
      <c r="X399" s="27" t="n"/>
      <c r="Y399" s="27" t="n"/>
      <c r="Z399" s="30" t="n"/>
      <c r="AA399" s="25" t="n"/>
      <c r="AB399" s="28">
        <f>IF(NOT(AND($A399&lt;&gt;"",OR($G399="",$G399="Active"))),"",IF(OR(IF(OR(ISNUMBER($V399),$V399="DNA"),$V399,IF(OR(ISNUMBER($U399),$U399="DNA"),$U399,IF(OR(ISNUMBER($T399),$T399="DNA"),$T399,IF(OR(ISNUMBER($S399),$S399="DNA"),$S399,IF(OR(ISNUMBER($R399),$R399="DNA"),$R399,IF(OR(ISNUMBER($Q399),$Q399="DNA"),$Q399,IF(OR(ISNUMBER($N399),$N399="DNA"),$N399,IF(OR(ISNUMBER($M399),$M399="DNA"),$M399,IF(OR(ISNUMBER($L399),$L399="DNA"),$L399,"")))))))))="DNA",AND(ISNUMBER(IF(OR(ISNUMBER($V399),$V399="DNA"),$V399,IF(OR(ISNUMBER($U399),$U399="DNA"),$U399,IF(OR(ISNUMBER($T399),$T399="DNA"),$T399,IF(OR(ISNUMBER($S399),$S399="DNA"),$S399,IF(OR(ISNUMBER($R399),$R399="DNA"),$R399,IF(OR(ISNUMBER($Q399),$Q399="DNA"),$Q399,IF(OR(ISNUMBER($N399),$N399="DNA"),$N399,IF(OR(ISNUMBER($M399),$M399="DNA"),$M399,IF(OR(ISNUMBER($L399),$L399="DNA"),$L399,"")))))))))),IF(OR(ISNUMBER($V399),$V399="DNA"),$V399,IF(OR(ISNUMBER($U399),$U399="DNA"),$U399,IF(OR(ISNUMBER($T399),$T399="DNA"),$T399,IF(OR(ISNUMBER($S399),$S399="DNA"),$S399,IF(OR(ISNUMBER($R399),$R399="DNA"),$R399,IF(OR(ISNUMBER($Q399),$Q399="DNA"),$Q399,IF(OR(ISNUMBER($N399),$N399="DNA"),$N399,IF(OR(ISNUMBER($M399),$M399="DNA"),$M399,IF(OR(ISNUMBER($L399),$L399="DNA"),$L399,"")))))))))&lt;TODAY())),1,0)+ISNUMBER($O399)*($O399&lt;TODAY())+ISNUMBER($P399)*($P399&lt;TODAY())+ISNUMBER($X399)*($X399&lt;TODAY())+ISNUMBER($Y399)*($Y399&lt;TODAY()))</f>
        <v/>
      </c>
    </row>
    <row r="400">
      <c r="A400" s="25" t="n"/>
      <c r="B400" s="26" t="n"/>
      <c r="C400" s="27" t="n"/>
      <c r="D400" s="25" t="n"/>
      <c r="E400" s="25" t="n"/>
      <c r="F400" s="27" t="n"/>
      <c r="G400" s="25" t="n"/>
      <c r="H400" s="28">
        <f>IF(OR(NOT(AND($A400&lt;&gt;"",OR($G400="",$G400="Active"))),$F400=""),"",INT((TODAY()-$F400+280)/7)&amp;"+"&amp;MOD(TODAY()-$F400+280,7))</f>
        <v/>
      </c>
      <c r="I400" s="28">
        <f>IF(NOT(AND($A400&lt;&gt;"",OR($G400="",$G400="Active"))),"",ISNUMBER($L400)*($L400&gt;=TODAY())*($L400&lt;=TODAY()+7)+ISNUMBER($M400)*($M400&gt;=TODAY())*($M400&lt;=TODAY()+7)+ISNUMBER($N400)*($N400&gt;=TODAY())*($N400&lt;=TODAY()+7)+ISNUMBER($Q400)*($Q400&gt;=TODAY())*($Q400&lt;=TODAY()+7)+ISNUMBER($R400)*($R400&gt;=TODAY())*($R400&lt;=TODAY()+7)+ISNUMBER($S400)*($S400&gt;=TODAY())*($S400&lt;=TODAY()+7)+ISNUMBER($T400)*($T400&gt;=TODAY())*($T400&lt;=TODAY()+7)+ISNUMBER($U400)*($U400&gt;=TODAY())*($U400&lt;=TODAY()+7)+ISNUMBER($V400)*($V400&gt;=TODAY())*($V400&lt;=TODAY()+7)+ISNUMBER($O400)*($O400&gt;=TODAY())*($O400&lt;=TODAY()+7)+ISNUMBER($P400)*($P400&gt;=TODAY())*($P400&lt;=TODAY()+7)+ISNUMBER($X400)*($X400&gt;=TODAY())*($X400&lt;=TODAY()+7)+ISNUMBER($Y400)*($Y400&gt;=TODAY())*($Y400&lt;=TODAY()+7))</f>
        <v/>
      </c>
      <c r="J400" s="28">
        <f>IF(NOT(AND($A400&lt;&gt;"",OR($G400="",$G400="Active"))),"",IF($K400&lt;&gt;"",IF($L400=$K400,"Booking",IF($M400=$K400,"16/40",IF($N400=$K400,"25/40",IF($Q400=$K400,"28/40",IF($R400=$K400,"31/40",IF($S400=$K400,"34/40",IF($T400=$K400,"36/40",IF($U400=$K400,"38/40",IF($V400=$K400,"40/40",""))))))))),IF(IF(OR(ISNUMBER($V400),$V400="DNA"),$V400,IF(OR(ISNUMBER($U400),$U400="DNA"),$U400,IF(OR(ISNUMBER($T400),$T400="DNA"),$T400,IF(OR(ISNUMBER($S400),$S400="DNA"),$S400,IF(OR(ISNUMBER($R400),$R400="DNA"),$R400,IF(OR(ISNUMBER($Q400),$Q400="DNA"),$Q400,IF(OR(ISNUMBER($N400),$N400="DNA"),$N400,IF(OR(ISNUMBER($M400),$M400="DNA"),$M400,IF(OR(ISNUMBER($L400),$L400="DNA"),$L400,"")))))))))="DNA","Rebook DNA",IF(ISNUMBER(IF(OR(ISNUMBER($V400),$V400="DNA"),$V400,IF(OR(ISNUMBER($U400),$U400="DNA"),$U400,IF(OR(ISNUMBER($T400),$T400="DNA"),$T400,IF(OR(ISNUMBER($S400),$S400="DNA"),$S400,IF(OR(ISNUMBER($R400),$R400="DNA"),$R400,IF(OR(ISNUMBER($Q400),$Q400="DNA"),$Q400,IF(OR(ISNUMBER($N400),$N400="DNA"),$N400,IF(OR(ISNUMBER($M400),$M400="DNA"),$M400,IF(OR(ISNUMBER($L400),$L400="DNA"),$L400,"")))))))))),IF(ISNUMBER($V400),"Update status","Missed/not booked?"),""))))</f>
        <v/>
      </c>
      <c r="K400" s="29">
        <f>IF(NOT(AND($A400&lt;&gt;"",OR($G400="",$G400="Active"))),"",IF(MIN(IF(AND(ISNUMBER($L400),$L400&gt;=TODAY()),$L400,99999),IF(AND(ISNUMBER($M400),$M400&gt;=TODAY()),$M400,99999),IF(AND(ISNUMBER($N400),$N400&gt;=TODAY()),$N400,99999),IF(AND(ISNUMBER($Q400),$Q400&gt;=TODAY()),$Q400,99999),IF(AND(ISNUMBER($R400),$R400&gt;=TODAY()),$R400,99999),IF(AND(ISNUMBER($S400),$S400&gt;=TODAY()),$S400,99999),IF(AND(ISNUMBER($T400),$T400&gt;=TODAY()),$T400,99999),IF(AND(ISNUMBER($U400),$U400&gt;=TODAY()),$U400,99999),IF(AND(ISNUMBER($V400),$V400&gt;=TODAY()),$V400,99999))=99999,"",MIN(IF(AND(ISNUMBER($L400),$L400&gt;=TODAY()),$L400,99999),IF(AND(ISNUMBER($M400),$M400&gt;=TODAY()),$M400,99999),IF(AND(ISNUMBER($N400),$N400&gt;=TODAY()),$N400,99999),IF(AND(ISNUMBER($Q400),$Q400&gt;=TODAY()),$Q400,99999),IF(AND(ISNUMBER($R400),$R400&gt;=TODAY()),$R400,99999),IF(AND(ISNUMBER($S400),$S400&gt;=TODAY()),$S400,99999),IF(AND(ISNUMBER($T400),$T400&gt;=TODAY()),$T400,99999),IF(AND(ISNUMBER($U400),$U400&gt;=TODAY()),$U400,99999),IF(AND(ISNUMBER($V400),$V400&gt;=TODAY()),$V400,99999))))</f>
        <v/>
      </c>
      <c r="L400" s="27" t="n"/>
      <c r="M400" s="27" t="n"/>
      <c r="N400" s="27" t="n"/>
      <c r="O400" s="27" t="n"/>
      <c r="P400" s="27" t="n"/>
      <c r="Q400" s="27" t="n"/>
      <c r="R400" s="27" t="n"/>
      <c r="S400" s="27" t="n"/>
      <c r="T400" s="27" t="n"/>
      <c r="U400" s="27" t="n"/>
      <c r="V400" s="27" t="n"/>
      <c r="W400" s="27" t="n"/>
      <c r="X400" s="27" t="n"/>
      <c r="Y400" s="27" t="n"/>
      <c r="Z400" s="30" t="n"/>
      <c r="AA400" s="25" t="n"/>
      <c r="AB400" s="28">
        <f>IF(NOT(AND($A400&lt;&gt;"",OR($G400="",$G400="Active"))),"",IF(OR(IF(OR(ISNUMBER($V400),$V400="DNA"),$V400,IF(OR(ISNUMBER($U400),$U400="DNA"),$U400,IF(OR(ISNUMBER($T400),$T400="DNA"),$T400,IF(OR(ISNUMBER($S400),$S400="DNA"),$S400,IF(OR(ISNUMBER($R400),$R400="DNA"),$R400,IF(OR(ISNUMBER($Q400),$Q400="DNA"),$Q400,IF(OR(ISNUMBER($N400),$N400="DNA"),$N400,IF(OR(ISNUMBER($M400),$M400="DNA"),$M400,IF(OR(ISNUMBER($L400),$L400="DNA"),$L400,"")))))))))="DNA",AND(ISNUMBER(IF(OR(ISNUMBER($V400),$V400="DNA"),$V400,IF(OR(ISNUMBER($U400),$U400="DNA"),$U400,IF(OR(ISNUMBER($T400),$T400="DNA"),$T400,IF(OR(ISNUMBER($S400),$S400="DNA"),$S400,IF(OR(ISNUMBER($R400),$R400="DNA"),$R400,IF(OR(ISNUMBER($Q400),$Q400="DNA"),$Q400,IF(OR(ISNUMBER($N400),$N400="DNA"),$N400,IF(OR(ISNUMBER($M400),$M400="DNA"),$M400,IF(OR(ISNUMBER($L400),$L400="DNA"),$L400,"")))))))))),IF(OR(ISNUMBER($V400),$V400="DNA"),$V400,IF(OR(ISNUMBER($U400),$U400="DNA"),$U400,IF(OR(ISNUMBER($T400),$T400="DNA"),$T400,IF(OR(ISNUMBER($S400),$S400="DNA"),$S400,IF(OR(ISNUMBER($R400),$R400="DNA"),$R400,IF(OR(ISNUMBER($Q400),$Q400="DNA"),$Q400,IF(OR(ISNUMBER($N400),$N400="DNA"),$N400,IF(OR(ISNUMBER($M400),$M400="DNA"),$M400,IF(OR(ISNUMBER($L400),$L400="DNA"),$L400,"")))))))))&lt;TODAY())),1,0)+ISNUMBER($O400)*($O400&lt;TODAY())+ISNUMBER($P400)*($P400&lt;TODAY())+ISNUMBER($X400)*($X400&lt;TODAY())+ISNUMBER($Y400)*($Y400&lt;TODAY()))</f>
        <v/>
      </c>
    </row>
    <row r="401">
      <c r="A401" s="25" t="n"/>
      <c r="B401" s="26" t="n"/>
      <c r="C401" s="27" t="n"/>
      <c r="D401" s="25" t="n"/>
      <c r="E401" s="25" t="n"/>
      <c r="F401" s="27" t="n"/>
      <c r="G401" s="25" t="n"/>
      <c r="H401" s="28">
        <f>IF(OR(NOT(AND($A401&lt;&gt;"",OR($G401="",$G401="Active"))),$F401=""),"",INT((TODAY()-$F401+280)/7)&amp;"+"&amp;MOD(TODAY()-$F401+280,7))</f>
        <v/>
      </c>
      <c r="I401" s="28">
        <f>IF(NOT(AND($A401&lt;&gt;"",OR($G401="",$G401="Active"))),"",ISNUMBER($L401)*($L401&gt;=TODAY())*($L401&lt;=TODAY()+7)+ISNUMBER($M401)*($M401&gt;=TODAY())*($M401&lt;=TODAY()+7)+ISNUMBER($N401)*($N401&gt;=TODAY())*($N401&lt;=TODAY()+7)+ISNUMBER($Q401)*($Q401&gt;=TODAY())*($Q401&lt;=TODAY()+7)+ISNUMBER($R401)*($R401&gt;=TODAY())*($R401&lt;=TODAY()+7)+ISNUMBER($S401)*($S401&gt;=TODAY())*($S401&lt;=TODAY()+7)+ISNUMBER($T401)*($T401&gt;=TODAY())*($T401&lt;=TODAY()+7)+ISNUMBER($U401)*($U401&gt;=TODAY())*($U401&lt;=TODAY()+7)+ISNUMBER($V401)*($V401&gt;=TODAY())*($V401&lt;=TODAY()+7)+ISNUMBER($O401)*($O401&gt;=TODAY())*($O401&lt;=TODAY()+7)+ISNUMBER($P401)*($P401&gt;=TODAY())*($P401&lt;=TODAY()+7)+ISNUMBER($X401)*($X401&gt;=TODAY())*($X401&lt;=TODAY()+7)+ISNUMBER($Y401)*($Y401&gt;=TODAY())*($Y401&lt;=TODAY()+7))</f>
        <v/>
      </c>
      <c r="J401" s="28">
        <f>IF(NOT(AND($A401&lt;&gt;"",OR($G401="",$G401="Active"))),"",IF($K401&lt;&gt;"",IF($L401=$K401,"Booking",IF($M401=$K401,"16/40",IF($N401=$K401,"25/40",IF($Q401=$K401,"28/40",IF($R401=$K401,"31/40",IF($S401=$K401,"34/40",IF($T401=$K401,"36/40",IF($U401=$K401,"38/40",IF($V401=$K401,"40/40",""))))))))),IF(IF(OR(ISNUMBER($V401),$V401="DNA"),$V401,IF(OR(ISNUMBER($U401),$U401="DNA"),$U401,IF(OR(ISNUMBER($T401),$T401="DNA"),$T401,IF(OR(ISNUMBER($S401),$S401="DNA"),$S401,IF(OR(ISNUMBER($R401),$R401="DNA"),$R401,IF(OR(ISNUMBER($Q401),$Q401="DNA"),$Q401,IF(OR(ISNUMBER($N401),$N401="DNA"),$N401,IF(OR(ISNUMBER($M401),$M401="DNA"),$M401,IF(OR(ISNUMBER($L401),$L401="DNA"),$L401,"")))))))))="DNA","Rebook DNA",IF(ISNUMBER(IF(OR(ISNUMBER($V401),$V401="DNA"),$V401,IF(OR(ISNUMBER($U401),$U401="DNA"),$U401,IF(OR(ISNUMBER($T401),$T401="DNA"),$T401,IF(OR(ISNUMBER($S401),$S401="DNA"),$S401,IF(OR(ISNUMBER($R401),$R401="DNA"),$R401,IF(OR(ISNUMBER($Q401),$Q401="DNA"),$Q401,IF(OR(ISNUMBER($N401),$N401="DNA"),$N401,IF(OR(ISNUMBER($M401),$M401="DNA"),$M401,IF(OR(ISNUMBER($L401),$L401="DNA"),$L401,"")))))))))),IF(ISNUMBER($V401),"Update status","Missed/not booked?"),""))))</f>
        <v/>
      </c>
      <c r="K401" s="29">
        <f>IF(NOT(AND($A401&lt;&gt;"",OR($G401="",$G401="Active"))),"",IF(MIN(IF(AND(ISNUMBER($L401),$L401&gt;=TODAY()),$L401,99999),IF(AND(ISNUMBER($M401),$M401&gt;=TODAY()),$M401,99999),IF(AND(ISNUMBER($N401),$N401&gt;=TODAY()),$N401,99999),IF(AND(ISNUMBER($Q401),$Q401&gt;=TODAY()),$Q401,99999),IF(AND(ISNUMBER($R401),$R401&gt;=TODAY()),$R401,99999),IF(AND(ISNUMBER($S401),$S401&gt;=TODAY()),$S401,99999),IF(AND(ISNUMBER($T401),$T401&gt;=TODAY()),$T401,99999),IF(AND(ISNUMBER($U401),$U401&gt;=TODAY()),$U401,99999),IF(AND(ISNUMBER($V401),$V401&gt;=TODAY()),$V401,99999))=99999,"",MIN(IF(AND(ISNUMBER($L401),$L401&gt;=TODAY()),$L401,99999),IF(AND(ISNUMBER($M401),$M401&gt;=TODAY()),$M401,99999),IF(AND(ISNUMBER($N401),$N401&gt;=TODAY()),$N401,99999),IF(AND(ISNUMBER($Q401),$Q401&gt;=TODAY()),$Q401,99999),IF(AND(ISNUMBER($R401),$R401&gt;=TODAY()),$R401,99999),IF(AND(ISNUMBER($S401),$S401&gt;=TODAY()),$S401,99999),IF(AND(ISNUMBER($T401),$T401&gt;=TODAY()),$T401,99999),IF(AND(ISNUMBER($U401),$U401&gt;=TODAY()),$U401,99999),IF(AND(ISNUMBER($V401),$V401&gt;=TODAY()),$V401,99999))))</f>
        <v/>
      </c>
      <c r="L401" s="27" t="n"/>
      <c r="M401" s="27" t="n"/>
      <c r="N401" s="27" t="n"/>
      <c r="O401" s="27" t="n"/>
      <c r="P401" s="27" t="n"/>
      <c r="Q401" s="27" t="n"/>
      <c r="R401" s="27" t="n"/>
      <c r="S401" s="27" t="n"/>
      <c r="T401" s="27" t="n"/>
      <c r="U401" s="27" t="n"/>
      <c r="V401" s="27" t="n"/>
      <c r="W401" s="27" t="n"/>
      <c r="X401" s="27" t="n"/>
      <c r="Y401" s="27" t="n"/>
      <c r="Z401" s="30" t="n"/>
      <c r="AA401" s="25" t="n"/>
      <c r="AB401" s="28">
        <f>IF(NOT(AND($A401&lt;&gt;"",OR($G401="",$G401="Active"))),"",IF(OR(IF(OR(ISNUMBER($V401),$V401="DNA"),$V401,IF(OR(ISNUMBER($U401),$U401="DNA"),$U401,IF(OR(ISNUMBER($T401),$T401="DNA"),$T401,IF(OR(ISNUMBER($S401),$S401="DNA"),$S401,IF(OR(ISNUMBER($R401),$R401="DNA"),$R401,IF(OR(ISNUMBER($Q401),$Q401="DNA"),$Q401,IF(OR(ISNUMBER($N401),$N401="DNA"),$N401,IF(OR(ISNUMBER($M401),$M401="DNA"),$M401,IF(OR(ISNUMBER($L401),$L401="DNA"),$L401,"")))))))))="DNA",AND(ISNUMBER(IF(OR(ISNUMBER($V401),$V401="DNA"),$V401,IF(OR(ISNUMBER($U401),$U401="DNA"),$U401,IF(OR(ISNUMBER($T401),$T401="DNA"),$T401,IF(OR(ISNUMBER($S401),$S401="DNA"),$S401,IF(OR(ISNUMBER($R401),$R401="DNA"),$R401,IF(OR(ISNUMBER($Q401),$Q401="DNA"),$Q401,IF(OR(ISNUMBER($N401),$N401="DNA"),$N401,IF(OR(ISNUMBER($M401),$M401="DNA"),$M401,IF(OR(ISNUMBER($L401),$L401="DNA"),$L401,"")))))))))),IF(OR(ISNUMBER($V401),$V401="DNA"),$V401,IF(OR(ISNUMBER($U401),$U401="DNA"),$U401,IF(OR(ISNUMBER($T401),$T401="DNA"),$T401,IF(OR(ISNUMBER($S401),$S401="DNA"),$S401,IF(OR(ISNUMBER($R401),$R401="DNA"),$R401,IF(OR(ISNUMBER($Q401),$Q401="DNA"),$Q401,IF(OR(ISNUMBER($N401),$N401="DNA"),$N401,IF(OR(ISNUMBER($M401),$M401="DNA"),$M401,IF(OR(ISNUMBER($L401),$L401="DNA"),$L401,"")))))))))&lt;TODAY())),1,0)+ISNUMBER($O401)*($O401&lt;TODAY())+ISNUMBER($P401)*($P401&lt;TODAY())+ISNUMBER($X401)*($X401&lt;TODAY())+ISNUMBER($Y401)*($Y401&lt;TODAY()))</f>
        <v/>
      </c>
    </row>
    <row r="402">
      <c r="A402" s="25" t="n"/>
      <c r="B402" s="26" t="n"/>
      <c r="C402" s="27" t="n"/>
      <c r="D402" s="25" t="n"/>
      <c r="E402" s="25" t="n"/>
      <c r="F402" s="27" t="n"/>
      <c r="G402" s="25" t="n"/>
      <c r="H402" s="28">
        <f>IF(OR(NOT(AND($A402&lt;&gt;"",OR($G402="",$G402="Active"))),$F402=""),"",INT((TODAY()-$F402+280)/7)&amp;"+"&amp;MOD(TODAY()-$F402+280,7))</f>
        <v/>
      </c>
      <c r="I402" s="28">
        <f>IF(NOT(AND($A402&lt;&gt;"",OR($G402="",$G402="Active"))),"",ISNUMBER($L402)*($L402&gt;=TODAY())*($L402&lt;=TODAY()+7)+ISNUMBER($M402)*($M402&gt;=TODAY())*($M402&lt;=TODAY()+7)+ISNUMBER($N402)*($N402&gt;=TODAY())*($N402&lt;=TODAY()+7)+ISNUMBER($Q402)*($Q402&gt;=TODAY())*($Q402&lt;=TODAY()+7)+ISNUMBER($R402)*($R402&gt;=TODAY())*($R402&lt;=TODAY()+7)+ISNUMBER($S402)*($S402&gt;=TODAY())*($S402&lt;=TODAY()+7)+ISNUMBER($T402)*($T402&gt;=TODAY())*($T402&lt;=TODAY()+7)+ISNUMBER($U402)*($U402&gt;=TODAY())*($U402&lt;=TODAY()+7)+ISNUMBER($V402)*($V402&gt;=TODAY())*($V402&lt;=TODAY()+7)+ISNUMBER($O402)*($O402&gt;=TODAY())*($O402&lt;=TODAY()+7)+ISNUMBER($P402)*($P402&gt;=TODAY())*($P402&lt;=TODAY()+7)+ISNUMBER($X402)*($X402&gt;=TODAY())*($X402&lt;=TODAY()+7)+ISNUMBER($Y402)*($Y402&gt;=TODAY())*($Y402&lt;=TODAY()+7))</f>
        <v/>
      </c>
      <c r="J402" s="28">
        <f>IF(NOT(AND($A402&lt;&gt;"",OR($G402="",$G402="Active"))),"",IF($K402&lt;&gt;"",IF($L402=$K402,"Booking",IF($M402=$K402,"16/40",IF($N402=$K402,"25/40",IF($Q402=$K402,"28/40",IF($R402=$K402,"31/40",IF($S402=$K402,"34/40",IF($T402=$K402,"36/40",IF($U402=$K402,"38/40",IF($V402=$K402,"40/40",""))))))))),IF(IF(OR(ISNUMBER($V402),$V402="DNA"),$V402,IF(OR(ISNUMBER($U402),$U402="DNA"),$U402,IF(OR(ISNUMBER($T402),$T402="DNA"),$T402,IF(OR(ISNUMBER($S402),$S402="DNA"),$S402,IF(OR(ISNUMBER($R402),$R402="DNA"),$R402,IF(OR(ISNUMBER($Q402),$Q402="DNA"),$Q402,IF(OR(ISNUMBER($N402),$N402="DNA"),$N402,IF(OR(ISNUMBER($M402),$M402="DNA"),$M402,IF(OR(ISNUMBER($L402),$L402="DNA"),$L402,"")))))))))="DNA","Rebook DNA",IF(ISNUMBER(IF(OR(ISNUMBER($V402),$V402="DNA"),$V402,IF(OR(ISNUMBER($U402),$U402="DNA"),$U402,IF(OR(ISNUMBER($T402),$T402="DNA"),$T402,IF(OR(ISNUMBER($S402),$S402="DNA"),$S402,IF(OR(ISNUMBER($R402),$R402="DNA"),$R402,IF(OR(ISNUMBER($Q402),$Q402="DNA"),$Q402,IF(OR(ISNUMBER($N402),$N402="DNA"),$N402,IF(OR(ISNUMBER($M402),$M402="DNA"),$M402,IF(OR(ISNUMBER($L402),$L402="DNA"),$L402,"")))))))))),IF(ISNUMBER($V402),"Update status","Missed/not booked?"),""))))</f>
        <v/>
      </c>
      <c r="K402" s="29">
        <f>IF(NOT(AND($A402&lt;&gt;"",OR($G402="",$G402="Active"))),"",IF(MIN(IF(AND(ISNUMBER($L402),$L402&gt;=TODAY()),$L402,99999),IF(AND(ISNUMBER($M402),$M402&gt;=TODAY()),$M402,99999),IF(AND(ISNUMBER($N402),$N402&gt;=TODAY()),$N402,99999),IF(AND(ISNUMBER($Q402),$Q402&gt;=TODAY()),$Q402,99999),IF(AND(ISNUMBER($R402),$R402&gt;=TODAY()),$R402,99999),IF(AND(ISNUMBER($S402),$S402&gt;=TODAY()),$S402,99999),IF(AND(ISNUMBER($T402),$T402&gt;=TODAY()),$T402,99999),IF(AND(ISNUMBER($U402),$U402&gt;=TODAY()),$U402,99999),IF(AND(ISNUMBER($V402),$V402&gt;=TODAY()),$V402,99999))=99999,"",MIN(IF(AND(ISNUMBER($L402),$L402&gt;=TODAY()),$L402,99999),IF(AND(ISNUMBER($M402),$M402&gt;=TODAY()),$M402,99999),IF(AND(ISNUMBER($N402),$N402&gt;=TODAY()),$N402,99999),IF(AND(ISNUMBER($Q402),$Q402&gt;=TODAY()),$Q402,99999),IF(AND(ISNUMBER($R402),$R402&gt;=TODAY()),$R402,99999),IF(AND(ISNUMBER($S402),$S402&gt;=TODAY()),$S402,99999),IF(AND(ISNUMBER($T402),$T402&gt;=TODAY()),$T402,99999),IF(AND(ISNUMBER($U402),$U402&gt;=TODAY()),$U402,99999),IF(AND(ISNUMBER($V402),$V402&gt;=TODAY()),$V402,99999))))</f>
        <v/>
      </c>
      <c r="L402" s="27" t="n"/>
      <c r="M402" s="27" t="n"/>
      <c r="N402" s="27" t="n"/>
      <c r="O402" s="27" t="n"/>
      <c r="P402" s="27" t="n"/>
      <c r="Q402" s="27" t="n"/>
      <c r="R402" s="27" t="n"/>
      <c r="S402" s="27" t="n"/>
      <c r="T402" s="27" t="n"/>
      <c r="U402" s="27" t="n"/>
      <c r="V402" s="27" t="n"/>
      <c r="W402" s="27" t="n"/>
      <c r="X402" s="27" t="n"/>
      <c r="Y402" s="27" t="n"/>
      <c r="Z402" s="30" t="n"/>
      <c r="AA402" s="25" t="n"/>
      <c r="AB402" s="28">
        <f>IF(NOT(AND($A402&lt;&gt;"",OR($G402="",$G402="Active"))),"",IF(OR(IF(OR(ISNUMBER($V402),$V402="DNA"),$V402,IF(OR(ISNUMBER($U402),$U402="DNA"),$U402,IF(OR(ISNUMBER($T402),$T402="DNA"),$T402,IF(OR(ISNUMBER($S402),$S402="DNA"),$S402,IF(OR(ISNUMBER($R402),$R402="DNA"),$R402,IF(OR(ISNUMBER($Q402),$Q402="DNA"),$Q402,IF(OR(ISNUMBER($N402),$N402="DNA"),$N402,IF(OR(ISNUMBER($M402),$M402="DNA"),$M402,IF(OR(ISNUMBER($L402),$L402="DNA"),$L402,"")))))))))="DNA",AND(ISNUMBER(IF(OR(ISNUMBER($V402),$V402="DNA"),$V402,IF(OR(ISNUMBER($U402),$U402="DNA"),$U402,IF(OR(ISNUMBER($T402),$T402="DNA"),$T402,IF(OR(ISNUMBER($S402),$S402="DNA"),$S402,IF(OR(ISNUMBER($R402),$R402="DNA"),$R402,IF(OR(ISNUMBER($Q402),$Q402="DNA"),$Q402,IF(OR(ISNUMBER($N402),$N402="DNA"),$N402,IF(OR(ISNUMBER($M402),$M402="DNA"),$M402,IF(OR(ISNUMBER($L402),$L402="DNA"),$L402,"")))))))))),IF(OR(ISNUMBER($V402),$V402="DNA"),$V402,IF(OR(ISNUMBER($U402),$U402="DNA"),$U402,IF(OR(ISNUMBER($T402),$T402="DNA"),$T402,IF(OR(ISNUMBER($S402),$S402="DNA"),$S402,IF(OR(ISNUMBER($R402),$R402="DNA"),$R402,IF(OR(ISNUMBER($Q402),$Q402="DNA"),$Q402,IF(OR(ISNUMBER($N402),$N402="DNA"),$N402,IF(OR(ISNUMBER($M402),$M402="DNA"),$M402,IF(OR(ISNUMBER($L402),$L402="DNA"),$L402,"")))))))))&lt;TODAY())),1,0)+ISNUMBER($O402)*($O402&lt;TODAY())+ISNUMBER($P402)*($P402&lt;TODAY())+ISNUMBER($X402)*($X402&lt;TODAY())+ISNUMBER($Y402)*($Y402&lt;TODAY()))</f>
        <v/>
      </c>
    </row>
    <row r="403">
      <c r="A403" s="25" t="n"/>
      <c r="B403" s="26" t="n"/>
      <c r="C403" s="27" t="n"/>
      <c r="D403" s="25" t="n"/>
      <c r="E403" s="25" t="n"/>
      <c r="F403" s="27" t="n"/>
      <c r="G403" s="25" t="n"/>
      <c r="H403" s="28">
        <f>IF(OR(NOT(AND($A403&lt;&gt;"",OR($G403="",$G403="Active"))),$F403=""),"",INT((TODAY()-$F403+280)/7)&amp;"+"&amp;MOD(TODAY()-$F403+280,7))</f>
        <v/>
      </c>
      <c r="I403" s="28">
        <f>IF(NOT(AND($A403&lt;&gt;"",OR($G403="",$G403="Active"))),"",ISNUMBER($L403)*($L403&gt;=TODAY())*($L403&lt;=TODAY()+7)+ISNUMBER($M403)*($M403&gt;=TODAY())*($M403&lt;=TODAY()+7)+ISNUMBER($N403)*($N403&gt;=TODAY())*($N403&lt;=TODAY()+7)+ISNUMBER($Q403)*($Q403&gt;=TODAY())*($Q403&lt;=TODAY()+7)+ISNUMBER($R403)*($R403&gt;=TODAY())*($R403&lt;=TODAY()+7)+ISNUMBER($S403)*($S403&gt;=TODAY())*($S403&lt;=TODAY()+7)+ISNUMBER($T403)*($T403&gt;=TODAY())*($T403&lt;=TODAY()+7)+ISNUMBER($U403)*($U403&gt;=TODAY())*($U403&lt;=TODAY()+7)+ISNUMBER($V403)*($V403&gt;=TODAY())*($V403&lt;=TODAY()+7)+ISNUMBER($O403)*($O403&gt;=TODAY())*($O403&lt;=TODAY()+7)+ISNUMBER($P403)*($P403&gt;=TODAY())*($P403&lt;=TODAY()+7)+ISNUMBER($X403)*($X403&gt;=TODAY())*($X403&lt;=TODAY()+7)+ISNUMBER($Y403)*($Y403&gt;=TODAY())*($Y403&lt;=TODAY()+7))</f>
        <v/>
      </c>
      <c r="J403" s="28">
        <f>IF(NOT(AND($A403&lt;&gt;"",OR($G403="",$G403="Active"))),"",IF($K403&lt;&gt;"",IF($L403=$K403,"Booking",IF($M403=$K403,"16/40",IF($N403=$K403,"25/40",IF($Q403=$K403,"28/40",IF($R403=$K403,"31/40",IF($S403=$K403,"34/40",IF($T403=$K403,"36/40",IF($U403=$K403,"38/40",IF($V403=$K403,"40/40",""))))))))),IF(IF(OR(ISNUMBER($V403),$V403="DNA"),$V403,IF(OR(ISNUMBER($U403),$U403="DNA"),$U403,IF(OR(ISNUMBER($T403),$T403="DNA"),$T403,IF(OR(ISNUMBER($S403),$S403="DNA"),$S403,IF(OR(ISNUMBER($R403),$R403="DNA"),$R403,IF(OR(ISNUMBER($Q403),$Q403="DNA"),$Q403,IF(OR(ISNUMBER($N403),$N403="DNA"),$N403,IF(OR(ISNUMBER($M403),$M403="DNA"),$M403,IF(OR(ISNUMBER($L403),$L403="DNA"),$L403,"")))))))))="DNA","Rebook DNA",IF(ISNUMBER(IF(OR(ISNUMBER($V403),$V403="DNA"),$V403,IF(OR(ISNUMBER($U403),$U403="DNA"),$U403,IF(OR(ISNUMBER($T403),$T403="DNA"),$T403,IF(OR(ISNUMBER($S403),$S403="DNA"),$S403,IF(OR(ISNUMBER($R403),$R403="DNA"),$R403,IF(OR(ISNUMBER($Q403),$Q403="DNA"),$Q403,IF(OR(ISNUMBER($N403),$N403="DNA"),$N403,IF(OR(ISNUMBER($M403),$M403="DNA"),$M403,IF(OR(ISNUMBER($L403),$L403="DNA"),$L403,"")))))))))),IF(ISNUMBER($V403),"Update status","Missed/not booked?"),""))))</f>
        <v/>
      </c>
      <c r="K403" s="29">
        <f>IF(NOT(AND($A403&lt;&gt;"",OR($G403="",$G403="Active"))),"",IF(MIN(IF(AND(ISNUMBER($L403),$L403&gt;=TODAY()),$L403,99999),IF(AND(ISNUMBER($M403),$M403&gt;=TODAY()),$M403,99999),IF(AND(ISNUMBER($N403),$N403&gt;=TODAY()),$N403,99999),IF(AND(ISNUMBER($Q403),$Q403&gt;=TODAY()),$Q403,99999),IF(AND(ISNUMBER($R403),$R403&gt;=TODAY()),$R403,99999),IF(AND(ISNUMBER($S403),$S403&gt;=TODAY()),$S403,99999),IF(AND(ISNUMBER($T403),$T403&gt;=TODAY()),$T403,99999),IF(AND(ISNUMBER($U403),$U403&gt;=TODAY()),$U403,99999),IF(AND(ISNUMBER($V403),$V403&gt;=TODAY()),$V403,99999))=99999,"",MIN(IF(AND(ISNUMBER($L403),$L403&gt;=TODAY()),$L403,99999),IF(AND(ISNUMBER($M403),$M403&gt;=TODAY()),$M403,99999),IF(AND(ISNUMBER($N403),$N403&gt;=TODAY()),$N403,99999),IF(AND(ISNUMBER($Q403),$Q403&gt;=TODAY()),$Q403,99999),IF(AND(ISNUMBER($R403),$R403&gt;=TODAY()),$R403,99999),IF(AND(ISNUMBER($S403),$S403&gt;=TODAY()),$S403,99999),IF(AND(ISNUMBER($T403),$T403&gt;=TODAY()),$T403,99999),IF(AND(ISNUMBER($U403),$U403&gt;=TODAY()),$U403,99999),IF(AND(ISNUMBER($V403),$V403&gt;=TODAY()),$V403,99999))))</f>
        <v/>
      </c>
      <c r="L403" s="27" t="n"/>
      <c r="M403" s="27" t="n"/>
      <c r="N403" s="27" t="n"/>
      <c r="O403" s="27" t="n"/>
      <c r="P403" s="27" t="n"/>
      <c r="Q403" s="27" t="n"/>
      <c r="R403" s="27" t="n"/>
      <c r="S403" s="27" t="n"/>
      <c r="T403" s="27" t="n"/>
      <c r="U403" s="27" t="n"/>
      <c r="V403" s="27" t="n"/>
      <c r="W403" s="27" t="n"/>
      <c r="X403" s="27" t="n"/>
      <c r="Y403" s="27" t="n"/>
      <c r="Z403" s="30" t="n"/>
      <c r="AA403" s="25" t="n"/>
      <c r="AB403" s="28">
        <f>IF(NOT(AND($A403&lt;&gt;"",OR($G403="",$G403="Active"))),"",IF(OR(IF(OR(ISNUMBER($V403),$V403="DNA"),$V403,IF(OR(ISNUMBER($U403),$U403="DNA"),$U403,IF(OR(ISNUMBER($T403),$T403="DNA"),$T403,IF(OR(ISNUMBER($S403),$S403="DNA"),$S403,IF(OR(ISNUMBER($R403),$R403="DNA"),$R403,IF(OR(ISNUMBER($Q403),$Q403="DNA"),$Q403,IF(OR(ISNUMBER($N403),$N403="DNA"),$N403,IF(OR(ISNUMBER($M403),$M403="DNA"),$M403,IF(OR(ISNUMBER($L403),$L403="DNA"),$L403,"")))))))))="DNA",AND(ISNUMBER(IF(OR(ISNUMBER($V403),$V403="DNA"),$V403,IF(OR(ISNUMBER($U403),$U403="DNA"),$U403,IF(OR(ISNUMBER($T403),$T403="DNA"),$T403,IF(OR(ISNUMBER($S403),$S403="DNA"),$S403,IF(OR(ISNUMBER($R403),$R403="DNA"),$R403,IF(OR(ISNUMBER($Q403),$Q403="DNA"),$Q403,IF(OR(ISNUMBER($N403),$N403="DNA"),$N403,IF(OR(ISNUMBER($M403),$M403="DNA"),$M403,IF(OR(ISNUMBER($L403),$L403="DNA"),$L403,"")))))))))),IF(OR(ISNUMBER($V403),$V403="DNA"),$V403,IF(OR(ISNUMBER($U403),$U403="DNA"),$U403,IF(OR(ISNUMBER($T403),$T403="DNA"),$T403,IF(OR(ISNUMBER($S403),$S403="DNA"),$S403,IF(OR(ISNUMBER($R403),$R403="DNA"),$R403,IF(OR(ISNUMBER($Q403),$Q403="DNA"),$Q403,IF(OR(ISNUMBER($N403),$N403="DNA"),$N403,IF(OR(ISNUMBER($M403),$M403="DNA"),$M403,IF(OR(ISNUMBER($L403),$L403="DNA"),$L403,"")))))))))&lt;TODAY())),1,0)+ISNUMBER($O403)*($O403&lt;TODAY())+ISNUMBER($P403)*($P403&lt;TODAY())+ISNUMBER($X403)*($X403&lt;TODAY())+ISNUMBER($Y403)*($Y403&lt;TODAY()))</f>
        <v/>
      </c>
    </row>
    <row r="404">
      <c r="A404" s="25" t="n"/>
      <c r="B404" s="26" t="n"/>
      <c r="C404" s="27" t="n"/>
      <c r="D404" s="25" t="n"/>
      <c r="E404" s="25" t="n"/>
      <c r="F404" s="27" t="n"/>
      <c r="G404" s="25" t="n"/>
      <c r="H404" s="28">
        <f>IF(OR(NOT(AND($A404&lt;&gt;"",OR($G404="",$G404="Active"))),$F404=""),"",INT((TODAY()-$F404+280)/7)&amp;"+"&amp;MOD(TODAY()-$F404+280,7))</f>
        <v/>
      </c>
      <c r="I404" s="28">
        <f>IF(NOT(AND($A404&lt;&gt;"",OR($G404="",$G404="Active"))),"",ISNUMBER($L404)*($L404&gt;=TODAY())*($L404&lt;=TODAY()+7)+ISNUMBER($M404)*($M404&gt;=TODAY())*($M404&lt;=TODAY()+7)+ISNUMBER($N404)*($N404&gt;=TODAY())*($N404&lt;=TODAY()+7)+ISNUMBER($Q404)*($Q404&gt;=TODAY())*($Q404&lt;=TODAY()+7)+ISNUMBER($R404)*($R404&gt;=TODAY())*($R404&lt;=TODAY()+7)+ISNUMBER($S404)*($S404&gt;=TODAY())*($S404&lt;=TODAY()+7)+ISNUMBER($T404)*($T404&gt;=TODAY())*($T404&lt;=TODAY()+7)+ISNUMBER($U404)*($U404&gt;=TODAY())*($U404&lt;=TODAY()+7)+ISNUMBER($V404)*($V404&gt;=TODAY())*($V404&lt;=TODAY()+7)+ISNUMBER($O404)*($O404&gt;=TODAY())*($O404&lt;=TODAY()+7)+ISNUMBER($P404)*($P404&gt;=TODAY())*($P404&lt;=TODAY()+7)+ISNUMBER($X404)*($X404&gt;=TODAY())*($X404&lt;=TODAY()+7)+ISNUMBER($Y404)*($Y404&gt;=TODAY())*($Y404&lt;=TODAY()+7))</f>
        <v/>
      </c>
      <c r="J404" s="28">
        <f>IF(NOT(AND($A404&lt;&gt;"",OR($G404="",$G404="Active"))),"",IF($K404&lt;&gt;"",IF($L404=$K404,"Booking",IF($M404=$K404,"16/40",IF($N404=$K404,"25/40",IF($Q404=$K404,"28/40",IF($R404=$K404,"31/40",IF($S404=$K404,"34/40",IF($T404=$K404,"36/40",IF($U404=$K404,"38/40",IF($V404=$K404,"40/40",""))))))))),IF(IF(OR(ISNUMBER($V404),$V404="DNA"),$V404,IF(OR(ISNUMBER($U404),$U404="DNA"),$U404,IF(OR(ISNUMBER($T404),$T404="DNA"),$T404,IF(OR(ISNUMBER($S404),$S404="DNA"),$S404,IF(OR(ISNUMBER($R404),$R404="DNA"),$R404,IF(OR(ISNUMBER($Q404),$Q404="DNA"),$Q404,IF(OR(ISNUMBER($N404),$N404="DNA"),$N404,IF(OR(ISNUMBER($M404),$M404="DNA"),$M404,IF(OR(ISNUMBER($L404),$L404="DNA"),$L404,"")))))))))="DNA","Rebook DNA",IF(ISNUMBER(IF(OR(ISNUMBER($V404),$V404="DNA"),$V404,IF(OR(ISNUMBER($U404),$U404="DNA"),$U404,IF(OR(ISNUMBER($T404),$T404="DNA"),$T404,IF(OR(ISNUMBER($S404),$S404="DNA"),$S404,IF(OR(ISNUMBER($R404),$R404="DNA"),$R404,IF(OR(ISNUMBER($Q404),$Q404="DNA"),$Q404,IF(OR(ISNUMBER($N404),$N404="DNA"),$N404,IF(OR(ISNUMBER($M404),$M404="DNA"),$M404,IF(OR(ISNUMBER($L404),$L404="DNA"),$L404,"")))))))))),IF(ISNUMBER($V404),"Update status","Missed/not booked?"),""))))</f>
        <v/>
      </c>
      <c r="K404" s="29">
        <f>IF(NOT(AND($A404&lt;&gt;"",OR($G404="",$G404="Active"))),"",IF(MIN(IF(AND(ISNUMBER($L404),$L404&gt;=TODAY()),$L404,99999),IF(AND(ISNUMBER($M404),$M404&gt;=TODAY()),$M404,99999),IF(AND(ISNUMBER($N404),$N404&gt;=TODAY()),$N404,99999),IF(AND(ISNUMBER($Q404),$Q404&gt;=TODAY()),$Q404,99999),IF(AND(ISNUMBER($R404),$R404&gt;=TODAY()),$R404,99999),IF(AND(ISNUMBER($S404),$S404&gt;=TODAY()),$S404,99999),IF(AND(ISNUMBER($T404),$T404&gt;=TODAY()),$T404,99999),IF(AND(ISNUMBER($U404),$U404&gt;=TODAY()),$U404,99999),IF(AND(ISNUMBER($V404),$V404&gt;=TODAY()),$V404,99999))=99999,"",MIN(IF(AND(ISNUMBER($L404),$L404&gt;=TODAY()),$L404,99999),IF(AND(ISNUMBER($M404),$M404&gt;=TODAY()),$M404,99999),IF(AND(ISNUMBER($N404),$N404&gt;=TODAY()),$N404,99999),IF(AND(ISNUMBER($Q404),$Q404&gt;=TODAY()),$Q404,99999),IF(AND(ISNUMBER($R404),$R404&gt;=TODAY()),$R404,99999),IF(AND(ISNUMBER($S404),$S404&gt;=TODAY()),$S404,99999),IF(AND(ISNUMBER($T404),$T404&gt;=TODAY()),$T404,99999),IF(AND(ISNUMBER($U404),$U404&gt;=TODAY()),$U404,99999),IF(AND(ISNUMBER($V404),$V404&gt;=TODAY()),$V404,99999))))</f>
        <v/>
      </c>
      <c r="L404" s="27" t="n"/>
      <c r="M404" s="27" t="n"/>
      <c r="N404" s="27" t="n"/>
      <c r="O404" s="27" t="n"/>
      <c r="P404" s="27" t="n"/>
      <c r="Q404" s="27" t="n"/>
      <c r="R404" s="27" t="n"/>
      <c r="S404" s="27" t="n"/>
      <c r="T404" s="27" t="n"/>
      <c r="U404" s="27" t="n"/>
      <c r="V404" s="27" t="n"/>
      <c r="W404" s="27" t="n"/>
      <c r="X404" s="27" t="n"/>
      <c r="Y404" s="27" t="n"/>
      <c r="Z404" s="30" t="n"/>
      <c r="AA404" s="25" t="n"/>
      <c r="AB404" s="28">
        <f>IF(NOT(AND($A404&lt;&gt;"",OR($G404="",$G404="Active"))),"",IF(OR(IF(OR(ISNUMBER($V404),$V404="DNA"),$V404,IF(OR(ISNUMBER($U404),$U404="DNA"),$U404,IF(OR(ISNUMBER($T404),$T404="DNA"),$T404,IF(OR(ISNUMBER($S404),$S404="DNA"),$S404,IF(OR(ISNUMBER($R404),$R404="DNA"),$R404,IF(OR(ISNUMBER($Q404),$Q404="DNA"),$Q404,IF(OR(ISNUMBER($N404),$N404="DNA"),$N404,IF(OR(ISNUMBER($M404),$M404="DNA"),$M404,IF(OR(ISNUMBER($L404),$L404="DNA"),$L404,"")))))))))="DNA",AND(ISNUMBER(IF(OR(ISNUMBER($V404),$V404="DNA"),$V404,IF(OR(ISNUMBER($U404),$U404="DNA"),$U404,IF(OR(ISNUMBER($T404),$T404="DNA"),$T404,IF(OR(ISNUMBER($S404),$S404="DNA"),$S404,IF(OR(ISNUMBER($R404),$R404="DNA"),$R404,IF(OR(ISNUMBER($Q404),$Q404="DNA"),$Q404,IF(OR(ISNUMBER($N404),$N404="DNA"),$N404,IF(OR(ISNUMBER($M404),$M404="DNA"),$M404,IF(OR(ISNUMBER($L404),$L404="DNA"),$L404,"")))))))))),IF(OR(ISNUMBER($V404),$V404="DNA"),$V404,IF(OR(ISNUMBER($U404),$U404="DNA"),$U404,IF(OR(ISNUMBER($T404),$T404="DNA"),$T404,IF(OR(ISNUMBER($S404),$S404="DNA"),$S404,IF(OR(ISNUMBER($R404),$R404="DNA"),$R404,IF(OR(ISNUMBER($Q404),$Q404="DNA"),$Q404,IF(OR(ISNUMBER($N404),$N404="DNA"),$N404,IF(OR(ISNUMBER($M404),$M404="DNA"),$M404,IF(OR(ISNUMBER($L404),$L404="DNA"),$L404,"")))))))))&lt;TODAY())),1,0)+ISNUMBER($O404)*($O404&lt;TODAY())+ISNUMBER($P404)*($P404&lt;TODAY())+ISNUMBER($X404)*($X404&lt;TODAY())+ISNUMBER($Y404)*($Y404&lt;TODAY()))</f>
        <v/>
      </c>
    </row>
  </sheetData>
  <conditionalFormatting sqref="A5:AB404">
    <cfRule type="expression" priority="1" dxfId="0" stopIfTrue="1">
      <formula>AND($A5&lt;&gt;"",$G5&lt;&gt;"",$G5&lt;&gt;"Active")</formula>
    </cfRule>
  </conditionalFormatting>
  <conditionalFormatting sqref="L5:L404">
    <cfRule type="expression" priority="2" dxfId="1" stopIfTrue="1">
      <formula>L5="N/A"</formula>
    </cfRule>
    <cfRule type="expression" priority="3" dxfId="2" stopIfTrue="1">
      <formula>AND(L5="DNA",OR(OR(ISNUMBER($M5),$M5="DNA"),OR(ISNUMBER($N5),$N5="DNA"),OR(ISNUMBER($Q5),$Q5="DNA"),OR(ISNUMBER($R5),$R5="DNA"),OR(ISNUMBER($S5),$S5="DNA"),OR(ISNUMBER($T5),$T5="DNA"),OR(ISNUMBER($U5),$U5="DNA"),OR(ISNUMBER($V5),$V5="DNA")))</formula>
    </cfRule>
    <cfRule type="expression" priority="4" dxfId="3" stopIfTrue="1">
      <formula>AND(AND($A5&lt;&gt;"",OR($G5="",$G5="Active")),L5="DNA")</formula>
    </cfRule>
    <cfRule type="expression" priority="5" dxfId="3" stopIfTrue="1">
      <formula>AND(AND($A5&lt;&gt;"",OR($G5="",$G5="Active")),ISNUMBER(L5),L5&lt;TODAY(),NOT(OR(OR(ISNUMBER($M5),$M5="DNA"),OR(ISNUMBER($N5),$N5="DNA"),OR(ISNUMBER($Q5),$Q5="DNA"),OR(ISNUMBER($R5),$R5="DNA"),OR(ISNUMBER($S5),$S5="DNA"),OR(ISNUMBER($T5),$T5="DNA"),OR(ISNUMBER($U5),$U5="DNA"),OR(ISNUMBER($V5),$V5="DNA"))))</formula>
    </cfRule>
    <cfRule type="expression" priority="6" dxfId="4" stopIfTrue="1">
      <formula>AND(AND($A5&lt;&gt;"",OR($G5="",$G5="Active")),ISNUMBER(L5),L5&gt;=TODAY(),L5&lt;=TODAY()+7)</formula>
    </cfRule>
    <cfRule type="expression" priority="7" dxfId="5" stopIfTrue="1">
      <formula>AND(ISNUMBER(L5),L5&lt;TODAY())</formula>
    </cfRule>
  </conditionalFormatting>
  <conditionalFormatting sqref="M5:M404">
    <cfRule type="expression" priority="8" dxfId="1" stopIfTrue="1">
      <formula>M5="N/A"</formula>
    </cfRule>
    <cfRule type="expression" priority="9" dxfId="2" stopIfTrue="1">
      <formula>AND(M5="DNA",OR(OR(ISNUMBER($N5),$N5="DNA"),OR(ISNUMBER($Q5),$Q5="DNA"),OR(ISNUMBER($R5),$R5="DNA"),OR(ISNUMBER($S5),$S5="DNA"),OR(ISNUMBER($T5),$T5="DNA"),OR(ISNUMBER($U5),$U5="DNA"),OR(ISNUMBER($V5),$V5="DNA")))</formula>
    </cfRule>
    <cfRule type="expression" priority="10" dxfId="3" stopIfTrue="1">
      <formula>AND(AND($A5&lt;&gt;"",OR($G5="",$G5="Active")),M5="DNA")</formula>
    </cfRule>
    <cfRule type="expression" priority="11" dxfId="3" stopIfTrue="1">
      <formula>AND(AND($A5&lt;&gt;"",OR($G5="",$G5="Active")),ISNUMBER(M5),M5&lt;TODAY(),NOT(OR(OR(ISNUMBER($N5),$N5="DNA"),OR(ISNUMBER($Q5),$Q5="DNA"),OR(ISNUMBER($R5),$R5="DNA"),OR(ISNUMBER($S5),$S5="DNA"),OR(ISNUMBER($T5),$T5="DNA"),OR(ISNUMBER($U5),$U5="DNA"),OR(ISNUMBER($V5),$V5="DNA"))))</formula>
    </cfRule>
    <cfRule type="expression" priority="12" dxfId="4" stopIfTrue="1">
      <formula>AND(AND($A5&lt;&gt;"",OR($G5="",$G5="Active")),ISNUMBER(M5),M5&gt;=TODAY(),M5&lt;=TODAY()+7)</formula>
    </cfRule>
    <cfRule type="expression" priority="13" dxfId="5" stopIfTrue="1">
      <formula>AND(ISNUMBER(M5),M5&lt;TODAY())</formula>
    </cfRule>
  </conditionalFormatting>
  <conditionalFormatting sqref="N5:N404">
    <cfRule type="expression" priority="14" dxfId="1" stopIfTrue="1">
      <formula>N5="N/A"</formula>
    </cfRule>
    <cfRule type="expression" priority="15" dxfId="2" stopIfTrue="1">
      <formula>AND(N5="DNA",OR(OR(ISNUMBER($Q5),$Q5="DNA"),OR(ISNUMBER($R5),$R5="DNA"),OR(ISNUMBER($S5),$S5="DNA"),OR(ISNUMBER($T5),$T5="DNA"),OR(ISNUMBER($U5),$U5="DNA"),OR(ISNUMBER($V5),$V5="DNA")))</formula>
    </cfRule>
    <cfRule type="expression" priority="16" dxfId="3" stopIfTrue="1">
      <formula>AND(AND($A5&lt;&gt;"",OR($G5="",$G5="Active")),N5="DNA")</formula>
    </cfRule>
    <cfRule type="expression" priority="17" dxfId="3" stopIfTrue="1">
      <formula>AND(AND($A5&lt;&gt;"",OR($G5="",$G5="Active")),ISNUMBER(N5),N5&lt;TODAY(),NOT(OR(OR(ISNUMBER($Q5),$Q5="DNA"),OR(ISNUMBER($R5),$R5="DNA"),OR(ISNUMBER($S5),$S5="DNA"),OR(ISNUMBER($T5),$T5="DNA"),OR(ISNUMBER($U5),$U5="DNA"),OR(ISNUMBER($V5),$V5="DNA"))))</formula>
    </cfRule>
    <cfRule type="expression" priority="18" dxfId="4" stopIfTrue="1">
      <formula>AND(AND($A5&lt;&gt;"",OR($G5="",$G5="Active")),ISNUMBER(N5),N5&gt;=TODAY(),N5&lt;=TODAY()+7)</formula>
    </cfRule>
    <cfRule type="expression" priority="19" dxfId="5" stopIfTrue="1">
      <formula>AND(ISNUMBER(N5),N5&lt;TODAY())</formula>
    </cfRule>
  </conditionalFormatting>
  <conditionalFormatting sqref="Q5:Q404">
    <cfRule type="expression" priority="20" dxfId="1" stopIfTrue="1">
      <formula>Q5="N/A"</formula>
    </cfRule>
    <cfRule type="expression" priority="21" dxfId="2" stopIfTrue="1">
      <formula>AND(Q5="DNA",OR(OR(ISNUMBER($R5),$R5="DNA"),OR(ISNUMBER($S5),$S5="DNA"),OR(ISNUMBER($T5),$T5="DNA"),OR(ISNUMBER($U5),$U5="DNA"),OR(ISNUMBER($V5),$V5="DNA")))</formula>
    </cfRule>
    <cfRule type="expression" priority="22" dxfId="3" stopIfTrue="1">
      <formula>AND(AND($A5&lt;&gt;"",OR($G5="",$G5="Active")),Q5="DNA")</formula>
    </cfRule>
    <cfRule type="expression" priority="23" dxfId="3" stopIfTrue="1">
      <formula>AND(AND($A5&lt;&gt;"",OR($G5="",$G5="Active")),ISNUMBER(Q5),Q5&lt;TODAY(),NOT(OR(OR(ISNUMBER($R5),$R5="DNA"),OR(ISNUMBER($S5),$S5="DNA"),OR(ISNUMBER($T5),$T5="DNA"),OR(ISNUMBER($U5),$U5="DNA"),OR(ISNUMBER($V5),$V5="DNA"))))</formula>
    </cfRule>
    <cfRule type="expression" priority="24" dxfId="4" stopIfTrue="1">
      <formula>AND(AND($A5&lt;&gt;"",OR($G5="",$G5="Active")),ISNUMBER(Q5),Q5&gt;=TODAY(),Q5&lt;=TODAY()+7)</formula>
    </cfRule>
    <cfRule type="expression" priority="25" dxfId="5" stopIfTrue="1">
      <formula>AND(ISNUMBER(Q5),Q5&lt;TODAY())</formula>
    </cfRule>
  </conditionalFormatting>
  <conditionalFormatting sqref="R5:R404">
    <cfRule type="expression" priority="26" dxfId="1" stopIfTrue="1">
      <formula>R5="N/A"</formula>
    </cfRule>
    <cfRule type="expression" priority="27" dxfId="2" stopIfTrue="1">
      <formula>AND(R5="DNA",OR(OR(ISNUMBER($S5),$S5="DNA"),OR(ISNUMBER($T5),$T5="DNA"),OR(ISNUMBER($U5),$U5="DNA"),OR(ISNUMBER($V5),$V5="DNA")))</formula>
    </cfRule>
    <cfRule type="expression" priority="28" dxfId="3" stopIfTrue="1">
      <formula>AND(AND($A5&lt;&gt;"",OR($G5="",$G5="Active")),R5="DNA")</formula>
    </cfRule>
    <cfRule type="expression" priority="29" dxfId="3" stopIfTrue="1">
      <formula>AND(AND($A5&lt;&gt;"",OR($G5="",$G5="Active")),ISNUMBER(R5),R5&lt;TODAY(),NOT(OR(OR(ISNUMBER($S5),$S5="DNA"),OR(ISNUMBER($T5),$T5="DNA"),OR(ISNUMBER($U5),$U5="DNA"),OR(ISNUMBER($V5),$V5="DNA"))))</formula>
    </cfRule>
    <cfRule type="expression" priority="30" dxfId="4" stopIfTrue="1">
      <formula>AND(AND($A5&lt;&gt;"",OR($G5="",$G5="Active")),ISNUMBER(R5),R5&gt;=TODAY(),R5&lt;=TODAY()+7)</formula>
    </cfRule>
    <cfRule type="expression" priority="31" dxfId="5" stopIfTrue="1">
      <formula>AND(ISNUMBER(R5),R5&lt;TODAY())</formula>
    </cfRule>
  </conditionalFormatting>
  <conditionalFormatting sqref="S5:S404">
    <cfRule type="expression" priority="32" dxfId="1" stopIfTrue="1">
      <formula>S5="N/A"</formula>
    </cfRule>
    <cfRule type="expression" priority="33" dxfId="2" stopIfTrue="1">
      <formula>AND(S5="DNA",OR(OR(ISNUMBER($T5),$T5="DNA"),OR(ISNUMBER($U5),$U5="DNA"),OR(ISNUMBER($V5),$V5="DNA")))</formula>
    </cfRule>
    <cfRule type="expression" priority="34" dxfId="3" stopIfTrue="1">
      <formula>AND(AND($A5&lt;&gt;"",OR($G5="",$G5="Active")),S5="DNA")</formula>
    </cfRule>
    <cfRule type="expression" priority="35" dxfId="3" stopIfTrue="1">
      <formula>AND(AND($A5&lt;&gt;"",OR($G5="",$G5="Active")),ISNUMBER(S5),S5&lt;TODAY(),NOT(OR(OR(ISNUMBER($T5),$T5="DNA"),OR(ISNUMBER($U5),$U5="DNA"),OR(ISNUMBER($V5),$V5="DNA"))))</formula>
    </cfRule>
    <cfRule type="expression" priority="36" dxfId="4" stopIfTrue="1">
      <formula>AND(AND($A5&lt;&gt;"",OR($G5="",$G5="Active")),ISNUMBER(S5),S5&gt;=TODAY(),S5&lt;=TODAY()+7)</formula>
    </cfRule>
    <cfRule type="expression" priority="37" dxfId="5" stopIfTrue="1">
      <formula>AND(ISNUMBER(S5),S5&lt;TODAY())</formula>
    </cfRule>
  </conditionalFormatting>
  <conditionalFormatting sqref="T5:T404">
    <cfRule type="expression" priority="38" dxfId="1" stopIfTrue="1">
      <formula>T5="N/A"</formula>
    </cfRule>
    <cfRule type="expression" priority="39" dxfId="2" stopIfTrue="1">
      <formula>AND(T5="DNA",OR(OR(ISNUMBER($U5),$U5="DNA"),OR(ISNUMBER($V5),$V5="DNA")))</formula>
    </cfRule>
    <cfRule type="expression" priority="40" dxfId="3" stopIfTrue="1">
      <formula>AND(AND($A5&lt;&gt;"",OR($G5="",$G5="Active")),T5="DNA")</formula>
    </cfRule>
    <cfRule type="expression" priority="41" dxfId="3" stopIfTrue="1">
      <formula>AND(AND($A5&lt;&gt;"",OR($G5="",$G5="Active")),ISNUMBER(T5),T5&lt;TODAY(),NOT(OR(OR(ISNUMBER($U5),$U5="DNA"),OR(ISNUMBER($V5),$V5="DNA"))))</formula>
    </cfRule>
    <cfRule type="expression" priority="42" dxfId="4" stopIfTrue="1">
      <formula>AND(AND($A5&lt;&gt;"",OR($G5="",$G5="Active")),ISNUMBER(T5),T5&gt;=TODAY(),T5&lt;=TODAY()+7)</formula>
    </cfRule>
    <cfRule type="expression" priority="43" dxfId="5" stopIfTrue="1">
      <formula>AND(ISNUMBER(T5),T5&lt;TODAY())</formula>
    </cfRule>
  </conditionalFormatting>
  <conditionalFormatting sqref="U5:U404">
    <cfRule type="expression" priority="44" dxfId="1" stopIfTrue="1">
      <formula>U5="N/A"</formula>
    </cfRule>
    <cfRule type="expression" priority="45" dxfId="2" stopIfTrue="1">
      <formula>AND(U5="DNA",OR(OR(ISNUMBER($V5),$V5="DNA")))</formula>
    </cfRule>
    <cfRule type="expression" priority="46" dxfId="3" stopIfTrue="1">
      <formula>AND(AND($A5&lt;&gt;"",OR($G5="",$G5="Active")),U5="DNA")</formula>
    </cfRule>
    <cfRule type="expression" priority="47" dxfId="3" stopIfTrue="1">
      <formula>AND(AND($A5&lt;&gt;"",OR($G5="",$G5="Active")),ISNUMBER(U5),U5&lt;TODAY(),NOT(OR(OR(ISNUMBER($V5),$V5="DNA"))))</formula>
    </cfRule>
    <cfRule type="expression" priority="48" dxfId="4" stopIfTrue="1">
      <formula>AND(AND($A5&lt;&gt;"",OR($G5="",$G5="Active")),ISNUMBER(U5),U5&gt;=TODAY(),U5&lt;=TODAY()+7)</formula>
    </cfRule>
    <cfRule type="expression" priority="49" dxfId="5" stopIfTrue="1">
      <formula>AND(ISNUMBER(U5),U5&lt;TODAY())</formula>
    </cfRule>
  </conditionalFormatting>
  <conditionalFormatting sqref="V5:V404">
    <cfRule type="expression" priority="50" dxfId="1" stopIfTrue="1">
      <formula>V5="N/A"</formula>
    </cfRule>
    <cfRule type="expression" priority="51" dxfId="2" stopIfTrue="1">
      <formula>AND(V5="DNA",FALSE)</formula>
    </cfRule>
    <cfRule type="expression" priority="52" dxfId="3" stopIfTrue="1">
      <formula>AND(AND($A5&lt;&gt;"",OR($G5="",$G5="Active")),V5="DNA")</formula>
    </cfRule>
    <cfRule type="expression" priority="53" dxfId="3" stopIfTrue="1">
      <formula>AND(AND($A5&lt;&gt;"",OR($G5="",$G5="Active")),ISNUMBER(V5),V5&lt;TODAY(),NOT(FALSE))</formula>
    </cfRule>
    <cfRule type="expression" priority="54" dxfId="4" stopIfTrue="1">
      <formula>AND(AND($A5&lt;&gt;"",OR($G5="",$G5="Active")),ISNUMBER(V5),V5&gt;=TODAY(),V5&lt;=TODAY()+7)</formula>
    </cfRule>
    <cfRule type="expression" priority="55" dxfId="5" stopIfTrue="1">
      <formula>AND(ISNUMBER(V5),V5&lt;TODAY())</formula>
    </cfRule>
  </conditionalFormatting>
  <conditionalFormatting sqref="O5:O404">
    <cfRule type="expression" priority="56" dxfId="1" stopIfTrue="1">
      <formula>O5="N/A"</formula>
    </cfRule>
    <cfRule type="expression" priority="57" dxfId="6" stopIfTrue="1">
      <formula>AND(AND($A5&lt;&gt;"",OR($G5="",$G5="Active")),ISNUMBER(O5),O5&lt;TODAY())</formula>
    </cfRule>
    <cfRule type="expression" priority="58" dxfId="7" stopIfTrue="1">
      <formula>AND(AND($A5&lt;&gt;"",OR($G5="",$G5="Active")),ISNUMBER(O5),O5&gt;=TODAY(),O5&lt;=TODAY()+7)</formula>
    </cfRule>
    <cfRule type="expression" priority="59" dxfId="5" stopIfTrue="1">
      <formula>AND(ISTEXT(O5),O5&lt;&gt;"")</formula>
    </cfRule>
  </conditionalFormatting>
  <conditionalFormatting sqref="P5:P404">
    <cfRule type="expression" priority="60" dxfId="1" stopIfTrue="1">
      <formula>P5="N/A"</formula>
    </cfRule>
    <cfRule type="expression" priority="61" dxfId="6" stopIfTrue="1">
      <formula>AND(AND($A5&lt;&gt;"",OR($G5="",$G5="Active")),ISNUMBER(P5),P5&lt;TODAY())</formula>
    </cfRule>
    <cfRule type="expression" priority="62" dxfId="7" stopIfTrue="1">
      <formula>AND(AND($A5&lt;&gt;"",OR($G5="",$G5="Active")),ISNUMBER(P5),P5&gt;=TODAY(),P5&lt;=TODAY()+7)</formula>
    </cfRule>
    <cfRule type="expression" priority="63" dxfId="5" stopIfTrue="1">
      <formula>AND(ISTEXT(P5),P5&lt;&gt;"")</formula>
    </cfRule>
  </conditionalFormatting>
  <conditionalFormatting sqref="X5:X404">
    <cfRule type="expression" priority="64" dxfId="1" stopIfTrue="1">
      <formula>X5="N/A"</formula>
    </cfRule>
    <cfRule type="expression" priority="65" dxfId="6" stopIfTrue="1">
      <formula>AND(AND($A5&lt;&gt;"",OR($G5="",$G5="Active")),ISNUMBER(X5),X5&lt;TODAY())</formula>
    </cfRule>
    <cfRule type="expression" priority="66" dxfId="7" stopIfTrue="1">
      <formula>AND(AND($A5&lt;&gt;"",OR($G5="",$G5="Active")),ISNUMBER(X5),X5&gt;=TODAY(),X5&lt;=TODAY()+7)</formula>
    </cfRule>
    <cfRule type="expression" priority="67" dxfId="5" stopIfTrue="1">
      <formula>AND(ISTEXT(X5),X5&lt;&gt;"")</formula>
    </cfRule>
  </conditionalFormatting>
  <conditionalFormatting sqref="Y5:Y404">
    <cfRule type="expression" priority="68" dxfId="1" stopIfTrue="1">
      <formula>Y5="N/A"</formula>
    </cfRule>
    <cfRule type="expression" priority="69" dxfId="6" stopIfTrue="1">
      <formula>AND(AND($A5&lt;&gt;"",OR($G5="",$G5="Active")),ISNUMBER(Y5),Y5&lt;TODAY())</formula>
    </cfRule>
    <cfRule type="expression" priority="70" dxfId="7" stopIfTrue="1">
      <formula>AND(AND($A5&lt;&gt;"",OR($G5="",$G5="Active")),ISNUMBER(Y5),Y5&gt;=TODAY(),Y5&lt;=TODAY()+7)</formula>
    </cfRule>
    <cfRule type="expression" priority="71" dxfId="5" stopIfTrue="1">
      <formula>AND(ISTEXT(Y5),Y5&lt;&gt;"")</formula>
    </cfRule>
  </conditionalFormatting>
  <conditionalFormatting sqref="W5:W404">
    <cfRule type="expression" priority="72" dxfId="5" stopIfTrue="1">
      <formula>W5="Yes"</formula>
    </cfRule>
  </conditionalFormatting>
  <conditionalFormatting sqref="AB5:AB404">
    <cfRule type="expression" priority="73" dxfId="3" stopIfTrue="1">
      <formula>AND(ISNUMBER(AB5),AB5&gt;0)</formula>
    </cfRule>
  </conditionalFormatting>
  <conditionalFormatting sqref="I5:I404">
    <cfRule type="expression" priority="74" dxfId="4" stopIfTrue="1">
      <formula>AND(ISNUMBER(I5),I5&gt;0)</formula>
    </cfRule>
  </conditionalFormatting>
  <conditionalFormatting sqref="J5:J404">
    <cfRule type="expression" priority="75" dxfId="3" stopIfTrue="1">
      <formula>OR(J5="Missed/not booked?",J5="Rebook DNA",J5="Update status")</formula>
    </cfRule>
  </conditionalFormatting>
  <conditionalFormatting sqref="K5:K404">
    <cfRule type="expression" priority="76" dxfId="4" stopIfTrue="1">
      <formula>AND(ISNUMBER(K5),K5&lt;=TODAY()+7)</formula>
    </cfRule>
  </conditionalFormatting>
  <conditionalFormatting sqref="F5:F404">
    <cfRule type="expression" priority="77" dxfId="4" stopIfTrue="1">
      <formula>AND(AND($A5&lt;&gt;"",OR($G5="",$G5="Active")),ISNUMBER(F5),F5&lt;TODAY())</formula>
    </cfRule>
  </conditionalFormatting>
  <conditionalFormatting sqref="B5:B404">
    <cfRule type="expression" priority="78" dxfId="8" stopIfTrue="1">
      <formula>AND(B5&lt;&gt;"",COUNTIF($B$5:$B$404,B5)&gt;1)</formula>
    </cfRule>
  </conditionalFormatting>
  <dataValidations count="19">
    <dataValidation sqref="E5:E404" showDropDown="0" showInputMessage="0" showErrorMessage="0" allowBlank="1" type="list">
      <formula1>"MLC,CLC"</formula1>
    </dataValidation>
    <dataValidation sqref="W5:W404" showDropDown="0" showInputMessage="0" showErrorMessage="0" allowBlank="1" type="list">
      <formula1>"Yes,No"</formula1>
    </dataValidation>
    <dataValidation sqref="G5:G404" showDropDown="0" showInputMessage="1" showErrorMessage="0" allowBlank="1" promptTitle="Status" prompt="Blank counts as Active. Anything else stops the flags for this patient." type="list">
      <formula1>StatusList</formula1>
    </dataValidation>
    <dataValidation sqref="AA5:AA404" showDropDown="0" showInputMessage="1" showErrorMessage="0" allowBlank="1" promptTitle="Who updated this row?" prompt="Pick your name (names live on the Staff tab)." type="list">
      <formula1>StaffList</formula1>
    </dataValidation>
    <dataValidation sqref="C5:C404" showDropDown="0" showInputMessage="0" showErrorMessage="1" allowBlank="1" errorTitle="Not a date" error="Enter a date like 14/03/2026." type="date" errorStyle="warning" operator="between">
      <formula1>DATE(1900,1,1)</formula1>
      <formula2>DATE(2100,12,31)</formula2>
    </dataValidation>
    <dataValidation sqref="F5:F404" showDropDown="0" showInputMessage="0" showErrorMessage="1" allowBlank="1" errorTitle="Not a date" error="Enter a date like 14/03/2026." type="date" errorStyle="warning" operator="between">
      <formula1>DATE(1900,1,1)</formula1>
      <formula2>DATE(2100,12,31)</formula2>
    </dataValidation>
    <dataValidation sqref="L5:L404" showDropDown="0" showInputMessage="0" showErrorMessage="1" allowBlank="1" errorTitle="Not a date" error="Enter a date like 14/03/2026." type="date" errorStyle="warning" operator="between">
      <formula1>DATE(1900,1,1)</formula1>
      <formula2>DATE(2100,12,31)</formula2>
    </dataValidation>
    <dataValidation sqref="M5:M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OR(M5="",ISNUMBER(M5),M5="DNA",M5="N/A")</formula1>
    </dataValidation>
    <dataValidation sqref="N5:N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OR(N5="",ISNUMBER(N5),N5="DNA",N5="N/A")</formula1>
    </dataValidation>
    <dataValidation sqref="Q5:Q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OR(Q5="",ISNUMBER(Q5),Q5="DNA",Q5="N/A")</formula1>
    </dataValidation>
    <dataValidation sqref="R5:R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OR(R5="",ISNUMBER(R5),R5="DNA",R5="N/A")</formula1>
    </dataValidation>
    <dataValidation sqref="S5:S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OR(S5="",ISNUMBER(S5),S5="DNA",S5="N/A")</formula1>
    </dataValidation>
    <dataValidation sqref="T5:T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OR(T5="",ISNUMBER(T5),T5="DNA",T5="N/A")</formula1>
    </dataValidation>
    <dataValidation sqref="U5:U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OR(U5="",ISNUMBER(U5),U5="DNA",U5="N/A")</formula1>
    </dataValidation>
    <dataValidation sqref="V5:V404" showDropDown="0" showInputMessage="1" showErrorMessage="1" allowBlank="1" errorTitle="Appointment" error="Expected a date, DNA or N/A." promptTitle="Appointment" prompt="Enter the date once it's booked (usually at the previous appointment). Adding it confirms the previous one happened. DNA if missed. N/A if not needed." type="custom" errorStyle="warning">
      <formula1>OR(V5="",ISNUMBER(V5),V5="DNA",V5="N/A")</formula1>
    </dataValidation>
    <dataValidation sqref="O5:O404" showDropDown="0" showInputMessage="1" showErrorMessage="0" allowBlank="1" promptTitle="Action" prompt="Enter the date booked/due. Once complete, type Done (or e.g. 'Done 12/3 SW'). N/A if not needed." type="custom">
      <formula1>TRUE</formula1>
    </dataValidation>
    <dataValidation sqref="P5:P404" showDropDown="0" showInputMessage="1" showErrorMessage="0" allowBlank="1" promptTitle="Action" prompt="Enter the date booked/due. Once complete, type Done (or e.g. 'Done 12/3 SW'). N/A if not needed." type="custom">
      <formula1>TRUE</formula1>
    </dataValidation>
    <dataValidation sqref="X5:X404" showDropDown="0" showInputMessage="1" showErrorMessage="0" allowBlank="1" promptTitle="Action" prompt="Enter the date booked/due. Once complete, type Done (or e.g. 'Done 12/3 SW'). N/A if not needed." type="custom">
      <formula1>TRUE</formula1>
    </dataValidation>
    <dataValidation sqref="Y5:Y404" showDropDown="0" showInputMessage="1" showErrorMessage="0" allowBlank="1" promptTitle="Action" prompt="Enter the date booked/due. Once complete, type Done (or e.g. 'Done 12/3 SW'). N/A if not needed." type="custom">
      <formula1>TRUE</formula1>
    </dataValidation>
  </dataValidations>
  <pageMargins left="0.75" right="0.75" top="1" bottom="1" header="0.5" footer="0.5"/>
  <pageSetup orientation="landscape"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503"/>
  <sheetViews>
    <sheetView workbookViewId="0">
      <pane ySplit="3" topLeftCell="A4" activePane="bottomLeft" state="frozen"/>
      <selection pane="bottomLeft" activeCell="A1" sqref="A1"/>
    </sheetView>
  </sheetViews>
  <sheetFormatPr baseColWidth="8" defaultRowHeight="15"/>
  <cols>
    <col width="12" customWidth="1" min="1" max="1"/>
    <col width="16" customWidth="1" min="2" max="2"/>
    <col width="22" customWidth="1" min="3" max="3"/>
    <col width="14" customWidth="1" min="4" max="4"/>
    <col width="70" customWidth="1" min="5" max="5"/>
  </cols>
  <sheetData>
    <row r="1">
      <c r="A1" s="31" t="inlineStr">
        <is>
          <t>Update log: one line per action taken, newest at the bottom</t>
        </is>
      </c>
    </row>
    <row r="3">
      <c r="A3" s="32" t="inlineStr">
        <is>
          <t>Date</t>
        </is>
      </c>
      <c r="B3" s="32" t="inlineStr">
        <is>
          <t>Staff</t>
        </is>
      </c>
      <c r="C3" s="32" t="inlineStr">
        <is>
          <t>Patient name</t>
        </is>
      </c>
      <c r="D3" s="32" t="inlineStr">
        <is>
          <t>NHS number</t>
        </is>
      </c>
      <c r="E3" s="32" t="inlineStr">
        <is>
          <t>What was done / changed</t>
        </is>
      </c>
    </row>
    <row r="4">
      <c r="A4" s="33" t="n"/>
      <c r="B4" s="25" t="n"/>
      <c r="C4" s="25" t="n"/>
      <c r="D4" s="26" t="n"/>
      <c r="E4" s="34" t="n"/>
    </row>
    <row r="5">
      <c r="A5" s="33" t="n"/>
      <c r="B5" s="25" t="n"/>
      <c r="C5" s="25" t="n"/>
      <c r="D5" s="26" t="n"/>
      <c r="E5" s="34" t="n"/>
    </row>
    <row r="6">
      <c r="A6" s="33" t="n"/>
      <c r="B6" s="25" t="n"/>
      <c r="C6" s="25" t="n"/>
      <c r="D6" s="26" t="n"/>
      <c r="E6" s="34" t="n"/>
    </row>
    <row r="7">
      <c r="A7" s="33" t="n"/>
      <c r="B7" s="25" t="n"/>
      <c r="C7" s="25" t="n"/>
      <c r="D7" s="26" t="n"/>
      <c r="E7" s="34" t="n"/>
    </row>
    <row r="8">
      <c r="A8" s="33" t="n"/>
      <c r="B8" s="25" t="n"/>
      <c r="C8" s="25" t="n"/>
      <c r="D8" s="26" t="n"/>
      <c r="E8" s="34" t="n"/>
    </row>
    <row r="9">
      <c r="A9" s="33" t="n"/>
      <c r="B9" s="25" t="n"/>
      <c r="C9" s="25" t="n"/>
      <c r="D9" s="26" t="n"/>
      <c r="E9" s="34" t="n"/>
    </row>
    <row r="10">
      <c r="A10" s="33" t="n"/>
      <c r="B10" s="25" t="n"/>
      <c r="C10" s="25" t="n"/>
      <c r="D10" s="26" t="n"/>
      <c r="E10" s="34" t="n"/>
    </row>
    <row r="11">
      <c r="A11" s="33" t="n"/>
      <c r="B11" s="25" t="n"/>
      <c r="C11" s="25" t="n"/>
      <c r="D11" s="26" t="n"/>
      <c r="E11" s="34" t="n"/>
    </row>
    <row r="12">
      <c r="A12" s="33" t="n"/>
      <c r="B12" s="25" t="n"/>
      <c r="C12" s="25" t="n"/>
      <c r="D12" s="26" t="n"/>
      <c r="E12" s="34" t="n"/>
    </row>
    <row r="13">
      <c r="A13" s="33" t="n"/>
      <c r="B13" s="25" t="n"/>
      <c r="C13" s="25" t="n"/>
      <c r="D13" s="26" t="n"/>
      <c r="E13" s="34" t="n"/>
    </row>
    <row r="14">
      <c r="A14" s="33" t="n"/>
      <c r="B14" s="25" t="n"/>
      <c r="C14" s="25" t="n"/>
      <c r="D14" s="26" t="n"/>
      <c r="E14" s="34" t="n"/>
    </row>
    <row r="15">
      <c r="A15" s="33" t="n"/>
      <c r="B15" s="25" t="n"/>
      <c r="C15" s="25" t="n"/>
      <c r="D15" s="26" t="n"/>
      <c r="E15" s="34" t="n"/>
    </row>
    <row r="16">
      <c r="A16" s="33" t="n"/>
      <c r="B16" s="25" t="n"/>
      <c r="C16" s="25" t="n"/>
      <c r="D16" s="26" t="n"/>
      <c r="E16" s="34" t="n"/>
    </row>
    <row r="17">
      <c r="A17" s="33" t="n"/>
      <c r="B17" s="25" t="n"/>
      <c r="C17" s="25" t="n"/>
      <c r="D17" s="26" t="n"/>
      <c r="E17" s="34" t="n"/>
    </row>
    <row r="18">
      <c r="A18" s="33" t="n"/>
      <c r="B18" s="25" t="n"/>
      <c r="C18" s="25" t="n"/>
      <c r="D18" s="26" t="n"/>
      <c r="E18" s="34" t="n"/>
    </row>
    <row r="19">
      <c r="A19" s="33" t="n"/>
      <c r="B19" s="25" t="n"/>
      <c r="C19" s="25" t="n"/>
      <c r="D19" s="26" t="n"/>
      <c r="E19" s="34" t="n"/>
    </row>
    <row r="20">
      <c r="A20" s="33" t="n"/>
      <c r="B20" s="25" t="n"/>
      <c r="C20" s="25" t="n"/>
      <c r="D20" s="26" t="n"/>
      <c r="E20" s="34" t="n"/>
    </row>
    <row r="21">
      <c r="A21" s="33" t="n"/>
      <c r="B21" s="25" t="n"/>
      <c r="C21" s="25" t="n"/>
      <c r="D21" s="26" t="n"/>
      <c r="E21" s="34" t="n"/>
    </row>
    <row r="22">
      <c r="A22" s="33" t="n"/>
      <c r="B22" s="25" t="n"/>
      <c r="C22" s="25" t="n"/>
      <c r="D22" s="26" t="n"/>
      <c r="E22" s="34" t="n"/>
    </row>
    <row r="23">
      <c r="A23" s="33" t="n"/>
      <c r="B23" s="25" t="n"/>
      <c r="C23" s="25" t="n"/>
      <c r="D23" s="26" t="n"/>
      <c r="E23" s="34" t="n"/>
    </row>
    <row r="24">
      <c r="A24" s="33" t="n"/>
      <c r="B24" s="25" t="n"/>
      <c r="C24" s="25" t="n"/>
      <c r="D24" s="26" t="n"/>
      <c r="E24" s="34" t="n"/>
    </row>
    <row r="25">
      <c r="A25" s="33" t="n"/>
      <c r="B25" s="25" t="n"/>
      <c r="C25" s="25" t="n"/>
      <c r="D25" s="26" t="n"/>
      <c r="E25" s="34" t="n"/>
    </row>
    <row r="26">
      <c r="A26" s="33" t="n"/>
      <c r="B26" s="25" t="n"/>
      <c r="C26" s="25" t="n"/>
      <c r="D26" s="26" t="n"/>
      <c r="E26" s="34" t="n"/>
    </row>
    <row r="27">
      <c r="A27" s="33" t="n"/>
      <c r="B27" s="25" t="n"/>
      <c r="C27" s="25" t="n"/>
      <c r="D27" s="26" t="n"/>
      <c r="E27" s="34" t="n"/>
    </row>
    <row r="28">
      <c r="A28" s="33" t="n"/>
      <c r="B28" s="25" t="n"/>
      <c r="C28" s="25" t="n"/>
      <c r="D28" s="26" t="n"/>
      <c r="E28" s="34" t="n"/>
    </row>
    <row r="29">
      <c r="A29" s="33" t="n"/>
      <c r="B29" s="25" t="n"/>
      <c r="C29" s="25" t="n"/>
      <c r="D29" s="26" t="n"/>
      <c r="E29" s="34" t="n"/>
    </row>
    <row r="30">
      <c r="A30" s="33" t="n"/>
      <c r="B30" s="25" t="n"/>
      <c r="C30" s="25" t="n"/>
      <c r="D30" s="26" t="n"/>
      <c r="E30" s="34" t="n"/>
    </row>
    <row r="31">
      <c r="A31" s="33" t="n"/>
      <c r="B31" s="25" t="n"/>
      <c r="C31" s="25" t="n"/>
      <c r="D31" s="26" t="n"/>
      <c r="E31" s="34" t="n"/>
    </row>
    <row r="32">
      <c r="A32" s="33" t="n"/>
      <c r="B32" s="25" t="n"/>
      <c r="C32" s="25" t="n"/>
      <c r="D32" s="26" t="n"/>
      <c r="E32" s="34" t="n"/>
    </row>
    <row r="33">
      <c r="A33" s="33" t="n"/>
      <c r="B33" s="25" t="n"/>
      <c r="C33" s="25" t="n"/>
      <c r="D33" s="26" t="n"/>
      <c r="E33" s="34" t="n"/>
    </row>
    <row r="34">
      <c r="A34" s="33" t="n"/>
      <c r="B34" s="25" t="n"/>
      <c r="C34" s="25" t="n"/>
      <c r="D34" s="26" t="n"/>
      <c r="E34" s="34" t="n"/>
    </row>
    <row r="35">
      <c r="A35" s="33" t="n"/>
      <c r="B35" s="25" t="n"/>
      <c r="C35" s="25" t="n"/>
      <c r="D35" s="26" t="n"/>
      <c r="E35" s="34" t="n"/>
    </row>
    <row r="36">
      <c r="A36" s="33" t="n"/>
      <c r="B36" s="25" t="n"/>
      <c r="C36" s="25" t="n"/>
      <c r="D36" s="26" t="n"/>
      <c r="E36" s="34" t="n"/>
    </row>
    <row r="37">
      <c r="A37" s="33" t="n"/>
      <c r="B37" s="25" t="n"/>
      <c r="C37" s="25" t="n"/>
      <c r="D37" s="26" t="n"/>
      <c r="E37" s="34" t="n"/>
    </row>
    <row r="38">
      <c r="A38" s="33" t="n"/>
      <c r="B38" s="25" t="n"/>
      <c r="C38" s="25" t="n"/>
      <c r="D38" s="26" t="n"/>
      <c r="E38" s="34" t="n"/>
    </row>
    <row r="39">
      <c r="A39" s="33" t="n"/>
      <c r="B39" s="25" t="n"/>
      <c r="C39" s="25" t="n"/>
      <c r="D39" s="26" t="n"/>
      <c r="E39" s="34" t="n"/>
    </row>
    <row r="40">
      <c r="A40" s="33" t="n"/>
      <c r="B40" s="25" t="n"/>
      <c r="C40" s="25" t="n"/>
      <c r="D40" s="26" t="n"/>
      <c r="E40" s="34" t="n"/>
    </row>
    <row r="41">
      <c r="A41" s="33" t="n"/>
      <c r="B41" s="25" t="n"/>
      <c r="C41" s="25" t="n"/>
      <c r="D41" s="26" t="n"/>
      <c r="E41" s="34" t="n"/>
    </row>
    <row r="42">
      <c r="A42" s="33" t="n"/>
      <c r="B42" s="25" t="n"/>
      <c r="C42" s="25" t="n"/>
      <c r="D42" s="26" t="n"/>
      <c r="E42" s="34" t="n"/>
    </row>
    <row r="43">
      <c r="A43" s="33" t="n"/>
      <c r="B43" s="25" t="n"/>
      <c r="C43" s="25" t="n"/>
      <c r="D43" s="26" t="n"/>
      <c r="E43" s="34" t="n"/>
    </row>
    <row r="44">
      <c r="A44" s="33" t="n"/>
      <c r="B44" s="25" t="n"/>
      <c r="C44" s="25" t="n"/>
      <c r="D44" s="26" t="n"/>
      <c r="E44" s="34" t="n"/>
    </row>
    <row r="45">
      <c r="A45" s="33" t="n"/>
      <c r="B45" s="25" t="n"/>
      <c r="C45" s="25" t="n"/>
      <c r="D45" s="26" t="n"/>
      <c r="E45" s="34" t="n"/>
    </row>
    <row r="46">
      <c r="A46" s="33" t="n"/>
      <c r="B46" s="25" t="n"/>
      <c r="C46" s="25" t="n"/>
      <c r="D46" s="26" t="n"/>
      <c r="E46" s="34" t="n"/>
    </row>
    <row r="47">
      <c r="A47" s="33" t="n"/>
      <c r="B47" s="25" t="n"/>
      <c r="C47" s="25" t="n"/>
      <c r="D47" s="26" t="n"/>
      <c r="E47" s="34" t="n"/>
    </row>
    <row r="48">
      <c r="A48" s="33" t="n"/>
      <c r="B48" s="25" t="n"/>
      <c r="C48" s="25" t="n"/>
      <c r="D48" s="26" t="n"/>
      <c r="E48" s="34" t="n"/>
    </row>
    <row r="49">
      <c r="A49" s="33" t="n"/>
      <c r="B49" s="25" t="n"/>
      <c r="C49" s="25" t="n"/>
      <c r="D49" s="26" t="n"/>
      <c r="E49" s="34" t="n"/>
    </row>
    <row r="50">
      <c r="A50" s="33" t="n"/>
      <c r="B50" s="25" t="n"/>
      <c r="C50" s="25" t="n"/>
      <c r="D50" s="26" t="n"/>
      <c r="E50" s="34" t="n"/>
    </row>
    <row r="51">
      <c r="A51" s="33" t="n"/>
      <c r="B51" s="25" t="n"/>
      <c r="C51" s="25" t="n"/>
      <c r="D51" s="26" t="n"/>
      <c r="E51" s="34" t="n"/>
    </row>
    <row r="52">
      <c r="A52" s="33" t="n"/>
      <c r="B52" s="25" t="n"/>
      <c r="C52" s="25" t="n"/>
      <c r="D52" s="26" t="n"/>
      <c r="E52" s="34" t="n"/>
    </row>
    <row r="53">
      <c r="A53" s="33" t="n"/>
      <c r="B53" s="25" t="n"/>
      <c r="C53" s="25" t="n"/>
      <c r="D53" s="26" t="n"/>
      <c r="E53" s="34" t="n"/>
    </row>
    <row r="54">
      <c r="A54" s="33" t="n"/>
      <c r="B54" s="25" t="n"/>
      <c r="C54" s="25" t="n"/>
      <c r="D54" s="26" t="n"/>
      <c r="E54" s="34" t="n"/>
    </row>
    <row r="55">
      <c r="A55" s="33" t="n"/>
      <c r="B55" s="25" t="n"/>
      <c r="C55" s="25" t="n"/>
      <c r="D55" s="26" t="n"/>
      <c r="E55" s="34" t="n"/>
    </row>
    <row r="56">
      <c r="A56" s="33" t="n"/>
      <c r="B56" s="25" t="n"/>
      <c r="C56" s="25" t="n"/>
      <c r="D56" s="26" t="n"/>
      <c r="E56" s="34" t="n"/>
    </row>
    <row r="57">
      <c r="A57" s="33" t="n"/>
      <c r="B57" s="25" t="n"/>
      <c r="C57" s="25" t="n"/>
      <c r="D57" s="26" t="n"/>
      <c r="E57" s="34" t="n"/>
    </row>
    <row r="58">
      <c r="A58" s="33" t="n"/>
      <c r="B58" s="25" t="n"/>
      <c r="C58" s="25" t="n"/>
      <c r="D58" s="26" t="n"/>
      <c r="E58" s="34" t="n"/>
    </row>
    <row r="59">
      <c r="A59" s="33" t="n"/>
      <c r="B59" s="25" t="n"/>
      <c r="C59" s="25" t="n"/>
      <c r="D59" s="26" t="n"/>
      <c r="E59" s="34" t="n"/>
    </row>
    <row r="60">
      <c r="A60" s="33" t="n"/>
      <c r="B60" s="25" t="n"/>
      <c r="C60" s="25" t="n"/>
      <c r="D60" s="26" t="n"/>
      <c r="E60" s="34" t="n"/>
    </row>
    <row r="61">
      <c r="A61" s="33" t="n"/>
      <c r="B61" s="25" t="n"/>
      <c r="C61" s="25" t="n"/>
      <c r="D61" s="26" t="n"/>
      <c r="E61" s="34" t="n"/>
    </row>
    <row r="62">
      <c r="A62" s="33" t="n"/>
      <c r="B62" s="25" t="n"/>
      <c r="C62" s="25" t="n"/>
      <c r="D62" s="26" t="n"/>
      <c r="E62" s="34" t="n"/>
    </row>
    <row r="63">
      <c r="A63" s="33" t="n"/>
      <c r="B63" s="25" t="n"/>
      <c r="C63" s="25" t="n"/>
      <c r="D63" s="26" t="n"/>
      <c r="E63" s="34" t="n"/>
    </row>
    <row r="64">
      <c r="A64" s="33" t="n"/>
      <c r="B64" s="25" t="n"/>
      <c r="C64" s="25" t="n"/>
      <c r="D64" s="26" t="n"/>
      <c r="E64" s="34" t="n"/>
    </row>
    <row r="65">
      <c r="A65" s="33" t="n"/>
      <c r="B65" s="25" t="n"/>
      <c r="C65" s="25" t="n"/>
      <c r="D65" s="26" t="n"/>
      <c r="E65" s="34" t="n"/>
    </row>
    <row r="66">
      <c r="A66" s="33" t="n"/>
      <c r="B66" s="25" t="n"/>
      <c r="C66" s="25" t="n"/>
      <c r="D66" s="26" t="n"/>
      <c r="E66" s="34" t="n"/>
    </row>
    <row r="67">
      <c r="A67" s="33" t="n"/>
      <c r="B67" s="25" t="n"/>
      <c r="C67" s="25" t="n"/>
      <c r="D67" s="26" t="n"/>
      <c r="E67" s="34" t="n"/>
    </row>
    <row r="68">
      <c r="A68" s="33" t="n"/>
      <c r="B68" s="25" t="n"/>
      <c r="C68" s="25" t="n"/>
      <c r="D68" s="26" t="n"/>
      <c r="E68" s="34" t="n"/>
    </row>
    <row r="69">
      <c r="A69" s="33" t="n"/>
      <c r="B69" s="25" t="n"/>
      <c r="C69" s="25" t="n"/>
      <c r="D69" s="26" t="n"/>
      <c r="E69" s="34" t="n"/>
    </row>
    <row r="70">
      <c r="A70" s="33" t="n"/>
      <c r="B70" s="25" t="n"/>
      <c r="C70" s="25" t="n"/>
      <c r="D70" s="26" t="n"/>
      <c r="E70" s="34" t="n"/>
    </row>
    <row r="71">
      <c r="A71" s="33" t="n"/>
      <c r="B71" s="25" t="n"/>
      <c r="C71" s="25" t="n"/>
      <c r="D71" s="26" t="n"/>
      <c r="E71" s="34" t="n"/>
    </row>
    <row r="72">
      <c r="A72" s="33" t="n"/>
      <c r="B72" s="25" t="n"/>
      <c r="C72" s="25" t="n"/>
      <c r="D72" s="26" t="n"/>
      <c r="E72" s="34" t="n"/>
    </row>
    <row r="73">
      <c r="A73" s="33" t="n"/>
      <c r="B73" s="25" t="n"/>
      <c r="C73" s="25" t="n"/>
      <c r="D73" s="26" t="n"/>
      <c r="E73" s="34" t="n"/>
    </row>
    <row r="74">
      <c r="A74" s="33" t="n"/>
      <c r="B74" s="25" t="n"/>
      <c r="C74" s="25" t="n"/>
      <c r="D74" s="26" t="n"/>
      <c r="E74" s="34" t="n"/>
    </row>
    <row r="75">
      <c r="A75" s="33" t="n"/>
      <c r="B75" s="25" t="n"/>
      <c r="C75" s="25" t="n"/>
      <c r="D75" s="26" t="n"/>
      <c r="E75" s="34" t="n"/>
    </row>
    <row r="76">
      <c r="A76" s="33" t="n"/>
      <c r="B76" s="25" t="n"/>
      <c r="C76" s="25" t="n"/>
      <c r="D76" s="26" t="n"/>
      <c r="E76" s="34" t="n"/>
    </row>
    <row r="77">
      <c r="A77" s="33" t="n"/>
      <c r="B77" s="25" t="n"/>
      <c r="C77" s="25" t="n"/>
      <c r="D77" s="26" t="n"/>
      <c r="E77" s="34" t="n"/>
    </row>
    <row r="78">
      <c r="A78" s="33" t="n"/>
      <c r="B78" s="25" t="n"/>
      <c r="C78" s="25" t="n"/>
      <c r="D78" s="26" t="n"/>
      <c r="E78" s="34" t="n"/>
    </row>
    <row r="79">
      <c r="A79" s="33" t="n"/>
      <c r="B79" s="25" t="n"/>
      <c r="C79" s="25" t="n"/>
      <c r="D79" s="26" t="n"/>
      <c r="E79" s="34" t="n"/>
    </row>
    <row r="80">
      <c r="A80" s="33" t="n"/>
      <c r="B80" s="25" t="n"/>
      <c r="C80" s="25" t="n"/>
      <c r="D80" s="26" t="n"/>
      <c r="E80" s="34" t="n"/>
    </row>
    <row r="81">
      <c r="A81" s="33" t="n"/>
      <c r="B81" s="25" t="n"/>
      <c r="C81" s="25" t="n"/>
      <c r="D81" s="26" t="n"/>
      <c r="E81" s="34" t="n"/>
    </row>
    <row r="82">
      <c r="A82" s="33" t="n"/>
      <c r="B82" s="25" t="n"/>
      <c r="C82" s="25" t="n"/>
      <c r="D82" s="26" t="n"/>
      <c r="E82" s="34" t="n"/>
    </row>
    <row r="83">
      <c r="A83" s="33" t="n"/>
      <c r="B83" s="25" t="n"/>
      <c r="C83" s="25" t="n"/>
      <c r="D83" s="26" t="n"/>
      <c r="E83" s="34" t="n"/>
    </row>
    <row r="84">
      <c r="A84" s="33" t="n"/>
      <c r="B84" s="25" t="n"/>
      <c r="C84" s="25" t="n"/>
      <c r="D84" s="26" t="n"/>
      <c r="E84" s="34" t="n"/>
    </row>
    <row r="85">
      <c r="A85" s="33" t="n"/>
      <c r="B85" s="25" t="n"/>
      <c r="C85" s="25" t="n"/>
      <c r="D85" s="26" t="n"/>
      <c r="E85" s="34" t="n"/>
    </row>
    <row r="86">
      <c r="A86" s="33" t="n"/>
      <c r="B86" s="25" t="n"/>
      <c r="C86" s="25" t="n"/>
      <c r="D86" s="26" t="n"/>
      <c r="E86" s="34" t="n"/>
    </row>
    <row r="87">
      <c r="A87" s="33" t="n"/>
      <c r="B87" s="25" t="n"/>
      <c r="C87" s="25" t="n"/>
      <c r="D87" s="26" t="n"/>
      <c r="E87" s="34" t="n"/>
    </row>
    <row r="88">
      <c r="A88" s="33" t="n"/>
      <c r="B88" s="25" t="n"/>
      <c r="C88" s="25" t="n"/>
      <c r="D88" s="26" t="n"/>
      <c r="E88" s="34" t="n"/>
    </row>
    <row r="89">
      <c r="A89" s="33" t="n"/>
      <c r="B89" s="25" t="n"/>
      <c r="C89" s="25" t="n"/>
      <c r="D89" s="26" t="n"/>
      <c r="E89" s="34" t="n"/>
    </row>
    <row r="90">
      <c r="A90" s="33" t="n"/>
      <c r="B90" s="25" t="n"/>
      <c r="C90" s="25" t="n"/>
      <c r="D90" s="26" t="n"/>
      <c r="E90" s="34" t="n"/>
    </row>
    <row r="91">
      <c r="A91" s="33" t="n"/>
      <c r="B91" s="25" t="n"/>
      <c r="C91" s="25" t="n"/>
      <c r="D91" s="26" t="n"/>
      <c r="E91" s="34" t="n"/>
    </row>
    <row r="92">
      <c r="A92" s="33" t="n"/>
      <c r="B92" s="25" t="n"/>
      <c r="C92" s="25" t="n"/>
      <c r="D92" s="26" t="n"/>
      <c r="E92" s="34" t="n"/>
    </row>
    <row r="93">
      <c r="A93" s="33" t="n"/>
      <c r="B93" s="25" t="n"/>
      <c r="C93" s="25" t="n"/>
      <c r="D93" s="26" t="n"/>
      <c r="E93" s="34" t="n"/>
    </row>
    <row r="94">
      <c r="A94" s="33" t="n"/>
      <c r="B94" s="25" t="n"/>
      <c r="C94" s="25" t="n"/>
      <c r="D94" s="26" t="n"/>
      <c r="E94" s="34" t="n"/>
    </row>
    <row r="95">
      <c r="A95" s="33" t="n"/>
      <c r="B95" s="25" t="n"/>
      <c r="C95" s="25" t="n"/>
      <c r="D95" s="26" t="n"/>
      <c r="E95" s="34" t="n"/>
    </row>
    <row r="96">
      <c r="A96" s="33" t="n"/>
      <c r="B96" s="25" t="n"/>
      <c r="C96" s="25" t="n"/>
      <c r="D96" s="26" t="n"/>
      <c r="E96" s="34" t="n"/>
    </row>
    <row r="97">
      <c r="A97" s="33" t="n"/>
      <c r="B97" s="25" t="n"/>
      <c r="C97" s="25" t="n"/>
      <c r="D97" s="26" t="n"/>
      <c r="E97" s="34" t="n"/>
    </row>
    <row r="98">
      <c r="A98" s="33" t="n"/>
      <c r="B98" s="25" t="n"/>
      <c r="C98" s="25" t="n"/>
      <c r="D98" s="26" t="n"/>
      <c r="E98" s="34" t="n"/>
    </row>
    <row r="99">
      <c r="A99" s="33" t="n"/>
      <c r="B99" s="25" t="n"/>
      <c r="C99" s="25" t="n"/>
      <c r="D99" s="26" t="n"/>
      <c r="E99" s="34" t="n"/>
    </row>
    <row r="100">
      <c r="A100" s="33" t="n"/>
      <c r="B100" s="25" t="n"/>
      <c r="C100" s="25" t="n"/>
      <c r="D100" s="26" t="n"/>
      <c r="E100" s="34" t="n"/>
    </row>
    <row r="101">
      <c r="A101" s="33" t="n"/>
      <c r="B101" s="25" t="n"/>
      <c r="C101" s="25" t="n"/>
      <c r="D101" s="26" t="n"/>
      <c r="E101" s="34" t="n"/>
    </row>
    <row r="102">
      <c r="A102" s="33" t="n"/>
      <c r="B102" s="25" t="n"/>
      <c r="C102" s="25" t="n"/>
      <c r="D102" s="26" t="n"/>
      <c r="E102" s="34" t="n"/>
    </row>
    <row r="103">
      <c r="A103" s="33" t="n"/>
      <c r="B103" s="25" t="n"/>
      <c r="C103" s="25" t="n"/>
      <c r="D103" s="26" t="n"/>
      <c r="E103" s="34" t="n"/>
    </row>
    <row r="104">
      <c r="A104" s="33" t="n"/>
      <c r="B104" s="25" t="n"/>
      <c r="C104" s="25" t="n"/>
      <c r="D104" s="26" t="n"/>
      <c r="E104" s="34" t="n"/>
    </row>
    <row r="105">
      <c r="A105" s="33" t="n"/>
      <c r="B105" s="25" t="n"/>
      <c r="C105" s="25" t="n"/>
      <c r="D105" s="26" t="n"/>
      <c r="E105" s="34" t="n"/>
    </row>
    <row r="106">
      <c r="A106" s="33" t="n"/>
      <c r="B106" s="25" t="n"/>
      <c r="C106" s="25" t="n"/>
      <c r="D106" s="26" t="n"/>
      <c r="E106" s="34" t="n"/>
    </row>
    <row r="107">
      <c r="A107" s="33" t="n"/>
      <c r="B107" s="25" t="n"/>
      <c r="C107" s="25" t="n"/>
      <c r="D107" s="26" t="n"/>
      <c r="E107" s="34" t="n"/>
    </row>
    <row r="108">
      <c r="A108" s="33" t="n"/>
      <c r="B108" s="25" t="n"/>
      <c r="C108" s="25" t="n"/>
      <c r="D108" s="26" t="n"/>
      <c r="E108" s="34" t="n"/>
    </row>
    <row r="109">
      <c r="A109" s="33" t="n"/>
      <c r="B109" s="25" t="n"/>
      <c r="C109" s="25" t="n"/>
      <c r="D109" s="26" t="n"/>
      <c r="E109" s="34" t="n"/>
    </row>
    <row r="110">
      <c r="A110" s="33" t="n"/>
      <c r="B110" s="25" t="n"/>
      <c r="C110" s="25" t="n"/>
      <c r="D110" s="26" t="n"/>
      <c r="E110" s="34" t="n"/>
    </row>
    <row r="111">
      <c r="A111" s="33" t="n"/>
      <c r="B111" s="25" t="n"/>
      <c r="C111" s="25" t="n"/>
      <c r="D111" s="26" t="n"/>
      <c r="E111" s="34" t="n"/>
    </row>
    <row r="112">
      <c r="A112" s="33" t="n"/>
      <c r="B112" s="25" t="n"/>
      <c r="C112" s="25" t="n"/>
      <c r="D112" s="26" t="n"/>
      <c r="E112" s="34" t="n"/>
    </row>
    <row r="113">
      <c r="A113" s="33" t="n"/>
      <c r="B113" s="25" t="n"/>
      <c r="C113" s="25" t="n"/>
      <c r="D113" s="26" t="n"/>
      <c r="E113" s="34" t="n"/>
    </row>
    <row r="114">
      <c r="A114" s="33" t="n"/>
      <c r="B114" s="25" t="n"/>
      <c r="C114" s="25" t="n"/>
      <c r="D114" s="26" t="n"/>
      <c r="E114" s="34" t="n"/>
    </row>
    <row r="115">
      <c r="A115" s="33" t="n"/>
      <c r="B115" s="25" t="n"/>
      <c r="C115" s="25" t="n"/>
      <c r="D115" s="26" t="n"/>
      <c r="E115" s="34" t="n"/>
    </row>
    <row r="116">
      <c r="A116" s="33" t="n"/>
      <c r="B116" s="25" t="n"/>
      <c r="C116" s="25" t="n"/>
      <c r="D116" s="26" t="n"/>
      <c r="E116" s="34" t="n"/>
    </row>
    <row r="117">
      <c r="A117" s="33" t="n"/>
      <c r="B117" s="25" t="n"/>
      <c r="C117" s="25" t="n"/>
      <c r="D117" s="26" t="n"/>
      <c r="E117" s="34" t="n"/>
    </row>
    <row r="118">
      <c r="A118" s="33" t="n"/>
      <c r="B118" s="25" t="n"/>
      <c r="C118" s="25" t="n"/>
      <c r="D118" s="26" t="n"/>
      <c r="E118" s="34" t="n"/>
    </row>
    <row r="119">
      <c r="A119" s="33" t="n"/>
      <c r="B119" s="25" t="n"/>
      <c r="C119" s="25" t="n"/>
      <c r="D119" s="26" t="n"/>
      <c r="E119" s="34" t="n"/>
    </row>
    <row r="120">
      <c r="A120" s="33" t="n"/>
      <c r="B120" s="25" t="n"/>
      <c r="C120" s="25" t="n"/>
      <c r="D120" s="26" t="n"/>
      <c r="E120" s="34" t="n"/>
    </row>
    <row r="121">
      <c r="A121" s="33" t="n"/>
      <c r="B121" s="25" t="n"/>
      <c r="C121" s="25" t="n"/>
      <c r="D121" s="26" t="n"/>
      <c r="E121" s="34" t="n"/>
    </row>
    <row r="122">
      <c r="A122" s="33" t="n"/>
      <c r="B122" s="25" t="n"/>
      <c r="C122" s="25" t="n"/>
      <c r="D122" s="26" t="n"/>
      <c r="E122" s="34" t="n"/>
    </row>
    <row r="123">
      <c r="A123" s="33" t="n"/>
      <c r="B123" s="25" t="n"/>
      <c r="C123" s="25" t="n"/>
      <c r="D123" s="26" t="n"/>
      <c r="E123" s="34" t="n"/>
    </row>
    <row r="124">
      <c r="A124" s="33" t="n"/>
      <c r="B124" s="25" t="n"/>
      <c r="C124" s="25" t="n"/>
      <c r="D124" s="26" t="n"/>
      <c r="E124" s="34" t="n"/>
    </row>
    <row r="125">
      <c r="A125" s="33" t="n"/>
      <c r="B125" s="25" t="n"/>
      <c r="C125" s="25" t="n"/>
      <c r="D125" s="26" t="n"/>
      <c r="E125" s="34" t="n"/>
    </row>
    <row r="126">
      <c r="A126" s="33" t="n"/>
      <c r="B126" s="25" t="n"/>
      <c r="C126" s="25" t="n"/>
      <c r="D126" s="26" t="n"/>
      <c r="E126" s="34" t="n"/>
    </row>
    <row r="127">
      <c r="A127" s="33" t="n"/>
      <c r="B127" s="25" t="n"/>
      <c r="C127" s="25" t="n"/>
      <c r="D127" s="26" t="n"/>
      <c r="E127" s="34" t="n"/>
    </row>
    <row r="128">
      <c r="A128" s="33" t="n"/>
      <c r="B128" s="25" t="n"/>
      <c r="C128" s="25" t="n"/>
      <c r="D128" s="26" t="n"/>
      <c r="E128" s="34" t="n"/>
    </row>
    <row r="129">
      <c r="A129" s="33" t="n"/>
      <c r="B129" s="25" t="n"/>
      <c r="C129" s="25" t="n"/>
      <c r="D129" s="26" t="n"/>
      <c r="E129" s="34" t="n"/>
    </row>
    <row r="130">
      <c r="A130" s="33" t="n"/>
      <c r="B130" s="25" t="n"/>
      <c r="C130" s="25" t="n"/>
      <c r="D130" s="26" t="n"/>
      <c r="E130" s="34" t="n"/>
    </row>
    <row r="131">
      <c r="A131" s="33" t="n"/>
      <c r="B131" s="25" t="n"/>
      <c r="C131" s="25" t="n"/>
      <c r="D131" s="26" t="n"/>
      <c r="E131" s="34" t="n"/>
    </row>
    <row r="132">
      <c r="A132" s="33" t="n"/>
      <c r="B132" s="25" t="n"/>
      <c r="C132" s="25" t="n"/>
      <c r="D132" s="26" t="n"/>
      <c r="E132" s="34" t="n"/>
    </row>
    <row r="133">
      <c r="A133" s="33" t="n"/>
      <c r="B133" s="25" t="n"/>
      <c r="C133" s="25" t="n"/>
      <c r="D133" s="26" t="n"/>
      <c r="E133" s="34" t="n"/>
    </row>
    <row r="134">
      <c r="A134" s="33" t="n"/>
      <c r="B134" s="25" t="n"/>
      <c r="C134" s="25" t="n"/>
      <c r="D134" s="26" t="n"/>
      <c r="E134" s="34" t="n"/>
    </row>
    <row r="135">
      <c r="A135" s="33" t="n"/>
      <c r="B135" s="25" t="n"/>
      <c r="C135" s="25" t="n"/>
      <c r="D135" s="26" t="n"/>
      <c r="E135" s="34" t="n"/>
    </row>
    <row r="136">
      <c r="A136" s="33" t="n"/>
      <c r="B136" s="25" t="n"/>
      <c r="C136" s="25" t="n"/>
      <c r="D136" s="26" t="n"/>
      <c r="E136" s="34" t="n"/>
    </row>
    <row r="137">
      <c r="A137" s="33" t="n"/>
      <c r="B137" s="25" t="n"/>
      <c r="C137" s="25" t="n"/>
      <c r="D137" s="26" t="n"/>
      <c r="E137" s="34" t="n"/>
    </row>
    <row r="138">
      <c r="A138" s="33" t="n"/>
      <c r="B138" s="25" t="n"/>
      <c r="C138" s="25" t="n"/>
      <c r="D138" s="26" t="n"/>
      <c r="E138" s="34" t="n"/>
    </row>
    <row r="139">
      <c r="A139" s="33" t="n"/>
      <c r="B139" s="25" t="n"/>
      <c r="C139" s="25" t="n"/>
      <c r="D139" s="26" t="n"/>
      <c r="E139" s="34" t="n"/>
    </row>
    <row r="140">
      <c r="A140" s="33" t="n"/>
      <c r="B140" s="25" t="n"/>
      <c r="C140" s="25" t="n"/>
      <c r="D140" s="26" t="n"/>
      <c r="E140" s="34" t="n"/>
    </row>
    <row r="141">
      <c r="A141" s="33" t="n"/>
      <c r="B141" s="25" t="n"/>
      <c r="C141" s="25" t="n"/>
      <c r="D141" s="26" t="n"/>
      <c r="E141" s="34" t="n"/>
    </row>
    <row r="142">
      <c r="A142" s="33" t="n"/>
      <c r="B142" s="25" t="n"/>
      <c r="C142" s="25" t="n"/>
      <c r="D142" s="26" t="n"/>
      <c r="E142" s="34" t="n"/>
    </row>
    <row r="143">
      <c r="A143" s="33" t="n"/>
      <c r="B143" s="25" t="n"/>
      <c r="C143" s="25" t="n"/>
      <c r="D143" s="26" t="n"/>
      <c r="E143" s="34" t="n"/>
    </row>
    <row r="144">
      <c r="A144" s="33" t="n"/>
      <c r="B144" s="25" t="n"/>
      <c r="C144" s="25" t="n"/>
      <c r="D144" s="26" t="n"/>
      <c r="E144" s="34" t="n"/>
    </row>
    <row r="145">
      <c r="A145" s="33" t="n"/>
      <c r="B145" s="25" t="n"/>
      <c r="C145" s="25" t="n"/>
      <c r="D145" s="26" t="n"/>
      <c r="E145" s="34" t="n"/>
    </row>
    <row r="146">
      <c r="A146" s="33" t="n"/>
      <c r="B146" s="25" t="n"/>
      <c r="C146" s="25" t="n"/>
      <c r="D146" s="26" t="n"/>
      <c r="E146" s="34" t="n"/>
    </row>
    <row r="147">
      <c r="A147" s="33" t="n"/>
      <c r="B147" s="25" t="n"/>
      <c r="C147" s="25" t="n"/>
      <c r="D147" s="26" t="n"/>
      <c r="E147" s="34" t="n"/>
    </row>
    <row r="148">
      <c r="A148" s="33" t="n"/>
      <c r="B148" s="25" t="n"/>
      <c r="C148" s="25" t="n"/>
      <c r="D148" s="26" t="n"/>
      <c r="E148" s="34" t="n"/>
    </row>
    <row r="149">
      <c r="A149" s="33" t="n"/>
      <c r="B149" s="25" t="n"/>
      <c r="C149" s="25" t="n"/>
      <c r="D149" s="26" t="n"/>
      <c r="E149" s="34" t="n"/>
    </row>
    <row r="150">
      <c r="A150" s="33" t="n"/>
      <c r="B150" s="25" t="n"/>
      <c r="C150" s="25" t="n"/>
      <c r="D150" s="26" t="n"/>
      <c r="E150" s="34" t="n"/>
    </row>
    <row r="151">
      <c r="A151" s="33" t="n"/>
      <c r="B151" s="25" t="n"/>
      <c r="C151" s="25" t="n"/>
      <c r="D151" s="26" t="n"/>
      <c r="E151" s="34" t="n"/>
    </row>
    <row r="152">
      <c r="A152" s="33" t="n"/>
      <c r="B152" s="25" t="n"/>
      <c r="C152" s="25" t="n"/>
      <c r="D152" s="26" t="n"/>
      <c r="E152" s="34" t="n"/>
    </row>
    <row r="153">
      <c r="A153" s="33" t="n"/>
      <c r="B153" s="25" t="n"/>
      <c r="C153" s="25" t="n"/>
      <c r="D153" s="26" t="n"/>
      <c r="E153" s="34" t="n"/>
    </row>
    <row r="154">
      <c r="A154" s="33" t="n"/>
      <c r="B154" s="25" t="n"/>
      <c r="C154" s="25" t="n"/>
      <c r="D154" s="26" t="n"/>
      <c r="E154" s="34" t="n"/>
    </row>
    <row r="155">
      <c r="A155" s="33" t="n"/>
      <c r="B155" s="25" t="n"/>
      <c r="C155" s="25" t="n"/>
      <c r="D155" s="26" t="n"/>
      <c r="E155" s="34" t="n"/>
    </row>
    <row r="156">
      <c r="A156" s="33" t="n"/>
      <c r="B156" s="25" t="n"/>
      <c r="C156" s="25" t="n"/>
      <c r="D156" s="26" t="n"/>
      <c r="E156" s="34" t="n"/>
    </row>
    <row r="157">
      <c r="A157" s="33" t="n"/>
      <c r="B157" s="25" t="n"/>
      <c r="C157" s="25" t="n"/>
      <c r="D157" s="26" t="n"/>
      <c r="E157" s="34" t="n"/>
    </row>
    <row r="158">
      <c r="A158" s="33" t="n"/>
      <c r="B158" s="25" t="n"/>
      <c r="C158" s="25" t="n"/>
      <c r="D158" s="26" t="n"/>
      <c r="E158" s="34" t="n"/>
    </row>
    <row r="159">
      <c r="A159" s="33" t="n"/>
      <c r="B159" s="25" t="n"/>
      <c r="C159" s="25" t="n"/>
      <c r="D159" s="26" t="n"/>
      <c r="E159" s="34" t="n"/>
    </row>
    <row r="160">
      <c r="A160" s="33" t="n"/>
      <c r="B160" s="25" t="n"/>
      <c r="C160" s="25" t="n"/>
      <c r="D160" s="26" t="n"/>
      <c r="E160" s="34" t="n"/>
    </row>
    <row r="161">
      <c r="A161" s="33" t="n"/>
      <c r="B161" s="25" t="n"/>
      <c r="C161" s="25" t="n"/>
      <c r="D161" s="26" t="n"/>
      <c r="E161" s="34" t="n"/>
    </row>
    <row r="162">
      <c r="A162" s="33" t="n"/>
      <c r="B162" s="25" t="n"/>
      <c r="C162" s="25" t="n"/>
      <c r="D162" s="26" t="n"/>
      <c r="E162" s="34" t="n"/>
    </row>
    <row r="163">
      <c r="A163" s="33" t="n"/>
      <c r="B163" s="25" t="n"/>
      <c r="C163" s="25" t="n"/>
      <c r="D163" s="26" t="n"/>
      <c r="E163" s="34" t="n"/>
    </row>
    <row r="164">
      <c r="A164" s="33" t="n"/>
      <c r="B164" s="25" t="n"/>
      <c r="C164" s="25" t="n"/>
      <c r="D164" s="26" t="n"/>
      <c r="E164" s="34" t="n"/>
    </row>
    <row r="165">
      <c r="A165" s="33" t="n"/>
      <c r="B165" s="25" t="n"/>
      <c r="C165" s="25" t="n"/>
      <c r="D165" s="26" t="n"/>
      <c r="E165" s="34" t="n"/>
    </row>
    <row r="166">
      <c r="A166" s="33" t="n"/>
      <c r="B166" s="25" t="n"/>
      <c r="C166" s="25" t="n"/>
      <c r="D166" s="26" t="n"/>
      <c r="E166" s="34" t="n"/>
    </row>
    <row r="167">
      <c r="A167" s="33" t="n"/>
      <c r="B167" s="25" t="n"/>
      <c r="C167" s="25" t="n"/>
      <c r="D167" s="26" t="n"/>
      <c r="E167" s="34" t="n"/>
    </row>
    <row r="168">
      <c r="A168" s="33" t="n"/>
      <c r="B168" s="25" t="n"/>
      <c r="C168" s="25" t="n"/>
      <c r="D168" s="26" t="n"/>
      <c r="E168" s="34" t="n"/>
    </row>
    <row r="169">
      <c r="A169" s="33" t="n"/>
      <c r="B169" s="25" t="n"/>
      <c r="C169" s="25" t="n"/>
      <c r="D169" s="26" t="n"/>
      <c r="E169" s="34" t="n"/>
    </row>
    <row r="170">
      <c r="A170" s="33" t="n"/>
      <c r="B170" s="25" t="n"/>
      <c r="C170" s="25" t="n"/>
      <c r="D170" s="26" t="n"/>
      <c r="E170" s="34" t="n"/>
    </row>
    <row r="171">
      <c r="A171" s="33" t="n"/>
      <c r="B171" s="25" t="n"/>
      <c r="C171" s="25" t="n"/>
      <c r="D171" s="26" t="n"/>
      <c r="E171" s="34" t="n"/>
    </row>
    <row r="172">
      <c r="A172" s="33" t="n"/>
      <c r="B172" s="25" t="n"/>
      <c r="C172" s="25" t="n"/>
      <c r="D172" s="26" t="n"/>
      <c r="E172" s="34" t="n"/>
    </row>
    <row r="173">
      <c r="A173" s="33" t="n"/>
      <c r="B173" s="25" t="n"/>
      <c r="C173" s="25" t="n"/>
      <c r="D173" s="26" t="n"/>
      <c r="E173" s="34" t="n"/>
    </row>
    <row r="174">
      <c r="A174" s="33" t="n"/>
      <c r="B174" s="25" t="n"/>
      <c r="C174" s="25" t="n"/>
      <c r="D174" s="26" t="n"/>
      <c r="E174" s="34" t="n"/>
    </row>
    <row r="175">
      <c r="A175" s="33" t="n"/>
      <c r="B175" s="25" t="n"/>
      <c r="C175" s="25" t="n"/>
      <c r="D175" s="26" t="n"/>
      <c r="E175" s="34" t="n"/>
    </row>
    <row r="176">
      <c r="A176" s="33" t="n"/>
      <c r="B176" s="25" t="n"/>
      <c r="C176" s="25" t="n"/>
      <c r="D176" s="26" t="n"/>
      <c r="E176" s="34" t="n"/>
    </row>
    <row r="177">
      <c r="A177" s="33" t="n"/>
      <c r="B177" s="25" t="n"/>
      <c r="C177" s="25" t="n"/>
      <c r="D177" s="26" t="n"/>
      <c r="E177" s="34" t="n"/>
    </row>
    <row r="178">
      <c r="A178" s="33" t="n"/>
      <c r="B178" s="25" t="n"/>
      <c r="C178" s="25" t="n"/>
      <c r="D178" s="26" t="n"/>
      <c r="E178" s="34" t="n"/>
    </row>
    <row r="179">
      <c r="A179" s="33" t="n"/>
      <c r="B179" s="25" t="n"/>
      <c r="C179" s="25" t="n"/>
      <c r="D179" s="26" t="n"/>
      <c r="E179" s="34" t="n"/>
    </row>
    <row r="180">
      <c r="A180" s="33" t="n"/>
      <c r="B180" s="25" t="n"/>
      <c r="C180" s="25" t="n"/>
      <c r="D180" s="26" t="n"/>
      <c r="E180" s="34" t="n"/>
    </row>
    <row r="181">
      <c r="A181" s="33" t="n"/>
      <c r="B181" s="25" t="n"/>
      <c r="C181" s="25" t="n"/>
      <c r="D181" s="26" t="n"/>
      <c r="E181" s="34" t="n"/>
    </row>
    <row r="182">
      <c r="A182" s="33" t="n"/>
      <c r="B182" s="25" t="n"/>
      <c r="C182" s="25" t="n"/>
      <c r="D182" s="26" t="n"/>
      <c r="E182" s="34" t="n"/>
    </row>
    <row r="183">
      <c r="A183" s="33" t="n"/>
      <c r="B183" s="25" t="n"/>
      <c r="C183" s="25" t="n"/>
      <c r="D183" s="26" t="n"/>
      <c r="E183" s="34" t="n"/>
    </row>
    <row r="184">
      <c r="A184" s="33" t="n"/>
      <c r="B184" s="25" t="n"/>
      <c r="C184" s="25" t="n"/>
      <c r="D184" s="26" t="n"/>
      <c r="E184" s="34" t="n"/>
    </row>
    <row r="185">
      <c r="A185" s="33" t="n"/>
      <c r="B185" s="25" t="n"/>
      <c r="C185" s="25" t="n"/>
      <c r="D185" s="26" t="n"/>
      <c r="E185" s="34" t="n"/>
    </row>
    <row r="186">
      <c r="A186" s="33" t="n"/>
      <c r="B186" s="25" t="n"/>
      <c r="C186" s="25" t="n"/>
      <c r="D186" s="26" t="n"/>
      <c r="E186" s="34" t="n"/>
    </row>
    <row r="187">
      <c r="A187" s="33" t="n"/>
      <c r="B187" s="25" t="n"/>
      <c r="C187" s="25" t="n"/>
      <c r="D187" s="26" t="n"/>
      <c r="E187" s="34" t="n"/>
    </row>
    <row r="188">
      <c r="A188" s="33" t="n"/>
      <c r="B188" s="25" t="n"/>
      <c r="C188" s="25" t="n"/>
      <c r="D188" s="26" t="n"/>
      <c r="E188" s="34" t="n"/>
    </row>
    <row r="189">
      <c r="A189" s="33" t="n"/>
      <c r="B189" s="25" t="n"/>
      <c r="C189" s="25" t="n"/>
      <c r="D189" s="26" t="n"/>
      <c r="E189" s="34" t="n"/>
    </row>
    <row r="190">
      <c r="A190" s="33" t="n"/>
      <c r="B190" s="25" t="n"/>
      <c r="C190" s="25" t="n"/>
      <c r="D190" s="26" t="n"/>
      <c r="E190" s="34" t="n"/>
    </row>
    <row r="191">
      <c r="A191" s="33" t="n"/>
      <c r="B191" s="25" t="n"/>
      <c r="C191" s="25" t="n"/>
      <c r="D191" s="26" t="n"/>
      <c r="E191" s="34" t="n"/>
    </row>
    <row r="192">
      <c r="A192" s="33" t="n"/>
      <c r="B192" s="25" t="n"/>
      <c r="C192" s="25" t="n"/>
      <c r="D192" s="26" t="n"/>
      <c r="E192" s="34" t="n"/>
    </row>
    <row r="193">
      <c r="A193" s="33" t="n"/>
      <c r="B193" s="25" t="n"/>
      <c r="C193" s="25" t="n"/>
      <c r="D193" s="26" t="n"/>
      <c r="E193" s="34" t="n"/>
    </row>
    <row r="194">
      <c r="A194" s="33" t="n"/>
      <c r="B194" s="25" t="n"/>
      <c r="C194" s="25" t="n"/>
      <c r="D194" s="26" t="n"/>
      <c r="E194" s="34" t="n"/>
    </row>
    <row r="195">
      <c r="A195" s="33" t="n"/>
      <c r="B195" s="25" t="n"/>
      <c r="C195" s="25" t="n"/>
      <c r="D195" s="26" t="n"/>
      <c r="E195" s="34" t="n"/>
    </row>
    <row r="196">
      <c r="A196" s="33" t="n"/>
      <c r="B196" s="25" t="n"/>
      <c r="C196" s="25" t="n"/>
      <c r="D196" s="26" t="n"/>
      <c r="E196" s="34" t="n"/>
    </row>
    <row r="197">
      <c r="A197" s="33" t="n"/>
      <c r="B197" s="25" t="n"/>
      <c r="C197" s="25" t="n"/>
      <c r="D197" s="26" t="n"/>
      <c r="E197" s="34" t="n"/>
    </row>
    <row r="198">
      <c r="A198" s="33" t="n"/>
      <c r="B198" s="25" t="n"/>
      <c r="C198" s="25" t="n"/>
      <c r="D198" s="26" t="n"/>
      <c r="E198" s="34" t="n"/>
    </row>
    <row r="199">
      <c r="A199" s="33" t="n"/>
      <c r="B199" s="25" t="n"/>
      <c r="C199" s="25" t="n"/>
      <c r="D199" s="26" t="n"/>
      <c r="E199" s="34" t="n"/>
    </row>
    <row r="200">
      <c r="A200" s="33" t="n"/>
      <c r="B200" s="25" t="n"/>
      <c r="C200" s="25" t="n"/>
      <c r="D200" s="26" t="n"/>
      <c r="E200" s="34" t="n"/>
    </row>
    <row r="201">
      <c r="A201" s="33" t="n"/>
      <c r="B201" s="25" t="n"/>
      <c r="C201" s="25" t="n"/>
      <c r="D201" s="26" t="n"/>
      <c r="E201" s="34" t="n"/>
    </row>
    <row r="202">
      <c r="A202" s="33" t="n"/>
      <c r="B202" s="25" t="n"/>
      <c r="C202" s="25" t="n"/>
      <c r="D202" s="26" t="n"/>
      <c r="E202" s="34" t="n"/>
    </row>
    <row r="203">
      <c r="A203" s="33" t="n"/>
      <c r="B203" s="25" t="n"/>
      <c r="C203" s="25" t="n"/>
      <c r="D203" s="26" t="n"/>
      <c r="E203" s="34" t="n"/>
    </row>
    <row r="204">
      <c r="A204" s="33" t="n"/>
      <c r="B204" s="25" t="n"/>
      <c r="C204" s="25" t="n"/>
      <c r="D204" s="26" t="n"/>
      <c r="E204" s="34" t="n"/>
    </row>
    <row r="205">
      <c r="A205" s="33" t="n"/>
      <c r="B205" s="25" t="n"/>
      <c r="C205" s="25" t="n"/>
      <c r="D205" s="26" t="n"/>
      <c r="E205" s="34" t="n"/>
    </row>
    <row r="206">
      <c r="A206" s="33" t="n"/>
      <c r="B206" s="25" t="n"/>
      <c r="C206" s="25" t="n"/>
      <c r="D206" s="26" t="n"/>
      <c r="E206" s="34" t="n"/>
    </row>
    <row r="207">
      <c r="A207" s="33" t="n"/>
      <c r="B207" s="25" t="n"/>
      <c r="C207" s="25" t="n"/>
      <c r="D207" s="26" t="n"/>
      <c r="E207" s="34" t="n"/>
    </row>
    <row r="208">
      <c r="A208" s="33" t="n"/>
      <c r="B208" s="25" t="n"/>
      <c r="C208" s="25" t="n"/>
      <c r="D208" s="26" t="n"/>
      <c r="E208" s="34" t="n"/>
    </row>
    <row r="209">
      <c r="A209" s="33" t="n"/>
      <c r="B209" s="25" t="n"/>
      <c r="C209" s="25" t="n"/>
      <c r="D209" s="26" t="n"/>
      <c r="E209" s="34" t="n"/>
    </row>
    <row r="210">
      <c r="A210" s="33" t="n"/>
      <c r="B210" s="25" t="n"/>
      <c r="C210" s="25" t="n"/>
      <c r="D210" s="26" t="n"/>
      <c r="E210" s="34" t="n"/>
    </row>
    <row r="211">
      <c r="A211" s="33" t="n"/>
      <c r="B211" s="25" t="n"/>
      <c r="C211" s="25" t="n"/>
      <c r="D211" s="26" t="n"/>
      <c r="E211" s="34" t="n"/>
    </row>
    <row r="212">
      <c r="A212" s="33" t="n"/>
      <c r="B212" s="25" t="n"/>
      <c r="C212" s="25" t="n"/>
      <c r="D212" s="26" t="n"/>
      <c r="E212" s="34" t="n"/>
    </row>
    <row r="213">
      <c r="A213" s="33" t="n"/>
      <c r="B213" s="25" t="n"/>
      <c r="C213" s="25" t="n"/>
      <c r="D213" s="26" t="n"/>
      <c r="E213" s="34" t="n"/>
    </row>
    <row r="214">
      <c r="A214" s="33" t="n"/>
      <c r="B214" s="25" t="n"/>
      <c r="C214" s="25" t="n"/>
      <c r="D214" s="26" t="n"/>
      <c r="E214" s="34" t="n"/>
    </row>
    <row r="215">
      <c r="A215" s="33" t="n"/>
      <c r="B215" s="25" t="n"/>
      <c r="C215" s="25" t="n"/>
      <c r="D215" s="26" t="n"/>
      <c r="E215" s="34" t="n"/>
    </row>
    <row r="216">
      <c r="A216" s="33" t="n"/>
      <c r="B216" s="25" t="n"/>
      <c r="C216" s="25" t="n"/>
      <c r="D216" s="26" t="n"/>
      <c r="E216" s="34" t="n"/>
    </row>
    <row r="217">
      <c r="A217" s="33" t="n"/>
      <c r="B217" s="25" t="n"/>
      <c r="C217" s="25" t="n"/>
      <c r="D217" s="26" t="n"/>
      <c r="E217" s="34" t="n"/>
    </row>
    <row r="218">
      <c r="A218" s="33" t="n"/>
      <c r="B218" s="25" t="n"/>
      <c r="C218" s="25" t="n"/>
      <c r="D218" s="26" t="n"/>
      <c r="E218" s="34" t="n"/>
    </row>
    <row r="219">
      <c r="A219" s="33" t="n"/>
      <c r="B219" s="25" t="n"/>
      <c r="C219" s="25" t="n"/>
      <c r="D219" s="26" t="n"/>
      <c r="E219" s="34" t="n"/>
    </row>
    <row r="220">
      <c r="A220" s="33" t="n"/>
      <c r="B220" s="25" t="n"/>
      <c r="C220" s="25" t="n"/>
      <c r="D220" s="26" t="n"/>
      <c r="E220" s="34" t="n"/>
    </row>
    <row r="221">
      <c r="A221" s="33" t="n"/>
      <c r="B221" s="25" t="n"/>
      <c r="C221" s="25" t="n"/>
      <c r="D221" s="26" t="n"/>
      <c r="E221" s="34" t="n"/>
    </row>
    <row r="222">
      <c r="A222" s="33" t="n"/>
      <c r="B222" s="25" t="n"/>
      <c r="C222" s="25" t="n"/>
      <c r="D222" s="26" t="n"/>
      <c r="E222" s="34" t="n"/>
    </row>
    <row r="223">
      <c r="A223" s="33" t="n"/>
      <c r="B223" s="25" t="n"/>
      <c r="C223" s="25" t="n"/>
      <c r="D223" s="26" t="n"/>
      <c r="E223" s="34" t="n"/>
    </row>
    <row r="224">
      <c r="A224" s="33" t="n"/>
      <c r="B224" s="25" t="n"/>
      <c r="C224" s="25" t="n"/>
      <c r="D224" s="26" t="n"/>
      <c r="E224" s="34" t="n"/>
    </row>
    <row r="225">
      <c r="A225" s="33" t="n"/>
      <c r="B225" s="25" t="n"/>
      <c r="C225" s="25" t="n"/>
      <c r="D225" s="26" t="n"/>
      <c r="E225" s="34" t="n"/>
    </row>
    <row r="226">
      <c r="A226" s="33" t="n"/>
      <c r="B226" s="25" t="n"/>
      <c r="C226" s="25" t="n"/>
      <c r="D226" s="26" t="n"/>
      <c r="E226" s="34" t="n"/>
    </row>
    <row r="227">
      <c r="A227" s="33" t="n"/>
      <c r="B227" s="25" t="n"/>
      <c r="C227" s="25" t="n"/>
      <c r="D227" s="26" t="n"/>
      <c r="E227" s="34" t="n"/>
    </row>
    <row r="228">
      <c r="A228" s="33" t="n"/>
      <c r="B228" s="25" t="n"/>
      <c r="C228" s="25" t="n"/>
      <c r="D228" s="26" t="n"/>
      <c r="E228" s="34" t="n"/>
    </row>
    <row r="229">
      <c r="A229" s="33" t="n"/>
      <c r="B229" s="25" t="n"/>
      <c r="C229" s="25" t="n"/>
      <c r="D229" s="26" t="n"/>
      <c r="E229" s="34" t="n"/>
    </row>
    <row r="230">
      <c r="A230" s="33" t="n"/>
      <c r="B230" s="25" t="n"/>
      <c r="C230" s="25" t="n"/>
      <c r="D230" s="26" t="n"/>
      <c r="E230" s="34" t="n"/>
    </row>
    <row r="231">
      <c r="A231" s="33" t="n"/>
      <c r="B231" s="25" t="n"/>
      <c r="C231" s="25" t="n"/>
      <c r="D231" s="26" t="n"/>
      <c r="E231" s="34" t="n"/>
    </row>
    <row r="232">
      <c r="A232" s="33" t="n"/>
      <c r="B232" s="25" t="n"/>
      <c r="C232" s="25" t="n"/>
      <c r="D232" s="26" t="n"/>
      <c r="E232" s="34" t="n"/>
    </row>
    <row r="233">
      <c r="A233" s="33" t="n"/>
      <c r="B233" s="25" t="n"/>
      <c r="C233" s="25" t="n"/>
      <c r="D233" s="26" t="n"/>
      <c r="E233" s="34" t="n"/>
    </row>
    <row r="234">
      <c r="A234" s="33" t="n"/>
      <c r="B234" s="25" t="n"/>
      <c r="C234" s="25" t="n"/>
      <c r="D234" s="26" t="n"/>
      <c r="E234" s="34" t="n"/>
    </row>
    <row r="235">
      <c r="A235" s="33" t="n"/>
      <c r="B235" s="25" t="n"/>
      <c r="C235" s="25" t="n"/>
      <c r="D235" s="26" t="n"/>
      <c r="E235" s="34" t="n"/>
    </row>
    <row r="236">
      <c r="A236" s="33" t="n"/>
      <c r="B236" s="25" t="n"/>
      <c r="C236" s="25" t="n"/>
      <c r="D236" s="26" t="n"/>
      <c r="E236" s="34" t="n"/>
    </row>
    <row r="237">
      <c r="A237" s="33" t="n"/>
      <c r="B237" s="25" t="n"/>
      <c r="C237" s="25" t="n"/>
      <c r="D237" s="26" t="n"/>
      <c r="E237" s="34" t="n"/>
    </row>
    <row r="238">
      <c r="A238" s="33" t="n"/>
      <c r="B238" s="25" t="n"/>
      <c r="C238" s="25" t="n"/>
      <c r="D238" s="26" t="n"/>
      <c r="E238" s="34" t="n"/>
    </row>
    <row r="239">
      <c r="A239" s="33" t="n"/>
      <c r="B239" s="25" t="n"/>
      <c r="C239" s="25" t="n"/>
      <c r="D239" s="26" t="n"/>
      <c r="E239" s="34" t="n"/>
    </row>
    <row r="240">
      <c r="A240" s="33" t="n"/>
      <c r="B240" s="25" t="n"/>
      <c r="C240" s="25" t="n"/>
      <c r="D240" s="26" t="n"/>
      <c r="E240" s="34" t="n"/>
    </row>
    <row r="241">
      <c r="A241" s="33" t="n"/>
      <c r="B241" s="25" t="n"/>
      <c r="C241" s="25" t="n"/>
      <c r="D241" s="26" t="n"/>
      <c r="E241" s="34" t="n"/>
    </row>
    <row r="242">
      <c r="A242" s="33" t="n"/>
      <c r="B242" s="25" t="n"/>
      <c r="C242" s="25" t="n"/>
      <c r="D242" s="26" t="n"/>
      <c r="E242" s="34" t="n"/>
    </row>
    <row r="243">
      <c r="A243" s="33" t="n"/>
      <c r="B243" s="25" t="n"/>
      <c r="C243" s="25" t="n"/>
      <c r="D243" s="26" t="n"/>
      <c r="E243" s="34" t="n"/>
    </row>
    <row r="244">
      <c r="A244" s="33" t="n"/>
      <c r="B244" s="25" t="n"/>
      <c r="C244" s="25" t="n"/>
      <c r="D244" s="26" t="n"/>
      <c r="E244" s="34" t="n"/>
    </row>
    <row r="245">
      <c r="A245" s="33" t="n"/>
      <c r="B245" s="25" t="n"/>
      <c r="C245" s="25" t="n"/>
      <c r="D245" s="26" t="n"/>
      <c r="E245" s="34" t="n"/>
    </row>
    <row r="246">
      <c r="A246" s="33" t="n"/>
      <c r="B246" s="25" t="n"/>
      <c r="C246" s="25" t="n"/>
      <c r="D246" s="26" t="n"/>
      <c r="E246" s="34" t="n"/>
    </row>
    <row r="247">
      <c r="A247" s="33" t="n"/>
      <c r="B247" s="25" t="n"/>
      <c r="C247" s="25" t="n"/>
      <c r="D247" s="26" t="n"/>
      <c r="E247" s="34" t="n"/>
    </row>
    <row r="248">
      <c r="A248" s="33" t="n"/>
      <c r="B248" s="25" t="n"/>
      <c r="C248" s="25" t="n"/>
      <c r="D248" s="26" t="n"/>
      <c r="E248" s="34" t="n"/>
    </row>
    <row r="249">
      <c r="A249" s="33" t="n"/>
      <c r="B249" s="25" t="n"/>
      <c r="C249" s="25" t="n"/>
      <c r="D249" s="26" t="n"/>
      <c r="E249" s="34" t="n"/>
    </row>
    <row r="250">
      <c r="A250" s="33" t="n"/>
      <c r="B250" s="25" t="n"/>
      <c r="C250" s="25" t="n"/>
      <c r="D250" s="26" t="n"/>
      <c r="E250" s="34" t="n"/>
    </row>
    <row r="251">
      <c r="A251" s="33" t="n"/>
      <c r="B251" s="25" t="n"/>
      <c r="C251" s="25" t="n"/>
      <c r="D251" s="26" t="n"/>
      <c r="E251" s="34" t="n"/>
    </row>
    <row r="252">
      <c r="A252" s="33" t="n"/>
      <c r="B252" s="25" t="n"/>
      <c r="C252" s="25" t="n"/>
      <c r="D252" s="26" t="n"/>
      <c r="E252" s="34" t="n"/>
    </row>
    <row r="253">
      <c r="A253" s="33" t="n"/>
      <c r="B253" s="25" t="n"/>
      <c r="C253" s="25" t="n"/>
      <c r="D253" s="26" t="n"/>
      <c r="E253" s="34" t="n"/>
    </row>
    <row r="254">
      <c r="A254" s="33" t="n"/>
      <c r="B254" s="25" t="n"/>
      <c r="C254" s="25" t="n"/>
      <c r="D254" s="26" t="n"/>
      <c r="E254" s="34" t="n"/>
    </row>
    <row r="255">
      <c r="A255" s="33" t="n"/>
      <c r="B255" s="25" t="n"/>
      <c r="C255" s="25" t="n"/>
      <c r="D255" s="26" t="n"/>
      <c r="E255" s="34" t="n"/>
    </row>
    <row r="256">
      <c r="A256" s="33" t="n"/>
      <c r="B256" s="25" t="n"/>
      <c r="C256" s="25" t="n"/>
      <c r="D256" s="26" t="n"/>
      <c r="E256" s="34" t="n"/>
    </row>
    <row r="257">
      <c r="A257" s="33" t="n"/>
      <c r="B257" s="25" t="n"/>
      <c r="C257" s="25" t="n"/>
      <c r="D257" s="26" t="n"/>
      <c r="E257" s="34" t="n"/>
    </row>
    <row r="258">
      <c r="A258" s="33" t="n"/>
      <c r="B258" s="25" t="n"/>
      <c r="C258" s="25" t="n"/>
      <c r="D258" s="26" t="n"/>
      <c r="E258" s="34" t="n"/>
    </row>
    <row r="259">
      <c r="A259" s="33" t="n"/>
      <c r="B259" s="25" t="n"/>
      <c r="C259" s="25" t="n"/>
      <c r="D259" s="26" t="n"/>
      <c r="E259" s="34" t="n"/>
    </row>
    <row r="260">
      <c r="A260" s="33" t="n"/>
      <c r="B260" s="25" t="n"/>
      <c r="C260" s="25" t="n"/>
      <c r="D260" s="26" t="n"/>
      <c r="E260" s="34" t="n"/>
    </row>
    <row r="261">
      <c r="A261" s="33" t="n"/>
      <c r="B261" s="25" t="n"/>
      <c r="C261" s="25" t="n"/>
      <c r="D261" s="26" t="n"/>
      <c r="E261" s="34" t="n"/>
    </row>
    <row r="262">
      <c r="A262" s="33" t="n"/>
      <c r="B262" s="25" t="n"/>
      <c r="C262" s="25" t="n"/>
      <c r="D262" s="26" t="n"/>
      <c r="E262" s="34" t="n"/>
    </row>
    <row r="263">
      <c r="A263" s="33" t="n"/>
      <c r="B263" s="25" t="n"/>
      <c r="C263" s="25" t="n"/>
      <c r="D263" s="26" t="n"/>
      <c r="E263" s="34" t="n"/>
    </row>
    <row r="264">
      <c r="A264" s="33" t="n"/>
      <c r="B264" s="25" t="n"/>
      <c r="C264" s="25" t="n"/>
      <c r="D264" s="26" t="n"/>
      <c r="E264" s="34" t="n"/>
    </row>
    <row r="265">
      <c r="A265" s="33" t="n"/>
      <c r="B265" s="25" t="n"/>
      <c r="C265" s="25" t="n"/>
      <c r="D265" s="26" t="n"/>
      <c r="E265" s="34" t="n"/>
    </row>
    <row r="266">
      <c r="A266" s="33" t="n"/>
      <c r="B266" s="25" t="n"/>
      <c r="C266" s="25" t="n"/>
      <c r="D266" s="26" t="n"/>
      <c r="E266" s="34" t="n"/>
    </row>
    <row r="267">
      <c r="A267" s="33" t="n"/>
      <c r="B267" s="25" t="n"/>
      <c r="C267" s="25" t="n"/>
      <c r="D267" s="26" t="n"/>
      <c r="E267" s="34" t="n"/>
    </row>
    <row r="268">
      <c r="A268" s="33" t="n"/>
      <c r="B268" s="25" t="n"/>
      <c r="C268" s="25" t="n"/>
      <c r="D268" s="26" t="n"/>
      <c r="E268" s="34" t="n"/>
    </row>
    <row r="269">
      <c r="A269" s="33" t="n"/>
      <c r="B269" s="25" t="n"/>
      <c r="C269" s="25" t="n"/>
      <c r="D269" s="26" t="n"/>
      <c r="E269" s="34" t="n"/>
    </row>
    <row r="270">
      <c r="A270" s="33" t="n"/>
      <c r="B270" s="25" t="n"/>
      <c r="C270" s="25" t="n"/>
      <c r="D270" s="26" t="n"/>
      <c r="E270" s="34" t="n"/>
    </row>
    <row r="271">
      <c r="A271" s="33" t="n"/>
      <c r="B271" s="25" t="n"/>
      <c r="C271" s="25" t="n"/>
      <c r="D271" s="26" t="n"/>
      <c r="E271" s="34" t="n"/>
    </row>
    <row r="272">
      <c r="A272" s="33" t="n"/>
      <c r="B272" s="25" t="n"/>
      <c r="C272" s="25" t="n"/>
      <c r="D272" s="26" t="n"/>
      <c r="E272" s="34" t="n"/>
    </row>
    <row r="273">
      <c r="A273" s="33" t="n"/>
      <c r="B273" s="25" t="n"/>
      <c r="C273" s="25" t="n"/>
      <c r="D273" s="26" t="n"/>
      <c r="E273" s="34" t="n"/>
    </row>
    <row r="274">
      <c r="A274" s="33" t="n"/>
      <c r="B274" s="25" t="n"/>
      <c r="C274" s="25" t="n"/>
      <c r="D274" s="26" t="n"/>
      <c r="E274" s="34" t="n"/>
    </row>
    <row r="275">
      <c r="A275" s="33" t="n"/>
      <c r="B275" s="25" t="n"/>
      <c r="C275" s="25" t="n"/>
      <c r="D275" s="26" t="n"/>
      <c r="E275" s="34" t="n"/>
    </row>
    <row r="276">
      <c r="A276" s="33" t="n"/>
      <c r="B276" s="25" t="n"/>
      <c r="C276" s="25" t="n"/>
      <c r="D276" s="26" t="n"/>
      <c r="E276" s="34" t="n"/>
    </row>
    <row r="277">
      <c r="A277" s="33" t="n"/>
      <c r="B277" s="25" t="n"/>
      <c r="C277" s="25" t="n"/>
      <c r="D277" s="26" t="n"/>
      <c r="E277" s="34" t="n"/>
    </row>
    <row r="278">
      <c r="A278" s="33" t="n"/>
      <c r="B278" s="25" t="n"/>
      <c r="C278" s="25" t="n"/>
      <c r="D278" s="26" t="n"/>
      <c r="E278" s="34" t="n"/>
    </row>
    <row r="279">
      <c r="A279" s="33" t="n"/>
      <c r="B279" s="25" t="n"/>
      <c r="C279" s="25" t="n"/>
      <c r="D279" s="26" t="n"/>
      <c r="E279" s="34" t="n"/>
    </row>
    <row r="280">
      <c r="A280" s="33" t="n"/>
      <c r="B280" s="25" t="n"/>
      <c r="C280" s="25" t="n"/>
      <c r="D280" s="26" t="n"/>
      <c r="E280" s="34" t="n"/>
    </row>
    <row r="281">
      <c r="A281" s="33" t="n"/>
      <c r="B281" s="25" t="n"/>
      <c r="C281" s="25" t="n"/>
      <c r="D281" s="26" t="n"/>
      <c r="E281" s="34" t="n"/>
    </row>
    <row r="282">
      <c r="A282" s="33" t="n"/>
      <c r="B282" s="25" t="n"/>
      <c r="C282" s="25" t="n"/>
      <c r="D282" s="26" t="n"/>
      <c r="E282" s="34" t="n"/>
    </row>
    <row r="283">
      <c r="A283" s="33" t="n"/>
      <c r="B283" s="25" t="n"/>
      <c r="C283" s="25" t="n"/>
      <c r="D283" s="26" t="n"/>
      <c r="E283" s="34" t="n"/>
    </row>
    <row r="284">
      <c r="A284" s="33" t="n"/>
      <c r="B284" s="25" t="n"/>
      <c r="C284" s="25" t="n"/>
      <c r="D284" s="26" t="n"/>
      <c r="E284" s="34" t="n"/>
    </row>
    <row r="285">
      <c r="A285" s="33" t="n"/>
      <c r="B285" s="25" t="n"/>
      <c r="C285" s="25" t="n"/>
      <c r="D285" s="26" t="n"/>
      <c r="E285" s="34" t="n"/>
    </row>
    <row r="286">
      <c r="A286" s="33" t="n"/>
      <c r="B286" s="25" t="n"/>
      <c r="C286" s="25" t="n"/>
      <c r="D286" s="26" t="n"/>
      <c r="E286" s="34" t="n"/>
    </row>
    <row r="287">
      <c r="A287" s="33" t="n"/>
      <c r="B287" s="25" t="n"/>
      <c r="C287" s="25" t="n"/>
      <c r="D287" s="26" t="n"/>
      <c r="E287" s="34" t="n"/>
    </row>
    <row r="288">
      <c r="A288" s="33" t="n"/>
      <c r="B288" s="25" t="n"/>
      <c r="C288" s="25" t="n"/>
      <c r="D288" s="26" t="n"/>
      <c r="E288" s="34" t="n"/>
    </row>
    <row r="289">
      <c r="A289" s="33" t="n"/>
      <c r="B289" s="25" t="n"/>
      <c r="C289" s="25" t="n"/>
      <c r="D289" s="26" t="n"/>
      <c r="E289" s="34" t="n"/>
    </row>
    <row r="290">
      <c r="A290" s="33" t="n"/>
      <c r="B290" s="25" t="n"/>
      <c r="C290" s="25" t="n"/>
      <c r="D290" s="26" t="n"/>
      <c r="E290" s="34" t="n"/>
    </row>
    <row r="291">
      <c r="A291" s="33" t="n"/>
      <c r="B291" s="25" t="n"/>
      <c r="C291" s="25" t="n"/>
      <c r="D291" s="26" t="n"/>
      <c r="E291" s="34" t="n"/>
    </row>
    <row r="292">
      <c r="A292" s="33" t="n"/>
      <c r="B292" s="25" t="n"/>
      <c r="C292" s="25" t="n"/>
      <c r="D292" s="26" t="n"/>
      <c r="E292" s="34" t="n"/>
    </row>
    <row r="293">
      <c r="A293" s="33" t="n"/>
      <c r="B293" s="25" t="n"/>
      <c r="C293" s="25" t="n"/>
      <c r="D293" s="26" t="n"/>
      <c r="E293" s="34" t="n"/>
    </row>
    <row r="294">
      <c r="A294" s="33" t="n"/>
      <c r="B294" s="25" t="n"/>
      <c r="C294" s="25" t="n"/>
      <c r="D294" s="26" t="n"/>
      <c r="E294" s="34" t="n"/>
    </row>
    <row r="295">
      <c r="A295" s="33" t="n"/>
      <c r="B295" s="25" t="n"/>
      <c r="C295" s="25" t="n"/>
      <c r="D295" s="26" t="n"/>
      <c r="E295" s="34" t="n"/>
    </row>
    <row r="296">
      <c r="A296" s="33" t="n"/>
      <c r="B296" s="25" t="n"/>
      <c r="C296" s="25" t="n"/>
      <c r="D296" s="26" t="n"/>
      <c r="E296" s="34" t="n"/>
    </row>
    <row r="297">
      <c r="A297" s="33" t="n"/>
      <c r="B297" s="25" t="n"/>
      <c r="C297" s="25" t="n"/>
      <c r="D297" s="26" t="n"/>
      <c r="E297" s="34" t="n"/>
    </row>
    <row r="298">
      <c r="A298" s="33" t="n"/>
      <c r="B298" s="25" t="n"/>
      <c r="C298" s="25" t="n"/>
      <c r="D298" s="26" t="n"/>
      <c r="E298" s="34" t="n"/>
    </row>
    <row r="299">
      <c r="A299" s="33" t="n"/>
      <c r="B299" s="25" t="n"/>
      <c r="C299" s="25" t="n"/>
      <c r="D299" s="26" t="n"/>
      <c r="E299" s="34" t="n"/>
    </row>
    <row r="300">
      <c r="A300" s="33" t="n"/>
      <c r="B300" s="25" t="n"/>
      <c r="C300" s="25" t="n"/>
      <c r="D300" s="26" t="n"/>
      <c r="E300" s="34" t="n"/>
    </row>
    <row r="301">
      <c r="A301" s="33" t="n"/>
      <c r="B301" s="25" t="n"/>
      <c r="C301" s="25" t="n"/>
      <c r="D301" s="26" t="n"/>
      <c r="E301" s="34" t="n"/>
    </row>
    <row r="302">
      <c r="A302" s="33" t="n"/>
      <c r="B302" s="25" t="n"/>
      <c r="C302" s="25" t="n"/>
      <c r="D302" s="26" t="n"/>
      <c r="E302" s="34" t="n"/>
    </row>
    <row r="303">
      <c r="A303" s="33" t="n"/>
      <c r="B303" s="25" t="n"/>
      <c r="C303" s="25" t="n"/>
      <c r="D303" s="26" t="n"/>
      <c r="E303" s="34" t="n"/>
    </row>
    <row r="304">
      <c r="A304" s="33" t="n"/>
      <c r="B304" s="25" t="n"/>
      <c r="C304" s="25" t="n"/>
      <c r="D304" s="26" t="n"/>
      <c r="E304" s="34" t="n"/>
    </row>
    <row r="305">
      <c r="A305" s="33" t="n"/>
      <c r="B305" s="25" t="n"/>
      <c r="C305" s="25" t="n"/>
      <c r="D305" s="26" t="n"/>
      <c r="E305" s="34" t="n"/>
    </row>
    <row r="306">
      <c r="A306" s="33" t="n"/>
      <c r="B306" s="25" t="n"/>
      <c r="C306" s="25" t="n"/>
      <c r="D306" s="26" t="n"/>
      <c r="E306" s="34" t="n"/>
    </row>
    <row r="307">
      <c r="A307" s="33" t="n"/>
      <c r="B307" s="25" t="n"/>
      <c r="C307" s="25" t="n"/>
      <c r="D307" s="26" t="n"/>
      <c r="E307" s="34" t="n"/>
    </row>
    <row r="308">
      <c r="A308" s="33" t="n"/>
      <c r="B308" s="25" t="n"/>
      <c r="C308" s="25" t="n"/>
      <c r="D308" s="26" t="n"/>
      <c r="E308" s="34" t="n"/>
    </row>
    <row r="309">
      <c r="A309" s="33" t="n"/>
      <c r="B309" s="25" t="n"/>
      <c r="C309" s="25" t="n"/>
      <c r="D309" s="26" t="n"/>
      <c r="E309" s="34" t="n"/>
    </row>
    <row r="310">
      <c r="A310" s="33" t="n"/>
      <c r="B310" s="25" t="n"/>
      <c r="C310" s="25" t="n"/>
      <c r="D310" s="26" t="n"/>
      <c r="E310" s="34" t="n"/>
    </row>
    <row r="311">
      <c r="A311" s="33" t="n"/>
      <c r="B311" s="25" t="n"/>
      <c r="C311" s="25" t="n"/>
      <c r="D311" s="26" t="n"/>
      <c r="E311" s="34" t="n"/>
    </row>
    <row r="312">
      <c r="A312" s="33" t="n"/>
      <c r="B312" s="25" t="n"/>
      <c r="C312" s="25" t="n"/>
      <c r="D312" s="26" t="n"/>
      <c r="E312" s="34" t="n"/>
    </row>
    <row r="313">
      <c r="A313" s="33" t="n"/>
      <c r="B313" s="25" t="n"/>
      <c r="C313" s="25" t="n"/>
      <c r="D313" s="26" t="n"/>
      <c r="E313" s="34" t="n"/>
    </row>
    <row r="314">
      <c r="A314" s="33" t="n"/>
      <c r="B314" s="25" t="n"/>
      <c r="C314" s="25" t="n"/>
      <c r="D314" s="26" t="n"/>
      <c r="E314" s="34" t="n"/>
    </row>
    <row r="315">
      <c r="A315" s="33" t="n"/>
      <c r="B315" s="25" t="n"/>
      <c r="C315" s="25" t="n"/>
      <c r="D315" s="26" t="n"/>
      <c r="E315" s="34" t="n"/>
    </row>
    <row r="316">
      <c r="A316" s="33" t="n"/>
      <c r="B316" s="25" t="n"/>
      <c r="C316" s="25" t="n"/>
      <c r="D316" s="26" t="n"/>
      <c r="E316" s="34" t="n"/>
    </row>
    <row r="317">
      <c r="A317" s="33" t="n"/>
      <c r="B317" s="25" t="n"/>
      <c r="C317" s="25" t="n"/>
      <c r="D317" s="26" t="n"/>
      <c r="E317" s="34" t="n"/>
    </row>
    <row r="318">
      <c r="A318" s="33" t="n"/>
      <c r="B318" s="25" t="n"/>
      <c r="C318" s="25" t="n"/>
      <c r="D318" s="26" t="n"/>
      <c r="E318" s="34" t="n"/>
    </row>
    <row r="319">
      <c r="A319" s="33" t="n"/>
      <c r="B319" s="25" t="n"/>
      <c r="C319" s="25" t="n"/>
      <c r="D319" s="26" t="n"/>
      <c r="E319" s="34" t="n"/>
    </row>
    <row r="320">
      <c r="A320" s="33" t="n"/>
      <c r="B320" s="25" t="n"/>
      <c r="C320" s="25" t="n"/>
      <c r="D320" s="26" t="n"/>
      <c r="E320" s="34" t="n"/>
    </row>
    <row r="321">
      <c r="A321" s="33" t="n"/>
      <c r="B321" s="25" t="n"/>
      <c r="C321" s="25" t="n"/>
      <c r="D321" s="26" t="n"/>
      <c r="E321" s="34" t="n"/>
    </row>
    <row r="322">
      <c r="A322" s="33" t="n"/>
      <c r="B322" s="25" t="n"/>
      <c r="C322" s="25" t="n"/>
      <c r="D322" s="26" t="n"/>
      <c r="E322" s="34" t="n"/>
    </row>
    <row r="323">
      <c r="A323" s="33" t="n"/>
      <c r="B323" s="25" t="n"/>
      <c r="C323" s="25" t="n"/>
      <c r="D323" s="26" t="n"/>
      <c r="E323" s="34" t="n"/>
    </row>
    <row r="324">
      <c r="A324" s="33" t="n"/>
      <c r="B324" s="25" t="n"/>
      <c r="C324" s="25" t="n"/>
      <c r="D324" s="26" t="n"/>
      <c r="E324" s="34" t="n"/>
    </row>
    <row r="325">
      <c r="A325" s="33" t="n"/>
      <c r="B325" s="25" t="n"/>
      <c r="C325" s="25" t="n"/>
      <c r="D325" s="26" t="n"/>
      <c r="E325" s="34" t="n"/>
    </row>
    <row r="326">
      <c r="A326" s="33" t="n"/>
      <c r="B326" s="25" t="n"/>
      <c r="C326" s="25" t="n"/>
      <c r="D326" s="26" t="n"/>
      <c r="E326" s="34" t="n"/>
    </row>
    <row r="327">
      <c r="A327" s="33" t="n"/>
      <c r="B327" s="25" t="n"/>
      <c r="C327" s="25" t="n"/>
      <c r="D327" s="26" t="n"/>
      <c r="E327" s="34" t="n"/>
    </row>
    <row r="328">
      <c r="A328" s="33" t="n"/>
      <c r="B328" s="25" t="n"/>
      <c r="C328" s="25" t="n"/>
      <c r="D328" s="26" t="n"/>
      <c r="E328" s="34" t="n"/>
    </row>
    <row r="329">
      <c r="A329" s="33" t="n"/>
      <c r="B329" s="25" t="n"/>
      <c r="C329" s="25" t="n"/>
      <c r="D329" s="26" t="n"/>
      <c r="E329" s="34" t="n"/>
    </row>
    <row r="330">
      <c r="A330" s="33" t="n"/>
      <c r="B330" s="25" t="n"/>
      <c r="C330" s="25" t="n"/>
      <c r="D330" s="26" t="n"/>
      <c r="E330" s="34" t="n"/>
    </row>
    <row r="331">
      <c r="A331" s="33" t="n"/>
      <c r="B331" s="25" t="n"/>
      <c r="C331" s="25" t="n"/>
      <c r="D331" s="26" t="n"/>
      <c r="E331" s="34" t="n"/>
    </row>
    <row r="332">
      <c r="A332" s="33" t="n"/>
      <c r="B332" s="25" t="n"/>
      <c r="C332" s="25" t="n"/>
      <c r="D332" s="26" t="n"/>
      <c r="E332" s="34" t="n"/>
    </row>
    <row r="333">
      <c r="A333" s="33" t="n"/>
      <c r="B333" s="25" t="n"/>
      <c r="C333" s="25" t="n"/>
      <c r="D333" s="26" t="n"/>
      <c r="E333" s="34" t="n"/>
    </row>
    <row r="334">
      <c r="A334" s="33" t="n"/>
      <c r="B334" s="25" t="n"/>
      <c r="C334" s="25" t="n"/>
      <c r="D334" s="26" t="n"/>
      <c r="E334" s="34" t="n"/>
    </row>
    <row r="335">
      <c r="A335" s="33" t="n"/>
      <c r="B335" s="25" t="n"/>
      <c r="C335" s="25" t="n"/>
      <c r="D335" s="26" t="n"/>
      <c r="E335" s="34" t="n"/>
    </row>
    <row r="336">
      <c r="A336" s="33" t="n"/>
      <c r="B336" s="25" t="n"/>
      <c r="C336" s="25" t="n"/>
      <c r="D336" s="26" t="n"/>
      <c r="E336" s="34" t="n"/>
    </row>
    <row r="337">
      <c r="A337" s="33" t="n"/>
      <c r="B337" s="25" t="n"/>
      <c r="C337" s="25" t="n"/>
      <c r="D337" s="26" t="n"/>
      <c r="E337" s="34" t="n"/>
    </row>
    <row r="338">
      <c r="A338" s="33" t="n"/>
      <c r="B338" s="25" t="n"/>
      <c r="C338" s="25" t="n"/>
      <c r="D338" s="26" t="n"/>
      <c r="E338" s="34" t="n"/>
    </row>
    <row r="339">
      <c r="A339" s="33" t="n"/>
      <c r="B339" s="25" t="n"/>
      <c r="C339" s="25" t="n"/>
      <c r="D339" s="26" t="n"/>
      <c r="E339" s="34" t="n"/>
    </row>
    <row r="340">
      <c r="A340" s="33" t="n"/>
      <c r="B340" s="25" t="n"/>
      <c r="C340" s="25" t="n"/>
      <c r="D340" s="26" t="n"/>
      <c r="E340" s="34" t="n"/>
    </row>
    <row r="341">
      <c r="A341" s="33" t="n"/>
      <c r="B341" s="25" t="n"/>
      <c r="C341" s="25" t="n"/>
      <c r="D341" s="26" t="n"/>
      <c r="E341" s="34" t="n"/>
    </row>
    <row r="342">
      <c r="A342" s="33" t="n"/>
      <c r="B342" s="25" t="n"/>
      <c r="C342" s="25" t="n"/>
      <c r="D342" s="26" t="n"/>
      <c r="E342" s="34" t="n"/>
    </row>
    <row r="343">
      <c r="A343" s="33" t="n"/>
      <c r="B343" s="25" t="n"/>
      <c r="C343" s="25" t="n"/>
      <c r="D343" s="26" t="n"/>
      <c r="E343" s="34" t="n"/>
    </row>
    <row r="344">
      <c r="A344" s="33" t="n"/>
      <c r="B344" s="25" t="n"/>
      <c r="C344" s="25" t="n"/>
      <c r="D344" s="26" t="n"/>
      <c r="E344" s="34" t="n"/>
    </row>
    <row r="345">
      <c r="A345" s="33" t="n"/>
      <c r="B345" s="25" t="n"/>
      <c r="C345" s="25" t="n"/>
      <c r="D345" s="26" t="n"/>
      <c r="E345" s="34" t="n"/>
    </row>
    <row r="346">
      <c r="A346" s="33" t="n"/>
      <c r="B346" s="25" t="n"/>
      <c r="C346" s="25" t="n"/>
      <c r="D346" s="26" t="n"/>
      <c r="E346" s="34" t="n"/>
    </row>
    <row r="347">
      <c r="A347" s="33" t="n"/>
      <c r="B347" s="25" t="n"/>
      <c r="C347" s="25" t="n"/>
      <c r="D347" s="26" t="n"/>
      <c r="E347" s="34" t="n"/>
    </row>
    <row r="348">
      <c r="A348" s="33" t="n"/>
      <c r="B348" s="25" t="n"/>
      <c r="C348" s="25" t="n"/>
      <c r="D348" s="26" t="n"/>
      <c r="E348" s="34" t="n"/>
    </row>
    <row r="349">
      <c r="A349" s="33" t="n"/>
      <c r="B349" s="25" t="n"/>
      <c r="C349" s="25" t="n"/>
      <c r="D349" s="26" t="n"/>
      <c r="E349" s="34" t="n"/>
    </row>
    <row r="350">
      <c r="A350" s="33" t="n"/>
      <c r="B350" s="25" t="n"/>
      <c r="C350" s="25" t="n"/>
      <c r="D350" s="26" t="n"/>
      <c r="E350" s="34" t="n"/>
    </row>
    <row r="351">
      <c r="A351" s="33" t="n"/>
      <c r="B351" s="25" t="n"/>
      <c r="C351" s="25" t="n"/>
      <c r="D351" s="26" t="n"/>
      <c r="E351" s="34" t="n"/>
    </row>
    <row r="352">
      <c r="A352" s="33" t="n"/>
      <c r="B352" s="25" t="n"/>
      <c r="C352" s="25" t="n"/>
      <c r="D352" s="26" t="n"/>
      <c r="E352" s="34" t="n"/>
    </row>
    <row r="353">
      <c r="A353" s="33" t="n"/>
      <c r="B353" s="25" t="n"/>
      <c r="C353" s="25" t="n"/>
      <c r="D353" s="26" t="n"/>
      <c r="E353" s="34" t="n"/>
    </row>
    <row r="354">
      <c r="A354" s="33" t="n"/>
      <c r="B354" s="25" t="n"/>
      <c r="C354" s="25" t="n"/>
      <c r="D354" s="26" t="n"/>
      <c r="E354" s="34" t="n"/>
    </row>
    <row r="355">
      <c r="A355" s="33" t="n"/>
      <c r="B355" s="25" t="n"/>
      <c r="C355" s="25" t="n"/>
      <c r="D355" s="26" t="n"/>
      <c r="E355" s="34" t="n"/>
    </row>
    <row r="356">
      <c r="A356" s="33" t="n"/>
      <c r="B356" s="25" t="n"/>
      <c r="C356" s="25" t="n"/>
      <c r="D356" s="26" t="n"/>
      <c r="E356" s="34" t="n"/>
    </row>
    <row r="357">
      <c r="A357" s="33" t="n"/>
      <c r="B357" s="25" t="n"/>
      <c r="C357" s="25" t="n"/>
      <c r="D357" s="26" t="n"/>
      <c r="E357" s="34" t="n"/>
    </row>
    <row r="358">
      <c r="A358" s="33" t="n"/>
      <c r="B358" s="25" t="n"/>
      <c r="C358" s="25" t="n"/>
      <c r="D358" s="26" t="n"/>
      <c r="E358" s="34" t="n"/>
    </row>
    <row r="359">
      <c r="A359" s="33" t="n"/>
      <c r="B359" s="25" t="n"/>
      <c r="C359" s="25" t="n"/>
      <c r="D359" s="26" t="n"/>
      <c r="E359" s="34" t="n"/>
    </row>
    <row r="360">
      <c r="A360" s="33" t="n"/>
      <c r="B360" s="25" t="n"/>
      <c r="C360" s="25" t="n"/>
      <c r="D360" s="26" t="n"/>
      <c r="E360" s="34" t="n"/>
    </row>
    <row r="361">
      <c r="A361" s="33" t="n"/>
      <c r="B361" s="25" t="n"/>
      <c r="C361" s="25" t="n"/>
      <c r="D361" s="26" t="n"/>
      <c r="E361" s="34" t="n"/>
    </row>
    <row r="362">
      <c r="A362" s="33" t="n"/>
      <c r="B362" s="25" t="n"/>
      <c r="C362" s="25" t="n"/>
      <c r="D362" s="26" t="n"/>
      <c r="E362" s="34" t="n"/>
    </row>
    <row r="363">
      <c r="A363" s="33" t="n"/>
      <c r="B363" s="25" t="n"/>
      <c r="C363" s="25" t="n"/>
      <c r="D363" s="26" t="n"/>
      <c r="E363" s="34" t="n"/>
    </row>
    <row r="364">
      <c r="A364" s="33" t="n"/>
      <c r="B364" s="25" t="n"/>
      <c r="C364" s="25" t="n"/>
      <c r="D364" s="26" t="n"/>
      <c r="E364" s="34" t="n"/>
    </row>
    <row r="365">
      <c r="A365" s="33" t="n"/>
      <c r="B365" s="25" t="n"/>
      <c r="C365" s="25" t="n"/>
      <c r="D365" s="26" t="n"/>
      <c r="E365" s="34" t="n"/>
    </row>
    <row r="366">
      <c r="A366" s="33" t="n"/>
      <c r="B366" s="25" t="n"/>
      <c r="C366" s="25" t="n"/>
      <c r="D366" s="26" t="n"/>
      <c r="E366" s="34" t="n"/>
    </row>
    <row r="367">
      <c r="A367" s="33" t="n"/>
      <c r="B367" s="25" t="n"/>
      <c r="C367" s="25" t="n"/>
      <c r="D367" s="26" t="n"/>
      <c r="E367" s="34" t="n"/>
    </row>
    <row r="368">
      <c r="A368" s="33" t="n"/>
      <c r="B368" s="25" t="n"/>
      <c r="C368" s="25" t="n"/>
      <c r="D368" s="26" t="n"/>
      <c r="E368" s="34" t="n"/>
    </row>
    <row r="369">
      <c r="A369" s="33" t="n"/>
      <c r="B369" s="25" t="n"/>
      <c r="C369" s="25" t="n"/>
      <c r="D369" s="26" t="n"/>
      <c r="E369" s="34" t="n"/>
    </row>
    <row r="370">
      <c r="A370" s="33" t="n"/>
      <c r="B370" s="25" t="n"/>
      <c r="C370" s="25" t="n"/>
      <c r="D370" s="26" t="n"/>
      <c r="E370" s="34" t="n"/>
    </row>
    <row r="371">
      <c r="A371" s="33" t="n"/>
      <c r="B371" s="25" t="n"/>
      <c r="C371" s="25" t="n"/>
      <c r="D371" s="26" t="n"/>
      <c r="E371" s="34" t="n"/>
    </row>
    <row r="372">
      <c r="A372" s="33" t="n"/>
      <c r="B372" s="25" t="n"/>
      <c r="C372" s="25" t="n"/>
      <c r="D372" s="26" t="n"/>
      <c r="E372" s="34" t="n"/>
    </row>
    <row r="373">
      <c r="A373" s="33" t="n"/>
      <c r="B373" s="25" t="n"/>
      <c r="C373" s="25" t="n"/>
      <c r="D373" s="26" t="n"/>
      <c r="E373" s="34" t="n"/>
    </row>
    <row r="374">
      <c r="A374" s="33" t="n"/>
      <c r="B374" s="25" t="n"/>
      <c r="C374" s="25" t="n"/>
      <c r="D374" s="26" t="n"/>
      <c r="E374" s="34" t="n"/>
    </row>
    <row r="375">
      <c r="A375" s="33" t="n"/>
      <c r="B375" s="25" t="n"/>
      <c r="C375" s="25" t="n"/>
      <c r="D375" s="26" t="n"/>
      <c r="E375" s="34" t="n"/>
    </row>
    <row r="376">
      <c r="A376" s="33" t="n"/>
      <c r="B376" s="25" t="n"/>
      <c r="C376" s="25" t="n"/>
      <c r="D376" s="26" t="n"/>
      <c r="E376" s="34" t="n"/>
    </row>
    <row r="377">
      <c r="A377" s="33" t="n"/>
      <c r="B377" s="25" t="n"/>
      <c r="C377" s="25" t="n"/>
      <c r="D377" s="26" t="n"/>
      <c r="E377" s="34" t="n"/>
    </row>
    <row r="378">
      <c r="A378" s="33" t="n"/>
      <c r="B378" s="25" t="n"/>
      <c r="C378" s="25" t="n"/>
      <c r="D378" s="26" t="n"/>
      <c r="E378" s="34" t="n"/>
    </row>
    <row r="379">
      <c r="A379" s="33" t="n"/>
      <c r="B379" s="25" t="n"/>
      <c r="C379" s="25" t="n"/>
      <c r="D379" s="26" t="n"/>
      <c r="E379" s="34" t="n"/>
    </row>
    <row r="380">
      <c r="A380" s="33" t="n"/>
      <c r="B380" s="25" t="n"/>
      <c r="C380" s="25" t="n"/>
      <c r="D380" s="26" t="n"/>
      <c r="E380" s="34" t="n"/>
    </row>
    <row r="381">
      <c r="A381" s="33" t="n"/>
      <c r="B381" s="25" t="n"/>
      <c r="C381" s="25" t="n"/>
      <c r="D381" s="26" t="n"/>
      <c r="E381" s="34" t="n"/>
    </row>
    <row r="382">
      <c r="A382" s="33" t="n"/>
      <c r="B382" s="25" t="n"/>
      <c r="C382" s="25" t="n"/>
      <c r="D382" s="26" t="n"/>
      <c r="E382" s="34" t="n"/>
    </row>
    <row r="383">
      <c r="A383" s="33" t="n"/>
      <c r="B383" s="25" t="n"/>
      <c r="C383" s="25" t="n"/>
      <c r="D383" s="26" t="n"/>
      <c r="E383" s="34" t="n"/>
    </row>
    <row r="384">
      <c r="A384" s="33" t="n"/>
      <c r="B384" s="25" t="n"/>
      <c r="C384" s="25" t="n"/>
      <c r="D384" s="26" t="n"/>
      <c r="E384" s="34" t="n"/>
    </row>
    <row r="385">
      <c r="A385" s="33" t="n"/>
      <c r="B385" s="25" t="n"/>
      <c r="C385" s="25" t="n"/>
      <c r="D385" s="26" t="n"/>
      <c r="E385" s="34" t="n"/>
    </row>
    <row r="386">
      <c r="A386" s="33" t="n"/>
      <c r="B386" s="25" t="n"/>
      <c r="C386" s="25" t="n"/>
      <c r="D386" s="26" t="n"/>
      <c r="E386" s="34" t="n"/>
    </row>
    <row r="387">
      <c r="A387" s="33" t="n"/>
      <c r="B387" s="25" t="n"/>
      <c r="C387" s="25" t="n"/>
      <c r="D387" s="26" t="n"/>
      <c r="E387" s="34" t="n"/>
    </row>
    <row r="388">
      <c r="A388" s="33" t="n"/>
      <c r="B388" s="25" t="n"/>
      <c r="C388" s="25" t="n"/>
      <c r="D388" s="26" t="n"/>
      <c r="E388" s="34" t="n"/>
    </row>
    <row r="389">
      <c r="A389" s="33" t="n"/>
      <c r="B389" s="25" t="n"/>
      <c r="C389" s="25" t="n"/>
      <c r="D389" s="26" t="n"/>
      <c r="E389" s="34" t="n"/>
    </row>
    <row r="390">
      <c r="A390" s="33" t="n"/>
      <c r="B390" s="25" t="n"/>
      <c r="C390" s="25" t="n"/>
      <c r="D390" s="26" t="n"/>
      <c r="E390" s="34" t="n"/>
    </row>
    <row r="391">
      <c r="A391" s="33" t="n"/>
      <c r="B391" s="25" t="n"/>
      <c r="C391" s="25" t="n"/>
      <c r="D391" s="26" t="n"/>
      <c r="E391" s="34" t="n"/>
    </row>
    <row r="392">
      <c r="A392" s="33" t="n"/>
      <c r="B392" s="25" t="n"/>
      <c r="C392" s="25" t="n"/>
      <c r="D392" s="26" t="n"/>
      <c r="E392" s="34" t="n"/>
    </row>
    <row r="393">
      <c r="A393" s="33" t="n"/>
      <c r="B393" s="25" t="n"/>
      <c r="C393" s="25" t="n"/>
      <c r="D393" s="26" t="n"/>
      <c r="E393" s="34" t="n"/>
    </row>
    <row r="394">
      <c r="A394" s="33" t="n"/>
      <c r="B394" s="25" t="n"/>
      <c r="C394" s="25" t="n"/>
      <c r="D394" s="26" t="n"/>
      <c r="E394" s="34" t="n"/>
    </row>
    <row r="395">
      <c r="A395" s="33" t="n"/>
      <c r="B395" s="25" t="n"/>
      <c r="C395" s="25" t="n"/>
      <c r="D395" s="26" t="n"/>
      <c r="E395" s="34" t="n"/>
    </row>
    <row r="396">
      <c r="A396" s="33" t="n"/>
      <c r="B396" s="25" t="n"/>
      <c r="C396" s="25" t="n"/>
      <c r="D396" s="26" t="n"/>
      <c r="E396" s="34" t="n"/>
    </row>
    <row r="397">
      <c r="A397" s="33" t="n"/>
      <c r="B397" s="25" t="n"/>
      <c r="C397" s="25" t="n"/>
      <c r="D397" s="26" t="n"/>
      <c r="E397" s="34" t="n"/>
    </row>
    <row r="398">
      <c r="A398" s="33" t="n"/>
      <c r="B398" s="25" t="n"/>
      <c r="C398" s="25" t="n"/>
      <c r="D398" s="26" t="n"/>
      <c r="E398" s="34" t="n"/>
    </row>
    <row r="399">
      <c r="A399" s="33" t="n"/>
      <c r="B399" s="25" t="n"/>
      <c r="C399" s="25" t="n"/>
      <c r="D399" s="26" t="n"/>
      <c r="E399" s="34" t="n"/>
    </row>
    <row r="400">
      <c r="A400" s="33" t="n"/>
      <c r="B400" s="25" t="n"/>
      <c r="C400" s="25" t="n"/>
      <c r="D400" s="26" t="n"/>
      <c r="E400" s="34" t="n"/>
    </row>
    <row r="401">
      <c r="A401" s="33" t="n"/>
      <c r="B401" s="25" t="n"/>
      <c r="C401" s="25" t="n"/>
      <c r="D401" s="26" t="n"/>
      <c r="E401" s="34" t="n"/>
    </row>
    <row r="402">
      <c r="A402" s="33" t="n"/>
      <c r="B402" s="25" t="n"/>
      <c r="C402" s="25" t="n"/>
      <c r="D402" s="26" t="n"/>
      <c r="E402" s="34" t="n"/>
    </row>
    <row r="403">
      <c r="A403" s="33" t="n"/>
      <c r="B403" s="25" t="n"/>
      <c r="C403" s="25" t="n"/>
      <c r="D403" s="26" t="n"/>
      <c r="E403" s="34" t="n"/>
    </row>
    <row r="404">
      <c r="A404" s="33" t="n"/>
      <c r="B404" s="25" t="n"/>
      <c r="C404" s="25" t="n"/>
      <c r="D404" s="26" t="n"/>
      <c r="E404" s="34" t="n"/>
    </row>
    <row r="405">
      <c r="A405" s="33" t="n"/>
      <c r="B405" s="25" t="n"/>
      <c r="C405" s="25" t="n"/>
      <c r="D405" s="26" t="n"/>
      <c r="E405" s="34" t="n"/>
    </row>
    <row r="406">
      <c r="A406" s="33" t="n"/>
      <c r="B406" s="25" t="n"/>
      <c r="C406" s="25" t="n"/>
      <c r="D406" s="26" t="n"/>
      <c r="E406" s="34" t="n"/>
    </row>
    <row r="407">
      <c r="A407" s="33" t="n"/>
      <c r="B407" s="25" t="n"/>
      <c r="C407" s="25" t="n"/>
      <c r="D407" s="26" t="n"/>
      <c r="E407" s="34" t="n"/>
    </row>
    <row r="408">
      <c r="A408" s="33" t="n"/>
      <c r="B408" s="25" t="n"/>
      <c r="C408" s="25" t="n"/>
      <c r="D408" s="26" t="n"/>
      <c r="E408" s="34" t="n"/>
    </row>
    <row r="409">
      <c r="A409" s="33" t="n"/>
      <c r="B409" s="25" t="n"/>
      <c r="C409" s="25" t="n"/>
      <c r="D409" s="26" t="n"/>
      <c r="E409" s="34" t="n"/>
    </row>
    <row r="410">
      <c r="A410" s="33" t="n"/>
      <c r="B410" s="25" t="n"/>
      <c r="C410" s="25" t="n"/>
      <c r="D410" s="26" t="n"/>
      <c r="E410" s="34" t="n"/>
    </row>
    <row r="411">
      <c r="A411" s="33" t="n"/>
      <c r="B411" s="25" t="n"/>
      <c r="C411" s="25" t="n"/>
      <c r="D411" s="26" t="n"/>
      <c r="E411" s="34" t="n"/>
    </row>
    <row r="412">
      <c r="A412" s="33" t="n"/>
      <c r="B412" s="25" t="n"/>
      <c r="C412" s="25" t="n"/>
      <c r="D412" s="26" t="n"/>
      <c r="E412" s="34" t="n"/>
    </row>
    <row r="413">
      <c r="A413" s="33" t="n"/>
      <c r="B413" s="25" t="n"/>
      <c r="C413" s="25" t="n"/>
      <c r="D413" s="26" t="n"/>
      <c r="E413" s="34" t="n"/>
    </row>
    <row r="414">
      <c r="A414" s="33" t="n"/>
      <c r="B414" s="25" t="n"/>
      <c r="C414" s="25" t="n"/>
      <c r="D414" s="26" t="n"/>
      <c r="E414" s="34" t="n"/>
    </row>
    <row r="415">
      <c r="A415" s="33" t="n"/>
      <c r="B415" s="25" t="n"/>
      <c r="C415" s="25" t="n"/>
      <c r="D415" s="26" t="n"/>
      <c r="E415" s="34" t="n"/>
    </row>
    <row r="416">
      <c r="A416" s="33" t="n"/>
      <c r="B416" s="25" t="n"/>
      <c r="C416" s="25" t="n"/>
      <c r="D416" s="26" t="n"/>
      <c r="E416" s="34" t="n"/>
    </row>
    <row r="417">
      <c r="A417" s="33" t="n"/>
      <c r="B417" s="25" t="n"/>
      <c r="C417" s="25" t="n"/>
      <c r="D417" s="26" t="n"/>
      <c r="E417" s="34" t="n"/>
    </row>
    <row r="418">
      <c r="A418" s="33" t="n"/>
      <c r="B418" s="25" t="n"/>
      <c r="C418" s="25" t="n"/>
      <c r="D418" s="26" t="n"/>
      <c r="E418" s="34" t="n"/>
    </row>
    <row r="419">
      <c r="A419" s="33" t="n"/>
      <c r="B419" s="25" t="n"/>
      <c r="C419" s="25" t="n"/>
      <c r="D419" s="26" t="n"/>
      <c r="E419" s="34" t="n"/>
    </row>
    <row r="420">
      <c r="A420" s="33" t="n"/>
      <c r="B420" s="25" t="n"/>
      <c r="C420" s="25" t="n"/>
      <c r="D420" s="26" t="n"/>
      <c r="E420" s="34" t="n"/>
    </row>
    <row r="421">
      <c r="A421" s="33" t="n"/>
      <c r="B421" s="25" t="n"/>
      <c r="C421" s="25" t="n"/>
      <c r="D421" s="26" t="n"/>
      <c r="E421" s="34" t="n"/>
    </row>
    <row r="422">
      <c r="A422" s="33" t="n"/>
      <c r="B422" s="25" t="n"/>
      <c r="C422" s="25" t="n"/>
      <c r="D422" s="26" t="n"/>
      <c r="E422" s="34" t="n"/>
    </row>
    <row r="423">
      <c r="A423" s="33" t="n"/>
      <c r="B423" s="25" t="n"/>
      <c r="C423" s="25" t="n"/>
      <c r="D423" s="26" t="n"/>
      <c r="E423" s="34" t="n"/>
    </row>
    <row r="424">
      <c r="A424" s="33" t="n"/>
      <c r="B424" s="25" t="n"/>
      <c r="C424" s="25" t="n"/>
      <c r="D424" s="26" t="n"/>
      <c r="E424" s="34" t="n"/>
    </row>
    <row r="425">
      <c r="A425" s="33" t="n"/>
      <c r="B425" s="25" t="n"/>
      <c r="C425" s="25" t="n"/>
      <c r="D425" s="26" t="n"/>
      <c r="E425" s="34" t="n"/>
    </row>
    <row r="426">
      <c r="A426" s="33" t="n"/>
      <c r="B426" s="25" t="n"/>
      <c r="C426" s="25" t="n"/>
      <c r="D426" s="26" t="n"/>
      <c r="E426" s="34" t="n"/>
    </row>
    <row r="427">
      <c r="A427" s="33" t="n"/>
      <c r="B427" s="25" t="n"/>
      <c r="C427" s="25" t="n"/>
      <c r="D427" s="26" t="n"/>
      <c r="E427" s="34" t="n"/>
    </row>
    <row r="428">
      <c r="A428" s="33" t="n"/>
      <c r="B428" s="25" t="n"/>
      <c r="C428" s="25" t="n"/>
      <c r="D428" s="26" t="n"/>
      <c r="E428" s="34" t="n"/>
    </row>
    <row r="429">
      <c r="A429" s="33" t="n"/>
      <c r="B429" s="25" t="n"/>
      <c r="C429" s="25" t="n"/>
      <c r="D429" s="26" t="n"/>
      <c r="E429" s="34" t="n"/>
    </row>
    <row r="430">
      <c r="A430" s="33" t="n"/>
      <c r="B430" s="25" t="n"/>
      <c r="C430" s="25" t="n"/>
      <c r="D430" s="26" t="n"/>
      <c r="E430" s="34" t="n"/>
    </row>
    <row r="431">
      <c r="A431" s="33" t="n"/>
      <c r="B431" s="25" t="n"/>
      <c r="C431" s="25" t="n"/>
      <c r="D431" s="26" t="n"/>
      <c r="E431" s="34" t="n"/>
    </row>
    <row r="432">
      <c r="A432" s="33" t="n"/>
      <c r="B432" s="25" t="n"/>
      <c r="C432" s="25" t="n"/>
      <c r="D432" s="26" t="n"/>
      <c r="E432" s="34" t="n"/>
    </row>
    <row r="433">
      <c r="A433" s="33" t="n"/>
      <c r="B433" s="25" t="n"/>
      <c r="C433" s="25" t="n"/>
      <c r="D433" s="26" t="n"/>
      <c r="E433" s="34" t="n"/>
    </row>
    <row r="434">
      <c r="A434" s="33" t="n"/>
      <c r="B434" s="25" t="n"/>
      <c r="C434" s="25" t="n"/>
      <c r="D434" s="26" t="n"/>
      <c r="E434" s="34" t="n"/>
    </row>
    <row r="435">
      <c r="A435" s="33" t="n"/>
      <c r="B435" s="25" t="n"/>
      <c r="C435" s="25" t="n"/>
      <c r="D435" s="26" t="n"/>
      <c r="E435" s="34" t="n"/>
    </row>
    <row r="436">
      <c r="A436" s="33" t="n"/>
      <c r="B436" s="25" t="n"/>
      <c r="C436" s="25" t="n"/>
      <c r="D436" s="26" t="n"/>
      <c r="E436" s="34" t="n"/>
    </row>
    <row r="437">
      <c r="A437" s="33" t="n"/>
      <c r="B437" s="25" t="n"/>
      <c r="C437" s="25" t="n"/>
      <c r="D437" s="26" t="n"/>
      <c r="E437" s="34" t="n"/>
    </row>
    <row r="438">
      <c r="A438" s="33" t="n"/>
      <c r="B438" s="25" t="n"/>
      <c r="C438" s="25" t="n"/>
      <c r="D438" s="26" t="n"/>
      <c r="E438" s="34" t="n"/>
    </row>
    <row r="439">
      <c r="A439" s="33" t="n"/>
      <c r="B439" s="25" t="n"/>
      <c r="C439" s="25" t="n"/>
      <c r="D439" s="26" t="n"/>
      <c r="E439" s="34" t="n"/>
    </row>
    <row r="440">
      <c r="A440" s="33" t="n"/>
      <c r="B440" s="25" t="n"/>
      <c r="C440" s="25" t="n"/>
      <c r="D440" s="26" t="n"/>
      <c r="E440" s="34" t="n"/>
    </row>
    <row r="441">
      <c r="A441" s="33" t="n"/>
      <c r="B441" s="25" t="n"/>
      <c r="C441" s="25" t="n"/>
      <c r="D441" s="26" t="n"/>
      <c r="E441" s="34" t="n"/>
    </row>
    <row r="442">
      <c r="A442" s="33" t="n"/>
      <c r="B442" s="25" t="n"/>
      <c r="C442" s="25" t="n"/>
      <c r="D442" s="26" t="n"/>
      <c r="E442" s="34" t="n"/>
    </row>
    <row r="443">
      <c r="A443" s="33" t="n"/>
      <c r="B443" s="25" t="n"/>
      <c r="C443" s="25" t="n"/>
      <c r="D443" s="26" t="n"/>
      <c r="E443" s="34" t="n"/>
    </row>
    <row r="444">
      <c r="A444" s="33" t="n"/>
      <c r="B444" s="25" t="n"/>
      <c r="C444" s="25" t="n"/>
      <c r="D444" s="26" t="n"/>
      <c r="E444" s="34" t="n"/>
    </row>
    <row r="445">
      <c r="A445" s="33" t="n"/>
      <c r="B445" s="25" t="n"/>
      <c r="C445" s="25" t="n"/>
      <c r="D445" s="26" t="n"/>
      <c r="E445" s="34" t="n"/>
    </row>
    <row r="446">
      <c r="A446" s="33" t="n"/>
      <c r="B446" s="25" t="n"/>
      <c r="C446" s="25" t="n"/>
      <c r="D446" s="26" t="n"/>
      <c r="E446" s="34" t="n"/>
    </row>
    <row r="447">
      <c r="A447" s="33" t="n"/>
      <c r="B447" s="25" t="n"/>
      <c r="C447" s="25" t="n"/>
      <c r="D447" s="26" t="n"/>
      <c r="E447" s="34" t="n"/>
    </row>
    <row r="448">
      <c r="A448" s="33" t="n"/>
      <c r="B448" s="25" t="n"/>
      <c r="C448" s="25" t="n"/>
      <c r="D448" s="26" t="n"/>
      <c r="E448" s="34" t="n"/>
    </row>
    <row r="449">
      <c r="A449" s="33" t="n"/>
      <c r="B449" s="25" t="n"/>
      <c r="C449" s="25" t="n"/>
      <c r="D449" s="26" t="n"/>
      <c r="E449" s="34" t="n"/>
    </row>
    <row r="450">
      <c r="A450" s="33" t="n"/>
      <c r="B450" s="25" t="n"/>
      <c r="C450" s="25" t="n"/>
      <c r="D450" s="26" t="n"/>
      <c r="E450" s="34" t="n"/>
    </row>
    <row r="451">
      <c r="A451" s="33" t="n"/>
      <c r="B451" s="25" t="n"/>
      <c r="C451" s="25" t="n"/>
      <c r="D451" s="26" t="n"/>
      <c r="E451" s="34" t="n"/>
    </row>
    <row r="452">
      <c r="A452" s="33" t="n"/>
      <c r="B452" s="25" t="n"/>
      <c r="C452" s="25" t="n"/>
      <c r="D452" s="26" t="n"/>
      <c r="E452" s="34" t="n"/>
    </row>
    <row r="453">
      <c r="A453" s="33" t="n"/>
      <c r="B453" s="25" t="n"/>
      <c r="C453" s="25" t="n"/>
      <c r="D453" s="26" t="n"/>
      <c r="E453" s="34" t="n"/>
    </row>
    <row r="454">
      <c r="A454" s="33" t="n"/>
      <c r="B454" s="25" t="n"/>
      <c r="C454" s="25" t="n"/>
      <c r="D454" s="26" t="n"/>
      <c r="E454" s="34" t="n"/>
    </row>
    <row r="455">
      <c r="A455" s="33" t="n"/>
      <c r="B455" s="25" t="n"/>
      <c r="C455" s="25" t="n"/>
      <c r="D455" s="26" t="n"/>
      <c r="E455" s="34" t="n"/>
    </row>
    <row r="456">
      <c r="A456" s="33" t="n"/>
      <c r="B456" s="25" t="n"/>
      <c r="C456" s="25" t="n"/>
      <c r="D456" s="26" t="n"/>
      <c r="E456" s="34" t="n"/>
    </row>
    <row r="457">
      <c r="A457" s="33" t="n"/>
      <c r="B457" s="25" t="n"/>
      <c r="C457" s="25" t="n"/>
      <c r="D457" s="26" t="n"/>
      <c r="E457" s="34" t="n"/>
    </row>
    <row r="458">
      <c r="A458" s="33" t="n"/>
      <c r="B458" s="25" t="n"/>
      <c r="C458" s="25" t="n"/>
      <c r="D458" s="26" t="n"/>
      <c r="E458" s="34" t="n"/>
    </row>
    <row r="459">
      <c r="A459" s="33" t="n"/>
      <c r="B459" s="25" t="n"/>
      <c r="C459" s="25" t="n"/>
      <c r="D459" s="26" t="n"/>
      <c r="E459" s="34" t="n"/>
    </row>
    <row r="460">
      <c r="A460" s="33" t="n"/>
      <c r="B460" s="25" t="n"/>
      <c r="C460" s="25" t="n"/>
      <c r="D460" s="26" t="n"/>
      <c r="E460" s="34" t="n"/>
    </row>
    <row r="461">
      <c r="A461" s="33" t="n"/>
      <c r="B461" s="25" t="n"/>
      <c r="C461" s="25" t="n"/>
      <c r="D461" s="26" t="n"/>
      <c r="E461" s="34" t="n"/>
    </row>
    <row r="462">
      <c r="A462" s="33" t="n"/>
      <c r="B462" s="25" t="n"/>
      <c r="C462" s="25" t="n"/>
      <c r="D462" s="26" t="n"/>
      <c r="E462" s="34" t="n"/>
    </row>
    <row r="463">
      <c r="A463" s="33" t="n"/>
      <c r="B463" s="25" t="n"/>
      <c r="C463" s="25" t="n"/>
      <c r="D463" s="26" t="n"/>
      <c r="E463" s="34" t="n"/>
    </row>
    <row r="464">
      <c r="A464" s="33" t="n"/>
      <c r="B464" s="25" t="n"/>
      <c r="C464" s="25" t="n"/>
      <c r="D464" s="26" t="n"/>
      <c r="E464" s="34" t="n"/>
    </row>
    <row r="465">
      <c r="A465" s="33" t="n"/>
      <c r="B465" s="25" t="n"/>
      <c r="C465" s="25" t="n"/>
      <c r="D465" s="26" t="n"/>
      <c r="E465" s="34" t="n"/>
    </row>
    <row r="466">
      <c r="A466" s="33" t="n"/>
      <c r="B466" s="25" t="n"/>
      <c r="C466" s="25" t="n"/>
      <c r="D466" s="26" t="n"/>
      <c r="E466" s="34" t="n"/>
    </row>
    <row r="467">
      <c r="A467" s="33" t="n"/>
      <c r="B467" s="25" t="n"/>
      <c r="C467" s="25" t="n"/>
      <c r="D467" s="26" t="n"/>
      <c r="E467" s="34" t="n"/>
    </row>
    <row r="468">
      <c r="A468" s="33" t="n"/>
      <c r="B468" s="25" t="n"/>
      <c r="C468" s="25" t="n"/>
      <c r="D468" s="26" t="n"/>
      <c r="E468" s="34" t="n"/>
    </row>
    <row r="469">
      <c r="A469" s="33" t="n"/>
      <c r="B469" s="25" t="n"/>
      <c r="C469" s="25" t="n"/>
      <c r="D469" s="26" t="n"/>
      <c r="E469" s="34" t="n"/>
    </row>
    <row r="470">
      <c r="A470" s="33" t="n"/>
      <c r="B470" s="25" t="n"/>
      <c r="C470" s="25" t="n"/>
      <c r="D470" s="26" t="n"/>
      <c r="E470" s="34" t="n"/>
    </row>
    <row r="471">
      <c r="A471" s="33" t="n"/>
      <c r="B471" s="25" t="n"/>
      <c r="C471" s="25" t="n"/>
      <c r="D471" s="26" t="n"/>
      <c r="E471" s="34" t="n"/>
    </row>
    <row r="472">
      <c r="A472" s="33" t="n"/>
      <c r="B472" s="25" t="n"/>
      <c r="C472" s="25" t="n"/>
      <c r="D472" s="26" t="n"/>
      <c r="E472" s="34" t="n"/>
    </row>
    <row r="473">
      <c r="A473" s="33" t="n"/>
      <c r="B473" s="25" t="n"/>
      <c r="C473" s="25" t="n"/>
      <c r="D473" s="26" t="n"/>
      <c r="E473" s="34" t="n"/>
    </row>
    <row r="474">
      <c r="A474" s="33" t="n"/>
      <c r="B474" s="25" t="n"/>
      <c r="C474" s="25" t="n"/>
      <c r="D474" s="26" t="n"/>
      <c r="E474" s="34" t="n"/>
    </row>
    <row r="475">
      <c r="A475" s="33" t="n"/>
      <c r="B475" s="25" t="n"/>
      <c r="C475" s="25" t="n"/>
      <c r="D475" s="26" t="n"/>
      <c r="E475" s="34" t="n"/>
    </row>
    <row r="476">
      <c r="A476" s="33" t="n"/>
      <c r="B476" s="25" t="n"/>
      <c r="C476" s="25" t="n"/>
      <c r="D476" s="26" t="n"/>
      <c r="E476" s="34" t="n"/>
    </row>
    <row r="477">
      <c r="A477" s="33" t="n"/>
      <c r="B477" s="25" t="n"/>
      <c r="C477" s="25" t="n"/>
      <c r="D477" s="26" t="n"/>
      <c r="E477" s="34" t="n"/>
    </row>
    <row r="478">
      <c r="A478" s="33" t="n"/>
      <c r="B478" s="25" t="n"/>
      <c r="C478" s="25" t="n"/>
      <c r="D478" s="26" t="n"/>
      <c r="E478" s="34" t="n"/>
    </row>
    <row r="479">
      <c r="A479" s="33" t="n"/>
      <c r="B479" s="25" t="n"/>
      <c r="C479" s="25" t="n"/>
      <c r="D479" s="26" t="n"/>
      <c r="E479" s="34" t="n"/>
    </row>
    <row r="480">
      <c r="A480" s="33" t="n"/>
      <c r="B480" s="25" t="n"/>
      <c r="C480" s="25" t="n"/>
      <c r="D480" s="26" t="n"/>
      <c r="E480" s="34" t="n"/>
    </row>
    <row r="481">
      <c r="A481" s="33" t="n"/>
      <c r="B481" s="25" t="n"/>
      <c r="C481" s="25" t="n"/>
      <c r="D481" s="26" t="n"/>
      <c r="E481" s="34" t="n"/>
    </row>
    <row r="482">
      <c r="A482" s="33" t="n"/>
      <c r="B482" s="25" t="n"/>
      <c r="C482" s="25" t="n"/>
      <c r="D482" s="26" t="n"/>
      <c r="E482" s="34" t="n"/>
    </row>
    <row r="483">
      <c r="A483" s="33" t="n"/>
      <c r="B483" s="25" t="n"/>
      <c r="C483" s="25" t="n"/>
      <c r="D483" s="26" t="n"/>
      <c r="E483" s="34" t="n"/>
    </row>
    <row r="484">
      <c r="A484" s="33" t="n"/>
      <c r="B484" s="25" t="n"/>
      <c r="C484" s="25" t="n"/>
      <c r="D484" s="26" t="n"/>
      <c r="E484" s="34" t="n"/>
    </row>
    <row r="485">
      <c r="A485" s="33" t="n"/>
      <c r="B485" s="25" t="n"/>
      <c r="C485" s="25" t="n"/>
      <c r="D485" s="26" t="n"/>
      <c r="E485" s="34" t="n"/>
    </row>
    <row r="486">
      <c r="A486" s="33" t="n"/>
      <c r="B486" s="25" t="n"/>
      <c r="C486" s="25" t="n"/>
      <c r="D486" s="26" t="n"/>
      <c r="E486" s="34" t="n"/>
    </row>
    <row r="487">
      <c r="A487" s="33" t="n"/>
      <c r="B487" s="25" t="n"/>
      <c r="C487" s="25" t="n"/>
      <c r="D487" s="26" t="n"/>
      <c r="E487" s="34" t="n"/>
    </row>
    <row r="488">
      <c r="A488" s="33" t="n"/>
      <c r="B488" s="25" t="n"/>
      <c r="C488" s="25" t="n"/>
      <c r="D488" s="26" t="n"/>
      <c r="E488" s="34" t="n"/>
    </row>
    <row r="489">
      <c r="A489" s="33" t="n"/>
      <c r="B489" s="25" t="n"/>
      <c r="C489" s="25" t="n"/>
      <c r="D489" s="26" t="n"/>
      <c r="E489" s="34" t="n"/>
    </row>
    <row r="490">
      <c r="A490" s="33" t="n"/>
      <c r="B490" s="25" t="n"/>
      <c r="C490" s="25" t="n"/>
      <c r="D490" s="26" t="n"/>
      <c r="E490" s="34" t="n"/>
    </row>
    <row r="491">
      <c r="A491" s="33" t="n"/>
      <c r="B491" s="25" t="n"/>
      <c r="C491" s="25" t="n"/>
      <c r="D491" s="26" t="n"/>
      <c r="E491" s="34" t="n"/>
    </row>
    <row r="492">
      <c r="A492" s="33" t="n"/>
      <c r="B492" s="25" t="n"/>
      <c r="C492" s="25" t="n"/>
      <c r="D492" s="26" t="n"/>
      <c r="E492" s="34" t="n"/>
    </row>
    <row r="493">
      <c r="A493" s="33" t="n"/>
      <c r="B493" s="25" t="n"/>
      <c r="C493" s="25" t="n"/>
      <c r="D493" s="26" t="n"/>
      <c r="E493" s="34" t="n"/>
    </row>
    <row r="494">
      <c r="A494" s="33" t="n"/>
      <c r="B494" s="25" t="n"/>
      <c r="C494" s="25" t="n"/>
      <c r="D494" s="26" t="n"/>
      <c r="E494" s="34" t="n"/>
    </row>
    <row r="495">
      <c r="A495" s="33" t="n"/>
      <c r="B495" s="25" t="n"/>
      <c r="C495" s="25" t="n"/>
      <c r="D495" s="26" t="n"/>
      <c r="E495" s="34" t="n"/>
    </row>
    <row r="496">
      <c r="A496" s="33" t="n"/>
      <c r="B496" s="25" t="n"/>
      <c r="C496" s="25" t="n"/>
      <c r="D496" s="26" t="n"/>
      <c r="E496" s="34" t="n"/>
    </row>
    <row r="497">
      <c r="A497" s="33" t="n"/>
      <c r="B497" s="25" t="n"/>
      <c r="C497" s="25" t="n"/>
      <c r="D497" s="26" t="n"/>
      <c r="E497" s="34" t="n"/>
    </row>
    <row r="498">
      <c r="A498" s="33" t="n"/>
      <c r="B498" s="25" t="n"/>
      <c r="C498" s="25" t="n"/>
      <c r="D498" s="26" t="n"/>
      <c r="E498" s="34" t="n"/>
    </row>
    <row r="499">
      <c r="A499" s="33" t="n"/>
      <c r="B499" s="25" t="n"/>
      <c r="C499" s="25" t="n"/>
      <c r="D499" s="26" t="n"/>
      <c r="E499" s="34" t="n"/>
    </row>
    <row r="500">
      <c r="A500" s="33" t="n"/>
      <c r="B500" s="25" t="n"/>
      <c r="C500" s="25" t="n"/>
      <c r="D500" s="26" t="n"/>
      <c r="E500" s="34" t="n"/>
    </row>
    <row r="501">
      <c r="A501" s="33" t="n"/>
      <c r="B501" s="25" t="n"/>
      <c r="C501" s="25" t="n"/>
      <c r="D501" s="26" t="n"/>
      <c r="E501" s="34" t="n"/>
    </row>
    <row r="502">
      <c r="A502" s="33" t="n"/>
      <c r="B502" s="25" t="n"/>
      <c r="C502" s="25" t="n"/>
      <c r="D502" s="26" t="n"/>
      <c r="E502" s="34" t="n"/>
    </row>
    <row r="503">
      <c r="A503" s="33" t="n"/>
      <c r="B503" s="25" t="n"/>
      <c r="C503" s="25" t="n"/>
      <c r="D503" s="26" t="n"/>
      <c r="E503" s="34" t="n"/>
    </row>
  </sheetData>
  <dataValidations count="2">
    <dataValidation sqref="A4:A503" showDropDown="0" showInputMessage="0" showErrorMessage="0" allowBlank="1" type="date" operator="greaterThan">
      <formula1>DATE(2000,1,1)</formula1>
    </dataValidation>
    <dataValidation sqref="B4:B503" showDropDown="0" showInputMessage="0" showErrorMessage="0" allowBlank="1" type="list">
      <formula1>StaffList</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cols>
    <col width="24" customWidth="1" min="1" max="1"/>
    <col width="18" customWidth="1" min="3" max="3"/>
  </cols>
  <sheetData>
    <row r="1">
      <c r="A1" s="32" t="inlineStr">
        <is>
          <t>Staff names</t>
        </is>
      </c>
      <c r="C1" s="32" t="inlineStr">
        <is>
          <t>Status options</t>
        </is>
      </c>
      <c r="E1" s="35" t="inlineStr">
        <is>
          <t>Type one name per row in column A with no gaps. They appear in the 'Last updated by' and Log dropdowns automatically.</t>
        </is>
      </c>
    </row>
    <row r="2">
      <c r="A2" s="36" t="n"/>
      <c r="C2" s="25" t="inlineStr">
        <is>
          <t>Active</t>
        </is>
      </c>
    </row>
    <row r="3">
      <c r="A3" s="36" t="n"/>
      <c r="C3" s="25" t="inlineStr">
        <is>
          <t>Delivered</t>
        </is>
      </c>
    </row>
    <row r="4">
      <c r="A4" s="36" t="n"/>
      <c r="C4" s="25" t="inlineStr">
        <is>
          <t>Transferred out</t>
        </is>
      </c>
    </row>
    <row r="5">
      <c r="A5" s="36" t="n"/>
      <c r="C5" s="25" t="inlineStr">
        <is>
          <t>Care ended</t>
        </is>
      </c>
    </row>
    <row r="6">
      <c r="A6" s="36" t="n"/>
    </row>
    <row r="7">
      <c r="A7" s="36" t="n"/>
    </row>
    <row r="8">
      <c r="A8" s="36" t="n"/>
    </row>
    <row r="9">
      <c r="A9" s="36" t="n"/>
    </row>
    <row r="10">
      <c r="A10" s="36" t="n"/>
    </row>
    <row r="11">
      <c r="A11" s="36" t="n"/>
    </row>
    <row r="12">
      <c r="A12" s="36" t="n"/>
    </row>
    <row r="13">
      <c r="A13" s="36" t="n"/>
    </row>
    <row r="14">
      <c r="A14" s="36" t="n"/>
    </row>
    <row r="15">
      <c r="A15" s="36" t="n"/>
    </row>
    <row r="16">
      <c r="A16" s="36" t="n"/>
    </row>
    <row r="17">
      <c r="A17" s="36" t="n"/>
    </row>
    <row r="18">
      <c r="A18" s="36" t="n"/>
    </row>
    <row r="19">
      <c r="A19" s="36" t="n"/>
    </row>
    <row r="20">
      <c r="A20" s="36" t="n"/>
    </row>
    <row r="21">
      <c r="A21" s="36" t="n"/>
    </row>
    <row r="22">
      <c r="A22" s="36" t="n"/>
    </row>
    <row r="23">
      <c r="A23" s="36" t="n"/>
    </row>
    <row r="24">
      <c r="A24" s="36" t="n"/>
    </row>
    <row r="25">
      <c r="A25" s="36" t="n"/>
    </row>
    <row r="26">
      <c r="A26" s="36" t="n"/>
    </row>
    <row r="27">
      <c r="A27" s="36" t="n"/>
    </row>
    <row r="28">
      <c r="A28" s="36" t="n"/>
    </row>
    <row r="29">
      <c r="A29" s="36" t="n"/>
    </row>
    <row r="30">
      <c r="A30" s="36" t="n"/>
    </row>
    <row r="31">
      <c r="A31" s="36" t="n"/>
    </row>
    <row r="32">
      <c r="A32" s="36" t="n"/>
    </row>
    <row r="33">
      <c r="A33" s="36" t="n"/>
    </row>
    <row r="34">
      <c r="A34" s="36" t="n"/>
    </row>
    <row r="35">
      <c r="A35" s="36" t="n"/>
    </row>
    <row r="36">
      <c r="A36" s="36" t="n"/>
    </row>
    <row r="37">
      <c r="A37" s="36" t="n"/>
    </row>
    <row r="38">
      <c r="A38" s="36" t="n"/>
    </row>
    <row r="39">
      <c r="A39" s="36" t="n"/>
    </row>
    <row r="40">
      <c r="A40" s="36" t="n"/>
    </row>
    <row r="41">
      <c r="A41" s="36" t="n"/>
    </row>
    <row r="42">
      <c r="A42" s="36" t="n"/>
    </row>
    <row r="43">
      <c r="A43" s="36" t="n"/>
    </row>
    <row r="44">
      <c r="A44" s="36" t="n"/>
    </row>
    <row r="45">
      <c r="A45" s="36" t="n"/>
    </row>
    <row r="46">
      <c r="A46" s="36" t="n"/>
    </row>
    <row r="47">
      <c r="A47" s="36" t="n"/>
    </row>
    <row r="48">
      <c r="A48" s="36" t="n"/>
    </row>
    <row r="49">
      <c r="A49" s="36" t="n"/>
    </row>
    <row r="50">
      <c r="A50" s="36" t="n"/>
    </row>
    <row r="51">
      <c r="A51" s="36" t="n"/>
    </row>
    <row r="52">
      <c r="A52" s="36" t="n"/>
    </row>
    <row r="53">
      <c r="A53" s="36" t="n"/>
    </row>
    <row r="54">
      <c r="A54" s="36" t="n"/>
    </row>
    <row r="55">
      <c r="A55" s="36" t="n"/>
    </row>
    <row r="56">
      <c r="A56" s="36" t="n"/>
    </row>
    <row r="57">
      <c r="A57" s="36" t="n"/>
    </row>
    <row r="58">
      <c r="A58" s="36" t="n"/>
    </row>
    <row r="59">
      <c r="A59" s="36" t="n"/>
    </row>
    <row r="60">
      <c r="A60" s="36" t="n"/>
    </row>
    <row r="61">
      <c r="A61" s="36" t="n"/>
    </row>
    <row r="62">
      <c r="A62" s="36" t="n"/>
    </row>
    <row r="63">
      <c r="A63" s="36" t="n"/>
    </row>
    <row r="64">
      <c r="A64" s="36" t="n"/>
    </row>
    <row r="65">
      <c r="A65" s="36" t="n"/>
    </row>
    <row r="66">
      <c r="A66" s="36" t="n"/>
    </row>
    <row r="67">
      <c r="A67" s="36" t="n"/>
    </row>
    <row r="68">
      <c r="A68" s="36" t="n"/>
    </row>
    <row r="69">
      <c r="A69" s="36" t="n"/>
    </row>
    <row r="70">
      <c r="A70" s="36" t="n"/>
    </row>
    <row r="71">
      <c r="A71" s="36" t="n"/>
    </row>
    <row r="72">
      <c r="A72" s="36" t="n"/>
    </row>
    <row r="73">
      <c r="A73" s="36" t="n"/>
    </row>
    <row r="74">
      <c r="A74" s="36" t="n"/>
    </row>
    <row r="75">
      <c r="A75" s="36" t="n"/>
    </row>
    <row r="76">
      <c r="A76" s="36" t="n"/>
    </row>
    <row r="77">
      <c r="A77" s="36" t="n"/>
    </row>
    <row r="78">
      <c r="A78" s="36" t="n"/>
    </row>
    <row r="79">
      <c r="A79" s="36" t="n"/>
    </row>
    <row r="80">
      <c r="A80" s="36" t="n"/>
    </row>
    <row r="81">
      <c r="A81" s="36" t="n"/>
    </row>
    <row r="82">
      <c r="A82" s="36" t="n"/>
    </row>
    <row r="83">
      <c r="A83" s="36" t="n"/>
    </row>
    <row r="84">
      <c r="A84" s="36" t="n"/>
    </row>
    <row r="85">
      <c r="A85" s="36" t="n"/>
    </row>
    <row r="86">
      <c r="A86" s="36" t="n"/>
    </row>
    <row r="87">
      <c r="A87" s="36" t="n"/>
    </row>
    <row r="88">
      <c r="A88" s="36" t="n"/>
    </row>
    <row r="89">
      <c r="A89" s="36" t="n"/>
    </row>
    <row r="90">
      <c r="A90" s="36" t="n"/>
    </row>
    <row r="91">
      <c r="A91" s="36" t="n"/>
    </row>
    <row r="92">
      <c r="A92" s="36" t="n"/>
    </row>
    <row r="93">
      <c r="A93" s="36" t="n"/>
    </row>
    <row r="94">
      <c r="A94" s="36" t="n"/>
    </row>
    <row r="95">
      <c r="A95" s="36" t="n"/>
    </row>
    <row r="96">
      <c r="A96" s="36" t="n"/>
    </row>
    <row r="97">
      <c r="A97" s="36" t="n"/>
    </row>
    <row r="98">
      <c r="A98" s="36" t="n"/>
    </row>
    <row r="99">
      <c r="A99" s="36" t="n"/>
    </row>
    <row r="100">
      <c r="A100" s="36" t="n"/>
    </row>
    <row r="101">
      <c r="A101" s="36"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B40"/>
  <sheetViews>
    <sheetView workbookViewId="0">
      <selection activeCell="A1" sqref="A1"/>
    </sheetView>
  </sheetViews>
  <sheetFormatPr baseColWidth="8" defaultRowHeight="15"/>
  <cols>
    <col width="3" customWidth="1" min="1" max="1"/>
    <col width="110" customWidth="1" min="2" max="2"/>
  </cols>
  <sheetData>
    <row r="2">
      <c r="B2" s="37" t="inlineStr">
        <is>
          <t>How to use the caseload tracker</t>
        </is>
      </c>
    </row>
    <row r="3">
      <c r="B3" s="30" t="inlineStr">
        <is>
          <t>Nothing here uses macros, so it works in Excel desktop, Excel Online and Teams, including with several people editing at once.</t>
        </is>
      </c>
    </row>
    <row r="4" ht="22" customHeight="1">
      <c r="B4" s="38" t="inlineStr">
        <is>
          <t>Daily use</t>
        </is>
      </c>
    </row>
    <row r="5">
      <c r="B5" s="30" t="inlineStr">
        <is>
          <t>1. Sort or filter the 'Overdue' (last column), 'Next appt' or 'Next appt due' column to see who needs something first. The counts along the top show the totals.</t>
        </is>
      </c>
    </row>
    <row r="6">
      <c r="B6" s="30" t="inlineStr">
        <is>
          <t>2. When you change a row, pick your name in 'Last updated by'.</t>
        </is>
      </c>
    </row>
    <row r="7">
      <c r="B7" s="30" t="inlineStr">
        <is>
          <t>3. For anything more than a date, add a line to the Log tab (date, name, patient, what you did).</t>
        </is>
      </c>
    </row>
    <row r="8">
      <c r="B8" s="30" t="inlineStr">
        <is>
          <t>4. To see exactly what changed and when, use Review &gt; Show Changes (see below).</t>
        </is>
      </c>
    </row>
    <row r="9" ht="22" customHeight="1">
      <c r="B9" s="38" t="inlineStr">
        <is>
          <t>What to type where</t>
        </is>
      </c>
    </row>
    <row r="10">
      <c r="B10" s="30" t="inlineStr">
        <is>
          <t>• Patient columns (Name to Status): as now. EDD drives the gestation. Leave Status blank or set Active while pregnant. Setting Delivered, Transferred out or Care ended greys out the whole row to show it's complete, and stops its flags.</t>
        </is>
      </c>
    </row>
    <row r="11">
      <c r="B11" s="30" t="inlineStr">
        <is>
          <t>• Grey columns (Gestation, Due in 7 days, Next appt, Next appt due, Overdue) are calculated, so don't type in them.</t>
        </is>
      </c>
    </row>
    <row r="12">
      <c r="B12" s="30" t="inlineStr">
        <is>
          <t>• Booking date and appointments (16/40 to 40/40): enter each date when it's booked. 16/40 is added at booking, 25/40 at the 16/40 appointment, and so on. Empty future columns are fine.</t>
        </is>
      </c>
    </row>
    <row r="13">
      <c r="B13" s="30" t="inlineStr">
        <is>
          <t xml:space="preserve">  – An appointment only counts as attended once a later date has been entered, because the next date can only be booked at that appointment. So a past date turns green only when something is entered after it.</t>
        </is>
      </c>
    </row>
    <row r="14">
      <c r="B14" s="30" t="inlineStr">
        <is>
          <t xml:space="preserve">  – Red date: the appointment date has passed and nothing later has been entered. Either it was missed (type DNA over it) or the next appointment hasn't been booked yet (add it). 'Next appt' shows 'Missed/not booked?'.</t>
        </is>
      </c>
    </row>
    <row r="15">
      <c r="B15" s="30" t="inlineStr">
        <is>
          <t xml:space="preserve">  – Amber: the appointment is in the next 7 days. Plain: booked, more than a week away. N/A slots are skipped (e.g. 25/40 or 31/40 for multips).</t>
        </is>
      </c>
    </row>
    <row r="16">
      <c r="B16" s="30" t="inlineStr">
        <is>
          <t xml:space="preserve">  – DNA: red until a later date is entered. Either type the rebooked date over the DNA, or leave DNA in place and put the new date in the next column; the DNA then stays visible in grey.</t>
        </is>
      </c>
    </row>
    <row r="17">
      <c r="B17" s="30" t="inlineStr">
        <is>
          <t xml:space="preserve">  – 40/40 has nothing after it, so once it has passed it stays red ('Update status') until Status is changed, e.g. to Delivered.</t>
        </is>
      </c>
    </row>
    <row r="18">
      <c r="B18" s="30" t="inlineStr">
        <is>
          <t>• GTT booked, Anti-D ordered, BP fortnightly, BP weekly: enter the date it's booked or due. It turns amber within 7 days and red once the date has passed. When it's done, overwrite it with 'Done' (or 'Done 12/3 SW'), which turns it green. N/A turns it grey.</t>
        </is>
      </c>
    </row>
    <row r="19">
      <c r="B19" s="30" t="inlineStr">
        <is>
          <t>• IOL booked: Yes or No from the dropdown (Yes shows green).</t>
        </is>
      </c>
    </row>
    <row r="20">
      <c r="B20" s="30" t="inlineStr">
        <is>
          <t>• Risks: free text.</t>
        </is>
      </c>
    </row>
    <row r="21">
      <c r="B21" s="30" t="inlineStr">
        <is>
          <t>• NHS number: purple means the same number appears twice.</t>
        </is>
      </c>
    </row>
    <row r="22">
      <c r="B22" s="30" t="inlineStr">
        <is>
          <t>• EDD turns amber if it has passed and the patient is still Active, as a reminder to update Status.</t>
        </is>
      </c>
    </row>
    <row r="23" ht="22" customHeight="1">
      <c r="B23" s="38" t="inlineStr">
        <is>
          <t>Colour key</t>
        </is>
      </c>
    </row>
    <row r="24">
      <c r="B24" s="39" t="inlineStr">
        <is>
          <t>Red: appointment passed but not confirmed (nothing entered after it), DNA not yet rebooked, or an action date that has passed and isn't marked Done</t>
        </is>
      </c>
    </row>
    <row r="25">
      <c r="B25" s="40" t="inlineStr">
        <is>
          <t>Amber: due in the next 7 days</t>
        </is>
      </c>
    </row>
    <row r="26">
      <c r="B26" s="41" t="inlineStr">
        <is>
          <t>Green: appointment confirmed (a later date has been entered), action Done, or IOL Yes</t>
        </is>
      </c>
    </row>
    <row r="27">
      <c r="B27" s="42" t="inlineStr">
        <is>
          <t>Light grey: N/A</t>
        </is>
      </c>
    </row>
    <row r="28">
      <c r="B28" s="43" t="inlineStr">
        <is>
          <t>Dark grey row: Delivered, Transferred out or Care ended (complete)</t>
        </is>
      </c>
    </row>
    <row r="29" ht="22" customHeight="1">
      <c r="B29" s="38" t="inlineStr">
        <is>
          <t>Example row (format only, fictional)</t>
        </is>
      </c>
    </row>
    <row r="30">
      <c r="B30" s="30" t="inlineStr">
        <is>
          <t>Jane Example | 943 476 5919 | 02/05/1994 | G2P1 | MLC | 10/01/2027 | (Status blank) | Booking date: 18/06/2026 | 16/40: 11/08/2026 | 25/40: N/A | GTT booked: 14/10/2026 | Anti-D ordered: Done 20/09 | 28/40: 01/10/2026 | IOL booked: No | BP fortnightly: N/A | BP weekly: N/A | Risks: Previous PPH | Last updated by: (your name)</t>
        </is>
      </c>
    </row>
    <row r="31" ht="22" customHeight="1">
      <c r="B31" s="38" t="inlineStr">
        <is>
          <t>Seeing exactly who changed what</t>
        </is>
      </c>
    </row>
    <row r="32">
      <c r="B32" s="30" t="inlineStr">
        <is>
          <t>If the file is stored on SharePoint, OneDrive or Teams (not a shared drive), Excel keeps a full audit trail automatically:</t>
        </is>
      </c>
    </row>
    <row r="33">
      <c r="B33" s="30" t="inlineStr">
        <is>
          <t>• Review ▸ Show Changes lists every edit with who made it and when. Right-click a cell and choose Show Changes to see that cell's history.</t>
        </is>
      </c>
    </row>
    <row r="34">
      <c r="B34" s="30" t="inlineStr">
        <is>
          <t>• File ▸ Info ▸ Version History lets you open or restore any earlier version.</t>
        </is>
      </c>
    </row>
    <row r="35">
      <c r="B35" s="30" t="inlineStr">
        <is>
          <t>• @mentioning a colleague in a comment (Review ▸ New Comment) sends them an email.</t>
        </is>
      </c>
    </row>
    <row r="36">
      <c r="B36" s="30" t="inlineStr">
        <is>
          <t>'Last updated by' and the Log are the human-readable layer on top of that.</t>
        </is>
      </c>
    </row>
    <row r="37" ht="22" customHeight="1">
      <c r="B37" s="38" t="inlineStr">
        <is>
          <t>Adding rows</t>
        </is>
      </c>
    </row>
    <row r="38">
      <c r="B38" s="30" t="inlineStr">
        <is>
          <t>The table is pre-formatted for 400 patients. Don't insert, delete or reorder columns: the formulas and colours refer to them by position.</t>
        </is>
      </c>
    </row>
    <row r="39" ht="22" customHeight="1">
      <c r="B39" s="38" t="inlineStr">
        <is>
          <t>Information governance</t>
        </is>
      </c>
    </row>
    <row r="40">
      <c r="B40" s="30" t="inlineStr">
        <is>
          <t>This holds patient-identifiable data. Keep it in the approved team location with access limited to the team, and follow your trust's IG policy.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2026-10-12T19:13:42Z</dcterms:created>
  <dcterms:modified xmlns:dcterms="http://purl.org/dc/terms/" xmlns:xsi="http://www.w3.org/2001/XMLSchema-instance" xsi:type="dcterms:W3CDTF">2026-10-12T19:13:42Z</dcterms:modified>
</cp:coreProperties>
</file>