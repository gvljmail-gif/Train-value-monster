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5">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08080"/>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808080"/>
      <sz val="10"/>
    </font>
    <font>
      <name val="Arial"/>
      <b val="1"/>
      <color rgb="00C00000"/>
      <sz val="14"/>
    </font>
  </fonts>
  <fills count="15">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D0CECE"/>
        <bgColor rgb="00D0CECE"/>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4">
    <xf numFmtId="0" fontId="0" fillId="0" borderId="0" pivotButton="0" quotePrefix="0" xfId="0"/>
    <xf numFmtId="0" fontId="24"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pivotButton="0" quotePrefix="0" xfId="0"/>
    <xf numFmtId="0" fontId="0" fillId="8" borderId="0" pivotButton="0" quotePrefix="0" xfId="0"/>
    <xf numFmtId="0" fontId="13" fillId="10" borderId="0" pivotButton="0" quotePrefix="0" xfId="0"/>
    <xf numFmtId="0" fontId="0" fillId="10" borderId="0" pivotButton="0" quotePrefix="0" xfId="0"/>
    <xf numFmtId="0" fontId="13" fillId="11" borderId="0" pivotButton="0" quotePrefix="0" xfId="0"/>
    <xf numFmtId="0" fontId="0" fillId="11" borderId="0" pivotButton="0" quotePrefix="0" xfId="0"/>
    <xf numFmtId="0" fontId="13" fillId="12" borderId="0" pivotButton="0" quotePrefix="0" xfId="0"/>
    <xf numFmtId="0" fontId="0" fillId="12" borderId="0" pivotButton="0" quotePrefix="0" xfId="0"/>
    <xf numFmtId="0" fontId="13" fillId="13" borderId="0" pivotButton="0" quotePrefix="0" xfId="0"/>
    <xf numFmtId="0" fontId="0" fillId="13" borderId="0" pivotButton="0" quotePrefix="0" xfId="0"/>
    <xf numFmtId="0" fontId="14" fillId="9" borderId="0" applyAlignment="1" pivotButton="0" quotePrefix="0" xfId="0">
      <alignment horizontal="center" vertical="center" wrapText="1"/>
    </xf>
    <xf numFmtId="0" fontId="15" fillId="0" borderId="0" pivotButton="0" quotePrefix="0" xfId="0"/>
    <xf numFmtId="49" fontId="15" fillId="0" borderId="0" pivotButton="0" quotePrefix="0" xfId="0"/>
    <xf numFmtId="164" fontId="15" fillId="0" borderId="0" applyAlignment="1" pivotButton="0" quotePrefix="0" xfId="0">
      <alignment horizontal="center"/>
    </xf>
    <xf numFmtId="0" fontId="15" fillId="14" borderId="0" applyAlignment="1" pivotButton="0" quotePrefix="0" xfId="0">
      <alignment horizontal="center"/>
    </xf>
    <xf numFmtId="164" fontId="15" fillId="14" borderId="0" applyAlignment="1" pivotButton="0" quotePrefix="0" xfId="0">
      <alignment horizontal="center"/>
    </xf>
    <xf numFmtId="0" fontId="15" fillId="0" borderId="0" applyAlignment="1" pivotButton="0" quotePrefix="0" xfId="0">
      <alignment vertical="top" wrapText="1"/>
    </xf>
    <xf numFmtId="0" fontId="16" fillId="0" borderId="0" pivotButton="0" quotePrefix="0" xfId="0"/>
    <xf numFmtId="0" fontId="14" fillId="9" borderId="0" pivotButton="0" quotePrefix="0" xfId="0"/>
    <xf numFmtId="164" fontId="15" fillId="0" borderId="0" pivotButton="0" quotePrefix="0" xfId="0"/>
    <xf numFmtId="0" fontId="15" fillId="0" borderId="0" applyAlignment="1" pivotButton="0" quotePrefix="0" xfId="0">
      <alignment wrapText="1"/>
    </xf>
    <xf numFmtId="0" fontId="17" fillId="0" borderId="0" pivotButton="0" quotePrefix="0" xfId="0"/>
    <xf numFmtId="0" fontId="15" fillId="13" borderId="0" pivotButton="0" quotePrefix="0" xfId="0"/>
    <xf numFmtId="0" fontId="1" fillId="0" borderId="0" applyAlignment="1" pivotButton="0" quotePrefix="0" xfId="0">
      <alignment vertical="top" wrapText="1"/>
    </xf>
    <xf numFmtId="0" fontId="18" fillId="0" borderId="0" applyAlignment="1" pivotButton="0" quotePrefix="0" xfId="0">
      <alignment vertical="top" wrapText="1"/>
    </xf>
    <xf numFmtId="0" fontId="19" fillId="2" borderId="0" applyAlignment="1" pivotButton="0" quotePrefix="0" xfId="0">
      <alignment vertical="top" wrapText="1"/>
    </xf>
    <xf numFmtId="0" fontId="20" fillId="3" borderId="0" applyAlignment="1" pivotButton="0" quotePrefix="0" xfId="0">
      <alignment vertical="top" wrapText="1"/>
    </xf>
    <xf numFmtId="0" fontId="21" fillId="4" borderId="0" applyAlignment="1" pivotButton="0" quotePrefix="0" xfId="0">
      <alignment vertical="top" wrapText="1"/>
    </xf>
    <xf numFmtId="0" fontId="22" fillId="5" borderId="0" applyAlignment="1" pivotButton="0" quotePrefix="0" xfId="0">
      <alignment vertical="top" wrapText="1"/>
    </xf>
    <xf numFmtId="0" fontId="23" fillId="6" borderId="0" applyAlignment="1" pivotButton="0" quotePrefix="0" xfId="0">
      <alignment vertical="top" wrapText="1"/>
    </xf>
  </cellXfs>
  <cellStyles count="1">
    <cellStyle name="Normal" xfId="0" builtinId="0" hidden="0"/>
  </cellStyles>
  <dxfs count="9">
    <dxf>
      <font>
        <i val="1"/>
        <color rgb="00808080"/>
      </font>
      <fill>
        <patternFill patternType="solid">
          <fgColor rgb="00D0CECE"/>
          <bgColor rgb="00D0CECE"/>
        </patternFill>
      </fill>
    </dxf>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403151"/>
      </font>
      <fill>
        <patternFill patternType="solid">
          <fgColor rgb="00E4DFEC"/>
          <b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B404" headerRowCount="1">
  <autoFilter ref="A4:AB404"/>
  <tableColumns count="28">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P weekly"/>
    <tableColumn id="26" name="Risks"/>
    <tableColumn id="27" name="Last updated by"/>
    <tableColumn id="28"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B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11" customWidth="1" min="25" max="25"/>
    <col width="40" customWidth="1" min="26" max="26"/>
    <col width="15" customWidth="1" min="27" max="27"/>
    <col width="9" customWidth="1" min="28" max="28"/>
  </cols>
  <sheetData>
    <row r="1">
      <c r="A1" s="1" t="inlineStr">
        <is>
          <t>Antenatal Caseload Tracker: DEMO (fictional patients)</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COUNTIF($AB$5:$AB$404,"&gt;0")</f>
        <v/>
      </c>
      <c r="F2" s="7">
        <f>COUNTIF($I$5:$I$404,"&gt;0")</f>
        <v/>
      </c>
      <c r="L2" s="8" t="inlineStr">
        <is>
          <t>Overdue / not confirmed</t>
        </is>
      </c>
      <c r="M2" s="9" t="inlineStr">
        <is>
          <t>Due in next 7 days</t>
        </is>
      </c>
      <c r="N2" s="10" t="inlineStr">
        <is>
          <t>Confirmed / done</t>
        </is>
      </c>
      <c r="O2" s="11" t="inlineStr">
        <is>
          <t>N/A</t>
        </is>
      </c>
      <c r="P2" s="12" t="inlineStr">
        <is>
          <t>Delivered / not active</t>
        </is>
      </c>
      <c r="Q2" s="13" t="inlineStr">
        <is>
          <t>NHS no. duplicate</t>
        </is>
      </c>
    </row>
    <row r="3">
      <c r="A3" s="14" t="inlineStr">
        <is>
          <t>Patient</t>
        </is>
      </c>
      <c r="B3" s="15" t="n"/>
      <c r="C3" s="15" t="n"/>
      <c r="D3" s="15" t="n"/>
      <c r="E3" s="15" t="n"/>
      <c r="F3" s="15" t="n"/>
      <c r="G3" s="15" t="n"/>
      <c r="H3" s="16" t="inlineStr">
        <is>
          <t>Auto (don't type)</t>
        </is>
      </c>
      <c r="I3" s="17" t="n"/>
      <c r="J3" s="17" t="n"/>
      <c r="K3" s="17" t="n"/>
      <c r="L3" s="18" t="inlineStr">
        <is>
          <t>Appointments: date booked, DNA or N/A</t>
        </is>
      </c>
      <c r="M3" s="19" t="n"/>
      <c r="N3" s="19" t="n"/>
      <c r="O3" s="20" t="inlineStr">
        <is>
          <t>Actions</t>
        </is>
      </c>
      <c r="P3" s="21" t="n"/>
      <c r="Q3" s="18" t="inlineStr">
        <is>
          <t>Appointments: date booked, DNA or N/A</t>
        </is>
      </c>
      <c r="R3" s="19" t="n"/>
      <c r="S3" s="19" t="n"/>
      <c r="T3" s="19" t="n"/>
      <c r="U3" s="19" t="n"/>
      <c r="V3" s="19" t="n"/>
      <c r="W3" s="20" t="inlineStr">
        <is>
          <t>Actions</t>
        </is>
      </c>
      <c r="X3" s="21" t="n"/>
      <c r="Y3" s="21" t="n"/>
      <c r="Z3" s="22" t="inlineStr">
        <is>
          <t>Notes &amp; audit</t>
        </is>
      </c>
      <c r="AA3" s="23" t="n"/>
      <c r="AB3" s="16" t="inlineStr">
        <is>
          <t>Auto (don't type)</t>
        </is>
      </c>
    </row>
    <row r="4" ht="30" customHeight="1">
      <c r="A4" s="24" t="inlineStr">
        <is>
          <t>Name</t>
        </is>
      </c>
      <c r="B4" s="24" t="inlineStr">
        <is>
          <t>NHS number</t>
        </is>
      </c>
      <c r="C4" s="24" t="inlineStr">
        <is>
          <t>DOB</t>
        </is>
      </c>
      <c r="D4" s="24" t="inlineStr">
        <is>
          <t>Parity</t>
        </is>
      </c>
      <c r="E4" s="24" t="inlineStr">
        <is>
          <t>MLC/CLC</t>
        </is>
      </c>
      <c r="F4" s="24" t="inlineStr">
        <is>
          <t>EDD</t>
        </is>
      </c>
      <c r="G4" s="24" t="inlineStr">
        <is>
          <t>Status</t>
        </is>
      </c>
      <c r="H4" s="24" t="inlineStr">
        <is>
          <t>Gestation today</t>
        </is>
      </c>
      <c r="I4" s="24" t="inlineStr">
        <is>
          <t>Due in 7 days</t>
        </is>
      </c>
      <c r="J4" s="24" t="inlineStr">
        <is>
          <t>Next appt</t>
        </is>
      </c>
      <c r="K4" s="24" t="inlineStr">
        <is>
          <t>Next appt due</t>
        </is>
      </c>
      <c r="L4" s="24" t="inlineStr">
        <is>
          <t>Booking date</t>
        </is>
      </c>
      <c r="M4" s="24" t="inlineStr">
        <is>
          <t>16/40</t>
        </is>
      </c>
      <c r="N4" s="24" t="inlineStr">
        <is>
          <t>25/40</t>
        </is>
      </c>
      <c r="O4" s="24" t="inlineStr">
        <is>
          <t>GTT booked</t>
        </is>
      </c>
      <c r="P4" s="24" t="inlineStr">
        <is>
          <t>Anti-D ordered</t>
        </is>
      </c>
      <c r="Q4" s="24" t="inlineStr">
        <is>
          <t>28/40</t>
        </is>
      </c>
      <c r="R4" s="24" t="inlineStr">
        <is>
          <t>31/40</t>
        </is>
      </c>
      <c r="S4" s="24" t="inlineStr">
        <is>
          <t>34/40</t>
        </is>
      </c>
      <c r="T4" s="24" t="inlineStr">
        <is>
          <t>36/40</t>
        </is>
      </c>
      <c r="U4" s="24" t="inlineStr">
        <is>
          <t>38/40</t>
        </is>
      </c>
      <c r="V4" s="24" t="inlineStr">
        <is>
          <t>40/40</t>
        </is>
      </c>
      <c r="W4" s="24" t="inlineStr">
        <is>
          <t>IOL booked</t>
        </is>
      </c>
      <c r="X4" s="24" t="inlineStr">
        <is>
          <t>BP fortnightly</t>
        </is>
      </c>
      <c r="Y4" s="24" t="inlineStr">
        <is>
          <t>BP weekly</t>
        </is>
      </c>
      <c r="Z4" s="24" t="inlineStr">
        <is>
          <t>Risks</t>
        </is>
      </c>
      <c r="AA4" s="24" t="inlineStr">
        <is>
          <t>Last updated by</t>
        </is>
      </c>
      <c r="AB4" s="24" t="inlineStr">
        <is>
          <t>Overdue</t>
        </is>
      </c>
    </row>
    <row r="5">
      <c r="A5" s="25" t="inlineStr">
        <is>
          <t>Amelia Hart</t>
        </is>
      </c>
      <c r="B5" s="26" t="inlineStr">
        <is>
          <t>9993982598</t>
        </is>
      </c>
      <c r="C5" s="27" t="n">
        <v>34772</v>
      </c>
      <c r="D5" s="25" t="inlineStr">
        <is>
          <t>G1P0</t>
        </is>
      </c>
      <c r="E5" s="25" t="inlineStr">
        <is>
          <t>MLC</t>
        </is>
      </c>
      <c r="F5" s="27">
        <f>TODAY()+70</f>
        <v/>
      </c>
      <c r="G5" s="25" t="n"/>
      <c r="H5" s="28">
        <f>IF(OR(NOT(AND($A5&lt;&gt;"",OR($G5="",$G5="Active"))),$F5=""),"",INT((TODAY()-$F5+280)/7)&amp;"+"&amp;MOD(TODAY()-$F5+280,7))</f>
        <v/>
      </c>
      <c r="I5" s="28">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ISNUMBER($Y5)*($Y5&gt;=TODAY())*($Y5&lt;=TODAY()+7))</f>
        <v/>
      </c>
      <c r="J5" s="28">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29">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7">
        <f>TODAY()-140</f>
        <v/>
      </c>
      <c r="M5" s="27">
        <f>TODAY()-98</f>
        <v/>
      </c>
      <c r="N5" s="27">
        <f>TODAY()-35</f>
        <v/>
      </c>
      <c r="O5" s="27" t="inlineStr">
        <is>
          <t>Done 02/09</t>
        </is>
      </c>
      <c r="P5" s="27" t="inlineStr">
        <is>
          <t>N/A</t>
        </is>
      </c>
      <c r="Q5" s="27">
        <f>TODAY()-14</f>
        <v/>
      </c>
      <c r="R5" s="27">
        <f>TODAY()+7</f>
        <v/>
      </c>
      <c r="S5" s="27" t="n"/>
      <c r="T5" s="27" t="n"/>
      <c r="U5" s="27" t="n"/>
      <c r="V5" s="27" t="n"/>
      <c r="W5" s="27" t="n"/>
      <c r="X5" s="27" t="inlineStr">
        <is>
          <t>N/A</t>
        </is>
      </c>
      <c r="Y5" s="27" t="n"/>
      <c r="Z5" s="30" t="inlineStr">
        <is>
          <t>None identified</t>
        </is>
      </c>
      <c r="AA5" s="25" t="inlineStr">
        <is>
          <t>Sarah Jones</t>
        </is>
      </c>
      <c r="AB5" s="28">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ISNUMBER($Y5)*($Y5&lt;TODAY()))</f>
        <v/>
      </c>
    </row>
    <row r="6">
      <c r="A6" s="25" t="inlineStr">
        <is>
          <t>Bethany Clarke</t>
        </is>
      </c>
      <c r="B6" s="26" t="inlineStr">
        <is>
          <t>9997919076</t>
        </is>
      </c>
      <c r="C6" s="27" t="n">
        <v>33056</v>
      </c>
      <c r="D6" s="25" t="inlineStr">
        <is>
          <t>G2P1</t>
        </is>
      </c>
      <c r="E6" s="25" t="inlineStr">
        <is>
          <t>MLC</t>
        </is>
      </c>
      <c r="F6" s="27">
        <f>TODAY()+98</f>
        <v/>
      </c>
      <c r="G6" s="25" t="n"/>
      <c r="H6" s="28">
        <f>IF(OR(NOT(AND($A6&lt;&gt;"",OR($G6="",$G6="Active"))),$F6=""),"",INT((TODAY()-$F6+280)/7)&amp;"+"&amp;MOD(TODAY()-$F6+280,7))</f>
        <v/>
      </c>
      <c r="I6" s="28">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ISNUMBER($Y6)*($Y6&gt;=TODAY())*($Y6&lt;=TODAY()+7))</f>
        <v/>
      </c>
      <c r="J6" s="28">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29">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7">
        <f>TODAY()-119</f>
        <v/>
      </c>
      <c r="M6" s="27">
        <f>TODAY()-70</f>
        <v/>
      </c>
      <c r="N6" s="27" t="inlineStr">
        <is>
          <t>N/A</t>
        </is>
      </c>
      <c r="O6" s="27">
        <f>TODAY()+3</f>
        <v/>
      </c>
      <c r="P6" s="27" t="inlineStr">
        <is>
          <t>N/A</t>
        </is>
      </c>
      <c r="Q6" s="27">
        <f>TODAY()+14</f>
        <v/>
      </c>
      <c r="R6" s="27" t="n"/>
      <c r="S6" s="27" t="n"/>
      <c r="T6" s="27" t="n"/>
      <c r="U6" s="27" t="n"/>
      <c r="V6" s="27" t="n"/>
      <c r="W6" s="27" t="n"/>
      <c r="X6" s="27" t="n"/>
      <c r="Y6" s="27" t="n"/>
      <c r="Z6" s="30" t="inlineStr">
        <is>
          <t>Previous GDM</t>
        </is>
      </c>
      <c r="AA6" s="25" t="inlineStr">
        <is>
          <t>Priya Kaur</t>
        </is>
      </c>
      <c r="AB6" s="28">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ISNUMBER($Y6)*($Y6&lt;TODAY()))</f>
        <v/>
      </c>
    </row>
    <row r="7">
      <c r="A7" s="25" t="inlineStr">
        <is>
          <t>Chloe Ahmed</t>
        </is>
      </c>
      <c r="B7" s="26" t="inlineStr">
        <is>
          <t>9994833782</t>
        </is>
      </c>
      <c r="C7" s="27" t="n">
        <v>36119</v>
      </c>
      <c r="D7" s="25" t="inlineStr">
        <is>
          <t>G1P0</t>
        </is>
      </c>
      <c r="E7" s="25" t="inlineStr">
        <is>
          <t>CLC</t>
        </is>
      </c>
      <c r="F7" s="27">
        <f>TODAY()+77</f>
        <v/>
      </c>
      <c r="G7" s="25" t="n"/>
      <c r="H7" s="28">
        <f>IF(OR(NOT(AND($A7&lt;&gt;"",OR($G7="",$G7="Active"))),$F7=""),"",INT((TODAY()-$F7+280)/7)&amp;"+"&amp;MOD(TODAY()-$F7+280,7))</f>
        <v/>
      </c>
      <c r="I7" s="28">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ISNUMBER($Y7)*($Y7&gt;=TODAY())*($Y7&lt;=TODAY()+7))</f>
        <v/>
      </c>
      <c r="J7" s="28">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29">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7">
        <f>TODAY()-126</f>
        <v/>
      </c>
      <c r="M7" s="27">
        <f>TODAY()-91</f>
        <v/>
      </c>
      <c r="N7" s="27">
        <f>TODAY()-28</f>
        <v/>
      </c>
      <c r="O7" s="27">
        <f>TODAY()-3</f>
        <v/>
      </c>
      <c r="P7" s="27" t="n"/>
      <c r="Q7" s="27">
        <f>TODAY()-7</f>
        <v/>
      </c>
      <c r="R7" s="27" t="n"/>
      <c r="S7" s="27" t="n"/>
      <c r="T7" s="27" t="n"/>
      <c r="U7" s="27" t="n"/>
      <c r="V7" s="27" t="n"/>
      <c r="W7" s="27" t="n"/>
      <c r="X7" s="27" t="n"/>
      <c r="Y7" s="27">
        <f>TODAY()+2</f>
        <v/>
      </c>
      <c r="Z7" s="30" t="inlineStr">
        <is>
          <t>Raised BP at 25/40 - PET risk</t>
        </is>
      </c>
      <c r="AA7" s="25" t="inlineStr">
        <is>
          <t>Emma Lawson</t>
        </is>
      </c>
      <c r="AB7" s="28">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ISNUMBER($Y7)*($Y7&lt;TODAY()))</f>
        <v/>
      </c>
    </row>
    <row r="8">
      <c r="A8" s="25" t="inlineStr">
        <is>
          <t>Daisy Okafor</t>
        </is>
      </c>
      <c r="B8" s="26" t="inlineStr">
        <is>
          <t>9998762324</t>
        </is>
      </c>
      <c r="C8" s="27" t="n">
        <v>32151</v>
      </c>
      <c r="D8" s="25" t="inlineStr">
        <is>
          <t>G3P2</t>
        </is>
      </c>
      <c r="E8" s="25" t="inlineStr">
        <is>
          <t>CLC</t>
        </is>
      </c>
      <c r="F8" s="27">
        <f>TODAY()+42</f>
        <v/>
      </c>
      <c r="G8" s="25" t="n"/>
      <c r="H8" s="28">
        <f>IF(OR(NOT(AND($A8&lt;&gt;"",OR($G8="",$G8="Active"))),$F8=""),"",INT((TODAY()-$F8+280)/7)&amp;"+"&amp;MOD(TODAY()-$F8+280,7))</f>
        <v/>
      </c>
      <c r="I8" s="28">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ISNUMBER($Y8)*($Y8&gt;=TODAY())*($Y8&lt;=TODAY()+7))</f>
        <v/>
      </c>
      <c r="J8" s="28">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29">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7">
        <f>TODAY()-168</f>
        <v/>
      </c>
      <c r="M8" s="27">
        <f>TODAY()-126</f>
        <v/>
      </c>
      <c r="N8" s="27" t="inlineStr">
        <is>
          <t>N/A</t>
        </is>
      </c>
      <c r="O8" s="27" t="n"/>
      <c r="P8" s="27" t="inlineStr">
        <is>
          <t>Done 20/08</t>
        </is>
      </c>
      <c r="Q8" s="27">
        <f>TODAY()-42</f>
        <v/>
      </c>
      <c r="R8" s="27" t="inlineStr">
        <is>
          <t>N/A</t>
        </is>
      </c>
      <c r="S8" s="27" t="inlineStr">
        <is>
          <t>DNA</t>
        </is>
      </c>
      <c r="T8" s="27" t="n"/>
      <c r="U8" s="27" t="n"/>
      <c r="V8" s="27" t="n"/>
      <c r="W8" s="27" t="n"/>
      <c r="X8" s="27" t="n"/>
      <c r="Y8" s="27" t="n"/>
      <c r="Z8" s="30" t="inlineStr">
        <is>
          <t>Rh negative. Safeguarding</t>
        </is>
      </c>
      <c r="AA8" s="25" t="inlineStr">
        <is>
          <t>Nadia Brooks</t>
        </is>
      </c>
      <c r="AB8" s="28">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ISNUMBER($Y8)*($Y8&lt;TODAY()))</f>
        <v/>
      </c>
    </row>
    <row r="9">
      <c r="A9" s="25" t="inlineStr">
        <is>
          <t>Ella Morgan</t>
        </is>
      </c>
      <c r="B9" s="26" t="inlineStr">
        <is>
          <t>9998601290</t>
        </is>
      </c>
      <c r="C9" s="27" t="n">
        <v>35215</v>
      </c>
      <c r="D9" s="25" t="inlineStr">
        <is>
          <t>G1P0</t>
        </is>
      </c>
      <c r="E9" s="25" t="inlineStr">
        <is>
          <t>MLC</t>
        </is>
      </c>
      <c r="F9" s="27">
        <f>TODAY()+35</f>
        <v/>
      </c>
      <c r="G9" s="25" t="n"/>
      <c r="H9" s="28">
        <f>IF(OR(NOT(AND($A9&lt;&gt;"",OR($G9="",$G9="Active"))),$F9=""),"",INT((TODAY()-$F9+280)/7)&amp;"+"&amp;MOD(TODAY()-$F9+280,7))</f>
        <v/>
      </c>
      <c r="I9" s="28">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ISNUMBER($Y9)*($Y9&gt;=TODAY())*($Y9&lt;=TODAY()+7))</f>
        <v/>
      </c>
      <c r="J9" s="28">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29">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7">
        <f>TODAY()-182</f>
        <v/>
      </c>
      <c r="M9" s="27">
        <f>TODAY()-133</f>
        <v/>
      </c>
      <c r="N9" s="27">
        <f>TODAY()-70</f>
        <v/>
      </c>
      <c r="O9" s="27" t="inlineStr">
        <is>
          <t>N/A</t>
        </is>
      </c>
      <c r="P9" s="27" t="n"/>
      <c r="Q9" s="27">
        <f>TODAY()-49</f>
        <v/>
      </c>
      <c r="R9" s="27">
        <f>TODAY()-28</f>
        <v/>
      </c>
      <c r="S9" s="27" t="inlineStr">
        <is>
          <t>DNA</t>
        </is>
      </c>
      <c r="T9" s="27">
        <f>TODAY()+7</f>
        <v/>
      </c>
      <c r="U9" s="27" t="n"/>
      <c r="V9" s="27" t="n"/>
      <c r="W9" s="27" t="n"/>
      <c r="X9" s="27">
        <f>TODAY()+6</f>
        <v/>
      </c>
      <c r="Y9" s="27" t="n"/>
      <c r="Z9" s="30" t="inlineStr">
        <is>
          <t>BMI 38</t>
        </is>
      </c>
      <c r="AA9" s="25" t="inlineStr">
        <is>
          <t>Sarah Jones</t>
        </is>
      </c>
      <c r="AB9" s="28">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ISNUMBER($Y9)*($Y9&lt;TODAY()))</f>
        <v/>
      </c>
    </row>
    <row r="10">
      <c r="A10" s="25" t="inlineStr">
        <is>
          <t>Freya Wilson</t>
        </is>
      </c>
      <c r="B10" s="26" t="inlineStr">
        <is>
          <t>9990404798</t>
        </is>
      </c>
      <c r="C10" s="27" t="n">
        <v>34224</v>
      </c>
      <c r="D10" s="25" t="inlineStr">
        <is>
          <t>G2P1</t>
        </is>
      </c>
      <c r="E10" s="25" t="inlineStr">
        <is>
          <t>MLC</t>
        </is>
      </c>
      <c r="F10" s="27">
        <f>TODAY()+196</f>
        <v/>
      </c>
      <c r="G10" s="25" t="n"/>
      <c r="H10" s="28">
        <f>IF(OR(NOT(AND($A10&lt;&gt;"",OR($G10="",$G10="Active"))),$F10=""),"",INT((TODAY()-$F10+280)/7)&amp;"+"&amp;MOD(TODAY()-$F10+280,7))</f>
        <v/>
      </c>
      <c r="I10" s="28">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ISNUMBER($Y10)*($Y10&gt;=TODAY())*($Y10&lt;=TODAY()+7))</f>
        <v/>
      </c>
      <c r="J10" s="28">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29">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7">
        <f>TODAY()-18</f>
        <v/>
      </c>
      <c r="M10" s="27" t="n"/>
      <c r="N10" s="27" t="n"/>
      <c r="O10" s="27" t="n"/>
      <c r="P10" s="27" t="n"/>
      <c r="Q10" s="27" t="n"/>
      <c r="R10" s="27" t="n"/>
      <c r="S10" s="27" t="n"/>
      <c r="T10" s="27" t="n"/>
      <c r="U10" s="27" t="n"/>
      <c r="V10" s="27" t="n"/>
      <c r="W10" s="27" t="n"/>
      <c r="X10" s="27" t="n"/>
      <c r="Y10" s="27" t="n"/>
      <c r="Z10" s="30" t="inlineStr">
        <is>
          <t>Previous LSCS</t>
        </is>
      </c>
      <c r="AA10" s="25" t="inlineStr">
        <is>
          <t>Priya Kaur</t>
        </is>
      </c>
      <c r="AB10" s="28">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ISNUMBER($Y10)*($Y10&lt;TODAY()))</f>
        <v/>
      </c>
    </row>
    <row r="11">
      <c r="A11" s="25" t="inlineStr">
        <is>
          <t>Grace Patel</t>
        </is>
      </c>
      <c r="B11" s="26" t="inlineStr">
        <is>
          <t>9996669726</t>
        </is>
      </c>
      <c r="C11" s="27" t="n">
        <v>36581</v>
      </c>
      <c r="D11" s="25" t="inlineStr">
        <is>
          <t>G1P0</t>
        </is>
      </c>
      <c r="E11" s="25" t="inlineStr">
        <is>
          <t>MLC</t>
        </is>
      </c>
      <c r="F11" s="27">
        <f>TODAY()+217</f>
        <v/>
      </c>
      <c r="G11" s="25" t="n"/>
      <c r="H11" s="28">
        <f>IF(OR(NOT(AND($A11&lt;&gt;"",OR($G11="",$G11="Active"))),$F11=""),"",INT((TODAY()-$F11+280)/7)&amp;"+"&amp;MOD(TODAY()-$F11+280,7))</f>
        <v/>
      </c>
      <c r="I11" s="28">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ISNUMBER($Y11)*($Y11&gt;=TODAY())*($Y11&lt;=TODAY()+7))</f>
        <v/>
      </c>
      <c r="J11" s="28">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29">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7">
        <f>TODAY()+4</f>
        <v/>
      </c>
      <c r="M11" s="27" t="n"/>
      <c r="N11" s="27" t="n"/>
      <c r="O11" s="27" t="n"/>
      <c r="P11" s="27" t="n"/>
      <c r="Q11" s="27" t="n"/>
      <c r="R11" s="27" t="n"/>
      <c r="S11" s="27" t="n"/>
      <c r="T11" s="27" t="n"/>
      <c r="U11" s="27" t="n"/>
      <c r="V11" s="27" t="n"/>
      <c r="W11" s="27" t="n"/>
      <c r="X11" s="27" t="n"/>
      <c r="Y11" s="27" t="n"/>
      <c r="Z11" s="30" t="inlineStr">
        <is>
          <t>Awaiting booking</t>
        </is>
      </c>
      <c r="AA11" s="25" t="inlineStr">
        <is>
          <t>Emma Lawson</t>
        </is>
      </c>
      <c r="AB11" s="28">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ISNUMBER($Y11)*($Y11&lt;TODAY()))</f>
        <v/>
      </c>
    </row>
    <row r="12">
      <c r="A12" s="25" t="inlineStr">
        <is>
          <t>Hannah Lewis</t>
        </is>
      </c>
      <c r="B12" s="26" t="inlineStr">
        <is>
          <t>9995102730</t>
        </is>
      </c>
      <c r="C12" s="27" t="n">
        <v>33575</v>
      </c>
      <c r="D12" s="25" t="inlineStr">
        <is>
          <t>G2P1</t>
        </is>
      </c>
      <c r="E12" s="25" t="inlineStr">
        <is>
          <t>CLC</t>
        </is>
      </c>
      <c r="F12" s="27">
        <f>TODAY()+7</f>
        <v/>
      </c>
      <c r="G12" s="25" t="n"/>
      <c r="H12" s="28">
        <f>IF(OR(NOT(AND($A12&lt;&gt;"",OR($G12="",$G12="Active"))),$F12=""),"",INT((TODAY()-$F12+280)/7)&amp;"+"&amp;MOD(TODAY()-$F12+280,7))</f>
        <v/>
      </c>
      <c r="I12" s="28">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ISNUMBER($Y12)*($Y12&gt;=TODAY())*($Y12&lt;=TODAY()+7))</f>
        <v/>
      </c>
      <c r="J12" s="28">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29">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7">
        <f>TODAY()-217</f>
        <v/>
      </c>
      <c r="M12" s="27">
        <f>TODAY()-161</f>
        <v/>
      </c>
      <c r="N12" s="27" t="inlineStr">
        <is>
          <t>N/A</t>
        </is>
      </c>
      <c r="O12" s="27" t="n"/>
      <c r="P12" s="27" t="inlineStr">
        <is>
          <t>N/A</t>
        </is>
      </c>
      <c r="Q12" s="27">
        <f>TODAY()-77</f>
        <v/>
      </c>
      <c r="R12" s="27" t="inlineStr">
        <is>
          <t>N/A</t>
        </is>
      </c>
      <c r="S12" s="27">
        <f>TODAY()-35</f>
        <v/>
      </c>
      <c r="T12" s="27">
        <f>TODAY()-21</f>
        <v/>
      </c>
      <c r="U12" s="27">
        <f>TODAY()-7</f>
        <v/>
      </c>
      <c r="V12" s="27">
        <f>TODAY()+7</f>
        <v/>
      </c>
      <c r="W12" s="27" t="inlineStr">
        <is>
          <t>Yes</t>
        </is>
      </c>
      <c r="X12" s="27" t="n"/>
      <c r="Y12" s="27" t="n"/>
      <c r="Z12" s="30" t="inlineStr">
        <is>
          <t>Age 40+. IOL booked</t>
        </is>
      </c>
      <c r="AA12" s="25" t="inlineStr">
        <is>
          <t>Nadia Brooks</t>
        </is>
      </c>
      <c r="AB12" s="28">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ISNUMBER($Y12)*($Y12&lt;TODAY()))</f>
        <v/>
      </c>
    </row>
    <row r="13">
      <c r="A13" s="25" t="inlineStr">
        <is>
          <t>Isla Thompson</t>
        </is>
      </c>
      <c r="B13" s="26" t="inlineStr">
        <is>
          <t>9994646869</t>
        </is>
      </c>
      <c r="C13" s="27" t="n">
        <v>34442</v>
      </c>
      <c r="D13" s="25" t="inlineStr">
        <is>
          <t>G1P0</t>
        </is>
      </c>
      <c r="E13" s="25" t="inlineStr">
        <is>
          <t>CLC</t>
        </is>
      </c>
      <c r="F13" s="27">
        <f>TODAY()-7</f>
        <v/>
      </c>
      <c r="G13" s="25" t="n"/>
      <c r="H13" s="28">
        <f>IF(OR(NOT(AND($A13&lt;&gt;"",OR($G13="",$G13="Active"))),$F13=""),"",INT((TODAY()-$F13+280)/7)&amp;"+"&amp;MOD(TODAY()-$F13+280,7))</f>
        <v/>
      </c>
      <c r="I13" s="28">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ISNUMBER($Y13)*($Y13&gt;=TODAY())*($Y13&lt;=TODAY()+7))</f>
        <v/>
      </c>
      <c r="J13" s="28">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29">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7">
        <f>TODAY()-217</f>
        <v/>
      </c>
      <c r="M13" s="27">
        <f>TODAY()-175</f>
        <v/>
      </c>
      <c r="N13" s="27">
        <f>TODAY()-112</f>
        <v/>
      </c>
      <c r="O13" s="27" t="n"/>
      <c r="P13" s="27" t="n"/>
      <c r="Q13" s="27">
        <f>TODAY()-91</f>
        <v/>
      </c>
      <c r="R13" s="27">
        <f>TODAY()-70</f>
        <v/>
      </c>
      <c r="S13" s="27">
        <f>TODAY()-49</f>
        <v/>
      </c>
      <c r="T13" s="27">
        <f>TODAY()-35</f>
        <v/>
      </c>
      <c r="U13" s="27">
        <f>TODAY()-21</f>
        <v/>
      </c>
      <c r="V13" s="27">
        <f>TODAY()-7</f>
        <v/>
      </c>
      <c r="W13" s="27" t="inlineStr">
        <is>
          <t>No</t>
        </is>
      </c>
      <c r="X13" s="27" t="n"/>
      <c r="Y13" s="27" t="n"/>
      <c r="Z13" s="30" t="inlineStr">
        <is>
          <t>Past 40/40 - check if delivered</t>
        </is>
      </c>
      <c r="AA13" s="25" t="inlineStr">
        <is>
          <t>Sarah Jones</t>
        </is>
      </c>
      <c r="AB13" s="28">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ISNUMBER($Y13)*($Y13&lt;TODAY()))</f>
        <v/>
      </c>
    </row>
    <row r="14">
      <c r="A14" s="25" t="inlineStr">
        <is>
          <t>Jasmine Evans</t>
        </is>
      </c>
      <c r="B14" s="26" t="inlineStr">
        <is>
          <t>9999589693</t>
        </is>
      </c>
      <c r="C14" s="27" t="n">
        <v>32728</v>
      </c>
      <c r="D14" s="25" t="inlineStr">
        <is>
          <t>G2P1</t>
        </is>
      </c>
      <c r="E14" s="25" t="inlineStr">
        <is>
          <t>MLC</t>
        </is>
      </c>
      <c r="F14" s="27">
        <f>TODAY()-21</f>
        <v/>
      </c>
      <c r="G14" s="25" t="inlineStr">
        <is>
          <t>Delivered</t>
        </is>
      </c>
      <c r="H14" s="28">
        <f>IF(OR(NOT(AND($A14&lt;&gt;"",OR($G14="",$G14="Active"))),$F14=""),"",INT((TODAY()-$F14+280)/7)&amp;"+"&amp;MOD(TODAY()-$F14+280,7))</f>
        <v/>
      </c>
      <c r="I14" s="28">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ISNUMBER($Y14)*($Y14&gt;=TODAY())*($Y14&lt;=TODAY()+7))</f>
        <v/>
      </c>
      <c r="J14" s="28">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29">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7">
        <f>TODAY()-231</f>
        <v/>
      </c>
      <c r="M14" s="27">
        <f>TODAY()-189</f>
        <v/>
      </c>
      <c r="N14" s="27" t="inlineStr">
        <is>
          <t>N/A</t>
        </is>
      </c>
      <c r="O14" s="27" t="n"/>
      <c r="P14" s="27" t="n"/>
      <c r="Q14" s="27">
        <f>TODAY()-105</f>
        <v/>
      </c>
      <c r="R14" s="27" t="inlineStr">
        <is>
          <t>N/A</t>
        </is>
      </c>
      <c r="S14" s="27">
        <f>TODAY()-63</f>
        <v/>
      </c>
      <c r="T14" s="27">
        <f>TODAY()-49</f>
        <v/>
      </c>
      <c r="U14" s="27">
        <f>TODAY()-35</f>
        <v/>
      </c>
      <c r="V14" s="27" t="n"/>
      <c r="W14" s="27" t="inlineStr">
        <is>
          <t>No</t>
        </is>
      </c>
      <c r="X14" s="27" t="n"/>
      <c r="Y14" s="27" t="n"/>
      <c r="Z14" s="30" t="inlineStr">
        <is>
          <t>Delivered 39+2</t>
        </is>
      </c>
      <c r="AA14" s="25" t="inlineStr">
        <is>
          <t>Emma Lawson</t>
        </is>
      </c>
      <c r="AB14" s="28">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ISNUMBER($Y14)*($Y14&lt;TODAY()))</f>
        <v/>
      </c>
    </row>
    <row r="15">
      <c r="A15" s="25" t="inlineStr">
        <is>
          <t>Katie Brown</t>
        </is>
      </c>
      <c r="B15" s="26" t="inlineStr">
        <is>
          <t>9993504921</t>
        </is>
      </c>
      <c r="C15" s="27" t="n">
        <v>35602</v>
      </c>
      <c r="D15" s="25" t="inlineStr">
        <is>
          <t>G2P1</t>
        </is>
      </c>
      <c r="E15" s="25" t="inlineStr">
        <is>
          <t>MLC</t>
        </is>
      </c>
      <c r="F15" s="27">
        <f>TODAY()+140</f>
        <v/>
      </c>
      <c r="G15" s="25" t="n"/>
      <c r="H15" s="28">
        <f>IF(OR(NOT(AND($A15&lt;&gt;"",OR($G15="",$G15="Active"))),$F15=""),"",INT((TODAY()-$F15+280)/7)&amp;"+"&amp;MOD(TODAY()-$F15+280,7))</f>
        <v/>
      </c>
      <c r="I15" s="28">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ISNUMBER($Y15)*($Y15&gt;=TODAY())*($Y15&lt;=TODAY()+7))</f>
        <v/>
      </c>
      <c r="J15" s="28">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29">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7">
        <f>TODAY()-77</f>
        <v/>
      </c>
      <c r="M15" s="27">
        <f>TODAY()-28</f>
        <v/>
      </c>
      <c r="N15" s="27" t="inlineStr">
        <is>
          <t>N/A</t>
        </is>
      </c>
      <c r="O15" s="27" t="n"/>
      <c r="P15" s="27" t="n"/>
      <c r="Q15" s="27">
        <f>TODAY()+56</f>
        <v/>
      </c>
      <c r="R15" s="27" t="n"/>
      <c r="S15" s="27" t="n"/>
      <c r="T15" s="27" t="n"/>
      <c r="U15" s="27" t="n"/>
      <c r="V15" s="27" t="n"/>
      <c r="W15" s="27" t="n"/>
      <c r="X15" s="27" t="n"/>
      <c r="Y15" s="27" t="n"/>
      <c r="Z15" s="30" t="inlineStr">
        <is>
          <t>None identified</t>
        </is>
      </c>
      <c r="AA15" s="25" t="inlineStr">
        <is>
          <t>Priya Kaur</t>
        </is>
      </c>
      <c r="AB15" s="28">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ISNUMBER($Y15)*($Y15&lt;TODAY()))</f>
        <v/>
      </c>
    </row>
    <row r="16">
      <c r="A16" s="25" t="inlineStr">
        <is>
          <t>Lucy Hughes</t>
        </is>
      </c>
      <c r="B16" s="26" t="inlineStr">
        <is>
          <t>9997919076</t>
        </is>
      </c>
      <c r="C16" s="27" t="n">
        <v>36438</v>
      </c>
      <c r="D16" s="25" t="inlineStr">
        <is>
          <t>G1P0</t>
        </is>
      </c>
      <c r="E16" s="25" t="inlineStr">
        <is>
          <t>MLC</t>
        </is>
      </c>
      <c r="F16" s="27">
        <f>TODAY()+119</f>
        <v/>
      </c>
      <c r="G16" s="25" t="n"/>
      <c r="H16" s="28">
        <f>IF(OR(NOT(AND($A16&lt;&gt;"",OR($G16="",$G16="Active"))),$F16=""),"",INT((TODAY()-$F16+280)/7)&amp;"+"&amp;MOD(TODAY()-$F16+280,7))</f>
        <v/>
      </c>
      <c r="I16" s="28">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ISNUMBER($Y16)*($Y16&gt;=TODAY())*($Y16&lt;=TODAY()+7))</f>
        <v/>
      </c>
      <c r="J16" s="28">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29">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7">
        <f>TODAY()-91</f>
        <v/>
      </c>
      <c r="M16" s="27">
        <f>TODAY()-49</f>
        <v/>
      </c>
      <c r="N16" s="27">
        <f>TODAY()+14</f>
        <v/>
      </c>
      <c r="O16" s="27" t="n"/>
      <c r="P16" s="27" t="n"/>
      <c r="Q16" s="27" t="n"/>
      <c r="R16" s="27" t="n"/>
      <c r="S16" s="27" t="n"/>
      <c r="T16" s="27" t="n"/>
      <c r="U16" s="27" t="n"/>
      <c r="V16" s="27" t="n"/>
      <c r="W16" s="27" t="n"/>
      <c r="X16" s="27" t="n"/>
      <c r="Y16" s="27" t="n"/>
      <c r="Z16" s="30" t="inlineStr">
        <is>
          <t>NHS no. same as Bethany Clarke (shows purple)</t>
        </is>
      </c>
      <c r="AA16" s="25" t="inlineStr">
        <is>
          <t>Nadia Brooks</t>
        </is>
      </c>
      <c r="AB16" s="28">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ISNUMBER($Y16)*($Y16&lt;TODAY()))</f>
        <v/>
      </c>
    </row>
    <row r="17">
      <c r="A17" s="25" t="n"/>
      <c r="B17" s="26" t="n"/>
      <c r="C17" s="27" t="n"/>
      <c r="D17" s="25" t="n"/>
      <c r="E17" s="25" t="n"/>
      <c r="F17" s="27" t="n"/>
      <c r="G17" s="25" t="n"/>
      <c r="H17" s="28">
        <f>IF(OR(NOT(AND($A17&lt;&gt;"",OR($G17="",$G17="Active"))),$F17=""),"",INT((TODAY()-$F17+280)/7)&amp;"+"&amp;MOD(TODAY()-$F17+280,7))</f>
        <v/>
      </c>
      <c r="I17" s="28">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ISNUMBER($Y17)*($Y17&gt;=TODAY())*($Y17&lt;=TODAY()+7))</f>
        <v/>
      </c>
      <c r="J17" s="28">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29">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7" t="n"/>
      <c r="M17" s="27" t="n"/>
      <c r="N17" s="27" t="n"/>
      <c r="O17" s="27" t="n"/>
      <c r="P17" s="27" t="n"/>
      <c r="Q17" s="27" t="n"/>
      <c r="R17" s="27" t="n"/>
      <c r="S17" s="27" t="n"/>
      <c r="T17" s="27" t="n"/>
      <c r="U17" s="27" t="n"/>
      <c r="V17" s="27" t="n"/>
      <c r="W17" s="27" t="n"/>
      <c r="X17" s="27" t="n"/>
      <c r="Y17" s="27" t="n"/>
      <c r="Z17" s="30" t="n"/>
      <c r="AA17" s="25" t="n"/>
      <c r="AB17" s="28">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ISNUMBER($Y17)*($Y17&lt;TODAY()))</f>
        <v/>
      </c>
    </row>
    <row r="18">
      <c r="A18" s="25" t="n"/>
      <c r="B18" s="26" t="n"/>
      <c r="C18" s="27" t="n"/>
      <c r="D18" s="25" t="n"/>
      <c r="E18" s="25" t="n"/>
      <c r="F18" s="27" t="n"/>
      <c r="G18" s="25" t="n"/>
      <c r="H18" s="28">
        <f>IF(OR(NOT(AND($A18&lt;&gt;"",OR($G18="",$G18="Active"))),$F18=""),"",INT((TODAY()-$F18+280)/7)&amp;"+"&amp;MOD(TODAY()-$F18+280,7))</f>
        <v/>
      </c>
      <c r="I18" s="28">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ISNUMBER($Y18)*($Y18&gt;=TODAY())*($Y18&lt;=TODAY()+7))</f>
        <v/>
      </c>
      <c r="J18" s="28">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29">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7" t="n"/>
      <c r="M18" s="27" t="n"/>
      <c r="N18" s="27" t="n"/>
      <c r="O18" s="27" t="n"/>
      <c r="P18" s="27" t="n"/>
      <c r="Q18" s="27" t="n"/>
      <c r="R18" s="27" t="n"/>
      <c r="S18" s="27" t="n"/>
      <c r="T18" s="27" t="n"/>
      <c r="U18" s="27" t="n"/>
      <c r="V18" s="27" t="n"/>
      <c r="W18" s="27" t="n"/>
      <c r="X18" s="27" t="n"/>
      <c r="Y18" s="27" t="n"/>
      <c r="Z18" s="30" t="n"/>
      <c r="AA18" s="25" t="n"/>
      <c r="AB18" s="28">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ISNUMBER($Y18)*($Y18&lt;TODAY()))</f>
        <v/>
      </c>
    </row>
    <row r="19">
      <c r="A19" s="25" t="n"/>
      <c r="B19" s="26" t="n"/>
      <c r="C19" s="27" t="n"/>
      <c r="D19" s="25" t="n"/>
      <c r="E19" s="25" t="n"/>
      <c r="F19" s="27" t="n"/>
      <c r="G19" s="25" t="n"/>
      <c r="H19" s="28">
        <f>IF(OR(NOT(AND($A19&lt;&gt;"",OR($G19="",$G19="Active"))),$F19=""),"",INT((TODAY()-$F19+280)/7)&amp;"+"&amp;MOD(TODAY()-$F19+280,7))</f>
        <v/>
      </c>
      <c r="I19" s="28">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ISNUMBER($Y19)*($Y19&gt;=TODAY())*($Y19&lt;=TODAY()+7))</f>
        <v/>
      </c>
      <c r="J19" s="28">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29">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7" t="n"/>
      <c r="M19" s="27" t="n"/>
      <c r="N19" s="27" t="n"/>
      <c r="O19" s="27" t="n"/>
      <c r="P19" s="27" t="n"/>
      <c r="Q19" s="27" t="n"/>
      <c r="R19" s="27" t="n"/>
      <c r="S19" s="27" t="n"/>
      <c r="T19" s="27" t="n"/>
      <c r="U19" s="27" t="n"/>
      <c r="V19" s="27" t="n"/>
      <c r="W19" s="27" t="n"/>
      <c r="X19" s="27" t="n"/>
      <c r="Y19" s="27" t="n"/>
      <c r="Z19" s="30" t="n"/>
      <c r="AA19" s="25" t="n"/>
      <c r="AB19" s="28">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ISNUMBER($Y19)*($Y19&lt;TODAY()))</f>
        <v/>
      </c>
    </row>
    <row r="20">
      <c r="A20" s="25" t="n"/>
      <c r="B20" s="26" t="n"/>
      <c r="C20" s="27" t="n"/>
      <c r="D20" s="25" t="n"/>
      <c r="E20" s="25" t="n"/>
      <c r="F20" s="27" t="n"/>
      <c r="G20" s="25" t="n"/>
      <c r="H20" s="28">
        <f>IF(OR(NOT(AND($A20&lt;&gt;"",OR($G20="",$G20="Active"))),$F20=""),"",INT((TODAY()-$F20+280)/7)&amp;"+"&amp;MOD(TODAY()-$F20+280,7))</f>
        <v/>
      </c>
      <c r="I20" s="28">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ISNUMBER($Y20)*($Y20&gt;=TODAY())*($Y20&lt;=TODAY()+7))</f>
        <v/>
      </c>
      <c r="J20" s="28">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29">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7" t="n"/>
      <c r="M20" s="27" t="n"/>
      <c r="N20" s="27" t="n"/>
      <c r="O20" s="27" t="n"/>
      <c r="P20" s="27" t="n"/>
      <c r="Q20" s="27" t="n"/>
      <c r="R20" s="27" t="n"/>
      <c r="S20" s="27" t="n"/>
      <c r="T20" s="27" t="n"/>
      <c r="U20" s="27" t="n"/>
      <c r="V20" s="27" t="n"/>
      <c r="W20" s="27" t="n"/>
      <c r="X20" s="27" t="n"/>
      <c r="Y20" s="27" t="n"/>
      <c r="Z20" s="30" t="n"/>
      <c r="AA20" s="25" t="n"/>
      <c r="AB20" s="28">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ISNUMBER($Y20)*($Y20&lt;TODAY()))</f>
        <v/>
      </c>
    </row>
    <row r="21">
      <c r="A21" s="25" t="n"/>
      <c r="B21" s="26" t="n"/>
      <c r="C21" s="27" t="n"/>
      <c r="D21" s="25" t="n"/>
      <c r="E21" s="25" t="n"/>
      <c r="F21" s="27" t="n"/>
      <c r="G21" s="25" t="n"/>
      <c r="H21" s="28">
        <f>IF(OR(NOT(AND($A21&lt;&gt;"",OR($G21="",$G21="Active"))),$F21=""),"",INT((TODAY()-$F21+280)/7)&amp;"+"&amp;MOD(TODAY()-$F21+280,7))</f>
        <v/>
      </c>
      <c r="I21" s="28">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ISNUMBER($Y21)*($Y21&gt;=TODAY())*($Y21&lt;=TODAY()+7))</f>
        <v/>
      </c>
      <c r="J21" s="28">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29">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7" t="n"/>
      <c r="M21" s="27" t="n"/>
      <c r="N21" s="27" t="n"/>
      <c r="O21" s="27" t="n"/>
      <c r="P21" s="27" t="n"/>
      <c r="Q21" s="27" t="n"/>
      <c r="R21" s="27" t="n"/>
      <c r="S21" s="27" t="n"/>
      <c r="T21" s="27" t="n"/>
      <c r="U21" s="27" t="n"/>
      <c r="V21" s="27" t="n"/>
      <c r="W21" s="27" t="n"/>
      <c r="X21" s="27" t="n"/>
      <c r="Y21" s="27" t="n"/>
      <c r="Z21" s="30" t="n"/>
      <c r="AA21" s="25" t="n"/>
      <c r="AB21" s="28">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ISNUMBER($Y21)*($Y21&lt;TODAY()))</f>
        <v/>
      </c>
    </row>
    <row r="22">
      <c r="A22" s="25" t="n"/>
      <c r="B22" s="26" t="n"/>
      <c r="C22" s="27" t="n"/>
      <c r="D22" s="25" t="n"/>
      <c r="E22" s="25" t="n"/>
      <c r="F22" s="27" t="n"/>
      <c r="G22" s="25" t="n"/>
      <c r="H22" s="28">
        <f>IF(OR(NOT(AND($A22&lt;&gt;"",OR($G22="",$G22="Active"))),$F22=""),"",INT((TODAY()-$F22+280)/7)&amp;"+"&amp;MOD(TODAY()-$F22+280,7))</f>
        <v/>
      </c>
      <c r="I22" s="28">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ISNUMBER($Y22)*($Y22&gt;=TODAY())*($Y22&lt;=TODAY()+7))</f>
        <v/>
      </c>
      <c r="J22" s="28">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29">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7" t="n"/>
      <c r="M22" s="27" t="n"/>
      <c r="N22" s="27" t="n"/>
      <c r="O22" s="27" t="n"/>
      <c r="P22" s="27" t="n"/>
      <c r="Q22" s="27" t="n"/>
      <c r="R22" s="27" t="n"/>
      <c r="S22" s="27" t="n"/>
      <c r="T22" s="27" t="n"/>
      <c r="U22" s="27" t="n"/>
      <c r="V22" s="27" t="n"/>
      <c r="W22" s="27" t="n"/>
      <c r="X22" s="27" t="n"/>
      <c r="Y22" s="27" t="n"/>
      <c r="Z22" s="30" t="n"/>
      <c r="AA22" s="25" t="n"/>
      <c r="AB22" s="28">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ISNUMBER($Y22)*($Y22&lt;TODAY()))</f>
        <v/>
      </c>
    </row>
    <row r="23">
      <c r="A23" s="25" t="n"/>
      <c r="B23" s="26" t="n"/>
      <c r="C23" s="27" t="n"/>
      <c r="D23" s="25" t="n"/>
      <c r="E23" s="25" t="n"/>
      <c r="F23" s="27" t="n"/>
      <c r="G23" s="25" t="n"/>
      <c r="H23" s="28">
        <f>IF(OR(NOT(AND($A23&lt;&gt;"",OR($G23="",$G23="Active"))),$F23=""),"",INT((TODAY()-$F23+280)/7)&amp;"+"&amp;MOD(TODAY()-$F23+280,7))</f>
        <v/>
      </c>
      <c r="I23" s="28">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ISNUMBER($Y23)*($Y23&gt;=TODAY())*($Y23&lt;=TODAY()+7))</f>
        <v/>
      </c>
      <c r="J23" s="28">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29">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7" t="n"/>
      <c r="M23" s="27" t="n"/>
      <c r="N23" s="27" t="n"/>
      <c r="O23" s="27" t="n"/>
      <c r="P23" s="27" t="n"/>
      <c r="Q23" s="27" t="n"/>
      <c r="R23" s="27" t="n"/>
      <c r="S23" s="27" t="n"/>
      <c r="T23" s="27" t="n"/>
      <c r="U23" s="27" t="n"/>
      <c r="V23" s="27" t="n"/>
      <c r="W23" s="27" t="n"/>
      <c r="X23" s="27" t="n"/>
      <c r="Y23" s="27" t="n"/>
      <c r="Z23" s="30" t="n"/>
      <c r="AA23" s="25" t="n"/>
      <c r="AB23" s="28">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ISNUMBER($Y23)*($Y23&lt;TODAY()))</f>
        <v/>
      </c>
    </row>
    <row r="24">
      <c r="A24" s="25" t="n"/>
      <c r="B24" s="26" t="n"/>
      <c r="C24" s="27" t="n"/>
      <c r="D24" s="25" t="n"/>
      <c r="E24" s="25" t="n"/>
      <c r="F24" s="27" t="n"/>
      <c r="G24" s="25" t="n"/>
      <c r="H24" s="28">
        <f>IF(OR(NOT(AND($A24&lt;&gt;"",OR($G24="",$G24="Active"))),$F24=""),"",INT((TODAY()-$F24+280)/7)&amp;"+"&amp;MOD(TODAY()-$F24+280,7))</f>
        <v/>
      </c>
      <c r="I24" s="28">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ISNUMBER($Y24)*($Y24&gt;=TODAY())*($Y24&lt;=TODAY()+7))</f>
        <v/>
      </c>
      <c r="J24" s="28">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29">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7" t="n"/>
      <c r="M24" s="27" t="n"/>
      <c r="N24" s="27" t="n"/>
      <c r="O24" s="27" t="n"/>
      <c r="P24" s="27" t="n"/>
      <c r="Q24" s="27" t="n"/>
      <c r="R24" s="27" t="n"/>
      <c r="S24" s="27" t="n"/>
      <c r="T24" s="27" t="n"/>
      <c r="U24" s="27" t="n"/>
      <c r="V24" s="27" t="n"/>
      <c r="W24" s="27" t="n"/>
      <c r="X24" s="27" t="n"/>
      <c r="Y24" s="27" t="n"/>
      <c r="Z24" s="30" t="n"/>
      <c r="AA24" s="25" t="n"/>
      <c r="AB24" s="28">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ISNUMBER($Y24)*($Y24&lt;TODAY()))</f>
        <v/>
      </c>
    </row>
    <row r="25">
      <c r="A25" s="25" t="n"/>
      <c r="B25" s="26" t="n"/>
      <c r="C25" s="27" t="n"/>
      <c r="D25" s="25" t="n"/>
      <c r="E25" s="25" t="n"/>
      <c r="F25" s="27" t="n"/>
      <c r="G25" s="25" t="n"/>
      <c r="H25" s="28">
        <f>IF(OR(NOT(AND($A25&lt;&gt;"",OR($G25="",$G25="Active"))),$F25=""),"",INT((TODAY()-$F25+280)/7)&amp;"+"&amp;MOD(TODAY()-$F25+280,7))</f>
        <v/>
      </c>
      <c r="I25" s="28">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ISNUMBER($Y25)*($Y25&gt;=TODAY())*($Y25&lt;=TODAY()+7))</f>
        <v/>
      </c>
      <c r="J25" s="28">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29">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7" t="n"/>
      <c r="M25" s="27" t="n"/>
      <c r="N25" s="27" t="n"/>
      <c r="O25" s="27" t="n"/>
      <c r="P25" s="27" t="n"/>
      <c r="Q25" s="27" t="n"/>
      <c r="R25" s="27" t="n"/>
      <c r="S25" s="27" t="n"/>
      <c r="T25" s="27" t="n"/>
      <c r="U25" s="27" t="n"/>
      <c r="V25" s="27" t="n"/>
      <c r="W25" s="27" t="n"/>
      <c r="X25" s="27" t="n"/>
      <c r="Y25" s="27" t="n"/>
      <c r="Z25" s="30" t="n"/>
      <c r="AA25" s="25" t="n"/>
      <c r="AB25" s="28">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ISNUMBER($Y25)*($Y25&lt;TODAY()))</f>
        <v/>
      </c>
    </row>
    <row r="26">
      <c r="A26" s="25" t="n"/>
      <c r="B26" s="26" t="n"/>
      <c r="C26" s="27" t="n"/>
      <c r="D26" s="25" t="n"/>
      <c r="E26" s="25" t="n"/>
      <c r="F26" s="27" t="n"/>
      <c r="G26" s="25" t="n"/>
      <c r="H26" s="28">
        <f>IF(OR(NOT(AND($A26&lt;&gt;"",OR($G26="",$G26="Active"))),$F26=""),"",INT((TODAY()-$F26+280)/7)&amp;"+"&amp;MOD(TODAY()-$F26+280,7))</f>
        <v/>
      </c>
      <c r="I26" s="28">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ISNUMBER($Y26)*($Y26&gt;=TODAY())*($Y26&lt;=TODAY()+7))</f>
        <v/>
      </c>
      <c r="J26" s="28">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29">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7" t="n"/>
      <c r="M26" s="27" t="n"/>
      <c r="N26" s="27" t="n"/>
      <c r="O26" s="27" t="n"/>
      <c r="P26" s="27" t="n"/>
      <c r="Q26" s="27" t="n"/>
      <c r="R26" s="27" t="n"/>
      <c r="S26" s="27" t="n"/>
      <c r="T26" s="27" t="n"/>
      <c r="U26" s="27" t="n"/>
      <c r="V26" s="27" t="n"/>
      <c r="W26" s="27" t="n"/>
      <c r="X26" s="27" t="n"/>
      <c r="Y26" s="27" t="n"/>
      <c r="Z26" s="30" t="n"/>
      <c r="AA26" s="25" t="n"/>
      <c r="AB26" s="28">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ISNUMBER($Y26)*($Y26&lt;TODAY()))</f>
        <v/>
      </c>
    </row>
    <row r="27">
      <c r="A27" s="25" t="n"/>
      <c r="B27" s="26" t="n"/>
      <c r="C27" s="27" t="n"/>
      <c r="D27" s="25" t="n"/>
      <c r="E27" s="25" t="n"/>
      <c r="F27" s="27" t="n"/>
      <c r="G27" s="25" t="n"/>
      <c r="H27" s="28">
        <f>IF(OR(NOT(AND($A27&lt;&gt;"",OR($G27="",$G27="Active"))),$F27=""),"",INT((TODAY()-$F27+280)/7)&amp;"+"&amp;MOD(TODAY()-$F27+280,7))</f>
        <v/>
      </c>
      <c r="I27" s="28">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ISNUMBER($Y27)*($Y27&gt;=TODAY())*($Y27&lt;=TODAY()+7))</f>
        <v/>
      </c>
      <c r="J27" s="28">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29">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7" t="n"/>
      <c r="M27" s="27" t="n"/>
      <c r="N27" s="27" t="n"/>
      <c r="O27" s="27" t="n"/>
      <c r="P27" s="27" t="n"/>
      <c r="Q27" s="27" t="n"/>
      <c r="R27" s="27" t="n"/>
      <c r="S27" s="27" t="n"/>
      <c r="T27" s="27" t="n"/>
      <c r="U27" s="27" t="n"/>
      <c r="V27" s="27" t="n"/>
      <c r="W27" s="27" t="n"/>
      <c r="X27" s="27" t="n"/>
      <c r="Y27" s="27" t="n"/>
      <c r="Z27" s="30" t="n"/>
      <c r="AA27" s="25" t="n"/>
      <c r="AB27" s="28">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ISNUMBER($Y27)*($Y27&lt;TODAY()))</f>
        <v/>
      </c>
    </row>
    <row r="28">
      <c r="A28" s="25" t="n"/>
      <c r="B28" s="26" t="n"/>
      <c r="C28" s="27" t="n"/>
      <c r="D28" s="25" t="n"/>
      <c r="E28" s="25" t="n"/>
      <c r="F28" s="27" t="n"/>
      <c r="G28" s="25" t="n"/>
      <c r="H28" s="28">
        <f>IF(OR(NOT(AND($A28&lt;&gt;"",OR($G28="",$G28="Active"))),$F28=""),"",INT((TODAY()-$F28+280)/7)&amp;"+"&amp;MOD(TODAY()-$F28+280,7))</f>
        <v/>
      </c>
      <c r="I28" s="28">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ISNUMBER($Y28)*($Y28&gt;=TODAY())*($Y28&lt;=TODAY()+7))</f>
        <v/>
      </c>
      <c r="J28" s="28">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29">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7" t="n"/>
      <c r="M28" s="27" t="n"/>
      <c r="N28" s="27" t="n"/>
      <c r="O28" s="27" t="n"/>
      <c r="P28" s="27" t="n"/>
      <c r="Q28" s="27" t="n"/>
      <c r="R28" s="27" t="n"/>
      <c r="S28" s="27" t="n"/>
      <c r="T28" s="27" t="n"/>
      <c r="U28" s="27" t="n"/>
      <c r="V28" s="27" t="n"/>
      <c r="W28" s="27" t="n"/>
      <c r="X28" s="27" t="n"/>
      <c r="Y28" s="27" t="n"/>
      <c r="Z28" s="30" t="n"/>
      <c r="AA28" s="25" t="n"/>
      <c r="AB28" s="28">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ISNUMBER($Y28)*($Y28&lt;TODAY()))</f>
        <v/>
      </c>
    </row>
    <row r="29">
      <c r="A29" s="25" t="n"/>
      <c r="B29" s="26" t="n"/>
      <c r="C29" s="27" t="n"/>
      <c r="D29" s="25" t="n"/>
      <c r="E29" s="25" t="n"/>
      <c r="F29" s="27" t="n"/>
      <c r="G29" s="25" t="n"/>
      <c r="H29" s="28">
        <f>IF(OR(NOT(AND($A29&lt;&gt;"",OR($G29="",$G29="Active"))),$F29=""),"",INT((TODAY()-$F29+280)/7)&amp;"+"&amp;MOD(TODAY()-$F29+280,7))</f>
        <v/>
      </c>
      <c r="I29" s="28">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ISNUMBER($Y29)*($Y29&gt;=TODAY())*($Y29&lt;=TODAY()+7))</f>
        <v/>
      </c>
      <c r="J29" s="28">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29">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7" t="n"/>
      <c r="M29" s="27" t="n"/>
      <c r="N29" s="27" t="n"/>
      <c r="O29" s="27" t="n"/>
      <c r="P29" s="27" t="n"/>
      <c r="Q29" s="27" t="n"/>
      <c r="R29" s="27" t="n"/>
      <c r="S29" s="27" t="n"/>
      <c r="T29" s="27" t="n"/>
      <c r="U29" s="27" t="n"/>
      <c r="V29" s="27" t="n"/>
      <c r="W29" s="27" t="n"/>
      <c r="X29" s="27" t="n"/>
      <c r="Y29" s="27" t="n"/>
      <c r="Z29" s="30" t="n"/>
      <c r="AA29" s="25" t="n"/>
      <c r="AB29" s="28">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ISNUMBER($Y29)*($Y29&lt;TODAY()))</f>
        <v/>
      </c>
    </row>
    <row r="30">
      <c r="A30" s="25" t="n"/>
      <c r="B30" s="26" t="n"/>
      <c r="C30" s="27" t="n"/>
      <c r="D30" s="25" t="n"/>
      <c r="E30" s="25" t="n"/>
      <c r="F30" s="27" t="n"/>
      <c r="G30" s="25" t="n"/>
      <c r="H30" s="28">
        <f>IF(OR(NOT(AND($A30&lt;&gt;"",OR($G30="",$G30="Active"))),$F30=""),"",INT((TODAY()-$F30+280)/7)&amp;"+"&amp;MOD(TODAY()-$F30+280,7))</f>
        <v/>
      </c>
      <c r="I30" s="28">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ISNUMBER($Y30)*($Y30&gt;=TODAY())*($Y30&lt;=TODAY()+7))</f>
        <v/>
      </c>
      <c r="J30" s="28">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29">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7" t="n"/>
      <c r="M30" s="27" t="n"/>
      <c r="N30" s="27" t="n"/>
      <c r="O30" s="27" t="n"/>
      <c r="P30" s="27" t="n"/>
      <c r="Q30" s="27" t="n"/>
      <c r="R30" s="27" t="n"/>
      <c r="S30" s="27" t="n"/>
      <c r="T30" s="27" t="n"/>
      <c r="U30" s="27" t="n"/>
      <c r="V30" s="27" t="n"/>
      <c r="W30" s="27" t="n"/>
      <c r="X30" s="27" t="n"/>
      <c r="Y30" s="27" t="n"/>
      <c r="Z30" s="30" t="n"/>
      <c r="AA30" s="25" t="n"/>
      <c r="AB30" s="28">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ISNUMBER($Y30)*($Y30&lt;TODAY()))</f>
        <v/>
      </c>
    </row>
    <row r="31">
      <c r="A31" s="25" t="n"/>
      <c r="B31" s="26" t="n"/>
      <c r="C31" s="27" t="n"/>
      <c r="D31" s="25" t="n"/>
      <c r="E31" s="25" t="n"/>
      <c r="F31" s="27" t="n"/>
      <c r="G31" s="25" t="n"/>
      <c r="H31" s="28">
        <f>IF(OR(NOT(AND($A31&lt;&gt;"",OR($G31="",$G31="Active"))),$F31=""),"",INT((TODAY()-$F31+280)/7)&amp;"+"&amp;MOD(TODAY()-$F31+280,7))</f>
        <v/>
      </c>
      <c r="I31" s="28">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ISNUMBER($Y31)*($Y31&gt;=TODAY())*($Y31&lt;=TODAY()+7))</f>
        <v/>
      </c>
      <c r="J31" s="28">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29">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7" t="n"/>
      <c r="M31" s="27" t="n"/>
      <c r="N31" s="27" t="n"/>
      <c r="O31" s="27" t="n"/>
      <c r="P31" s="27" t="n"/>
      <c r="Q31" s="27" t="n"/>
      <c r="R31" s="27" t="n"/>
      <c r="S31" s="27" t="n"/>
      <c r="T31" s="27" t="n"/>
      <c r="U31" s="27" t="n"/>
      <c r="V31" s="27" t="n"/>
      <c r="W31" s="27" t="n"/>
      <c r="X31" s="27" t="n"/>
      <c r="Y31" s="27" t="n"/>
      <c r="Z31" s="30" t="n"/>
      <c r="AA31" s="25" t="n"/>
      <c r="AB31" s="28">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ISNUMBER($Y31)*($Y31&lt;TODAY()))</f>
        <v/>
      </c>
    </row>
    <row r="32">
      <c r="A32" s="25" t="n"/>
      <c r="B32" s="26" t="n"/>
      <c r="C32" s="27" t="n"/>
      <c r="D32" s="25" t="n"/>
      <c r="E32" s="25" t="n"/>
      <c r="F32" s="27" t="n"/>
      <c r="G32" s="25" t="n"/>
      <c r="H32" s="28">
        <f>IF(OR(NOT(AND($A32&lt;&gt;"",OR($G32="",$G32="Active"))),$F32=""),"",INT((TODAY()-$F32+280)/7)&amp;"+"&amp;MOD(TODAY()-$F32+280,7))</f>
        <v/>
      </c>
      <c r="I32" s="28">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ISNUMBER($Y32)*($Y32&gt;=TODAY())*($Y32&lt;=TODAY()+7))</f>
        <v/>
      </c>
      <c r="J32" s="28">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29">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7" t="n"/>
      <c r="M32" s="27" t="n"/>
      <c r="N32" s="27" t="n"/>
      <c r="O32" s="27" t="n"/>
      <c r="P32" s="27" t="n"/>
      <c r="Q32" s="27" t="n"/>
      <c r="R32" s="27" t="n"/>
      <c r="S32" s="27" t="n"/>
      <c r="T32" s="27" t="n"/>
      <c r="U32" s="27" t="n"/>
      <c r="V32" s="27" t="n"/>
      <c r="W32" s="27" t="n"/>
      <c r="X32" s="27" t="n"/>
      <c r="Y32" s="27" t="n"/>
      <c r="Z32" s="30" t="n"/>
      <c r="AA32" s="25" t="n"/>
      <c r="AB32" s="28">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ISNUMBER($Y32)*($Y32&lt;TODAY()))</f>
        <v/>
      </c>
    </row>
    <row r="33">
      <c r="A33" s="25" t="n"/>
      <c r="B33" s="26" t="n"/>
      <c r="C33" s="27" t="n"/>
      <c r="D33" s="25" t="n"/>
      <c r="E33" s="25" t="n"/>
      <c r="F33" s="27" t="n"/>
      <c r="G33" s="25" t="n"/>
      <c r="H33" s="28">
        <f>IF(OR(NOT(AND($A33&lt;&gt;"",OR($G33="",$G33="Active"))),$F33=""),"",INT((TODAY()-$F33+280)/7)&amp;"+"&amp;MOD(TODAY()-$F33+280,7))</f>
        <v/>
      </c>
      <c r="I33" s="28">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ISNUMBER($Y33)*($Y33&gt;=TODAY())*($Y33&lt;=TODAY()+7))</f>
        <v/>
      </c>
      <c r="J33" s="28">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29">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7" t="n"/>
      <c r="M33" s="27" t="n"/>
      <c r="N33" s="27" t="n"/>
      <c r="O33" s="27" t="n"/>
      <c r="P33" s="27" t="n"/>
      <c r="Q33" s="27" t="n"/>
      <c r="R33" s="27" t="n"/>
      <c r="S33" s="27" t="n"/>
      <c r="T33" s="27" t="n"/>
      <c r="U33" s="27" t="n"/>
      <c r="V33" s="27" t="n"/>
      <c r="W33" s="27" t="n"/>
      <c r="X33" s="27" t="n"/>
      <c r="Y33" s="27" t="n"/>
      <c r="Z33" s="30" t="n"/>
      <c r="AA33" s="25" t="n"/>
      <c r="AB33" s="28">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ISNUMBER($Y33)*($Y33&lt;TODAY()))</f>
        <v/>
      </c>
    </row>
    <row r="34">
      <c r="A34" s="25" t="n"/>
      <c r="B34" s="26" t="n"/>
      <c r="C34" s="27" t="n"/>
      <c r="D34" s="25" t="n"/>
      <c r="E34" s="25" t="n"/>
      <c r="F34" s="27" t="n"/>
      <c r="G34" s="25" t="n"/>
      <c r="H34" s="28">
        <f>IF(OR(NOT(AND($A34&lt;&gt;"",OR($G34="",$G34="Active"))),$F34=""),"",INT((TODAY()-$F34+280)/7)&amp;"+"&amp;MOD(TODAY()-$F34+280,7))</f>
        <v/>
      </c>
      <c r="I34" s="28">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ISNUMBER($Y34)*($Y34&gt;=TODAY())*($Y34&lt;=TODAY()+7))</f>
        <v/>
      </c>
      <c r="J34" s="28">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29">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7" t="n"/>
      <c r="M34" s="27" t="n"/>
      <c r="N34" s="27" t="n"/>
      <c r="O34" s="27" t="n"/>
      <c r="P34" s="27" t="n"/>
      <c r="Q34" s="27" t="n"/>
      <c r="R34" s="27" t="n"/>
      <c r="S34" s="27" t="n"/>
      <c r="T34" s="27" t="n"/>
      <c r="U34" s="27" t="n"/>
      <c r="V34" s="27" t="n"/>
      <c r="W34" s="27" t="n"/>
      <c r="X34" s="27" t="n"/>
      <c r="Y34" s="27" t="n"/>
      <c r="Z34" s="30" t="n"/>
      <c r="AA34" s="25" t="n"/>
      <c r="AB34" s="28">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ISNUMBER($Y34)*($Y34&lt;TODAY()))</f>
        <v/>
      </c>
    </row>
    <row r="35">
      <c r="A35" s="25" t="n"/>
      <c r="B35" s="26" t="n"/>
      <c r="C35" s="27" t="n"/>
      <c r="D35" s="25" t="n"/>
      <c r="E35" s="25" t="n"/>
      <c r="F35" s="27" t="n"/>
      <c r="G35" s="25" t="n"/>
      <c r="H35" s="28">
        <f>IF(OR(NOT(AND($A35&lt;&gt;"",OR($G35="",$G35="Active"))),$F35=""),"",INT((TODAY()-$F35+280)/7)&amp;"+"&amp;MOD(TODAY()-$F35+280,7))</f>
        <v/>
      </c>
      <c r="I35" s="28">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ISNUMBER($Y35)*($Y35&gt;=TODAY())*($Y35&lt;=TODAY()+7))</f>
        <v/>
      </c>
      <c r="J35" s="28">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29">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7" t="n"/>
      <c r="M35" s="27" t="n"/>
      <c r="N35" s="27" t="n"/>
      <c r="O35" s="27" t="n"/>
      <c r="P35" s="27" t="n"/>
      <c r="Q35" s="27" t="n"/>
      <c r="R35" s="27" t="n"/>
      <c r="S35" s="27" t="n"/>
      <c r="T35" s="27" t="n"/>
      <c r="U35" s="27" t="n"/>
      <c r="V35" s="27" t="n"/>
      <c r="W35" s="27" t="n"/>
      <c r="X35" s="27" t="n"/>
      <c r="Y35" s="27" t="n"/>
      <c r="Z35" s="30" t="n"/>
      <c r="AA35" s="25" t="n"/>
      <c r="AB35" s="28">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ISNUMBER($Y35)*($Y35&lt;TODAY()))</f>
        <v/>
      </c>
    </row>
    <row r="36">
      <c r="A36" s="25" t="n"/>
      <c r="B36" s="26" t="n"/>
      <c r="C36" s="27" t="n"/>
      <c r="D36" s="25" t="n"/>
      <c r="E36" s="25" t="n"/>
      <c r="F36" s="27" t="n"/>
      <c r="G36" s="25" t="n"/>
      <c r="H36" s="28">
        <f>IF(OR(NOT(AND($A36&lt;&gt;"",OR($G36="",$G36="Active"))),$F36=""),"",INT((TODAY()-$F36+280)/7)&amp;"+"&amp;MOD(TODAY()-$F36+280,7))</f>
        <v/>
      </c>
      <c r="I36" s="28">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ISNUMBER($Y36)*($Y36&gt;=TODAY())*($Y36&lt;=TODAY()+7))</f>
        <v/>
      </c>
      <c r="J36" s="28">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29">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7" t="n"/>
      <c r="M36" s="27" t="n"/>
      <c r="N36" s="27" t="n"/>
      <c r="O36" s="27" t="n"/>
      <c r="P36" s="27" t="n"/>
      <c r="Q36" s="27" t="n"/>
      <c r="R36" s="27" t="n"/>
      <c r="S36" s="27" t="n"/>
      <c r="T36" s="27" t="n"/>
      <c r="U36" s="27" t="n"/>
      <c r="V36" s="27" t="n"/>
      <c r="W36" s="27" t="n"/>
      <c r="X36" s="27" t="n"/>
      <c r="Y36" s="27" t="n"/>
      <c r="Z36" s="30" t="n"/>
      <c r="AA36" s="25" t="n"/>
      <c r="AB36" s="28">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ISNUMBER($Y36)*($Y36&lt;TODAY()))</f>
        <v/>
      </c>
    </row>
    <row r="37">
      <c r="A37" s="25" t="n"/>
      <c r="B37" s="26" t="n"/>
      <c r="C37" s="27" t="n"/>
      <c r="D37" s="25" t="n"/>
      <c r="E37" s="25" t="n"/>
      <c r="F37" s="27" t="n"/>
      <c r="G37" s="25" t="n"/>
      <c r="H37" s="28">
        <f>IF(OR(NOT(AND($A37&lt;&gt;"",OR($G37="",$G37="Active"))),$F37=""),"",INT((TODAY()-$F37+280)/7)&amp;"+"&amp;MOD(TODAY()-$F37+280,7))</f>
        <v/>
      </c>
      <c r="I37" s="28">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ISNUMBER($Y37)*($Y37&gt;=TODAY())*($Y37&lt;=TODAY()+7))</f>
        <v/>
      </c>
      <c r="J37" s="28">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29">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7" t="n"/>
      <c r="M37" s="27" t="n"/>
      <c r="N37" s="27" t="n"/>
      <c r="O37" s="27" t="n"/>
      <c r="P37" s="27" t="n"/>
      <c r="Q37" s="27" t="n"/>
      <c r="R37" s="27" t="n"/>
      <c r="S37" s="27" t="n"/>
      <c r="T37" s="27" t="n"/>
      <c r="U37" s="27" t="n"/>
      <c r="V37" s="27" t="n"/>
      <c r="W37" s="27" t="n"/>
      <c r="X37" s="27" t="n"/>
      <c r="Y37" s="27" t="n"/>
      <c r="Z37" s="30" t="n"/>
      <c r="AA37" s="25" t="n"/>
      <c r="AB37" s="28">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ISNUMBER($Y37)*($Y37&lt;TODAY()))</f>
        <v/>
      </c>
    </row>
    <row r="38">
      <c r="A38" s="25" t="n"/>
      <c r="B38" s="26" t="n"/>
      <c r="C38" s="27" t="n"/>
      <c r="D38" s="25" t="n"/>
      <c r="E38" s="25" t="n"/>
      <c r="F38" s="27" t="n"/>
      <c r="G38" s="25" t="n"/>
      <c r="H38" s="28">
        <f>IF(OR(NOT(AND($A38&lt;&gt;"",OR($G38="",$G38="Active"))),$F38=""),"",INT((TODAY()-$F38+280)/7)&amp;"+"&amp;MOD(TODAY()-$F38+280,7))</f>
        <v/>
      </c>
      <c r="I38" s="28">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ISNUMBER($Y38)*($Y38&gt;=TODAY())*($Y38&lt;=TODAY()+7))</f>
        <v/>
      </c>
      <c r="J38" s="28">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29">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7" t="n"/>
      <c r="M38" s="27" t="n"/>
      <c r="N38" s="27" t="n"/>
      <c r="O38" s="27" t="n"/>
      <c r="P38" s="27" t="n"/>
      <c r="Q38" s="27" t="n"/>
      <c r="R38" s="27" t="n"/>
      <c r="S38" s="27" t="n"/>
      <c r="T38" s="27" t="n"/>
      <c r="U38" s="27" t="n"/>
      <c r="V38" s="27" t="n"/>
      <c r="W38" s="27" t="n"/>
      <c r="X38" s="27" t="n"/>
      <c r="Y38" s="27" t="n"/>
      <c r="Z38" s="30" t="n"/>
      <c r="AA38" s="25" t="n"/>
      <c r="AB38" s="28">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ISNUMBER($Y38)*($Y38&lt;TODAY()))</f>
        <v/>
      </c>
    </row>
    <row r="39">
      <c r="A39" s="25" t="n"/>
      <c r="B39" s="26" t="n"/>
      <c r="C39" s="27" t="n"/>
      <c r="D39" s="25" t="n"/>
      <c r="E39" s="25" t="n"/>
      <c r="F39" s="27" t="n"/>
      <c r="G39" s="25" t="n"/>
      <c r="H39" s="28">
        <f>IF(OR(NOT(AND($A39&lt;&gt;"",OR($G39="",$G39="Active"))),$F39=""),"",INT((TODAY()-$F39+280)/7)&amp;"+"&amp;MOD(TODAY()-$F39+280,7))</f>
        <v/>
      </c>
      <c r="I39" s="28">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ISNUMBER($Y39)*($Y39&gt;=TODAY())*($Y39&lt;=TODAY()+7))</f>
        <v/>
      </c>
      <c r="J39" s="28">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29">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7" t="n"/>
      <c r="M39" s="27" t="n"/>
      <c r="N39" s="27" t="n"/>
      <c r="O39" s="27" t="n"/>
      <c r="P39" s="27" t="n"/>
      <c r="Q39" s="27" t="n"/>
      <c r="R39" s="27" t="n"/>
      <c r="S39" s="27" t="n"/>
      <c r="T39" s="27" t="n"/>
      <c r="U39" s="27" t="n"/>
      <c r="V39" s="27" t="n"/>
      <c r="W39" s="27" t="n"/>
      <c r="X39" s="27" t="n"/>
      <c r="Y39" s="27" t="n"/>
      <c r="Z39" s="30" t="n"/>
      <c r="AA39" s="25" t="n"/>
      <c r="AB39" s="28">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ISNUMBER($Y39)*($Y39&lt;TODAY()))</f>
        <v/>
      </c>
    </row>
    <row r="40">
      <c r="A40" s="25" t="n"/>
      <c r="B40" s="26" t="n"/>
      <c r="C40" s="27" t="n"/>
      <c r="D40" s="25" t="n"/>
      <c r="E40" s="25" t="n"/>
      <c r="F40" s="27" t="n"/>
      <c r="G40" s="25" t="n"/>
      <c r="H40" s="28">
        <f>IF(OR(NOT(AND($A40&lt;&gt;"",OR($G40="",$G40="Active"))),$F40=""),"",INT((TODAY()-$F40+280)/7)&amp;"+"&amp;MOD(TODAY()-$F40+280,7))</f>
        <v/>
      </c>
      <c r="I40" s="28">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ISNUMBER($Y40)*($Y40&gt;=TODAY())*($Y40&lt;=TODAY()+7))</f>
        <v/>
      </c>
      <c r="J40" s="28">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29">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7" t="n"/>
      <c r="M40" s="27" t="n"/>
      <c r="N40" s="27" t="n"/>
      <c r="O40" s="27" t="n"/>
      <c r="P40" s="27" t="n"/>
      <c r="Q40" s="27" t="n"/>
      <c r="R40" s="27" t="n"/>
      <c r="S40" s="27" t="n"/>
      <c r="T40" s="27" t="n"/>
      <c r="U40" s="27" t="n"/>
      <c r="V40" s="27" t="n"/>
      <c r="W40" s="27" t="n"/>
      <c r="X40" s="27" t="n"/>
      <c r="Y40" s="27" t="n"/>
      <c r="Z40" s="30" t="n"/>
      <c r="AA40" s="25" t="n"/>
      <c r="AB40" s="28">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ISNUMBER($Y40)*($Y40&lt;TODAY()))</f>
        <v/>
      </c>
    </row>
    <row r="41">
      <c r="A41" s="25" t="n"/>
      <c r="B41" s="26" t="n"/>
      <c r="C41" s="27" t="n"/>
      <c r="D41" s="25" t="n"/>
      <c r="E41" s="25" t="n"/>
      <c r="F41" s="27" t="n"/>
      <c r="G41" s="25" t="n"/>
      <c r="H41" s="28">
        <f>IF(OR(NOT(AND($A41&lt;&gt;"",OR($G41="",$G41="Active"))),$F41=""),"",INT((TODAY()-$F41+280)/7)&amp;"+"&amp;MOD(TODAY()-$F41+280,7))</f>
        <v/>
      </c>
      <c r="I41" s="28">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ISNUMBER($Y41)*($Y41&gt;=TODAY())*($Y41&lt;=TODAY()+7))</f>
        <v/>
      </c>
      <c r="J41" s="28">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29">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7" t="n"/>
      <c r="M41" s="27" t="n"/>
      <c r="N41" s="27" t="n"/>
      <c r="O41" s="27" t="n"/>
      <c r="P41" s="27" t="n"/>
      <c r="Q41" s="27" t="n"/>
      <c r="R41" s="27" t="n"/>
      <c r="S41" s="27" t="n"/>
      <c r="T41" s="27" t="n"/>
      <c r="U41" s="27" t="n"/>
      <c r="V41" s="27" t="n"/>
      <c r="W41" s="27" t="n"/>
      <c r="X41" s="27" t="n"/>
      <c r="Y41" s="27" t="n"/>
      <c r="Z41" s="30" t="n"/>
      <c r="AA41" s="25" t="n"/>
      <c r="AB41" s="28">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ISNUMBER($Y41)*($Y41&lt;TODAY()))</f>
        <v/>
      </c>
    </row>
    <row r="42">
      <c r="A42" s="25" t="n"/>
      <c r="B42" s="26" t="n"/>
      <c r="C42" s="27" t="n"/>
      <c r="D42" s="25" t="n"/>
      <c r="E42" s="25" t="n"/>
      <c r="F42" s="27" t="n"/>
      <c r="G42" s="25" t="n"/>
      <c r="H42" s="28">
        <f>IF(OR(NOT(AND($A42&lt;&gt;"",OR($G42="",$G42="Active"))),$F42=""),"",INT((TODAY()-$F42+280)/7)&amp;"+"&amp;MOD(TODAY()-$F42+280,7))</f>
        <v/>
      </c>
      <c r="I42" s="28">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ISNUMBER($Y42)*($Y42&gt;=TODAY())*($Y42&lt;=TODAY()+7))</f>
        <v/>
      </c>
      <c r="J42" s="28">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29">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7" t="n"/>
      <c r="M42" s="27" t="n"/>
      <c r="N42" s="27" t="n"/>
      <c r="O42" s="27" t="n"/>
      <c r="P42" s="27" t="n"/>
      <c r="Q42" s="27" t="n"/>
      <c r="R42" s="27" t="n"/>
      <c r="S42" s="27" t="n"/>
      <c r="T42" s="27" t="n"/>
      <c r="U42" s="27" t="n"/>
      <c r="V42" s="27" t="n"/>
      <c r="W42" s="27" t="n"/>
      <c r="X42" s="27" t="n"/>
      <c r="Y42" s="27" t="n"/>
      <c r="Z42" s="30" t="n"/>
      <c r="AA42" s="25" t="n"/>
      <c r="AB42" s="28">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ISNUMBER($Y42)*($Y42&lt;TODAY()))</f>
        <v/>
      </c>
    </row>
    <row r="43">
      <c r="A43" s="25" t="n"/>
      <c r="B43" s="26" t="n"/>
      <c r="C43" s="27" t="n"/>
      <c r="D43" s="25" t="n"/>
      <c r="E43" s="25" t="n"/>
      <c r="F43" s="27" t="n"/>
      <c r="G43" s="25" t="n"/>
      <c r="H43" s="28">
        <f>IF(OR(NOT(AND($A43&lt;&gt;"",OR($G43="",$G43="Active"))),$F43=""),"",INT((TODAY()-$F43+280)/7)&amp;"+"&amp;MOD(TODAY()-$F43+280,7))</f>
        <v/>
      </c>
      <c r="I43" s="28">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ISNUMBER($Y43)*($Y43&gt;=TODAY())*($Y43&lt;=TODAY()+7))</f>
        <v/>
      </c>
      <c r="J43" s="28">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29">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7" t="n"/>
      <c r="M43" s="27" t="n"/>
      <c r="N43" s="27" t="n"/>
      <c r="O43" s="27" t="n"/>
      <c r="P43" s="27" t="n"/>
      <c r="Q43" s="27" t="n"/>
      <c r="R43" s="27" t="n"/>
      <c r="S43" s="27" t="n"/>
      <c r="T43" s="27" t="n"/>
      <c r="U43" s="27" t="n"/>
      <c r="V43" s="27" t="n"/>
      <c r="W43" s="27" t="n"/>
      <c r="X43" s="27" t="n"/>
      <c r="Y43" s="27" t="n"/>
      <c r="Z43" s="30" t="n"/>
      <c r="AA43" s="25" t="n"/>
      <c r="AB43" s="28">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ISNUMBER($Y43)*($Y43&lt;TODAY()))</f>
        <v/>
      </c>
    </row>
    <row r="44">
      <c r="A44" s="25" t="n"/>
      <c r="B44" s="26" t="n"/>
      <c r="C44" s="27" t="n"/>
      <c r="D44" s="25" t="n"/>
      <c r="E44" s="25" t="n"/>
      <c r="F44" s="27" t="n"/>
      <c r="G44" s="25" t="n"/>
      <c r="H44" s="28">
        <f>IF(OR(NOT(AND($A44&lt;&gt;"",OR($G44="",$G44="Active"))),$F44=""),"",INT((TODAY()-$F44+280)/7)&amp;"+"&amp;MOD(TODAY()-$F44+280,7))</f>
        <v/>
      </c>
      <c r="I44" s="28">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ISNUMBER($Y44)*($Y44&gt;=TODAY())*($Y44&lt;=TODAY()+7))</f>
        <v/>
      </c>
      <c r="J44" s="28">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29">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7" t="n"/>
      <c r="M44" s="27" t="n"/>
      <c r="N44" s="27" t="n"/>
      <c r="O44" s="27" t="n"/>
      <c r="P44" s="27" t="n"/>
      <c r="Q44" s="27" t="n"/>
      <c r="R44" s="27" t="n"/>
      <c r="S44" s="27" t="n"/>
      <c r="T44" s="27" t="n"/>
      <c r="U44" s="27" t="n"/>
      <c r="V44" s="27" t="n"/>
      <c r="W44" s="27" t="n"/>
      <c r="X44" s="27" t="n"/>
      <c r="Y44" s="27" t="n"/>
      <c r="Z44" s="30" t="n"/>
      <c r="AA44" s="25" t="n"/>
      <c r="AB44" s="28">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ISNUMBER($Y44)*($Y44&lt;TODAY()))</f>
        <v/>
      </c>
    </row>
    <row r="45">
      <c r="A45" s="25" t="n"/>
      <c r="B45" s="26" t="n"/>
      <c r="C45" s="27" t="n"/>
      <c r="D45" s="25" t="n"/>
      <c r="E45" s="25" t="n"/>
      <c r="F45" s="27" t="n"/>
      <c r="G45" s="25" t="n"/>
      <c r="H45" s="28">
        <f>IF(OR(NOT(AND($A45&lt;&gt;"",OR($G45="",$G45="Active"))),$F45=""),"",INT((TODAY()-$F45+280)/7)&amp;"+"&amp;MOD(TODAY()-$F45+280,7))</f>
        <v/>
      </c>
      <c r="I45" s="28">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ISNUMBER($Y45)*($Y45&gt;=TODAY())*($Y45&lt;=TODAY()+7))</f>
        <v/>
      </c>
      <c r="J45" s="28">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29">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7" t="n"/>
      <c r="M45" s="27" t="n"/>
      <c r="N45" s="27" t="n"/>
      <c r="O45" s="27" t="n"/>
      <c r="P45" s="27" t="n"/>
      <c r="Q45" s="27" t="n"/>
      <c r="R45" s="27" t="n"/>
      <c r="S45" s="27" t="n"/>
      <c r="T45" s="27" t="n"/>
      <c r="U45" s="27" t="n"/>
      <c r="V45" s="27" t="n"/>
      <c r="W45" s="27" t="n"/>
      <c r="X45" s="27" t="n"/>
      <c r="Y45" s="27" t="n"/>
      <c r="Z45" s="30" t="n"/>
      <c r="AA45" s="25" t="n"/>
      <c r="AB45" s="28">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ISNUMBER($Y45)*($Y45&lt;TODAY()))</f>
        <v/>
      </c>
    </row>
    <row r="46">
      <c r="A46" s="25" t="n"/>
      <c r="B46" s="26" t="n"/>
      <c r="C46" s="27" t="n"/>
      <c r="D46" s="25" t="n"/>
      <c r="E46" s="25" t="n"/>
      <c r="F46" s="27" t="n"/>
      <c r="G46" s="25" t="n"/>
      <c r="H46" s="28">
        <f>IF(OR(NOT(AND($A46&lt;&gt;"",OR($G46="",$G46="Active"))),$F46=""),"",INT((TODAY()-$F46+280)/7)&amp;"+"&amp;MOD(TODAY()-$F46+280,7))</f>
        <v/>
      </c>
      <c r="I46" s="28">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ISNUMBER($Y46)*($Y46&gt;=TODAY())*($Y46&lt;=TODAY()+7))</f>
        <v/>
      </c>
      <c r="J46" s="28">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29">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7" t="n"/>
      <c r="M46" s="27" t="n"/>
      <c r="N46" s="27" t="n"/>
      <c r="O46" s="27" t="n"/>
      <c r="P46" s="27" t="n"/>
      <c r="Q46" s="27" t="n"/>
      <c r="R46" s="27" t="n"/>
      <c r="S46" s="27" t="n"/>
      <c r="T46" s="27" t="n"/>
      <c r="U46" s="27" t="n"/>
      <c r="V46" s="27" t="n"/>
      <c r="W46" s="27" t="n"/>
      <c r="X46" s="27" t="n"/>
      <c r="Y46" s="27" t="n"/>
      <c r="Z46" s="30" t="n"/>
      <c r="AA46" s="25" t="n"/>
      <c r="AB46" s="28">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ISNUMBER($Y46)*($Y46&lt;TODAY()))</f>
        <v/>
      </c>
    </row>
    <row r="47">
      <c r="A47" s="25" t="n"/>
      <c r="B47" s="26" t="n"/>
      <c r="C47" s="27" t="n"/>
      <c r="D47" s="25" t="n"/>
      <c r="E47" s="25" t="n"/>
      <c r="F47" s="27" t="n"/>
      <c r="G47" s="25" t="n"/>
      <c r="H47" s="28">
        <f>IF(OR(NOT(AND($A47&lt;&gt;"",OR($G47="",$G47="Active"))),$F47=""),"",INT((TODAY()-$F47+280)/7)&amp;"+"&amp;MOD(TODAY()-$F47+280,7))</f>
        <v/>
      </c>
      <c r="I47" s="28">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ISNUMBER($Y47)*($Y47&gt;=TODAY())*($Y47&lt;=TODAY()+7))</f>
        <v/>
      </c>
      <c r="J47" s="28">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29">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7" t="n"/>
      <c r="M47" s="27" t="n"/>
      <c r="N47" s="27" t="n"/>
      <c r="O47" s="27" t="n"/>
      <c r="P47" s="27" t="n"/>
      <c r="Q47" s="27" t="n"/>
      <c r="R47" s="27" t="n"/>
      <c r="S47" s="27" t="n"/>
      <c r="T47" s="27" t="n"/>
      <c r="U47" s="27" t="n"/>
      <c r="V47" s="27" t="n"/>
      <c r="W47" s="27" t="n"/>
      <c r="X47" s="27" t="n"/>
      <c r="Y47" s="27" t="n"/>
      <c r="Z47" s="30" t="n"/>
      <c r="AA47" s="25" t="n"/>
      <c r="AB47" s="28">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ISNUMBER($Y47)*($Y47&lt;TODAY()))</f>
        <v/>
      </c>
    </row>
    <row r="48">
      <c r="A48" s="25" t="n"/>
      <c r="B48" s="26" t="n"/>
      <c r="C48" s="27" t="n"/>
      <c r="D48" s="25" t="n"/>
      <c r="E48" s="25" t="n"/>
      <c r="F48" s="27" t="n"/>
      <c r="G48" s="25" t="n"/>
      <c r="H48" s="28">
        <f>IF(OR(NOT(AND($A48&lt;&gt;"",OR($G48="",$G48="Active"))),$F48=""),"",INT((TODAY()-$F48+280)/7)&amp;"+"&amp;MOD(TODAY()-$F48+280,7))</f>
        <v/>
      </c>
      <c r="I48" s="28">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ISNUMBER($Y48)*($Y48&gt;=TODAY())*($Y48&lt;=TODAY()+7))</f>
        <v/>
      </c>
      <c r="J48" s="28">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29">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7" t="n"/>
      <c r="M48" s="27" t="n"/>
      <c r="N48" s="27" t="n"/>
      <c r="O48" s="27" t="n"/>
      <c r="P48" s="27" t="n"/>
      <c r="Q48" s="27" t="n"/>
      <c r="R48" s="27" t="n"/>
      <c r="S48" s="27" t="n"/>
      <c r="T48" s="27" t="n"/>
      <c r="U48" s="27" t="n"/>
      <c r="V48" s="27" t="n"/>
      <c r="W48" s="27" t="n"/>
      <c r="X48" s="27" t="n"/>
      <c r="Y48" s="27" t="n"/>
      <c r="Z48" s="30" t="n"/>
      <c r="AA48" s="25" t="n"/>
      <c r="AB48" s="28">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ISNUMBER($Y48)*($Y48&lt;TODAY()))</f>
        <v/>
      </c>
    </row>
    <row r="49">
      <c r="A49" s="25" t="n"/>
      <c r="B49" s="26" t="n"/>
      <c r="C49" s="27" t="n"/>
      <c r="D49" s="25" t="n"/>
      <c r="E49" s="25" t="n"/>
      <c r="F49" s="27" t="n"/>
      <c r="G49" s="25" t="n"/>
      <c r="H49" s="28">
        <f>IF(OR(NOT(AND($A49&lt;&gt;"",OR($G49="",$G49="Active"))),$F49=""),"",INT((TODAY()-$F49+280)/7)&amp;"+"&amp;MOD(TODAY()-$F49+280,7))</f>
        <v/>
      </c>
      <c r="I49" s="28">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ISNUMBER($Y49)*($Y49&gt;=TODAY())*($Y49&lt;=TODAY()+7))</f>
        <v/>
      </c>
      <c r="J49" s="28">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29">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7" t="n"/>
      <c r="M49" s="27" t="n"/>
      <c r="N49" s="27" t="n"/>
      <c r="O49" s="27" t="n"/>
      <c r="P49" s="27" t="n"/>
      <c r="Q49" s="27" t="n"/>
      <c r="R49" s="27" t="n"/>
      <c r="S49" s="27" t="n"/>
      <c r="T49" s="27" t="n"/>
      <c r="U49" s="27" t="n"/>
      <c r="V49" s="27" t="n"/>
      <c r="W49" s="27" t="n"/>
      <c r="X49" s="27" t="n"/>
      <c r="Y49" s="27" t="n"/>
      <c r="Z49" s="30" t="n"/>
      <c r="AA49" s="25" t="n"/>
      <c r="AB49" s="28">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ISNUMBER($Y49)*($Y49&lt;TODAY()))</f>
        <v/>
      </c>
    </row>
    <row r="50">
      <c r="A50" s="25" t="n"/>
      <c r="B50" s="26" t="n"/>
      <c r="C50" s="27" t="n"/>
      <c r="D50" s="25" t="n"/>
      <c r="E50" s="25" t="n"/>
      <c r="F50" s="27" t="n"/>
      <c r="G50" s="25" t="n"/>
      <c r="H50" s="28">
        <f>IF(OR(NOT(AND($A50&lt;&gt;"",OR($G50="",$G50="Active"))),$F50=""),"",INT((TODAY()-$F50+280)/7)&amp;"+"&amp;MOD(TODAY()-$F50+280,7))</f>
        <v/>
      </c>
      <c r="I50" s="28">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ISNUMBER($Y50)*($Y50&gt;=TODAY())*($Y50&lt;=TODAY()+7))</f>
        <v/>
      </c>
      <c r="J50" s="28">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29">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7" t="n"/>
      <c r="M50" s="27" t="n"/>
      <c r="N50" s="27" t="n"/>
      <c r="O50" s="27" t="n"/>
      <c r="P50" s="27" t="n"/>
      <c r="Q50" s="27" t="n"/>
      <c r="R50" s="27" t="n"/>
      <c r="S50" s="27" t="n"/>
      <c r="T50" s="27" t="n"/>
      <c r="U50" s="27" t="n"/>
      <c r="V50" s="27" t="n"/>
      <c r="W50" s="27" t="n"/>
      <c r="X50" s="27" t="n"/>
      <c r="Y50" s="27" t="n"/>
      <c r="Z50" s="30" t="n"/>
      <c r="AA50" s="25" t="n"/>
      <c r="AB50" s="28">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ISNUMBER($Y50)*($Y50&lt;TODAY()))</f>
        <v/>
      </c>
    </row>
    <row r="51">
      <c r="A51" s="25" t="n"/>
      <c r="B51" s="26" t="n"/>
      <c r="C51" s="27" t="n"/>
      <c r="D51" s="25" t="n"/>
      <c r="E51" s="25" t="n"/>
      <c r="F51" s="27" t="n"/>
      <c r="G51" s="25" t="n"/>
      <c r="H51" s="28">
        <f>IF(OR(NOT(AND($A51&lt;&gt;"",OR($G51="",$G51="Active"))),$F51=""),"",INT((TODAY()-$F51+280)/7)&amp;"+"&amp;MOD(TODAY()-$F51+280,7))</f>
        <v/>
      </c>
      <c r="I51" s="28">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ISNUMBER($Y51)*($Y51&gt;=TODAY())*($Y51&lt;=TODAY()+7))</f>
        <v/>
      </c>
      <c r="J51" s="28">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29">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7" t="n"/>
      <c r="M51" s="27" t="n"/>
      <c r="N51" s="27" t="n"/>
      <c r="O51" s="27" t="n"/>
      <c r="P51" s="27" t="n"/>
      <c r="Q51" s="27" t="n"/>
      <c r="R51" s="27" t="n"/>
      <c r="S51" s="27" t="n"/>
      <c r="T51" s="27" t="n"/>
      <c r="U51" s="27" t="n"/>
      <c r="V51" s="27" t="n"/>
      <c r="W51" s="27" t="n"/>
      <c r="X51" s="27" t="n"/>
      <c r="Y51" s="27" t="n"/>
      <c r="Z51" s="30" t="n"/>
      <c r="AA51" s="25" t="n"/>
      <c r="AB51" s="28">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ISNUMBER($Y51)*($Y51&lt;TODAY()))</f>
        <v/>
      </c>
    </row>
    <row r="52">
      <c r="A52" s="25" t="n"/>
      <c r="B52" s="26" t="n"/>
      <c r="C52" s="27" t="n"/>
      <c r="D52" s="25" t="n"/>
      <c r="E52" s="25" t="n"/>
      <c r="F52" s="27" t="n"/>
      <c r="G52" s="25" t="n"/>
      <c r="H52" s="28">
        <f>IF(OR(NOT(AND($A52&lt;&gt;"",OR($G52="",$G52="Active"))),$F52=""),"",INT((TODAY()-$F52+280)/7)&amp;"+"&amp;MOD(TODAY()-$F52+280,7))</f>
        <v/>
      </c>
      <c r="I52" s="28">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ISNUMBER($Y52)*($Y52&gt;=TODAY())*($Y52&lt;=TODAY()+7))</f>
        <v/>
      </c>
      <c r="J52" s="28">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29">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7" t="n"/>
      <c r="M52" s="27" t="n"/>
      <c r="N52" s="27" t="n"/>
      <c r="O52" s="27" t="n"/>
      <c r="P52" s="27" t="n"/>
      <c r="Q52" s="27" t="n"/>
      <c r="R52" s="27" t="n"/>
      <c r="S52" s="27" t="n"/>
      <c r="T52" s="27" t="n"/>
      <c r="U52" s="27" t="n"/>
      <c r="V52" s="27" t="n"/>
      <c r="W52" s="27" t="n"/>
      <c r="X52" s="27" t="n"/>
      <c r="Y52" s="27" t="n"/>
      <c r="Z52" s="30" t="n"/>
      <c r="AA52" s="25" t="n"/>
      <c r="AB52" s="28">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ISNUMBER($Y52)*($Y52&lt;TODAY()))</f>
        <v/>
      </c>
    </row>
    <row r="53">
      <c r="A53" s="25" t="n"/>
      <c r="B53" s="26" t="n"/>
      <c r="C53" s="27" t="n"/>
      <c r="D53" s="25" t="n"/>
      <c r="E53" s="25" t="n"/>
      <c r="F53" s="27" t="n"/>
      <c r="G53" s="25" t="n"/>
      <c r="H53" s="28">
        <f>IF(OR(NOT(AND($A53&lt;&gt;"",OR($G53="",$G53="Active"))),$F53=""),"",INT((TODAY()-$F53+280)/7)&amp;"+"&amp;MOD(TODAY()-$F53+280,7))</f>
        <v/>
      </c>
      <c r="I53" s="28">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ISNUMBER($Y53)*($Y53&gt;=TODAY())*($Y53&lt;=TODAY()+7))</f>
        <v/>
      </c>
      <c r="J53" s="28">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29">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7" t="n"/>
      <c r="M53" s="27" t="n"/>
      <c r="N53" s="27" t="n"/>
      <c r="O53" s="27" t="n"/>
      <c r="P53" s="27" t="n"/>
      <c r="Q53" s="27" t="n"/>
      <c r="R53" s="27" t="n"/>
      <c r="S53" s="27" t="n"/>
      <c r="T53" s="27" t="n"/>
      <c r="U53" s="27" t="n"/>
      <c r="V53" s="27" t="n"/>
      <c r="W53" s="27" t="n"/>
      <c r="X53" s="27" t="n"/>
      <c r="Y53" s="27" t="n"/>
      <c r="Z53" s="30" t="n"/>
      <c r="AA53" s="25" t="n"/>
      <c r="AB53" s="28">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ISNUMBER($Y53)*($Y53&lt;TODAY()))</f>
        <v/>
      </c>
    </row>
    <row r="54">
      <c r="A54" s="25" t="n"/>
      <c r="B54" s="26" t="n"/>
      <c r="C54" s="27" t="n"/>
      <c r="D54" s="25" t="n"/>
      <c r="E54" s="25" t="n"/>
      <c r="F54" s="27" t="n"/>
      <c r="G54" s="25" t="n"/>
      <c r="H54" s="28">
        <f>IF(OR(NOT(AND($A54&lt;&gt;"",OR($G54="",$G54="Active"))),$F54=""),"",INT((TODAY()-$F54+280)/7)&amp;"+"&amp;MOD(TODAY()-$F54+280,7))</f>
        <v/>
      </c>
      <c r="I54" s="28">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ISNUMBER($Y54)*($Y54&gt;=TODAY())*($Y54&lt;=TODAY()+7))</f>
        <v/>
      </c>
      <c r="J54" s="28">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29">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7" t="n"/>
      <c r="M54" s="27" t="n"/>
      <c r="N54" s="27" t="n"/>
      <c r="O54" s="27" t="n"/>
      <c r="P54" s="27" t="n"/>
      <c r="Q54" s="27" t="n"/>
      <c r="R54" s="27" t="n"/>
      <c r="S54" s="27" t="n"/>
      <c r="T54" s="27" t="n"/>
      <c r="U54" s="27" t="n"/>
      <c r="V54" s="27" t="n"/>
      <c r="W54" s="27" t="n"/>
      <c r="X54" s="27" t="n"/>
      <c r="Y54" s="27" t="n"/>
      <c r="Z54" s="30" t="n"/>
      <c r="AA54" s="25" t="n"/>
      <c r="AB54" s="28">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ISNUMBER($Y54)*($Y54&lt;TODAY()))</f>
        <v/>
      </c>
    </row>
    <row r="55">
      <c r="A55" s="25" t="n"/>
      <c r="B55" s="26" t="n"/>
      <c r="C55" s="27" t="n"/>
      <c r="D55" s="25" t="n"/>
      <c r="E55" s="25" t="n"/>
      <c r="F55" s="27" t="n"/>
      <c r="G55" s="25" t="n"/>
      <c r="H55" s="28">
        <f>IF(OR(NOT(AND($A55&lt;&gt;"",OR($G55="",$G55="Active"))),$F55=""),"",INT((TODAY()-$F55+280)/7)&amp;"+"&amp;MOD(TODAY()-$F55+280,7))</f>
        <v/>
      </c>
      <c r="I55" s="28">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ISNUMBER($Y55)*($Y55&gt;=TODAY())*($Y55&lt;=TODAY()+7))</f>
        <v/>
      </c>
      <c r="J55" s="28">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29">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7" t="n"/>
      <c r="M55" s="27" t="n"/>
      <c r="N55" s="27" t="n"/>
      <c r="O55" s="27" t="n"/>
      <c r="P55" s="27" t="n"/>
      <c r="Q55" s="27" t="n"/>
      <c r="R55" s="27" t="n"/>
      <c r="S55" s="27" t="n"/>
      <c r="T55" s="27" t="n"/>
      <c r="U55" s="27" t="n"/>
      <c r="V55" s="27" t="n"/>
      <c r="W55" s="27" t="n"/>
      <c r="X55" s="27" t="n"/>
      <c r="Y55" s="27" t="n"/>
      <c r="Z55" s="30" t="n"/>
      <c r="AA55" s="25" t="n"/>
      <c r="AB55" s="28">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ISNUMBER($Y55)*($Y55&lt;TODAY()))</f>
        <v/>
      </c>
    </row>
    <row r="56">
      <c r="A56" s="25" t="n"/>
      <c r="B56" s="26" t="n"/>
      <c r="C56" s="27" t="n"/>
      <c r="D56" s="25" t="n"/>
      <c r="E56" s="25" t="n"/>
      <c r="F56" s="27" t="n"/>
      <c r="G56" s="25" t="n"/>
      <c r="H56" s="28">
        <f>IF(OR(NOT(AND($A56&lt;&gt;"",OR($G56="",$G56="Active"))),$F56=""),"",INT((TODAY()-$F56+280)/7)&amp;"+"&amp;MOD(TODAY()-$F56+280,7))</f>
        <v/>
      </c>
      <c r="I56" s="28">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ISNUMBER($Y56)*($Y56&gt;=TODAY())*($Y56&lt;=TODAY()+7))</f>
        <v/>
      </c>
      <c r="J56" s="28">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29">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7" t="n"/>
      <c r="M56" s="27" t="n"/>
      <c r="N56" s="27" t="n"/>
      <c r="O56" s="27" t="n"/>
      <c r="P56" s="27" t="n"/>
      <c r="Q56" s="27" t="n"/>
      <c r="R56" s="27" t="n"/>
      <c r="S56" s="27" t="n"/>
      <c r="T56" s="27" t="n"/>
      <c r="U56" s="27" t="n"/>
      <c r="V56" s="27" t="n"/>
      <c r="W56" s="27" t="n"/>
      <c r="X56" s="27" t="n"/>
      <c r="Y56" s="27" t="n"/>
      <c r="Z56" s="30" t="n"/>
      <c r="AA56" s="25" t="n"/>
      <c r="AB56" s="28">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ISNUMBER($Y56)*($Y56&lt;TODAY()))</f>
        <v/>
      </c>
    </row>
    <row r="57">
      <c r="A57" s="25" t="n"/>
      <c r="B57" s="26" t="n"/>
      <c r="C57" s="27" t="n"/>
      <c r="D57" s="25" t="n"/>
      <c r="E57" s="25" t="n"/>
      <c r="F57" s="27" t="n"/>
      <c r="G57" s="25" t="n"/>
      <c r="H57" s="28">
        <f>IF(OR(NOT(AND($A57&lt;&gt;"",OR($G57="",$G57="Active"))),$F57=""),"",INT((TODAY()-$F57+280)/7)&amp;"+"&amp;MOD(TODAY()-$F57+280,7))</f>
        <v/>
      </c>
      <c r="I57" s="28">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ISNUMBER($Y57)*($Y57&gt;=TODAY())*($Y57&lt;=TODAY()+7))</f>
        <v/>
      </c>
      <c r="J57" s="28">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29">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7" t="n"/>
      <c r="M57" s="27" t="n"/>
      <c r="N57" s="27" t="n"/>
      <c r="O57" s="27" t="n"/>
      <c r="P57" s="27" t="n"/>
      <c r="Q57" s="27" t="n"/>
      <c r="R57" s="27" t="n"/>
      <c r="S57" s="27" t="n"/>
      <c r="T57" s="27" t="n"/>
      <c r="U57" s="27" t="n"/>
      <c r="V57" s="27" t="n"/>
      <c r="W57" s="27" t="n"/>
      <c r="X57" s="27" t="n"/>
      <c r="Y57" s="27" t="n"/>
      <c r="Z57" s="30" t="n"/>
      <c r="AA57" s="25" t="n"/>
      <c r="AB57" s="28">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ISNUMBER($Y57)*($Y57&lt;TODAY()))</f>
        <v/>
      </c>
    </row>
    <row r="58">
      <c r="A58" s="25" t="n"/>
      <c r="B58" s="26" t="n"/>
      <c r="C58" s="27" t="n"/>
      <c r="D58" s="25" t="n"/>
      <c r="E58" s="25" t="n"/>
      <c r="F58" s="27" t="n"/>
      <c r="G58" s="25" t="n"/>
      <c r="H58" s="28">
        <f>IF(OR(NOT(AND($A58&lt;&gt;"",OR($G58="",$G58="Active"))),$F58=""),"",INT((TODAY()-$F58+280)/7)&amp;"+"&amp;MOD(TODAY()-$F58+280,7))</f>
        <v/>
      </c>
      <c r="I58" s="28">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ISNUMBER($Y58)*($Y58&gt;=TODAY())*($Y58&lt;=TODAY()+7))</f>
        <v/>
      </c>
      <c r="J58" s="28">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29">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7" t="n"/>
      <c r="M58" s="27" t="n"/>
      <c r="N58" s="27" t="n"/>
      <c r="O58" s="27" t="n"/>
      <c r="P58" s="27" t="n"/>
      <c r="Q58" s="27" t="n"/>
      <c r="R58" s="27" t="n"/>
      <c r="S58" s="27" t="n"/>
      <c r="T58" s="27" t="n"/>
      <c r="U58" s="27" t="n"/>
      <c r="V58" s="27" t="n"/>
      <c r="W58" s="27" t="n"/>
      <c r="X58" s="27" t="n"/>
      <c r="Y58" s="27" t="n"/>
      <c r="Z58" s="30" t="n"/>
      <c r="AA58" s="25" t="n"/>
      <c r="AB58" s="28">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ISNUMBER($Y58)*($Y58&lt;TODAY()))</f>
        <v/>
      </c>
    </row>
    <row r="59">
      <c r="A59" s="25" t="n"/>
      <c r="B59" s="26" t="n"/>
      <c r="C59" s="27" t="n"/>
      <c r="D59" s="25" t="n"/>
      <c r="E59" s="25" t="n"/>
      <c r="F59" s="27" t="n"/>
      <c r="G59" s="25" t="n"/>
      <c r="H59" s="28">
        <f>IF(OR(NOT(AND($A59&lt;&gt;"",OR($G59="",$G59="Active"))),$F59=""),"",INT((TODAY()-$F59+280)/7)&amp;"+"&amp;MOD(TODAY()-$F59+280,7))</f>
        <v/>
      </c>
      <c r="I59" s="28">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ISNUMBER($Y59)*($Y59&gt;=TODAY())*($Y59&lt;=TODAY()+7))</f>
        <v/>
      </c>
      <c r="J59" s="28">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29">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7" t="n"/>
      <c r="M59" s="27" t="n"/>
      <c r="N59" s="27" t="n"/>
      <c r="O59" s="27" t="n"/>
      <c r="P59" s="27" t="n"/>
      <c r="Q59" s="27" t="n"/>
      <c r="R59" s="27" t="n"/>
      <c r="S59" s="27" t="n"/>
      <c r="T59" s="27" t="n"/>
      <c r="U59" s="27" t="n"/>
      <c r="V59" s="27" t="n"/>
      <c r="W59" s="27" t="n"/>
      <c r="X59" s="27" t="n"/>
      <c r="Y59" s="27" t="n"/>
      <c r="Z59" s="30" t="n"/>
      <c r="AA59" s="25" t="n"/>
      <c r="AB59" s="28">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ISNUMBER($Y59)*($Y59&lt;TODAY()))</f>
        <v/>
      </c>
    </row>
    <row r="60">
      <c r="A60" s="25" t="n"/>
      <c r="B60" s="26" t="n"/>
      <c r="C60" s="27" t="n"/>
      <c r="D60" s="25" t="n"/>
      <c r="E60" s="25" t="n"/>
      <c r="F60" s="27" t="n"/>
      <c r="G60" s="25" t="n"/>
      <c r="H60" s="28">
        <f>IF(OR(NOT(AND($A60&lt;&gt;"",OR($G60="",$G60="Active"))),$F60=""),"",INT((TODAY()-$F60+280)/7)&amp;"+"&amp;MOD(TODAY()-$F60+280,7))</f>
        <v/>
      </c>
      <c r="I60" s="28">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ISNUMBER($Y60)*($Y60&gt;=TODAY())*($Y60&lt;=TODAY()+7))</f>
        <v/>
      </c>
      <c r="J60" s="28">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29">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7" t="n"/>
      <c r="M60" s="27" t="n"/>
      <c r="N60" s="27" t="n"/>
      <c r="O60" s="27" t="n"/>
      <c r="P60" s="27" t="n"/>
      <c r="Q60" s="27" t="n"/>
      <c r="R60" s="27" t="n"/>
      <c r="S60" s="27" t="n"/>
      <c r="T60" s="27" t="n"/>
      <c r="U60" s="27" t="n"/>
      <c r="V60" s="27" t="n"/>
      <c r="W60" s="27" t="n"/>
      <c r="X60" s="27" t="n"/>
      <c r="Y60" s="27" t="n"/>
      <c r="Z60" s="30" t="n"/>
      <c r="AA60" s="25" t="n"/>
      <c r="AB60" s="28">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ISNUMBER($Y60)*($Y60&lt;TODAY()))</f>
        <v/>
      </c>
    </row>
    <row r="61">
      <c r="A61" s="25" t="n"/>
      <c r="B61" s="26" t="n"/>
      <c r="C61" s="27" t="n"/>
      <c r="D61" s="25" t="n"/>
      <c r="E61" s="25" t="n"/>
      <c r="F61" s="27" t="n"/>
      <c r="G61" s="25" t="n"/>
      <c r="H61" s="28">
        <f>IF(OR(NOT(AND($A61&lt;&gt;"",OR($G61="",$G61="Active"))),$F61=""),"",INT((TODAY()-$F61+280)/7)&amp;"+"&amp;MOD(TODAY()-$F61+280,7))</f>
        <v/>
      </c>
      <c r="I61" s="28">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ISNUMBER($Y61)*($Y61&gt;=TODAY())*($Y61&lt;=TODAY()+7))</f>
        <v/>
      </c>
      <c r="J61" s="28">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29">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7" t="n"/>
      <c r="M61" s="27" t="n"/>
      <c r="N61" s="27" t="n"/>
      <c r="O61" s="27" t="n"/>
      <c r="P61" s="27" t="n"/>
      <c r="Q61" s="27" t="n"/>
      <c r="R61" s="27" t="n"/>
      <c r="S61" s="27" t="n"/>
      <c r="T61" s="27" t="n"/>
      <c r="U61" s="27" t="n"/>
      <c r="V61" s="27" t="n"/>
      <c r="W61" s="27" t="n"/>
      <c r="X61" s="27" t="n"/>
      <c r="Y61" s="27" t="n"/>
      <c r="Z61" s="30" t="n"/>
      <c r="AA61" s="25" t="n"/>
      <c r="AB61" s="28">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ISNUMBER($Y61)*($Y61&lt;TODAY()))</f>
        <v/>
      </c>
    </row>
    <row r="62">
      <c r="A62" s="25" t="n"/>
      <c r="B62" s="26" t="n"/>
      <c r="C62" s="27" t="n"/>
      <c r="D62" s="25" t="n"/>
      <c r="E62" s="25" t="n"/>
      <c r="F62" s="27" t="n"/>
      <c r="G62" s="25" t="n"/>
      <c r="H62" s="28">
        <f>IF(OR(NOT(AND($A62&lt;&gt;"",OR($G62="",$G62="Active"))),$F62=""),"",INT((TODAY()-$F62+280)/7)&amp;"+"&amp;MOD(TODAY()-$F62+280,7))</f>
        <v/>
      </c>
      <c r="I62" s="28">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ISNUMBER($Y62)*($Y62&gt;=TODAY())*($Y62&lt;=TODAY()+7))</f>
        <v/>
      </c>
      <c r="J62" s="28">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29">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7" t="n"/>
      <c r="M62" s="27" t="n"/>
      <c r="N62" s="27" t="n"/>
      <c r="O62" s="27" t="n"/>
      <c r="P62" s="27" t="n"/>
      <c r="Q62" s="27" t="n"/>
      <c r="R62" s="27" t="n"/>
      <c r="S62" s="27" t="n"/>
      <c r="T62" s="27" t="n"/>
      <c r="U62" s="27" t="n"/>
      <c r="V62" s="27" t="n"/>
      <c r="W62" s="27" t="n"/>
      <c r="X62" s="27" t="n"/>
      <c r="Y62" s="27" t="n"/>
      <c r="Z62" s="30" t="n"/>
      <c r="AA62" s="25" t="n"/>
      <c r="AB62" s="28">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ISNUMBER($Y62)*($Y62&lt;TODAY()))</f>
        <v/>
      </c>
    </row>
    <row r="63">
      <c r="A63" s="25" t="n"/>
      <c r="B63" s="26" t="n"/>
      <c r="C63" s="27" t="n"/>
      <c r="D63" s="25" t="n"/>
      <c r="E63" s="25" t="n"/>
      <c r="F63" s="27" t="n"/>
      <c r="G63" s="25" t="n"/>
      <c r="H63" s="28">
        <f>IF(OR(NOT(AND($A63&lt;&gt;"",OR($G63="",$G63="Active"))),$F63=""),"",INT((TODAY()-$F63+280)/7)&amp;"+"&amp;MOD(TODAY()-$F63+280,7))</f>
        <v/>
      </c>
      <c r="I63" s="28">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ISNUMBER($Y63)*($Y63&gt;=TODAY())*($Y63&lt;=TODAY()+7))</f>
        <v/>
      </c>
      <c r="J63" s="28">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29">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7" t="n"/>
      <c r="M63" s="27" t="n"/>
      <c r="N63" s="27" t="n"/>
      <c r="O63" s="27" t="n"/>
      <c r="P63" s="27" t="n"/>
      <c r="Q63" s="27" t="n"/>
      <c r="R63" s="27" t="n"/>
      <c r="S63" s="27" t="n"/>
      <c r="T63" s="27" t="n"/>
      <c r="U63" s="27" t="n"/>
      <c r="V63" s="27" t="n"/>
      <c r="W63" s="27" t="n"/>
      <c r="X63" s="27" t="n"/>
      <c r="Y63" s="27" t="n"/>
      <c r="Z63" s="30" t="n"/>
      <c r="AA63" s="25" t="n"/>
      <c r="AB63" s="28">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ISNUMBER($Y63)*($Y63&lt;TODAY()))</f>
        <v/>
      </c>
    </row>
    <row r="64">
      <c r="A64" s="25" t="n"/>
      <c r="B64" s="26" t="n"/>
      <c r="C64" s="27" t="n"/>
      <c r="D64" s="25" t="n"/>
      <c r="E64" s="25" t="n"/>
      <c r="F64" s="27" t="n"/>
      <c r="G64" s="25" t="n"/>
      <c r="H64" s="28">
        <f>IF(OR(NOT(AND($A64&lt;&gt;"",OR($G64="",$G64="Active"))),$F64=""),"",INT((TODAY()-$F64+280)/7)&amp;"+"&amp;MOD(TODAY()-$F64+280,7))</f>
        <v/>
      </c>
      <c r="I64" s="28">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ISNUMBER($Y64)*($Y64&gt;=TODAY())*($Y64&lt;=TODAY()+7))</f>
        <v/>
      </c>
      <c r="J64" s="28">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29">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7" t="n"/>
      <c r="M64" s="27" t="n"/>
      <c r="N64" s="27" t="n"/>
      <c r="O64" s="27" t="n"/>
      <c r="P64" s="27" t="n"/>
      <c r="Q64" s="27" t="n"/>
      <c r="R64" s="27" t="n"/>
      <c r="S64" s="27" t="n"/>
      <c r="T64" s="27" t="n"/>
      <c r="U64" s="27" t="n"/>
      <c r="V64" s="27" t="n"/>
      <c r="W64" s="27" t="n"/>
      <c r="X64" s="27" t="n"/>
      <c r="Y64" s="27" t="n"/>
      <c r="Z64" s="30" t="n"/>
      <c r="AA64" s="25" t="n"/>
      <c r="AB64" s="28">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ISNUMBER($Y64)*($Y64&lt;TODAY()))</f>
        <v/>
      </c>
    </row>
    <row r="65">
      <c r="A65" s="25" t="n"/>
      <c r="B65" s="26" t="n"/>
      <c r="C65" s="27" t="n"/>
      <c r="D65" s="25" t="n"/>
      <c r="E65" s="25" t="n"/>
      <c r="F65" s="27" t="n"/>
      <c r="G65" s="25" t="n"/>
      <c r="H65" s="28">
        <f>IF(OR(NOT(AND($A65&lt;&gt;"",OR($G65="",$G65="Active"))),$F65=""),"",INT((TODAY()-$F65+280)/7)&amp;"+"&amp;MOD(TODAY()-$F65+280,7))</f>
        <v/>
      </c>
      <c r="I65" s="28">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ISNUMBER($Y65)*($Y65&gt;=TODAY())*($Y65&lt;=TODAY()+7))</f>
        <v/>
      </c>
      <c r="J65" s="28">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29">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7" t="n"/>
      <c r="M65" s="27" t="n"/>
      <c r="N65" s="27" t="n"/>
      <c r="O65" s="27" t="n"/>
      <c r="P65" s="27" t="n"/>
      <c r="Q65" s="27" t="n"/>
      <c r="R65" s="27" t="n"/>
      <c r="S65" s="27" t="n"/>
      <c r="T65" s="27" t="n"/>
      <c r="U65" s="27" t="n"/>
      <c r="V65" s="27" t="n"/>
      <c r="W65" s="27" t="n"/>
      <c r="X65" s="27" t="n"/>
      <c r="Y65" s="27" t="n"/>
      <c r="Z65" s="30" t="n"/>
      <c r="AA65" s="25" t="n"/>
      <c r="AB65" s="28">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ISNUMBER($Y65)*($Y65&lt;TODAY()))</f>
        <v/>
      </c>
    </row>
    <row r="66">
      <c r="A66" s="25" t="n"/>
      <c r="B66" s="26" t="n"/>
      <c r="C66" s="27" t="n"/>
      <c r="D66" s="25" t="n"/>
      <c r="E66" s="25" t="n"/>
      <c r="F66" s="27" t="n"/>
      <c r="G66" s="25" t="n"/>
      <c r="H66" s="28">
        <f>IF(OR(NOT(AND($A66&lt;&gt;"",OR($G66="",$G66="Active"))),$F66=""),"",INT((TODAY()-$F66+280)/7)&amp;"+"&amp;MOD(TODAY()-$F66+280,7))</f>
        <v/>
      </c>
      <c r="I66" s="28">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ISNUMBER($Y66)*($Y66&gt;=TODAY())*($Y66&lt;=TODAY()+7))</f>
        <v/>
      </c>
      <c r="J66" s="28">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29">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7" t="n"/>
      <c r="M66" s="27" t="n"/>
      <c r="N66" s="27" t="n"/>
      <c r="O66" s="27" t="n"/>
      <c r="P66" s="27" t="n"/>
      <c r="Q66" s="27" t="n"/>
      <c r="R66" s="27" t="n"/>
      <c r="S66" s="27" t="n"/>
      <c r="T66" s="27" t="n"/>
      <c r="U66" s="27" t="n"/>
      <c r="V66" s="27" t="n"/>
      <c r="W66" s="27" t="n"/>
      <c r="X66" s="27" t="n"/>
      <c r="Y66" s="27" t="n"/>
      <c r="Z66" s="30" t="n"/>
      <c r="AA66" s="25" t="n"/>
      <c r="AB66" s="28">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ISNUMBER($Y66)*($Y66&lt;TODAY()))</f>
        <v/>
      </c>
    </row>
    <row r="67">
      <c r="A67" s="25" t="n"/>
      <c r="B67" s="26" t="n"/>
      <c r="C67" s="27" t="n"/>
      <c r="D67" s="25" t="n"/>
      <c r="E67" s="25" t="n"/>
      <c r="F67" s="27" t="n"/>
      <c r="G67" s="25" t="n"/>
      <c r="H67" s="28">
        <f>IF(OR(NOT(AND($A67&lt;&gt;"",OR($G67="",$G67="Active"))),$F67=""),"",INT((TODAY()-$F67+280)/7)&amp;"+"&amp;MOD(TODAY()-$F67+280,7))</f>
        <v/>
      </c>
      <c r="I67" s="28">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ISNUMBER($Y67)*($Y67&gt;=TODAY())*($Y67&lt;=TODAY()+7))</f>
        <v/>
      </c>
      <c r="J67" s="28">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29">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7" t="n"/>
      <c r="M67" s="27" t="n"/>
      <c r="N67" s="27" t="n"/>
      <c r="O67" s="27" t="n"/>
      <c r="P67" s="27" t="n"/>
      <c r="Q67" s="27" t="n"/>
      <c r="R67" s="27" t="n"/>
      <c r="S67" s="27" t="n"/>
      <c r="T67" s="27" t="n"/>
      <c r="U67" s="27" t="n"/>
      <c r="V67" s="27" t="n"/>
      <c r="W67" s="27" t="n"/>
      <c r="X67" s="27" t="n"/>
      <c r="Y67" s="27" t="n"/>
      <c r="Z67" s="30" t="n"/>
      <c r="AA67" s="25" t="n"/>
      <c r="AB67" s="28">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ISNUMBER($Y67)*($Y67&lt;TODAY()))</f>
        <v/>
      </c>
    </row>
    <row r="68">
      <c r="A68" s="25" t="n"/>
      <c r="B68" s="26" t="n"/>
      <c r="C68" s="27" t="n"/>
      <c r="D68" s="25" t="n"/>
      <c r="E68" s="25" t="n"/>
      <c r="F68" s="27" t="n"/>
      <c r="G68" s="25" t="n"/>
      <c r="H68" s="28">
        <f>IF(OR(NOT(AND($A68&lt;&gt;"",OR($G68="",$G68="Active"))),$F68=""),"",INT((TODAY()-$F68+280)/7)&amp;"+"&amp;MOD(TODAY()-$F68+280,7))</f>
        <v/>
      </c>
      <c r="I68" s="28">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ISNUMBER($Y68)*($Y68&gt;=TODAY())*($Y68&lt;=TODAY()+7))</f>
        <v/>
      </c>
      <c r="J68" s="28">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29">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7" t="n"/>
      <c r="M68" s="27" t="n"/>
      <c r="N68" s="27" t="n"/>
      <c r="O68" s="27" t="n"/>
      <c r="P68" s="27" t="n"/>
      <c r="Q68" s="27" t="n"/>
      <c r="R68" s="27" t="n"/>
      <c r="S68" s="27" t="n"/>
      <c r="T68" s="27" t="n"/>
      <c r="U68" s="27" t="n"/>
      <c r="V68" s="27" t="n"/>
      <c r="W68" s="27" t="n"/>
      <c r="X68" s="27" t="n"/>
      <c r="Y68" s="27" t="n"/>
      <c r="Z68" s="30" t="n"/>
      <c r="AA68" s="25" t="n"/>
      <c r="AB68" s="28">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ISNUMBER($Y68)*($Y68&lt;TODAY()))</f>
        <v/>
      </c>
    </row>
    <row r="69">
      <c r="A69" s="25" t="n"/>
      <c r="B69" s="26" t="n"/>
      <c r="C69" s="27" t="n"/>
      <c r="D69" s="25" t="n"/>
      <c r="E69" s="25" t="n"/>
      <c r="F69" s="27" t="n"/>
      <c r="G69" s="25" t="n"/>
      <c r="H69" s="28">
        <f>IF(OR(NOT(AND($A69&lt;&gt;"",OR($G69="",$G69="Active"))),$F69=""),"",INT((TODAY()-$F69+280)/7)&amp;"+"&amp;MOD(TODAY()-$F69+280,7))</f>
        <v/>
      </c>
      <c r="I69" s="28">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ISNUMBER($Y69)*($Y69&gt;=TODAY())*($Y69&lt;=TODAY()+7))</f>
        <v/>
      </c>
      <c r="J69" s="28">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29">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7" t="n"/>
      <c r="M69" s="27" t="n"/>
      <c r="N69" s="27" t="n"/>
      <c r="O69" s="27" t="n"/>
      <c r="P69" s="27" t="n"/>
      <c r="Q69" s="27" t="n"/>
      <c r="R69" s="27" t="n"/>
      <c r="S69" s="27" t="n"/>
      <c r="T69" s="27" t="n"/>
      <c r="U69" s="27" t="n"/>
      <c r="V69" s="27" t="n"/>
      <c r="W69" s="27" t="n"/>
      <c r="X69" s="27" t="n"/>
      <c r="Y69" s="27" t="n"/>
      <c r="Z69" s="30" t="n"/>
      <c r="AA69" s="25" t="n"/>
      <c r="AB69" s="28">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ISNUMBER($Y69)*($Y69&lt;TODAY()))</f>
        <v/>
      </c>
    </row>
    <row r="70">
      <c r="A70" s="25" t="n"/>
      <c r="B70" s="26" t="n"/>
      <c r="C70" s="27" t="n"/>
      <c r="D70" s="25" t="n"/>
      <c r="E70" s="25" t="n"/>
      <c r="F70" s="27" t="n"/>
      <c r="G70" s="25" t="n"/>
      <c r="H70" s="28">
        <f>IF(OR(NOT(AND($A70&lt;&gt;"",OR($G70="",$G70="Active"))),$F70=""),"",INT((TODAY()-$F70+280)/7)&amp;"+"&amp;MOD(TODAY()-$F70+280,7))</f>
        <v/>
      </c>
      <c r="I70" s="28">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ISNUMBER($Y70)*($Y70&gt;=TODAY())*($Y70&lt;=TODAY()+7))</f>
        <v/>
      </c>
      <c r="J70" s="28">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29">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7" t="n"/>
      <c r="M70" s="27" t="n"/>
      <c r="N70" s="27" t="n"/>
      <c r="O70" s="27" t="n"/>
      <c r="P70" s="27" t="n"/>
      <c r="Q70" s="27" t="n"/>
      <c r="R70" s="27" t="n"/>
      <c r="S70" s="27" t="n"/>
      <c r="T70" s="27" t="n"/>
      <c r="U70" s="27" t="n"/>
      <c r="V70" s="27" t="n"/>
      <c r="W70" s="27" t="n"/>
      <c r="X70" s="27" t="n"/>
      <c r="Y70" s="27" t="n"/>
      <c r="Z70" s="30" t="n"/>
      <c r="AA70" s="25" t="n"/>
      <c r="AB70" s="28">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ISNUMBER($Y70)*($Y70&lt;TODAY()))</f>
        <v/>
      </c>
    </row>
    <row r="71">
      <c r="A71" s="25" t="n"/>
      <c r="B71" s="26" t="n"/>
      <c r="C71" s="27" t="n"/>
      <c r="D71" s="25" t="n"/>
      <c r="E71" s="25" t="n"/>
      <c r="F71" s="27" t="n"/>
      <c r="G71" s="25" t="n"/>
      <c r="H71" s="28">
        <f>IF(OR(NOT(AND($A71&lt;&gt;"",OR($G71="",$G71="Active"))),$F71=""),"",INT((TODAY()-$F71+280)/7)&amp;"+"&amp;MOD(TODAY()-$F71+280,7))</f>
        <v/>
      </c>
      <c r="I71" s="28">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ISNUMBER($Y71)*($Y71&gt;=TODAY())*($Y71&lt;=TODAY()+7))</f>
        <v/>
      </c>
      <c r="J71" s="28">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29">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7" t="n"/>
      <c r="M71" s="27" t="n"/>
      <c r="N71" s="27" t="n"/>
      <c r="O71" s="27" t="n"/>
      <c r="P71" s="27" t="n"/>
      <c r="Q71" s="27" t="n"/>
      <c r="R71" s="27" t="n"/>
      <c r="S71" s="27" t="n"/>
      <c r="T71" s="27" t="n"/>
      <c r="U71" s="27" t="n"/>
      <c r="V71" s="27" t="n"/>
      <c r="W71" s="27" t="n"/>
      <c r="X71" s="27" t="n"/>
      <c r="Y71" s="27" t="n"/>
      <c r="Z71" s="30" t="n"/>
      <c r="AA71" s="25" t="n"/>
      <c r="AB71" s="28">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ISNUMBER($Y71)*($Y71&lt;TODAY()))</f>
        <v/>
      </c>
    </row>
    <row r="72">
      <c r="A72" s="25" t="n"/>
      <c r="B72" s="26" t="n"/>
      <c r="C72" s="27" t="n"/>
      <c r="D72" s="25" t="n"/>
      <c r="E72" s="25" t="n"/>
      <c r="F72" s="27" t="n"/>
      <c r="G72" s="25" t="n"/>
      <c r="H72" s="28">
        <f>IF(OR(NOT(AND($A72&lt;&gt;"",OR($G72="",$G72="Active"))),$F72=""),"",INT((TODAY()-$F72+280)/7)&amp;"+"&amp;MOD(TODAY()-$F72+280,7))</f>
        <v/>
      </c>
      <c r="I72" s="28">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ISNUMBER($Y72)*($Y72&gt;=TODAY())*($Y72&lt;=TODAY()+7))</f>
        <v/>
      </c>
      <c r="J72" s="28">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29">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7" t="n"/>
      <c r="M72" s="27" t="n"/>
      <c r="N72" s="27" t="n"/>
      <c r="O72" s="27" t="n"/>
      <c r="P72" s="27" t="n"/>
      <c r="Q72" s="27" t="n"/>
      <c r="R72" s="27" t="n"/>
      <c r="S72" s="27" t="n"/>
      <c r="T72" s="27" t="n"/>
      <c r="U72" s="27" t="n"/>
      <c r="V72" s="27" t="n"/>
      <c r="W72" s="27" t="n"/>
      <c r="X72" s="27" t="n"/>
      <c r="Y72" s="27" t="n"/>
      <c r="Z72" s="30" t="n"/>
      <c r="AA72" s="25" t="n"/>
      <c r="AB72" s="28">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ISNUMBER($Y72)*($Y72&lt;TODAY()))</f>
        <v/>
      </c>
    </row>
    <row r="73">
      <c r="A73" s="25" t="n"/>
      <c r="B73" s="26" t="n"/>
      <c r="C73" s="27" t="n"/>
      <c r="D73" s="25" t="n"/>
      <c r="E73" s="25" t="n"/>
      <c r="F73" s="27" t="n"/>
      <c r="G73" s="25" t="n"/>
      <c r="H73" s="28">
        <f>IF(OR(NOT(AND($A73&lt;&gt;"",OR($G73="",$G73="Active"))),$F73=""),"",INT((TODAY()-$F73+280)/7)&amp;"+"&amp;MOD(TODAY()-$F73+280,7))</f>
        <v/>
      </c>
      <c r="I73" s="28">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ISNUMBER($Y73)*($Y73&gt;=TODAY())*($Y73&lt;=TODAY()+7))</f>
        <v/>
      </c>
      <c r="J73" s="28">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29">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7" t="n"/>
      <c r="M73" s="27" t="n"/>
      <c r="N73" s="27" t="n"/>
      <c r="O73" s="27" t="n"/>
      <c r="P73" s="27" t="n"/>
      <c r="Q73" s="27" t="n"/>
      <c r="R73" s="27" t="n"/>
      <c r="S73" s="27" t="n"/>
      <c r="T73" s="27" t="n"/>
      <c r="U73" s="27" t="n"/>
      <c r="V73" s="27" t="n"/>
      <c r="W73" s="27" t="n"/>
      <c r="X73" s="27" t="n"/>
      <c r="Y73" s="27" t="n"/>
      <c r="Z73" s="30" t="n"/>
      <c r="AA73" s="25" t="n"/>
      <c r="AB73" s="28">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ISNUMBER($Y73)*($Y73&lt;TODAY()))</f>
        <v/>
      </c>
    </row>
    <row r="74">
      <c r="A74" s="25" t="n"/>
      <c r="B74" s="26" t="n"/>
      <c r="C74" s="27" t="n"/>
      <c r="D74" s="25" t="n"/>
      <c r="E74" s="25" t="n"/>
      <c r="F74" s="27" t="n"/>
      <c r="G74" s="25" t="n"/>
      <c r="H74" s="28">
        <f>IF(OR(NOT(AND($A74&lt;&gt;"",OR($G74="",$G74="Active"))),$F74=""),"",INT((TODAY()-$F74+280)/7)&amp;"+"&amp;MOD(TODAY()-$F74+280,7))</f>
        <v/>
      </c>
      <c r="I74" s="28">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ISNUMBER($Y74)*($Y74&gt;=TODAY())*($Y74&lt;=TODAY()+7))</f>
        <v/>
      </c>
      <c r="J74" s="28">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29">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7" t="n"/>
      <c r="M74" s="27" t="n"/>
      <c r="N74" s="27" t="n"/>
      <c r="O74" s="27" t="n"/>
      <c r="P74" s="27" t="n"/>
      <c r="Q74" s="27" t="n"/>
      <c r="R74" s="27" t="n"/>
      <c r="S74" s="27" t="n"/>
      <c r="T74" s="27" t="n"/>
      <c r="U74" s="27" t="n"/>
      <c r="V74" s="27" t="n"/>
      <c r="W74" s="27" t="n"/>
      <c r="X74" s="27" t="n"/>
      <c r="Y74" s="27" t="n"/>
      <c r="Z74" s="30" t="n"/>
      <c r="AA74" s="25" t="n"/>
      <c r="AB74" s="28">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ISNUMBER($Y74)*($Y74&lt;TODAY()))</f>
        <v/>
      </c>
    </row>
    <row r="75">
      <c r="A75" s="25" t="n"/>
      <c r="B75" s="26" t="n"/>
      <c r="C75" s="27" t="n"/>
      <c r="D75" s="25" t="n"/>
      <c r="E75" s="25" t="n"/>
      <c r="F75" s="27" t="n"/>
      <c r="G75" s="25" t="n"/>
      <c r="H75" s="28">
        <f>IF(OR(NOT(AND($A75&lt;&gt;"",OR($G75="",$G75="Active"))),$F75=""),"",INT((TODAY()-$F75+280)/7)&amp;"+"&amp;MOD(TODAY()-$F75+280,7))</f>
        <v/>
      </c>
      <c r="I75" s="28">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ISNUMBER($Y75)*($Y75&gt;=TODAY())*($Y75&lt;=TODAY()+7))</f>
        <v/>
      </c>
      <c r="J75" s="28">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29">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7" t="n"/>
      <c r="M75" s="27" t="n"/>
      <c r="N75" s="27" t="n"/>
      <c r="O75" s="27" t="n"/>
      <c r="P75" s="27" t="n"/>
      <c r="Q75" s="27" t="n"/>
      <c r="R75" s="27" t="n"/>
      <c r="S75" s="27" t="n"/>
      <c r="T75" s="27" t="n"/>
      <c r="U75" s="27" t="n"/>
      <c r="V75" s="27" t="n"/>
      <c r="W75" s="27" t="n"/>
      <c r="X75" s="27" t="n"/>
      <c r="Y75" s="27" t="n"/>
      <c r="Z75" s="30" t="n"/>
      <c r="AA75" s="25" t="n"/>
      <c r="AB75" s="28">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ISNUMBER($Y75)*($Y75&lt;TODAY()))</f>
        <v/>
      </c>
    </row>
    <row r="76">
      <c r="A76" s="25" t="n"/>
      <c r="B76" s="26" t="n"/>
      <c r="C76" s="27" t="n"/>
      <c r="D76" s="25" t="n"/>
      <c r="E76" s="25" t="n"/>
      <c r="F76" s="27" t="n"/>
      <c r="G76" s="25" t="n"/>
      <c r="H76" s="28">
        <f>IF(OR(NOT(AND($A76&lt;&gt;"",OR($G76="",$G76="Active"))),$F76=""),"",INT((TODAY()-$F76+280)/7)&amp;"+"&amp;MOD(TODAY()-$F76+280,7))</f>
        <v/>
      </c>
      <c r="I76" s="28">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ISNUMBER($Y76)*($Y76&gt;=TODAY())*($Y76&lt;=TODAY()+7))</f>
        <v/>
      </c>
      <c r="J76" s="28">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29">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7" t="n"/>
      <c r="M76" s="27" t="n"/>
      <c r="N76" s="27" t="n"/>
      <c r="O76" s="27" t="n"/>
      <c r="P76" s="27" t="n"/>
      <c r="Q76" s="27" t="n"/>
      <c r="R76" s="27" t="n"/>
      <c r="S76" s="27" t="n"/>
      <c r="T76" s="27" t="n"/>
      <c r="U76" s="27" t="n"/>
      <c r="V76" s="27" t="n"/>
      <c r="W76" s="27" t="n"/>
      <c r="X76" s="27" t="n"/>
      <c r="Y76" s="27" t="n"/>
      <c r="Z76" s="30" t="n"/>
      <c r="AA76" s="25" t="n"/>
      <c r="AB76" s="28">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ISNUMBER($Y76)*($Y76&lt;TODAY()))</f>
        <v/>
      </c>
    </row>
    <row r="77">
      <c r="A77" s="25" t="n"/>
      <c r="B77" s="26" t="n"/>
      <c r="C77" s="27" t="n"/>
      <c r="D77" s="25" t="n"/>
      <c r="E77" s="25" t="n"/>
      <c r="F77" s="27" t="n"/>
      <c r="G77" s="25" t="n"/>
      <c r="H77" s="28">
        <f>IF(OR(NOT(AND($A77&lt;&gt;"",OR($G77="",$G77="Active"))),$F77=""),"",INT((TODAY()-$F77+280)/7)&amp;"+"&amp;MOD(TODAY()-$F77+280,7))</f>
        <v/>
      </c>
      <c r="I77" s="28">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ISNUMBER($Y77)*($Y77&gt;=TODAY())*($Y77&lt;=TODAY()+7))</f>
        <v/>
      </c>
      <c r="J77" s="28">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29">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7" t="n"/>
      <c r="M77" s="27" t="n"/>
      <c r="N77" s="27" t="n"/>
      <c r="O77" s="27" t="n"/>
      <c r="P77" s="27" t="n"/>
      <c r="Q77" s="27" t="n"/>
      <c r="R77" s="27" t="n"/>
      <c r="S77" s="27" t="n"/>
      <c r="T77" s="27" t="n"/>
      <c r="U77" s="27" t="n"/>
      <c r="V77" s="27" t="n"/>
      <c r="W77" s="27" t="n"/>
      <c r="X77" s="27" t="n"/>
      <c r="Y77" s="27" t="n"/>
      <c r="Z77" s="30" t="n"/>
      <c r="AA77" s="25" t="n"/>
      <c r="AB77" s="28">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ISNUMBER($Y77)*($Y77&lt;TODAY()))</f>
        <v/>
      </c>
    </row>
    <row r="78">
      <c r="A78" s="25" t="n"/>
      <c r="B78" s="26" t="n"/>
      <c r="C78" s="27" t="n"/>
      <c r="D78" s="25" t="n"/>
      <c r="E78" s="25" t="n"/>
      <c r="F78" s="27" t="n"/>
      <c r="G78" s="25" t="n"/>
      <c r="H78" s="28">
        <f>IF(OR(NOT(AND($A78&lt;&gt;"",OR($G78="",$G78="Active"))),$F78=""),"",INT((TODAY()-$F78+280)/7)&amp;"+"&amp;MOD(TODAY()-$F78+280,7))</f>
        <v/>
      </c>
      <c r="I78" s="28">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ISNUMBER($Y78)*($Y78&gt;=TODAY())*($Y78&lt;=TODAY()+7))</f>
        <v/>
      </c>
      <c r="J78" s="28">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29">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7" t="n"/>
      <c r="M78" s="27" t="n"/>
      <c r="N78" s="27" t="n"/>
      <c r="O78" s="27" t="n"/>
      <c r="P78" s="27" t="n"/>
      <c r="Q78" s="27" t="n"/>
      <c r="R78" s="27" t="n"/>
      <c r="S78" s="27" t="n"/>
      <c r="T78" s="27" t="n"/>
      <c r="U78" s="27" t="n"/>
      <c r="V78" s="27" t="n"/>
      <c r="W78" s="27" t="n"/>
      <c r="X78" s="27" t="n"/>
      <c r="Y78" s="27" t="n"/>
      <c r="Z78" s="30" t="n"/>
      <c r="AA78" s="25" t="n"/>
      <c r="AB78" s="28">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ISNUMBER($Y78)*($Y78&lt;TODAY()))</f>
        <v/>
      </c>
    </row>
    <row r="79">
      <c r="A79" s="25" t="n"/>
      <c r="B79" s="26" t="n"/>
      <c r="C79" s="27" t="n"/>
      <c r="D79" s="25" t="n"/>
      <c r="E79" s="25" t="n"/>
      <c r="F79" s="27" t="n"/>
      <c r="G79" s="25" t="n"/>
      <c r="H79" s="28">
        <f>IF(OR(NOT(AND($A79&lt;&gt;"",OR($G79="",$G79="Active"))),$F79=""),"",INT((TODAY()-$F79+280)/7)&amp;"+"&amp;MOD(TODAY()-$F79+280,7))</f>
        <v/>
      </c>
      <c r="I79" s="28">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ISNUMBER($Y79)*($Y79&gt;=TODAY())*($Y79&lt;=TODAY()+7))</f>
        <v/>
      </c>
      <c r="J79" s="28">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29">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7" t="n"/>
      <c r="M79" s="27" t="n"/>
      <c r="N79" s="27" t="n"/>
      <c r="O79" s="27" t="n"/>
      <c r="P79" s="27" t="n"/>
      <c r="Q79" s="27" t="n"/>
      <c r="R79" s="27" t="n"/>
      <c r="S79" s="27" t="n"/>
      <c r="T79" s="27" t="n"/>
      <c r="U79" s="27" t="n"/>
      <c r="V79" s="27" t="n"/>
      <c r="W79" s="27" t="n"/>
      <c r="X79" s="27" t="n"/>
      <c r="Y79" s="27" t="n"/>
      <c r="Z79" s="30" t="n"/>
      <c r="AA79" s="25" t="n"/>
      <c r="AB79" s="28">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ISNUMBER($Y79)*($Y79&lt;TODAY()))</f>
        <v/>
      </c>
    </row>
    <row r="80">
      <c r="A80" s="25" t="n"/>
      <c r="B80" s="26" t="n"/>
      <c r="C80" s="27" t="n"/>
      <c r="D80" s="25" t="n"/>
      <c r="E80" s="25" t="n"/>
      <c r="F80" s="27" t="n"/>
      <c r="G80" s="25" t="n"/>
      <c r="H80" s="28">
        <f>IF(OR(NOT(AND($A80&lt;&gt;"",OR($G80="",$G80="Active"))),$F80=""),"",INT((TODAY()-$F80+280)/7)&amp;"+"&amp;MOD(TODAY()-$F80+280,7))</f>
        <v/>
      </c>
      <c r="I80" s="28">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ISNUMBER($Y80)*($Y80&gt;=TODAY())*($Y80&lt;=TODAY()+7))</f>
        <v/>
      </c>
      <c r="J80" s="28">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29">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7" t="n"/>
      <c r="M80" s="27" t="n"/>
      <c r="N80" s="27" t="n"/>
      <c r="O80" s="27" t="n"/>
      <c r="P80" s="27" t="n"/>
      <c r="Q80" s="27" t="n"/>
      <c r="R80" s="27" t="n"/>
      <c r="S80" s="27" t="n"/>
      <c r="T80" s="27" t="n"/>
      <c r="U80" s="27" t="n"/>
      <c r="V80" s="27" t="n"/>
      <c r="W80" s="27" t="n"/>
      <c r="X80" s="27" t="n"/>
      <c r="Y80" s="27" t="n"/>
      <c r="Z80" s="30" t="n"/>
      <c r="AA80" s="25" t="n"/>
      <c r="AB80" s="28">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ISNUMBER($Y80)*($Y80&lt;TODAY()))</f>
        <v/>
      </c>
    </row>
    <row r="81">
      <c r="A81" s="25" t="n"/>
      <c r="B81" s="26" t="n"/>
      <c r="C81" s="27" t="n"/>
      <c r="D81" s="25" t="n"/>
      <c r="E81" s="25" t="n"/>
      <c r="F81" s="27" t="n"/>
      <c r="G81" s="25" t="n"/>
      <c r="H81" s="28">
        <f>IF(OR(NOT(AND($A81&lt;&gt;"",OR($G81="",$G81="Active"))),$F81=""),"",INT((TODAY()-$F81+280)/7)&amp;"+"&amp;MOD(TODAY()-$F81+280,7))</f>
        <v/>
      </c>
      <c r="I81" s="28">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ISNUMBER($Y81)*($Y81&gt;=TODAY())*($Y81&lt;=TODAY()+7))</f>
        <v/>
      </c>
      <c r="J81" s="28">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29">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7" t="n"/>
      <c r="M81" s="27" t="n"/>
      <c r="N81" s="27" t="n"/>
      <c r="O81" s="27" t="n"/>
      <c r="P81" s="27" t="n"/>
      <c r="Q81" s="27" t="n"/>
      <c r="R81" s="27" t="n"/>
      <c r="S81" s="27" t="n"/>
      <c r="T81" s="27" t="n"/>
      <c r="U81" s="27" t="n"/>
      <c r="V81" s="27" t="n"/>
      <c r="W81" s="27" t="n"/>
      <c r="X81" s="27" t="n"/>
      <c r="Y81" s="27" t="n"/>
      <c r="Z81" s="30" t="n"/>
      <c r="AA81" s="25" t="n"/>
      <c r="AB81" s="28">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ISNUMBER($Y81)*($Y81&lt;TODAY()))</f>
        <v/>
      </c>
    </row>
    <row r="82">
      <c r="A82" s="25" t="n"/>
      <c r="B82" s="26" t="n"/>
      <c r="C82" s="27" t="n"/>
      <c r="D82" s="25" t="n"/>
      <c r="E82" s="25" t="n"/>
      <c r="F82" s="27" t="n"/>
      <c r="G82" s="25" t="n"/>
      <c r="H82" s="28">
        <f>IF(OR(NOT(AND($A82&lt;&gt;"",OR($G82="",$G82="Active"))),$F82=""),"",INT((TODAY()-$F82+280)/7)&amp;"+"&amp;MOD(TODAY()-$F82+280,7))</f>
        <v/>
      </c>
      <c r="I82" s="28">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ISNUMBER($Y82)*($Y82&gt;=TODAY())*($Y82&lt;=TODAY()+7))</f>
        <v/>
      </c>
      <c r="J82" s="28">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29">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7" t="n"/>
      <c r="M82" s="27" t="n"/>
      <c r="N82" s="27" t="n"/>
      <c r="O82" s="27" t="n"/>
      <c r="P82" s="27" t="n"/>
      <c r="Q82" s="27" t="n"/>
      <c r="R82" s="27" t="n"/>
      <c r="S82" s="27" t="n"/>
      <c r="T82" s="27" t="n"/>
      <c r="U82" s="27" t="n"/>
      <c r="V82" s="27" t="n"/>
      <c r="W82" s="27" t="n"/>
      <c r="X82" s="27" t="n"/>
      <c r="Y82" s="27" t="n"/>
      <c r="Z82" s="30" t="n"/>
      <c r="AA82" s="25" t="n"/>
      <c r="AB82" s="28">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ISNUMBER($Y82)*($Y82&lt;TODAY()))</f>
        <v/>
      </c>
    </row>
    <row r="83">
      <c r="A83" s="25" t="n"/>
      <c r="B83" s="26" t="n"/>
      <c r="C83" s="27" t="n"/>
      <c r="D83" s="25" t="n"/>
      <c r="E83" s="25" t="n"/>
      <c r="F83" s="27" t="n"/>
      <c r="G83" s="25" t="n"/>
      <c r="H83" s="28">
        <f>IF(OR(NOT(AND($A83&lt;&gt;"",OR($G83="",$G83="Active"))),$F83=""),"",INT((TODAY()-$F83+280)/7)&amp;"+"&amp;MOD(TODAY()-$F83+280,7))</f>
        <v/>
      </c>
      <c r="I83" s="28">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ISNUMBER($Y83)*($Y83&gt;=TODAY())*($Y83&lt;=TODAY()+7))</f>
        <v/>
      </c>
      <c r="J83" s="28">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29">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7" t="n"/>
      <c r="M83" s="27" t="n"/>
      <c r="N83" s="27" t="n"/>
      <c r="O83" s="27" t="n"/>
      <c r="P83" s="27" t="n"/>
      <c r="Q83" s="27" t="n"/>
      <c r="R83" s="27" t="n"/>
      <c r="S83" s="27" t="n"/>
      <c r="T83" s="27" t="n"/>
      <c r="U83" s="27" t="n"/>
      <c r="V83" s="27" t="n"/>
      <c r="W83" s="27" t="n"/>
      <c r="X83" s="27" t="n"/>
      <c r="Y83" s="27" t="n"/>
      <c r="Z83" s="30" t="n"/>
      <c r="AA83" s="25" t="n"/>
      <c r="AB83" s="28">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ISNUMBER($Y83)*($Y83&lt;TODAY()))</f>
        <v/>
      </c>
    </row>
    <row r="84">
      <c r="A84" s="25" t="n"/>
      <c r="B84" s="26" t="n"/>
      <c r="C84" s="27" t="n"/>
      <c r="D84" s="25" t="n"/>
      <c r="E84" s="25" t="n"/>
      <c r="F84" s="27" t="n"/>
      <c r="G84" s="25" t="n"/>
      <c r="H84" s="28">
        <f>IF(OR(NOT(AND($A84&lt;&gt;"",OR($G84="",$G84="Active"))),$F84=""),"",INT((TODAY()-$F84+280)/7)&amp;"+"&amp;MOD(TODAY()-$F84+280,7))</f>
        <v/>
      </c>
      <c r="I84" s="28">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ISNUMBER($Y84)*($Y84&gt;=TODAY())*($Y84&lt;=TODAY()+7))</f>
        <v/>
      </c>
      <c r="J84" s="28">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29">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7" t="n"/>
      <c r="M84" s="27" t="n"/>
      <c r="N84" s="27" t="n"/>
      <c r="O84" s="27" t="n"/>
      <c r="P84" s="27" t="n"/>
      <c r="Q84" s="27" t="n"/>
      <c r="R84" s="27" t="n"/>
      <c r="S84" s="27" t="n"/>
      <c r="T84" s="27" t="n"/>
      <c r="U84" s="27" t="n"/>
      <c r="V84" s="27" t="n"/>
      <c r="W84" s="27" t="n"/>
      <c r="X84" s="27" t="n"/>
      <c r="Y84" s="27" t="n"/>
      <c r="Z84" s="30" t="n"/>
      <c r="AA84" s="25" t="n"/>
      <c r="AB84" s="28">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ISNUMBER($Y84)*($Y84&lt;TODAY()))</f>
        <v/>
      </c>
    </row>
    <row r="85">
      <c r="A85" s="25" t="n"/>
      <c r="B85" s="26" t="n"/>
      <c r="C85" s="27" t="n"/>
      <c r="D85" s="25" t="n"/>
      <c r="E85" s="25" t="n"/>
      <c r="F85" s="27" t="n"/>
      <c r="G85" s="25" t="n"/>
      <c r="H85" s="28">
        <f>IF(OR(NOT(AND($A85&lt;&gt;"",OR($G85="",$G85="Active"))),$F85=""),"",INT((TODAY()-$F85+280)/7)&amp;"+"&amp;MOD(TODAY()-$F85+280,7))</f>
        <v/>
      </c>
      <c r="I85" s="28">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ISNUMBER($Y85)*($Y85&gt;=TODAY())*($Y85&lt;=TODAY()+7))</f>
        <v/>
      </c>
      <c r="J85" s="28">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29">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7" t="n"/>
      <c r="M85" s="27" t="n"/>
      <c r="N85" s="27" t="n"/>
      <c r="O85" s="27" t="n"/>
      <c r="P85" s="27" t="n"/>
      <c r="Q85" s="27" t="n"/>
      <c r="R85" s="27" t="n"/>
      <c r="S85" s="27" t="n"/>
      <c r="T85" s="27" t="n"/>
      <c r="U85" s="27" t="n"/>
      <c r="V85" s="27" t="n"/>
      <c r="W85" s="27" t="n"/>
      <c r="X85" s="27" t="n"/>
      <c r="Y85" s="27" t="n"/>
      <c r="Z85" s="30" t="n"/>
      <c r="AA85" s="25" t="n"/>
      <c r="AB85" s="28">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ISNUMBER($Y85)*($Y85&lt;TODAY()))</f>
        <v/>
      </c>
    </row>
    <row r="86">
      <c r="A86" s="25" t="n"/>
      <c r="B86" s="26" t="n"/>
      <c r="C86" s="27" t="n"/>
      <c r="D86" s="25" t="n"/>
      <c r="E86" s="25" t="n"/>
      <c r="F86" s="27" t="n"/>
      <c r="G86" s="25" t="n"/>
      <c r="H86" s="28">
        <f>IF(OR(NOT(AND($A86&lt;&gt;"",OR($G86="",$G86="Active"))),$F86=""),"",INT((TODAY()-$F86+280)/7)&amp;"+"&amp;MOD(TODAY()-$F86+280,7))</f>
        <v/>
      </c>
      <c r="I86" s="28">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ISNUMBER($Y86)*($Y86&gt;=TODAY())*($Y86&lt;=TODAY()+7))</f>
        <v/>
      </c>
      <c r="J86" s="28">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29">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7" t="n"/>
      <c r="M86" s="27" t="n"/>
      <c r="N86" s="27" t="n"/>
      <c r="O86" s="27" t="n"/>
      <c r="P86" s="27" t="n"/>
      <c r="Q86" s="27" t="n"/>
      <c r="R86" s="27" t="n"/>
      <c r="S86" s="27" t="n"/>
      <c r="T86" s="27" t="n"/>
      <c r="U86" s="27" t="n"/>
      <c r="V86" s="27" t="n"/>
      <c r="W86" s="27" t="n"/>
      <c r="X86" s="27" t="n"/>
      <c r="Y86" s="27" t="n"/>
      <c r="Z86" s="30" t="n"/>
      <c r="AA86" s="25" t="n"/>
      <c r="AB86" s="28">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ISNUMBER($Y86)*($Y86&lt;TODAY()))</f>
        <v/>
      </c>
    </row>
    <row r="87">
      <c r="A87" s="25" t="n"/>
      <c r="B87" s="26" t="n"/>
      <c r="C87" s="27" t="n"/>
      <c r="D87" s="25" t="n"/>
      <c r="E87" s="25" t="n"/>
      <c r="F87" s="27" t="n"/>
      <c r="G87" s="25" t="n"/>
      <c r="H87" s="28">
        <f>IF(OR(NOT(AND($A87&lt;&gt;"",OR($G87="",$G87="Active"))),$F87=""),"",INT((TODAY()-$F87+280)/7)&amp;"+"&amp;MOD(TODAY()-$F87+280,7))</f>
        <v/>
      </c>
      <c r="I87" s="28">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ISNUMBER($Y87)*($Y87&gt;=TODAY())*($Y87&lt;=TODAY()+7))</f>
        <v/>
      </c>
      <c r="J87" s="28">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29">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7" t="n"/>
      <c r="M87" s="27" t="n"/>
      <c r="N87" s="27" t="n"/>
      <c r="O87" s="27" t="n"/>
      <c r="P87" s="27" t="n"/>
      <c r="Q87" s="27" t="n"/>
      <c r="R87" s="27" t="n"/>
      <c r="S87" s="27" t="n"/>
      <c r="T87" s="27" t="n"/>
      <c r="U87" s="27" t="n"/>
      <c r="V87" s="27" t="n"/>
      <c r="W87" s="27" t="n"/>
      <c r="X87" s="27" t="n"/>
      <c r="Y87" s="27" t="n"/>
      <c r="Z87" s="30" t="n"/>
      <c r="AA87" s="25" t="n"/>
      <c r="AB87" s="28">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ISNUMBER($Y87)*($Y87&lt;TODAY()))</f>
        <v/>
      </c>
    </row>
    <row r="88">
      <c r="A88" s="25" t="n"/>
      <c r="B88" s="26" t="n"/>
      <c r="C88" s="27" t="n"/>
      <c r="D88" s="25" t="n"/>
      <c r="E88" s="25" t="n"/>
      <c r="F88" s="27" t="n"/>
      <c r="G88" s="25" t="n"/>
      <c r="H88" s="28">
        <f>IF(OR(NOT(AND($A88&lt;&gt;"",OR($G88="",$G88="Active"))),$F88=""),"",INT((TODAY()-$F88+280)/7)&amp;"+"&amp;MOD(TODAY()-$F88+280,7))</f>
        <v/>
      </c>
      <c r="I88" s="28">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ISNUMBER($Y88)*($Y88&gt;=TODAY())*($Y88&lt;=TODAY()+7))</f>
        <v/>
      </c>
      <c r="J88" s="28">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29">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7" t="n"/>
      <c r="M88" s="27" t="n"/>
      <c r="N88" s="27" t="n"/>
      <c r="O88" s="27" t="n"/>
      <c r="P88" s="27" t="n"/>
      <c r="Q88" s="27" t="n"/>
      <c r="R88" s="27" t="n"/>
      <c r="S88" s="27" t="n"/>
      <c r="T88" s="27" t="n"/>
      <c r="U88" s="27" t="n"/>
      <c r="V88" s="27" t="n"/>
      <c r="W88" s="27" t="n"/>
      <c r="X88" s="27" t="n"/>
      <c r="Y88" s="27" t="n"/>
      <c r="Z88" s="30" t="n"/>
      <c r="AA88" s="25" t="n"/>
      <c r="AB88" s="28">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ISNUMBER($Y88)*($Y88&lt;TODAY()))</f>
        <v/>
      </c>
    </row>
    <row r="89">
      <c r="A89" s="25" t="n"/>
      <c r="B89" s="26" t="n"/>
      <c r="C89" s="27" t="n"/>
      <c r="D89" s="25" t="n"/>
      <c r="E89" s="25" t="n"/>
      <c r="F89" s="27" t="n"/>
      <c r="G89" s="25" t="n"/>
      <c r="H89" s="28">
        <f>IF(OR(NOT(AND($A89&lt;&gt;"",OR($G89="",$G89="Active"))),$F89=""),"",INT((TODAY()-$F89+280)/7)&amp;"+"&amp;MOD(TODAY()-$F89+280,7))</f>
        <v/>
      </c>
      <c r="I89" s="28">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ISNUMBER($Y89)*($Y89&gt;=TODAY())*($Y89&lt;=TODAY()+7))</f>
        <v/>
      </c>
      <c r="J89" s="28">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29">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7" t="n"/>
      <c r="M89" s="27" t="n"/>
      <c r="N89" s="27" t="n"/>
      <c r="O89" s="27" t="n"/>
      <c r="P89" s="27" t="n"/>
      <c r="Q89" s="27" t="n"/>
      <c r="R89" s="27" t="n"/>
      <c r="S89" s="27" t="n"/>
      <c r="T89" s="27" t="n"/>
      <c r="U89" s="27" t="n"/>
      <c r="V89" s="27" t="n"/>
      <c r="W89" s="27" t="n"/>
      <c r="X89" s="27" t="n"/>
      <c r="Y89" s="27" t="n"/>
      <c r="Z89" s="30" t="n"/>
      <c r="AA89" s="25" t="n"/>
      <c r="AB89" s="28">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ISNUMBER($Y89)*($Y89&lt;TODAY()))</f>
        <v/>
      </c>
    </row>
    <row r="90">
      <c r="A90" s="25" t="n"/>
      <c r="B90" s="26" t="n"/>
      <c r="C90" s="27" t="n"/>
      <c r="D90" s="25" t="n"/>
      <c r="E90" s="25" t="n"/>
      <c r="F90" s="27" t="n"/>
      <c r="G90" s="25" t="n"/>
      <c r="H90" s="28">
        <f>IF(OR(NOT(AND($A90&lt;&gt;"",OR($G90="",$G90="Active"))),$F90=""),"",INT((TODAY()-$F90+280)/7)&amp;"+"&amp;MOD(TODAY()-$F90+280,7))</f>
        <v/>
      </c>
      <c r="I90" s="28">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ISNUMBER($Y90)*($Y90&gt;=TODAY())*($Y90&lt;=TODAY()+7))</f>
        <v/>
      </c>
      <c r="J90" s="28">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29">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7" t="n"/>
      <c r="M90" s="27" t="n"/>
      <c r="N90" s="27" t="n"/>
      <c r="O90" s="27" t="n"/>
      <c r="P90" s="27" t="n"/>
      <c r="Q90" s="27" t="n"/>
      <c r="R90" s="27" t="n"/>
      <c r="S90" s="27" t="n"/>
      <c r="T90" s="27" t="n"/>
      <c r="U90" s="27" t="n"/>
      <c r="V90" s="27" t="n"/>
      <c r="W90" s="27" t="n"/>
      <c r="X90" s="27" t="n"/>
      <c r="Y90" s="27" t="n"/>
      <c r="Z90" s="30" t="n"/>
      <c r="AA90" s="25" t="n"/>
      <c r="AB90" s="28">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ISNUMBER($Y90)*($Y90&lt;TODAY()))</f>
        <v/>
      </c>
    </row>
    <row r="91">
      <c r="A91" s="25" t="n"/>
      <c r="B91" s="26" t="n"/>
      <c r="C91" s="27" t="n"/>
      <c r="D91" s="25" t="n"/>
      <c r="E91" s="25" t="n"/>
      <c r="F91" s="27" t="n"/>
      <c r="G91" s="25" t="n"/>
      <c r="H91" s="28">
        <f>IF(OR(NOT(AND($A91&lt;&gt;"",OR($G91="",$G91="Active"))),$F91=""),"",INT((TODAY()-$F91+280)/7)&amp;"+"&amp;MOD(TODAY()-$F91+280,7))</f>
        <v/>
      </c>
      <c r="I91" s="28">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ISNUMBER($Y91)*($Y91&gt;=TODAY())*($Y91&lt;=TODAY()+7))</f>
        <v/>
      </c>
      <c r="J91" s="28">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29">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7" t="n"/>
      <c r="M91" s="27" t="n"/>
      <c r="N91" s="27" t="n"/>
      <c r="O91" s="27" t="n"/>
      <c r="P91" s="27" t="n"/>
      <c r="Q91" s="27" t="n"/>
      <c r="R91" s="27" t="n"/>
      <c r="S91" s="27" t="n"/>
      <c r="T91" s="27" t="n"/>
      <c r="U91" s="27" t="n"/>
      <c r="V91" s="27" t="n"/>
      <c r="W91" s="27" t="n"/>
      <c r="X91" s="27" t="n"/>
      <c r="Y91" s="27" t="n"/>
      <c r="Z91" s="30" t="n"/>
      <c r="AA91" s="25" t="n"/>
      <c r="AB91" s="28">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ISNUMBER($Y91)*($Y91&lt;TODAY()))</f>
        <v/>
      </c>
    </row>
    <row r="92">
      <c r="A92" s="25" t="n"/>
      <c r="B92" s="26" t="n"/>
      <c r="C92" s="27" t="n"/>
      <c r="D92" s="25" t="n"/>
      <c r="E92" s="25" t="n"/>
      <c r="F92" s="27" t="n"/>
      <c r="G92" s="25" t="n"/>
      <c r="H92" s="28">
        <f>IF(OR(NOT(AND($A92&lt;&gt;"",OR($G92="",$G92="Active"))),$F92=""),"",INT((TODAY()-$F92+280)/7)&amp;"+"&amp;MOD(TODAY()-$F92+280,7))</f>
        <v/>
      </c>
      <c r="I92" s="28">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ISNUMBER($Y92)*($Y92&gt;=TODAY())*($Y92&lt;=TODAY()+7))</f>
        <v/>
      </c>
      <c r="J92" s="28">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29">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7" t="n"/>
      <c r="M92" s="27" t="n"/>
      <c r="N92" s="27" t="n"/>
      <c r="O92" s="27" t="n"/>
      <c r="P92" s="27" t="n"/>
      <c r="Q92" s="27" t="n"/>
      <c r="R92" s="27" t="n"/>
      <c r="S92" s="27" t="n"/>
      <c r="T92" s="27" t="n"/>
      <c r="U92" s="27" t="n"/>
      <c r="V92" s="27" t="n"/>
      <c r="W92" s="27" t="n"/>
      <c r="X92" s="27" t="n"/>
      <c r="Y92" s="27" t="n"/>
      <c r="Z92" s="30" t="n"/>
      <c r="AA92" s="25" t="n"/>
      <c r="AB92" s="28">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ISNUMBER($Y92)*($Y92&lt;TODAY()))</f>
        <v/>
      </c>
    </row>
    <row r="93">
      <c r="A93" s="25" t="n"/>
      <c r="B93" s="26" t="n"/>
      <c r="C93" s="27" t="n"/>
      <c r="D93" s="25" t="n"/>
      <c r="E93" s="25" t="n"/>
      <c r="F93" s="27" t="n"/>
      <c r="G93" s="25" t="n"/>
      <c r="H93" s="28">
        <f>IF(OR(NOT(AND($A93&lt;&gt;"",OR($G93="",$G93="Active"))),$F93=""),"",INT((TODAY()-$F93+280)/7)&amp;"+"&amp;MOD(TODAY()-$F93+280,7))</f>
        <v/>
      </c>
      <c r="I93" s="28">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ISNUMBER($Y93)*($Y93&gt;=TODAY())*($Y93&lt;=TODAY()+7))</f>
        <v/>
      </c>
      <c r="J93" s="28">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29">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7" t="n"/>
      <c r="M93" s="27" t="n"/>
      <c r="N93" s="27" t="n"/>
      <c r="O93" s="27" t="n"/>
      <c r="P93" s="27" t="n"/>
      <c r="Q93" s="27" t="n"/>
      <c r="R93" s="27" t="n"/>
      <c r="S93" s="27" t="n"/>
      <c r="T93" s="27" t="n"/>
      <c r="U93" s="27" t="n"/>
      <c r="V93" s="27" t="n"/>
      <c r="W93" s="27" t="n"/>
      <c r="X93" s="27" t="n"/>
      <c r="Y93" s="27" t="n"/>
      <c r="Z93" s="30" t="n"/>
      <c r="AA93" s="25" t="n"/>
      <c r="AB93" s="28">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ISNUMBER($Y93)*($Y93&lt;TODAY()))</f>
        <v/>
      </c>
    </row>
    <row r="94">
      <c r="A94" s="25" t="n"/>
      <c r="B94" s="26" t="n"/>
      <c r="C94" s="27" t="n"/>
      <c r="D94" s="25" t="n"/>
      <c r="E94" s="25" t="n"/>
      <c r="F94" s="27" t="n"/>
      <c r="G94" s="25" t="n"/>
      <c r="H94" s="28">
        <f>IF(OR(NOT(AND($A94&lt;&gt;"",OR($G94="",$G94="Active"))),$F94=""),"",INT((TODAY()-$F94+280)/7)&amp;"+"&amp;MOD(TODAY()-$F94+280,7))</f>
        <v/>
      </c>
      <c r="I94" s="28">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ISNUMBER($Y94)*($Y94&gt;=TODAY())*($Y94&lt;=TODAY()+7))</f>
        <v/>
      </c>
      <c r="J94" s="28">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29">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7" t="n"/>
      <c r="M94" s="27" t="n"/>
      <c r="N94" s="27" t="n"/>
      <c r="O94" s="27" t="n"/>
      <c r="P94" s="27" t="n"/>
      <c r="Q94" s="27" t="n"/>
      <c r="R94" s="27" t="n"/>
      <c r="S94" s="27" t="n"/>
      <c r="T94" s="27" t="n"/>
      <c r="U94" s="27" t="n"/>
      <c r="V94" s="27" t="n"/>
      <c r="W94" s="27" t="n"/>
      <c r="X94" s="27" t="n"/>
      <c r="Y94" s="27" t="n"/>
      <c r="Z94" s="30" t="n"/>
      <c r="AA94" s="25" t="n"/>
      <c r="AB94" s="28">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ISNUMBER($Y94)*($Y94&lt;TODAY()))</f>
        <v/>
      </c>
    </row>
    <row r="95">
      <c r="A95" s="25" t="n"/>
      <c r="B95" s="26" t="n"/>
      <c r="C95" s="27" t="n"/>
      <c r="D95" s="25" t="n"/>
      <c r="E95" s="25" t="n"/>
      <c r="F95" s="27" t="n"/>
      <c r="G95" s="25" t="n"/>
      <c r="H95" s="28">
        <f>IF(OR(NOT(AND($A95&lt;&gt;"",OR($G95="",$G95="Active"))),$F95=""),"",INT((TODAY()-$F95+280)/7)&amp;"+"&amp;MOD(TODAY()-$F95+280,7))</f>
        <v/>
      </c>
      <c r="I95" s="28">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ISNUMBER($Y95)*($Y95&gt;=TODAY())*($Y95&lt;=TODAY()+7))</f>
        <v/>
      </c>
      <c r="J95" s="28">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29">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7" t="n"/>
      <c r="M95" s="27" t="n"/>
      <c r="N95" s="27" t="n"/>
      <c r="O95" s="27" t="n"/>
      <c r="P95" s="27" t="n"/>
      <c r="Q95" s="27" t="n"/>
      <c r="R95" s="27" t="n"/>
      <c r="S95" s="27" t="n"/>
      <c r="T95" s="27" t="n"/>
      <c r="U95" s="27" t="n"/>
      <c r="V95" s="27" t="n"/>
      <c r="W95" s="27" t="n"/>
      <c r="X95" s="27" t="n"/>
      <c r="Y95" s="27" t="n"/>
      <c r="Z95" s="30" t="n"/>
      <c r="AA95" s="25" t="n"/>
      <c r="AB95" s="28">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ISNUMBER($Y95)*($Y95&lt;TODAY()))</f>
        <v/>
      </c>
    </row>
    <row r="96">
      <c r="A96" s="25" t="n"/>
      <c r="B96" s="26" t="n"/>
      <c r="C96" s="27" t="n"/>
      <c r="D96" s="25" t="n"/>
      <c r="E96" s="25" t="n"/>
      <c r="F96" s="27" t="n"/>
      <c r="G96" s="25" t="n"/>
      <c r="H96" s="28">
        <f>IF(OR(NOT(AND($A96&lt;&gt;"",OR($G96="",$G96="Active"))),$F96=""),"",INT((TODAY()-$F96+280)/7)&amp;"+"&amp;MOD(TODAY()-$F96+280,7))</f>
        <v/>
      </c>
      <c r="I96" s="28">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ISNUMBER($Y96)*($Y96&gt;=TODAY())*($Y96&lt;=TODAY()+7))</f>
        <v/>
      </c>
      <c r="J96" s="28">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29">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7" t="n"/>
      <c r="M96" s="27" t="n"/>
      <c r="N96" s="27" t="n"/>
      <c r="O96" s="27" t="n"/>
      <c r="P96" s="27" t="n"/>
      <c r="Q96" s="27" t="n"/>
      <c r="R96" s="27" t="n"/>
      <c r="S96" s="27" t="n"/>
      <c r="T96" s="27" t="n"/>
      <c r="U96" s="27" t="n"/>
      <c r="V96" s="27" t="n"/>
      <c r="W96" s="27" t="n"/>
      <c r="X96" s="27" t="n"/>
      <c r="Y96" s="27" t="n"/>
      <c r="Z96" s="30" t="n"/>
      <c r="AA96" s="25" t="n"/>
      <c r="AB96" s="28">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ISNUMBER($Y96)*($Y96&lt;TODAY()))</f>
        <v/>
      </c>
    </row>
    <row r="97">
      <c r="A97" s="25" t="n"/>
      <c r="B97" s="26" t="n"/>
      <c r="C97" s="27" t="n"/>
      <c r="D97" s="25" t="n"/>
      <c r="E97" s="25" t="n"/>
      <c r="F97" s="27" t="n"/>
      <c r="G97" s="25" t="n"/>
      <c r="H97" s="28">
        <f>IF(OR(NOT(AND($A97&lt;&gt;"",OR($G97="",$G97="Active"))),$F97=""),"",INT((TODAY()-$F97+280)/7)&amp;"+"&amp;MOD(TODAY()-$F97+280,7))</f>
        <v/>
      </c>
      <c r="I97" s="28">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ISNUMBER($Y97)*($Y97&gt;=TODAY())*($Y97&lt;=TODAY()+7))</f>
        <v/>
      </c>
      <c r="J97" s="28">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29">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7" t="n"/>
      <c r="M97" s="27" t="n"/>
      <c r="N97" s="27" t="n"/>
      <c r="O97" s="27" t="n"/>
      <c r="P97" s="27" t="n"/>
      <c r="Q97" s="27" t="n"/>
      <c r="R97" s="27" t="n"/>
      <c r="S97" s="27" t="n"/>
      <c r="T97" s="27" t="n"/>
      <c r="U97" s="27" t="n"/>
      <c r="V97" s="27" t="n"/>
      <c r="W97" s="27" t="n"/>
      <c r="X97" s="27" t="n"/>
      <c r="Y97" s="27" t="n"/>
      <c r="Z97" s="30" t="n"/>
      <c r="AA97" s="25" t="n"/>
      <c r="AB97" s="28">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ISNUMBER($Y97)*($Y97&lt;TODAY()))</f>
        <v/>
      </c>
    </row>
    <row r="98">
      <c r="A98" s="25" t="n"/>
      <c r="B98" s="26" t="n"/>
      <c r="C98" s="27" t="n"/>
      <c r="D98" s="25" t="n"/>
      <c r="E98" s="25" t="n"/>
      <c r="F98" s="27" t="n"/>
      <c r="G98" s="25" t="n"/>
      <c r="H98" s="28">
        <f>IF(OR(NOT(AND($A98&lt;&gt;"",OR($G98="",$G98="Active"))),$F98=""),"",INT((TODAY()-$F98+280)/7)&amp;"+"&amp;MOD(TODAY()-$F98+280,7))</f>
        <v/>
      </c>
      <c r="I98" s="28">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ISNUMBER($Y98)*($Y98&gt;=TODAY())*($Y98&lt;=TODAY()+7))</f>
        <v/>
      </c>
      <c r="J98" s="28">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29">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7" t="n"/>
      <c r="M98" s="27" t="n"/>
      <c r="N98" s="27" t="n"/>
      <c r="O98" s="27" t="n"/>
      <c r="P98" s="27" t="n"/>
      <c r="Q98" s="27" t="n"/>
      <c r="R98" s="27" t="n"/>
      <c r="S98" s="27" t="n"/>
      <c r="T98" s="27" t="n"/>
      <c r="U98" s="27" t="n"/>
      <c r="V98" s="27" t="n"/>
      <c r="W98" s="27" t="n"/>
      <c r="X98" s="27" t="n"/>
      <c r="Y98" s="27" t="n"/>
      <c r="Z98" s="30" t="n"/>
      <c r="AA98" s="25" t="n"/>
      <c r="AB98" s="28">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ISNUMBER($Y98)*($Y98&lt;TODAY()))</f>
        <v/>
      </c>
    </row>
    <row r="99">
      <c r="A99" s="25" t="n"/>
      <c r="B99" s="26" t="n"/>
      <c r="C99" s="27" t="n"/>
      <c r="D99" s="25" t="n"/>
      <c r="E99" s="25" t="n"/>
      <c r="F99" s="27" t="n"/>
      <c r="G99" s="25" t="n"/>
      <c r="H99" s="28">
        <f>IF(OR(NOT(AND($A99&lt;&gt;"",OR($G99="",$G99="Active"))),$F99=""),"",INT((TODAY()-$F99+280)/7)&amp;"+"&amp;MOD(TODAY()-$F99+280,7))</f>
        <v/>
      </c>
      <c r="I99" s="28">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ISNUMBER($Y99)*($Y99&gt;=TODAY())*($Y99&lt;=TODAY()+7))</f>
        <v/>
      </c>
      <c r="J99" s="28">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29">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7" t="n"/>
      <c r="M99" s="27" t="n"/>
      <c r="N99" s="27" t="n"/>
      <c r="O99" s="27" t="n"/>
      <c r="P99" s="27" t="n"/>
      <c r="Q99" s="27" t="n"/>
      <c r="R99" s="27" t="n"/>
      <c r="S99" s="27" t="n"/>
      <c r="T99" s="27" t="n"/>
      <c r="U99" s="27" t="n"/>
      <c r="V99" s="27" t="n"/>
      <c r="W99" s="27" t="n"/>
      <c r="X99" s="27" t="n"/>
      <c r="Y99" s="27" t="n"/>
      <c r="Z99" s="30" t="n"/>
      <c r="AA99" s="25" t="n"/>
      <c r="AB99" s="28">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ISNUMBER($Y99)*($Y99&lt;TODAY()))</f>
        <v/>
      </c>
    </row>
    <row r="100">
      <c r="A100" s="25" t="n"/>
      <c r="B100" s="26" t="n"/>
      <c r="C100" s="27" t="n"/>
      <c r="D100" s="25" t="n"/>
      <c r="E100" s="25" t="n"/>
      <c r="F100" s="27" t="n"/>
      <c r="G100" s="25" t="n"/>
      <c r="H100" s="28">
        <f>IF(OR(NOT(AND($A100&lt;&gt;"",OR($G100="",$G100="Active"))),$F100=""),"",INT((TODAY()-$F100+280)/7)&amp;"+"&amp;MOD(TODAY()-$F100+280,7))</f>
        <v/>
      </c>
      <c r="I100" s="28">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ISNUMBER($Y100)*($Y100&gt;=TODAY())*($Y100&lt;=TODAY()+7))</f>
        <v/>
      </c>
      <c r="J100" s="28">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29">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7" t="n"/>
      <c r="M100" s="27" t="n"/>
      <c r="N100" s="27" t="n"/>
      <c r="O100" s="27" t="n"/>
      <c r="P100" s="27" t="n"/>
      <c r="Q100" s="27" t="n"/>
      <c r="R100" s="27" t="n"/>
      <c r="S100" s="27" t="n"/>
      <c r="T100" s="27" t="n"/>
      <c r="U100" s="27" t="n"/>
      <c r="V100" s="27" t="n"/>
      <c r="W100" s="27" t="n"/>
      <c r="X100" s="27" t="n"/>
      <c r="Y100" s="27" t="n"/>
      <c r="Z100" s="30" t="n"/>
      <c r="AA100" s="25" t="n"/>
      <c r="AB100" s="28">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ISNUMBER($Y100)*($Y100&lt;TODAY()))</f>
        <v/>
      </c>
    </row>
    <row r="101">
      <c r="A101" s="25" t="n"/>
      <c r="B101" s="26" t="n"/>
      <c r="C101" s="27" t="n"/>
      <c r="D101" s="25" t="n"/>
      <c r="E101" s="25" t="n"/>
      <c r="F101" s="27" t="n"/>
      <c r="G101" s="25" t="n"/>
      <c r="H101" s="28">
        <f>IF(OR(NOT(AND($A101&lt;&gt;"",OR($G101="",$G101="Active"))),$F101=""),"",INT((TODAY()-$F101+280)/7)&amp;"+"&amp;MOD(TODAY()-$F101+280,7))</f>
        <v/>
      </c>
      <c r="I101" s="28">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ISNUMBER($Y101)*($Y101&gt;=TODAY())*($Y101&lt;=TODAY()+7))</f>
        <v/>
      </c>
      <c r="J101" s="28">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29">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7" t="n"/>
      <c r="M101" s="27" t="n"/>
      <c r="N101" s="27" t="n"/>
      <c r="O101" s="27" t="n"/>
      <c r="P101" s="27" t="n"/>
      <c r="Q101" s="27" t="n"/>
      <c r="R101" s="27" t="n"/>
      <c r="S101" s="27" t="n"/>
      <c r="T101" s="27" t="n"/>
      <c r="U101" s="27" t="n"/>
      <c r="V101" s="27" t="n"/>
      <c r="W101" s="27" t="n"/>
      <c r="X101" s="27" t="n"/>
      <c r="Y101" s="27" t="n"/>
      <c r="Z101" s="30" t="n"/>
      <c r="AA101" s="25" t="n"/>
      <c r="AB101" s="28">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ISNUMBER($Y101)*($Y101&lt;TODAY()))</f>
        <v/>
      </c>
    </row>
    <row r="102">
      <c r="A102" s="25" t="n"/>
      <c r="B102" s="26" t="n"/>
      <c r="C102" s="27" t="n"/>
      <c r="D102" s="25" t="n"/>
      <c r="E102" s="25" t="n"/>
      <c r="F102" s="27" t="n"/>
      <c r="G102" s="25" t="n"/>
      <c r="H102" s="28">
        <f>IF(OR(NOT(AND($A102&lt;&gt;"",OR($G102="",$G102="Active"))),$F102=""),"",INT((TODAY()-$F102+280)/7)&amp;"+"&amp;MOD(TODAY()-$F102+280,7))</f>
        <v/>
      </c>
      <c r="I102" s="28">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ISNUMBER($Y102)*($Y102&gt;=TODAY())*($Y102&lt;=TODAY()+7))</f>
        <v/>
      </c>
      <c r="J102" s="28">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29">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7" t="n"/>
      <c r="M102" s="27" t="n"/>
      <c r="N102" s="27" t="n"/>
      <c r="O102" s="27" t="n"/>
      <c r="P102" s="27" t="n"/>
      <c r="Q102" s="27" t="n"/>
      <c r="R102" s="27" t="n"/>
      <c r="S102" s="27" t="n"/>
      <c r="T102" s="27" t="n"/>
      <c r="U102" s="27" t="n"/>
      <c r="V102" s="27" t="n"/>
      <c r="W102" s="27" t="n"/>
      <c r="X102" s="27" t="n"/>
      <c r="Y102" s="27" t="n"/>
      <c r="Z102" s="30" t="n"/>
      <c r="AA102" s="25" t="n"/>
      <c r="AB102" s="28">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ISNUMBER($Y102)*($Y102&lt;TODAY()))</f>
        <v/>
      </c>
    </row>
    <row r="103">
      <c r="A103" s="25" t="n"/>
      <c r="B103" s="26" t="n"/>
      <c r="C103" s="27" t="n"/>
      <c r="D103" s="25" t="n"/>
      <c r="E103" s="25" t="n"/>
      <c r="F103" s="27" t="n"/>
      <c r="G103" s="25" t="n"/>
      <c r="H103" s="28">
        <f>IF(OR(NOT(AND($A103&lt;&gt;"",OR($G103="",$G103="Active"))),$F103=""),"",INT((TODAY()-$F103+280)/7)&amp;"+"&amp;MOD(TODAY()-$F103+280,7))</f>
        <v/>
      </c>
      <c r="I103" s="28">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ISNUMBER($Y103)*($Y103&gt;=TODAY())*($Y103&lt;=TODAY()+7))</f>
        <v/>
      </c>
      <c r="J103" s="28">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29">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7" t="n"/>
      <c r="M103" s="27" t="n"/>
      <c r="N103" s="27" t="n"/>
      <c r="O103" s="27" t="n"/>
      <c r="P103" s="27" t="n"/>
      <c r="Q103" s="27" t="n"/>
      <c r="R103" s="27" t="n"/>
      <c r="S103" s="27" t="n"/>
      <c r="T103" s="27" t="n"/>
      <c r="U103" s="27" t="n"/>
      <c r="V103" s="27" t="n"/>
      <c r="W103" s="27" t="n"/>
      <c r="X103" s="27" t="n"/>
      <c r="Y103" s="27" t="n"/>
      <c r="Z103" s="30" t="n"/>
      <c r="AA103" s="25" t="n"/>
      <c r="AB103" s="28">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ISNUMBER($Y103)*($Y103&lt;TODAY()))</f>
        <v/>
      </c>
    </row>
    <row r="104">
      <c r="A104" s="25" t="n"/>
      <c r="B104" s="26" t="n"/>
      <c r="C104" s="27" t="n"/>
      <c r="D104" s="25" t="n"/>
      <c r="E104" s="25" t="n"/>
      <c r="F104" s="27" t="n"/>
      <c r="G104" s="25" t="n"/>
      <c r="H104" s="28">
        <f>IF(OR(NOT(AND($A104&lt;&gt;"",OR($G104="",$G104="Active"))),$F104=""),"",INT((TODAY()-$F104+280)/7)&amp;"+"&amp;MOD(TODAY()-$F104+280,7))</f>
        <v/>
      </c>
      <c r="I104" s="28">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ISNUMBER($Y104)*($Y104&gt;=TODAY())*($Y104&lt;=TODAY()+7))</f>
        <v/>
      </c>
      <c r="J104" s="28">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29">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7" t="n"/>
      <c r="M104" s="27" t="n"/>
      <c r="N104" s="27" t="n"/>
      <c r="O104" s="27" t="n"/>
      <c r="P104" s="27" t="n"/>
      <c r="Q104" s="27" t="n"/>
      <c r="R104" s="27" t="n"/>
      <c r="S104" s="27" t="n"/>
      <c r="T104" s="27" t="n"/>
      <c r="U104" s="27" t="n"/>
      <c r="V104" s="27" t="n"/>
      <c r="W104" s="27" t="n"/>
      <c r="X104" s="27" t="n"/>
      <c r="Y104" s="27" t="n"/>
      <c r="Z104" s="30" t="n"/>
      <c r="AA104" s="25" t="n"/>
      <c r="AB104" s="28">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ISNUMBER($Y104)*($Y104&lt;TODAY()))</f>
        <v/>
      </c>
    </row>
    <row r="105">
      <c r="A105" s="25" t="n"/>
      <c r="B105" s="26" t="n"/>
      <c r="C105" s="27" t="n"/>
      <c r="D105" s="25" t="n"/>
      <c r="E105" s="25" t="n"/>
      <c r="F105" s="27" t="n"/>
      <c r="G105" s="25" t="n"/>
      <c r="H105" s="28">
        <f>IF(OR(NOT(AND($A105&lt;&gt;"",OR($G105="",$G105="Active"))),$F105=""),"",INT((TODAY()-$F105+280)/7)&amp;"+"&amp;MOD(TODAY()-$F105+280,7))</f>
        <v/>
      </c>
      <c r="I105" s="28">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ISNUMBER($Y105)*($Y105&gt;=TODAY())*($Y105&lt;=TODAY()+7))</f>
        <v/>
      </c>
      <c r="J105" s="28">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29">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7" t="n"/>
      <c r="M105" s="27" t="n"/>
      <c r="N105" s="27" t="n"/>
      <c r="O105" s="27" t="n"/>
      <c r="P105" s="27" t="n"/>
      <c r="Q105" s="27" t="n"/>
      <c r="R105" s="27" t="n"/>
      <c r="S105" s="27" t="n"/>
      <c r="T105" s="27" t="n"/>
      <c r="U105" s="27" t="n"/>
      <c r="V105" s="27" t="n"/>
      <c r="W105" s="27" t="n"/>
      <c r="X105" s="27" t="n"/>
      <c r="Y105" s="27" t="n"/>
      <c r="Z105" s="30" t="n"/>
      <c r="AA105" s="25" t="n"/>
      <c r="AB105" s="28">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ISNUMBER($Y105)*($Y105&lt;TODAY()))</f>
        <v/>
      </c>
    </row>
    <row r="106">
      <c r="A106" s="25" t="n"/>
      <c r="B106" s="26" t="n"/>
      <c r="C106" s="27" t="n"/>
      <c r="D106" s="25" t="n"/>
      <c r="E106" s="25" t="n"/>
      <c r="F106" s="27" t="n"/>
      <c r="G106" s="25" t="n"/>
      <c r="H106" s="28">
        <f>IF(OR(NOT(AND($A106&lt;&gt;"",OR($G106="",$G106="Active"))),$F106=""),"",INT((TODAY()-$F106+280)/7)&amp;"+"&amp;MOD(TODAY()-$F106+280,7))</f>
        <v/>
      </c>
      <c r="I106" s="28">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ISNUMBER($Y106)*($Y106&gt;=TODAY())*($Y106&lt;=TODAY()+7))</f>
        <v/>
      </c>
      <c r="J106" s="28">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29">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7" t="n"/>
      <c r="M106" s="27" t="n"/>
      <c r="N106" s="27" t="n"/>
      <c r="O106" s="27" t="n"/>
      <c r="P106" s="27" t="n"/>
      <c r="Q106" s="27" t="n"/>
      <c r="R106" s="27" t="n"/>
      <c r="S106" s="27" t="n"/>
      <c r="T106" s="27" t="n"/>
      <c r="U106" s="27" t="n"/>
      <c r="V106" s="27" t="n"/>
      <c r="W106" s="27" t="n"/>
      <c r="X106" s="27" t="n"/>
      <c r="Y106" s="27" t="n"/>
      <c r="Z106" s="30" t="n"/>
      <c r="AA106" s="25" t="n"/>
      <c r="AB106" s="28">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ISNUMBER($Y106)*($Y106&lt;TODAY()))</f>
        <v/>
      </c>
    </row>
    <row r="107">
      <c r="A107" s="25" t="n"/>
      <c r="B107" s="26" t="n"/>
      <c r="C107" s="27" t="n"/>
      <c r="D107" s="25" t="n"/>
      <c r="E107" s="25" t="n"/>
      <c r="F107" s="27" t="n"/>
      <c r="G107" s="25" t="n"/>
      <c r="H107" s="28">
        <f>IF(OR(NOT(AND($A107&lt;&gt;"",OR($G107="",$G107="Active"))),$F107=""),"",INT((TODAY()-$F107+280)/7)&amp;"+"&amp;MOD(TODAY()-$F107+280,7))</f>
        <v/>
      </c>
      <c r="I107" s="28">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ISNUMBER($Y107)*($Y107&gt;=TODAY())*($Y107&lt;=TODAY()+7))</f>
        <v/>
      </c>
      <c r="J107" s="28">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29">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7" t="n"/>
      <c r="M107" s="27" t="n"/>
      <c r="N107" s="27" t="n"/>
      <c r="O107" s="27" t="n"/>
      <c r="P107" s="27" t="n"/>
      <c r="Q107" s="27" t="n"/>
      <c r="R107" s="27" t="n"/>
      <c r="S107" s="27" t="n"/>
      <c r="T107" s="27" t="n"/>
      <c r="U107" s="27" t="n"/>
      <c r="V107" s="27" t="n"/>
      <c r="W107" s="27" t="n"/>
      <c r="X107" s="27" t="n"/>
      <c r="Y107" s="27" t="n"/>
      <c r="Z107" s="30" t="n"/>
      <c r="AA107" s="25" t="n"/>
      <c r="AB107" s="28">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ISNUMBER($Y107)*($Y107&lt;TODAY()))</f>
        <v/>
      </c>
    </row>
    <row r="108">
      <c r="A108" s="25" t="n"/>
      <c r="B108" s="26" t="n"/>
      <c r="C108" s="27" t="n"/>
      <c r="D108" s="25" t="n"/>
      <c r="E108" s="25" t="n"/>
      <c r="F108" s="27" t="n"/>
      <c r="G108" s="25" t="n"/>
      <c r="H108" s="28">
        <f>IF(OR(NOT(AND($A108&lt;&gt;"",OR($G108="",$G108="Active"))),$F108=""),"",INT((TODAY()-$F108+280)/7)&amp;"+"&amp;MOD(TODAY()-$F108+280,7))</f>
        <v/>
      </c>
      <c r="I108" s="28">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ISNUMBER($Y108)*($Y108&gt;=TODAY())*($Y108&lt;=TODAY()+7))</f>
        <v/>
      </c>
      <c r="J108" s="28">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29">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7" t="n"/>
      <c r="M108" s="27" t="n"/>
      <c r="N108" s="27" t="n"/>
      <c r="O108" s="27" t="n"/>
      <c r="P108" s="27" t="n"/>
      <c r="Q108" s="27" t="n"/>
      <c r="R108" s="27" t="n"/>
      <c r="S108" s="27" t="n"/>
      <c r="T108" s="27" t="n"/>
      <c r="U108" s="27" t="n"/>
      <c r="V108" s="27" t="n"/>
      <c r="W108" s="27" t="n"/>
      <c r="X108" s="27" t="n"/>
      <c r="Y108" s="27" t="n"/>
      <c r="Z108" s="30" t="n"/>
      <c r="AA108" s="25" t="n"/>
      <c r="AB108" s="28">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ISNUMBER($Y108)*($Y108&lt;TODAY()))</f>
        <v/>
      </c>
    </row>
    <row r="109">
      <c r="A109" s="25" t="n"/>
      <c r="B109" s="26" t="n"/>
      <c r="C109" s="27" t="n"/>
      <c r="D109" s="25" t="n"/>
      <c r="E109" s="25" t="n"/>
      <c r="F109" s="27" t="n"/>
      <c r="G109" s="25" t="n"/>
      <c r="H109" s="28">
        <f>IF(OR(NOT(AND($A109&lt;&gt;"",OR($G109="",$G109="Active"))),$F109=""),"",INT((TODAY()-$F109+280)/7)&amp;"+"&amp;MOD(TODAY()-$F109+280,7))</f>
        <v/>
      </c>
      <c r="I109" s="28">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ISNUMBER($Y109)*($Y109&gt;=TODAY())*($Y109&lt;=TODAY()+7))</f>
        <v/>
      </c>
      <c r="J109" s="28">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29">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7" t="n"/>
      <c r="M109" s="27" t="n"/>
      <c r="N109" s="27" t="n"/>
      <c r="O109" s="27" t="n"/>
      <c r="P109" s="27" t="n"/>
      <c r="Q109" s="27" t="n"/>
      <c r="R109" s="27" t="n"/>
      <c r="S109" s="27" t="n"/>
      <c r="T109" s="27" t="n"/>
      <c r="U109" s="27" t="n"/>
      <c r="V109" s="27" t="n"/>
      <c r="W109" s="27" t="n"/>
      <c r="X109" s="27" t="n"/>
      <c r="Y109" s="27" t="n"/>
      <c r="Z109" s="30" t="n"/>
      <c r="AA109" s="25" t="n"/>
      <c r="AB109" s="28">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ISNUMBER($Y109)*($Y109&lt;TODAY()))</f>
        <v/>
      </c>
    </row>
    <row r="110">
      <c r="A110" s="25" t="n"/>
      <c r="B110" s="26" t="n"/>
      <c r="C110" s="27" t="n"/>
      <c r="D110" s="25" t="n"/>
      <c r="E110" s="25" t="n"/>
      <c r="F110" s="27" t="n"/>
      <c r="G110" s="25" t="n"/>
      <c r="H110" s="28">
        <f>IF(OR(NOT(AND($A110&lt;&gt;"",OR($G110="",$G110="Active"))),$F110=""),"",INT((TODAY()-$F110+280)/7)&amp;"+"&amp;MOD(TODAY()-$F110+280,7))</f>
        <v/>
      </c>
      <c r="I110" s="28">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ISNUMBER($Y110)*($Y110&gt;=TODAY())*($Y110&lt;=TODAY()+7))</f>
        <v/>
      </c>
      <c r="J110" s="28">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29">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7" t="n"/>
      <c r="M110" s="27" t="n"/>
      <c r="N110" s="27" t="n"/>
      <c r="O110" s="27" t="n"/>
      <c r="P110" s="27" t="n"/>
      <c r="Q110" s="27" t="n"/>
      <c r="R110" s="27" t="n"/>
      <c r="S110" s="27" t="n"/>
      <c r="T110" s="27" t="n"/>
      <c r="U110" s="27" t="n"/>
      <c r="V110" s="27" t="n"/>
      <c r="W110" s="27" t="n"/>
      <c r="X110" s="27" t="n"/>
      <c r="Y110" s="27" t="n"/>
      <c r="Z110" s="30" t="n"/>
      <c r="AA110" s="25" t="n"/>
      <c r="AB110" s="28">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ISNUMBER($Y110)*($Y110&lt;TODAY()))</f>
        <v/>
      </c>
    </row>
    <row r="111">
      <c r="A111" s="25" t="n"/>
      <c r="B111" s="26" t="n"/>
      <c r="C111" s="27" t="n"/>
      <c r="D111" s="25" t="n"/>
      <c r="E111" s="25" t="n"/>
      <c r="F111" s="27" t="n"/>
      <c r="G111" s="25" t="n"/>
      <c r="H111" s="28">
        <f>IF(OR(NOT(AND($A111&lt;&gt;"",OR($G111="",$G111="Active"))),$F111=""),"",INT((TODAY()-$F111+280)/7)&amp;"+"&amp;MOD(TODAY()-$F111+280,7))</f>
        <v/>
      </c>
      <c r="I111" s="28">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ISNUMBER($Y111)*($Y111&gt;=TODAY())*($Y111&lt;=TODAY()+7))</f>
        <v/>
      </c>
      <c r="J111" s="28">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29">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7" t="n"/>
      <c r="M111" s="27" t="n"/>
      <c r="N111" s="27" t="n"/>
      <c r="O111" s="27" t="n"/>
      <c r="P111" s="27" t="n"/>
      <c r="Q111" s="27" t="n"/>
      <c r="R111" s="27" t="n"/>
      <c r="S111" s="27" t="n"/>
      <c r="T111" s="27" t="n"/>
      <c r="U111" s="27" t="n"/>
      <c r="V111" s="27" t="n"/>
      <c r="W111" s="27" t="n"/>
      <c r="X111" s="27" t="n"/>
      <c r="Y111" s="27" t="n"/>
      <c r="Z111" s="30" t="n"/>
      <c r="AA111" s="25" t="n"/>
      <c r="AB111" s="28">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ISNUMBER($Y111)*($Y111&lt;TODAY()))</f>
        <v/>
      </c>
    </row>
    <row r="112">
      <c r="A112" s="25" t="n"/>
      <c r="B112" s="26" t="n"/>
      <c r="C112" s="27" t="n"/>
      <c r="D112" s="25" t="n"/>
      <c r="E112" s="25" t="n"/>
      <c r="F112" s="27" t="n"/>
      <c r="G112" s="25" t="n"/>
      <c r="H112" s="28">
        <f>IF(OR(NOT(AND($A112&lt;&gt;"",OR($G112="",$G112="Active"))),$F112=""),"",INT((TODAY()-$F112+280)/7)&amp;"+"&amp;MOD(TODAY()-$F112+280,7))</f>
        <v/>
      </c>
      <c r="I112" s="28">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ISNUMBER($Y112)*($Y112&gt;=TODAY())*($Y112&lt;=TODAY()+7))</f>
        <v/>
      </c>
      <c r="J112" s="28">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29">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7" t="n"/>
      <c r="M112" s="27" t="n"/>
      <c r="N112" s="27" t="n"/>
      <c r="O112" s="27" t="n"/>
      <c r="P112" s="27" t="n"/>
      <c r="Q112" s="27" t="n"/>
      <c r="R112" s="27" t="n"/>
      <c r="S112" s="27" t="n"/>
      <c r="T112" s="27" t="n"/>
      <c r="U112" s="27" t="n"/>
      <c r="V112" s="27" t="n"/>
      <c r="W112" s="27" t="n"/>
      <c r="X112" s="27" t="n"/>
      <c r="Y112" s="27" t="n"/>
      <c r="Z112" s="30" t="n"/>
      <c r="AA112" s="25" t="n"/>
      <c r="AB112" s="28">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ISNUMBER($Y112)*($Y112&lt;TODAY()))</f>
        <v/>
      </c>
    </row>
    <row r="113">
      <c r="A113" s="25" t="n"/>
      <c r="B113" s="26" t="n"/>
      <c r="C113" s="27" t="n"/>
      <c r="D113" s="25" t="n"/>
      <c r="E113" s="25" t="n"/>
      <c r="F113" s="27" t="n"/>
      <c r="G113" s="25" t="n"/>
      <c r="H113" s="28">
        <f>IF(OR(NOT(AND($A113&lt;&gt;"",OR($G113="",$G113="Active"))),$F113=""),"",INT((TODAY()-$F113+280)/7)&amp;"+"&amp;MOD(TODAY()-$F113+280,7))</f>
        <v/>
      </c>
      <c r="I113" s="28">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ISNUMBER($Y113)*($Y113&gt;=TODAY())*($Y113&lt;=TODAY()+7))</f>
        <v/>
      </c>
      <c r="J113" s="28">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29">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7" t="n"/>
      <c r="M113" s="27" t="n"/>
      <c r="N113" s="27" t="n"/>
      <c r="O113" s="27" t="n"/>
      <c r="P113" s="27" t="n"/>
      <c r="Q113" s="27" t="n"/>
      <c r="R113" s="27" t="n"/>
      <c r="S113" s="27" t="n"/>
      <c r="T113" s="27" t="n"/>
      <c r="U113" s="27" t="n"/>
      <c r="V113" s="27" t="n"/>
      <c r="W113" s="27" t="n"/>
      <c r="X113" s="27" t="n"/>
      <c r="Y113" s="27" t="n"/>
      <c r="Z113" s="30" t="n"/>
      <c r="AA113" s="25" t="n"/>
      <c r="AB113" s="28">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ISNUMBER($Y113)*($Y113&lt;TODAY()))</f>
        <v/>
      </c>
    </row>
    <row r="114">
      <c r="A114" s="25" t="n"/>
      <c r="B114" s="26" t="n"/>
      <c r="C114" s="27" t="n"/>
      <c r="D114" s="25" t="n"/>
      <c r="E114" s="25" t="n"/>
      <c r="F114" s="27" t="n"/>
      <c r="G114" s="25" t="n"/>
      <c r="H114" s="28">
        <f>IF(OR(NOT(AND($A114&lt;&gt;"",OR($G114="",$G114="Active"))),$F114=""),"",INT((TODAY()-$F114+280)/7)&amp;"+"&amp;MOD(TODAY()-$F114+280,7))</f>
        <v/>
      </c>
      <c r="I114" s="28">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ISNUMBER($Y114)*($Y114&gt;=TODAY())*($Y114&lt;=TODAY()+7))</f>
        <v/>
      </c>
      <c r="J114" s="28">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29">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7" t="n"/>
      <c r="M114" s="27" t="n"/>
      <c r="N114" s="27" t="n"/>
      <c r="O114" s="27" t="n"/>
      <c r="P114" s="27" t="n"/>
      <c r="Q114" s="27" t="n"/>
      <c r="R114" s="27" t="n"/>
      <c r="S114" s="27" t="n"/>
      <c r="T114" s="27" t="n"/>
      <c r="U114" s="27" t="n"/>
      <c r="V114" s="27" t="n"/>
      <c r="W114" s="27" t="n"/>
      <c r="X114" s="27" t="n"/>
      <c r="Y114" s="27" t="n"/>
      <c r="Z114" s="30" t="n"/>
      <c r="AA114" s="25" t="n"/>
      <c r="AB114" s="28">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ISNUMBER($Y114)*($Y114&lt;TODAY()))</f>
        <v/>
      </c>
    </row>
    <row r="115">
      <c r="A115" s="25" t="n"/>
      <c r="B115" s="26" t="n"/>
      <c r="C115" s="27" t="n"/>
      <c r="D115" s="25" t="n"/>
      <c r="E115" s="25" t="n"/>
      <c r="F115" s="27" t="n"/>
      <c r="G115" s="25" t="n"/>
      <c r="H115" s="28">
        <f>IF(OR(NOT(AND($A115&lt;&gt;"",OR($G115="",$G115="Active"))),$F115=""),"",INT((TODAY()-$F115+280)/7)&amp;"+"&amp;MOD(TODAY()-$F115+280,7))</f>
        <v/>
      </c>
      <c r="I115" s="28">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ISNUMBER($Y115)*($Y115&gt;=TODAY())*($Y115&lt;=TODAY()+7))</f>
        <v/>
      </c>
      <c r="J115" s="28">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29">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7" t="n"/>
      <c r="M115" s="27" t="n"/>
      <c r="N115" s="27" t="n"/>
      <c r="O115" s="27" t="n"/>
      <c r="P115" s="27" t="n"/>
      <c r="Q115" s="27" t="n"/>
      <c r="R115" s="27" t="n"/>
      <c r="S115" s="27" t="n"/>
      <c r="T115" s="27" t="n"/>
      <c r="U115" s="27" t="n"/>
      <c r="V115" s="27" t="n"/>
      <c r="W115" s="27" t="n"/>
      <c r="X115" s="27" t="n"/>
      <c r="Y115" s="27" t="n"/>
      <c r="Z115" s="30" t="n"/>
      <c r="AA115" s="25" t="n"/>
      <c r="AB115" s="28">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ISNUMBER($Y115)*($Y115&lt;TODAY()))</f>
        <v/>
      </c>
    </row>
    <row r="116">
      <c r="A116" s="25" t="n"/>
      <c r="B116" s="26" t="n"/>
      <c r="C116" s="27" t="n"/>
      <c r="D116" s="25" t="n"/>
      <c r="E116" s="25" t="n"/>
      <c r="F116" s="27" t="n"/>
      <c r="G116" s="25" t="n"/>
      <c r="H116" s="28">
        <f>IF(OR(NOT(AND($A116&lt;&gt;"",OR($G116="",$G116="Active"))),$F116=""),"",INT((TODAY()-$F116+280)/7)&amp;"+"&amp;MOD(TODAY()-$F116+280,7))</f>
        <v/>
      </c>
      <c r="I116" s="28">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ISNUMBER($Y116)*($Y116&gt;=TODAY())*($Y116&lt;=TODAY()+7))</f>
        <v/>
      </c>
      <c r="J116" s="28">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29">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7" t="n"/>
      <c r="M116" s="27" t="n"/>
      <c r="N116" s="27" t="n"/>
      <c r="O116" s="27" t="n"/>
      <c r="P116" s="27" t="n"/>
      <c r="Q116" s="27" t="n"/>
      <c r="R116" s="27" t="n"/>
      <c r="S116" s="27" t="n"/>
      <c r="T116" s="27" t="n"/>
      <c r="U116" s="27" t="n"/>
      <c r="V116" s="27" t="n"/>
      <c r="W116" s="27" t="n"/>
      <c r="X116" s="27" t="n"/>
      <c r="Y116" s="27" t="n"/>
      <c r="Z116" s="30" t="n"/>
      <c r="AA116" s="25" t="n"/>
      <c r="AB116" s="28">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ISNUMBER($Y116)*($Y116&lt;TODAY()))</f>
        <v/>
      </c>
    </row>
    <row r="117">
      <c r="A117" s="25" t="n"/>
      <c r="B117" s="26" t="n"/>
      <c r="C117" s="27" t="n"/>
      <c r="D117" s="25" t="n"/>
      <c r="E117" s="25" t="n"/>
      <c r="F117" s="27" t="n"/>
      <c r="G117" s="25" t="n"/>
      <c r="H117" s="28">
        <f>IF(OR(NOT(AND($A117&lt;&gt;"",OR($G117="",$G117="Active"))),$F117=""),"",INT((TODAY()-$F117+280)/7)&amp;"+"&amp;MOD(TODAY()-$F117+280,7))</f>
        <v/>
      </c>
      <c r="I117" s="28">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ISNUMBER($Y117)*($Y117&gt;=TODAY())*($Y117&lt;=TODAY()+7))</f>
        <v/>
      </c>
      <c r="J117" s="28">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29">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7" t="n"/>
      <c r="M117" s="27" t="n"/>
      <c r="N117" s="27" t="n"/>
      <c r="O117" s="27" t="n"/>
      <c r="P117" s="27" t="n"/>
      <c r="Q117" s="27" t="n"/>
      <c r="R117" s="27" t="n"/>
      <c r="S117" s="27" t="n"/>
      <c r="T117" s="27" t="n"/>
      <c r="U117" s="27" t="n"/>
      <c r="V117" s="27" t="n"/>
      <c r="W117" s="27" t="n"/>
      <c r="X117" s="27" t="n"/>
      <c r="Y117" s="27" t="n"/>
      <c r="Z117" s="30" t="n"/>
      <c r="AA117" s="25" t="n"/>
      <c r="AB117" s="28">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ISNUMBER($Y117)*($Y117&lt;TODAY()))</f>
        <v/>
      </c>
    </row>
    <row r="118">
      <c r="A118" s="25" t="n"/>
      <c r="B118" s="26" t="n"/>
      <c r="C118" s="27" t="n"/>
      <c r="D118" s="25" t="n"/>
      <c r="E118" s="25" t="n"/>
      <c r="F118" s="27" t="n"/>
      <c r="G118" s="25" t="n"/>
      <c r="H118" s="28">
        <f>IF(OR(NOT(AND($A118&lt;&gt;"",OR($G118="",$G118="Active"))),$F118=""),"",INT((TODAY()-$F118+280)/7)&amp;"+"&amp;MOD(TODAY()-$F118+280,7))</f>
        <v/>
      </c>
      <c r="I118" s="28">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ISNUMBER($Y118)*($Y118&gt;=TODAY())*($Y118&lt;=TODAY()+7))</f>
        <v/>
      </c>
      <c r="J118" s="28">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29">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7" t="n"/>
      <c r="M118" s="27" t="n"/>
      <c r="N118" s="27" t="n"/>
      <c r="O118" s="27" t="n"/>
      <c r="P118" s="27" t="n"/>
      <c r="Q118" s="27" t="n"/>
      <c r="R118" s="27" t="n"/>
      <c r="S118" s="27" t="n"/>
      <c r="T118" s="27" t="n"/>
      <c r="U118" s="27" t="n"/>
      <c r="V118" s="27" t="n"/>
      <c r="W118" s="27" t="n"/>
      <c r="X118" s="27" t="n"/>
      <c r="Y118" s="27" t="n"/>
      <c r="Z118" s="30" t="n"/>
      <c r="AA118" s="25" t="n"/>
      <c r="AB118" s="28">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ISNUMBER($Y118)*($Y118&lt;TODAY()))</f>
        <v/>
      </c>
    </row>
    <row r="119">
      <c r="A119" s="25" t="n"/>
      <c r="B119" s="26" t="n"/>
      <c r="C119" s="27" t="n"/>
      <c r="D119" s="25" t="n"/>
      <c r="E119" s="25" t="n"/>
      <c r="F119" s="27" t="n"/>
      <c r="G119" s="25" t="n"/>
      <c r="H119" s="28">
        <f>IF(OR(NOT(AND($A119&lt;&gt;"",OR($G119="",$G119="Active"))),$F119=""),"",INT((TODAY()-$F119+280)/7)&amp;"+"&amp;MOD(TODAY()-$F119+280,7))</f>
        <v/>
      </c>
      <c r="I119" s="28">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ISNUMBER($Y119)*($Y119&gt;=TODAY())*($Y119&lt;=TODAY()+7))</f>
        <v/>
      </c>
      <c r="J119" s="28">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29">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7" t="n"/>
      <c r="M119" s="27" t="n"/>
      <c r="N119" s="27" t="n"/>
      <c r="O119" s="27" t="n"/>
      <c r="P119" s="27" t="n"/>
      <c r="Q119" s="27" t="n"/>
      <c r="R119" s="27" t="n"/>
      <c r="S119" s="27" t="n"/>
      <c r="T119" s="27" t="n"/>
      <c r="U119" s="27" t="n"/>
      <c r="V119" s="27" t="n"/>
      <c r="W119" s="27" t="n"/>
      <c r="X119" s="27" t="n"/>
      <c r="Y119" s="27" t="n"/>
      <c r="Z119" s="30" t="n"/>
      <c r="AA119" s="25" t="n"/>
      <c r="AB119" s="28">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ISNUMBER($Y119)*($Y119&lt;TODAY()))</f>
        <v/>
      </c>
    </row>
    <row r="120">
      <c r="A120" s="25" t="n"/>
      <c r="B120" s="26" t="n"/>
      <c r="C120" s="27" t="n"/>
      <c r="D120" s="25" t="n"/>
      <c r="E120" s="25" t="n"/>
      <c r="F120" s="27" t="n"/>
      <c r="G120" s="25" t="n"/>
      <c r="H120" s="28">
        <f>IF(OR(NOT(AND($A120&lt;&gt;"",OR($G120="",$G120="Active"))),$F120=""),"",INT((TODAY()-$F120+280)/7)&amp;"+"&amp;MOD(TODAY()-$F120+280,7))</f>
        <v/>
      </c>
      <c r="I120" s="28">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ISNUMBER($Y120)*($Y120&gt;=TODAY())*($Y120&lt;=TODAY()+7))</f>
        <v/>
      </c>
      <c r="J120" s="28">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29">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7" t="n"/>
      <c r="M120" s="27" t="n"/>
      <c r="N120" s="27" t="n"/>
      <c r="O120" s="27" t="n"/>
      <c r="P120" s="27" t="n"/>
      <c r="Q120" s="27" t="n"/>
      <c r="R120" s="27" t="n"/>
      <c r="S120" s="27" t="n"/>
      <c r="T120" s="27" t="n"/>
      <c r="U120" s="27" t="n"/>
      <c r="V120" s="27" t="n"/>
      <c r="W120" s="27" t="n"/>
      <c r="X120" s="27" t="n"/>
      <c r="Y120" s="27" t="n"/>
      <c r="Z120" s="30" t="n"/>
      <c r="AA120" s="25" t="n"/>
      <c r="AB120" s="28">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ISNUMBER($Y120)*($Y120&lt;TODAY()))</f>
        <v/>
      </c>
    </row>
    <row r="121">
      <c r="A121" s="25" t="n"/>
      <c r="B121" s="26" t="n"/>
      <c r="C121" s="27" t="n"/>
      <c r="D121" s="25" t="n"/>
      <c r="E121" s="25" t="n"/>
      <c r="F121" s="27" t="n"/>
      <c r="G121" s="25" t="n"/>
      <c r="H121" s="28">
        <f>IF(OR(NOT(AND($A121&lt;&gt;"",OR($G121="",$G121="Active"))),$F121=""),"",INT((TODAY()-$F121+280)/7)&amp;"+"&amp;MOD(TODAY()-$F121+280,7))</f>
        <v/>
      </c>
      <c r="I121" s="28">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ISNUMBER($Y121)*($Y121&gt;=TODAY())*($Y121&lt;=TODAY()+7))</f>
        <v/>
      </c>
      <c r="J121" s="28">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29">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7" t="n"/>
      <c r="M121" s="27" t="n"/>
      <c r="N121" s="27" t="n"/>
      <c r="O121" s="27" t="n"/>
      <c r="P121" s="27" t="n"/>
      <c r="Q121" s="27" t="n"/>
      <c r="R121" s="27" t="n"/>
      <c r="S121" s="27" t="n"/>
      <c r="T121" s="27" t="n"/>
      <c r="U121" s="27" t="n"/>
      <c r="V121" s="27" t="n"/>
      <c r="W121" s="27" t="n"/>
      <c r="X121" s="27" t="n"/>
      <c r="Y121" s="27" t="n"/>
      <c r="Z121" s="30" t="n"/>
      <c r="AA121" s="25" t="n"/>
      <c r="AB121" s="28">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ISNUMBER($Y121)*($Y121&lt;TODAY()))</f>
        <v/>
      </c>
    </row>
    <row r="122">
      <c r="A122" s="25" t="n"/>
      <c r="B122" s="26" t="n"/>
      <c r="C122" s="27" t="n"/>
      <c r="D122" s="25" t="n"/>
      <c r="E122" s="25" t="n"/>
      <c r="F122" s="27" t="n"/>
      <c r="G122" s="25" t="n"/>
      <c r="H122" s="28">
        <f>IF(OR(NOT(AND($A122&lt;&gt;"",OR($G122="",$G122="Active"))),$F122=""),"",INT((TODAY()-$F122+280)/7)&amp;"+"&amp;MOD(TODAY()-$F122+280,7))</f>
        <v/>
      </c>
      <c r="I122" s="28">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ISNUMBER($Y122)*($Y122&gt;=TODAY())*($Y122&lt;=TODAY()+7))</f>
        <v/>
      </c>
      <c r="J122" s="28">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29">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7" t="n"/>
      <c r="M122" s="27" t="n"/>
      <c r="N122" s="27" t="n"/>
      <c r="O122" s="27" t="n"/>
      <c r="P122" s="27" t="n"/>
      <c r="Q122" s="27" t="n"/>
      <c r="R122" s="27" t="n"/>
      <c r="S122" s="27" t="n"/>
      <c r="T122" s="27" t="n"/>
      <c r="U122" s="27" t="n"/>
      <c r="V122" s="27" t="n"/>
      <c r="W122" s="27" t="n"/>
      <c r="X122" s="27" t="n"/>
      <c r="Y122" s="27" t="n"/>
      <c r="Z122" s="30" t="n"/>
      <c r="AA122" s="25" t="n"/>
      <c r="AB122" s="28">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ISNUMBER($Y122)*($Y122&lt;TODAY()))</f>
        <v/>
      </c>
    </row>
    <row r="123">
      <c r="A123" s="25" t="n"/>
      <c r="B123" s="26" t="n"/>
      <c r="C123" s="27" t="n"/>
      <c r="D123" s="25" t="n"/>
      <c r="E123" s="25" t="n"/>
      <c r="F123" s="27" t="n"/>
      <c r="G123" s="25" t="n"/>
      <c r="H123" s="28">
        <f>IF(OR(NOT(AND($A123&lt;&gt;"",OR($G123="",$G123="Active"))),$F123=""),"",INT((TODAY()-$F123+280)/7)&amp;"+"&amp;MOD(TODAY()-$F123+280,7))</f>
        <v/>
      </c>
      <c r="I123" s="28">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ISNUMBER($Y123)*($Y123&gt;=TODAY())*($Y123&lt;=TODAY()+7))</f>
        <v/>
      </c>
      <c r="J123" s="28">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29">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7" t="n"/>
      <c r="M123" s="27" t="n"/>
      <c r="N123" s="27" t="n"/>
      <c r="O123" s="27" t="n"/>
      <c r="P123" s="27" t="n"/>
      <c r="Q123" s="27" t="n"/>
      <c r="R123" s="27" t="n"/>
      <c r="S123" s="27" t="n"/>
      <c r="T123" s="27" t="n"/>
      <c r="U123" s="27" t="n"/>
      <c r="V123" s="27" t="n"/>
      <c r="W123" s="27" t="n"/>
      <c r="X123" s="27" t="n"/>
      <c r="Y123" s="27" t="n"/>
      <c r="Z123" s="30" t="n"/>
      <c r="AA123" s="25" t="n"/>
      <c r="AB123" s="28">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ISNUMBER($Y123)*($Y123&lt;TODAY()))</f>
        <v/>
      </c>
    </row>
    <row r="124">
      <c r="A124" s="25" t="n"/>
      <c r="B124" s="26" t="n"/>
      <c r="C124" s="27" t="n"/>
      <c r="D124" s="25" t="n"/>
      <c r="E124" s="25" t="n"/>
      <c r="F124" s="27" t="n"/>
      <c r="G124" s="25" t="n"/>
      <c r="H124" s="28">
        <f>IF(OR(NOT(AND($A124&lt;&gt;"",OR($G124="",$G124="Active"))),$F124=""),"",INT((TODAY()-$F124+280)/7)&amp;"+"&amp;MOD(TODAY()-$F124+280,7))</f>
        <v/>
      </c>
      <c r="I124" s="28">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ISNUMBER($Y124)*($Y124&gt;=TODAY())*($Y124&lt;=TODAY()+7))</f>
        <v/>
      </c>
      <c r="J124" s="28">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29">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7" t="n"/>
      <c r="M124" s="27" t="n"/>
      <c r="N124" s="27" t="n"/>
      <c r="O124" s="27" t="n"/>
      <c r="P124" s="27" t="n"/>
      <c r="Q124" s="27" t="n"/>
      <c r="R124" s="27" t="n"/>
      <c r="S124" s="27" t="n"/>
      <c r="T124" s="27" t="n"/>
      <c r="U124" s="27" t="n"/>
      <c r="V124" s="27" t="n"/>
      <c r="W124" s="27" t="n"/>
      <c r="X124" s="27" t="n"/>
      <c r="Y124" s="27" t="n"/>
      <c r="Z124" s="30" t="n"/>
      <c r="AA124" s="25" t="n"/>
      <c r="AB124" s="28">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ISNUMBER($Y124)*($Y124&lt;TODAY()))</f>
        <v/>
      </c>
    </row>
    <row r="125">
      <c r="A125" s="25" t="n"/>
      <c r="B125" s="26" t="n"/>
      <c r="C125" s="27" t="n"/>
      <c r="D125" s="25" t="n"/>
      <c r="E125" s="25" t="n"/>
      <c r="F125" s="27" t="n"/>
      <c r="G125" s="25" t="n"/>
      <c r="H125" s="28">
        <f>IF(OR(NOT(AND($A125&lt;&gt;"",OR($G125="",$G125="Active"))),$F125=""),"",INT((TODAY()-$F125+280)/7)&amp;"+"&amp;MOD(TODAY()-$F125+280,7))</f>
        <v/>
      </c>
      <c r="I125" s="28">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ISNUMBER($Y125)*($Y125&gt;=TODAY())*($Y125&lt;=TODAY()+7))</f>
        <v/>
      </c>
      <c r="J125" s="28">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29">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7" t="n"/>
      <c r="M125" s="27" t="n"/>
      <c r="N125" s="27" t="n"/>
      <c r="O125" s="27" t="n"/>
      <c r="P125" s="27" t="n"/>
      <c r="Q125" s="27" t="n"/>
      <c r="R125" s="27" t="n"/>
      <c r="S125" s="27" t="n"/>
      <c r="T125" s="27" t="n"/>
      <c r="U125" s="27" t="n"/>
      <c r="V125" s="27" t="n"/>
      <c r="W125" s="27" t="n"/>
      <c r="X125" s="27" t="n"/>
      <c r="Y125" s="27" t="n"/>
      <c r="Z125" s="30" t="n"/>
      <c r="AA125" s="25" t="n"/>
      <c r="AB125" s="28">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ISNUMBER($Y125)*($Y125&lt;TODAY()))</f>
        <v/>
      </c>
    </row>
    <row r="126">
      <c r="A126" s="25" t="n"/>
      <c r="B126" s="26" t="n"/>
      <c r="C126" s="27" t="n"/>
      <c r="D126" s="25" t="n"/>
      <c r="E126" s="25" t="n"/>
      <c r="F126" s="27" t="n"/>
      <c r="G126" s="25" t="n"/>
      <c r="H126" s="28">
        <f>IF(OR(NOT(AND($A126&lt;&gt;"",OR($G126="",$G126="Active"))),$F126=""),"",INT((TODAY()-$F126+280)/7)&amp;"+"&amp;MOD(TODAY()-$F126+280,7))</f>
        <v/>
      </c>
      <c r="I126" s="28">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ISNUMBER($Y126)*($Y126&gt;=TODAY())*($Y126&lt;=TODAY()+7))</f>
        <v/>
      </c>
      <c r="J126" s="28">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29">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7" t="n"/>
      <c r="M126" s="27" t="n"/>
      <c r="N126" s="27" t="n"/>
      <c r="O126" s="27" t="n"/>
      <c r="P126" s="27" t="n"/>
      <c r="Q126" s="27" t="n"/>
      <c r="R126" s="27" t="n"/>
      <c r="S126" s="27" t="n"/>
      <c r="T126" s="27" t="n"/>
      <c r="U126" s="27" t="n"/>
      <c r="V126" s="27" t="n"/>
      <c r="W126" s="27" t="n"/>
      <c r="X126" s="27" t="n"/>
      <c r="Y126" s="27" t="n"/>
      <c r="Z126" s="30" t="n"/>
      <c r="AA126" s="25" t="n"/>
      <c r="AB126" s="28">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ISNUMBER($Y126)*($Y126&lt;TODAY()))</f>
        <v/>
      </c>
    </row>
    <row r="127">
      <c r="A127" s="25" t="n"/>
      <c r="B127" s="26" t="n"/>
      <c r="C127" s="27" t="n"/>
      <c r="D127" s="25" t="n"/>
      <c r="E127" s="25" t="n"/>
      <c r="F127" s="27" t="n"/>
      <c r="G127" s="25" t="n"/>
      <c r="H127" s="28">
        <f>IF(OR(NOT(AND($A127&lt;&gt;"",OR($G127="",$G127="Active"))),$F127=""),"",INT((TODAY()-$F127+280)/7)&amp;"+"&amp;MOD(TODAY()-$F127+280,7))</f>
        <v/>
      </c>
      <c r="I127" s="28">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ISNUMBER($Y127)*($Y127&gt;=TODAY())*($Y127&lt;=TODAY()+7))</f>
        <v/>
      </c>
      <c r="J127" s="28">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29">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7" t="n"/>
      <c r="M127" s="27" t="n"/>
      <c r="N127" s="27" t="n"/>
      <c r="O127" s="27" t="n"/>
      <c r="P127" s="27" t="n"/>
      <c r="Q127" s="27" t="n"/>
      <c r="R127" s="27" t="n"/>
      <c r="S127" s="27" t="n"/>
      <c r="T127" s="27" t="n"/>
      <c r="U127" s="27" t="n"/>
      <c r="V127" s="27" t="n"/>
      <c r="W127" s="27" t="n"/>
      <c r="X127" s="27" t="n"/>
      <c r="Y127" s="27" t="n"/>
      <c r="Z127" s="30" t="n"/>
      <c r="AA127" s="25" t="n"/>
      <c r="AB127" s="28">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ISNUMBER($Y127)*($Y127&lt;TODAY()))</f>
        <v/>
      </c>
    </row>
    <row r="128">
      <c r="A128" s="25" t="n"/>
      <c r="B128" s="26" t="n"/>
      <c r="C128" s="27" t="n"/>
      <c r="D128" s="25" t="n"/>
      <c r="E128" s="25" t="n"/>
      <c r="F128" s="27" t="n"/>
      <c r="G128" s="25" t="n"/>
      <c r="H128" s="28">
        <f>IF(OR(NOT(AND($A128&lt;&gt;"",OR($G128="",$G128="Active"))),$F128=""),"",INT((TODAY()-$F128+280)/7)&amp;"+"&amp;MOD(TODAY()-$F128+280,7))</f>
        <v/>
      </c>
      <c r="I128" s="28">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ISNUMBER($Y128)*($Y128&gt;=TODAY())*($Y128&lt;=TODAY()+7))</f>
        <v/>
      </c>
      <c r="J128" s="28">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29">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7" t="n"/>
      <c r="M128" s="27" t="n"/>
      <c r="N128" s="27" t="n"/>
      <c r="O128" s="27" t="n"/>
      <c r="P128" s="27" t="n"/>
      <c r="Q128" s="27" t="n"/>
      <c r="R128" s="27" t="n"/>
      <c r="S128" s="27" t="n"/>
      <c r="T128" s="27" t="n"/>
      <c r="U128" s="27" t="n"/>
      <c r="V128" s="27" t="n"/>
      <c r="W128" s="27" t="n"/>
      <c r="X128" s="27" t="n"/>
      <c r="Y128" s="27" t="n"/>
      <c r="Z128" s="30" t="n"/>
      <c r="AA128" s="25" t="n"/>
      <c r="AB128" s="28">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ISNUMBER($Y128)*($Y128&lt;TODAY()))</f>
        <v/>
      </c>
    </row>
    <row r="129">
      <c r="A129" s="25" t="n"/>
      <c r="B129" s="26" t="n"/>
      <c r="C129" s="27" t="n"/>
      <c r="D129" s="25" t="n"/>
      <c r="E129" s="25" t="n"/>
      <c r="F129" s="27" t="n"/>
      <c r="G129" s="25" t="n"/>
      <c r="H129" s="28">
        <f>IF(OR(NOT(AND($A129&lt;&gt;"",OR($G129="",$G129="Active"))),$F129=""),"",INT((TODAY()-$F129+280)/7)&amp;"+"&amp;MOD(TODAY()-$F129+280,7))</f>
        <v/>
      </c>
      <c r="I129" s="28">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ISNUMBER($Y129)*($Y129&gt;=TODAY())*($Y129&lt;=TODAY()+7))</f>
        <v/>
      </c>
      <c r="J129" s="28">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29">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7" t="n"/>
      <c r="M129" s="27" t="n"/>
      <c r="N129" s="27" t="n"/>
      <c r="O129" s="27" t="n"/>
      <c r="P129" s="27" t="n"/>
      <c r="Q129" s="27" t="n"/>
      <c r="R129" s="27" t="n"/>
      <c r="S129" s="27" t="n"/>
      <c r="T129" s="27" t="n"/>
      <c r="U129" s="27" t="n"/>
      <c r="V129" s="27" t="n"/>
      <c r="W129" s="27" t="n"/>
      <c r="X129" s="27" t="n"/>
      <c r="Y129" s="27" t="n"/>
      <c r="Z129" s="30" t="n"/>
      <c r="AA129" s="25" t="n"/>
      <c r="AB129" s="28">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ISNUMBER($Y129)*($Y129&lt;TODAY()))</f>
        <v/>
      </c>
    </row>
    <row r="130">
      <c r="A130" s="25" t="n"/>
      <c r="B130" s="26" t="n"/>
      <c r="C130" s="27" t="n"/>
      <c r="D130" s="25" t="n"/>
      <c r="E130" s="25" t="n"/>
      <c r="F130" s="27" t="n"/>
      <c r="G130" s="25" t="n"/>
      <c r="H130" s="28">
        <f>IF(OR(NOT(AND($A130&lt;&gt;"",OR($G130="",$G130="Active"))),$F130=""),"",INT((TODAY()-$F130+280)/7)&amp;"+"&amp;MOD(TODAY()-$F130+280,7))</f>
        <v/>
      </c>
      <c r="I130" s="28">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ISNUMBER($Y130)*($Y130&gt;=TODAY())*($Y130&lt;=TODAY()+7))</f>
        <v/>
      </c>
      <c r="J130" s="28">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29">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7" t="n"/>
      <c r="M130" s="27" t="n"/>
      <c r="N130" s="27" t="n"/>
      <c r="O130" s="27" t="n"/>
      <c r="P130" s="27" t="n"/>
      <c r="Q130" s="27" t="n"/>
      <c r="R130" s="27" t="n"/>
      <c r="S130" s="27" t="n"/>
      <c r="T130" s="27" t="n"/>
      <c r="U130" s="27" t="n"/>
      <c r="V130" s="27" t="n"/>
      <c r="W130" s="27" t="n"/>
      <c r="X130" s="27" t="n"/>
      <c r="Y130" s="27" t="n"/>
      <c r="Z130" s="30" t="n"/>
      <c r="AA130" s="25" t="n"/>
      <c r="AB130" s="28">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ISNUMBER($Y130)*($Y130&lt;TODAY()))</f>
        <v/>
      </c>
    </row>
    <row r="131">
      <c r="A131" s="25" t="n"/>
      <c r="B131" s="26" t="n"/>
      <c r="C131" s="27" t="n"/>
      <c r="D131" s="25" t="n"/>
      <c r="E131" s="25" t="n"/>
      <c r="F131" s="27" t="n"/>
      <c r="G131" s="25" t="n"/>
      <c r="H131" s="28">
        <f>IF(OR(NOT(AND($A131&lt;&gt;"",OR($G131="",$G131="Active"))),$F131=""),"",INT((TODAY()-$F131+280)/7)&amp;"+"&amp;MOD(TODAY()-$F131+280,7))</f>
        <v/>
      </c>
      <c r="I131" s="28">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ISNUMBER($Y131)*($Y131&gt;=TODAY())*($Y131&lt;=TODAY()+7))</f>
        <v/>
      </c>
      <c r="J131" s="28">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29">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7" t="n"/>
      <c r="M131" s="27" t="n"/>
      <c r="N131" s="27" t="n"/>
      <c r="O131" s="27" t="n"/>
      <c r="P131" s="27" t="n"/>
      <c r="Q131" s="27" t="n"/>
      <c r="R131" s="27" t="n"/>
      <c r="S131" s="27" t="n"/>
      <c r="T131" s="27" t="n"/>
      <c r="U131" s="27" t="n"/>
      <c r="V131" s="27" t="n"/>
      <c r="W131" s="27" t="n"/>
      <c r="X131" s="27" t="n"/>
      <c r="Y131" s="27" t="n"/>
      <c r="Z131" s="30" t="n"/>
      <c r="AA131" s="25" t="n"/>
      <c r="AB131" s="28">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ISNUMBER($Y131)*($Y131&lt;TODAY()))</f>
        <v/>
      </c>
    </row>
    <row r="132">
      <c r="A132" s="25" t="n"/>
      <c r="B132" s="26" t="n"/>
      <c r="C132" s="27" t="n"/>
      <c r="D132" s="25" t="n"/>
      <c r="E132" s="25" t="n"/>
      <c r="F132" s="27" t="n"/>
      <c r="G132" s="25" t="n"/>
      <c r="H132" s="28">
        <f>IF(OR(NOT(AND($A132&lt;&gt;"",OR($G132="",$G132="Active"))),$F132=""),"",INT((TODAY()-$F132+280)/7)&amp;"+"&amp;MOD(TODAY()-$F132+280,7))</f>
        <v/>
      </c>
      <c r="I132" s="28">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ISNUMBER($Y132)*($Y132&gt;=TODAY())*($Y132&lt;=TODAY()+7))</f>
        <v/>
      </c>
      <c r="J132" s="28">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29">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7" t="n"/>
      <c r="M132" s="27" t="n"/>
      <c r="N132" s="27" t="n"/>
      <c r="O132" s="27" t="n"/>
      <c r="P132" s="27" t="n"/>
      <c r="Q132" s="27" t="n"/>
      <c r="R132" s="27" t="n"/>
      <c r="S132" s="27" t="n"/>
      <c r="T132" s="27" t="n"/>
      <c r="U132" s="27" t="n"/>
      <c r="V132" s="27" t="n"/>
      <c r="W132" s="27" t="n"/>
      <c r="X132" s="27" t="n"/>
      <c r="Y132" s="27" t="n"/>
      <c r="Z132" s="30" t="n"/>
      <c r="AA132" s="25" t="n"/>
      <c r="AB132" s="28">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ISNUMBER($Y132)*($Y132&lt;TODAY()))</f>
        <v/>
      </c>
    </row>
    <row r="133">
      <c r="A133" s="25" t="n"/>
      <c r="B133" s="26" t="n"/>
      <c r="C133" s="27" t="n"/>
      <c r="D133" s="25" t="n"/>
      <c r="E133" s="25" t="n"/>
      <c r="F133" s="27" t="n"/>
      <c r="G133" s="25" t="n"/>
      <c r="H133" s="28">
        <f>IF(OR(NOT(AND($A133&lt;&gt;"",OR($G133="",$G133="Active"))),$F133=""),"",INT((TODAY()-$F133+280)/7)&amp;"+"&amp;MOD(TODAY()-$F133+280,7))</f>
        <v/>
      </c>
      <c r="I133" s="28">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ISNUMBER($Y133)*($Y133&gt;=TODAY())*($Y133&lt;=TODAY()+7))</f>
        <v/>
      </c>
      <c r="J133" s="28">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29">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7" t="n"/>
      <c r="M133" s="27" t="n"/>
      <c r="N133" s="27" t="n"/>
      <c r="O133" s="27" t="n"/>
      <c r="P133" s="27" t="n"/>
      <c r="Q133" s="27" t="n"/>
      <c r="R133" s="27" t="n"/>
      <c r="S133" s="27" t="n"/>
      <c r="T133" s="27" t="n"/>
      <c r="U133" s="27" t="n"/>
      <c r="V133" s="27" t="n"/>
      <c r="W133" s="27" t="n"/>
      <c r="X133" s="27" t="n"/>
      <c r="Y133" s="27" t="n"/>
      <c r="Z133" s="30" t="n"/>
      <c r="AA133" s="25" t="n"/>
      <c r="AB133" s="28">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ISNUMBER($Y133)*($Y133&lt;TODAY()))</f>
        <v/>
      </c>
    </row>
    <row r="134">
      <c r="A134" s="25" t="n"/>
      <c r="B134" s="26" t="n"/>
      <c r="C134" s="27" t="n"/>
      <c r="D134" s="25" t="n"/>
      <c r="E134" s="25" t="n"/>
      <c r="F134" s="27" t="n"/>
      <c r="G134" s="25" t="n"/>
      <c r="H134" s="28">
        <f>IF(OR(NOT(AND($A134&lt;&gt;"",OR($G134="",$G134="Active"))),$F134=""),"",INT((TODAY()-$F134+280)/7)&amp;"+"&amp;MOD(TODAY()-$F134+280,7))</f>
        <v/>
      </c>
      <c r="I134" s="28">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ISNUMBER($Y134)*($Y134&gt;=TODAY())*($Y134&lt;=TODAY()+7))</f>
        <v/>
      </c>
      <c r="J134" s="28">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29">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7" t="n"/>
      <c r="M134" s="27" t="n"/>
      <c r="N134" s="27" t="n"/>
      <c r="O134" s="27" t="n"/>
      <c r="P134" s="27" t="n"/>
      <c r="Q134" s="27" t="n"/>
      <c r="R134" s="27" t="n"/>
      <c r="S134" s="27" t="n"/>
      <c r="T134" s="27" t="n"/>
      <c r="U134" s="27" t="n"/>
      <c r="V134" s="27" t="n"/>
      <c r="W134" s="27" t="n"/>
      <c r="X134" s="27" t="n"/>
      <c r="Y134" s="27" t="n"/>
      <c r="Z134" s="30" t="n"/>
      <c r="AA134" s="25" t="n"/>
      <c r="AB134" s="28">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ISNUMBER($Y134)*($Y134&lt;TODAY()))</f>
        <v/>
      </c>
    </row>
    <row r="135">
      <c r="A135" s="25" t="n"/>
      <c r="B135" s="26" t="n"/>
      <c r="C135" s="27" t="n"/>
      <c r="D135" s="25" t="n"/>
      <c r="E135" s="25" t="n"/>
      <c r="F135" s="27" t="n"/>
      <c r="G135" s="25" t="n"/>
      <c r="H135" s="28">
        <f>IF(OR(NOT(AND($A135&lt;&gt;"",OR($G135="",$G135="Active"))),$F135=""),"",INT((TODAY()-$F135+280)/7)&amp;"+"&amp;MOD(TODAY()-$F135+280,7))</f>
        <v/>
      </c>
      <c r="I135" s="28">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ISNUMBER($Y135)*($Y135&gt;=TODAY())*($Y135&lt;=TODAY()+7))</f>
        <v/>
      </c>
      <c r="J135" s="28">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29">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7" t="n"/>
      <c r="M135" s="27" t="n"/>
      <c r="N135" s="27" t="n"/>
      <c r="O135" s="27" t="n"/>
      <c r="P135" s="27" t="n"/>
      <c r="Q135" s="27" t="n"/>
      <c r="R135" s="27" t="n"/>
      <c r="S135" s="27" t="n"/>
      <c r="T135" s="27" t="n"/>
      <c r="U135" s="27" t="n"/>
      <c r="V135" s="27" t="n"/>
      <c r="W135" s="27" t="n"/>
      <c r="X135" s="27" t="n"/>
      <c r="Y135" s="27" t="n"/>
      <c r="Z135" s="30" t="n"/>
      <c r="AA135" s="25" t="n"/>
      <c r="AB135" s="28">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ISNUMBER($Y135)*($Y135&lt;TODAY()))</f>
        <v/>
      </c>
    </row>
    <row r="136">
      <c r="A136" s="25" t="n"/>
      <c r="B136" s="26" t="n"/>
      <c r="C136" s="27" t="n"/>
      <c r="D136" s="25" t="n"/>
      <c r="E136" s="25" t="n"/>
      <c r="F136" s="27" t="n"/>
      <c r="G136" s="25" t="n"/>
      <c r="H136" s="28">
        <f>IF(OR(NOT(AND($A136&lt;&gt;"",OR($G136="",$G136="Active"))),$F136=""),"",INT((TODAY()-$F136+280)/7)&amp;"+"&amp;MOD(TODAY()-$F136+280,7))</f>
        <v/>
      </c>
      <c r="I136" s="28">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ISNUMBER($Y136)*($Y136&gt;=TODAY())*($Y136&lt;=TODAY()+7))</f>
        <v/>
      </c>
      <c r="J136" s="28">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29">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7" t="n"/>
      <c r="M136" s="27" t="n"/>
      <c r="N136" s="27" t="n"/>
      <c r="O136" s="27" t="n"/>
      <c r="P136" s="27" t="n"/>
      <c r="Q136" s="27" t="n"/>
      <c r="R136" s="27" t="n"/>
      <c r="S136" s="27" t="n"/>
      <c r="T136" s="27" t="n"/>
      <c r="U136" s="27" t="n"/>
      <c r="V136" s="27" t="n"/>
      <c r="W136" s="27" t="n"/>
      <c r="X136" s="27" t="n"/>
      <c r="Y136" s="27" t="n"/>
      <c r="Z136" s="30" t="n"/>
      <c r="AA136" s="25" t="n"/>
      <c r="AB136" s="28">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ISNUMBER($Y136)*($Y136&lt;TODAY()))</f>
        <v/>
      </c>
    </row>
    <row r="137">
      <c r="A137" s="25" t="n"/>
      <c r="B137" s="26" t="n"/>
      <c r="C137" s="27" t="n"/>
      <c r="D137" s="25" t="n"/>
      <c r="E137" s="25" t="n"/>
      <c r="F137" s="27" t="n"/>
      <c r="G137" s="25" t="n"/>
      <c r="H137" s="28">
        <f>IF(OR(NOT(AND($A137&lt;&gt;"",OR($G137="",$G137="Active"))),$F137=""),"",INT((TODAY()-$F137+280)/7)&amp;"+"&amp;MOD(TODAY()-$F137+280,7))</f>
        <v/>
      </c>
      <c r="I137" s="28">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ISNUMBER($Y137)*($Y137&gt;=TODAY())*($Y137&lt;=TODAY()+7))</f>
        <v/>
      </c>
      <c r="J137" s="28">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29">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7" t="n"/>
      <c r="M137" s="27" t="n"/>
      <c r="N137" s="27" t="n"/>
      <c r="O137" s="27" t="n"/>
      <c r="P137" s="27" t="n"/>
      <c r="Q137" s="27" t="n"/>
      <c r="R137" s="27" t="n"/>
      <c r="S137" s="27" t="n"/>
      <c r="T137" s="27" t="n"/>
      <c r="U137" s="27" t="n"/>
      <c r="V137" s="27" t="n"/>
      <c r="W137" s="27" t="n"/>
      <c r="X137" s="27" t="n"/>
      <c r="Y137" s="27" t="n"/>
      <c r="Z137" s="30" t="n"/>
      <c r="AA137" s="25" t="n"/>
      <c r="AB137" s="28">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ISNUMBER($Y137)*($Y137&lt;TODAY()))</f>
        <v/>
      </c>
    </row>
    <row r="138">
      <c r="A138" s="25" t="n"/>
      <c r="B138" s="26" t="n"/>
      <c r="C138" s="27" t="n"/>
      <c r="D138" s="25" t="n"/>
      <c r="E138" s="25" t="n"/>
      <c r="F138" s="27" t="n"/>
      <c r="G138" s="25" t="n"/>
      <c r="H138" s="28">
        <f>IF(OR(NOT(AND($A138&lt;&gt;"",OR($G138="",$G138="Active"))),$F138=""),"",INT((TODAY()-$F138+280)/7)&amp;"+"&amp;MOD(TODAY()-$F138+280,7))</f>
        <v/>
      </c>
      <c r="I138" s="28">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ISNUMBER($Y138)*($Y138&gt;=TODAY())*($Y138&lt;=TODAY()+7))</f>
        <v/>
      </c>
      <c r="J138" s="28">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29">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7" t="n"/>
      <c r="M138" s="27" t="n"/>
      <c r="N138" s="27" t="n"/>
      <c r="O138" s="27" t="n"/>
      <c r="P138" s="27" t="n"/>
      <c r="Q138" s="27" t="n"/>
      <c r="R138" s="27" t="n"/>
      <c r="S138" s="27" t="n"/>
      <c r="T138" s="27" t="n"/>
      <c r="U138" s="27" t="n"/>
      <c r="V138" s="27" t="n"/>
      <c r="W138" s="27" t="n"/>
      <c r="X138" s="27" t="n"/>
      <c r="Y138" s="27" t="n"/>
      <c r="Z138" s="30" t="n"/>
      <c r="AA138" s="25" t="n"/>
      <c r="AB138" s="28">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ISNUMBER($Y138)*($Y138&lt;TODAY()))</f>
        <v/>
      </c>
    </row>
    <row r="139">
      <c r="A139" s="25" t="n"/>
      <c r="B139" s="26" t="n"/>
      <c r="C139" s="27" t="n"/>
      <c r="D139" s="25" t="n"/>
      <c r="E139" s="25" t="n"/>
      <c r="F139" s="27" t="n"/>
      <c r="G139" s="25" t="n"/>
      <c r="H139" s="28">
        <f>IF(OR(NOT(AND($A139&lt;&gt;"",OR($G139="",$G139="Active"))),$F139=""),"",INT((TODAY()-$F139+280)/7)&amp;"+"&amp;MOD(TODAY()-$F139+280,7))</f>
        <v/>
      </c>
      <c r="I139" s="28">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ISNUMBER($Y139)*($Y139&gt;=TODAY())*($Y139&lt;=TODAY()+7))</f>
        <v/>
      </c>
      <c r="J139" s="28">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29">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7" t="n"/>
      <c r="M139" s="27" t="n"/>
      <c r="N139" s="27" t="n"/>
      <c r="O139" s="27" t="n"/>
      <c r="P139" s="27" t="n"/>
      <c r="Q139" s="27" t="n"/>
      <c r="R139" s="27" t="n"/>
      <c r="S139" s="27" t="n"/>
      <c r="T139" s="27" t="n"/>
      <c r="U139" s="27" t="n"/>
      <c r="V139" s="27" t="n"/>
      <c r="W139" s="27" t="n"/>
      <c r="X139" s="27" t="n"/>
      <c r="Y139" s="27" t="n"/>
      <c r="Z139" s="30" t="n"/>
      <c r="AA139" s="25" t="n"/>
      <c r="AB139" s="28">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ISNUMBER($Y139)*($Y139&lt;TODAY()))</f>
        <v/>
      </c>
    </row>
    <row r="140">
      <c r="A140" s="25" t="n"/>
      <c r="B140" s="26" t="n"/>
      <c r="C140" s="27" t="n"/>
      <c r="D140" s="25" t="n"/>
      <c r="E140" s="25" t="n"/>
      <c r="F140" s="27" t="n"/>
      <c r="G140" s="25" t="n"/>
      <c r="H140" s="28">
        <f>IF(OR(NOT(AND($A140&lt;&gt;"",OR($G140="",$G140="Active"))),$F140=""),"",INT((TODAY()-$F140+280)/7)&amp;"+"&amp;MOD(TODAY()-$F140+280,7))</f>
        <v/>
      </c>
      <c r="I140" s="28">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ISNUMBER($Y140)*($Y140&gt;=TODAY())*($Y140&lt;=TODAY()+7))</f>
        <v/>
      </c>
      <c r="J140" s="28">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29">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7" t="n"/>
      <c r="M140" s="27" t="n"/>
      <c r="N140" s="27" t="n"/>
      <c r="O140" s="27" t="n"/>
      <c r="P140" s="27" t="n"/>
      <c r="Q140" s="27" t="n"/>
      <c r="R140" s="27" t="n"/>
      <c r="S140" s="27" t="n"/>
      <c r="T140" s="27" t="n"/>
      <c r="U140" s="27" t="n"/>
      <c r="V140" s="27" t="n"/>
      <c r="W140" s="27" t="n"/>
      <c r="X140" s="27" t="n"/>
      <c r="Y140" s="27" t="n"/>
      <c r="Z140" s="30" t="n"/>
      <c r="AA140" s="25" t="n"/>
      <c r="AB140" s="28">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ISNUMBER($Y140)*($Y140&lt;TODAY()))</f>
        <v/>
      </c>
    </row>
    <row r="141">
      <c r="A141" s="25" t="n"/>
      <c r="B141" s="26" t="n"/>
      <c r="C141" s="27" t="n"/>
      <c r="D141" s="25" t="n"/>
      <c r="E141" s="25" t="n"/>
      <c r="F141" s="27" t="n"/>
      <c r="G141" s="25" t="n"/>
      <c r="H141" s="28">
        <f>IF(OR(NOT(AND($A141&lt;&gt;"",OR($G141="",$G141="Active"))),$F141=""),"",INT((TODAY()-$F141+280)/7)&amp;"+"&amp;MOD(TODAY()-$F141+280,7))</f>
        <v/>
      </c>
      <c r="I141" s="28">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ISNUMBER($Y141)*($Y141&gt;=TODAY())*($Y141&lt;=TODAY()+7))</f>
        <v/>
      </c>
      <c r="J141" s="28">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29">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7" t="n"/>
      <c r="M141" s="27" t="n"/>
      <c r="N141" s="27" t="n"/>
      <c r="O141" s="27" t="n"/>
      <c r="P141" s="27" t="n"/>
      <c r="Q141" s="27" t="n"/>
      <c r="R141" s="27" t="n"/>
      <c r="S141" s="27" t="n"/>
      <c r="T141" s="27" t="n"/>
      <c r="U141" s="27" t="n"/>
      <c r="V141" s="27" t="n"/>
      <c r="W141" s="27" t="n"/>
      <c r="X141" s="27" t="n"/>
      <c r="Y141" s="27" t="n"/>
      <c r="Z141" s="30" t="n"/>
      <c r="AA141" s="25" t="n"/>
      <c r="AB141" s="28">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ISNUMBER($Y141)*($Y141&lt;TODAY()))</f>
        <v/>
      </c>
    </row>
    <row r="142">
      <c r="A142" s="25" t="n"/>
      <c r="B142" s="26" t="n"/>
      <c r="C142" s="27" t="n"/>
      <c r="D142" s="25" t="n"/>
      <c r="E142" s="25" t="n"/>
      <c r="F142" s="27" t="n"/>
      <c r="G142" s="25" t="n"/>
      <c r="H142" s="28">
        <f>IF(OR(NOT(AND($A142&lt;&gt;"",OR($G142="",$G142="Active"))),$F142=""),"",INT((TODAY()-$F142+280)/7)&amp;"+"&amp;MOD(TODAY()-$F142+280,7))</f>
        <v/>
      </c>
      <c r="I142" s="28">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ISNUMBER($Y142)*($Y142&gt;=TODAY())*($Y142&lt;=TODAY()+7))</f>
        <v/>
      </c>
      <c r="J142" s="28">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29">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7" t="n"/>
      <c r="M142" s="27" t="n"/>
      <c r="N142" s="27" t="n"/>
      <c r="O142" s="27" t="n"/>
      <c r="P142" s="27" t="n"/>
      <c r="Q142" s="27" t="n"/>
      <c r="R142" s="27" t="n"/>
      <c r="S142" s="27" t="n"/>
      <c r="T142" s="27" t="n"/>
      <c r="U142" s="27" t="n"/>
      <c r="V142" s="27" t="n"/>
      <c r="W142" s="27" t="n"/>
      <c r="X142" s="27" t="n"/>
      <c r="Y142" s="27" t="n"/>
      <c r="Z142" s="30" t="n"/>
      <c r="AA142" s="25" t="n"/>
      <c r="AB142" s="28">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ISNUMBER($Y142)*($Y142&lt;TODAY()))</f>
        <v/>
      </c>
    </row>
    <row r="143">
      <c r="A143" s="25" t="n"/>
      <c r="B143" s="26" t="n"/>
      <c r="C143" s="27" t="n"/>
      <c r="D143" s="25" t="n"/>
      <c r="E143" s="25" t="n"/>
      <c r="F143" s="27" t="n"/>
      <c r="G143" s="25" t="n"/>
      <c r="H143" s="28">
        <f>IF(OR(NOT(AND($A143&lt;&gt;"",OR($G143="",$G143="Active"))),$F143=""),"",INT((TODAY()-$F143+280)/7)&amp;"+"&amp;MOD(TODAY()-$F143+280,7))</f>
        <v/>
      </c>
      <c r="I143" s="28">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ISNUMBER($Y143)*($Y143&gt;=TODAY())*($Y143&lt;=TODAY()+7))</f>
        <v/>
      </c>
      <c r="J143" s="28">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29">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7" t="n"/>
      <c r="M143" s="27" t="n"/>
      <c r="N143" s="27" t="n"/>
      <c r="O143" s="27" t="n"/>
      <c r="P143" s="27" t="n"/>
      <c r="Q143" s="27" t="n"/>
      <c r="R143" s="27" t="n"/>
      <c r="S143" s="27" t="n"/>
      <c r="T143" s="27" t="n"/>
      <c r="U143" s="27" t="n"/>
      <c r="V143" s="27" t="n"/>
      <c r="W143" s="27" t="n"/>
      <c r="X143" s="27" t="n"/>
      <c r="Y143" s="27" t="n"/>
      <c r="Z143" s="30" t="n"/>
      <c r="AA143" s="25" t="n"/>
      <c r="AB143" s="28">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ISNUMBER($Y143)*($Y143&lt;TODAY()))</f>
        <v/>
      </c>
    </row>
    <row r="144">
      <c r="A144" s="25" t="n"/>
      <c r="B144" s="26" t="n"/>
      <c r="C144" s="27" t="n"/>
      <c r="D144" s="25" t="n"/>
      <c r="E144" s="25" t="n"/>
      <c r="F144" s="27" t="n"/>
      <c r="G144" s="25" t="n"/>
      <c r="H144" s="28">
        <f>IF(OR(NOT(AND($A144&lt;&gt;"",OR($G144="",$G144="Active"))),$F144=""),"",INT((TODAY()-$F144+280)/7)&amp;"+"&amp;MOD(TODAY()-$F144+280,7))</f>
        <v/>
      </c>
      <c r="I144" s="28">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ISNUMBER($Y144)*($Y144&gt;=TODAY())*($Y144&lt;=TODAY()+7))</f>
        <v/>
      </c>
      <c r="J144" s="28">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29">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7" t="n"/>
      <c r="M144" s="27" t="n"/>
      <c r="N144" s="27" t="n"/>
      <c r="O144" s="27" t="n"/>
      <c r="P144" s="27" t="n"/>
      <c r="Q144" s="27" t="n"/>
      <c r="R144" s="27" t="n"/>
      <c r="S144" s="27" t="n"/>
      <c r="T144" s="27" t="n"/>
      <c r="U144" s="27" t="n"/>
      <c r="V144" s="27" t="n"/>
      <c r="W144" s="27" t="n"/>
      <c r="X144" s="27" t="n"/>
      <c r="Y144" s="27" t="n"/>
      <c r="Z144" s="30" t="n"/>
      <c r="AA144" s="25" t="n"/>
      <c r="AB144" s="28">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ISNUMBER($Y144)*($Y144&lt;TODAY()))</f>
        <v/>
      </c>
    </row>
    <row r="145">
      <c r="A145" s="25" t="n"/>
      <c r="B145" s="26" t="n"/>
      <c r="C145" s="27" t="n"/>
      <c r="D145" s="25" t="n"/>
      <c r="E145" s="25" t="n"/>
      <c r="F145" s="27" t="n"/>
      <c r="G145" s="25" t="n"/>
      <c r="H145" s="28">
        <f>IF(OR(NOT(AND($A145&lt;&gt;"",OR($G145="",$G145="Active"))),$F145=""),"",INT((TODAY()-$F145+280)/7)&amp;"+"&amp;MOD(TODAY()-$F145+280,7))</f>
        <v/>
      </c>
      <c r="I145" s="28">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ISNUMBER($Y145)*($Y145&gt;=TODAY())*($Y145&lt;=TODAY()+7))</f>
        <v/>
      </c>
      <c r="J145" s="28">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29">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7" t="n"/>
      <c r="M145" s="27" t="n"/>
      <c r="N145" s="27" t="n"/>
      <c r="O145" s="27" t="n"/>
      <c r="P145" s="27" t="n"/>
      <c r="Q145" s="27" t="n"/>
      <c r="R145" s="27" t="n"/>
      <c r="S145" s="27" t="n"/>
      <c r="T145" s="27" t="n"/>
      <c r="U145" s="27" t="n"/>
      <c r="V145" s="27" t="n"/>
      <c r="W145" s="27" t="n"/>
      <c r="X145" s="27" t="n"/>
      <c r="Y145" s="27" t="n"/>
      <c r="Z145" s="30" t="n"/>
      <c r="AA145" s="25" t="n"/>
      <c r="AB145" s="28">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ISNUMBER($Y145)*($Y145&lt;TODAY()))</f>
        <v/>
      </c>
    </row>
    <row r="146">
      <c r="A146" s="25" t="n"/>
      <c r="B146" s="26" t="n"/>
      <c r="C146" s="27" t="n"/>
      <c r="D146" s="25" t="n"/>
      <c r="E146" s="25" t="n"/>
      <c r="F146" s="27" t="n"/>
      <c r="G146" s="25" t="n"/>
      <c r="H146" s="28">
        <f>IF(OR(NOT(AND($A146&lt;&gt;"",OR($G146="",$G146="Active"))),$F146=""),"",INT((TODAY()-$F146+280)/7)&amp;"+"&amp;MOD(TODAY()-$F146+280,7))</f>
        <v/>
      </c>
      <c r="I146" s="28">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ISNUMBER($Y146)*($Y146&gt;=TODAY())*($Y146&lt;=TODAY()+7))</f>
        <v/>
      </c>
      <c r="J146" s="28">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29">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7" t="n"/>
      <c r="M146" s="27" t="n"/>
      <c r="N146" s="27" t="n"/>
      <c r="O146" s="27" t="n"/>
      <c r="P146" s="27" t="n"/>
      <c r="Q146" s="27" t="n"/>
      <c r="R146" s="27" t="n"/>
      <c r="S146" s="27" t="n"/>
      <c r="T146" s="27" t="n"/>
      <c r="U146" s="27" t="n"/>
      <c r="V146" s="27" t="n"/>
      <c r="W146" s="27" t="n"/>
      <c r="X146" s="27" t="n"/>
      <c r="Y146" s="27" t="n"/>
      <c r="Z146" s="30" t="n"/>
      <c r="AA146" s="25" t="n"/>
      <c r="AB146" s="28">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ISNUMBER($Y146)*($Y146&lt;TODAY()))</f>
        <v/>
      </c>
    </row>
    <row r="147">
      <c r="A147" s="25" t="n"/>
      <c r="B147" s="26" t="n"/>
      <c r="C147" s="27" t="n"/>
      <c r="D147" s="25" t="n"/>
      <c r="E147" s="25" t="n"/>
      <c r="F147" s="27" t="n"/>
      <c r="G147" s="25" t="n"/>
      <c r="H147" s="28">
        <f>IF(OR(NOT(AND($A147&lt;&gt;"",OR($G147="",$G147="Active"))),$F147=""),"",INT((TODAY()-$F147+280)/7)&amp;"+"&amp;MOD(TODAY()-$F147+280,7))</f>
        <v/>
      </c>
      <c r="I147" s="28">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ISNUMBER($Y147)*($Y147&gt;=TODAY())*($Y147&lt;=TODAY()+7))</f>
        <v/>
      </c>
      <c r="J147" s="28">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29">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7" t="n"/>
      <c r="M147" s="27" t="n"/>
      <c r="N147" s="27" t="n"/>
      <c r="O147" s="27" t="n"/>
      <c r="P147" s="27" t="n"/>
      <c r="Q147" s="27" t="n"/>
      <c r="R147" s="27" t="n"/>
      <c r="S147" s="27" t="n"/>
      <c r="T147" s="27" t="n"/>
      <c r="U147" s="27" t="n"/>
      <c r="V147" s="27" t="n"/>
      <c r="W147" s="27" t="n"/>
      <c r="X147" s="27" t="n"/>
      <c r="Y147" s="27" t="n"/>
      <c r="Z147" s="30" t="n"/>
      <c r="AA147" s="25" t="n"/>
      <c r="AB147" s="28">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ISNUMBER($Y147)*($Y147&lt;TODAY()))</f>
        <v/>
      </c>
    </row>
    <row r="148">
      <c r="A148" s="25" t="n"/>
      <c r="B148" s="26" t="n"/>
      <c r="C148" s="27" t="n"/>
      <c r="D148" s="25" t="n"/>
      <c r="E148" s="25" t="n"/>
      <c r="F148" s="27" t="n"/>
      <c r="G148" s="25" t="n"/>
      <c r="H148" s="28">
        <f>IF(OR(NOT(AND($A148&lt;&gt;"",OR($G148="",$G148="Active"))),$F148=""),"",INT((TODAY()-$F148+280)/7)&amp;"+"&amp;MOD(TODAY()-$F148+280,7))</f>
        <v/>
      </c>
      <c r="I148" s="28">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ISNUMBER($Y148)*($Y148&gt;=TODAY())*($Y148&lt;=TODAY()+7))</f>
        <v/>
      </c>
      <c r="J148" s="28">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29">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7" t="n"/>
      <c r="M148" s="27" t="n"/>
      <c r="N148" s="27" t="n"/>
      <c r="O148" s="27" t="n"/>
      <c r="P148" s="27" t="n"/>
      <c r="Q148" s="27" t="n"/>
      <c r="R148" s="27" t="n"/>
      <c r="S148" s="27" t="n"/>
      <c r="T148" s="27" t="n"/>
      <c r="U148" s="27" t="n"/>
      <c r="V148" s="27" t="n"/>
      <c r="W148" s="27" t="n"/>
      <c r="X148" s="27" t="n"/>
      <c r="Y148" s="27" t="n"/>
      <c r="Z148" s="30" t="n"/>
      <c r="AA148" s="25" t="n"/>
      <c r="AB148" s="28">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ISNUMBER($Y148)*($Y148&lt;TODAY()))</f>
        <v/>
      </c>
    </row>
    <row r="149">
      <c r="A149" s="25" t="n"/>
      <c r="B149" s="26" t="n"/>
      <c r="C149" s="27" t="n"/>
      <c r="D149" s="25" t="n"/>
      <c r="E149" s="25" t="n"/>
      <c r="F149" s="27" t="n"/>
      <c r="G149" s="25" t="n"/>
      <c r="H149" s="28">
        <f>IF(OR(NOT(AND($A149&lt;&gt;"",OR($G149="",$G149="Active"))),$F149=""),"",INT((TODAY()-$F149+280)/7)&amp;"+"&amp;MOD(TODAY()-$F149+280,7))</f>
        <v/>
      </c>
      <c r="I149" s="28">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ISNUMBER($Y149)*($Y149&gt;=TODAY())*($Y149&lt;=TODAY()+7))</f>
        <v/>
      </c>
      <c r="J149" s="28">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29">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7" t="n"/>
      <c r="M149" s="27" t="n"/>
      <c r="N149" s="27" t="n"/>
      <c r="O149" s="27" t="n"/>
      <c r="P149" s="27" t="n"/>
      <c r="Q149" s="27" t="n"/>
      <c r="R149" s="27" t="n"/>
      <c r="S149" s="27" t="n"/>
      <c r="T149" s="27" t="n"/>
      <c r="U149" s="27" t="n"/>
      <c r="V149" s="27" t="n"/>
      <c r="W149" s="27" t="n"/>
      <c r="X149" s="27" t="n"/>
      <c r="Y149" s="27" t="n"/>
      <c r="Z149" s="30" t="n"/>
      <c r="AA149" s="25" t="n"/>
      <c r="AB149" s="28">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ISNUMBER($Y149)*($Y149&lt;TODAY()))</f>
        <v/>
      </c>
    </row>
    <row r="150">
      <c r="A150" s="25" t="n"/>
      <c r="B150" s="26" t="n"/>
      <c r="C150" s="27" t="n"/>
      <c r="D150" s="25" t="n"/>
      <c r="E150" s="25" t="n"/>
      <c r="F150" s="27" t="n"/>
      <c r="G150" s="25" t="n"/>
      <c r="H150" s="28">
        <f>IF(OR(NOT(AND($A150&lt;&gt;"",OR($G150="",$G150="Active"))),$F150=""),"",INT((TODAY()-$F150+280)/7)&amp;"+"&amp;MOD(TODAY()-$F150+280,7))</f>
        <v/>
      </c>
      <c r="I150" s="28">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ISNUMBER($Y150)*($Y150&gt;=TODAY())*($Y150&lt;=TODAY()+7))</f>
        <v/>
      </c>
      <c r="J150" s="28">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29">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7" t="n"/>
      <c r="M150" s="27" t="n"/>
      <c r="N150" s="27" t="n"/>
      <c r="O150" s="27" t="n"/>
      <c r="P150" s="27" t="n"/>
      <c r="Q150" s="27" t="n"/>
      <c r="R150" s="27" t="n"/>
      <c r="S150" s="27" t="n"/>
      <c r="T150" s="27" t="n"/>
      <c r="U150" s="27" t="n"/>
      <c r="V150" s="27" t="n"/>
      <c r="W150" s="27" t="n"/>
      <c r="X150" s="27" t="n"/>
      <c r="Y150" s="27" t="n"/>
      <c r="Z150" s="30" t="n"/>
      <c r="AA150" s="25" t="n"/>
      <c r="AB150" s="28">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ISNUMBER($Y150)*($Y150&lt;TODAY()))</f>
        <v/>
      </c>
    </row>
    <row r="151">
      <c r="A151" s="25" t="n"/>
      <c r="B151" s="26" t="n"/>
      <c r="C151" s="27" t="n"/>
      <c r="D151" s="25" t="n"/>
      <c r="E151" s="25" t="n"/>
      <c r="F151" s="27" t="n"/>
      <c r="G151" s="25" t="n"/>
      <c r="H151" s="28">
        <f>IF(OR(NOT(AND($A151&lt;&gt;"",OR($G151="",$G151="Active"))),$F151=""),"",INT((TODAY()-$F151+280)/7)&amp;"+"&amp;MOD(TODAY()-$F151+280,7))</f>
        <v/>
      </c>
      <c r="I151" s="28">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ISNUMBER($Y151)*($Y151&gt;=TODAY())*($Y151&lt;=TODAY()+7))</f>
        <v/>
      </c>
      <c r="J151" s="28">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29">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7" t="n"/>
      <c r="M151" s="27" t="n"/>
      <c r="N151" s="27" t="n"/>
      <c r="O151" s="27" t="n"/>
      <c r="P151" s="27" t="n"/>
      <c r="Q151" s="27" t="n"/>
      <c r="R151" s="27" t="n"/>
      <c r="S151" s="27" t="n"/>
      <c r="T151" s="27" t="n"/>
      <c r="U151" s="27" t="n"/>
      <c r="V151" s="27" t="n"/>
      <c r="W151" s="27" t="n"/>
      <c r="X151" s="27" t="n"/>
      <c r="Y151" s="27" t="n"/>
      <c r="Z151" s="30" t="n"/>
      <c r="AA151" s="25" t="n"/>
      <c r="AB151" s="28">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ISNUMBER($Y151)*($Y151&lt;TODAY()))</f>
        <v/>
      </c>
    </row>
    <row r="152">
      <c r="A152" s="25" t="n"/>
      <c r="B152" s="26" t="n"/>
      <c r="C152" s="27" t="n"/>
      <c r="D152" s="25" t="n"/>
      <c r="E152" s="25" t="n"/>
      <c r="F152" s="27" t="n"/>
      <c r="G152" s="25" t="n"/>
      <c r="H152" s="28">
        <f>IF(OR(NOT(AND($A152&lt;&gt;"",OR($G152="",$G152="Active"))),$F152=""),"",INT((TODAY()-$F152+280)/7)&amp;"+"&amp;MOD(TODAY()-$F152+280,7))</f>
        <v/>
      </c>
      <c r="I152" s="28">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ISNUMBER($Y152)*($Y152&gt;=TODAY())*($Y152&lt;=TODAY()+7))</f>
        <v/>
      </c>
      <c r="J152" s="28">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29">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7" t="n"/>
      <c r="M152" s="27" t="n"/>
      <c r="N152" s="27" t="n"/>
      <c r="O152" s="27" t="n"/>
      <c r="P152" s="27" t="n"/>
      <c r="Q152" s="27" t="n"/>
      <c r="R152" s="27" t="n"/>
      <c r="S152" s="27" t="n"/>
      <c r="T152" s="27" t="n"/>
      <c r="U152" s="27" t="n"/>
      <c r="V152" s="27" t="n"/>
      <c r="W152" s="27" t="n"/>
      <c r="X152" s="27" t="n"/>
      <c r="Y152" s="27" t="n"/>
      <c r="Z152" s="30" t="n"/>
      <c r="AA152" s="25" t="n"/>
      <c r="AB152" s="28">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ISNUMBER($Y152)*($Y152&lt;TODAY()))</f>
        <v/>
      </c>
    </row>
    <row r="153">
      <c r="A153" s="25" t="n"/>
      <c r="B153" s="26" t="n"/>
      <c r="C153" s="27" t="n"/>
      <c r="D153" s="25" t="n"/>
      <c r="E153" s="25" t="n"/>
      <c r="F153" s="27" t="n"/>
      <c r="G153" s="25" t="n"/>
      <c r="H153" s="28">
        <f>IF(OR(NOT(AND($A153&lt;&gt;"",OR($G153="",$G153="Active"))),$F153=""),"",INT((TODAY()-$F153+280)/7)&amp;"+"&amp;MOD(TODAY()-$F153+280,7))</f>
        <v/>
      </c>
      <c r="I153" s="28">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ISNUMBER($Y153)*($Y153&gt;=TODAY())*($Y153&lt;=TODAY()+7))</f>
        <v/>
      </c>
      <c r="J153" s="28">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29">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7" t="n"/>
      <c r="M153" s="27" t="n"/>
      <c r="N153" s="27" t="n"/>
      <c r="O153" s="27" t="n"/>
      <c r="P153" s="27" t="n"/>
      <c r="Q153" s="27" t="n"/>
      <c r="R153" s="27" t="n"/>
      <c r="S153" s="27" t="n"/>
      <c r="T153" s="27" t="n"/>
      <c r="U153" s="27" t="n"/>
      <c r="V153" s="27" t="n"/>
      <c r="W153" s="27" t="n"/>
      <c r="X153" s="27" t="n"/>
      <c r="Y153" s="27" t="n"/>
      <c r="Z153" s="30" t="n"/>
      <c r="AA153" s="25" t="n"/>
      <c r="AB153" s="28">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ISNUMBER($Y153)*($Y153&lt;TODAY()))</f>
        <v/>
      </c>
    </row>
    <row r="154">
      <c r="A154" s="25" t="n"/>
      <c r="B154" s="26" t="n"/>
      <c r="C154" s="27" t="n"/>
      <c r="D154" s="25" t="n"/>
      <c r="E154" s="25" t="n"/>
      <c r="F154" s="27" t="n"/>
      <c r="G154" s="25" t="n"/>
      <c r="H154" s="28">
        <f>IF(OR(NOT(AND($A154&lt;&gt;"",OR($G154="",$G154="Active"))),$F154=""),"",INT((TODAY()-$F154+280)/7)&amp;"+"&amp;MOD(TODAY()-$F154+280,7))</f>
        <v/>
      </c>
      <c r="I154" s="28">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ISNUMBER($Y154)*($Y154&gt;=TODAY())*($Y154&lt;=TODAY()+7))</f>
        <v/>
      </c>
      <c r="J154" s="28">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29">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7" t="n"/>
      <c r="M154" s="27" t="n"/>
      <c r="N154" s="27" t="n"/>
      <c r="O154" s="27" t="n"/>
      <c r="P154" s="27" t="n"/>
      <c r="Q154" s="27" t="n"/>
      <c r="R154" s="27" t="n"/>
      <c r="S154" s="27" t="n"/>
      <c r="T154" s="27" t="n"/>
      <c r="U154" s="27" t="n"/>
      <c r="V154" s="27" t="n"/>
      <c r="W154" s="27" t="n"/>
      <c r="X154" s="27" t="n"/>
      <c r="Y154" s="27" t="n"/>
      <c r="Z154" s="30" t="n"/>
      <c r="AA154" s="25" t="n"/>
      <c r="AB154" s="28">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ISNUMBER($Y154)*($Y154&lt;TODAY()))</f>
        <v/>
      </c>
    </row>
    <row r="155">
      <c r="A155" s="25" t="n"/>
      <c r="B155" s="26" t="n"/>
      <c r="C155" s="27" t="n"/>
      <c r="D155" s="25" t="n"/>
      <c r="E155" s="25" t="n"/>
      <c r="F155" s="27" t="n"/>
      <c r="G155" s="25" t="n"/>
      <c r="H155" s="28">
        <f>IF(OR(NOT(AND($A155&lt;&gt;"",OR($G155="",$G155="Active"))),$F155=""),"",INT((TODAY()-$F155+280)/7)&amp;"+"&amp;MOD(TODAY()-$F155+280,7))</f>
        <v/>
      </c>
      <c r="I155" s="28">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ISNUMBER($Y155)*($Y155&gt;=TODAY())*($Y155&lt;=TODAY()+7))</f>
        <v/>
      </c>
      <c r="J155" s="28">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29">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7" t="n"/>
      <c r="M155" s="27" t="n"/>
      <c r="N155" s="27" t="n"/>
      <c r="O155" s="27" t="n"/>
      <c r="P155" s="27" t="n"/>
      <c r="Q155" s="27" t="n"/>
      <c r="R155" s="27" t="n"/>
      <c r="S155" s="27" t="n"/>
      <c r="T155" s="27" t="n"/>
      <c r="U155" s="27" t="n"/>
      <c r="V155" s="27" t="n"/>
      <c r="W155" s="27" t="n"/>
      <c r="X155" s="27" t="n"/>
      <c r="Y155" s="27" t="n"/>
      <c r="Z155" s="30" t="n"/>
      <c r="AA155" s="25" t="n"/>
      <c r="AB155" s="28">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ISNUMBER($Y155)*($Y155&lt;TODAY()))</f>
        <v/>
      </c>
    </row>
    <row r="156">
      <c r="A156" s="25" t="n"/>
      <c r="B156" s="26" t="n"/>
      <c r="C156" s="27" t="n"/>
      <c r="D156" s="25" t="n"/>
      <c r="E156" s="25" t="n"/>
      <c r="F156" s="27" t="n"/>
      <c r="G156" s="25" t="n"/>
      <c r="H156" s="28">
        <f>IF(OR(NOT(AND($A156&lt;&gt;"",OR($G156="",$G156="Active"))),$F156=""),"",INT((TODAY()-$F156+280)/7)&amp;"+"&amp;MOD(TODAY()-$F156+280,7))</f>
        <v/>
      </c>
      <c r="I156" s="28">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ISNUMBER($Y156)*($Y156&gt;=TODAY())*($Y156&lt;=TODAY()+7))</f>
        <v/>
      </c>
      <c r="J156" s="28">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29">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7" t="n"/>
      <c r="M156" s="27" t="n"/>
      <c r="N156" s="27" t="n"/>
      <c r="O156" s="27" t="n"/>
      <c r="P156" s="27" t="n"/>
      <c r="Q156" s="27" t="n"/>
      <c r="R156" s="27" t="n"/>
      <c r="S156" s="27" t="n"/>
      <c r="T156" s="27" t="n"/>
      <c r="U156" s="27" t="n"/>
      <c r="V156" s="27" t="n"/>
      <c r="W156" s="27" t="n"/>
      <c r="X156" s="27" t="n"/>
      <c r="Y156" s="27" t="n"/>
      <c r="Z156" s="30" t="n"/>
      <c r="AA156" s="25" t="n"/>
      <c r="AB156" s="28">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ISNUMBER($Y156)*($Y156&lt;TODAY()))</f>
        <v/>
      </c>
    </row>
    <row r="157">
      <c r="A157" s="25" t="n"/>
      <c r="B157" s="26" t="n"/>
      <c r="C157" s="27" t="n"/>
      <c r="D157" s="25" t="n"/>
      <c r="E157" s="25" t="n"/>
      <c r="F157" s="27" t="n"/>
      <c r="G157" s="25" t="n"/>
      <c r="H157" s="28">
        <f>IF(OR(NOT(AND($A157&lt;&gt;"",OR($G157="",$G157="Active"))),$F157=""),"",INT((TODAY()-$F157+280)/7)&amp;"+"&amp;MOD(TODAY()-$F157+280,7))</f>
        <v/>
      </c>
      <c r="I157" s="28">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ISNUMBER($Y157)*($Y157&gt;=TODAY())*($Y157&lt;=TODAY()+7))</f>
        <v/>
      </c>
      <c r="J157" s="28">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29">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7" t="n"/>
      <c r="M157" s="27" t="n"/>
      <c r="N157" s="27" t="n"/>
      <c r="O157" s="27" t="n"/>
      <c r="P157" s="27" t="n"/>
      <c r="Q157" s="27" t="n"/>
      <c r="R157" s="27" t="n"/>
      <c r="S157" s="27" t="n"/>
      <c r="T157" s="27" t="n"/>
      <c r="U157" s="27" t="n"/>
      <c r="V157" s="27" t="n"/>
      <c r="W157" s="27" t="n"/>
      <c r="X157" s="27" t="n"/>
      <c r="Y157" s="27" t="n"/>
      <c r="Z157" s="30" t="n"/>
      <c r="AA157" s="25" t="n"/>
      <c r="AB157" s="28">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ISNUMBER($Y157)*($Y157&lt;TODAY()))</f>
        <v/>
      </c>
    </row>
    <row r="158">
      <c r="A158" s="25" t="n"/>
      <c r="B158" s="26" t="n"/>
      <c r="C158" s="27" t="n"/>
      <c r="D158" s="25" t="n"/>
      <c r="E158" s="25" t="n"/>
      <c r="F158" s="27" t="n"/>
      <c r="G158" s="25" t="n"/>
      <c r="H158" s="28">
        <f>IF(OR(NOT(AND($A158&lt;&gt;"",OR($G158="",$G158="Active"))),$F158=""),"",INT((TODAY()-$F158+280)/7)&amp;"+"&amp;MOD(TODAY()-$F158+280,7))</f>
        <v/>
      </c>
      <c r="I158" s="28">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ISNUMBER($Y158)*($Y158&gt;=TODAY())*($Y158&lt;=TODAY()+7))</f>
        <v/>
      </c>
      <c r="J158" s="28">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29">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7" t="n"/>
      <c r="M158" s="27" t="n"/>
      <c r="N158" s="27" t="n"/>
      <c r="O158" s="27" t="n"/>
      <c r="P158" s="27" t="n"/>
      <c r="Q158" s="27" t="n"/>
      <c r="R158" s="27" t="n"/>
      <c r="S158" s="27" t="n"/>
      <c r="T158" s="27" t="n"/>
      <c r="U158" s="27" t="n"/>
      <c r="V158" s="27" t="n"/>
      <c r="W158" s="27" t="n"/>
      <c r="X158" s="27" t="n"/>
      <c r="Y158" s="27" t="n"/>
      <c r="Z158" s="30" t="n"/>
      <c r="AA158" s="25" t="n"/>
      <c r="AB158" s="28">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ISNUMBER($Y158)*($Y158&lt;TODAY()))</f>
        <v/>
      </c>
    </row>
    <row r="159">
      <c r="A159" s="25" t="n"/>
      <c r="B159" s="26" t="n"/>
      <c r="C159" s="27" t="n"/>
      <c r="D159" s="25" t="n"/>
      <c r="E159" s="25" t="n"/>
      <c r="F159" s="27" t="n"/>
      <c r="G159" s="25" t="n"/>
      <c r="H159" s="28">
        <f>IF(OR(NOT(AND($A159&lt;&gt;"",OR($G159="",$G159="Active"))),$F159=""),"",INT((TODAY()-$F159+280)/7)&amp;"+"&amp;MOD(TODAY()-$F159+280,7))</f>
        <v/>
      </c>
      <c r="I159" s="28">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ISNUMBER($Y159)*($Y159&gt;=TODAY())*($Y159&lt;=TODAY()+7))</f>
        <v/>
      </c>
      <c r="J159" s="28">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29">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7" t="n"/>
      <c r="M159" s="27" t="n"/>
      <c r="N159" s="27" t="n"/>
      <c r="O159" s="27" t="n"/>
      <c r="P159" s="27" t="n"/>
      <c r="Q159" s="27" t="n"/>
      <c r="R159" s="27" t="n"/>
      <c r="S159" s="27" t="n"/>
      <c r="T159" s="27" t="n"/>
      <c r="U159" s="27" t="n"/>
      <c r="V159" s="27" t="n"/>
      <c r="W159" s="27" t="n"/>
      <c r="X159" s="27" t="n"/>
      <c r="Y159" s="27" t="n"/>
      <c r="Z159" s="30" t="n"/>
      <c r="AA159" s="25" t="n"/>
      <c r="AB159" s="28">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ISNUMBER($Y159)*($Y159&lt;TODAY()))</f>
        <v/>
      </c>
    </row>
    <row r="160">
      <c r="A160" s="25" t="n"/>
      <c r="B160" s="26" t="n"/>
      <c r="C160" s="27" t="n"/>
      <c r="D160" s="25" t="n"/>
      <c r="E160" s="25" t="n"/>
      <c r="F160" s="27" t="n"/>
      <c r="G160" s="25" t="n"/>
      <c r="H160" s="28">
        <f>IF(OR(NOT(AND($A160&lt;&gt;"",OR($G160="",$G160="Active"))),$F160=""),"",INT((TODAY()-$F160+280)/7)&amp;"+"&amp;MOD(TODAY()-$F160+280,7))</f>
        <v/>
      </c>
      <c r="I160" s="28">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ISNUMBER($Y160)*($Y160&gt;=TODAY())*($Y160&lt;=TODAY()+7))</f>
        <v/>
      </c>
      <c r="J160" s="28">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29">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7" t="n"/>
      <c r="M160" s="27" t="n"/>
      <c r="N160" s="27" t="n"/>
      <c r="O160" s="27" t="n"/>
      <c r="P160" s="27" t="n"/>
      <c r="Q160" s="27" t="n"/>
      <c r="R160" s="27" t="n"/>
      <c r="S160" s="27" t="n"/>
      <c r="T160" s="27" t="n"/>
      <c r="U160" s="27" t="n"/>
      <c r="V160" s="27" t="n"/>
      <c r="W160" s="27" t="n"/>
      <c r="X160" s="27" t="n"/>
      <c r="Y160" s="27" t="n"/>
      <c r="Z160" s="30" t="n"/>
      <c r="AA160" s="25" t="n"/>
      <c r="AB160" s="28">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ISNUMBER($Y160)*($Y160&lt;TODAY()))</f>
        <v/>
      </c>
    </row>
    <row r="161">
      <c r="A161" s="25" t="n"/>
      <c r="B161" s="26" t="n"/>
      <c r="C161" s="27" t="n"/>
      <c r="D161" s="25" t="n"/>
      <c r="E161" s="25" t="n"/>
      <c r="F161" s="27" t="n"/>
      <c r="G161" s="25" t="n"/>
      <c r="H161" s="28">
        <f>IF(OR(NOT(AND($A161&lt;&gt;"",OR($G161="",$G161="Active"))),$F161=""),"",INT((TODAY()-$F161+280)/7)&amp;"+"&amp;MOD(TODAY()-$F161+280,7))</f>
        <v/>
      </c>
      <c r="I161" s="28">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ISNUMBER($Y161)*($Y161&gt;=TODAY())*($Y161&lt;=TODAY()+7))</f>
        <v/>
      </c>
      <c r="J161" s="28">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29">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7" t="n"/>
      <c r="M161" s="27" t="n"/>
      <c r="N161" s="27" t="n"/>
      <c r="O161" s="27" t="n"/>
      <c r="P161" s="27" t="n"/>
      <c r="Q161" s="27" t="n"/>
      <c r="R161" s="27" t="n"/>
      <c r="S161" s="27" t="n"/>
      <c r="T161" s="27" t="n"/>
      <c r="U161" s="27" t="n"/>
      <c r="V161" s="27" t="n"/>
      <c r="W161" s="27" t="n"/>
      <c r="X161" s="27" t="n"/>
      <c r="Y161" s="27" t="n"/>
      <c r="Z161" s="30" t="n"/>
      <c r="AA161" s="25" t="n"/>
      <c r="AB161" s="28">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ISNUMBER($Y161)*($Y161&lt;TODAY()))</f>
        <v/>
      </c>
    </row>
    <row r="162">
      <c r="A162" s="25" t="n"/>
      <c r="B162" s="26" t="n"/>
      <c r="C162" s="27" t="n"/>
      <c r="D162" s="25" t="n"/>
      <c r="E162" s="25" t="n"/>
      <c r="F162" s="27" t="n"/>
      <c r="G162" s="25" t="n"/>
      <c r="H162" s="28">
        <f>IF(OR(NOT(AND($A162&lt;&gt;"",OR($G162="",$G162="Active"))),$F162=""),"",INT((TODAY()-$F162+280)/7)&amp;"+"&amp;MOD(TODAY()-$F162+280,7))</f>
        <v/>
      </c>
      <c r="I162" s="28">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ISNUMBER($Y162)*($Y162&gt;=TODAY())*($Y162&lt;=TODAY()+7))</f>
        <v/>
      </c>
      <c r="J162" s="28">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29">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7" t="n"/>
      <c r="M162" s="27" t="n"/>
      <c r="N162" s="27" t="n"/>
      <c r="O162" s="27" t="n"/>
      <c r="P162" s="27" t="n"/>
      <c r="Q162" s="27" t="n"/>
      <c r="R162" s="27" t="n"/>
      <c r="S162" s="27" t="n"/>
      <c r="T162" s="27" t="n"/>
      <c r="U162" s="27" t="n"/>
      <c r="V162" s="27" t="n"/>
      <c r="W162" s="27" t="n"/>
      <c r="X162" s="27" t="n"/>
      <c r="Y162" s="27" t="n"/>
      <c r="Z162" s="30" t="n"/>
      <c r="AA162" s="25" t="n"/>
      <c r="AB162" s="28">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ISNUMBER($Y162)*($Y162&lt;TODAY()))</f>
        <v/>
      </c>
    </row>
    <row r="163">
      <c r="A163" s="25" t="n"/>
      <c r="B163" s="26" t="n"/>
      <c r="C163" s="27" t="n"/>
      <c r="D163" s="25" t="n"/>
      <c r="E163" s="25" t="n"/>
      <c r="F163" s="27" t="n"/>
      <c r="G163" s="25" t="n"/>
      <c r="H163" s="28">
        <f>IF(OR(NOT(AND($A163&lt;&gt;"",OR($G163="",$G163="Active"))),$F163=""),"",INT((TODAY()-$F163+280)/7)&amp;"+"&amp;MOD(TODAY()-$F163+280,7))</f>
        <v/>
      </c>
      <c r="I163" s="28">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ISNUMBER($Y163)*($Y163&gt;=TODAY())*($Y163&lt;=TODAY()+7))</f>
        <v/>
      </c>
      <c r="J163" s="28">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29">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7" t="n"/>
      <c r="M163" s="27" t="n"/>
      <c r="N163" s="27" t="n"/>
      <c r="O163" s="27" t="n"/>
      <c r="P163" s="27" t="n"/>
      <c r="Q163" s="27" t="n"/>
      <c r="R163" s="27" t="n"/>
      <c r="S163" s="27" t="n"/>
      <c r="T163" s="27" t="n"/>
      <c r="U163" s="27" t="n"/>
      <c r="V163" s="27" t="n"/>
      <c r="W163" s="27" t="n"/>
      <c r="X163" s="27" t="n"/>
      <c r="Y163" s="27" t="n"/>
      <c r="Z163" s="30" t="n"/>
      <c r="AA163" s="25" t="n"/>
      <c r="AB163" s="28">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ISNUMBER($Y163)*($Y163&lt;TODAY()))</f>
        <v/>
      </c>
    </row>
    <row r="164">
      <c r="A164" s="25" t="n"/>
      <c r="B164" s="26" t="n"/>
      <c r="C164" s="27" t="n"/>
      <c r="D164" s="25" t="n"/>
      <c r="E164" s="25" t="n"/>
      <c r="F164" s="27" t="n"/>
      <c r="G164" s="25" t="n"/>
      <c r="H164" s="28">
        <f>IF(OR(NOT(AND($A164&lt;&gt;"",OR($G164="",$G164="Active"))),$F164=""),"",INT((TODAY()-$F164+280)/7)&amp;"+"&amp;MOD(TODAY()-$F164+280,7))</f>
        <v/>
      </c>
      <c r="I164" s="28">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ISNUMBER($Y164)*($Y164&gt;=TODAY())*($Y164&lt;=TODAY()+7))</f>
        <v/>
      </c>
      <c r="J164" s="28">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29">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7" t="n"/>
      <c r="M164" s="27" t="n"/>
      <c r="N164" s="27" t="n"/>
      <c r="O164" s="27" t="n"/>
      <c r="P164" s="27" t="n"/>
      <c r="Q164" s="27" t="n"/>
      <c r="R164" s="27" t="n"/>
      <c r="S164" s="27" t="n"/>
      <c r="T164" s="27" t="n"/>
      <c r="U164" s="27" t="n"/>
      <c r="V164" s="27" t="n"/>
      <c r="W164" s="27" t="n"/>
      <c r="X164" s="27" t="n"/>
      <c r="Y164" s="27" t="n"/>
      <c r="Z164" s="30" t="n"/>
      <c r="AA164" s="25" t="n"/>
      <c r="AB164" s="28">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ISNUMBER($Y164)*($Y164&lt;TODAY()))</f>
        <v/>
      </c>
    </row>
    <row r="165">
      <c r="A165" s="25" t="n"/>
      <c r="B165" s="26" t="n"/>
      <c r="C165" s="27" t="n"/>
      <c r="D165" s="25" t="n"/>
      <c r="E165" s="25" t="n"/>
      <c r="F165" s="27" t="n"/>
      <c r="G165" s="25" t="n"/>
      <c r="H165" s="28">
        <f>IF(OR(NOT(AND($A165&lt;&gt;"",OR($G165="",$G165="Active"))),$F165=""),"",INT((TODAY()-$F165+280)/7)&amp;"+"&amp;MOD(TODAY()-$F165+280,7))</f>
        <v/>
      </c>
      <c r="I165" s="28">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ISNUMBER($Y165)*($Y165&gt;=TODAY())*($Y165&lt;=TODAY()+7))</f>
        <v/>
      </c>
      <c r="J165" s="28">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29">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7" t="n"/>
      <c r="M165" s="27" t="n"/>
      <c r="N165" s="27" t="n"/>
      <c r="O165" s="27" t="n"/>
      <c r="P165" s="27" t="n"/>
      <c r="Q165" s="27" t="n"/>
      <c r="R165" s="27" t="n"/>
      <c r="S165" s="27" t="n"/>
      <c r="T165" s="27" t="n"/>
      <c r="U165" s="27" t="n"/>
      <c r="V165" s="27" t="n"/>
      <c r="W165" s="27" t="n"/>
      <c r="X165" s="27" t="n"/>
      <c r="Y165" s="27" t="n"/>
      <c r="Z165" s="30" t="n"/>
      <c r="AA165" s="25" t="n"/>
      <c r="AB165" s="28">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ISNUMBER($Y165)*($Y165&lt;TODAY()))</f>
        <v/>
      </c>
    </row>
    <row r="166">
      <c r="A166" s="25" t="n"/>
      <c r="B166" s="26" t="n"/>
      <c r="C166" s="27" t="n"/>
      <c r="D166" s="25" t="n"/>
      <c r="E166" s="25" t="n"/>
      <c r="F166" s="27" t="n"/>
      <c r="G166" s="25" t="n"/>
      <c r="H166" s="28">
        <f>IF(OR(NOT(AND($A166&lt;&gt;"",OR($G166="",$G166="Active"))),$F166=""),"",INT((TODAY()-$F166+280)/7)&amp;"+"&amp;MOD(TODAY()-$F166+280,7))</f>
        <v/>
      </c>
      <c r="I166" s="28">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ISNUMBER($Y166)*($Y166&gt;=TODAY())*($Y166&lt;=TODAY()+7))</f>
        <v/>
      </c>
      <c r="J166" s="28">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29">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7" t="n"/>
      <c r="M166" s="27" t="n"/>
      <c r="N166" s="27" t="n"/>
      <c r="O166" s="27" t="n"/>
      <c r="P166" s="27" t="n"/>
      <c r="Q166" s="27" t="n"/>
      <c r="R166" s="27" t="n"/>
      <c r="S166" s="27" t="n"/>
      <c r="T166" s="27" t="n"/>
      <c r="U166" s="27" t="n"/>
      <c r="V166" s="27" t="n"/>
      <c r="W166" s="27" t="n"/>
      <c r="X166" s="27" t="n"/>
      <c r="Y166" s="27" t="n"/>
      <c r="Z166" s="30" t="n"/>
      <c r="AA166" s="25" t="n"/>
      <c r="AB166" s="28">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ISNUMBER($Y166)*($Y166&lt;TODAY()))</f>
        <v/>
      </c>
    </row>
    <row r="167">
      <c r="A167" s="25" t="n"/>
      <c r="B167" s="26" t="n"/>
      <c r="C167" s="27" t="n"/>
      <c r="D167" s="25" t="n"/>
      <c r="E167" s="25" t="n"/>
      <c r="F167" s="27" t="n"/>
      <c r="G167" s="25" t="n"/>
      <c r="H167" s="28">
        <f>IF(OR(NOT(AND($A167&lt;&gt;"",OR($G167="",$G167="Active"))),$F167=""),"",INT((TODAY()-$F167+280)/7)&amp;"+"&amp;MOD(TODAY()-$F167+280,7))</f>
        <v/>
      </c>
      <c r="I167" s="28">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ISNUMBER($Y167)*($Y167&gt;=TODAY())*($Y167&lt;=TODAY()+7))</f>
        <v/>
      </c>
      <c r="J167" s="28">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29">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7" t="n"/>
      <c r="M167" s="27" t="n"/>
      <c r="N167" s="27" t="n"/>
      <c r="O167" s="27" t="n"/>
      <c r="P167" s="27" t="n"/>
      <c r="Q167" s="27" t="n"/>
      <c r="R167" s="27" t="n"/>
      <c r="S167" s="27" t="n"/>
      <c r="T167" s="27" t="n"/>
      <c r="U167" s="27" t="n"/>
      <c r="V167" s="27" t="n"/>
      <c r="W167" s="27" t="n"/>
      <c r="X167" s="27" t="n"/>
      <c r="Y167" s="27" t="n"/>
      <c r="Z167" s="30" t="n"/>
      <c r="AA167" s="25" t="n"/>
      <c r="AB167" s="28">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ISNUMBER($Y167)*($Y167&lt;TODAY()))</f>
        <v/>
      </c>
    </row>
    <row r="168">
      <c r="A168" s="25" t="n"/>
      <c r="B168" s="26" t="n"/>
      <c r="C168" s="27" t="n"/>
      <c r="D168" s="25" t="n"/>
      <c r="E168" s="25" t="n"/>
      <c r="F168" s="27" t="n"/>
      <c r="G168" s="25" t="n"/>
      <c r="H168" s="28">
        <f>IF(OR(NOT(AND($A168&lt;&gt;"",OR($G168="",$G168="Active"))),$F168=""),"",INT((TODAY()-$F168+280)/7)&amp;"+"&amp;MOD(TODAY()-$F168+280,7))</f>
        <v/>
      </c>
      <c r="I168" s="28">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ISNUMBER($Y168)*($Y168&gt;=TODAY())*($Y168&lt;=TODAY()+7))</f>
        <v/>
      </c>
      <c r="J168" s="28">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29">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7" t="n"/>
      <c r="M168" s="27" t="n"/>
      <c r="N168" s="27" t="n"/>
      <c r="O168" s="27" t="n"/>
      <c r="P168" s="27" t="n"/>
      <c r="Q168" s="27" t="n"/>
      <c r="R168" s="27" t="n"/>
      <c r="S168" s="27" t="n"/>
      <c r="T168" s="27" t="n"/>
      <c r="U168" s="27" t="n"/>
      <c r="V168" s="27" t="n"/>
      <c r="W168" s="27" t="n"/>
      <c r="X168" s="27" t="n"/>
      <c r="Y168" s="27" t="n"/>
      <c r="Z168" s="30" t="n"/>
      <c r="AA168" s="25" t="n"/>
      <c r="AB168" s="28">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ISNUMBER($Y168)*($Y168&lt;TODAY()))</f>
        <v/>
      </c>
    </row>
    <row r="169">
      <c r="A169" s="25" t="n"/>
      <c r="B169" s="26" t="n"/>
      <c r="C169" s="27" t="n"/>
      <c r="D169" s="25" t="n"/>
      <c r="E169" s="25" t="n"/>
      <c r="F169" s="27" t="n"/>
      <c r="G169" s="25" t="n"/>
      <c r="H169" s="28">
        <f>IF(OR(NOT(AND($A169&lt;&gt;"",OR($G169="",$G169="Active"))),$F169=""),"",INT((TODAY()-$F169+280)/7)&amp;"+"&amp;MOD(TODAY()-$F169+280,7))</f>
        <v/>
      </c>
      <c r="I169" s="28">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ISNUMBER($Y169)*($Y169&gt;=TODAY())*($Y169&lt;=TODAY()+7))</f>
        <v/>
      </c>
      <c r="J169" s="28">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29">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7" t="n"/>
      <c r="M169" s="27" t="n"/>
      <c r="N169" s="27" t="n"/>
      <c r="O169" s="27" t="n"/>
      <c r="P169" s="27" t="n"/>
      <c r="Q169" s="27" t="n"/>
      <c r="R169" s="27" t="n"/>
      <c r="S169" s="27" t="n"/>
      <c r="T169" s="27" t="n"/>
      <c r="U169" s="27" t="n"/>
      <c r="V169" s="27" t="n"/>
      <c r="W169" s="27" t="n"/>
      <c r="X169" s="27" t="n"/>
      <c r="Y169" s="27" t="n"/>
      <c r="Z169" s="30" t="n"/>
      <c r="AA169" s="25" t="n"/>
      <c r="AB169" s="28">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ISNUMBER($Y169)*($Y169&lt;TODAY()))</f>
        <v/>
      </c>
    </row>
    <row r="170">
      <c r="A170" s="25" t="n"/>
      <c r="B170" s="26" t="n"/>
      <c r="C170" s="27" t="n"/>
      <c r="D170" s="25" t="n"/>
      <c r="E170" s="25" t="n"/>
      <c r="F170" s="27" t="n"/>
      <c r="G170" s="25" t="n"/>
      <c r="H170" s="28">
        <f>IF(OR(NOT(AND($A170&lt;&gt;"",OR($G170="",$G170="Active"))),$F170=""),"",INT((TODAY()-$F170+280)/7)&amp;"+"&amp;MOD(TODAY()-$F170+280,7))</f>
        <v/>
      </c>
      <c r="I170" s="28">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ISNUMBER($Y170)*($Y170&gt;=TODAY())*($Y170&lt;=TODAY()+7))</f>
        <v/>
      </c>
      <c r="J170" s="28">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29">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7" t="n"/>
      <c r="M170" s="27" t="n"/>
      <c r="N170" s="27" t="n"/>
      <c r="O170" s="27" t="n"/>
      <c r="P170" s="27" t="n"/>
      <c r="Q170" s="27" t="n"/>
      <c r="R170" s="27" t="n"/>
      <c r="S170" s="27" t="n"/>
      <c r="T170" s="27" t="n"/>
      <c r="U170" s="27" t="n"/>
      <c r="V170" s="27" t="n"/>
      <c r="W170" s="27" t="n"/>
      <c r="X170" s="27" t="n"/>
      <c r="Y170" s="27" t="n"/>
      <c r="Z170" s="30" t="n"/>
      <c r="AA170" s="25" t="n"/>
      <c r="AB170" s="28">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ISNUMBER($Y170)*($Y170&lt;TODAY()))</f>
        <v/>
      </c>
    </row>
    <row r="171">
      <c r="A171" s="25" t="n"/>
      <c r="B171" s="26" t="n"/>
      <c r="C171" s="27" t="n"/>
      <c r="D171" s="25" t="n"/>
      <c r="E171" s="25" t="n"/>
      <c r="F171" s="27" t="n"/>
      <c r="G171" s="25" t="n"/>
      <c r="H171" s="28">
        <f>IF(OR(NOT(AND($A171&lt;&gt;"",OR($G171="",$G171="Active"))),$F171=""),"",INT((TODAY()-$F171+280)/7)&amp;"+"&amp;MOD(TODAY()-$F171+280,7))</f>
        <v/>
      </c>
      <c r="I171" s="28">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ISNUMBER($Y171)*($Y171&gt;=TODAY())*($Y171&lt;=TODAY()+7))</f>
        <v/>
      </c>
      <c r="J171" s="28">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29">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7" t="n"/>
      <c r="M171" s="27" t="n"/>
      <c r="N171" s="27" t="n"/>
      <c r="O171" s="27" t="n"/>
      <c r="P171" s="27" t="n"/>
      <c r="Q171" s="27" t="n"/>
      <c r="R171" s="27" t="n"/>
      <c r="S171" s="27" t="n"/>
      <c r="T171" s="27" t="n"/>
      <c r="U171" s="27" t="n"/>
      <c r="V171" s="27" t="n"/>
      <c r="W171" s="27" t="n"/>
      <c r="X171" s="27" t="n"/>
      <c r="Y171" s="27" t="n"/>
      <c r="Z171" s="30" t="n"/>
      <c r="AA171" s="25" t="n"/>
      <c r="AB171" s="28">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ISNUMBER($Y171)*($Y171&lt;TODAY()))</f>
        <v/>
      </c>
    </row>
    <row r="172">
      <c r="A172" s="25" t="n"/>
      <c r="B172" s="26" t="n"/>
      <c r="C172" s="27" t="n"/>
      <c r="D172" s="25" t="n"/>
      <c r="E172" s="25" t="n"/>
      <c r="F172" s="27" t="n"/>
      <c r="G172" s="25" t="n"/>
      <c r="H172" s="28">
        <f>IF(OR(NOT(AND($A172&lt;&gt;"",OR($G172="",$G172="Active"))),$F172=""),"",INT((TODAY()-$F172+280)/7)&amp;"+"&amp;MOD(TODAY()-$F172+280,7))</f>
        <v/>
      </c>
      <c r="I172" s="28">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ISNUMBER($Y172)*($Y172&gt;=TODAY())*($Y172&lt;=TODAY()+7))</f>
        <v/>
      </c>
      <c r="J172" s="28">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29">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7" t="n"/>
      <c r="M172" s="27" t="n"/>
      <c r="N172" s="27" t="n"/>
      <c r="O172" s="27" t="n"/>
      <c r="P172" s="27" t="n"/>
      <c r="Q172" s="27" t="n"/>
      <c r="R172" s="27" t="n"/>
      <c r="S172" s="27" t="n"/>
      <c r="T172" s="27" t="n"/>
      <c r="U172" s="27" t="n"/>
      <c r="V172" s="27" t="n"/>
      <c r="W172" s="27" t="n"/>
      <c r="X172" s="27" t="n"/>
      <c r="Y172" s="27" t="n"/>
      <c r="Z172" s="30" t="n"/>
      <c r="AA172" s="25" t="n"/>
      <c r="AB172" s="28">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ISNUMBER($Y172)*($Y172&lt;TODAY()))</f>
        <v/>
      </c>
    </row>
    <row r="173">
      <c r="A173" s="25" t="n"/>
      <c r="B173" s="26" t="n"/>
      <c r="C173" s="27" t="n"/>
      <c r="D173" s="25" t="n"/>
      <c r="E173" s="25" t="n"/>
      <c r="F173" s="27" t="n"/>
      <c r="G173" s="25" t="n"/>
      <c r="H173" s="28">
        <f>IF(OR(NOT(AND($A173&lt;&gt;"",OR($G173="",$G173="Active"))),$F173=""),"",INT((TODAY()-$F173+280)/7)&amp;"+"&amp;MOD(TODAY()-$F173+280,7))</f>
        <v/>
      </c>
      <c r="I173" s="28">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ISNUMBER($Y173)*($Y173&gt;=TODAY())*($Y173&lt;=TODAY()+7))</f>
        <v/>
      </c>
      <c r="J173" s="28">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29">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7" t="n"/>
      <c r="M173" s="27" t="n"/>
      <c r="N173" s="27" t="n"/>
      <c r="O173" s="27" t="n"/>
      <c r="P173" s="27" t="n"/>
      <c r="Q173" s="27" t="n"/>
      <c r="R173" s="27" t="n"/>
      <c r="S173" s="27" t="n"/>
      <c r="T173" s="27" t="n"/>
      <c r="U173" s="27" t="n"/>
      <c r="V173" s="27" t="n"/>
      <c r="W173" s="27" t="n"/>
      <c r="X173" s="27" t="n"/>
      <c r="Y173" s="27" t="n"/>
      <c r="Z173" s="30" t="n"/>
      <c r="AA173" s="25" t="n"/>
      <c r="AB173" s="28">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ISNUMBER($Y173)*($Y173&lt;TODAY()))</f>
        <v/>
      </c>
    </row>
    <row r="174">
      <c r="A174" s="25" t="n"/>
      <c r="B174" s="26" t="n"/>
      <c r="C174" s="27" t="n"/>
      <c r="D174" s="25" t="n"/>
      <c r="E174" s="25" t="n"/>
      <c r="F174" s="27" t="n"/>
      <c r="G174" s="25" t="n"/>
      <c r="H174" s="28">
        <f>IF(OR(NOT(AND($A174&lt;&gt;"",OR($G174="",$G174="Active"))),$F174=""),"",INT((TODAY()-$F174+280)/7)&amp;"+"&amp;MOD(TODAY()-$F174+280,7))</f>
        <v/>
      </c>
      <c r="I174" s="28">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ISNUMBER($Y174)*($Y174&gt;=TODAY())*($Y174&lt;=TODAY()+7))</f>
        <v/>
      </c>
      <c r="J174" s="28">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29">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7" t="n"/>
      <c r="M174" s="27" t="n"/>
      <c r="N174" s="27" t="n"/>
      <c r="O174" s="27" t="n"/>
      <c r="P174" s="27" t="n"/>
      <c r="Q174" s="27" t="n"/>
      <c r="R174" s="27" t="n"/>
      <c r="S174" s="27" t="n"/>
      <c r="T174" s="27" t="n"/>
      <c r="U174" s="27" t="n"/>
      <c r="V174" s="27" t="n"/>
      <c r="W174" s="27" t="n"/>
      <c r="X174" s="27" t="n"/>
      <c r="Y174" s="27" t="n"/>
      <c r="Z174" s="30" t="n"/>
      <c r="AA174" s="25" t="n"/>
      <c r="AB174" s="28">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ISNUMBER($Y174)*($Y174&lt;TODAY()))</f>
        <v/>
      </c>
    </row>
    <row r="175">
      <c r="A175" s="25" t="n"/>
      <c r="B175" s="26" t="n"/>
      <c r="C175" s="27" t="n"/>
      <c r="D175" s="25" t="n"/>
      <c r="E175" s="25" t="n"/>
      <c r="F175" s="27" t="n"/>
      <c r="G175" s="25" t="n"/>
      <c r="H175" s="28">
        <f>IF(OR(NOT(AND($A175&lt;&gt;"",OR($G175="",$G175="Active"))),$F175=""),"",INT((TODAY()-$F175+280)/7)&amp;"+"&amp;MOD(TODAY()-$F175+280,7))</f>
        <v/>
      </c>
      <c r="I175" s="28">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ISNUMBER($Y175)*($Y175&gt;=TODAY())*($Y175&lt;=TODAY()+7))</f>
        <v/>
      </c>
      <c r="J175" s="28">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29">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7" t="n"/>
      <c r="M175" s="27" t="n"/>
      <c r="N175" s="27" t="n"/>
      <c r="O175" s="27" t="n"/>
      <c r="P175" s="27" t="n"/>
      <c r="Q175" s="27" t="n"/>
      <c r="R175" s="27" t="n"/>
      <c r="S175" s="27" t="n"/>
      <c r="T175" s="27" t="n"/>
      <c r="U175" s="27" t="n"/>
      <c r="V175" s="27" t="n"/>
      <c r="W175" s="27" t="n"/>
      <c r="X175" s="27" t="n"/>
      <c r="Y175" s="27" t="n"/>
      <c r="Z175" s="30" t="n"/>
      <c r="AA175" s="25" t="n"/>
      <c r="AB175" s="28">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ISNUMBER($Y175)*($Y175&lt;TODAY()))</f>
        <v/>
      </c>
    </row>
    <row r="176">
      <c r="A176" s="25" t="n"/>
      <c r="B176" s="26" t="n"/>
      <c r="C176" s="27" t="n"/>
      <c r="D176" s="25" t="n"/>
      <c r="E176" s="25" t="n"/>
      <c r="F176" s="27" t="n"/>
      <c r="G176" s="25" t="n"/>
      <c r="H176" s="28">
        <f>IF(OR(NOT(AND($A176&lt;&gt;"",OR($G176="",$G176="Active"))),$F176=""),"",INT((TODAY()-$F176+280)/7)&amp;"+"&amp;MOD(TODAY()-$F176+280,7))</f>
        <v/>
      </c>
      <c r="I176" s="28">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ISNUMBER($Y176)*($Y176&gt;=TODAY())*($Y176&lt;=TODAY()+7))</f>
        <v/>
      </c>
      <c r="J176" s="28">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29">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7" t="n"/>
      <c r="M176" s="27" t="n"/>
      <c r="N176" s="27" t="n"/>
      <c r="O176" s="27" t="n"/>
      <c r="P176" s="27" t="n"/>
      <c r="Q176" s="27" t="n"/>
      <c r="R176" s="27" t="n"/>
      <c r="S176" s="27" t="n"/>
      <c r="T176" s="27" t="n"/>
      <c r="U176" s="27" t="n"/>
      <c r="V176" s="27" t="n"/>
      <c r="W176" s="27" t="n"/>
      <c r="X176" s="27" t="n"/>
      <c r="Y176" s="27" t="n"/>
      <c r="Z176" s="30" t="n"/>
      <c r="AA176" s="25" t="n"/>
      <c r="AB176" s="28">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ISNUMBER($Y176)*($Y176&lt;TODAY()))</f>
        <v/>
      </c>
    </row>
    <row r="177">
      <c r="A177" s="25" t="n"/>
      <c r="B177" s="26" t="n"/>
      <c r="C177" s="27" t="n"/>
      <c r="D177" s="25" t="n"/>
      <c r="E177" s="25" t="n"/>
      <c r="F177" s="27" t="n"/>
      <c r="G177" s="25" t="n"/>
      <c r="H177" s="28">
        <f>IF(OR(NOT(AND($A177&lt;&gt;"",OR($G177="",$G177="Active"))),$F177=""),"",INT((TODAY()-$F177+280)/7)&amp;"+"&amp;MOD(TODAY()-$F177+280,7))</f>
        <v/>
      </c>
      <c r="I177" s="28">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ISNUMBER($Y177)*($Y177&gt;=TODAY())*($Y177&lt;=TODAY()+7))</f>
        <v/>
      </c>
      <c r="J177" s="28">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29">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7" t="n"/>
      <c r="M177" s="27" t="n"/>
      <c r="N177" s="27" t="n"/>
      <c r="O177" s="27" t="n"/>
      <c r="P177" s="27" t="n"/>
      <c r="Q177" s="27" t="n"/>
      <c r="R177" s="27" t="n"/>
      <c r="S177" s="27" t="n"/>
      <c r="T177" s="27" t="n"/>
      <c r="U177" s="27" t="n"/>
      <c r="V177" s="27" t="n"/>
      <c r="W177" s="27" t="n"/>
      <c r="X177" s="27" t="n"/>
      <c r="Y177" s="27" t="n"/>
      <c r="Z177" s="30" t="n"/>
      <c r="AA177" s="25" t="n"/>
      <c r="AB177" s="28">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ISNUMBER($Y177)*($Y177&lt;TODAY()))</f>
        <v/>
      </c>
    </row>
    <row r="178">
      <c r="A178" s="25" t="n"/>
      <c r="B178" s="26" t="n"/>
      <c r="C178" s="27" t="n"/>
      <c r="D178" s="25" t="n"/>
      <c r="E178" s="25" t="n"/>
      <c r="F178" s="27" t="n"/>
      <c r="G178" s="25" t="n"/>
      <c r="H178" s="28">
        <f>IF(OR(NOT(AND($A178&lt;&gt;"",OR($G178="",$G178="Active"))),$F178=""),"",INT((TODAY()-$F178+280)/7)&amp;"+"&amp;MOD(TODAY()-$F178+280,7))</f>
        <v/>
      </c>
      <c r="I178" s="28">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ISNUMBER($Y178)*($Y178&gt;=TODAY())*($Y178&lt;=TODAY()+7))</f>
        <v/>
      </c>
      <c r="J178" s="28">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29">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7" t="n"/>
      <c r="M178" s="27" t="n"/>
      <c r="N178" s="27" t="n"/>
      <c r="O178" s="27" t="n"/>
      <c r="P178" s="27" t="n"/>
      <c r="Q178" s="27" t="n"/>
      <c r="R178" s="27" t="n"/>
      <c r="S178" s="27" t="n"/>
      <c r="T178" s="27" t="n"/>
      <c r="U178" s="27" t="n"/>
      <c r="V178" s="27" t="n"/>
      <c r="W178" s="27" t="n"/>
      <c r="X178" s="27" t="n"/>
      <c r="Y178" s="27" t="n"/>
      <c r="Z178" s="30" t="n"/>
      <c r="AA178" s="25" t="n"/>
      <c r="AB178" s="28">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ISNUMBER($Y178)*($Y178&lt;TODAY()))</f>
        <v/>
      </c>
    </row>
    <row r="179">
      <c r="A179" s="25" t="n"/>
      <c r="B179" s="26" t="n"/>
      <c r="C179" s="27" t="n"/>
      <c r="D179" s="25" t="n"/>
      <c r="E179" s="25" t="n"/>
      <c r="F179" s="27" t="n"/>
      <c r="G179" s="25" t="n"/>
      <c r="H179" s="28">
        <f>IF(OR(NOT(AND($A179&lt;&gt;"",OR($G179="",$G179="Active"))),$F179=""),"",INT((TODAY()-$F179+280)/7)&amp;"+"&amp;MOD(TODAY()-$F179+280,7))</f>
        <v/>
      </c>
      <c r="I179" s="28">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ISNUMBER($Y179)*($Y179&gt;=TODAY())*($Y179&lt;=TODAY()+7))</f>
        <v/>
      </c>
      <c r="J179" s="28">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29">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7" t="n"/>
      <c r="M179" s="27" t="n"/>
      <c r="N179" s="27" t="n"/>
      <c r="O179" s="27" t="n"/>
      <c r="P179" s="27" t="n"/>
      <c r="Q179" s="27" t="n"/>
      <c r="R179" s="27" t="n"/>
      <c r="S179" s="27" t="n"/>
      <c r="T179" s="27" t="n"/>
      <c r="U179" s="27" t="n"/>
      <c r="V179" s="27" t="n"/>
      <c r="W179" s="27" t="n"/>
      <c r="X179" s="27" t="n"/>
      <c r="Y179" s="27" t="n"/>
      <c r="Z179" s="30" t="n"/>
      <c r="AA179" s="25" t="n"/>
      <c r="AB179" s="28">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ISNUMBER($Y179)*($Y179&lt;TODAY()))</f>
        <v/>
      </c>
    </row>
    <row r="180">
      <c r="A180" s="25" t="n"/>
      <c r="B180" s="26" t="n"/>
      <c r="C180" s="27" t="n"/>
      <c r="D180" s="25" t="n"/>
      <c r="E180" s="25" t="n"/>
      <c r="F180" s="27" t="n"/>
      <c r="G180" s="25" t="n"/>
      <c r="H180" s="28">
        <f>IF(OR(NOT(AND($A180&lt;&gt;"",OR($G180="",$G180="Active"))),$F180=""),"",INT((TODAY()-$F180+280)/7)&amp;"+"&amp;MOD(TODAY()-$F180+280,7))</f>
        <v/>
      </c>
      <c r="I180" s="28">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ISNUMBER($Y180)*($Y180&gt;=TODAY())*($Y180&lt;=TODAY()+7))</f>
        <v/>
      </c>
      <c r="J180" s="28">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29">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7" t="n"/>
      <c r="M180" s="27" t="n"/>
      <c r="N180" s="27" t="n"/>
      <c r="O180" s="27" t="n"/>
      <c r="P180" s="27" t="n"/>
      <c r="Q180" s="27" t="n"/>
      <c r="R180" s="27" t="n"/>
      <c r="S180" s="27" t="n"/>
      <c r="T180" s="27" t="n"/>
      <c r="U180" s="27" t="n"/>
      <c r="V180" s="27" t="n"/>
      <c r="W180" s="27" t="n"/>
      <c r="X180" s="27" t="n"/>
      <c r="Y180" s="27" t="n"/>
      <c r="Z180" s="30" t="n"/>
      <c r="AA180" s="25" t="n"/>
      <c r="AB180" s="28">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ISNUMBER($Y180)*($Y180&lt;TODAY()))</f>
        <v/>
      </c>
    </row>
    <row r="181">
      <c r="A181" s="25" t="n"/>
      <c r="B181" s="26" t="n"/>
      <c r="C181" s="27" t="n"/>
      <c r="D181" s="25" t="n"/>
      <c r="E181" s="25" t="n"/>
      <c r="F181" s="27" t="n"/>
      <c r="G181" s="25" t="n"/>
      <c r="H181" s="28">
        <f>IF(OR(NOT(AND($A181&lt;&gt;"",OR($G181="",$G181="Active"))),$F181=""),"",INT((TODAY()-$F181+280)/7)&amp;"+"&amp;MOD(TODAY()-$F181+280,7))</f>
        <v/>
      </c>
      <c r="I181" s="28">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ISNUMBER($Y181)*($Y181&gt;=TODAY())*($Y181&lt;=TODAY()+7))</f>
        <v/>
      </c>
      <c r="J181" s="28">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29">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7" t="n"/>
      <c r="M181" s="27" t="n"/>
      <c r="N181" s="27" t="n"/>
      <c r="O181" s="27" t="n"/>
      <c r="P181" s="27" t="n"/>
      <c r="Q181" s="27" t="n"/>
      <c r="R181" s="27" t="n"/>
      <c r="S181" s="27" t="n"/>
      <c r="T181" s="27" t="n"/>
      <c r="U181" s="27" t="n"/>
      <c r="V181" s="27" t="n"/>
      <c r="W181" s="27" t="n"/>
      <c r="X181" s="27" t="n"/>
      <c r="Y181" s="27" t="n"/>
      <c r="Z181" s="30" t="n"/>
      <c r="AA181" s="25" t="n"/>
      <c r="AB181" s="28">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ISNUMBER($Y181)*($Y181&lt;TODAY()))</f>
        <v/>
      </c>
    </row>
    <row r="182">
      <c r="A182" s="25" t="n"/>
      <c r="B182" s="26" t="n"/>
      <c r="C182" s="27" t="n"/>
      <c r="D182" s="25" t="n"/>
      <c r="E182" s="25" t="n"/>
      <c r="F182" s="27" t="n"/>
      <c r="G182" s="25" t="n"/>
      <c r="H182" s="28">
        <f>IF(OR(NOT(AND($A182&lt;&gt;"",OR($G182="",$G182="Active"))),$F182=""),"",INT((TODAY()-$F182+280)/7)&amp;"+"&amp;MOD(TODAY()-$F182+280,7))</f>
        <v/>
      </c>
      <c r="I182" s="28">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ISNUMBER($Y182)*($Y182&gt;=TODAY())*($Y182&lt;=TODAY()+7))</f>
        <v/>
      </c>
      <c r="J182" s="28">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29">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7" t="n"/>
      <c r="M182" s="27" t="n"/>
      <c r="N182" s="27" t="n"/>
      <c r="O182" s="27" t="n"/>
      <c r="P182" s="27" t="n"/>
      <c r="Q182" s="27" t="n"/>
      <c r="R182" s="27" t="n"/>
      <c r="S182" s="27" t="n"/>
      <c r="T182" s="27" t="n"/>
      <c r="U182" s="27" t="n"/>
      <c r="V182" s="27" t="n"/>
      <c r="W182" s="27" t="n"/>
      <c r="X182" s="27" t="n"/>
      <c r="Y182" s="27" t="n"/>
      <c r="Z182" s="30" t="n"/>
      <c r="AA182" s="25" t="n"/>
      <c r="AB182" s="28">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ISNUMBER($Y182)*($Y182&lt;TODAY()))</f>
        <v/>
      </c>
    </row>
    <row r="183">
      <c r="A183" s="25" t="n"/>
      <c r="B183" s="26" t="n"/>
      <c r="C183" s="27" t="n"/>
      <c r="D183" s="25" t="n"/>
      <c r="E183" s="25" t="n"/>
      <c r="F183" s="27" t="n"/>
      <c r="G183" s="25" t="n"/>
      <c r="H183" s="28">
        <f>IF(OR(NOT(AND($A183&lt;&gt;"",OR($G183="",$G183="Active"))),$F183=""),"",INT((TODAY()-$F183+280)/7)&amp;"+"&amp;MOD(TODAY()-$F183+280,7))</f>
        <v/>
      </c>
      <c r="I183" s="28">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ISNUMBER($Y183)*($Y183&gt;=TODAY())*($Y183&lt;=TODAY()+7))</f>
        <v/>
      </c>
      <c r="J183" s="28">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29">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7" t="n"/>
      <c r="M183" s="27" t="n"/>
      <c r="N183" s="27" t="n"/>
      <c r="O183" s="27" t="n"/>
      <c r="P183" s="27" t="n"/>
      <c r="Q183" s="27" t="n"/>
      <c r="R183" s="27" t="n"/>
      <c r="S183" s="27" t="n"/>
      <c r="T183" s="27" t="n"/>
      <c r="U183" s="27" t="n"/>
      <c r="V183" s="27" t="n"/>
      <c r="W183" s="27" t="n"/>
      <c r="X183" s="27" t="n"/>
      <c r="Y183" s="27" t="n"/>
      <c r="Z183" s="30" t="n"/>
      <c r="AA183" s="25" t="n"/>
      <c r="AB183" s="28">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ISNUMBER($Y183)*($Y183&lt;TODAY()))</f>
        <v/>
      </c>
    </row>
    <row r="184">
      <c r="A184" s="25" t="n"/>
      <c r="B184" s="26" t="n"/>
      <c r="C184" s="27" t="n"/>
      <c r="D184" s="25" t="n"/>
      <c r="E184" s="25" t="n"/>
      <c r="F184" s="27" t="n"/>
      <c r="G184" s="25" t="n"/>
      <c r="H184" s="28">
        <f>IF(OR(NOT(AND($A184&lt;&gt;"",OR($G184="",$G184="Active"))),$F184=""),"",INT((TODAY()-$F184+280)/7)&amp;"+"&amp;MOD(TODAY()-$F184+280,7))</f>
        <v/>
      </c>
      <c r="I184" s="28">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ISNUMBER($Y184)*($Y184&gt;=TODAY())*($Y184&lt;=TODAY()+7))</f>
        <v/>
      </c>
      <c r="J184" s="28">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29">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7" t="n"/>
      <c r="M184" s="27" t="n"/>
      <c r="N184" s="27" t="n"/>
      <c r="O184" s="27" t="n"/>
      <c r="P184" s="27" t="n"/>
      <c r="Q184" s="27" t="n"/>
      <c r="R184" s="27" t="n"/>
      <c r="S184" s="27" t="n"/>
      <c r="T184" s="27" t="n"/>
      <c r="U184" s="27" t="n"/>
      <c r="V184" s="27" t="n"/>
      <c r="W184" s="27" t="n"/>
      <c r="X184" s="27" t="n"/>
      <c r="Y184" s="27" t="n"/>
      <c r="Z184" s="30" t="n"/>
      <c r="AA184" s="25" t="n"/>
      <c r="AB184" s="28">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ISNUMBER($Y184)*($Y184&lt;TODAY()))</f>
        <v/>
      </c>
    </row>
    <row r="185">
      <c r="A185" s="25" t="n"/>
      <c r="B185" s="26" t="n"/>
      <c r="C185" s="27" t="n"/>
      <c r="D185" s="25" t="n"/>
      <c r="E185" s="25" t="n"/>
      <c r="F185" s="27" t="n"/>
      <c r="G185" s="25" t="n"/>
      <c r="H185" s="28">
        <f>IF(OR(NOT(AND($A185&lt;&gt;"",OR($G185="",$G185="Active"))),$F185=""),"",INT((TODAY()-$F185+280)/7)&amp;"+"&amp;MOD(TODAY()-$F185+280,7))</f>
        <v/>
      </c>
      <c r="I185" s="28">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ISNUMBER($Y185)*($Y185&gt;=TODAY())*($Y185&lt;=TODAY()+7))</f>
        <v/>
      </c>
      <c r="J185" s="28">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29">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7" t="n"/>
      <c r="M185" s="27" t="n"/>
      <c r="N185" s="27" t="n"/>
      <c r="O185" s="27" t="n"/>
      <c r="P185" s="27" t="n"/>
      <c r="Q185" s="27" t="n"/>
      <c r="R185" s="27" t="n"/>
      <c r="S185" s="27" t="n"/>
      <c r="T185" s="27" t="n"/>
      <c r="U185" s="27" t="n"/>
      <c r="V185" s="27" t="n"/>
      <c r="W185" s="27" t="n"/>
      <c r="X185" s="27" t="n"/>
      <c r="Y185" s="27" t="n"/>
      <c r="Z185" s="30" t="n"/>
      <c r="AA185" s="25" t="n"/>
      <c r="AB185" s="28">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ISNUMBER($Y185)*($Y185&lt;TODAY()))</f>
        <v/>
      </c>
    </row>
    <row r="186">
      <c r="A186" s="25" t="n"/>
      <c r="B186" s="26" t="n"/>
      <c r="C186" s="27" t="n"/>
      <c r="D186" s="25" t="n"/>
      <c r="E186" s="25" t="n"/>
      <c r="F186" s="27" t="n"/>
      <c r="G186" s="25" t="n"/>
      <c r="H186" s="28">
        <f>IF(OR(NOT(AND($A186&lt;&gt;"",OR($G186="",$G186="Active"))),$F186=""),"",INT((TODAY()-$F186+280)/7)&amp;"+"&amp;MOD(TODAY()-$F186+280,7))</f>
        <v/>
      </c>
      <c r="I186" s="28">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ISNUMBER($Y186)*($Y186&gt;=TODAY())*($Y186&lt;=TODAY()+7))</f>
        <v/>
      </c>
      <c r="J186" s="28">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29">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7" t="n"/>
      <c r="M186" s="27" t="n"/>
      <c r="N186" s="27" t="n"/>
      <c r="O186" s="27" t="n"/>
      <c r="P186" s="27" t="n"/>
      <c r="Q186" s="27" t="n"/>
      <c r="R186" s="27" t="n"/>
      <c r="S186" s="27" t="n"/>
      <c r="T186" s="27" t="n"/>
      <c r="U186" s="27" t="n"/>
      <c r="V186" s="27" t="n"/>
      <c r="W186" s="27" t="n"/>
      <c r="X186" s="27" t="n"/>
      <c r="Y186" s="27" t="n"/>
      <c r="Z186" s="30" t="n"/>
      <c r="AA186" s="25" t="n"/>
      <c r="AB186" s="28">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ISNUMBER($Y186)*($Y186&lt;TODAY()))</f>
        <v/>
      </c>
    </row>
    <row r="187">
      <c r="A187" s="25" t="n"/>
      <c r="B187" s="26" t="n"/>
      <c r="C187" s="27" t="n"/>
      <c r="D187" s="25" t="n"/>
      <c r="E187" s="25" t="n"/>
      <c r="F187" s="27" t="n"/>
      <c r="G187" s="25" t="n"/>
      <c r="H187" s="28">
        <f>IF(OR(NOT(AND($A187&lt;&gt;"",OR($G187="",$G187="Active"))),$F187=""),"",INT((TODAY()-$F187+280)/7)&amp;"+"&amp;MOD(TODAY()-$F187+280,7))</f>
        <v/>
      </c>
      <c r="I187" s="28">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ISNUMBER($Y187)*($Y187&gt;=TODAY())*($Y187&lt;=TODAY()+7))</f>
        <v/>
      </c>
      <c r="J187" s="28">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29">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7" t="n"/>
      <c r="M187" s="27" t="n"/>
      <c r="N187" s="27" t="n"/>
      <c r="O187" s="27" t="n"/>
      <c r="P187" s="27" t="n"/>
      <c r="Q187" s="27" t="n"/>
      <c r="R187" s="27" t="n"/>
      <c r="S187" s="27" t="n"/>
      <c r="T187" s="27" t="n"/>
      <c r="U187" s="27" t="n"/>
      <c r="V187" s="27" t="n"/>
      <c r="W187" s="27" t="n"/>
      <c r="X187" s="27" t="n"/>
      <c r="Y187" s="27" t="n"/>
      <c r="Z187" s="30" t="n"/>
      <c r="AA187" s="25" t="n"/>
      <c r="AB187" s="28">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ISNUMBER($Y187)*($Y187&lt;TODAY()))</f>
        <v/>
      </c>
    </row>
    <row r="188">
      <c r="A188" s="25" t="n"/>
      <c r="B188" s="26" t="n"/>
      <c r="C188" s="27" t="n"/>
      <c r="D188" s="25" t="n"/>
      <c r="E188" s="25" t="n"/>
      <c r="F188" s="27" t="n"/>
      <c r="G188" s="25" t="n"/>
      <c r="H188" s="28">
        <f>IF(OR(NOT(AND($A188&lt;&gt;"",OR($G188="",$G188="Active"))),$F188=""),"",INT((TODAY()-$F188+280)/7)&amp;"+"&amp;MOD(TODAY()-$F188+280,7))</f>
        <v/>
      </c>
      <c r="I188" s="28">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ISNUMBER($Y188)*($Y188&gt;=TODAY())*($Y188&lt;=TODAY()+7))</f>
        <v/>
      </c>
      <c r="J188" s="28">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29">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7" t="n"/>
      <c r="M188" s="27" t="n"/>
      <c r="N188" s="27" t="n"/>
      <c r="O188" s="27" t="n"/>
      <c r="P188" s="27" t="n"/>
      <c r="Q188" s="27" t="n"/>
      <c r="R188" s="27" t="n"/>
      <c r="S188" s="27" t="n"/>
      <c r="T188" s="27" t="n"/>
      <c r="U188" s="27" t="n"/>
      <c r="V188" s="27" t="n"/>
      <c r="W188" s="27" t="n"/>
      <c r="X188" s="27" t="n"/>
      <c r="Y188" s="27" t="n"/>
      <c r="Z188" s="30" t="n"/>
      <c r="AA188" s="25" t="n"/>
      <c r="AB188" s="28">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ISNUMBER($Y188)*($Y188&lt;TODAY()))</f>
        <v/>
      </c>
    </row>
    <row r="189">
      <c r="A189" s="25" t="n"/>
      <c r="B189" s="26" t="n"/>
      <c r="C189" s="27" t="n"/>
      <c r="D189" s="25" t="n"/>
      <c r="E189" s="25" t="n"/>
      <c r="F189" s="27" t="n"/>
      <c r="G189" s="25" t="n"/>
      <c r="H189" s="28">
        <f>IF(OR(NOT(AND($A189&lt;&gt;"",OR($G189="",$G189="Active"))),$F189=""),"",INT((TODAY()-$F189+280)/7)&amp;"+"&amp;MOD(TODAY()-$F189+280,7))</f>
        <v/>
      </c>
      <c r="I189" s="28">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ISNUMBER($Y189)*($Y189&gt;=TODAY())*($Y189&lt;=TODAY()+7))</f>
        <v/>
      </c>
      <c r="J189" s="28">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29">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7" t="n"/>
      <c r="M189" s="27" t="n"/>
      <c r="N189" s="27" t="n"/>
      <c r="O189" s="27" t="n"/>
      <c r="P189" s="27" t="n"/>
      <c r="Q189" s="27" t="n"/>
      <c r="R189" s="27" t="n"/>
      <c r="S189" s="27" t="n"/>
      <c r="T189" s="27" t="n"/>
      <c r="U189" s="27" t="n"/>
      <c r="V189" s="27" t="n"/>
      <c r="W189" s="27" t="n"/>
      <c r="X189" s="27" t="n"/>
      <c r="Y189" s="27" t="n"/>
      <c r="Z189" s="30" t="n"/>
      <c r="AA189" s="25" t="n"/>
      <c r="AB189" s="28">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ISNUMBER($Y189)*($Y189&lt;TODAY()))</f>
        <v/>
      </c>
    </row>
    <row r="190">
      <c r="A190" s="25" t="n"/>
      <c r="B190" s="26" t="n"/>
      <c r="C190" s="27" t="n"/>
      <c r="D190" s="25" t="n"/>
      <c r="E190" s="25" t="n"/>
      <c r="F190" s="27" t="n"/>
      <c r="G190" s="25" t="n"/>
      <c r="H190" s="28">
        <f>IF(OR(NOT(AND($A190&lt;&gt;"",OR($G190="",$G190="Active"))),$F190=""),"",INT((TODAY()-$F190+280)/7)&amp;"+"&amp;MOD(TODAY()-$F190+280,7))</f>
        <v/>
      </c>
      <c r="I190" s="28">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ISNUMBER($Y190)*($Y190&gt;=TODAY())*($Y190&lt;=TODAY()+7))</f>
        <v/>
      </c>
      <c r="J190" s="28">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29">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7" t="n"/>
      <c r="M190" s="27" t="n"/>
      <c r="N190" s="27" t="n"/>
      <c r="O190" s="27" t="n"/>
      <c r="P190" s="27" t="n"/>
      <c r="Q190" s="27" t="n"/>
      <c r="R190" s="27" t="n"/>
      <c r="S190" s="27" t="n"/>
      <c r="T190" s="27" t="n"/>
      <c r="U190" s="27" t="n"/>
      <c r="V190" s="27" t="n"/>
      <c r="W190" s="27" t="n"/>
      <c r="X190" s="27" t="n"/>
      <c r="Y190" s="27" t="n"/>
      <c r="Z190" s="30" t="n"/>
      <c r="AA190" s="25" t="n"/>
      <c r="AB190" s="28">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ISNUMBER($Y190)*($Y190&lt;TODAY()))</f>
        <v/>
      </c>
    </row>
    <row r="191">
      <c r="A191" s="25" t="n"/>
      <c r="B191" s="26" t="n"/>
      <c r="C191" s="27" t="n"/>
      <c r="D191" s="25" t="n"/>
      <c r="E191" s="25" t="n"/>
      <c r="F191" s="27" t="n"/>
      <c r="G191" s="25" t="n"/>
      <c r="H191" s="28">
        <f>IF(OR(NOT(AND($A191&lt;&gt;"",OR($G191="",$G191="Active"))),$F191=""),"",INT((TODAY()-$F191+280)/7)&amp;"+"&amp;MOD(TODAY()-$F191+280,7))</f>
        <v/>
      </c>
      <c r="I191" s="28">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ISNUMBER($Y191)*($Y191&gt;=TODAY())*($Y191&lt;=TODAY()+7))</f>
        <v/>
      </c>
      <c r="J191" s="28">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29">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7" t="n"/>
      <c r="M191" s="27" t="n"/>
      <c r="N191" s="27" t="n"/>
      <c r="O191" s="27" t="n"/>
      <c r="P191" s="27" t="n"/>
      <c r="Q191" s="27" t="n"/>
      <c r="R191" s="27" t="n"/>
      <c r="S191" s="27" t="n"/>
      <c r="T191" s="27" t="n"/>
      <c r="U191" s="27" t="n"/>
      <c r="V191" s="27" t="n"/>
      <c r="W191" s="27" t="n"/>
      <c r="X191" s="27" t="n"/>
      <c r="Y191" s="27" t="n"/>
      <c r="Z191" s="30" t="n"/>
      <c r="AA191" s="25" t="n"/>
      <c r="AB191" s="28">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ISNUMBER($Y191)*($Y191&lt;TODAY()))</f>
        <v/>
      </c>
    </row>
    <row r="192">
      <c r="A192" s="25" t="n"/>
      <c r="B192" s="26" t="n"/>
      <c r="C192" s="27" t="n"/>
      <c r="D192" s="25" t="n"/>
      <c r="E192" s="25" t="n"/>
      <c r="F192" s="27" t="n"/>
      <c r="G192" s="25" t="n"/>
      <c r="H192" s="28">
        <f>IF(OR(NOT(AND($A192&lt;&gt;"",OR($G192="",$G192="Active"))),$F192=""),"",INT((TODAY()-$F192+280)/7)&amp;"+"&amp;MOD(TODAY()-$F192+280,7))</f>
        <v/>
      </c>
      <c r="I192" s="28">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ISNUMBER($Y192)*($Y192&gt;=TODAY())*($Y192&lt;=TODAY()+7))</f>
        <v/>
      </c>
      <c r="J192" s="28">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29">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7" t="n"/>
      <c r="M192" s="27" t="n"/>
      <c r="N192" s="27" t="n"/>
      <c r="O192" s="27" t="n"/>
      <c r="P192" s="27" t="n"/>
      <c r="Q192" s="27" t="n"/>
      <c r="R192" s="27" t="n"/>
      <c r="S192" s="27" t="n"/>
      <c r="T192" s="27" t="n"/>
      <c r="U192" s="27" t="n"/>
      <c r="V192" s="27" t="n"/>
      <c r="W192" s="27" t="n"/>
      <c r="X192" s="27" t="n"/>
      <c r="Y192" s="27" t="n"/>
      <c r="Z192" s="30" t="n"/>
      <c r="AA192" s="25" t="n"/>
      <c r="AB192" s="28">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ISNUMBER($Y192)*($Y192&lt;TODAY()))</f>
        <v/>
      </c>
    </row>
    <row r="193">
      <c r="A193" s="25" t="n"/>
      <c r="B193" s="26" t="n"/>
      <c r="C193" s="27" t="n"/>
      <c r="D193" s="25" t="n"/>
      <c r="E193" s="25" t="n"/>
      <c r="F193" s="27" t="n"/>
      <c r="G193" s="25" t="n"/>
      <c r="H193" s="28">
        <f>IF(OR(NOT(AND($A193&lt;&gt;"",OR($G193="",$G193="Active"))),$F193=""),"",INT((TODAY()-$F193+280)/7)&amp;"+"&amp;MOD(TODAY()-$F193+280,7))</f>
        <v/>
      </c>
      <c r="I193" s="28">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ISNUMBER($Y193)*($Y193&gt;=TODAY())*($Y193&lt;=TODAY()+7))</f>
        <v/>
      </c>
      <c r="J193" s="28">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29">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7" t="n"/>
      <c r="M193" s="27" t="n"/>
      <c r="N193" s="27" t="n"/>
      <c r="O193" s="27" t="n"/>
      <c r="P193" s="27" t="n"/>
      <c r="Q193" s="27" t="n"/>
      <c r="R193" s="27" t="n"/>
      <c r="S193" s="27" t="n"/>
      <c r="T193" s="27" t="n"/>
      <c r="U193" s="27" t="n"/>
      <c r="V193" s="27" t="n"/>
      <c r="W193" s="27" t="n"/>
      <c r="X193" s="27" t="n"/>
      <c r="Y193" s="27" t="n"/>
      <c r="Z193" s="30" t="n"/>
      <c r="AA193" s="25" t="n"/>
      <c r="AB193" s="28">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ISNUMBER($Y193)*($Y193&lt;TODAY()))</f>
        <v/>
      </c>
    </row>
    <row r="194">
      <c r="A194" s="25" t="n"/>
      <c r="B194" s="26" t="n"/>
      <c r="C194" s="27" t="n"/>
      <c r="D194" s="25" t="n"/>
      <c r="E194" s="25" t="n"/>
      <c r="F194" s="27" t="n"/>
      <c r="G194" s="25" t="n"/>
      <c r="H194" s="28">
        <f>IF(OR(NOT(AND($A194&lt;&gt;"",OR($G194="",$G194="Active"))),$F194=""),"",INT((TODAY()-$F194+280)/7)&amp;"+"&amp;MOD(TODAY()-$F194+280,7))</f>
        <v/>
      </c>
      <c r="I194" s="28">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ISNUMBER($Y194)*($Y194&gt;=TODAY())*($Y194&lt;=TODAY()+7))</f>
        <v/>
      </c>
      <c r="J194" s="28">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29">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7" t="n"/>
      <c r="M194" s="27" t="n"/>
      <c r="N194" s="27" t="n"/>
      <c r="O194" s="27" t="n"/>
      <c r="P194" s="27" t="n"/>
      <c r="Q194" s="27" t="n"/>
      <c r="R194" s="27" t="n"/>
      <c r="S194" s="27" t="n"/>
      <c r="T194" s="27" t="n"/>
      <c r="U194" s="27" t="n"/>
      <c r="V194" s="27" t="n"/>
      <c r="W194" s="27" t="n"/>
      <c r="X194" s="27" t="n"/>
      <c r="Y194" s="27" t="n"/>
      <c r="Z194" s="30" t="n"/>
      <c r="AA194" s="25" t="n"/>
      <c r="AB194" s="28">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ISNUMBER($Y194)*($Y194&lt;TODAY()))</f>
        <v/>
      </c>
    </row>
    <row r="195">
      <c r="A195" s="25" t="n"/>
      <c r="B195" s="26" t="n"/>
      <c r="C195" s="27" t="n"/>
      <c r="D195" s="25" t="n"/>
      <c r="E195" s="25" t="n"/>
      <c r="F195" s="27" t="n"/>
      <c r="G195" s="25" t="n"/>
      <c r="H195" s="28">
        <f>IF(OR(NOT(AND($A195&lt;&gt;"",OR($G195="",$G195="Active"))),$F195=""),"",INT((TODAY()-$F195+280)/7)&amp;"+"&amp;MOD(TODAY()-$F195+280,7))</f>
        <v/>
      </c>
      <c r="I195" s="28">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ISNUMBER($Y195)*($Y195&gt;=TODAY())*($Y195&lt;=TODAY()+7))</f>
        <v/>
      </c>
      <c r="J195" s="28">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29">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7" t="n"/>
      <c r="M195" s="27" t="n"/>
      <c r="N195" s="27" t="n"/>
      <c r="O195" s="27" t="n"/>
      <c r="P195" s="27" t="n"/>
      <c r="Q195" s="27" t="n"/>
      <c r="R195" s="27" t="n"/>
      <c r="S195" s="27" t="n"/>
      <c r="T195" s="27" t="n"/>
      <c r="U195" s="27" t="n"/>
      <c r="V195" s="27" t="n"/>
      <c r="W195" s="27" t="n"/>
      <c r="X195" s="27" t="n"/>
      <c r="Y195" s="27" t="n"/>
      <c r="Z195" s="30" t="n"/>
      <c r="AA195" s="25" t="n"/>
      <c r="AB195" s="28">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ISNUMBER($Y195)*($Y195&lt;TODAY()))</f>
        <v/>
      </c>
    </row>
    <row r="196">
      <c r="A196" s="25" t="n"/>
      <c r="B196" s="26" t="n"/>
      <c r="C196" s="27" t="n"/>
      <c r="D196" s="25" t="n"/>
      <c r="E196" s="25" t="n"/>
      <c r="F196" s="27" t="n"/>
      <c r="G196" s="25" t="n"/>
      <c r="H196" s="28">
        <f>IF(OR(NOT(AND($A196&lt;&gt;"",OR($G196="",$G196="Active"))),$F196=""),"",INT((TODAY()-$F196+280)/7)&amp;"+"&amp;MOD(TODAY()-$F196+280,7))</f>
        <v/>
      </c>
      <c r="I196" s="28">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ISNUMBER($Y196)*($Y196&gt;=TODAY())*($Y196&lt;=TODAY()+7))</f>
        <v/>
      </c>
      <c r="J196" s="28">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29">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7" t="n"/>
      <c r="M196" s="27" t="n"/>
      <c r="N196" s="27" t="n"/>
      <c r="O196" s="27" t="n"/>
      <c r="P196" s="27" t="n"/>
      <c r="Q196" s="27" t="n"/>
      <c r="R196" s="27" t="n"/>
      <c r="S196" s="27" t="n"/>
      <c r="T196" s="27" t="n"/>
      <c r="U196" s="27" t="n"/>
      <c r="V196" s="27" t="n"/>
      <c r="W196" s="27" t="n"/>
      <c r="X196" s="27" t="n"/>
      <c r="Y196" s="27" t="n"/>
      <c r="Z196" s="30" t="n"/>
      <c r="AA196" s="25" t="n"/>
      <c r="AB196" s="28">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ISNUMBER($Y196)*($Y196&lt;TODAY()))</f>
        <v/>
      </c>
    </row>
    <row r="197">
      <c r="A197" s="25" t="n"/>
      <c r="B197" s="26" t="n"/>
      <c r="C197" s="27" t="n"/>
      <c r="D197" s="25" t="n"/>
      <c r="E197" s="25" t="n"/>
      <c r="F197" s="27" t="n"/>
      <c r="G197" s="25" t="n"/>
      <c r="H197" s="28">
        <f>IF(OR(NOT(AND($A197&lt;&gt;"",OR($G197="",$G197="Active"))),$F197=""),"",INT((TODAY()-$F197+280)/7)&amp;"+"&amp;MOD(TODAY()-$F197+280,7))</f>
        <v/>
      </c>
      <c r="I197" s="28">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ISNUMBER($Y197)*($Y197&gt;=TODAY())*($Y197&lt;=TODAY()+7))</f>
        <v/>
      </c>
      <c r="J197" s="28">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29">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7" t="n"/>
      <c r="M197" s="27" t="n"/>
      <c r="N197" s="27" t="n"/>
      <c r="O197" s="27" t="n"/>
      <c r="P197" s="27" t="n"/>
      <c r="Q197" s="27" t="n"/>
      <c r="R197" s="27" t="n"/>
      <c r="S197" s="27" t="n"/>
      <c r="T197" s="27" t="n"/>
      <c r="U197" s="27" t="n"/>
      <c r="V197" s="27" t="n"/>
      <c r="W197" s="27" t="n"/>
      <c r="X197" s="27" t="n"/>
      <c r="Y197" s="27" t="n"/>
      <c r="Z197" s="30" t="n"/>
      <c r="AA197" s="25" t="n"/>
      <c r="AB197" s="28">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ISNUMBER($Y197)*($Y197&lt;TODAY()))</f>
        <v/>
      </c>
    </row>
    <row r="198">
      <c r="A198" s="25" t="n"/>
      <c r="B198" s="26" t="n"/>
      <c r="C198" s="27" t="n"/>
      <c r="D198" s="25" t="n"/>
      <c r="E198" s="25" t="n"/>
      <c r="F198" s="27" t="n"/>
      <c r="G198" s="25" t="n"/>
      <c r="H198" s="28">
        <f>IF(OR(NOT(AND($A198&lt;&gt;"",OR($G198="",$G198="Active"))),$F198=""),"",INT((TODAY()-$F198+280)/7)&amp;"+"&amp;MOD(TODAY()-$F198+280,7))</f>
        <v/>
      </c>
      <c r="I198" s="28">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ISNUMBER($Y198)*($Y198&gt;=TODAY())*($Y198&lt;=TODAY()+7))</f>
        <v/>
      </c>
      <c r="J198" s="28">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29">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7" t="n"/>
      <c r="M198" s="27" t="n"/>
      <c r="N198" s="27" t="n"/>
      <c r="O198" s="27" t="n"/>
      <c r="P198" s="27" t="n"/>
      <c r="Q198" s="27" t="n"/>
      <c r="R198" s="27" t="n"/>
      <c r="S198" s="27" t="n"/>
      <c r="T198" s="27" t="n"/>
      <c r="U198" s="27" t="n"/>
      <c r="V198" s="27" t="n"/>
      <c r="W198" s="27" t="n"/>
      <c r="X198" s="27" t="n"/>
      <c r="Y198" s="27" t="n"/>
      <c r="Z198" s="30" t="n"/>
      <c r="AA198" s="25" t="n"/>
      <c r="AB198" s="28">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ISNUMBER($Y198)*($Y198&lt;TODAY()))</f>
        <v/>
      </c>
    </row>
    <row r="199">
      <c r="A199" s="25" t="n"/>
      <c r="B199" s="26" t="n"/>
      <c r="C199" s="27" t="n"/>
      <c r="D199" s="25" t="n"/>
      <c r="E199" s="25" t="n"/>
      <c r="F199" s="27" t="n"/>
      <c r="G199" s="25" t="n"/>
      <c r="H199" s="28">
        <f>IF(OR(NOT(AND($A199&lt;&gt;"",OR($G199="",$G199="Active"))),$F199=""),"",INT((TODAY()-$F199+280)/7)&amp;"+"&amp;MOD(TODAY()-$F199+280,7))</f>
        <v/>
      </c>
      <c r="I199" s="28">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ISNUMBER($Y199)*($Y199&gt;=TODAY())*($Y199&lt;=TODAY()+7))</f>
        <v/>
      </c>
      <c r="J199" s="28">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29">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7" t="n"/>
      <c r="M199" s="27" t="n"/>
      <c r="N199" s="27" t="n"/>
      <c r="O199" s="27" t="n"/>
      <c r="P199" s="27" t="n"/>
      <c r="Q199" s="27" t="n"/>
      <c r="R199" s="27" t="n"/>
      <c r="S199" s="27" t="n"/>
      <c r="T199" s="27" t="n"/>
      <c r="U199" s="27" t="n"/>
      <c r="V199" s="27" t="n"/>
      <c r="W199" s="27" t="n"/>
      <c r="X199" s="27" t="n"/>
      <c r="Y199" s="27" t="n"/>
      <c r="Z199" s="30" t="n"/>
      <c r="AA199" s="25" t="n"/>
      <c r="AB199" s="28">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ISNUMBER($Y199)*($Y199&lt;TODAY()))</f>
        <v/>
      </c>
    </row>
    <row r="200">
      <c r="A200" s="25" t="n"/>
      <c r="B200" s="26" t="n"/>
      <c r="C200" s="27" t="n"/>
      <c r="D200" s="25" t="n"/>
      <c r="E200" s="25" t="n"/>
      <c r="F200" s="27" t="n"/>
      <c r="G200" s="25" t="n"/>
      <c r="H200" s="28">
        <f>IF(OR(NOT(AND($A200&lt;&gt;"",OR($G200="",$G200="Active"))),$F200=""),"",INT((TODAY()-$F200+280)/7)&amp;"+"&amp;MOD(TODAY()-$F200+280,7))</f>
        <v/>
      </c>
      <c r="I200" s="28">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ISNUMBER($Y200)*($Y200&gt;=TODAY())*($Y200&lt;=TODAY()+7))</f>
        <v/>
      </c>
      <c r="J200" s="28">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29">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7" t="n"/>
      <c r="M200" s="27" t="n"/>
      <c r="N200" s="27" t="n"/>
      <c r="O200" s="27" t="n"/>
      <c r="P200" s="27" t="n"/>
      <c r="Q200" s="27" t="n"/>
      <c r="R200" s="27" t="n"/>
      <c r="S200" s="27" t="n"/>
      <c r="T200" s="27" t="n"/>
      <c r="U200" s="27" t="n"/>
      <c r="V200" s="27" t="n"/>
      <c r="W200" s="27" t="n"/>
      <c r="X200" s="27" t="n"/>
      <c r="Y200" s="27" t="n"/>
      <c r="Z200" s="30" t="n"/>
      <c r="AA200" s="25" t="n"/>
      <c r="AB200" s="28">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ISNUMBER($Y200)*($Y200&lt;TODAY()))</f>
        <v/>
      </c>
    </row>
    <row r="201">
      <c r="A201" s="25" t="n"/>
      <c r="B201" s="26" t="n"/>
      <c r="C201" s="27" t="n"/>
      <c r="D201" s="25" t="n"/>
      <c r="E201" s="25" t="n"/>
      <c r="F201" s="27" t="n"/>
      <c r="G201" s="25" t="n"/>
      <c r="H201" s="28">
        <f>IF(OR(NOT(AND($A201&lt;&gt;"",OR($G201="",$G201="Active"))),$F201=""),"",INT((TODAY()-$F201+280)/7)&amp;"+"&amp;MOD(TODAY()-$F201+280,7))</f>
        <v/>
      </c>
      <c r="I201" s="28">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ISNUMBER($Y201)*($Y201&gt;=TODAY())*($Y201&lt;=TODAY()+7))</f>
        <v/>
      </c>
      <c r="J201" s="28">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29">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7" t="n"/>
      <c r="M201" s="27" t="n"/>
      <c r="N201" s="27" t="n"/>
      <c r="O201" s="27" t="n"/>
      <c r="P201" s="27" t="n"/>
      <c r="Q201" s="27" t="n"/>
      <c r="R201" s="27" t="n"/>
      <c r="S201" s="27" t="n"/>
      <c r="T201" s="27" t="n"/>
      <c r="U201" s="27" t="n"/>
      <c r="V201" s="27" t="n"/>
      <c r="W201" s="27" t="n"/>
      <c r="X201" s="27" t="n"/>
      <c r="Y201" s="27" t="n"/>
      <c r="Z201" s="30" t="n"/>
      <c r="AA201" s="25" t="n"/>
      <c r="AB201" s="28">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ISNUMBER($Y201)*($Y201&lt;TODAY()))</f>
        <v/>
      </c>
    </row>
    <row r="202">
      <c r="A202" s="25" t="n"/>
      <c r="B202" s="26" t="n"/>
      <c r="C202" s="27" t="n"/>
      <c r="D202" s="25" t="n"/>
      <c r="E202" s="25" t="n"/>
      <c r="F202" s="27" t="n"/>
      <c r="G202" s="25" t="n"/>
      <c r="H202" s="28">
        <f>IF(OR(NOT(AND($A202&lt;&gt;"",OR($G202="",$G202="Active"))),$F202=""),"",INT((TODAY()-$F202+280)/7)&amp;"+"&amp;MOD(TODAY()-$F202+280,7))</f>
        <v/>
      </c>
      <c r="I202" s="28">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ISNUMBER($Y202)*($Y202&gt;=TODAY())*($Y202&lt;=TODAY()+7))</f>
        <v/>
      </c>
      <c r="J202" s="28">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29">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7" t="n"/>
      <c r="M202" s="27" t="n"/>
      <c r="N202" s="27" t="n"/>
      <c r="O202" s="27" t="n"/>
      <c r="P202" s="27" t="n"/>
      <c r="Q202" s="27" t="n"/>
      <c r="R202" s="27" t="n"/>
      <c r="S202" s="27" t="n"/>
      <c r="T202" s="27" t="n"/>
      <c r="U202" s="27" t="n"/>
      <c r="V202" s="27" t="n"/>
      <c r="W202" s="27" t="n"/>
      <c r="X202" s="27" t="n"/>
      <c r="Y202" s="27" t="n"/>
      <c r="Z202" s="30" t="n"/>
      <c r="AA202" s="25" t="n"/>
      <c r="AB202" s="28">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ISNUMBER($Y202)*($Y202&lt;TODAY()))</f>
        <v/>
      </c>
    </row>
    <row r="203">
      <c r="A203" s="25" t="n"/>
      <c r="B203" s="26" t="n"/>
      <c r="C203" s="27" t="n"/>
      <c r="D203" s="25" t="n"/>
      <c r="E203" s="25" t="n"/>
      <c r="F203" s="27" t="n"/>
      <c r="G203" s="25" t="n"/>
      <c r="H203" s="28">
        <f>IF(OR(NOT(AND($A203&lt;&gt;"",OR($G203="",$G203="Active"))),$F203=""),"",INT((TODAY()-$F203+280)/7)&amp;"+"&amp;MOD(TODAY()-$F203+280,7))</f>
        <v/>
      </c>
      <c r="I203" s="28">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ISNUMBER($Y203)*($Y203&gt;=TODAY())*($Y203&lt;=TODAY()+7))</f>
        <v/>
      </c>
      <c r="J203" s="28">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29">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7" t="n"/>
      <c r="M203" s="27" t="n"/>
      <c r="N203" s="27" t="n"/>
      <c r="O203" s="27" t="n"/>
      <c r="P203" s="27" t="n"/>
      <c r="Q203" s="27" t="n"/>
      <c r="R203" s="27" t="n"/>
      <c r="S203" s="27" t="n"/>
      <c r="T203" s="27" t="n"/>
      <c r="U203" s="27" t="n"/>
      <c r="V203" s="27" t="n"/>
      <c r="W203" s="27" t="n"/>
      <c r="X203" s="27" t="n"/>
      <c r="Y203" s="27" t="n"/>
      <c r="Z203" s="30" t="n"/>
      <c r="AA203" s="25" t="n"/>
      <c r="AB203" s="28">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ISNUMBER($Y203)*($Y203&lt;TODAY()))</f>
        <v/>
      </c>
    </row>
    <row r="204">
      <c r="A204" s="25" t="n"/>
      <c r="B204" s="26" t="n"/>
      <c r="C204" s="27" t="n"/>
      <c r="D204" s="25" t="n"/>
      <c r="E204" s="25" t="n"/>
      <c r="F204" s="27" t="n"/>
      <c r="G204" s="25" t="n"/>
      <c r="H204" s="28">
        <f>IF(OR(NOT(AND($A204&lt;&gt;"",OR($G204="",$G204="Active"))),$F204=""),"",INT((TODAY()-$F204+280)/7)&amp;"+"&amp;MOD(TODAY()-$F204+280,7))</f>
        <v/>
      </c>
      <c r="I204" s="28">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ISNUMBER($Y204)*($Y204&gt;=TODAY())*($Y204&lt;=TODAY()+7))</f>
        <v/>
      </c>
      <c r="J204" s="28">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29">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7" t="n"/>
      <c r="M204" s="27" t="n"/>
      <c r="N204" s="27" t="n"/>
      <c r="O204" s="27" t="n"/>
      <c r="P204" s="27" t="n"/>
      <c r="Q204" s="27" t="n"/>
      <c r="R204" s="27" t="n"/>
      <c r="S204" s="27" t="n"/>
      <c r="T204" s="27" t="n"/>
      <c r="U204" s="27" t="n"/>
      <c r="V204" s="27" t="n"/>
      <c r="W204" s="27" t="n"/>
      <c r="X204" s="27" t="n"/>
      <c r="Y204" s="27" t="n"/>
      <c r="Z204" s="30" t="n"/>
      <c r="AA204" s="25" t="n"/>
      <c r="AB204" s="28">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ISNUMBER($Y204)*($Y204&lt;TODAY()))</f>
        <v/>
      </c>
    </row>
    <row r="205">
      <c r="A205" s="25" t="n"/>
      <c r="B205" s="26" t="n"/>
      <c r="C205" s="27" t="n"/>
      <c r="D205" s="25" t="n"/>
      <c r="E205" s="25" t="n"/>
      <c r="F205" s="27" t="n"/>
      <c r="G205" s="25" t="n"/>
      <c r="H205" s="28">
        <f>IF(OR(NOT(AND($A205&lt;&gt;"",OR($G205="",$G205="Active"))),$F205=""),"",INT((TODAY()-$F205+280)/7)&amp;"+"&amp;MOD(TODAY()-$F205+280,7))</f>
        <v/>
      </c>
      <c r="I205" s="28">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ISNUMBER($Y205)*($Y205&gt;=TODAY())*($Y205&lt;=TODAY()+7))</f>
        <v/>
      </c>
      <c r="J205" s="28">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29">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7" t="n"/>
      <c r="M205" s="27" t="n"/>
      <c r="N205" s="27" t="n"/>
      <c r="O205" s="27" t="n"/>
      <c r="P205" s="27" t="n"/>
      <c r="Q205" s="27" t="n"/>
      <c r="R205" s="27" t="n"/>
      <c r="S205" s="27" t="n"/>
      <c r="T205" s="27" t="n"/>
      <c r="U205" s="27" t="n"/>
      <c r="V205" s="27" t="n"/>
      <c r="W205" s="27" t="n"/>
      <c r="X205" s="27" t="n"/>
      <c r="Y205" s="27" t="n"/>
      <c r="Z205" s="30" t="n"/>
      <c r="AA205" s="25" t="n"/>
      <c r="AB205" s="28">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ISNUMBER($Y205)*($Y205&lt;TODAY()))</f>
        <v/>
      </c>
    </row>
    <row r="206">
      <c r="A206" s="25" t="n"/>
      <c r="B206" s="26" t="n"/>
      <c r="C206" s="27" t="n"/>
      <c r="D206" s="25" t="n"/>
      <c r="E206" s="25" t="n"/>
      <c r="F206" s="27" t="n"/>
      <c r="G206" s="25" t="n"/>
      <c r="H206" s="28">
        <f>IF(OR(NOT(AND($A206&lt;&gt;"",OR($G206="",$G206="Active"))),$F206=""),"",INT((TODAY()-$F206+280)/7)&amp;"+"&amp;MOD(TODAY()-$F206+280,7))</f>
        <v/>
      </c>
      <c r="I206" s="28">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ISNUMBER($Y206)*($Y206&gt;=TODAY())*($Y206&lt;=TODAY()+7))</f>
        <v/>
      </c>
      <c r="J206" s="28">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29">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7" t="n"/>
      <c r="M206" s="27" t="n"/>
      <c r="N206" s="27" t="n"/>
      <c r="O206" s="27" t="n"/>
      <c r="P206" s="27" t="n"/>
      <c r="Q206" s="27" t="n"/>
      <c r="R206" s="27" t="n"/>
      <c r="S206" s="27" t="n"/>
      <c r="T206" s="27" t="n"/>
      <c r="U206" s="27" t="n"/>
      <c r="V206" s="27" t="n"/>
      <c r="W206" s="27" t="n"/>
      <c r="X206" s="27" t="n"/>
      <c r="Y206" s="27" t="n"/>
      <c r="Z206" s="30" t="n"/>
      <c r="AA206" s="25" t="n"/>
      <c r="AB206" s="28">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ISNUMBER($Y206)*($Y206&lt;TODAY()))</f>
        <v/>
      </c>
    </row>
    <row r="207">
      <c r="A207" s="25" t="n"/>
      <c r="B207" s="26" t="n"/>
      <c r="C207" s="27" t="n"/>
      <c r="D207" s="25" t="n"/>
      <c r="E207" s="25" t="n"/>
      <c r="F207" s="27" t="n"/>
      <c r="G207" s="25" t="n"/>
      <c r="H207" s="28">
        <f>IF(OR(NOT(AND($A207&lt;&gt;"",OR($G207="",$G207="Active"))),$F207=""),"",INT((TODAY()-$F207+280)/7)&amp;"+"&amp;MOD(TODAY()-$F207+280,7))</f>
        <v/>
      </c>
      <c r="I207" s="28">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ISNUMBER($Y207)*($Y207&gt;=TODAY())*($Y207&lt;=TODAY()+7))</f>
        <v/>
      </c>
      <c r="J207" s="28">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29">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7" t="n"/>
      <c r="M207" s="27" t="n"/>
      <c r="N207" s="27" t="n"/>
      <c r="O207" s="27" t="n"/>
      <c r="P207" s="27" t="n"/>
      <c r="Q207" s="27" t="n"/>
      <c r="R207" s="27" t="n"/>
      <c r="S207" s="27" t="n"/>
      <c r="T207" s="27" t="n"/>
      <c r="U207" s="27" t="n"/>
      <c r="V207" s="27" t="n"/>
      <c r="W207" s="27" t="n"/>
      <c r="X207" s="27" t="n"/>
      <c r="Y207" s="27" t="n"/>
      <c r="Z207" s="30" t="n"/>
      <c r="AA207" s="25" t="n"/>
      <c r="AB207" s="28">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ISNUMBER($Y207)*($Y207&lt;TODAY()))</f>
        <v/>
      </c>
    </row>
    <row r="208">
      <c r="A208" s="25" t="n"/>
      <c r="B208" s="26" t="n"/>
      <c r="C208" s="27" t="n"/>
      <c r="D208" s="25" t="n"/>
      <c r="E208" s="25" t="n"/>
      <c r="F208" s="27" t="n"/>
      <c r="G208" s="25" t="n"/>
      <c r="H208" s="28">
        <f>IF(OR(NOT(AND($A208&lt;&gt;"",OR($G208="",$G208="Active"))),$F208=""),"",INT((TODAY()-$F208+280)/7)&amp;"+"&amp;MOD(TODAY()-$F208+280,7))</f>
        <v/>
      </c>
      <c r="I208" s="28">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ISNUMBER($Y208)*($Y208&gt;=TODAY())*($Y208&lt;=TODAY()+7))</f>
        <v/>
      </c>
      <c r="J208" s="28">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29">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7" t="n"/>
      <c r="M208" s="27" t="n"/>
      <c r="N208" s="27" t="n"/>
      <c r="O208" s="27" t="n"/>
      <c r="P208" s="27" t="n"/>
      <c r="Q208" s="27" t="n"/>
      <c r="R208" s="27" t="n"/>
      <c r="S208" s="27" t="n"/>
      <c r="T208" s="27" t="n"/>
      <c r="U208" s="27" t="n"/>
      <c r="V208" s="27" t="n"/>
      <c r="W208" s="27" t="n"/>
      <c r="X208" s="27" t="n"/>
      <c r="Y208" s="27" t="n"/>
      <c r="Z208" s="30" t="n"/>
      <c r="AA208" s="25" t="n"/>
      <c r="AB208" s="28">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ISNUMBER($Y208)*($Y208&lt;TODAY()))</f>
        <v/>
      </c>
    </row>
    <row r="209">
      <c r="A209" s="25" t="n"/>
      <c r="B209" s="26" t="n"/>
      <c r="C209" s="27" t="n"/>
      <c r="D209" s="25" t="n"/>
      <c r="E209" s="25" t="n"/>
      <c r="F209" s="27" t="n"/>
      <c r="G209" s="25" t="n"/>
      <c r="H209" s="28">
        <f>IF(OR(NOT(AND($A209&lt;&gt;"",OR($G209="",$G209="Active"))),$F209=""),"",INT((TODAY()-$F209+280)/7)&amp;"+"&amp;MOD(TODAY()-$F209+280,7))</f>
        <v/>
      </c>
      <c r="I209" s="28">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ISNUMBER($Y209)*($Y209&gt;=TODAY())*($Y209&lt;=TODAY()+7))</f>
        <v/>
      </c>
      <c r="J209" s="28">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29">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7" t="n"/>
      <c r="M209" s="27" t="n"/>
      <c r="N209" s="27" t="n"/>
      <c r="O209" s="27" t="n"/>
      <c r="P209" s="27" t="n"/>
      <c r="Q209" s="27" t="n"/>
      <c r="R209" s="27" t="n"/>
      <c r="S209" s="27" t="n"/>
      <c r="T209" s="27" t="n"/>
      <c r="U209" s="27" t="n"/>
      <c r="V209" s="27" t="n"/>
      <c r="W209" s="27" t="n"/>
      <c r="X209" s="27" t="n"/>
      <c r="Y209" s="27" t="n"/>
      <c r="Z209" s="30" t="n"/>
      <c r="AA209" s="25" t="n"/>
      <c r="AB209" s="28">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ISNUMBER($Y209)*($Y209&lt;TODAY()))</f>
        <v/>
      </c>
    </row>
    <row r="210">
      <c r="A210" s="25" t="n"/>
      <c r="B210" s="26" t="n"/>
      <c r="C210" s="27" t="n"/>
      <c r="D210" s="25" t="n"/>
      <c r="E210" s="25" t="n"/>
      <c r="F210" s="27" t="n"/>
      <c r="G210" s="25" t="n"/>
      <c r="H210" s="28">
        <f>IF(OR(NOT(AND($A210&lt;&gt;"",OR($G210="",$G210="Active"))),$F210=""),"",INT((TODAY()-$F210+280)/7)&amp;"+"&amp;MOD(TODAY()-$F210+280,7))</f>
        <v/>
      </c>
      <c r="I210" s="28">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ISNUMBER($Y210)*($Y210&gt;=TODAY())*($Y210&lt;=TODAY()+7))</f>
        <v/>
      </c>
      <c r="J210" s="28">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29">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7" t="n"/>
      <c r="M210" s="27" t="n"/>
      <c r="N210" s="27" t="n"/>
      <c r="O210" s="27" t="n"/>
      <c r="P210" s="27" t="n"/>
      <c r="Q210" s="27" t="n"/>
      <c r="R210" s="27" t="n"/>
      <c r="S210" s="27" t="n"/>
      <c r="T210" s="27" t="n"/>
      <c r="U210" s="27" t="n"/>
      <c r="V210" s="27" t="n"/>
      <c r="W210" s="27" t="n"/>
      <c r="X210" s="27" t="n"/>
      <c r="Y210" s="27" t="n"/>
      <c r="Z210" s="30" t="n"/>
      <c r="AA210" s="25" t="n"/>
      <c r="AB210" s="28">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ISNUMBER($Y210)*($Y210&lt;TODAY()))</f>
        <v/>
      </c>
    </row>
    <row r="211">
      <c r="A211" s="25" t="n"/>
      <c r="B211" s="26" t="n"/>
      <c r="C211" s="27" t="n"/>
      <c r="D211" s="25" t="n"/>
      <c r="E211" s="25" t="n"/>
      <c r="F211" s="27" t="n"/>
      <c r="G211" s="25" t="n"/>
      <c r="H211" s="28">
        <f>IF(OR(NOT(AND($A211&lt;&gt;"",OR($G211="",$G211="Active"))),$F211=""),"",INT((TODAY()-$F211+280)/7)&amp;"+"&amp;MOD(TODAY()-$F211+280,7))</f>
        <v/>
      </c>
      <c r="I211" s="28">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ISNUMBER($Y211)*($Y211&gt;=TODAY())*($Y211&lt;=TODAY()+7))</f>
        <v/>
      </c>
      <c r="J211" s="28">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29">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7" t="n"/>
      <c r="M211" s="27" t="n"/>
      <c r="N211" s="27" t="n"/>
      <c r="O211" s="27" t="n"/>
      <c r="P211" s="27" t="n"/>
      <c r="Q211" s="27" t="n"/>
      <c r="R211" s="27" t="n"/>
      <c r="S211" s="27" t="n"/>
      <c r="T211" s="27" t="n"/>
      <c r="U211" s="27" t="n"/>
      <c r="V211" s="27" t="n"/>
      <c r="W211" s="27" t="n"/>
      <c r="X211" s="27" t="n"/>
      <c r="Y211" s="27" t="n"/>
      <c r="Z211" s="30" t="n"/>
      <c r="AA211" s="25" t="n"/>
      <c r="AB211" s="28">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ISNUMBER($Y211)*($Y211&lt;TODAY()))</f>
        <v/>
      </c>
    </row>
    <row r="212">
      <c r="A212" s="25" t="n"/>
      <c r="B212" s="26" t="n"/>
      <c r="C212" s="27" t="n"/>
      <c r="D212" s="25" t="n"/>
      <c r="E212" s="25" t="n"/>
      <c r="F212" s="27" t="n"/>
      <c r="G212" s="25" t="n"/>
      <c r="H212" s="28">
        <f>IF(OR(NOT(AND($A212&lt;&gt;"",OR($G212="",$G212="Active"))),$F212=""),"",INT((TODAY()-$F212+280)/7)&amp;"+"&amp;MOD(TODAY()-$F212+280,7))</f>
        <v/>
      </c>
      <c r="I212" s="28">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ISNUMBER($Y212)*($Y212&gt;=TODAY())*($Y212&lt;=TODAY()+7))</f>
        <v/>
      </c>
      <c r="J212" s="28">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29">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7" t="n"/>
      <c r="M212" s="27" t="n"/>
      <c r="N212" s="27" t="n"/>
      <c r="O212" s="27" t="n"/>
      <c r="P212" s="27" t="n"/>
      <c r="Q212" s="27" t="n"/>
      <c r="R212" s="27" t="n"/>
      <c r="S212" s="27" t="n"/>
      <c r="T212" s="27" t="n"/>
      <c r="U212" s="27" t="n"/>
      <c r="V212" s="27" t="n"/>
      <c r="W212" s="27" t="n"/>
      <c r="X212" s="27" t="n"/>
      <c r="Y212" s="27" t="n"/>
      <c r="Z212" s="30" t="n"/>
      <c r="AA212" s="25" t="n"/>
      <c r="AB212" s="28">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ISNUMBER($Y212)*($Y212&lt;TODAY()))</f>
        <v/>
      </c>
    </row>
    <row r="213">
      <c r="A213" s="25" t="n"/>
      <c r="B213" s="26" t="n"/>
      <c r="C213" s="27" t="n"/>
      <c r="D213" s="25" t="n"/>
      <c r="E213" s="25" t="n"/>
      <c r="F213" s="27" t="n"/>
      <c r="G213" s="25" t="n"/>
      <c r="H213" s="28">
        <f>IF(OR(NOT(AND($A213&lt;&gt;"",OR($G213="",$G213="Active"))),$F213=""),"",INT((TODAY()-$F213+280)/7)&amp;"+"&amp;MOD(TODAY()-$F213+280,7))</f>
        <v/>
      </c>
      <c r="I213" s="28">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ISNUMBER($Y213)*($Y213&gt;=TODAY())*($Y213&lt;=TODAY()+7))</f>
        <v/>
      </c>
      <c r="J213" s="28">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29">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7" t="n"/>
      <c r="M213" s="27" t="n"/>
      <c r="N213" s="27" t="n"/>
      <c r="O213" s="27" t="n"/>
      <c r="P213" s="27" t="n"/>
      <c r="Q213" s="27" t="n"/>
      <c r="R213" s="27" t="n"/>
      <c r="S213" s="27" t="n"/>
      <c r="T213" s="27" t="n"/>
      <c r="U213" s="27" t="n"/>
      <c r="V213" s="27" t="n"/>
      <c r="W213" s="27" t="n"/>
      <c r="X213" s="27" t="n"/>
      <c r="Y213" s="27" t="n"/>
      <c r="Z213" s="30" t="n"/>
      <c r="AA213" s="25" t="n"/>
      <c r="AB213" s="28">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ISNUMBER($Y213)*($Y213&lt;TODAY()))</f>
        <v/>
      </c>
    </row>
    <row r="214">
      <c r="A214" s="25" t="n"/>
      <c r="B214" s="26" t="n"/>
      <c r="C214" s="27" t="n"/>
      <c r="D214" s="25" t="n"/>
      <c r="E214" s="25" t="n"/>
      <c r="F214" s="27" t="n"/>
      <c r="G214" s="25" t="n"/>
      <c r="H214" s="28">
        <f>IF(OR(NOT(AND($A214&lt;&gt;"",OR($G214="",$G214="Active"))),$F214=""),"",INT((TODAY()-$F214+280)/7)&amp;"+"&amp;MOD(TODAY()-$F214+280,7))</f>
        <v/>
      </c>
      <c r="I214" s="28">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ISNUMBER($Y214)*($Y214&gt;=TODAY())*($Y214&lt;=TODAY()+7))</f>
        <v/>
      </c>
      <c r="J214" s="28">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29">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7" t="n"/>
      <c r="M214" s="27" t="n"/>
      <c r="N214" s="27" t="n"/>
      <c r="O214" s="27" t="n"/>
      <c r="P214" s="27" t="n"/>
      <c r="Q214" s="27" t="n"/>
      <c r="R214" s="27" t="n"/>
      <c r="S214" s="27" t="n"/>
      <c r="T214" s="27" t="n"/>
      <c r="U214" s="27" t="n"/>
      <c r="V214" s="27" t="n"/>
      <c r="W214" s="27" t="n"/>
      <c r="X214" s="27" t="n"/>
      <c r="Y214" s="27" t="n"/>
      <c r="Z214" s="30" t="n"/>
      <c r="AA214" s="25" t="n"/>
      <c r="AB214" s="28">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ISNUMBER($Y214)*($Y214&lt;TODAY()))</f>
        <v/>
      </c>
    </row>
    <row r="215">
      <c r="A215" s="25" t="n"/>
      <c r="B215" s="26" t="n"/>
      <c r="C215" s="27" t="n"/>
      <c r="D215" s="25" t="n"/>
      <c r="E215" s="25" t="n"/>
      <c r="F215" s="27" t="n"/>
      <c r="G215" s="25" t="n"/>
      <c r="H215" s="28">
        <f>IF(OR(NOT(AND($A215&lt;&gt;"",OR($G215="",$G215="Active"))),$F215=""),"",INT((TODAY()-$F215+280)/7)&amp;"+"&amp;MOD(TODAY()-$F215+280,7))</f>
        <v/>
      </c>
      <c r="I215" s="28">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ISNUMBER($Y215)*($Y215&gt;=TODAY())*($Y215&lt;=TODAY()+7))</f>
        <v/>
      </c>
      <c r="J215" s="28">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29">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7" t="n"/>
      <c r="M215" s="27" t="n"/>
      <c r="N215" s="27" t="n"/>
      <c r="O215" s="27" t="n"/>
      <c r="P215" s="27" t="n"/>
      <c r="Q215" s="27" t="n"/>
      <c r="R215" s="27" t="n"/>
      <c r="S215" s="27" t="n"/>
      <c r="T215" s="27" t="n"/>
      <c r="U215" s="27" t="n"/>
      <c r="V215" s="27" t="n"/>
      <c r="W215" s="27" t="n"/>
      <c r="X215" s="27" t="n"/>
      <c r="Y215" s="27" t="n"/>
      <c r="Z215" s="30" t="n"/>
      <c r="AA215" s="25" t="n"/>
      <c r="AB215" s="28">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ISNUMBER($Y215)*($Y215&lt;TODAY()))</f>
        <v/>
      </c>
    </row>
    <row r="216">
      <c r="A216" s="25" t="n"/>
      <c r="B216" s="26" t="n"/>
      <c r="C216" s="27" t="n"/>
      <c r="D216" s="25" t="n"/>
      <c r="E216" s="25" t="n"/>
      <c r="F216" s="27" t="n"/>
      <c r="G216" s="25" t="n"/>
      <c r="H216" s="28">
        <f>IF(OR(NOT(AND($A216&lt;&gt;"",OR($G216="",$G216="Active"))),$F216=""),"",INT((TODAY()-$F216+280)/7)&amp;"+"&amp;MOD(TODAY()-$F216+280,7))</f>
        <v/>
      </c>
      <c r="I216" s="28">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ISNUMBER($Y216)*($Y216&gt;=TODAY())*($Y216&lt;=TODAY()+7))</f>
        <v/>
      </c>
      <c r="J216" s="28">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29">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7" t="n"/>
      <c r="M216" s="27" t="n"/>
      <c r="N216" s="27" t="n"/>
      <c r="O216" s="27" t="n"/>
      <c r="P216" s="27" t="n"/>
      <c r="Q216" s="27" t="n"/>
      <c r="R216" s="27" t="n"/>
      <c r="S216" s="27" t="n"/>
      <c r="T216" s="27" t="n"/>
      <c r="U216" s="27" t="n"/>
      <c r="V216" s="27" t="n"/>
      <c r="W216" s="27" t="n"/>
      <c r="X216" s="27" t="n"/>
      <c r="Y216" s="27" t="n"/>
      <c r="Z216" s="30" t="n"/>
      <c r="AA216" s="25" t="n"/>
      <c r="AB216" s="28">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ISNUMBER($Y216)*($Y216&lt;TODAY()))</f>
        <v/>
      </c>
    </row>
    <row r="217">
      <c r="A217" s="25" t="n"/>
      <c r="B217" s="26" t="n"/>
      <c r="C217" s="27" t="n"/>
      <c r="D217" s="25" t="n"/>
      <c r="E217" s="25" t="n"/>
      <c r="F217" s="27" t="n"/>
      <c r="G217" s="25" t="n"/>
      <c r="H217" s="28">
        <f>IF(OR(NOT(AND($A217&lt;&gt;"",OR($G217="",$G217="Active"))),$F217=""),"",INT((TODAY()-$F217+280)/7)&amp;"+"&amp;MOD(TODAY()-$F217+280,7))</f>
        <v/>
      </c>
      <c r="I217" s="28">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ISNUMBER($Y217)*($Y217&gt;=TODAY())*($Y217&lt;=TODAY()+7))</f>
        <v/>
      </c>
      <c r="J217" s="28">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29">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7" t="n"/>
      <c r="M217" s="27" t="n"/>
      <c r="N217" s="27" t="n"/>
      <c r="O217" s="27" t="n"/>
      <c r="P217" s="27" t="n"/>
      <c r="Q217" s="27" t="n"/>
      <c r="R217" s="27" t="n"/>
      <c r="S217" s="27" t="n"/>
      <c r="T217" s="27" t="n"/>
      <c r="U217" s="27" t="n"/>
      <c r="V217" s="27" t="n"/>
      <c r="W217" s="27" t="n"/>
      <c r="X217" s="27" t="n"/>
      <c r="Y217" s="27" t="n"/>
      <c r="Z217" s="30" t="n"/>
      <c r="AA217" s="25" t="n"/>
      <c r="AB217" s="28">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ISNUMBER($Y217)*($Y217&lt;TODAY()))</f>
        <v/>
      </c>
    </row>
    <row r="218">
      <c r="A218" s="25" t="n"/>
      <c r="B218" s="26" t="n"/>
      <c r="C218" s="27" t="n"/>
      <c r="D218" s="25" t="n"/>
      <c r="E218" s="25" t="n"/>
      <c r="F218" s="27" t="n"/>
      <c r="G218" s="25" t="n"/>
      <c r="H218" s="28">
        <f>IF(OR(NOT(AND($A218&lt;&gt;"",OR($G218="",$G218="Active"))),$F218=""),"",INT((TODAY()-$F218+280)/7)&amp;"+"&amp;MOD(TODAY()-$F218+280,7))</f>
        <v/>
      </c>
      <c r="I218" s="28">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ISNUMBER($Y218)*($Y218&gt;=TODAY())*($Y218&lt;=TODAY()+7))</f>
        <v/>
      </c>
      <c r="J218" s="28">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29">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7" t="n"/>
      <c r="M218" s="27" t="n"/>
      <c r="N218" s="27" t="n"/>
      <c r="O218" s="27" t="n"/>
      <c r="P218" s="27" t="n"/>
      <c r="Q218" s="27" t="n"/>
      <c r="R218" s="27" t="n"/>
      <c r="S218" s="27" t="n"/>
      <c r="T218" s="27" t="n"/>
      <c r="U218" s="27" t="n"/>
      <c r="V218" s="27" t="n"/>
      <c r="W218" s="27" t="n"/>
      <c r="X218" s="27" t="n"/>
      <c r="Y218" s="27" t="n"/>
      <c r="Z218" s="30" t="n"/>
      <c r="AA218" s="25" t="n"/>
      <c r="AB218" s="28">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ISNUMBER($Y218)*($Y218&lt;TODAY()))</f>
        <v/>
      </c>
    </row>
    <row r="219">
      <c r="A219" s="25" t="n"/>
      <c r="B219" s="26" t="n"/>
      <c r="C219" s="27" t="n"/>
      <c r="D219" s="25" t="n"/>
      <c r="E219" s="25" t="n"/>
      <c r="F219" s="27" t="n"/>
      <c r="G219" s="25" t="n"/>
      <c r="H219" s="28">
        <f>IF(OR(NOT(AND($A219&lt;&gt;"",OR($G219="",$G219="Active"))),$F219=""),"",INT((TODAY()-$F219+280)/7)&amp;"+"&amp;MOD(TODAY()-$F219+280,7))</f>
        <v/>
      </c>
      <c r="I219" s="28">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ISNUMBER($Y219)*($Y219&gt;=TODAY())*($Y219&lt;=TODAY()+7))</f>
        <v/>
      </c>
      <c r="J219" s="28">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29">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7" t="n"/>
      <c r="M219" s="27" t="n"/>
      <c r="N219" s="27" t="n"/>
      <c r="O219" s="27" t="n"/>
      <c r="P219" s="27" t="n"/>
      <c r="Q219" s="27" t="n"/>
      <c r="R219" s="27" t="n"/>
      <c r="S219" s="27" t="n"/>
      <c r="T219" s="27" t="n"/>
      <c r="U219" s="27" t="n"/>
      <c r="V219" s="27" t="n"/>
      <c r="W219" s="27" t="n"/>
      <c r="X219" s="27" t="n"/>
      <c r="Y219" s="27" t="n"/>
      <c r="Z219" s="30" t="n"/>
      <c r="AA219" s="25" t="n"/>
      <c r="AB219" s="28">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ISNUMBER($Y219)*($Y219&lt;TODAY()))</f>
        <v/>
      </c>
    </row>
    <row r="220">
      <c r="A220" s="25" t="n"/>
      <c r="B220" s="26" t="n"/>
      <c r="C220" s="27" t="n"/>
      <c r="D220" s="25" t="n"/>
      <c r="E220" s="25" t="n"/>
      <c r="F220" s="27" t="n"/>
      <c r="G220" s="25" t="n"/>
      <c r="H220" s="28">
        <f>IF(OR(NOT(AND($A220&lt;&gt;"",OR($G220="",$G220="Active"))),$F220=""),"",INT((TODAY()-$F220+280)/7)&amp;"+"&amp;MOD(TODAY()-$F220+280,7))</f>
        <v/>
      </c>
      <c r="I220" s="28">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ISNUMBER($Y220)*($Y220&gt;=TODAY())*($Y220&lt;=TODAY()+7))</f>
        <v/>
      </c>
      <c r="J220" s="28">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29">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7" t="n"/>
      <c r="M220" s="27" t="n"/>
      <c r="N220" s="27" t="n"/>
      <c r="O220" s="27" t="n"/>
      <c r="P220" s="27" t="n"/>
      <c r="Q220" s="27" t="n"/>
      <c r="R220" s="27" t="n"/>
      <c r="S220" s="27" t="n"/>
      <c r="T220" s="27" t="n"/>
      <c r="U220" s="27" t="n"/>
      <c r="V220" s="27" t="n"/>
      <c r="W220" s="27" t="n"/>
      <c r="X220" s="27" t="n"/>
      <c r="Y220" s="27" t="n"/>
      <c r="Z220" s="30" t="n"/>
      <c r="AA220" s="25" t="n"/>
      <c r="AB220" s="28">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ISNUMBER($Y220)*($Y220&lt;TODAY()))</f>
        <v/>
      </c>
    </row>
    <row r="221">
      <c r="A221" s="25" t="n"/>
      <c r="B221" s="26" t="n"/>
      <c r="C221" s="27" t="n"/>
      <c r="D221" s="25" t="n"/>
      <c r="E221" s="25" t="n"/>
      <c r="F221" s="27" t="n"/>
      <c r="G221" s="25" t="n"/>
      <c r="H221" s="28">
        <f>IF(OR(NOT(AND($A221&lt;&gt;"",OR($G221="",$G221="Active"))),$F221=""),"",INT((TODAY()-$F221+280)/7)&amp;"+"&amp;MOD(TODAY()-$F221+280,7))</f>
        <v/>
      </c>
      <c r="I221" s="28">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ISNUMBER($Y221)*($Y221&gt;=TODAY())*($Y221&lt;=TODAY()+7))</f>
        <v/>
      </c>
      <c r="J221" s="28">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29">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7" t="n"/>
      <c r="M221" s="27" t="n"/>
      <c r="N221" s="27" t="n"/>
      <c r="O221" s="27" t="n"/>
      <c r="P221" s="27" t="n"/>
      <c r="Q221" s="27" t="n"/>
      <c r="R221" s="27" t="n"/>
      <c r="S221" s="27" t="n"/>
      <c r="T221" s="27" t="n"/>
      <c r="U221" s="27" t="n"/>
      <c r="V221" s="27" t="n"/>
      <c r="W221" s="27" t="n"/>
      <c r="X221" s="27" t="n"/>
      <c r="Y221" s="27" t="n"/>
      <c r="Z221" s="30" t="n"/>
      <c r="AA221" s="25" t="n"/>
      <c r="AB221" s="28">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ISNUMBER($Y221)*($Y221&lt;TODAY()))</f>
        <v/>
      </c>
    </row>
    <row r="222">
      <c r="A222" s="25" t="n"/>
      <c r="B222" s="26" t="n"/>
      <c r="C222" s="27" t="n"/>
      <c r="D222" s="25" t="n"/>
      <c r="E222" s="25" t="n"/>
      <c r="F222" s="27" t="n"/>
      <c r="G222" s="25" t="n"/>
      <c r="H222" s="28">
        <f>IF(OR(NOT(AND($A222&lt;&gt;"",OR($G222="",$G222="Active"))),$F222=""),"",INT((TODAY()-$F222+280)/7)&amp;"+"&amp;MOD(TODAY()-$F222+280,7))</f>
        <v/>
      </c>
      <c r="I222" s="28">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ISNUMBER($Y222)*($Y222&gt;=TODAY())*($Y222&lt;=TODAY()+7))</f>
        <v/>
      </c>
      <c r="J222" s="28">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29">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7" t="n"/>
      <c r="M222" s="27" t="n"/>
      <c r="N222" s="27" t="n"/>
      <c r="O222" s="27" t="n"/>
      <c r="P222" s="27" t="n"/>
      <c r="Q222" s="27" t="n"/>
      <c r="R222" s="27" t="n"/>
      <c r="S222" s="27" t="n"/>
      <c r="T222" s="27" t="n"/>
      <c r="U222" s="27" t="n"/>
      <c r="V222" s="27" t="n"/>
      <c r="W222" s="27" t="n"/>
      <c r="X222" s="27" t="n"/>
      <c r="Y222" s="27" t="n"/>
      <c r="Z222" s="30" t="n"/>
      <c r="AA222" s="25" t="n"/>
      <c r="AB222" s="28">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ISNUMBER($Y222)*($Y222&lt;TODAY()))</f>
        <v/>
      </c>
    </row>
    <row r="223">
      <c r="A223" s="25" t="n"/>
      <c r="B223" s="26" t="n"/>
      <c r="C223" s="27" t="n"/>
      <c r="D223" s="25" t="n"/>
      <c r="E223" s="25" t="n"/>
      <c r="F223" s="27" t="n"/>
      <c r="G223" s="25" t="n"/>
      <c r="H223" s="28">
        <f>IF(OR(NOT(AND($A223&lt;&gt;"",OR($G223="",$G223="Active"))),$F223=""),"",INT((TODAY()-$F223+280)/7)&amp;"+"&amp;MOD(TODAY()-$F223+280,7))</f>
        <v/>
      </c>
      <c r="I223" s="28">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ISNUMBER($Y223)*($Y223&gt;=TODAY())*($Y223&lt;=TODAY()+7))</f>
        <v/>
      </c>
      <c r="J223" s="28">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29">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7" t="n"/>
      <c r="M223" s="27" t="n"/>
      <c r="N223" s="27" t="n"/>
      <c r="O223" s="27" t="n"/>
      <c r="P223" s="27" t="n"/>
      <c r="Q223" s="27" t="n"/>
      <c r="R223" s="27" t="n"/>
      <c r="S223" s="27" t="n"/>
      <c r="T223" s="27" t="n"/>
      <c r="U223" s="27" t="n"/>
      <c r="V223" s="27" t="n"/>
      <c r="W223" s="27" t="n"/>
      <c r="X223" s="27" t="n"/>
      <c r="Y223" s="27" t="n"/>
      <c r="Z223" s="30" t="n"/>
      <c r="AA223" s="25" t="n"/>
      <c r="AB223" s="28">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ISNUMBER($Y223)*($Y223&lt;TODAY()))</f>
        <v/>
      </c>
    </row>
    <row r="224">
      <c r="A224" s="25" t="n"/>
      <c r="B224" s="26" t="n"/>
      <c r="C224" s="27" t="n"/>
      <c r="D224" s="25" t="n"/>
      <c r="E224" s="25" t="n"/>
      <c r="F224" s="27" t="n"/>
      <c r="G224" s="25" t="n"/>
      <c r="H224" s="28">
        <f>IF(OR(NOT(AND($A224&lt;&gt;"",OR($G224="",$G224="Active"))),$F224=""),"",INT((TODAY()-$F224+280)/7)&amp;"+"&amp;MOD(TODAY()-$F224+280,7))</f>
        <v/>
      </c>
      <c r="I224" s="28">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ISNUMBER($Y224)*($Y224&gt;=TODAY())*($Y224&lt;=TODAY()+7))</f>
        <v/>
      </c>
      <c r="J224" s="28">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29">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7" t="n"/>
      <c r="M224" s="27" t="n"/>
      <c r="N224" s="27" t="n"/>
      <c r="O224" s="27" t="n"/>
      <c r="P224" s="27" t="n"/>
      <c r="Q224" s="27" t="n"/>
      <c r="R224" s="27" t="n"/>
      <c r="S224" s="27" t="n"/>
      <c r="T224" s="27" t="n"/>
      <c r="U224" s="27" t="n"/>
      <c r="V224" s="27" t="n"/>
      <c r="W224" s="27" t="n"/>
      <c r="X224" s="27" t="n"/>
      <c r="Y224" s="27" t="n"/>
      <c r="Z224" s="30" t="n"/>
      <c r="AA224" s="25" t="n"/>
      <c r="AB224" s="28">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ISNUMBER($Y224)*($Y224&lt;TODAY()))</f>
        <v/>
      </c>
    </row>
    <row r="225">
      <c r="A225" s="25" t="n"/>
      <c r="B225" s="26" t="n"/>
      <c r="C225" s="27" t="n"/>
      <c r="D225" s="25" t="n"/>
      <c r="E225" s="25" t="n"/>
      <c r="F225" s="27" t="n"/>
      <c r="G225" s="25" t="n"/>
      <c r="H225" s="28">
        <f>IF(OR(NOT(AND($A225&lt;&gt;"",OR($G225="",$G225="Active"))),$F225=""),"",INT((TODAY()-$F225+280)/7)&amp;"+"&amp;MOD(TODAY()-$F225+280,7))</f>
        <v/>
      </c>
      <c r="I225" s="28">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ISNUMBER($Y225)*($Y225&gt;=TODAY())*($Y225&lt;=TODAY()+7))</f>
        <v/>
      </c>
      <c r="J225" s="28">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29">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7" t="n"/>
      <c r="M225" s="27" t="n"/>
      <c r="N225" s="27" t="n"/>
      <c r="O225" s="27" t="n"/>
      <c r="P225" s="27" t="n"/>
      <c r="Q225" s="27" t="n"/>
      <c r="R225" s="27" t="n"/>
      <c r="S225" s="27" t="n"/>
      <c r="T225" s="27" t="n"/>
      <c r="U225" s="27" t="n"/>
      <c r="V225" s="27" t="n"/>
      <c r="W225" s="27" t="n"/>
      <c r="X225" s="27" t="n"/>
      <c r="Y225" s="27" t="n"/>
      <c r="Z225" s="30" t="n"/>
      <c r="AA225" s="25" t="n"/>
      <c r="AB225" s="28">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ISNUMBER($Y225)*($Y225&lt;TODAY()))</f>
        <v/>
      </c>
    </row>
    <row r="226">
      <c r="A226" s="25" t="n"/>
      <c r="B226" s="26" t="n"/>
      <c r="C226" s="27" t="n"/>
      <c r="D226" s="25" t="n"/>
      <c r="E226" s="25" t="n"/>
      <c r="F226" s="27" t="n"/>
      <c r="G226" s="25" t="n"/>
      <c r="H226" s="28">
        <f>IF(OR(NOT(AND($A226&lt;&gt;"",OR($G226="",$G226="Active"))),$F226=""),"",INT((TODAY()-$F226+280)/7)&amp;"+"&amp;MOD(TODAY()-$F226+280,7))</f>
        <v/>
      </c>
      <c r="I226" s="28">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ISNUMBER($Y226)*($Y226&gt;=TODAY())*($Y226&lt;=TODAY()+7))</f>
        <v/>
      </c>
      <c r="J226" s="28">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29">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7" t="n"/>
      <c r="M226" s="27" t="n"/>
      <c r="N226" s="27" t="n"/>
      <c r="O226" s="27" t="n"/>
      <c r="P226" s="27" t="n"/>
      <c r="Q226" s="27" t="n"/>
      <c r="R226" s="27" t="n"/>
      <c r="S226" s="27" t="n"/>
      <c r="T226" s="27" t="n"/>
      <c r="U226" s="27" t="n"/>
      <c r="V226" s="27" t="n"/>
      <c r="W226" s="27" t="n"/>
      <c r="X226" s="27" t="n"/>
      <c r="Y226" s="27" t="n"/>
      <c r="Z226" s="30" t="n"/>
      <c r="AA226" s="25" t="n"/>
      <c r="AB226" s="28">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ISNUMBER($Y226)*($Y226&lt;TODAY()))</f>
        <v/>
      </c>
    </row>
    <row r="227">
      <c r="A227" s="25" t="n"/>
      <c r="B227" s="26" t="n"/>
      <c r="C227" s="27" t="n"/>
      <c r="D227" s="25" t="n"/>
      <c r="E227" s="25" t="n"/>
      <c r="F227" s="27" t="n"/>
      <c r="G227" s="25" t="n"/>
      <c r="H227" s="28">
        <f>IF(OR(NOT(AND($A227&lt;&gt;"",OR($G227="",$G227="Active"))),$F227=""),"",INT((TODAY()-$F227+280)/7)&amp;"+"&amp;MOD(TODAY()-$F227+280,7))</f>
        <v/>
      </c>
      <c r="I227" s="28">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ISNUMBER($Y227)*($Y227&gt;=TODAY())*($Y227&lt;=TODAY()+7))</f>
        <v/>
      </c>
      <c r="J227" s="28">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29">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7" t="n"/>
      <c r="M227" s="27" t="n"/>
      <c r="N227" s="27" t="n"/>
      <c r="O227" s="27" t="n"/>
      <c r="P227" s="27" t="n"/>
      <c r="Q227" s="27" t="n"/>
      <c r="R227" s="27" t="n"/>
      <c r="S227" s="27" t="n"/>
      <c r="T227" s="27" t="n"/>
      <c r="U227" s="27" t="n"/>
      <c r="V227" s="27" t="n"/>
      <c r="W227" s="27" t="n"/>
      <c r="X227" s="27" t="n"/>
      <c r="Y227" s="27" t="n"/>
      <c r="Z227" s="30" t="n"/>
      <c r="AA227" s="25" t="n"/>
      <c r="AB227" s="28">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ISNUMBER($Y227)*($Y227&lt;TODAY()))</f>
        <v/>
      </c>
    </row>
    <row r="228">
      <c r="A228" s="25" t="n"/>
      <c r="B228" s="26" t="n"/>
      <c r="C228" s="27" t="n"/>
      <c r="D228" s="25" t="n"/>
      <c r="E228" s="25" t="n"/>
      <c r="F228" s="27" t="n"/>
      <c r="G228" s="25" t="n"/>
      <c r="H228" s="28">
        <f>IF(OR(NOT(AND($A228&lt;&gt;"",OR($G228="",$G228="Active"))),$F228=""),"",INT((TODAY()-$F228+280)/7)&amp;"+"&amp;MOD(TODAY()-$F228+280,7))</f>
        <v/>
      </c>
      <c r="I228" s="28">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ISNUMBER($Y228)*($Y228&gt;=TODAY())*($Y228&lt;=TODAY()+7))</f>
        <v/>
      </c>
      <c r="J228" s="28">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29">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7" t="n"/>
      <c r="M228" s="27" t="n"/>
      <c r="N228" s="27" t="n"/>
      <c r="O228" s="27" t="n"/>
      <c r="P228" s="27" t="n"/>
      <c r="Q228" s="27" t="n"/>
      <c r="R228" s="27" t="n"/>
      <c r="S228" s="27" t="n"/>
      <c r="T228" s="27" t="n"/>
      <c r="U228" s="27" t="n"/>
      <c r="V228" s="27" t="n"/>
      <c r="W228" s="27" t="n"/>
      <c r="X228" s="27" t="n"/>
      <c r="Y228" s="27" t="n"/>
      <c r="Z228" s="30" t="n"/>
      <c r="AA228" s="25" t="n"/>
      <c r="AB228" s="28">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ISNUMBER($Y228)*($Y228&lt;TODAY()))</f>
        <v/>
      </c>
    </row>
    <row r="229">
      <c r="A229" s="25" t="n"/>
      <c r="B229" s="26" t="n"/>
      <c r="C229" s="27" t="n"/>
      <c r="D229" s="25" t="n"/>
      <c r="E229" s="25" t="n"/>
      <c r="F229" s="27" t="n"/>
      <c r="G229" s="25" t="n"/>
      <c r="H229" s="28">
        <f>IF(OR(NOT(AND($A229&lt;&gt;"",OR($G229="",$G229="Active"))),$F229=""),"",INT((TODAY()-$F229+280)/7)&amp;"+"&amp;MOD(TODAY()-$F229+280,7))</f>
        <v/>
      </c>
      <c r="I229" s="28">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ISNUMBER($Y229)*($Y229&gt;=TODAY())*($Y229&lt;=TODAY()+7))</f>
        <v/>
      </c>
      <c r="J229" s="28">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29">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7" t="n"/>
      <c r="M229" s="27" t="n"/>
      <c r="N229" s="27" t="n"/>
      <c r="O229" s="27" t="n"/>
      <c r="P229" s="27" t="n"/>
      <c r="Q229" s="27" t="n"/>
      <c r="R229" s="27" t="n"/>
      <c r="S229" s="27" t="n"/>
      <c r="T229" s="27" t="n"/>
      <c r="U229" s="27" t="n"/>
      <c r="V229" s="27" t="n"/>
      <c r="W229" s="27" t="n"/>
      <c r="X229" s="27" t="n"/>
      <c r="Y229" s="27" t="n"/>
      <c r="Z229" s="30" t="n"/>
      <c r="AA229" s="25" t="n"/>
      <c r="AB229" s="28">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ISNUMBER($Y229)*($Y229&lt;TODAY()))</f>
        <v/>
      </c>
    </row>
    <row r="230">
      <c r="A230" s="25" t="n"/>
      <c r="B230" s="26" t="n"/>
      <c r="C230" s="27" t="n"/>
      <c r="D230" s="25" t="n"/>
      <c r="E230" s="25" t="n"/>
      <c r="F230" s="27" t="n"/>
      <c r="G230" s="25" t="n"/>
      <c r="H230" s="28">
        <f>IF(OR(NOT(AND($A230&lt;&gt;"",OR($G230="",$G230="Active"))),$F230=""),"",INT((TODAY()-$F230+280)/7)&amp;"+"&amp;MOD(TODAY()-$F230+280,7))</f>
        <v/>
      </c>
      <c r="I230" s="28">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ISNUMBER($Y230)*($Y230&gt;=TODAY())*($Y230&lt;=TODAY()+7))</f>
        <v/>
      </c>
      <c r="J230" s="28">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29">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7" t="n"/>
      <c r="M230" s="27" t="n"/>
      <c r="N230" s="27" t="n"/>
      <c r="O230" s="27" t="n"/>
      <c r="P230" s="27" t="n"/>
      <c r="Q230" s="27" t="n"/>
      <c r="R230" s="27" t="n"/>
      <c r="S230" s="27" t="n"/>
      <c r="T230" s="27" t="n"/>
      <c r="U230" s="27" t="n"/>
      <c r="V230" s="27" t="n"/>
      <c r="W230" s="27" t="n"/>
      <c r="X230" s="27" t="n"/>
      <c r="Y230" s="27" t="n"/>
      <c r="Z230" s="30" t="n"/>
      <c r="AA230" s="25" t="n"/>
      <c r="AB230" s="28">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ISNUMBER($Y230)*($Y230&lt;TODAY()))</f>
        <v/>
      </c>
    </row>
    <row r="231">
      <c r="A231" s="25" t="n"/>
      <c r="B231" s="26" t="n"/>
      <c r="C231" s="27" t="n"/>
      <c r="D231" s="25" t="n"/>
      <c r="E231" s="25" t="n"/>
      <c r="F231" s="27" t="n"/>
      <c r="G231" s="25" t="n"/>
      <c r="H231" s="28">
        <f>IF(OR(NOT(AND($A231&lt;&gt;"",OR($G231="",$G231="Active"))),$F231=""),"",INT((TODAY()-$F231+280)/7)&amp;"+"&amp;MOD(TODAY()-$F231+280,7))</f>
        <v/>
      </c>
      <c r="I231" s="28">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ISNUMBER($Y231)*($Y231&gt;=TODAY())*($Y231&lt;=TODAY()+7))</f>
        <v/>
      </c>
      <c r="J231" s="28">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29">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7" t="n"/>
      <c r="M231" s="27" t="n"/>
      <c r="N231" s="27" t="n"/>
      <c r="O231" s="27" t="n"/>
      <c r="P231" s="27" t="n"/>
      <c r="Q231" s="27" t="n"/>
      <c r="R231" s="27" t="n"/>
      <c r="S231" s="27" t="n"/>
      <c r="T231" s="27" t="n"/>
      <c r="U231" s="27" t="n"/>
      <c r="V231" s="27" t="n"/>
      <c r="W231" s="27" t="n"/>
      <c r="X231" s="27" t="n"/>
      <c r="Y231" s="27" t="n"/>
      <c r="Z231" s="30" t="n"/>
      <c r="AA231" s="25" t="n"/>
      <c r="AB231" s="28">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ISNUMBER($Y231)*($Y231&lt;TODAY()))</f>
        <v/>
      </c>
    </row>
    <row r="232">
      <c r="A232" s="25" t="n"/>
      <c r="B232" s="26" t="n"/>
      <c r="C232" s="27" t="n"/>
      <c r="D232" s="25" t="n"/>
      <c r="E232" s="25" t="n"/>
      <c r="F232" s="27" t="n"/>
      <c r="G232" s="25" t="n"/>
      <c r="H232" s="28">
        <f>IF(OR(NOT(AND($A232&lt;&gt;"",OR($G232="",$G232="Active"))),$F232=""),"",INT((TODAY()-$F232+280)/7)&amp;"+"&amp;MOD(TODAY()-$F232+280,7))</f>
        <v/>
      </c>
      <c r="I232" s="28">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ISNUMBER($Y232)*($Y232&gt;=TODAY())*($Y232&lt;=TODAY()+7))</f>
        <v/>
      </c>
      <c r="J232" s="28">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29">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7" t="n"/>
      <c r="M232" s="27" t="n"/>
      <c r="N232" s="27" t="n"/>
      <c r="O232" s="27" t="n"/>
      <c r="P232" s="27" t="n"/>
      <c r="Q232" s="27" t="n"/>
      <c r="R232" s="27" t="n"/>
      <c r="S232" s="27" t="n"/>
      <c r="T232" s="27" t="n"/>
      <c r="U232" s="27" t="n"/>
      <c r="V232" s="27" t="n"/>
      <c r="W232" s="27" t="n"/>
      <c r="X232" s="27" t="n"/>
      <c r="Y232" s="27" t="n"/>
      <c r="Z232" s="30" t="n"/>
      <c r="AA232" s="25" t="n"/>
      <c r="AB232" s="28">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ISNUMBER($Y232)*($Y232&lt;TODAY()))</f>
        <v/>
      </c>
    </row>
    <row r="233">
      <c r="A233" s="25" t="n"/>
      <c r="B233" s="26" t="n"/>
      <c r="C233" s="27" t="n"/>
      <c r="D233" s="25" t="n"/>
      <c r="E233" s="25" t="n"/>
      <c r="F233" s="27" t="n"/>
      <c r="G233" s="25" t="n"/>
      <c r="H233" s="28">
        <f>IF(OR(NOT(AND($A233&lt;&gt;"",OR($G233="",$G233="Active"))),$F233=""),"",INT((TODAY()-$F233+280)/7)&amp;"+"&amp;MOD(TODAY()-$F233+280,7))</f>
        <v/>
      </c>
      <c r="I233" s="28">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ISNUMBER($Y233)*($Y233&gt;=TODAY())*($Y233&lt;=TODAY()+7))</f>
        <v/>
      </c>
      <c r="J233" s="28">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29">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7" t="n"/>
      <c r="M233" s="27" t="n"/>
      <c r="N233" s="27" t="n"/>
      <c r="O233" s="27" t="n"/>
      <c r="P233" s="27" t="n"/>
      <c r="Q233" s="27" t="n"/>
      <c r="R233" s="27" t="n"/>
      <c r="S233" s="27" t="n"/>
      <c r="T233" s="27" t="n"/>
      <c r="U233" s="27" t="n"/>
      <c r="V233" s="27" t="n"/>
      <c r="W233" s="27" t="n"/>
      <c r="X233" s="27" t="n"/>
      <c r="Y233" s="27" t="n"/>
      <c r="Z233" s="30" t="n"/>
      <c r="AA233" s="25" t="n"/>
      <c r="AB233" s="28">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ISNUMBER($Y233)*($Y233&lt;TODAY()))</f>
        <v/>
      </c>
    </row>
    <row r="234">
      <c r="A234" s="25" t="n"/>
      <c r="B234" s="26" t="n"/>
      <c r="C234" s="27" t="n"/>
      <c r="D234" s="25" t="n"/>
      <c r="E234" s="25" t="n"/>
      <c r="F234" s="27" t="n"/>
      <c r="G234" s="25" t="n"/>
      <c r="H234" s="28">
        <f>IF(OR(NOT(AND($A234&lt;&gt;"",OR($G234="",$G234="Active"))),$F234=""),"",INT((TODAY()-$F234+280)/7)&amp;"+"&amp;MOD(TODAY()-$F234+280,7))</f>
        <v/>
      </c>
      <c r="I234" s="28">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ISNUMBER($Y234)*($Y234&gt;=TODAY())*($Y234&lt;=TODAY()+7))</f>
        <v/>
      </c>
      <c r="J234" s="28">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29">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7" t="n"/>
      <c r="M234" s="27" t="n"/>
      <c r="N234" s="27" t="n"/>
      <c r="O234" s="27" t="n"/>
      <c r="P234" s="27" t="n"/>
      <c r="Q234" s="27" t="n"/>
      <c r="R234" s="27" t="n"/>
      <c r="S234" s="27" t="n"/>
      <c r="T234" s="27" t="n"/>
      <c r="U234" s="27" t="n"/>
      <c r="V234" s="27" t="n"/>
      <c r="W234" s="27" t="n"/>
      <c r="X234" s="27" t="n"/>
      <c r="Y234" s="27" t="n"/>
      <c r="Z234" s="30" t="n"/>
      <c r="AA234" s="25" t="n"/>
      <c r="AB234" s="28">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ISNUMBER($Y234)*($Y234&lt;TODAY()))</f>
        <v/>
      </c>
    </row>
    <row r="235">
      <c r="A235" s="25" t="n"/>
      <c r="B235" s="26" t="n"/>
      <c r="C235" s="27" t="n"/>
      <c r="D235" s="25" t="n"/>
      <c r="E235" s="25" t="n"/>
      <c r="F235" s="27" t="n"/>
      <c r="G235" s="25" t="n"/>
      <c r="H235" s="28">
        <f>IF(OR(NOT(AND($A235&lt;&gt;"",OR($G235="",$G235="Active"))),$F235=""),"",INT((TODAY()-$F235+280)/7)&amp;"+"&amp;MOD(TODAY()-$F235+280,7))</f>
        <v/>
      </c>
      <c r="I235" s="28">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ISNUMBER($Y235)*($Y235&gt;=TODAY())*($Y235&lt;=TODAY()+7))</f>
        <v/>
      </c>
      <c r="J235" s="28">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29">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7" t="n"/>
      <c r="M235" s="27" t="n"/>
      <c r="N235" s="27" t="n"/>
      <c r="O235" s="27" t="n"/>
      <c r="P235" s="27" t="n"/>
      <c r="Q235" s="27" t="n"/>
      <c r="R235" s="27" t="n"/>
      <c r="S235" s="27" t="n"/>
      <c r="T235" s="27" t="n"/>
      <c r="U235" s="27" t="n"/>
      <c r="V235" s="27" t="n"/>
      <c r="W235" s="27" t="n"/>
      <c r="X235" s="27" t="n"/>
      <c r="Y235" s="27" t="n"/>
      <c r="Z235" s="30" t="n"/>
      <c r="AA235" s="25" t="n"/>
      <c r="AB235" s="28">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ISNUMBER($Y235)*($Y235&lt;TODAY()))</f>
        <v/>
      </c>
    </row>
    <row r="236">
      <c r="A236" s="25" t="n"/>
      <c r="B236" s="26" t="n"/>
      <c r="C236" s="27" t="n"/>
      <c r="D236" s="25" t="n"/>
      <c r="E236" s="25" t="n"/>
      <c r="F236" s="27" t="n"/>
      <c r="G236" s="25" t="n"/>
      <c r="H236" s="28">
        <f>IF(OR(NOT(AND($A236&lt;&gt;"",OR($G236="",$G236="Active"))),$F236=""),"",INT((TODAY()-$F236+280)/7)&amp;"+"&amp;MOD(TODAY()-$F236+280,7))</f>
        <v/>
      </c>
      <c r="I236" s="28">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ISNUMBER($Y236)*($Y236&gt;=TODAY())*($Y236&lt;=TODAY()+7))</f>
        <v/>
      </c>
      <c r="J236" s="28">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29">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7" t="n"/>
      <c r="M236" s="27" t="n"/>
      <c r="N236" s="27" t="n"/>
      <c r="O236" s="27" t="n"/>
      <c r="P236" s="27" t="n"/>
      <c r="Q236" s="27" t="n"/>
      <c r="R236" s="27" t="n"/>
      <c r="S236" s="27" t="n"/>
      <c r="T236" s="27" t="n"/>
      <c r="U236" s="27" t="n"/>
      <c r="V236" s="27" t="n"/>
      <c r="W236" s="27" t="n"/>
      <c r="X236" s="27" t="n"/>
      <c r="Y236" s="27" t="n"/>
      <c r="Z236" s="30" t="n"/>
      <c r="AA236" s="25" t="n"/>
      <c r="AB236" s="28">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ISNUMBER($Y236)*($Y236&lt;TODAY()))</f>
        <v/>
      </c>
    </row>
    <row r="237">
      <c r="A237" s="25" t="n"/>
      <c r="B237" s="26" t="n"/>
      <c r="C237" s="27" t="n"/>
      <c r="D237" s="25" t="n"/>
      <c r="E237" s="25" t="n"/>
      <c r="F237" s="27" t="n"/>
      <c r="G237" s="25" t="n"/>
      <c r="H237" s="28">
        <f>IF(OR(NOT(AND($A237&lt;&gt;"",OR($G237="",$G237="Active"))),$F237=""),"",INT((TODAY()-$F237+280)/7)&amp;"+"&amp;MOD(TODAY()-$F237+280,7))</f>
        <v/>
      </c>
      <c r="I237" s="28">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ISNUMBER($Y237)*($Y237&gt;=TODAY())*($Y237&lt;=TODAY()+7))</f>
        <v/>
      </c>
      <c r="J237" s="28">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29">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7" t="n"/>
      <c r="M237" s="27" t="n"/>
      <c r="N237" s="27" t="n"/>
      <c r="O237" s="27" t="n"/>
      <c r="P237" s="27" t="n"/>
      <c r="Q237" s="27" t="n"/>
      <c r="R237" s="27" t="n"/>
      <c r="S237" s="27" t="n"/>
      <c r="T237" s="27" t="n"/>
      <c r="U237" s="27" t="n"/>
      <c r="V237" s="27" t="n"/>
      <c r="W237" s="27" t="n"/>
      <c r="X237" s="27" t="n"/>
      <c r="Y237" s="27" t="n"/>
      <c r="Z237" s="30" t="n"/>
      <c r="AA237" s="25" t="n"/>
      <c r="AB237" s="28">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ISNUMBER($Y237)*($Y237&lt;TODAY()))</f>
        <v/>
      </c>
    </row>
    <row r="238">
      <c r="A238" s="25" t="n"/>
      <c r="B238" s="26" t="n"/>
      <c r="C238" s="27" t="n"/>
      <c r="D238" s="25" t="n"/>
      <c r="E238" s="25" t="n"/>
      <c r="F238" s="27" t="n"/>
      <c r="G238" s="25" t="n"/>
      <c r="H238" s="28">
        <f>IF(OR(NOT(AND($A238&lt;&gt;"",OR($G238="",$G238="Active"))),$F238=""),"",INT((TODAY()-$F238+280)/7)&amp;"+"&amp;MOD(TODAY()-$F238+280,7))</f>
        <v/>
      </c>
      <c r="I238" s="28">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ISNUMBER($Y238)*($Y238&gt;=TODAY())*($Y238&lt;=TODAY()+7))</f>
        <v/>
      </c>
      <c r="J238" s="28">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29">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7" t="n"/>
      <c r="M238" s="27" t="n"/>
      <c r="N238" s="27" t="n"/>
      <c r="O238" s="27" t="n"/>
      <c r="P238" s="27" t="n"/>
      <c r="Q238" s="27" t="n"/>
      <c r="R238" s="27" t="n"/>
      <c r="S238" s="27" t="n"/>
      <c r="T238" s="27" t="n"/>
      <c r="U238" s="27" t="n"/>
      <c r="V238" s="27" t="n"/>
      <c r="W238" s="27" t="n"/>
      <c r="X238" s="27" t="n"/>
      <c r="Y238" s="27" t="n"/>
      <c r="Z238" s="30" t="n"/>
      <c r="AA238" s="25" t="n"/>
      <c r="AB238" s="28">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ISNUMBER($Y238)*($Y238&lt;TODAY()))</f>
        <v/>
      </c>
    </row>
    <row r="239">
      <c r="A239" s="25" t="n"/>
      <c r="B239" s="26" t="n"/>
      <c r="C239" s="27" t="n"/>
      <c r="D239" s="25" t="n"/>
      <c r="E239" s="25" t="n"/>
      <c r="F239" s="27" t="n"/>
      <c r="G239" s="25" t="n"/>
      <c r="H239" s="28">
        <f>IF(OR(NOT(AND($A239&lt;&gt;"",OR($G239="",$G239="Active"))),$F239=""),"",INT((TODAY()-$F239+280)/7)&amp;"+"&amp;MOD(TODAY()-$F239+280,7))</f>
        <v/>
      </c>
      <c r="I239" s="28">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ISNUMBER($Y239)*($Y239&gt;=TODAY())*($Y239&lt;=TODAY()+7))</f>
        <v/>
      </c>
      <c r="J239" s="28">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29">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7" t="n"/>
      <c r="M239" s="27" t="n"/>
      <c r="N239" s="27" t="n"/>
      <c r="O239" s="27" t="n"/>
      <c r="P239" s="27" t="n"/>
      <c r="Q239" s="27" t="n"/>
      <c r="R239" s="27" t="n"/>
      <c r="S239" s="27" t="n"/>
      <c r="T239" s="27" t="n"/>
      <c r="U239" s="27" t="n"/>
      <c r="V239" s="27" t="n"/>
      <c r="W239" s="27" t="n"/>
      <c r="X239" s="27" t="n"/>
      <c r="Y239" s="27" t="n"/>
      <c r="Z239" s="30" t="n"/>
      <c r="AA239" s="25" t="n"/>
      <c r="AB239" s="28">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ISNUMBER($Y239)*($Y239&lt;TODAY()))</f>
        <v/>
      </c>
    </row>
    <row r="240">
      <c r="A240" s="25" t="n"/>
      <c r="B240" s="26" t="n"/>
      <c r="C240" s="27" t="n"/>
      <c r="D240" s="25" t="n"/>
      <c r="E240" s="25" t="n"/>
      <c r="F240" s="27" t="n"/>
      <c r="G240" s="25" t="n"/>
      <c r="H240" s="28">
        <f>IF(OR(NOT(AND($A240&lt;&gt;"",OR($G240="",$G240="Active"))),$F240=""),"",INT((TODAY()-$F240+280)/7)&amp;"+"&amp;MOD(TODAY()-$F240+280,7))</f>
        <v/>
      </c>
      <c r="I240" s="28">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ISNUMBER($Y240)*($Y240&gt;=TODAY())*($Y240&lt;=TODAY()+7))</f>
        <v/>
      </c>
      <c r="J240" s="28">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29">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7" t="n"/>
      <c r="M240" s="27" t="n"/>
      <c r="N240" s="27" t="n"/>
      <c r="O240" s="27" t="n"/>
      <c r="P240" s="27" t="n"/>
      <c r="Q240" s="27" t="n"/>
      <c r="R240" s="27" t="n"/>
      <c r="S240" s="27" t="n"/>
      <c r="T240" s="27" t="n"/>
      <c r="U240" s="27" t="n"/>
      <c r="V240" s="27" t="n"/>
      <c r="W240" s="27" t="n"/>
      <c r="X240" s="27" t="n"/>
      <c r="Y240" s="27" t="n"/>
      <c r="Z240" s="30" t="n"/>
      <c r="AA240" s="25" t="n"/>
      <c r="AB240" s="28">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ISNUMBER($Y240)*($Y240&lt;TODAY()))</f>
        <v/>
      </c>
    </row>
    <row r="241">
      <c r="A241" s="25" t="n"/>
      <c r="B241" s="26" t="n"/>
      <c r="C241" s="27" t="n"/>
      <c r="D241" s="25" t="n"/>
      <c r="E241" s="25" t="n"/>
      <c r="F241" s="27" t="n"/>
      <c r="G241" s="25" t="n"/>
      <c r="H241" s="28">
        <f>IF(OR(NOT(AND($A241&lt;&gt;"",OR($G241="",$G241="Active"))),$F241=""),"",INT((TODAY()-$F241+280)/7)&amp;"+"&amp;MOD(TODAY()-$F241+280,7))</f>
        <v/>
      </c>
      <c r="I241" s="28">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ISNUMBER($Y241)*($Y241&gt;=TODAY())*($Y241&lt;=TODAY()+7))</f>
        <v/>
      </c>
      <c r="J241" s="28">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29">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7" t="n"/>
      <c r="M241" s="27" t="n"/>
      <c r="N241" s="27" t="n"/>
      <c r="O241" s="27" t="n"/>
      <c r="P241" s="27" t="n"/>
      <c r="Q241" s="27" t="n"/>
      <c r="R241" s="27" t="n"/>
      <c r="S241" s="27" t="n"/>
      <c r="T241" s="27" t="n"/>
      <c r="U241" s="27" t="n"/>
      <c r="V241" s="27" t="n"/>
      <c r="W241" s="27" t="n"/>
      <c r="X241" s="27" t="n"/>
      <c r="Y241" s="27" t="n"/>
      <c r="Z241" s="30" t="n"/>
      <c r="AA241" s="25" t="n"/>
      <c r="AB241" s="28">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ISNUMBER($Y241)*($Y241&lt;TODAY()))</f>
        <v/>
      </c>
    </row>
    <row r="242">
      <c r="A242" s="25" t="n"/>
      <c r="B242" s="26" t="n"/>
      <c r="C242" s="27" t="n"/>
      <c r="D242" s="25" t="n"/>
      <c r="E242" s="25" t="n"/>
      <c r="F242" s="27" t="n"/>
      <c r="G242" s="25" t="n"/>
      <c r="H242" s="28">
        <f>IF(OR(NOT(AND($A242&lt;&gt;"",OR($G242="",$G242="Active"))),$F242=""),"",INT((TODAY()-$F242+280)/7)&amp;"+"&amp;MOD(TODAY()-$F242+280,7))</f>
        <v/>
      </c>
      <c r="I242" s="28">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ISNUMBER($Y242)*($Y242&gt;=TODAY())*($Y242&lt;=TODAY()+7))</f>
        <v/>
      </c>
      <c r="J242" s="28">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29">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7" t="n"/>
      <c r="M242" s="27" t="n"/>
      <c r="N242" s="27" t="n"/>
      <c r="O242" s="27" t="n"/>
      <c r="P242" s="27" t="n"/>
      <c r="Q242" s="27" t="n"/>
      <c r="R242" s="27" t="n"/>
      <c r="S242" s="27" t="n"/>
      <c r="T242" s="27" t="n"/>
      <c r="U242" s="27" t="n"/>
      <c r="V242" s="27" t="n"/>
      <c r="W242" s="27" t="n"/>
      <c r="X242" s="27" t="n"/>
      <c r="Y242" s="27" t="n"/>
      <c r="Z242" s="30" t="n"/>
      <c r="AA242" s="25" t="n"/>
      <c r="AB242" s="28">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ISNUMBER($Y242)*($Y242&lt;TODAY()))</f>
        <v/>
      </c>
    </row>
    <row r="243">
      <c r="A243" s="25" t="n"/>
      <c r="B243" s="26" t="n"/>
      <c r="C243" s="27" t="n"/>
      <c r="D243" s="25" t="n"/>
      <c r="E243" s="25" t="n"/>
      <c r="F243" s="27" t="n"/>
      <c r="G243" s="25" t="n"/>
      <c r="H243" s="28">
        <f>IF(OR(NOT(AND($A243&lt;&gt;"",OR($G243="",$G243="Active"))),$F243=""),"",INT((TODAY()-$F243+280)/7)&amp;"+"&amp;MOD(TODAY()-$F243+280,7))</f>
        <v/>
      </c>
      <c r="I243" s="28">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ISNUMBER($Y243)*($Y243&gt;=TODAY())*($Y243&lt;=TODAY()+7))</f>
        <v/>
      </c>
      <c r="J243" s="28">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29">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7" t="n"/>
      <c r="M243" s="27" t="n"/>
      <c r="N243" s="27" t="n"/>
      <c r="O243" s="27" t="n"/>
      <c r="P243" s="27" t="n"/>
      <c r="Q243" s="27" t="n"/>
      <c r="R243" s="27" t="n"/>
      <c r="S243" s="27" t="n"/>
      <c r="T243" s="27" t="n"/>
      <c r="U243" s="27" t="n"/>
      <c r="V243" s="27" t="n"/>
      <c r="W243" s="27" t="n"/>
      <c r="X243" s="27" t="n"/>
      <c r="Y243" s="27" t="n"/>
      <c r="Z243" s="30" t="n"/>
      <c r="AA243" s="25" t="n"/>
      <c r="AB243" s="28">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ISNUMBER($Y243)*($Y243&lt;TODAY()))</f>
        <v/>
      </c>
    </row>
    <row r="244">
      <c r="A244" s="25" t="n"/>
      <c r="B244" s="26" t="n"/>
      <c r="C244" s="27" t="n"/>
      <c r="D244" s="25" t="n"/>
      <c r="E244" s="25" t="n"/>
      <c r="F244" s="27" t="n"/>
      <c r="G244" s="25" t="n"/>
      <c r="H244" s="28">
        <f>IF(OR(NOT(AND($A244&lt;&gt;"",OR($G244="",$G244="Active"))),$F244=""),"",INT((TODAY()-$F244+280)/7)&amp;"+"&amp;MOD(TODAY()-$F244+280,7))</f>
        <v/>
      </c>
      <c r="I244" s="28">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ISNUMBER($Y244)*($Y244&gt;=TODAY())*($Y244&lt;=TODAY()+7))</f>
        <v/>
      </c>
      <c r="J244" s="28">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29">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7" t="n"/>
      <c r="M244" s="27" t="n"/>
      <c r="N244" s="27" t="n"/>
      <c r="O244" s="27" t="n"/>
      <c r="P244" s="27" t="n"/>
      <c r="Q244" s="27" t="n"/>
      <c r="R244" s="27" t="n"/>
      <c r="S244" s="27" t="n"/>
      <c r="T244" s="27" t="n"/>
      <c r="U244" s="27" t="n"/>
      <c r="V244" s="27" t="n"/>
      <c r="W244" s="27" t="n"/>
      <c r="X244" s="27" t="n"/>
      <c r="Y244" s="27" t="n"/>
      <c r="Z244" s="30" t="n"/>
      <c r="AA244" s="25" t="n"/>
      <c r="AB244" s="28">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ISNUMBER($Y244)*($Y244&lt;TODAY()))</f>
        <v/>
      </c>
    </row>
    <row r="245">
      <c r="A245" s="25" t="n"/>
      <c r="B245" s="26" t="n"/>
      <c r="C245" s="27" t="n"/>
      <c r="D245" s="25" t="n"/>
      <c r="E245" s="25" t="n"/>
      <c r="F245" s="27" t="n"/>
      <c r="G245" s="25" t="n"/>
      <c r="H245" s="28">
        <f>IF(OR(NOT(AND($A245&lt;&gt;"",OR($G245="",$G245="Active"))),$F245=""),"",INT((TODAY()-$F245+280)/7)&amp;"+"&amp;MOD(TODAY()-$F245+280,7))</f>
        <v/>
      </c>
      <c r="I245" s="28">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ISNUMBER($Y245)*($Y245&gt;=TODAY())*($Y245&lt;=TODAY()+7))</f>
        <v/>
      </c>
      <c r="J245" s="28">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29">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7" t="n"/>
      <c r="M245" s="27" t="n"/>
      <c r="N245" s="27" t="n"/>
      <c r="O245" s="27" t="n"/>
      <c r="P245" s="27" t="n"/>
      <c r="Q245" s="27" t="n"/>
      <c r="R245" s="27" t="n"/>
      <c r="S245" s="27" t="n"/>
      <c r="T245" s="27" t="n"/>
      <c r="U245" s="27" t="n"/>
      <c r="V245" s="27" t="n"/>
      <c r="W245" s="27" t="n"/>
      <c r="X245" s="27" t="n"/>
      <c r="Y245" s="27" t="n"/>
      <c r="Z245" s="30" t="n"/>
      <c r="AA245" s="25" t="n"/>
      <c r="AB245" s="28">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ISNUMBER($Y245)*($Y245&lt;TODAY()))</f>
        <v/>
      </c>
    </row>
    <row r="246">
      <c r="A246" s="25" t="n"/>
      <c r="B246" s="26" t="n"/>
      <c r="C246" s="27" t="n"/>
      <c r="D246" s="25" t="n"/>
      <c r="E246" s="25" t="n"/>
      <c r="F246" s="27" t="n"/>
      <c r="G246" s="25" t="n"/>
      <c r="H246" s="28">
        <f>IF(OR(NOT(AND($A246&lt;&gt;"",OR($G246="",$G246="Active"))),$F246=""),"",INT((TODAY()-$F246+280)/7)&amp;"+"&amp;MOD(TODAY()-$F246+280,7))</f>
        <v/>
      </c>
      <c r="I246" s="28">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ISNUMBER($Y246)*($Y246&gt;=TODAY())*($Y246&lt;=TODAY()+7))</f>
        <v/>
      </c>
      <c r="J246" s="28">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29">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7" t="n"/>
      <c r="M246" s="27" t="n"/>
      <c r="N246" s="27" t="n"/>
      <c r="O246" s="27" t="n"/>
      <c r="P246" s="27" t="n"/>
      <c r="Q246" s="27" t="n"/>
      <c r="R246" s="27" t="n"/>
      <c r="S246" s="27" t="n"/>
      <c r="T246" s="27" t="n"/>
      <c r="U246" s="27" t="n"/>
      <c r="V246" s="27" t="n"/>
      <c r="W246" s="27" t="n"/>
      <c r="X246" s="27" t="n"/>
      <c r="Y246" s="27" t="n"/>
      <c r="Z246" s="30" t="n"/>
      <c r="AA246" s="25" t="n"/>
      <c r="AB246" s="28">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ISNUMBER($Y246)*($Y246&lt;TODAY()))</f>
        <v/>
      </c>
    </row>
    <row r="247">
      <c r="A247" s="25" t="n"/>
      <c r="B247" s="26" t="n"/>
      <c r="C247" s="27" t="n"/>
      <c r="D247" s="25" t="n"/>
      <c r="E247" s="25" t="n"/>
      <c r="F247" s="27" t="n"/>
      <c r="G247" s="25" t="n"/>
      <c r="H247" s="28">
        <f>IF(OR(NOT(AND($A247&lt;&gt;"",OR($G247="",$G247="Active"))),$F247=""),"",INT((TODAY()-$F247+280)/7)&amp;"+"&amp;MOD(TODAY()-$F247+280,7))</f>
        <v/>
      </c>
      <c r="I247" s="28">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ISNUMBER($Y247)*($Y247&gt;=TODAY())*($Y247&lt;=TODAY()+7))</f>
        <v/>
      </c>
      <c r="J247" s="28">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29">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7" t="n"/>
      <c r="M247" s="27" t="n"/>
      <c r="N247" s="27" t="n"/>
      <c r="O247" s="27" t="n"/>
      <c r="P247" s="27" t="n"/>
      <c r="Q247" s="27" t="n"/>
      <c r="R247" s="27" t="n"/>
      <c r="S247" s="27" t="n"/>
      <c r="T247" s="27" t="n"/>
      <c r="U247" s="27" t="n"/>
      <c r="V247" s="27" t="n"/>
      <c r="W247" s="27" t="n"/>
      <c r="X247" s="27" t="n"/>
      <c r="Y247" s="27" t="n"/>
      <c r="Z247" s="30" t="n"/>
      <c r="AA247" s="25" t="n"/>
      <c r="AB247" s="28">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ISNUMBER($Y247)*($Y247&lt;TODAY()))</f>
        <v/>
      </c>
    </row>
    <row r="248">
      <c r="A248" s="25" t="n"/>
      <c r="B248" s="26" t="n"/>
      <c r="C248" s="27" t="n"/>
      <c r="D248" s="25" t="n"/>
      <c r="E248" s="25" t="n"/>
      <c r="F248" s="27" t="n"/>
      <c r="G248" s="25" t="n"/>
      <c r="H248" s="28">
        <f>IF(OR(NOT(AND($A248&lt;&gt;"",OR($G248="",$G248="Active"))),$F248=""),"",INT((TODAY()-$F248+280)/7)&amp;"+"&amp;MOD(TODAY()-$F248+280,7))</f>
        <v/>
      </c>
      <c r="I248" s="28">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ISNUMBER($Y248)*($Y248&gt;=TODAY())*($Y248&lt;=TODAY()+7))</f>
        <v/>
      </c>
      <c r="J248" s="28">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29">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7" t="n"/>
      <c r="M248" s="27" t="n"/>
      <c r="N248" s="27" t="n"/>
      <c r="O248" s="27" t="n"/>
      <c r="P248" s="27" t="n"/>
      <c r="Q248" s="27" t="n"/>
      <c r="R248" s="27" t="n"/>
      <c r="S248" s="27" t="n"/>
      <c r="T248" s="27" t="n"/>
      <c r="U248" s="27" t="n"/>
      <c r="V248" s="27" t="n"/>
      <c r="W248" s="27" t="n"/>
      <c r="X248" s="27" t="n"/>
      <c r="Y248" s="27" t="n"/>
      <c r="Z248" s="30" t="n"/>
      <c r="AA248" s="25" t="n"/>
      <c r="AB248" s="28">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ISNUMBER($Y248)*($Y248&lt;TODAY()))</f>
        <v/>
      </c>
    </row>
    <row r="249">
      <c r="A249" s="25" t="n"/>
      <c r="B249" s="26" t="n"/>
      <c r="C249" s="27" t="n"/>
      <c r="D249" s="25" t="n"/>
      <c r="E249" s="25" t="n"/>
      <c r="F249" s="27" t="n"/>
      <c r="G249" s="25" t="n"/>
      <c r="H249" s="28">
        <f>IF(OR(NOT(AND($A249&lt;&gt;"",OR($G249="",$G249="Active"))),$F249=""),"",INT((TODAY()-$F249+280)/7)&amp;"+"&amp;MOD(TODAY()-$F249+280,7))</f>
        <v/>
      </c>
      <c r="I249" s="28">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ISNUMBER($Y249)*($Y249&gt;=TODAY())*($Y249&lt;=TODAY()+7))</f>
        <v/>
      </c>
      <c r="J249" s="28">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29">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7" t="n"/>
      <c r="M249" s="27" t="n"/>
      <c r="N249" s="27" t="n"/>
      <c r="O249" s="27" t="n"/>
      <c r="P249" s="27" t="n"/>
      <c r="Q249" s="27" t="n"/>
      <c r="R249" s="27" t="n"/>
      <c r="S249" s="27" t="n"/>
      <c r="T249" s="27" t="n"/>
      <c r="U249" s="27" t="n"/>
      <c r="V249" s="27" t="n"/>
      <c r="W249" s="27" t="n"/>
      <c r="X249" s="27" t="n"/>
      <c r="Y249" s="27" t="n"/>
      <c r="Z249" s="30" t="n"/>
      <c r="AA249" s="25" t="n"/>
      <c r="AB249" s="28">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ISNUMBER($Y249)*($Y249&lt;TODAY()))</f>
        <v/>
      </c>
    </row>
    <row r="250">
      <c r="A250" s="25" t="n"/>
      <c r="B250" s="26" t="n"/>
      <c r="C250" s="27" t="n"/>
      <c r="D250" s="25" t="n"/>
      <c r="E250" s="25" t="n"/>
      <c r="F250" s="27" t="n"/>
      <c r="G250" s="25" t="n"/>
      <c r="H250" s="28">
        <f>IF(OR(NOT(AND($A250&lt;&gt;"",OR($G250="",$G250="Active"))),$F250=""),"",INT((TODAY()-$F250+280)/7)&amp;"+"&amp;MOD(TODAY()-$F250+280,7))</f>
        <v/>
      </c>
      <c r="I250" s="28">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ISNUMBER($Y250)*($Y250&gt;=TODAY())*($Y250&lt;=TODAY()+7))</f>
        <v/>
      </c>
      <c r="J250" s="28">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29">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7" t="n"/>
      <c r="M250" s="27" t="n"/>
      <c r="N250" s="27" t="n"/>
      <c r="O250" s="27" t="n"/>
      <c r="P250" s="27" t="n"/>
      <c r="Q250" s="27" t="n"/>
      <c r="R250" s="27" t="n"/>
      <c r="S250" s="27" t="n"/>
      <c r="T250" s="27" t="n"/>
      <c r="U250" s="27" t="n"/>
      <c r="V250" s="27" t="n"/>
      <c r="W250" s="27" t="n"/>
      <c r="X250" s="27" t="n"/>
      <c r="Y250" s="27" t="n"/>
      <c r="Z250" s="30" t="n"/>
      <c r="AA250" s="25" t="n"/>
      <c r="AB250" s="28">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ISNUMBER($Y250)*($Y250&lt;TODAY()))</f>
        <v/>
      </c>
    </row>
    <row r="251">
      <c r="A251" s="25" t="n"/>
      <c r="B251" s="26" t="n"/>
      <c r="C251" s="27" t="n"/>
      <c r="D251" s="25" t="n"/>
      <c r="E251" s="25" t="n"/>
      <c r="F251" s="27" t="n"/>
      <c r="G251" s="25" t="n"/>
      <c r="H251" s="28">
        <f>IF(OR(NOT(AND($A251&lt;&gt;"",OR($G251="",$G251="Active"))),$F251=""),"",INT((TODAY()-$F251+280)/7)&amp;"+"&amp;MOD(TODAY()-$F251+280,7))</f>
        <v/>
      </c>
      <c r="I251" s="28">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ISNUMBER($Y251)*($Y251&gt;=TODAY())*($Y251&lt;=TODAY()+7))</f>
        <v/>
      </c>
      <c r="J251" s="28">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29">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7" t="n"/>
      <c r="M251" s="27" t="n"/>
      <c r="N251" s="27" t="n"/>
      <c r="O251" s="27" t="n"/>
      <c r="P251" s="27" t="n"/>
      <c r="Q251" s="27" t="n"/>
      <c r="R251" s="27" t="n"/>
      <c r="S251" s="27" t="n"/>
      <c r="T251" s="27" t="n"/>
      <c r="U251" s="27" t="n"/>
      <c r="V251" s="27" t="n"/>
      <c r="W251" s="27" t="n"/>
      <c r="X251" s="27" t="n"/>
      <c r="Y251" s="27" t="n"/>
      <c r="Z251" s="30" t="n"/>
      <c r="AA251" s="25" t="n"/>
      <c r="AB251" s="28">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ISNUMBER($Y251)*($Y251&lt;TODAY()))</f>
        <v/>
      </c>
    </row>
    <row r="252">
      <c r="A252" s="25" t="n"/>
      <c r="B252" s="26" t="n"/>
      <c r="C252" s="27" t="n"/>
      <c r="D252" s="25" t="n"/>
      <c r="E252" s="25" t="n"/>
      <c r="F252" s="27" t="n"/>
      <c r="G252" s="25" t="n"/>
      <c r="H252" s="28">
        <f>IF(OR(NOT(AND($A252&lt;&gt;"",OR($G252="",$G252="Active"))),$F252=""),"",INT((TODAY()-$F252+280)/7)&amp;"+"&amp;MOD(TODAY()-$F252+280,7))</f>
        <v/>
      </c>
      <c r="I252" s="28">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ISNUMBER($Y252)*($Y252&gt;=TODAY())*($Y252&lt;=TODAY()+7))</f>
        <v/>
      </c>
      <c r="J252" s="28">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29">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7" t="n"/>
      <c r="M252" s="27" t="n"/>
      <c r="N252" s="27" t="n"/>
      <c r="O252" s="27" t="n"/>
      <c r="P252" s="27" t="n"/>
      <c r="Q252" s="27" t="n"/>
      <c r="R252" s="27" t="n"/>
      <c r="S252" s="27" t="n"/>
      <c r="T252" s="27" t="n"/>
      <c r="U252" s="27" t="n"/>
      <c r="V252" s="27" t="n"/>
      <c r="W252" s="27" t="n"/>
      <c r="X252" s="27" t="n"/>
      <c r="Y252" s="27" t="n"/>
      <c r="Z252" s="30" t="n"/>
      <c r="AA252" s="25" t="n"/>
      <c r="AB252" s="28">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ISNUMBER($Y252)*($Y252&lt;TODAY()))</f>
        <v/>
      </c>
    </row>
    <row r="253">
      <c r="A253" s="25" t="n"/>
      <c r="B253" s="26" t="n"/>
      <c r="C253" s="27" t="n"/>
      <c r="D253" s="25" t="n"/>
      <c r="E253" s="25" t="n"/>
      <c r="F253" s="27" t="n"/>
      <c r="G253" s="25" t="n"/>
      <c r="H253" s="28">
        <f>IF(OR(NOT(AND($A253&lt;&gt;"",OR($G253="",$G253="Active"))),$F253=""),"",INT((TODAY()-$F253+280)/7)&amp;"+"&amp;MOD(TODAY()-$F253+280,7))</f>
        <v/>
      </c>
      <c r="I253" s="28">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ISNUMBER($Y253)*($Y253&gt;=TODAY())*($Y253&lt;=TODAY()+7))</f>
        <v/>
      </c>
      <c r="J253" s="28">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29">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7" t="n"/>
      <c r="M253" s="27" t="n"/>
      <c r="N253" s="27" t="n"/>
      <c r="O253" s="27" t="n"/>
      <c r="P253" s="27" t="n"/>
      <c r="Q253" s="27" t="n"/>
      <c r="R253" s="27" t="n"/>
      <c r="S253" s="27" t="n"/>
      <c r="T253" s="27" t="n"/>
      <c r="U253" s="27" t="n"/>
      <c r="V253" s="27" t="n"/>
      <c r="W253" s="27" t="n"/>
      <c r="X253" s="27" t="n"/>
      <c r="Y253" s="27" t="n"/>
      <c r="Z253" s="30" t="n"/>
      <c r="AA253" s="25" t="n"/>
      <c r="AB253" s="28">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ISNUMBER($Y253)*($Y253&lt;TODAY()))</f>
        <v/>
      </c>
    </row>
    <row r="254">
      <c r="A254" s="25" t="n"/>
      <c r="B254" s="26" t="n"/>
      <c r="C254" s="27" t="n"/>
      <c r="D254" s="25" t="n"/>
      <c r="E254" s="25" t="n"/>
      <c r="F254" s="27" t="n"/>
      <c r="G254" s="25" t="n"/>
      <c r="H254" s="28">
        <f>IF(OR(NOT(AND($A254&lt;&gt;"",OR($G254="",$G254="Active"))),$F254=""),"",INT((TODAY()-$F254+280)/7)&amp;"+"&amp;MOD(TODAY()-$F254+280,7))</f>
        <v/>
      </c>
      <c r="I254" s="28">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ISNUMBER($Y254)*($Y254&gt;=TODAY())*($Y254&lt;=TODAY()+7))</f>
        <v/>
      </c>
      <c r="J254" s="28">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29">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7" t="n"/>
      <c r="M254" s="27" t="n"/>
      <c r="N254" s="27" t="n"/>
      <c r="O254" s="27" t="n"/>
      <c r="P254" s="27" t="n"/>
      <c r="Q254" s="27" t="n"/>
      <c r="R254" s="27" t="n"/>
      <c r="S254" s="27" t="n"/>
      <c r="T254" s="27" t="n"/>
      <c r="U254" s="27" t="n"/>
      <c r="V254" s="27" t="n"/>
      <c r="W254" s="27" t="n"/>
      <c r="X254" s="27" t="n"/>
      <c r="Y254" s="27" t="n"/>
      <c r="Z254" s="30" t="n"/>
      <c r="AA254" s="25" t="n"/>
      <c r="AB254" s="28">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ISNUMBER($Y254)*($Y254&lt;TODAY()))</f>
        <v/>
      </c>
    </row>
    <row r="255">
      <c r="A255" s="25" t="n"/>
      <c r="B255" s="26" t="n"/>
      <c r="C255" s="27" t="n"/>
      <c r="D255" s="25" t="n"/>
      <c r="E255" s="25" t="n"/>
      <c r="F255" s="27" t="n"/>
      <c r="G255" s="25" t="n"/>
      <c r="H255" s="28">
        <f>IF(OR(NOT(AND($A255&lt;&gt;"",OR($G255="",$G255="Active"))),$F255=""),"",INT((TODAY()-$F255+280)/7)&amp;"+"&amp;MOD(TODAY()-$F255+280,7))</f>
        <v/>
      </c>
      <c r="I255" s="28">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ISNUMBER($Y255)*($Y255&gt;=TODAY())*($Y255&lt;=TODAY()+7))</f>
        <v/>
      </c>
      <c r="J255" s="28">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29">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7" t="n"/>
      <c r="M255" s="27" t="n"/>
      <c r="N255" s="27" t="n"/>
      <c r="O255" s="27" t="n"/>
      <c r="P255" s="27" t="n"/>
      <c r="Q255" s="27" t="n"/>
      <c r="R255" s="27" t="n"/>
      <c r="S255" s="27" t="n"/>
      <c r="T255" s="27" t="n"/>
      <c r="U255" s="27" t="n"/>
      <c r="V255" s="27" t="n"/>
      <c r="W255" s="27" t="n"/>
      <c r="X255" s="27" t="n"/>
      <c r="Y255" s="27" t="n"/>
      <c r="Z255" s="30" t="n"/>
      <c r="AA255" s="25" t="n"/>
      <c r="AB255" s="28">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ISNUMBER($Y255)*($Y255&lt;TODAY()))</f>
        <v/>
      </c>
    </row>
    <row r="256">
      <c r="A256" s="25" t="n"/>
      <c r="B256" s="26" t="n"/>
      <c r="C256" s="27" t="n"/>
      <c r="D256" s="25" t="n"/>
      <c r="E256" s="25" t="n"/>
      <c r="F256" s="27" t="n"/>
      <c r="G256" s="25" t="n"/>
      <c r="H256" s="28">
        <f>IF(OR(NOT(AND($A256&lt;&gt;"",OR($G256="",$G256="Active"))),$F256=""),"",INT((TODAY()-$F256+280)/7)&amp;"+"&amp;MOD(TODAY()-$F256+280,7))</f>
        <v/>
      </c>
      <c r="I256" s="28">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ISNUMBER($Y256)*($Y256&gt;=TODAY())*($Y256&lt;=TODAY()+7))</f>
        <v/>
      </c>
      <c r="J256" s="28">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29">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7" t="n"/>
      <c r="M256" s="27" t="n"/>
      <c r="N256" s="27" t="n"/>
      <c r="O256" s="27" t="n"/>
      <c r="P256" s="27" t="n"/>
      <c r="Q256" s="27" t="n"/>
      <c r="R256" s="27" t="n"/>
      <c r="S256" s="27" t="n"/>
      <c r="T256" s="27" t="n"/>
      <c r="U256" s="27" t="n"/>
      <c r="V256" s="27" t="n"/>
      <c r="W256" s="27" t="n"/>
      <c r="X256" s="27" t="n"/>
      <c r="Y256" s="27" t="n"/>
      <c r="Z256" s="30" t="n"/>
      <c r="AA256" s="25" t="n"/>
      <c r="AB256" s="28">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ISNUMBER($Y256)*($Y256&lt;TODAY()))</f>
        <v/>
      </c>
    </row>
    <row r="257">
      <c r="A257" s="25" t="n"/>
      <c r="B257" s="26" t="n"/>
      <c r="C257" s="27" t="n"/>
      <c r="D257" s="25" t="n"/>
      <c r="E257" s="25" t="n"/>
      <c r="F257" s="27" t="n"/>
      <c r="G257" s="25" t="n"/>
      <c r="H257" s="28">
        <f>IF(OR(NOT(AND($A257&lt;&gt;"",OR($G257="",$G257="Active"))),$F257=""),"",INT((TODAY()-$F257+280)/7)&amp;"+"&amp;MOD(TODAY()-$F257+280,7))</f>
        <v/>
      </c>
      <c r="I257" s="28">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ISNUMBER($Y257)*($Y257&gt;=TODAY())*($Y257&lt;=TODAY()+7))</f>
        <v/>
      </c>
      <c r="J257" s="28">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29">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7" t="n"/>
      <c r="M257" s="27" t="n"/>
      <c r="N257" s="27" t="n"/>
      <c r="O257" s="27" t="n"/>
      <c r="P257" s="27" t="n"/>
      <c r="Q257" s="27" t="n"/>
      <c r="R257" s="27" t="n"/>
      <c r="S257" s="27" t="n"/>
      <c r="T257" s="27" t="n"/>
      <c r="U257" s="27" t="n"/>
      <c r="V257" s="27" t="n"/>
      <c r="W257" s="27" t="n"/>
      <c r="X257" s="27" t="n"/>
      <c r="Y257" s="27" t="n"/>
      <c r="Z257" s="30" t="n"/>
      <c r="AA257" s="25" t="n"/>
      <c r="AB257" s="28">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ISNUMBER($Y257)*($Y257&lt;TODAY()))</f>
        <v/>
      </c>
    </row>
    <row r="258">
      <c r="A258" s="25" t="n"/>
      <c r="B258" s="26" t="n"/>
      <c r="C258" s="27" t="n"/>
      <c r="D258" s="25" t="n"/>
      <c r="E258" s="25" t="n"/>
      <c r="F258" s="27" t="n"/>
      <c r="G258" s="25" t="n"/>
      <c r="H258" s="28">
        <f>IF(OR(NOT(AND($A258&lt;&gt;"",OR($G258="",$G258="Active"))),$F258=""),"",INT((TODAY()-$F258+280)/7)&amp;"+"&amp;MOD(TODAY()-$F258+280,7))</f>
        <v/>
      </c>
      <c r="I258" s="28">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ISNUMBER($Y258)*($Y258&gt;=TODAY())*($Y258&lt;=TODAY()+7))</f>
        <v/>
      </c>
      <c r="J258" s="28">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29">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7" t="n"/>
      <c r="M258" s="27" t="n"/>
      <c r="N258" s="27" t="n"/>
      <c r="O258" s="27" t="n"/>
      <c r="P258" s="27" t="n"/>
      <c r="Q258" s="27" t="n"/>
      <c r="R258" s="27" t="n"/>
      <c r="S258" s="27" t="n"/>
      <c r="T258" s="27" t="n"/>
      <c r="U258" s="27" t="n"/>
      <c r="V258" s="27" t="n"/>
      <c r="W258" s="27" t="n"/>
      <c r="X258" s="27" t="n"/>
      <c r="Y258" s="27" t="n"/>
      <c r="Z258" s="30" t="n"/>
      <c r="AA258" s="25" t="n"/>
      <c r="AB258" s="28">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ISNUMBER($Y258)*($Y258&lt;TODAY()))</f>
        <v/>
      </c>
    </row>
    <row r="259">
      <c r="A259" s="25" t="n"/>
      <c r="B259" s="26" t="n"/>
      <c r="C259" s="27" t="n"/>
      <c r="D259" s="25" t="n"/>
      <c r="E259" s="25" t="n"/>
      <c r="F259" s="27" t="n"/>
      <c r="G259" s="25" t="n"/>
      <c r="H259" s="28">
        <f>IF(OR(NOT(AND($A259&lt;&gt;"",OR($G259="",$G259="Active"))),$F259=""),"",INT((TODAY()-$F259+280)/7)&amp;"+"&amp;MOD(TODAY()-$F259+280,7))</f>
        <v/>
      </c>
      <c r="I259" s="28">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ISNUMBER($Y259)*($Y259&gt;=TODAY())*($Y259&lt;=TODAY()+7))</f>
        <v/>
      </c>
      <c r="J259" s="28">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29">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7" t="n"/>
      <c r="M259" s="27" t="n"/>
      <c r="N259" s="27" t="n"/>
      <c r="O259" s="27" t="n"/>
      <c r="P259" s="27" t="n"/>
      <c r="Q259" s="27" t="n"/>
      <c r="R259" s="27" t="n"/>
      <c r="S259" s="27" t="n"/>
      <c r="T259" s="27" t="n"/>
      <c r="U259" s="27" t="n"/>
      <c r="V259" s="27" t="n"/>
      <c r="W259" s="27" t="n"/>
      <c r="X259" s="27" t="n"/>
      <c r="Y259" s="27" t="n"/>
      <c r="Z259" s="30" t="n"/>
      <c r="AA259" s="25" t="n"/>
      <c r="AB259" s="28">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ISNUMBER($Y259)*($Y259&lt;TODAY()))</f>
        <v/>
      </c>
    </row>
    <row r="260">
      <c r="A260" s="25" t="n"/>
      <c r="B260" s="26" t="n"/>
      <c r="C260" s="27" t="n"/>
      <c r="D260" s="25" t="n"/>
      <c r="E260" s="25" t="n"/>
      <c r="F260" s="27" t="n"/>
      <c r="G260" s="25" t="n"/>
      <c r="H260" s="28">
        <f>IF(OR(NOT(AND($A260&lt;&gt;"",OR($G260="",$G260="Active"))),$F260=""),"",INT((TODAY()-$F260+280)/7)&amp;"+"&amp;MOD(TODAY()-$F260+280,7))</f>
        <v/>
      </c>
      <c r="I260" s="28">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ISNUMBER($Y260)*($Y260&gt;=TODAY())*($Y260&lt;=TODAY()+7))</f>
        <v/>
      </c>
      <c r="J260" s="28">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29">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7" t="n"/>
      <c r="M260" s="27" t="n"/>
      <c r="N260" s="27" t="n"/>
      <c r="O260" s="27" t="n"/>
      <c r="P260" s="27" t="n"/>
      <c r="Q260" s="27" t="n"/>
      <c r="R260" s="27" t="n"/>
      <c r="S260" s="27" t="n"/>
      <c r="T260" s="27" t="n"/>
      <c r="U260" s="27" t="n"/>
      <c r="V260" s="27" t="n"/>
      <c r="W260" s="27" t="n"/>
      <c r="X260" s="27" t="n"/>
      <c r="Y260" s="27" t="n"/>
      <c r="Z260" s="30" t="n"/>
      <c r="AA260" s="25" t="n"/>
      <c r="AB260" s="28">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ISNUMBER($Y260)*($Y260&lt;TODAY()))</f>
        <v/>
      </c>
    </row>
    <row r="261">
      <c r="A261" s="25" t="n"/>
      <c r="B261" s="26" t="n"/>
      <c r="C261" s="27" t="n"/>
      <c r="D261" s="25" t="n"/>
      <c r="E261" s="25" t="n"/>
      <c r="F261" s="27" t="n"/>
      <c r="G261" s="25" t="n"/>
      <c r="H261" s="28">
        <f>IF(OR(NOT(AND($A261&lt;&gt;"",OR($G261="",$G261="Active"))),$F261=""),"",INT((TODAY()-$F261+280)/7)&amp;"+"&amp;MOD(TODAY()-$F261+280,7))</f>
        <v/>
      </c>
      <c r="I261" s="28">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ISNUMBER($Y261)*($Y261&gt;=TODAY())*($Y261&lt;=TODAY()+7))</f>
        <v/>
      </c>
      <c r="J261" s="28">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29">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7" t="n"/>
      <c r="M261" s="27" t="n"/>
      <c r="N261" s="27" t="n"/>
      <c r="O261" s="27" t="n"/>
      <c r="P261" s="27" t="n"/>
      <c r="Q261" s="27" t="n"/>
      <c r="R261" s="27" t="n"/>
      <c r="S261" s="27" t="n"/>
      <c r="T261" s="27" t="n"/>
      <c r="U261" s="27" t="n"/>
      <c r="V261" s="27" t="n"/>
      <c r="W261" s="27" t="n"/>
      <c r="X261" s="27" t="n"/>
      <c r="Y261" s="27" t="n"/>
      <c r="Z261" s="30" t="n"/>
      <c r="AA261" s="25" t="n"/>
      <c r="AB261" s="28">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ISNUMBER($Y261)*($Y261&lt;TODAY()))</f>
        <v/>
      </c>
    </row>
    <row r="262">
      <c r="A262" s="25" t="n"/>
      <c r="B262" s="26" t="n"/>
      <c r="C262" s="27" t="n"/>
      <c r="D262" s="25" t="n"/>
      <c r="E262" s="25" t="n"/>
      <c r="F262" s="27" t="n"/>
      <c r="G262" s="25" t="n"/>
      <c r="H262" s="28">
        <f>IF(OR(NOT(AND($A262&lt;&gt;"",OR($G262="",$G262="Active"))),$F262=""),"",INT((TODAY()-$F262+280)/7)&amp;"+"&amp;MOD(TODAY()-$F262+280,7))</f>
        <v/>
      </c>
      <c r="I262" s="28">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ISNUMBER($Y262)*($Y262&gt;=TODAY())*($Y262&lt;=TODAY()+7))</f>
        <v/>
      </c>
      <c r="J262" s="28">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29">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7" t="n"/>
      <c r="M262" s="27" t="n"/>
      <c r="N262" s="27" t="n"/>
      <c r="O262" s="27" t="n"/>
      <c r="P262" s="27" t="n"/>
      <c r="Q262" s="27" t="n"/>
      <c r="R262" s="27" t="n"/>
      <c r="S262" s="27" t="n"/>
      <c r="T262" s="27" t="n"/>
      <c r="U262" s="27" t="n"/>
      <c r="V262" s="27" t="n"/>
      <c r="W262" s="27" t="n"/>
      <c r="X262" s="27" t="n"/>
      <c r="Y262" s="27" t="n"/>
      <c r="Z262" s="30" t="n"/>
      <c r="AA262" s="25" t="n"/>
      <c r="AB262" s="28">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ISNUMBER($Y262)*($Y262&lt;TODAY()))</f>
        <v/>
      </c>
    </row>
    <row r="263">
      <c r="A263" s="25" t="n"/>
      <c r="B263" s="26" t="n"/>
      <c r="C263" s="27" t="n"/>
      <c r="D263" s="25" t="n"/>
      <c r="E263" s="25" t="n"/>
      <c r="F263" s="27" t="n"/>
      <c r="G263" s="25" t="n"/>
      <c r="H263" s="28">
        <f>IF(OR(NOT(AND($A263&lt;&gt;"",OR($G263="",$G263="Active"))),$F263=""),"",INT((TODAY()-$F263+280)/7)&amp;"+"&amp;MOD(TODAY()-$F263+280,7))</f>
        <v/>
      </c>
      <c r="I263" s="28">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ISNUMBER($Y263)*($Y263&gt;=TODAY())*($Y263&lt;=TODAY()+7))</f>
        <v/>
      </c>
      <c r="J263" s="28">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29">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7" t="n"/>
      <c r="M263" s="27" t="n"/>
      <c r="N263" s="27" t="n"/>
      <c r="O263" s="27" t="n"/>
      <c r="P263" s="27" t="n"/>
      <c r="Q263" s="27" t="n"/>
      <c r="R263" s="27" t="n"/>
      <c r="S263" s="27" t="n"/>
      <c r="T263" s="27" t="n"/>
      <c r="U263" s="27" t="n"/>
      <c r="V263" s="27" t="n"/>
      <c r="W263" s="27" t="n"/>
      <c r="X263" s="27" t="n"/>
      <c r="Y263" s="27" t="n"/>
      <c r="Z263" s="30" t="n"/>
      <c r="AA263" s="25" t="n"/>
      <c r="AB263" s="28">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ISNUMBER($Y263)*($Y263&lt;TODAY()))</f>
        <v/>
      </c>
    </row>
    <row r="264">
      <c r="A264" s="25" t="n"/>
      <c r="B264" s="26" t="n"/>
      <c r="C264" s="27" t="n"/>
      <c r="D264" s="25" t="n"/>
      <c r="E264" s="25" t="n"/>
      <c r="F264" s="27" t="n"/>
      <c r="G264" s="25" t="n"/>
      <c r="H264" s="28">
        <f>IF(OR(NOT(AND($A264&lt;&gt;"",OR($G264="",$G264="Active"))),$F264=""),"",INT((TODAY()-$F264+280)/7)&amp;"+"&amp;MOD(TODAY()-$F264+280,7))</f>
        <v/>
      </c>
      <c r="I264" s="28">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ISNUMBER($Y264)*($Y264&gt;=TODAY())*($Y264&lt;=TODAY()+7))</f>
        <v/>
      </c>
      <c r="J264" s="28">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29">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7" t="n"/>
      <c r="M264" s="27" t="n"/>
      <c r="N264" s="27" t="n"/>
      <c r="O264" s="27" t="n"/>
      <c r="P264" s="27" t="n"/>
      <c r="Q264" s="27" t="n"/>
      <c r="R264" s="27" t="n"/>
      <c r="S264" s="27" t="n"/>
      <c r="T264" s="27" t="n"/>
      <c r="U264" s="27" t="n"/>
      <c r="V264" s="27" t="n"/>
      <c r="W264" s="27" t="n"/>
      <c r="X264" s="27" t="n"/>
      <c r="Y264" s="27" t="n"/>
      <c r="Z264" s="30" t="n"/>
      <c r="AA264" s="25" t="n"/>
      <c r="AB264" s="28">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ISNUMBER($Y264)*($Y264&lt;TODAY()))</f>
        <v/>
      </c>
    </row>
    <row r="265">
      <c r="A265" s="25" t="n"/>
      <c r="B265" s="26" t="n"/>
      <c r="C265" s="27" t="n"/>
      <c r="D265" s="25" t="n"/>
      <c r="E265" s="25" t="n"/>
      <c r="F265" s="27" t="n"/>
      <c r="G265" s="25" t="n"/>
      <c r="H265" s="28">
        <f>IF(OR(NOT(AND($A265&lt;&gt;"",OR($G265="",$G265="Active"))),$F265=""),"",INT((TODAY()-$F265+280)/7)&amp;"+"&amp;MOD(TODAY()-$F265+280,7))</f>
        <v/>
      </c>
      <c r="I265" s="28">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ISNUMBER($Y265)*($Y265&gt;=TODAY())*($Y265&lt;=TODAY()+7))</f>
        <v/>
      </c>
      <c r="J265" s="28">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29">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7" t="n"/>
      <c r="M265" s="27" t="n"/>
      <c r="N265" s="27" t="n"/>
      <c r="O265" s="27" t="n"/>
      <c r="P265" s="27" t="n"/>
      <c r="Q265" s="27" t="n"/>
      <c r="R265" s="27" t="n"/>
      <c r="S265" s="27" t="n"/>
      <c r="T265" s="27" t="n"/>
      <c r="U265" s="27" t="n"/>
      <c r="V265" s="27" t="n"/>
      <c r="W265" s="27" t="n"/>
      <c r="X265" s="27" t="n"/>
      <c r="Y265" s="27" t="n"/>
      <c r="Z265" s="30" t="n"/>
      <c r="AA265" s="25" t="n"/>
      <c r="AB265" s="28">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ISNUMBER($Y265)*($Y265&lt;TODAY()))</f>
        <v/>
      </c>
    </row>
    <row r="266">
      <c r="A266" s="25" t="n"/>
      <c r="B266" s="26" t="n"/>
      <c r="C266" s="27" t="n"/>
      <c r="D266" s="25" t="n"/>
      <c r="E266" s="25" t="n"/>
      <c r="F266" s="27" t="n"/>
      <c r="G266" s="25" t="n"/>
      <c r="H266" s="28">
        <f>IF(OR(NOT(AND($A266&lt;&gt;"",OR($G266="",$G266="Active"))),$F266=""),"",INT((TODAY()-$F266+280)/7)&amp;"+"&amp;MOD(TODAY()-$F266+280,7))</f>
        <v/>
      </c>
      <c r="I266" s="28">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ISNUMBER($Y266)*($Y266&gt;=TODAY())*($Y266&lt;=TODAY()+7))</f>
        <v/>
      </c>
      <c r="J266" s="28">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29">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7" t="n"/>
      <c r="M266" s="27" t="n"/>
      <c r="N266" s="27" t="n"/>
      <c r="O266" s="27" t="n"/>
      <c r="P266" s="27" t="n"/>
      <c r="Q266" s="27" t="n"/>
      <c r="R266" s="27" t="n"/>
      <c r="S266" s="27" t="n"/>
      <c r="T266" s="27" t="n"/>
      <c r="U266" s="27" t="n"/>
      <c r="V266" s="27" t="n"/>
      <c r="W266" s="27" t="n"/>
      <c r="X266" s="27" t="n"/>
      <c r="Y266" s="27" t="n"/>
      <c r="Z266" s="30" t="n"/>
      <c r="AA266" s="25" t="n"/>
      <c r="AB266" s="28">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ISNUMBER($Y266)*($Y266&lt;TODAY()))</f>
        <v/>
      </c>
    </row>
    <row r="267">
      <c r="A267" s="25" t="n"/>
      <c r="B267" s="26" t="n"/>
      <c r="C267" s="27" t="n"/>
      <c r="D267" s="25" t="n"/>
      <c r="E267" s="25" t="n"/>
      <c r="F267" s="27" t="n"/>
      <c r="G267" s="25" t="n"/>
      <c r="H267" s="28">
        <f>IF(OR(NOT(AND($A267&lt;&gt;"",OR($G267="",$G267="Active"))),$F267=""),"",INT((TODAY()-$F267+280)/7)&amp;"+"&amp;MOD(TODAY()-$F267+280,7))</f>
        <v/>
      </c>
      <c r="I267" s="28">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ISNUMBER($Y267)*($Y267&gt;=TODAY())*($Y267&lt;=TODAY()+7))</f>
        <v/>
      </c>
      <c r="J267" s="28">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29">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7" t="n"/>
      <c r="M267" s="27" t="n"/>
      <c r="N267" s="27" t="n"/>
      <c r="O267" s="27" t="n"/>
      <c r="P267" s="27" t="n"/>
      <c r="Q267" s="27" t="n"/>
      <c r="R267" s="27" t="n"/>
      <c r="S267" s="27" t="n"/>
      <c r="T267" s="27" t="n"/>
      <c r="U267" s="27" t="n"/>
      <c r="V267" s="27" t="n"/>
      <c r="W267" s="27" t="n"/>
      <c r="X267" s="27" t="n"/>
      <c r="Y267" s="27" t="n"/>
      <c r="Z267" s="30" t="n"/>
      <c r="AA267" s="25" t="n"/>
      <c r="AB267" s="28">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ISNUMBER($Y267)*($Y267&lt;TODAY()))</f>
        <v/>
      </c>
    </row>
    <row r="268">
      <c r="A268" s="25" t="n"/>
      <c r="B268" s="26" t="n"/>
      <c r="C268" s="27" t="n"/>
      <c r="D268" s="25" t="n"/>
      <c r="E268" s="25" t="n"/>
      <c r="F268" s="27" t="n"/>
      <c r="G268" s="25" t="n"/>
      <c r="H268" s="28">
        <f>IF(OR(NOT(AND($A268&lt;&gt;"",OR($G268="",$G268="Active"))),$F268=""),"",INT((TODAY()-$F268+280)/7)&amp;"+"&amp;MOD(TODAY()-$F268+280,7))</f>
        <v/>
      </c>
      <c r="I268" s="28">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ISNUMBER($Y268)*($Y268&gt;=TODAY())*($Y268&lt;=TODAY()+7))</f>
        <v/>
      </c>
      <c r="J268" s="28">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29">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7" t="n"/>
      <c r="M268" s="27" t="n"/>
      <c r="N268" s="27" t="n"/>
      <c r="O268" s="27" t="n"/>
      <c r="P268" s="27" t="n"/>
      <c r="Q268" s="27" t="n"/>
      <c r="R268" s="27" t="n"/>
      <c r="S268" s="27" t="n"/>
      <c r="T268" s="27" t="n"/>
      <c r="U268" s="27" t="n"/>
      <c r="V268" s="27" t="n"/>
      <c r="W268" s="27" t="n"/>
      <c r="X268" s="27" t="n"/>
      <c r="Y268" s="27" t="n"/>
      <c r="Z268" s="30" t="n"/>
      <c r="AA268" s="25" t="n"/>
      <c r="AB268" s="28">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ISNUMBER($Y268)*($Y268&lt;TODAY()))</f>
        <v/>
      </c>
    </row>
    <row r="269">
      <c r="A269" s="25" t="n"/>
      <c r="B269" s="26" t="n"/>
      <c r="C269" s="27" t="n"/>
      <c r="D269" s="25" t="n"/>
      <c r="E269" s="25" t="n"/>
      <c r="F269" s="27" t="n"/>
      <c r="G269" s="25" t="n"/>
      <c r="H269" s="28">
        <f>IF(OR(NOT(AND($A269&lt;&gt;"",OR($G269="",$G269="Active"))),$F269=""),"",INT((TODAY()-$F269+280)/7)&amp;"+"&amp;MOD(TODAY()-$F269+280,7))</f>
        <v/>
      </c>
      <c r="I269" s="28">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ISNUMBER($Y269)*($Y269&gt;=TODAY())*($Y269&lt;=TODAY()+7))</f>
        <v/>
      </c>
      <c r="J269" s="28">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29">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7" t="n"/>
      <c r="M269" s="27" t="n"/>
      <c r="N269" s="27" t="n"/>
      <c r="O269" s="27" t="n"/>
      <c r="P269" s="27" t="n"/>
      <c r="Q269" s="27" t="n"/>
      <c r="R269" s="27" t="n"/>
      <c r="S269" s="27" t="n"/>
      <c r="T269" s="27" t="n"/>
      <c r="U269" s="27" t="n"/>
      <c r="V269" s="27" t="n"/>
      <c r="W269" s="27" t="n"/>
      <c r="X269" s="27" t="n"/>
      <c r="Y269" s="27" t="n"/>
      <c r="Z269" s="30" t="n"/>
      <c r="AA269" s="25" t="n"/>
      <c r="AB269" s="28">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ISNUMBER($Y269)*($Y269&lt;TODAY()))</f>
        <v/>
      </c>
    </row>
    <row r="270">
      <c r="A270" s="25" t="n"/>
      <c r="B270" s="26" t="n"/>
      <c r="C270" s="27" t="n"/>
      <c r="D270" s="25" t="n"/>
      <c r="E270" s="25" t="n"/>
      <c r="F270" s="27" t="n"/>
      <c r="G270" s="25" t="n"/>
      <c r="H270" s="28">
        <f>IF(OR(NOT(AND($A270&lt;&gt;"",OR($G270="",$G270="Active"))),$F270=""),"",INT((TODAY()-$F270+280)/7)&amp;"+"&amp;MOD(TODAY()-$F270+280,7))</f>
        <v/>
      </c>
      <c r="I270" s="28">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ISNUMBER($Y270)*($Y270&gt;=TODAY())*($Y270&lt;=TODAY()+7))</f>
        <v/>
      </c>
      <c r="J270" s="28">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29">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7" t="n"/>
      <c r="M270" s="27" t="n"/>
      <c r="N270" s="27" t="n"/>
      <c r="O270" s="27" t="n"/>
      <c r="P270" s="27" t="n"/>
      <c r="Q270" s="27" t="n"/>
      <c r="R270" s="27" t="n"/>
      <c r="S270" s="27" t="n"/>
      <c r="T270" s="27" t="n"/>
      <c r="U270" s="27" t="n"/>
      <c r="V270" s="27" t="n"/>
      <c r="W270" s="27" t="n"/>
      <c r="X270" s="27" t="n"/>
      <c r="Y270" s="27" t="n"/>
      <c r="Z270" s="30" t="n"/>
      <c r="AA270" s="25" t="n"/>
      <c r="AB270" s="28">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ISNUMBER($Y270)*($Y270&lt;TODAY()))</f>
        <v/>
      </c>
    </row>
    <row r="271">
      <c r="A271" s="25" t="n"/>
      <c r="B271" s="26" t="n"/>
      <c r="C271" s="27" t="n"/>
      <c r="D271" s="25" t="n"/>
      <c r="E271" s="25" t="n"/>
      <c r="F271" s="27" t="n"/>
      <c r="G271" s="25" t="n"/>
      <c r="H271" s="28">
        <f>IF(OR(NOT(AND($A271&lt;&gt;"",OR($G271="",$G271="Active"))),$F271=""),"",INT((TODAY()-$F271+280)/7)&amp;"+"&amp;MOD(TODAY()-$F271+280,7))</f>
        <v/>
      </c>
      <c r="I271" s="28">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ISNUMBER($Y271)*($Y271&gt;=TODAY())*($Y271&lt;=TODAY()+7))</f>
        <v/>
      </c>
      <c r="J271" s="28">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29">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7" t="n"/>
      <c r="M271" s="27" t="n"/>
      <c r="N271" s="27" t="n"/>
      <c r="O271" s="27" t="n"/>
      <c r="P271" s="27" t="n"/>
      <c r="Q271" s="27" t="n"/>
      <c r="R271" s="27" t="n"/>
      <c r="S271" s="27" t="n"/>
      <c r="T271" s="27" t="n"/>
      <c r="U271" s="27" t="n"/>
      <c r="V271" s="27" t="n"/>
      <c r="W271" s="27" t="n"/>
      <c r="X271" s="27" t="n"/>
      <c r="Y271" s="27" t="n"/>
      <c r="Z271" s="30" t="n"/>
      <c r="AA271" s="25" t="n"/>
      <c r="AB271" s="28">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ISNUMBER($Y271)*($Y271&lt;TODAY()))</f>
        <v/>
      </c>
    </row>
    <row r="272">
      <c r="A272" s="25" t="n"/>
      <c r="B272" s="26" t="n"/>
      <c r="C272" s="27" t="n"/>
      <c r="D272" s="25" t="n"/>
      <c r="E272" s="25" t="n"/>
      <c r="F272" s="27" t="n"/>
      <c r="G272" s="25" t="n"/>
      <c r="H272" s="28">
        <f>IF(OR(NOT(AND($A272&lt;&gt;"",OR($G272="",$G272="Active"))),$F272=""),"",INT((TODAY()-$F272+280)/7)&amp;"+"&amp;MOD(TODAY()-$F272+280,7))</f>
        <v/>
      </c>
      <c r="I272" s="28">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ISNUMBER($Y272)*($Y272&gt;=TODAY())*($Y272&lt;=TODAY()+7))</f>
        <v/>
      </c>
      <c r="J272" s="28">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29">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7" t="n"/>
      <c r="M272" s="27" t="n"/>
      <c r="N272" s="27" t="n"/>
      <c r="O272" s="27" t="n"/>
      <c r="P272" s="27" t="n"/>
      <c r="Q272" s="27" t="n"/>
      <c r="R272" s="27" t="n"/>
      <c r="S272" s="27" t="n"/>
      <c r="T272" s="27" t="n"/>
      <c r="U272" s="27" t="n"/>
      <c r="V272" s="27" t="n"/>
      <c r="W272" s="27" t="n"/>
      <c r="X272" s="27" t="n"/>
      <c r="Y272" s="27" t="n"/>
      <c r="Z272" s="30" t="n"/>
      <c r="AA272" s="25" t="n"/>
      <c r="AB272" s="28">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ISNUMBER($Y272)*($Y272&lt;TODAY()))</f>
        <v/>
      </c>
    </row>
    <row r="273">
      <c r="A273" s="25" t="n"/>
      <c r="B273" s="26" t="n"/>
      <c r="C273" s="27" t="n"/>
      <c r="D273" s="25" t="n"/>
      <c r="E273" s="25" t="n"/>
      <c r="F273" s="27" t="n"/>
      <c r="G273" s="25" t="n"/>
      <c r="H273" s="28">
        <f>IF(OR(NOT(AND($A273&lt;&gt;"",OR($G273="",$G273="Active"))),$F273=""),"",INT((TODAY()-$F273+280)/7)&amp;"+"&amp;MOD(TODAY()-$F273+280,7))</f>
        <v/>
      </c>
      <c r="I273" s="28">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ISNUMBER($Y273)*($Y273&gt;=TODAY())*($Y273&lt;=TODAY()+7))</f>
        <v/>
      </c>
      <c r="J273" s="28">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29">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7" t="n"/>
      <c r="M273" s="27" t="n"/>
      <c r="N273" s="27" t="n"/>
      <c r="O273" s="27" t="n"/>
      <c r="P273" s="27" t="n"/>
      <c r="Q273" s="27" t="n"/>
      <c r="R273" s="27" t="n"/>
      <c r="S273" s="27" t="n"/>
      <c r="T273" s="27" t="n"/>
      <c r="U273" s="27" t="n"/>
      <c r="V273" s="27" t="n"/>
      <c r="W273" s="27" t="n"/>
      <c r="X273" s="27" t="n"/>
      <c r="Y273" s="27" t="n"/>
      <c r="Z273" s="30" t="n"/>
      <c r="AA273" s="25" t="n"/>
      <c r="AB273" s="28">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ISNUMBER($Y273)*($Y273&lt;TODAY()))</f>
        <v/>
      </c>
    </row>
    <row r="274">
      <c r="A274" s="25" t="n"/>
      <c r="B274" s="26" t="n"/>
      <c r="C274" s="27" t="n"/>
      <c r="D274" s="25" t="n"/>
      <c r="E274" s="25" t="n"/>
      <c r="F274" s="27" t="n"/>
      <c r="G274" s="25" t="n"/>
      <c r="H274" s="28">
        <f>IF(OR(NOT(AND($A274&lt;&gt;"",OR($G274="",$G274="Active"))),$F274=""),"",INT((TODAY()-$F274+280)/7)&amp;"+"&amp;MOD(TODAY()-$F274+280,7))</f>
        <v/>
      </c>
      <c r="I274" s="28">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ISNUMBER($Y274)*($Y274&gt;=TODAY())*($Y274&lt;=TODAY()+7))</f>
        <v/>
      </c>
      <c r="J274" s="28">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29">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7" t="n"/>
      <c r="M274" s="27" t="n"/>
      <c r="N274" s="27" t="n"/>
      <c r="O274" s="27" t="n"/>
      <c r="P274" s="27" t="n"/>
      <c r="Q274" s="27" t="n"/>
      <c r="R274" s="27" t="n"/>
      <c r="S274" s="27" t="n"/>
      <c r="T274" s="27" t="n"/>
      <c r="U274" s="27" t="n"/>
      <c r="V274" s="27" t="n"/>
      <c r="W274" s="27" t="n"/>
      <c r="X274" s="27" t="n"/>
      <c r="Y274" s="27" t="n"/>
      <c r="Z274" s="30" t="n"/>
      <c r="AA274" s="25" t="n"/>
      <c r="AB274" s="28">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ISNUMBER($Y274)*($Y274&lt;TODAY()))</f>
        <v/>
      </c>
    </row>
    <row r="275">
      <c r="A275" s="25" t="n"/>
      <c r="B275" s="26" t="n"/>
      <c r="C275" s="27" t="n"/>
      <c r="D275" s="25" t="n"/>
      <c r="E275" s="25" t="n"/>
      <c r="F275" s="27" t="n"/>
      <c r="G275" s="25" t="n"/>
      <c r="H275" s="28">
        <f>IF(OR(NOT(AND($A275&lt;&gt;"",OR($G275="",$G275="Active"))),$F275=""),"",INT((TODAY()-$F275+280)/7)&amp;"+"&amp;MOD(TODAY()-$F275+280,7))</f>
        <v/>
      </c>
      <c r="I275" s="28">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ISNUMBER($Y275)*($Y275&gt;=TODAY())*($Y275&lt;=TODAY()+7))</f>
        <v/>
      </c>
      <c r="J275" s="28">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29">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7" t="n"/>
      <c r="M275" s="27" t="n"/>
      <c r="N275" s="27" t="n"/>
      <c r="O275" s="27" t="n"/>
      <c r="P275" s="27" t="n"/>
      <c r="Q275" s="27" t="n"/>
      <c r="R275" s="27" t="n"/>
      <c r="S275" s="27" t="n"/>
      <c r="T275" s="27" t="n"/>
      <c r="U275" s="27" t="n"/>
      <c r="V275" s="27" t="n"/>
      <c r="W275" s="27" t="n"/>
      <c r="X275" s="27" t="n"/>
      <c r="Y275" s="27" t="n"/>
      <c r="Z275" s="30" t="n"/>
      <c r="AA275" s="25" t="n"/>
      <c r="AB275" s="28">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ISNUMBER($Y275)*($Y275&lt;TODAY()))</f>
        <v/>
      </c>
    </row>
    <row r="276">
      <c r="A276" s="25" t="n"/>
      <c r="B276" s="26" t="n"/>
      <c r="C276" s="27" t="n"/>
      <c r="D276" s="25" t="n"/>
      <c r="E276" s="25" t="n"/>
      <c r="F276" s="27" t="n"/>
      <c r="G276" s="25" t="n"/>
      <c r="H276" s="28">
        <f>IF(OR(NOT(AND($A276&lt;&gt;"",OR($G276="",$G276="Active"))),$F276=""),"",INT((TODAY()-$F276+280)/7)&amp;"+"&amp;MOD(TODAY()-$F276+280,7))</f>
        <v/>
      </c>
      <c r="I276" s="28">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ISNUMBER($Y276)*($Y276&gt;=TODAY())*($Y276&lt;=TODAY()+7))</f>
        <v/>
      </c>
      <c r="J276" s="28">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29">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7" t="n"/>
      <c r="M276" s="27" t="n"/>
      <c r="N276" s="27" t="n"/>
      <c r="O276" s="27" t="n"/>
      <c r="P276" s="27" t="n"/>
      <c r="Q276" s="27" t="n"/>
      <c r="R276" s="27" t="n"/>
      <c r="S276" s="27" t="n"/>
      <c r="T276" s="27" t="n"/>
      <c r="U276" s="27" t="n"/>
      <c r="V276" s="27" t="n"/>
      <c r="W276" s="27" t="n"/>
      <c r="X276" s="27" t="n"/>
      <c r="Y276" s="27" t="n"/>
      <c r="Z276" s="30" t="n"/>
      <c r="AA276" s="25" t="n"/>
      <c r="AB276" s="28">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ISNUMBER($Y276)*($Y276&lt;TODAY()))</f>
        <v/>
      </c>
    </row>
    <row r="277">
      <c r="A277" s="25" t="n"/>
      <c r="B277" s="26" t="n"/>
      <c r="C277" s="27" t="n"/>
      <c r="D277" s="25" t="n"/>
      <c r="E277" s="25" t="n"/>
      <c r="F277" s="27" t="n"/>
      <c r="G277" s="25" t="n"/>
      <c r="H277" s="28">
        <f>IF(OR(NOT(AND($A277&lt;&gt;"",OR($G277="",$G277="Active"))),$F277=""),"",INT((TODAY()-$F277+280)/7)&amp;"+"&amp;MOD(TODAY()-$F277+280,7))</f>
        <v/>
      </c>
      <c r="I277" s="28">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ISNUMBER($Y277)*($Y277&gt;=TODAY())*($Y277&lt;=TODAY()+7))</f>
        <v/>
      </c>
      <c r="J277" s="28">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29">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7" t="n"/>
      <c r="M277" s="27" t="n"/>
      <c r="N277" s="27" t="n"/>
      <c r="O277" s="27" t="n"/>
      <c r="P277" s="27" t="n"/>
      <c r="Q277" s="27" t="n"/>
      <c r="R277" s="27" t="n"/>
      <c r="S277" s="27" t="n"/>
      <c r="T277" s="27" t="n"/>
      <c r="U277" s="27" t="n"/>
      <c r="V277" s="27" t="n"/>
      <c r="W277" s="27" t="n"/>
      <c r="X277" s="27" t="n"/>
      <c r="Y277" s="27" t="n"/>
      <c r="Z277" s="30" t="n"/>
      <c r="AA277" s="25" t="n"/>
      <c r="AB277" s="28">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ISNUMBER($Y277)*($Y277&lt;TODAY()))</f>
        <v/>
      </c>
    </row>
    <row r="278">
      <c r="A278" s="25" t="n"/>
      <c r="B278" s="26" t="n"/>
      <c r="C278" s="27" t="n"/>
      <c r="D278" s="25" t="n"/>
      <c r="E278" s="25" t="n"/>
      <c r="F278" s="27" t="n"/>
      <c r="G278" s="25" t="n"/>
      <c r="H278" s="28">
        <f>IF(OR(NOT(AND($A278&lt;&gt;"",OR($G278="",$G278="Active"))),$F278=""),"",INT((TODAY()-$F278+280)/7)&amp;"+"&amp;MOD(TODAY()-$F278+280,7))</f>
        <v/>
      </c>
      <c r="I278" s="28">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ISNUMBER($Y278)*($Y278&gt;=TODAY())*($Y278&lt;=TODAY()+7))</f>
        <v/>
      </c>
      <c r="J278" s="28">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29">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7" t="n"/>
      <c r="M278" s="27" t="n"/>
      <c r="N278" s="27" t="n"/>
      <c r="O278" s="27" t="n"/>
      <c r="P278" s="27" t="n"/>
      <c r="Q278" s="27" t="n"/>
      <c r="R278" s="27" t="n"/>
      <c r="S278" s="27" t="n"/>
      <c r="T278" s="27" t="n"/>
      <c r="U278" s="27" t="n"/>
      <c r="V278" s="27" t="n"/>
      <c r="W278" s="27" t="n"/>
      <c r="X278" s="27" t="n"/>
      <c r="Y278" s="27" t="n"/>
      <c r="Z278" s="30" t="n"/>
      <c r="AA278" s="25" t="n"/>
      <c r="AB278" s="28">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ISNUMBER($Y278)*($Y278&lt;TODAY()))</f>
        <v/>
      </c>
    </row>
    <row r="279">
      <c r="A279" s="25" t="n"/>
      <c r="B279" s="26" t="n"/>
      <c r="C279" s="27" t="n"/>
      <c r="D279" s="25" t="n"/>
      <c r="E279" s="25" t="n"/>
      <c r="F279" s="27" t="n"/>
      <c r="G279" s="25" t="n"/>
      <c r="H279" s="28">
        <f>IF(OR(NOT(AND($A279&lt;&gt;"",OR($G279="",$G279="Active"))),$F279=""),"",INT((TODAY()-$F279+280)/7)&amp;"+"&amp;MOD(TODAY()-$F279+280,7))</f>
        <v/>
      </c>
      <c r="I279" s="28">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ISNUMBER($Y279)*($Y279&gt;=TODAY())*($Y279&lt;=TODAY()+7))</f>
        <v/>
      </c>
      <c r="J279" s="28">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29">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7" t="n"/>
      <c r="M279" s="27" t="n"/>
      <c r="N279" s="27" t="n"/>
      <c r="O279" s="27" t="n"/>
      <c r="P279" s="27" t="n"/>
      <c r="Q279" s="27" t="n"/>
      <c r="R279" s="27" t="n"/>
      <c r="S279" s="27" t="n"/>
      <c r="T279" s="27" t="n"/>
      <c r="U279" s="27" t="n"/>
      <c r="V279" s="27" t="n"/>
      <c r="W279" s="27" t="n"/>
      <c r="X279" s="27" t="n"/>
      <c r="Y279" s="27" t="n"/>
      <c r="Z279" s="30" t="n"/>
      <c r="AA279" s="25" t="n"/>
      <c r="AB279" s="28">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ISNUMBER($Y279)*($Y279&lt;TODAY()))</f>
        <v/>
      </c>
    </row>
    <row r="280">
      <c r="A280" s="25" t="n"/>
      <c r="B280" s="26" t="n"/>
      <c r="C280" s="27" t="n"/>
      <c r="D280" s="25" t="n"/>
      <c r="E280" s="25" t="n"/>
      <c r="F280" s="27" t="n"/>
      <c r="G280" s="25" t="n"/>
      <c r="H280" s="28">
        <f>IF(OR(NOT(AND($A280&lt;&gt;"",OR($G280="",$G280="Active"))),$F280=""),"",INT((TODAY()-$F280+280)/7)&amp;"+"&amp;MOD(TODAY()-$F280+280,7))</f>
        <v/>
      </c>
      <c r="I280" s="28">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ISNUMBER($Y280)*($Y280&gt;=TODAY())*($Y280&lt;=TODAY()+7))</f>
        <v/>
      </c>
      <c r="J280" s="28">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29">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7" t="n"/>
      <c r="M280" s="27" t="n"/>
      <c r="N280" s="27" t="n"/>
      <c r="O280" s="27" t="n"/>
      <c r="P280" s="27" t="n"/>
      <c r="Q280" s="27" t="n"/>
      <c r="R280" s="27" t="n"/>
      <c r="S280" s="27" t="n"/>
      <c r="T280" s="27" t="n"/>
      <c r="U280" s="27" t="n"/>
      <c r="V280" s="27" t="n"/>
      <c r="W280" s="27" t="n"/>
      <c r="X280" s="27" t="n"/>
      <c r="Y280" s="27" t="n"/>
      <c r="Z280" s="30" t="n"/>
      <c r="AA280" s="25" t="n"/>
      <c r="AB280" s="28">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ISNUMBER($Y280)*($Y280&lt;TODAY()))</f>
        <v/>
      </c>
    </row>
    <row r="281">
      <c r="A281" s="25" t="n"/>
      <c r="B281" s="26" t="n"/>
      <c r="C281" s="27" t="n"/>
      <c r="D281" s="25" t="n"/>
      <c r="E281" s="25" t="n"/>
      <c r="F281" s="27" t="n"/>
      <c r="G281" s="25" t="n"/>
      <c r="H281" s="28">
        <f>IF(OR(NOT(AND($A281&lt;&gt;"",OR($G281="",$G281="Active"))),$F281=""),"",INT((TODAY()-$F281+280)/7)&amp;"+"&amp;MOD(TODAY()-$F281+280,7))</f>
        <v/>
      </c>
      <c r="I281" s="28">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ISNUMBER($Y281)*($Y281&gt;=TODAY())*($Y281&lt;=TODAY()+7))</f>
        <v/>
      </c>
      <c r="J281" s="28">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29">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7" t="n"/>
      <c r="M281" s="27" t="n"/>
      <c r="N281" s="27" t="n"/>
      <c r="O281" s="27" t="n"/>
      <c r="P281" s="27" t="n"/>
      <c r="Q281" s="27" t="n"/>
      <c r="R281" s="27" t="n"/>
      <c r="S281" s="27" t="n"/>
      <c r="T281" s="27" t="n"/>
      <c r="U281" s="27" t="n"/>
      <c r="V281" s="27" t="n"/>
      <c r="W281" s="27" t="n"/>
      <c r="X281" s="27" t="n"/>
      <c r="Y281" s="27" t="n"/>
      <c r="Z281" s="30" t="n"/>
      <c r="AA281" s="25" t="n"/>
      <c r="AB281" s="28">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ISNUMBER($Y281)*($Y281&lt;TODAY()))</f>
        <v/>
      </c>
    </row>
    <row r="282">
      <c r="A282" s="25" t="n"/>
      <c r="B282" s="26" t="n"/>
      <c r="C282" s="27" t="n"/>
      <c r="D282" s="25" t="n"/>
      <c r="E282" s="25" t="n"/>
      <c r="F282" s="27" t="n"/>
      <c r="G282" s="25" t="n"/>
      <c r="H282" s="28">
        <f>IF(OR(NOT(AND($A282&lt;&gt;"",OR($G282="",$G282="Active"))),$F282=""),"",INT((TODAY()-$F282+280)/7)&amp;"+"&amp;MOD(TODAY()-$F282+280,7))</f>
        <v/>
      </c>
      <c r="I282" s="28">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ISNUMBER($Y282)*($Y282&gt;=TODAY())*($Y282&lt;=TODAY()+7))</f>
        <v/>
      </c>
      <c r="J282" s="28">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29">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7" t="n"/>
      <c r="M282" s="27" t="n"/>
      <c r="N282" s="27" t="n"/>
      <c r="O282" s="27" t="n"/>
      <c r="P282" s="27" t="n"/>
      <c r="Q282" s="27" t="n"/>
      <c r="R282" s="27" t="n"/>
      <c r="S282" s="27" t="n"/>
      <c r="T282" s="27" t="n"/>
      <c r="U282" s="27" t="n"/>
      <c r="V282" s="27" t="n"/>
      <c r="W282" s="27" t="n"/>
      <c r="X282" s="27" t="n"/>
      <c r="Y282" s="27" t="n"/>
      <c r="Z282" s="30" t="n"/>
      <c r="AA282" s="25" t="n"/>
      <c r="AB282" s="28">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ISNUMBER($Y282)*($Y282&lt;TODAY()))</f>
        <v/>
      </c>
    </row>
    <row r="283">
      <c r="A283" s="25" t="n"/>
      <c r="B283" s="26" t="n"/>
      <c r="C283" s="27" t="n"/>
      <c r="D283" s="25" t="n"/>
      <c r="E283" s="25" t="n"/>
      <c r="F283" s="27" t="n"/>
      <c r="G283" s="25" t="n"/>
      <c r="H283" s="28">
        <f>IF(OR(NOT(AND($A283&lt;&gt;"",OR($G283="",$G283="Active"))),$F283=""),"",INT((TODAY()-$F283+280)/7)&amp;"+"&amp;MOD(TODAY()-$F283+280,7))</f>
        <v/>
      </c>
      <c r="I283" s="28">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ISNUMBER($Y283)*($Y283&gt;=TODAY())*($Y283&lt;=TODAY()+7))</f>
        <v/>
      </c>
      <c r="J283" s="28">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29">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7" t="n"/>
      <c r="M283" s="27" t="n"/>
      <c r="N283" s="27" t="n"/>
      <c r="O283" s="27" t="n"/>
      <c r="P283" s="27" t="n"/>
      <c r="Q283" s="27" t="n"/>
      <c r="R283" s="27" t="n"/>
      <c r="S283" s="27" t="n"/>
      <c r="T283" s="27" t="n"/>
      <c r="U283" s="27" t="n"/>
      <c r="V283" s="27" t="n"/>
      <c r="W283" s="27" t="n"/>
      <c r="X283" s="27" t="n"/>
      <c r="Y283" s="27" t="n"/>
      <c r="Z283" s="30" t="n"/>
      <c r="AA283" s="25" t="n"/>
      <c r="AB283" s="28">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ISNUMBER($Y283)*($Y283&lt;TODAY()))</f>
        <v/>
      </c>
    </row>
    <row r="284">
      <c r="A284" s="25" t="n"/>
      <c r="B284" s="26" t="n"/>
      <c r="C284" s="27" t="n"/>
      <c r="D284" s="25" t="n"/>
      <c r="E284" s="25" t="n"/>
      <c r="F284" s="27" t="n"/>
      <c r="G284" s="25" t="n"/>
      <c r="H284" s="28">
        <f>IF(OR(NOT(AND($A284&lt;&gt;"",OR($G284="",$G284="Active"))),$F284=""),"",INT((TODAY()-$F284+280)/7)&amp;"+"&amp;MOD(TODAY()-$F284+280,7))</f>
        <v/>
      </c>
      <c r="I284" s="28">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ISNUMBER($Y284)*($Y284&gt;=TODAY())*($Y284&lt;=TODAY()+7))</f>
        <v/>
      </c>
      <c r="J284" s="28">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29">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7" t="n"/>
      <c r="M284" s="27" t="n"/>
      <c r="N284" s="27" t="n"/>
      <c r="O284" s="27" t="n"/>
      <c r="P284" s="27" t="n"/>
      <c r="Q284" s="27" t="n"/>
      <c r="R284" s="27" t="n"/>
      <c r="S284" s="27" t="n"/>
      <c r="T284" s="27" t="n"/>
      <c r="U284" s="27" t="n"/>
      <c r="V284" s="27" t="n"/>
      <c r="W284" s="27" t="n"/>
      <c r="X284" s="27" t="n"/>
      <c r="Y284" s="27" t="n"/>
      <c r="Z284" s="30" t="n"/>
      <c r="AA284" s="25" t="n"/>
      <c r="AB284" s="28">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ISNUMBER($Y284)*($Y284&lt;TODAY()))</f>
        <v/>
      </c>
    </row>
    <row r="285">
      <c r="A285" s="25" t="n"/>
      <c r="B285" s="26" t="n"/>
      <c r="C285" s="27" t="n"/>
      <c r="D285" s="25" t="n"/>
      <c r="E285" s="25" t="n"/>
      <c r="F285" s="27" t="n"/>
      <c r="G285" s="25" t="n"/>
      <c r="H285" s="28">
        <f>IF(OR(NOT(AND($A285&lt;&gt;"",OR($G285="",$G285="Active"))),$F285=""),"",INT((TODAY()-$F285+280)/7)&amp;"+"&amp;MOD(TODAY()-$F285+280,7))</f>
        <v/>
      </c>
      <c r="I285" s="28">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ISNUMBER($Y285)*($Y285&gt;=TODAY())*($Y285&lt;=TODAY()+7))</f>
        <v/>
      </c>
      <c r="J285" s="28">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29">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7" t="n"/>
      <c r="M285" s="27" t="n"/>
      <c r="N285" s="27" t="n"/>
      <c r="O285" s="27" t="n"/>
      <c r="P285" s="27" t="n"/>
      <c r="Q285" s="27" t="n"/>
      <c r="R285" s="27" t="n"/>
      <c r="S285" s="27" t="n"/>
      <c r="T285" s="27" t="n"/>
      <c r="U285" s="27" t="n"/>
      <c r="V285" s="27" t="n"/>
      <c r="W285" s="27" t="n"/>
      <c r="X285" s="27" t="n"/>
      <c r="Y285" s="27" t="n"/>
      <c r="Z285" s="30" t="n"/>
      <c r="AA285" s="25" t="n"/>
      <c r="AB285" s="28">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ISNUMBER($Y285)*($Y285&lt;TODAY()))</f>
        <v/>
      </c>
    </row>
    <row r="286">
      <c r="A286" s="25" t="n"/>
      <c r="B286" s="26" t="n"/>
      <c r="C286" s="27" t="n"/>
      <c r="D286" s="25" t="n"/>
      <c r="E286" s="25" t="n"/>
      <c r="F286" s="27" t="n"/>
      <c r="G286" s="25" t="n"/>
      <c r="H286" s="28">
        <f>IF(OR(NOT(AND($A286&lt;&gt;"",OR($G286="",$G286="Active"))),$F286=""),"",INT((TODAY()-$F286+280)/7)&amp;"+"&amp;MOD(TODAY()-$F286+280,7))</f>
        <v/>
      </c>
      <c r="I286" s="28">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ISNUMBER($Y286)*($Y286&gt;=TODAY())*($Y286&lt;=TODAY()+7))</f>
        <v/>
      </c>
      <c r="J286" s="28">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29">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7" t="n"/>
      <c r="M286" s="27" t="n"/>
      <c r="N286" s="27" t="n"/>
      <c r="O286" s="27" t="n"/>
      <c r="P286" s="27" t="n"/>
      <c r="Q286" s="27" t="n"/>
      <c r="R286" s="27" t="n"/>
      <c r="S286" s="27" t="n"/>
      <c r="T286" s="27" t="n"/>
      <c r="U286" s="27" t="n"/>
      <c r="V286" s="27" t="n"/>
      <c r="W286" s="27" t="n"/>
      <c r="X286" s="27" t="n"/>
      <c r="Y286" s="27" t="n"/>
      <c r="Z286" s="30" t="n"/>
      <c r="AA286" s="25" t="n"/>
      <c r="AB286" s="28">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ISNUMBER($Y286)*($Y286&lt;TODAY()))</f>
        <v/>
      </c>
    </row>
    <row r="287">
      <c r="A287" s="25" t="n"/>
      <c r="B287" s="26" t="n"/>
      <c r="C287" s="27" t="n"/>
      <c r="D287" s="25" t="n"/>
      <c r="E287" s="25" t="n"/>
      <c r="F287" s="27" t="n"/>
      <c r="G287" s="25" t="n"/>
      <c r="H287" s="28">
        <f>IF(OR(NOT(AND($A287&lt;&gt;"",OR($G287="",$G287="Active"))),$F287=""),"",INT((TODAY()-$F287+280)/7)&amp;"+"&amp;MOD(TODAY()-$F287+280,7))</f>
        <v/>
      </c>
      <c r="I287" s="28">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ISNUMBER($Y287)*($Y287&gt;=TODAY())*($Y287&lt;=TODAY()+7))</f>
        <v/>
      </c>
      <c r="J287" s="28">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29">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7" t="n"/>
      <c r="M287" s="27" t="n"/>
      <c r="N287" s="27" t="n"/>
      <c r="O287" s="27" t="n"/>
      <c r="P287" s="27" t="n"/>
      <c r="Q287" s="27" t="n"/>
      <c r="R287" s="27" t="n"/>
      <c r="S287" s="27" t="n"/>
      <c r="T287" s="27" t="n"/>
      <c r="U287" s="27" t="n"/>
      <c r="V287" s="27" t="n"/>
      <c r="W287" s="27" t="n"/>
      <c r="X287" s="27" t="n"/>
      <c r="Y287" s="27" t="n"/>
      <c r="Z287" s="30" t="n"/>
      <c r="AA287" s="25" t="n"/>
      <c r="AB287" s="28">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ISNUMBER($Y287)*($Y287&lt;TODAY()))</f>
        <v/>
      </c>
    </row>
    <row r="288">
      <c r="A288" s="25" t="n"/>
      <c r="B288" s="26" t="n"/>
      <c r="C288" s="27" t="n"/>
      <c r="D288" s="25" t="n"/>
      <c r="E288" s="25" t="n"/>
      <c r="F288" s="27" t="n"/>
      <c r="G288" s="25" t="n"/>
      <c r="H288" s="28">
        <f>IF(OR(NOT(AND($A288&lt;&gt;"",OR($G288="",$G288="Active"))),$F288=""),"",INT((TODAY()-$F288+280)/7)&amp;"+"&amp;MOD(TODAY()-$F288+280,7))</f>
        <v/>
      </c>
      <c r="I288" s="28">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ISNUMBER($Y288)*($Y288&gt;=TODAY())*($Y288&lt;=TODAY()+7))</f>
        <v/>
      </c>
      <c r="J288" s="28">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29">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7" t="n"/>
      <c r="M288" s="27" t="n"/>
      <c r="N288" s="27" t="n"/>
      <c r="O288" s="27" t="n"/>
      <c r="P288" s="27" t="n"/>
      <c r="Q288" s="27" t="n"/>
      <c r="R288" s="27" t="n"/>
      <c r="S288" s="27" t="n"/>
      <c r="T288" s="27" t="n"/>
      <c r="U288" s="27" t="n"/>
      <c r="V288" s="27" t="n"/>
      <c r="W288" s="27" t="n"/>
      <c r="X288" s="27" t="n"/>
      <c r="Y288" s="27" t="n"/>
      <c r="Z288" s="30" t="n"/>
      <c r="AA288" s="25" t="n"/>
      <c r="AB288" s="28">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ISNUMBER($Y288)*($Y288&lt;TODAY()))</f>
        <v/>
      </c>
    </row>
    <row r="289">
      <c r="A289" s="25" t="n"/>
      <c r="B289" s="26" t="n"/>
      <c r="C289" s="27" t="n"/>
      <c r="D289" s="25" t="n"/>
      <c r="E289" s="25" t="n"/>
      <c r="F289" s="27" t="n"/>
      <c r="G289" s="25" t="n"/>
      <c r="H289" s="28">
        <f>IF(OR(NOT(AND($A289&lt;&gt;"",OR($G289="",$G289="Active"))),$F289=""),"",INT((TODAY()-$F289+280)/7)&amp;"+"&amp;MOD(TODAY()-$F289+280,7))</f>
        <v/>
      </c>
      <c r="I289" s="28">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ISNUMBER($Y289)*($Y289&gt;=TODAY())*($Y289&lt;=TODAY()+7))</f>
        <v/>
      </c>
      <c r="J289" s="28">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29">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7" t="n"/>
      <c r="M289" s="27" t="n"/>
      <c r="N289" s="27" t="n"/>
      <c r="O289" s="27" t="n"/>
      <c r="P289" s="27" t="n"/>
      <c r="Q289" s="27" t="n"/>
      <c r="R289" s="27" t="n"/>
      <c r="S289" s="27" t="n"/>
      <c r="T289" s="27" t="n"/>
      <c r="U289" s="27" t="n"/>
      <c r="V289" s="27" t="n"/>
      <c r="W289" s="27" t="n"/>
      <c r="X289" s="27" t="n"/>
      <c r="Y289" s="27" t="n"/>
      <c r="Z289" s="30" t="n"/>
      <c r="AA289" s="25" t="n"/>
      <c r="AB289" s="28">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ISNUMBER($Y289)*($Y289&lt;TODAY()))</f>
        <v/>
      </c>
    </row>
    <row r="290">
      <c r="A290" s="25" t="n"/>
      <c r="B290" s="26" t="n"/>
      <c r="C290" s="27" t="n"/>
      <c r="D290" s="25" t="n"/>
      <c r="E290" s="25" t="n"/>
      <c r="F290" s="27" t="n"/>
      <c r="G290" s="25" t="n"/>
      <c r="H290" s="28">
        <f>IF(OR(NOT(AND($A290&lt;&gt;"",OR($G290="",$G290="Active"))),$F290=""),"",INT((TODAY()-$F290+280)/7)&amp;"+"&amp;MOD(TODAY()-$F290+280,7))</f>
        <v/>
      </c>
      <c r="I290" s="28">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ISNUMBER($Y290)*($Y290&gt;=TODAY())*($Y290&lt;=TODAY()+7))</f>
        <v/>
      </c>
      <c r="J290" s="28">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29">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7" t="n"/>
      <c r="M290" s="27" t="n"/>
      <c r="N290" s="27" t="n"/>
      <c r="O290" s="27" t="n"/>
      <c r="P290" s="27" t="n"/>
      <c r="Q290" s="27" t="n"/>
      <c r="R290" s="27" t="n"/>
      <c r="S290" s="27" t="n"/>
      <c r="T290" s="27" t="n"/>
      <c r="U290" s="27" t="n"/>
      <c r="V290" s="27" t="n"/>
      <c r="W290" s="27" t="n"/>
      <c r="X290" s="27" t="n"/>
      <c r="Y290" s="27" t="n"/>
      <c r="Z290" s="30" t="n"/>
      <c r="AA290" s="25" t="n"/>
      <c r="AB290" s="28">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ISNUMBER($Y290)*($Y290&lt;TODAY()))</f>
        <v/>
      </c>
    </row>
    <row r="291">
      <c r="A291" s="25" t="n"/>
      <c r="B291" s="26" t="n"/>
      <c r="C291" s="27" t="n"/>
      <c r="D291" s="25" t="n"/>
      <c r="E291" s="25" t="n"/>
      <c r="F291" s="27" t="n"/>
      <c r="G291" s="25" t="n"/>
      <c r="H291" s="28">
        <f>IF(OR(NOT(AND($A291&lt;&gt;"",OR($G291="",$G291="Active"))),$F291=""),"",INT((TODAY()-$F291+280)/7)&amp;"+"&amp;MOD(TODAY()-$F291+280,7))</f>
        <v/>
      </c>
      <c r="I291" s="28">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ISNUMBER($Y291)*($Y291&gt;=TODAY())*($Y291&lt;=TODAY()+7))</f>
        <v/>
      </c>
      <c r="J291" s="28">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29">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7" t="n"/>
      <c r="M291" s="27" t="n"/>
      <c r="N291" s="27" t="n"/>
      <c r="O291" s="27" t="n"/>
      <c r="P291" s="27" t="n"/>
      <c r="Q291" s="27" t="n"/>
      <c r="R291" s="27" t="n"/>
      <c r="S291" s="27" t="n"/>
      <c r="T291" s="27" t="n"/>
      <c r="U291" s="27" t="n"/>
      <c r="V291" s="27" t="n"/>
      <c r="W291" s="27" t="n"/>
      <c r="X291" s="27" t="n"/>
      <c r="Y291" s="27" t="n"/>
      <c r="Z291" s="30" t="n"/>
      <c r="AA291" s="25" t="n"/>
      <c r="AB291" s="28">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ISNUMBER($Y291)*($Y291&lt;TODAY()))</f>
        <v/>
      </c>
    </row>
    <row r="292">
      <c r="A292" s="25" t="n"/>
      <c r="B292" s="26" t="n"/>
      <c r="C292" s="27" t="n"/>
      <c r="D292" s="25" t="n"/>
      <c r="E292" s="25" t="n"/>
      <c r="F292" s="27" t="n"/>
      <c r="G292" s="25" t="n"/>
      <c r="H292" s="28">
        <f>IF(OR(NOT(AND($A292&lt;&gt;"",OR($G292="",$G292="Active"))),$F292=""),"",INT((TODAY()-$F292+280)/7)&amp;"+"&amp;MOD(TODAY()-$F292+280,7))</f>
        <v/>
      </c>
      <c r="I292" s="28">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ISNUMBER($Y292)*($Y292&gt;=TODAY())*($Y292&lt;=TODAY()+7))</f>
        <v/>
      </c>
      <c r="J292" s="28">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29">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7" t="n"/>
      <c r="M292" s="27" t="n"/>
      <c r="N292" s="27" t="n"/>
      <c r="O292" s="27" t="n"/>
      <c r="P292" s="27" t="n"/>
      <c r="Q292" s="27" t="n"/>
      <c r="R292" s="27" t="n"/>
      <c r="S292" s="27" t="n"/>
      <c r="T292" s="27" t="n"/>
      <c r="U292" s="27" t="n"/>
      <c r="V292" s="27" t="n"/>
      <c r="W292" s="27" t="n"/>
      <c r="X292" s="27" t="n"/>
      <c r="Y292" s="27" t="n"/>
      <c r="Z292" s="30" t="n"/>
      <c r="AA292" s="25" t="n"/>
      <c r="AB292" s="28">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ISNUMBER($Y292)*($Y292&lt;TODAY()))</f>
        <v/>
      </c>
    </row>
    <row r="293">
      <c r="A293" s="25" t="n"/>
      <c r="B293" s="26" t="n"/>
      <c r="C293" s="27" t="n"/>
      <c r="D293" s="25" t="n"/>
      <c r="E293" s="25" t="n"/>
      <c r="F293" s="27" t="n"/>
      <c r="G293" s="25" t="n"/>
      <c r="H293" s="28">
        <f>IF(OR(NOT(AND($A293&lt;&gt;"",OR($G293="",$G293="Active"))),$F293=""),"",INT((TODAY()-$F293+280)/7)&amp;"+"&amp;MOD(TODAY()-$F293+280,7))</f>
        <v/>
      </c>
      <c r="I293" s="28">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ISNUMBER($Y293)*($Y293&gt;=TODAY())*($Y293&lt;=TODAY()+7))</f>
        <v/>
      </c>
      <c r="J293" s="28">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29">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7" t="n"/>
      <c r="M293" s="27" t="n"/>
      <c r="N293" s="27" t="n"/>
      <c r="O293" s="27" t="n"/>
      <c r="P293" s="27" t="n"/>
      <c r="Q293" s="27" t="n"/>
      <c r="R293" s="27" t="n"/>
      <c r="S293" s="27" t="n"/>
      <c r="T293" s="27" t="n"/>
      <c r="U293" s="27" t="n"/>
      <c r="V293" s="27" t="n"/>
      <c r="W293" s="27" t="n"/>
      <c r="X293" s="27" t="n"/>
      <c r="Y293" s="27" t="n"/>
      <c r="Z293" s="30" t="n"/>
      <c r="AA293" s="25" t="n"/>
      <c r="AB293" s="28">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ISNUMBER($Y293)*($Y293&lt;TODAY()))</f>
        <v/>
      </c>
    </row>
    <row r="294">
      <c r="A294" s="25" t="n"/>
      <c r="B294" s="26" t="n"/>
      <c r="C294" s="27" t="n"/>
      <c r="D294" s="25" t="n"/>
      <c r="E294" s="25" t="n"/>
      <c r="F294" s="27" t="n"/>
      <c r="G294" s="25" t="n"/>
      <c r="H294" s="28">
        <f>IF(OR(NOT(AND($A294&lt;&gt;"",OR($G294="",$G294="Active"))),$F294=""),"",INT((TODAY()-$F294+280)/7)&amp;"+"&amp;MOD(TODAY()-$F294+280,7))</f>
        <v/>
      </c>
      <c r="I294" s="28">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ISNUMBER($Y294)*($Y294&gt;=TODAY())*($Y294&lt;=TODAY()+7))</f>
        <v/>
      </c>
      <c r="J294" s="28">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29">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7" t="n"/>
      <c r="M294" s="27" t="n"/>
      <c r="N294" s="27" t="n"/>
      <c r="O294" s="27" t="n"/>
      <c r="P294" s="27" t="n"/>
      <c r="Q294" s="27" t="n"/>
      <c r="R294" s="27" t="n"/>
      <c r="S294" s="27" t="n"/>
      <c r="T294" s="27" t="n"/>
      <c r="U294" s="27" t="n"/>
      <c r="V294" s="27" t="n"/>
      <c r="W294" s="27" t="n"/>
      <c r="X294" s="27" t="n"/>
      <c r="Y294" s="27" t="n"/>
      <c r="Z294" s="30" t="n"/>
      <c r="AA294" s="25" t="n"/>
      <c r="AB294" s="28">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ISNUMBER($Y294)*($Y294&lt;TODAY()))</f>
        <v/>
      </c>
    </row>
    <row r="295">
      <c r="A295" s="25" t="n"/>
      <c r="B295" s="26" t="n"/>
      <c r="C295" s="27" t="n"/>
      <c r="D295" s="25" t="n"/>
      <c r="E295" s="25" t="n"/>
      <c r="F295" s="27" t="n"/>
      <c r="G295" s="25" t="n"/>
      <c r="H295" s="28">
        <f>IF(OR(NOT(AND($A295&lt;&gt;"",OR($G295="",$G295="Active"))),$F295=""),"",INT((TODAY()-$F295+280)/7)&amp;"+"&amp;MOD(TODAY()-$F295+280,7))</f>
        <v/>
      </c>
      <c r="I295" s="28">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ISNUMBER($Y295)*($Y295&gt;=TODAY())*($Y295&lt;=TODAY()+7))</f>
        <v/>
      </c>
      <c r="J295" s="28">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29">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7" t="n"/>
      <c r="M295" s="27" t="n"/>
      <c r="N295" s="27" t="n"/>
      <c r="O295" s="27" t="n"/>
      <c r="P295" s="27" t="n"/>
      <c r="Q295" s="27" t="n"/>
      <c r="R295" s="27" t="n"/>
      <c r="S295" s="27" t="n"/>
      <c r="T295" s="27" t="n"/>
      <c r="U295" s="27" t="n"/>
      <c r="V295" s="27" t="n"/>
      <c r="W295" s="27" t="n"/>
      <c r="X295" s="27" t="n"/>
      <c r="Y295" s="27" t="n"/>
      <c r="Z295" s="30" t="n"/>
      <c r="AA295" s="25" t="n"/>
      <c r="AB295" s="28">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ISNUMBER($Y295)*($Y295&lt;TODAY()))</f>
        <v/>
      </c>
    </row>
    <row r="296">
      <c r="A296" s="25" t="n"/>
      <c r="B296" s="26" t="n"/>
      <c r="C296" s="27" t="n"/>
      <c r="D296" s="25" t="n"/>
      <c r="E296" s="25" t="n"/>
      <c r="F296" s="27" t="n"/>
      <c r="G296" s="25" t="n"/>
      <c r="H296" s="28">
        <f>IF(OR(NOT(AND($A296&lt;&gt;"",OR($G296="",$G296="Active"))),$F296=""),"",INT((TODAY()-$F296+280)/7)&amp;"+"&amp;MOD(TODAY()-$F296+280,7))</f>
        <v/>
      </c>
      <c r="I296" s="28">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ISNUMBER($Y296)*($Y296&gt;=TODAY())*($Y296&lt;=TODAY()+7))</f>
        <v/>
      </c>
      <c r="J296" s="28">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29">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7" t="n"/>
      <c r="M296" s="27" t="n"/>
      <c r="N296" s="27" t="n"/>
      <c r="O296" s="27" t="n"/>
      <c r="P296" s="27" t="n"/>
      <c r="Q296" s="27" t="n"/>
      <c r="R296" s="27" t="n"/>
      <c r="S296" s="27" t="n"/>
      <c r="T296" s="27" t="n"/>
      <c r="U296" s="27" t="n"/>
      <c r="V296" s="27" t="n"/>
      <c r="W296" s="27" t="n"/>
      <c r="X296" s="27" t="n"/>
      <c r="Y296" s="27" t="n"/>
      <c r="Z296" s="30" t="n"/>
      <c r="AA296" s="25" t="n"/>
      <c r="AB296" s="28">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ISNUMBER($Y296)*($Y296&lt;TODAY()))</f>
        <v/>
      </c>
    </row>
    <row r="297">
      <c r="A297" s="25" t="n"/>
      <c r="B297" s="26" t="n"/>
      <c r="C297" s="27" t="n"/>
      <c r="D297" s="25" t="n"/>
      <c r="E297" s="25" t="n"/>
      <c r="F297" s="27" t="n"/>
      <c r="G297" s="25" t="n"/>
      <c r="H297" s="28">
        <f>IF(OR(NOT(AND($A297&lt;&gt;"",OR($G297="",$G297="Active"))),$F297=""),"",INT((TODAY()-$F297+280)/7)&amp;"+"&amp;MOD(TODAY()-$F297+280,7))</f>
        <v/>
      </c>
      <c r="I297" s="28">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ISNUMBER($Y297)*($Y297&gt;=TODAY())*($Y297&lt;=TODAY()+7))</f>
        <v/>
      </c>
      <c r="J297" s="28">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29">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7" t="n"/>
      <c r="M297" s="27" t="n"/>
      <c r="N297" s="27" t="n"/>
      <c r="O297" s="27" t="n"/>
      <c r="P297" s="27" t="n"/>
      <c r="Q297" s="27" t="n"/>
      <c r="R297" s="27" t="n"/>
      <c r="S297" s="27" t="n"/>
      <c r="T297" s="27" t="n"/>
      <c r="U297" s="27" t="n"/>
      <c r="V297" s="27" t="n"/>
      <c r="W297" s="27" t="n"/>
      <c r="X297" s="27" t="n"/>
      <c r="Y297" s="27" t="n"/>
      <c r="Z297" s="30" t="n"/>
      <c r="AA297" s="25" t="n"/>
      <c r="AB297" s="28">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ISNUMBER($Y297)*($Y297&lt;TODAY()))</f>
        <v/>
      </c>
    </row>
    <row r="298">
      <c r="A298" s="25" t="n"/>
      <c r="B298" s="26" t="n"/>
      <c r="C298" s="27" t="n"/>
      <c r="D298" s="25" t="n"/>
      <c r="E298" s="25" t="n"/>
      <c r="F298" s="27" t="n"/>
      <c r="G298" s="25" t="n"/>
      <c r="H298" s="28">
        <f>IF(OR(NOT(AND($A298&lt;&gt;"",OR($G298="",$G298="Active"))),$F298=""),"",INT((TODAY()-$F298+280)/7)&amp;"+"&amp;MOD(TODAY()-$F298+280,7))</f>
        <v/>
      </c>
      <c r="I298" s="28">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ISNUMBER($Y298)*($Y298&gt;=TODAY())*($Y298&lt;=TODAY()+7))</f>
        <v/>
      </c>
      <c r="J298" s="28">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29">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7" t="n"/>
      <c r="M298" s="27" t="n"/>
      <c r="N298" s="27" t="n"/>
      <c r="O298" s="27" t="n"/>
      <c r="P298" s="27" t="n"/>
      <c r="Q298" s="27" t="n"/>
      <c r="R298" s="27" t="n"/>
      <c r="S298" s="27" t="n"/>
      <c r="T298" s="27" t="n"/>
      <c r="U298" s="27" t="n"/>
      <c r="V298" s="27" t="n"/>
      <c r="W298" s="27" t="n"/>
      <c r="X298" s="27" t="n"/>
      <c r="Y298" s="27" t="n"/>
      <c r="Z298" s="30" t="n"/>
      <c r="AA298" s="25" t="n"/>
      <c r="AB298" s="28">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ISNUMBER($Y298)*($Y298&lt;TODAY()))</f>
        <v/>
      </c>
    </row>
    <row r="299">
      <c r="A299" s="25" t="n"/>
      <c r="B299" s="26" t="n"/>
      <c r="C299" s="27" t="n"/>
      <c r="D299" s="25" t="n"/>
      <c r="E299" s="25" t="n"/>
      <c r="F299" s="27" t="n"/>
      <c r="G299" s="25" t="n"/>
      <c r="H299" s="28">
        <f>IF(OR(NOT(AND($A299&lt;&gt;"",OR($G299="",$G299="Active"))),$F299=""),"",INT((TODAY()-$F299+280)/7)&amp;"+"&amp;MOD(TODAY()-$F299+280,7))</f>
        <v/>
      </c>
      <c r="I299" s="28">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ISNUMBER($Y299)*($Y299&gt;=TODAY())*($Y299&lt;=TODAY()+7))</f>
        <v/>
      </c>
      <c r="J299" s="28">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29">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7" t="n"/>
      <c r="M299" s="27" t="n"/>
      <c r="N299" s="27" t="n"/>
      <c r="O299" s="27" t="n"/>
      <c r="P299" s="27" t="n"/>
      <c r="Q299" s="27" t="n"/>
      <c r="R299" s="27" t="n"/>
      <c r="S299" s="27" t="n"/>
      <c r="T299" s="27" t="n"/>
      <c r="U299" s="27" t="n"/>
      <c r="V299" s="27" t="n"/>
      <c r="W299" s="27" t="n"/>
      <c r="X299" s="27" t="n"/>
      <c r="Y299" s="27" t="n"/>
      <c r="Z299" s="30" t="n"/>
      <c r="AA299" s="25" t="n"/>
      <c r="AB299" s="28">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ISNUMBER($Y299)*($Y299&lt;TODAY()))</f>
        <v/>
      </c>
    </row>
    <row r="300">
      <c r="A300" s="25" t="n"/>
      <c r="B300" s="26" t="n"/>
      <c r="C300" s="27" t="n"/>
      <c r="D300" s="25" t="n"/>
      <c r="E300" s="25" t="n"/>
      <c r="F300" s="27" t="n"/>
      <c r="G300" s="25" t="n"/>
      <c r="H300" s="28">
        <f>IF(OR(NOT(AND($A300&lt;&gt;"",OR($G300="",$G300="Active"))),$F300=""),"",INT((TODAY()-$F300+280)/7)&amp;"+"&amp;MOD(TODAY()-$F300+280,7))</f>
        <v/>
      </c>
      <c r="I300" s="28">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ISNUMBER($Y300)*($Y300&gt;=TODAY())*($Y300&lt;=TODAY()+7))</f>
        <v/>
      </c>
      <c r="J300" s="28">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29">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7" t="n"/>
      <c r="M300" s="27" t="n"/>
      <c r="N300" s="27" t="n"/>
      <c r="O300" s="27" t="n"/>
      <c r="P300" s="27" t="n"/>
      <c r="Q300" s="27" t="n"/>
      <c r="R300" s="27" t="n"/>
      <c r="S300" s="27" t="n"/>
      <c r="T300" s="27" t="n"/>
      <c r="U300" s="27" t="n"/>
      <c r="V300" s="27" t="n"/>
      <c r="W300" s="27" t="n"/>
      <c r="X300" s="27" t="n"/>
      <c r="Y300" s="27" t="n"/>
      <c r="Z300" s="30" t="n"/>
      <c r="AA300" s="25" t="n"/>
      <c r="AB300" s="28">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ISNUMBER($Y300)*($Y300&lt;TODAY()))</f>
        <v/>
      </c>
    </row>
    <row r="301">
      <c r="A301" s="25" t="n"/>
      <c r="B301" s="26" t="n"/>
      <c r="C301" s="27" t="n"/>
      <c r="D301" s="25" t="n"/>
      <c r="E301" s="25" t="n"/>
      <c r="F301" s="27" t="n"/>
      <c r="G301" s="25" t="n"/>
      <c r="H301" s="28">
        <f>IF(OR(NOT(AND($A301&lt;&gt;"",OR($G301="",$G301="Active"))),$F301=""),"",INT((TODAY()-$F301+280)/7)&amp;"+"&amp;MOD(TODAY()-$F301+280,7))</f>
        <v/>
      </c>
      <c r="I301" s="28">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ISNUMBER($Y301)*($Y301&gt;=TODAY())*($Y301&lt;=TODAY()+7))</f>
        <v/>
      </c>
      <c r="J301" s="28">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29">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7" t="n"/>
      <c r="M301" s="27" t="n"/>
      <c r="N301" s="27" t="n"/>
      <c r="O301" s="27" t="n"/>
      <c r="P301" s="27" t="n"/>
      <c r="Q301" s="27" t="n"/>
      <c r="R301" s="27" t="n"/>
      <c r="S301" s="27" t="n"/>
      <c r="T301" s="27" t="n"/>
      <c r="U301" s="27" t="n"/>
      <c r="V301" s="27" t="n"/>
      <c r="W301" s="27" t="n"/>
      <c r="X301" s="27" t="n"/>
      <c r="Y301" s="27" t="n"/>
      <c r="Z301" s="30" t="n"/>
      <c r="AA301" s="25" t="n"/>
      <c r="AB301" s="28">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ISNUMBER($Y301)*($Y301&lt;TODAY()))</f>
        <v/>
      </c>
    </row>
    <row r="302">
      <c r="A302" s="25" t="n"/>
      <c r="B302" s="26" t="n"/>
      <c r="C302" s="27" t="n"/>
      <c r="D302" s="25" t="n"/>
      <c r="E302" s="25" t="n"/>
      <c r="F302" s="27" t="n"/>
      <c r="G302" s="25" t="n"/>
      <c r="H302" s="28">
        <f>IF(OR(NOT(AND($A302&lt;&gt;"",OR($G302="",$G302="Active"))),$F302=""),"",INT((TODAY()-$F302+280)/7)&amp;"+"&amp;MOD(TODAY()-$F302+280,7))</f>
        <v/>
      </c>
      <c r="I302" s="28">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ISNUMBER($Y302)*($Y302&gt;=TODAY())*($Y302&lt;=TODAY()+7))</f>
        <v/>
      </c>
      <c r="J302" s="28">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29">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7" t="n"/>
      <c r="M302" s="27" t="n"/>
      <c r="N302" s="27" t="n"/>
      <c r="O302" s="27" t="n"/>
      <c r="P302" s="27" t="n"/>
      <c r="Q302" s="27" t="n"/>
      <c r="R302" s="27" t="n"/>
      <c r="S302" s="27" t="n"/>
      <c r="T302" s="27" t="n"/>
      <c r="U302" s="27" t="n"/>
      <c r="V302" s="27" t="n"/>
      <c r="W302" s="27" t="n"/>
      <c r="X302" s="27" t="n"/>
      <c r="Y302" s="27" t="n"/>
      <c r="Z302" s="30" t="n"/>
      <c r="AA302" s="25" t="n"/>
      <c r="AB302" s="28">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ISNUMBER($Y302)*($Y302&lt;TODAY()))</f>
        <v/>
      </c>
    </row>
    <row r="303">
      <c r="A303" s="25" t="n"/>
      <c r="B303" s="26" t="n"/>
      <c r="C303" s="27" t="n"/>
      <c r="D303" s="25" t="n"/>
      <c r="E303" s="25" t="n"/>
      <c r="F303" s="27" t="n"/>
      <c r="G303" s="25" t="n"/>
      <c r="H303" s="28">
        <f>IF(OR(NOT(AND($A303&lt;&gt;"",OR($G303="",$G303="Active"))),$F303=""),"",INT((TODAY()-$F303+280)/7)&amp;"+"&amp;MOD(TODAY()-$F303+280,7))</f>
        <v/>
      </c>
      <c r="I303" s="28">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ISNUMBER($Y303)*($Y303&gt;=TODAY())*($Y303&lt;=TODAY()+7))</f>
        <v/>
      </c>
      <c r="J303" s="28">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29">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7" t="n"/>
      <c r="M303" s="27" t="n"/>
      <c r="N303" s="27" t="n"/>
      <c r="O303" s="27" t="n"/>
      <c r="P303" s="27" t="n"/>
      <c r="Q303" s="27" t="n"/>
      <c r="R303" s="27" t="n"/>
      <c r="S303" s="27" t="n"/>
      <c r="T303" s="27" t="n"/>
      <c r="U303" s="27" t="n"/>
      <c r="V303" s="27" t="n"/>
      <c r="W303" s="27" t="n"/>
      <c r="X303" s="27" t="n"/>
      <c r="Y303" s="27" t="n"/>
      <c r="Z303" s="30" t="n"/>
      <c r="AA303" s="25" t="n"/>
      <c r="AB303" s="28">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ISNUMBER($Y303)*($Y303&lt;TODAY()))</f>
        <v/>
      </c>
    </row>
    <row r="304">
      <c r="A304" s="25" t="n"/>
      <c r="B304" s="26" t="n"/>
      <c r="C304" s="27" t="n"/>
      <c r="D304" s="25" t="n"/>
      <c r="E304" s="25" t="n"/>
      <c r="F304" s="27" t="n"/>
      <c r="G304" s="25" t="n"/>
      <c r="H304" s="28">
        <f>IF(OR(NOT(AND($A304&lt;&gt;"",OR($G304="",$G304="Active"))),$F304=""),"",INT((TODAY()-$F304+280)/7)&amp;"+"&amp;MOD(TODAY()-$F304+280,7))</f>
        <v/>
      </c>
      <c r="I304" s="28">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ISNUMBER($Y304)*($Y304&gt;=TODAY())*($Y304&lt;=TODAY()+7))</f>
        <v/>
      </c>
      <c r="J304" s="28">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29">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7" t="n"/>
      <c r="M304" s="27" t="n"/>
      <c r="N304" s="27" t="n"/>
      <c r="O304" s="27" t="n"/>
      <c r="P304" s="27" t="n"/>
      <c r="Q304" s="27" t="n"/>
      <c r="R304" s="27" t="n"/>
      <c r="S304" s="27" t="n"/>
      <c r="T304" s="27" t="n"/>
      <c r="U304" s="27" t="n"/>
      <c r="V304" s="27" t="n"/>
      <c r="W304" s="27" t="n"/>
      <c r="X304" s="27" t="n"/>
      <c r="Y304" s="27" t="n"/>
      <c r="Z304" s="30" t="n"/>
      <c r="AA304" s="25" t="n"/>
      <c r="AB304" s="28">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ISNUMBER($Y304)*($Y304&lt;TODAY()))</f>
        <v/>
      </c>
    </row>
    <row r="305">
      <c r="A305" s="25" t="n"/>
      <c r="B305" s="26" t="n"/>
      <c r="C305" s="27" t="n"/>
      <c r="D305" s="25" t="n"/>
      <c r="E305" s="25" t="n"/>
      <c r="F305" s="27" t="n"/>
      <c r="G305" s="25" t="n"/>
      <c r="H305" s="28">
        <f>IF(OR(NOT(AND($A305&lt;&gt;"",OR($G305="",$G305="Active"))),$F305=""),"",INT((TODAY()-$F305+280)/7)&amp;"+"&amp;MOD(TODAY()-$F305+280,7))</f>
        <v/>
      </c>
      <c r="I305" s="28">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ISNUMBER($Y305)*($Y305&gt;=TODAY())*($Y305&lt;=TODAY()+7))</f>
        <v/>
      </c>
      <c r="J305" s="28">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29">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7" t="n"/>
      <c r="M305" s="27" t="n"/>
      <c r="N305" s="27" t="n"/>
      <c r="O305" s="27" t="n"/>
      <c r="P305" s="27" t="n"/>
      <c r="Q305" s="27" t="n"/>
      <c r="R305" s="27" t="n"/>
      <c r="S305" s="27" t="n"/>
      <c r="T305" s="27" t="n"/>
      <c r="U305" s="27" t="n"/>
      <c r="V305" s="27" t="n"/>
      <c r="W305" s="27" t="n"/>
      <c r="X305" s="27" t="n"/>
      <c r="Y305" s="27" t="n"/>
      <c r="Z305" s="30" t="n"/>
      <c r="AA305" s="25" t="n"/>
      <c r="AB305" s="28">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ISNUMBER($Y305)*($Y305&lt;TODAY()))</f>
        <v/>
      </c>
    </row>
    <row r="306">
      <c r="A306" s="25" t="n"/>
      <c r="B306" s="26" t="n"/>
      <c r="C306" s="27" t="n"/>
      <c r="D306" s="25" t="n"/>
      <c r="E306" s="25" t="n"/>
      <c r="F306" s="27" t="n"/>
      <c r="G306" s="25" t="n"/>
      <c r="H306" s="28">
        <f>IF(OR(NOT(AND($A306&lt;&gt;"",OR($G306="",$G306="Active"))),$F306=""),"",INT((TODAY()-$F306+280)/7)&amp;"+"&amp;MOD(TODAY()-$F306+280,7))</f>
        <v/>
      </c>
      <c r="I306" s="28">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ISNUMBER($Y306)*($Y306&gt;=TODAY())*($Y306&lt;=TODAY()+7))</f>
        <v/>
      </c>
      <c r="J306" s="28">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29">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7" t="n"/>
      <c r="M306" s="27" t="n"/>
      <c r="N306" s="27" t="n"/>
      <c r="O306" s="27" t="n"/>
      <c r="P306" s="27" t="n"/>
      <c r="Q306" s="27" t="n"/>
      <c r="R306" s="27" t="n"/>
      <c r="S306" s="27" t="n"/>
      <c r="T306" s="27" t="n"/>
      <c r="U306" s="27" t="n"/>
      <c r="V306" s="27" t="n"/>
      <c r="W306" s="27" t="n"/>
      <c r="X306" s="27" t="n"/>
      <c r="Y306" s="27" t="n"/>
      <c r="Z306" s="30" t="n"/>
      <c r="AA306" s="25" t="n"/>
      <c r="AB306" s="28">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ISNUMBER($Y306)*($Y306&lt;TODAY()))</f>
        <v/>
      </c>
    </row>
    <row r="307">
      <c r="A307" s="25" t="n"/>
      <c r="B307" s="26" t="n"/>
      <c r="C307" s="27" t="n"/>
      <c r="D307" s="25" t="n"/>
      <c r="E307" s="25" t="n"/>
      <c r="F307" s="27" t="n"/>
      <c r="G307" s="25" t="n"/>
      <c r="H307" s="28">
        <f>IF(OR(NOT(AND($A307&lt;&gt;"",OR($G307="",$G307="Active"))),$F307=""),"",INT((TODAY()-$F307+280)/7)&amp;"+"&amp;MOD(TODAY()-$F307+280,7))</f>
        <v/>
      </c>
      <c r="I307" s="28">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ISNUMBER($Y307)*($Y307&gt;=TODAY())*($Y307&lt;=TODAY()+7))</f>
        <v/>
      </c>
      <c r="J307" s="28">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29">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7" t="n"/>
      <c r="M307" s="27" t="n"/>
      <c r="N307" s="27" t="n"/>
      <c r="O307" s="27" t="n"/>
      <c r="P307" s="27" t="n"/>
      <c r="Q307" s="27" t="n"/>
      <c r="R307" s="27" t="n"/>
      <c r="S307" s="27" t="n"/>
      <c r="T307" s="27" t="n"/>
      <c r="U307" s="27" t="n"/>
      <c r="V307" s="27" t="n"/>
      <c r="W307" s="27" t="n"/>
      <c r="X307" s="27" t="n"/>
      <c r="Y307" s="27" t="n"/>
      <c r="Z307" s="30" t="n"/>
      <c r="AA307" s="25" t="n"/>
      <c r="AB307" s="28">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ISNUMBER($Y307)*($Y307&lt;TODAY()))</f>
        <v/>
      </c>
    </row>
    <row r="308">
      <c r="A308" s="25" t="n"/>
      <c r="B308" s="26" t="n"/>
      <c r="C308" s="27" t="n"/>
      <c r="D308" s="25" t="n"/>
      <c r="E308" s="25" t="n"/>
      <c r="F308" s="27" t="n"/>
      <c r="G308" s="25" t="n"/>
      <c r="H308" s="28">
        <f>IF(OR(NOT(AND($A308&lt;&gt;"",OR($G308="",$G308="Active"))),$F308=""),"",INT((TODAY()-$F308+280)/7)&amp;"+"&amp;MOD(TODAY()-$F308+280,7))</f>
        <v/>
      </c>
      <c r="I308" s="28">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ISNUMBER($Y308)*($Y308&gt;=TODAY())*($Y308&lt;=TODAY()+7))</f>
        <v/>
      </c>
      <c r="J308" s="28">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29">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7" t="n"/>
      <c r="M308" s="27" t="n"/>
      <c r="N308" s="27" t="n"/>
      <c r="O308" s="27" t="n"/>
      <c r="P308" s="27" t="n"/>
      <c r="Q308" s="27" t="n"/>
      <c r="R308" s="27" t="n"/>
      <c r="S308" s="27" t="n"/>
      <c r="T308" s="27" t="n"/>
      <c r="U308" s="27" t="n"/>
      <c r="V308" s="27" t="n"/>
      <c r="W308" s="27" t="n"/>
      <c r="X308" s="27" t="n"/>
      <c r="Y308" s="27" t="n"/>
      <c r="Z308" s="30" t="n"/>
      <c r="AA308" s="25" t="n"/>
      <c r="AB308" s="28">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ISNUMBER($Y308)*($Y308&lt;TODAY()))</f>
        <v/>
      </c>
    </row>
    <row r="309">
      <c r="A309" s="25" t="n"/>
      <c r="B309" s="26" t="n"/>
      <c r="C309" s="27" t="n"/>
      <c r="D309" s="25" t="n"/>
      <c r="E309" s="25" t="n"/>
      <c r="F309" s="27" t="n"/>
      <c r="G309" s="25" t="n"/>
      <c r="H309" s="28">
        <f>IF(OR(NOT(AND($A309&lt;&gt;"",OR($G309="",$G309="Active"))),$F309=""),"",INT((TODAY()-$F309+280)/7)&amp;"+"&amp;MOD(TODAY()-$F309+280,7))</f>
        <v/>
      </c>
      <c r="I309" s="28">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ISNUMBER($Y309)*($Y309&gt;=TODAY())*($Y309&lt;=TODAY()+7))</f>
        <v/>
      </c>
      <c r="J309" s="28">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29">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7" t="n"/>
      <c r="M309" s="27" t="n"/>
      <c r="N309" s="27" t="n"/>
      <c r="O309" s="27" t="n"/>
      <c r="P309" s="27" t="n"/>
      <c r="Q309" s="27" t="n"/>
      <c r="R309" s="27" t="n"/>
      <c r="S309" s="27" t="n"/>
      <c r="T309" s="27" t="n"/>
      <c r="U309" s="27" t="n"/>
      <c r="V309" s="27" t="n"/>
      <c r="W309" s="27" t="n"/>
      <c r="X309" s="27" t="n"/>
      <c r="Y309" s="27" t="n"/>
      <c r="Z309" s="30" t="n"/>
      <c r="AA309" s="25" t="n"/>
      <c r="AB309" s="28">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ISNUMBER($Y309)*($Y309&lt;TODAY()))</f>
        <v/>
      </c>
    </row>
    <row r="310">
      <c r="A310" s="25" t="n"/>
      <c r="B310" s="26" t="n"/>
      <c r="C310" s="27" t="n"/>
      <c r="D310" s="25" t="n"/>
      <c r="E310" s="25" t="n"/>
      <c r="F310" s="27" t="n"/>
      <c r="G310" s="25" t="n"/>
      <c r="H310" s="28">
        <f>IF(OR(NOT(AND($A310&lt;&gt;"",OR($G310="",$G310="Active"))),$F310=""),"",INT((TODAY()-$F310+280)/7)&amp;"+"&amp;MOD(TODAY()-$F310+280,7))</f>
        <v/>
      </c>
      <c r="I310" s="28">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ISNUMBER($Y310)*($Y310&gt;=TODAY())*($Y310&lt;=TODAY()+7))</f>
        <v/>
      </c>
      <c r="J310" s="28">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29">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7" t="n"/>
      <c r="M310" s="27" t="n"/>
      <c r="N310" s="27" t="n"/>
      <c r="O310" s="27" t="n"/>
      <c r="P310" s="27" t="n"/>
      <c r="Q310" s="27" t="n"/>
      <c r="R310" s="27" t="n"/>
      <c r="S310" s="27" t="n"/>
      <c r="T310" s="27" t="n"/>
      <c r="U310" s="27" t="n"/>
      <c r="V310" s="27" t="n"/>
      <c r="W310" s="27" t="n"/>
      <c r="X310" s="27" t="n"/>
      <c r="Y310" s="27" t="n"/>
      <c r="Z310" s="30" t="n"/>
      <c r="AA310" s="25" t="n"/>
      <c r="AB310" s="28">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ISNUMBER($Y310)*($Y310&lt;TODAY()))</f>
        <v/>
      </c>
    </row>
    <row r="311">
      <c r="A311" s="25" t="n"/>
      <c r="B311" s="26" t="n"/>
      <c r="C311" s="27" t="n"/>
      <c r="D311" s="25" t="n"/>
      <c r="E311" s="25" t="n"/>
      <c r="F311" s="27" t="n"/>
      <c r="G311" s="25" t="n"/>
      <c r="H311" s="28">
        <f>IF(OR(NOT(AND($A311&lt;&gt;"",OR($G311="",$G311="Active"))),$F311=""),"",INT((TODAY()-$F311+280)/7)&amp;"+"&amp;MOD(TODAY()-$F311+280,7))</f>
        <v/>
      </c>
      <c r="I311" s="28">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ISNUMBER($Y311)*($Y311&gt;=TODAY())*($Y311&lt;=TODAY()+7))</f>
        <v/>
      </c>
      <c r="J311" s="28">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29">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7" t="n"/>
      <c r="M311" s="27" t="n"/>
      <c r="N311" s="27" t="n"/>
      <c r="O311" s="27" t="n"/>
      <c r="P311" s="27" t="n"/>
      <c r="Q311" s="27" t="n"/>
      <c r="R311" s="27" t="n"/>
      <c r="S311" s="27" t="n"/>
      <c r="T311" s="27" t="n"/>
      <c r="U311" s="27" t="n"/>
      <c r="V311" s="27" t="n"/>
      <c r="W311" s="27" t="n"/>
      <c r="X311" s="27" t="n"/>
      <c r="Y311" s="27" t="n"/>
      <c r="Z311" s="30" t="n"/>
      <c r="AA311" s="25" t="n"/>
      <c r="AB311" s="28">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ISNUMBER($Y311)*($Y311&lt;TODAY()))</f>
        <v/>
      </c>
    </row>
    <row r="312">
      <c r="A312" s="25" t="n"/>
      <c r="B312" s="26" t="n"/>
      <c r="C312" s="27" t="n"/>
      <c r="D312" s="25" t="n"/>
      <c r="E312" s="25" t="n"/>
      <c r="F312" s="27" t="n"/>
      <c r="G312" s="25" t="n"/>
      <c r="H312" s="28">
        <f>IF(OR(NOT(AND($A312&lt;&gt;"",OR($G312="",$G312="Active"))),$F312=""),"",INT((TODAY()-$F312+280)/7)&amp;"+"&amp;MOD(TODAY()-$F312+280,7))</f>
        <v/>
      </c>
      <c r="I312" s="28">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ISNUMBER($Y312)*($Y312&gt;=TODAY())*($Y312&lt;=TODAY()+7))</f>
        <v/>
      </c>
      <c r="J312" s="28">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29">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7" t="n"/>
      <c r="M312" s="27" t="n"/>
      <c r="N312" s="27" t="n"/>
      <c r="O312" s="27" t="n"/>
      <c r="P312" s="27" t="n"/>
      <c r="Q312" s="27" t="n"/>
      <c r="R312" s="27" t="n"/>
      <c r="S312" s="27" t="n"/>
      <c r="T312" s="27" t="n"/>
      <c r="U312" s="27" t="n"/>
      <c r="V312" s="27" t="n"/>
      <c r="W312" s="27" t="n"/>
      <c r="X312" s="27" t="n"/>
      <c r="Y312" s="27" t="n"/>
      <c r="Z312" s="30" t="n"/>
      <c r="AA312" s="25" t="n"/>
      <c r="AB312" s="28">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ISNUMBER($Y312)*($Y312&lt;TODAY()))</f>
        <v/>
      </c>
    </row>
    <row r="313">
      <c r="A313" s="25" t="n"/>
      <c r="B313" s="26" t="n"/>
      <c r="C313" s="27" t="n"/>
      <c r="D313" s="25" t="n"/>
      <c r="E313" s="25" t="n"/>
      <c r="F313" s="27" t="n"/>
      <c r="G313" s="25" t="n"/>
      <c r="H313" s="28">
        <f>IF(OR(NOT(AND($A313&lt;&gt;"",OR($G313="",$G313="Active"))),$F313=""),"",INT((TODAY()-$F313+280)/7)&amp;"+"&amp;MOD(TODAY()-$F313+280,7))</f>
        <v/>
      </c>
      <c r="I313" s="28">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ISNUMBER($Y313)*($Y313&gt;=TODAY())*($Y313&lt;=TODAY()+7))</f>
        <v/>
      </c>
      <c r="J313" s="28">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29">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7" t="n"/>
      <c r="M313" s="27" t="n"/>
      <c r="N313" s="27" t="n"/>
      <c r="O313" s="27" t="n"/>
      <c r="P313" s="27" t="n"/>
      <c r="Q313" s="27" t="n"/>
      <c r="R313" s="27" t="n"/>
      <c r="S313" s="27" t="n"/>
      <c r="T313" s="27" t="n"/>
      <c r="U313" s="27" t="n"/>
      <c r="V313" s="27" t="n"/>
      <c r="W313" s="27" t="n"/>
      <c r="X313" s="27" t="n"/>
      <c r="Y313" s="27" t="n"/>
      <c r="Z313" s="30" t="n"/>
      <c r="AA313" s="25" t="n"/>
      <c r="AB313" s="28">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ISNUMBER($Y313)*($Y313&lt;TODAY()))</f>
        <v/>
      </c>
    </row>
    <row r="314">
      <c r="A314" s="25" t="n"/>
      <c r="B314" s="26" t="n"/>
      <c r="C314" s="27" t="n"/>
      <c r="D314" s="25" t="n"/>
      <c r="E314" s="25" t="n"/>
      <c r="F314" s="27" t="n"/>
      <c r="G314" s="25" t="n"/>
      <c r="H314" s="28">
        <f>IF(OR(NOT(AND($A314&lt;&gt;"",OR($G314="",$G314="Active"))),$F314=""),"",INT((TODAY()-$F314+280)/7)&amp;"+"&amp;MOD(TODAY()-$F314+280,7))</f>
        <v/>
      </c>
      <c r="I314" s="28">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ISNUMBER($Y314)*($Y314&gt;=TODAY())*($Y314&lt;=TODAY()+7))</f>
        <v/>
      </c>
      <c r="J314" s="28">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29">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7" t="n"/>
      <c r="M314" s="27" t="n"/>
      <c r="N314" s="27" t="n"/>
      <c r="O314" s="27" t="n"/>
      <c r="P314" s="27" t="n"/>
      <c r="Q314" s="27" t="n"/>
      <c r="R314" s="27" t="n"/>
      <c r="S314" s="27" t="n"/>
      <c r="T314" s="27" t="n"/>
      <c r="U314" s="27" t="n"/>
      <c r="V314" s="27" t="n"/>
      <c r="W314" s="27" t="n"/>
      <c r="X314" s="27" t="n"/>
      <c r="Y314" s="27" t="n"/>
      <c r="Z314" s="30" t="n"/>
      <c r="AA314" s="25" t="n"/>
      <c r="AB314" s="28">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ISNUMBER($Y314)*($Y314&lt;TODAY()))</f>
        <v/>
      </c>
    </row>
    <row r="315">
      <c r="A315" s="25" t="n"/>
      <c r="B315" s="26" t="n"/>
      <c r="C315" s="27" t="n"/>
      <c r="D315" s="25" t="n"/>
      <c r="E315" s="25" t="n"/>
      <c r="F315" s="27" t="n"/>
      <c r="G315" s="25" t="n"/>
      <c r="H315" s="28">
        <f>IF(OR(NOT(AND($A315&lt;&gt;"",OR($G315="",$G315="Active"))),$F315=""),"",INT((TODAY()-$F315+280)/7)&amp;"+"&amp;MOD(TODAY()-$F315+280,7))</f>
        <v/>
      </c>
      <c r="I315" s="28">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ISNUMBER($Y315)*($Y315&gt;=TODAY())*($Y315&lt;=TODAY()+7))</f>
        <v/>
      </c>
      <c r="J315" s="28">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29">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7" t="n"/>
      <c r="M315" s="27" t="n"/>
      <c r="N315" s="27" t="n"/>
      <c r="O315" s="27" t="n"/>
      <c r="P315" s="27" t="n"/>
      <c r="Q315" s="27" t="n"/>
      <c r="R315" s="27" t="n"/>
      <c r="S315" s="27" t="n"/>
      <c r="T315" s="27" t="n"/>
      <c r="U315" s="27" t="n"/>
      <c r="V315" s="27" t="n"/>
      <c r="W315" s="27" t="n"/>
      <c r="X315" s="27" t="n"/>
      <c r="Y315" s="27" t="n"/>
      <c r="Z315" s="30" t="n"/>
      <c r="AA315" s="25" t="n"/>
      <c r="AB315" s="28">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ISNUMBER($Y315)*($Y315&lt;TODAY()))</f>
        <v/>
      </c>
    </row>
    <row r="316">
      <c r="A316" s="25" t="n"/>
      <c r="B316" s="26" t="n"/>
      <c r="C316" s="27" t="n"/>
      <c r="D316" s="25" t="n"/>
      <c r="E316" s="25" t="n"/>
      <c r="F316" s="27" t="n"/>
      <c r="G316" s="25" t="n"/>
      <c r="H316" s="28">
        <f>IF(OR(NOT(AND($A316&lt;&gt;"",OR($G316="",$G316="Active"))),$F316=""),"",INT((TODAY()-$F316+280)/7)&amp;"+"&amp;MOD(TODAY()-$F316+280,7))</f>
        <v/>
      </c>
      <c r="I316" s="28">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ISNUMBER($Y316)*($Y316&gt;=TODAY())*($Y316&lt;=TODAY()+7))</f>
        <v/>
      </c>
      <c r="J316" s="28">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29">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7" t="n"/>
      <c r="M316" s="27" t="n"/>
      <c r="N316" s="27" t="n"/>
      <c r="O316" s="27" t="n"/>
      <c r="P316" s="27" t="n"/>
      <c r="Q316" s="27" t="n"/>
      <c r="R316" s="27" t="n"/>
      <c r="S316" s="27" t="n"/>
      <c r="T316" s="27" t="n"/>
      <c r="U316" s="27" t="n"/>
      <c r="V316" s="27" t="n"/>
      <c r="W316" s="27" t="n"/>
      <c r="X316" s="27" t="n"/>
      <c r="Y316" s="27" t="n"/>
      <c r="Z316" s="30" t="n"/>
      <c r="AA316" s="25" t="n"/>
      <c r="AB316" s="28">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ISNUMBER($Y316)*($Y316&lt;TODAY()))</f>
        <v/>
      </c>
    </row>
    <row r="317">
      <c r="A317" s="25" t="n"/>
      <c r="B317" s="26" t="n"/>
      <c r="C317" s="27" t="n"/>
      <c r="D317" s="25" t="n"/>
      <c r="E317" s="25" t="n"/>
      <c r="F317" s="27" t="n"/>
      <c r="G317" s="25" t="n"/>
      <c r="H317" s="28">
        <f>IF(OR(NOT(AND($A317&lt;&gt;"",OR($G317="",$G317="Active"))),$F317=""),"",INT((TODAY()-$F317+280)/7)&amp;"+"&amp;MOD(TODAY()-$F317+280,7))</f>
        <v/>
      </c>
      <c r="I317" s="28">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ISNUMBER($Y317)*($Y317&gt;=TODAY())*($Y317&lt;=TODAY()+7))</f>
        <v/>
      </c>
      <c r="J317" s="28">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29">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7" t="n"/>
      <c r="M317" s="27" t="n"/>
      <c r="N317" s="27" t="n"/>
      <c r="O317" s="27" t="n"/>
      <c r="P317" s="27" t="n"/>
      <c r="Q317" s="27" t="n"/>
      <c r="R317" s="27" t="n"/>
      <c r="S317" s="27" t="n"/>
      <c r="T317" s="27" t="n"/>
      <c r="U317" s="27" t="n"/>
      <c r="V317" s="27" t="n"/>
      <c r="W317" s="27" t="n"/>
      <c r="X317" s="27" t="n"/>
      <c r="Y317" s="27" t="n"/>
      <c r="Z317" s="30" t="n"/>
      <c r="AA317" s="25" t="n"/>
      <c r="AB317" s="28">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ISNUMBER($Y317)*($Y317&lt;TODAY()))</f>
        <v/>
      </c>
    </row>
    <row r="318">
      <c r="A318" s="25" t="n"/>
      <c r="B318" s="26" t="n"/>
      <c r="C318" s="27" t="n"/>
      <c r="D318" s="25" t="n"/>
      <c r="E318" s="25" t="n"/>
      <c r="F318" s="27" t="n"/>
      <c r="G318" s="25" t="n"/>
      <c r="H318" s="28">
        <f>IF(OR(NOT(AND($A318&lt;&gt;"",OR($G318="",$G318="Active"))),$F318=""),"",INT((TODAY()-$F318+280)/7)&amp;"+"&amp;MOD(TODAY()-$F318+280,7))</f>
        <v/>
      </c>
      <c r="I318" s="28">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ISNUMBER($Y318)*($Y318&gt;=TODAY())*($Y318&lt;=TODAY()+7))</f>
        <v/>
      </c>
      <c r="J318" s="28">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29">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7" t="n"/>
      <c r="M318" s="27" t="n"/>
      <c r="N318" s="27" t="n"/>
      <c r="O318" s="27" t="n"/>
      <c r="P318" s="27" t="n"/>
      <c r="Q318" s="27" t="n"/>
      <c r="R318" s="27" t="n"/>
      <c r="S318" s="27" t="n"/>
      <c r="T318" s="27" t="n"/>
      <c r="U318" s="27" t="n"/>
      <c r="V318" s="27" t="n"/>
      <c r="W318" s="27" t="n"/>
      <c r="X318" s="27" t="n"/>
      <c r="Y318" s="27" t="n"/>
      <c r="Z318" s="30" t="n"/>
      <c r="AA318" s="25" t="n"/>
      <c r="AB318" s="28">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ISNUMBER($Y318)*($Y318&lt;TODAY()))</f>
        <v/>
      </c>
    </row>
    <row r="319">
      <c r="A319" s="25" t="n"/>
      <c r="B319" s="26" t="n"/>
      <c r="C319" s="27" t="n"/>
      <c r="D319" s="25" t="n"/>
      <c r="E319" s="25" t="n"/>
      <c r="F319" s="27" t="n"/>
      <c r="G319" s="25" t="n"/>
      <c r="H319" s="28">
        <f>IF(OR(NOT(AND($A319&lt;&gt;"",OR($G319="",$G319="Active"))),$F319=""),"",INT((TODAY()-$F319+280)/7)&amp;"+"&amp;MOD(TODAY()-$F319+280,7))</f>
        <v/>
      </c>
      <c r="I319" s="28">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ISNUMBER($Y319)*($Y319&gt;=TODAY())*($Y319&lt;=TODAY()+7))</f>
        <v/>
      </c>
      <c r="J319" s="28">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29">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7" t="n"/>
      <c r="M319" s="27" t="n"/>
      <c r="N319" s="27" t="n"/>
      <c r="O319" s="27" t="n"/>
      <c r="P319" s="27" t="n"/>
      <c r="Q319" s="27" t="n"/>
      <c r="R319" s="27" t="n"/>
      <c r="S319" s="27" t="n"/>
      <c r="T319" s="27" t="n"/>
      <c r="U319" s="27" t="n"/>
      <c r="V319" s="27" t="n"/>
      <c r="W319" s="27" t="n"/>
      <c r="X319" s="27" t="n"/>
      <c r="Y319" s="27" t="n"/>
      <c r="Z319" s="30" t="n"/>
      <c r="AA319" s="25" t="n"/>
      <c r="AB319" s="28">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ISNUMBER($Y319)*($Y319&lt;TODAY()))</f>
        <v/>
      </c>
    </row>
    <row r="320">
      <c r="A320" s="25" t="n"/>
      <c r="B320" s="26" t="n"/>
      <c r="C320" s="27" t="n"/>
      <c r="D320" s="25" t="n"/>
      <c r="E320" s="25" t="n"/>
      <c r="F320" s="27" t="n"/>
      <c r="G320" s="25" t="n"/>
      <c r="H320" s="28">
        <f>IF(OR(NOT(AND($A320&lt;&gt;"",OR($G320="",$G320="Active"))),$F320=""),"",INT((TODAY()-$F320+280)/7)&amp;"+"&amp;MOD(TODAY()-$F320+280,7))</f>
        <v/>
      </c>
      <c r="I320" s="28">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ISNUMBER($Y320)*($Y320&gt;=TODAY())*($Y320&lt;=TODAY()+7))</f>
        <v/>
      </c>
      <c r="J320" s="28">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29">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7" t="n"/>
      <c r="M320" s="27" t="n"/>
      <c r="N320" s="27" t="n"/>
      <c r="O320" s="27" t="n"/>
      <c r="P320" s="27" t="n"/>
      <c r="Q320" s="27" t="n"/>
      <c r="R320" s="27" t="n"/>
      <c r="S320" s="27" t="n"/>
      <c r="T320" s="27" t="n"/>
      <c r="U320" s="27" t="n"/>
      <c r="V320" s="27" t="n"/>
      <c r="W320" s="27" t="n"/>
      <c r="X320" s="27" t="n"/>
      <c r="Y320" s="27" t="n"/>
      <c r="Z320" s="30" t="n"/>
      <c r="AA320" s="25" t="n"/>
      <c r="AB320" s="28">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ISNUMBER($Y320)*($Y320&lt;TODAY()))</f>
        <v/>
      </c>
    </row>
    <row r="321">
      <c r="A321" s="25" t="n"/>
      <c r="B321" s="26" t="n"/>
      <c r="C321" s="27" t="n"/>
      <c r="D321" s="25" t="n"/>
      <c r="E321" s="25" t="n"/>
      <c r="F321" s="27" t="n"/>
      <c r="G321" s="25" t="n"/>
      <c r="H321" s="28">
        <f>IF(OR(NOT(AND($A321&lt;&gt;"",OR($G321="",$G321="Active"))),$F321=""),"",INT((TODAY()-$F321+280)/7)&amp;"+"&amp;MOD(TODAY()-$F321+280,7))</f>
        <v/>
      </c>
      <c r="I321" s="28">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ISNUMBER($Y321)*($Y321&gt;=TODAY())*($Y321&lt;=TODAY()+7))</f>
        <v/>
      </c>
      <c r="J321" s="28">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29">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7" t="n"/>
      <c r="M321" s="27" t="n"/>
      <c r="N321" s="27" t="n"/>
      <c r="O321" s="27" t="n"/>
      <c r="P321" s="27" t="n"/>
      <c r="Q321" s="27" t="n"/>
      <c r="R321" s="27" t="n"/>
      <c r="S321" s="27" t="n"/>
      <c r="T321" s="27" t="n"/>
      <c r="U321" s="27" t="n"/>
      <c r="V321" s="27" t="n"/>
      <c r="W321" s="27" t="n"/>
      <c r="X321" s="27" t="n"/>
      <c r="Y321" s="27" t="n"/>
      <c r="Z321" s="30" t="n"/>
      <c r="AA321" s="25" t="n"/>
      <c r="AB321" s="28">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ISNUMBER($Y321)*($Y321&lt;TODAY()))</f>
        <v/>
      </c>
    </row>
    <row r="322">
      <c r="A322" s="25" t="n"/>
      <c r="B322" s="26" t="n"/>
      <c r="C322" s="27" t="n"/>
      <c r="D322" s="25" t="n"/>
      <c r="E322" s="25" t="n"/>
      <c r="F322" s="27" t="n"/>
      <c r="G322" s="25" t="n"/>
      <c r="H322" s="28">
        <f>IF(OR(NOT(AND($A322&lt;&gt;"",OR($G322="",$G322="Active"))),$F322=""),"",INT((TODAY()-$F322+280)/7)&amp;"+"&amp;MOD(TODAY()-$F322+280,7))</f>
        <v/>
      </c>
      <c r="I322" s="28">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ISNUMBER($Y322)*($Y322&gt;=TODAY())*($Y322&lt;=TODAY()+7))</f>
        <v/>
      </c>
      <c r="J322" s="28">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29">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7" t="n"/>
      <c r="M322" s="27" t="n"/>
      <c r="N322" s="27" t="n"/>
      <c r="O322" s="27" t="n"/>
      <c r="P322" s="27" t="n"/>
      <c r="Q322" s="27" t="n"/>
      <c r="R322" s="27" t="n"/>
      <c r="S322" s="27" t="n"/>
      <c r="T322" s="27" t="n"/>
      <c r="U322" s="27" t="n"/>
      <c r="V322" s="27" t="n"/>
      <c r="W322" s="27" t="n"/>
      <c r="X322" s="27" t="n"/>
      <c r="Y322" s="27" t="n"/>
      <c r="Z322" s="30" t="n"/>
      <c r="AA322" s="25" t="n"/>
      <c r="AB322" s="28">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ISNUMBER($Y322)*($Y322&lt;TODAY()))</f>
        <v/>
      </c>
    </row>
    <row r="323">
      <c r="A323" s="25" t="n"/>
      <c r="B323" s="26" t="n"/>
      <c r="C323" s="27" t="n"/>
      <c r="D323" s="25" t="n"/>
      <c r="E323" s="25" t="n"/>
      <c r="F323" s="27" t="n"/>
      <c r="G323" s="25" t="n"/>
      <c r="H323" s="28">
        <f>IF(OR(NOT(AND($A323&lt;&gt;"",OR($G323="",$G323="Active"))),$F323=""),"",INT((TODAY()-$F323+280)/7)&amp;"+"&amp;MOD(TODAY()-$F323+280,7))</f>
        <v/>
      </c>
      <c r="I323" s="28">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ISNUMBER($Y323)*($Y323&gt;=TODAY())*($Y323&lt;=TODAY()+7))</f>
        <v/>
      </c>
      <c r="J323" s="28">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29">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7" t="n"/>
      <c r="M323" s="27" t="n"/>
      <c r="N323" s="27" t="n"/>
      <c r="O323" s="27" t="n"/>
      <c r="P323" s="27" t="n"/>
      <c r="Q323" s="27" t="n"/>
      <c r="R323" s="27" t="n"/>
      <c r="S323" s="27" t="n"/>
      <c r="T323" s="27" t="n"/>
      <c r="U323" s="27" t="n"/>
      <c r="V323" s="27" t="n"/>
      <c r="W323" s="27" t="n"/>
      <c r="X323" s="27" t="n"/>
      <c r="Y323" s="27" t="n"/>
      <c r="Z323" s="30" t="n"/>
      <c r="AA323" s="25" t="n"/>
      <c r="AB323" s="28">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ISNUMBER($Y323)*($Y323&lt;TODAY()))</f>
        <v/>
      </c>
    </row>
    <row r="324">
      <c r="A324" s="25" t="n"/>
      <c r="B324" s="26" t="n"/>
      <c r="C324" s="27" t="n"/>
      <c r="D324" s="25" t="n"/>
      <c r="E324" s="25" t="n"/>
      <c r="F324" s="27" t="n"/>
      <c r="G324" s="25" t="n"/>
      <c r="H324" s="28">
        <f>IF(OR(NOT(AND($A324&lt;&gt;"",OR($G324="",$G324="Active"))),$F324=""),"",INT((TODAY()-$F324+280)/7)&amp;"+"&amp;MOD(TODAY()-$F324+280,7))</f>
        <v/>
      </c>
      <c r="I324" s="28">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ISNUMBER($Y324)*($Y324&gt;=TODAY())*($Y324&lt;=TODAY()+7))</f>
        <v/>
      </c>
      <c r="J324" s="28">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29">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7" t="n"/>
      <c r="M324" s="27" t="n"/>
      <c r="N324" s="27" t="n"/>
      <c r="O324" s="27" t="n"/>
      <c r="P324" s="27" t="n"/>
      <c r="Q324" s="27" t="n"/>
      <c r="R324" s="27" t="n"/>
      <c r="S324" s="27" t="n"/>
      <c r="T324" s="27" t="n"/>
      <c r="U324" s="27" t="n"/>
      <c r="V324" s="27" t="n"/>
      <c r="W324" s="27" t="n"/>
      <c r="X324" s="27" t="n"/>
      <c r="Y324" s="27" t="n"/>
      <c r="Z324" s="30" t="n"/>
      <c r="AA324" s="25" t="n"/>
      <c r="AB324" s="28">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ISNUMBER($Y324)*($Y324&lt;TODAY()))</f>
        <v/>
      </c>
    </row>
    <row r="325">
      <c r="A325" s="25" t="n"/>
      <c r="B325" s="26" t="n"/>
      <c r="C325" s="27" t="n"/>
      <c r="D325" s="25" t="n"/>
      <c r="E325" s="25" t="n"/>
      <c r="F325" s="27" t="n"/>
      <c r="G325" s="25" t="n"/>
      <c r="H325" s="28">
        <f>IF(OR(NOT(AND($A325&lt;&gt;"",OR($G325="",$G325="Active"))),$F325=""),"",INT((TODAY()-$F325+280)/7)&amp;"+"&amp;MOD(TODAY()-$F325+280,7))</f>
        <v/>
      </c>
      <c r="I325" s="28">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ISNUMBER($Y325)*($Y325&gt;=TODAY())*($Y325&lt;=TODAY()+7))</f>
        <v/>
      </c>
      <c r="J325" s="28">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29">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7" t="n"/>
      <c r="M325" s="27" t="n"/>
      <c r="N325" s="27" t="n"/>
      <c r="O325" s="27" t="n"/>
      <c r="P325" s="27" t="n"/>
      <c r="Q325" s="27" t="n"/>
      <c r="R325" s="27" t="n"/>
      <c r="S325" s="27" t="n"/>
      <c r="T325" s="27" t="n"/>
      <c r="U325" s="27" t="n"/>
      <c r="V325" s="27" t="n"/>
      <c r="W325" s="27" t="n"/>
      <c r="X325" s="27" t="n"/>
      <c r="Y325" s="27" t="n"/>
      <c r="Z325" s="30" t="n"/>
      <c r="AA325" s="25" t="n"/>
      <c r="AB325" s="28">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ISNUMBER($Y325)*($Y325&lt;TODAY()))</f>
        <v/>
      </c>
    </row>
    <row r="326">
      <c r="A326" s="25" t="n"/>
      <c r="B326" s="26" t="n"/>
      <c r="C326" s="27" t="n"/>
      <c r="D326" s="25" t="n"/>
      <c r="E326" s="25" t="n"/>
      <c r="F326" s="27" t="n"/>
      <c r="G326" s="25" t="n"/>
      <c r="H326" s="28">
        <f>IF(OR(NOT(AND($A326&lt;&gt;"",OR($G326="",$G326="Active"))),$F326=""),"",INT((TODAY()-$F326+280)/7)&amp;"+"&amp;MOD(TODAY()-$F326+280,7))</f>
        <v/>
      </c>
      <c r="I326" s="28">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ISNUMBER($Y326)*($Y326&gt;=TODAY())*($Y326&lt;=TODAY()+7))</f>
        <v/>
      </c>
      <c r="J326" s="28">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29">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7" t="n"/>
      <c r="M326" s="27" t="n"/>
      <c r="N326" s="27" t="n"/>
      <c r="O326" s="27" t="n"/>
      <c r="P326" s="27" t="n"/>
      <c r="Q326" s="27" t="n"/>
      <c r="R326" s="27" t="n"/>
      <c r="S326" s="27" t="n"/>
      <c r="T326" s="27" t="n"/>
      <c r="U326" s="27" t="n"/>
      <c r="V326" s="27" t="n"/>
      <c r="W326" s="27" t="n"/>
      <c r="X326" s="27" t="n"/>
      <c r="Y326" s="27" t="n"/>
      <c r="Z326" s="30" t="n"/>
      <c r="AA326" s="25" t="n"/>
      <c r="AB326" s="28">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ISNUMBER($Y326)*($Y326&lt;TODAY()))</f>
        <v/>
      </c>
    </row>
    <row r="327">
      <c r="A327" s="25" t="n"/>
      <c r="B327" s="26" t="n"/>
      <c r="C327" s="27" t="n"/>
      <c r="D327" s="25" t="n"/>
      <c r="E327" s="25" t="n"/>
      <c r="F327" s="27" t="n"/>
      <c r="G327" s="25" t="n"/>
      <c r="H327" s="28">
        <f>IF(OR(NOT(AND($A327&lt;&gt;"",OR($G327="",$G327="Active"))),$F327=""),"",INT((TODAY()-$F327+280)/7)&amp;"+"&amp;MOD(TODAY()-$F327+280,7))</f>
        <v/>
      </c>
      <c r="I327" s="28">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ISNUMBER($Y327)*($Y327&gt;=TODAY())*($Y327&lt;=TODAY()+7))</f>
        <v/>
      </c>
      <c r="J327" s="28">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29">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7" t="n"/>
      <c r="M327" s="27" t="n"/>
      <c r="N327" s="27" t="n"/>
      <c r="O327" s="27" t="n"/>
      <c r="P327" s="27" t="n"/>
      <c r="Q327" s="27" t="n"/>
      <c r="R327" s="27" t="n"/>
      <c r="S327" s="27" t="n"/>
      <c r="T327" s="27" t="n"/>
      <c r="U327" s="27" t="n"/>
      <c r="V327" s="27" t="n"/>
      <c r="W327" s="27" t="n"/>
      <c r="X327" s="27" t="n"/>
      <c r="Y327" s="27" t="n"/>
      <c r="Z327" s="30" t="n"/>
      <c r="AA327" s="25" t="n"/>
      <c r="AB327" s="28">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ISNUMBER($Y327)*($Y327&lt;TODAY()))</f>
        <v/>
      </c>
    </row>
    <row r="328">
      <c r="A328" s="25" t="n"/>
      <c r="B328" s="26" t="n"/>
      <c r="C328" s="27" t="n"/>
      <c r="D328" s="25" t="n"/>
      <c r="E328" s="25" t="n"/>
      <c r="F328" s="27" t="n"/>
      <c r="G328" s="25" t="n"/>
      <c r="H328" s="28">
        <f>IF(OR(NOT(AND($A328&lt;&gt;"",OR($G328="",$G328="Active"))),$F328=""),"",INT((TODAY()-$F328+280)/7)&amp;"+"&amp;MOD(TODAY()-$F328+280,7))</f>
        <v/>
      </c>
      <c r="I328" s="28">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ISNUMBER($Y328)*($Y328&gt;=TODAY())*($Y328&lt;=TODAY()+7))</f>
        <v/>
      </c>
      <c r="J328" s="28">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29">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7" t="n"/>
      <c r="M328" s="27" t="n"/>
      <c r="N328" s="27" t="n"/>
      <c r="O328" s="27" t="n"/>
      <c r="P328" s="27" t="n"/>
      <c r="Q328" s="27" t="n"/>
      <c r="R328" s="27" t="n"/>
      <c r="S328" s="27" t="n"/>
      <c r="T328" s="27" t="n"/>
      <c r="U328" s="27" t="n"/>
      <c r="V328" s="27" t="n"/>
      <c r="W328" s="27" t="n"/>
      <c r="X328" s="27" t="n"/>
      <c r="Y328" s="27" t="n"/>
      <c r="Z328" s="30" t="n"/>
      <c r="AA328" s="25" t="n"/>
      <c r="AB328" s="28">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ISNUMBER($Y328)*($Y328&lt;TODAY()))</f>
        <v/>
      </c>
    </row>
    <row r="329">
      <c r="A329" s="25" t="n"/>
      <c r="B329" s="26" t="n"/>
      <c r="C329" s="27" t="n"/>
      <c r="D329" s="25" t="n"/>
      <c r="E329" s="25" t="n"/>
      <c r="F329" s="27" t="n"/>
      <c r="G329" s="25" t="n"/>
      <c r="H329" s="28">
        <f>IF(OR(NOT(AND($A329&lt;&gt;"",OR($G329="",$G329="Active"))),$F329=""),"",INT((TODAY()-$F329+280)/7)&amp;"+"&amp;MOD(TODAY()-$F329+280,7))</f>
        <v/>
      </c>
      <c r="I329" s="28">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ISNUMBER($Y329)*($Y329&gt;=TODAY())*($Y329&lt;=TODAY()+7))</f>
        <v/>
      </c>
      <c r="J329" s="28">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29">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7" t="n"/>
      <c r="M329" s="27" t="n"/>
      <c r="N329" s="27" t="n"/>
      <c r="O329" s="27" t="n"/>
      <c r="P329" s="27" t="n"/>
      <c r="Q329" s="27" t="n"/>
      <c r="R329" s="27" t="n"/>
      <c r="S329" s="27" t="n"/>
      <c r="T329" s="27" t="n"/>
      <c r="U329" s="27" t="n"/>
      <c r="V329" s="27" t="n"/>
      <c r="W329" s="27" t="n"/>
      <c r="X329" s="27" t="n"/>
      <c r="Y329" s="27" t="n"/>
      <c r="Z329" s="30" t="n"/>
      <c r="AA329" s="25" t="n"/>
      <c r="AB329" s="28">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ISNUMBER($Y329)*($Y329&lt;TODAY()))</f>
        <v/>
      </c>
    </row>
    <row r="330">
      <c r="A330" s="25" t="n"/>
      <c r="B330" s="26" t="n"/>
      <c r="C330" s="27" t="n"/>
      <c r="D330" s="25" t="n"/>
      <c r="E330" s="25" t="n"/>
      <c r="F330" s="27" t="n"/>
      <c r="G330" s="25" t="n"/>
      <c r="H330" s="28">
        <f>IF(OR(NOT(AND($A330&lt;&gt;"",OR($G330="",$G330="Active"))),$F330=""),"",INT((TODAY()-$F330+280)/7)&amp;"+"&amp;MOD(TODAY()-$F330+280,7))</f>
        <v/>
      </c>
      <c r="I330" s="28">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ISNUMBER($Y330)*($Y330&gt;=TODAY())*($Y330&lt;=TODAY()+7))</f>
        <v/>
      </c>
      <c r="J330" s="28">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29">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7" t="n"/>
      <c r="M330" s="27" t="n"/>
      <c r="N330" s="27" t="n"/>
      <c r="O330" s="27" t="n"/>
      <c r="P330" s="27" t="n"/>
      <c r="Q330" s="27" t="n"/>
      <c r="R330" s="27" t="n"/>
      <c r="S330" s="27" t="n"/>
      <c r="T330" s="27" t="n"/>
      <c r="U330" s="27" t="n"/>
      <c r="V330" s="27" t="n"/>
      <c r="W330" s="27" t="n"/>
      <c r="X330" s="27" t="n"/>
      <c r="Y330" s="27" t="n"/>
      <c r="Z330" s="30" t="n"/>
      <c r="AA330" s="25" t="n"/>
      <c r="AB330" s="28">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ISNUMBER($Y330)*($Y330&lt;TODAY()))</f>
        <v/>
      </c>
    </row>
    <row r="331">
      <c r="A331" s="25" t="n"/>
      <c r="B331" s="26" t="n"/>
      <c r="C331" s="27" t="n"/>
      <c r="D331" s="25" t="n"/>
      <c r="E331" s="25" t="n"/>
      <c r="F331" s="27" t="n"/>
      <c r="G331" s="25" t="n"/>
      <c r="H331" s="28">
        <f>IF(OR(NOT(AND($A331&lt;&gt;"",OR($G331="",$G331="Active"))),$F331=""),"",INT((TODAY()-$F331+280)/7)&amp;"+"&amp;MOD(TODAY()-$F331+280,7))</f>
        <v/>
      </c>
      <c r="I331" s="28">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ISNUMBER($Y331)*($Y331&gt;=TODAY())*($Y331&lt;=TODAY()+7))</f>
        <v/>
      </c>
      <c r="J331" s="28">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29">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7" t="n"/>
      <c r="M331" s="27" t="n"/>
      <c r="N331" s="27" t="n"/>
      <c r="O331" s="27" t="n"/>
      <c r="P331" s="27" t="n"/>
      <c r="Q331" s="27" t="n"/>
      <c r="R331" s="27" t="n"/>
      <c r="S331" s="27" t="n"/>
      <c r="T331" s="27" t="n"/>
      <c r="U331" s="27" t="n"/>
      <c r="V331" s="27" t="n"/>
      <c r="W331" s="27" t="n"/>
      <c r="X331" s="27" t="n"/>
      <c r="Y331" s="27" t="n"/>
      <c r="Z331" s="30" t="n"/>
      <c r="AA331" s="25" t="n"/>
      <c r="AB331" s="28">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ISNUMBER($Y331)*($Y331&lt;TODAY()))</f>
        <v/>
      </c>
    </row>
    <row r="332">
      <c r="A332" s="25" t="n"/>
      <c r="B332" s="26" t="n"/>
      <c r="C332" s="27" t="n"/>
      <c r="D332" s="25" t="n"/>
      <c r="E332" s="25" t="n"/>
      <c r="F332" s="27" t="n"/>
      <c r="G332" s="25" t="n"/>
      <c r="H332" s="28">
        <f>IF(OR(NOT(AND($A332&lt;&gt;"",OR($G332="",$G332="Active"))),$F332=""),"",INT((TODAY()-$F332+280)/7)&amp;"+"&amp;MOD(TODAY()-$F332+280,7))</f>
        <v/>
      </c>
      <c r="I332" s="28">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ISNUMBER($Y332)*($Y332&gt;=TODAY())*($Y332&lt;=TODAY()+7))</f>
        <v/>
      </c>
      <c r="J332" s="28">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29">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7" t="n"/>
      <c r="M332" s="27" t="n"/>
      <c r="N332" s="27" t="n"/>
      <c r="O332" s="27" t="n"/>
      <c r="P332" s="27" t="n"/>
      <c r="Q332" s="27" t="n"/>
      <c r="R332" s="27" t="n"/>
      <c r="S332" s="27" t="n"/>
      <c r="T332" s="27" t="n"/>
      <c r="U332" s="27" t="n"/>
      <c r="V332" s="27" t="n"/>
      <c r="W332" s="27" t="n"/>
      <c r="X332" s="27" t="n"/>
      <c r="Y332" s="27" t="n"/>
      <c r="Z332" s="30" t="n"/>
      <c r="AA332" s="25" t="n"/>
      <c r="AB332" s="28">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ISNUMBER($Y332)*($Y332&lt;TODAY()))</f>
        <v/>
      </c>
    </row>
    <row r="333">
      <c r="A333" s="25" t="n"/>
      <c r="B333" s="26" t="n"/>
      <c r="C333" s="27" t="n"/>
      <c r="D333" s="25" t="n"/>
      <c r="E333" s="25" t="n"/>
      <c r="F333" s="27" t="n"/>
      <c r="G333" s="25" t="n"/>
      <c r="H333" s="28">
        <f>IF(OR(NOT(AND($A333&lt;&gt;"",OR($G333="",$G333="Active"))),$F333=""),"",INT((TODAY()-$F333+280)/7)&amp;"+"&amp;MOD(TODAY()-$F333+280,7))</f>
        <v/>
      </c>
      <c r="I333" s="28">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ISNUMBER($Y333)*($Y333&gt;=TODAY())*($Y333&lt;=TODAY()+7))</f>
        <v/>
      </c>
      <c r="J333" s="28">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29">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7" t="n"/>
      <c r="M333" s="27" t="n"/>
      <c r="N333" s="27" t="n"/>
      <c r="O333" s="27" t="n"/>
      <c r="P333" s="27" t="n"/>
      <c r="Q333" s="27" t="n"/>
      <c r="R333" s="27" t="n"/>
      <c r="S333" s="27" t="n"/>
      <c r="T333" s="27" t="n"/>
      <c r="U333" s="27" t="n"/>
      <c r="V333" s="27" t="n"/>
      <c r="W333" s="27" t="n"/>
      <c r="X333" s="27" t="n"/>
      <c r="Y333" s="27" t="n"/>
      <c r="Z333" s="30" t="n"/>
      <c r="AA333" s="25" t="n"/>
      <c r="AB333" s="28">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ISNUMBER($Y333)*($Y333&lt;TODAY()))</f>
        <v/>
      </c>
    </row>
    <row r="334">
      <c r="A334" s="25" t="n"/>
      <c r="B334" s="26" t="n"/>
      <c r="C334" s="27" t="n"/>
      <c r="D334" s="25" t="n"/>
      <c r="E334" s="25" t="n"/>
      <c r="F334" s="27" t="n"/>
      <c r="G334" s="25" t="n"/>
      <c r="H334" s="28">
        <f>IF(OR(NOT(AND($A334&lt;&gt;"",OR($G334="",$G334="Active"))),$F334=""),"",INT((TODAY()-$F334+280)/7)&amp;"+"&amp;MOD(TODAY()-$F334+280,7))</f>
        <v/>
      </c>
      <c r="I334" s="28">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ISNUMBER($Y334)*($Y334&gt;=TODAY())*($Y334&lt;=TODAY()+7))</f>
        <v/>
      </c>
      <c r="J334" s="28">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29">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7" t="n"/>
      <c r="M334" s="27" t="n"/>
      <c r="N334" s="27" t="n"/>
      <c r="O334" s="27" t="n"/>
      <c r="P334" s="27" t="n"/>
      <c r="Q334" s="27" t="n"/>
      <c r="R334" s="27" t="n"/>
      <c r="S334" s="27" t="n"/>
      <c r="T334" s="27" t="n"/>
      <c r="U334" s="27" t="n"/>
      <c r="V334" s="27" t="n"/>
      <c r="W334" s="27" t="n"/>
      <c r="X334" s="27" t="n"/>
      <c r="Y334" s="27" t="n"/>
      <c r="Z334" s="30" t="n"/>
      <c r="AA334" s="25" t="n"/>
      <c r="AB334" s="28">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ISNUMBER($Y334)*($Y334&lt;TODAY()))</f>
        <v/>
      </c>
    </row>
    <row r="335">
      <c r="A335" s="25" t="n"/>
      <c r="B335" s="26" t="n"/>
      <c r="C335" s="27" t="n"/>
      <c r="D335" s="25" t="n"/>
      <c r="E335" s="25" t="n"/>
      <c r="F335" s="27" t="n"/>
      <c r="G335" s="25" t="n"/>
      <c r="H335" s="28">
        <f>IF(OR(NOT(AND($A335&lt;&gt;"",OR($G335="",$G335="Active"))),$F335=""),"",INT((TODAY()-$F335+280)/7)&amp;"+"&amp;MOD(TODAY()-$F335+280,7))</f>
        <v/>
      </c>
      <c r="I335" s="28">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ISNUMBER($Y335)*($Y335&gt;=TODAY())*($Y335&lt;=TODAY()+7))</f>
        <v/>
      </c>
      <c r="J335" s="28">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29">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7" t="n"/>
      <c r="M335" s="27" t="n"/>
      <c r="N335" s="27" t="n"/>
      <c r="O335" s="27" t="n"/>
      <c r="P335" s="27" t="n"/>
      <c r="Q335" s="27" t="n"/>
      <c r="R335" s="27" t="n"/>
      <c r="S335" s="27" t="n"/>
      <c r="T335" s="27" t="n"/>
      <c r="U335" s="27" t="n"/>
      <c r="V335" s="27" t="n"/>
      <c r="W335" s="27" t="n"/>
      <c r="X335" s="27" t="n"/>
      <c r="Y335" s="27" t="n"/>
      <c r="Z335" s="30" t="n"/>
      <c r="AA335" s="25" t="n"/>
      <c r="AB335" s="28">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ISNUMBER($Y335)*($Y335&lt;TODAY()))</f>
        <v/>
      </c>
    </row>
    <row r="336">
      <c r="A336" s="25" t="n"/>
      <c r="B336" s="26" t="n"/>
      <c r="C336" s="27" t="n"/>
      <c r="D336" s="25" t="n"/>
      <c r="E336" s="25" t="n"/>
      <c r="F336" s="27" t="n"/>
      <c r="G336" s="25" t="n"/>
      <c r="H336" s="28">
        <f>IF(OR(NOT(AND($A336&lt;&gt;"",OR($G336="",$G336="Active"))),$F336=""),"",INT((TODAY()-$F336+280)/7)&amp;"+"&amp;MOD(TODAY()-$F336+280,7))</f>
        <v/>
      </c>
      <c r="I336" s="28">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ISNUMBER($Y336)*($Y336&gt;=TODAY())*($Y336&lt;=TODAY()+7))</f>
        <v/>
      </c>
      <c r="J336" s="28">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29">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7" t="n"/>
      <c r="M336" s="27" t="n"/>
      <c r="N336" s="27" t="n"/>
      <c r="O336" s="27" t="n"/>
      <c r="P336" s="27" t="n"/>
      <c r="Q336" s="27" t="n"/>
      <c r="R336" s="27" t="n"/>
      <c r="S336" s="27" t="n"/>
      <c r="T336" s="27" t="n"/>
      <c r="U336" s="27" t="n"/>
      <c r="V336" s="27" t="n"/>
      <c r="W336" s="27" t="n"/>
      <c r="X336" s="27" t="n"/>
      <c r="Y336" s="27" t="n"/>
      <c r="Z336" s="30" t="n"/>
      <c r="AA336" s="25" t="n"/>
      <c r="AB336" s="28">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ISNUMBER($Y336)*($Y336&lt;TODAY()))</f>
        <v/>
      </c>
    </row>
    <row r="337">
      <c r="A337" s="25" t="n"/>
      <c r="B337" s="26" t="n"/>
      <c r="C337" s="27" t="n"/>
      <c r="D337" s="25" t="n"/>
      <c r="E337" s="25" t="n"/>
      <c r="F337" s="27" t="n"/>
      <c r="G337" s="25" t="n"/>
      <c r="H337" s="28">
        <f>IF(OR(NOT(AND($A337&lt;&gt;"",OR($G337="",$G337="Active"))),$F337=""),"",INT((TODAY()-$F337+280)/7)&amp;"+"&amp;MOD(TODAY()-$F337+280,7))</f>
        <v/>
      </c>
      <c r="I337" s="28">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ISNUMBER($Y337)*($Y337&gt;=TODAY())*($Y337&lt;=TODAY()+7))</f>
        <v/>
      </c>
      <c r="J337" s="28">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29">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7" t="n"/>
      <c r="M337" s="27" t="n"/>
      <c r="N337" s="27" t="n"/>
      <c r="O337" s="27" t="n"/>
      <c r="P337" s="27" t="n"/>
      <c r="Q337" s="27" t="n"/>
      <c r="R337" s="27" t="n"/>
      <c r="S337" s="27" t="n"/>
      <c r="T337" s="27" t="n"/>
      <c r="U337" s="27" t="n"/>
      <c r="V337" s="27" t="n"/>
      <c r="W337" s="27" t="n"/>
      <c r="X337" s="27" t="n"/>
      <c r="Y337" s="27" t="n"/>
      <c r="Z337" s="30" t="n"/>
      <c r="AA337" s="25" t="n"/>
      <c r="AB337" s="28">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ISNUMBER($Y337)*($Y337&lt;TODAY()))</f>
        <v/>
      </c>
    </row>
    <row r="338">
      <c r="A338" s="25" t="n"/>
      <c r="B338" s="26" t="n"/>
      <c r="C338" s="27" t="n"/>
      <c r="D338" s="25" t="n"/>
      <c r="E338" s="25" t="n"/>
      <c r="F338" s="27" t="n"/>
      <c r="G338" s="25" t="n"/>
      <c r="H338" s="28">
        <f>IF(OR(NOT(AND($A338&lt;&gt;"",OR($G338="",$G338="Active"))),$F338=""),"",INT((TODAY()-$F338+280)/7)&amp;"+"&amp;MOD(TODAY()-$F338+280,7))</f>
        <v/>
      </c>
      <c r="I338" s="28">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ISNUMBER($Y338)*($Y338&gt;=TODAY())*($Y338&lt;=TODAY()+7))</f>
        <v/>
      </c>
      <c r="J338" s="28">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29">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7" t="n"/>
      <c r="M338" s="27" t="n"/>
      <c r="N338" s="27" t="n"/>
      <c r="O338" s="27" t="n"/>
      <c r="P338" s="27" t="n"/>
      <c r="Q338" s="27" t="n"/>
      <c r="R338" s="27" t="n"/>
      <c r="S338" s="27" t="n"/>
      <c r="T338" s="27" t="n"/>
      <c r="U338" s="27" t="n"/>
      <c r="V338" s="27" t="n"/>
      <c r="W338" s="27" t="n"/>
      <c r="X338" s="27" t="n"/>
      <c r="Y338" s="27" t="n"/>
      <c r="Z338" s="30" t="n"/>
      <c r="AA338" s="25" t="n"/>
      <c r="AB338" s="28">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ISNUMBER($Y338)*($Y338&lt;TODAY()))</f>
        <v/>
      </c>
    </row>
    <row r="339">
      <c r="A339" s="25" t="n"/>
      <c r="B339" s="26" t="n"/>
      <c r="C339" s="27" t="n"/>
      <c r="D339" s="25" t="n"/>
      <c r="E339" s="25" t="n"/>
      <c r="F339" s="27" t="n"/>
      <c r="G339" s="25" t="n"/>
      <c r="H339" s="28">
        <f>IF(OR(NOT(AND($A339&lt;&gt;"",OR($G339="",$G339="Active"))),$F339=""),"",INT((TODAY()-$F339+280)/7)&amp;"+"&amp;MOD(TODAY()-$F339+280,7))</f>
        <v/>
      </c>
      <c r="I339" s="28">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ISNUMBER($Y339)*($Y339&gt;=TODAY())*($Y339&lt;=TODAY()+7))</f>
        <v/>
      </c>
      <c r="J339" s="28">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29">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7" t="n"/>
      <c r="M339" s="27" t="n"/>
      <c r="N339" s="27" t="n"/>
      <c r="O339" s="27" t="n"/>
      <c r="P339" s="27" t="n"/>
      <c r="Q339" s="27" t="n"/>
      <c r="R339" s="27" t="n"/>
      <c r="S339" s="27" t="n"/>
      <c r="T339" s="27" t="n"/>
      <c r="U339" s="27" t="n"/>
      <c r="V339" s="27" t="n"/>
      <c r="W339" s="27" t="n"/>
      <c r="X339" s="27" t="n"/>
      <c r="Y339" s="27" t="n"/>
      <c r="Z339" s="30" t="n"/>
      <c r="AA339" s="25" t="n"/>
      <c r="AB339" s="28">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ISNUMBER($Y339)*($Y339&lt;TODAY()))</f>
        <v/>
      </c>
    </row>
    <row r="340">
      <c r="A340" s="25" t="n"/>
      <c r="B340" s="26" t="n"/>
      <c r="C340" s="27" t="n"/>
      <c r="D340" s="25" t="n"/>
      <c r="E340" s="25" t="n"/>
      <c r="F340" s="27" t="n"/>
      <c r="G340" s="25" t="n"/>
      <c r="H340" s="28">
        <f>IF(OR(NOT(AND($A340&lt;&gt;"",OR($G340="",$G340="Active"))),$F340=""),"",INT((TODAY()-$F340+280)/7)&amp;"+"&amp;MOD(TODAY()-$F340+280,7))</f>
        <v/>
      </c>
      <c r="I340" s="28">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ISNUMBER($Y340)*($Y340&gt;=TODAY())*($Y340&lt;=TODAY()+7))</f>
        <v/>
      </c>
      <c r="J340" s="28">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29">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7" t="n"/>
      <c r="M340" s="27" t="n"/>
      <c r="N340" s="27" t="n"/>
      <c r="O340" s="27" t="n"/>
      <c r="P340" s="27" t="n"/>
      <c r="Q340" s="27" t="n"/>
      <c r="R340" s="27" t="n"/>
      <c r="S340" s="27" t="n"/>
      <c r="T340" s="27" t="n"/>
      <c r="U340" s="27" t="n"/>
      <c r="V340" s="27" t="n"/>
      <c r="W340" s="27" t="n"/>
      <c r="X340" s="27" t="n"/>
      <c r="Y340" s="27" t="n"/>
      <c r="Z340" s="30" t="n"/>
      <c r="AA340" s="25" t="n"/>
      <c r="AB340" s="28">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ISNUMBER($Y340)*($Y340&lt;TODAY()))</f>
        <v/>
      </c>
    </row>
    <row r="341">
      <c r="A341" s="25" t="n"/>
      <c r="B341" s="26" t="n"/>
      <c r="C341" s="27" t="n"/>
      <c r="D341" s="25" t="n"/>
      <c r="E341" s="25" t="n"/>
      <c r="F341" s="27" t="n"/>
      <c r="G341" s="25" t="n"/>
      <c r="H341" s="28">
        <f>IF(OR(NOT(AND($A341&lt;&gt;"",OR($G341="",$G341="Active"))),$F341=""),"",INT((TODAY()-$F341+280)/7)&amp;"+"&amp;MOD(TODAY()-$F341+280,7))</f>
        <v/>
      </c>
      <c r="I341" s="28">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ISNUMBER($Y341)*($Y341&gt;=TODAY())*($Y341&lt;=TODAY()+7))</f>
        <v/>
      </c>
      <c r="J341" s="28">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29">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7" t="n"/>
      <c r="M341" s="27" t="n"/>
      <c r="N341" s="27" t="n"/>
      <c r="O341" s="27" t="n"/>
      <c r="P341" s="27" t="n"/>
      <c r="Q341" s="27" t="n"/>
      <c r="R341" s="27" t="n"/>
      <c r="S341" s="27" t="n"/>
      <c r="T341" s="27" t="n"/>
      <c r="U341" s="27" t="n"/>
      <c r="V341" s="27" t="n"/>
      <c r="W341" s="27" t="n"/>
      <c r="X341" s="27" t="n"/>
      <c r="Y341" s="27" t="n"/>
      <c r="Z341" s="30" t="n"/>
      <c r="AA341" s="25" t="n"/>
      <c r="AB341" s="28">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ISNUMBER($Y341)*($Y341&lt;TODAY()))</f>
        <v/>
      </c>
    </row>
    <row r="342">
      <c r="A342" s="25" t="n"/>
      <c r="B342" s="26" t="n"/>
      <c r="C342" s="27" t="n"/>
      <c r="D342" s="25" t="n"/>
      <c r="E342" s="25" t="n"/>
      <c r="F342" s="27" t="n"/>
      <c r="G342" s="25" t="n"/>
      <c r="H342" s="28">
        <f>IF(OR(NOT(AND($A342&lt;&gt;"",OR($G342="",$G342="Active"))),$F342=""),"",INT((TODAY()-$F342+280)/7)&amp;"+"&amp;MOD(TODAY()-$F342+280,7))</f>
        <v/>
      </c>
      <c r="I342" s="28">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ISNUMBER($Y342)*($Y342&gt;=TODAY())*($Y342&lt;=TODAY()+7))</f>
        <v/>
      </c>
      <c r="J342" s="28">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29">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7" t="n"/>
      <c r="M342" s="27" t="n"/>
      <c r="N342" s="27" t="n"/>
      <c r="O342" s="27" t="n"/>
      <c r="P342" s="27" t="n"/>
      <c r="Q342" s="27" t="n"/>
      <c r="R342" s="27" t="n"/>
      <c r="S342" s="27" t="n"/>
      <c r="T342" s="27" t="n"/>
      <c r="U342" s="27" t="n"/>
      <c r="V342" s="27" t="n"/>
      <c r="W342" s="27" t="n"/>
      <c r="X342" s="27" t="n"/>
      <c r="Y342" s="27" t="n"/>
      <c r="Z342" s="30" t="n"/>
      <c r="AA342" s="25" t="n"/>
      <c r="AB342" s="28">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ISNUMBER($Y342)*($Y342&lt;TODAY()))</f>
        <v/>
      </c>
    </row>
    <row r="343">
      <c r="A343" s="25" t="n"/>
      <c r="B343" s="26" t="n"/>
      <c r="C343" s="27" t="n"/>
      <c r="D343" s="25" t="n"/>
      <c r="E343" s="25" t="n"/>
      <c r="F343" s="27" t="n"/>
      <c r="G343" s="25" t="n"/>
      <c r="H343" s="28">
        <f>IF(OR(NOT(AND($A343&lt;&gt;"",OR($G343="",$G343="Active"))),$F343=""),"",INT((TODAY()-$F343+280)/7)&amp;"+"&amp;MOD(TODAY()-$F343+280,7))</f>
        <v/>
      </c>
      <c r="I343" s="28">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ISNUMBER($Y343)*($Y343&gt;=TODAY())*($Y343&lt;=TODAY()+7))</f>
        <v/>
      </c>
      <c r="J343" s="28">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29">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7" t="n"/>
      <c r="M343" s="27" t="n"/>
      <c r="N343" s="27" t="n"/>
      <c r="O343" s="27" t="n"/>
      <c r="P343" s="27" t="n"/>
      <c r="Q343" s="27" t="n"/>
      <c r="R343" s="27" t="n"/>
      <c r="S343" s="27" t="n"/>
      <c r="T343" s="27" t="n"/>
      <c r="U343" s="27" t="n"/>
      <c r="V343" s="27" t="n"/>
      <c r="W343" s="27" t="n"/>
      <c r="X343" s="27" t="n"/>
      <c r="Y343" s="27" t="n"/>
      <c r="Z343" s="30" t="n"/>
      <c r="AA343" s="25" t="n"/>
      <c r="AB343" s="28">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ISNUMBER($Y343)*($Y343&lt;TODAY()))</f>
        <v/>
      </c>
    </row>
    <row r="344">
      <c r="A344" s="25" t="n"/>
      <c r="B344" s="26" t="n"/>
      <c r="C344" s="27" t="n"/>
      <c r="D344" s="25" t="n"/>
      <c r="E344" s="25" t="n"/>
      <c r="F344" s="27" t="n"/>
      <c r="G344" s="25" t="n"/>
      <c r="H344" s="28">
        <f>IF(OR(NOT(AND($A344&lt;&gt;"",OR($G344="",$G344="Active"))),$F344=""),"",INT((TODAY()-$F344+280)/7)&amp;"+"&amp;MOD(TODAY()-$F344+280,7))</f>
        <v/>
      </c>
      <c r="I344" s="28">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ISNUMBER($Y344)*($Y344&gt;=TODAY())*($Y344&lt;=TODAY()+7))</f>
        <v/>
      </c>
      <c r="J344" s="28">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29">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7" t="n"/>
      <c r="M344" s="27" t="n"/>
      <c r="N344" s="27" t="n"/>
      <c r="O344" s="27" t="n"/>
      <c r="P344" s="27" t="n"/>
      <c r="Q344" s="27" t="n"/>
      <c r="R344" s="27" t="n"/>
      <c r="S344" s="27" t="n"/>
      <c r="T344" s="27" t="n"/>
      <c r="U344" s="27" t="n"/>
      <c r="V344" s="27" t="n"/>
      <c r="W344" s="27" t="n"/>
      <c r="X344" s="27" t="n"/>
      <c r="Y344" s="27" t="n"/>
      <c r="Z344" s="30" t="n"/>
      <c r="AA344" s="25" t="n"/>
      <c r="AB344" s="28">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ISNUMBER($Y344)*($Y344&lt;TODAY()))</f>
        <v/>
      </c>
    </row>
    <row r="345">
      <c r="A345" s="25" t="n"/>
      <c r="B345" s="26" t="n"/>
      <c r="C345" s="27" t="n"/>
      <c r="D345" s="25" t="n"/>
      <c r="E345" s="25" t="n"/>
      <c r="F345" s="27" t="n"/>
      <c r="G345" s="25" t="n"/>
      <c r="H345" s="28">
        <f>IF(OR(NOT(AND($A345&lt;&gt;"",OR($G345="",$G345="Active"))),$F345=""),"",INT((TODAY()-$F345+280)/7)&amp;"+"&amp;MOD(TODAY()-$F345+280,7))</f>
        <v/>
      </c>
      <c r="I345" s="28">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ISNUMBER($Y345)*($Y345&gt;=TODAY())*($Y345&lt;=TODAY()+7))</f>
        <v/>
      </c>
      <c r="J345" s="28">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29">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7" t="n"/>
      <c r="M345" s="27" t="n"/>
      <c r="N345" s="27" t="n"/>
      <c r="O345" s="27" t="n"/>
      <c r="P345" s="27" t="n"/>
      <c r="Q345" s="27" t="n"/>
      <c r="R345" s="27" t="n"/>
      <c r="S345" s="27" t="n"/>
      <c r="T345" s="27" t="n"/>
      <c r="U345" s="27" t="n"/>
      <c r="V345" s="27" t="n"/>
      <c r="W345" s="27" t="n"/>
      <c r="X345" s="27" t="n"/>
      <c r="Y345" s="27" t="n"/>
      <c r="Z345" s="30" t="n"/>
      <c r="AA345" s="25" t="n"/>
      <c r="AB345" s="28">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ISNUMBER($Y345)*($Y345&lt;TODAY()))</f>
        <v/>
      </c>
    </row>
    <row r="346">
      <c r="A346" s="25" t="n"/>
      <c r="B346" s="26" t="n"/>
      <c r="C346" s="27" t="n"/>
      <c r="D346" s="25" t="n"/>
      <c r="E346" s="25" t="n"/>
      <c r="F346" s="27" t="n"/>
      <c r="G346" s="25" t="n"/>
      <c r="H346" s="28">
        <f>IF(OR(NOT(AND($A346&lt;&gt;"",OR($G346="",$G346="Active"))),$F346=""),"",INT((TODAY()-$F346+280)/7)&amp;"+"&amp;MOD(TODAY()-$F346+280,7))</f>
        <v/>
      </c>
      <c r="I346" s="28">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ISNUMBER($Y346)*($Y346&gt;=TODAY())*($Y346&lt;=TODAY()+7))</f>
        <v/>
      </c>
      <c r="J346" s="28">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29">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7" t="n"/>
      <c r="M346" s="27" t="n"/>
      <c r="N346" s="27" t="n"/>
      <c r="O346" s="27" t="n"/>
      <c r="P346" s="27" t="n"/>
      <c r="Q346" s="27" t="n"/>
      <c r="R346" s="27" t="n"/>
      <c r="S346" s="27" t="n"/>
      <c r="T346" s="27" t="n"/>
      <c r="U346" s="27" t="n"/>
      <c r="V346" s="27" t="n"/>
      <c r="W346" s="27" t="n"/>
      <c r="X346" s="27" t="n"/>
      <c r="Y346" s="27" t="n"/>
      <c r="Z346" s="30" t="n"/>
      <c r="AA346" s="25" t="n"/>
      <c r="AB346" s="28">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ISNUMBER($Y346)*($Y346&lt;TODAY()))</f>
        <v/>
      </c>
    </row>
    <row r="347">
      <c r="A347" s="25" t="n"/>
      <c r="B347" s="26" t="n"/>
      <c r="C347" s="27" t="n"/>
      <c r="D347" s="25" t="n"/>
      <c r="E347" s="25" t="n"/>
      <c r="F347" s="27" t="n"/>
      <c r="G347" s="25" t="n"/>
      <c r="H347" s="28">
        <f>IF(OR(NOT(AND($A347&lt;&gt;"",OR($G347="",$G347="Active"))),$F347=""),"",INT((TODAY()-$F347+280)/7)&amp;"+"&amp;MOD(TODAY()-$F347+280,7))</f>
        <v/>
      </c>
      <c r="I347" s="28">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ISNUMBER($Y347)*($Y347&gt;=TODAY())*($Y347&lt;=TODAY()+7))</f>
        <v/>
      </c>
      <c r="J347" s="28">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29">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7" t="n"/>
      <c r="M347" s="27" t="n"/>
      <c r="N347" s="27" t="n"/>
      <c r="O347" s="27" t="n"/>
      <c r="P347" s="27" t="n"/>
      <c r="Q347" s="27" t="n"/>
      <c r="R347" s="27" t="n"/>
      <c r="S347" s="27" t="n"/>
      <c r="T347" s="27" t="n"/>
      <c r="U347" s="27" t="n"/>
      <c r="V347" s="27" t="n"/>
      <c r="W347" s="27" t="n"/>
      <c r="X347" s="27" t="n"/>
      <c r="Y347" s="27" t="n"/>
      <c r="Z347" s="30" t="n"/>
      <c r="AA347" s="25" t="n"/>
      <c r="AB347" s="28">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ISNUMBER($Y347)*($Y347&lt;TODAY()))</f>
        <v/>
      </c>
    </row>
    <row r="348">
      <c r="A348" s="25" t="n"/>
      <c r="B348" s="26" t="n"/>
      <c r="C348" s="27" t="n"/>
      <c r="D348" s="25" t="n"/>
      <c r="E348" s="25" t="n"/>
      <c r="F348" s="27" t="n"/>
      <c r="G348" s="25" t="n"/>
      <c r="H348" s="28">
        <f>IF(OR(NOT(AND($A348&lt;&gt;"",OR($G348="",$G348="Active"))),$F348=""),"",INT((TODAY()-$F348+280)/7)&amp;"+"&amp;MOD(TODAY()-$F348+280,7))</f>
        <v/>
      </c>
      <c r="I348" s="28">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ISNUMBER($Y348)*($Y348&gt;=TODAY())*($Y348&lt;=TODAY()+7))</f>
        <v/>
      </c>
      <c r="J348" s="28">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29">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7" t="n"/>
      <c r="M348" s="27" t="n"/>
      <c r="N348" s="27" t="n"/>
      <c r="O348" s="27" t="n"/>
      <c r="P348" s="27" t="n"/>
      <c r="Q348" s="27" t="n"/>
      <c r="R348" s="27" t="n"/>
      <c r="S348" s="27" t="n"/>
      <c r="T348" s="27" t="n"/>
      <c r="U348" s="27" t="n"/>
      <c r="V348" s="27" t="n"/>
      <c r="W348" s="27" t="n"/>
      <c r="X348" s="27" t="n"/>
      <c r="Y348" s="27" t="n"/>
      <c r="Z348" s="30" t="n"/>
      <c r="AA348" s="25" t="n"/>
      <c r="AB348" s="28">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ISNUMBER($Y348)*($Y348&lt;TODAY()))</f>
        <v/>
      </c>
    </row>
    <row r="349">
      <c r="A349" s="25" t="n"/>
      <c r="B349" s="26" t="n"/>
      <c r="C349" s="27" t="n"/>
      <c r="D349" s="25" t="n"/>
      <c r="E349" s="25" t="n"/>
      <c r="F349" s="27" t="n"/>
      <c r="G349" s="25" t="n"/>
      <c r="H349" s="28">
        <f>IF(OR(NOT(AND($A349&lt;&gt;"",OR($G349="",$G349="Active"))),$F349=""),"",INT((TODAY()-$F349+280)/7)&amp;"+"&amp;MOD(TODAY()-$F349+280,7))</f>
        <v/>
      </c>
      <c r="I349" s="28">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ISNUMBER($Y349)*($Y349&gt;=TODAY())*($Y349&lt;=TODAY()+7))</f>
        <v/>
      </c>
      <c r="J349" s="28">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29">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7" t="n"/>
      <c r="M349" s="27" t="n"/>
      <c r="N349" s="27" t="n"/>
      <c r="O349" s="27" t="n"/>
      <c r="P349" s="27" t="n"/>
      <c r="Q349" s="27" t="n"/>
      <c r="R349" s="27" t="n"/>
      <c r="S349" s="27" t="n"/>
      <c r="T349" s="27" t="n"/>
      <c r="U349" s="27" t="n"/>
      <c r="V349" s="27" t="n"/>
      <c r="W349" s="27" t="n"/>
      <c r="X349" s="27" t="n"/>
      <c r="Y349" s="27" t="n"/>
      <c r="Z349" s="30" t="n"/>
      <c r="AA349" s="25" t="n"/>
      <c r="AB349" s="28">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ISNUMBER($Y349)*($Y349&lt;TODAY()))</f>
        <v/>
      </c>
    </row>
    <row r="350">
      <c r="A350" s="25" t="n"/>
      <c r="B350" s="26" t="n"/>
      <c r="C350" s="27" t="n"/>
      <c r="D350" s="25" t="n"/>
      <c r="E350" s="25" t="n"/>
      <c r="F350" s="27" t="n"/>
      <c r="G350" s="25" t="n"/>
      <c r="H350" s="28">
        <f>IF(OR(NOT(AND($A350&lt;&gt;"",OR($G350="",$G350="Active"))),$F350=""),"",INT((TODAY()-$F350+280)/7)&amp;"+"&amp;MOD(TODAY()-$F350+280,7))</f>
        <v/>
      </c>
      <c r="I350" s="28">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ISNUMBER($Y350)*($Y350&gt;=TODAY())*($Y350&lt;=TODAY()+7))</f>
        <v/>
      </c>
      <c r="J350" s="28">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29">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7" t="n"/>
      <c r="M350" s="27" t="n"/>
      <c r="N350" s="27" t="n"/>
      <c r="O350" s="27" t="n"/>
      <c r="P350" s="27" t="n"/>
      <c r="Q350" s="27" t="n"/>
      <c r="R350" s="27" t="n"/>
      <c r="S350" s="27" t="n"/>
      <c r="T350" s="27" t="n"/>
      <c r="U350" s="27" t="n"/>
      <c r="V350" s="27" t="n"/>
      <c r="W350" s="27" t="n"/>
      <c r="X350" s="27" t="n"/>
      <c r="Y350" s="27" t="n"/>
      <c r="Z350" s="30" t="n"/>
      <c r="AA350" s="25" t="n"/>
      <c r="AB350" s="28">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ISNUMBER($Y350)*($Y350&lt;TODAY()))</f>
        <v/>
      </c>
    </row>
    <row r="351">
      <c r="A351" s="25" t="n"/>
      <c r="B351" s="26" t="n"/>
      <c r="C351" s="27" t="n"/>
      <c r="D351" s="25" t="n"/>
      <c r="E351" s="25" t="n"/>
      <c r="F351" s="27" t="n"/>
      <c r="G351" s="25" t="n"/>
      <c r="H351" s="28">
        <f>IF(OR(NOT(AND($A351&lt;&gt;"",OR($G351="",$G351="Active"))),$F351=""),"",INT((TODAY()-$F351+280)/7)&amp;"+"&amp;MOD(TODAY()-$F351+280,7))</f>
        <v/>
      </c>
      <c r="I351" s="28">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ISNUMBER($Y351)*($Y351&gt;=TODAY())*($Y351&lt;=TODAY()+7))</f>
        <v/>
      </c>
      <c r="J351" s="28">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29">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7" t="n"/>
      <c r="M351" s="27" t="n"/>
      <c r="N351" s="27" t="n"/>
      <c r="O351" s="27" t="n"/>
      <c r="P351" s="27" t="n"/>
      <c r="Q351" s="27" t="n"/>
      <c r="R351" s="27" t="n"/>
      <c r="S351" s="27" t="n"/>
      <c r="T351" s="27" t="n"/>
      <c r="U351" s="27" t="n"/>
      <c r="V351" s="27" t="n"/>
      <c r="W351" s="27" t="n"/>
      <c r="X351" s="27" t="n"/>
      <c r="Y351" s="27" t="n"/>
      <c r="Z351" s="30" t="n"/>
      <c r="AA351" s="25" t="n"/>
      <c r="AB351" s="28">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ISNUMBER($Y351)*($Y351&lt;TODAY()))</f>
        <v/>
      </c>
    </row>
    <row r="352">
      <c r="A352" s="25" t="n"/>
      <c r="B352" s="26" t="n"/>
      <c r="C352" s="27" t="n"/>
      <c r="D352" s="25" t="n"/>
      <c r="E352" s="25" t="n"/>
      <c r="F352" s="27" t="n"/>
      <c r="G352" s="25" t="n"/>
      <c r="H352" s="28">
        <f>IF(OR(NOT(AND($A352&lt;&gt;"",OR($G352="",$G352="Active"))),$F352=""),"",INT((TODAY()-$F352+280)/7)&amp;"+"&amp;MOD(TODAY()-$F352+280,7))</f>
        <v/>
      </c>
      <c r="I352" s="28">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ISNUMBER($Y352)*($Y352&gt;=TODAY())*($Y352&lt;=TODAY()+7))</f>
        <v/>
      </c>
      <c r="J352" s="28">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29">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7" t="n"/>
      <c r="M352" s="27" t="n"/>
      <c r="N352" s="27" t="n"/>
      <c r="O352" s="27" t="n"/>
      <c r="P352" s="27" t="n"/>
      <c r="Q352" s="27" t="n"/>
      <c r="R352" s="27" t="n"/>
      <c r="S352" s="27" t="n"/>
      <c r="T352" s="27" t="n"/>
      <c r="U352" s="27" t="n"/>
      <c r="V352" s="27" t="n"/>
      <c r="W352" s="27" t="n"/>
      <c r="X352" s="27" t="n"/>
      <c r="Y352" s="27" t="n"/>
      <c r="Z352" s="30" t="n"/>
      <c r="AA352" s="25" t="n"/>
      <c r="AB352" s="28">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ISNUMBER($Y352)*($Y352&lt;TODAY()))</f>
        <v/>
      </c>
    </row>
    <row r="353">
      <c r="A353" s="25" t="n"/>
      <c r="B353" s="26" t="n"/>
      <c r="C353" s="27" t="n"/>
      <c r="D353" s="25" t="n"/>
      <c r="E353" s="25" t="n"/>
      <c r="F353" s="27" t="n"/>
      <c r="G353" s="25" t="n"/>
      <c r="H353" s="28">
        <f>IF(OR(NOT(AND($A353&lt;&gt;"",OR($G353="",$G353="Active"))),$F353=""),"",INT((TODAY()-$F353+280)/7)&amp;"+"&amp;MOD(TODAY()-$F353+280,7))</f>
        <v/>
      </c>
      <c r="I353" s="28">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ISNUMBER($Y353)*($Y353&gt;=TODAY())*($Y353&lt;=TODAY()+7))</f>
        <v/>
      </c>
      <c r="J353" s="28">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29">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7" t="n"/>
      <c r="M353" s="27" t="n"/>
      <c r="N353" s="27" t="n"/>
      <c r="O353" s="27" t="n"/>
      <c r="P353" s="27" t="n"/>
      <c r="Q353" s="27" t="n"/>
      <c r="R353" s="27" t="n"/>
      <c r="S353" s="27" t="n"/>
      <c r="T353" s="27" t="n"/>
      <c r="U353" s="27" t="n"/>
      <c r="V353" s="27" t="n"/>
      <c r="W353" s="27" t="n"/>
      <c r="X353" s="27" t="n"/>
      <c r="Y353" s="27" t="n"/>
      <c r="Z353" s="30" t="n"/>
      <c r="AA353" s="25" t="n"/>
      <c r="AB353" s="28">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ISNUMBER($Y353)*($Y353&lt;TODAY()))</f>
        <v/>
      </c>
    </row>
    <row r="354">
      <c r="A354" s="25" t="n"/>
      <c r="B354" s="26" t="n"/>
      <c r="C354" s="27" t="n"/>
      <c r="D354" s="25" t="n"/>
      <c r="E354" s="25" t="n"/>
      <c r="F354" s="27" t="n"/>
      <c r="G354" s="25" t="n"/>
      <c r="H354" s="28">
        <f>IF(OR(NOT(AND($A354&lt;&gt;"",OR($G354="",$G354="Active"))),$F354=""),"",INT((TODAY()-$F354+280)/7)&amp;"+"&amp;MOD(TODAY()-$F354+280,7))</f>
        <v/>
      </c>
      <c r="I354" s="28">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ISNUMBER($Y354)*($Y354&gt;=TODAY())*($Y354&lt;=TODAY()+7))</f>
        <v/>
      </c>
      <c r="J354" s="28">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29">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7" t="n"/>
      <c r="M354" s="27" t="n"/>
      <c r="N354" s="27" t="n"/>
      <c r="O354" s="27" t="n"/>
      <c r="P354" s="27" t="n"/>
      <c r="Q354" s="27" t="n"/>
      <c r="R354" s="27" t="n"/>
      <c r="S354" s="27" t="n"/>
      <c r="T354" s="27" t="n"/>
      <c r="U354" s="27" t="n"/>
      <c r="V354" s="27" t="n"/>
      <c r="W354" s="27" t="n"/>
      <c r="X354" s="27" t="n"/>
      <c r="Y354" s="27" t="n"/>
      <c r="Z354" s="30" t="n"/>
      <c r="AA354" s="25" t="n"/>
      <c r="AB354" s="28">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ISNUMBER($Y354)*($Y354&lt;TODAY()))</f>
        <v/>
      </c>
    </row>
    <row r="355">
      <c r="A355" s="25" t="n"/>
      <c r="B355" s="26" t="n"/>
      <c r="C355" s="27" t="n"/>
      <c r="D355" s="25" t="n"/>
      <c r="E355" s="25" t="n"/>
      <c r="F355" s="27" t="n"/>
      <c r="G355" s="25" t="n"/>
      <c r="H355" s="28">
        <f>IF(OR(NOT(AND($A355&lt;&gt;"",OR($G355="",$G355="Active"))),$F355=""),"",INT((TODAY()-$F355+280)/7)&amp;"+"&amp;MOD(TODAY()-$F355+280,7))</f>
        <v/>
      </c>
      <c r="I355" s="28">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ISNUMBER($Y355)*($Y355&gt;=TODAY())*($Y355&lt;=TODAY()+7))</f>
        <v/>
      </c>
      <c r="J355" s="28">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29">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7" t="n"/>
      <c r="M355" s="27" t="n"/>
      <c r="N355" s="27" t="n"/>
      <c r="O355" s="27" t="n"/>
      <c r="P355" s="27" t="n"/>
      <c r="Q355" s="27" t="n"/>
      <c r="R355" s="27" t="n"/>
      <c r="S355" s="27" t="n"/>
      <c r="T355" s="27" t="n"/>
      <c r="U355" s="27" t="n"/>
      <c r="V355" s="27" t="n"/>
      <c r="W355" s="27" t="n"/>
      <c r="X355" s="27" t="n"/>
      <c r="Y355" s="27" t="n"/>
      <c r="Z355" s="30" t="n"/>
      <c r="AA355" s="25" t="n"/>
      <c r="AB355" s="28">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ISNUMBER($Y355)*($Y355&lt;TODAY()))</f>
        <v/>
      </c>
    </row>
    <row r="356">
      <c r="A356" s="25" t="n"/>
      <c r="B356" s="26" t="n"/>
      <c r="C356" s="27" t="n"/>
      <c r="D356" s="25" t="n"/>
      <c r="E356" s="25" t="n"/>
      <c r="F356" s="27" t="n"/>
      <c r="G356" s="25" t="n"/>
      <c r="H356" s="28">
        <f>IF(OR(NOT(AND($A356&lt;&gt;"",OR($G356="",$G356="Active"))),$F356=""),"",INT((TODAY()-$F356+280)/7)&amp;"+"&amp;MOD(TODAY()-$F356+280,7))</f>
        <v/>
      </c>
      <c r="I356" s="28">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ISNUMBER($Y356)*($Y356&gt;=TODAY())*($Y356&lt;=TODAY()+7))</f>
        <v/>
      </c>
      <c r="J356" s="28">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29">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7" t="n"/>
      <c r="M356" s="27" t="n"/>
      <c r="N356" s="27" t="n"/>
      <c r="O356" s="27" t="n"/>
      <c r="P356" s="27" t="n"/>
      <c r="Q356" s="27" t="n"/>
      <c r="R356" s="27" t="n"/>
      <c r="S356" s="27" t="n"/>
      <c r="T356" s="27" t="n"/>
      <c r="U356" s="27" t="n"/>
      <c r="V356" s="27" t="n"/>
      <c r="W356" s="27" t="n"/>
      <c r="X356" s="27" t="n"/>
      <c r="Y356" s="27" t="n"/>
      <c r="Z356" s="30" t="n"/>
      <c r="AA356" s="25" t="n"/>
      <c r="AB356" s="28">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ISNUMBER($Y356)*($Y356&lt;TODAY()))</f>
        <v/>
      </c>
    </row>
    <row r="357">
      <c r="A357" s="25" t="n"/>
      <c r="B357" s="26" t="n"/>
      <c r="C357" s="27" t="n"/>
      <c r="D357" s="25" t="n"/>
      <c r="E357" s="25" t="n"/>
      <c r="F357" s="27" t="n"/>
      <c r="G357" s="25" t="n"/>
      <c r="H357" s="28">
        <f>IF(OR(NOT(AND($A357&lt;&gt;"",OR($G357="",$G357="Active"))),$F357=""),"",INT((TODAY()-$F357+280)/7)&amp;"+"&amp;MOD(TODAY()-$F357+280,7))</f>
        <v/>
      </c>
      <c r="I357" s="28">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ISNUMBER($Y357)*($Y357&gt;=TODAY())*($Y357&lt;=TODAY()+7))</f>
        <v/>
      </c>
      <c r="J357" s="28">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29">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7" t="n"/>
      <c r="M357" s="27" t="n"/>
      <c r="N357" s="27" t="n"/>
      <c r="O357" s="27" t="n"/>
      <c r="P357" s="27" t="n"/>
      <c r="Q357" s="27" t="n"/>
      <c r="R357" s="27" t="n"/>
      <c r="S357" s="27" t="n"/>
      <c r="T357" s="27" t="n"/>
      <c r="U357" s="27" t="n"/>
      <c r="V357" s="27" t="n"/>
      <c r="W357" s="27" t="n"/>
      <c r="X357" s="27" t="n"/>
      <c r="Y357" s="27" t="n"/>
      <c r="Z357" s="30" t="n"/>
      <c r="AA357" s="25" t="n"/>
      <c r="AB357" s="28">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ISNUMBER($Y357)*($Y357&lt;TODAY()))</f>
        <v/>
      </c>
    </row>
    <row r="358">
      <c r="A358" s="25" t="n"/>
      <c r="B358" s="26" t="n"/>
      <c r="C358" s="27" t="n"/>
      <c r="D358" s="25" t="n"/>
      <c r="E358" s="25" t="n"/>
      <c r="F358" s="27" t="n"/>
      <c r="G358" s="25" t="n"/>
      <c r="H358" s="28">
        <f>IF(OR(NOT(AND($A358&lt;&gt;"",OR($G358="",$G358="Active"))),$F358=""),"",INT((TODAY()-$F358+280)/7)&amp;"+"&amp;MOD(TODAY()-$F358+280,7))</f>
        <v/>
      </c>
      <c r="I358" s="28">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ISNUMBER($Y358)*($Y358&gt;=TODAY())*($Y358&lt;=TODAY()+7))</f>
        <v/>
      </c>
      <c r="J358" s="28">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29">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7" t="n"/>
      <c r="M358" s="27" t="n"/>
      <c r="N358" s="27" t="n"/>
      <c r="O358" s="27" t="n"/>
      <c r="P358" s="27" t="n"/>
      <c r="Q358" s="27" t="n"/>
      <c r="R358" s="27" t="n"/>
      <c r="S358" s="27" t="n"/>
      <c r="T358" s="27" t="n"/>
      <c r="U358" s="27" t="n"/>
      <c r="V358" s="27" t="n"/>
      <c r="W358" s="27" t="n"/>
      <c r="X358" s="27" t="n"/>
      <c r="Y358" s="27" t="n"/>
      <c r="Z358" s="30" t="n"/>
      <c r="AA358" s="25" t="n"/>
      <c r="AB358" s="28">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ISNUMBER($Y358)*($Y358&lt;TODAY()))</f>
        <v/>
      </c>
    </row>
    <row r="359">
      <c r="A359" s="25" t="n"/>
      <c r="B359" s="26" t="n"/>
      <c r="C359" s="27" t="n"/>
      <c r="D359" s="25" t="n"/>
      <c r="E359" s="25" t="n"/>
      <c r="F359" s="27" t="n"/>
      <c r="G359" s="25" t="n"/>
      <c r="H359" s="28">
        <f>IF(OR(NOT(AND($A359&lt;&gt;"",OR($G359="",$G359="Active"))),$F359=""),"",INT((TODAY()-$F359+280)/7)&amp;"+"&amp;MOD(TODAY()-$F359+280,7))</f>
        <v/>
      </c>
      <c r="I359" s="28">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ISNUMBER($Y359)*($Y359&gt;=TODAY())*($Y359&lt;=TODAY()+7))</f>
        <v/>
      </c>
      <c r="J359" s="28">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29">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7" t="n"/>
      <c r="M359" s="27" t="n"/>
      <c r="N359" s="27" t="n"/>
      <c r="O359" s="27" t="n"/>
      <c r="P359" s="27" t="n"/>
      <c r="Q359" s="27" t="n"/>
      <c r="R359" s="27" t="n"/>
      <c r="S359" s="27" t="n"/>
      <c r="T359" s="27" t="n"/>
      <c r="U359" s="27" t="n"/>
      <c r="V359" s="27" t="n"/>
      <c r="W359" s="27" t="n"/>
      <c r="X359" s="27" t="n"/>
      <c r="Y359" s="27" t="n"/>
      <c r="Z359" s="30" t="n"/>
      <c r="AA359" s="25" t="n"/>
      <c r="AB359" s="28">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ISNUMBER($Y359)*($Y359&lt;TODAY()))</f>
        <v/>
      </c>
    </row>
    <row r="360">
      <c r="A360" s="25" t="n"/>
      <c r="B360" s="26" t="n"/>
      <c r="C360" s="27" t="n"/>
      <c r="D360" s="25" t="n"/>
      <c r="E360" s="25" t="n"/>
      <c r="F360" s="27" t="n"/>
      <c r="G360" s="25" t="n"/>
      <c r="H360" s="28">
        <f>IF(OR(NOT(AND($A360&lt;&gt;"",OR($G360="",$G360="Active"))),$F360=""),"",INT((TODAY()-$F360+280)/7)&amp;"+"&amp;MOD(TODAY()-$F360+280,7))</f>
        <v/>
      </c>
      <c r="I360" s="28">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ISNUMBER($Y360)*($Y360&gt;=TODAY())*($Y360&lt;=TODAY()+7))</f>
        <v/>
      </c>
      <c r="J360" s="28">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29">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7" t="n"/>
      <c r="M360" s="27" t="n"/>
      <c r="N360" s="27" t="n"/>
      <c r="O360" s="27" t="n"/>
      <c r="P360" s="27" t="n"/>
      <c r="Q360" s="27" t="n"/>
      <c r="R360" s="27" t="n"/>
      <c r="S360" s="27" t="n"/>
      <c r="T360" s="27" t="n"/>
      <c r="U360" s="27" t="n"/>
      <c r="V360" s="27" t="n"/>
      <c r="W360" s="27" t="n"/>
      <c r="X360" s="27" t="n"/>
      <c r="Y360" s="27" t="n"/>
      <c r="Z360" s="30" t="n"/>
      <c r="AA360" s="25" t="n"/>
      <c r="AB360" s="28">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ISNUMBER($Y360)*($Y360&lt;TODAY()))</f>
        <v/>
      </c>
    </row>
    <row r="361">
      <c r="A361" s="25" t="n"/>
      <c r="B361" s="26" t="n"/>
      <c r="C361" s="27" t="n"/>
      <c r="D361" s="25" t="n"/>
      <c r="E361" s="25" t="n"/>
      <c r="F361" s="27" t="n"/>
      <c r="G361" s="25" t="n"/>
      <c r="H361" s="28">
        <f>IF(OR(NOT(AND($A361&lt;&gt;"",OR($G361="",$G361="Active"))),$F361=""),"",INT((TODAY()-$F361+280)/7)&amp;"+"&amp;MOD(TODAY()-$F361+280,7))</f>
        <v/>
      </c>
      <c r="I361" s="28">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ISNUMBER($Y361)*($Y361&gt;=TODAY())*($Y361&lt;=TODAY()+7))</f>
        <v/>
      </c>
      <c r="J361" s="28">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29">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7" t="n"/>
      <c r="M361" s="27" t="n"/>
      <c r="N361" s="27" t="n"/>
      <c r="O361" s="27" t="n"/>
      <c r="P361" s="27" t="n"/>
      <c r="Q361" s="27" t="n"/>
      <c r="R361" s="27" t="n"/>
      <c r="S361" s="27" t="n"/>
      <c r="T361" s="27" t="n"/>
      <c r="U361" s="27" t="n"/>
      <c r="V361" s="27" t="n"/>
      <c r="W361" s="27" t="n"/>
      <c r="X361" s="27" t="n"/>
      <c r="Y361" s="27" t="n"/>
      <c r="Z361" s="30" t="n"/>
      <c r="AA361" s="25" t="n"/>
      <c r="AB361" s="28">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ISNUMBER($Y361)*($Y361&lt;TODAY()))</f>
        <v/>
      </c>
    </row>
    <row r="362">
      <c r="A362" s="25" t="n"/>
      <c r="B362" s="26" t="n"/>
      <c r="C362" s="27" t="n"/>
      <c r="D362" s="25" t="n"/>
      <c r="E362" s="25" t="n"/>
      <c r="F362" s="27" t="n"/>
      <c r="G362" s="25" t="n"/>
      <c r="H362" s="28">
        <f>IF(OR(NOT(AND($A362&lt;&gt;"",OR($G362="",$G362="Active"))),$F362=""),"",INT((TODAY()-$F362+280)/7)&amp;"+"&amp;MOD(TODAY()-$F362+280,7))</f>
        <v/>
      </c>
      <c r="I362" s="28">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ISNUMBER($Y362)*($Y362&gt;=TODAY())*($Y362&lt;=TODAY()+7))</f>
        <v/>
      </c>
      <c r="J362" s="28">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29">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7" t="n"/>
      <c r="M362" s="27" t="n"/>
      <c r="N362" s="27" t="n"/>
      <c r="O362" s="27" t="n"/>
      <c r="P362" s="27" t="n"/>
      <c r="Q362" s="27" t="n"/>
      <c r="R362" s="27" t="n"/>
      <c r="S362" s="27" t="n"/>
      <c r="T362" s="27" t="n"/>
      <c r="U362" s="27" t="n"/>
      <c r="V362" s="27" t="n"/>
      <c r="W362" s="27" t="n"/>
      <c r="X362" s="27" t="n"/>
      <c r="Y362" s="27" t="n"/>
      <c r="Z362" s="30" t="n"/>
      <c r="AA362" s="25" t="n"/>
      <c r="AB362" s="28">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ISNUMBER($Y362)*($Y362&lt;TODAY()))</f>
        <v/>
      </c>
    </row>
    <row r="363">
      <c r="A363" s="25" t="n"/>
      <c r="B363" s="26" t="n"/>
      <c r="C363" s="27" t="n"/>
      <c r="D363" s="25" t="n"/>
      <c r="E363" s="25" t="n"/>
      <c r="F363" s="27" t="n"/>
      <c r="G363" s="25" t="n"/>
      <c r="H363" s="28">
        <f>IF(OR(NOT(AND($A363&lt;&gt;"",OR($G363="",$G363="Active"))),$F363=""),"",INT((TODAY()-$F363+280)/7)&amp;"+"&amp;MOD(TODAY()-$F363+280,7))</f>
        <v/>
      </c>
      <c r="I363" s="28">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ISNUMBER($Y363)*($Y363&gt;=TODAY())*($Y363&lt;=TODAY()+7))</f>
        <v/>
      </c>
      <c r="J363" s="28">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29">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7" t="n"/>
      <c r="M363" s="27" t="n"/>
      <c r="N363" s="27" t="n"/>
      <c r="O363" s="27" t="n"/>
      <c r="P363" s="27" t="n"/>
      <c r="Q363" s="27" t="n"/>
      <c r="R363" s="27" t="n"/>
      <c r="S363" s="27" t="n"/>
      <c r="T363" s="27" t="n"/>
      <c r="U363" s="27" t="n"/>
      <c r="V363" s="27" t="n"/>
      <c r="W363" s="27" t="n"/>
      <c r="X363" s="27" t="n"/>
      <c r="Y363" s="27" t="n"/>
      <c r="Z363" s="30" t="n"/>
      <c r="AA363" s="25" t="n"/>
      <c r="AB363" s="28">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ISNUMBER($Y363)*($Y363&lt;TODAY()))</f>
        <v/>
      </c>
    </row>
    <row r="364">
      <c r="A364" s="25" t="n"/>
      <c r="B364" s="26" t="n"/>
      <c r="C364" s="27" t="n"/>
      <c r="D364" s="25" t="n"/>
      <c r="E364" s="25" t="n"/>
      <c r="F364" s="27" t="n"/>
      <c r="G364" s="25" t="n"/>
      <c r="H364" s="28">
        <f>IF(OR(NOT(AND($A364&lt;&gt;"",OR($G364="",$G364="Active"))),$F364=""),"",INT((TODAY()-$F364+280)/7)&amp;"+"&amp;MOD(TODAY()-$F364+280,7))</f>
        <v/>
      </c>
      <c r="I364" s="28">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ISNUMBER($Y364)*($Y364&gt;=TODAY())*($Y364&lt;=TODAY()+7))</f>
        <v/>
      </c>
      <c r="J364" s="28">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29">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7" t="n"/>
      <c r="M364" s="27" t="n"/>
      <c r="N364" s="27" t="n"/>
      <c r="O364" s="27" t="n"/>
      <c r="P364" s="27" t="n"/>
      <c r="Q364" s="27" t="n"/>
      <c r="R364" s="27" t="n"/>
      <c r="S364" s="27" t="n"/>
      <c r="T364" s="27" t="n"/>
      <c r="U364" s="27" t="n"/>
      <c r="V364" s="27" t="n"/>
      <c r="W364" s="27" t="n"/>
      <c r="X364" s="27" t="n"/>
      <c r="Y364" s="27" t="n"/>
      <c r="Z364" s="30" t="n"/>
      <c r="AA364" s="25" t="n"/>
      <c r="AB364" s="28">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ISNUMBER($Y364)*($Y364&lt;TODAY()))</f>
        <v/>
      </c>
    </row>
    <row r="365">
      <c r="A365" s="25" t="n"/>
      <c r="B365" s="26" t="n"/>
      <c r="C365" s="27" t="n"/>
      <c r="D365" s="25" t="n"/>
      <c r="E365" s="25" t="n"/>
      <c r="F365" s="27" t="n"/>
      <c r="G365" s="25" t="n"/>
      <c r="H365" s="28">
        <f>IF(OR(NOT(AND($A365&lt;&gt;"",OR($G365="",$G365="Active"))),$F365=""),"",INT((TODAY()-$F365+280)/7)&amp;"+"&amp;MOD(TODAY()-$F365+280,7))</f>
        <v/>
      </c>
      <c r="I365" s="28">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ISNUMBER($Y365)*($Y365&gt;=TODAY())*($Y365&lt;=TODAY()+7))</f>
        <v/>
      </c>
      <c r="J365" s="28">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29">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7" t="n"/>
      <c r="M365" s="27" t="n"/>
      <c r="N365" s="27" t="n"/>
      <c r="O365" s="27" t="n"/>
      <c r="P365" s="27" t="n"/>
      <c r="Q365" s="27" t="n"/>
      <c r="R365" s="27" t="n"/>
      <c r="S365" s="27" t="n"/>
      <c r="T365" s="27" t="n"/>
      <c r="U365" s="27" t="n"/>
      <c r="V365" s="27" t="n"/>
      <c r="W365" s="27" t="n"/>
      <c r="X365" s="27" t="n"/>
      <c r="Y365" s="27" t="n"/>
      <c r="Z365" s="30" t="n"/>
      <c r="AA365" s="25" t="n"/>
      <c r="AB365" s="28">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ISNUMBER($Y365)*($Y365&lt;TODAY()))</f>
        <v/>
      </c>
    </row>
    <row r="366">
      <c r="A366" s="25" t="n"/>
      <c r="B366" s="26" t="n"/>
      <c r="C366" s="27" t="n"/>
      <c r="D366" s="25" t="n"/>
      <c r="E366" s="25" t="n"/>
      <c r="F366" s="27" t="n"/>
      <c r="G366" s="25" t="n"/>
      <c r="H366" s="28">
        <f>IF(OR(NOT(AND($A366&lt;&gt;"",OR($G366="",$G366="Active"))),$F366=""),"",INT((TODAY()-$F366+280)/7)&amp;"+"&amp;MOD(TODAY()-$F366+280,7))</f>
        <v/>
      </c>
      <c r="I366" s="28">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ISNUMBER($Y366)*($Y366&gt;=TODAY())*($Y366&lt;=TODAY()+7))</f>
        <v/>
      </c>
      <c r="J366" s="28">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29">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7" t="n"/>
      <c r="M366" s="27" t="n"/>
      <c r="N366" s="27" t="n"/>
      <c r="O366" s="27" t="n"/>
      <c r="P366" s="27" t="n"/>
      <c r="Q366" s="27" t="n"/>
      <c r="R366" s="27" t="n"/>
      <c r="S366" s="27" t="n"/>
      <c r="T366" s="27" t="n"/>
      <c r="U366" s="27" t="n"/>
      <c r="V366" s="27" t="n"/>
      <c r="W366" s="27" t="n"/>
      <c r="X366" s="27" t="n"/>
      <c r="Y366" s="27" t="n"/>
      <c r="Z366" s="30" t="n"/>
      <c r="AA366" s="25" t="n"/>
      <c r="AB366" s="28">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ISNUMBER($Y366)*($Y366&lt;TODAY()))</f>
        <v/>
      </c>
    </row>
    <row r="367">
      <c r="A367" s="25" t="n"/>
      <c r="B367" s="26" t="n"/>
      <c r="C367" s="27" t="n"/>
      <c r="D367" s="25" t="n"/>
      <c r="E367" s="25" t="n"/>
      <c r="F367" s="27" t="n"/>
      <c r="G367" s="25" t="n"/>
      <c r="H367" s="28">
        <f>IF(OR(NOT(AND($A367&lt;&gt;"",OR($G367="",$G367="Active"))),$F367=""),"",INT((TODAY()-$F367+280)/7)&amp;"+"&amp;MOD(TODAY()-$F367+280,7))</f>
        <v/>
      </c>
      <c r="I367" s="28">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ISNUMBER($Y367)*($Y367&gt;=TODAY())*($Y367&lt;=TODAY()+7))</f>
        <v/>
      </c>
      <c r="J367" s="28">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29">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7" t="n"/>
      <c r="M367" s="27" t="n"/>
      <c r="N367" s="27" t="n"/>
      <c r="O367" s="27" t="n"/>
      <c r="P367" s="27" t="n"/>
      <c r="Q367" s="27" t="n"/>
      <c r="R367" s="27" t="n"/>
      <c r="S367" s="27" t="n"/>
      <c r="T367" s="27" t="n"/>
      <c r="U367" s="27" t="n"/>
      <c r="V367" s="27" t="n"/>
      <c r="W367" s="27" t="n"/>
      <c r="X367" s="27" t="n"/>
      <c r="Y367" s="27" t="n"/>
      <c r="Z367" s="30" t="n"/>
      <c r="AA367" s="25" t="n"/>
      <c r="AB367" s="28">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ISNUMBER($Y367)*($Y367&lt;TODAY()))</f>
        <v/>
      </c>
    </row>
    <row r="368">
      <c r="A368" s="25" t="n"/>
      <c r="B368" s="26" t="n"/>
      <c r="C368" s="27" t="n"/>
      <c r="D368" s="25" t="n"/>
      <c r="E368" s="25" t="n"/>
      <c r="F368" s="27" t="n"/>
      <c r="G368" s="25" t="n"/>
      <c r="H368" s="28">
        <f>IF(OR(NOT(AND($A368&lt;&gt;"",OR($G368="",$G368="Active"))),$F368=""),"",INT((TODAY()-$F368+280)/7)&amp;"+"&amp;MOD(TODAY()-$F368+280,7))</f>
        <v/>
      </c>
      <c r="I368" s="28">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ISNUMBER($Y368)*($Y368&gt;=TODAY())*($Y368&lt;=TODAY()+7))</f>
        <v/>
      </c>
      <c r="J368" s="28">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29">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7" t="n"/>
      <c r="M368" s="27" t="n"/>
      <c r="N368" s="27" t="n"/>
      <c r="O368" s="27" t="n"/>
      <c r="P368" s="27" t="n"/>
      <c r="Q368" s="27" t="n"/>
      <c r="R368" s="27" t="n"/>
      <c r="S368" s="27" t="n"/>
      <c r="T368" s="27" t="n"/>
      <c r="U368" s="27" t="n"/>
      <c r="V368" s="27" t="n"/>
      <c r="W368" s="27" t="n"/>
      <c r="X368" s="27" t="n"/>
      <c r="Y368" s="27" t="n"/>
      <c r="Z368" s="30" t="n"/>
      <c r="AA368" s="25" t="n"/>
      <c r="AB368" s="28">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ISNUMBER($Y368)*($Y368&lt;TODAY()))</f>
        <v/>
      </c>
    </row>
    <row r="369">
      <c r="A369" s="25" t="n"/>
      <c r="B369" s="26" t="n"/>
      <c r="C369" s="27" t="n"/>
      <c r="D369" s="25" t="n"/>
      <c r="E369" s="25" t="n"/>
      <c r="F369" s="27" t="n"/>
      <c r="G369" s="25" t="n"/>
      <c r="H369" s="28">
        <f>IF(OR(NOT(AND($A369&lt;&gt;"",OR($G369="",$G369="Active"))),$F369=""),"",INT((TODAY()-$F369+280)/7)&amp;"+"&amp;MOD(TODAY()-$F369+280,7))</f>
        <v/>
      </c>
      <c r="I369" s="28">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ISNUMBER($Y369)*($Y369&gt;=TODAY())*($Y369&lt;=TODAY()+7))</f>
        <v/>
      </c>
      <c r="J369" s="28">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29">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7" t="n"/>
      <c r="M369" s="27" t="n"/>
      <c r="N369" s="27" t="n"/>
      <c r="O369" s="27" t="n"/>
      <c r="P369" s="27" t="n"/>
      <c r="Q369" s="27" t="n"/>
      <c r="R369" s="27" t="n"/>
      <c r="S369" s="27" t="n"/>
      <c r="T369" s="27" t="n"/>
      <c r="U369" s="27" t="n"/>
      <c r="V369" s="27" t="n"/>
      <c r="W369" s="27" t="n"/>
      <c r="X369" s="27" t="n"/>
      <c r="Y369" s="27" t="n"/>
      <c r="Z369" s="30" t="n"/>
      <c r="AA369" s="25" t="n"/>
      <c r="AB369" s="28">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ISNUMBER($Y369)*($Y369&lt;TODAY()))</f>
        <v/>
      </c>
    </row>
    <row r="370">
      <c r="A370" s="25" t="n"/>
      <c r="B370" s="26" t="n"/>
      <c r="C370" s="27" t="n"/>
      <c r="D370" s="25" t="n"/>
      <c r="E370" s="25" t="n"/>
      <c r="F370" s="27" t="n"/>
      <c r="G370" s="25" t="n"/>
      <c r="H370" s="28">
        <f>IF(OR(NOT(AND($A370&lt;&gt;"",OR($G370="",$G370="Active"))),$F370=""),"",INT((TODAY()-$F370+280)/7)&amp;"+"&amp;MOD(TODAY()-$F370+280,7))</f>
        <v/>
      </c>
      <c r="I370" s="28">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ISNUMBER($Y370)*($Y370&gt;=TODAY())*($Y370&lt;=TODAY()+7))</f>
        <v/>
      </c>
      <c r="J370" s="28">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29">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7" t="n"/>
      <c r="M370" s="27" t="n"/>
      <c r="N370" s="27" t="n"/>
      <c r="O370" s="27" t="n"/>
      <c r="P370" s="27" t="n"/>
      <c r="Q370" s="27" t="n"/>
      <c r="R370" s="27" t="n"/>
      <c r="S370" s="27" t="n"/>
      <c r="T370" s="27" t="n"/>
      <c r="U370" s="27" t="n"/>
      <c r="V370" s="27" t="n"/>
      <c r="W370" s="27" t="n"/>
      <c r="X370" s="27" t="n"/>
      <c r="Y370" s="27" t="n"/>
      <c r="Z370" s="30" t="n"/>
      <c r="AA370" s="25" t="n"/>
      <c r="AB370" s="28">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ISNUMBER($Y370)*($Y370&lt;TODAY()))</f>
        <v/>
      </c>
    </row>
    <row r="371">
      <c r="A371" s="25" t="n"/>
      <c r="B371" s="26" t="n"/>
      <c r="C371" s="27" t="n"/>
      <c r="D371" s="25" t="n"/>
      <c r="E371" s="25" t="n"/>
      <c r="F371" s="27" t="n"/>
      <c r="G371" s="25" t="n"/>
      <c r="H371" s="28">
        <f>IF(OR(NOT(AND($A371&lt;&gt;"",OR($G371="",$G371="Active"))),$F371=""),"",INT((TODAY()-$F371+280)/7)&amp;"+"&amp;MOD(TODAY()-$F371+280,7))</f>
        <v/>
      </c>
      <c r="I371" s="28">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ISNUMBER($Y371)*($Y371&gt;=TODAY())*($Y371&lt;=TODAY()+7))</f>
        <v/>
      </c>
      <c r="J371" s="28">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29">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7" t="n"/>
      <c r="M371" s="27" t="n"/>
      <c r="N371" s="27" t="n"/>
      <c r="O371" s="27" t="n"/>
      <c r="P371" s="27" t="n"/>
      <c r="Q371" s="27" t="n"/>
      <c r="R371" s="27" t="n"/>
      <c r="S371" s="27" t="n"/>
      <c r="T371" s="27" t="n"/>
      <c r="U371" s="27" t="n"/>
      <c r="V371" s="27" t="n"/>
      <c r="W371" s="27" t="n"/>
      <c r="X371" s="27" t="n"/>
      <c r="Y371" s="27" t="n"/>
      <c r="Z371" s="30" t="n"/>
      <c r="AA371" s="25" t="n"/>
      <c r="AB371" s="28">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ISNUMBER($Y371)*($Y371&lt;TODAY()))</f>
        <v/>
      </c>
    </row>
    <row r="372">
      <c r="A372" s="25" t="n"/>
      <c r="B372" s="26" t="n"/>
      <c r="C372" s="27" t="n"/>
      <c r="D372" s="25" t="n"/>
      <c r="E372" s="25" t="n"/>
      <c r="F372" s="27" t="n"/>
      <c r="G372" s="25" t="n"/>
      <c r="H372" s="28">
        <f>IF(OR(NOT(AND($A372&lt;&gt;"",OR($G372="",$G372="Active"))),$F372=""),"",INT((TODAY()-$F372+280)/7)&amp;"+"&amp;MOD(TODAY()-$F372+280,7))</f>
        <v/>
      </c>
      <c r="I372" s="28">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ISNUMBER($Y372)*($Y372&gt;=TODAY())*($Y372&lt;=TODAY()+7))</f>
        <v/>
      </c>
      <c r="J372" s="28">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29">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7" t="n"/>
      <c r="M372" s="27" t="n"/>
      <c r="N372" s="27" t="n"/>
      <c r="O372" s="27" t="n"/>
      <c r="P372" s="27" t="n"/>
      <c r="Q372" s="27" t="n"/>
      <c r="R372" s="27" t="n"/>
      <c r="S372" s="27" t="n"/>
      <c r="T372" s="27" t="n"/>
      <c r="U372" s="27" t="n"/>
      <c r="V372" s="27" t="n"/>
      <c r="W372" s="27" t="n"/>
      <c r="X372" s="27" t="n"/>
      <c r="Y372" s="27" t="n"/>
      <c r="Z372" s="30" t="n"/>
      <c r="AA372" s="25" t="n"/>
      <c r="AB372" s="28">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ISNUMBER($Y372)*($Y372&lt;TODAY()))</f>
        <v/>
      </c>
    </row>
    <row r="373">
      <c r="A373" s="25" t="n"/>
      <c r="B373" s="26" t="n"/>
      <c r="C373" s="27" t="n"/>
      <c r="D373" s="25" t="n"/>
      <c r="E373" s="25" t="n"/>
      <c r="F373" s="27" t="n"/>
      <c r="G373" s="25" t="n"/>
      <c r="H373" s="28">
        <f>IF(OR(NOT(AND($A373&lt;&gt;"",OR($G373="",$G373="Active"))),$F373=""),"",INT((TODAY()-$F373+280)/7)&amp;"+"&amp;MOD(TODAY()-$F373+280,7))</f>
        <v/>
      </c>
      <c r="I373" s="28">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ISNUMBER($Y373)*($Y373&gt;=TODAY())*($Y373&lt;=TODAY()+7))</f>
        <v/>
      </c>
      <c r="J373" s="28">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29">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7" t="n"/>
      <c r="M373" s="27" t="n"/>
      <c r="N373" s="27" t="n"/>
      <c r="O373" s="27" t="n"/>
      <c r="P373" s="27" t="n"/>
      <c r="Q373" s="27" t="n"/>
      <c r="R373" s="27" t="n"/>
      <c r="S373" s="27" t="n"/>
      <c r="T373" s="27" t="n"/>
      <c r="U373" s="27" t="n"/>
      <c r="V373" s="27" t="n"/>
      <c r="W373" s="27" t="n"/>
      <c r="X373" s="27" t="n"/>
      <c r="Y373" s="27" t="n"/>
      <c r="Z373" s="30" t="n"/>
      <c r="AA373" s="25" t="n"/>
      <c r="AB373" s="28">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ISNUMBER($Y373)*($Y373&lt;TODAY()))</f>
        <v/>
      </c>
    </row>
    <row r="374">
      <c r="A374" s="25" t="n"/>
      <c r="B374" s="26" t="n"/>
      <c r="C374" s="27" t="n"/>
      <c r="D374" s="25" t="n"/>
      <c r="E374" s="25" t="n"/>
      <c r="F374" s="27" t="n"/>
      <c r="G374" s="25" t="n"/>
      <c r="H374" s="28">
        <f>IF(OR(NOT(AND($A374&lt;&gt;"",OR($G374="",$G374="Active"))),$F374=""),"",INT((TODAY()-$F374+280)/7)&amp;"+"&amp;MOD(TODAY()-$F374+280,7))</f>
        <v/>
      </c>
      <c r="I374" s="28">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ISNUMBER($Y374)*($Y374&gt;=TODAY())*($Y374&lt;=TODAY()+7))</f>
        <v/>
      </c>
      <c r="J374" s="28">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29">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7" t="n"/>
      <c r="M374" s="27" t="n"/>
      <c r="N374" s="27" t="n"/>
      <c r="O374" s="27" t="n"/>
      <c r="P374" s="27" t="n"/>
      <c r="Q374" s="27" t="n"/>
      <c r="R374" s="27" t="n"/>
      <c r="S374" s="27" t="n"/>
      <c r="T374" s="27" t="n"/>
      <c r="U374" s="27" t="n"/>
      <c r="V374" s="27" t="n"/>
      <c r="W374" s="27" t="n"/>
      <c r="X374" s="27" t="n"/>
      <c r="Y374" s="27" t="n"/>
      <c r="Z374" s="30" t="n"/>
      <c r="AA374" s="25" t="n"/>
      <c r="AB374" s="28">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ISNUMBER($Y374)*($Y374&lt;TODAY()))</f>
        <v/>
      </c>
    </row>
    <row r="375">
      <c r="A375" s="25" t="n"/>
      <c r="B375" s="26" t="n"/>
      <c r="C375" s="27" t="n"/>
      <c r="D375" s="25" t="n"/>
      <c r="E375" s="25" t="n"/>
      <c r="F375" s="27" t="n"/>
      <c r="G375" s="25" t="n"/>
      <c r="H375" s="28">
        <f>IF(OR(NOT(AND($A375&lt;&gt;"",OR($G375="",$G375="Active"))),$F375=""),"",INT((TODAY()-$F375+280)/7)&amp;"+"&amp;MOD(TODAY()-$F375+280,7))</f>
        <v/>
      </c>
      <c r="I375" s="28">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ISNUMBER($Y375)*($Y375&gt;=TODAY())*($Y375&lt;=TODAY()+7))</f>
        <v/>
      </c>
      <c r="J375" s="28">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29">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7" t="n"/>
      <c r="M375" s="27" t="n"/>
      <c r="N375" s="27" t="n"/>
      <c r="O375" s="27" t="n"/>
      <c r="P375" s="27" t="n"/>
      <c r="Q375" s="27" t="n"/>
      <c r="R375" s="27" t="n"/>
      <c r="S375" s="27" t="n"/>
      <c r="T375" s="27" t="n"/>
      <c r="U375" s="27" t="n"/>
      <c r="V375" s="27" t="n"/>
      <c r="W375" s="27" t="n"/>
      <c r="X375" s="27" t="n"/>
      <c r="Y375" s="27" t="n"/>
      <c r="Z375" s="30" t="n"/>
      <c r="AA375" s="25" t="n"/>
      <c r="AB375" s="28">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ISNUMBER($Y375)*($Y375&lt;TODAY()))</f>
        <v/>
      </c>
    </row>
    <row r="376">
      <c r="A376" s="25" t="n"/>
      <c r="B376" s="26" t="n"/>
      <c r="C376" s="27" t="n"/>
      <c r="D376" s="25" t="n"/>
      <c r="E376" s="25" t="n"/>
      <c r="F376" s="27" t="n"/>
      <c r="G376" s="25" t="n"/>
      <c r="H376" s="28">
        <f>IF(OR(NOT(AND($A376&lt;&gt;"",OR($G376="",$G376="Active"))),$F376=""),"",INT((TODAY()-$F376+280)/7)&amp;"+"&amp;MOD(TODAY()-$F376+280,7))</f>
        <v/>
      </c>
      <c r="I376" s="28">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ISNUMBER($Y376)*($Y376&gt;=TODAY())*($Y376&lt;=TODAY()+7))</f>
        <v/>
      </c>
      <c r="J376" s="28">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29">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7" t="n"/>
      <c r="M376" s="27" t="n"/>
      <c r="N376" s="27" t="n"/>
      <c r="O376" s="27" t="n"/>
      <c r="P376" s="27" t="n"/>
      <c r="Q376" s="27" t="n"/>
      <c r="R376" s="27" t="n"/>
      <c r="S376" s="27" t="n"/>
      <c r="T376" s="27" t="n"/>
      <c r="U376" s="27" t="n"/>
      <c r="V376" s="27" t="n"/>
      <c r="W376" s="27" t="n"/>
      <c r="X376" s="27" t="n"/>
      <c r="Y376" s="27" t="n"/>
      <c r="Z376" s="30" t="n"/>
      <c r="AA376" s="25" t="n"/>
      <c r="AB376" s="28">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ISNUMBER($Y376)*($Y376&lt;TODAY()))</f>
        <v/>
      </c>
    </row>
    <row r="377">
      <c r="A377" s="25" t="n"/>
      <c r="B377" s="26" t="n"/>
      <c r="C377" s="27" t="n"/>
      <c r="D377" s="25" t="n"/>
      <c r="E377" s="25" t="n"/>
      <c r="F377" s="27" t="n"/>
      <c r="G377" s="25" t="n"/>
      <c r="H377" s="28">
        <f>IF(OR(NOT(AND($A377&lt;&gt;"",OR($G377="",$G377="Active"))),$F377=""),"",INT((TODAY()-$F377+280)/7)&amp;"+"&amp;MOD(TODAY()-$F377+280,7))</f>
        <v/>
      </c>
      <c r="I377" s="28">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ISNUMBER($Y377)*($Y377&gt;=TODAY())*($Y377&lt;=TODAY()+7))</f>
        <v/>
      </c>
      <c r="J377" s="28">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29">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7" t="n"/>
      <c r="M377" s="27" t="n"/>
      <c r="N377" s="27" t="n"/>
      <c r="O377" s="27" t="n"/>
      <c r="P377" s="27" t="n"/>
      <c r="Q377" s="27" t="n"/>
      <c r="R377" s="27" t="n"/>
      <c r="S377" s="27" t="n"/>
      <c r="T377" s="27" t="n"/>
      <c r="U377" s="27" t="n"/>
      <c r="V377" s="27" t="n"/>
      <c r="W377" s="27" t="n"/>
      <c r="X377" s="27" t="n"/>
      <c r="Y377" s="27" t="n"/>
      <c r="Z377" s="30" t="n"/>
      <c r="AA377" s="25" t="n"/>
      <c r="AB377" s="28">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ISNUMBER($Y377)*($Y377&lt;TODAY()))</f>
        <v/>
      </c>
    </row>
    <row r="378">
      <c r="A378" s="25" t="n"/>
      <c r="B378" s="26" t="n"/>
      <c r="C378" s="27" t="n"/>
      <c r="D378" s="25" t="n"/>
      <c r="E378" s="25" t="n"/>
      <c r="F378" s="27" t="n"/>
      <c r="G378" s="25" t="n"/>
      <c r="H378" s="28">
        <f>IF(OR(NOT(AND($A378&lt;&gt;"",OR($G378="",$G378="Active"))),$F378=""),"",INT((TODAY()-$F378+280)/7)&amp;"+"&amp;MOD(TODAY()-$F378+280,7))</f>
        <v/>
      </c>
      <c r="I378" s="28">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ISNUMBER($Y378)*($Y378&gt;=TODAY())*($Y378&lt;=TODAY()+7))</f>
        <v/>
      </c>
      <c r="J378" s="28">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29">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7" t="n"/>
      <c r="M378" s="27" t="n"/>
      <c r="N378" s="27" t="n"/>
      <c r="O378" s="27" t="n"/>
      <c r="P378" s="27" t="n"/>
      <c r="Q378" s="27" t="n"/>
      <c r="R378" s="27" t="n"/>
      <c r="S378" s="27" t="n"/>
      <c r="T378" s="27" t="n"/>
      <c r="U378" s="27" t="n"/>
      <c r="V378" s="27" t="n"/>
      <c r="W378" s="27" t="n"/>
      <c r="X378" s="27" t="n"/>
      <c r="Y378" s="27" t="n"/>
      <c r="Z378" s="30" t="n"/>
      <c r="AA378" s="25" t="n"/>
      <c r="AB378" s="28">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ISNUMBER($Y378)*($Y378&lt;TODAY()))</f>
        <v/>
      </c>
    </row>
    <row r="379">
      <c r="A379" s="25" t="n"/>
      <c r="B379" s="26" t="n"/>
      <c r="C379" s="27" t="n"/>
      <c r="D379" s="25" t="n"/>
      <c r="E379" s="25" t="n"/>
      <c r="F379" s="27" t="n"/>
      <c r="G379" s="25" t="n"/>
      <c r="H379" s="28">
        <f>IF(OR(NOT(AND($A379&lt;&gt;"",OR($G379="",$G379="Active"))),$F379=""),"",INT((TODAY()-$F379+280)/7)&amp;"+"&amp;MOD(TODAY()-$F379+280,7))</f>
        <v/>
      </c>
      <c r="I379" s="28">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ISNUMBER($Y379)*($Y379&gt;=TODAY())*($Y379&lt;=TODAY()+7))</f>
        <v/>
      </c>
      <c r="J379" s="28">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29">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7" t="n"/>
      <c r="M379" s="27" t="n"/>
      <c r="N379" s="27" t="n"/>
      <c r="O379" s="27" t="n"/>
      <c r="P379" s="27" t="n"/>
      <c r="Q379" s="27" t="n"/>
      <c r="R379" s="27" t="n"/>
      <c r="S379" s="27" t="n"/>
      <c r="T379" s="27" t="n"/>
      <c r="U379" s="27" t="n"/>
      <c r="V379" s="27" t="n"/>
      <c r="W379" s="27" t="n"/>
      <c r="X379" s="27" t="n"/>
      <c r="Y379" s="27" t="n"/>
      <c r="Z379" s="30" t="n"/>
      <c r="AA379" s="25" t="n"/>
      <c r="AB379" s="28">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ISNUMBER($Y379)*($Y379&lt;TODAY()))</f>
        <v/>
      </c>
    </row>
    <row r="380">
      <c r="A380" s="25" t="n"/>
      <c r="B380" s="26" t="n"/>
      <c r="C380" s="27" t="n"/>
      <c r="D380" s="25" t="n"/>
      <c r="E380" s="25" t="n"/>
      <c r="F380" s="27" t="n"/>
      <c r="G380" s="25" t="n"/>
      <c r="H380" s="28">
        <f>IF(OR(NOT(AND($A380&lt;&gt;"",OR($G380="",$G380="Active"))),$F380=""),"",INT((TODAY()-$F380+280)/7)&amp;"+"&amp;MOD(TODAY()-$F380+280,7))</f>
        <v/>
      </c>
      <c r="I380" s="28">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ISNUMBER($Y380)*($Y380&gt;=TODAY())*($Y380&lt;=TODAY()+7))</f>
        <v/>
      </c>
      <c r="J380" s="28">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29">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7" t="n"/>
      <c r="M380" s="27" t="n"/>
      <c r="N380" s="27" t="n"/>
      <c r="O380" s="27" t="n"/>
      <c r="P380" s="27" t="n"/>
      <c r="Q380" s="27" t="n"/>
      <c r="R380" s="27" t="n"/>
      <c r="S380" s="27" t="n"/>
      <c r="T380" s="27" t="n"/>
      <c r="U380" s="27" t="n"/>
      <c r="V380" s="27" t="n"/>
      <c r="W380" s="27" t="n"/>
      <c r="X380" s="27" t="n"/>
      <c r="Y380" s="27" t="n"/>
      <c r="Z380" s="30" t="n"/>
      <c r="AA380" s="25" t="n"/>
      <c r="AB380" s="28">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ISNUMBER($Y380)*($Y380&lt;TODAY()))</f>
        <v/>
      </c>
    </row>
    <row r="381">
      <c r="A381" s="25" t="n"/>
      <c r="B381" s="26" t="n"/>
      <c r="C381" s="27" t="n"/>
      <c r="D381" s="25" t="n"/>
      <c r="E381" s="25" t="n"/>
      <c r="F381" s="27" t="n"/>
      <c r="G381" s="25" t="n"/>
      <c r="H381" s="28">
        <f>IF(OR(NOT(AND($A381&lt;&gt;"",OR($G381="",$G381="Active"))),$F381=""),"",INT((TODAY()-$F381+280)/7)&amp;"+"&amp;MOD(TODAY()-$F381+280,7))</f>
        <v/>
      </c>
      <c r="I381" s="28">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ISNUMBER($Y381)*($Y381&gt;=TODAY())*($Y381&lt;=TODAY()+7))</f>
        <v/>
      </c>
      <c r="J381" s="28">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29">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7" t="n"/>
      <c r="M381" s="27" t="n"/>
      <c r="N381" s="27" t="n"/>
      <c r="O381" s="27" t="n"/>
      <c r="P381" s="27" t="n"/>
      <c r="Q381" s="27" t="n"/>
      <c r="R381" s="27" t="n"/>
      <c r="S381" s="27" t="n"/>
      <c r="T381" s="27" t="n"/>
      <c r="U381" s="27" t="n"/>
      <c r="V381" s="27" t="n"/>
      <c r="W381" s="27" t="n"/>
      <c r="X381" s="27" t="n"/>
      <c r="Y381" s="27" t="n"/>
      <c r="Z381" s="30" t="n"/>
      <c r="AA381" s="25" t="n"/>
      <c r="AB381" s="28">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ISNUMBER($Y381)*($Y381&lt;TODAY()))</f>
        <v/>
      </c>
    </row>
    <row r="382">
      <c r="A382" s="25" t="n"/>
      <c r="B382" s="26" t="n"/>
      <c r="C382" s="27" t="n"/>
      <c r="D382" s="25" t="n"/>
      <c r="E382" s="25" t="n"/>
      <c r="F382" s="27" t="n"/>
      <c r="G382" s="25" t="n"/>
      <c r="H382" s="28">
        <f>IF(OR(NOT(AND($A382&lt;&gt;"",OR($G382="",$G382="Active"))),$F382=""),"",INT((TODAY()-$F382+280)/7)&amp;"+"&amp;MOD(TODAY()-$F382+280,7))</f>
        <v/>
      </c>
      <c r="I382" s="28">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ISNUMBER($Y382)*($Y382&gt;=TODAY())*($Y382&lt;=TODAY()+7))</f>
        <v/>
      </c>
      <c r="J382" s="28">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29">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7" t="n"/>
      <c r="M382" s="27" t="n"/>
      <c r="N382" s="27" t="n"/>
      <c r="O382" s="27" t="n"/>
      <c r="P382" s="27" t="n"/>
      <c r="Q382" s="27" t="n"/>
      <c r="R382" s="27" t="n"/>
      <c r="S382" s="27" t="n"/>
      <c r="T382" s="27" t="n"/>
      <c r="U382" s="27" t="n"/>
      <c r="V382" s="27" t="n"/>
      <c r="W382" s="27" t="n"/>
      <c r="X382" s="27" t="n"/>
      <c r="Y382" s="27" t="n"/>
      <c r="Z382" s="30" t="n"/>
      <c r="AA382" s="25" t="n"/>
      <c r="AB382" s="28">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ISNUMBER($Y382)*($Y382&lt;TODAY()))</f>
        <v/>
      </c>
    </row>
    <row r="383">
      <c r="A383" s="25" t="n"/>
      <c r="B383" s="26" t="n"/>
      <c r="C383" s="27" t="n"/>
      <c r="D383" s="25" t="n"/>
      <c r="E383" s="25" t="n"/>
      <c r="F383" s="27" t="n"/>
      <c r="G383" s="25" t="n"/>
      <c r="H383" s="28">
        <f>IF(OR(NOT(AND($A383&lt;&gt;"",OR($G383="",$G383="Active"))),$F383=""),"",INT((TODAY()-$F383+280)/7)&amp;"+"&amp;MOD(TODAY()-$F383+280,7))</f>
        <v/>
      </c>
      <c r="I383" s="28">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ISNUMBER($Y383)*($Y383&gt;=TODAY())*($Y383&lt;=TODAY()+7))</f>
        <v/>
      </c>
      <c r="J383" s="28">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29">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7" t="n"/>
      <c r="M383" s="27" t="n"/>
      <c r="N383" s="27" t="n"/>
      <c r="O383" s="27" t="n"/>
      <c r="P383" s="27" t="n"/>
      <c r="Q383" s="27" t="n"/>
      <c r="R383" s="27" t="n"/>
      <c r="S383" s="27" t="n"/>
      <c r="T383" s="27" t="n"/>
      <c r="U383" s="27" t="n"/>
      <c r="V383" s="27" t="n"/>
      <c r="W383" s="27" t="n"/>
      <c r="X383" s="27" t="n"/>
      <c r="Y383" s="27" t="n"/>
      <c r="Z383" s="30" t="n"/>
      <c r="AA383" s="25" t="n"/>
      <c r="AB383" s="28">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ISNUMBER($Y383)*($Y383&lt;TODAY()))</f>
        <v/>
      </c>
    </row>
    <row r="384">
      <c r="A384" s="25" t="n"/>
      <c r="B384" s="26" t="n"/>
      <c r="C384" s="27" t="n"/>
      <c r="D384" s="25" t="n"/>
      <c r="E384" s="25" t="n"/>
      <c r="F384" s="27" t="n"/>
      <c r="G384" s="25" t="n"/>
      <c r="H384" s="28">
        <f>IF(OR(NOT(AND($A384&lt;&gt;"",OR($G384="",$G384="Active"))),$F384=""),"",INT((TODAY()-$F384+280)/7)&amp;"+"&amp;MOD(TODAY()-$F384+280,7))</f>
        <v/>
      </c>
      <c r="I384" s="28">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ISNUMBER($Y384)*($Y384&gt;=TODAY())*($Y384&lt;=TODAY()+7))</f>
        <v/>
      </c>
      <c r="J384" s="28">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29">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7" t="n"/>
      <c r="M384" s="27" t="n"/>
      <c r="N384" s="27" t="n"/>
      <c r="O384" s="27" t="n"/>
      <c r="P384" s="27" t="n"/>
      <c r="Q384" s="27" t="n"/>
      <c r="R384" s="27" t="n"/>
      <c r="S384" s="27" t="n"/>
      <c r="T384" s="27" t="n"/>
      <c r="U384" s="27" t="n"/>
      <c r="V384" s="27" t="n"/>
      <c r="W384" s="27" t="n"/>
      <c r="X384" s="27" t="n"/>
      <c r="Y384" s="27" t="n"/>
      <c r="Z384" s="30" t="n"/>
      <c r="AA384" s="25" t="n"/>
      <c r="AB384" s="28">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ISNUMBER($Y384)*($Y384&lt;TODAY()))</f>
        <v/>
      </c>
    </row>
    <row r="385">
      <c r="A385" s="25" t="n"/>
      <c r="B385" s="26" t="n"/>
      <c r="C385" s="27" t="n"/>
      <c r="D385" s="25" t="n"/>
      <c r="E385" s="25" t="n"/>
      <c r="F385" s="27" t="n"/>
      <c r="G385" s="25" t="n"/>
      <c r="H385" s="28">
        <f>IF(OR(NOT(AND($A385&lt;&gt;"",OR($G385="",$G385="Active"))),$F385=""),"",INT((TODAY()-$F385+280)/7)&amp;"+"&amp;MOD(TODAY()-$F385+280,7))</f>
        <v/>
      </c>
      <c r="I385" s="28">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ISNUMBER($Y385)*($Y385&gt;=TODAY())*($Y385&lt;=TODAY()+7))</f>
        <v/>
      </c>
      <c r="J385" s="28">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29">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7" t="n"/>
      <c r="M385" s="27" t="n"/>
      <c r="N385" s="27" t="n"/>
      <c r="O385" s="27" t="n"/>
      <c r="P385" s="27" t="n"/>
      <c r="Q385" s="27" t="n"/>
      <c r="R385" s="27" t="n"/>
      <c r="S385" s="27" t="n"/>
      <c r="T385" s="27" t="n"/>
      <c r="U385" s="27" t="n"/>
      <c r="V385" s="27" t="n"/>
      <c r="W385" s="27" t="n"/>
      <c r="X385" s="27" t="n"/>
      <c r="Y385" s="27" t="n"/>
      <c r="Z385" s="30" t="n"/>
      <c r="AA385" s="25" t="n"/>
      <c r="AB385" s="28">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ISNUMBER($Y385)*($Y385&lt;TODAY()))</f>
        <v/>
      </c>
    </row>
    <row r="386">
      <c r="A386" s="25" t="n"/>
      <c r="B386" s="26" t="n"/>
      <c r="C386" s="27" t="n"/>
      <c r="D386" s="25" t="n"/>
      <c r="E386" s="25" t="n"/>
      <c r="F386" s="27" t="n"/>
      <c r="G386" s="25" t="n"/>
      <c r="H386" s="28">
        <f>IF(OR(NOT(AND($A386&lt;&gt;"",OR($G386="",$G386="Active"))),$F386=""),"",INT((TODAY()-$F386+280)/7)&amp;"+"&amp;MOD(TODAY()-$F386+280,7))</f>
        <v/>
      </c>
      <c r="I386" s="28">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ISNUMBER($Y386)*($Y386&gt;=TODAY())*($Y386&lt;=TODAY()+7))</f>
        <v/>
      </c>
      <c r="J386" s="28">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29">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7" t="n"/>
      <c r="M386" s="27" t="n"/>
      <c r="N386" s="27" t="n"/>
      <c r="O386" s="27" t="n"/>
      <c r="P386" s="27" t="n"/>
      <c r="Q386" s="27" t="n"/>
      <c r="R386" s="27" t="n"/>
      <c r="S386" s="27" t="n"/>
      <c r="T386" s="27" t="n"/>
      <c r="U386" s="27" t="n"/>
      <c r="V386" s="27" t="n"/>
      <c r="W386" s="27" t="n"/>
      <c r="X386" s="27" t="n"/>
      <c r="Y386" s="27" t="n"/>
      <c r="Z386" s="30" t="n"/>
      <c r="AA386" s="25" t="n"/>
      <c r="AB386" s="28">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ISNUMBER($Y386)*($Y386&lt;TODAY()))</f>
        <v/>
      </c>
    </row>
    <row r="387">
      <c r="A387" s="25" t="n"/>
      <c r="B387" s="26" t="n"/>
      <c r="C387" s="27" t="n"/>
      <c r="D387" s="25" t="n"/>
      <c r="E387" s="25" t="n"/>
      <c r="F387" s="27" t="n"/>
      <c r="G387" s="25" t="n"/>
      <c r="H387" s="28">
        <f>IF(OR(NOT(AND($A387&lt;&gt;"",OR($G387="",$G387="Active"))),$F387=""),"",INT((TODAY()-$F387+280)/7)&amp;"+"&amp;MOD(TODAY()-$F387+280,7))</f>
        <v/>
      </c>
      <c r="I387" s="28">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ISNUMBER($Y387)*($Y387&gt;=TODAY())*($Y387&lt;=TODAY()+7))</f>
        <v/>
      </c>
      <c r="J387" s="28">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29">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7" t="n"/>
      <c r="M387" s="27" t="n"/>
      <c r="N387" s="27" t="n"/>
      <c r="O387" s="27" t="n"/>
      <c r="P387" s="27" t="n"/>
      <c r="Q387" s="27" t="n"/>
      <c r="R387" s="27" t="n"/>
      <c r="S387" s="27" t="n"/>
      <c r="T387" s="27" t="n"/>
      <c r="U387" s="27" t="n"/>
      <c r="V387" s="27" t="n"/>
      <c r="W387" s="27" t="n"/>
      <c r="X387" s="27" t="n"/>
      <c r="Y387" s="27" t="n"/>
      <c r="Z387" s="30" t="n"/>
      <c r="AA387" s="25" t="n"/>
      <c r="AB387" s="28">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ISNUMBER($Y387)*($Y387&lt;TODAY()))</f>
        <v/>
      </c>
    </row>
    <row r="388">
      <c r="A388" s="25" t="n"/>
      <c r="B388" s="26" t="n"/>
      <c r="C388" s="27" t="n"/>
      <c r="D388" s="25" t="n"/>
      <c r="E388" s="25" t="n"/>
      <c r="F388" s="27" t="n"/>
      <c r="G388" s="25" t="n"/>
      <c r="H388" s="28">
        <f>IF(OR(NOT(AND($A388&lt;&gt;"",OR($G388="",$G388="Active"))),$F388=""),"",INT((TODAY()-$F388+280)/7)&amp;"+"&amp;MOD(TODAY()-$F388+280,7))</f>
        <v/>
      </c>
      <c r="I388" s="28">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ISNUMBER($Y388)*($Y388&gt;=TODAY())*($Y388&lt;=TODAY()+7))</f>
        <v/>
      </c>
      <c r="J388" s="28">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29">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7" t="n"/>
      <c r="M388" s="27" t="n"/>
      <c r="N388" s="27" t="n"/>
      <c r="O388" s="27" t="n"/>
      <c r="P388" s="27" t="n"/>
      <c r="Q388" s="27" t="n"/>
      <c r="R388" s="27" t="n"/>
      <c r="S388" s="27" t="n"/>
      <c r="T388" s="27" t="n"/>
      <c r="U388" s="27" t="n"/>
      <c r="V388" s="27" t="n"/>
      <c r="W388" s="27" t="n"/>
      <c r="X388" s="27" t="n"/>
      <c r="Y388" s="27" t="n"/>
      <c r="Z388" s="30" t="n"/>
      <c r="AA388" s="25" t="n"/>
      <c r="AB388" s="28">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ISNUMBER($Y388)*($Y388&lt;TODAY()))</f>
        <v/>
      </c>
    </row>
    <row r="389">
      <c r="A389" s="25" t="n"/>
      <c r="B389" s="26" t="n"/>
      <c r="C389" s="27" t="n"/>
      <c r="D389" s="25" t="n"/>
      <c r="E389" s="25" t="n"/>
      <c r="F389" s="27" t="n"/>
      <c r="G389" s="25" t="n"/>
      <c r="H389" s="28">
        <f>IF(OR(NOT(AND($A389&lt;&gt;"",OR($G389="",$G389="Active"))),$F389=""),"",INT((TODAY()-$F389+280)/7)&amp;"+"&amp;MOD(TODAY()-$F389+280,7))</f>
        <v/>
      </c>
      <c r="I389" s="28">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ISNUMBER($Y389)*($Y389&gt;=TODAY())*($Y389&lt;=TODAY()+7))</f>
        <v/>
      </c>
      <c r="J389" s="28">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29">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7" t="n"/>
      <c r="M389" s="27" t="n"/>
      <c r="N389" s="27" t="n"/>
      <c r="O389" s="27" t="n"/>
      <c r="P389" s="27" t="n"/>
      <c r="Q389" s="27" t="n"/>
      <c r="R389" s="27" t="n"/>
      <c r="S389" s="27" t="n"/>
      <c r="T389" s="27" t="n"/>
      <c r="U389" s="27" t="n"/>
      <c r="V389" s="27" t="n"/>
      <c r="W389" s="27" t="n"/>
      <c r="X389" s="27" t="n"/>
      <c r="Y389" s="27" t="n"/>
      <c r="Z389" s="30" t="n"/>
      <c r="AA389" s="25" t="n"/>
      <c r="AB389" s="28">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ISNUMBER($Y389)*($Y389&lt;TODAY()))</f>
        <v/>
      </c>
    </row>
    <row r="390">
      <c r="A390" s="25" t="n"/>
      <c r="B390" s="26" t="n"/>
      <c r="C390" s="27" t="n"/>
      <c r="D390" s="25" t="n"/>
      <c r="E390" s="25" t="n"/>
      <c r="F390" s="27" t="n"/>
      <c r="G390" s="25" t="n"/>
      <c r="H390" s="28">
        <f>IF(OR(NOT(AND($A390&lt;&gt;"",OR($G390="",$G390="Active"))),$F390=""),"",INT((TODAY()-$F390+280)/7)&amp;"+"&amp;MOD(TODAY()-$F390+280,7))</f>
        <v/>
      </c>
      <c r="I390" s="28">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ISNUMBER($Y390)*($Y390&gt;=TODAY())*($Y390&lt;=TODAY()+7))</f>
        <v/>
      </c>
      <c r="J390" s="28">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29">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7" t="n"/>
      <c r="M390" s="27" t="n"/>
      <c r="N390" s="27" t="n"/>
      <c r="O390" s="27" t="n"/>
      <c r="P390" s="27" t="n"/>
      <c r="Q390" s="27" t="n"/>
      <c r="R390" s="27" t="n"/>
      <c r="S390" s="27" t="n"/>
      <c r="T390" s="27" t="n"/>
      <c r="U390" s="27" t="n"/>
      <c r="V390" s="27" t="n"/>
      <c r="W390" s="27" t="n"/>
      <c r="X390" s="27" t="n"/>
      <c r="Y390" s="27" t="n"/>
      <c r="Z390" s="30" t="n"/>
      <c r="AA390" s="25" t="n"/>
      <c r="AB390" s="28">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ISNUMBER($Y390)*($Y390&lt;TODAY()))</f>
        <v/>
      </c>
    </row>
    <row r="391">
      <c r="A391" s="25" t="n"/>
      <c r="B391" s="26" t="n"/>
      <c r="C391" s="27" t="n"/>
      <c r="D391" s="25" t="n"/>
      <c r="E391" s="25" t="n"/>
      <c r="F391" s="27" t="n"/>
      <c r="G391" s="25" t="n"/>
      <c r="H391" s="28">
        <f>IF(OR(NOT(AND($A391&lt;&gt;"",OR($G391="",$G391="Active"))),$F391=""),"",INT((TODAY()-$F391+280)/7)&amp;"+"&amp;MOD(TODAY()-$F391+280,7))</f>
        <v/>
      </c>
      <c r="I391" s="28">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ISNUMBER($Y391)*($Y391&gt;=TODAY())*($Y391&lt;=TODAY()+7))</f>
        <v/>
      </c>
      <c r="J391" s="28">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29">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7" t="n"/>
      <c r="M391" s="27" t="n"/>
      <c r="N391" s="27" t="n"/>
      <c r="O391" s="27" t="n"/>
      <c r="P391" s="27" t="n"/>
      <c r="Q391" s="27" t="n"/>
      <c r="R391" s="27" t="n"/>
      <c r="S391" s="27" t="n"/>
      <c r="T391" s="27" t="n"/>
      <c r="U391" s="27" t="n"/>
      <c r="V391" s="27" t="n"/>
      <c r="W391" s="27" t="n"/>
      <c r="X391" s="27" t="n"/>
      <c r="Y391" s="27" t="n"/>
      <c r="Z391" s="30" t="n"/>
      <c r="AA391" s="25" t="n"/>
      <c r="AB391" s="28">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ISNUMBER($Y391)*($Y391&lt;TODAY()))</f>
        <v/>
      </c>
    </row>
    <row r="392">
      <c r="A392" s="25" t="n"/>
      <c r="B392" s="26" t="n"/>
      <c r="C392" s="27" t="n"/>
      <c r="D392" s="25" t="n"/>
      <c r="E392" s="25" t="n"/>
      <c r="F392" s="27" t="n"/>
      <c r="G392" s="25" t="n"/>
      <c r="H392" s="28">
        <f>IF(OR(NOT(AND($A392&lt;&gt;"",OR($G392="",$G392="Active"))),$F392=""),"",INT((TODAY()-$F392+280)/7)&amp;"+"&amp;MOD(TODAY()-$F392+280,7))</f>
        <v/>
      </c>
      <c r="I392" s="28">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ISNUMBER($Y392)*($Y392&gt;=TODAY())*($Y392&lt;=TODAY()+7))</f>
        <v/>
      </c>
      <c r="J392" s="28">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29">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7" t="n"/>
      <c r="M392" s="27" t="n"/>
      <c r="N392" s="27" t="n"/>
      <c r="O392" s="27" t="n"/>
      <c r="P392" s="27" t="n"/>
      <c r="Q392" s="27" t="n"/>
      <c r="R392" s="27" t="n"/>
      <c r="S392" s="27" t="n"/>
      <c r="T392" s="27" t="n"/>
      <c r="U392" s="27" t="n"/>
      <c r="V392" s="27" t="n"/>
      <c r="W392" s="27" t="n"/>
      <c r="X392" s="27" t="n"/>
      <c r="Y392" s="27" t="n"/>
      <c r="Z392" s="30" t="n"/>
      <c r="AA392" s="25" t="n"/>
      <c r="AB392" s="28">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ISNUMBER($Y392)*($Y392&lt;TODAY()))</f>
        <v/>
      </c>
    </row>
    <row r="393">
      <c r="A393" s="25" t="n"/>
      <c r="B393" s="26" t="n"/>
      <c r="C393" s="27" t="n"/>
      <c r="D393" s="25" t="n"/>
      <c r="E393" s="25" t="n"/>
      <c r="F393" s="27" t="n"/>
      <c r="G393" s="25" t="n"/>
      <c r="H393" s="28">
        <f>IF(OR(NOT(AND($A393&lt;&gt;"",OR($G393="",$G393="Active"))),$F393=""),"",INT((TODAY()-$F393+280)/7)&amp;"+"&amp;MOD(TODAY()-$F393+280,7))</f>
        <v/>
      </c>
      <c r="I393" s="28">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ISNUMBER($Y393)*($Y393&gt;=TODAY())*($Y393&lt;=TODAY()+7))</f>
        <v/>
      </c>
      <c r="J393" s="28">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29">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7" t="n"/>
      <c r="M393" s="27" t="n"/>
      <c r="N393" s="27" t="n"/>
      <c r="O393" s="27" t="n"/>
      <c r="P393" s="27" t="n"/>
      <c r="Q393" s="27" t="n"/>
      <c r="R393" s="27" t="n"/>
      <c r="S393" s="27" t="n"/>
      <c r="T393" s="27" t="n"/>
      <c r="U393" s="27" t="n"/>
      <c r="V393" s="27" t="n"/>
      <c r="W393" s="27" t="n"/>
      <c r="X393" s="27" t="n"/>
      <c r="Y393" s="27" t="n"/>
      <c r="Z393" s="30" t="n"/>
      <c r="AA393" s="25" t="n"/>
      <c r="AB393" s="28">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ISNUMBER($Y393)*($Y393&lt;TODAY()))</f>
        <v/>
      </c>
    </row>
    <row r="394">
      <c r="A394" s="25" t="n"/>
      <c r="B394" s="26" t="n"/>
      <c r="C394" s="27" t="n"/>
      <c r="D394" s="25" t="n"/>
      <c r="E394" s="25" t="n"/>
      <c r="F394" s="27" t="n"/>
      <c r="G394" s="25" t="n"/>
      <c r="H394" s="28">
        <f>IF(OR(NOT(AND($A394&lt;&gt;"",OR($G394="",$G394="Active"))),$F394=""),"",INT((TODAY()-$F394+280)/7)&amp;"+"&amp;MOD(TODAY()-$F394+280,7))</f>
        <v/>
      </c>
      <c r="I394" s="28">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ISNUMBER($Y394)*($Y394&gt;=TODAY())*($Y394&lt;=TODAY()+7))</f>
        <v/>
      </c>
      <c r="J394" s="28">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29">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7" t="n"/>
      <c r="M394" s="27" t="n"/>
      <c r="N394" s="27" t="n"/>
      <c r="O394" s="27" t="n"/>
      <c r="P394" s="27" t="n"/>
      <c r="Q394" s="27" t="n"/>
      <c r="R394" s="27" t="n"/>
      <c r="S394" s="27" t="n"/>
      <c r="T394" s="27" t="n"/>
      <c r="U394" s="27" t="n"/>
      <c r="V394" s="27" t="n"/>
      <c r="W394" s="27" t="n"/>
      <c r="X394" s="27" t="n"/>
      <c r="Y394" s="27" t="n"/>
      <c r="Z394" s="30" t="n"/>
      <c r="AA394" s="25" t="n"/>
      <c r="AB394" s="28">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ISNUMBER($Y394)*($Y394&lt;TODAY()))</f>
        <v/>
      </c>
    </row>
    <row r="395">
      <c r="A395" s="25" t="n"/>
      <c r="B395" s="26" t="n"/>
      <c r="C395" s="27" t="n"/>
      <c r="D395" s="25" t="n"/>
      <c r="E395" s="25" t="n"/>
      <c r="F395" s="27" t="n"/>
      <c r="G395" s="25" t="n"/>
      <c r="H395" s="28">
        <f>IF(OR(NOT(AND($A395&lt;&gt;"",OR($G395="",$G395="Active"))),$F395=""),"",INT((TODAY()-$F395+280)/7)&amp;"+"&amp;MOD(TODAY()-$F395+280,7))</f>
        <v/>
      </c>
      <c r="I395" s="28">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ISNUMBER($Y395)*($Y395&gt;=TODAY())*($Y395&lt;=TODAY()+7))</f>
        <v/>
      </c>
      <c r="J395" s="28">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29">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7" t="n"/>
      <c r="M395" s="27" t="n"/>
      <c r="N395" s="27" t="n"/>
      <c r="O395" s="27" t="n"/>
      <c r="P395" s="27" t="n"/>
      <c r="Q395" s="27" t="n"/>
      <c r="R395" s="27" t="n"/>
      <c r="S395" s="27" t="n"/>
      <c r="T395" s="27" t="n"/>
      <c r="U395" s="27" t="n"/>
      <c r="V395" s="27" t="n"/>
      <c r="W395" s="27" t="n"/>
      <c r="X395" s="27" t="n"/>
      <c r="Y395" s="27" t="n"/>
      <c r="Z395" s="30" t="n"/>
      <c r="AA395" s="25" t="n"/>
      <c r="AB395" s="28">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ISNUMBER($Y395)*($Y395&lt;TODAY()))</f>
        <v/>
      </c>
    </row>
    <row r="396">
      <c r="A396" s="25" t="n"/>
      <c r="B396" s="26" t="n"/>
      <c r="C396" s="27" t="n"/>
      <c r="D396" s="25" t="n"/>
      <c r="E396" s="25" t="n"/>
      <c r="F396" s="27" t="n"/>
      <c r="G396" s="25" t="n"/>
      <c r="H396" s="28">
        <f>IF(OR(NOT(AND($A396&lt;&gt;"",OR($G396="",$G396="Active"))),$F396=""),"",INT((TODAY()-$F396+280)/7)&amp;"+"&amp;MOD(TODAY()-$F396+280,7))</f>
        <v/>
      </c>
      <c r="I396" s="28">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ISNUMBER($Y396)*($Y396&gt;=TODAY())*($Y396&lt;=TODAY()+7))</f>
        <v/>
      </c>
      <c r="J396" s="28">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29">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7" t="n"/>
      <c r="M396" s="27" t="n"/>
      <c r="N396" s="27" t="n"/>
      <c r="O396" s="27" t="n"/>
      <c r="P396" s="27" t="n"/>
      <c r="Q396" s="27" t="n"/>
      <c r="R396" s="27" t="n"/>
      <c r="S396" s="27" t="n"/>
      <c r="T396" s="27" t="n"/>
      <c r="U396" s="27" t="n"/>
      <c r="V396" s="27" t="n"/>
      <c r="W396" s="27" t="n"/>
      <c r="X396" s="27" t="n"/>
      <c r="Y396" s="27" t="n"/>
      <c r="Z396" s="30" t="n"/>
      <c r="AA396" s="25" t="n"/>
      <c r="AB396" s="28">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ISNUMBER($Y396)*($Y396&lt;TODAY()))</f>
        <v/>
      </c>
    </row>
    <row r="397">
      <c r="A397" s="25" t="n"/>
      <c r="B397" s="26" t="n"/>
      <c r="C397" s="27" t="n"/>
      <c r="D397" s="25" t="n"/>
      <c r="E397" s="25" t="n"/>
      <c r="F397" s="27" t="n"/>
      <c r="G397" s="25" t="n"/>
      <c r="H397" s="28">
        <f>IF(OR(NOT(AND($A397&lt;&gt;"",OR($G397="",$G397="Active"))),$F397=""),"",INT((TODAY()-$F397+280)/7)&amp;"+"&amp;MOD(TODAY()-$F397+280,7))</f>
        <v/>
      </c>
      <c r="I397" s="28">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ISNUMBER($Y397)*($Y397&gt;=TODAY())*($Y397&lt;=TODAY()+7))</f>
        <v/>
      </c>
      <c r="J397" s="28">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29">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7" t="n"/>
      <c r="M397" s="27" t="n"/>
      <c r="N397" s="27" t="n"/>
      <c r="O397" s="27" t="n"/>
      <c r="P397" s="27" t="n"/>
      <c r="Q397" s="27" t="n"/>
      <c r="R397" s="27" t="n"/>
      <c r="S397" s="27" t="n"/>
      <c r="T397" s="27" t="n"/>
      <c r="U397" s="27" t="n"/>
      <c r="V397" s="27" t="n"/>
      <c r="W397" s="27" t="n"/>
      <c r="X397" s="27" t="n"/>
      <c r="Y397" s="27" t="n"/>
      <c r="Z397" s="30" t="n"/>
      <c r="AA397" s="25" t="n"/>
      <c r="AB397" s="28">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ISNUMBER($Y397)*($Y397&lt;TODAY()))</f>
        <v/>
      </c>
    </row>
    <row r="398">
      <c r="A398" s="25" t="n"/>
      <c r="B398" s="26" t="n"/>
      <c r="C398" s="27" t="n"/>
      <c r="D398" s="25" t="n"/>
      <c r="E398" s="25" t="n"/>
      <c r="F398" s="27" t="n"/>
      <c r="G398" s="25" t="n"/>
      <c r="H398" s="28">
        <f>IF(OR(NOT(AND($A398&lt;&gt;"",OR($G398="",$G398="Active"))),$F398=""),"",INT((TODAY()-$F398+280)/7)&amp;"+"&amp;MOD(TODAY()-$F398+280,7))</f>
        <v/>
      </c>
      <c r="I398" s="28">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ISNUMBER($Y398)*($Y398&gt;=TODAY())*($Y398&lt;=TODAY()+7))</f>
        <v/>
      </c>
      <c r="J398" s="28">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29">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7" t="n"/>
      <c r="M398" s="27" t="n"/>
      <c r="N398" s="27" t="n"/>
      <c r="O398" s="27" t="n"/>
      <c r="P398" s="27" t="n"/>
      <c r="Q398" s="27" t="n"/>
      <c r="R398" s="27" t="n"/>
      <c r="S398" s="27" t="n"/>
      <c r="T398" s="27" t="n"/>
      <c r="U398" s="27" t="n"/>
      <c r="V398" s="27" t="n"/>
      <c r="W398" s="27" t="n"/>
      <c r="X398" s="27" t="n"/>
      <c r="Y398" s="27" t="n"/>
      <c r="Z398" s="30" t="n"/>
      <c r="AA398" s="25" t="n"/>
      <c r="AB398" s="28">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ISNUMBER($Y398)*($Y398&lt;TODAY()))</f>
        <v/>
      </c>
    </row>
    <row r="399">
      <c r="A399" s="25" t="n"/>
      <c r="B399" s="26" t="n"/>
      <c r="C399" s="27" t="n"/>
      <c r="D399" s="25" t="n"/>
      <c r="E399" s="25" t="n"/>
      <c r="F399" s="27" t="n"/>
      <c r="G399" s="25" t="n"/>
      <c r="H399" s="28">
        <f>IF(OR(NOT(AND($A399&lt;&gt;"",OR($G399="",$G399="Active"))),$F399=""),"",INT((TODAY()-$F399+280)/7)&amp;"+"&amp;MOD(TODAY()-$F399+280,7))</f>
        <v/>
      </c>
      <c r="I399" s="28">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ISNUMBER($Y399)*($Y399&gt;=TODAY())*($Y399&lt;=TODAY()+7))</f>
        <v/>
      </c>
      <c r="J399" s="28">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29">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7" t="n"/>
      <c r="M399" s="27" t="n"/>
      <c r="N399" s="27" t="n"/>
      <c r="O399" s="27" t="n"/>
      <c r="P399" s="27" t="n"/>
      <c r="Q399" s="27" t="n"/>
      <c r="R399" s="27" t="n"/>
      <c r="S399" s="27" t="n"/>
      <c r="T399" s="27" t="n"/>
      <c r="U399" s="27" t="n"/>
      <c r="V399" s="27" t="n"/>
      <c r="W399" s="27" t="n"/>
      <c r="X399" s="27" t="n"/>
      <c r="Y399" s="27" t="n"/>
      <c r="Z399" s="30" t="n"/>
      <c r="AA399" s="25" t="n"/>
      <c r="AB399" s="28">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ISNUMBER($Y399)*($Y399&lt;TODAY()))</f>
        <v/>
      </c>
    </row>
    <row r="400">
      <c r="A400" s="25" t="n"/>
      <c r="B400" s="26" t="n"/>
      <c r="C400" s="27" t="n"/>
      <c r="D400" s="25" t="n"/>
      <c r="E400" s="25" t="n"/>
      <c r="F400" s="27" t="n"/>
      <c r="G400" s="25" t="n"/>
      <c r="H400" s="28">
        <f>IF(OR(NOT(AND($A400&lt;&gt;"",OR($G400="",$G400="Active"))),$F400=""),"",INT((TODAY()-$F400+280)/7)&amp;"+"&amp;MOD(TODAY()-$F400+280,7))</f>
        <v/>
      </c>
      <c r="I400" s="28">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ISNUMBER($Y400)*($Y400&gt;=TODAY())*($Y400&lt;=TODAY()+7))</f>
        <v/>
      </c>
      <c r="J400" s="28">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29">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7" t="n"/>
      <c r="M400" s="27" t="n"/>
      <c r="N400" s="27" t="n"/>
      <c r="O400" s="27" t="n"/>
      <c r="P400" s="27" t="n"/>
      <c r="Q400" s="27" t="n"/>
      <c r="R400" s="27" t="n"/>
      <c r="S400" s="27" t="n"/>
      <c r="T400" s="27" t="n"/>
      <c r="U400" s="27" t="n"/>
      <c r="V400" s="27" t="n"/>
      <c r="W400" s="27" t="n"/>
      <c r="X400" s="27" t="n"/>
      <c r="Y400" s="27" t="n"/>
      <c r="Z400" s="30" t="n"/>
      <c r="AA400" s="25" t="n"/>
      <c r="AB400" s="28">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ISNUMBER($Y400)*($Y400&lt;TODAY()))</f>
        <v/>
      </c>
    </row>
    <row r="401">
      <c r="A401" s="25" t="n"/>
      <c r="B401" s="26" t="n"/>
      <c r="C401" s="27" t="n"/>
      <c r="D401" s="25" t="n"/>
      <c r="E401" s="25" t="n"/>
      <c r="F401" s="27" t="n"/>
      <c r="G401" s="25" t="n"/>
      <c r="H401" s="28">
        <f>IF(OR(NOT(AND($A401&lt;&gt;"",OR($G401="",$G401="Active"))),$F401=""),"",INT((TODAY()-$F401+280)/7)&amp;"+"&amp;MOD(TODAY()-$F401+280,7))</f>
        <v/>
      </c>
      <c r="I401" s="28">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ISNUMBER($Y401)*($Y401&gt;=TODAY())*($Y401&lt;=TODAY()+7))</f>
        <v/>
      </c>
      <c r="J401" s="28">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29">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7" t="n"/>
      <c r="M401" s="27" t="n"/>
      <c r="N401" s="27" t="n"/>
      <c r="O401" s="27" t="n"/>
      <c r="P401" s="27" t="n"/>
      <c r="Q401" s="27" t="n"/>
      <c r="R401" s="27" t="n"/>
      <c r="S401" s="27" t="n"/>
      <c r="T401" s="27" t="n"/>
      <c r="U401" s="27" t="n"/>
      <c r="V401" s="27" t="n"/>
      <c r="W401" s="27" t="n"/>
      <c r="X401" s="27" t="n"/>
      <c r="Y401" s="27" t="n"/>
      <c r="Z401" s="30" t="n"/>
      <c r="AA401" s="25" t="n"/>
      <c r="AB401" s="28">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ISNUMBER($Y401)*($Y401&lt;TODAY()))</f>
        <v/>
      </c>
    </row>
    <row r="402">
      <c r="A402" s="25" t="n"/>
      <c r="B402" s="26" t="n"/>
      <c r="C402" s="27" t="n"/>
      <c r="D402" s="25" t="n"/>
      <c r="E402" s="25" t="n"/>
      <c r="F402" s="27" t="n"/>
      <c r="G402" s="25" t="n"/>
      <c r="H402" s="28">
        <f>IF(OR(NOT(AND($A402&lt;&gt;"",OR($G402="",$G402="Active"))),$F402=""),"",INT((TODAY()-$F402+280)/7)&amp;"+"&amp;MOD(TODAY()-$F402+280,7))</f>
        <v/>
      </c>
      <c r="I402" s="28">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ISNUMBER($Y402)*($Y402&gt;=TODAY())*($Y402&lt;=TODAY()+7))</f>
        <v/>
      </c>
      <c r="J402" s="28">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29">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7" t="n"/>
      <c r="M402" s="27" t="n"/>
      <c r="N402" s="27" t="n"/>
      <c r="O402" s="27" t="n"/>
      <c r="P402" s="27" t="n"/>
      <c r="Q402" s="27" t="n"/>
      <c r="R402" s="27" t="n"/>
      <c r="S402" s="27" t="n"/>
      <c r="T402" s="27" t="n"/>
      <c r="U402" s="27" t="n"/>
      <c r="V402" s="27" t="n"/>
      <c r="W402" s="27" t="n"/>
      <c r="X402" s="27" t="n"/>
      <c r="Y402" s="27" t="n"/>
      <c r="Z402" s="30" t="n"/>
      <c r="AA402" s="25" t="n"/>
      <c r="AB402" s="28">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ISNUMBER($Y402)*($Y402&lt;TODAY()))</f>
        <v/>
      </c>
    </row>
    <row r="403">
      <c r="A403" s="25" t="n"/>
      <c r="B403" s="26" t="n"/>
      <c r="C403" s="27" t="n"/>
      <c r="D403" s="25" t="n"/>
      <c r="E403" s="25" t="n"/>
      <c r="F403" s="27" t="n"/>
      <c r="G403" s="25" t="n"/>
      <c r="H403" s="28">
        <f>IF(OR(NOT(AND($A403&lt;&gt;"",OR($G403="",$G403="Active"))),$F403=""),"",INT((TODAY()-$F403+280)/7)&amp;"+"&amp;MOD(TODAY()-$F403+280,7))</f>
        <v/>
      </c>
      <c r="I403" s="28">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ISNUMBER($Y403)*($Y403&gt;=TODAY())*($Y403&lt;=TODAY()+7))</f>
        <v/>
      </c>
      <c r="J403" s="28">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29">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7" t="n"/>
      <c r="M403" s="27" t="n"/>
      <c r="N403" s="27" t="n"/>
      <c r="O403" s="27" t="n"/>
      <c r="P403" s="27" t="n"/>
      <c r="Q403" s="27" t="n"/>
      <c r="R403" s="27" t="n"/>
      <c r="S403" s="27" t="n"/>
      <c r="T403" s="27" t="n"/>
      <c r="U403" s="27" t="n"/>
      <c r="V403" s="27" t="n"/>
      <c r="W403" s="27" t="n"/>
      <c r="X403" s="27" t="n"/>
      <c r="Y403" s="27" t="n"/>
      <c r="Z403" s="30" t="n"/>
      <c r="AA403" s="25" t="n"/>
      <c r="AB403" s="28">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ISNUMBER($Y403)*($Y403&lt;TODAY()))</f>
        <v/>
      </c>
    </row>
    <row r="404">
      <c r="A404" s="25" t="n"/>
      <c r="B404" s="26" t="n"/>
      <c r="C404" s="27" t="n"/>
      <c r="D404" s="25" t="n"/>
      <c r="E404" s="25" t="n"/>
      <c r="F404" s="27" t="n"/>
      <c r="G404" s="25" t="n"/>
      <c r="H404" s="28">
        <f>IF(OR(NOT(AND($A404&lt;&gt;"",OR($G404="",$G404="Active"))),$F404=""),"",INT((TODAY()-$F404+280)/7)&amp;"+"&amp;MOD(TODAY()-$F404+280,7))</f>
        <v/>
      </c>
      <c r="I404" s="28">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ISNUMBER($Y404)*($Y404&gt;=TODAY())*($Y404&lt;=TODAY()+7))</f>
        <v/>
      </c>
      <c r="J404" s="28">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29">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7" t="n"/>
      <c r="M404" s="27" t="n"/>
      <c r="N404" s="27" t="n"/>
      <c r="O404" s="27" t="n"/>
      <c r="P404" s="27" t="n"/>
      <c r="Q404" s="27" t="n"/>
      <c r="R404" s="27" t="n"/>
      <c r="S404" s="27" t="n"/>
      <c r="T404" s="27" t="n"/>
      <c r="U404" s="27" t="n"/>
      <c r="V404" s="27" t="n"/>
      <c r="W404" s="27" t="n"/>
      <c r="X404" s="27" t="n"/>
      <c r="Y404" s="27" t="n"/>
      <c r="Z404" s="30" t="n"/>
      <c r="AA404" s="25" t="n"/>
      <c r="AB404" s="28">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ISNUMBER($Y404)*($Y404&lt;TODAY()))</f>
        <v/>
      </c>
    </row>
  </sheetData>
  <conditionalFormatting sqref="A5:AB404">
    <cfRule type="expression" priority="1" dxfId="0" stopIfTrue="1">
      <formula>AND($A5&lt;&gt;"",$G5&lt;&gt;"",$G5&lt;&gt;"Active")</formula>
    </cfRule>
  </conditionalFormatting>
  <conditionalFormatting sqref="L5:L404">
    <cfRule type="expression" priority="2" dxfId="1" stopIfTrue="1">
      <formula>L5="N/A"</formula>
    </cfRule>
    <cfRule type="expression" priority="3" dxfId="2" stopIfTrue="1">
      <formula>AND(L5="DNA",OR(OR(ISNUMBER($M5),$M5="DNA"),OR(ISNUMBER($N5),$N5="DNA"),OR(ISNUMBER($Q5),$Q5="DNA"),OR(ISNUMBER($R5),$R5="DNA"),OR(ISNUMBER($S5),$S5="DNA"),OR(ISNUMBER($T5),$T5="DNA"),OR(ISNUMBER($U5),$U5="DNA"),OR(ISNUMBER($V5),$V5="DNA")))</formula>
    </cfRule>
    <cfRule type="expression" priority="4" dxfId="3" stopIfTrue="1">
      <formula>AND(AND($A5&lt;&gt;"",OR($G5="",$G5="Active")),L5="DNA")</formula>
    </cfRule>
    <cfRule type="expression" priority="5" dxfId="3" stopIfTrue="1">
      <formula>AND(AND($A5&lt;&gt;"",OR($G5="",$G5="Active")),ISNUMBER(L5),L5&lt;TODAY(),NOT(OR(OR(ISNUMBER($M5),$M5="DNA"),OR(ISNUMBER($N5),$N5="DNA"),OR(ISNUMBER($Q5),$Q5="DNA"),OR(ISNUMBER($R5),$R5="DNA"),OR(ISNUMBER($S5),$S5="DNA"),OR(ISNUMBER($T5),$T5="DNA"),OR(ISNUMBER($U5),$U5="DNA"),OR(ISNUMBER($V5),$V5="DNA"))))</formula>
    </cfRule>
    <cfRule type="expression" priority="6" dxfId="4" stopIfTrue="1">
      <formula>AND(AND($A5&lt;&gt;"",OR($G5="",$G5="Active")),ISNUMBER(L5),L5&gt;=TODAY(),L5&lt;=TODAY()+7)</formula>
    </cfRule>
    <cfRule type="expression" priority="7" dxfId="5" stopIfTrue="1">
      <formula>AND(ISNUMBER(L5),L5&lt;TODAY())</formula>
    </cfRule>
  </conditionalFormatting>
  <conditionalFormatting sqref="M5:M404">
    <cfRule type="expression" priority="8" dxfId="1" stopIfTrue="1">
      <formula>M5="N/A"</formula>
    </cfRule>
    <cfRule type="expression" priority="9" dxfId="2" stopIfTrue="1">
      <formula>AND(M5="DNA",OR(OR(ISNUMBER($N5),$N5="DNA"),OR(ISNUMBER($Q5),$Q5="DNA"),OR(ISNUMBER($R5),$R5="DNA"),OR(ISNUMBER($S5),$S5="DNA"),OR(ISNUMBER($T5),$T5="DNA"),OR(ISNUMBER($U5),$U5="DNA"),OR(ISNUMBER($V5),$V5="DNA")))</formula>
    </cfRule>
    <cfRule type="expression" priority="10" dxfId="3" stopIfTrue="1">
      <formula>AND(AND($A5&lt;&gt;"",OR($G5="",$G5="Active")),M5="DNA")</formula>
    </cfRule>
    <cfRule type="expression" priority="11" dxfId="3" stopIfTrue="1">
      <formula>AND(AND($A5&lt;&gt;"",OR($G5="",$G5="Active")),ISNUMBER(M5),M5&lt;TODAY(),NOT(OR(OR(ISNUMBER($N5),$N5="DNA"),OR(ISNUMBER($Q5),$Q5="DNA"),OR(ISNUMBER($R5),$R5="DNA"),OR(ISNUMBER($S5),$S5="DNA"),OR(ISNUMBER($T5),$T5="DNA"),OR(ISNUMBER($U5),$U5="DNA"),OR(ISNUMBER($V5),$V5="DNA"))))</formula>
    </cfRule>
    <cfRule type="expression" priority="12" dxfId="4" stopIfTrue="1">
      <formula>AND(AND($A5&lt;&gt;"",OR($G5="",$G5="Active")),ISNUMBER(M5),M5&gt;=TODAY(),M5&lt;=TODAY()+7)</formula>
    </cfRule>
    <cfRule type="expression" priority="13" dxfId="5" stopIfTrue="1">
      <formula>AND(ISNUMBER(M5),M5&lt;TODAY())</formula>
    </cfRule>
  </conditionalFormatting>
  <conditionalFormatting sqref="N5:N404">
    <cfRule type="expression" priority="14" dxfId="1" stopIfTrue="1">
      <formula>N5="N/A"</formula>
    </cfRule>
    <cfRule type="expression" priority="15" dxfId="2" stopIfTrue="1">
      <formula>AND(N5="DNA",OR(OR(ISNUMBER($Q5),$Q5="DNA"),OR(ISNUMBER($R5),$R5="DNA"),OR(ISNUMBER($S5),$S5="DNA"),OR(ISNUMBER($T5),$T5="DNA"),OR(ISNUMBER($U5),$U5="DNA"),OR(ISNUMBER($V5),$V5="DNA")))</formula>
    </cfRule>
    <cfRule type="expression" priority="16" dxfId="3" stopIfTrue="1">
      <formula>AND(AND($A5&lt;&gt;"",OR($G5="",$G5="Active")),N5="DNA")</formula>
    </cfRule>
    <cfRule type="expression" priority="17" dxfId="3" stopIfTrue="1">
      <formula>AND(AND($A5&lt;&gt;"",OR($G5="",$G5="Active")),ISNUMBER(N5),N5&lt;TODAY(),NOT(OR(OR(ISNUMBER($Q5),$Q5="DNA"),OR(ISNUMBER($R5),$R5="DNA"),OR(ISNUMBER($S5),$S5="DNA"),OR(ISNUMBER($T5),$T5="DNA"),OR(ISNUMBER($U5),$U5="DNA"),OR(ISNUMBER($V5),$V5="DNA"))))</formula>
    </cfRule>
    <cfRule type="expression" priority="18" dxfId="4" stopIfTrue="1">
      <formula>AND(AND($A5&lt;&gt;"",OR($G5="",$G5="Active")),ISNUMBER(N5),N5&gt;=TODAY(),N5&lt;=TODAY()+7)</formula>
    </cfRule>
    <cfRule type="expression" priority="19" dxfId="5" stopIfTrue="1">
      <formula>AND(ISNUMBER(N5),N5&lt;TODAY())</formula>
    </cfRule>
  </conditionalFormatting>
  <conditionalFormatting sqref="Q5:Q404">
    <cfRule type="expression" priority="20" dxfId="1" stopIfTrue="1">
      <formula>Q5="N/A"</formula>
    </cfRule>
    <cfRule type="expression" priority="21" dxfId="2" stopIfTrue="1">
      <formula>AND(Q5="DNA",OR(OR(ISNUMBER($R5),$R5="DNA"),OR(ISNUMBER($S5),$S5="DNA"),OR(ISNUMBER($T5),$T5="DNA"),OR(ISNUMBER($U5),$U5="DNA"),OR(ISNUMBER($V5),$V5="DNA")))</formula>
    </cfRule>
    <cfRule type="expression" priority="22" dxfId="3" stopIfTrue="1">
      <formula>AND(AND($A5&lt;&gt;"",OR($G5="",$G5="Active")),Q5="DNA")</formula>
    </cfRule>
    <cfRule type="expression" priority="23" dxfId="3" stopIfTrue="1">
      <formula>AND(AND($A5&lt;&gt;"",OR($G5="",$G5="Active")),ISNUMBER(Q5),Q5&lt;TODAY(),NOT(OR(OR(ISNUMBER($R5),$R5="DNA"),OR(ISNUMBER($S5),$S5="DNA"),OR(ISNUMBER($T5),$T5="DNA"),OR(ISNUMBER($U5),$U5="DNA"),OR(ISNUMBER($V5),$V5="DNA"))))</formula>
    </cfRule>
    <cfRule type="expression" priority="24" dxfId="4" stopIfTrue="1">
      <formula>AND(AND($A5&lt;&gt;"",OR($G5="",$G5="Active")),ISNUMBER(Q5),Q5&gt;=TODAY(),Q5&lt;=TODAY()+7)</formula>
    </cfRule>
    <cfRule type="expression" priority="25" dxfId="5" stopIfTrue="1">
      <formula>AND(ISNUMBER(Q5),Q5&lt;TODAY())</formula>
    </cfRule>
  </conditionalFormatting>
  <conditionalFormatting sqref="R5:R404">
    <cfRule type="expression" priority="26" dxfId="1" stopIfTrue="1">
      <formula>R5="N/A"</formula>
    </cfRule>
    <cfRule type="expression" priority="27" dxfId="2" stopIfTrue="1">
      <formula>AND(R5="DNA",OR(OR(ISNUMBER($S5),$S5="DNA"),OR(ISNUMBER($T5),$T5="DNA"),OR(ISNUMBER($U5),$U5="DNA"),OR(ISNUMBER($V5),$V5="DNA")))</formula>
    </cfRule>
    <cfRule type="expression" priority="28" dxfId="3" stopIfTrue="1">
      <formula>AND(AND($A5&lt;&gt;"",OR($G5="",$G5="Active")),R5="DNA")</formula>
    </cfRule>
    <cfRule type="expression" priority="29" dxfId="3" stopIfTrue="1">
      <formula>AND(AND($A5&lt;&gt;"",OR($G5="",$G5="Active")),ISNUMBER(R5),R5&lt;TODAY(),NOT(OR(OR(ISNUMBER($S5),$S5="DNA"),OR(ISNUMBER($T5),$T5="DNA"),OR(ISNUMBER($U5),$U5="DNA"),OR(ISNUMBER($V5),$V5="DNA"))))</formula>
    </cfRule>
    <cfRule type="expression" priority="30" dxfId="4" stopIfTrue="1">
      <formula>AND(AND($A5&lt;&gt;"",OR($G5="",$G5="Active")),ISNUMBER(R5),R5&gt;=TODAY(),R5&lt;=TODAY()+7)</formula>
    </cfRule>
    <cfRule type="expression" priority="31" dxfId="5" stopIfTrue="1">
      <formula>AND(ISNUMBER(R5),R5&lt;TODAY())</formula>
    </cfRule>
  </conditionalFormatting>
  <conditionalFormatting sqref="S5:S404">
    <cfRule type="expression" priority="32" dxfId="1" stopIfTrue="1">
      <formula>S5="N/A"</formula>
    </cfRule>
    <cfRule type="expression" priority="33" dxfId="2" stopIfTrue="1">
      <formula>AND(S5="DNA",OR(OR(ISNUMBER($T5),$T5="DNA"),OR(ISNUMBER($U5),$U5="DNA"),OR(ISNUMBER($V5),$V5="DNA")))</formula>
    </cfRule>
    <cfRule type="expression" priority="34" dxfId="3" stopIfTrue="1">
      <formula>AND(AND($A5&lt;&gt;"",OR($G5="",$G5="Active")),S5="DNA")</formula>
    </cfRule>
    <cfRule type="expression" priority="35" dxfId="3" stopIfTrue="1">
      <formula>AND(AND($A5&lt;&gt;"",OR($G5="",$G5="Active")),ISNUMBER(S5),S5&lt;TODAY(),NOT(OR(OR(ISNUMBER($T5),$T5="DNA"),OR(ISNUMBER($U5),$U5="DNA"),OR(ISNUMBER($V5),$V5="DNA"))))</formula>
    </cfRule>
    <cfRule type="expression" priority="36" dxfId="4" stopIfTrue="1">
      <formula>AND(AND($A5&lt;&gt;"",OR($G5="",$G5="Active")),ISNUMBER(S5),S5&gt;=TODAY(),S5&lt;=TODAY()+7)</formula>
    </cfRule>
    <cfRule type="expression" priority="37" dxfId="5" stopIfTrue="1">
      <formula>AND(ISNUMBER(S5),S5&lt;TODAY())</formula>
    </cfRule>
  </conditionalFormatting>
  <conditionalFormatting sqref="T5:T404">
    <cfRule type="expression" priority="38" dxfId="1" stopIfTrue="1">
      <formula>T5="N/A"</formula>
    </cfRule>
    <cfRule type="expression" priority="39" dxfId="2" stopIfTrue="1">
      <formula>AND(T5="DNA",OR(OR(ISNUMBER($U5),$U5="DNA"),OR(ISNUMBER($V5),$V5="DNA")))</formula>
    </cfRule>
    <cfRule type="expression" priority="40" dxfId="3" stopIfTrue="1">
      <formula>AND(AND($A5&lt;&gt;"",OR($G5="",$G5="Active")),T5="DNA")</formula>
    </cfRule>
    <cfRule type="expression" priority="41" dxfId="3" stopIfTrue="1">
      <formula>AND(AND($A5&lt;&gt;"",OR($G5="",$G5="Active")),ISNUMBER(T5),T5&lt;TODAY(),NOT(OR(OR(ISNUMBER($U5),$U5="DNA"),OR(ISNUMBER($V5),$V5="DNA"))))</formula>
    </cfRule>
    <cfRule type="expression" priority="42" dxfId="4" stopIfTrue="1">
      <formula>AND(AND($A5&lt;&gt;"",OR($G5="",$G5="Active")),ISNUMBER(T5),T5&gt;=TODAY(),T5&lt;=TODAY()+7)</formula>
    </cfRule>
    <cfRule type="expression" priority="43" dxfId="5" stopIfTrue="1">
      <formula>AND(ISNUMBER(T5),T5&lt;TODAY())</formula>
    </cfRule>
  </conditionalFormatting>
  <conditionalFormatting sqref="U5:U404">
    <cfRule type="expression" priority="44" dxfId="1" stopIfTrue="1">
      <formula>U5="N/A"</formula>
    </cfRule>
    <cfRule type="expression" priority="45" dxfId="2" stopIfTrue="1">
      <formula>AND(U5="DNA",OR(OR(ISNUMBER($V5),$V5="DNA")))</formula>
    </cfRule>
    <cfRule type="expression" priority="46" dxfId="3" stopIfTrue="1">
      <formula>AND(AND($A5&lt;&gt;"",OR($G5="",$G5="Active")),U5="DNA")</formula>
    </cfRule>
    <cfRule type="expression" priority="47" dxfId="3" stopIfTrue="1">
      <formula>AND(AND($A5&lt;&gt;"",OR($G5="",$G5="Active")),ISNUMBER(U5),U5&lt;TODAY(),NOT(OR(OR(ISNUMBER($V5),$V5="DNA"))))</formula>
    </cfRule>
    <cfRule type="expression" priority="48" dxfId="4" stopIfTrue="1">
      <formula>AND(AND($A5&lt;&gt;"",OR($G5="",$G5="Active")),ISNUMBER(U5),U5&gt;=TODAY(),U5&lt;=TODAY()+7)</formula>
    </cfRule>
    <cfRule type="expression" priority="49" dxfId="5" stopIfTrue="1">
      <formula>AND(ISNUMBER(U5),U5&lt;TODAY())</formula>
    </cfRule>
  </conditionalFormatting>
  <conditionalFormatting sqref="V5:V404">
    <cfRule type="expression" priority="50" dxfId="1" stopIfTrue="1">
      <formula>V5="N/A"</formula>
    </cfRule>
    <cfRule type="expression" priority="51" dxfId="2" stopIfTrue="1">
      <formula>AND(V5="DNA",FALSE)</formula>
    </cfRule>
    <cfRule type="expression" priority="52" dxfId="3" stopIfTrue="1">
      <formula>AND(AND($A5&lt;&gt;"",OR($G5="",$G5="Active")),V5="DNA")</formula>
    </cfRule>
    <cfRule type="expression" priority="53" dxfId="3" stopIfTrue="1">
      <formula>AND(AND($A5&lt;&gt;"",OR($G5="",$G5="Active")),ISNUMBER(V5),V5&lt;TODAY(),NOT(FALSE))</formula>
    </cfRule>
    <cfRule type="expression" priority="54" dxfId="4" stopIfTrue="1">
      <formula>AND(AND($A5&lt;&gt;"",OR($G5="",$G5="Active")),ISNUMBER(V5),V5&gt;=TODAY(),V5&lt;=TODAY()+7)</formula>
    </cfRule>
    <cfRule type="expression" priority="55" dxfId="5" stopIfTrue="1">
      <formula>AND(ISNUMBER(V5),V5&lt;TODAY())</formula>
    </cfRule>
  </conditionalFormatting>
  <conditionalFormatting sqref="O5:O404">
    <cfRule type="expression" priority="56" dxfId="1" stopIfTrue="1">
      <formula>O5="N/A"</formula>
    </cfRule>
    <cfRule type="expression" priority="57" dxfId="6" stopIfTrue="1">
      <formula>AND(AND($A5&lt;&gt;"",OR($G5="",$G5="Active")),ISNUMBER(O5),O5&lt;TODAY())</formula>
    </cfRule>
    <cfRule type="expression" priority="58" dxfId="7" stopIfTrue="1">
      <formula>AND(AND($A5&lt;&gt;"",OR($G5="",$G5="Active")),ISNUMBER(O5),O5&gt;=TODAY(),O5&lt;=TODAY()+7)</formula>
    </cfRule>
    <cfRule type="expression" priority="59" dxfId="5" stopIfTrue="1">
      <formula>AND(ISTEXT(O5),O5&lt;&gt;"")</formula>
    </cfRule>
  </conditionalFormatting>
  <conditionalFormatting sqref="P5:P404">
    <cfRule type="expression" priority="60" dxfId="1" stopIfTrue="1">
      <formula>P5="N/A"</formula>
    </cfRule>
    <cfRule type="expression" priority="61" dxfId="6" stopIfTrue="1">
      <formula>AND(AND($A5&lt;&gt;"",OR($G5="",$G5="Active")),ISNUMBER(P5),P5&lt;TODAY())</formula>
    </cfRule>
    <cfRule type="expression" priority="62" dxfId="7" stopIfTrue="1">
      <formula>AND(AND($A5&lt;&gt;"",OR($G5="",$G5="Active")),ISNUMBER(P5),P5&gt;=TODAY(),P5&lt;=TODAY()+7)</formula>
    </cfRule>
    <cfRule type="expression" priority="63" dxfId="5" stopIfTrue="1">
      <formula>AND(ISTEXT(P5),P5&lt;&gt;"")</formula>
    </cfRule>
  </conditionalFormatting>
  <conditionalFormatting sqref="X5:X404">
    <cfRule type="expression" priority="64" dxfId="1" stopIfTrue="1">
      <formula>X5="N/A"</formula>
    </cfRule>
    <cfRule type="expression" priority="65" dxfId="6" stopIfTrue="1">
      <formula>AND(AND($A5&lt;&gt;"",OR($G5="",$G5="Active")),ISNUMBER(X5),X5&lt;TODAY())</formula>
    </cfRule>
    <cfRule type="expression" priority="66" dxfId="7" stopIfTrue="1">
      <formula>AND(AND($A5&lt;&gt;"",OR($G5="",$G5="Active")),ISNUMBER(X5),X5&gt;=TODAY(),X5&lt;=TODAY()+7)</formula>
    </cfRule>
    <cfRule type="expression" priority="67" dxfId="5" stopIfTrue="1">
      <formula>AND(ISTEXT(X5),X5&lt;&gt;"")</formula>
    </cfRule>
  </conditionalFormatting>
  <conditionalFormatting sqref="Y5:Y404">
    <cfRule type="expression" priority="68" dxfId="1" stopIfTrue="1">
      <formula>Y5="N/A"</formula>
    </cfRule>
    <cfRule type="expression" priority="69" dxfId="6" stopIfTrue="1">
      <formula>AND(AND($A5&lt;&gt;"",OR($G5="",$G5="Active")),ISNUMBER(Y5),Y5&lt;TODAY())</formula>
    </cfRule>
    <cfRule type="expression" priority="70" dxfId="7" stopIfTrue="1">
      <formula>AND(AND($A5&lt;&gt;"",OR($G5="",$G5="Active")),ISNUMBER(Y5),Y5&gt;=TODAY(),Y5&lt;=TODAY()+7)</formula>
    </cfRule>
    <cfRule type="expression" priority="71" dxfId="5" stopIfTrue="1">
      <formula>AND(ISTEXT(Y5),Y5&lt;&gt;"")</formula>
    </cfRule>
  </conditionalFormatting>
  <conditionalFormatting sqref="W5:W404">
    <cfRule type="expression" priority="72" dxfId="5" stopIfTrue="1">
      <formula>W5="Yes"</formula>
    </cfRule>
  </conditionalFormatting>
  <conditionalFormatting sqref="AB5:AB404">
    <cfRule type="expression" priority="73" dxfId="3" stopIfTrue="1">
      <formula>AND(ISNUMBER(AB5),AB5&gt;0)</formula>
    </cfRule>
  </conditionalFormatting>
  <conditionalFormatting sqref="I5:I404">
    <cfRule type="expression" priority="74" dxfId="4" stopIfTrue="1">
      <formula>AND(ISNUMBER(I5),I5&gt;0)</formula>
    </cfRule>
  </conditionalFormatting>
  <conditionalFormatting sqref="J5:J404">
    <cfRule type="expression" priority="75" dxfId="3" stopIfTrue="1">
      <formula>OR(J5="Missed/not booked?",J5="Rebook DNA",J5="Update status")</formula>
    </cfRule>
  </conditionalFormatting>
  <conditionalFormatting sqref="K5:K404">
    <cfRule type="expression" priority="76" dxfId="4" stopIfTrue="1">
      <formula>AND(ISNUMBER(K5),K5&lt;=TODAY()+7)</formula>
    </cfRule>
  </conditionalFormatting>
  <conditionalFormatting sqref="F5:F404">
    <cfRule type="expression" priority="77" dxfId="4" stopIfTrue="1">
      <formula>AND(AND($A5&lt;&gt;"",OR($G5="",$G5="Active")),ISNUMBER(F5),F5&lt;TODAY())</formula>
    </cfRule>
  </conditionalFormatting>
  <conditionalFormatting sqref="B5:B404">
    <cfRule type="expression" priority="78" dxfId="8" stopIfTrue="1">
      <formula>AND(B5&lt;&gt;"",COUNTIF($B$5:$B$404,B5)&gt;1)</formula>
    </cfRule>
  </conditionalFormatting>
  <dataValidations count="19">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A5:AA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 sqref="Y5:Y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1" t="inlineStr">
        <is>
          <t>Update log: one line per action taken, newest at the bottom</t>
        </is>
      </c>
    </row>
    <row r="3">
      <c r="A3" s="32" t="inlineStr">
        <is>
          <t>Date</t>
        </is>
      </c>
      <c r="B3" s="32" t="inlineStr">
        <is>
          <t>Staff</t>
        </is>
      </c>
      <c r="C3" s="32" t="inlineStr">
        <is>
          <t>Patient name</t>
        </is>
      </c>
      <c r="D3" s="32" t="inlineStr">
        <is>
          <t>NHS number</t>
        </is>
      </c>
      <c r="E3" s="32" t="inlineStr">
        <is>
          <t>What was done / changed</t>
        </is>
      </c>
    </row>
    <row r="4">
      <c r="A4" s="33">
        <f>TODAY()-30</f>
        <v/>
      </c>
      <c r="B4" s="25" t="inlineStr">
        <is>
          <t>Nadia Brooks</t>
        </is>
      </c>
      <c r="C4" s="25" t="inlineStr">
        <is>
          <t>Lucy Hughes</t>
        </is>
      </c>
      <c r="D4" s="26" t="inlineStr">
        <is>
          <t>9997919076</t>
        </is>
      </c>
      <c r="E4" s="34" t="inlineStr">
        <is>
          <t>16/40 seen. 25/40 booked.</t>
        </is>
      </c>
    </row>
    <row r="5">
      <c r="A5" s="33">
        <f>TODAY()-9</f>
        <v/>
      </c>
      <c r="B5" s="25" t="inlineStr">
        <is>
          <t>Emma Lawson</t>
        </is>
      </c>
      <c r="C5" s="25" t="inlineStr">
        <is>
          <t>Chloe Ahmed</t>
        </is>
      </c>
      <c r="D5" s="26" t="inlineStr">
        <is>
          <t>9994833782</t>
        </is>
      </c>
      <c r="E5" s="34" t="inlineStr">
        <is>
          <t>BP 148/95 at 25/40. Referred to obs clinic. Bloods requested.</t>
        </is>
      </c>
    </row>
    <row r="6">
      <c r="A6" s="33">
        <f>TODAY()-6</f>
        <v/>
      </c>
      <c r="B6" s="25" t="inlineStr">
        <is>
          <t>Priya Kaur</t>
        </is>
      </c>
      <c r="C6" s="25" t="inlineStr">
        <is>
          <t>Katie Brown</t>
        </is>
      </c>
      <c r="D6" s="26" t="inlineStr">
        <is>
          <t>9993504921</t>
        </is>
      </c>
      <c r="E6" s="34" t="inlineStr">
        <is>
          <t>16/40 seen, 28/40 booked (multip, no 25/40).</t>
        </is>
      </c>
    </row>
    <row r="7">
      <c r="A7" s="33">
        <f>TODAY()-5</f>
        <v/>
      </c>
      <c r="B7" s="25" t="inlineStr">
        <is>
          <t>Priya Kaur</t>
        </is>
      </c>
      <c r="C7" s="25" t="inlineStr">
        <is>
          <t>Bethany Clarke</t>
        </is>
      </c>
      <c r="D7" s="26" t="inlineStr">
        <is>
          <t>9997919076</t>
        </is>
      </c>
      <c r="E7" s="34" t="inlineStr">
        <is>
          <t>GTT booked.</t>
        </is>
      </c>
    </row>
    <row r="8">
      <c r="A8" s="33">
        <f>TODAY()-3</f>
        <v/>
      </c>
      <c r="B8" s="25" t="inlineStr">
        <is>
          <t>Sarah Jones</t>
        </is>
      </c>
      <c r="C8" s="25" t="inlineStr">
        <is>
          <t>Ella Morgan</t>
        </is>
      </c>
      <c r="D8" s="26" t="inlineStr">
        <is>
          <t>9998601290</t>
        </is>
      </c>
      <c r="E8" s="34" t="inlineStr">
        <is>
          <t>DNA 34/40. Phoned, rebooked 36/40.</t>
        </is>
      </c>
    </row>
    <row r="9">
      <c r="A9" s="33">
        <f>TODAY()-2</f>
        <v/>
      </c>
      <c r="B9" s="25" t="inlineStr">
        <is>
          <t>Nadia Brooks</t>
        </is>
      </c>
      <c r="C9" s="25" t="inlineStr">
        <is>
          <t>Daisy Okafor</t>
        </is>
      </c>
      <c r="D9" s="26" t="inlineStr">
        <is>
          <t>9998762324</t>
        </is>
      </c>
      <c r="E9" s="34" t="inlineStr">
        <is>
          <t>DNA 34/40. Left voicemail, letter sent.</t>
        </is>
      </c>
    </row>
    <row r="10">
      <c r="A10" s="33">
        <f>TODAY()-1</f>
        <v/>
      </c>
      <c r="B10" s="25" t="inlineStr">
        <is>
          <t>Sarah Jones</t>
        </is>
      </c>
      <c r="C10" s="25" t="inlineStr">
        <is>
          <t>Amelia Hart</t>
        </is>
      </c>
      <c r="D10" s="26" t="inlineStr">
        <is>
          <t>9993982598</t>
        </is>
      </c>
      <c r="E10" s="34" t="inlineStr">
        <is>
          <t>28/40 seen. 31/40 booked.</t>
        </is>
      </c>
    </row>
    <row r="11">
      <c r="A11" s="33">
        <f>TODAY()-1</f>
        <v/>
      </c>
      <c r="B11" s="25" t="inlineStr">
        <is>
          <t>Nadia Brooks</t>
        </is>
      </c>
      <c r="C11" s="25" t="inlineStr">
        <is>
          <t>Hannah Lewis</t>
        </is>
      </c>
      <c r="D11" s="26" t="inlineStr">
        <is>
          <t>9995102730</t>
        </is>
      </c>
      <c r="E11" s="34" t="inlineStr">
        <is>
          <t>38/40 seen. IOL booked. 40/40 booked.</t>
        </is>
      </c>
    </row>
    <row r="12">
      <c r="A12" s="33">
        <f>TODAY()</f>
        <v/>
      </c>
      <c r="B12" s="25" t="inlineStr">
        <is>
          <t>Emma Lawson</t>
        </is>
      </c>
      <c r="C12" s="25" t="inlineStr">
        <is>
          <t>Grace Patel</t>
        </is>
      </c>
      <c r="D12" s="26" t="inlineStr">
        <is>
          <t>9996669726</t>
        </is>
      </c>
      <c r="E12" s="34" t="inlineStr">
        <is>
          <t>New referral - booking appointment made.</t>
        </is>
      </c>
    </row>
    <row r="13">
      <c r="A13" s="33" t="n"/>
      <c r="B13" s="25" t="n"/>
      <c r="C13" s="25" t="n"/>
      <c r="D13" s="26" t="n"/>
      <c r="E13" s="34" t="n"/>
    </row>
    <row r="14">
      <c r="A14" s="33" t="n"/>
      <c r="B14" s="25" t="n"/>
      <c r="C14" s="25" t="n"/>
      <c r="D14" s="26" t="n"/>
      <c r="E14" s="34" t="n"/>
    </row>
    <row r="15">
      <c r="A15" s="33" t="n"/>
      <c r="B15" s="25" t="n"/>
      <c r="C15" s="25" t="n"/>
      <c r="D15" s="26" t="n"/>
      <c r="E15" s="34" t="n"/>
    </row>
    <row r="16">
      <c r="A16" s="33" t="n"/>
      <c r="B16" s="25" t="n"/>
      <c r="C16" s="25" t="n"/>
      <c r="D16" s="26" t="n"/>
      <c r="E16" s="34" t="n"/>
    </row>
    <row r="17">
      <c r="A17" s="33" t="n"/>
      <c r="B17" s="25" t="n"/>
      <c r="C17" s="25" t="n"/>
      <c r="D17" s="26" t="n"/>
      <c r="E17" s="34" t="n"/>
    </row>
    <row r="18">
      <c r="A18" s="33" t="n"/>
      <c r="B18" s="25" t="n"/>
      <c r="C18" s="25" t="n"/>
      <c r="D18" s="26" t="n"/>
      <c r="E18" s="34" t="n"/>
    </row>
    <row r="19">
      <c r="A19" s="33" t="n"/>
      <c r="B19" s="25" t="n"/>
      <c r="C19" s="25" t="n"/>
      <c r="D19" s="26" t="n"/>
      <c r="E19" s="34" t="n"/>
    </row>
    <row r="20">
      <c r="A20" s="33" t="n"/>
      <c r="B20" s="25" t="n"/>
      <c r="C20" s="25" t="n"/>
      <c r="D20" s="26" t="n"/>
      <c r="E20" s="34" t="n"/>
    </row>
    <row r="21">
      <c r="A21" s="33" t="n"/>
      <c r="B21" s="25" t="n"/>
      <c r="C21" s="25" t="n"/>
      <c r="D21" s="26" t="n"/>
      <c r="E21" s="34" t="n"/>
    </row>
    <row r="22">
      <c r="A22" s="33" t="n"/>
      <c r="B22" s="25" t="n"/>
      <c r="C22" s="25" t="n"/>
      <c r="D22" s="26" t="n"/>
      <c r="E22" s="34" t="n"/>
    </row>
    <row r="23">
      <c r="A23" s="33" t="n"/>
      <c r="B23" s="25" t="n"/>
      <c r="C23" s="25" t="n"/>
      <c r="D23" s="26" t="n"/>
      <c r="E23" s="34" t="n"/>
    </row>
    <row r="24">
      <c r="A24" s="33" t="n"/>
      <c r="B24" s="25" t="n"/>
      <c r="C24" s="25" t="n"/>
      <c r="D24" s="26" t="n"/>
      <c r="E24" s="34" t="n"/>
    </row>
    <row r="25">
      <c r="A25" s="33" t="n"/>
      <c r="B25" s="25" t="n"/>
      <c r="C25" s="25" t="n"/>
      <c r="D25" s="26" t="n"/>
      <c r="E25" s="34" t="n"/>
    </row>
    <row r="26">
      <c r="A26" s="33" t="n"/>
      <c r="B26" s="25" t="n"/>
      <c r="C26" s="25" t="n"/>
      <c r="D26" s="26" t="n"/>
      <c r="E26" s="34" t="n"/>
    </row>
    <row r="27">
      <c r="A27" s="33" t="n"/>
      <c r="B27" s="25" t="n"/>
      <c r="C27" s="25" t="n"/>
      <c r="D27" s="26" t="n"/>
      <c r="E27" s="34" t="n"/>
    </row>
    <row r="28">
      <c r="A28" s="33" t="n"/>
      <c r="B28" s="25" t="n"/>
      <c r="C28" s="25" t="n"/>
      <c r="D28" s="26" t="n"/>
      <c r="E28" s="34" t="n"/>
    </row>
    <row r="29">
      <c r="A29" s="33" t="n"/>
      <c r="B29" s="25" t="n"/>
      <c r="C29" s="25" t="n"/>
      <c r="D29" s="26" t="n"/>
      <c r="E29" s="34" t="n"/>
    </row>
    <row r="30">
      <c r="A30" s="33" t="n"/>
      <c r="B30" s="25" t="n"/>
      <c r="C30" s="25" t="n"/>
      <c r="D30" s="26" t="n"/>
      <c r="E30" s="34" t="n"/>
    </row>
    <row r="31">
      <c r="A31" s="33" t="n"/>
      <c r="B31" s="25" t="n"/>
      <c r="C31" s="25" t="n"/>
      <c r="D31" s="26" t="n"/>
      <c r="E31" s="34" t="n"/>
    </row>
    <row r="32">
      <c r="A32" s="33" t="n"/>
      <c r="B32" s="25" t="n"/>
      <c r="C32" s="25" t="n"/>
      <c r="D32" s="26" t="n"/>
      <c r="E32" s="34" t="n"/>
    </row>
    <row r="33">
      <c r="A33" s="33" t="n"/>
      <c r="B33" s="25" t="n"/>
      <c r="C33" s="25" t="n"/>
      <c r="D33" s="26" t="n"/>
      <c r="E33" s="34" t="n"/>
    </row>
    <row r="34">
      <c r="A34" s="33" t="n"/>
      <c r="B34" s="25" t="n"/>
      <c r="C34" s="25" t="n"/>
      <c r="D34" s="26" t="n"/>
      <c r="E34" s="34" t="n"/>
    </row>
    <row r="35">
      <c r="A35" s="33" t="n"/>
      <c r="B35" s="25" t="n"/>
      <c r="C35" s="25" t="n"/>
      <c r="D35" s="26" t="n"/>
      <c r="E35" s="34" t="n"/>
    </row>
    <row r="36">
      <c r="A36" s="33" t="n"/>
      <c r="B36" s="25" t="n"/>
      <c r="C36" s="25" t="n"/>
      <c r="D36" s="26" t="n"/>
      <c r="E36" s="34" t="n"/>
    </row>
    <row r="37">
      <c r="A37" s="33" t="n"/>
      <c r="B37" s="25" t="n"/>
      <c r="C37" s="25" t="n"/>
      <c r="D37" s="26" t="n"/>
      <c r="E37" s="34" t="n"/>
    </row>
    <row r="38">
      <c r="A38" s="33" t="n"/>
      <c r="B38" s="25" t="n"/>
      <c r="C38" s="25" t="n"/>
      <c r="D38" s="26" t="n"/>
      <c r="E38" s="34" t="n"/>
    </row>
    <row r="39">
      <c r="A39" s="33" t="n"/>
      <c r="B39" s="25" t="n"/>
      <c r="C39" s="25" t="n"/>
      <c r="D39" s="26" t="n"/>
      <c r="E39" s="34" t="n"/>
    </row>
    <row r="40">
      <c r="A40" s="33" t="n"/>
      <c r="B40" s="25" t="n"/>
      <c r="C40" s="25" t="n"/>
      <c r="D40" s="26" t="n"/>
      <c r="E40" s="34" t="n"/>
    </row>
    <row r="41">
      <c r="A41" s="33" t="n"/>
      <c r="B41" s="25" t="n"/>
      <c r="C41" s="25" t="n"/>
      <c r="D41" s="26" t="n"/>
      <c r="E41" s="34" t="n"/>
    </row>
    <row r="42">
      <c r="A42" s="33" t="n"/>
      <c r="B42" s="25" t="n"/>
      <c r="C42" s="25" t="n"/>
      <c r="D42" s="26" t="n"/>
      <c r="E42" s="34" t="n"/>
    </row>
    <row r="43">
      <c r="A43" s="33" t="n"/>
      <c r="B43" s="25" t="n"/>
      <c r="C43" s="25" t="n"/>
      <c r="D43" s="26" t="n"/>
      <c r="E43" s="34" t="n"/>
    </row>
    <row r="44">
      <c r="A44" s="33" t="n"/>
      <c r="B44" s="25" t="n"/>
      <c r="C44" s="25" t="n"/>
      <c r="D44" s="26" t="n"/>
      <c r="E44" s="34" t="n"/>
    </row>
    <row r="45">
      <c r="A45" s="33" t="n"/>
      <c r="B45" s="25" t="n"/>
      <c r="C45" s="25" t="n"/>
      <c r="D45" s="26" t="n"/>
      <c r="E45" s="34" t="n"/>
    </row>
    <row r="46">
      <c r="A46" s="33" t="n"/>
      <c r="B46" s="25" t="n"/>
      <c r="C46" s="25" t="n"/>
      <c r="D46" s="26" t="n"/>
      <c r="E46" s="34" t="n"/>
    </row>
    <row r="47">
      <c r="A47" s="33" t="n"/>
      <c r="B47" s="25" t="n"/>
      <c r="C47" s="25" t="n"/>
      <c r="D47" s="26" t="n"/>
      <c r="E47" s="34" t="n"/>
    </row>
    <row r="48">
      <c r="A48" s="33" t="n"/>
      <c r="B48" s="25" t="n"/>
      <c r="C48" s="25" t="n"/>
      <c r="D48" s="26" t="n"/>
      <c r="E48" s="34" t="n"/>
    </row>
    <row r="49">
      <c r="A49" s="33" t="n"/>
      <c r="B49" s="25" t="n"/>
      <c r="C49" s="25" t="n"/>
      <c r="D49" s="26" t="n"/>
      <c r="E49" s="34" t="n"/>
    </row>
    <row r="50">
      <c r="A50" s="33" t="n"/>
      <c r="B50" s="25" t="n"/>
      <c r="C50" s="25" t="n"/>
      <c r="D50" s="26" t="n"/>
      <c r="E50" s="34" t="n"/>
    </row>
    <row r="51">
      <c r="A51" s="33" t="n"/>
      <c r="B51" s="25" t="n"/>
      <c r="C51" s="25" t="n"/>
      <c r="D51" s="26" t="n"/>
      <c r="E51" s="34" t="n"/>
    </row>
    <row r="52">
      <c r="A52" s="33" t="n"/>
      <c r="B52" s="25" t="n"/>
      <c r="C52" s="25" t="n"/>
      <c r="D52" s="26" t="n"/>
      <c r="E52" s="34" t="n"/>
    </row>
    <row r="53">
      <c r="A53" s="33" t="n"/>
      <c r="B53" s="25" t="n"/>
      <c r="C53" s="25" t="n"/>
      <c r="D53" s="26" t="n"/>
      <c r="E53" s="34" t="n"/>
    </row>
    <row r="54">
      <c r="A54" s="33" t="n"/>
      <c r="B54" s="25" t="n"/>
      <c r="C54" s="25" t="n"/>
      <c r="D54" s="26" t="n"/>
      <c r="E54" s="34" t="n"/>
    </row>
    <row r="55">
      <c r="A55" s="33" t="n"/>
      <c r="B55" s="25" t="n"/>
      <c r="C55" s="25" t="n"/>
      <c r="D55" s="26" t="n"/>
      <c r="E55" s="34" t="n"/>
    </row>
    <row r="56">
      <c r="A56" s="33" t="n"/>
      <c r="B56" s="25" t="n"/>
      <c r="C56" s="25" t="n"/>
      <c r="D56" s="26" t="n"/>
      <c r="E56" s="34" t="n"/>
    </row>
    <row r="57">
      <c r="A57" s="33" t="n"/>
      <c r="B57" s="25" t="n"/>
      <c r="C57" s="25" t="n"/>
      <c r="D57" s="26" t="n"/>
      <c r="E57" s="34" t="n"/>
    </row>
    <row r="58">
      <c r="A58" s="33" t="n"/>
      <c r="B58" s="25" t="n"/>
      <c r="C58" s="25" t="n"/>
      <c r="D58" s="26" t="n"/>
      <c r="E58" s="34" t="n"/>
    </row>
    <row r="59">
      <c r="A59" s="33" t="n"/>
      <c r="B59" s="25" t="n"/>
      <c r="C59" s="25" t="n"/>
      <c r="D59" s="26" t="n"/>
      <c r="E59" s="34" t="n"/>
    </row>
    <row r="60">
      <c r="A60" s="33" t="n"/>
      <c r="B60" s="25" t="n"/>
      <c r="C60" s="25" t="n"/>
      <c r="D60" s="26" t="n"/>
      <c r="E60" s="34" t="n"/>
    </row>
    <row r="61">
      <c r="A61" s="33" t="n"/>
      <c r="B61" s="25" t="n"/>
      <c r="C61" s="25" t="n"/>
      <c r="D61" s="26" t="n"/>
      <c r="E61" s="34" t="n"/>
    </row>
    <row r="62">
      <c r="A62" s="33" t="n"/>
      <c r="B62" s="25" t="n"/>
      <c r="C62" s="25" t="n"/>
      <c r="D62" s="26" t="n"/>
      <c r="E62" s="34" t="n"/>
    </row>
    <row r="63">
      <c r="A63" s="33" t="n"/>
      <c r="B63" s="25" t="n"/>
      <c r="C63" s="25" t="n"/>
      <c r="D63" s="26" t="n"/>
      <c r="E63" s="34" t="n"/>
    </row>
    <row r="64">
      <c r="A64" s="33" t="n"/>
      <c r="B64" s="25" t="n"/>
      <c r="C64" s="25" t="n"/>
      <c r="D64" s="26" t="n"/>
      <c r="E64" s="34" t="n"/>
    </row>
    <row r="65">
      <c r="A65" s="33" t="n"/>
      <c r="B65" s="25" t="n"/>
      <c r="C65" s="25" t="n"/>
      <c r="D65" s="26" t="n"/>
      <c r="E65" s="34" t="n"/>
    </row>
    <row r="66">
      <c r="A66" s="33" t="n"/>
      <c r="B66" s="25" t="n"/>
      <c r="C66" s="25" t="n"/>
      <c r="D66" s="26" t="n"/>
      <c r="E66" s="34" t="n"/>
    </row>
    <row r="67">
      <c r="A67" s="33" t="n"/>
      <c r="B67" s="25" t="n"/>
      <c r="C67" s="25" t="n"/>
      <c r="D67" s="26" t="n"/>
      <c r="E67" s="34" t="n"/>
    </row>
    <row r="68">
      <c r="A68" s="33" t="n"/>
      <c r="B68" s="25" t="n"/>
      <c r="C68" s="25" t="n"/>
      <c r="D68" s="26" t="n"/>
      <c r="E68" s="34" t="n"/>
    </row>
    <row r="69">
      <c r="A69" s="33" t="n"/>
      <c r="B69" s="25" t="n"/>
      <c r="C69" s="25" t="n"/>
      <c r="D69" s="26" t="n"/>
      <c r="E69" s="34" t="n"/>
    </row>
    <row r="70">
      <c r="A70" s="33" t="n"/>
      <c r="B70" s="25" t="n"/>
      <c r="C70" s="25" t="n"/>
      <c r="D70" s="26" t="n"/>
      <c r="E70" s="34" t="n"/>
    </row>
    <row r="71">
      <c r="A71" s="33" t="n"/>
      <c r="B71" s="25" t="n"/>
      <c r="C71" s="25" t="n"/>
      <c r="D71" s="26" t="n"/>
      <c r="E71" s="34" t="n"/>
    </row>
    <row r="72">
      <c r="A72" s="33" t="n"/>
      <c r="B72" s="25" t="n"/>
      <c r="C72" s="25" t="n"/>
      <c r="D72" s="26" t="n"/>
      <c r="E72" s="34" t="n"/>
    </row>
    <row r="73">
      <c r="A73" s="33" t="n"/>
      <c r="B73" s="25" t="n"/>
      <c r="C73" s="25" t="n"/>
      <c r="D73" s="26" t="n"/>
      <c r="E73" s="34" t="n"/>
    </row>
    <row r="74">
      <c r="A74" s="33" t="n"/>
      <c r="B74" s="25" t="n"/>
      <c r="C74" s="25" t="n"/>
      <c r="D74" s="26" t="n"/>
      <c r="E74" s="34" t="n"/>
    </row>
    <row r="75">
      <c r="A75" s="33" t="n"/>
      <c r="B75" s="25" t="n"/>
      <c r="C75" s="25" t="n"/>
      <c r="D75" s="26" t="n"/>
      <c r="E75" s="34" t="n"/>
    </row>
    <row r="76">
      <c r="A76" s="33" t="n"/>
      <c r="B76" s="25" t="n"/>
      <c r="C76" s="25" t="n"/>
      <c r="D76" s="26" t="n"/>
      <c r="E76" s="34" t="n"/>
    </row>
    <row r="77">
      <c r="A77" s="33" t="n"/>
      <c r="B77" s="25" t="n"/>
      <c r="C77" s="25" t="n"/>
      <c r="D77" s="26" t="n"/>
      <c r="E77" s="34" t="n"/>
    </row>
    <row r="78">
      <c r="A78" s="33" t="n"/>
      <c r="B78" s="25" t="n"/>
      <c r="C78" s="25" t="n"/>
      <c r="D78" s="26" t="n"/>
      <c r="E78" s="34" t="n"/>
    </row>
    <row r="79">
      <c r="A79" s="33" t="n"/>
      <c r="B79" s="25" t="n"/>
      <c r="C79" s="25" t="n"/>
      <c r="D79" s="26" t="n"/>
      <c r="E79" s="34" t="n"/>
    </row>
    <row r="80">
      <c r="A80" s="33" t="n"/>
      <c r="B80" s="25" t="n"/>
      <c r="C80" s="25" t="n"/>
      <c r="D80" s="26" t="n"/>
      <c r="E80" s="34" t="n"/>
    </row>
    <row r="81">
      <c r="A81" s="33" t="n"/>
      <c r="B81" s="25" t="n"/>
      <c r="C81" s="25" t="n"/>
      <c r="D81" s="26" t="n"/>
      <c r="E81" s="34" t="n"/>
    </row>
    <row r="82">
      <c r="A82" s="33" t="n"/>
      <c r="B82" s="25" t="n"/>
      <c r="C82" s="25" t="n"/>
      <c r="D82" s="26" t="n"/>
      <c r="E82" s="34" t="n"/>
    </row>
    <row r="83">
      <c r="A83" s="33" t="n"/>
      <c r="B83" s="25" t="n"/>
      <c r="C83" s="25" t="n"/>
      <c r="D83" s="26" t="n"/>
      <c r="E83" s="34" t="n"/>
    </row>
    <row r="84">
      <c r="A84" s="33" t="n"/>
      <c r="B84" s="25" t="n"/>
      <c r="C84" s="25" t="n"/>
      <c r="D84" s="26" t="n"/>
      <c r="E84" s="34" t="n"/>
    </row>
    <row r="85">
      <c r="A85" s="33" t="n"/>
      <c r="B85" s="25" t="n"/>
      <c r="C85" s="25" t="n"/>
      <c r="D85" s="26" t="n"/>
      <c r="E85" s="34" t="n"/>
    </row>
    <row r="86">
      <c r="A86" s="33" t="n"/>
      <c r="B86" s="25" t="n"/>
      <c r="C86" s="25" t="n"/>
      <c r="D86" s="26" t="n"/>
      <c r="E86" s="34" t="n"/>
    </row>
    <row r="87">
      <c r="A87" s="33" t="n"/>
      <c r="B87" s="25" t="n"/>
      <c r="C87" s="25" t="n"/>
      <c r="D87" s="26" t="n"/>
      <c r="E87" s="34" t="n"/>
    </row>
    <row r="88">
      <c r="A88" s="33" t="n"/>
      <c r="B88" s="25" t="n"/>
      <c r="C88" s="25" t="n"/>
      <c r="D88" s="26" t="n"/>
      <c r="E88" s="34" t="n"/>
    </row>
    <row r="89">
      <c r="A89" s="33" t="n"/>
      <c r="B89" s="25" t="n"/>
      <c r="C89" s="25" t="n"/>
      <c r="D89" s="26" t="n"/>
      <c r="E89" s="34" t="n"/>
    </row>
    <row r="90">
      <c r="A90" s="33" t="n"/>
      <c r="B90" s="25" t="n"/>
      <c r="C90" s="25" t="n"/>
      <c r="D90" s="26" t="n"/>
      <c r="E90" s="34" t="n"/>
    </row>
    <row r="91">
      <c r="A91" s="33" t="n"/>
      <c r="B91" s="25" t="n"/>
      <c r="C91" s="25" t="n"/>
      <c r="D91" s="26" t="n"/>
      <c r="E91" s="34" t="n"/>
    </row>
    <row r="92">
      <c r="A92" s="33" t="n"/>
      <c r="B92" s="25" t="n"/>
      <c r="C92" s="25" t="n"/>
      <c r="D92" s="26" t="n"/>
      <c r="E92" s="34" t="n"/>
    </row>
    <row r="93">
      <c r="A93" s="33" t="n"/>
      <c r="B93" s="25" t="n"/>
      <c r="C93" s="25" t="n"/>
      <c r="D93" s="26" t="n"/>
      <c r="E93" s="34" t="n"/>
    </row>
    <row r="94">
      <c r="A94" s="33" t="n"/>
      <c r="B94" s="25" t="n"/>
      <c r="C94" s="25" t="n"/>
      <c r="D94" s="26" t="n"/>
      <c r="E94" s="34" t="n"/>
    </row>
    <row r="95">
      <c r="A95" s="33" t="n"/>
      <c r="B95" s="25" t="n"/>
      <c r="C95" s="25" t="n"/>
      <c r="D95" s="26" t="n"/>
      <c r="E95" s="34" t="n"/>
    </row>
    <row r="96">
      <c r="A96" s="33" t="n"/>
      <c r="B96" s="25" t="n"/>
      <c r="C96" s="25" t="n"/>
      <c r="D96" s="26" t="n"/>
      <c r="E96" s="34" t="n"/>
    </row>
    <row r="97">
      <c r="A97" s="33" t="n"/>
      <c r="B97" s="25" t="n"/>
      <c r="C97" s="25" t="n"/>
      <c r="D97" s="26" t="n"/>
      <c r="E97" s="34" t="n"/>
    </row>
    <row r="98">
      <c r="A98" s="33" t="n"/>
      <c r="B98" s="25" t="n"/>
      <c r="C98" s="25" t="n"/>
      <c r="D98" s="26" t="n"/>
      <c r="E98" s="34" t="n"/>
    </row>
    <row r="99">
      <c r="A99" s="33" t="n"/>
      <c r="B99" s="25" t="n"/>
      <c r="C99" s="25" t="n"/>
      <c r="D99" s="26" t="n"/>
      <c r="E99" s="34" t="n"/>
    </row>
    <row r="100">
      <c r="A100" s="33" t="n"/>
      <c r="B100" s="25" t="n"/>
      <c r="C100" s="25" t="n"/>
      <c r="D100" s="26" t="n"/>
      <c r="E100" s="34" t="n"/>
    </row>
    <row r="101">
      <c r="A101" s="33" t="n"/>
      <c r="B101" s="25" t="n"/>
      <c r="C101" s="25" t="n"/>
      <c r="D101" s="26" t="n"/>
      <c r="E101" s="34" t="n"/>
    </row>
    <row r="102">
      <c r="A102" s="33" t="n"/>
      <c r="B102" s="25" t="n"/>
      <c r="C102" s="25" t="n"/>
      <c r="D102" s="26" t="n"/>
      <c r="E102" s="34" t="n"/>
    </row>
    <row r="103">
      <c r="A103" s="33" t="n"/>
      <c r="B103" s="25" t="n"/>
      <c r="C103" s="25" t="n"/>
      <c r="D103" s="26" t="n"/>
      <c r="E103" s="34" t="n"/>
    </row>
    <row r="104">
      <c r="A104" s="33" t="n"/>
      <c r="B104" s="25" t="n"/>
      <c r="C104" s="25" t="n"/>
      <c r="D104" s="26" t="n"/>
      <c r="E104" s="34" t="n"/>
    </row>
    <row r="105">
      <c r="A105" s="33" t="n"/>
      <c r="B105" s="25" t="n"/>
      <c r="C105" s="25" t="n"/>
      <c r="D105" s="26" t="n"/>
      <c r="E105" s="34" t="n"/>
    </row>
    <row r="106">
      <c r="A106" s="33" t="n"/>
      <c r="B106" s="25" t="n"/>
      <c r="C106" s="25" t="n"/>
      <c r="D106" s="26" t="n"/>
      <c r="E106" s="34" t="n"/>
    </row>
    <row r="107">
      <c r="A107" s="33" t="n"/>
      <c r="B107" s="25" t="n"/>
      <c r="C107" s="25" t="n"/>
      <c r="D107" s="26" t="n"/>
      <c r="E107" s="34" t="n"/>
    </row>
    <row r="108">
      <c r="A108" s="33" t="n"/>
      <c r="B108" s="25" t="n"/>
      <c r="C108" s="25" t="n"/>
      <c r="D108" s="26" t="n"/>
      <c r="E108" s="34" t="n"/>
    </row>
    <row r="109">
      <c r="A109" s="33" t="n"/>
      <c r="B109" s="25" t="n"/>
      <c r="C109" s="25" t="n"/>
      <c r="D109" s="26" t="n"/>
      <c r="E109" s="34" t="n"/>
    </row>
    <row r="110">
      <c r="A110" s="33" t="n"/>
      <c r="B110" s="25" t="n"/>
      <c r="C110" s="25" t="n"/>
      <c r="D110" s="26" t="n"/>
      <c r="E110" s="34" t="n"/>
    </row>
    <row r="111">
      <c r="A111" s="33" t="n"/>
      <c r="B111" s="25" t="n"/>
      <c r="C111" s="25" t="n"/>
      <c r="D111" s="26" t="n"/>
      <c r="E111" s="34" t="n"/>
    </row>
    <row r="112">
      <c r="A112" s="33" t="n"/>
      <c r="B112" s="25" t="n"/>
      <c r="C112" s="25" t="n"/>
      <c r="D112" s="26" t="n"/>
      <c r="E112" s="34" t="n"/>
    </row>
    <row r="113">
      <c r="A113" s="33" t="n"/>
      <c r="B113" s="25" t="n"/>
      <c r="C113" s="25" t="n"/>
      <c r="D113" s="26" t="n"/>
      <c r="E113" s="34" t="n"/>
    </row>
    <row r="114">
      <c r="A114" s="33" t="n"/>
      <c r="B114" s="25" t="n"/>
      <c r="C114" s="25" t="n"/>
      <c r="D114" s="26" t="n"/>
      <c r="E114" s="34" t="n"/>
    </row>
    <row r="115">
      <c r="A115" s="33" t="n"/>
      <c r="B115" s="25" t="n"/>
      <c r="C115" s="25" t="n"/>
      <c r="D115" s="26" t="n"/>
      <c r="E115" s="34" t="n"/>
    </row>
    <row r="116">
      <c r="A116" s="33" t="n"/>
      <c r="B116" s="25" t="n"/>
      <c r="C116" s="25" t="n"/>
      <c r="D116" s="26" t="n"/>
      <c r="E116" s="34" t="n"/>
    </row>
    <row r="117">
      <c r="A117" s="33" t="n"/>
      <c r="B117" s="25" t="n"/>
      <c r="C117" s="25" t="n"/>
      <c r="D117" s="26" t="n"/>
      <c r="E117" s="34" t="n"/>
    </row>
    <row r="118">
      <c r="A118" s="33" t="n"/>
      <c r="B118" s="25" t="n"/>
      <c r="C118" s="25" t="n"/>
      <c r="D118" s="26" t="n"/>
      <c r="E118" s="34" t="n"/>
    </row>
    <row r="119">
      <c r="A119" s="33" t="n"/>
      <c r="B119" s="25" t="n"/>
      <c r="C119" s="25" t="n"/>
      <c r="D119" s="26" t="n"/>
      <c r="E119" s="34" t="n"/>
    </row>
    <row r="120">
      <c r="A120" s="33" t="n"/>
      <c r="B120" s="25" t="n"/>
      <c r="C120" s="25" t="n"/>
      <c r="D120" s="26" t="n"/>
      <c r="E120" s="34" t="n"/>
    </row>
    <row r="121">
      <c r="A121" s="33" t="n"/>
      <c r="B121" s="25" t="n"/>
      <c r="C121" s="25" t="n"/>
      <c r="D121" s="26" t="n"/>
      <c r="E121" s="34" t="n"/>
    </row>
    <row r="122">
      <c r="A122" s="33" t="n"/>
      <c r="B122" s="25" t="n"/>
      <c r="C122" s="25" t="n"/>
      <c r="D122" s="26" t="n"/>
      <c r="E122" s="34" t="n"/>
    </row>
    <row r="123">
      <c r="A123" s="33" t="n"/>
      <c r="B123" s="25" t="n"/>
      <c r="C123" s="25" t="n"/>
      <c r="D123" s="26" t="n"/>
      <c r="E123" s="34" t="n"/>
    </row>
    <row r="124">
      <c r="A124" s="33" t="n"/>
      <c r="B124" s="25" t="n"/>
      <c r="C124" s="25" t="n"/>
      <c r="D124" s="26" t="n"/>
      <c r="E124" s="34" t="n"/>
    </row>
    <row r="125">
      <c r="A125" s="33" t="n"/>
      <c r="B125" s="25" t="n"/>
      <c r="C125" s="25" t="n"/>
      <c r="D125" s="26" t="n"/>
      <c r="E125" s="34" t="n"/>
    </row>
    <row r="126">
      <c r="A126" s="33" t="n"/>
      <c r="B126" s="25" t="n"/>
      <c r="C126" s="25" t="n"/>
      <c r="D126" s="26" t="n"/>
      <c r="E126" s="34" t="n"/>
    </row>
    <row r="127">
      <c r="A127" s="33" t="n"/>
      <c r="B127" s="25" t="n"/>
      <c r="C127" s="25" t="n"/>
      <c r="D127" s="26" t="n"/>
      <c r="E127" s="34" t="n"/>
    </row>
    <row r="128">
      <c r="A128" s="33" t="n"/>
      <c r="B128" s="25" t="n"/>
      <c r="C128" s="25" t="n"/>
      <c r="D128" s="26" t="n"/>
      <c r="E128" s="34" t="n"/>
    </row>
    <row r="129">
      <c r="A129" s="33" t="n"/>
      <c r="B129" s="25" t="n"/>
      <c r="C129" s="25" t="n"/>
      <c r="D129" s="26" t="n"/>
      <c r="E129" s="34" t="n"/>
    </row>
    <row r="130">
      <c r="A130" s="33" t="n"/>
      <c r="B130" s="25" t="n"/>
      <c r="C130" s="25" t="n"/>
      <c r="D130" s="26" t="n"/>
      <c r="E130" s="34" t="n"/>
    </row>
    <row r="131">
      <c r="A131" s="33" t="n"/>
      <c r="B131" s="25" t="n"/>
      <c r="C131" s="25" t="n"/>
      <c r="D131" s="26" t="n"/>
      <c r="E131" s="34" t="n"/>
    </row>
    <row r="132">
      <c r="A132" s="33" t="n"/>
      <c r="B132" s="25" t="n"/>
      <c r="C132" s="25" t="n"/>
      <c r="D132" s="26" t="n"/>
      <c r="E132" s="34" t="n"/>
    </row>
    <row r="133">
      <c r="A133" s="33" t="n"/>
      <c r="B133" s="25" t="n"/>
      <c r="C133" s="25" t="n"/>
      <c r="D133" s="26" t="n"/>
      <c r="E133" s="34" t="n"/>
    </row>
    <row r="134">
      <c r="A134" s="33" t="n"/>
      <c r="B134" s="25" t="n"/>
      <c r="C134" s="25" t="n"/>
      <c r="D134" s="26" t="n"/>
      <c r="E134" s="34" t="n"/>
    </row>
    <row r="135">
      <c r="A135" s="33" t="n"/>
      <c r="B135" s="25" t="n"/>
      <c r="C135" s="25" t="n"/>
      <c r="D135" s="26" t="n"/>
      <c r="E135" s="34" t="n"/>
    </row>
    <row r="136">
      <c r="A136" s="33" t="n"/>
      <c r="B136" s="25" t="n"/>
      <c r="C136" s="25" t="n"/>
      <c r="D136" s="26" t="n"/>
      <c r="E136" s="34" t="n"/>
    </row>
    <row r="137">
      <c r="A137" s="33" t="n"/>
      <c r="B137" s="25" t="n"/>
      <c r="C137" s="25" t="n"/>
      <c r="D137" s="26" t="n"/>
      <c r="E137" s="34" t="n"/>
    </row>
    <row r="138">
      <c r="A138" s="33" t="n"/>
      <c r="B138" s="25" t="n"/>
      <c r="C138" s="25" t="n"/>
      <c r="D138" s="26" t="n"/>
      <c r="E138" s="34" t="n"/>
    </row>
    <row r="139">
      <c r="A139" s="33" t="n"/>
      <c r="B139" s="25" t="n"/>
      <c r="C139" s="25" t="n"/>
      <c r="D139" s="26" t="n"/>
      <c r="E139" s="34" t="n"/>
    </row>
    <row r="140">
      <c r="A140" s="33" t="n"/>
      <c r="B140" s="25" t="n"/>
      <c r="C140" s="25" t="n"/>
      <c r="D140" s="26" t="n"/>
      <c r="E140" s="34" t="n"/>
    </row>
    <row r="141">
      <c r="A141" s="33" t="n"/>
      <c r="B141" s="25" t="n"/>
      <c r="C141" s="25" t="n"/>
      <c r="D141" s="26" t="n"/>
      <c r="E141" s="34" t="n"/>
    </row>
    <row r="142">
      <c r="A142" s="33" t="n"/>
      <c r="B142" s="25" t="n"/>
      <c r="C142" s="25" t="n"/>
      <c r="D142" s="26" t="n"/>
      <c r="E142" s="34" t="n"/>
    </row>
    <row r="143">
      <c r="A143" s="33" t="n"/>
      <c r="B143" s="25" t="n"/>
      <c r="C143" s="25" t="n"/>
      <c r="D143" s="26" t="n"/>
      <c r="E143" s="34" t="n"/>
    </row>
    <row r="144">
      <c r="A144" s="33" t="n"/>
      <c r="B144" s="25" t="n"/>
      <c r="C144" s="25" t="n"/>
      <c r="D144" s="26" t="n"/>
      <c r="E144" s="34" t="n"/>
    </row>
    <row r="145">
      <c r="A145" s="33" t="n"/>
      <c r="B145" s="25" t="n"/>
      <c r="C145" s="25" t="n"/>
      <c r="D145" s="26" t="n"/>
      <c r="E145" s="34" t="n"/>
    </row>
    <row r="146">
      <c r="A146" s="33" t="n"/>
      <c r="B146" s="25" t="n"/>
      <c r="C146" s="25" t="n"/>
      <c r="D146" s="26" t="n"/>
      <c r="E146" s="34" t="n"/>
    </row>
    <row r="147">
      <c r="A147" s="33" t="n"/>
      <c r="B147" s="25" t="n"/>
      <c r="C147" s="25" t="n"/>
      <c r="D147" s="26" t="n"/>
      <c r="E147" s="34" t="n"/>
    </row>
    <row r="148">
      <c r="A148" s="33" t="n"/>
      <c r="B148" s="25" t="n"/>
      <c r="C148" s="25" t="n"/>
      <c r="D148" s="26" t="n"/>
      <c r="E148" s="34" t="n"/>
    </row>
    <row r="149">
      <c r="A149" s="33" t="n"/>
      <c r="B149" s="25" t="n"/>
      <c r="C149" s="25" t="n"/>
      <c r="D149" s="26" t="n"/>
      <c r="E149" s="34" t="n"/>
    </row>
    <row r="150">
      <c r="A150" s="33" t="n"/>
      <c r="B150" s="25" t="n"/>
      <c r="C150" s="25" t="n"/>
      <c r="D150" s="26" t="n"/>
      <c r="E150" s="34" t="n"/>
    </row>
    <row r="151">
      <c r="A151" s="33" t="n"/>
      <c r="B151" s="25" t="n"/>
      <c r="C151" s="25" t="n"/>
      <c r="D151" s="26" t="n"/>
      <c r="E151" s="34" t="n"/>
    </row>
    <row r="152">
      <c r="A152" s="33" t="n"/>
      <c r="B152" s="25" t="n"/>
      <c r="C152" s="25" t="n"/>
      <c r="D152" s="26" t="n"/>
      <c r="E152" s="34" t="n"/>
    </row>
    <row r="153">
      <c r="A153" s="33" t="n"/>
      <c r="B153" s="25" t="n"/>
      <c r="C153" s="25" t="n"/>
      <c r="D153" s="26" t="n"/>
      <c r="E153" s="34" t="n"/>
    </row>
    <row r="154">
      <c r="A154" s="33" t="n"/>
      <c r="B154" s="25" t="n"/>
      <c r="C154" s="25" t="n"/>
      <c r="D154" s="26" t="n"/>
      <c r="E154" s="34" t="n"/>
    </row>
    <row r="155">
      <c r="A155" s="33" t="n"/>
      <c r="B155" s="25" t="n"/>
      <c r="C155" s="25" t="n"/>
      <c r="D155" s="26" t="n"/>
      <c r="E155" s="34" t="n"/>
    </row>
    <row r="156">
      <c r="A156" s="33" t="n"/>
      <c r="B156" s="25" t="n"/>
      <c r="C156" s="25" t="n"/>
      <c r="D156" s="26" t="n"/>
      <c r="E156" s="34" t="n"/>
    </row>
    <row r="157">
      <c r="A157" s="33" t="n"/>
      <c r="B157" s="25" t="n"/>
      <c r="C157" s="25" t="n"/>
      <c r="D157" s="26" t="n"/>
      <c r="E157" s="34" t="n"/>
    </row>
    <row r="158">
      <c r="A158" s="33" t="n"/>
      <c r="B158" s="25" t="n"/>
      <c r="C158" s="25" t="n"/>
      <c r="D158" s="26" t="n"/>
      <c r="E158" s="34" t="n"/>
    </row>
    <row r="159">
      <c r="A159" s="33" t="n"/>
      <c r="B159" s="25" t="n"/>
      <c r="C159" s="25" t="n"/>
      <c r="D159" s="26" t="n"/>
      <c r="E159" s="34" t="n"/>
    </row>
    <row r="160">
      <c r="A160" s="33" t="n"/>
      <c r="B160" s="25" t="n"/>
      <c r="C160" s="25" t="n"/>
      <c r="D160" s="26" t="n"/>
      <c r="E160" s="34" t="n"/>
    </row>
    <row r="161">
      <c r="A161" s="33" t="n"/>
      <c r="B161" s="25" t="n"/>
      <c r="C161" s="25" t="n"/>
      <c r="D161" s="26" t="n"/>
      <c r="E161" s="34" t="n"/>
    </row>
    <row r="162">
      <c r="A162" s="33" t="n"/>
      <c r="B162" s="25" t="n"/>
      <c r="C162" s="25" t="n"/>
      <c r="D162" s="26" t="n"/>
      <c r="E162" s="34" t="n"/>
    </row>
    <row r="163">
      <c r="A163" s="33" t="n"/>
      <c r="B163" s="25" t="n"/>
      <c r="C163" s="25" t="n"/>
      <c r="D163" s="26" t="n"/>
      <c r="E163" s="34" t="n"/>
    </row>
    <row r="164">
      <c r="A164" s="33" t="n"/>
      <c r="B164" s="25" t="n"/>
      <c r="C164" s="25" t="n"/>
      <c r="D164" s="26" t="n"/>
      <c r="E164" s="34" t="n"/>
    </row>
    <row r="165">
      <c r="A165" s="33" t="n"/>
      <c r="B165" s="25" t="n"/>
      <c r="C165" s="25" t="n"/>
      <c r="D165" s="26" t="n"/>
      <c r="E165" s="34" t="n"/>
    </row>
    <row r="166">
      <c r="A166" s="33" t="n"/>
      <c r="B166" s="25" t="n"/>
      <c r="C166" s="25" t="n"/>
      <c r="D166" s="26" t="n"/>
      <c r="E166" s="34" t="n"/>
    </row>
    <row r="167">
      <c r="A167" s="33" t="n"/>
      <c r="B167" s="25" t="n"/>
      <c r="C167" s="25" t="n"/>
      <c r="D167" s="26" t="n"/>
      <c r="E167" s="34" t="n"/>
    </row>
    <row r="168">
      <c r="A168" s="33" t="n"/>
      <c r="B168" s="25" t="n"/>
      <c r="C168" s="25" t="n"/>
      <c r="D168" s="26" t="n"/>
      <c r="E168" s="34" t="n"/>
    </row>
    <row r="169">
      <c r="A169" s="33" t="n"/>
      <c r="B169" s="25" t="n"/>
      <c r="C169" s="25" t="n"/>
      <c r="D169" s="26" t="n"/>
      <c r="E169" s="34" t="n"/>
    </row>
    <row r="170">
      <c r="A170" s="33" t="n"/>
      <c r="B170" s="25" t="n"/>
      <c r="C170" s="25" t="n"/>
      <c r="D170" s="26" t="n"/>
      <c r="E170" s="34" t="n"/>
    </row>
    <row r="171">
      <c r="A171" s="33" t="n"/>
      <c r="B171" s="25" t="n"/>
      <c r="C171" s="25" t="n"/>
      <c r="D171" s="26" t="n"/>
      <c r="E171" s="34" t="n"/>
    </row>
    <row r="172">
      <c r="A172" s="33" t="n"/>
      <c r="B172" s="25" t="n"/>
      <c r="C172" s="25" t="n"/>
      <c r="D172" s="26" t="n"/>
      <c r="E172" s="34" t="n"/>
    </row>
    <row r="173">
      <c r="A173" s="33" t="n"/>
      <c r="B173" s="25" t="n"/>
      <c r="C173" s="25" t="n"/>
      <c r="D173" s="26" t="n"/>
      <c r="E173" s="34" t="n"/>
    </row>
    <row r="174">
      <c r="A174" s="33" t="n"/>
      <c r="B174" s="25" t="n"/>
      <c r="C174" s="25" t="n"/>
      <c r="D174" s="26" t="n"/>
      <c r="E174" s="34" t="n"/>
    </row>
    <row r="175">
      <c r="A175" s="33" t="n"/>
      <c r="B175" s="25" t="n"/>
      <c r="C175" s="25" t="n"/>
      <c r="D175" s="26" t="n"/>
      <c r="E175" s="34" t="n"/>
    </row>
    <row r="176">
      <c r="A176" s="33" t="n"/>
      <c r="B176" s="25" t="n"/>
      <c r="C176" s="25" t="n"/>
      <c r="D176" s="26" t="n"/>
      <c r="E176" s="34" t="n"/>
    </row>
    <row r="177">
      <c r="A177" s="33" t="n"/>
      <c r="B177" s="25" t="n"/>
      <c r="C177" s="25" t="n"/>
      <c r="D177" s="26" t="n"/>
      <c r="E177" s="34" t="n"/>
    </row>
    <row r="178">
      <c r="A178" s="33" t="n"/>
      <c r="B178" s="25" t="n"/>
      <c r="C178" s="25" t="n"/>
      <c r="D178" s="26" t="n"/>
      <c r="E178" s="34" t="n"/>
    </row>
    <row r="179">
      <c r="A179" s="33" t="n"/>
      <c r="B179" s="25" t="n"/>
      <c r="C179" s="25" t="n"/>
      <c r="D179" s="26" t="n"/>
      <c r="E179" s="34" t="n"/>
    </row>
    <row r="180">
      <c r="A180" s="33" t="n"/>
      <c r="B180" s="25" t="n"/>
      <c r="C180" s="25" t="n"/>
      <c r="D180" s="26" t="n"/>
      <c r="E180" s="34" t="n"/>
    </row>
    <row r="181">
      <c r="A181" s="33" t="n"/>
      <c r="B181" s="25" t="n"/>
      <c r="C181" s="25" t="n"/>
      <c r="D181" s="26" t="n"/>
      <c r="E181" s="34" t="n"/>
    </row>
    <row r="182">
      <c r="A182" s="33" t="n"/>
      <c r="B182" s="25" t="n"/>
      <c r="C182" s="25" t="n"/>
      <c r="D182" s="26" t="n"/>
      <c r="E182" s="34" t="n"/>
    </row>
    <row r="183">
      <c r="A183" s="33" t="n"/>
      <c r="B183" s="25" t="n"/>
      <c r="C183" s="25" t="n"/>
      <c r="D183" s="26" t="n"/>
      <c r="E183" s="34" t="n"/>
    </row>
    <row r="184">
      <c r="A184" s="33" t="n"/>
      <c r="B184" s="25" t="n"/>
      <c r="C184" s="25" t="n"/>
      <c r="D184" s="26" t="n"/>
      <c r="E184" s="34" t="n"/>
    </row>
    <row r="185">
      <c r="A185" s="33" t="n"/>
      <c r="B185" s="25" t="n"/>
      <c r="C185" s="25" t="n"/>
      <c r="D185" s="26" t="n"/>
      <c r="E185" s="34" t="n"/>
    </row>
    <row r="186">
      <c r="A186" s="33" t="n"/>
      <c r="B186" s="25" t="n"/>
      <c r="C186" s="25" t="n"/>
      <c r="D186" s="26" t="n"/>
      <c r="E186" s="34" t="n"/>
    </row>
    <row r="187">
      <c r="A187" s="33" t="n"/>
      <c r="B187" s="25" t="n"/>
      <c r="C187" s="25" t="n"/>
      <c r="D187" s="26" t="n"/>
      <c r="E187" s="34" t="n"/>
    </row>
    <row r="188">
      <c r="A188" s="33" t="n"/>
      <c r="B188" s="25" t="n"/>
      <c r="C188" s="25" t="n"/>
      <c r="D188" s="26" t="n"/>
      <c r="E188" s="34" t="n"/>
    </row>
    <row r="189">
      <c r="A189" s="33" t="n"/>
      <c r="B189" s="25" t="n"/>
      <c r="C189" s="25" t="n"/>
      <c r="D189" s="26" t="n"/>
      <c r="E189" s="34" t="n"/>
    </row>
    <row r="190">
      <c r="A190" s="33" t="n"/>
      <c r="B190" s="25" t="n"/>
      <c r="C190" s="25" t="n"/>
      <c r="D190" s="26" t="n"/>
      <c r="E190" s="34" t="n"/>
    </row>
    <row r="191">
      <c r="A191" s="33" t="n"/>
      <c r="B191" s="25" t="n"/>
      <c r="C191" s="25" t="n"/>
      <c r="D191" s="26" t="n"/>
      <c r="E191" s="34" t="n"/>
    </row>
    <row r="192">
      <c r="A192" s="33" t="n"/>
      <c r="B192" s="25" t="n"/>
      <c r="C192" s="25" t="n"/>
      <c r="D192" s="26" t="n"/>
      <c r="E192" s="34" t="n"/>
    </row>
    <row r="193">
      <c r="A193" s="33" t="n"/>
      <c r="B193" s="25" t="n"/>
      <c r="C193" s="25" t="n"/>
      <c r="D193" s="26" t="n"/>
      <c r="E193" s="34" t="n"/>
    </row>
    <row r="194">
      <c r="A194" s="33" t="n"/>
      <c r="B194" s="25" t="n"/>
      <c r="C194" s="25" t="n"/>
      <c r="D194" s="26" t="n"/>
      <c r="E194" s="34" t="n"/>
    </row>
    <row r="195">
      <c r="A195" s="33" t="n"/>
      <c r="B195" s="25" t="n"/>
      <c r="C195" s="25" t="n"/>
      <c r="D195" s="26" t="n"/>
      <c r="E195" s="34" t="n"/>
    </row>
    <row r="196">
      <c r="A196" s="33" t="n"/>
      <c r="B196" s="25" t="n"/>
      <c r="C196" s="25" t="n"/>
      <c r="D196" s="26" t="n"/>
      <c r="E196" s="34" t="n"/>
    </row>
    <row r="197">
      <c r="A197" s="33" t="n"/>
      <c r="B197" s="25" t="n"/>
      <c r="C197" s="25" t="n"/>
      <c r="D197" s="26" t="n"/>
      <c r="E197" s="34" t="n"/>
    </row>
    <row r="198">
      <c r="A198" s="33" t="n"/>
      <c r="B198" s="25" t="n"/>
      <c r="C198" s="25" t="n"/>
      <c r="D198" s="26" t="n"/>
      <c r="E198" s="34" t="n"/>
    </row>
    <row r="199">
      <c r="A199" s="33" t="n"/>
      <c r="B199" s="25" t="n"/>
      <c r="C199" s="25" t="n"/>
      <c r="D199" s="26" t="n"/>
      <c r="E199" s="34" t="n"/>
    </row>
    <row r="200">
      <c r="A200" s="33" t="n"/>
      <c r="B200" s="25" t="n"/>
      <c r="C200" s="25" t="n"/>
      <c r="D200" s="26" t="n"/>
      <c r="E200" s="34" t="n"/>
    </row>
    <row r="201">
      <c r="A201" s="33" t="n"/>
      <c r="B201" s="25" t="n"/>
      <c r="C201" s="25" t="n"/>
      <c r="D201" s="26" t="n"/>
      <c r="E201" s="34" t="n"/>
    </row>
    <row r="202">
      <c r="A202" s="33" t="n"/>
      <c r="B202" s="25" t="n"/>
      <c r="C202" s="25" t="n"/>
      <c r="D202" s="26" t="n"/>
      <c r="E202" s="34" t="n"/>
    </row>
    <row r="203">
      <c r="A203" s="33" t="n"/>
      <c r="B203" s="25" t="n"/>
      <c r="C203" s="25" t="n"/>
      <c r="D203" s="26" t="n"/>
      <c r="E203" s="34" t="n"/>
    </row>
    <row r="204">
      <c r="A204" s="33" t="n"/>
      <c r="B204" s="25" t="n"/>
      <c r="C204" s="25" t="n"/>
      <c r="D204" s="26" t="n"/>
      <c r="E204" s="34" t="n"/>
    </row>
    <row r="205">
      <c r="A205" s="33" t="n"/>
      <c r="B205" s="25" t="n"/>
      <c r="C205" s="25" t="n"/>
      <c r="D205" s="26" t="n"/>
      <c r="E205" s="34" t="n"/>
    </row>
    <row r="206">
      <c r="A206" s="33" t="n"/>
      <c r="B206" s="25" t="n"/>
      <c r="C206" s="25" t="n"/>
      <c r="D206" s="26" t="n"/>
      <c r="E206" s="34" t="n"/>
    </row>
    <row r="207">
      <c r="A207" s="33" t="n"/>
      <c r="B207" s="25" t="n"/>
      <c r="C207" s="25" t="n"/>
      <c r="D207" s="26" t="n"/>
      <c r="E207" s="34" t="n"/>
    </row>
    <row r="208">
      <c r="A208" s="33" t="n"/>
      <c r="B208" s="25" t="n"/>
      <c r="C208" s="25" t="n"/>
      <c r="D208" s="26" t="n"/>
      <c r="E208" s="34" t="n"/>
    </row>
    <row r="209">
      <c r="A209" s="33" t="n"/>
      <c r="B209" s="25" t="n"/>
      <c r="C209" s="25" t="n"/>
      <c r="D209" s="26" t="n"/>
      <c r="E209" s="34" t="n"/>
    </row>
    <row r="210">
      <c r="A210" s="33" t="n"/>
      <c r="B210" s="25" t="n"/>
      <c r="C210" s="25" t="n"/>
      <c r="D210" s="26" t="n"/>
      <c r="E210" s="34" t="n"/>
    </row>
    <row r="211">
      <c r="A211" s="33" t="n"/>
      <c r="B211" s="25" t="n"/>
      <c r="C211" s="25" t="n"/>
      <c r="D211" s="26" t="n"/>
      <c r="E211" s="34" t="n"/>
    </row>
    <row r="212">
      <c r="A212" s="33" t="n"/>
      <c r="B212" s="25" t="n"/>
      <c r="C212" s="25" t="n"/>
      <c r="D212" s="26" t="n"/>
      <c r="E212" s="34" t="n"/>
    </row>
    <row r="213">
      <c r="A213" s="33" t="n"/>
      <c r="B213" s="25" t="n"/>
      <c r="C213" s="25" t="n"/>
      <c r="D213" s="26" t="n"/>
      <c r="E213" s="34" t="n"/>
    </row>
    <row r="214">
      <c r="A214" s="33" t="n"/>
      <c r="B214" s="25" t="n"/>
      <c r="C214" s="25" t="n"/>
      <c r="D214" s="26" t="n"/>
      <c r="E214" s="34" t="n"/>
    </row>
    <row r="215">
      <c r="A215" s="33" t="n"/>
      <c r="B215" s="25" t="n"/>
      <c r="C215" s="25" t="n"/>
      <c r="D215" s="26" t="n"/>
      <c r="E215" s="34" t="n"/>
    </row>
    <row r="216">
      <c r="A216" s="33" t="n"/>
      <c r="B216" s="25" t="n"/>
      <c r="C216" s="25" t="n"/>
      <c r="D216" s="26" t="n"/>
      <c r="E216" s="34" t="n"/>
    </row>
    <row r="217">
      <c r="A217" s="33" t="n"/>
      <c r="B217" s="25" t="n"/>
      <c r="C217" s="25" t="n"/>
      <c r="D217" s="26" t="n"/>
      <c r="E217" s="34" t="n"/>
    </row>
    <row r="218">
      <c r="A218" s="33" t="n"/>
      <c r="B218" s="25" t="n"/>
      <c r="C218" s="25" t="n"/>
      <c r="D218" s="26" t="n"/>
      <c r="E218" s="34" t="n"/>
    </row>
    <row r="219">
      <c r="A219" s="33" t="n"/>
      <c r="B219" s="25" t="n"/>
      <c r="C219" s="25" t="n"/>
      <c r="D219" s="26" t="n"/>
      <c r="E219" s="34" t="n"/>
    </row>
    <row r="220">
      <c r="A220" s="33" t="n"/>
      <c r="B220" s="25" t="n"/>
      <c r="C220" s="25" t="n"/>
      <c r="D220" s="26" t="n"/>
      <c r="E220" s="34" t="n"/>
    </row>
    <row r="221">
      <c r="A221" s="33" t="n"/>
      <c r="B221" s="25" t="n"/>
      <c r="C221" s="25" t="n"/>
      <c r="D221" s="26" t="n"/>
      <c r="E221" s="34" t="n"/>
    </row>
    <row r="222">
      <c r="A222" s="33" t="n"/>
      <c r="B222" s="25" t="n"/>
      <c r="C222" s="25" t="n"/>
      <c r="D222" s="26" t="n"/>
      <c r="E222" s="34" t="n"/>
    </row>
    <row r="223">
      <c r="A223" s="33" t="n"/>
      <c r="B223" s="25" t="n"/>
      <c r="C223" s="25" t="n"/>
      <c r="D223" s="26" t="n"/>
      <c r="E223" s="34" t="n"/>
    </row>
    <row r="224">
      <c r="A224" s="33" t="n"/>
      <c r="B224" s="25" t="n"/>
      <c r="C224" s="25" t="n"/>
      <c r="D224" s="26" t="n"/>
      <c r="E224" s="34" t="n"/>
    </row>
    <row r="225">
      <c r="A225" s="33" t="n"/>
      <c r="B225" s="25" t="n"/>
      <c r="C225" s="25" t="n"/>
      <c r="D225" s="26" t="n"/>
      <c r="E225" s="34" t="n"/>
    </row>
    <row r="226">
      <c r="A226" s="33" t="n"/>
      <c r="B226" s="25" t="n"/>
      <c r="C226" s="25" t="n"/>
      <c r="D226" s="26" t="n"/>
      <c r="E226" s="34" t="n"/>
    </row>
    <row r="227">
      <c r="A227" s="33" t="n"/>
      <c r="B227" s="25" t="n"/>
      <c r="C227" s="25" t="n"/>
      <c r="D227" s="26" t="n"/>
      <c r="E227" s="34" t="n"/>
    </row>
    <row r="228">
      <c r="A228" s="33" t="n"/>
      <c r="B228" s="25" t="n"/>
      <c r="C228" s="25" t="n"/>
      <c r="D228" s="26" t="n"/>
      <c r="E228" s="34" t="n"/>
    </row>
    <row r="229">
      <c r="A229" s="33" t="n"/>
      <c r="B229" s="25" t="n"/>
      <c r="C229" s="25" t="n"/>
      <c r="D229" s="26" t="n"/>
      <c r="E229" s="34" t="n"/>
    </row>
    <row r="230">
      <c r="A230" s="33" t="n"/>
      <c r="B230" s="25" t="n"/>
      <c r="C230" s="25" t="n"/>
      <c r="D230" s="26" t="n"/>
      <c r="E230" s="34" t="n"/>
    </row>
    <row r="231">
      <c r="A231" s="33" t="n"/>
      <c r="B231" s="25" t="n"/>
      <c r="C231" s="25" t="n"/>
      <c r="D231" s="26" t="n"/>
      <c r="E231" s="34" t="n"/>
    </row>
    <row r="232">
      <c r="A232" s="33" t="n"/>
      <c r="B232" s="25" t="n"/>
      <c r="C232" s="25" t="n"/>
      <c r="D232" s="26" t="n"/>
      <c r="E232" s="34" t="n"/>
    </row>
    <row r="233">
      <c r="A233" s="33" t="n"/>
      <c r="B233" s="25" t="n"/>
      <c r="C233" s="25" t="n"/>
      <c r="D233" s="26" t="n"/>
      <c r="E233" s="34" t="n"/>
    </row>
    <row r="234">
      <c r="A234" s="33" t="n"/>
      <c r="B234" s="25" t="n"/>
      <c r="C234" s="25" t="n"/>
      <c r="D234" s="26" t="n"/>
      <c r="E234" s="34" t="n"/>
    </row>
    <row r="235">
      <c r="A235" s="33" t="n"/>
      <c r="B235" s="25" t="n"/>
      <c r="C235" s="25" t="n"/>
      <c r="D235" s="26" t="n"/>
      <c r="E235" s="34" t="n"/>
    </row>
    <row r="236">
      <c r="A236" s="33" t="n"/>
      <c r="B236" s="25" t="n"/>
      <c r="C236" s="25" t="n"/>
      <c r="D236" s="26" t="n"/>
      <c r="E236" s="34" t="n"/>
    </row>
    <row r="237">
      <c r="A237" s="33" t="n"/>
      <c r="B237" s="25" t="n"/>
      <c r="C237" s="25" t="n"/>
      <c r="D237" s="26" t="n"/>
      <c r="E237" s="34" t="n"/>
    </row>
    <row r="238">
      <c r="A238" s="33" t="n"/>
      <c r="B238" s="25" t="n"/>
      <c r="C238" s="25" t="n"/>
      <c r="D238" s="26" t="n"/>
      <c r="E238" s="34" t="n"/>
    </row>
    <row r="239">
      <c r="A239" s="33" t="n"/>
      <c r="B239" s="25" t="n"/>
      <c r="C239" s="25" t="n"/>
      <c r="D239" s="26" t="n"/>
      <c r="E239" s="34" t="n"/>
    </row>
    <row r="240">
      <c r="A240" s="33" t="n"/>
      <c r="B240" s="25" t="n"/>
      <c r="C240" s="25" t="n"/>
      <c r="D240" s="26" t="n"/>
      <c r="E240" s="34" t="n"/>
    </row>
    <row r="241">
      <c r="A241" s="33" t="n"/>
      <c r="B241" s="25" t="n"/>
      <c r="C241" s="25" t="n"/>
      <c r="D241" s="26" t="n"/>
      <c r="E241" s="34" t="n"/>
    </row>
    <row r="242">
      <c r="A242" s="33" t="n"/>
      <c r="B242" s="25" t="n"/>
      <c r="C242" s="25" t="n"/>
      <c r="D242" s="26" t="n"/>
      <c r="E242" s="34" t="n"/>
    </row>
    <row r="243">
      <c r="A243" s="33" t="n"/>
      <c r="B243" s="25" t="n"/>
      <c r="C243" s="25" t="n"/>
      <c r="D243" s="26" t="n"/>
      <c r="E243" s="34" t="n"/>
    </row>
    <row r="244">
      <c r="A244" s="33" t="n"/>
      <c r="B244" s="25" t="n"/>
      <c r="C244" s="25" t="n"/>
      <c r="D244" s="26" t="n"/>
      <c r="E244" s="34" t="n"/>
    </row>
    <row r="245">
      <c r="A245" s="33" t="n"/>
      <c r="B245" s="25" t="n"/>
      <c r="C245" s="25" t="n"/>
      <c r="D245" s="26" t="n"/>
      <c r="E245" s="34" t="n"/>
    </row>
    <row r="246">
      <c r="A246" s="33" t="n"/>
      <c r="B246" s="25" t="n"/>
      <c r="C246" s="25" t="n"/>
      <c r="D246" s="26" t="n"/>
      <c r="E246" s="34" t="n"/>
    </row>
    <row r="247">
      <c r="A247" s="33" t="n"/>
      <c r="B247" s="25" t="n"/>
      <c r="C247" s="25" t="n"/>
      <c r="D247" s="26" t="n"/>
      <c r="E247" s="34" t="n"/>
    </row>
    <row r="248">
      <c r="A248" s="33" t="n"/>
      <c r="B248" s="25" t="n"/>
      <c r="C248" s="25" t="n"/>
      <c r="D248" s="26" t="n"/>
      <c r="E248" s="34" t="n"/>
    </row>
    <row r="249">
      <c r="A249" s="33" t="n"/>
      <c r="B249" s="25" t="n"/>
      <c r="C249" s="25" t="n"/>
      <c r="D249" s="26" t="n"/>
      <c r="E249" s="34" t="n"/>
    </row>
    <row r="250">
      <c r="A250" s="33" t="n"/>
      <c r="B250" s="25" t="n"/>
      <c r="C250" s="25" t="n"/>
      <c r="D250" s="26" t="n"/>
      <c r="E250" s="34" t="n"/>
    </row>
    <row r="251">
      <c r="A251" s="33" t="n"/>
      <c r="B251" s="25" t="n"/>
      <c r="C251" s="25" t="n"/>
      <c r="D251" s="26" t="n"/>
      <c r="E251" s="34" t="n"/>
    </row>
    <row r="252">
      <c r="A252" s="33" t="n"/>
      <c r="B252" s="25" t="n"/>
      <c r="C252" s="25" t="n"/>
      <c r="D252" s="26" t="n"/>
      <c r="E252" s="34" t="n"/>
    </row>
    <row r="253">
      <c r="A253" s="33" t="n"/>
      <c r="B253" s="25" t="n"/>
      <c r="C253" s="25" t="n"/>
      <c r="D253" s="26" t="n"/>
      <c r="E253" s="34" t="n"/>
    </row>
    <row r="254">
      <c r="A254" s="33" t="n"/>
      <c r="B254" s="25" t="n"/>
      <c r="C254" s="25" t="n"/>
      <c r="D254" s="26" t="n"/>
      <c r="E254" s="34" t="n"/>
    </row>
    <row r="255">
      <c r="A255" s="33" t="n"/>
      <c r="B255" s="25" t="n"/>
      <c r="C255" s="25" t="n"/>
      <c r="D255" s="26" t="n"/>
      <c r="E255" s="34" t="n"/>
    </row>
    <row r="256">
      <c r="A256" s="33" t="n"/>
      <c r="B256" s="25" t="n"/>
      <c r="C256" s="25" t="n"/>
      <c r="D256" s="26" t="n"/>
      <c r="E256" s="34" t="n"/>
    </row>
    <row r="257">
      <c r="A257" s="33" t="n"/>
      <c r="B257" s="25" t="n"/>
      <c r="C257" s="25" t="n"/>
      <c r="D257" s="26" t="n"/>
      <c r="E257" s="34" t="n"/>
    </row>
    <row r="258">
      <c r="A258" s="33" t="n"/>
      <c r="B258" s="25" t="n"/>
      <c r="C258" s="25" t="n"/>
      <c r="D258" s="26" t="n"/>
      <c r="E258" s="34" t="n"/>
    </row>
    <row r="259">
      <c r="A259" s="33" t="n"/>
      <c r="B259" s="25" t="n"/>
      <c r="C259" s="25" t="n"/>
      <c r="D259" s="26" t="n"/>
      <c r="E259" s="34" t="n"/>
    </row>
    <row r="260">
      <c r="A260" s="33" t="n"/>
      <c r="B260" s="25" t="n"/>
      <c r="C260" s="25" t="n"/>
      <c r="D260" s="26" t="n"/>
      <c r="E260" s="34" t="n"/>
    </row>
    <row r="261">
      <c r="A261" s="33" t="n"/>
      <c r="B261" s="25" t="n"/>
      <c r="C261" s="25" t="n"/>
      <c r="D261" s="26" t="n"/>
      <c r="E261" s="34" t="n"/>
    </row>
    <row r="262">
      <c r="A262" s="33" t="n"/>
      <c r="B262" s="25" t="n"/>
      <c r="C262" s="25" t="n"/>
      <c r="D262" s="26" t="n"/>
      <c r="E262" s="34" t="n"/>
    </row>
    <row r="263">
      <c r="A263" s="33" t="n"/>
      <c r="B263" s="25" t="n"/>
      <c r="C263" s="25" t="n"/>
      <c r="D263" s="26" t="n"/>
      <c r="E263" s="34" t="n"/>
    </row>
    <row r="264">
      <c r="A264" s="33" t="n"/>
      <c r="B264" s="25" t="n"/>
      <c r="C264" s="25" t="n"/>
      <c r="D264" s="26" t="n"/>
      <c r="E264" s="34" t="n"/>
    </row>
    <row r="265">
      <c r="A265" s="33" t="n"/>
      <c r="B265" s="25" t="n"/>
      <c r="C265" s="25" t="n"/>
      <c r="D265" s="26" t="n"/>
      <c r="E265" s="34" t="n"/>
    </row>
    <row r="266">
      <c r="A266" s="33" t="n"/>
      <c r="B266" s="25" t="n"/>
      <c r="C266" s="25" t="n"/>
      <c r="D266" s="26" t="n"/>
      <c r="E266" s="34" t="n"/>
    </row>
    <row r="267">
      <c r="A267" s="33" t="n"/>
      <c r="B267" s="25" t="n"/>
      <c r="C267" s="25" t="n"/>
      <c r="D267" s="26" t="n"/>
      <c r="E267" s="34" t="n"/>
    </row>
    <row r="268">
      <c r="A268" s="33" t="n"/>
      <c r="B268" s="25" t="n"/>
      <c r="C268" s="25" t="n"/>
      <c r="D268" s="26" t="n"/>
      <c r="E268" s="34" t="n"/>
    </row>
    <row r="269">
      <c r="A269" s="33" t="n"/>
      <c r="B269" s="25" t="n"/>
      <c r="C269" s="25" t="n"/>
      <c r="D269" s="26" t="n"/>
      <c r="E269" s="34" t="n"/>
    </row>
    <row r="270">
      <c r="A270" s="33" t="n"/>
      <c r="B270" s="25" t="n"/>
      <c r="C270" s="25" t="n"/>
      <c r="D270" s="26" t="n"/>
      <c r="E270" s="34" t="n"/>
    </row>
    <row r="271">
      <c r="A271" s="33" t="n"/>
      <c r="B271" s="25" t="n"/>
      <c r="C271" s="25" t="n"/>
      <c r="D271" s="26" t="n"/>
      <c r="E271" s="34" t="n"/>
    </row>
    <row r="272">
      <c r="A272" s="33" t="n"/>
      <c r="B272" s="25" t="n"/>
      <c r="C272" s="25" t="n"/>
      <c r="D272" s="26" t="n"/>
      <c r="E272" s="34" t="n"/>
    </row>
    <row r="273">
      <c r="A273" s="33" t="n"/>
      <c r="B273" s="25" t="n"/>
      <c r="C273" s="25" t="n"/>
      <c r="D273" s="26" t="n"/>
      <c r="E273" s="34" t="n"/>
    </row>
    <row r="274">
      <c r="A274" s="33" t="n"/>
      <c r="B274" s="25" t="n"/>
      <c r="C274" s="25" t="n"/>
      <c r="D274" s="26" t="n"/>
      <c r="E274" s="34" t="n"/>
    </row>
    <row r="275">
      <c r="A275" s="33" t="n"/>
      <c r="B275" s="25" t="n"/>
      <c r="C275" s="25" t="n"/>
      <c r="D275" s="26" t="n"/>
      <c r="E275" s="34" t="n"/>
    </row>
    <row r="276">
      <c r="A276" s="33" t="n"/>
      <c r="B276" s="25" t="n"/>
      <c r="C276" s="25" t="n"/>
      <c r="D276" s="26" t="n"/>
      <c r="E276" s="34" t="n"/>
    </row>
    <row r="277">
      <c r="A277" s="33" t="n"/>
      <c r="B277" s="25" t="n"/>
      <c r="C277" s="25" t="n"/>
      <c r="D277" s="26" t="n"/>
      <c r="E277" s="34" t="n"/>
    </row>
    <row r="278">
      <c r="A278" s="33" t="n"/>
      <c r="B278" s="25" t="n"/>
      <c r="C278" s="25" t="n"/>
      <c r="D278" s="26" t="n"/>
      <c r="E278" s="34" t="n"/>
    </row>
    <row r="279">
      <c r="A279" s="33" t="n"/>
      <c r="B279" s="25" t="n"/>
      <c r="C279" s="25" t="n"/>
      <c r="D279" s="26" t="n"/>
      <c r="E279" s="34" t="n"/>
    </row>
    <row r="280">
      <c r="A280" s="33" t="n"/>
      <c r="B280" s="25" t="n"/>
      <c r="C280" s="25" t="n"/>
      <c r="D280" s="26" t="n"/>
      <c r="E280" s="34" t="n"/>
    </row>
    <row r="281">
      <c r="A281" s="33" t="n"/>
      <c r="B281" s="25" t="n"/>
      <c r="C281" s="25" t="n"/>
      <c r="D281" s="26" t="n"/>
      <c r="E281" s="34" t="n"/>
    </row>
    <row r="282">
      <c r="A282" s="33" t="n"/>
      <c r="B282" s="25" t="n"/>
      <c r="C282" s="25" t="n"/>
      <c r="D282" s="26" t="n"/>
      <c r="E282" s="34" t="n"/>
    </row>
    <row r="283">
      <c r="A283" s="33" t="n"/>
      <c r="B283" s="25" t="n"/>
      <c r="C283" s="25" t="n"/>
      <c r="D283" s="26" t="n"/>
      <c r="E283" s="34" t="n"/>
    </row>
    <row r="284">
      <c r="A284" s="33" t="n"/>
      <c r="B284" s="25" t="n"/>
      <c r="C284" s="25" t="n"/>
      <c r="D284" s="26" t="n"/>
      <c r="E284" s="34" t="n"/>
    </row>
    <row r="285">
      <c r="A285" s="33" t="n"/>
      <c r="B285" s="25" t="n"/>
      <c r="C285" s="25" t="n"/>
      <c r="D285" s="26" t="n"/>
      <c r="E285" s="34" t="n"/>
    </row>
    <row r="286">
      <c r="A286" s="33" t="n"/>
      <c r="B286" s="25" t="n"/>
      <c r="C286" s="25" t="n"/>
      <c r="D286" s="26" t="n"/>
      <c r="E286" s="34" t="n"/>
    </row>
    <row r="287">
      <c r="A287" s="33" t="n"/>
      <c r="B287" s="25" t="n"/>
      <c r="C287" s="25" t="n"/>
      <c r="D287" s="26" t="n"/>
      <c r="E287" s="34" t="n"/>
    </row>
    <row r="288">
      <c r="A288" s="33" t="n"/>
      <c r="B288" s="25" t="n"/>
      <c r="C288" s="25" t="n"/>
      <c r="D288" s="26" t="n"/>
      <c r="E288" s="34" t="n"/>
    </row>
    <row r="289">
      <c r="A289" s="33" t="n"/>
      <c r="B289" s="25" t="n"/>
      <c r="C289" s="25" t="n"/>
      <c r="D289" s="26" t="n"/>
      <c r="E289" s="34" t="n"/>
    </row>
    <row r="290">
      <c r="A290" s="33" t="n"/>
      <c r="B290" s="25" t="n"/>
      <c r="C290" s="25" t="n"/>
      <c r="D290" s="26" t="n"/>
      <c r="E290" s="34" t="n"/>
    </row>
    <row r="291">
      <c r="A291" s="33" t="n"/>
      <c r="B291" s="25" t="n"/>
      <c r="C291" s="25" t="n"/>
      <c r="D291" s="26" t="n"/>
      <c r="E291" s="34" t="n"/>
    </row>
    <row r="292">
      <c r="A292" s="33" t="n"/>
      <c r="B292" s="25" t="n"/>
      <c r="C292" s="25" t="n"/>
      <c r="D292" s="26" t="n"/>
      <c r="E292" s="34" t="n"/>
    </row>
    <row r="293">
      <c r="A293" s="33" t="n"/>
      <c r="B293" s="25" t="n"/>
      <c r="C293" s="25" t="n"/>
      <c r="D293" s="26" t="n"/>
      <c r="E293" s="34" t="n"/>
    </row>
    <row r="294">
      <c r="A294" s="33" t="n"/>
      <c r="B294" s="25" t="n"/>
      <c r="C294" s="25" t="n"/>
      <c r="D294" s="26" t="n"/>
      <c r="E294" s="34" t="n"/>
    </row>
    <row r="295">
      <c r="A295" s="33" t="n"/>
      <c r="B295" s="25" t="n"/>
      <c r="C295" s="25" t="n"/>
      <c r="D295" s="26" t="n"/>
      <c r="E295" s="34" t="n"/>
    </row>
    <row r="296">
      <c r="A296" s="33" t="n"/>
      <c r="B296" s="25" t="n"/>
      <c r="C296" s="25" t="n"/>
      <c r="D296" s="26" t="n"/>
      <c r="E296" s="34" t="n"/>
    </row>
    <row r="297">
      <c r="A297" s="33" t="n"/>
      <c r="B297" s="25" t="n"/>
      <c r="C297" s="25" t="n"/>
      <c r="D297" s="26" t="n"/>
      <c r="E297" s="34" t="n"/>
    </row>
    <row r="298">
      <c r="A298" s="33" t="n"/>
      <c r="B298" s="25" t="n"/>
      <c r="C298" s="25" t="n"/>
      <c r="D298" s="26" t="n"/>
      <c r="E298" s="34" t="n"/>
    </row>
    <row r="299">
      <c r="A299" s="33" t="n"/>
      <c r="B299" s="25" t="n"/>
      <c r="C299" s="25" t="n"/>
      <c r="D299" s="26" t="n"/>
      <c r="E299" s="34" t="n"/>
    </row>
    <row r="300">
      <c r="A300" s="33" t="n"/>
      <c r="B300" s="25" t="n"/>
      <c r="C300" s="25" t="n"/>
      <c r="D300" s="26" t="n"/>
      <c r="E300" s="34" t="n"/>
    </row>
    <row r="301">
      <c r="A301" s="33" t="n"/>
      <c r="B301" s="25" t="n"/>
      <c r="C301" s="25" t="n"/>
      <c r="D301" s="26" t="n"/>
      <c r="E301" s="34" t="n"/>
    </row>
    <row r="302">
      <c r="A302" s="33" t="n"/>
      <c r="B302" s="25" t="n"/>
      <c r="C302" s="25" t="n"/>
      <c r="D302" s="26" t="n"/>
      <c r="E302" s="34" t="n"/>
    </row>
    <row r="303">
      <c r="A303" s="33" t="n"/>
      <c r="B303" s="25" t="n"/>
      <c r="C303" s="25" t="n"/>
      <c r="D303" s="26" t="n"/>
      <c r="E303" s="34" t="n"/>
    </row>
    <row r="304">
      <c r="A304" s="33" t="n"/>
      <c r="B304" s="25" t="n"/>
      <c r="C304" s="25" t="n"/>
      <c r="D304" s="26" t="n"/>
      <c r="E304" s="34" t="n"/>
    </row>
    <row r="305">
      <c r="A305" s="33" t="n"/>
      <c r="B305" s="25" t="n"/>
      <c r="C305" s="25" t="n"/>
      <c r="D305" s="26" t="n"/>
      <c r="E305" s="34" t="n"/>
    </row>
    <row r="306">
      <c r="A306" s="33" t="n"/>
      <c r="B306" s="25" t="n"/>
      <c r="C306" s="25" t="n"/>
      <c r="D306" s="26" t="n"/>
      <c r="E306" s="34" t="n"/>
    </row>
    <row r="307">
      <c r="A307" s="33" t="n"/>
      <c r="B307" s="25" t="n"/>
      <c r="C307" s="25" t="n"/>
      <c r="D307" s="26" t="n"/>
      <c r="E307" s="34" t="n"/>
    </row>
    <row r="308">
      <c r="A308" s="33" t="n"/>
      <c r="B308" s="25" t="n"/>
      <c r="C308" s="25" t="n"/>
      <c r="D308" s="26" t="n"/>
      <c r="E308" s="34" t="n"/>
    </row>
    <row r="309">
      <c r="A309" s="33" t="n"/>
      <c r="B309" s="25" t="n"/>
      <c r="C309" s="25" t="n"/>
      <c r="D309" s="26" t="n"/>
      <c r="E309" s="34" t="n"/>
    </row>
    <row r="310">
      <c r="A310" s="33" t="n"/>
      <c r="B310" s="25" t="n"/>
      <c r="C310" s="25" t="n"/>
      <c r="D310" s="26" t="n"/>
      <c r="E310" s="34" t="n"/>
    </row>
    <row r="311">
      <c r="A311" s="33" t="n"/>
      <c r="B311" s="25" t="n"/>
      <c r="C311" s="25" t="n"/>
      <c r="D311" s="26" t="n"/>
      <c r="E311" s="34" t="n"/>
    </row>
    <row r="312">
      <c r="A312" s="33" t="n"/>
      <c r="B312" s="25" t="n"/>
      <c r="C312" s="25" t="n"/>
      <c r="D312" s="26" t="n"/>
      <c r="E312" s="34" t="n"/>
    </row>
    <row r="313">
      <c r="A313" s="33" t="n"/>
      <c r="B313" s="25" t="n"/>
      <c r="C313" s="25" t="n"/>
      <c r="D313" s="26" t="n"/>
      <c r="E313" s="34" t="n"/>
    </row>
    <row r="314">
      <c r="A314" s="33" t="n"/>
      <c r="B314" s="25" t="n"/>
      <c r="C314" s="25" t="n"/>
      <c r="D314" s="26" t="n"/>
      <c r="E314" s="34" t="n"/>
    </row>
    <row r="315">
      <c r="A315" s="33" t="n"/>
      <c r="B315" s="25" t="n"/>
      <c r="C315" s="25" t="n"/>
      <c r="D315" s="26" t="n"/>
      <c r="E315" s="34" t="n"/>
    </row>
    <row r="316">
      <c r="A316" s="33" t="n"/>
      <c r="B316" s="25" t="n"/>
      <c r="C316" s="25" t="n"/>
      <c r="D316" s="26" t="n"/>
      <c r="E316" s="34" t="n"/>
    </row>
    <row r="317">
      <c r="A317" s="33" t="n"/>
      <c r="B317" s="25" t="n"/>
      <c r="C317" s="25" t="n"/>
      <c r="D317" s="26" t="n"/>
      <c r="E317" s="34" t="n"/>
    </row>
    <row r="318">
      <c r="A318" s="33" t="n"/>
      <c r="B318" s="25" t="n"/>
      <c r="C318" s="25" t="n"/>
      <c r="D318" s="26" t="n"/>
      <c r="E318" s="34" t="n"/>
    </row>
    <row r="319">
      <c r="A319" s="33" t="n"/>
      <c r="B319" s="25" t="n"/>
      <c r="C319" s="25" t="n"/>
      <c r="D319" s="26" t="n"/>
      <c r="E319" s="34" t="n"/>
    </row>
    <row r="320">
      <c r="A320" s="33" t="n"/>
      <c r="B320" s="25" t="n"/>
      <c r="C320" s="25" t="n"/>
      <c r="D320" s="26" t="n"/>
      <c r="E320" s="34" t="n"/>
    </row>
    <row r="321">
      <c r="A321" s="33" t="n"/>
      <c r="B321" s="25" t="n"/>
      <c r="C321" s="25" t="n"/>
      <c r="D321" s="26" t="n"/>
      <c r="E321" s="34" t="n"/>
    </row>
    <row r="322">
      <c r="A322" s="33" t="n"/>
      <c r="B322" s="25" t="n"/>
      <c r="C322" s="25" t="n"/>
      <c r="D322" s="26" t="n"/>
      <c r="E322" s="34" t="n"/>
    </row>
    <row r="323">
      <c r="A323" s="33" t="n"/>
      <c r="B323" s="25" t="n"/>
      <c r="C323" s="25" t="n"/>
      <c r="D323" s="26" t="n"/>
      <c r="E323" s="34" t="n"/>
    </row>
    <row r="324">
      <c r="A324" s="33" t="n"/>
      <c r="B324" s="25" t="n"/>
      <c r="C324" s="25" t="n"/>
      <c r="D324" s="26" t="n"/>
      <c r="E324" s="34" t="n"/>
    </row>
    <row r="325">
      <c r="A325" s="33" t="n"/>
      <c r="B325" s="25" t="n"/>
      <c r="C325" s="25" t="n"/>
      <c r="D325" s="26" t="n"/>
      <c r="E325" s="34" t="n"/>
    </row>
    <row r="326">
      <c r="A326" s="33" t="n"/>
      <c r="B326" s="25" t="n"/>
      <c r="C326" s="25" t="n"/>
      <c r="D326" s="26" t="n"/>
      <c r="E326" s="34" t="n"/>
    </row>
    <row r="327">
      <c r="A327" s="33" t="n"/>
      <c r="B327" s="25" t="n"/>
      <c r="C327" s="25" t="n"/>
      <c r="D327" s="26" t="n"/>
      <c r="E327" s="34" t="n"/>
    </row>
    <row r="328">
      <c r="A328" s="33" t="n"/>
      <c r="B328" s="25" t="n"/>
      <c r="C328" s="25" t="n"/>
      <c r="D328" s="26" t="n"/>
      <c r="E328" s="34" t="n"/>
    </row>
    <row r="329">
      <c r="A329" s="33" t="n"/>
      <c r="B329" s="25" t="n"/>
      <c r="C329" s="25" t="n"/>
      <c r="D329" s="26" t="n"/>
      <c r="E329" s="34" t="n"/>
    </row>
    <row r="330">
      <c r="A330" s="33" t="n"/>
      <c r="B330" s="25" t="n"/>
      <c r="C330" s="25" t="n"/>
      <c r="D330" s="26" t="n"/>
      <c r="E330" s="34" t="n"/>
    </row>
    <row r="331">
      <c r="A331" s="33" t="n"/>
      <c r="B331" s="25" t="n"/>
      <c r="C331" s="25" t="n"/>
      <c r="D331" s="26" t="n"/>
      <c r="E331" s="34" t="n"/>
    </row>
    <row r="332">
      <c r="A332" s="33" t="n"/>
      <c r="B332" s="25" t="n"/>
      <c r="C332" s="25" t="n"/>
      <c r="D332" s="26" t="n"/>
      <c r="E332" s="34" t="n"/>
    </row>
    <row r="333">
      <c r="A333" s="33" t="n"/>
      <c r="B333" s="25" t="n"/>
      <c r="C333" s="25" t="n"/>
      <c r="D333" s="26" t="n"/>
      <c r="E333" s="34" t="n"/>
    </row>
    <row r="334">
      <c r="A334" s="33" t="n"/>
      <c r="B334" s="25" t="n"/>
      <c r="C334" s="25" t="n"/>
      <c r="D334" s="26" t="n"/>
      <c r="E334" s="34" t="n"/>
    </row>
    <row r="335">
      <c r="A335" s="33" t="n"/>
      <c r="B335" s="25" t="n"/>
      <c r="C335" s="25" t="n"/>
      <c r="D335" s="26" t="n"/>
      <c r="E335" s="34" t="n"/>
    </row>
    <row r="336">
      <c r="A336" s="33" t="n"/>
      <c r="B336" s="25" t="n"/>
      <c r="C336" s="25" t="n"/>
      <c r="D336" s="26" t="n"/>
      <c r="E336" s="34" t="n"/>
    </row>
    <row r="337">
      <c r="A337" s="33" t="n"/>
      <c r="B337" s="25" t="n"/>
      <c r="C337" s="25" t="n"/>
      <c r="D337" s="26" t="n"/>
      <c r="E337" s="34" t="n"/>
    </row>
    <row r="338">
      <c r="A338" s="33" t="n"/>
      <c r="B338" s="25" t="n"/>
      <c r="C338" s="25" t="n"/>
      <c r="D338" s="26" t="n"/>
      <c r="E338" s="34" t="n"/>
    </row>
    <row r="339">
      <c r="A339" s="33" t="n"/>
      <c r="B339" s="25" t="n"/>
      <c r="C339" s="25" t="n"/>
      <c r="D339" s="26" t="n"/>
      <c r="E339" s="34" t="n"/>
    </row>
    <row r="340">
      <c r="A340" s="33" t="n"/>
      <c r="B340" s="25" t="n"/>
      <c r="C340" s="25" t="n"/>
      <c r="D340" s="26" t="n"/>
      <c r="E340" s="34" t="n"/>
    </row>
    <row r="341">
      <c r="A341" s="33" t="n"/>
      <c r="B341" s="25" t="n"/>
      <c r="C341" s="25" t="n"/>
      <c r="D341" s="26" t="n"/>
      <c r="E341" s="34" t="n"/>
    </row>
    <row r="342">
      <c r="A342" s="33" t="n"/>
      <c r="B342" s="25" t="n"/>
      <c r="C342" s="25" t="n"/>
      <c r="D342" s="26" t="n"/>
      <c r="E342" s="34" t="n"/>
    </row>
    <row r="343">
      <c r="A343" s="33" t="n"/>
      <c r="B343" s="25" t="n"/>
      <c r="C343" s="25" t="n"/>
      <c r="D343" s="26" t="n"/>
      <c r="E343" s="34" t="n"/>
    </row>
    <row r="344">
      <c r="A344" s="33" t="n"/>
      <c r="B344" s="25" t="n"/>
      <c r="C344" s="25" t="n"/>
      <c r="D344" s="26" t="n"/>
      <c r="E344" s="34" t="n"/>
    </row>
    <row r="345">
      <c r="A345" s="33" t="n"/>
      <c r="B345" s="25" t="n"/>
      <c r="C345" s="25" t="n"/>
      <c r="D345" s="26" t="n"/>
      <c r="E345" s="34" t="n"/>
    </row>
    <row r="346">
      <c r="A346" s="33" t="n"/>
      <c r="B346" s="25" t="n"/>
      <c r="C346" s="25" t="n"/>
      <c r="D346" s="26" t="n"/>
      <c r="E346" s="34" t="n"/>
    </row>
    <row r="347">
      <c r="A347" s="33" t="n"/>
      <c r="B347" s="25" t="n"/>
      <c r="C347" s="25" t="n"/>
      <c r="D347" s="26" t="n"/>
      <c r="E347" s="34" t="n"/>
    </row>
    <row r="348">
      <c r="A348" s="33" t="n"/>
      <c r="B348" s="25" t="n"/>
      <c r="C348" s="25" t="n"/>
      <c r="D348" s="26" t="n"/>
      <c r="E348" s="34" t="n"/>
    </row>
    <row r="349">
      <c r="A349" s="33" t="n"/>
      <c r="B349" s="25" t="n"/>
      <c r="C349" s="25" t="n"/>
      <c r="D349" s="26" t="n"/>
      <c r="E349" s="34" t="n"/>
    </row>
    <row r="350">
      <c r="A350" s="33" t="n"/>
      <c r="B350" s="25" t="n"/>
      <c r="C350" s="25" t="n"/>
      <c r="D350" s="26" t="n"/>
      <c r="E350" s="34" t="n"/>
    </row>
    <row r="351">
      <c r="A351" s="33" t="n"/>
      <c r="B351" s="25" t="n"/>
      <c r="C351" s="25" t="n"/>
      <c r="D351" s="26" t="n"/>
      <c r="E351" s="34" t="n"/>
    </row>
    <row r="352">
      <c r="A352" s="33" t="n"/>
      <c r="B352" s="25" t="n"/>
      <c r="C352" s="25" t="n"/>
      <c r="D352" s="26" t="n"/>
      <c r="E352" s="34" t="n"/>
    </row>
    <row r="353">
      <c r="A353" s="33" t="n"/>
      <c r="B353" s="25" t="n"/>
      <c r="C353" s="25" t="n"/>
      <c r="D353" s="26" t="n"/>
      <c r="E353" s="34" t="n"/>
    </row>
    <row r="354">
      <c r="A354" s="33" t="n"/>
      <c r="B354" s="25" t="n"/>
      <c r="C354" s="25" t="n"/>
      <c r="D354" s="26" t="n"/>
      <c r="E354" s="34" t="n"/>
    </row>
    <row r="355">
      <c r="A355" s="33" t="n"/>
      <c r="B355" s="25" t="n"/>
      <c r="C355" s="25" t="n"/>
      <c r="D355" s="26" t="n"/>
      <c r="E355" s="34" t="n"/>
    </row>
    <row r="356">
      <c r="A356" s="33" t="n"/>
      <c r="B356" s="25" t="n"/>
      <c r="C356" s="25" t="n"/>
      <c r="D356" s="26" t="n"/>
      <c r="E356" s="34" t="n"/>
    </row>
    <row r="357">
      <c r="A357" s="33" t="n"/>
      <c r="B357" s="25" t="n"/>
      <c r="C357" s="25" t="n"/>
      <c r="D357" s="26" t="n"/>
      <c r="E357" s="34" t="n"/>
    </row>
    <row r="358">
      <c r="A358" s="33" t="n"/>
      <c r="B358" s="25" t="n"/>
      <c r="C358" s="25" t="n"/>
      <c r="D358" s="26" t="n"/>
      <c r="E358" s="34" t="n"/>
    </row>
    <row r="359">
      <c r="A359" s="33" t="n"/>
      <c r="B359" s="25" t="n"/>
      <c r="C359" s="25" t="n"/>
      <c r="D359" s="26" t="n"/>
      <c r="E359" s="34" t="n"/>
    </row>
    <row r="360">
      <c r="A360" s="33" t="n"/>
      <c r="B360" s="25" t="n"/>
      <c r="C360" s="25" t="n"/>
      <c r="D360" s="26" t="n"/>
      <c r="E360" s="34" t="n"/>
    </row>
    <row r="361">
      <c r="A361" s="33" t="n"/>
      <c r="B361" s="25" t="n"/>
      <c r="C361" s="25" t="n"/>
      <c r="D361" s="26" t="n"/>
      <c r="E361" s="34" t="n"/>
    </row>
    <row r="362">
      <c r="A362" s="33" t="n"/>
      <c r="B362" s="25" t="n"/>
      <c r="C362" s="25" t="n"/>
      <c r="D362" s="26" t="n"/>
      <c r="E362" s="34" t="n"/>
    </row>
    <row r="363">
      <c r="A363" s="33" t="n"/>
      <c r="B363" s="25" t="n"/>
      <c r="C363" s="25" t="n"/>
      <c r="D363" s="26" t="n"/>
      <c r="E363" s="34" t="n"/>
    </row>
    <row r="364">
      <c r="A364" s="33" t="n"/>
      <c r="B364" s="25" t="n"/>
      <c r="C364" s="25" t="n"/>
      <c r="D364" s="26" t="n"/>
      <c r="E364" s="34" t="n"/>
    </row>
    <row r="365">
      <c r="A365" s="33" t="n"/>
      <c r="B365" s="25" t="n"/>
      <c r="C365" s="25" t="n"/>
      <c r="D365" s="26" t="n"/>
      <c r="E365" s="34" t="n"/>
    </row>
    <row r="366">
      <c r="A366" s="33" t="n"/>
      <c r="B366" s="25" t="n"/>
      <c r="C366" s="25" t="n"/>
      <c r="D366" s="26" t="n"/>
      <c r="E366" s="34" t="n"/>
    </row>
    <row r="367">
      <c r="A367" s="33" t="n"/>
      <c r="B367" s="25" t="n"/>
      <c r="C367" s="25" t="n"/>
      <c r="D367" s="26" t="n"/>
      <c r="E367" s="34" t="n"/>
    </row>
    <row r="368">
      <c r="A368" s="33" t="n"/>
      <c r="B368" s="25" t="n"/>
      <c r="C368" s="25" t="n"/>
      <c r="D368" s="26" t="n"/>
      <c r="E368" s="34" t="n"/>
    </row>
    <row r="369">
      <c r="A369" s="33" t="n"/>
      <c r="B369" s="25" t="n"/>
      <c r="C369" s="25" t="n"/>
      <c r="D369" s="26" t="n"/>
      <c r="E369" s="34" t="n"/>
    </row>
    <row r="370">
      <c r="A370" s="33" t="n"/>
      <c r="B370" s="25" t="n"/>
      <c r="C370" s="25" t="n"/>
      <c r="D370" s="26" t="n"/>
      <c r="E370" s="34" t="n"/>
    </row>
    <row r="371">
      <c r="A371" s="33" t="n"/>
      <c r="B371" s="25" t="n"/>
      <c r="C371" s="25" t="n"/>
      <c r="D371" s="26" t="n"/>
      <c r="E371" s="34" t="n"/>
    </row>
    <row r="372">
      <c r="A372" s="33" t="n"/>
      <c r="B372" s="25" t="n"/>
      <c r="C372" s="25" t="n"/>
      <c r="D372" s="26" t="n"/>
      <c r="E372" s="34" t="n"/>
    </row>
    <row r="373">
      <c r="A373" s="33" t="n"/>
      <c r="B373" s="25" t="n"/>
      <c r="C373" s="25" t="n"/>
      <c r="D373" s="26" t="n"/>
      <c r="E373" s="34" t="n"/>
    </row>
    <row r="374">
      <c r="A374" s="33" t="n"/>
      <c r="B374" s="25" t="n"/>
      <c r="C374" s="25" t="n"/>
      <c r="D374" s="26" t="n"/>
      <c r="E374" s="34" t="n"/>
    </row>
    <row r="375">
      <c r="A375" s="33" t="n"/>
      <c r="B375" s="25" t="n"/>
      <c r="C375" s="25" t="n"/>
      <c r="D375" s="26" t="n"/>
      <c r="E375" s="34" t="n"/>
    </row>
    <row r="376">
      <c r="A376" s="33" t="n"/>
      <c r="B376" s="25" t="n"/>
      <c r="C376" s="25" t="n"/>
      <c r="D376" s="26" t="n"/>
      <c r="E376" s="34" t="n"/>
    </row>
    <row r="377">
      <c r="A377" s="33" t="n"/>
      <c r="B377" s="25" t="n"/>
      <c r="C377" s="25" t="n"/>
      <c r="D377" s="26" t="n"/>
      <c r="E377" s="34" t="n"/>
    </row>
    <row r="378">
      <c r="A378" s="33" t="n"/>
      <c r="B378" s="25" t="n"/>
      <c r="C378" s="25" t="n"/>
      <c r="D378" s="26" t="n"/>
      <c r="E378" s="34" t="n"/>
    </row>
    <row r="379">
      <c r="A379" s="33" t="n"/>
      <c r="B379" s="25" t="n"/>
      <c r="C379" s="25" t="n"/>
      <c r="D379" s="26" t="n"/>
      <c r="E379" s="34" t="n"/>
    </row>
    <row r="380">
      <c r="A380" s="33" t="n"/>
      <c r="B380" s="25" t="n"/>
      <c r="C380" s="25" t="n"/>
      <c r="D380" s="26" t="n"/>
      <c r="E380" s="34" t="n"/>
    </row>
    <row r="381">
      <c r="A381" s="33" t="n"/>
      <c r="B381" s="25" t="n"/>
      <c r="C381" s="25" t="n"/>
      <c r="D381" s="26" t="n"/>
      <c r="E381" s="34" t="n"/>
    </row>
    <row r="382">
      <c r="A382" s="33" t="n"/>
      <c r="B382" s="25" t="n"/>
      <c r="C382" s="25" t="n"/>
      <c r="D382" s="26" t="n"/>
      <c r="E382" s="34" t="n"/>
    </row>
    <row r="383">
      <c r="A383" s="33" t="n"/>
      <c r="B383" s="25" t="n"/>
      <c r="C383" s="25" t="n"/>
      <c r="D383" s="26" t="n"/>
      <c r="E383" s="34" t="n"/>
    </row>
    <row r="384">
      <c r="A384" s="33" t="n"/>
      <c r="B384" s="25" t="n"/>
      <c r="C384" s="25" t="n"/>
      <c r="D384" s="26" t="n"/>
      <c r="E384" s="34" t="n"/>
    </row>
    <row r="385">
      <c r="A385" s="33" t="n"/>
      <c r="B385" s="25" t="n"/>
      <c r="C385" s="25" t="n"/>
      <c r="D385" s="26" t="n"/>
      <c r="E385" s="34" t="n"/>
    </row>
    <row r="386">
      <c r="A386" s="33" t="n"/>
      <c r="B386" s="25" t="n"/>
      <c r="C386" s="25" t="n"/>
      <c r="D386" s="26" t="n"/>
      <c r="E386" s="34" t="n"/>
    </row>
    <row r="387">
      <c r="A387" s="33" t="n"/>
      <c r="B387" s="25" t="n"/>
      <c r="C387" s="25" t="n"/>
      <c r="D387" s="26" t="n"/>
      <c r="E387" s="34" t="n"/>
    </row>
    <row r="388">
      <c r="A388" s="33" t="n"/>
      <c r="B388" s="25" t="n"/>
      <c r="C388" s="25" t="n"/>
      <c r="D388" s="26" t="n"/>
      <c r="E388" s="34" t="n"/>
    </row>
    <row r="389">
      <c r="A389" s="33" t="n"/>
      <c r="B389" s="25" t="n"/>
      <c r="C389" s="25" t="n"/>
      <c r="D389" s="26" t="n"/>
      <c r="E389" s="34" t="n"/>
    </row>
    <row r="390">
      <c r="A390" s="33" t="n"/>
      <c r="B390" s="25" t="n"/>
      <c r="C390" s="25" t="n"/>
      <c r="D390" s="26" t="n"/>
      <c r="E390" s="34" t="n"/>
    </row>
    <row r="391">
      <c r="A391" s="33" t="n"/>
      <c r="B391" s="25" t="n"/>
      <c r="C391" s="25" t="n"/>
      <c r="D391" s="26" t="n"/>
      <c r="E391" s="34" t="n"/>
    </row>
    <row r="392">
      <c r="A392" s="33" t="n"/>
      <c r="B392" s="25" t="n"/>
      <c r="C392" s="25" t="n"/>
      <c r="D392" s="26" t="n"/>
      <c r="E392" s="34" t="n"/>
    </row>
    <row r="393">
      <c r="A393" s="33" t="n"/>
      <c r="B393" s="25" t="n"/>
      <c r="C393" s="25" t="n"/>
      <c r="D393" s="26" t="n"/>
      <c r="E393" s="34" t="n"/>
    </row>
    <row r="394">
      <c r="A394" s="33" t="n"/>
      <c r="B394" s="25" t="n"/>
      <c r="C394" s="25" t="n"/>
      <c r="D394" s="26" t="n"/>
      <c r="E394" s="34" t="n"/>
    </row>
    <row r="395">
      <c r="A395" s="33" t="n"/>
      <c r="B395" s="25" t="n"/>
      <c r="C395" s="25" t="n"/>
      <c r="D395" s="26" t="n"/>
      <c r="E395" s="34" t="n"/>
    </row>
    <row r="396">
      <c r="A396" s="33" t="n"/>
      <c r="B396" s="25" t="n"/>
      <c r="C396" s="25" t="n"/>
      <c r="D396" s="26" t="n"/>
      <c r="E396" s="34" t="n"/>
    </row>
    <row r="397">
      <c r="A397" s="33" t="n"/>
      <c r="B397" s="25" t="n"/>
      <c r="C397" s="25" t="n"/>
      <c r="D397" s="26" t="n"/>
      <c r="E397" s="34" t="n"/>
    </row>
    <row r="398">
      <c r="A398" s="33" t="n"/>
      <c r="B398" s="25" t="n"/>
      <c r="C398" s="25" t="n"/>
      <c r="D398" s="26" t="n"/>
      <c r="E398" s="34" t="n"/>
    </row>
    <row r="399">
      <c r="A399" s="33" t="n"/>
      <c r="B399" s="25" t="n"/>
      <c r="C399" s="25" t="n"/>
      <c r="D399" s="26" t="n"/>
      <c r="E399" s="34" t="n"/>
    </row>
    <row r="400">
      <c r="A400" s="33" t="n"/>
      <c r="B400" s="25" t="n"/>
      <c r="C400" s="25" t="n"/>
      <c r="D400" s="26" t="n"/>
      <c r="E400" s="34" t="n"/>
    </row>
    <row r="401">
      <c r="A401" s="33" t="n"/>
      <c r="B401" s="25" t="n"/>
      <c r="C401" s="25" t="n"/>
      <c r="D401" s="26" t="n"/>
      <c r="E401" s="34" t="n"/>
    </row>
    <row r="402">
      <c r="A402" s="33" t="n"/>
      <c r="B402" s="25" t="n"/>
      <c r="C402" s="25" t="n"/>
      <c r="D402" s="26" t="n"/>
      <c r="E402" s="34" t="n"/>
    </row>
    <row r="403">
      <c r="A403" s="33" t="n"/>
      <c r="B403" s="25" t="n"/>
      <c r="C403" s="25" t="n"/>
      <c r="D403" s="26" t="n"/>
      <c r="E403" s="34" t="n"/>
    </row>
    <row r="404">
      <c r="A404" s="33" t="n"/>
      <c r="B404" s="25" t="n"/>
      <c r="C404" s="25" t="n"/>
      <c r="D404" s="26" t="n"/>
      <c r="E404" s="34" t="n"/>
    </row>
    <row r="405">
      <c r="A405" s="33" t="n"/>
      <c r="B405" s="25" t="n"/>
      <c r="C405" s="25" t="n"/>
      <c r="D405" s="26" t="n"/>
      <c r="E405" s="34" t="n"/>
    </row>
    <row r="406">
      <c r="A406" s="33" t="n"/>
      <c r="B406" s="25" t="n"/>
      <c r="C406" s="25" t="n"/>
      <c r="D406" s="26" t="n"/>
      <c r="E406" s="34" t="n"/>
    </row>
    <row r="407">
      <c r="A407" s="33" t="n"/>
      <c r="B407" s="25" t="n"/>
      <c r="C407" s="25" t="n"/>
      <c r="D407" s="26" t="n"/>
      <c r="E407" s="34" t="n"/>
    </row>
    <row r="408">
      <c r="A408" s="33" t="n"/>
      <c r="B408" s="25" t="n"/>
      <c r="C408" s="25" t="n"/>
      <c r="D408" s="26" t="n"/>
      <c r="E408" s="34" t="n"/>
    </row>
    <row r="409">
      <c r="A409" s="33" t="n"/>
      <c r="B409" s="25" t="n"/>
      <c r="C409" s="25" t="n"/>
      <c r="D409" s="26" t="n"/>
      <c r="E409" s="34" t="n"/>
    </row>
    <row r="410">
      <c r="A410" s="33" t="n"/>
      <c r="B410" s="25" t="n"/>
      <c r="C410" s="25" t="n"/>
      <c r="D410" s="26" t="n"/>
      <c r="E410" s="34" t="n"/>
    </row>
    <row r="411">
      <c r="A411" s="33" t="n"/>
      <c r="B411" s="25" t="n"/>
      <c r="C411" s="25" t="n"/>
      <c r="D411" s="26" t="n"/>
      <c r="E411" s="34" t="n"/>
    </row>
    <row r="412">
      <c r="A412" s="33" t="n"/>
      <c r="B412" s="25" t="n"/>
      <c r="C412" s="25" t="n"/>
      <c r="D412" s="26" t="n"/>
      <c r="E412" s="34" t="n"/>
    </row>
    <row r="413">
      <c r="A413" s="33" t="n"/>
      <c r="B413" s="25" t="n"/>
      <c r="C413" s="25" t="n"/>
      <c r="D413" s="26" t="n"/>
      <c r="E413" s="34" t="n"/>
    </row>
    <row r="414">
      <c r="A414" s="33" t="n"/>
      <c r="B414" s="25" t="n"/>
      <c r="C414" s="25" t="n"/>
      <c r="D414" s="26" t="n"/>
      <c r="E414" s="34" t="n"/>
    </row>
    <row r="415">
      <c r="A415" s="33" t="n"/>
      <c r="B415" s="25" t="n"/>
      <c r="C415" s="25" t="n"/>
      <c r="D415" s="26" t="n"/>
      <c r="E415" s="34" t="n"/>
    </row>
    <row r="416">
      <c r="A416" s="33" t="n"/>
      <c r="B416" s="25" t="n"/>
      <c r="C416" s="25" t="n"/>
      <c r="D416" s="26" t="n"/>
      <c r="E416" s="34" t="n"/>
    </row>
    <row r="417">
      <c r="A417" s="33" t="n"/>
      <c r="B417" s="25" t="n"/>
      <c r="C417" s="25" t="n"/>
      <c r="D417" s="26" t="n"/>
      <c r="E417" s="34" t="n"/>
    </row>
    <row r="418">
      <c r="A418" s="33" t="n"/>
      <c r="B418" s="25" t="n"/>
      <c r="C418" s="25" t="n"/>
      <c r="D418" s="26" t="n"/>
      <c r="E418" s="34" t="n"/>
    </row>
    <row r="419">
      <c r="A419" s="33" t="n"/>
      <c r="B419" s="25" t="n"/>
      <c r="C419" s="25" t="n"/>
      <c r="D419" s="26" t="n"/>
      <c r="E419" s="34" t="n"/>
    </row>
    <row r="420">
      <c r="A420" s="33" t="n"/>
      <c r="B420" s="25" t="n"/>
      <c r="C420" s="25" t="n"/>
      <c r="D420" s="26" t="n"/>
      <c r="E420" s="34" t="n"/>
    </row>
    <row r="421">
      <c r="A421" s="33" t="n"/>
      <c r="B421" s="25" t="n"/>
      <c r="C421" s="25" t="n"/>
      <c r="D421" s="26" t="n"/>
      <c r="E421" s="34" t="n"/>
    </row>
    <row r="422">
      <c r="A422" s="33" t="n"/>
      <c r="B422" s="25" t="n"/>
      <c r="C422" s="25" t="n"/>
      <c r="D422" s="26" t="n"/>
      <c r="E422" s="34" t="n"/>
    </row>
    <row r="423">
      <c r="A423" s="33" t="n"/>
      <c r="B423" s="25" t="n"/>
      <c r="C423" s="25" t="n"/>
      <c r="D423" s="26" t="n"/>
      <c r="E423" s="34" t="n"/>
    </row>
    <row r="424">
      <c r="A424" s="33" t="n"/>
      <c r="B424" s="25" t="n"/>
      <c r="C424" s="25" t="n"/>
      <c r="D424" s="26" t="n"/>
      <c r="E424" s="34" t="n"/>
    </row>
    <row r="425">
      <c r="A425" s="33" t="n"/>
      <c r="B425" s="25" t="n"/>
      <c r="C425" s="25" t="n"/>
      <c r="D425" s="26" t="n"/>
      <c r="E425" s="34" t="n"/>
    </row>
    <row r="426">
      <c r="A426" s="33" t="n"/>
      <c r="B426" s="25" t="n"/>
      <c r="C426" s="25" t="n"/>
      <c r="D426" s="26" t="n"/>
      <c r="E426" s="34" t="n"/>
    </row>
    <row r="427">
      <c r="A427" s="33" t="n"/>
      <c r="B427" s="25" t="n"/>
      <c r="C427" s="25" t="n"/>
      <c r="D427" s="26" t="n"/>
      <c r="E427" s="34" t="n"/>
    </row>
    <row r="428">
      <c r="A428" s="33" t="n"/>
      <c r="B428" s="25" t="n"/>
      <c r="C428" s="25" t="n"/>
      <c r="D428" s="26" t="n"/>
      <c r="E428" s="34" t="n"/>
    </row>
    <row r="429">
      <c r="A429" s="33" t="n"/>
      <c r="B429" s="25" t="n"/>
      <c r="C429" s="25" t="n"/>
      <c r="D429" s="26" t="n"/>
      <c r="E429" s="34" t="n"/>
    </row>
    <row r="430">
      <c r="A430" s="33" t="n"/>
      <c r="B430" s="25" t="n"/>
      <c r="C430" s="25" t="n"/>
      <c r="D430" s="26" t="n"/>
      <c r="E430" s="34" t="n"/>
    </row>
    <row r="431">
      <c r="A431" s="33" t="n"/>
      <c r="B431" s="25" t="n"/>
      <c r="C431" s="25" t="n"/>
      <c r="D431" s="26" t="n"/>
      <c r="E431" s="34" t="n"/>
    </row>
    <row r="432">
      <c r="A432" s="33" t="n"/>
      <c r="B432" s="25" t="n"/>
      <c r="C432" s="25" t="n"/>
      <c r="D432" s="26" t="n"/>
      <c r="E432" s="34" t="n"/>
    </row>
    <row r="433">
      <c r="A433" s="33" t="n"/>
      <c r="B433" s="25" t="n"/>
      <c r="C433" s="25" t="n"/>
      <c r="D433" s="26" t="n"/>
      <c r="E433" s="34" t="n"/>
    </row>
    <row r="434">
      <c r="A434" s="33" t="n"/>
      <c r="B434" s="25" t="n"/>
      <c r="C434" s="25" t="n"/>
      <c r="D434" s="26" t="n"/>
      <c r="E434" s="34" t="n"/>
    </row>
    <row r="435">
      <c r="A435" s="33" t="n"/>
      <c r="B435" s="25" t="n"/>
      <c r="C435" s="25" t="n"/>
      <c r="D435" s="26" t="n"/>
      <c r="E435" s="34" t="n"/>
    </row>
    <row r="436">
      <c r="A436" s="33" t="n"/>
      <c r="B436" s="25" t="n"/>
      <c r="C436" s="25" t="n"/>
      <c r="D436" s="26" t="n"/>
      <c r="E436" s="34" t="n"/>
    </row>
    <row r="437">
      <c r="A437" s="33" t="n"/>
      <c r="B437" s="25" t="n"/>
      <c r="C437" s="25" t="n"/>
      <c r="D437" s="26" t="n"/>
      <c r="E437" s="34" t="n"/>
    </row>
    <row r="438">
      <c r="A438" s="33" t="n"/>
      <c r="B438" s="25" t="n"/>
      <c r="C438" s="25" t="n"/>
      <c r="D438" s="26" t="n"/>
      <c r="E438" s="34" t="n"/>
    </row>
    <row r="439">
      <c r="A439" s="33" t="n"/>
      <c r="B439" s="25" t="n"/>
      <c r="C439" s="25" t="n"/>
      <c r="D439" s="26" t="n"/>
      <c r="E439" s="34" t="n"/>
    </row>
    <row r="440">
      <c r="A440" s="33" t="n"/>
      <c r="B440" s="25" t="n"/>
      <c r="C440" s="25" t="n"/>
      <c r="D440" s="26" t="n"/>
      <c r="E440" s="34" t="n"/>
    </row>
    <row r="441">
      <c r="A441" s="33" t="n"/>
      <c r="B441" s="25" t="n"/>
      <c r="C441" s="25" t="n"/>
      <c r="D441" s="26" t="n"/>
      <c r="E441" s="34" t="n"/>
    </row>
    <row r="442">
      <c r="A442" s="33" t="n"/>
      <c r="B442" s="25" t="n"/>
      <c r="C442" s="25" t="n"/>
      <c r="D442" s="26" t="n"/>
      <c r="E442" s="34" t="n"/>
    </row>
    <row r="443">
      <c r="A443" s="33" t="n"/>
      <c r="B443" s="25" t="n"/>
      <c r="C443" s="25" t="n"/>
      <c r="D443" s="26" t="n"/>
      <c r="E443" s="34" t="n"/>
    </row>
    <row r="444">
      <c r="A444" s="33" t="n"/>
      <c r="B444" s="25" t="n"/>
      <c r="C444" s="25" t="n"/>
      <c r="D444" s="26" t="n"/>
      <c r="E444" s="34" t="n"/>
    </row>
    <row r="445">
      <c r="A445" s="33" t="n"/>
      <c r="B445" s="25" t="n"/>
      <c r="C445" s="25" t="n"/>
      <c r="D445" s="26" t="n"/>
      <c r="E445" s="34" t="n"/>
    </row>
    <row r="446">
      <c r="A446" s="33" t="n"/>
      <c r="B446" s="25" t="n"/>
      <c r="C446" s="25" t="n"/>
      <c r="D446" s="26" t="n"/>
      <c r="E446" s="34" t="n"/>
    </row>
    <row r="447">
      <c r="A447" s="33" t="n"/>
      <c r="B447" s="25" t="n"/>
      <c r="C447" s="25" t="n"/>
      <c r="D447" s="26" t="n"/>
      <c r="E447" s="34" t="n"/>
    </row>
    <row r="448">
      <c r="A448" s="33" t="n"/>
      <c r="B448" s="25" t="n"/>
      <c r="C448" s="25" t="n"/>
      <c r="D448" s="26" t="n"/>
      <c r="E448" s="34" t="n"/>
    </row>
    <row r="449">
      <c r="A449" s="33" t="n"/>
      <c r="B449" s="25" t="n"/>
      <c r="C449" s="25" t="n"/>
      <c r="D449" s="26" t="n"/>
      <c r="E449" s="34" t="n"/>
    </row>
    <row r="450">
      <c r="A450" s="33" t="n"/>
      <c r="B450" s="25" t="n"/>
      <c r="C450" s="25" t="n"/>
      <c r="D450" s="26" t="n"/>
      <c r="E450" s="34" t="n"/>
    </row>
    <row r="451">
      <c r="A451" s="33" t="n"/>
      <c r="B451" s="25" t="n"/>
      <c r="C451" s="25" t="n"/>
      <c r="D451" s="26" t="n"/>
      <c r="E451" s="34" t="n"/>
    </row>
    <row r="452">
      <c r="A452" s="33" t="n"/>
      <c r="B452" s="25" t="n"/>
      <c r="C452" s="25" t="n"/>
      <c r="D452" s="26" t="n"/>
      <c r="E452" s="34" t="n"/>
    </row>
    <row r="453">
      <c r="A453" s="33" t="n"/>
      <c r="B453" s="25" t="n"/>
      <c r="C453" s="25" t="n"/>
      <c r="D453" s="26" t="n"/>
      <c r="E453" s="34" t="n"/>
    </row>
    <row r="454">
      <c r="A454" s="33" t="n"/>
      <c r="B454" s="25" t="n"/>
      <c r="C454" s="25" t="n"/>
      <c r="D454" s="26" t="n"/>
      <c r="E454" s="34" t="n"/>
    </row>
    <row r="455">
      <c r="A455" s="33" t="n"/>
      <c r="B455" s="25" t="n"/>
      <c r="C455" s="25" t="n"/>
      <c r="D455" s="26" t="n"/>
      <c r="E455" s="34" t="n"/>
    </row>
    <row r="456">
      <c r="A456" s="33" t="n"/>
      <c r="B456" s="25" t="n"/>
      <c r="C456" s="25" t="n"/>
      <c r="D456" s="26" t="n"/>
      <c r="E456" s="34" t="n"/>
    </row>
    <row r="457">
      <c r="A457" s="33" t="n"/>
      <c r="B457" s="25" t="n"/>
      <c r="C457" s="25" t="n"/>
      <c r="D457" s="26" t="n"/>
      <c r="E457" s="34" t="n"/>
    </row>
    <row r="458">
      <c r="A458" s="33" t="n"/>
      <c r="B458" s="25" t="n"/>
      <c r="C458" s="25" t="n"/>
      <c r="D458" s="26" t="n"/>
      <c r="E458" s="34" t="n"/>
    </row>
    <row r="459">
      <c r="A459" s="33" t="n"/>
      <c r="B459" s="25" t="n"/>
      <c r="C459" s="25" t="n"/>
      <c r="D459" s="26" t="n"/>
      <c r="E459" s="34" t="n"/>
    </row>
    <row r="460">
      <c r="A460" s="33" t="n"/>
      <c r="B460" s="25" t="n"/>
      <c r="C460" s="25" t="n"/>
      <c r="D460" s="26" t="n"/>
      <c r="E460" s="34" t="n"/>
    </row>
    <row r="461">
      <c r="A461" s="33" t="n"/>
      <c r="B461" s="25" t="n"/>
      <c r="C461" s="25" t="n"/>
      <c r="D461" s="26" t="n"/>
      <c r="E461" s="34" t="n"/>
    </row>
    <row r="462">
      <c r="A462" s="33" t="n"/>
      <c r="B462" s="25" t="n"/>
      <c r="C462" s="25" t="n"/>
      <c r="D462" s="26" t="n"/>
      <c r="E462" s="34" t="n"/>
    </row>
    <row r="463">
      <c r="A463" s="33" t="n"/>
      <c r="B463" s="25" t="n"/>
      <c r="C463" s="25" t="n"/>
      <c r="D463" s="26" t="n"/>
      <c r="E463" s="34" t="n"/>
    </row>
    <row r="464">
      <c r="A464" s="33" t="n"/>
      <c r="B464" s="25" t="n"/>
      <c r="C464" s="25" t="n"/>
      <c r="D464" s="26" t="n"/>
      <c r="E464" s="34" t="n"/>
    </row>
    <row r="465">
      <c r="A465" s="33" t="n"/>
      <c r="B465" s="25" t="n"/>
      <c r="C465" s="25" t="n"/>
      <c r="D465" s="26" t="n"/>
      <c r="E465" s="34" t="n"/>
    </row>
    <row r="466">
      <c r="A466" s="33" t="n"/>
      <c r="B466" s="25" t="n"/>
      <c r="C466" s="25" t="n"/>
      <c r="D466" s="26" t="n"/>
      <c r="E466" s="34" t="n"/>
    </row>
    <row r="467">
      <c r="A467" s="33" t="n"/>
      <c r="B467" s="25" t="n"/>
      <c r="C467" s="25" t="n"/>
      <c r="D467" s="26" t="n"/>
      <c r="E467" s="34" t="n"/>
    </row>
    <row r="468">
      <c r="A468" s="33" t="n"/>
      <c r="B468" s="25" t="n"/>
      <c r="C468" s="25" t="n"/>
      <c r="D468" s="26" t="n"/>
      <c r="E468" s="34" t="n"/>
    </row>
    <row r="469">
      <c r="A469" s="33" t="n"/>
      <c r="B469" s="25" t="n"/>
      <c r="C469" s="25" t="n"/>
      <c r="D469" s="26" t="n"/>
      <c r="E469" s="34" t="n"/>
    </row>
    <row r="470">
      <c r="A470" s="33" t="n"/>
      <c r="B470" s="25" t="n"/>
      <c r="C470" s="25" t="n"/>
      <c r="D470" s="26" t="n"/>
      <c r="E470" s="34" t="n"/>
    </row>
    <row r="471">
      <c r="A471" s="33" t="n"/>
      <c r="B471" s="25" t="n"/>
      <c r="C471" s="25" t="n"/>
      <c r="D471" s="26" t="n"/>
      <c r="E471" s="34" t="n"/>
    </row>
    <row r="472">
      <c r="A472" s="33" t="n"/>
      <c r="B472" s="25" t="n"/>
      <c r="C472" s="25" t="n"/>
      <c r="D472" s="26" t="n"/>
      <c r="E472" s="34" t="n"/>
    </row>
    <row r="473">
      <c r="A473" s="33" t="n"/>
      <c r="B473" s="25" t="n"/>
      <c r="C473" s="25" t="n"/>
      <c r="D473" s="26" t="n"/>
      <c r="E473" s="34" t="n"/>
    </row>
    <row r="474">
      <c r="A474" s="33" t="n"/>
      <c r="B474" s="25" t="n"/>
      <c r="C474" s="25" t="n"/>
      <c r="D474" s="26" t="n"/>
      <c r="E474" s="34" t="n"/>
    </row>
    <row r="475">
      <c r="A475" s="33" t="n"/>
      <c r="B475" s="25" t="n"/>
      <c r="C475" s="25" t="n"/>
      <c r="D475" s="26" t="n"/>
      <c r="E475" s="34" t="n"/>
    </row>
    <row r="476">
      <c r="A476" s="33" t="n"/>
      <c r="B476" s="25" t="n"/>
      <c r="C476" s="25" t="n"/>
      <c r="D476" s="26" t="n"/>
      <c r="E476" s="34" t="n"/>
    </row>
    <row r="477">
      <c r="A477" s="33" t="n"/>
      <c r="B477" s="25" t="n"/>
      <c r="C477" s="25" t="n"/>
      <c r="D477" s="26" t="n"/>
      <c r="E477" s="34" t="n"/>
    </row>
    <row r="478">
      <c r="A478" s="33" t="n"/>
      <c r="B478" s="25" t="n"/>
      <c r="C478" s="25" t="n"/>
      <c r="D478" s="26" t="n"/>
      <c r="E478" s="34" t="n"/>
    </row>
    <row r="479">
      <c r="A479" s="33" t="n"/>
      <c r="B479" s="25" t="n"/>
      <c r="C479" s="25" t="n"/>
      <c r="D479" s="26" t="n"/>
      <c r="E479" s="34" t="n"/>
    </row>
    <row r="480">
      <c r="A480" s="33" t="n"/>
      <c r="B480" s="25" t="n"/>
      <c r="C480" s="25" t="n"/>
      <c r="D480" s="26" t="n"/>
      <c r="E480" s="34" t="n"/>
    </row>
    <row r="481">
      <c r="A481" s="33" t="n"/>
      <c r="B481" s="25" t="n"/>
      <c r="C481" s="25" t="n"/>
      <c r="D481" s="26" t="n"/>
      <c r="E481" s="34" t="n"/>
    </row>
    <row r="482">
      <c r="A482" s="33" t="n"/>
      <c r="B482" s="25" t="n"/>
      <c r="C482" s="25" t="n"/>
      <c r="D482" s="26" t="n"/>
      <c r="E482" s="34" t="n"/>
    </row>
    <row r="483">
      <c r="A483" s="33" t="n"/>
      <c r="B483" s="25" t="n"/>
      <c r="C483" s="25" t="n"/>
      <c r="D483" s="26" t="n"/>
      <c r="E483" s="34" t="n"/>
    </row>
    <row r="484">
      <c r="A484" s="33" t="n"/>
      <c r="B484" s="25" t="n"/>
      <c r="C484" s="25" t="n"/>
      <c r="D484" s="26" t="n"/>
      <c r="E484" s="34" t="n"/>
    </row>
    <row r="485">
      <c r="A485" s="33" t="n"/>
      <c r="B485" s="25" t="n"/>
      <c r="C485" s="25" t="n"/>
      <c r="D485" s="26" t="n"/>
      <c r="E485" s="34" t="n"/>
    </row>
    <row r="486">
      <c r="A486" s="33" t="n"/>
      <c r="B486" s="25" t="n"/>
      <c r="C486" s="25" t="n"/>
      <c r="D486" s="26" t="n"/>
      <c r="E486" s="34" t="n"/>
    </row>
    <row r="487">
      <c r="A487" s="33" t="n"/>
      <c r="B487" s="25" t="n"/>
      <c r="C487" s="25" t="n"/>
      <c r="D487" s="26" t="n"/>
      <c r="E487" s="34" t="n"/>
    </row>
    <row r="488">
      <c r="A488" s="33" t="n"/>
      <c r="B488" s="25" t="n"/>
      <c r="C488" s="25" t="n"/>
      <c r="D488" s="26" t="n"/>
      <c r="E488" s="34" t="n"/>
    </row>
    <row r="489">
      <c r="A489" s="33" t="n"/>
      <c r="B489" s="25" t="n"/>
      <c r="C489" s="25" t="n"/>
      <c r="D489" s="26" t="n"/>
      <c r="E489" s="34" t="n"/>
    </row>
    <row r="490">
      <c r="A490" s="33" t="n"/>
      <c r="B490" s="25" t="n"/>
      <c r="C490" s="25" t="n"/>
      <c r="D490" s="26" t="n"/>
      <c r="E490" s="34" t="n"/>
    </row>
    <row r="491">
      <c r="A491" s="33" t="n"/>
      <c r="B491" s="25" t="n"/>
      <c r="C491" s="25" t="n"/>
      <c r="D491" s="26" t="n"/>
      <c r="E491" s="34" t="n"/>
    </row>
    <row r="492">
      <c r="A492" s="33" t="n"/>
      <c r="B492" s="25" t="n"/>
      <c r="C492" s="25" t="n"/>
      <c r="D492" s="26" t="n"/>
      <c r="E492" s="34" t="n"/>
    </row>
    <row r="493">
      <c r="A493" s="33" t="n"/>
      <c r="B493" s="25" t="n"/>
      <c r="C493" s="25" t="n"/>
      <c r="D493" s="26" t="n"/>
      <c r="E493" s="34" t="n"/>
    </row>
    <row r="494">
      <c r="A494" s="33" t="n"/>
      <c r="B494" s="25" t="n"/>
      <c r="C494" s="25" t="n"/>
      <c r="D494" s="26" t="n"/>
      <c r="E494" s="34" t="n"/>
    </row>
    <row r="495">
      <c r="A495" s="33" t="n"/>
      <c r="B495" s="25" t="n"/>
      <c r="C495" s="25" t="n"/>
      <c r="D495" s="26" t="n"/>
      <c r="E495" s="34" t="n"/>
    </row>
    <row r="496">
      <c r="A496" s="33" t="n"/>
      <c r="B496" s="25" t="n"/>
      <c r="C496" s="25" t="n"/>
      <c r="D496" s="26" t="n"/>
      <c r="E496" s="34" t="n"/>
    </row>
    <row r="497">
      <c r="A497" s="33" t="n"/>
      <c r="B497" s="25" t="n"/>
      <c r="C497" s="25" t="n"/>
      <c r="D497" s="26" t="n"/>
      <c r="E497" s="34" t="n"/>
    </row>
    <row r="498">
      <c r="A498" s="33" t="n"/>
      <c r="B498" s="25" t="n"/>
      <c r="C498" s="25" t="n"/>
      <c r="D498" s="26" t="n"/>
      <c r="E498" s="34" t="n"/>
    </row>
    <row r="499">
      <c r="A499" s="33" t="n"/>
      <c r="B499" s="25" t="n"/>
      <c r="C499" s="25" t="n"/>
      <c r="D499" s="26" t="n"/>
      <c r="E499" s="34" t="n"/>
    </row>
    <row r="500">
      <c r="A500" s="33" t="n"/>
      <c r="B500" s="25" t="n"/>
      <c r="C500" s="25" t="n"/>
      <c r="D500" s="26" t="n"/>
      <c r="E500" s="34" t="n"/>
    </row>
    <row r="501">
      <c r="A501" s="33" t="n"/>
      <c r="B501" s="25" t="n"/>
      <c r="C501" s="25" t="n"/>
      <c r="D501" s="26" t="n"/>
      <c r="E501" s="34" t="n"/>
    </row>
    <row r="502">
      <c r="A502" s="33" t="n"/>
      <c r="B502" s="25" t="n"/>
      <c r="C502" s="25" t="n"/>
      <c r="D502" s="26" t="n"/>
      <c r="E502" s="34" t="n"/>
    </row>
    <row r="503">
      <c r="A503" s="33" t="n"/>
      <c r="B503" s="25" t="n"/>
      <c r="C503" s="25" t="n"/>
      <c r="D503" s="26" t="n"/>
      <c r="E503" s="34"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2" t="inlineStr">
        <is>
          <t>Staff names</t>
        </is>
      </c>
      <c r="C1" s="32" t="inlineStr">
        <is>
          <t>Status options</t>
        </is>
      </c>
      <c r="E1" s="35" t="inlineStr">
        <is>
          <t>Type one name per row in column A with no gaps. They appear in the 'Last updated by' and Log dropdowns automatically.</t>
        </is>
      </c>
    </row>
    <row r="2">
      <c r="A2" s="36" t="inlineStr">
        <is>
          <t>Sarah Jones</t>
        </is>
      </c>
      <c r="C2" s="25" t="inlineStr">
        <is>
          <t>Active</t>
        </is>
      </c>
    </row>
    <row r="3">
      <c r="A3" s="36" t="inlineStr">
        <is>
          <t>Priya Kaur</t>
        </is>
      </c>
      <c r="C3" s="25" t="inlineStr">
        <is>
          <t>Delivered</t>
        </is>
      </c>
    </row>
    <row r="4">
      <c r="A4" s="36" t="inlineStr">
        <is>
          <t>Emma Lawson</t>
        </is>
      </c>
      <c r="C4" s="25" t="inlineStr">
        <is>
          <t>Transferred out</t>
        </is>
      </c>
    </row>
    <row r="5">
      <c r="A5" s="36" t="inlineStr">
        <is>
          <t>Nadia Brooks</t>
        </is>
      </c>
      <c r="C5" s="25" t="inlineStr">
        <is>
          <t>Care ended</t>
        </is>
      </c>
    </row>
    <row r="6">
      <c r="A6" s="36" t="n"/>
    </row>
    <row r="7">
      <c r="A7" s="36" t="n"/>
    </row>
    <row r="8">
      <c r="A8" s="36" t="n"/>
    </row>
    <row r="9">
      <c r="A9" s="36" t="n"/>
    </row>
    <row r="10">
      <c r="A10" s="36" t="n"/>
    </row>
    <row r="11">
      <c r="A11" s="36" t="n"/>
    </row>
    <row r="12">
      <c r="A12" s="36" t="n"/>
    </row>
    <row r="13">
      <c r="A13" s="36" t="n"/>
    </row>
    <row r="14">
      <c r="A14" s="36" t="n"/>
    </row>
    <row r="15">
      <c r="A15" s="36" t="n"/>
    </row>
    <row r="16">
      <c r="A16" s="36" t="n"/>
    </row>
    <row r="17">
      <c r="A17" s="36" t="n"/>
    </row>
    <row r="18">
      <c r="A18" s="36" t="n"/>
    </row>
    <row r="19">
      <c r="A19" s="36" t="n"/>
    </row>
    <row r="20">
      <c r="A20" s="36" t="n"/>
    </row>
    <row r="21">
      <c r="A21" s="36" t="n"/>
    </row>
    <row r="22">
      <c r="A22" s="36" t="n"/>
    </row>
    <row r="23">
      <c r="A23" s="36" t="n"/>
    </row>
    <row r="24">
      <c r="A24" s="36" t="n"/>
    </row>
    <row r="25">
      <c r="A25" s="36" t="n"/>
    </row>
    <row r="26">
      <c r="A26" s="36" t="n"/>
    </row>
    <row r="27">
      <c r="A27" s="36" t="n"/>
    </row>
    <row r="28">
      <c r="A28" s="36" t="n"/>
    </row>
    <row r="29">
      <c r="A29" s="36" t="n"/>
    </row>
    <row r="30">
      <c r="A30" s="36" t="n"/>
    </row>
    <row r="31">
      <c r="A31" s="36" t="n"/>
    </row>
    <row r="32">
      <c r="A32" s="36" t="n"/>
    </row>
    <row r="33">
      <c r="A33" s="36" t="n"/>
    </row>
    <row r="34">
      <c r="A34" s="36" t="n"/>
    </row>
    <row r="35">
      <c r="A35" s="36" t="n"/>
    </row>
    <row r="36">
      <c r="A36" s="36" t="n"/>
    </row>
    <row r="37">
      <c r="A37" s="36" t="n"/>
    </row>
    <row r="38">
      <c r="A38" s="36" t="n"/>
    </row>
    <row r="39">
      <c r="A39" s="36" t="n"/>
    </row>
    <row r="40">
      <c r="A40" s="36" t="n"/>
    </row>
    <row r="41">
      <c r="A41" s="36" t="n"/>
    </row>
    <row r="42">
      <c r="A42" s="36" t="n"/>
    </row>
    <row r="43">
      <c r="A43" s="36" t="n"/>
    </row>
    <row r="44">
      <c r="A44" s="36" t="n"/>
    </row>
    <row r="45">
      <c r="A45" s="36" t="n"/>
    </row>
    <row r="46">
      <c r="A46" s="36" t="n"/>
    </row>
    <row r="47">
      <c r="A47" s="36" t="n"/>
    </row>
    <row r="48">
      <c r="A48" s="36" t="n"/>
    </row>
    <row r="49">
      <c r="A49" s="36" t="n"/>
    </row>
    <row r="50">
      <c r="A50" s="36" t="n"/>
    </row>
    <row r="51">
      <c r="A51" s="36" t="n"/>
    </row>
    <row r="52">
      <c r="A52" s="36" t="n"/>
    </row>
    <row r="53">
      <c r="A53" s="36" t="n"/>
    </row>
    <row r="54">
      <c r="A54" s="36" t="n"/>
    </row>
    <row r="55">
      <c r="A55" s="36" t="n"/>
    </row>
    <row r="56">
      <c r="A56" s="36" t="n"/>
    </row>
    <row r="57">
      <c r="A57" s="36" t="n"/>
    </row>
    <row r="58">
      <c r="A58" s="36" t="n"/>
    </row>
    <row r="59">
      <c r="A59" s="36" t="n"/>
    </row>
    <row r="60">
      <c r="A60" s="36" t="n"/>
    </row>
    <row r="61">
      <c r="A61" s="36" t="n"/>
    </row>
    <row r="62">
      <c r="A62" s="36" t="n"/>
    </row>
    <row r="63">
      <c r="A63" s="36" t="n"/>
    </row>
    <row r="64">
      <c r="A64" s="36" t="n"/>
    </row>
    <row r="65">
      <c r="A65" s="36" t="n"/>
    </row>
    <row r="66">
      <c r="A66" s="36" t="n"/>
    </row>
    <row r="67">
      <c r="A67" s="36" t="n"/>
    </row>
    <row r="68">
      <c r="A68" s="36" t="n"/>
    </row>
    <row r="69">
      <c r="A69" s="36" t="n"/>
    </row>
    <row r="70">
      <c r="A70" s="36" t="n"/>
    </row>
    <row r="71">
      <c r="A71" s="36" t="n"/>
    </row>
    <row r="72">
      <c r="A72" s="36" t="n"/>
    </row>
    <row r="73">
      <c r="A73" s="36" t="n"/>
    </row>
    <row r="74">
      <c r="A74" s="36" t="n"/>
    </row>
    <row r="75">
      <c r="A75" s="36" t="n"/>
    </row>
    <row r="76">
      <c r="A76" s="36" t="n"/>
    </row>
    <row r="77">
      <c r="A77" s="36" t="n"/>
    </row>
    <row r="78">
      <c r="A78" s="36" t="n"/>
    </row>
    <row r="79">
      <c r="A79" s="36" t="n"/>
    </row>
    <row r="80">
      <c r="A80" s="36" t="n"/>
    </row>
    <row r="81">
      <c r="A81" s="36" t="n"/>
    </row>
    <row r="82">
      <c r="A82" s="36" t="n"/>
    </row>
    <row r="83">
      <c r="A83" s="36" t="n"/>
    </row>
    <row r="84">
      <c r="A84" s="36" t="n"/>
    </row>
    <row r="85">
      <c r="A85" s="36" t="n"/>
    </row>
    <row r="86">
      <c r="A86" s="36" t="n"/>
    </row>
    <row r="87">
      <c r="A87" s="36" t="n"/>
    </row>
    <row r="88">
      <c r="A88" s="36" t="n"/>
    </row>
    <row r="89">
      <c r="A89" s="36" t="n"/>
    </row>
    <row r="90">
      <c r="A90" s="36" t="n"/>
    </row>
    <row r="91">
      <c r="A91" s="36" t="n"/>
    </row>
    <row r="92">
      <c r="A92" s="36" t="n"/>
    </row>
    <row r="93">
      <c r="A93" s="36" t="n"/>
    </row>
    <row r="94">
      <c r="A94" s="36" t="n"/>
    </row>
    <row r="95">
      <c r="A95" s="36" t="n"/>
    </row>
    <row r="96">
      <c r="A96" s="36" t="n"/>
    </row>
    <row r="97">
      <c r="A97" s="36" t="n"/>
    </row>
    <row r="98">
      <c r="A98" s="36" t="n"/>
    </row>
    <row r="99">
      <c r="A99" s="36" t="n"/>
    </row>
    <row r="100">
      <c r="A100" s="36" t="n"/>
    </row>
    <row r="101">
      <c r="A101" s="3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40"/>
  <sheetViews>
    <sheetView workbookViewId="0">
      <selection activeCell="A1" sqref="A1"/>
    </sheetView>
  </sheetViews>
  <sheetFormatPr baseColWidth="8" defaultRowHeight="15"/>
  <cols>
    <col width="3" customWidth="1" min="1" max="1"/>
    <col width="110" customWidth="1" min="2" max="2"/>
  </cols>
  <sheetData>
    <row r="2">
      <c r="B2" s="37" t="inlineStr">
        <is>
          <t>How to use the caseload tracker</t>
        </is>
      </c>
    </row>
    <row r="3">
      <c r="B3" s="30" t="inlineStr">
        <is>
          <t>Nothing here uses macros, so it works in Excel desktop, Excel Online and Teams, including with several people editing at once.</t>
        </is>
      </c>
    </row>
    <row r="4" ht="22" customHeight="1">
      <c r="B4" s="38" t="inlineStr">
        <is>
          <t>Daily use</t>
        </is>
      </c>
    </row>
    <row r="5">
      <c r="B5" s="30" t="inlineStr">
        <is>
          <t>1. Sort or filter the 'Overdue' (last column), 'Next appt' or 'Next appt due' column to see who needs something first. The counts along the top show the totals.</t>
        </is>
      </c>
    </row>
    <row r="6">
      <c r="B6" s="30" t="inlineStr">
        <is>
          <t>2. When you change a row, pick your name in 'Last updated by'.</t>
        </is>
      </c>
    </row>
    <row r="7">
      <c r="B7" s="30" t="inlineStr">
        <is>
          <t>3. For anything more than a date, add a line to the Log tab (date, name, patient, what you did).</t>
        </is>
      </c>
    </row>
    <row r="8">
      <c r="B8" s="30" t="inlineStr">
        <is>
          <t>4. To see exactly what changed and when, use Review &gt; Show Changes (see below).</t>
        </is>
      </c>
    </row>
    <row r="9" ht="22" customHeight="1">
      <c r="B9" s="38" t="inlineStr">
        <is>
          <t>What to type where</t>
        </is>
      </c>
    </row>
    <row r="10">
      <c r="B10" s="30" t="inlineStr">
        <is>
          <t>• Patient columns (Name to Status): as now. EDD drives the gestation. Leave Status blank or set Active while pregnant. Setting Delivered, Transferred out or Care ended greys out the whole row to show it's complete, and stops its flags.</t>
        </is>
      </c>
    </row>
    <row r="11">
      <c r="B11" s="30" t="inlineStr">
        <is>
          <t>• Grey columns (Gestation, Due in 7 days, Next appt, Next appt due, Overdue) are calculated, so don't type in them.</t>
        </is>
      </c>
    </row>
    <row r="12">
      <c r="B12" s="30" t="inlineStr">
        <is>
          <t>• Booking date and appointments (16/40 to 40/40): enter each date when it's booked. 16/40 is added at booking, 25/40 at the 16/40 appointment, and so on. Empty future columns are fine.</t>
        </is>
      </c>
    </row>
    <row r="13">
      <c r="B13" s="30" t="inlineStr">
        <is>
          <t xml:space="preserve">  – An appointment only counts as attended once a later date has been entered, because the next date can only be booked at that appointment. So a past date turns green only when something is entered after it.</t>
        </is>
      </c>
    </row>
    <row r="14">
      <c r="B14" s="30" t="inlineStr">
        <is>
          <t xml:space="preserve">  – Red date: the appointment date has passed and nothing later has been entered. Either it was missed (type DNA over it) or the next appointment hasn't been booked yet (add it). 'Next appt' shows 'Missed/not booked?'.</t>
        </is>
      </c>
    </row>
    <row r="15">
      <c r="B15" s="30" t="inlineStr">
        <is>
          <t xml:space="preserve">  – Amber: the appointment is in the next 7 days. Plain: booked, more than a week away. N/A slots are skipped (e.g. 25/40 or 31/40 for multips).</t>
        </is>
      </c>
    </row>
    <row r="16">
      <c r="B16" s="30" t="inlineStr">
        <is>
          <t xml:space="preserve">  – DNA: red until a later date is entered. Either type the rebooked date over the DNA, or leave DNA in place and put the new date in the next column; the DNA then stays visible in grey.</t>
        </is>
      </c>
    </row>
    <row r="17">
      <c r="B17" s="30" t="inlineStr">
        <is>
          <t xml:space="preserve">  – 40/40 has nothing after it, so once it has passed it stays red ('Update status') until Status is changed, e.g. to Delivered.</t>
        </is>
      </c>
    </row>
    <row r="18">
      <c r="B18" s="30" t="inlineStr">
        <is>
          <t>• GTT booked, Anti-D ordered, BP fortnightly, BP weekly: enter the date it's booked or due. It turns amber within 7 days and red once the date has passed. When it's done, overwrite it with 'Done' (or 'Done 12/3 SW'), which turns it green. N/A turns it grey.</t>
        </is>
      </c>
    </row>
    <row r="19">
      <c r="B19" s="30" t="inlineStr">
        <is>
          <t>• IOL booked: Yes or No from the dropdown (Yes shows green).</t>
        </is>
      </c>
    </row>
    <row r="20">
      <c r="B20" s="30" t="inlineStr">
        <is>
          <t>• Risks: free text.</t>
        </is>
      </c>
    </row>
    <row r="21">
      <c r="B21" s="30" t="inlineStr">
        <is>
          <t>• NHS number: purple means the same number appears twice.</t>
        </is>
      </c>
    </row>
    <row r="22">
      <c r="B22" s="30" t="inlineStr">
        <is>
          <t>• EDD turns amber if it has passed and the patient is still Active, as a reminder to update Status.</t>
        </is>
      </c>
    </row>
    <row r="23" ht="22" customHeight="1">
      <c r="B23" s="38" t="inlineStr">
        <is>
          <t>Colour key</t>
        </is>
      </c>
    </row>
    <row r="24">
      <c r="B24" s="39" t="inlineStr">
        <is>
          <t>Red: appointment passed but not confirmed (nothing entered after it), DNA not yet rebooked, or an action date that has passed and isn't marked Done</t>
        </is>
      </c>
    </row>
    <row r="25">
      <c r="B25" s="40" t="inlineStr">
        <is>
          <t>Amber: due in the next 7 days</t>
        </is>
      </c>
    </row>
    <row r="26">
      <c r="B26" s="41" t="inlineStr">
        <is>
          <t>Green: appointment confirmed (a later date has been entered), action Done, or IOL Yes</t>
        </is>
      </c>
    </row>
    <row r="27">
      <c r="B27" s="42" t="inlineStr">
        <is>
          <t>Light grey: N/A</t>
        </is>
      </c>
    </row>
    <row r="28">
      <c r="B28" s="43" t="inlineStr">
        <is>
          <t>Dark grey row: Delivered, Transferred out or Care ended (complete)</t>
        </is>
      </c>
    </row>
    <row r="29" ht="22" customHeight="1">
      <c r="B29" s="38" t="inlineStr">
        <is>
          <t>Example row (format only, fictional)</t>
        </is>
      </c>
    </row>
    <row r="30">
      <c r="B30" s="30" t="inlineStr">
        <is>
          <t>Jane Example | 943 476 5919 | 02/05/1994 | G2P1 | MLC | 10/01/2027 | (Status blank) | Booking date: 18/06/2026 | 16/40: 11/08/2026 | 25/40: N/A | GTT booked: 14/10/2026 | Anti-D ordered: Done 20/09 | 28/40: 01/10/2026 | IOL booked: No | BP fortnightly: N/A | BP weekly: N/A | Risks: Previous PPH | Last updated by: (your name)</t>
        </is>
      </c>
    </row>
    <row r="31" ht="22" customHeight="1">
      <c r="B31" s="38" t="inlineStr">
        <is>
          <t>Seeing exactly who changed what</t>
        </is>
      </c>
    </row>
    <row r="32">
      <c r="B32" s="30" t="inlineStr">
        <is>
          <t>If the file is stored on SharePoint, OneDrive or Teams (not a shared drive), Excel keeps a full audit trail automatically:</t>
        </is>
      </c>
    </row>
    <row r="33">
      <c r="B33" s="30" t="inlineStr">
        <is>
          <t>• Review ▸ Show Changes lists every edit with who made it and when. Right-click a cell and choose Show Changes to see that cell's history.</t>
        </is>
      </c>
    </row>
    <row r="34">
      <c r="B34" s="30" t="inlineStr">
        <is>
          <t>• File ▸ Info ▸ Version History lets you open or restore any earlier version.</t>
        </is>
      </c>
    </row>
    <row r="35">
      <c r="B35" s="30" t="inlineStr">
        <is>
          <t>• @mentioning a colleague in a comment (Review ▸ New Comment) sends them an email.</t>
        </is>
      </c>
    </row>
    <row r="36">
      <c r="B36" s="30" t="inlineStr">
        <is>
          <t>'Last updated by' and the Log are the human-readable layer on top of that.</t>
        </is>
      </c>
    </row>
    <row r="37" ht="22" customHeight="1">
      <c r="B37" s="38" t="inlineStr">
        <is>
          <t>Adding rows</t>
        </is>
      </c>
    </row>
    <row r="38">
      <c r="B38" s="30" t="inlineStr">
        <is>
          <t>The table is pre-formatted for 400 patients. Don't insert, delete or reorder columns: the formulas and colours refer to them by position.</t>
        </is>
      </c>
    </row>
    <row r="39" ht="22" customHeight="1">
      <c r="B39" s="38" t="inlineStr">
        <is>
          <t>Information governance</t>
        </is>
      </c>
    </row>
    <row r="40">
      <c r="B40" s="30"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2026-09-28T19:02:43Z</dcterms:created>
  <dcterms:modified xmlns:dcterms="http://purl.org/dc/terms/" xmlns:xsi="http://www.w3.org/2001/XMLSchema-instance" xsi:type="dcterms:W3CDTF">2026-09-28T19:02:44Z</dcterms:modified>
</cp:coreProperties>
</file>