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load" sheetId="1" state="visible" r:id="rId1"/>
    <sheet xmlns:r="http://schemas.openxmlformats.org/officeDocument/2006/relationships" name="Log" sheetId="2" state="visible" r:id="rId2"/>
    <sheet xmlns:r="http://schemas.openxmlformats.org/officeDocument/2006/relationships" name="Staff" sheetId="3" state="visible" r:id="rId3"/>
    <sheet xmlns:r="http://schemas.openxmlformats.org/officeDocument/2006/relationships" name="How to use" sheetId="4" state="visible" r:id="rId4"/>
  </sheets>
  <definedNames>
    <definedName name="StaffList">OFFSET(Staff!$A$2,0,0,MAX(1,COUNTA(Staff!$A$2:$A$101)),1)</definedName>
    <definedName name="StatusList">Staff!$C$2:$C$5</definedName>
    <definedName name="_xlnm.Print_Titles" localSheetId="0">'Caseload'!$4:$4</definedName>
  </definedNames>
  <calcPr calcId="124519" fullCalcOnLoad="1"/>
</workbook>
</file>

<file path=xl/styles.xml><?xml version="1.0" encoding="utf-8"?>
<styleSheet xmlns="http://schemas.openxmlformats.org/spreadsheetml/2006/main">
  <numFmts count="1">
    <numFmt numFmtId="164" formatCode="dd/mm/yyyy"/>
  </numFmts>
  <fonts count="24">
    <font>
      <name val="Calibri"/>
      <family val="2"/>
      <color theme="1"/>
      <sz val="11"/>
      <scheme val="minor"/>
    </font>
    <font>
      <name val="Arial"/>
      <b val="1"/>
      <color rgb="001F4E79"/>
      <sz val="14"/>
    </font>
    <font>
      <name val="Arial"/>
      <color rgb="00595959"/>
      <sz val="8"/>
    </font>
    <font>
      <name val="Arial"/>
      <b val="1"/>
      <sz val="12"/>
    </font>
    <font>
      <name val="Arial"/>
      <b val="1"/>
      <sz val="10"/>
    </font>
    <font>
      <name val="Arial"/>
      <b val="1"/>
      <color rgb="009C0006"/>
      <sz val="12"/>
    </font>
    <font>
      <name val="Arial"/>
      <b val="1"/>
      <color rgb="007F6000"/>
      <sz val="12"/>
    </font>
    <font>
      <name val="Arial"/>
      <b val="1"/>
      <sz val="9"/>
    </font>
    <font>
      <name val="Arial"/>
      <color rgb="009C0006"/>
      <sz val="8"/>
    </font>
    <font>
      <name val="Arial"/>
      <color rgb="007F6000"/>
      <sz val="8"/>
    </font>
    <font>
      <name val="Arial"/>
      <color rgb="00006100"/>
      <sz val="8"/>
    </font>
    <font>
      <name val="Arial"/>
      <color rgb="00808080"/>
      <sz val="8"/>
    </font>
    <font>
      <name val="Arial"/>
      <color rgb="00403151"/>
      <sz val="8"/>
    </font>
    <font>
      <name val="Arial"/>
      <b val="1"/>
      <color rgb="00404040"/>
      <sz val="9"/>
    </font>
    <font>
      <name val="Arial"/>
      <b val="1"/>
      <color rgb="00FFFFFF"/>
      <sz val="10"/>
    </font>
    <font>
      <name val="Arial"/>
      <sz val="10"/>
    </font>
    <font>
      <name val="Arial"/>
      <b val="1"/>
      <color rgb="001F4E79"/>
      <sz val="12"/>
    </font>
    <font>
      <name val="Arial"/>
      <i val="1"/>
      <color rgb="00595959"/>
      <sz val="9"/>
    </font>
    <font>
      <name val="Arial"/>
      <b val="1"/>
      <color rgb="001F4E79"/>
      <sz val="11"/>
    </font>
    <font>
      <name val="Arial"/>
      <color rgb="009C0006"/>
      <sz val="10"/>
    </font>
    <font>
      <name val="Arial"/>
      <color rgb="007F6000"/>
      <sz val="10"/>
    </font>
    <font>
      <name val="Arial"/>
      <color rgb="00006100"/>
      <sz val="10"/>
    </font>
    <font>
      <name val="Arial"/>
      <color rgb="00595959"/>
      <sz val="10"/>
    </font>
    <font>
      <name val="Arial"/>
      <color rgb="00808080"/>
      <sz val="10"/>
    </font>
  </fonts>
  <fills count="15">
    <fill>
      <patternFill/>
    </fill>
    <fill>
      <patternFill patternType="gray125"/>
    </fill>
    <fill>
      <patternFill patternType="solid">
        <fgColor rgb="00F8CBCB"/>
        <bgColor rgb="00F8CBCB"/>
      </patternFill>
    </fill>
    <fill>
      <patternFill patternType="solid">
        <fgColor rgb="00FFE699"/>
        <bgColor rgb="00FFE699"/>
      </patternFill>
    </fill>
    <fill>
      <patternFill patternType="solid">
        <fgColor rgb="00C6EFCE"/>
        <bgColor rgb="00C6EFCE"/>
      </patternFill>
    </fill>
    <fill>
      <patternFill patternType="solid">
        <fgColor rgb="00E7E6E6"/>
        <bgColor rgb="00E7E6E6"/>
      </patternFill>
    </fill>
    <fill>
      <patternFill patternType="solid">
        <fgColor rgb="00D0CECE"/>
        <bgColor rgb="00D0CECE"/>
      </patternFill>
    </fill>
    <fill>
      <patternFill patternType="solid">
        <fgColor rgb="00E4DFEC"/>
        <bgColor rgb="00E4DFEC"/>
      </patternFill>
    </fill>
    <fill>
      <patternFill patternType="solid">
        <fgColor rgb="00DDEBF7"/>
        <bgColor rgb="00DDEBF7"/>
      </patternFill>
    </fill>
    <fill>
      <patternFill patternType="solid">
        <fgColor rgb="001F4E79"/>
        <bgColor rgb="001F4E79"/>
      </patternFill>
    </fill>
    <fill>
      <patternFill patternType="solid">
        <fgColor rgb="00EDEDED"/>
        <bgColor rgb="00EDEDED"/>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F2F2F2"/>
        <bgColor rgb="00F2F2F2"/>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applyAlignment="1" pivotButton="0" quotePrefix="0" xfId="0">
      <alignment horizontal="center"/>
    </xf>
    <xf numFmtId="0" fontId="7" fillId="0" borderId="0" pivotButton="0" quotePrefix="0" xfId="0"/>
    <xf numFmtId="164" fontId="4" fillId="0" borderId="0" applyAlignment="1" pivotButton="0" quotePrefix="0" xfId="0">
      <alignment horizontal="center"/>
    </xf>
    <xf numFmtId="0" fontId="3"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10"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7" borderId="0" applyAlignment="1" pivotButton="0" quotePrefix="0" xfId="0">
      <alignment horizontal="center" vertical="center" wrapText="1"/>
    </xf>
    <xf numFmtId="0" fontId="13" fillId="8" borderId="0" pivotButton="0" quotePrefix="0" xfId="0"/>
    <xf numFmtId="0" fontId="0" fillId="8" borderId="0" pivotButton="0" quotePrefix="0" xfId="0"/>
    <xf numFmtId="0" fontId="13" fillId="10" borderId="0" pivotButton="0" quotePrefix="0" xfId="0"/>
    <xf numFmtId="0" fontId="0" fillId="10" borderId="0" pivotButton="0" quotePrefix="0" xfId="0"/>
    <xf numFmtId="0" fontId="13" fillId="11" borderId="0" pivotButton="0" quotePrefix="0" xfId="0"/>
    <xf numFmtId="0" fontId="0" fillId="11" borderId="0" pivotButton="0" quotePrefix="0" xfId="0"/>
    <xf numFmtId="0" fontId="13" fillId="12" borderId="0" pivotButton="0" quotePrefix="0" xfId="0"/>
    <xf numFmtId="0" fontId="0" fillId="12" borderId="0" pivotButton="0" quotePrefix="0" xfId="0"/>
    <xf numFmtId="0" fontId="13" fillId="13" borderId="0" pivotButton="0" quotePrefix="0" xfId="0"/>
    <xf numFmtId="0" fontId="0" fillId="13" borderId="0" pivotButton="0" quotePrefix="0" xfId="0"/>
    <xf numFmtId="0" fontId="14" fillId="9" borderId="0" applyAlignment="1" pivotButton="0" quotePrefix="0" xfId="0">
      <alignment horizontal="center" vertical="center" wrapText="1"/>
    </xf>
    <xf numFmtId="0" fontId="15" fillId="0" borderId="0" pivotButton="0" quotePrefix="0" xfId="0"/>
    <xf numFmtId="49" fontId="15" fillId="0" borderId="0" pivotButton="0" quotePrefix="0" xfId="0"/>
    <xf numFmtId="164" fontId="15" fillId="0" borderId="0" applyAlignment="1" pivotButton="0" quotePrefix="0" xfId="0">
      <alignment horizontal="center"/>
    </xf>
    <xf numFmtId="0" fontId="15" fillId="14" borderId="0" applyAlignment="1" pivotButton="0" quotePrefix="0" xfId="0">
      <alignment horizontal="center"/>
    </xf>
    <xf numFmtId="164" fontId="15" fillId="14" borderId="0" applyAlignment="1" pivotButton="0" quotePrefix="0" xfId="0">
      <alignment horizontal="center"/>
    </xf>
    <xf numFmtId="0" fontId="15" fillId="0" borderId="0" applyAlignment="1" pivotButton="0" quotePrefix="0" xfId="0">
      <alignment vertical="top" wrapText="1"/>
    </xf>
    <xf numFmtId="0" fontId="16" fillId="0" borderId="0" pivotButton="0" quotePrefix="0" xfId="0"/>
    <xf numFmtId="0" fontId="14" fillId="9" borderId="0" pivotButton="0" quotePrefix="0" xfId="0"/>
    <xf numFmtId="164" fontId="15" fillId="0" borderId="0" pivotButton="0" quotePrefix="0" xfId="0"/>
    <xf numFmtId="0" fontId="15" fillId="0" borderId="0" applyAlignment="1" pivotButton="0" quotePrefix="0" xfId="0">
      <alignment wrapText="1"/>
    </xf>
    <xf numFmtId="0" fontId="17" fillId="0" borderId="0" pivotButton="0" quotePrefix="0" xfId="0"/>
    <xf numFmtId="0" fontId="15" fillId="13" borderId="0" pivotButton="0" quotePrefix="0" xfId="0"/>
    <xf numFmtId="0" fontId="1" fillId="0" borderId="0" applyAlignment="1" pivotButton="0" quotePrefix="0" xfId="0">
      <alignment vertical="top" wrapText="1"/>
    </xf>
    <xf numFmtId="0" fontId="18" fillId="0" borderId="0" applyAlignment="1" pivotButton="0" quotePrefix="0" xfId="0">
      <alignment vertical="top" wrapText="1"/>
    </xf>
    <xf numFmtId="0" fontId="19" fillId="2" borderId="0" applyAlignment="1" pivotButton="0" quotePrefix="0" xfId="0">
      <alignment vertical="top" wrapText="1"/>
    </xf>
    <xf numFmtId="0" fontId="20" fillId="3" borderId="0" applyAlignment="1" pivotButton="0" quotePrefix="0" xfId="0">
      <alignment vertical="top" wrapText="1"/>
    </xf>
    <xf numFmtId="0" fontId="21" fillId="4" borderId="0" applyAlignment="1" pivotButton="0" quotePrefix="0" xfId="0">
      <alignment vertical="top" wrapText="1"/>
    </xf>
    <xf numFmtId="0" fontId="22" fillId="5" borderId="0" applyAlignment="1" pivotButton="0" quotePrefix="0" xfId="0">
      <alignment vertical="top" wrapText="1"/>
    </xf>
    <xf numFmtId="0" fontId="23" fillId="6" borderId="0" applyAlignment="1" pivotButton="0" quotePrefix="0" xfId="0">
      <alignment vertical="top" wrapText="1"/>
    </xf>
  </cellXfs>
  <cellStyles count="1">
    <cellStyle name="Normal" xfId="0" builtinId="0" hidden="0"/>
  </cellStyles>
  <dxfs count="9">
    <dxf>
      <font>
        <i val="1"/>
        <color rgb="00808080"/>
      </font>
      <fill>
        <patternFill patternType="solid">
          <fgColor rgb="00D0CECE"/>
          <bgColor rgb="00D0CECE"/>
        </patternFill>
      </fill>
    </dxf>
    <dxf>
      <font>
        <color rgb="00595959"/>
      </font>
      <fill>
        <patternFill patternType="solid">
          <fgColor rgb="00E7E6E6"/>
          <bgColor rgb="00E7E6E6"/>
        </patternFill>
      </fill>
    </dxf>
    <dxf>
      <font>
        <color rgb="009C0006"/>
      </font>
      <fill>
        <patternFill patternType="solid">
          <fgColor rgb="00E7E6E6"/>
          <bgColor rgb="00E7E6E6"/>
        </patternFill>
      </fill>
    </dxf>
    <dxf>
      <font>
        <b val="1"/>
        <color rgb="009C0006"/>
      </font>
      <fill>
        <patternFill patternType="solid">
          <fgColor rgb="00F8CBCB"/>
          <bgColor rgb="00F8CBCB"/>
        </patternFill>
      </fill>
    </dxf>
    <dxf>
      <font>
        <b val="1"/>
        <color rgb="007F6000"/>
      </font>
      <fill>
        <patternFill patternType="solid">
          <fgColor rgb="00FFE699"/>
          <bgColor rgb="00FFE699"/>
        </patternFill>
      </fill>
    </dxf>
    <dxf>
      <font>
        <color rgb="00006100"/>
      </font>
      <fill>
        <patternFill patternType="solid">
          <fgColor rgb="00C6EFCE"/>
          <bgColor rgb="00C6EFCE"/>
        </patternFill>
      </fill>
    </dxf>
    <dxf>
      <font>
        <color rgb="009C0006"/>
      </font>
      <fill>
        <patternFill patternType="solid">
          <fgColor rgb="00F8CBCB"/>
          <bgColor rgb="00F8CBCB"/>
        </patternFill>
      </fill>
    </dxf>
    <dxf>
      <font>
        <color rgb="007F6000"/>
      </font>
      <fill>
        <patternFill patternType="solid">
          <fgColor rgb="00FFE699"/>
          <bgColor rgb="00FFE699"/>
        </patternFill>
      </fill>
    </dxf>
    <dxf>
      <font>
        <color rgb="00403151"/>
      </font>
      <fill>
        <patternFill patternType="solid">
          <fgColor rgb="00E4DFEC"/>
          <b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aseloadTable" displayName="CaseloadTable" ref="A4:AE404" headerRowCount="1">
  <autoFilter ref="A4:AE404"/>
  <tableColumns count="31">
    <tableColumn id="1" name="Name"/>
    <tableColumn id="2" name="NHS number"/>
    <tableColumn id="3" name="DOB"/>
    <tableColumn id="4" name="Parity"/>
    <tableColumn id="5" name="MLC/CLC"/>
    <tableColumn id="6" name="GP"/>
    <tableColumn id="7" name="Delivering at"/>
    <tableColumn id="8" name="EDD"/>
    <tableColumn id="9" name="Status"/>
    <tableColumn id="10" name="Gestation today"/>
    <tableColumn id="11" name="Due in 7 days"/>
    <tableColumn id="12" name="Next appt"/>
    <tableColumn id="13" name="Next appt due"/>
    <tableColumn id="14" name="Booking date"/>
    <tableColumn id="15" name="16/40"/>
    <tableColumn id="16" name="25/40"/>
    <tableColumn id="17" name="GTT booked"/>
    <tableColumn id="18" name="Anti-D ordered"/>
    <tableColumn id="19" name="28/40"/>
    <tableColumn id="20" name="31/40"/>
    <tableColumn id="21" name="34/40"/>
    <tableColumn id="22" name="36/40"/>
    <tableColumn id="23" name="38/40"/>
    <tableColumn id="24" name="40/40"/>
    <tableColumn id="25" name="41/40"/>
    <tableColumn id="26" name="IOL booked"/>
    <tableColumn id="27" name="BP fortnightly"/>
    <tableColumn id="28" name="BP weekly"/>
    <tableColumn id="29" name="Risks"/>
    <tableColumn id="30" name="Last updated by"/>
    <tableColumn id="31" name="Overdue"/>
  </tableColumns>
  <tableStyleInfo name="TableStyleLight1" showRowStripes="1"/>
</table>
</file>

<file path=xl/tables/table2.xml><?xml version="1.0" encoding="utf-8"?>
<table xmlns="http://schemas.openxmlformats.org/spreadsheetml/2006/main" id="2" name="UpdateLog" displayName="UpdateLog" ref="A3:E503" headerRowCount="1">
  <autoFilter ref="A3:E503"/>
  <tableColumns count="5">
    <tableColumn id="1" name="Date"/>
    <tableColumn id="2" name="Staff"/>
    <tableColumn id="3" name="Patient name"/>
    <tableColumn id="4" name="NHS number"/>
    <tableColumn id="5" name="What was done / chang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AE4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1" customWidth="1" min="3" max="3"/>
    <col width="8" customWidth="1" min="4" max="4"/>
    <col width="9" customWidth="1" min="5" max="5"/>
    <col width="16" customWidth="1" min="6" max="6"/>
    <col width="16" customWidth="1" min="7" max="7"/>
    <col width="11" customWidth="1" min="8" max="8"/>
    <col width="13" customWidth="1" min="9" max="9"/>
    <col width="10" customWidth="1" min="10" max="10"/>
    <col width="9" customWidth="1" min="11" max="11"/>
    <col width="11" customWidth="1" min="12" max="12"/>
    <col width="11" customWidth="1" min="13" max="13"/>
    <col width="11" customWidth="1" min="14" max="14"/>
    <col width="10" customWidth="1" min="15" max="15"/>
    <col width="10" customWidth="1" min="16" max="16"/>
    <col width="11" customWidth="1" min="17" max="17"/>
    <col width="11"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9" customWidth="1" min="26" max="26"/>
    <col width="11" customWidth="1" min="27" max="27"/>
    <col width="11" customWidth="1" min="28" max="28"/>
    <col width="40" customWidth="1" min="29" max="29"/>
    <col width="15" customWidth="1" min="30" max="30"/>
    <col width="9" customWidth="1" min="31" max="31"/>
  </cols>
  <sheetData>
    <row r="1">
      <c r="A1" s="1" t="inlineStr">
        <is>
          <t>Antenatal Caseload Tracker</t>
        </is>
      </c>
      <c r="C1" s="2" t="inlineStr">
        <is>
          <t>Today</t>
        </is>
      </c>
      <c r="D1" s="2" t="inlineStr">
        <is>
          <t>Active</t>
        </is>
      </c>
      <c r="E1" s="2" t="inlineStr">
        <is>
          <t>Pts overdue</t>
        </is>
      </c>
      <c r="F1" s="2" t="inlineStr">
        <is>
          <t>Pts due ≤7d</t>
        </is>
      </c>
      <c r="N1" s="3" t="inlineStr">
        <is>
          <t>Key:</t>
        </is>
      </c>
    </row>
    <row r="2" ht="26" customHeight="1">
      <c r="C2" s="4">
        <f>TODAY()</f>
        <v/>
      </c>
      <c r="D2" s="5">
        <f>SUMPRODUCT(($A$5:$A$404&lt;&gt;"")*(($I$5:$I$404="")+($I$5:$I$404="Active")))</f>
        <v/>
      </c>
      <c r="E2" s="6">
        <f>COUNTIF($AE$5:$AE$404,"&gt;0")</f>
        <v/>
      </c>
      <c r="F2" s="7">
        <f>COUNTIF($K$5:$K$404,"&gt;0")</f>
        <v/>
      </c>
      <c r="N2" s="8" t="inlineStr">
        <is>
          <t>Overdue / not confirmed</t>
        </is>
      </c>
      <c r="O2" s="9" t="inlineStr">
        <is>
          <t>Due in next 7 days</t>
        </is>
      </c>
      <c r="P2" s="10" t="inlineStr">
        <is>
          <t>Confirmed / done</t>
        </is>
      </c>
      <c r="Q2" s="11" t="inlineStr">
        <is>
          <t>N/A</t>
        </is>
      </c>
      <c r="R2" s="12" t="inlineStr">
        <is>
          <t>Delivered / not active</t>
        </is>
      </c>
      <c r="S2" s="13" t="inlineStr">
        <is>
          <t>NHS no. duplicate</t>
        </is>
      </c>
    </row>
    <row r="3">
      <c r="A3" s="14" t="inlineStr">
        <is>
          <t>Patient</t>
        </is>
      </c>
      <c r="B3" s="15" t="n"/>
      <c r="C3" s="15" t="n"/>
      <c r="D3" s="15" t="n"/>
      <c r="E3" s="15" t="n"/>
      <c r="F3" s="15" t="n"/>
      <c r="G3" s="15" t="n"/>
      <c r="H3" s="15" t="n"/>
      <c r="I3" s="15" t="n"/>
      <c r="J3" s="16" t="inlineStr">
        <is>
          <t>Auto (don't type)</t>
        </is>
      </c>
      <c r="K3" s="17" t="n"/>
      <c r="L3" s="17" t="n"/>
      <c r="M3" s="17" t="n"/>
      <c r="N3" s="18" t="inlineStr">
        <is>
          <t>Appointments: date booked, DNA or N/A</t>
        </is>
      </c>
      <c r="O3" s="19" t="n"/>
      <c r="P3" s="19" t="n"/>
      <c r="Q3" s="20" t="inlineStr">
        <is>
          <t>Actions</t>
        </is>
      </c>
      <c r="R3" s="21" t="n"/>
      <c r="S3" s="18" t="inlineStr">
        <is>
          <t>Appointments: date booked, DNA or N/A</t>
        </is>
      </c>
      <c r="T3" s="19" t="n"/>
      <c r="U3" s="19" t="n"/>
      <c r="V3" s="19" t="n"/>
      <c r="W3" s="19" t="n"/>
      <c r="X3" s="19" t="n"/>
      <c r="Y3" s="19" t="n"/>
      <c r="Z3" s="20" t="inlineStr">
        <is>
          <t>Actions</t>
        </is>
      </c>
      <c r="AA3" s="21" t="n"/>
      <c r="AB3" s="21" t="n"/>
      <c r="AC3" s="22" t="inlineStr">
        <is>
          <t>Notes &amp; audit</t>
        </is>
      </c>
      <c r="AD3" s="23" t="n"/>
      <c r="AE3" s="16" t="inlineStr">
        <is>
          <t>Auto (don't type)</t>
        </is>
      </c>
    </row>
    <row r="4" ht="30" customHeight="1">
      <c r="A4" s="24" t="inlineStr">
        <is>
          <t>Name</t>
        </is>
      </c>
      <c r="B4" s="24" t="inlineStr">
        <is>
          <t>NHS number</t>
        </is>
      </c>
      <c r="C4" s="24" t="inlineStr">
        <is>
          <t>DOB</t>
        </is>
      </c>
      <c r="D4" s="24" t="inlineStr">
        <is>
          <t>Parity</t>
        </is>
      </c>
      <c r="E4" s="24" t="inlineStr">
        <is>
          <t>MLC/CLC</t>
        </is>
      </c>
      <c r="F4" s="24" t="inlineStr">
        <is>
          <t>GP</t>
        </is>
      </c>
      <c r="G4" s="24" t="inlineStr">
        <is>
          <t>Delivering at</t>
        </is>
      </c>
      <c r="H4" s="24" t="inlineStr">
        <is>
          <t>EDD</t>
        </is>
      </c>
      <c r="I4" s="24" t="inlineStr">
        <is>
          <t>Status</t>
        </is>
      </c>
      <c r="J4" s="24" t="inlineStr">
        <is>
          <t>Gestation today</t>
        </is>
      </c>
      <c r="K4" s="24" t="inlineStr">
        <is>
          <t>Due in 7 days</t>
        </is>
      </c>
      <c r="L4" s="24" t="inlineStr">
        <is>
          <t>Next appt</t>
        </is>
      </c>
      <c r="M4" s="24" t="inlineStr">
        <is>
          <t>Next appt due</t>
        </is>
      </c>
      <c r="N4" s="24" t="inlineStr">
        <is>
          <t>Booking date</t>
        </is>
      </c>
      <c r="O4" s="24" t="inlineStr">
        <is>
          <t>16/40</t>
        </is>
      </c>
      <c r="P4" s="24" t="inlineStr">
        <is>
          <t>25/40</t>
        </is>
      </c>
      <c r="Q4" s="24" t="inlineStr">
        <is>
          <t>GTT booked</t>
        </is>
      </c>
      <c r="R4" s="24" t="inlineStr">
        <is>
          <t>Anti-D ordered</t>
        </is>
      </c>
      <c r="S4" s="24" t="inlineStr">
        <is>
          <t>28/40</t>
        </is>
      </c>
      <c r="T4" s="24" t="inlineStr">
        <is>
          <t>31/40</t>
        </is>
      </c>
      <c r="U4" s="24" t="inlineStr">
        <is>
          <t>34/40</t>
        </is>
      </c>
      <c r="V4" s="24" t="inlineStr">
        <is>
          <t>36/40</t>
        </is>
      </c>
      <c r="W4" s="24" t="inlineStr">
        <is>
          <t>38/40</t>
        </is>
      </c>
      <c r="X4" s="24" t="inlineStr">
        <is>
          <t>40/40</t>
        </is>
      </c>
      <c r="Y4" s="24" t="inlineStr">
        <is>
          <t>41/40</t>
        </is>
      </c>
      <c r="Z4" s="24" t="inlineStr">
        <is>
          <t>IOL booked</t>
        </is>
      </c>
      <c r="AA4" s="24" t="inlineStr">
        <is>
          <t>BP fortnightly</t>
        </is>
      </c>
      <c r="AB4" s="24" t="inlineStr">
        <is>
          <t>BP weekly</t>
        </is>
      </c>
      <c r="AC4" s="24" t="inlineStr">
        <is>
          <t>Risks</t>
        </is>
      </c>
      <c r="AD4" s="24" t="inlineStr">
        <is>
          <t>Last updated by</t>
        </is>
      </c>
      <c r="AE4" s="24" t="inlineStr">
        <is>
          <t>Overdue</t>
        </is>
      </c>
    </row>
    <row r="5">
      <c r="A5" s="25" t="n"/>
      <c r="B5" s="26" t="n"/>
      <c r="C5" s="27" t="n"/>
      <c r="D5" s="25" t="n"/>
      <c r="E5" s="25" t="n"/>
      <c r="F5" s="25" t="n"/>
      <c r="G5" s="25" t="n"/>
      <c r="H5" s="27" t="n"/>
      <c r="I5" s="25" t="n"/>
      <c r="J5" s="28">
        <f>IF(OR(NOT(AND($A5&lt;&gt;"",OR($I5="",$I5="Active"))),$H5=""),"",INT((TODAY()-$H5+280)/7)&amp;"+"&amp;MOD(TODAY()-$H5+280,7))</f>
        <v/>
      </c>
      <c r="K5" s="28">
        <f>IF(NOT(AND($A5&lt;&gt;"",OR($I5="",$I5="Active"))),"",ISNUMBER($N5)*($N5&gt;=TODAY())*($N5&lt;=TODAY()+7)+ISNUMBER($O5)*($O5&gt;=TODAY())*($O5&lt;=TODAY()+7)+ISNUMBER($P5)*($P5&gt;=TODAY())*($P5&lt;=TODAY()+7)+ISNUMBER($S5)*($S5&gt;=TODAY())*($S5&lt;=TODAY()+7)+ISNUMBER($T5)*($T5&gt;=TODAY())*($T5&lt;=TODAY()+7)+ISNUMBER($U5)*($U5&gt;=TODAY())*($U5&lt;=TODAY()+7)+ISNUMBER($V5)*($V5&gt;=TODAY())*($V5&lt;=TODAY()+7)+ISNUMBER($W5)*($W5&gt;=TODAY())*($W5&lt;=TODAY()+7)+ISNUMBER($X5)*($X5&gt;=TODAY())*($X5&lt;=TODAY()+7)+ISNUMBER($Y5)*($Y5&gt;=TODAY())*($Y5&lt;=TODAY()+7)+ISNUMBER($Q5)*($Q5&gt;=TODAY())*($Q5&lt;=TODAY()+7)+ISNUMBER($R5)*($R5&gt;=TODAY())*($R5&lt;=TODAY()+7)+ISNUMBER($AA5)*($AA5&gt;=TODAY())*($AA5&lt;=TODAY()+7)+ISNUMBER($AB5)*($AB5&gt;=TODAY())*($AB5&lt;=TODAY()+7))</f>
        <v/>
      </c>
      <c r="L5" s="28">
        <f>IF(NOT(AND($A5&lt;&gt;"",OR($I5="",$I5="Active"))),"",IF($M5&lt;&gt;"",IF($N5=$M5,"Booking",IF($O5=$M5,"16/40",IF($P5=$M5,"25/40",IF($S5=$M5,"28/40",IF($T5=$M5,"31/40",IF($U5=$M5,"34/40",IF($V5=$M5,"36/40",IF($W5=$M5,"38/40",IF($X5=$M5,"40/40",IF($Y5=$M5,"41/40","")))))))))),IF(IF(OR(ISNUMBER($Y5),$Y5="DNA"),$Y5,IF(OR(ISNUMBER($X5),$X5="DNA"),$X5,IF(OR(ISNUMBER($W5),$W5="DNA"),$W5,IF(OR(ISNUMBER($V5),$V5="DNA"),$V5,IF(OR(ISNUMBER($U5),$U5="DNA"),$U5,IF(OR(ISNUMBER($T5),$T5="DNA"),$T5,IF(OR(ISNUMBER($S5),$S5="DNA"),$S5,IF(OR(ISNUMBER($P5),$P5="DNA"),$P5,IF(OR(ISNUMBER($O5),$O5="DNA"),$O5,IF(OR(ISNUMBER($N5),$N5="DNA"),$N5,""))))))))))="DNA","Rebook DNA",IF(ISNUMBER(IF(OR(ISNUMBER($Y5),$Y5="DNA"),$Y5,IF(OR(ISNUMBER($X5),$X5="DNA"),$X5,IF(OR(ISNUMBER($W5),$W5="DNA"),$W5,IF(OR(ISNUMBER($V5),$V5="DNA"),$V5,IF(OR(ISNUMBER($U5),$U5="DNA"),$U5,IF(OR(ISNUMBER($T5),$T5="DNA"),$T5,IF(OR(ISNUMBER($S5),$S5="DNA"),$S5,IF(OR(ISNUMBER($P5),$P5="DNA"),$P5,IF(OR(ISNUMBER($O5),$O5="DNA"),$O5,IF(OR(ISNUMBER($N5),$N5="DNA"),$N5,""))))))))))),IF(ISNUMBER($Y5),"Update status","Missed/not booked?"),""))))</f>
        <v/>
      </c>
      <c r="M5" s="29">
        <f>IF(NOT(AND($A5&lt;&gt;"",OR($I5="",$I5="Active"))),"",IF(MIN(IF(AND(ISNUMBER($N5),$N5&gt;=TODAY()),$N5,99999),IF(AND(ISNUMBER($O5),$O5&gt;=TODAY()),$O5,99999),IF(AND(ISNUMBER($P5),$P5&gt;=TODAY()),$P5,99999),IF(AND(ISNUMBER($S5),$S5&gt;=TODAY()),$S5,99999),IF(AND(ISNUMBER($T5),$T5&gt;=TODAY()),$T5,99999),IF(AND(ISNUMBER($U5),$U5&gt;=TODAY()),$U5,99999),IF(AND(ISNUMBER($V5),$V5&gt;=TODAY()),$V5,99999),IF(AND(ISNUMBER($W5),$W5&gt;=TODAY()),$W5,99999),IF(AND(ISNUMBER($X5),$X5&gt;=TODAY()),$X5,99999),IF(AND(ISNUMBER($Y5),$Y5&gt;=TODAY()),$Y5,99999))=99999,"",MIN(IF(AND(ISNUMBER($N5),$N5&gt;=TODAY()),$N5,99999),IF(AND(ISNUMBER($O5),$O5&gt;=TODAY()),$O5,99999),IF(AND(ISNUMBER($P5),$P5&gt;=TODAY()),$P5,99999),IF(AND(ISNUMBER($S5),$S5&gt;=TODAY()),$S5,99999),IF(AND(ISNUMBER($T5),$T5&gt;=TODAY()),$T5,99999),IF(AND(ISNUMBER($U5),$U5&gt;=TODAY()),$U5,99999),IF(AND(ISNUMBER($V5),$V5&gt;=TODAY()),$V5,99999),IF(AND(ISNUMBER($W5),$W5&gt;=TODAY()),$W5,99999),IF(AND(ISNUMBER($X5),$X5&gt;=TODAY()),$X5,99999),IF(AND(ISNUMBER($Y5),$Y5&gt;=TODAY()),$Y5,99999))))</f>
        <v/>
      </c>
      <c r="N5" s="27" t="n"/>
      <c r="O5" s="27" t="n"/>
      <c r="P5" s="27" t="n"/>
      <c r="Q5" s="27" t="n"/>
      <c r="R5" s="27" t="n"/>
      <c r="S5" s="27" t="n"/>
      <c r="T5" s="27" t="n"/>
      <c r="U5" s="27" t="n"/>
      <c r="V5" s="27" t="n"/>
      <c r="W5" s="27" t="n"/>
      <c r="X5" s="27" t="n"/>
      <c r="Y5" s="27" t="n"/>
      <c r="Z5" s="27" t="n"/>
      <c r="AA5" s="27" t="n"/>
      <c r="AB5" s="27" t="n"/>
      <c r="AC5" s="30" t="n"/>
      <c r="AD5" s="25" t="n"/>
      <c r="AE5" s="28">
        <f>IF(NOT(AND($A5&lt;&gt;"",OR($I5="",$I5="Active"))),"",IF(OR(IF(OR(ISNUMBER($Y5),$Y5="DNA"),$Y5,IF(OR(ISNUMBER($X5),$X5="DNA"),$X5,IF(OR(ISNUMBER($W5),$W5="DNA"),$W5,IF(OR(ISNUMBER($V5),$V5="DNA"),$V5,IF(OR(ISNUMBER($U5),$U5="DNA"),$U5,IF(OR(ISNUMBER($T5),$T5="DNA"),$T5,IF(OR(ISNUMBER($S5),$S5="DNA"),$S5,IF(OR(ISNUMBER($P5),$P5="DNA"),$P5,IF(OR(ISNUMBER($O5),$O5="DNA"),$O5,IF(OR(ISNUMBER($N5),$N5="DNA"),$N5,""))))))))))="DNA",AND(ISNUMBER(IF(OR(ISNUMBER($Y5),$Y5="DNA"),$Y5,IF(OR(ISNUMBER($X5),$X5="DNA"),$X5,IF(OR(ISNUMBER($W5),$W5="DNA"),$W5,IF(OR(ISNUMBER($V5),$V5="DNA"),$V5,IF(OR(ISNUMBER($U5),$U5="DNA"),$U5,IF(OR(ISNUMBER($T5),$T5="DNA"),$T5,IF(OR(ISNUMBER($S5),$S5="DNA"),$S5,IF(OR(ISNUMBER($P5),$P5="DNA"),$P5,IF(OR(ISNUMBER($O5),$O5="DNA"),$O5,IF(OR(ISNUMBER($N5),$N5="DNA"),$N5,""))))))))))),IF(OR(ISNUMBER($Y5),$Y5="DNA"),$Y5,IF(OR(ISNUMBER($X5),$X5="DNA"),$X5,IF(OR(ISNUMBER($W5),$W5="DNA"),$W5,IF(OR(ISNUMBER($V5),$V5="DNA"),$V5,IF(OR(ISNUMBER($U5),$U5="DNA"),$U5,IF(OR(ISNUMBER($T5),$T5="DNA"),$T5,IF(OR(ISNUMBER($S5),$S5="DNA"),$S5,IF(OR(ISNUMBER($P5),$P5="DNA"),$P5,IF(OR(ISNUMBER($O5),$O5="DNA"),$O5,IF(OR(ISNUMBER($N5),$N5="DNA"),$N5,""))))))))))&lt;TODAY())),1,0)+ISNUMBER($Q5)*($Q5&lt;TODAY())+ISNUMBER($R5)*($R5&lt;TODAY())+ISNUMBER($AA5)*($AA5&lt;TODAY())+ISNUMBER($AB5)*($AB5&lt;TODAY()))</f>
        <v/>
      </c>
    </row>
    <row r="6">
      <c r="A6" s="25" t="n"/>
      <c r="B6" s="26" t="n"/>
      <c r="C6" s="27" t="n"/>
      <c r="D6" s="25" t="n"/>
      <c r="E6" s="25" t="n"/>
      <c r="F6" s="25" t="n"/>
      <c r="G6" s="25" t="n"/>
      <c r="H6" s="27" t="n"/>
      <c r="I6" s="25" t="n"/>
      <c r="J6" s="28">
        <f>IF(OR(NOT(AND($A6&lt;&gt;"",OR($I6="",$I6="Active"))),$H6=""),"",INT((TODAY()-$H6+280)/7)&amp;"+"&amp;MOD(TODAY()-$H6+280,7))</f>
        <v/>
      </c>
      <c r="K6" s="28">
        <f>IF(NOT(AND($A6&lt;&gt;"",OR($I6="",$I6="Active"))),"",ISNUMBER($N6)*($N6&gt;=TODAY())*($N6&lt;=TODAY()+7)+ISNUMBER($O6)*($O6&gt;=TODAY())*($O6&lt;=TODAY()+7)+ISNUMBER($P6)*($P6&gt;=TODAY())*($P6&lt;=TODAY()+7)+ISNUMBER($S6)*($S6&gt;=TODAY())*($S6&lt;=TODAY()+7)+ISNUMBER($T6)*($T6&gt;=TODAY())*($T6&lt;=TODAY()+7)+ISNUMBER($U6)*($U6&gt;=TODAY())*($U6&lt;=TODAY()+7)+ISNUMBER($V6)*($V6&gt;=TODAY())*($V6&lt;=TODAY()+7)+ISNUMBER($W6)*($W6&gt;=TODAY())*($W6&lt;=TODAY()+7)+ISNUMBER($X6)*($X6&gt;=TODAY())*($X6&lt;=TODAY()+7)+ISNUMBER($Y6)*($Y6&gt;=TODAY())*($Y6&lt;=TODAY()+7)+ISNUMBER($Q6)*($Q6&gt;=TODAY())*($Q6&lt;=TODAY()+7)+ISNUMBER($R6)*($R6&gt;=TODAY())*($R6&lt;=TODAY()+7)+ISNUMBER($AA6)*($AA6&gt;=TODAY())*($AA6&lt;=TODAY()+7)+ISNUMBER($AB6)*($AB6&gt;=TODAY())*($AB6&lt;=TODAY()+7))</f>
        <v/>
      </c>
      <c r="L6" s="28">
        <f>IF(NOT(AND($A6&lt;&gt;"",OR($I6="",$I6="Active"))),"",IF($M6&lt;&gt;"",IF($N6=$M6,"Booking",IF($O6=$M6,"16/40",IF($P6=$M6,"25/40",IF($S6=$M6,"28/40",IF($T6=$M6,"31/40",IF($U6=$M6,"34/40",IF($V6=$M6,"36/40",IF($W6=$M6,"38/40",IF($X6=$M6,"40/40",IF($Y6=$M6,"41/40","")))))))))),IF(IF(OR(ISNUMBER($Y6),$Y6="DNA"),$Y6,IF(OR(ISNUMBER($X6),$X6="DNA"),$X6,IF(OR(ISNUMBER($W6),$W6="DNA"),$W6,IF(OR(ISNUMBER($V6),$V6="DNA"),$V6,IF(OR(ISNUMBER($U6),$U6="DNA"),$U6,IF(OR(ISNUMBER($T6),$T6="DNA"),$T6,IF(OR(ISNUMBER($S6),$S6="DNA"),$S6,IF(OR(ISNUMBER($P6),$P6="DNA"),$P6,IF(OR(ISNUMBER($O6),$O6="DNA"),$O6,IF(OR(ISNUMBER($N6),$N6="DNA"),$N6,""))))))))))="DNA","Rebook DNA",IF(ISNUMBER(IF(OR(ISNUMBER($Y6),$Y6="DNA"),$Y6,IF(OR(ISNUMBER($X6),$X6="DNA"),$X6,IF(OR(ISNUMBER($W6),$W6="DNA"),$W6,IF(OR(ISNUMBER($V6),$V6="DNA"),$V6,IF(OR(ISNUMBER($U6),$U6="DNA"),$U6,IF(OR(ISNUMBER($T6),$T6="DNA"),$T6,IF(OR(ISNUMBER($S6),$S6="DNA"),$S6,IF(OR(ISNUMBER($P6),$P6="DNA"),$P6,IF(OR(ISNUMBER($O6),$O6="DNA"),$O6,IF(OR(ISNUMBER($N6),$N6="DNA"),$N6,""))))))))))),IF(ISNUMBER($Y6),"Update status","Missed/not booked?"),""))))</f>
        <v/>
      </c>
      <c r="M6" s="29">
        <f>IF(NOT(AND($A6&lt;&gt;"",OR($I6="",$I6="Active"))),"",IF(MIN(IF(AND(ISNUMBER($N6),$N6&gt;=TODAY()),$N6,99999),IF(AND(ISNUMBER($O6),$O6&gt;=TODAY()),$O6,99999),IF(AND(ISNUMBER($P6),$P6&gt;=TODAY()),$P6,99999),IF(AND(ISNUMBER($S6),$S6&gt;=TODAY()),$S6,99999),IF(AND(ISNUMBER($T6),$T6&gt;=TODAY()),$T6,99999),IF(AND(ISNUMBER($U6),$U6&gt;=TODAY()),$U6,99999),IF(AND(ISNUMBER($V6),$V6&gt;=TODAY()),$V6,99999),IF(AND(ISNUMBER($W6),$W6&gt;=TODAY()),$W6,99999),IF(AND(ISNUMBER($X6),$X6&gt;=TODAY()),$X6,99999),IF(AND(ISNUMBER($Y6),$Y6&gt;=TODAY()),$Y6,99999))=99999,"",MIN(IF(AND(ISNUMBER($N6),$N6&gt;=TODAY()),$N6,99999),IF(AND(ISNUMBER($O6),$O6&gt;=TODAY()),$O6,99999),IF(AND(ISNUMBER($P6),$P6&gt;=TODAY()),$P6,99999),IF(AND(ISNUMBER($S6),$S6&gt;=TODAY()),$S6,99999),IF(AND(ISNUMBER($T6),$T6&gt;=TODAY()),$T6,99999),IF(AND(ISNUMBER($U6),$U6&gt;=TODAY()),$U6,99999),IF(AND(ISNUMBER($V6),$V6&gt;=TODAY()),$V6,99999),IF(AND(ISNUMBER($W6),$W6&gt;=TODAY()),$W6,99999),IF(AND(ISNUMBER($X6),$X6&gt;=TODAY()),$X6,99999),IF(AND(ISNUMBER($Y6),$Y6&gt;=TODAY()),$Y6,99999))))</f>
        <v/>
      </c>
      <c r="N6" s="27" t="n"/>
      <c r="O6" s="27" t="n"/>
      <c r="P6" s="27" t="n"/>
      <c r="Q6" s="27" t="n"/>
      <c r="R6" s="27" t="n"/>
      <c r="S6" s="27" t="n"/>
      <c r="T6" s="27" t="n"/>
      <c r="U6" s="27" t="n"/>
      <c r="V6" s="27" t="n"/>
      <c r="W6" s="27" t="n"/>
      <c r="X6" s="27" t="n"/>
      <c r="Y6" s="27" t="n"/>
      <c r="Z6" s="27" t="n"/>
      <c r="AA6" s="27" t="n"/>
      <c r="AB6" s="27" t="n"/>
      <c r="AC6" s="30" t="n"/>
      <c r="AD6" s="25" t="n"/>
      <c r="AE6" s="28">
        <f>IF(NOT(AND($A6&lt;&gt;"",OR($I6="",$I6="Active"))),"",IF(OR(IF(OR(ISNUMBER($Y6),$Y6="DNA"),$Y6,IF(OR(ISNUMBER($X6),$X6="DNA"),$X6,IF(OR(ISNUMBER($W6),$W6="DNA"),$W6,IF(OR(ISNUMBER($V6),$V6="DNA"),$V6,IF(OR(ISNUMBER($U6),$U6="DNA"),$U6,IF(OR(ISNUMBER($T6),$T6="DNA"),$T6,IF(OR(ISNUMBER($S6),$S6="DNA"),$S6,IF(OR(ISNUMBER($P6),$P6="DNA"),$P6,IF(OR(ISNUMBER($O6),$O6="DNA"),$O6,IF(OR(ISNUMBER($N6),$N6="DNA"),$N6,""))))))))))="DNA",AND(ISNUMBER(IF(OR(ISNUMBER($Y6),$Y6="DNA"),$Y6,IF(OR(ISNUMBER($X6),$X6="DNA"),$X6,IF(OR(ISNUMBER($W6),$W6="DNA"),$W6,IF(OR(ISNUMBER($V6),$V6="DNA"),$V6,IF(OR(ISNUMBER($U6),$U6="DNA"),$U6,IF(OR(ISNUMBER($T6),$T6="DNA"),$T6,IF(OR(ISNUMBER($S6),$S6="DNA"),$S6,IF(OR(ISNUMBER($P6),$P6="DNA"),$P6,IF(OR(ISNUMBER($O6),$O6="DNA"),$O6,IF(OR(ISNUMBER($N6),$N6="DNA"),$N6,""))))))))))),IF(OR(ISNUMBER($Y6),$Y6="DNA"),$Y6,IF(OR(ISNUMBER($X6),$X6="DNA"),$X6,IF(OR(ISNUMBER($W6),$W6="DNA"),$W6,IF(OR(ISNUMBER($V6),$V6="DNA"),$V6,IF(OR(ISNUMBER($U6),$U6="DNA"),$U6,IF(OR(ISNUMBER($T6),$T6="DNA"),$T6,IF(OR(ISNUMBER($S6),$S6="DNA"),$S6,IF(OR(ISNUMBER($P6),$P6="DNA"),$P6,IF(OR(ISNUMBER($O6),$O6="DNA"),$O6,IF(OR(ISNUMBER($N6),$N6="DNA"),$N6,""))))))))))&lt;TODAY())),1,0)+ISNUMBER($Q6)*($Q6&lt;TODAY())+ISNUMBER($R6)*($R6&lt;TODAY())+ISNUMBER($AA6)*($AA6&lt;TODAY())+ISNUMBER($AB6)*($AB6&lt;TODAY()))</f>
        <v/>
      </c>
    </row>
    <row r="7">
      <c r="A7" s="25" t="n"/>
      <c r="B7" s="26" t="n"/>
      <c r="C7" s="27" t="n"/>
      <c r="D7" s="25" t="n"/>
      <c r="E7" s="25" t="n"/>
      <c r="F7" s="25" t="n"/>
      <c r="G7" s="25" t="n"/>
      <c r="H7" s="27" t="n"/>
      <c r="I7" s="25" t="n"/>
      <c r="J7" s="28">
        <f>IF(OR(NOT(AND($A7&lt;&gt;"",OR($I7="",$I7="Active"))),$H7=""),"",INT((TODAY()-$H7+280)/7)&amp;"+"&amp;MOD(TODAY()-$H7+280,7))</f>
        <v/>
      </c>
      <c r="K7" s="28">
        <f>IF(NOT(AND($A7&lt;&gt;"",OR($I7="",$I7="Active"))),"",ISNUMBER($N7)*($N7&gt;=TODAY())*($N7&lt;=TODAY()+7)+ISNUMBER($O7)*($O7&gt;=TODAY())*($O7&lt;=TODAY()+7)+ISNUMBER($P7)*($P7&gt;=TODAY())*($P7&lt;=TODAY()+7)+ISNUMBER($S7)*($S7&gt;=TODAY())*($S7&lt;=TODAY()+7)+ISNUMBER($T7)*($T7&gt;=TODAY())*($T7&lt;=TODAY()+7)+ISNUMBER($U7)*($U7&gt;=TODAY())*($U7&lt;=TODAY()+7)+ISNUMBER($V7)*($V7&gt;=TODAY())*($V7&lt;=TODAY()+7)+ISNUMBER($W7)*($W7&gt;=TODAY())*($W7&lt;=TODAY()+7)+ISNUMBER($X7)*($X7&gt;=TODAY())*($X7&lt;=TODAY()+7)+ISNUMBER($Y7)*($Y7&gt;=TODAY())*($Y7&lt;=TODAY()+7)+ISNUMBER($Q7)*($Q7&gt;=TODAY())*($Q7&lt;=TODAY()+7)+ISNUMBER($R7)*($R7&gt;=TODAY())*($R7&lt;=TODAY()+7)+ISNUMBER($AA7)*($AA7&gt;=TODAY())*($AA7&lt;=TODAY()+7)+ISNUMBER($AB7)*($AB7&gt;=TODAY())*($AB7&lt;=TODAY()+7))</f>
        <v/>
      </c>
      <c r="L7" s="28">
        <f>IF(NOT(AND($A7&lt;&gt;"",OR($I7="",$I7="Active"))),"",IF($M7&lt;&gt;"",IF($N7=$M7,"Booking",IF($O7=$M7,"16/40",IF($P7=$M7,"25/40",IF($S7=$M7,"28/40",IF($T7=$M7,"31/40",IF($U7=$M7,"34/40",IF($V7=$M7,"36/40",IF($W7=$M7,"38/40",IF($X7=$M7,"40/40",IF($Y7=$M7,"41/40","")))))))))),IF(IF(OR(ISNUMBER($Y7),$Y7="DNA"),$Y7,IF(OR(ISNUMBER($X7),$X7="DNA"),$X7,IF(OR(ISNUMBER($W7),$W7="DNA"),$W7,IF(OR(ISNUMBER($V7),$V7="DNA"),$V7,IF(OR(ISNUMBER($U7),$U7="DNA"),$U7,IF(OR(ISNUMBER($T7),$T7="DNA"),$T7,IF(OR(ISNUMBER($S7),$S7="DNA"),$S7,IF(OR(ISNUMBER($P7),$P7="DNA"),$P7,IF(OR(ISNUMBER($O7),$O7="DNA"),$O7,IF(OR(ISNUMBER($N7),$N7="DNA"),$N7,""))))))))))="DNA","Rebook DNA",IF(ISNUMBER(IF(OR(ISNUMBER($Y7),$Y7="DNA"),$Y7,IF(OR(ISNUMBER($X7),$X7="DNA"),$X7,IF(OR(ISNUMBER($W7),$W7="DNA"),$W7,IF(OR(ISNUMBER($V7),$V7="DNA"),$V7,IF(OR(ISNUMBER($U7),$U7="DNA"),$U7,IF(OR(ISNUMBER($T7),$T7="DNA"),$T7,IF(OR(ISNUMBER($S7),$S7="DNA"),$S7,IF(OR(ISNUMBER($P7),$P7="DNA"),$P7,IF(OR(ISNUMBER($O7),$O7="DNA"),$O7,IF(OR(ISNUMBER($N7),$N7="DNA"),$N7,""))))))))))),IF(ISNUMBER($Y7),"Update status","Missed/not booked?"),""))))</f>
        <v/>
      </c>
      <c r="M7" s="29">
        <f>IF(NOT(AND($A7&lt;&gt;"",OR($I7="",$I7="Active"))),"",IF(MIN(IF(AND(ISNUMBER($N7),$N7&gt;=TODAY()),$N7,99999),IF(AND(ISNUMBER($O7),$O7&gt;=TODAY()),$O7,99999),IF(AND(ISNUMBER($P7),$P7&gt;=TODAY()),$P7,99999),IF(AND(ISNUMBER($S7),$S7&gt;=TODAY()),$S7,99999),IF(AND(ISNUMBER($T7),$T7&gt;=TODAY()),$T7,99999),IF(AND(ISNUMBER($U7),$U7&gt;=TODAY()),$U7,99999),IF(AND(ISNUMBER($V7),$V7&gt;=TODAY()),$V7,99999),IF(AND(ISNUMBER($W7),$W7&gt;=TODAY()),$W7,99999),IF(AND(ISNUMBER($X7),$X7&gt;=TODAY()),$X7,99999),IF(AND(ISNUMBER($Y7),$Y7&gt;=TODAY()),$Y7,99999))=99999,"",MIN(IF(AND(ISNUMBER($N7),$N7&gt;=TODAY()),$N7,99999),IF(AND(ISNUMBER($O7),$O7&gt;=TODAY()),$O7,99999),IF(AND(ISNUMBER($P7),$P7&gt;=TODAY()),$P7,99999),IF(AND(ISNUMBER($S7),$S7&gt;=TODAY()),$S7,99999),IF(AND(ISNUMBER($T7),$T7&gt;=TODAY()),$T7,99999),IF(AND(ISNUMBER($U7),$U7&gt;=TODAY()),$U7,99999),IF(AND(ISNUMBER($V7),$V7&gt;=TODAY()),$V7,99999),IF(AND(ISNUMBER($W7),$W7&gt;=TODAY()),$W7,99999),IF(AND(ISNUMBER($X7),$X7&gt;=TODAY()),$X7,99999),IF(AND(ISNUMBER($Y7),$Y7&gt;=TODAY()),$Y7,99999))))</f>
        <v/>
      </c>
      <c r="N7" s="27" t="n"/>
      <c r="O7" s="27" t="n"/>
      <c r="P7" s="27" t="n"/>
      <c r="Q7" s="27" t="n"/>
      <c r="R7" s="27" t="n"/>
      <c r="S7" s="27" t="n"/>
      <c r="T7" s="27" t="n"/>
      <c r="U7" s="27" t="n"/>
      <c r="V7" s="27" t="n"/>
      <c r="W7" s="27" t="n"/>
      <c r="X7" s="27" t="n"/>
      <c r="Y7" s="27" t="n"/>
      <c r="Z7" s="27" t="n"/>
      <c r="AA7" s="27" t="n"/>
      <c r="AB7" s="27" t="n"/>
      <c r="AC7" s="30" t="n"/>
      <c r="AD7" s="25" t="n"/>
      <c r="AE7" s="28">
        <f>IF(NOT(AND($A7&lt;&gt;"",OR($I7="",$I7="Active"))),"",IF(OR(IF(OR(ISNUMBER($Y7),$Y7="DNA"),$Y7,IF(OR(ISNUMBER($X7),$X7="DNA"),$X7,IF(OR(ISNUMBER($W7),$W7="DNA"),$W7,IF(OR(ISNUMBER($V7),$V7="DNA"),$V7,IF(OR(ISNUMBER($U7),$U7="DNA"),$U7,IF(OR(ISNUMBER($T7),$T7="DNA"),$T7,IF(OR(ISNUMBER($S7),$S7="DNA"),$S7,IF(OR(ISNUMBER($P7),$P7="DNA"),$P7,IF(OR(ISNUMBER($O7),$O7="DNA"),$O7,IF(OR(ISNUMBER($N7),$N7="DNA"),$N7,""))))))))))="DNA",AND(ISNUMBER(IF(OR(ISNUMBER($Y7),$Y7="DNA"),$Y7,IF(OR(ISNUMBER($X7),$X7="DNA"),$X7,IF(OR(ISNUMBER($W7),$W7="DNA"),$W7,IF(OR(ISNUMBER($V7),$V7="DNA"),$V7,IF(OR(ISNUMBER($U7),$U7="DNA"),$U7,IF(OR(ISNUMBER($T7),$T7="DNA"),$T7,IF(OR(ISNUMBER($S7),$S7="DNA"),$S7,IF(OR(ISNUMBER($P7),$P7="DNA"),$P7,IF(OR(ISNUMBER($O7),$O7="DNA"),$O7,IF(OR(ISNUMBER($N7),$N7="DNA"),$N7,""))))))))))),IF(OR(ISNUMBER($Y7),$Y7="DNA"),$Y7,IF(OR(ISNUMBER($X7),$X7="DNA"),$X7,IF(OR(ISNUMBER($W7),$W7="DNA"),$W7,IF(OR(ISNUMBER($V7),$V7="DNA"),$V7,IF(OR(ISNUMBER($U7),$U7="DNA"),$U7,IF(OR(ISNUMBER($T7),$T7="DNA"),$T7,IF(OR(ISNUMBER($S7),$S7="DNA"),$S7,IF(OR(ISNUMBER($P7),$P7="DNA"),$P7,IF(OR(ISNUMBER($O7),$O7="DNA"),$O7,IF(OR(ISNUMBER($N7),$N7="DNA"),$N7,""))))))))))&lt;TODAY())),1,0)+ISNUMBER($Q7)*($Q7&lt;TODAY())+ISNUMBER($R7)*($R7&lt;TODAY())+ISNUMBER($AA7)*($AA7&lt;TODAY())+ISNUMBER($AB7)*($AB7&lt;TODAY()))</f>
        <v/>
      </c>
    </row>
    <row r="8">
      <c r="A8" s="25" t="n"/>
      <c r="B8" s="26" t="n"/>
      <c r="C8" s="27" t="n"/>
      <c r="D8" s="25" t="n"/>
      <c r="E8" s="25" t="n"/>
      <c r="F8" s="25" t="n"/>
      <c r="G8" s="25" t="n"/>
      <c r="H8" s="27" t="n"/>
      <c r="I8" s="25" t="n"/>
      <c r="J8" s="28">
        <f>IF(OR(NOT(AND($A8&lt;&gt;"",OR($I8="",$I8="Active"))),$H8=""),"",INT((TODAY()-$H8+280)/7)&amp;"+"&amp;MOD(TODAY()-$H8+280,7))</f>
        <v/>
      </c>
      <c r="K8" s="28">
        <f>IF(NOT(AND($A8&lt;&gt;"",OR($I8="",$I8="Active"))),"",ISNUMBER($N8)*($N8&gt;=TODAY())*($N8&lt;=TODAY()+7)+ISNUMBER($O8)*($O8&gt;=TODAY())*($O8&lt;=TODAY()+7)+ISNUMBER($P8)*($P8&gt;=TODAY())*($P8&lt;=TODAY()+7)+ISNUMBER($S8)*($S8&gt;=TODAY())*($S8&lt;=TODAY()+7)+ISNUMBER($T8)*($T8&gt;=TODAY())*($T8&lt;=TODAY()+7)+ISNUMBER($U8)*($U8&gt;=TODAY())*($U8&lt;=TODAY()+7)+ISNUMBER($V8)*($V8&gt;=TODAY())*($V8&lt;=TODAY()+7)+ISNUMBER($W8)*($W8&gt;=TODAY())*($W8&lt;=TODAY()+7)+ISNUMBER($X8)*($X8&gt;=TODAY())*($X8&lt;=TODAY()+7)+ISNUMBER($Y8)*($Y8&gt;=TODAY())*($Y8&lt;=TODAY()+7)+ISNUMBER($Q8)*($Q8&gt;=TODAY())*($Q8&lt;=TODAY()+7)+ISNUMBER($R8)*($R8&gt;=TODAY())*($R8&lt;=TODAY()+7)+ISNUMBER($AA8)*($AA8&gt;=TODAY())*($AA8&lt;=TODAY()+7)+ISNUMBER($AB8)*($AB8&gt;=TODAY())*($AB8&lt;=TODAY()+7))</f>
        <v/>
      </c>
      <c r="L8" s="28">
        <f>IF(NOT(AND($A8&lt;&gt;"",OR($I8="",$I8="Active"))),"",IF($M8&lt;&gt;"",IF($N8=$M8,"Booking",IF($O8=$M8,"16/40",IF($P8=$M8,"25/40",IF($S8=$M8,"28/40",IF($T8=$M8,"31/40",IF($U8=$M8,"34/40",IF($V8=$M8,"36/40",IF($W8=$M8,"38/40",IF($X8=$M8,"40/40",IF($Y8=$M8,"41/40","")))))))))),IF(IF(OR(ISNUMBER($Y8),$Y8="DNA"),$Y8,IF(OR(ISNUMBER($X8),$X8="DNA"),$X8,IF(OR(ISNUMBER($W8),$W8="DNA"),$W8,IF(OR(ISNUMBER($V8),$V8="DNA"),$V8,IF(OR(ISNUMBER($U8),$U8="DNA"),$U8,IF(OR(ISNUMBER($T8),$T8="DNA"),$T8,IF(OR(ISNUMBER($S8),$S8="DNA"),$S8,IF(OR(ISNUMBER($P8),$P8="DNA"),$P8,IF(OR(ISNUMBER($O8),$O8="DNA"),$O8,IF(OR(ISNUMBER($N8),$N8="DNA"),$N8,""))))))))))="DNA","Rebook DNA",IF(ISNUMBER(IF(OR(ISNUMBER($Y8),$Y8="DNA"),$Y8,IF(OR(ISNUMBER($X8),$X8="DNA"),$X8,IF(OR(ISNUMBER($W8),$W8="DNA"),$W8,IF(OR(ISNUMBER($V8),$V8="DNA"),$V8,IF(OR(ISNUMBER($U8),$U8="DNA"),$U8,IF(OR(ISNUMBER($T8),$T8="DNA"),$T8,IF(OR(ISNUMBER($S8),$S8="DNA"),$S8,IF(OR(ISNUMBER($P8),$P8="DNA"),$P8,IF(OR(ISNUMBER($O8),$O8="DNA"),$O8,IF(OR(ISNUMBER($N8),$N8="DNA"),$N8,""))))))))))),IF(ISNUMBER($Y8),"Update status","Missed/not booked?"),""))))</f>
        <v/>
      </c>
      <c r="M8" s="29">
        <f>IF(NOT(AND($A8&lt;&gt;"",OR($I8="",$I8="Active"))),"",IF(MIN(IF(AND(ISNUMBER($N8),$N8&gt;=TODAY()),$N8,99999),IF(AND(ISNUMBER($O8),$O8&gt;=TODAY()),$O8,99999),IF(AND(ISNUMBER($P8),$P8&gt;=TODAY()),$P8,99999),IF(AND(ISNUMBER($S8),$S8&gt;=TODAY()),$S8,99999),IF(AND(ISNUMBER($T8),$T8&gt;=TODAY()),$T8,99999),IF(AND(ISNUMBER($U8),$U8&gt;=TODAY()),$U8,99999),IF(AND(ISNUMBER($V8),$V8&gt;=TODAY()),$V8,99999),IF(AND(ISNUMBER($W8),$W8&gt;=TODAY()),$W8,99999),IF(AND(ISNUMBER($X8),$X8&gt;=TODAY()),$X8,99999),IF(AND(ISNUMBER($Y8),$Y8&gt;=TODAY()),$Y8,99999))=99999,"",MIN(IF(AND(ISNUMBER($N8),$N8&gt;=TODAY()),$N8,99999),IF(AND(ISNUMBER($O8),$O8&gt;=TODAY()),$O8,99999),IF(AND(ISNUMBER($P8),$P8&gt;=TODAY()),$P8,99999),IF(AND(ISNUMBER($S8),$S8&gt;=TODAY()),$S8,99999),IF(AND(ISNUMBER($T8),$T8&gt;=TODAY()),$T8,99999),IF(AND(ISNUMBER($U8),$U8&gt;=TODAY()),$U8,99999),IF(AND(ISNUMBER($V8),$V8&gt;=TODAY()),$V8,99999),IF(AND(ISNUMBER($W8),$W8&gt;=TODAY()),$W8,99999),IF(AND(ISNUMBER($X8),$X8&gt;=TODAY()),$X8,99999),IF(AND(ISNUMBER($Y8),$Y8&gt;=TODAY()),$Y8,99999))))</f>
        <v/>
      </c>
      <c r="N8" s="27" t="n"/>
      <c r="O8" s="27" t="n"/>
      <c r="P8" s="27" t="n"/>
      <c r="Q8" s="27" t="n"/>
      <c r="R8" s="27" t="n"/>
      <c r="S8" s="27" t="n"/>
      <c r="T8" s="27" t="n"/>
      <c r="U8" s="27" t="n"/>
      <c r="V8" s="27" t="n"/>
      <c r="W8" s="27" t="n"/>
      <c r="X8" s="27" t="n"/>
      <c r="Y8" s="27" t="n"/>
      <c r="Z8" s="27" t="n"/>
      <c r="AA8" s="27" t="n"/>
      <c r="AB8" s="27" t="n"/>
      <c r="AC8" s="30" t="n"/>
      <c r="AD8" s="25" t="n"/>
      <c r="AE8" s="28">
        <f>IF(NOT(AND($A8&lt;&gt;"",OR($I8="",$I8="Active"))),"",IF(OR(IF(OR(ISNUMBER($Y8),$Y8="DNA"),$Y8,IF(OR(ISNUMBER($X8),$X8="DNA"),$X8,IF(OR(ISNUMBER($W8),$W8="DNA"),$W8,IF(OR(ISNUMBER($V8),$V8="DNA"),$V8,IF(OR(ISNUMBER($U8),$U8="DNA"),$U8,IF(OR(ISNUMBER($T8),$T8="DNA"),$T8,IF(OR(ISNUMBER($S8),$S8="DNA"),$S8,IF(OR(ISNUMBER($P8),$P8="DNA"),$P8,IF(OR(ISNUMBER($O8),$O8="DNA"),$O8,IF(OR(ISNUMBER($N8),$N8="DNA"),$N8,""))))))))))="DNA",AND(ISNUMBER(IF(OR(ISNUMBER($Y8),$Y8="DNA"),$Y8,IF(OR(ISNUMBER($X8),$X8="DNA"),$X8,IF(OR(ISNUMBER($W8),$W8="DNA"),$W8,IF(OR(ISNUMBER($V8),$V8="DNA"),$V8,IF(OR(ISNUMBER($U8),$U8="DNA"),$U8,IF(OR(ISNUMBER($T8),$T8="DNA"),$T8,IF(OR(ISNUMBER($S8),$S8="DNA"),$S8,IF(OR(ISNUMBER($P8),$P8="DNA"),$P8,IF(OR(ISNUMBER($O8),$O8="DNA"),$O8,IF(OR(ISNUMBER($N8),$N8="DNA"),$N8,""))))))))))),IF(OR(ISNUMBER($Y8),$Y8="DNA"),$Y8,IF(OR(ISNUMBER($X8),$X8="DNA"),$X8,IF(OR(ISNUMBER($W8),$W8="DNA"),$W8,IF(OR(ISNUMBER($V8),$V8="DNA"),$V8,IF(OR(ISNUMBER($U8),$U8="DNA"),$U8,IF(OR(ISNUMBER($T8),$T8="DNA"),$T8,IF(OR(ISNUMBER($S8),$S8="DNA"),$S8,IF(OR(ISNUMBER($P8),$P8="DNA"),$P8,IF(OR(ISNUMBER($O8),$O8="DNA"),$O8,IF(OR(ISNUMBER($N8),$N8="DNA"),$N8,""))))))))))&lt;TODAY())),1,0)+ISNUMBER($Q8)*($Q8&lt;TODAY())+ISNUMBER($R8)*($R8&lt;TODAY())+ISNUMBER($AA8)*($AA8&lt;TODAY())+ISNUMBER($AB8)*($AB8&lt;TODAY()))</f>
        <v/>
      </c>
    </row>
    <row r="9">
      <c r="A9" s="25" t="n"/>
      <c r="B9" s="26" t="n"/>
      <c r="C9" s="27" t="n"/>
      <c r="D9" s="25" t="n"/>
      <c r="E9" s="25" t="n"/>
      <c r="F9" s="25" t="n"/>
      <c r="G9" s="25" t="n"/>
      <c r="H9" s="27" t="n"/>
      <c r="I9" s="25" t="n"/>
      <c r="J9" s="28">
        <f>IF(OR(NOT(AND($A9&lt;&gt;"",OR($I9="",$I9="Active"))),$H9=""),"",INT((TODAY()-$H9+280)/7)&amp;"+"&amp;MOD(TODAY()-$H9+280,7))</f>
        <v/>
      </c>
      <c r="K9" s="28">
        <f>IF(NOT(AND($A9&lt;&gt;"",OR($I9="",$I9="Active"))),"",ISNUMBER($N9)*($N9&gt;=TODAY())*($N9&lt;=TODAY()+7)+ISNUMBER($O9)*($O9&gt;=TODAY())*($O9&lt;=TODAY()+7)+ISNUMBER($P9)*($P9&gt;=TODAY())*($P9&lt;=TODAY()+7)+ISNUMBER($S9)*($S9&gt;=TODAY())*($S9&lt;=TODAY()+7)+ISNUMBER($T9)*($T9&gt;=TODAY())*($T9&lt;=TODAY()+7)+ISNUMBER($U9)*($U9&gt;=TODAY())*($U9&lt;=TODAY()+7)+ISNUMBER($V9)*($V9&gt;=TODAY())*($V9&lt;=TODAY()+7)+ISNUMBER($W9)*($W9&gt;=TODAY())*($W9&lt;=TODAY()+7)+ISNUMBER($X9)*($X9&gt;=TODAY())*($X9&lt;=TODAY()+7)+ISNUMBER($Y9)*($Y9&gt;=TODAY())*($Y9&lt;=TODAY()+7)+ISNUMBER($Q9)*($Q9&gt;=TODAY())*($Q9&lt;=TODAY()+7)+ISNUMBER($R9)*($R9&gt;=TODAY())*($R9&lt;=TODAY()+7)+ISNUMBER($AA9)*($AA9&gt;=TODAY())*($AA9&lt;=TODAY()+7)+ISNUMBER($AB9)*($AB9&gt;=TODAY())*($AB9&lt;=TODAY()+7))</f>
        <v/>
      </c>
      <c r="L9" s="28">
        <f>IF(NOT(AND($A9&lt;&gt;"",OR($I9="",$I9="Active"))),"",IF($M9&lt;&gt;"",IF($N9=$M9,"Booking",IF($O9=$M9,"16/40",IF($P9=$M9,"25/40",IF($S9=$M9,"28/40",IF($T9=$M9,"31/40",IF($U9=$M9,"34/40",IF($V9=$M9,"36/40",IF($W9=$M9,"38/40",IF($X9=$M9,"40/40",IF($Y9=$M9,"41/40","")))))))))),IF(IF(OR(ISNUMBER($Y9),$Y9="DNA"),$Y9,IF(OR(ISNUMBER($X9),$X9="DNA"),$X9,IF(OR(ISNUMBER($W9),$W9="DNA"),$W9,IF(OR(ISNUMBER($V9),$V9="DNA"),$V9,IF(OR(ISNUMBER($U9),$U9="DNA"),$U9,IF(OR(ISNUMBER($T9),$T9="DNA"),$T9,IF(OR(ISNUMBER($S9),$S9="DNA"),$S9,IF(OR(ISNUMBER($P9),$P9="DNA"),$P9,IF(OR(ISNUMBER($O9),$O9="DNA"),$O9,IF(OR(ISNUMBER($N9),$N9="DNA"),$N9,""))))))))))="DNA","Rebook DNA",IF(ISNUMBER(IF(OR(ISNUMBER($Y9),$Y9="DNA"),$Y9,IF(OR(ISNUMBER($X9),$X9="DNA"),$X9,IF(OR(ISNUMBER($W9),$W9="DNA"),$W9,IF(OR(ISNUMBER($V9),$V9="DNA"),$V9,IF(OR(ISNUMBER($U9),$U9="DNA"),$U9,IF(OR(ISNUMBER($T9),$T9="DNA"),$T9,IF(OR(ISNUMBER($S9),$S9="DNA"),$S9,IF(OR(ISNUMBER($P9),$P9="DNA"),$P9,IF(OR(ISNUMBER($O9),$O9="DNA"),$O9,IF(OR(ISNUMBER($N9),$N9="DNA"),$N9,""))))))))))),IF(ISNUMBER($Y9),"Update status","Missed/not booked?"),""))))</f>
        <v/>
      </c>
      <c r="M9" s="29">
        <f>IF(NOT(AND($A9&lt;&gt;"",OR($I9="",$I9="Active"))),"",IF(MIN(IF(AND(ISNUMBER($N9),$N9&gt;=TODAY()),$N9,99999),IF(AND(ISNUMBER($O9),$O9&gt;=TODAY()),$O9,99999),IF(AND(ISNUMBER($P9),$P9&gt;=TODAY()),$P9,99999),IF(AND(ISNUMBER($S9),$S9&gt;=TODAY()),$S9,99999),IF(AND(ISNUMBER($T9),$T9&gt;=TODAY()),$T9,99999),IF(AND(ISNUMBER($U9),$U9&gt;=TODAY()),$U9,99999),IF(AND(ISNUMBER($V9),$V9&gt;=TODAY()),$V9,99999),IF(AND(ISNUMBER($W9),$W9&gt;=TODAY()),$W9,99999),IF(AND(ISNUMBER($X9),$X9&gt;=TODAY()),$X9,99999),IF(AND(ISNUMBER($Y9),$Y9&gt;=TODAY()),$Y9,99999))=99999,"",MIN(IF(AND(ISNUMBER($N9),$N9&gt;=TODAY()),$N9,99999),IF(AND(ISNUMBER($O9),$O9&gt;=TODAY()),$O9,99999),IF(AND(ISNUMBER($P9),$P9&gt;=TODAY()),$P9,99999),IF(AND(ISNUMBER($S9),$S9&gt;=TODAY()),$S9,99999),IF(AND(ISNUMBER($T9),$T9&gt;=TODAY()),$T9,99999),IF(AND(ISNUMBER($U9),$U9&gt;=TODAY()),$U9,99999),IF(AND(ISNUMBER($V9),$V9&gt;=TODAY()),$V9,99999),IF(AND(ISNUMBER($W9),$W9&gt;=TODAY()),$W9,99999),IF(AND(ISNUMBER($X9),$X9&gt;=TODAY()),$X9,99999),IF(AND(ISNUMBER($Y9),$Y9&gt;=TODAY()),$Y9,99999))))</f>
        <v/>
      </c>
      <c r="N9" s="27" t="n"/>
      <c r="O9" s="27" t="n"/>
      <c r="P9" s="27" t="n"/>
      <c r="Q9" s="27" t="n"/>
      <c r="R9" s="27" t="n"/>
      <c r="S9" s="27" t="n"/>
      <c r="T9" s="27" t="n"/>
      <c r="U9" s="27" t="n"/>
      <c r="V9" s="27" t="n"/>
      <c r="W9" s="27" t="n"/>
      <c r="X9" s="27" t="n"/>
      <c r="Y9" s="27" t="n"/>
      <c r="Z9" s="27" t="n"/>
      <c r="AA9" s="27" t="n"/>
      <c r="AB9" s="27" t="n"/>
      <c r="AC9" s="30" t="n"/>
      <c r="AD9" s="25" t="n"/>
      <c r="AE9" s="28">
        <f>IF(NOT(AND($A9&lt;&gt;"",OR($I9="",$I9="Active"))),"",IF(OR(IF(OR(ISNUMBER($Y9),$Y9="DNA"),$Y9,IF(OR(ISNUMBER($X9),$X9="DNA"),$X9,IF(OR(ISNUMBER($W9),$W9="DNA"),$W9,IF(OR(ISNUMBER($V9),$V9="DNA"),$V9,IF(OR(ISNUMBER($U9),$U9="DNA"),$U9,IF(OR(ISNUMBER($T9),$T9="DNA"),$T9,IF(OR(ISNUMBER($S9),$S9="DNA"),$S9,IF(OR(ISNUMBER($P9),$P9="DNA"),$P9,IF(OR(ISNUMBER($O9),$O9="DNA"),$O9,IF(OR(ISNUMBER($N9),$N9="DNA"),$N9,""))))))))))="DNA",AND(ISNUMBER(IF(OR(ISNUMBER($Y9),$Y9="DNA"),$Y9,IF(OR(ISNUMBER($X9),$X9="DNA"),$X9,IF(OR(ISNUMBER($W9),$W9="DNA"),$W9,IF(OR(ISNUMBER($V9),$V9="DNA"),$V9,IF(OR(ISNUMBER($U9),$U9="DNA"),$U9,IF(OR(ISNUMBER($T9),$T9="DNA"),$T9,IF(OR(ISNUMBER($S9),$S9="DNA"),$S9,IF(OR(ISNUMBER($P9),$P9="DNA"),$P9,IF(OR(ISNUMBER($O9),$O9="DNA"),$O9,IF(OR(ISNUMBER($N9),$N9="DNA"),$N9,""))))))))))),IF(OR(ISNUMBER($Y9),$Y9="DNA"),$Y9,IF(OR(ISNUMBER($X9),$X9="DNA"),$X9,IF(OR(ISNUMBER($W9),$W9="DNA"),$W9,IF(OR(ISNUMBER($V9),$V9="DNA"),$V9,IF(OR(ISNUMBER($U9),$U9="DNA"),$U9,IF(OR(ISNUMBER($T9),$T9="DNA"),$T9,IF(OR(ISNUMBER($S9),$S9="DNA"),$S9,IF(OR(ISNUMBER($P9),$P9="DNA"),$P9,IF(OR(ISNUMBER($O9),$O9="DNA"),$O9,IF(OR(ISNUMBER($N9),$N9="DNA"),$N9,""))))))))))&lt;TODAY())),1,0)+ISNUMBER($Q9)*($Q9&lt;TODAY())+ISNUMBER($R9)*($R9&lt;TODAY())+ISNUMBER($AA9)*($AA9&lt;TODAY())+ISNUMBER($AB9)*($AB9&lt;TODAY()))</f>
        <v/>
      </c>
    </row>
    <row r="10">
      <c r="A10" s="25" t="n"/>
      <c r="B10" s="26" t="n"/>
      <c r="C10" s="27" t="n"/>
      <c r="D10" s="25" t="n"/>
      <c r="E10" s="25" t="n"/>
      <c r="F10" s="25" t="n"/>
      <c r="G10" s="25" t="n"/>
      <c r="H10" s="27" t="n"/>
      <c r="I10" s="25" t="n"/>
      <c r="J10" s="28">
        <f>IF(OR(NOT(AND($A10&lt;&gt;"",OR($I10="",$I10="Active"))),$H10=""),"",INT((TODAY()-$H10+280)/7)&amp;"+"&amp;MOD(TODAY()-$H10+280,7))</f>
        <v/>
      </c>
      <c r="K10" s="28">
        <f>IF(NOT(AND($A10&lt;&gt;"",OR($I10="",$I10="Active"))),"",ISNUMBER($N10)*($N10&gt;=TODAY())*($N10&lt;=TODAY()+7)+ISNUMBER($O10)*($O10&gt;=TODAY())*($O10&lt;=TODAY()+7)+ISNUMBER($P10)*($P10&gt;=TODAY())*($P10&lt;=TODAY()+7)+ISNUMBER($S10)*($S10&gt;=TODAY())*($S10&lt;=TODAY()+7)+ISNUMBER($T10)*($T10&gt;=TODAY())*($T10&lt;=TODAY()+7)+ISNUMBER($U10)*($U10&gt;=TODAY())*($U10&lt;=TODAY()+7)+ISNUMBER($V10)*($V10&gt;=TODAY())*($V10&lt;=TODAY()+7)+ISNUMBER($W10)*($W10&gt;=TODAY())*($W10&lt;=TODAY()+7)+ISNUMBER($X10)*($X10&gt;=TODAY())*($X10&lt;=TODAY()+7)+ISNUMBER($Y10)*($Y10&gt;=TODAY())*($Y10&lt;=TODAY()+7)+ISNUMBER($Q10)*($Q10&gt;=TODAY())*($Q10&lt;=TODAY()+7)+ISNUMBER($R10)*($R10&gt;=TODAY())*($R10&lt;=TODAY()+7)+ISNUMBER($AA10)*($AA10&gt;=TODAY())*($AA10&lt;=TODAY()+7)+ISNUMBER($AB10)*($AB10&gt;=TODAY())*($AB10&lt;=TODAY()+7))</f>
        <v/>
      </c>
      <c r="L10" s="28">
        <f>IF(NOT(AND($A10&lt;&gt;"",OR($I10="",$I10="Active"))),"",IF($M10&lt;&gt;"",IF($N10=$M10,"Booking",IF($O10=$M10,"16/40",IF($P10=$M10,"25/40",IF($S10=$M10,"28/40",IF($T10=$M10,"31/40",IF($U10=$M10,"34/40",IF($V10=$M10,"36/40",IF($W10=$M10,"38/40",IF($X10=$M10,"40/40",IF($Y10=$M10,"41/40","")))))))))),IF(IF(OR(ISNUMBER($Y10),$Y10="DNA"),$Y10,IF(OR(ISNUMBER($X10),$X10="DNA"),$X10,IF(OR(ISNUMBER($W10),$W10="DNA"),$W10,IF(OR(ISNUMBER($V10),$V10="DNA"),$V10,IF(OR(ISNUMBER($U10),$U10="DNA"),$U10,IF(OR(ISNUMBER($T10),$T10="DNA"),$T10,IF(OR(ISNUMBER($S10),$S10="DNA"),$S10,IF(OR(ISNUMBER($P10),$P10="DNA"),$P10,IF(OR(ISNUMBER($O10),$O10="DNA"),$O10,IF(OR(ISNUMBER($N10),$N10="DNA"),$N10,""))))))))))="DNA","Rebook DNA",IF(ISNUMBER(IF(OR(ISNUMBER($Y10),$Y10="DNA"),$Y10,IF(OR(ISNUMBER($X10),$X10="DNA"),$X10,IF(OR(ISNUMBER($W10),$W10="DNA"),$W10,IF(OR(ISNUMBER($V10),$V10="DNA"),$V10,IF(OR(ISNUMBER($U10),$U10="DNA"),$U10,IF(OR(ISNUMBER($T10),$T10="DNA"),$T10,IF(OR(ISNUMBER($S10),$S10="DNA"),$S10,IF(OR(ISNUMBER($P10),$P10="DNA"),$P10,IF(OR(ISNUMBER($O10),$O10="DNA"),$O10,IF(OR(ISNUMBER($N10),$N10="DNA"),$N10,""))))))))))),IF(ISNUMBER($Y10),"Update status","Missed/not booked?"),""))))</f>
        <v/>
      </c>
      <c r="M10" s="29">
        <f>IF(NOT(AND($A10&lt;&gt;"",OR($I10="",$I10="Active"))),"",IF(MIN(IF(AND(ISNUMBER($N10),$N10&gt;=TODAY()),$N10,99999),IF(AND(ISNUMBER($O10),$O10&gt;=TODAY()),$O10,99999),IF(AND(ISNUMBER($P10),$P10&gt;=TODAY()),$P10,99999),IF(AND(ISNUMBER($S10),$S10&gt;=TODAY()),$S10,99999),IF(AND(ISNUMBER($T10),$T10&gt;=TODAY()),$T10,99999),IF(AND(ISNUMBER($U10),$U10&gt;=TODAY()),$U10,99999),IF(AND(ISNUMBER($V10),$V10&gt;=TODAY()),$V10,99999),IF(AND(ISNUMBER($W10),$W10&gt;=TODAY()),$W10,99999),IF(AND(ISNUMBER($X10),$X10&gt;=TODAY()),$X10,99999),IF(AND(ISNUMBER($Y10),$Y10&gt;=TODAY()),$Y10,99999))=99999,"",MIN(IF(AND(ISNUMBER($N10),$N10&gt;=TODAY()),$N10,99999),IF(AND(ISNUMBER($O10),$O10&gt;=TODAY()),$O10,99999),IF(AND(ISNUMBER($P10),$P10&gt;=TODAY()),$P10,99999),IF(AND(ISNUMBER($S10),$S10&gt;=TODAY()),$S10,99999),IF(AND(ISNUMBER($T10),$T10&gt;=TODAY()),$T10,99999),IF(AND(ISNUMBER($U10),$U10&gt;=TODAY()),$U10,99999),IF(AND(ISNUMBER($V10),$V10&gt;=TODAY()),$V10,99999),IF(AND(ISNUMBER($W10),$W10&gt;=TODAY()),$W10,99999),IF(AND(ISNUMBER($X10),$X10&gt;=TODAY()),$X10,99999),IF(AND(ISNUMBER($Y10),$Y10&gt;=TODAY()),$Y10,99999))))</f>
        <v/>
      </c>
      <c r="N10" s="27" t="n"/>
      <c r="O10" s="27" t="n"/>
      <c r="P10" s="27" t="n"/>
      <c r="Q10" s="27" t="n"/>
      <c r="R10" s="27" t="n"/>
      <c r="S10" s="27" t="n"/>
      <c r="T10" s="27" t="n"/>
      <c r="U10" s="27" t="n"/>
      <c r="V10" s="27" t="n"/>
      <c r="W10" s="27" t="n"/>
      <c r="X10" s="27" t="n"/>
      <c r="Y10" s="27" t="n"/>
      <c r="Z10" s="27" t="n"/>
      <c r="AA10" s="27" t="n"/>
      <c r="AB10" s="27" t="n"/>
      <c r="AC10" s="30" t="n"/>
      <c r="AD10" s="25" t="n"/>
      <c r="AE10" s="28">
        <f>IF(NOT(AND($A10&lt;&gt;"",OR($I10="",$I10="Active"))),"",IF(OR(IF(OR(ISNUMBER($Y10),$Y10="DNA"),$Y10,IF(OR(ISNUMBER($X10),$X10="DNA"),$X10,IF(OR(ISNUMBER($W10),$W10="DNA"),$W10,IF(OR(ISNUMBER($V10),$V10="DNA"),$V10,IF(OR(ISNUMBER($U10),$U10="DNA"),$U10,IF(OR(ISNUMBER($T10),$T10="DNA"),$T10,IF(OR(ISNUMBER($S10),$S10="DNA"),$S10,IF(OR(ISNUMBER($P10),$P10="DNA"),$P10,IF(OR(ISNUMBER($O10),$O10="DNA"),$O10,IF(OR(ISNUMBER($N10),$N10="DNA"),$N10,""))))))))))="DNA",AND(ISNUMBER(IF(OR(ISNUMBER($Y10),$Y10="DNA"),$Y10,IF(OR(ISNUMBER($X10),$X10="DNA"),$X10,IF(OR(ISNUMBER($W10),$W10="DNA"),$W10,IF(OR(ISNUMBER($V10),$V10="DNA"),$V10,IF(OR(ISNUMBER($U10),$U10="DNA"),$U10,IF(OR(ISNUMBER($T10),$T10="DNA"),$T10,IF(OR(ISNUMBER($S10),$S10="DNA"),$S10,IF(OR(ISNUMBER($P10),$P10="DNA"),$P10,IF(OR(ISNUMBER($O10),$O10="DNA"),$O10,IF(OR(ISNUMBER($N10),$N10="DNA"),$N10,""))))))))))),IF(OR(ISNUMBER($Y10),$Y10="DNA"),$Y10,IF(OR(ISNUMBER($X10),$X10="DNA"),$X10,IF(OR(ISNUMBER($W10),$W10="DNA"),$W10,IF(OR(ISNUMBER($V10),$V10="DNA"),$V10,IF(OR(ISNUMBER($U10),$U10="DNA"),$U10,IF(OR(ISNUMBER($T10),$T10="DNA"),$T10,IF(OR(ISNUMBER($S10),$S10="DNA"),$S10,IF(OR(ISNUMBER($P10),$P10="DNA"),$P10,IF(OR(ISNUMBER($O10),$O10="DNA"),$O10,IF(OR(ISNUMBER($N10),$N10="DNA"),$N10,""))))))))))&lt;TODAY())),1,0)+ISNUMBER($Q10)*($Q10&lt;TODAY())+ISNUMBER($R10)*($R10&lt;TODAY())+ISNUMBER($AA10)*($AA10&lt;TODAY())+ISNUMBER($AB10)*($AB10&lt;TODAY()))</f>
        <v/>
      </c>
    </row>
    <row r="11">
      <c r="A11" s="25" t="n"/>
      <c r="B11" s="26" t="n"/>
      <c r="C11" s="27" t="n"/>
      <c r="D11" s="25" t="n"/>
      <c r="E11" s="25" t="n"/>
      <c r="F11" s="25" t="n"/>
      <c r="G11" s="25" t="n"/>
      <c r="H11" s="27" t="n"/>
      <c r="I11" s="25" t="n"/>
      <c r="J11" s="28">
        <f>IF(OR(NOT(AND($A11&lt;&gt;"",OR($I11="",$I11="Active"))),$H11=""),"",INT((TODAY()-$H11+280)/7)&amp;"+"&amp;MOD(TODAY()-$H11+280,7))</f>
        <v/>
      </c>
      <c r="K11" s="28">
        <f>IF(NOT(AND($A11&lt;&gt;"",OR($I11="",$I11="Active"))),"",ISNUMBER($N11)*($N11&gt;=TODAY())*($N11&lt;=TODAY()+7)+ISNUMBER($O11)*($O11&gt;=TODAY())*($O11&lt;=TODAY()+7)+ISNUMBER($P11)*($P11&gt;=TODAY())*($P11&lt;=TODAY()+7)+ISNUMBER($S11)*($S11&gt;=TODAY())*($S11&lt;=TODAY()+7)+ISNUMBER($T11)*($T11&gt;=TODAY())*($T11&lt;=TODAY()+7)+ISNUMBER($U11)*($U11&gt;=TODAY())*($U11&lt;=TODAY()+7)+ISNUMBER($V11)*($V11&gt;=TODAY())*($V11&lt;=TODAY()+7)+ISNUMBER($W11)*($W11&gt;=TODAY())*($W11&lt;=TODAY()+7)+ISNUMBER($X11)*($X11&gt;=TODAY())*($X11&lt;=TODAY()+7)+ISNUMBER($Y11)*($Y11&gt;=TODAY())*($Y11&lt;=TODAY()+7)+ISNUMBER($Q11)*($Q11&gt;=TODAY())*($Q11&lt;=TODAY()+7)+ISNUMBER($R11)*($R11&gt;=TODAY())*($R11&lt;=TODAY()+7)+ISNUMBER($AA11)*($AA11&gt;=TODAY())*($AA11&lt;=TODAY()+7)+ISNUMBER($AB11)*($AB11&gt;=TODAY())*($AB11&lt;=TODAY()+7))</f>
        <v/>
      </c>
      <c r="L11" s="28">
        <f>IF(NOT(AND($A11&lt;&gt;"",OR($I11="",$I11="Active"))),"",IF($M11&lt;&gt;"",IF($N11=$M11,"Booking",IF($O11=$M11,"16/40",IF($P11=$M11,"25/40",IF($S11=$M11,"28/40",IF($T11=$M11,"31/40",IF($U11=$M11,"34/40",IF($V11=$M11,"36/40",IF($W11=$M11,"38/40",IF($X11=$M11,"40/40",IF($Y11=$M11,"41/40","")))))))))),IF(IF(OR(ISNUMBER($Y11),$Y11="DNA"),$Y11,IF(OR(ISNUMBER($X11),$X11="DNA"),$X11,IF(OR(ISNUMBER($W11),$W11="DNA"),$W11,IF(OR(ISNUMBER($V11),$V11="DNA"),$V11,IF(OR(ISNUMBER($U11),$U11="DNA"),$U11,IF(OR(ISNUMBER($T11),$T11="DNA"),$T11,IF(OR(ISNUMBER($S11),$S11="DNA"),$S11,IF(OR(ISNUMBER($P11),$P11="DNA"),$P11,IF(OR(ISNUMBER($O11),$O11="DNA"),$O11,IF(OR(ISNUMBER($N11),$N11="DNA"),$N11,""))))))))))="DNA","Rebook DNA",IF(ISNUMBER(IF(OR(ISNUMBER($Y11),$Y11="DNA"),$Y11,IF(OR(ISNUMBER($X11),$X11="DNA"),$X11,IF(OR(ISNUMBER($W11),$W11="DNA"),$W11,IF(OR(ISNUMBER($V11),$V11="DNA"),$V11,IF(OR(ISNUMBER($U11),$U11="DNA"),$U11,IF(OR(ISNUMBER($T11),$T11="DNA"),$T11,IF(OR(ISNUMBER($S11),$S11="DNA"),$S11,IF(OR(ISNUMBER($P11),$P11="DNA"),$P11,IF(OR(ISNUMBER($O11),$O11="DNA"),$O11,IF(OR(ISNUMBER($N11),$N11="DNA"),$N11,""))))))))))),IF(ISNUMBER($Y11),"Update status","Missed/not booked?"),""))))</f>
        <v/>
      </c>
      <c r="M11" s="29">
        <f>IF(NOT(AND($A11&lt;&gt;"",OR($I11="",$I11="Active"))),"",IF(MIN(IF(AND(ISNUMBER($N11),$N11&gt;=TODAY()),$N11,99999),IF(AND(ISNUMBER($O11),$O11&gt;=TODAY()),$O11,99999),IF(AND(ISNUMBER($P11),$P11&gt;=TODAY()),$P11,99999),IF(AND(ISNUMBER($S11),$S11&gt;=TODAY()),$S11,99999),IF(AND(ISNUMBER($T11),$T11&gt;=TODAY()),$T11,99999),IF(AND(ISNUMBER($U11),$U11&gt;=TODAY()),$U11,99999),IF(AND(ISNUMBER($V11),$V11&gt;=TODAY()),$V11,99999),IF(AND(ISNUMBER($W11),$W11&gt;=TODAY()),$W11,99999),IF(AND(ISNUMBER($X11),$X11&gt;=TODAY()),$X11,99999),IF(AND(ISNUMBER($Y11),$Y11&gt;=TODAY()),$Y11,99999))=99999,"",MIN(IF(AND(ISNUMBER($N11),$N11&gt;=TODAY()),$N11,99999),IF(AND(ISNUMBER($O11),$O11&gt;=TODAY()),$O11,99999),IF(AND(ISNUMBER($P11),$P11&gt;=TODAY()),$P11,99999),IF(AND(ISNUMBER($S11),$S11&gt;=TODAY()),$S11,99999),IF(AND(ISNUMBER($T11),$T11&gt;=TODAY()),$T11,99999),IF(AND(ISNUMBER($U11),$U11&gt;=TODAY()),$U11,99999),IF(AND(ISNUMBER($V11),$V11&gt;=TODAY()),$V11,99999),IF(AND(ISNUMBER($W11),$W11&gt;=TODAY()),$W11,99999),IF(AND(ISNUMBER($X11),$X11&gt;=TODAY()),$X11,99999),IF(AND(ISNUMBER($Y11),$Y11&gt;=TODAY()),$Y11,99999))))</f>
        <v/>
      </c>
      <c r="N11" s="27" t="n"/>
      <c r="O11" s="27" t="n"/>
      <c r="P11" s="27" t="n"/>
      <c r="Q11" s="27" t="n"/>
      <c r="R11" s="27" t="n"/>
      <c r="S11" s="27" t="n"/>
      <c r="T11" s="27" t="n"/>
      <c r="U11" s="27" t="n"/>
      <c r="V11" s="27" t="n"/>
      <c r="W11" s="27" t="n"/>
      <c r="X11" s="27" t="n"/>
      <c r="Y11" s="27" t="n"/>
      <c r="Z11" s="27" t="n"/>
      <c r="AA11" s="27" t="n"/>
      <c r="AB11" s="27" t="n"/>
      <c r="AC11" s="30" t="n"/>
      <c r="AD11" s="25" t="n"/>
      <c r="AE11" s="28">
        <f>IF(NOT(AND($A11&lt;&gt;"",OR($I11="",$I11="Active"))),"",IF(OR(IF(OR(ISNUMBER($Y11),$Y11="DNA"),$Y11,IF(OR(ISNUMBER($X11),$X11="DNA"),$X11,IF(OR(ISNUMBER($W11),$W11="DNA"),$W11,IF(OR(ISNUMBER($V11),$V11="DNA"),$V11,IF(OR(ISNUMBER($U11),$U11="DNA"),$U11,IF(OR(ISNUMBER($T11),$T11="DNA"),$T11,IF(OR(ISNUMBER($S11),$S11="DNA"),$S11,IF(OR(ISNUMBER($P11),$P11="DNA"),$P11,IF(OR(ISNUMBER($O11),$O11="DNA"),$O11,IF(OR(ISNUMBER($N11),$N11="DNA"),$N11,""))))))))))="DNA",AND(ISNUMBER(IF(OR(ISNUMBER($Y11),$Y11="DNA"),$Y11,IF(OR(ISNUMBER($X11),$X11="DNA"),$X11,IF(OR(ISNUMBER($W11),$W11="DNA"),$W11,IF(OR(ISNUMBER($V11),$V11="DNA"),$V11,IF(OR(ISNUMBER($U11),$U11="DNA"),$U11,IF(OR(ISNUMBER($T11),$T11="DNA"),$T11,IF(OR(ISNUMBER($S11),$S11="DNA"),$S11,IF(OR(ISNUMBER($P11),$P11="DNA"),$P11,IF(OR(ISNUMBER($O11),$O11="DNA"),$O11,IF(OR(ISNUMBER($N11),$N11="DNA"),$N11,""))))))))))),IF(OR(ISNUMBER($Y11),$Y11="DNA"),$Y11,IF(OR(ISNUMBER($X11),$X11="DNA"),$X11,IF(OR(ISNUMBER($W11),$W11="DNA"),$W11,IF(OR(ISNUMBER($V11),$V11="DNA"),$V11,IF(OR(ISNUMBER($U11),$U11="DNA"),$U11,IF(OR(ISNUMBER($T11),$T11="DNA"),$T11,IF(OR(ISNUMBER($S11),$S11="DNA"),$S11,IF(OR(ISNUMBER($P11),$P11="DNA"),$P11,IF(OR(ISNUMBER($O11),$O11="DNA"),$O11,IF(OR(ISNUMBER($N11),$N11="DNA"),$N11,""))))))))))&lt;TODAY())),1,0)+ISNUMBER($Q11)*($Q11&lt;TODAY())+ISNUMBER($R11)*($R11&lt;TODAY())+ISNUMBER($AA11)*($AA11&lt;TODAY())+ISNUMBER($AB11)*($AB11&lt;TODAY()))</f>
        <v/>
      </c>
    </row>
    <row r="12">
      <c r="A12" s="25" t="n"/>
      <c r="B12" s="26" t="n"/>
      <c r="C12" s="27" t="n"/>
      <c r="D12" s="25" t="n"/>
      <c r="E12" s="25" t="n"/>
      <c r="F12" s="25" t="n"/>
      <c r="G12" s="25" t="n"/>
      <c r="H12" s="27" t="n"/>
      <c r="I12" s="25" t="n"/>
      <c r="J12" s="28">
        <f>IF(OR(NOT(AND($A12&lt;&gt;"",OR($I12="",$I12="Active"))),$H12=""),"",INT((TODAY()-$H12+280)/7)&amp;"+"&amp;MOD(TODAY()-$H12+280,7))</f>
        <v/>
      </c>
      <c r="K12" s="28">
        <f>IF(NOT(AND($A12&lt;&gt;"",OR($I12="",$I12="Active"))),"",ISNUMBER($N12)*($N12&gt;=TODAY())*($N12&lt;=TODAY()+7)+ISNUMBER($O12)*($O12&gt;=TODAY())*($O12&lt;=TODAY()+7)+ISNUMBER($P12)*($P12&gt;=TODAY())*($P12&lt;=TODAY()+7)+ISNUMBER($S12)*($S12&gt;=TODAY())*($S12&lt;=TODAY()+7)+ISNUMBER($T12)*($T12&gt;=TODAY())*($T12&lt;=TODAY()+7)+ISNUMBER($U12)*($U12&gt;=TODAY())*($U12&lt;=TODAY()+7)+ISNUMBER($V12)*($V12&gt;=TODAY())*($V12&lt;=TODAY()+7)+ISNUMBER($W12)*($W12&gt;=TODAY())*($W12&lt;=TODAY()+7)+ISNUMBER($X12)*($X12&gt;=TODAY())*($X12&lt;=TODAY()+7)+ISNUMBER($Y12)*($Y12&gt;=TODAY())*($Y12&lt;=TODAY()+7)+ISNUMBER($Q12)*($Q12&gt;=TODAY())*($Q12&lt;=TODAY()+7)+ISNUMBER($R12)*($R12&gt;=TODAY())*($R12&lt;=TODAY()+7)+ISNUMBER($AA12)*($AA12&gt;=TODAY())*($AA12&lt;=TODAY()+7)+ISNUMBER($AB12)*($AB12&gt;=TODAY())*($AB12&lt;=TODAY()+7))</f>
        <v/>
      </c>
      <c r="L12" s="28">
        <f>IF(NOT(AND($A12&lt;&gt;"",OR($I12="",$I12="Active"))),"",IF($M12&lt;&gt;"",IF($N12=$M12,"Booking",IF($O12=$M12,"16/40",IF($P12=$M12,"25/40",IF($S12=$M12,"28/40",IF($T12=$M12,"31/40",IF($U12=$M12,"34/40",IF($V12=$M12,"36/40",IF($W12=$M12,"38/40",IF($X12=$M12,"40/40",IF($Y12=$M12,"41/40","")))))))))),IF(IF(OR(ISNUMBER($Y12),$Y12="DNA"),$Y12,IF(OR(ISNUMBER($X12),$X12="DNA"),$X12,IF(OR(ISNUMBER($W12),$W12="DNA"),$W12,IF(OR(ISNUMBER($V12),$V12="DNA"),$V12,IF(OR(ISNUMBER($U12),$U12="DNA"),$U12,IF(OR(ISNUMBER($T12),$T12="DNA"),$T12,IF(OR(ISNUMBER($S12),$S12="DNA"),$S12,IF(OR(ISNUMBER($P12),$P12="DNA"),$P12,IF(OR(ISNUMBER($O12),$O12="DNA"),$O12,IF(OR(ISNUMBER($N12),$N12="DNA"),$N12,""))))))))))="DNA","Rebook DNA",IF(ISNUMBER(IF(OR(ISNUMBER($Y12),$Y12="DNA"),$Y12,IF(OR(ISNUMBER($X12),$X12="DNA"),$X12,IF(OR(ISNUMBER($W12),$W12="DNA"),$W12,IF(OR(ISNUMBER($V12),$V12="DNA"),$V12,IF(OR(ISNUMBER($U12),$U12="DNA"),$U12,IF(OR(ISNUMBER($T12),$T12="DNA"),$T12,IF(OR(ISNUMBER($S12),$S12="DNA"),$S12,IF(OR(ISNUMBER($P12),$P12="DNA"),$P12,IF(OR(ISNUMBER($O12),$O12="DNA"),$O12,IF(OR(ISNUMBER($N12),$N12="DNA"),$N12,""))))))))))),IF(ISNUMBER($Y12),"Update status","Missed/not booked?"),""))))</f>
        <v/>
      </c>
      <c r="M12" s="29">
        <f>IF(NOT(AND($A12&lt;&gt;"",OR($I12="",$I12="Active"))),"",IF(MIN(IF(AND(ISNUMBER($N12),$N12&gt;=TODAY()),$N12,99999),IF(AND(ISNUMBER($O12),$O12&gt;=TODAY()),$O12,99999),IF(AND(ISNUMBER($P12),$P12&gt;=TODAY()),$P12,99999),IF(AND(ISNUMBER($S12),$S12&gt;=TODAY()),$S12,99999),IF(AND(ISNUMBER($T12),$T12&gt;=TODAY()),$T12,99999),IF(AND(ISNUMBER($U12),$U12&gt;=TODAY()),$U12,99999),IF(AND(ISNUMBER($V12),$V12&gt;=TODAY()),$V12,99999),IF(AND(ISNUMBER($W12),$W12&gt;=TODAY()),$W12,99999),IF(AND(ISNUMBER($X12),$X12&gt;=TODAY()),$X12,99999),IF(AND(ISNUMBER($Y12),$Y12&gt;=TODAY()),$Y12,99999))=99999,"",MIN(IF(AND(ISNUMBER($N12),$N12&gt;=TODAY()),$N12,99999),IF(AND(ISNUMBER($O12),$O12&gt;=TODAY()),$O12,99999),IF(AND(ISNUMBER($P12),$P12&gt;=TODAY()),$P12,99999),IF(AND(ISNUMBER($S12),$S12&gt;=TODAY()),$S12,99999),IF(AND(ISNUMBER($T12),$T12&gt;=TODAY()),$T12,99999),IF(AND(ISNUMBER($U12),$U12&gt;=TODAY()),$U12,99999),IF(AND(ISNUMBER($V12),$V12&gt;=TODAY()),$V12,99999),IF(AND(ISNUMBER($W12),$W12&gt;=TODAY()),$W12,99999),IF(AND(ISNUMBER($X12),$X12&gt;=TODAY()),$X12,99999),IF(AND(ISNUMBER($Y12),$Y12&gt;=TODAY()),$Y12,99999))))</f>
        <v/>
      </c>
      <c r="N12" s="27" t="n"/>
      <c r="O12" s="27" t="n"/>
      <c r="P12" s="27" t="n"/>
      <c r="Q12" s="27" t="n"/>
      <c r="R12" s="27" t="n"/>
      <c r="S12" s="27" t="n"/>
      <c r="T12" s="27" t="n"/>
      <c r="U12" s="27" t="n"/>
      <c r="V12" s="27" t="n"/>
      <c r="W12" s="27" t="n"/>
      <c r="X12" s="27" t="n"/>
      <c r="Y12" s="27" t="n"/>
      <c r="Z12" s="27" t="n"/>
      <c r="AA12" s="27" t="n"/>
      <c r="AB12" s="27" t="n"/>
      <c r="AC12" s="30" t="n"/>
      <c r="AD12" s="25" t="n"/>
      <c r="AE12" s="28">
        <f>IF(NOT(AND($A12&lt;&gt;"",OR($I12="",$I12="Active"))),"",IF(OR(IF(OR(ISNUMBER($Y12),$Y12="DNA"),$Y12,IF(OR(ISNUMBER($X12),$X12="DNA"),$X12,IF(OR(ISNUMBER($W12),$W12="DNA"),$W12,IF(OR(ISNUMBER($V12),$V12="DNA"),$V12,IF(OR(ISNUMBER($U12),$U12="DNA"),$U12,IF(OR(ISNUMBER($T12),$T12="DNA"),$T12,IF(OR(ISNUMBER($S12),$S12="DNA"),$S12,IF(OR(ISNUMBER($P12),$P12="DNA"),$P12,IF(OR(ISNUMBER($O12),$O12="DNA"),$O12,IF(OR(ISNUMBER($N12),$N12="DNA"),$N12,""))))))))))="DNA",AND(ISNUMBER(IF(OR(ISNUMBER($Y12),$Y12="DNA"),$Y12,IF(OR(ISNUMBER($X12),$X12="DNA"),$X12,IF(OR(ISNUMBER($W12),$W12="DNA"),$W12,IF(OR(ISNUMBER($V12),$V12="DNA"),$V12,IF(OR(ISNUMBER($U12),$U12="DNA"),$U12,IF(OR(ISNUMBER($T12),$T12="DNA"),$T12,IF(OR(ISNUMBER($S12),$S12="DNA"),$S12,IF(OR(ISNUMBER($P12),$P12="DNA"),$P12,IF(OR(ISNUMBER($O12),$O12="DNA"),$O12,IF(OR(ISNUMBER($N12),$N12="DNA"),$N12,""))))))))))),IF(OR(ISNUMBER($Y12),$Y12="DNA"),$Y12,IF(OR(ISNUMBER($X12),$X12="DNA"),$X12,IF(OR(ISNUMBER($W12),$W12="DNA"),$W12,IF(OR(ISNUMBER($V12),$V12="DNA"),$V12,IF(OR(ISNUMBER($U12),$U12="DNA"),$U12,IF(OR(ISNUMBER($T12),$T12="DNA"),$T12,IF(OR(ISNUMBER($S12),$S12="DNA"),$S12,IF(OR(ISNUMBER($P12),$P12="DNA"),$P12,IF(OR(ISNUMBER($O12),$O12="DNA"),$O12,IF(OR(ISNUMBER($N12),$N12="DNA"),$N12,""))))))))))&lt;TODAY())),1,0)+ISNUMBER($Q12)*($Q12&lt;TODAY())+ISNUMBER($R12)*($R12&lt;TODAY())+ISNUMBER($AA12)*($AA12&lt;TODAY())+ISNUMBER($AB12)*($AB12&lt;TODAY()))</f>
        <v/>
      </c>
    </row>
    <row r="13">
      <c r="A13" s="25" t="n"/>
      <c r="B13" s="26" t="n"/>
      <c r="C13" s="27" t="n"/>
      <c r="D13" s="25" t="n"/>
      <c r="E13" s="25" t="n"/>
      <c r="F13" s="25" t="n"/>
      <c r="G13" s="25" t="n"/>
      <c r="H13" s="27" t="n"/>
      <c r="I13" s="25" t="n"/>
      <c r="J13" s="28">
        <f>IF(OR(NOT(AND($A13&lt;&gt;"",OR($I13="",$I13="Active"))),$H13=""),"",INT((TODAY()-$H13+280)/7)&amp;"+"&amp;MOD(TODAY()-$H13+280,7))</f>
        <v/>
      </c>
      <c r="K13" s="28">
        <f>IF(NOT(AND($A13&lt;&gt;"",OR($I13="",$I13="Active"))),"",ISNUMBER($N13)*($N13&gt;=TODAY())*($N13&lt;=TODAY()+7)+ISNUMBER($O13)*($O13&gt;=TODAY())*($O13&lt;=TODAY()+7)+ISNUMBER($P13)*($P13&gt;=TODAY())*($P13&lt;=TODAY()+7)+ISNUMBER($S13)*($S13&gt;=TODAY())*($S13&lt;=TODAY()+7)+ISNUMBER($T13)*($T13&gt;=TODAY())*($T13&lt;=TODAY()+7)+ISNUMBER($U13)*($U13&gt;=TODAY())*($U13&lt;=TODAY()+7)+ISNUMBER($V13)*($V13&gt;=TODAY())*($V13&lt;=TODAY()+7)+ISNUMBER($W13)*($W13&gt;=TODAY())*($W13&lt;=TODAY()+7)+ISNUMBER($X13)*($X13&gt;=TODAY())*($X13&lt;=TODAY()+7)+ISNUMBER($Y13)*($Y13&gt;=TODAY())*($Y13&lt;=TODAY()+7)+ISNUMBER($Q13)*($Q13&gt;=TODAY())*($Q13&lt;=TODAY()+7)+ISNUMBER($R13)*($R13&gt;=TODAY())*($R13&lt;=TODAY()+7)+ISNUMBER($AA13)*($AA13&gt;=TODAY())*($AA13&lt;=TODAY()+7)+ISNUMBER($AB13)*($AB13&gt;=TODAY())*($AB13&lt;=TODAY()+7))</f>
        <v/>
      </c>
      <c r="L13" s="28">
        <f>IF(NOT(AND($A13&lt;&gt;"",OR($I13="",$I13="Active"))),"",IF($M13&lt;&gt;"",IF($N13=$M13,"Booking",IF($O13=$M13,"16/40",IF($P13=$M13,"25/40",IF($S13=$M13,"28/40",IF($T13=$M13,"31/40",IF($U13=$M13,"34/40",IF($V13=$M13,"36/40",IF($W13=$M13,"38/40",IF($X13=$M13,"40/40",IF($Y13=$M13,"41/40","")))))))))),IF(IF(OR(ISNUMBER($Y13),$Y13="DNA"),$Y13,IF(OR(ISNUMBER($X13),$X13="DNA"),$X13,IF(OR(ISNUMBER($W13),$W13="DNA"),$W13,IF(OR(ISNUMBER($V13),$V13="DNA"),$V13,IF(OR(ISNUMBER($U13),$U13="DNA"),$U13,IF(OR(ISNUMBER($T13),$T13="DNA"),$T13,IF(OR(ISNUMBER($S13),$S13="DNA"),$S13,IF(OR(ISNUMBER($P13),$P13="DNA"),$P13,IF(OR(ISNUMBER($O13),$O13="DNA"),$O13,IF(OR(ISNUMBER($N13),$N13="DNA"),$N13,""))))))))))="DNA","Rebook DNA",IF(ISNUMBER(IF(OR(ISNUMBER($Y13),$Y13="DNA"),$Y13,IF(OR(ISNUMBER($X13),$X13="DNA"),$X13,IF(OR(ISNUMBER($W13),$W13="DNA"),$W13,IF(OR(ISNUMBER($V13),$V13="DNA"),$V13,IF(OR(ISNUMBER($U13),$U13="DNA"),$U13,IF(OR(ISNUMBER($T13),$T13="DNA"),$T13,IF(OR(ISNUMBER($S13),$S13="DNA"),$S13,IF(OR(ISNUMBER($P13),$P13="DNA"),$P13,IF(OR(ISNUMBER($O13),$O13="DNA"),$O13,IF(OR(ISNUMBER($N13),$N13="DNA"),$N13,""))))))))))),IF(ISNUMBER($Y13),"Update status","Missed/not booked?"),""))))</f>
        <v/>
      </c>
      <c r="M13" s="29">
        <f>IF(NOT(AND($A13&lt;&gt;"",OR($I13="",$I13="Active"))),"",IF(MIN(IF(AND(ISNUMBER($N13),$N13&gt;=TODAY()),$N13,99999),IF(AND(ISNUMBER($O13),$O13&gt;=TODAY()),$O13,99999),IF(AND(ISNUMBER($P13),$P13&gt;=TODAY()),$P13,99999),IF(AND(ISNUMBER($S13),$S13&gt;=TODAY()),$S13,99999),IF(AND(ISNUMBER($T13),$T13&gt;=TODAY()),$T13,99999),IF(AND(ISNUMBER($U13),$U13&gt;=TODAY()),$U13,99999),IF(AND(ISNUMBER($V13),$V13&gt;=TODAY()),$V13,99999),IF(AND(ISNUMBER($W13),$W13&gt;=TODAY()),$W13,99999),IF(AND(ISNUMBER($X13),$X13&gt;=TODAY()),$X13,99999),IF(AND(ISNUMBER($Y13),$Y13&gt;=TODAY()),$Y13,99999))=99999,"",MIN(IF(AND(ISNUMBER($N13),$N13&gt;=TODAY()),$N13,99999),IF(AND(ISNUMBER($O13),$O13&gt;=TODAY()),$O13,99999),IF(AND(ISNUMBER($P13),$P13&gt;=TODAY()),$P13,99999),IF(AND(ISNUMBER($S13),$S13&gt;=TODAY()),$S13,99999),IF(AND(ISNUMBER($T13),$T13&gt;=TODAY()),$T13,99999),IF(AND(ISNUMBER($U13),$U13&gt;=TODAY()),$U13,99999),IF(AND(ISNUMBER($V13),$V13&gt;=TODAY()),$V13,99999),IF(AND(ISNUMBER($W13),$W13&gt;=TODAY()),$W13,99999),IF(AND(ISNUMBER($X13),$X13&gt;=TODAY()),$X13,99999),IF(AND(ISNUMBER($Y13),$Y13&gt;=TODAY()),$Y13,99999))))</f>
        <v/>
      </c>
      <c r="N13" s="27" t="n"/>
      <c r="O13" s="27" t="n"/>
      <c r="P13" s="27" t="n"/>
      <c r="Q13" s="27" t="n"/>
      <c r="R13" s="27" t="n"/>
      <c r="S13" s="27" t="n"/>
      <c r="T13" s="27" t="n"/>
      <c r="U13" s="27" t="n"/>
      <c r="V13" s="27" t="n"/>
      <c r="W13" s="27" t="n"/>
      <c r="X13" s="27" t="n"/>
      <c r="Y13" s="27" t="n"/>
      <c r="Z13" s="27" t="n"/>
      <c r="AA13" s="27" t="n"/>
      <c r="AB13" s="27" t="n"/>
      <c r="AC13" s="30" t="n"/>
      <c r="AD13" s="25" t="n"/>
      <c r="AE13" s="28">
        <f>IF(NOT(AND($A13&lt;&gt;"",OR($I13="",$I13="Active"))),"",IF(OR(IF(OR(ISNUMBER($Y13),$Y13="DNA"),$Y13,IF(OR(ISNUMBER($X13),$X13="DNA"),$X13,IF(OR(ISNUMBER($W13),$W13="DNA"),$W13,IF(OR(ISNUMBER($V13),$V13="DNA"),$V13,IF(OR(ISNUMBER($U13),$U13="DNA"),$U13,IF(OR(ISNUMBER($T13),$T13="DNA"),$T13,IF(OR(ISNUMBER($S13),$S13="DNA"),$S13,IF(OR(ISNUMBER($P13),$P13="DNA"),$P13,IF(OR(ISNUMBER($O13),$O13="DNA"),$O13,IF(OR(ISNUMBER($N13),$N13="DNA"),$N13,""))))))))))="DNA",AND(ISNUMBER(IF(OR(ISNUMBER($Y13),$Y13="DNA"),$Y13,IF(OR(ISNUMBER($X13),$X13="DNA"),$X13,IF(OR(ISNUMBER($W13),$W13="DNA"),$W13,IF(OR(ISNUMBER($V13),$V13="DNA"),$V13,IF(OR(ISNUMBER($U13),$U13="DNA"),$U13,IF(OR(ISNUMBER($T13),$T13="DNA"),$T13,IF(OR(ISNUMBER($S13),$S13="DNA"),$S13,IF(OR(ISNUMBER($P13),$P13="DNA"),$P13,IF(OR(ISNUMBER($O13),$O13="DNA"),$O13,IF(OR(ISNUMBER($N13),$N13="DNA"),$N13,""))))))))))),IF(OR(ISNUMBER($Y13),$Y13="DNA"),$Y13,IF(OR(ISNUMBER($X13),$X13="DNA"),$X13,IF(OR(ISNUMBER($W13),$W13="DNA"),$W13,IF(OR(ISNUMBER($V13),$V13="DNA"),$V13,IF(OR(ISNUMBER($U13),$U13="DNA"),$U13,IF(OR(ISNUMBER($T13),$T13="DNA"),$T13,IF(OR(ISNUMBER($S13),$S13="DNA"),$S13,IF(OR(ISNUMBER($P13),$P13="DNA"),$P13,IF(OR(ISNUMBER($O13),$O13="DNA"),$O13,IF(OR(ISNUMBER($N13),$N13="DNA"),$N13,""))))))))))&lt;TODAY())),1,0)+ISNUMBER($Q13)*($Q13&lt;TODAY())+ISNUMBER($R13)*($R13&lt;TODAY())+ISNUMBER($AA13)*($AA13&lt;TODAY())+ISNUMBER($AB13)*($AB13&lt;TODAY()))</f>
        <v/>
      </c>
    </row>
    <row r="14">
      <c r="A14" s="25" t="n"/>
      <c r="B14" s="26" t="n"/>
      <c r="C14" s="27" t="n"/>
      <c r="D14" s="25" t="n"/>
      <c r="E14" s="25" t="n"/>
      <c r="F14" s="25" t="n"/>
      <c r="G14" s="25" t="n"/>
      <c r="H14" s="27" t="n"/>
      <c r="I14" s="25" t="n"/>
      <c r="J14" s="28">
        <f>IF(OR(NOT(AND($A14&lt;&gt;"",OR($I14="",$I14="Active"))),$H14=""),"",INT((TODAY()-$H14+280)/7)&amp;"+"&amp;MOD(TODAY()-$H14+280,7))</f>
        <v/>
      </c>
      <c r="K14" s="28">
        <f>IF(NOT(AND($A14&lt;&gt;"",OR($I14="",$I14="Active"))),"",ISNUMBER($N14)*($N14&gt;=TODAY())*($N14&lt;=TODAY()+7)+ISNUMBER($O14)*($O14&gt;=TODAY())*($O14&lt;=TODAY()+7)+ISNUMBER($P14)*($P14&gt;=TODAY())*($P14&lt;=TODAY()+7)+ISNUMBER($S14)*($S14&gt;=TODAY())*($S14&lt;=TODAY()+7)+ISNUMBER($T14)*($T14&gt;=TODAY())*($T14&lt;=TODAY()+7)+ISNUMBER($U14)*($U14&gt;=TODAY())*($U14&lt;=TODAY()+7)+ISNUMBER($V14)*($V14&gt;=TODAY())*($V14&lt;=TODAY()+7)+ISNUMBER($W14)*($W14&gt;=TODAY())*($W14&lt;=TODAY()+7)+ISNUMBER($X14)*($X14&gt;=TODAY())*($X14&lt;=TODAY()+7)+ISNUMBER($Y14)*($Y14&gt;=TODAY())*($Y14&lt;=TODAY()+7)+ISNUMBER($Q14)*($Q14&gt;=TODAY())*($Q14&lt;=TODAY()+7)+ISNUMBER($R14)*($R14&gt;=TODAY())*($R14&lt;=TODAY()+7)+ISNUMBER($AA14)*($AA14&gt;=TODAY())*($AA14&lt;=TODAY()+7)+ISNUMBER($AB14)*($AB14&gt;=TODAY())*($AB14&lt;=TODAY()+7))</f>
        <v/>
      </c>
      <c r="L14" s="28">
        <f>IF(NOT(AND($A14&lt;&gt;"",OR($I14="",$I14="Active"))),"",IF($M14&lt;&gt;"",IF($N14=$M14,"Booking",IF($O14=$M14,"16/40",IF($P14=$M14,"25/40",IF($S14=$M14,"28/40",IF($T14=$M14,"31/40",IF($U14=$M14,"34/40",IF($V14=$M14,"36/40",IF($W14=$M14,"38/40",IF($X14=$M14,"40/40",IF($Y14=$M14,"41/40","")))))))))),IF(IF(OR(ISNUMBER($Y14),$Y14="DNA"),$Y14,IF(OR(ISNUMBER($X14),$X14="DNA"),$X14,IF(OR(ISNUMBER($W14),$W14="DNA"),$W14,IF(OR(ISNUMBER($V14),$V14="DNA"),$V14,IF(OR(ISNUMBER($U14),$U14="DNA"),$U14,IF(OR(ISNUMBER($T14),$T14="DNA"),$T14,IF(OR(ISNUMBER($S14),$S14="DNA"),$S14,IF(OR(ISNUMBER($P14),$P14="DNA"),$P14,IF(OR(ISNUMBER($O14),$O14="DNA"),$O14,IF(OR(ISNUMBER($N14),$N14="DNA"),$N14,""))))))))))="DNA","Rebook DNA",IF(ISNUMBER(IF(OR(ISNUMBER($Y14),$Y14="DNA"),$Y14,IF(OR(ISNUMBER($X14),$X14="DNA"),$X14,IF(OR(ISNUMBER($W14),$W14="DNA"),$W14,IF(OR(ISNUMBER($V14),$V14="DNA"),$V14,IF(OR(ISNUMBER($U14),$U14="DNA"),$U14,IF(OR(ISNUMBER($T14),$T14="DNA"),$T14,IF(OR(ISNUMBER($S14),$S14="DNA"),$S14,IF(OR(ISNUMBER($P14),$P14="DNA"),$P14,IF(OR(ISNUMBER($O14),$O14="DNA"),$O14,IF(OR(ISNUMBER($N14),$N14="DNA"),$N14,""))))))))))),IF(ISNUMBER($Y14),"Update status","Missed/not booked?"),""))))</f>
        <v/>
      </c>
      <c r="M14" s="29">
        <f>IF(NOT(AND($A14&lt;&gt;"",OR($I14="",$I14="Active"))),"",IF(MIN(IF(AND(ISNUMBER($N14),$N14&gt;=TODAY()),$N14,99999),IF(AND(ISNUMBER($O14),$O14&gt;=TODAY()),$O14,99999),IF(AND(ISNUMBER($P14),$P14&gt;=TODAY()),$P14,99999),IF(AND(ISNUMBER($S14),$S14&gt;=TODAY()),$S14,99999),IF(AND(ISNUMBER($T14),$T14&gt;=TODAY()),$T14,99999),IF(AND(ISNUMBER($U14),$U14&gt;=TODAY()),$U14,99999),IF(AND(ISNUMBER($V14),$V14&gt;=TODAY()),$V14,99999),IF(AND(ISNUMBER($W14),$W14&gt;=TODAY()),$W14,99999),IF(AND(ISNUMBER($X14),$X14&gt;=TODAY()),$X14,99999),IF(AND(ISNUMBER($Y14),$Y14&gt;=TODAY()),$Y14,99999))=99999,"",MIN(IF(AND(ISNUMBER($N14),$N14&gt;=TODAY()),$N14,99999),IF(AND(ISNUMBER($O14),$O14&gt;=TODAY()),$O14,99999),IF(AND(ISNUMBER($P14),$P14&gt;=TODAY()),$P14,99999),IF(AND(ISNUMBER($S14),$S14&gt;=TODAY()),$S14,99999),IF(AND(ISNUMBER($T14),$T14&gt;=TODAY()),$T14,99999),IF(AND(ISNUMBER($U14),$U14&gt;=TODAY()),$U14,99999),IF(AND(ISNUMBER($V14),$V14&gt;=TODAY()),$V14,99999),IF(AND(ISNUMBER($W14),$W14&gt;=TODAY()),$W14,99999),IF(AND(ISNUMBER($X14),$X14&gt;=TODAY()),$X14,99999),IF(AND(ISNUMBER($Y14),$Y14&gt;=TODAY()),$Y14,99999))))</f>
        <v/>
      </c>
      <c r="N14" s="27" t="n"/>
      <c r="O14" s="27" t="n"/>
      <c r="P14" s="27" t="n"/>
      <c r="Q14" s="27" t="n"/>
      <c r="R14" s="27" t="n"/>
      <c r="S14" s="27" t="n"/>
      <c r="T14" s="27" t="n"/>
      <c r="U14" s="27" t="n"/>
      <c r="V14" s="27" t="n"/>
      <c r="W14" s="27" t="n"/>
      <c r="X14" s="27" t="n"/>
      <c r="Y14" s="27" t="n"/>
      <c r="Z14" s="27" t="n"/>
      <c r="AA14" s="27" t="n"/>
      <c r="AB14" s="27" t="n"/>
      <c r="AC14" s="30" t="n"/>
      <c r="AD14" s="25" t="n"/>
      <c r="AE14" s="28">
        <f>IF(NOT(AND($A14&lt;&gt;"",OR($I14="",$I14="Active"))),"",IF(OR(IF(OR(ISNUMBER($Y14),$Y14="DNA"),$Y14,IF(OR(ISNUMBER($X14),$X14="DNA"),$X14,IF(OR(ISNUMBER($W14),$W14="DNA"),$W14,IF(OR(ISNUMBER($V14),$V14="DNA"),$V14,IF(OR(ISNUMBER($U14),$U14="DNA"),$U14,IF(OR(ISNUMBER($T14),$T14="DNA"),$T14,IF(OR(ISNUMBER($S14),$S14="DNA"),$S14,IF(OR(ISNUMBER($P14),$P14="DNA"),$P14,IF(OR(ISNUMBER($O14),$O14="DNA"),$O14,IF(OR(ISNUMBER($N14),$N14="DNA"),$N14,""))))))))))="DNA",AND(ISNUMBER(IF(OR(ISNUMBER($Y14),$Y14="DNA"),$Y14,IF(OR(ISNUMBER($X14),$X14="DNA"),$X14,IF(OR(ISNUMBER($W14),$W14="DNA"),$W14,IF(OR(ISNUMBER($V14),$V14="DNA"),$V14,IF(OR(ISNUMBER($U14),$U14="DNA"),$U14,IF(OR(ISNUMBER($T14),$T14="DNA"),$T14,IF(OR(ISNUMBER($S14),$S14="DNA"),$S14,IF(OR(ISNUMBER($P14),$P14="DNA"),$P14,IF(OR(ISNUMBER($O14),$O14="DNA"),$O14,IF(OR(ISNUMBER($N14),$N14="DNA"),$N14,""))))))))))),IF(OR(ISNUMBER($Y14),$Y14="DNA"),$Y14,IF(OR(ISNUMBER($X14),$X14="DNA"),$X14,IF(OR(ISNUMBER($W14),$W14="DNA"),$W14,IF(OR(ISNUMBER($V14),$V14="DNA"),$V14,IF(OR(ISNUMBER($U14),$U14="DNA"),$U14,IF(OR(ISNUMBER($T14),$T14="DNA"),$T14,IF(OR(ISNUMBER($S14),$S14="DNA"),$S14,IF(OR(ISNUMBER($P14),$P14="DNA"),$P14,IF(OR(ISNUMBER($O14),$O14="DNA"),$O14,IF(OR(ISNUMBER($N14),$N14="DNA"),$N14,""))))))))))&lt;TODAY())),1,0)+ISNUMBER($Q14)*($Q14&lt;TODAY())+ISNUMBER($R14)*($R14&lt;TODAY())+ISNUMBER($AA14)*($AA14&lt;TODAY())+ISNUMBER($AB14)*($AB14&lt;TODAY()))</f>
        <v/>
      </c>
    </row>
    <row r="15">
      <c r="A15" s="25" t="n"/>
      <c r="B15" s="26" t="n"/>
      <c r="C15" s="27" t="n"/>
      <c r="D15" s="25" t="n"/>
      <c r="E15" s="25" t="n"/>
      <c r="F15" s="25" t="n"/>
      <c r="G15" s="25" t="n"/>
      <c r="H15" s="27" t="n"/>
      <c r="I15" s="25" t="n"/>
      <c r="J15" s="28">
        <f>IF(OR(NOT(AND($A15&lt;&gt;"",OR($I15="",$I15="Active"))),$H15=""),"",INT((TODAY()-$H15+280)/7)&amp;"+"&amp;MOD(TODAY()-$H15+280,7))</f>
        <v/>
      </c>
      <c r="K15" s="28">
        <f>IF(NOT(AND($A15&lt;&gt;"",OR($I15="",$I15="Active"))),"",ISNUMBER($N15)*($N15&gt;=TODAY())*($N15&lt;=TODAY()+7)+ISNUMBER($O15)*($O15&gt;=TODAY())*($O15&lt;=TODAY()+7)+ISNUMBER($P15)*($P15&gt;=TODAY())*($P15&lt;=TODAY()+7)+ISNUMBER($S15)*($S15&gt;=TODAY())*($S15&lt;=TODAY()+7)+ISNUMBER($T15)*($T15&gt;=TODAY())*($T15&lt;=TODAY()+7)+ISNUMBER($U15)*($U15&gt;=TODAY())*($U15&lt;=TODAY()+7)+ISNUMBER($V15)*($V15&gt;=TODAY())*($V15&lt;=TODAY()+7)+ISNUMBER($W15)*($W15&gt;=TODAY())*($W15&lt;=TODAY()+7)+ISNUMBER($X15)*($X15&gt;=TODAY())*($X15&lt;=TODAY()+7)+ISNUMBER($Y15)*($Y15&gt;=TODAY())*($Y15&lt;=TODAY()+7)+ISNUMBER($Q15)*($Q15&gt;=TODAY())*($Q15&lt;=TODAY()+7)+ISNUMBER($R15)*($R15&gt;=TODAY())*($R15&lt;=TODAY()+7)+ISNUMBER($AA15)*($AA15&gt;=TODAY())*($AA15&lt;=TODAY()+7)+ISNUMBER($AB15)*($AB15&gt;=TODAY())*($AB15&lt;=TODAY()+7))</f>
        <v/>
      </c>
      <c r="L15" s="28">
        <f>IF(NOT(AND($A15&lt;&gt;"",OR($I15="",$I15="Active"))),"",IF($M15&lt;&gt;"",IF($N15=$M15,"Booking",IF($O15=$M15,"16/40",IF($P15=$M15,"25/40",IF($S15=$M15,"28/40",IF($T15=$M15,"31/40",IF($U15=$M15,"34/40",IF($V15=$M15,"36/40",IF($W15=$M15,"38/40",IF($X15=$M15,"40/40",IF($Y15=$M15,"41/40","")))))))))),IF(IF(OR(ISNUMBER($Y15),$Y15="DNA"),$Y15,IF(OR(ISNUMBER($X15),$X15="DNA"),$X15,IF(OR(ISNUMBER($W15),$W15="DNA"),$W15,IF(OR(ISNUMBER($V15),$V15="DNA"),$V15,IF(OR(ISNUMBER($U15),$U15="DNA"),$U15,IF(OR(ISNUMBER($T15),$T15="DNA"),$T15,IF(OR(ISNUMBER($S15),$S15="DNA"),$S15,IF(OR(ISNUMBER($P15),$P15="DNA"),$P15,IF(OR(ISNUMBER($O15),$O15="DNA"),$O15,IF(OR(ISNUMBER($N15),$N15="DNA"),$N15,""))))))))))="DNA","Rebook DNA",IF(ISNUMBER(IF(OR(ISNUMBER($Y15),$Y15="DNA"),$Y15,IF(OR(ISNUMBER($X15),$X15="DNA"),$X15,IF(OR(ISNUMBER($W15),$W15="DNA"),$W15,IF(OR(ISNUMBER($V15),$V15="DNA"),$V15,IF(OR(ISNUMBER($U15),$U15="DNA"),$U15,IF(OR(ISNUMBER($T15),$T15="DNA"),$T15,IF(OR(ISNUMBER($S15),$S15="DNA"),$S15,IF(OR(ISNUMBER($P15),$P15="DNA"),$P15,IF(OR(ISNUMBER($O15),$O15="DNA"),$O15,IF(OR(ISNUMBER($N15),$N15="DNA"),$N15,""))))))))))),IF(ISNUMBER($Y15),"Update status","Missed/not booked?"),""))))</f>
        <v/>
      </c>
      <c r="M15" s="29">
        <f>IF(NOT(AND($A15&lt;&gt;"",OR($I15="",$I15="Active"))),"",IF(MIN(IF(AND(ISNUMBER($N15),$N15&gt;=TODAY()),$N15,99999),IF(AND(ISNUMBER($O15),$O15&gt;=TODAY()),$O15,99999),IF(AND(ISNUMBER($P15),$P15&gt;=TODAY()),$P15,99999),IF(AND(ISNUMBER($S15),$S15&gt;=TODAY()),$S15,99999),IF(AND(ISNUMBER($T15),$T15&gt;=TODAY()),$T15,99999),IF(AND(ISNUMBER($U15),$U15&gt;=TODAY()),$U15,99999),IF(AND(ISNUMBER($V15),$V15&gt;=TODAY()),$V15,99999),IF(AND(ISNUMBER($W15),$W15&gt;=TODAY()),$W15,99999),IF(AND(ISNUMBER($X15),$X15&gt;=TODAY()),$X15,99999),IF(AND(ISNUMBER($Y15),$Y15&gt;=TODAY()),$Y15,99999))=99999,"",MIN(IF(AND(ISNUMBER($N15),$N15&gt;=TODAY()),$N15,99999),IF(AND(ISNUMBER($O15),$O15&gt;=TODAY()),$O15,99999),IF(AND(ISNUMBER($P15),$P15&gt;=TODAY()),$P15,99999),IF(AND(ISNUMBER($S15),$S15&gt;=TODAY()),$S15,99999),IF(AND(ISNUMBER($T15),$T15&gt;=TODAY()),$T15,99999),IF(AND(ISNUMBER($U15),$U15&gt;=TODAY()),$U15,99999),IF(AND(ISNUMBER($V15),$V15&gt;=TODAY()),$V15,99999),IF(AND(ISNUMBER($W15),$W15&gt;=TODAY()),$W15,99999),IF(AND(ISNUMBER($X15),$X15&gt;=TODAY()),$X15,99999),IF(AND(ISNUMBER($Y15),$Y15&gt;=TODAY()),$Y15,99999))))</f>
        <v/>
      </c>
      <c r="N15" s="27" t="n"/>
      <c r="O15" s="27" t="n"/>
      <c r="P15" s="27" t="n"/>
      <c r="Q15" s="27" t="n"/>
      <c r="R15" s="27" t="n"/>
      <c r="S15" s="27" t="n"/>
      <c r="T15" s="27" t="n"/>
      <c r="U15" s="27" t="n"/>
      <c r="V15" s="27" t="n"/>
      <c r="W15" s="27" t="n"/>
      <c r="X15" s="27" t="n"/>
      <c r="Y15" s="27" t="n"/>
      <c r="Z15" s="27" t="n"/>
      <c r="AA15" s="27" t="n"/>
      <c r="AB15" s="27" t="n"/>
      <c r="AC15" s="30" t="n"/>
      <c r="AD15" s="25" t="n"/>
      <c r="AE15" s="28">
        <f>IF(NOT(AND($A15&lt;&gt;"",OR($I15="",$I15="Active"))),"",IF(OR(IF(OR(ISNUMBER($Y15),$Y15="DNA"),$Y15,IF(OR(ISNUMBER($X15),$X15="DNA"),$X15,IF(OR(ISNUMBER($W15),$W15="DNA"),$W15,IF(OR(ISNUMBER($V15),$V15="DNA"),$V15,IF(OR(ISNUMBER($U15),$U15="DNA"),$U15,IF(OR(ISNUMBER($T15),$T15="DNA"),$T15,IF(OR(ISNUMBER($S15),$S15="DNA"),$S15,IF(OR(ISNUMBER($P15),$P15="DNA"),$P15,IF(OR(ISNUMBER($O15),$O15="DNA"),$O15,IF(OR(ISNUMBER($N15),$N15="DNA"),$N15,""))))))))))="DNA",AND(ISNUMBER(IF(OR(ISNUMBER($Y15),$Y15="DNA"),$Y15,IF(OR(ISNUMBER($X15),$X15="DNA"),$X15,IF(OR(ISNUMBER($W15),$W15="DNA"),$W15,IF(OR(ISNUMBER($V15),$V15="DNA"),$V15,IF(OR(ISNUMBER($U15),$U15="DNA"),$U15,IF(OR(ISNUMBER($T15),$T15="DNA"),$T15,IF(OR(ISNUMBER($S15),$S15="DNA"),$S15,IF(OR(ISNUMBER($P15),$P15="DNA"),$P15,IF(OR(ISNUMBER($O15),$O15="DNA"),$O15,IF(OR(ISNUMBER($N15),$N15="DNA"),$N15,""))))))))))),IF(OR(ISNUMBER($Y15),$Y15="DNA"),$Y15,IF(OR(ISNUMBER($X15),$X15="DNA"),$X15,IF(OR(ISNUMBER($W15),$W15="DNA"),$W15,IF(OR(ISNUMBER($V15),$V15="DNA"),$V15,IF(OR(ISNUMBER($U15),$U15="DNA"),$U15,IF(OR(ISNUMBER($T15),$T15="DNA"),$T15,IF(OR(ISNUMBER($S15),$S15="DNA"),$S15,IF(OR(ISNUMBER($P15),$P15="DNA"),$P15,IF(OR(ISNUMBER($O15),$O15="DNA"),$O15,IF(OR(ISNUMBER($N15),$N15="DNA"),$N15,""))))))))))&lt;TODAY())),1,0)+ISNUMBER($Q15)*($Q15&lt;TODAY())+ISNUMBER($R15)*($R15&lt;TODAY())+ISNUMBER($AA15)*($AA15&lt;TODAY())+ISNUMBER($AB15)*($AB15&lt;TODAY()))</f>
        <v/>
      </c>
    </row>
    <row r="16">
      <c r="A16" s="25" t="n"/>
      <c r="B16" s="26" t="n"/>
      <c r="C16" s="27" t="n"/>
      <c r="D16" s="25" t="n"/>
      <c r="E16" s="25" t="n"/>
      <c r="F16" s="25" t="n"/>
      <c r="G16" s="25" t="n"/>
      <c r="H16" s="27" t="n"/>
      <c r="I16" s="25" t="n"/>
      <c r="J16" s="28">
        <f>IF(OR(NOT(AND($A16&lt;&gt;"",OR($I16="",$I16="Active"))),$H16=""),"",INT((TODAY()-$H16+280)/7)&amp;"+"&amp;MOD(TODAY()-$H16+280,7))</f>
        <v/>
      </c>
      <c r="K16" s="28">
        <f>IF(NOT(AND($A16&lt;&gt;"",OR($I16="",$I16="Active"))),"",ISNUMBER($N16)*($N16&gt;=TODAY())*($N16&lt;=TODAY()+7)+ISNUMBER($O16)*($O16&gt;=TODAY())*($O16&lt;=TODAY()+7)+ISNUMBER($P16)*($P16&gt;=TODAY())*($P16&lt;=TODAY()+7)+ISNUMBER($S16)*($S16&gt;=TODAY())*($S16&lt;=TODAY()+7)+ISNUMBER($T16)*($T16&gt;=TODAY())*($T16&lt;=TODAY()+7)+ISNUMBER($U16)*($U16&gt;=TODAY())*($U16&lt;=TODAY()+7)+ISNUMBER($V16)*($V16&gt;=TODAY())*($V16&lt;=TODAY()+7)+ISNUMBER($W16)*($W16&gt;=TODAY())*($W16&lt;=TODAY()+7)+ISNUMBER($X16)*($X16&gt;=TODAY())*($X16&lt;=TODAY()+7)+ISNUMBER($Y16)*($Y16&gt;=TODAY())*($Y16&lt;=TODAY()+7)+ISNUMBER($Q16)*($Q16&gt;=TODAY())*($Q16&lt;=TODAY()+7)+ISNUMBER($R16)*($R16&gt;=TODAY())*($R16&lt;=TODAY()+7)+ISNUMBER($AA16)*($AA16&gt;=TODAY())*($AA16&lt;=TODAY()+7)+ISNUMBER($AB16)*($AB16&gt;=TODAY())*($AB16&lt;=TODAY()+7))</f>
        <v/>
      </c>
      <c r="L16" s="28">
        <f>IF(NOT(AND($A16&lt;&gt;"",OR($I16="",$I16="Active"))),"",IF($M16&lt;&gt;"",IF($N16=$M16,"Booking",IF($O16=$M16,"16/40",IF($P16=$M16,"25/40",IF($S16=$M16,"28/40",IF($T16=$M16,"31/40",IF($U16=$M16,"34/40",IF($V16=$M16,"36/40",IF($W16=$M16,"38/40",IF($X16=$M16,"40/40",IF($Y16=$M16,"41/40","")))))))))),IF(IF(OR(ISNUMBER($Y16),$Y16="DNA"),$Y16,IF(OR(ISNUMBER($X16),$X16="DNA"),$X16,IF(OR(ISNUMBER($W16),$W16="DNA"),$W16,IF(OR(ISNUMBER($V16),$V16="DNA"),$V16,IF(OR(ISNUMBER($U16),$U16="DNA"),$U16,IF(OR(ISNUMBER($T16),$T16="DNA"),$T16,IF(OR(ISNUMBER($S16),$S16="DNA"),$S16,IF(OR(ISNUMBER($P16),$P16="DNA"),$P16,IF(OR(ISNUMBER($O16),$O16="DNA"),$O16,IF(OR(ISNUMBER($N16),$N16="DNA"),$N16,""))))))))))="DNA","Rebook DNA",IF(ISNUMBER(IF(OR(ISNUMBER($Y16),$Y16="DNA"),$Y16,IF(OR(ISNUMBER($X16),$X16="DNA"),$X16,IF(OR(ISNUMBER($W16),$W16="DNA"),$W16,IF(OR(ISNUMBER($V16),$V16="DNA"),$V16,IF(OR(ISNUMBER($U16),$U16="DNA"),$U16,IF(OR(ISNUMBER($T16),$T16="DNA"),$T16,IF(OR(ISNUMBER($S16),$S16="DNA"),$S16,IF(OR(ISNUMBER($P16),$P16="DNA"),$P16,IF(OR(ISNUMBER($O16),$O16="DNA"),$O16,IF(OR(ISNUMBER($N16),$N16="DNA"),$N16,""))))))))))),IF(ISNUMBER($Y16),"Update status","Missed/not booked?"),""))))</f>
        <v/>
      </c>
      <c r="M16" s="29">
        <f>IF(NOT(AND($A16&lt;&gt;"",OR($I16="",$I16="Active"))),"",IF(MIN(IF(AND(ISNUMBER($N16),$N16&gt;=TODAY()),$N16,99999),IF(AND(ISNUMBER($O16),$O16&gt;=TODAY()),$O16,99999),IF(AND(ISNUMBER($P16),$P16&gt;=TODAY()),$P16,99999),IF(AND(ISNUMBER($S16),$S16&gt;=TODAY()),$S16,99999),IF(AND(ISNUMBER($T16),$T16&gt;=TODAY()),$T16,99999),IF(AND(ISNUMBER($U16),$U16&gt;=TODAY()),$U16,99999),IF(AND(ISNUMBER($V16),$V16&gt;=TODAY()),$V16,99999),IF(AND(ISNUMBER($W16),$W16&gt;=TODAY()),$W16,99999),IF(AND(ISNUMBER($X16),$X16&gt;=TODAY()),$X16,99999),IF(AND(ISNUMBER($Y16),$Y16&gt;=TODAY()),$Y16,99999))=99999,"",MIN(IF(AND(ISNUMBER($N16),$N16&gt;=TODAY()),$N16,99999),IF(AND(ISNUMBER($O16),$O16&gt;=TODAY()),$O16,99999),IF(AND(ISNUMBER($P16),$P16&gt;=TODAY()),$P16,99999),IF(AND(ISNUMBER($S16),$S16&gt;=TODAY()),$S16,99999),IF(AND(ISNUMBER($T16),$T16&gt;=TODAY()),$T16,99999),IF(AND(ISNUMBER($U16),$U16&gt;=TODAY()),$U16,99999),IF(AND(ISNUMBER($V16),$V16&gt;=TODAY()),$V16,99999),IF(AND(ISNUMBER($W16),$W16&gt;=TODAY()),$W16,99999),IF(AND(ISNUMBER($X16),$X16&gt;=TODAY()),$X16,99999),IF(AND(ISNUMBER($Y16),$Y16&gt;=TODAY()),$Y16,99999))))</f>
        <v/>
      </c>
      <c r="N16" s="27" t="n"/>
      <c r="O16" s="27" t="n"/>
      <c r="P16" s="27" t="n"/>
      <c r="Q16" s="27" t="n"/>
      <c r="R16" s="27" t="n"/>
      <c r="S16" s="27" t="n"/>
      <c r="T16" s="27" t="n"/>
      <c r="U16" s="27" t="n"/>
      <c r="V16" s="27" t="n"/>
      <c r="W16" s="27" t="n"/>
      <c r="X16" s="27" t="n"/>
      <c r="Y16" s="27" t="n"/>
      <c r="Z16" s="27" t="n"/>
      <c r="AA16" s="27" t="n"/>
      <c r="AB16" s="27" t="n"/>
      <c r="AC16" s="30" t="n"/>
      <c r="AD16" s="25" t="n"/>
      <c r="AE16" s="28">
        <f>IF(NOT(AND($A16&lt;&gt;"",OR($I16="",$I16="Active"))),"",IF(OR(IF(OR(ISNUMBER($Y16),$Y16="DNA"),$Y16,IF(OR(ISNUMBER($X16),$X16="DNA"),$X16,IF(OR(ISNUMBER($W16),$W16="DNA"),$W16,IF(OR(ISNUMBER($V16),$V16="DNA"),$V16,IF(OR(ISNUMBER($U16),$U16="DNA"),$U16,IF(OR(ISNUMBER($T16),$T16="DNA"),$T16,IF(OR(ISNUMBER($S16),$S16="DNA"),$S16,IF(OR(ISNUMBER($P16),$P16="DNA"),$P16,IF(OR(ISNUMBER($O16),$O16="DNA"),$O16,IF(OR(ISNUMBER($N16),$N16="DNA"),$N16,""))))))))))="DNA",AND(ISNUMBER(IF(OR(ISNUMBER($Y16),$Y16="DNA"),$Y16,IF(OR(ISNUMBER($X16),$X16="DNA"),$X16,IF(OR(ISNUMBER($W16),$W16="DNA"),$W16,IF(OR(ISNUMBER($V16),$V16="DNA"),$V16,IF(OR(ISNUMBER($U16),$U16="DNA"),$U16,IF(OR(ISNUMBER($T16),$T16="DNA"),$T16,IF(OR(ISNUMBER($S16),$S16="DNA"),$S16,IF(OR(ISNUMBER($P16),$P16="DNA"),$P16,IF(OR(ISNUMBER($O16),$O16="DNA"),$O16,IF(OR(ISNUMBER($N16),$N16="DNA"),$N16,""))))))))))),IF(OR(ISNUMBER($Y16),$Y16="DNA"),$Y16,IF(OR(ISNUMBER($X16),$X16="DNA"),$X16,IF(OR(ISNUMBER($W16),$W16="DNA"),$W16,IF(OR(ISNUMBER($V16),$V16="DNA"),$V16,IF(OR(ISNUMBER($U16),$U16="DNA"),$U16,IF(OR(ISNUMBER($T16),$T16="DNA"),$T16,IF(OR(ISNUMBER($S16),$S16="DNA"),$S16,IF(OR(ISNUMBER($P16),$P16="DNA"),$P16,IF(OR(ISNUMBER($O16),$O16="DNA"),$O16,IF(OR(ISNUMBER($N16),$N16="DNA"),$N16,""))))))))))&lt;TODAY())),1,0)+ISNUMBER($Q16)*($Q16&lt;TODAY())+ISNUMBER($R16)*($R16&lt;TODAY())+ISNUMBER($AA16)*($AA16&lt;TODAY())+ISNUMBER($AB16)*($AB16&lt;TODAY()))</f>
        <v/>
      </c>
    </row>
    <row r="17">
      <c r="A17" s="25" t="n"/>
      <c r="B17" s="26" t="n"/>
      <c r="C17" s="27" t="n"/>
      <c r="D17" s="25" t="n"/>
      <c r="E17" s="25" t="n"/>
      <c r="F17" s="25" t="n"/>
      <c r="G17" s="25" t="n"/>
      <c r="H17" s="27" t="n"/>
      <c r="I17" s="25" t="n"/>
      <c r="J17" s="28">
        <f>IF(OR(NOT(AND($A17&lt;&gt;"",OR($I17="",$I17="Active"))),$H17=""),"",INT((TODAY()-$H17+280)/7)&amp;"+"&amp;MOD(TODAY()-$H17+280,7))</f>
        <v/>
      </c>
      <c r="K17" s="28">
        <f>IF(NOT(AND($A17&lt;&gt;"",OR($I17="",$I17="Active"))),"",ISNUMBER($N17)*($N17&gt;=TODAY())*($N17&lt;=TODAY()+7)+ISNUMBER($O17)*($O17&gt;=TODAY())*($O17&lt;=TODAY()+7)+ISNUMBER($P17)*($P17&gt;=TODAY())*($P17&lt;=TODAY()+7)+ISNUMBER($S17)*($S17&gt;=TODAY())*($S17&lt;=TODAY()+7)+ISNUMBER($T17)*($T17&gt;=TODAY())*($T17&lt;=TODAY()+7)+ISNUMBER($U17)*($U17&gt;=TODAY())*($U17&lt;=TODAY()+7)+ISNUMBER($V17)*($V17&gt;=TODAY())*($V17&lt;=TODAY()+7)+ISNUMBER($W17)*($W17&gt;=TODAY())*($W17&lt;=TODAY()+7)+ISNUMBER($X17)*($X17&gt;=TODAY())*($X17&lt;=TODAY()+7)+ISNUMBER($Y17)*($Y17&gt;=TODAY())*($Y17&lt;=TODAY()+7)+ISNUMBER($Q17)*($Q17&gt;=TODAY())*($Q17&lt;=TODAY()+7)+ISNUMBER($R17)*($R17&gt;=TODAY())*($R17&lt;=TODAY()+7)+ISNUMBER($AA17)*($AA17&gt;=TODAY())*($AA17&lt;=TODAY()+7)+ISNUMBER($AB17)*($AB17&gt;=TODAY())*($AB17&lt;=TODAY()+7))</f>
        <v/>
      </c>
      <c r="L17" s="28">
        <f>IF(NOT(AND($A17&lt;&gt;"",OR($I17="",$I17="Active"))),"",IF($M17&lt;&gt;"",IF($N17=$M17,"Booking",IF($O17=$M17,"16/40",IF($P17=$M17,"25/40",IF($S17=$M17,"28/40",IF($T17=$M17,"31/40",IF($U17=$M17,"34/40",IF($V17=$M17,"36/40",IF($W17=$M17,"38/40",IF($X17=$M17,"40/40",IF($Y17=$M17,"41/40","")))))))))),IF(IF(OR(ISNUMBER($Y17),$Y17="DNA"),$Y17,IF(OR(ISNUMBER($X17),$X17="DNA"),$X17,IF(OR(ISNUMBER($W17),$W17="DNA"),$W17,IF(OR(ISNUMBER($V17),$V17="DNA"),$V17,IF(OR(ISNUMBER($U17),$U17="DNA"),$U17,IF(OR(ISNUMBER($T17),$T17="DNA"),$T17,IF(OR(ISNUMBER($S17),$S17="DNA"),$S17,IF(OR(ISNUMBER($P17),$P17="DNA"),$P17,IF(OR(ISNUMBER($O17),$O17="DNA"),$O17,IF(OR(ISNUMBER($N17),$N17="DNA"),$N17,""))))))))))="DNA","Rebook DNA",IF(ISNUMBER(IF(OR(ISNUMBER($Y17),$Y17="DNA"),$Y17,IF(OR(ISNUMBER($X17),$X17="DNA"),$X17,IF(OR(ISNUMBER($W17),$W17="DNA"),$W17,IF(OR(ISNUMBER($V17),$V17="DNA"),$V17,IF(OR(ISNUMBER($U17),$U17="DNA"),$U17,IF(OR(ISNUMBER($T17),$T17="DNA"),$T17,IF(OR(ISNUMBER($S17),$S17="DNA"),$S17,IF(OR(ISNUMBER($P17),$P17="DNA"),$P17,IF(OR(ISNUMBER($O17),$O17="DNA"),$O17,IF(OR(ISNUMBER($N17),$N17="DNA"),$N17,""))))))))))),IF(ISNUMBER($Y17),"Update status","Missed/not booked?"),""))))</f>
        <v/>
      </c>
      <c r="M17" s="29">
        <f>IF(NOT(AND($A17&lt;&gt;"",OR($I17="",$I17="Active"))),"",IF(MIN(IF(AND(ISNUMBER($N17),$N17&gt;=TODAY()),$N17,99999),IF(AND(ISNUMBER($O17),$O17&gt;=TODAY()),$O17,99999),IF(AND(ISNUMBER($P17),$P17&gt;=TODAY()),$P17,99999),IF(AND(ISNUMBER($S17),$S17&gt;=TODAY()),$S17,99999),IF(AND(ISNUMBER($T17),$T17&gt;=TODAY()),$T17,99999),IF(AND(ISNUMBER($U17),$U17&gt;=TODAY()),$U17,99999),IF(AND(ISNUMBER($V17),$V17&gt;=TODAY()),$V17,99999),IF(AND(ISNUMBER($W17),$W17&gt;=TODAY()),$W17,99999),IF(AND(ISNUMBER($X17),$X17&gt;=TODAY()),$X17,99999),IF(AND(ISNUMBER($Y17),$Y17&gt;=TODAY()),$Y17,99999))=99999,"",MIN(IF(AND(ISNUMBER($N17),$N17&gt;=TODAY()),$N17,99999),IF(AND(ISNUMBER($O17),$O17&gt;=TODAY()),$O17,99999),IF(AND(ISNUMBER($P17),$P17&gt;=TODAY()),$P17,99999),IF(AND(ISNUMBER($S17),$S17&gt;=TODAY()),$S17,99999),IF(AND(ISNUMBER($T17),$T17&gt;=TODAY()),$T17,99999),IF(AND(ISNUMBER($U17),$U17&gt;=TODAY()),$U17,99999),IF(AND(ISNUMBER($V17),$V17&gt;=TODAY()),$V17,99999),IF(AND(ISNUMBER($W17),$W17&gt;=TODAY()),$W17,99999),IF(AND(ISNUMBER($X17),$X17&gt;=TODAY()),$X17,99999),IF(AND(ISNUMBER($Y17),$Y17&gt;=TODAY()),$Y17,99999))))</f>
        <v/>
      </c>
      <c r="N17" s="27" t="n"/>
      <c r="O17" s="27" t="n"/>
      <c r="P17" s="27" t="n"/>
      <c r="Q17" s="27" t="n"/>
      <c r="R17" s="27" t="n"/>
      <c r="S17" s="27" t="n"/>
      <c r="T17" s="27" t="n"/>
      <c r="U17" s="27" t="n"/>
      <c r="V17" s="27" t="n"/>
      <c r="W17" s="27" t="n"/>
      <c r="X17" s="27" t="n"/>
      <c r="Y17" s="27" t="n"/>
      <c r="Z17" s="27" t="n"/>
      <c r="AA17" s="27" t="n"/>
      <c r="AB17" s="27" t="n"/>
      <c r="AC17" s="30" t="n"/>
      <c r="AD17" s="25" t="n"/>
      <c r="AE17" s="28">
        <f>IF(NOT(AND($A17&lt;&gt;"",OR($I17="",$I17="Active"))),"",IF(OR(IF(OR(ISNUMBER($Y17),$Y17="DNA"),$Y17,IF(OR(ISNUMBER($X17),$X17="DNA"),$X17,IF(OR(ISNUMBER($W17),$W17="DNA"),$W17,IF(OR(ISNUMBER($V17),$V17="DNA"),$V17,IF(OR(ISNUMBER($U17),$U17="DNA"),$U17,IF(OR(ISNUMBER($T17),$T17="DNA"),$T17,IF(OR(ISNUMBER($S17),$S17="DNA"),$S17,IF(OR(ISNUMBER($P17),$P17="DNA"),$P17,IF(OR(ISNUMBER($O17),$O17="DNA"),$O17,IF(OR(ISNUMBER($N17),$N17="DNA"),$N17,""))))))))))="DNA",AND(ISNUMBER(IF(OR(ISNUMBER($Y17),$Y17="DNA"),$Y17,IF(OR(ISNUMBER($X17),$X17="DNA"),$X17,IF(OR(ISNUMBER($W17),$W17="DNA"),$W17,IF(OR(ISNUMBER($V17),$V17="DNA"),$V17,IF(OR(ISNUMBER($U17),$U17="DNA"),$U17,IF(OR(ISNUMBER($T17),$T17="DNA"),$T17,IF(OR(ISNUMBER($S17),$S17="DNA"),$S17,IF(OR(ISNUMBER($P17),$P17="DNA"),$P17,IF(OR(ISNUMBER($O17),$O17="DNA"),$O17,IF(OR(ISNUMBER($N17),$N17="DNA"),$N17,""))))))))))),IF(OR(ISNUMBER($Y17),$Y17="DNA"),$Y17,IF(OR(ISNUMBER($X17),$X17="DNA"),$X17,IF(OR(ISNUMBER($W17),$W17="DNA"),$W17,IF(OR(ISNUMBER($V17),$V17="DNA"),$V17,IF(OR(ISNUMBER($U17),$U17="DNA"),$U17,IF(OR(ISNUMBER($T17),$T17="DNA"),$T17,IF(OR(ISNUMBER($S17),$S17="DNA"),$S17,IF(OR(ISNUMBER($P17),$P17="DNA"),$P17,IF(OR(ISNUMBER($O17),$O17="DNA"),$O17,IF(OR(ISNUMBER($N17),$N17="DNA"),$N17,""))))))))))&lt;TODAY())),1,0)+ISNUMBER($Q17)*($Q17&lt;TODAY())+ISNUMBER($R17)*($R17&lt;TODAY())+ISNUMBER($AA17)*($AA17&lt;TODAY())+ISNUMBER($AB17)*($AB17&lt;TODAY()))</f>
        <v/>
      </c>
    </row>
    <row r="18">
      <c r="A18" s="25" t="n"/>
      <c r="B18" s="26" t="n"/>
      <c r="C18" s="27" t="n"/>
      <c r="D18" s="25" t="n"/>
      <c r="E18" s="25" t="n"/>
      <c r="F18" s="25" t="n"/>
      <c r="G18" s="25" t="n"/>
      <c r="H18" s="27" t="n"/>
      <c r="I18" s="25" t="n"/>
      <c r="J18" s="28">
        <f>IF(OR(NOT(AND($A18&lt;&gt;"",OR($I18="",$I18="Active"))),$H18=""),"",INT((TODAY()-$H18+280)/7)&amp;"+"&amp;MOD(TODAY()-$H18+280,7))</f>
        <v/>
      </c>
      <c r="K18" s="28">
        <f>IF(NOT(AND($A18&lt;&gt;"",OR($I18="",$I18="Active"))),"",ISNUMBER($N18)*($N18&gt;=TODAY())*($N18&lt;=TODAY()+7)+ISNUMBER($O18)*($O18&gt;=TODAY())*($O18&lt;=TODAY()+7)+ISNUMBER($P18)*($P18&gt;=TODAY())*($P18&lt;=TODAY()+7)+ISNUMBER($S18)*($S18&gt;=TODAY())*($S18&lt;=TODAY()+7)+ISNUMBER($T18)*($T18&gt;=TODAY())*($T18&lt;=TODAY()+7)+ISNUMBER($U18)*($U18&gt;=TODAY())*($U18&lt;=TODAY()+7)+ISNUMBER($V18)*($V18&gt;=TODAY())*($V18&lt;=TODAY()+7)+ISNUMBER($W18)*($W18&gt;=TODAY())*($W18&lt;=TODAY()+7)+ISNUMBER($X18)*($X18&gt;=TODAY())*($X18&lt;=TODAY()+7)+ISNUMBER($Y18)*($Y18&gt;=TODAY())*($Y18&lt;=TODAY()+7)+ISNUMBER($Q18)*($Q18&gt;=TODAY())*($Q18&lt;=TODAY()+7)+ISNUMBER($R18)*($R18&gt;=TODAY())*($R18&lt;=TODAY()+7)+ISNUMBER($AA18)*($AA18&gt;=TODAY())*($AA18&lt;=TODAY()+7)+ISNUMBER($AB18)*($AB18&gt;=TODAY())*($AB18&lt;=TODAY()+7))</f>
        <v/>
      </c>
      <c r="L18" s="28">
        <f>IF(NOT(AND($A18&lt;&gt;"",OR($I18="",$I18="Active"))),"",IF($M18&lt;&gt;"",IF($N18=$M18,"Booking",IF($O18=$M18,"16/40",IF($P18=$M18,"25/40",IF($S18=$M18,"28/40",IF($T18=$M18,"31/40",IF($U18=$M18,"34/40",IF($V18=$M18,"36/40",IF($W18=$M18,"38/40",IF($X18=$M18,"40/40",IF($Y18=$M18,"41/40","")))))))))),IF(IF(OR(ISNUMBER($Y18),$Y18="DNA"),$Y18,IF(OR(ISNUMBER($X18),$X18="DNA"),$X18,IF(OR(ISNUMBER($W18),$W18="DNA"),$W18,IF(OR(ISNUMBER($V18),$V18="DNA"),$V18,IF(OR(ISNUMBER($U18),$U18="DNA"),$U18,IF(OR(ISNUMBER($T18),$T18="DNA"),$T18,IF(OR(ISNUMBER($S18),$S18="DNA"),$S18,IF(OR(ISNUMBER($P18),$P18="DNA"),$P18,IF(OR(ISNUMBER($O18),$O18="DNA"),$O18,IF(OR(ISNUMBER($N18),$N18="DNA"),$N18,""))))))))))="DNA","Rebook DNA",IF(ISNUMBER(IF(OR(ISNUMBER($Y18),$Y18="DNA"),$Y18,IF(OR(ISNUMBER($X18),$X18="DNA"),$X18,IF(OR(ISNUMBER($W18),$W18="DNA"),$W18,IF(OR(ISNUMBER($V18),$V18="DNA"),$V18,IF(OR(ISNUMBER($U18),$U18="DNA"),$U18,IF(OR(ISNUMBER($T18),$T18="DNA"),$T18,IF(OR(ISNUMBER($S18),$S18="DNA"),$S18,IF(OR(ISNUMBER($P18),$P18="DNA"),$P18,IF(OR(ISNUMBER($O18),$O18="DNA"),$O18,IF(OR(ISNUMBER($N18),$N18="DNA"),$N18,""))))))))))),IF(ISNUMBER($Y18),"Update status","Missed/not booked?"),""))))</f>
        <v/>
      </c>
      <c r="M18" s="29">
        <f>IF(NOT(AND($A18&lt;&gt;"",OR($I18="",$I18="Active"))),"",IF(MIN(IF(AND(ISNUMBER($N18),$N18&gt;=TODAY()),$N18,99999),IF(AND(ISNUMBER($O18),$O18&gt;=TODAY()),$O18,99999),IF(AND(ISNUMBER($P18),$P18&gt;=TODAY()),$P18,99999),IF(AND(ISNUMBER($S18),$S18&gt;=TODAY()),$S18,99999),IF(AND(ISNUMBER($T18),$T18&gt;=TODAY()),$T18,99999),IF(AND(ISNUMBER($U18),$U18&gt;=TODAY()),$U18,99999),IF(AND(ISNUMBER($V18),$V18&gt;=TODAY()),$V18,99999),IF(AND(ISNUMBER($W18),$W18&gt;=TODAY()),$W18,99999),IF(AND(ISNUMBER($X18),$X18&gt;=TODAY()),$X18,99999),IF(AND(ISNUMBER($Y18),$Y18&gt;=TODAY()),$Y18,99999))=99999,"",MIN(IF(AND(ISNUMBER($N18),$N18&gt;=TODAY()),$N18,99999),IF(AND(ISNUMBER($O18),$O18&gt;=TODAY()),$O18,99999),IF(AND(ISNUMBER($P18),$P18&gt;=TODAY()),$P18,99999),IF(AND(ISNUMBER($S18),$S18&gt;=TODAY()),$S18,99999),IF(AND(ISNUMBER($T18),$T18&gt;=TODAY()),$T18,99999),IF(AND(ISNUMBER($U18),$U18&gt;=TODAY()),$U18,99999),IF(AND(ISNUMBER($V18),$V18&gt;=TODAY()),$V18,99999),IF(AND(ISNUMBER($W18),$W18&gt;=TODAY()),$W18,99999),IF(AND(ISNUMBER($X18),$X18&gt;=TODAY()),$X18,99999),IF(AND(ISNUMBER($Y18),$Y18&gt;=TODAY()),$Y18,99999))))</f>
        <v/>
      </c>
      <c r="N18" s="27" t="n"/>
      <c r="O18" s="27" t="n"/>
      <c r="P18" s="27" t="n"/>
      <c r="Q18" s="27" t="n"/>
      <c r="R18" s="27" t="n"/>
      <c r="S18" s="27" t="n"/>
      <c r="T18" s="27" t="n"/>
      <c r="U18" s="27" t="n"/>
      <c r="V18" s="27" t="n"/>
      <c r="W18" s="27" t="n"/>
      <c r="X18" s="27" t="n"/>
      <c r="Y18" s="27" t="n"/>
      <c r="Z18" s="27" t="n"/>
      <c r="AA18" s="27" t="n"/>
      <c r="AB18" s="27" t="n"/>
      <c r="AC18" s="30" t="n"/>
      <c r="AD18" s="25" t="n"/>
      <c r="AE18" s="28">
        <f>IF(NOT(AND($A18&lt;&gt;"",OR($I18="",$I18="Active"))),"",IF(OR(IF(OR(ISNUMBER($Y18),$Y18="DNA"),$Y18,IF(OR(ISNUMBER($X18),$X18="DNA"),$X18,IF(OR(ISNUMBER($W18),$W18="DNA"),$W18,IF(OR(ISNUMBER($V18),$V18="DNA"),$V18,IF(OR(ISNUMBER($U18),$U18="DNA"),$U18,IF(OR(ISNUMBER($T18),$T18="DNA"),$T18,IF(OR(ISNUMBER($S18),$S18="DNA"),$S18,IF(OR(ISNUMBER($P18),$P18="DNA"),$P18,IF(OR(ISNUMBER($O18),$O18="DNA"),$O18,IF(OR(ISNUMBER($N18),$N18="DNA"),$N18,""))))))))))="DNA",AND(ISNUMBER(IF(OR(ISNUMBER($Y18),$Y18="DNA"),$Y18,IF(OR(ISNUMBER($X18),$X18="DNA"),$X18,IF(OR(ISNUMBER($W18),$W18="DNA"),$W18,IF(OR(ISNUMBER($V18),$V18="DNA"),$V18,IF(OR(ISNUMBER($U18),$U18="DNA"),$U18,IF(OR(ISNUMBER($T18),$T18="DNA"),$T18,IF(OR(ISNUMBER($S18),$S18="DNA"),$S18,IF(OR(ISNUMBER($P18),$P18="DNA"),$P18,IF(OR(ISNUMBER($O18),$O18="DNA"),$O18,IF(OR(ISNUMBER($N18),$N18="DNA"),$N18,""))))))))))),IF(OR(ISNUMBER($Y18),$Y18="DNA"),$Y18,IF(OR(ISNUMBER($X18),$X18="DNA"),$X18,IF(OR(ISNUMBER($W18),$W18="DNA"),$W18,IF(OR(ISNUMBER($V18),$V18="DNA"),$V18,IF(OR(ISNUMBER($U18),$U18="DNA"),$U18,IF(OR(ISNUMBER($T18),$T18="DNA"),$T18,IF(OR(ISNUMBER($S18),$S18="DNA"),$S18,IF(OR(ISNUMBER($P18),$P18="DNA"),$P18,IF(OR(ISNUMBER($O18),$O18="DNA"),$O18,IF(OR(ISNUMBER($N18),$N18="DNA"),$N18,""))))))))))&lt;TODAY())),1,0)+ISNUMBER($Q18)*($Q18&lt;TODAY())+ISNUMBER($R18)*($R18&lt;TODAY())+ISNUMBER($AA18)*($AA18&lt;TODAY())+ISNUMBER($AB18)*($AB18&lt;TODAY()))</f>
        <v/>
      </c>
    </row>
    <row r="19">
      <c r="A19" s="25" t="n"/>
      <c r="B19" s="26" t="n"/>
      <c r="C19" s="27" t="n"/>
      <c r="D19" s="25" t="n"/>
      <c r="E19" s="25" t="n"/>
      <c r="F19" s="25" t="n"/>
      <c r="G19" s="25" t="n"/>
      <c r="H19" s="27" t="n"/>
      <c r="I19" s="25" t="n"/>
      <c r="J19" s="28">
        <f>IF(OR(NOT(AND($A19&lt;&gt;"",OR($I19="",$I19="Active"))),$H19=""),"",INT((TODAY()-$H19+280)/7)&amp;"+"&amp;MOD(TODAY()-$H19+280,7))</f>
        <v/>
      </c>
      <c r="K19" s="28">
        <f>IF(NOT(AND($A19&lt;&gt;"",OR($I19="",$I19="Active"))),"",ISNUMBER($N19)*($N19&gt;=TODAY())*($N19&lt;=TODAY()+7)+ISNUMBER($O19)*($O19&gt;=TODAY())*($O19&lt;=TODAY()+7)+ISNUMBER($P19)*($P19&gt;=TODAY())*($P19&lt;=TODAY()+7)+ISNUMBER($S19)*($S19&gt;=TODAY())*($S19&lt;=TODAY()+7)+ISNUMBER($T19)*($T19&gt;=TODAY())*($T19&lt;=TODAY()+7)+ISNUMBER($U19)*($U19&gt;=TODAY())*($U19&lt;=TODAY()+7)+ISNUMBER($V19)*($V19&gt;=TODAY())*($V19&lt;=TODAY()+7)+ISNUMBER($W19)*($W19&gt;=TODAY())*($W19&lt;=TODAY()+7)+ISNUMBER($X19)*($X19&gt;=TODAY())*($X19&lt;=TODAY()+7)+ISNUMBER($Y19)*($Y19&gt;=TODAY())*($Y19&lt;=TODAY()+7)+ISNUMBER($Q19)*($Q19&gt;=TODAY())*($Q19&lt;=TODAY()+7)+ISNUMBER($R19)*($R19&gt;=TODAY())*($R19&lt;=TODAY()+7)+ISNUMBER($AA19)*($AA19&gt;=TODAY())*($AA19&lt;=TODAY()+7)+ISNUMBER($AB19)*($AB19&gt;=TODAY())*($AB19&lt;=TODAY()+7))</f>
        <v/>
      </c>
      <c r="L19" s="28">
        <f>IF(NOT(AND($A19&lt;&gt;"",OR($I19="",$I19="Active"))),"",IF($M19&lt;&gt;"",IF($N19=$M19,"Booking",IF($O19=$M19,"16/40",IF($P19=$M19,"25/40",IF($S19=$M19,"28/40",IF($T19=$M19,"31/40",IF($U19=$M19,"34/40",IF($V19=$M19,"36/40",IF($W19=$M19,"38/40",IF($X19=$M19,"40/40",IF($Y19=$M19,"41/40","")))))))))),IF(IF(OR(ISNUMBER($Y19),$Y19="DNA"),$Y19,IF(OR(ISNUMBER($X19),$X19="DNA"),$X19,IF(OR(ISNUMBER($W19),$W19="DNA"),$W19,IF(OR(ISNUMBER($V19),$V19="DNA"),$V19,IF(OR(ISNUMBER($U19),$U19="DNA"),$U19,IF(OR(ISNUMBER($T19),$T19="DNA"),$T19,IF(OR(ISNUMBER($S19),$S19="DNA"),$S19,IF(OR(ISNUMBER($P19),$P19="DNA"),$P19,IF(OR(ISNUMBER($O19),$O19="DNA"),$O19,IF(OR(ISNUMBER($N19),$N19="DNA"),$N19,""))))))))))="DNA","Rebook DNA",IF(ISNUMBER(IF(OR(ISNUMBER($Y19),$Y19="DNA"),$Y19,IF(OR(ISNUMBER($X19),$X19="DNA"),$X19,IF(OR(ISNUMBER($W19),$W19="DNA"),$W19,IF(OR(ISNUMBER($V19),$V19="DNA"),$V19,IF(OR(ISNUMBER($U19),$U19="DNA"),$U19,IF(OR(ISNUMBER($T19),$T19="DNA"),$T19,IF(OR(ISNUMBER($S19),$S19="DNA"),$S19,IF(OR(ISNUMBER($P19),$P19="DNA"),$P19,IF(OR(ISNUMBER($O19),$O19="DNA"),$O19,IF(OR(ISNUMBER($N19),$N19="DNA"),$N19,""))))))))))),IF(ISNUMBER($Y19),"Update status","Missed/not booked?"),""))))</f>
        <v/>
      </c>
      <c r="M19" s="29">
        <f>IF(NOT(AND($A19&lt;&gt;"",OR($I19="",$I19="Active"))),"",IF(MIN(IF(AND(ISNUMBER($N19),$N19&gt;=TODAY()),$N19,99999),IF(AND(ISNUMBER($O19),$O19&gt;=TODAY()),$O19,99999),IF(AND(ISNUMBER($P19),$P19&gt;=TODAY()),$P19,99999),IF(AND(ISNUMBER($S19),$S19&gt;=TODAY()),$S19,99999),IF(AND(ISNUMBER($T19),$T19&gt;=TODAY()),$T19,99999),IF(AND(ISNUMBER($U19),$U19&gt;=TODAY()),$U19,99999),IF(AND(ISNUMBER($V19),$V19&gt;=TODAY()),$V19,99999),IF(AND(ISNUMBER($W19),$W19&gt;=TODAY()),$W19,99999),IF(AND(ISNUMBER($X19),$X19&gt;=TODAY()),$X19,99999),IF(AND(ISNUMBER($Y19),$Y19&gt;=TODAY()),$Y19,99999))=99999,"",MIN(IF(AND(ISNUMBER($N19),$N19&gt;=TODAY()),$N19,99999),IF(AND(ISNUMBER($O19),$O19&gt;=TODAY()),$O19,99999),IF(AND(ISNUMBER($P19),$P19&gt;=TODAY()),$P19,99999),IF(AND(ISNUMBER($S19),$S19&gt;=TODAY()),$S19,99999),IF(AND(ISNUMBER($T19),$T19&gt;=TODAY()),$T19,99999),IF(AND(ISNUMBER($U19),$U19&gt;=TODAY()),$U19,99999),IF(AND(ISNUMBER($V19),$V19&gt;=TODAY()),$V19,99999),IF(AND(ISNUMBER($W19),$W19&gt;=TODAY()),$W19,99999),IF(AND(ISNUMBER($X19),$X19&gt;=TODAY()),$X19,99999),IF(AND(ISNUMBER($Y19),$Y19&gt;=TODAY()),$Y19,99999))))</f>
        <v/>
      </c>
      <c r="N19" s="27" t="n"/>
      <c r="O19" s="27" t="n"/>
      <c r="P19" s="27" t="n"/>
      <c r="Q19" s="27" t="n"/>
      <c r="R19" s="27" t="n"/>
      <c r="S19" s="27" t="n"/>
      <c r="T19" s="27" t="n"/>
      <c r="U19" s="27" t="n"/>
      <c r="V19" s="27" t="n"/>
      <c r="W19" s="27" t="n"/>
      <c r="X19" s="27" t="n"/>
      <c r="Y19" s="27" t="n"/>
      <c r="Z19" s="27" t="n"/>
      <c r="AA19" s="27" t="n"/>
      <c r="AB19" s="27" t="n"/>
      <c r="AC19" s="30" t="n"/>
      <c r="AD19" s="25" t="n"/>
      <c r="AE19" s="28">
        <f>IF(NOT(AND($A19&lt;&gt;"",OR($I19="",$I19="Active"))),"",IF(OR(IF(OR(ISNUMBER($Y19),$Y19="DNA"),$Y19,IF(OR(ISNUMBER($X19),$X19="DNA"),$X19,IF(OR(ISNUMBER($W19),$W19="DNA"),$W19,IF(OR(ISNUMBER($V19),$V19="DNA"),$V19,IF(OR(ISNUMBER($U19),$U19="DNA"),$U19,IF(OR(ISNUMBER($T19),$T19="DNA"),$T19,IF(OR(ISNUMBER($S19),$S19="DNA"),$S19,IF(OR(ISNUMBER($P19),$P19="DNA"),$P19,IF(OR(ISNUMBER($O19),$O19="DNA"),$O19,IF(OR(ISNUMBER($N19),$N19="DNA"),$N19,""))))))))))="DNA",AND(ISNUMBER(IF(OR(ISNUMBER($Y19),$Y19="DNA"),$Y19,IF(OR(ISNUMBER($X19),$X19="DNA"),$X19,IF(OR(ISNUMBER($W19),$W19="DNA"),$W19,IF(OR(ISNUMBER($V19),$V19="DNA"),$V19,IF(OR(ISNUMBER($U19),$U19="DNA"),$U19,IF(OR(ISNUMBER($T19),$T19="DNA"),$T19,IF(OR(ISNUMBER($S19),$S19="DNA"),$S19,IF(OR(ISNUMBER($P19),$P19="DNA"),$P19,IF(OR(ISNUMBER($O19),$O19="DNA"),$O19,IF(OR(ISNUMBER($N19),$N19="DNA"),$N19,""))))))))))),IF(OR(ISNUMBER($Y19),$Y19="DNA"),$Y19,IF(OR(ISNUMBER($X19),$X19="DNA"),$X19,IF(OR(ISNUMBER($W19),$W19="DNA"),$W19,IF(OR(ISNUMBER($V19),$V19="DNA"),$V19,IF(OR(ISNUMBER($U19),$U19="DNA"),$U19,IF(OR(ISNUMBER($T19),$T19="DNA"),$T19,IF(OR(ISNUMBER($S19),$S19="DNA"),$S19,IF(OR(ISNUMBER($P19),$P19="DNA"),$P19,IF(OR(ISNUMBER($O19),$O19="DNA"),$O19,IF(OR(ISNUMBER($N19),$N19="DNA"),$N19,""))))))))))&lt;TODAY())),1,0)+ISNUMBER($Q19)*($Q19&lt;TODAY())+ISNUMBER($R19)*($R19&lt;TODAY())+ISNUMBER($AA19)*($AA19&lt;TODAY())+ISNUMBER($AB19)*($AB19&lt;TODAY()))</f>
        <v/>
      </c>
    </row>
    <row r="20">
      <c r="A20" s="25" t="n"/>
      <c r="B20" s="26" t="n"/>
      <c r="C20" s="27" t="n"/>
      <c r="D20" s="25" t="n"/>
      <c r="E20" s="25" t="n"/>
      <c r="F20" s="25" t="n"/>
      <c r="G20" s="25" t="n"/>
      <c r="H20" s="27" t="n"/>
      <c r="I20" s="25" t="n"/>
      <c r="J20" s="28">
        <f>IF(OR(NOT(AND($A20&lt;&gt;"",OR($I20="",$I20="Active"))),$H20=""),"",INT((TODAY()-$H20+280)/7)&amp;"+"&amp;MOD(TODAY()-$H20+280,7))</f>
        <v/>
      </c>
      <c r="K20" s="28">
        <f>IF(NOT(AND($A20&lt;&gt;"",OR($I20="",$I20="Active"))),"",ISNUMBER($N20)*($N20&gt;=TODAY())*($N20&lt;=TODAY()+7)+ISNUMBER($O20)*($O20&gt;=TODAY())*($O20&lt;=TODAY()+7)+ISNUMBER($P20)*($P20&gt;=TODAY())*($P20&lt;=TODAY()+7)+ISNUMBER($S20)*($S20&gt;=TODAY())*($S20&lt;=TODAY()+7)+ISNUMBER($T20)*($T20&gt;=TODAY())*($T20&lt;=TODAY()+7)+ISNUMBER($U20)*($U20&gt;=TODAY())*($U20&lt;=TODAY()+7)+ISNUMBER($V20)*($V20&gt;=TODAY())*($V20&lt;=TODAY()+7)+ISNUMBER($W20)*($W20&gt;=TODAY())*($W20&lt;=TODAY()+7)+ISNUMBER($X20)*($X20&gt;=TODAY())*($X20&lt;=TODAY()+7)+ISNUMBER($Y20)*($Y20&gt;=TODAY())*($Y20&lt;=TODAY()+7)+ISNUMBER($Q20)*($Q20&gt;=TODAY())*($Q20&lt;=TODAY()+7)+ISNUMBER($R20)*($R20&gt;=TODAY())*($R20&lt;=TODAY()+7)+ISNUMBER($AA20)*($AA20&gt;=TODAY())*($AA20&lt;=TODAY()+7)+ISNUMBER($AB20)*($AB20&gt;=TODAY())*($AB20&lt;=TODAY()+7))</f>
        <v/>
      </c>
      <c r="L20" s="28">
        <f>IF(NOT(AND($A20&lt;&gt;"",OR($I20="",$I20="Active"))),"",IF($M20&lt;&gt;"",IF($N20=$M20,"Booking",IF($O20=$M20,"16/40",IF($P20=$M20,"25/40",IF($S20=$M20,"28/40",IF($T20=$M20,"31/40",IF($U20=$M20,"34/40",IF($V20=$M20,"36/40",IF($W20=$M20,"38/40",IF($X20=$M20,"40/40",IF($Y20=$M20,"41/40","")))))))))),IF(IF(OR(ISNUMBER($Y20),$Y20="DNA"),$Y20,IF(OR(ISNUMBER($X20),$X20="DNA"),$X20,IF(OR(ISNUMBER($W20),$W20="DNA"),$W20,IF(OR(ISNUMBER($V20),$V20="DNA"),$V20,IF(OR(ISNUMBER($U20),$U20="DNA"),$U20,IF(OR(ISNUMBER($T20),$T20="DNA"),$T20,IF(OR(ISNUMBER($S20),$S20="DNA"),$S20,IF(OR(ISNUMBER($P20),$P20="DNA"),$P20,IF(OR(ISNUMBER($O20),$O20="DNA"),$O20,IF(OR(ISNUMBER($N20),$N20="DNA"),$N20,""))))))))))="DNA","Rebook DNA",IF(ISNUMBER(IF(OR(ISNUMBER($Y20),$Y20="DNA"),$Y20,IF(OR(ISNUMBER($X20),$X20="DNA"),$X20,IF(OR(ISNUMBER($W20),$W20="DNA"),$W20,IF(OR(ISNUMBER($V20),$V20="DNA"),$V20,IF(OR(ISNUMBER($U20),$U20="DNA"),$U20,IF(OR(ISNUMBER($T20),$T20="DNA"),$T20,IF(OR(ISNUMBER($S20),$S20="DNA"),$S20,IF(OR(ISNUMBER($P20),$P20="DNA"),$P20,IF(OR(ISNUMBER($O20),$O20="DNA"),$O20,IF(OR(ISNUMBER($N20),$N20="DNA"),$N20,""))))))))))),IF(ISNUMBER($Y20),"Update status","Missed/not booked?"),""))))</f>
        <v/>
      </c>
      <c r="M20" s="29">
        <f>IF(NOT(AND($A20&lt;&gt;"",OR($I20="",$I20="Active"))),"",IF(MIN(IF(AND(ISNUMBER($N20),$N20&gt;=TODAY()),$N20,99999),IF(AND(ISNUMBER($O20),$O20&gt;=TODAY()),$O20,99999),IF(AND(ISNUMBER($P20),$P20&gt;=TODAY()),$P20,99999),IF(AND(ISNUMBER($S20),$S20&gt;=TODAY()),$S20,99999),IF(AND(ISNUMBER($T20),$T20&gt;=TODAY()),$T20,99999),IF(AND(ISNUMBER($U20),$U20&gt;=TODAY()),$U20,99999),IF(AND(ISNUMBER($V20),$V20&gt;=TODAY()),$V20,99999),IF(AND(ISNUMBER($W20),$W20&gt;=TODAY()),$W20,99999),IF(AND(ISNUMBER($X20),$X20&gt;=TODAY()),$X20,99999),IF(AND(ISNUMBER($Y20),$Y20&gt;=TODAY()),$Y20,99999))=99999,"",MIN(IF(AND(ISNUMBER($N20),$N20&gt;=TODAY()),$N20,99999),IF(AND(ISNUMBER($O20),$O20&gt;=TODAY()),$O20,99999),IF(AND(ISNUMBER($P20),$P20&gt;=TODAY()),$P20,99999),IF(AND(ISNUMBER($S20),$S20&gt;=TODAY()),$S20,99999),IF(AND(ISNUMBER($T20),$T20&gt;=TODAY()),$T20,99999),IF(AND(ISNUMBER($U20),$U20&gt;=TODAY()),$U20,99999),IF(AND(ISNUMBER($V20),$V20&gt;=TODAY()),$V20,99999),IF(AND(ISNUMBER($W20),$W20&gt;=TODAY()),$W20,99999),IF(AND(ISNUMBER($X20),$X20&gt;=TODAY()),$X20,99999),IF(AND(ISNUMBER($Y20),$Y20&gt;=TODAY()),$Y20,99999))))</f>
        <v/>
      </c>
      <c r="N20" s="27" t="n"/>
      <c r="O20" s="27" t="n"/>
      <c r="P20" s="27" t="n"/>
      <c r="Q20" s="27" t="n"/>
      <c r="R20" s="27" t="n"/>
      <c r="S20" s="27" t="n"/>
      <c r="T20" s="27" t="n"/>
      <c r="U20" s="27" t="n"/>
      <c r="V20" s="27" t="n"/>
      <c r="W20" s="27" t="n"/>
      <c r="X20" s="27" t="n"/>
      <c r="Y20" s="27" t="n"/>
      <c r="Z20" s="27" t="n"/>
      <c r="AA20" s="27" t="n"/>
      <c r="AB20" s="27" t="n"/>
      <c r="AC20" s="30" t="n"/>
      <c r="AD20" s="25" t="n"/>
      <c r="AE20" s="28">
        <f>IF(NOT(AND($A20&lt;&gt;"",OR($I20="",$I20="Active"))),"",IF(OR(IF(OR(ISNUMBER($Y20),$Y20="DNA"),$Y20,IF(OR(ISNUMBER($X20),$X20="DNA"),$X20,IF(OR(ISNUMBER($W20),$W20="DNA"),$W20,IF(OR(ISNUMBER($V20),$V20="DNA"),$V20,IF(OR(ISNUMBER($U20),$U20="DNA"),$U20,IF(OR(ISNUMBER($T20),$T20="DNA"),$T20,IF(OR(ISNUMBER($S20),$S20="DNA"),$S20,IF(OR(ISNUMBER($P20),$P20="DNA"),$P20,IF(OR(ISNUMBER($O20),$O20="DNA"),$O20,IF(OR(ISNUMBER($N20),$N20="DNA"),$N20,""))))))))))="DNA",AND(ISNUMBER(IF(OR(ISNUMBER($Y20),$Y20="DNA"),$Y20,IF(OR(ISNUMBER($X20),$X20="DNA"),$X20,IF(OR(ISNUMBER($W20),$W20="DNA"),$W20,IF(OR(ISNUMBER($V20),$V20="DNA"),$V20,IF(OR(ISNUMBER($U20),$U20="DNA"),$U20,IF(OR(ISNUMBER($T20),$T20="DNA"),$T20,IF(OR(ISNUMBER($S20),$S20="DNA"),$S20,IF(OR(ISNUMBER($P20),$P20="DNA"),$P20,IF(OR(ISNUMBER($O20),$O20="DNA"),$O20,IF(OR(ISNUMBER($N20),$N20="DNA"),$N20,""))))))))))),IF(OR(ISNUMBER($Y20),$Y20="DNA"),$Y20,IF(OR(ISNUMBER($X20),$X20="DNA"),$X20,IF(OR(ISNUMBER($W20),$W20="DNA"),$W20,IF(OR(ISNUMBER($V20),$V20="DNA"),$V20,IF(OR(ISNUMBER($U20),$U20="DNA"),$U20,IF(OR(ISNUMBER($T20),$T20="DNA"),$T20,IF(OR(ISNUMBER($S20),$S20="DNA"),$S20,IF(OR(ISNUMBER($P20),$P20="DNA"),$P20,IF(OR(ISNUMBER($O20),$O20="DNA"),$O20,IF(OR(ISNUMBER($N20),$N20="DNA"),$N20,""))))))))))&lt;TODAY())),1,0)+ISNUMBER($Q20)*($Q20&lt;TODAY())+ISNUMBER($R20)*($R20&lt;TODAY())+ISNUMBER($AA20)*($AA20&lt;TODAY())+ISNUMBER($AB20)*($AB20&lt;TODAY()))</f>
        <v/>
      </c>
    </row>
    <row r="21">
      <c r="A21" s="25" t="n"/>
      <c r="B21" s="26" t="n"/>
      <c r="C21" s="27" t="n"/>
      <c r="D21" s="25" t="n"/>
      <c r="E21" s="25" t="n"/>
      <c r="F21" s="25" t="n"/>
      <c r="G21" s="25" t="n"/>
      <c r="H21" s="27" t="n"/>
      <c r="I21" s="25" t="n"/>
      <c r="J21" s="28">
        <f>IF(OR(NOT(AND($A21&lt;&gt;"",OR($I21="",$I21="Active"))),$H21=""),"",INT((TODAY()-$H21+280)/7)&amp;"+"&amp;MOD(TODAY()-$H21+280,7))</f>
        <v/>
      </c>
      <c r="K21" s="28">
        <f>IF(NOT(AND($A21&lt;&gt;"",OR($I21="",$I21="Active"))),"",ISNUMBER($N21)*($N21&gt;=TODAY())*($N21&lt;=TODAY()+7)+ISNUMBER($O21)*($O21&gt;=TODAY())*($O21&lt;=TODAY()+7)+ISNUMBER($P21)*($P21&gt;=TODAY())*($P21&lt;=TODAY()+7)+ISNUMBER($S21)*($S21&gt;=TODAY())*($S21&lt;=TODAY()+7)+ISNUMBER($T21)*($T21&gt;=TODAY())*($T21&lt;=TODAY()+7)+ISNUMBER($U21)*($U21&gt;=TODAY())*($U21&lt;=TODAY()+7)+ISNUMBER($V21)*($V21&gt;=TODAY())*($V21&lt;=TODAY()+7)+ISNUMBER($W21)*($W21&gt;=TODAY())*($W21&lt;=TODAY()+7)+ISNUMBER($X21)*($X21&gt;=TODAY())*($X21&lt;=TODAY()+7)+ISNUMBER($Y21)*($Y21&gt;=TODAY())*($Y21&lt;=TODAY()+7)+ISNUMBER($Q21)*($Q21&gt;=TODAY())*($Q21&lt;=TODAY()+7)+ISNUMBER($R21)*($R21&gt;=TODAY())*($R21&lt;=TODAY()+7)+ISNUMBER($AA21)*($AA21&gt;=TODAY())*($AA21&lt;=TODAY()+7)+ISNUMBER($AB21)*($AB21&gt;=TODAY())*($AB21&lt;=TODAY()+7))</f>
        <v/>
      </c>
      <c r="L21" s="28">
        <f>IF(NOT(AND($A21&lt;&gt;"",OR($I21="",$I21="Active"))),"",IF($M21&lt;&gt;"",IF($N21=$M21,"Booking",IF($O21=$M21,"16/40",IF($P21=$M21,"25/40",IF($S21=$M21,"28/40",IF($T21=$M21,"31/40",IF($U21=$M21,"34/40",IF($V21=$M21,"36/40",IF($W21=$M21,"38/40",IF($X21=$M21,"40/40",IF($Y21=$M21,"41/40","")))))))))),IF(IF(OR(ISNUMBER($Y21),$Y21="DNA"),$Y21,IF(OR(ISNUMBER($X21),$X21="DNA"),$X21,IF(OR(ISNUMBER($W21),$W21="DNA"),$W21,IF(OR(ISNUMBER($V21),$V21="DNA"),$V21,IF(OR(ISNUMBER($U21),$U21="DNA"),$U21,IF(OR(ISNUMBER($T21),$T21="DNA"),$T21,IF(OR(ISNUMBER($S21),$S21="DNA"),$S21,IF(OR(ISNUMBER($P21),$P21="DNA"),$P21,IF(OR(ISNUMBER($O21),$O21="DNA"),$O21,IF(OR(ISNUMBER($N21),$N21="DNA"),$N21,""))))))))))="DNA","Rebook DNA",IF(ISNUMBER(IF(OR(ISNUMBER($Y21),$Y21="DNA"),$Y21,IF(OR(ISNUMBER($X21),$X21="DNA"),$X21,IF(OR(ISNUMBER($W21),$W21="DNA"),$W21,IF(OR(ISNUMBER($V21),$V21="DNA"),$V21,IF(OR(ISNUMBER($U21),$U21="DNA"),$U21,IF(OR(ISNUMBER($T21),$T21="DNA"),$T21,IF(OR(ISNUMBER($S21),$S21="DNA"),$S21,IF(OR(ISNUMBER($P21),$P21="DNA"),$P21,IF(OR(ISNUMBER($O21),$O21="DNA"),$O21,IF(OR(ISNUMBER($N21),$N21="DNA"),$N21,""))))))))))),IF(ISNUMBER($Y21),"Update status","Missed/not booked?"),""))))</f>
        <v/>
      </c>
      <c r="M21" s="29">
        <f>IF(NOT(AND($A21&lt;&gt;"",OR($I21="",$I21="Active"))),"",IF(MIN(IF(AND(ISNUMBER($N21),$N21&gt;=TODAY()),$N21,99999),IF(AND(ISNUMBER($O21),$O21&gt;=TODAY()),$O21,99999),IF(AND(ISNUMBER($P21),$P21&gt;=TODAY()),$P21,99999),IF(AND(ISNUMBER($S21),$S21&gt;=TODAY()),$S21,99999),IF(AND(ISNUMBER($T21),$T21&gt;=TODAY()),$T21,99999),IF(AND(ISNUMBER($U21),$U21&gt;=TODAY()),$U21,99999),IF(AND(ISNUMBER($V21),$V21&gt;=TODAY()),$V21,99999),IF(AND(ISNUMBER($W21),$W21&gt;=TODAY()),$W21,99999),IF(AND(ISNUMBER($X21),$X21&gt;=TODAY()),$X21,99999),IF(AND(ISNUMBER($Y21),$Y21&gt;=TODAY()),$Y21,99999))=99999,"",MIN(IF(AND(ISNUMBER($N21),$N21&gt;=TODAY()),$N21,99999),IF(AND(ISNUMBER($O21),$O21&gt;=TODAY()),$O21,99999),IF(AND(ISNUMBER($P21),$P21&gt;=TODAY()),$P21,99999),IF(AND(ISNUMBER($S21),$S21&gt;=TODAY()),$S21,99999),IF(AND(ISNUMBER($T21),$T21&gt;=TODAY()),$T21,99999),IF(AND(ISNUMBER($U21),$U21&gt;=TODAY()),$U21,99999),IF(AND(ISNUMBER($V21),$V21&gt;=TODAY()),$V21,99999),IF(AND(ISNUMBER($W21),$W21&gt;=TODAY()),$W21,99999),IF(AND(ISNUMBER($X21),$X21&gt;=TODAY()),$X21,99999),IF(AND(ISNUMBER($Y21),$Y21&gt;=TODAY()),$Y21,99999))))</f>
        <v/>
      </c>
      <c r="N21" s="27" t="n"/>
      <c r="O21" s="27" t="n"/>
      <c r="P21" s="27" t="n"/>
      <c r="Q21" s="27" t="n"/>
      <c r="R21" s="27" t="n"/>
      <c r="S21" s="27" t="n"/>
      <c r="T21" s="27" t="n"/>
      <c r="U21" s="27" t="n"/>
      <c r="V21" s="27" t="n"/>
      <c r="W21" s="27" t="n"/>
      <c r="X21" s="27" t="n"/>
      <c r="Y21" s="27" t="n"/>
      <c r="Z21" s="27" t="n"/>
      <c r="AA21" s="27" t="n"/>
      <c r="AB21" s="27" t="n"/>
      <c r="AC21" s="30" t="n"/>
      <c r="AD21" s="25" t="n"/>
      <c r="AE21" s="28">
        <f>IF(NOT(AND($A21&lt;&gt;"",OR($I21="",$I21="Active"))),"",IF(OR(IF(OR(ISNUMBER($Y21),$Y21="DNA"),$Y21,IF(OR(ISNUMBER($X21),$X21="DNA"),$X21,IF(OR(ISNUMBER($W21),$W21="DNA"),$W21,IF(OR(ISNUMBER($V21),$V21="DNA"),$V21,IF(OR(ISNUMBER($U21),$U21="DNA"),$U21,IF(OR(ISNUMBER($T21),$T21="DNA"),$T21,IF(OR(ISNUMBER($S21),$S21="DNA"),$S21,IF(OR(ISNUMBER($P21),$P21="DNA"),$P21,IF(OR(ISNUMBER($O21),$O21="DNA"),$O21,IF(OR(ISNUMBER($N21),$N21="DNA"),$N21,""))))))))))="DNA",AND(ISNUMBER(IF(OR(ISNUMBER($Y21),$Y21="DNA"),$Y21,IF(OR(ISNUMBER($X21),$X21="DNA"),$X21,IF(OR(ISNUMBER($W21),$W21="DNA"),$W21,IF(OR(ISNUMBER($V21),$V21="DNA"),$V21,IF(OR(ISNUMBER($U21),$U21="DNA"),$U21,IF(OR(ISNUMBER($T21),$T21="DNA"),$T21,IF(OR(ISNUMBER($S21),$S21="DNA"),$S21,IF(OR(ISNUMBER($P21),$P21="DNA"),$P21,IF(OR(ISNUMBER($O21),$O21="DNA"),$O21,IF(OR(ISNUMBER($N21),$N21="DNA"),$N21,""))))))))))),IF(OR(ISNUMBER($Y21),$Y21="DNA"),$Y21,IF(OR(ISNUMBER($X21),$X21="DNA"),$X21,IF(OR(ISNUMBER($W21),$W21="DNA"),$W21,IF(OR(ISNUMBER($V21),$V21="DNA"),$V21,IF(OR(ISNUMBER($U21),$U21="DNA"),$U21,IF(OR(ISNUMBER($T21),$T21="DNA"),$T21,IF(OR(ISNUMBER($S21),$S21="DNA"),$S21,IF(OR(ISNUMBER($P21),$P21="DNA"),$P21,IF(OR(ISNUMBER($O21),$O21="DNA"),$O21,IF(OR(ISNUMBER($N21),$N21="DNA"),$N21,""))))))))))&lt;TODAY())),1,0)+ISNUMBER($Q21)*($Q21&lt;TODAY())+ISNUMBER($R21)*($R21&lt;TODAY())+ISNUMBER($AA21)*($AA21&lt;TODAY())+ISNUMBER($AB21)*($AB21&lt;TODAY()))</f>
        <v/>
      </c>
    </row>
    <row r="22">
      <c r="A22" s="25" t="n"/>
      <c r="B22" s="26" t="n"/>
      <c r="C22" s="27" t="n"/>
      <c r="D22" s="25" t="n"/>
      <c r="E22" s="25" t="n"/>
      <c r="F22" s="25" t="n"/>
      <c r="G22" s="25" t="n"/>
      <c r="H22" s="27" t="n"/>
      <c r="I22" s="25" t="n"/>
      <c r="J22" s="28">
        <f>IF(OR(NOT(AND($A22&lt;&gt;"",OR($I22="",$I22="Active"))),$H22=""),"",INT((TODAY()-$H22+280)/7)&amp;"+"&amp;MOD(TODAY()-$H22+280,7))</f>
        <v/>
      </c>
      <c r="K22" s="28">
        <f>IF(NOT(AND($A22&lt;&gt;"",OR($I22="",$I22="Active"))),"",ISNUMBER($N22)*($N22&gt;=TODAY())*($N22&lt;=TODAY()+7)+ISNUMBER($O22)*($O22&gt;=TODAY())*($O22&lt;=TODAY()+7)+ISNUMBER($P22)*($P22&gt;=TODAY())*($P22&lt;=TODAY()+7)+ISNUMBER($S22)*($S22&gt;=TODAY())*($S22&lt;=TODAY()+7)+ISNUMBER($T22)*($T22&gt;=TODAY())*($T22&lt;=TODAY()+7)+ISNUMBER($U22)*($U22&gt;=TODAY())*($U22&lt;=TODAY()+7)+ISNUMBER($V22)*($V22&gt;=TODAY())*($V22&lt;=TODAY()+7)+ISNUMBER($W22)*($W22&gt;=TODAY())*($W22&lt;=TODAY()+7)+ISNUMBER($X22)*($X22&gt;=TODAY())*($X22&lt;=TODAY()+7)+ISNUMBER($Y22)*($Y22&gt;=TODAY())*($Y22&lt;=TODAY()+7)+ISNUMBER($Q22)*($Q22&gt;=TODAY())*($Q22&lt;=TODAY()+7)+ISNUMBER($R22)*($R22&gt;=TODAY())*($R22&lt;=TODAY()+7)+ISNUMBER($AA22)*($AA22&gt;=TODAY())*($AA22&lt;=TODAY()+7)+ISNUMBER($AB22)*($AB22&gt;=TODAY())*($AB22&lt;=TODAY()+7))</f>
        <v/>
      </c>
      <c r="L22" s="28">
        <f>IF(NOT(AND($A22&lt;&gt;"",OR($I22="",$I22="Active"))),"",IF($M22&lt;&gt;"",IF($N22=$M22,"Booking",IF($O22=$M22,"16/40",IF($P22=$M22,"25/40",IF($S22=$M22,"28/40",IF($T22=$M22,"31/40",IF($U22=$M22,"34/40",IF($V22=$M22,"36/40",IF($W22=$M22,"38/40",IF($X22=$M22,"40/40",IF($Y22=$M22,"41/40","")))))))))),IF(IF(OR(ISNUMBER($Y22),$Y22="DNA"),$Y22,IF(OR(ISNUMBER($X22),$X22="DNA"),$X22,IF(OR(ISNUMBER($W22),$W22="DNA"),$W22,IF(OR(ISNUMBER($V22),$V22="DNA"),$V22,IF(OR(ISNUMBER($U22),$U22="DNA"),$U22,IF(OR(ISNUMBER($T22),$T22="DNA"),$T22,IF(OR(ISNUMBER($S22),$S22="DNA"),$S22,IF(OR(ISNUMBER($P22),$P22="DNA"),$P22,IF(OR(ISNUMBER($O22),$O22="DNA"),$O22,IF(OR(ISNUMBER($N22),$N22="DNA"),$N22,""))))))))))="DNA","Rebook DNA",IF(ISNUMBER(IF(OR(ISNUMBER($Y22),$Y22="DNA"),$Y22,IF(OR(ISNUMBER($X22),$X22="DNA"),$X22,IF(OR(ISNUMBER($W22),$W22="DNA"),$W22,IF(OR(ISNUMBER($V22),$V22="DNA"),$V22,IF(OR(ISNUMBER($U22),$U22="DNA"),$U22,IF(OR(ISNUMBER($T22),$T22="DNA"),$T22,IF(OR(ISNUMBER($S22),$S22="DNA"),$S22,IF(OR(ISNUMBER($P22),$P22="DNA"),$P22,IF(OR(ISNUMBER($O22),$O22="DNA"),$O22,IF(OR(ISNUMBER($N22),$N22="DNA"),$N22,""))))))))))),IF(ISNUMBER($Y22),"Update status","Missed/not booked?"),""))))</f>
        <v/>
      </c>
      <c r="M22" s="29">
        <f>IF(NOT(AND($A22&lt;&gt;"",OR($I22="",$I22="Active"))),"",IF(MIN(IF(AND(ISNUMBER($N22),$N22&gt;=TODAY()),$N22,99999),IF(AND(ISNUMBER($O22),$O22&gt;=TODAY()),$O22,99999),IF(AND(ISNUMBER($P22),$P22&gt;=TODAY()),$P22,99999),IF(AND(ISNUMBER($S22),$S22&gt;=TODAY()),$S22,99999),IF(AND(ISNUMBER($T22),$T22&gt;=TODAY()),$T22,99999),IF(AND(ISNUMBER($U22),$U22&gt;=TODAY()),$U22,99999),IF(AND(ISNUMBER($V22),$V22&gt;=TODAY()),$V22,99999),IF(AND(ISNUMBER($W22),$W22&gt;=TODAY()),$W22,99999),IF(AND(ISNUMBER($X22),$X22&gt;=TODAY()),$X22,99999),IF(AND(ISNUMBER($Y22),$Y22&gt;=TODAY()),$Y22,99999))=99999,"",MIN(IF(AND(ISNUMBER($N22),$N22&gt;=TODAY()),$N22,99999),IF(AND(ISNUMBER($O22),$O22&gt;=TODAY()),$O22,99999),IF(AND(ISNUMBER($P22),$P22&gt;=TODAY()),$P22,99999),IF(AND(ISNUMBER($S22),$S22&gt;=TODAY()),$S22,99999),IF(AND(ISNUMBER($T22),$T22&gt;=TODAY()),$T22,99999),IF(AND(ISNUMBER($U22),$U22&gt;=TODAY()),$U22,99999),IF(AND(ISNUMBER($V22),$V22&gt;=TODAY()),$V22,99999),IF(AND(ISNUMBER($W22),$W22&gt;=TODAY()),$W22,99999),IF(AND(ISNUMBER($X22),$X22&gt;=TODAY()),$X22,99999),IF(AND(ISNUMBER($Y22),$Y22&gt;=TODAY()),$Y22,99999))))</f>
        <v/>
      </c>
      <c r="N22" s="27" t="n"/>
      <c r="O22" s="27" t="n"/>
      <c r="P22" s="27" t="n"/>
      <c r="Q22" s="27" t="n"/>
      <c r="R22" s="27" t="n"/>
      <c r="S22" s="27" t="n"/>
      <c r="T22" s="27" t="n"/>
      <c r="U22" s="27" t="n"/>
      <c r="V22" s="27" t="n"/>
      <c r="W22" s="27" t="n"/>
      <c r="X22" s="27" t="n"/>
      <c r="Y22" s="27" t="n"/>
      <c r="Z22" s="27" t="n"/>
      <c r="AA22" s="27" t="n"/>
      <c r="AB22" s="27" t="n"/>
      <c r="AC22" s="30" t="n"/>
      <c r="AD22" s="25" t="n"/>
      <c r="AE22" s="28">
        <f>IF(NOT(AND($A22&lt;&gt;"",OR($I22="",$I22="Active"))),"",IF(OR(IF(OR(ISNUMBER($Y22),$Y22="DNA"),$Y22,IF(OR(ISNUMBER($X22),$X22="DNA"),$X22,IF(OR(ISNUMBER($W22),$W22="DNA"),$W22,IF(OR(ISNUMBER($V22),$V22="DNA"),$V22,IF(OR(ISNUMBER($U22),$U22="DNA"),$U22,IF(OR(ISNUMBER($T22),$T22="DNA"),$T22,IF(OR(ISNUMBER($S22),$S22="DNA"),$S22,IF(OR(ISNUMBER($P22),$P22="DNA"),$P22,IF(OR(ISNUMBER($O22),$O22="DNA"),$O22,IF(OR(ISNUMBER($N22),$N22="DNA"),$N22,""))))))))))="DNA",AND(ISNUMBER(IF(OR(ISNUMBER($Y22),$Y22="DNA"),$Y22,IF(OR(ISNUMBER($X22),$X22="DNA"),$X22,IF(OR(ISNUMBER($W22),$W22="DNA"),$W22,IF(OR(ISNUMBER($V22),$V22="DNA"),$V22,IF(OR(ISNUMBER($U22),$U22="DNA"),$U22,IF(OR(ISNUMBER($T22),$T22="DNA"),$T22,IF(OR(ISNUMBER($S22),$S22="DNA"),$S22,IF(OR(ISNUMBER($P22),$P22="DNA"),$P22,IF(OR(ISNUMBER($O22),$O22="DNA"),$O22,IF(OR(ISNUMBER($N22),$N22="DNA"),$N22,""))))))))))),IF(OR(ISNUMBER($Y22),$Y22="DNA"),$Y22,IF(OR(ISNUMBER($X22),$X22="DNA"),$X22,IF(OR(ISNUMBER($W22),$W22="DNA"),$W22,IF(OR(ISNUMBER($V22),$V22="DNA"),$V22,IF(OR(ISNUMBER($U22),$U22="DNA"),$U22,IF(OR(ISNUMBER($T22),$T22="DNA"),$T22,IF(OR(ISNUMBER($S22),$S22="DNA"),$S22,IF(OR(ISNUMBER($P22),$P22="DNA"),$P22,IF(OR(ISNUMBER($O22),$O22="DNA"),$O22,IF(OR(ISNUMBER($N22),$N22="DNA"),$N22,""))))))))))&lt;TODAY())),1,0)+ISNUMBER($Q22)*($Q22&lt;TODAY())+ISNUMBER($R22)*($R22&lt;TODAY())+ISNUMBER($AA22)*($AA22&lt;TODAY())+ISNUMBER($AB22)*($AB22&lt;TODAY()))</f>
        <v/>
      </c>
    </row>
    <row r="23">
      <c r="A23" s="25" t="n"/>
      <c r="B23" s="26" t="n"/>
      <c r="C23" s="27" t="n"/>
      <c r="D23" s="25" t="n"/>
      <c r="E23" s="25" t="n"/>
      <c r="F23" s="25" t="n"/>
      <c r="G23" s="25" t="n"/>
      <c r="H23" s="27" t="n"/>
      <c r="I23" s="25" t="n"/>
      <c r="J23" s="28">
        <f>IF(OR(NOT(AND($A23&lt;&gt;"",OR($I23="",$I23="Active"))),$H23=""),"",INT((TODAY()-$H23+280)/7)&amp;"+"&amp;MOD(TODAY()-$H23+280,7))</f>
        <v/>
      </c>
      <c r="K23" s="28">
        <f>IF(NOT(AND($A23&lt;&gt;"",OR($I23="",$I23="Active"))),"",ISNUMBER($N23)*($N23&gt;=TODAY())*($N23&lt;=TODAY()+7)+ISNUMBER($O23)*($O23&gt;=TODAY())*($O23&lt;=TODAY()+7)+ISNUMBER($P23)*($P23&gt;=TODAY())*($P23&lt;=TODAY()+7)+ISNUMBER($S23)*($S23&gt;=TODAY())*($S23&lt;=TODAY()+7)+ISNUMBER($T23)*($T23&gt;=TODAY())*($T23&lt;=TODAY()+7)+ISNUMBER($U23)*($U23&gt;=TODAY())*($U23&lt;=TODAY()+7)+ISNUMBER($V23)*($V23&gt;=TODAY())*($V23&lt;=TODAY()+7)+ISNUMBER($W23)*($W23&gt;=TODAY())*($W23&lt;=TODAY()+7)+ISNUMBER($X23)*($X23&gt;=TODAY())*($X23&lt;=TODAY()+7)+ISNUMBER($Y23)*($Y23&gt;=TODAY())*($Y23&lt;=TODAY()+7)+ISNUMBER($Q23)*($Q23&gt;=TODAY())*($Q23&lt;=TODAY()+7)+ISNUMBER($R23)*($R23&gt;=TODAY())*($R23&lt;=TODAY()+7)+ISNUMBER($AA23)*($AA23&gt;=TODAY())*($AA23&lt;=TODAY()+7)+ISNUMBER($AB23)*($AB23&gt;=TODAY())*($AB23&lt;=TODAY()+7))</f>
        <v/>
      </c>
      <c r="L23" s="28">
        <f>IF(NOT(AND($A23&lt;&gt;"",OR($I23="",$I23="Active"))),"",IF($M23&lt;&gt;"",IF($N23=$M23,"Booking",IF($O23=$M23,"16/40",IF($P23=$M23,"25/40",IF($S23=$M23,"28/40",IF($T23=$M23,"31/40",IF($U23=$M23,"34/40",IF($V23=$M23,"36/40",IF($W23=$M23,"38/40",IF($X23=$M23,"40/40",IF($Y23=$M23,"41/40","")))))))))),IF(IF(OR(ISNUMBER($Y23),$Y23="DNA"),$Y23,IF(OR(ISNUMBER($X23),$X23="DNA"),$X23,IF(OR(ISNUMBER($W23),$W23="DNA"),$W23,IF(OR(ISNUMBER($V23),$V23="DNA"),$V23,IF(OR(ISNUMBER($U23),$U23="DNA"),$U23,IF(OR(ISNUMBER($T23),$T23="DNA"),$T23,IF(OR(ISNUMBER($S23),$S23="DNA"),$S23,IF(OR(ISNUMBER($P23),$P23="DNA"),$P23,IF(OR(ISNUMBER($O23),$O23="DNA"),$O23,IF(OR(ISNUMBER($N23),$N23="DNA"),$N23,""))))))))))="DNA","Rebook DNA",IF(ISNUMBER(IF(OR(ISNUMBER($Y23),$Y23="DNA"),$Y23,IF(OR(ISNUMBER($X23),$X23="DNA"),$X23,IF(OR(ISNUMBER($W23),$W23="DNA"),$W23,IF(OR(ISNUMBER($V23),$V23="DNA"),$V23,IF(OR(ISNUMBER($U23),$U23="DNA"),$U23,IF(OR(ISNUMBER($T23),$T23="DNA"),$T23,IF(OR(ISNUMBER($S23),$S23="DNA"),$S23,IF(OR(ISNUMBER($P23),$P23="DNA"),$P23,IF(OR(ISNUMBER($O23),$O23="DNA"),$O23,IF(OR(ISNUMBER($N23),$N23="DNA"),$N23,""))))))))))),IF(ISNUMBER($Y23),"Update status","Missed/not booked?"),""))))</f>
        <v/>
      </c>
      <c r="M23" s="29">
        <f>IF(NOT(AND($A23&lt;&gt;"",OR($I23="",$I23="Active"))),"",IF(MIN(IF(AND(ISNUMBER($N23),$N23&gt;=TODAY()),$N23,99999),IF(AND(ISNUMBER($O23),$O23&gt;=TODAY()),$O23,99999),IF(AND(ISNUMBER($P23),$P23&gt;=TODAY()),$P23,99999),IF(AND(ISNUMBER($S23),$S23&gt;=TODAY()),$S23,99999),IF(AND(ISNUMBER($T23),$T23&gt;=TODAY()),$T23,99999),IF(AND(ISNUMBER($U23),$U23&gt;=TODAY()),$U23,99999),IF(AND(ISNUMBER($V23),$V23&gt;=TODAY()),$V23,99999),IF(AND(ISNUMBER($W23),$W23&gt;=TODAY()),$W23,99999),IF(AND(ISNUMBER($X23),$X23&gt;=TODAY()),$X23,99999),IF(AND(ISNUMBER($Y23),$Y23&gt;=TODAY()),$Y23,99999))=99999,"",MIN(IF(AND(ISNUMBER($N23),$N23&gt;=TODAY()),$N23,99999),IF(AND(ISNUMBER($O23),$O23&gt;=TODAY()),$O23,99999),IF(AND(ISNUMBER($P23),$P23&gt;=TODAY()),$P23,99999),IF(AND(ISNUMBER($S23),$S23&gt;=TODAY()),$S23,99999),IF(AND(ISNUMBER($T23),$T23&gt;=TODAY()),$T23,99999),IF(AND(ISNUMBER($U23),$U23&gt;=TODAY()),$U23,99999),IF(AND(ISNUMBER($V23),$V23&gt;=TODAY()),$V23,99999),IF(AND(ISNUMBER($W23),$W23&gt;=TODAY()),$W23,99999),IF(AND(ISNUMBER($X23),$X23&gt;=TODAY()),$X23,99999),IF(AND(ISNUMBER($Y23),$Y23&gt;=TODAY()),$Y23,99999))))</f>
        <v/>
      </c>
      <c r="N23" s="27" t="n"/>
      <c r="O23" s="27" t="n"/>
      <c r="P23" s="27" t="n"/>
      <c r="Q23" s="27" t="n"/>
      <c r="R23" s="27" t="n"/>
      <c r="S23" s="27" t="n"/>
      <c r="T23" s="27" t="n"/>
      <c r="U23" s="27" t="n"/>
      <c r="V23" s="27" t="n"/>
      <c r="W23" s="27" t="n"/>
      <c r="X23" s="27" t="n"/>
      <c r="Y23" s="27" t="n"/>
      <c r="Z23" s="27" t="n"/>
      <c r="AA23" s="27" t="n"/>
      <c r="AB23" s="27" t="n"/>
      <c r="AC23" s="30" t="n"/>
      <c r="AD23" s="25" t="n"/>
      <c r="AE23" s="28">
        <f>IF(NOT(AND($A23&lt;&gt;"",OR($I23="",$I23="Active"))),"",IF(OR(IF(OR(ISNUMBER($Y23),$Y23="DNA"),$Y23,IF(OR(ISNUMBER($X23),$X23="DNA"),$X23,IF(OR(ISNUMBER($W23),$W23="DNA"),$W23,IF(OR(ISNUMBER($V23),$V23="DNA"),$V23,IF(OR(ISNUMBER($U23),$U23="DNA"),$U23,IF(OR(ISNUMBER($T23),$T23="DNA"),$T23,IF(OR(ISNUMBER($S23),$S23="DNA"),$S23,IF(OR(ISNUMBER($P23),$P23="DNA"),$P23,IF(OR(ISNUMBER($O23),$O23="DNA"),$O23,IF(OR(ISNUMBER($N23),$N23="DNA"),$N23,""))))))))))="DNA",AND(ISNUMBER(IF(OR(ISNUMBER($Y23),$Y23="DNA"),$Y23,IF(OR(ISNUMBER($X23),$X23="DNA"),$X23,IF(OR(ISNUMBER($W23),$W23="DNA"),$W23,IF(OR(ISNUMBER($V23),$V23="DNA"),$V23,IF(OR(ISNUMBER($U23),$U23="DNA"),$U23,IF(OR(ISNUMBER($T23),$T23="DNA"),$T23,IF(OR(ISNUMBER($S23),$S23="DNA"),$S23,IF(OR(ISNUMBER($P23),$P23="DNA"),$P23,IF(OR(ISNUMBER($O23),$O23="DNA"),$O23,IF(OR(ISNUMBER($N23),$N23="DNA"),$N23,""))))))))))),IF(OR(ISNUMBER($Y23),$Y23="DNA"),$Y23,IF(OR(ISNUMBER($X23),$X23="DNA"),$X23,IF(OR(ISNUMBER($W23),$W23="DNA"),$W23,IF(OR(ISNUMBER($V23),$V23="DNA"),$V23,IF(OR(ISNUMBER($U23),$U23="DNA"),$U23,IF(OR(ISNUMBER($T23),$T23="DNA"),$T23,IF(OR(ISNUMBER($S23),$S23="DNA"),$S23,IF(OR(ISNUMBER($P23),$P23="DNA"),$P23,IF(OR(ISNUMBER($O23),$O23="DNA"),$O23,IF(OR(ISNUMBER($N23),$N23="DNA"),$N23,""))))))))))&lt;TODAY())),1,0)+ISNUMBER($Q23)*($Q23&lt;TODAY())+ISNUMBER($R23)*($R23&lt;TODAY())+ISNUMBER($AA23)*($AA23&lt;TODAY())+ISNUMBER($AB23)*($AB23&lt;TODAY()))</f>
        <v/>
      </c>
    </row>
    <row r="24">
      <c r="A24" s="25" t="n"/>
      <c r="B24" s="26" t="n"/>
      <c r="C24" s="27" t="n"/>
      <c r="D24" s="25" t="n"/>
      <c r="E24" s="25" t="n"/>
      <c r="F24" s="25" t="n"/>
      <c r="G24" s="25" t="n"/>
      <c r="H24" s="27" t="n"/>
      <c r="I24" s="25" t="n"/>
      <c r="J24" s="28">
        <f>IF(OR(NOT(AND($A24&lt;&gt;"",OR($I24="",$I24="Active"))),$H24=""),"",INT((TODAY()-$H24+280)/7)&amp;"+"&amp;MOD(TODAY()-$H24+280,7))</f>
        <v/>
      </c>
      <c r="K24" s="28">
        <f>IF(NOT(AND($A24&lt;&gt;"",OR($I24="",$I24="Active"))),"",ISNUMBER($N24)*($N24&gt;=TODAY())*($N24&lt;=TODAY()+7)+ISNUMBER($O24)*($O24&gt;=TODAY())*($O24&lt;=TODAY()+7)+ISNUMBER($P24)*($P24&gt;=TODAY())*($P24&lt;=TODAY()+7)+ISNUMBER($S24)*($S24&gt;=TODAY())*($S24&lt;=TODAY()+7)+ISNUMBER($T24)*($T24&gt;=TODAY())*($T24&lt;=TODAY()+7)+ISNUMBER($U24)*($U24&gt;=TODAY())*($U24&lt;=TODAY()+7)+ISNUMBER($V24)*($V24&gt;=TODAY())*($V24&lt;=TODAY()+7)+ISNUMBER($W24)*($W24&gt;=TODAY())*($W24&lt;=TODAY()+7)+ISNUMBER($X24)*($X24&gt;=TODAY())*($X24&lt;=TODAY()+7)+ISNUMBER($Y24)*($Y24&gt;=TODAY())*($Y24&lt;=TODAY()+7)+ISNUMBER($Q24)*($Q24&gt;=TODAY())*($Q24&lt;=TODAY()+7)+ISNUMBER($R24)*($R24&gt;=TODAY())*($R24&lt;=TODAY()+7)+ISNUMBER($AA24)*($AA24&gt;=TODAY())*($AA24&lt;=TODAY()+7)+ISNUMBER($AB24)*($AB24&gt;=TODAY())*($AB24&lt;=TODAY()+7))</f>
        <v/>
      </c>
      <c r="L24" s="28">
        <f>IF(NOT(AND($A24&lt;&gt;"",OR($I24="",$I24="Active"))),"",IF($M24&lt;&gt;"",IF($N24=$M24,"Booking",IF($O24=$M24,"16/40",IF($P24=$M24,"25/40",IF($S24=$M24,"28/40",IF($T24=$M24,"31/40",IF($U24=$M24,"34/40",IF($V24=$M24,"36/40",IF($W24=$M24,"38/40",IF($X24=$M24,"40/40",IF($Y24=$M24,"41/40","")))))))))),IF(IF(OR(ISNUMBER($Y24),$Y24="DNA"),$Y24,IF(OR(ISNUMBER($X24),$X24="DNA"),$X24,IF(OR(ISNUMBER($W24),$W24="DNA"),$W24,IF(OR(ISNUMBER($V24),$V24="DNA"),$V24,IF(OR(ISNUMBER($U24),$U24="DNA"),$U24,IF(OR(ISNUMBER($T24),$T24="DNA"),$T24,IF(OR(ISNUMBER($S24),$S24="DNA"),$S24,IF(OR(ISNUMBER($P24),$P24="DNA"),$P24,IF(OR(ISNUMBER($O24),$O24="DNA"),$O24,IF(OR(ISNUMBER($N24),$N24="DNA"),$N24,""))))))))))="DNA","Rebook DNA",IF(ISNUMBER(IF(OR(ISNUMBER($Y24),$Y24="DNA"),$Y24,IF(OR(ISNUMBER($X24),$X24="DNA"),$X24,IF(OR(ISNUMBER($W24),$W24="DNA"),$W24,IF(OR(ISNUMBER($V24),$V24="DNA"),$V24,IF(OR(ISNUMBER($U24),$U24="DNA"),$U24,IF(OR(ISNUMBER($T24),$T24="DNA"),$T24,IF(OR(ISNUMBER($S24),$S24="DNA"),$S24,IF(OR(ISNUMBER($P24),$P24="DNA"),$P24,IF(OR(ISNUMBER($O24),$O24="DNA"),$O24,IF(OR(ISNUMBER($N24),$N24="DNA"),$N24,""))))))))))),IF(ISNUMBER($Y24),"Update status","Missed/not booked?"),""))))</f>
        <v/>
      </c>
      <c r="M24" s="29">
        <f>IF(NOT(AND($A24&lt;&gt;"",OR($I24="",$I24="Active"))),"",IF(MIN(IF(AND(ISNUMBER($N24),$N24&gt;=TODAY()),$N24,99999),IF(AND(ISNUMBER($O24),$O24&gt;=TODAY()),$O24,99999),IF(AND(ISNUMBER($P24),$P24&gt;=TODAY()),$P24,99999),IF(AND(ISNUMBER($S24),$S24&gt;=TODAY()),$S24,99999),IF(AND(ISNUMBER($T24),$T24&gt;=TODAY()),$T24,99999),IF(AND(ISNUMBER($U24),$U24&gt;=TODAY()),$U24,99999),IF(AND(ISNUMBER($V24),$V24&gt;=TODAY()),$V24,99999),IF(AND(ISNUMBER($W24),$W24&gt;=TODAY()),$W24,99999),IF(AND(ISNUMBER($X24),$X24&gt;=TODAY()),$X24,99999),IF(AND(ISNUMBER($Y24),$Y24&gt;=TODAY()),$Y24,99999))=99999,"",MIN(IF(AND(ISNUMBER($N24),$N24&gt;=TODAY()),$N24,99999),IF(AND(ISNUMBER($O24),$O24&gt;=TODAY()),$O24,99999),IF(AND(ISNUMBER($P24),$P24&gt;=TODAY()),$P24,99999),IF(AND(ISNUMBER($S24),$S24&gt;=TODAY()),$S24,99999),IF(AND(ISNUMBER($T24),$T24&gt;=TODAY()),$T24,99999),IF(AND(ISNUMBER($U24),$U24&gt;=TODAY()),$U24,99999),IF(AND(ISNUMBER($V24),$V24&gt;=TODAY()),$V24,99999),IF(AND(ISNUMBER($W24),$W24&gt;=TODAY()),$W24,99999),IF(AND(ISNUMBER($X24),$X24&gt;=TODAY()),$X24,99999),IF(AND(ISNUMBER($Y24),$Y24&gt;=TODAY()),$Y24,99999))))</f>
        <v/>
      </c>
      <c r="N24" s="27" t="n"/>
      <c r="O24" s="27" t="n"/>
      <c r="P24" s="27" t="n"/>
      <c r="Q24" s="27" t="n"/>
      <c r="R24" s="27" t="n"/>
      <c r="S24" s="27" t="n"/>
      <c r="T24" s="27" t="n"/>
      <c r="U24" s="27" t="n"/>
      <c r="V24" s="27" t="n"/>
      <c r="W24" s="27" t="n"/>
      <c r="X24" s="27" t="n"/>
      <c r="Y24" s="27" t="n"/>
      <c r="Z24" s="27" t="n"/>
      <c r="AA24" s="27" t="n"/>
      <c r="AB24" s="27" t="n"/>
      <c r="AC24" s="30" t="n"/>
      <c r="AD24" s="25" t="n"/>
      <c r="AE24" s="28">
        <f>IF(NOT(AND($A24&lt;&gt;"",OR($I24="",$I24="Active"))),"",IF(OR(IF(OR(ISNUMBER($Y24),$Y24="DNA"),$Y24,IF(OR(ISNUMBER($X24),$X24="DNA"),$X24,IF(OR(ISNUMBER($W24),$W24="DNA"),$W24,IF(OR(ISNUMBER($V24),$V24="DNA"),$V24,IF(OR(ISNUMBER($U24),$U24="DNA"),$U24,IF(OR(ISNUMBER($T24),$T24="DNA"),$T24,IF(OR(ISNUMBER($S24),$S24="DNA"),$S24,IF(OR(ISNUMBER($P24),$P24="DNA"),$P24,IF(OR(ISNUMBER($O24),$O24="DNA"),$O24,IF(OR(ISNUMBER($N24),$N24="DNA"),$N24,""))))))))))="DNA",AND(ISNUMBER(IF(OR(ISNUMBER($Y24),$Y24="DNA"),$Y24,IF(OR(ISNUMBER($X24),$X24="DNA"),$X24,IF(OR(ISNUMBER($W24),$W24="DNA"),$W24,IF(OR(ISNUMBER($V24),$V24="DNA"),$V24,IF(OR(ISNUMBER($U24),$U24="DNA"),$U24,IF(OR(ISNUMBER($T24),$T24="DNA"),$T24,IF(OR(ISNUMBER($S24),$S24="DNA"),$S24,IF(OR(ISNUMBER($P24),$P24="DNA"),$P24,IF(OR(ISNUMBER($O24),$O24="DNA"),$O24,IF(OR(ISNUMBER($N24),$N24="DNA"),$N24,""))))))))))),IF(OR(ISNUMBER($Y24),$Y24="DNA"),$Y24,IF(OR(ISNUMBER($X24),$X24="DNA"),$X24,IF(OR(ISNUMBER($W24),$W24="DNA"),$W24,IF(OR(ISNUMBER($V24),$V24="DNA"),$V24,IF(OR(ISNUMBER($U24),$U24="DNA"),$U24,IF(OR(ISNUMBER($T24),$T24="DNA"),$T24,IF(OR(ISNUMBER($S24),$S24="DNA"),$S24,IF(OR(ISNUMBER($P24),$P24="DNA"),$P24,IF(OR(ISNUMBER($O24),$O24="DNA"),$O24,IF(OR(ISNUMBER($N24),$N24="DNA"),$N24,""))))))))))&lt;TODAY())),1,0)+ISNUMBER($Q24)*($Q24&lt;TODAY())+ISNUMBER($R24)*($R24&lt;TODAY())+ISNUMBER($AA24)*($AA24&lt;TODAY())+ISNUMBER($AB24)*($AB24&lt;TODAY()))</f>
        <v/>
      </c>
    </row>
    <row r="25">
      <c r="A25" s="25" t="n"/>
      <c r="B25" s="26" t="n"/>
      <c r="C25" s="27" t="n"/>
      <c r="D25" s="25" t="n"/>
      <c r="E25" s="25" t="n"/>
      <c r="F25" s="25" t="n"/>
      <c r="G25" s="25" t="n"/>
      <c r="H25" s="27" t="n"/>
      <c r="I25" s="25" t="n"/>
      <c r="J25" s="28">
        <f>IF(OR(NOT(AND($A25&lt;&gt;"",OR($I25="",$I25="Active"))),$H25=""),"",INT((TODAY()-$H25+280)/7)&amp;"+"&amp;MOD(TODAY()-$H25+280,7))</f>
        <v/>
      </c>
      <c r="K25" s="28">
        <f>IF(NOT(AND($A25&lt;&gt;"",OR($I25="",$I25="Active"))),"",ISNUMBER($N25)*($N25&gt;=TODAY())*($N25&lt;=TODAY()+7)+ISNUMBER($O25)*($O25&gt;=TODAY())*($O25&lt;=TODAY()+7)+ISNUMBER($P25)*($P25&gt;=TODAY())*($P25&lt;=TODAY()+7)+ISNUMBER($S25)*($S25&gt;=TODAY())*($S25&lt;=TODAY()+7)+ISNUMBER($T25)*($T25&gt;=TODAY())*($T25&lt;=TODAY()+7)+ISNUMBER($U25)*($U25&gt;=TODAY())*($U25&lt;=TODAY()+7)+ISNUMBER($V25)*($V25&gt;=TODAY())*($V25&lt;=TODAY()+7)+ISNUMBER($W25)*($W25&gt;=TODAY())*($W25&lt;=TODAY()+7)+ISNUMBER($X25)*($X25&gt;=TODAY())*($X25&lt;=TODAY()+7)+ISNUMBER($Y25)*($Y25&gt;=TODAY())*($Y25&lt;=TODAY()+7)+ISNUMBER($Q25)*($Q25&gt;=TODAY())*($Q25&lt;=TODAY()+7)+ISNUMBER($R25)*($R25&gt;=TODAY())*($R25&lt;=TODAY()+7)+ISNUMBER($AA25)*($AA25&gt;=TODAY())*($AA25&lt;=TODAY()+7)+ISNUMBER($AB25)*($AB25&gt;=TODAY())*($AB25&lt;=TODAY()+7))</f>
        <v/>
      </c>
      <c r="L25" s="28">
        <f>IF(NOT(AND($A25&lt;&gt;"",OR($I25="",$I25="Active"))),"",IF($M25&lt;&gt;"",IF($N25=$M25,"Booking",IF($O25=$M25,"16/40",IF($P25=$M25,"25/40",IF($S25=$M25,"28/40",IF($T25=$M25,"31/40",IF($U25=$M25,"34/40",IF($V25=$M25,"36/40",IF($W25=$M25,"38/40",IF($X25=$M25,"40/40",IF($Y25=$M25,"41/40","")))))))))),IF(IF(OR(ISNUMBER($Y25),$Y25="DNA"),$Y25,IF(OR(ISNUMBER($X25),$X25="DNA"),$X25,IF(OR(ISNUMBER($W25),$W25="DNA"),$W25,IF(OR(ISNUMBER($V25),$V25="DNA"),$V25,IF(OR(ISNUMBER($U25),$U25="DNA"),$U25,IF(OR(ISNUMBER($T25),$T25="DNA"),$T25,IF(OR(ISNUMBER($S25),$S25="DNA"),$S25,IF(OR(ISNUMBER($P25),$P25="DNA"),$P25,IF(OR(ISNUMBER($O25),$O25="DNA"),$O25,IF(OR(ISNUMBER($N25),$N25="DNA"),$N25,""))))))))))="DNA","Rebook DNA",IF(ISNUMBER(IF(OR(ISNUMBER($Y25),$Y25="DNA"),$Y25,IF(OR(ISNUMBER($X25),$X25="DNA"),$X25,IF(OR(ISNUMBER($W25),$W25="DNA"),$W25,IF(OR(ISNUMBER($V25),$V25="DNA"),$V25,IF(OR(ISNUMBER($U25),$U25="DNA"),$U25,IF(OR(ISNUMBER($T25),$T25="DNA"),$T25,IF(OR(ISNUMBER($S25),$S25="DNA"),$S25,IF(OR(ISNUMBER($P25),$P25="DNA"),$P25,IF(OR(ISNUMBER($O25),$O25="DNA"),$O25,IF(OR(ISNUMBER($N25),$N25="DNA"),$N25,""))))))))))),IF(ISNUMBER($Y25),"Update status","Missed/not booked?"),""))))</f>
        <v/>
      </c>
      <c r="M25" s="29">
        <f>IF(NOT(AND($A25&lt;&gt;"",OR($I25="",$I25="Active"))),"",IF(MIN(IF(AND(ISNUMBER($N25),$N25&gt;=TODAY()),$N25,99999),IF(AND(ISNUMBER($O25),$O25&gt;=TODAY()),$O25,99999),IF(AND(ISNUMBER($P25),$P25&gt;=TODAY()),$P25,99999),IF(AND(ISNUMBER($S25),$S25&gt;=TODAY()),$S25,99999),IF(AND(ISNUMBER($T25),$T25&gt;=TODAY()),$T25,99999),IF(AND(ISNUMBER($U25),$U25&gt;=TODAY()),$U25,99999),IF(AND(ISNUMBER($V25),$V25&gt;=TODAY()),$V25,99999),IF(AND(ISNUMBER($W25),$W25&gt;=TODAY()),$W25,99999),IF(AND(ISNUMBER($X25),$X25&gt;=TODAY()),$X25,99999),IF(AND(ISNUMBER($Y25),$Y25&gt;=TODAY()),$Y25,99999))=99999,"",MIN(IF(AND(ISNUMBER($N25),$N25&gt;=TODAY()),$N25,99999),IF(AND(ISNUMBER($O25),$O25&gt;=TODAY()),$O25,99999),IF(AND(ISNUMBER($P25),$P25&gt;=TODAY()),$P25,99999),IF(AND(ISNUMBER($S25),$S25&gt;=TODAY()),$S25,99999),IF(AND(ISNUMBER($T25),$T25&gt;=TODAY()),$T25,99999),IF(AND(ISNUMBER($U25),$U25&gt;=TODAY()),$U25,99999),IF(AND(ISNUMBER($V25),$V25&gt;=TODAY()),$V25,99999),IF(AND(ISNUMBER($W25),$W25&gt;=TODAY()),$W25,99999),IF(AND(ISNUMBER($X25),$X25&gt;=TODAY()),$X25,99999),IF(AND(ISNUMBER($Y25),$Y25&gt;=TODAY()),$Y25,99999))))</f>
        <v/>
      </c>
      <c r="N25" s="27" t="n"/>
      <c r="O25" s="27" t="n"/>
      <c r="P25" s="27" t="n"/>
      <c r="Q25" s="27" t="n"/>
      <c r="R25" s="27" t="n"/>
      <c r="S25" s="27" t="n"/>
      <c r="T25" s="27" t="n"/>
      <c r="U25" s="27" t="n"/>
      <c r="V25" s="27" t="n"/>
      <c r="W25" s="27" t="n"/>
      <c r="X25" s="27" t="n"/>
      <c r="Y25" s="27" t="n"/>
      <c r="Z25" s="27" t="n"/>
      <c r="AA25" s="27" t="n"/>
      <c r="AB25" s="27" t="n"/>
      <c r="AC25" s="30" t="n"/>
      <c r="AD25" s="25" t="n"/>
      <c r="AE25" s="28">
        <f>IF(NOT(AND($A25&lt;&gt;"",OR($I25="",$I25="Active"))),"",IF(OR(IF(OR(ISNUMBER($Y25),$Y25="DNA"),$Y25,IF(OR(ISNUMBER($X25),$X25="DNA"),$X25,IF(OR(ISNUMBER($W25),$W25="DNA"),$W25,IF(OR(ISNUMBER($V25),$V25="DNA"),$V25,IF(OR(ISNUMBER($U25),$U25="DNA"),$U25,IF(OR(ISNUMBER($T25),$T25="DNA"),$T25,IF(OR(ISNUMBER($S25),$S25="DNA"),$S25,IF(OR(ISNUMBER($P25),$P25="DNA"),$P25,IF(OR(ISNUMBER($O25),$O25="DNA"),$O25,IF(OR(ISNUMBER($N25),$N25="DNA"),$N25,""))))))))))="DNA",AND(ISNUMBER(IF(OR(ISNUMBER($Y25),$Y25="DNA"),$Y25,IF(OR(ISNUMBER($X25),$X25="DNA"),$X25,IF(OR(ISNUMBER($W25),$W25="DNA"),$W25,IF(OR(ISNUMBER($V25),$V25="DNA"),$V25,IF(OR(ISNUMBER($U25),$U25="DNA"),$U25,IF(OR(ISNUMBER($T25),$T25="DNA"),$T25,IF(OR(ISNUMBER($S25),$S25="DNA"),$S25,IF(OR(ISNUMBER($P25),$P25="DNA"),$P25,IF(OR(ISNUMBER($O25),$O25="DNA"),$O25,IF(OR(ISNUMBER($N25),$N25="DNA"),$N25,""))))))))))),IF(OR(ISNUMBER($Y25),$Y25="DNA"),$Y25,IF(OR(ISNUMBER($X25),$X25="DNA"),$X25,IF(OR(ISNUMBER($W25),$W25="DNA"),$W25,IF(OR(ISNUMBER($V25),$V25="DNA"),$V25,IF(OR(ISNUMBER($U25),$U25="DNA"),$U25,IF(OR(ISNUMBER($T25),$T25="DNA"),$T25,IF(OR(ISNUMBER($S25),$S25="DNA"),$S25,IF(OR(ISNUMBER($P25),$P25="DNA"),$P25,IF(OR(ISNUMBER($O25),$O25="DNA"),$O25,IF(OR(ISNUMBER($N25),$N25="DNA"),$N25,""))))))))))&lt;TODAY())),1,0)+ISNUMBER($Q25)*($Q25&lt;TODAY())+ISNUMBER($R25)*($R25&lt;TODAY())+ISNUMBER($AA25)*($AA25&lt;TODAY())+ISNUMBER($AB25)*($AB25&lt;TODAY()))</f>
        <v/>
      </c>
    </row>
    <row r="26">
      <c r="A26" s="25" t="n"/>
      <c r="B26" s="26" t="n"/>
      <c r="C26" s="27" t="n"/>
      <c r="D26" s="25" t="n"/>
      <c r="E26" s="25" t="n"/>
      <c r="F26" s="25" t="n"/>
      <c r="G26" s="25" t="n"/>
      <c r="H26" s="27" t="n"/>
      <c r="I26" s="25" t="n"/>
      <c r="J26" s="28">
        <f>IF(OR(NOT(AND($A26&lt;&gt;"",OR($I26="",$I26="Active"))),$H26=""),"",INT((TODAY()-$H26+280)/7)&amp;"+"&amp;MOD(TODAY()-$H26+280,7))</f>
        <v/>
      </c>
      <c r="K26" s="28">
        <f>IF(NOT(AND($A26&lt;&gt;"",OR($I26="",$I26="Active"))),"",ISNUMBER($N26)*($N26&gt;=TODAY())*($N26&lt;=TODAY()+7)+ISNUMBER($O26)*($O26&gt;=TODAY())*($O26&lt;=TODAY()+7)+ISNUMBER($P26)*($P26&gt;=TODAY())*($P26&lt;=TODAY()+7)+ISNUMBER($S26)*($S26&gt;=TODAY())*($S26&lt;=TODAY()+7)+ISNUMBER($T26)*($T26&gt;=TODAY())*($T26&lt;=TODAY()+7)+ISNUMBER($U26)*($U26&gt;=TODAY())*($U26&lt;=TODAY()+7)+ISNUMBER($V26)*($V26&gt;=TODAY())*($V26&lt;=TODAY()+7)+ISNUMBER($W26)*($W26&gt;=TODAY())*($W26&lt;=TODAY()+7)+ISNUMBER($X26)*($X26&gt;=TODAY())*($X26&lt;=TODAY()+7)+ISNUMBER($Y26)*($Y26&gt;=TODAY())*($Y26&lt;=TODAY()+7)+ISNUMBER($Q26)*($Q26&gt;=TODAY())*($Q26&lt;=TODAY()+7)+ISNUMBER($R26)*($R26&gt;=TODAY())*($R26&lt;=TODAY()+7)+ISNUMBER($AA26)*($AA26&gt;=TODAY())*($AA26&lt;=TODAY()+7)+ISNUMBER($AB26)*($AB26&gt;=TODAY())*($AB26&lt;=TODAY()+7))</f>
        <v/>
      </c>
      <c r="L26" s="28">
        <f>IF(NOT(AND($A26&lt;&gt;"",OR($I26="",$I26="Active"))),"",IF($M26&lt;&gt;"",IF($N26=$M26,"Booking",IF($O26=$M26,"16/40",IF($P26=$M26,"25/40",IF($S26=$M26,"28/40",IF($T26=$M26,"31/40",IF($U26=$M26,"34/40",IF($V26=$M26,"36/40",IF($W26=$M26,"38/40",IF($X26=$M26,"40/40",IF($Y26=$M26,"41/40","")))))))))),IF(IF(OR(ISNUMBER($Y26),$Y26="DNA"),$Y26,IF(OR(ISNUMBER($X26),$X26="DNA"),$X26,IF(OR(ISNUMBER($W26),$W26="DNA"),$W26,IF(OR(ISNUMBER($V26),$V26="DNA"),$V26,IF(OR(ISNUMBER($U26),$U26="DNA"),$U26,IF(OR(ISNUMBER($T26),$T26="DNA"),$T26,IF(OR(ISNUMBER($S26),$S26="DNA"),$S26,IF(OR(ISNUMBER($P26),$P26="DNA"),$P26,IF(OR(ISNUMBER($O26),$O26="DNA"),$O26,IF(OR(ISNUMBER($N26),$N26="DNA"),$N26,""))))))))))="DNA","Rebook DNA",IF(ISNUMBER(IF(OR(ISNUMBER($Y26),$Y26="DNA"),$Y26,IF(OR(ISNUMBER($X26),$X26="DNA"),$X26,IF(OR(ISNUMBER($W26),$W26="DNA"),$W26,IF(OR(ISNUMBER($V26),$V26="DNA"),$V26,IF(OR(ISNUMBER($U26),$U26="DNA"),$U26,IF(OR(ISNUMBER($T26),$T26="DNA"),$T26,IF(OR(ISNUMBER($S26),$S26="DNA"),$S26,IF(OR(ISNUMBER($P26),$P26="DNA"),$P26,IF(OR(ISNUMBER($O26),$O26="DNA"),$O26,IF(OR(ISNUMBER($N26),$N26="DNA"),$N26,""))))))))))),IF(ISNUMBER($Y26),"Update status","Missed/not booked?"),""))))</f>
        <v/>
      </c>
      <c r="M26" s="29">
        <f>IF(NOT(AND($A26&lt;&gt;"",OR($I26="",$I26="Active"))),"",IF(MIN(IF(AND(ISNUMBER($N26),$N26&gt;=TODAY()),$N26,99999),IF(AND(ISNUMBER($O26),$O26&gt;=TODAY()),$O26,99999),IF(AND(ISNUMBER($P26),$P26&gt;=TODAY()),$P26,99999),IF(AND(ISNUMBER($S26),$S26&gt;=TODAY()),$S26,99999),IF(AND(ISNUMBER($T26),$T26&gt;=TODAY()),$T26,99999),IF(AND(ISNUMBER($U26),$U26&gt;=TODAY()),$U26,99999),IF(AND(ISNUMBER($V26),$V26&gt;=TODAY()),$V26,99999),IF(AND(ISNUMBER($W26),$W26&gt;=TODAY()),$W26,99999),IF(AND(ISNUMBER($X26),$X26&gt;=TODAY()),$X26,99999),IF(AND(ISNUMBER($Y26),$Y26&gt;=TODAY()),$Y26,99999))=99999,"",MIN(IF(AND(ISNUMBER($N26),$N26&gt;=TODAY()),$N26,99999),IF(AND(ISNUMBER($O26),$O26&gt;=TODAY()),$O26,99999),IF(AND(ISNUMBER($P26),$P26&gt;=TODAY()),$P26,99999),IF(AND(ISNUMBER($S26),$S26&gt;=TODAY()),$S26,99999),IF(AND(ISNUMBER($T26),$T26&gt;=TODAY()),$T26,99999),IF(AND(ISNUMBER($U26),$U26&gt;=TODAY()),$U26,99999),IF(AND(ISNUMBER($V26),$V26&gt;=TODAY()),$V26,99999),IF(AND(ISNUMBER($W26),$W26&gt;=TODAY()),$W26,99999),IF(AND(ISNUMBER($X26),$X26&gt;=TODAY()),$X26,99999),IF(AND(ISNUMBER($Y26),$Y26&gt;=TODAY()),$Y26,99999))))</f>
        <v/>
      </c>
      <c r="N26" s="27" t="n"/>
      <c r="O26" s="27" t="n"/>
      <c r="P26" s="27" t="n"/>
      <c r="Q26" s="27" t="n"/>
      <c r="R26" s="27" t="n"/>
      <c r="S26" s="27" t="n"/>
      <c r="T26" s="27" t="n"/>
      <c r="U26" s="27" t="n"/>
      <c r="V26" s="27" t="n"/>
      <c r="W26" s="27" t="n"/>
      <c r="X26" s="27" t="n"/>
      <c r="Y26" s="27" t="n"/>
      <c r="Z26" s="27" t="n"/>
      <c r="AA26" s="27" t="n"/>
      <c r="AB26" s="27" t="n"/>
      <c r="AC26" s="30" t="n"/>
      <c r="AD26" s="25" t="n"/>
      <c r="AE26" s="28">
        <f>IF(NOT(AND($A26&lt;&gt;"",OR($I26="",$I26="Active"))),"",IF(OR(IF(OR(ISNUMBER($Y26),$Y26="DNA"),$Y26,IF(OR(ISNUMBER($X26),$X26="DNA"),$X26,IF(OR(ISNUMBER($W26),$W26="DNA"),$W26,IF(OR(ISNUMBER($V26),$V26="DNA"),$V26,IF(OR(ISNUMBER($U26),$U26="DNA"),$U26,IF(OR(ISNUMBER($T26),$T26="DNA"),$T26,IF(OR(ISNUMBER($S26),$S26="DNA"),$S26,IF(OR(ISNUMBER($P26),$P26="DNA"),$P26,IF(OR(ISNUMBER($O26),$O26="DNA"),$O26,IF(OR(ISNUMBER($N26),$N26="DNA"),$N26,""))))))))))="DNA",AND(ISNUMBER(IF(OR(ISNUMBER($Y26),$Y26="DNA"),$Y26,IF(OR(ISNUMBER($X26),$X26="DNA"),$X26,IF(OR(ISNUMBER($W26),$W26="DNA"),$W26,IF(OR(ISNUMBER($V26),$V26="DNA"),$V26,IF(OR(ISNUMBER($U26),$U26="DNA"),$U26,IF(OR(ISNUMBER($T26),$T26="DNA"),$T26,IF(OR(ISNUMBER($S26),$S26="DNA"),$S26,IF(OR(ISNUMBER($P26),$P26="DNA"),$P26,IF(OR(ISNUMBER($O26),$O26="DNA"),$O26,IF(OR(ISNUMBER($N26),$N26="DNA"),$N26,""))))))))))),IF(OR(ISNUMBER($Y26),$Y26="DNA"),$Y26,IF(OR(ISNUMBER($X26),$X26="DNA"),$X26,IF(OR(ISNUMBER($W26),$W26="DNA"),$W26,IF(OR(ISNUMBER($V26),$V26="DNA"),$V26,IF(OR(ISNUMBER($U26),$U26="DNA"),$U26,IF(OR(ISNUMBER($T26),$T26="DNA"),$T26,IF(OR(ISNUMBER($S26),$S26="DNA"),$S26,IF(OR(ISNUMBER($P26),$P26="DNA"),$P26,IF(OR(ISNUMBER($O26),$O26="DNA"),$O26,IF(OR(ISNUMBER($N26),$N26="DNA"),$N26,""))))))))))&lt;TODAY())),1,0)+ISNUMBER($Q26)*($Q26&lt;TODAY())+ISNUMBER($R26)*($R26&lt;TODAY())+ISNUMBER($AA26)*($AA26&lt;TODAY())+ISNUMBER($AB26)*($AB26&lt;TODAY()))</f>
        <v/>
      </c>
    </row>
    <row r="27">
      <c r="A27" s="25" t="n"/>
      <c r="B27" s="26" t="n"/>
      <c r="C27" s="27" t="n"/>
      <c r="D27" s="25" t="n"/>
      <c r="E27" s="25" t="n"/>
      <c r="F27" s="25" t="n"/>
      <c r="G27" s="25" t="n"/>
      <c r="H27" s="27" t="n"/>
      <c r="I27" s="25" t="n"/>
      <c r="J27" s="28">
        <f>IF(OR(NOT(AND($A27&lt;&gt;"",OR($I27="",$I27="Active"))),$H27=""),"",INT((TODAY()-$H27+280)/7)&amp;"+"&amp;MOD(TODAY()-$H27+280,7))</f>
        <v/>
      </c>
      <c r="K27" s="28">
        <f>IF(NOT(AND($A27&lt;&gt;"",OR($I27="",$I27="Active"))),"",ISNUMBER($N27)*($N27&gt;=TODAY())*($N27&lt;=TODAY()+7)+ISNUMBER($O27)*($O27&gt;=TODAY())*($O27&lt;=TODAY()+7)+ISNUMBER($P27)*($P27&gt;=TODAY())*($P27&lt;=TODAY()+7)+ISNUMBER($S27)*($S27&gt;=TODAY())*($S27&lt;=TODAY()+7)+ISNUMBER($T27)*($T27&gt;=TODAY())*($T27&lt;=TODAY()+7)+ISNUMBER($U27)*($U27&gt;=TODAY())*($U27&lt;=TODAY()+7)+ISNUMBER($V27)*($V27&gt;=TODAY())*($V27&lt;=TODAY()+7)+ISNUMBER($W27)*($W27&gt;=TODAY())*($W27&lt;=TODAY()+7)+ISNUMBER($X27)*($X27&gt;=TODAY())*($X27&lt;=TODAY()+7)+ISNUMBER($Y27)*($Y27&gt;=TODAY())*($Y27&lt;=TODAY()+7)+ISNUMBER($Q27)*($Q27&gt;=TODAY())*($Q27&lt;=TODAY()+7)+ISNUMBER($R27)*($R27&gt;=TODAY())*($R27&lt;=TODAY()+7)+ISNUMBER($AA27)*($AA27&gt;=TODAY())*($AA27&lt;=TODAY()+7)+ISNUMBER($AB27)*($AB27&gt;=TODAY())*($AB27&lt;=TODAY()+7))</f>
        <v/>
      </c>
      <c r="L27" s="28">
        <f>IF(NOT(AND($A27&lt;&gt;"",OR($I27="",$I27="Active"))),"",IF($M27&lt;&gt;"",IF($N27=$M27,"Booking",IF($O27=$M27,"16/40",IF($P27=$M27,"25/40",IF($S27=$M27,"28/40",IF($T27=$M27,"31/40",IF($U27=$M27,"34/40",IF($V27=$M27,"36/40",IF($W27=$M27,"38/40",IF($X27=$M27,"40/40",IF($Y27=$M27,"41/40","")))))))))),IF(IF(OR(ISNUMBER($Y27),$Y27="DNA"),$Y27,IF(OR(ISNUMBER($X27),$X27="DNA"),$X27,IF(OR(ISNUMBER($W27),$W27="DNA"),$W27,IF(OR(ISNUMBER($V27),$V27="DNA"),$V27,IF(OR(ISNUMBER($U27),$U27="DNA"),$U27,IF(OR(ISNUMBER($T27),$T27="DNA"),$T27,IF(OR(ISNUMBER($S27),$S27="DNA"),$S27,IF(OR(ISNUMBER($P27),$P27="DNA"),$P27,IF(OR(ISNUMBER($O27),$O27="DNA"),$O27,IF(OR(ISNUMBER($N27),$N27="DNA"),$N27,""))))))))))="DNA","Rebook DNA",IF(ISNUMBER(IF(OR(ISNUMBER($Y27),$Y27="DNA"),$Y27,IF(OR(ISNUMBER($X27),$X27="DNA"),$X27,IF(OR(ISNUMBER($W27),$W27="DNA"),$W27,IF(OR(ISNUMBER($V27),$V27="DNA"),$V27,IF(OR(ISNUMBER($U27),$U27="DNA"),$U27,IF(OR(ISNUMBER($T27),$T27="DNA"),$T27,IF(OR(ISNUMBER($S27),$S27="DNA"),$S27,IF(OR(ISNUMBER($P27),$P27="DNA"),$P27,IF(OR(ISNUMBER($O27),$O27="DNA"),$O27,IF(OR(ISNUMBER($N27),$N27="DNA"),$N27,""))))))))))),IF(ISNUMBER($Y27),"Update status","Missed/not booked?"),""))))</f>
        <v/>
      </c>
      <c r="M27" s="29">
        <f>IF(NOT(AND($A27&lt;&gt;"",OR($I27="",$I27="Active"))),"",IF(MIN(IF(AND(ISNUMBER($N27),$N27&gt;=TODAY()),$N27,99999),IF(AND(ISNUMBER($O27),$O27&gt;=TODAY()),$O27,99999),IF(AND(ISNUMBER($P27),$P27&gt;=TODAY()),$P27,99999),IF(AND(ISNUMBER($S27),$S27&gt;=TODAY()),$S27,99999),IF(AND(ISNUMBER($T27),$T27&gt;=TODAY()),$T27,99999),IF(AND(ISNUMBER($U27),$U27&gt;=TODAY()),$U27,99999),IF(AND(ISNUMBER($V27),$V27&gt;=TODAY()),$V27,99999),IF(AND(ISNUMBER($W27),$W27&gt;=TODAY()),$W27,99999),IF(AND(ISNUMBER($X27),$X27&gt;=TODAY()),$X27,99999),IF(AND(ISNUMBER($Y27),$Y27&gt;=TODAY()),$Y27,99999))=99999,"",MIN(IF(AND(ISNUMBER($N27),$N27&gt;=TODAY()),$N27,99999),IF(AND(ISNUMBER($O27),$O27&gt;=TODAY()),$O27,99999),IF(AND(ISNUMBER($P27),$P27&gt;=TODAY()),$P27,99999),IF(AND(ISNUMBER($S27),$S27&gt;=TODAY()),$S27,99999),IF(AND(ISNUMBER($T27),$T27&gt;=TODAY()),$T27,99999),IF(AND(ISNUMBER($U27),$U27&gt;=TODAY()),$U27,99999),IF(AND(ISNUMBER($V27),$V27&gt;=TODAY()),$V27,99999),IF(AND(ISNUMBER($W27),$W27&gt;=TODAY()),$W27,99999),IF(AND(ISNUMBER($X27),$X27&gt;=TODAY()),$X27,99999),IF(AND(ISNUMBER($Y27),$Y27&gt;=TODAY()),$Y27,99999))))</f>
        <v/>
      </c>
      <c r="N27" s="27" t="n"/>
      <c r="O27" s="27" t="n"/>
      <c r="P27" s="27" t="n"/>
      <c r="Q27" s="27" t="n"/>
      <c r="R27" s="27" t="n"/>
      <c r="S27" s="27" t="n"/>
      <c r="T27" s="27" t="n"/>
      <c r="U27" s="27" t="n"/>
      <c r="V27" s="27" t="n"/>
      <c r="W27" s="27" t="n"/>
      <c r="X27" s="27" t="n"/>
      <c r="Y27" s="27" t="n"/>
      <c r="Z27" s="27" t="n"/>
      <c r="AA27" s="27" t="n"/>
      <c r="AB27" s="27" t="n"/>
      <c r="AC27" s="30" t="n"/>
      <c r="AD27" s="25" t="n"/>
      <c r="AE27" s="28">
        <f>IF(NOT(AND($A27&lt;&gt;"",OR($I27="",$I27="Active"))),"",IF(OR(IF(OR(ISNUMBER($Y27),$Y27="DNA"),$Y27,IF(OR(ISNUMBER($X27),$X27="DNA"),$X27,IF(OR(ISNUMBER($W27),$W27="DNA"),$W27,IF(OR(ISNUMBER($V27),$V27="DNA"),$V27,IF(OR(ISNUMBER($U27),$U27="DNA"),$U27,IF(OR(ISNUMBER($T27),$T27="DNA"),$T27,IF(OR(ISNUMBER($S27),$S27="DNA"),$S27,IF(OR(ISNUMBER($P27),$P27="DNA"),$P27,IF(OR(ISNUMBER($O27),$O27="DNA"),$O27,IF(OR(ISNUMBER($N27),$N27="DNA"),$N27,""))))))))))="DNA",AND(ISNUMBER(IF(OR(ISNUMBER($Y27),$Y27="DNA"),$Y27,IF(OR(ISNUMBER($X27),$X27="DNA"),$X27,IF(OR(ISNUMBER($W27),$W27="DNA"),$W27,IF(OR(ISNUMBER($V27),$V27="DNA"),$V27,IF(OR(ISNUMBER($U27),$U27="DNA"),$U27,IF(OR(ISNUMBER($T27),$T27="DNA"),$T27,IF(OR(ISNUMBER($S27),$S27="DNA"),$S27,IF(OR(ISNUMBER($P27),$P27="DNA"),$P27,IF(OR(ISNUMBER($O27),$O27="DNA"),$O27,IF(OR(ISNUMBER($N27),$N27="DNA"),$N27,""))))))))))),IF(OR(ISNUMBER($Y27),$Y27="DNA"),$Y27,IF(OR(ISNUMBER($X27),$X27="DNA"),$X27,IF(OR(ISNUMBER($W27),$W27="DNA"),$W27,IF(OR(ISNUMBER($V27),$V27="DNA"),$V27,IF(OR(ISNUMBER($U27),$U27="DNA"),$U27,IF(OR(ISNUMBER($T27),$T27="DNA"),$T27,IF(OR(ISNUMBER($S27),$S27="DNA"),$S27,IF(OR(ISNUMBER($P27),$P27="DNA"),$P27,IF(OR(ISNUMBER($O27),$O27="DNA"),$O27,IF(OR(ISNUMBER($N27),$N27="DNA"),$N27,""))))))))))&lt;TODAY())),1,0)+ISNUMBER($Q27)*($Q27&lt;TODAY())+ISNUMBER($R27)*($R27&lt;TODAY())+ISNUMBER($AA27)*($AA27&lt;TODAY())+ISNUMBER($AB27)*($AB27&lt;TODAY()))</f>
        <v/>
      </c>
    </row>
    <row r="28">
      <c r="A28" s="25" t="n"/>
      <c r="B28" s="26" t="n"/>
      <c r="C28" s="27" t="n"/>
      <c r="D28" s="25" t="n"/>
      <c r="E28" s="25" t="n"/>
      <c r="F28" s="25" t="n"/>
      <c r="G28" s="25" t="n"/>
      <c r="H28" s="27" t="n"/>
      <c r="I28" s="25" t="n"/>
      <c r="J28" s="28">
        <f>IF(OR(NOT(AND($A28&lt;&gt;"",OR($I28="",$I28="Active"))),$H28=""),"",INT((TODAY()-$H28+280)/7)&amp;"+"&amp;MOD(TODAY()-$H28+280,7))</f>
        <v/>
      </c>
      <c r="K28" s="28">
        <f>IF(NOT(AND($A28&lt;&gt;"",OR($I28="",$I28="Active"))),"",ISNUMBER($N28)*($N28&gt;=TODAY())*($N28&lt;=TODAY()+7)+ISNUMBER($O28)*($O28&gt;=TODAY())*($O28&lt;=TODAY()+7)+ISNUMBER($P28)*($P28&gt;=TODAY())*($P28&lt;=TODAY()+7)+ISNUMBER($S28)*($S28&gt;=TODAY())*($S28&lt;=TODAY()+7)+ISNUMBER($T28)*($T28&gt;=TODAY())*($T28&lt;=TODAY()+7)+ISNUMBER($U28)*($U28&gt;=TODAY())*($U28&lt;=TODAY()+7)+ISNUMBER($V28)*($V28&gt;=TODAY())*($V28&lt;=TODAY()+7)+ISNUMBER($W28)*($W28&gt;=TODAY())*($W28&lt;=TODAY()+7)+ISNUMBER($X28)*($X28&gt;=TODAY())*($X28&lt;=TODAY()+7)+ISNUMBER($Y28)*($Y28&gt;=TODAY())*($Y28&lt;=TODAY()+7)+ISNUMBER($Q28)*($Q28&gt;=TODAY())*($Q28&lt;=TODAY()+7)+ISNUMBER($R28)*($R28&gt;=TODAY())*($R28&lt;=TODAY()+7)+ISNUMBER($AA28)*($AA28&gt;=TODAY())*($AA28&lt;=TODAY()+7)+ISNUMBER($AB28)*($AB28&gt;=TODAY())*($AB28&lt;=TODAY()+7))</f>
        <v/>
      </c>
      <c r="L28" s="28">
        <f>IF(NOT(AND($A28&lt;&gt;"",OR($I28="",$I28="Active"))),"",IF($M28&lt;&gt;"",IF($N28=$M28,"Booking",IF($O28=$M28,"16/40",IF($P28=$M28,"25/40",IF($S28=$M28,"28/40",IF($T28=$M28,"31/40",IF($U28=$M28,"34/40",IF($V28=$M28,"36/40",IF($W28=$M28,"38/40",IF($X28=$M28,"40/40",IF($Y28=$M28,"41/40","")))))))))),IF(IF(OR(ISNUMBER($Y28),$Y28="DNA"),$Y28,IF(OR(ISNUMBER($X28),$X28="DNA"),$X28,IF(OR(ISNUMBER($W28),$W28="DNA"),$W28,IF(OR(ISNUMBER($V28),$V28="DNA"),$V28,IF(OR(ISNUMBER($U28),$U28="DNA"),$U28,IF(OR(ISNUMBER($T28),$T28="DNA"),$T28,IF(OR(ISNUMBER($S28),$S28="DNA"),$S28,IF(OR(ISNUMBER($P28),$P28="DNA"),$P28,IF(OR(ISNUMBER($O28),$O28="DNA"),$O28,IF(OR(ISNUMBER($N28),$N28="DNA"),$N28,""))))))))))="DNA","Rebook DNA",IF(ISNUMBER(IF(OR(ISNUMBER($Y28),$Y28="DNA"),$Y28,IF(OR(ISNUMBER($X28),$X28="DNA"),$X28,IF(OR(ISNUMBER($W28),$W28="DNA"),$W28,IF(OR(ISNUMBER($V28),$V28="DNA"),$V28,IF(OR(ISNUMBER($U28),$U28="DNA"),$U28,IF(OR(ISNUMBER($T28),$T28="DNA"),$T28,IF(OR(ISNUMBER($S28),$S28="DNA"),$S28,IF(OR(ISNUMBER($P28),$P28="DNA"),$P28,IF(OR(ISNUMBER($O28),$O28="DNA"),$O28,IF(OR(ISNUMBER($N28),$N28="DNA"),$N28,""))))))))))),IF(ISNUMBER($Y28),"Update status","Missed/not booked?"),""))))</f>
        <v/>
      </c>
      <c r="M28" s="29">
        <f>IF(NOT(AND($A28&lt;&gt;"",OR($I28="",$I28="Active"))),"",IF(MIN(IF(AND(ISNUMBER($N28),$N28&gt;=TODAY()),$N28,99999),IF(AND(ISNUMBER($O28),$O28&gt;=TODAY()),$O28,99999),IF(AND(ISNUMBER($P28),$P28&gt;=TODAY()),$P28,99999),IF(AND(ISNUMBER($S28),$S28&gt;=TODAY()),$S28,99999),IF(AND(ISNUMBER($T28),$T28&gt;=TODAY()),$T28,99999),IF(AND(ISNUMBER($U28),$U28&gt;=TODAY()),$U28,99999),IF(AND(ISNUMBER($V28),$V28&gt;=TODAY()),$V28,99999),IF(AND(ISNUMBER($W28),$W28&gt;=TODAY()),$W28,99999),IF(AND(ISNUMBER($X28),$X28&gt;=TODAY()),$X28,99999),IF(AND(ISNUMBER($Y28),$Y28&gt;=TODAY()),$Y28,99999))=99999,"",MIN(IF(AND(ISNUMBER($N28),$N28&gt;=TODAY()),$N28,99999),IF(AND(ISNUMBER($O28),$O28&gt;=TODAY()),$O28,99999),IF(AND(ISNUMBER($P28),$P28&gt;=TODAY()),$P28,99999),IF(AND(ISNUMBER($S28),$S28&gt;=TODAY()),$S28,99999),IF(AND(ISNUMBER($T28),$T28&gt;=TODAY()),$T28,99999),IF(AND(ISNUMBER($U28),$U28&gt;=TODAY()),$U28,99999),IF(AND(ISNUMBER($V28),$V28&gt;=TODAY()),$V28,99999),IF(AND(ISNUMBER($W28),$W28&gt;=TODAY()),$W28,99999),IF(AND(ISNUMBER($X28),$X28&gt;=TODAY()),$X28,99999),IF(AND(ISNUMBER($Y28),$Y28&gt;=TODAY()),$Y28,99999))))</f>
        <v/>
      </c>
      <c r="N28" s="27" t="n"/>
      <c r="O28" s="27" t="n"/>
      <c r="P28" s="27" t="n"/>
      <c r="Q28" s="27" t="n"/>
      <c r="R28" s="27" t="n"/>
      <c r="S28" s="27" t="n"/>
      <c r="T28" s="27" t="n"/>
      <c r="U28" s="27" t="n"/>
      <c r="V28" s="27" t="n"/>
      <c r="W28" s="27" t="n"/>
      <c r="X28" s="27" t="n"/>
      <c r="Y28" s="27" t="n"/>
      <c r="Z28" s="27" t="n"/>
      <c r="AA28" s="27" t="n"/>
      <c r="AB28" s="27" t="n"/>
      <c r="AC28" s="30" t="n"/>
      <c r="AD28" s="25" t="n"/>
      <c r="AE28" s="28">
        <f>IF(NOT(AND($A28&lt;&gt;"",OR($I28="",$I28="Active"))),"",IF(OR(IF(OR(ISNUMBER($Y28),$Y28="DNA"),$Y28,IF(OR(ISNUMBER($X28),$X28="DNA"),$X28,IF(OR(ISNUMBER($W28),$W28="DNA"),$W28,IF(OR(ISNUMBER($V28),$V28="DNA"),$V28,IF(OR(ISNUMBER($U28),$U28="DNA"),$U28,IF(OR(ISNUMBER($T28),$T28="DNA"),$T28,IF(OR(ISNUMBER($S28),$S28="DNA"),$S28,IF(OR(ISNUMBER($P28),$P28="DNA"),$P28,IF(OR(ISNUMBER($O28),$O28="DNA"),$O28,IF(OR(ISNUMBER($N28),$N28="DNA"),$N28,""))))))))))="DNA",AND(ISNUMBER(IF(OR(ISNUMBER($Y28),$Y28="DNA"),$Y28,IF(OR(ISNUMBER($X28),$X28="DNA"),$X28,IF(OR(ISNUMBER($W28),$W28="DNA"),$W28,IF(OR(ISNUMBER($V28),$V28="DNA"),$V28,IF(OR(ISNUMBER($U28),$U28="DNA"),$U28,IF(OR(ISNUMBER($T28),$T28="DNA"),$T28,IF(OR(ISNUMBER($S28),$S28="DNA"),$S28,IF(OR(ISNUMBER($P28),$P28="DNA"),$P28,IF(OR(ISNUMBER($O28),$O28="DNA"),$O28,IF(OR(ISNUMBER($N28),$N28="DNA"),$N28,""))))))))))),IF(OR(ISNUMBER($Y28),$Y28="DNA"),$Y28,IF(OR(ISNUMBER($X28),$X28="DNA"),$X28,IF(OR(ISNUMBER($W28),$W28="DNA"),$W28,IF(OR(ISNUMBER($V28),$V28="DNA"),$V28,IF(OR(ISNUMBER($U28),$U28="DNA"),$U28,IF(OR(ISNUMBER($T28),$T28="DNA"),$T28,IF(OR(ISNUMBER($S28),$S28="DNA"),$S28,IF(OR(ISNUMBER($P28),$P28="DNA"),$P28,IF(OR(ISNUMBER($O28),$O28="DNA"),$O28,IF(OR(ISNUMBER($N28),$N28="DNA"),$N28,""))))))))))&lt;TODAY())),1,0)+ISNUMBER($Q28)*($Q28&lt;TODAY())+ISNUMBER($R28)*($R28&lt;TODAY())+ISNUMBER($AA28)*($AA28&lt;TODAY())+ISNUMBER($AB28)*($AB28&lt;TODAY()))</f>
        <v/>
      </c>
    </row>
    <row r="29">
      <c r="A29" s="25" t="n"/>
      <c r="B29" s="26" t="n"/>
      <c r="C29" s="27" t="n"/>
      <c r="D29" s="25" t="n"/>
      <c r="E29" s="25" t="n"/>
      <c r="F29" s="25" t="n"/>
      <c r="G29" s="25" t="n"/>
      <c r="H29" s="27" t="n"/>
      <c r="I29" s="25" t="n"/>
      <c r="J29" s="28">
        <f>IF(OR(NOT(AND($A29&lt;&gt;"",OR($I29="",$I29="Active"))),$H29=""),"",INT((TODAY()-$H29+280)/7)&amp;"+"&amp;MOD(TODAY()-$H29+280,7))</f>
        <v/>
      </c>
      <c r="K29" s="28">
        <f>IF(NOT(AND($A29&lt;&gt;"",OR($I29="",$I29="Active"))),"",ISNUMBER($N29)*($N29&gt;=TODAY())*($N29&lt;=TODAY()+7)+ISNUMBER($O29)*($O29&gt;=TODAY())*($O29&lt;=TODAY()+7)+ISNUMBER($P29)*($P29&gt;=TODAY())*($P29&lt;=TODAY()+7)+ISNUMBER($S29)*($S29&gt;=TODAY())*($S29&lt;=TODAY()+7)+ISNUMBER($T29)*($T29&gt;=TODAY())*($T29&lt;=TODAY()+7)+ISNUMBER($U29)*($U29&gt;=TODAY())*($U29&lt;=TODAY()+7)+ISNUMBER($V29)*($V29&gt;=TODAY())*($V29&lt;=TODAY()+7)+ISNUMBER($W29)*($W29&gt;=TODAY())*($W29&lt;=TODAY()+7)+ISNUMBER($X29)*($X29&gt;=TODAY())*($X29&lt;=TODAY()+7)+ISNUMBER($Y29)*($Y29&gt;=TODAY())*($Y29&lt;=TODAY()+7)+ISNUMBER($Q29)*($Q29&gt;=TODAY())*($Q29&lt;=TODAY()+7)+ISNUMBER($R29)*($R29&gt;=TODAY())*($R29&lt;=TODAY()+7)+ISNUMBER($AA29)*($AA29&gt;=TODAY())*($AA29&lt;=TODAY()+7)+ISNUMBER($AB29)*($AB29&gt;=TODAY())*($AB29&lt;=TODAY()+7))</f>
        <v/>
      </c>
      <c r="L29" s="28">
        <f>IF(NOT(AND($A29&lt;&gt;"",OR($I29="",$I29="Active"))),"",IF($M29&lt;&gt;"",IF($N29=$M29,"Booking",IF($O29=$M29,"16/40",IF($P29=$M29,"25/40",IF($S29=$M29,"28/40",IF($T29=$M29,"31/40",IF($U29=$M29,"34/40",IF($V29=$M29,"36/40",IF($W29=$M29,"38/40",IF($X29=$M29,"40/40",IF($Y29=$M29,"41/40","")))))))))),IF(IF(OR(ISNUMBER($Y29),$Y29="DNA"),$Y29,IF(OR(ISNUMBER($X29),$X29="DNA"),$X29,IF(OR(ISNUMBER($W29),$W29="DNA"),$W29,IF(OR(ISNUMBER($V29),$V29="DNA"),$V29,IF(OR(ISNUMBER($U29),$U29="DNA"),$U29,IF(OR(ISNUMBER($T29),$T29="DNA"),$T29,IF(OR(ISNUMBER($S29),$S29="DNA"),$S29,IF(OR(ISNUMBER($P29),$P29="DNA"),$P29,IF(OR(ISNUMBER($O29),$O29="DNA"),$O29,IF(OR(ISNUMBER($N29),$N29="DNA"),$N29,""))))))))))="DNA","Rebook DNA",IF(ISNUMBER(IF(OR(ISNUMBER($Y29),$Y29="DNA"),$Y29,IF(OR(ISNUMBER($X29),$X29="DNA"),$X29,IF(OR(ISNUMBER($W29),$W29="DNA"),$W29,IF(OR(ISNUMBER($V29),$V29="DNA"),$V29,IF(OR(ISNUMBER($U29),$U29="DNA"),$U29,IF(OR(ISNUMBER($T29),$T29="DNA"),$T29,IF(OR(ISNUMBER($S29),$S29="DNA"),$S29,IF(OR(ISNUMBER($P29),$P29="DNA"),$P29,IF(OR(ISNUMBER($O29),$O29="DNA"),$O29,IF(OR(ISNUMBER($N29),$N29="DNA"),$N29,""))))))))))),IF(ISNUMBER($Y29),"Update status","Missed/not booked?"),""))))</f>
        <v/>
      </c>
      <c r="M29" s="29">
        <f>IF(NOT(AND($A29&lt;&gt;"",OR($I29="",$I29="Active"))),"",IF(MIN(IF(AND(ISNUMBER($N29),$N29&gt;=TODAY()),$N29,99999),IF(AND(ISNUMBER($O29),$O29&gt;=TODAY()),$O29,99999),IF(AND(ISNUMBER($P29),$P29&gt;=TODAY()),$P29,99999),IF(AND(ISNUMBER($S29),$S29&gt;=TODAY()),$S29,99999),IF(AND(ISNUMBER($T29),$T29&gt;=TODAY()),$T29,99999),IF(AND(ISNUMBER($U29),$U29&gt;=TODAY()),$U29,99999),IF(AND(ISNUMBER($V29),$V29&gt;=TODAY()),$V29,99999),IF(AND(ISNUMBER($W29),$W29&gt;=TODAY()),$W29,99999),IF(AND(ISNUMBER($X29),$X29&gt;=TODAY()),$X29,99999),IF(AND(ISNUMBER($Y29),$Y29&gt;=TODAY()),$Y29,99999))=99999,"",MIN(IF(AND(ISNUMBER($N29),$N29&gt;=TODAY()),$N29,99999),IF(AND(ISNUMBER($O29),$O29&gt;=TODAY()),$O29,99999),IF(AND(ISNUMBER($P29),$P29&gt;=TODAY()),$P29,99999),IF(AND(ISNUMBER($S29),$S29&gt;=TODAY()),$S29,99999),IF(AND(ISNUMBER($T29),$T29&gt;=TODAY()),$T29,99999),IF(AND(ISNUMBER($U29),$U29&gt;=TODAY()),$U29,99999),IF(AND(ISNUMBER($V29),$V29&gt;=TODAY()),$V29,99999),IF(AND(ISNUMBER($W29),$W29&gt;=TODAY()),$W29,99999),IF(AND(ISNUMBER($X29),$X29&gt;=TODAY()),$X29,99999),IF(AND(ISNUMBER($Y29),$Y29&gt;=TODAY()),$Y29,99999))))</f>
        <v/>
      </c>
      <c r="N29" s="27" t="n"/>
      <c r="O29" s="27" t="n"/>
      <c r="P29" s="27" t="n"/>
      <c r="Q29" s="27" t="n"/>
      <c r="R29" s="27" t="n"/>
      <c r="S29" s="27" t="n"/>
      <c r="T29" s="27" t="n"/>
      <c r="U29" s="27" t="n"/>
      <c r="V29" s="27" t="n"/>
      <c r="W29" s="27" t="n"/>
      <c r="X29" s="27" t="n"/>
      <c r="Y29" s="27" t="n"/>
      <c r="Z29" s="27" t="n"/>
      <c r="AA29" s="27" t="n"/>
      <c r="AB29" s="27" t="n"/>
      <c r="AC29" s="30" t="n"/>
      <c r="AD29" s="25" t="n"/>
      <c r="AE29" s="28">
        <f>IF(NOT(AND($A29&lt;&gt;"",OR($I29="",$I29="Active"))),"",IF(OR(IF(OR(ISNUMBER($Y29),$Y29="DNA"),$Y29,IF(OR(ISNUMBER($X29),$X29="DNA"),$X29,IF(OR(ISNUMBER($W29),$W29="DNA"),$W29,IF(OR(ISNUMBER($V29),$V29="DNA"),$V29,IF(OR(ISNUMBER($U29),$U29="DNA"),$U29,IF(OR(ISNUMBER($T29),$T29="DNA"),$T29,IF(OR(ISNUMBER($S29),$S29="DNA"),$S29,IF(OR(ISNUMBER($P29),$P29="DNA"),$P29,IF(OR(ISNUMBER($O29),$O29="DNA"),$O29,IF(OR(ISNUMBER($N29),$N29="DNA"),$N29,""))))))))))="DNA",AND(ISNUMBER(IF(OR(ISNUMBER($Y29),$Y29="DNA"),$Y29,IF(OR(ISNUMBER($X29),$X29="DNA"),$X29,IF(OR(ISNUMBER($W29),$W29="DNA"),$W29,IF(OR(ISNUMBER($V29),$V29="DNA"),$V29,IF(OR(ISNUMBER($U29),$U29="DNA"),$U29,IF(OR(ISNUMBER($T29),$T29="DNA"),$T29,IF(OR(ISNUMBER($S29),$S29="DNA"),$S29,IF(OR(ISNUMBER($P29),$P29="DNA"),$P29,IF(OR(ISNUMBER($O29),$O29="DNA"),$O29,IF(OR(ISNUMBER($N29),$N29="DNA"),$N29,""))))))))))),IF(OR(ISNUMBER($Y29),$Y29="DNA"),$Y29,IF(OR(ISNUMBER($X29),$X29="DNA"),$X29,IF(OR(ISNUMBER($W29),$W29="DNA"),$W29,IF(OR(ISNUMBER($V29),$V29="DNA"),$V29,IF(OR(ISNUMBER($U29),$U29="DNA"),$U29,IF(OR(ISNUMBER($T29),$T29="DNA"),$T29,IF(OR(ISNUMBER($S29),$S29="DNA"),$S29,IF(OR(ISNUMBER($P29),$P29="DNA"),$P29,IF(OR(ISNUMBER($O29),$O29="DNA"),$O29,IF(OR(ISNUMBER($N29),$N29="DNA"),$N29,""))))))))))&lt;TODAY())),1,0)+ISNUMBER($Q29)*($Q29&lt;TODAY())+ISNUMBER($R29)*($R29&lt;TODAY())+ISNUMBER($AA29)*($AA29&lt;TODAY())+ISNUMBER($AB29)*($AB29&lt;TODAY()))</f>
        <v/>
      </c>
    </row>
    <row r="30">
      <c r="A30" s="25" t="n"/>
      <c r="B30" s="26" t="n"/>
      <c r="C30" s="27" t="n"/>
      <c r="D30" s="25" t="n"/>
      <c r="E30" s="25" t="n"/>
      <c r="F30" s="25" t="n"/>
      <c r="G30" s="25" t="n"/>
      <c r="H30" s="27" t="n"/>
      <c r="I30" s="25" t="n"/>
      <c r="J30" s="28">
        <f>IF(OR(NOT(AND($A30&lt;&gt;"",OR($I30="",$I30="Active"))),$H30=""),"",INT((TODAY()-$H30+280)/7)&amp;"+"&amp;MOD(TODAY()-$H30+280,7))</f>
        <v/>
      </c>
      <c r="K30" s="28">
        <f>IF(NOT(AND($A30&lt;&gt;"",OR($I30="",$I30="Active"))),"",ISNUMBER($N30)*($N30&gt;=TODAY())*($N30&lt;=TODAY()+7)+ISNUMBER($O30)*($O30&gt;=TODAY())*($O30&lt;=TODAY()+7)+ISNUMBER($P30)*($P30&gt;=TODAY())*($P30&lt;=TODAY()+7)+ISNUMBER($S30)*($S30&gt;=TODAY())*($S30&lt;=TODAY()+7)+ISNUMBER($T30)*($T30&gt;=TODAY())*($T30&lt;=TODAY()+7)+ISNUMBER($U30)*($U30&gt;=TODAY())*($U30&lt;=TODAY()+7)+ISNUMBER($V30)*($V30&gt;=TODAY())*($V30&lt;=TODAY()+7)+ISNUMBER($W30)*($W30&gt;=TODAY())*($W30&lt;=TODAY()+7)+ISNUMBER($X30)*($X30&gt;=TODAY())*($X30&lt;=TODAY()+7)+ISNUMBER($Y30)*($Y30&gt;=TODAY())*($Y30&lt;=TODAY()+7)+ISNUMBER($Q30)*($Q30&gt;=TODAY())*($Q30&lt;=TODAY()+7)+ISNUMBER($R30)*($R30&gt;=TODAY())*($R30&lt;=TODAY()+7)+ISNUMBER($AA30)*($AA30&gt;=TODAY())*($AA30&lt;=TODAY()+7)+ISNUMBER($AB30)*($AB30&gt;=TODAY())*($AB30&lt;=TODAY()+7))</f>
        <v/>
      </c>
      <c r="L30" s="28">
        <f>IF(NOT(AND($A30&lt;&gt;"",OR($I30="",$I30="Active"))),"",IF($M30&lt;&gt;"",IF($N30=$M30,"Booking",IF($O30=$M30,"16/40",IF($P30=$M30,"25/40",IF($S30=$M30,"28/40",IF($T30=$M30,"31/40",IF($U30=$M30,"34/40",IF($V30=$M30,"36/40",IF($W30=$M30,"38/40",IF($X30=$M30,"40/40",IF($Y30=$M30,"41/40","")))))))))),IF(IF(OR(ISNUMBER($Y30),$Y30="DNA"),$Y30,IF(OR(ISNUMBER($X30),$X30="DNA"),$X30,IF(OR(ISNUMBER($W30),$W30="DNA"),$W30,IF(OR(ISNUMBER($V30),$V30="DNA"),$V30,IF(OR(ISNUMBER($U30),$U30="DNA"),$U30,IF(OR(ISNUMBER($T30),$T30="DNA"),$T30,IF(OR(ISNUMBER($S30),$S30="DNA"),$S30,IF(OR(ISNUMBER($P30),$P30="DNA"),$P30,IF(OR(ISNUMBER($O30),$O30="DNA"),$O30,IF(OR(ISNUMBER($N30),$N30="DNA"),$N30,""))))))))))="DNA","Rebook DNA",IF(ISNUMBER(IF(OR(ISNUMBER($Y30),$Y30="DNA"),$Y30,IF(OR(ISNUMBER($X30),$X30="DNA"),$X30,IF(OR(ISNUMBER($W30),$W30="DNA"),$W30,IF(OR(ISNUMBER($V30),$V30="DNA"),$V30,IF(OR(ISNUMBER($U30),$U30="DNA"),$U30,IF(OR(ISNUMBER($T30),$T30="DNA"),$T30,IF(OR(ISNUMBER($S30),$S30="DNA"),$S30,IF(OR(ISNUMBER($P30),$P30="DNA"),$P30,IF(OR(ISNUMBER($O30),$O30="DNA"),$O30,IF(OR(ISNUMBER($N30),$N30="DNA"),$N30,""))))))))))),IF(ISNUMBER($Y30),"Update status","Missed/not booked?"),""))))</f>
        <v/>
      </c>
      <c r="M30" s="29">
        <f>IF(NOT(AND($A30&lt;&gt;"",OR($I30="",$I30="Active"))),"",IF(MIN(IF(AND(ISNUMBER($N30),$N30&gt;=TODAY()),$N30,99999),IF(AND(ISNUMBER($O30),$O30&gt;=TODAY()),$O30,99999),IF(AND(ISNUMBER($P30),$P30&gt;=TODAY()),$P30,99999),IF(AND(ISNUMBER($S30),$S30&gt;=TODAY()),$S30,99999),IF(AND(ISNUMBER($T30),$T30&gt;=TODAY()),$T30,99999),IF(AND(ISNUMBER($U30),$U30&gt;=TODAY()),$U30,99999),IF(AND(ISNUMBER($V30),$V30&gt;=TODAY()),$V30,99999),IF(AND(ISNUMBER($W30),$W30&gt;=TODAY()),$W30,99999),IF(AND(ISNUMBER($X30),$X30&gt;=TODAY()),$X30,99999),IF(AND(ISNUMBER($Y30),$Y30&gt;=TODAY()),$Y30,99999))=99999,"",MIN(IF(AND(ISNUMBER($N30),$N30&gt;=TODAY()),$N30,99999),IF(AND(ISNUMBER($O30),$O30&gt;=TODAY()),$O30,99999),IF(AND(ISNUMBER($P30),$P30&gt;=TODAY()),$P30,99999),IF(AND(ISNUMBER($S30),$S30&gt;=TODAY()),$S30,99999),IF(AND(ISNUMBER($T30),$T30&gt;=TODAY()),$T30,99999),IF(AND(ISNUMBER($U30),$U30&gt;=TODAY()),$U30,99999),IF(AND(ISNUMBER($V30),$V30&gt;=TODAY()),$V30,99999),IF(AND(ISNUMBER($W30),$W30&gt;=TODAY()),$W30,99999),IF(AND(ISNUMBER($X30),$X30&gt;=TODAY()),$X30,99999),IF(AND(ISNUMBER($Y30),$Y30&gt;=TODAY()),$Y30,99999))))</f>
        <v/>
      </c>
      <c r="N30" s="27" t="n"/>
      <c r="O30" s="27" t="n"/>
      <c r="P30" s="27" t="n"/>
      <c r="Q30" s="27" t="n"/>
      <c r="R30" s="27" t="n"/>
      <c r="S30" s="27" t="n"/>
      <c r="T30" s="27" t="n"/>
      <c r="U30" s="27" t="n"/>
      <c r="V30" s="27" t="n"/>
      <c r="W30" s="27" t="n"/>
      <c r="X30" s="27" t="n"/>
      <c r="Y30" s="27" t="n"/>
      <c r="Z30" s="27" t="n"/>
      <c r="AA30" s="27" t="n"/>
      <c r="AB30" s="27" t="n"/>
      <c r="AC30" s="30" t="n"/>
      <c r="AD30" s="25" t="n"/>
      <c r="AE30" s="28">
        <f>IF(NOT(AND($A30&lt;&gt;"",OR($I30="",$I30="Active"))),"",IF(OR(IF(OR(ISNUMBER($Y30),$Y30="DNA"),$Y30,IF(OR(ISNUMBER($X30),$X30="DNA"),$X30,IF(OR(ISNUMBER($W30),$W30="DNA"),$W30,IF(OR(ISNUMBER($V30),$V30="DNA"),$V30,IF(OR(ISNUMBER($U30),$U30="DNA"),$U30,IF(OR(ISNUMBER($T30),$T30="DNA"),$T30,IF(OR(ISNUMBER($S30),$S30="DNA"),$S30,IF(OR(ISNUMBER($P30),$P30="DNA"),$P30,IF(OR(ISNUMBER($O30),$O30="DNA"),$O30,IF(OR(ISNUMBER($N30),$N30="DNA"),$N30,""))))))))))="DNA",AND(ISNUMBER(IF(OR(ISNUMBER($Y30),$Y30="DNA"),$Y30,IF(OR(ISNUMBER($X30),$X30="DNA"),$X30,IF(OR(ISNUMBER($W30),$W30="DNA"),$W30,IF(OR(ISNUMBER($V30),$V30="DNA"),$V30,IF(OR(ISNUMBER($U30),$U30="DNA"),$U30,IF(OR(ISNUMBER($T30),$T30="DNA"),$T30,IF(OR(ISNUMBER($S30),$S30="DNA"),$S30,IF(OR(ISNUMBER($P30),$P30="DNA"),$P30,IF(OR(ISNUMBER($O30),$O30="DNA"),$O30,IF(OR(ISNUMBER($N30),$N30="DNA"),$N30,""))))))))))),IF(OR(ISNUMBER($Y30),$Y30="DNA"),$Y30,IF(OR(ISNUMBER($X30),$X30="DNA"),$X30,IF(OR(ISNUMBER($W30),$W30="DNA"),$W30,IF(OR(ISNUMBER($V30),$V30="DNA"),$V30,IF(OR(ISNUMBER($U30),$U30="DNA"),$U30,IF(OR(ISNUMBER($T30),$T30="DNA"),$T30,IF(OR(ISNUMBER($S30),$S30="DNA"),$S30,IF(OR(ISNUMBER($P30),$P30="DNA"),$P30,IF(OR(ISNUMBER($O30),$O30="DNA"),$O30,IF(OR(ISNUMBER($N30),$N30="DNA"),$N30,""))))))))))&lt;TODAY())),1,0)+ISNUMBER($Q30)*($Q30&lt;TODAY())+ISNUMBER($R30)*($R30&lt;TODAY())+ISNUMBER($AA30)*($AA30&lt;TODAY())+ISNUMBER($AB30)*($AB30&lt;TODAY()))</f>
        <v/>
      </c>
    </row>
    <row r="31">
      <c r="A31" s="25" t="n"/>
      <c r="B31" s="26" t="n"/>
      <c r="C31" s="27" t="n"/>
      <c r="D31" s="25" t="n"/>
      <c r="E31" s="25" t="n"/>
      <c r="F31" s="25" t="n"/>
      <c r="G31" s="25" t="n"/>
      <c r="H31" s="27" t="n"/>
      <c r="I31" s="25" t="n"/>
      <c r="J31" s="28">
        <f>IF(OR(NOT(AND($A31&lt;&gt;"",OR($I31="",$I31="Active"))),$H31=""),"",INT((TODAY()-$H31+280)/7)&amp;"+"&amp;MOD(TODAY()-$H31+280,7))</f>
        <v/>
      </c>
      <c r="K31" s="28">
        <f>IF(NOT(AND($A31&lt;&gt;"",OR($I31="",$I31="Active"))),"",ISNUMBER($N31)*($N31&gt;=TODAY())*($N31&lt;=TODAY()+7)+ISNUMBER($O31)*($O31&gt;=TODAY())*($O31&lt;=TODAY()+7)+ISNUMBER($P31)*($P31&gt;=TODAY())*($P31&lt;=TODAY()+7)+ISNUMBER($S31)*($S31&gt;=TODAY())*($S31&lt;=TODAY()+7)+ISNUMBER($T31)*($T31&gt;=TODAY())*($T31&lt;=TODAY()+7)+ISNUMBER($U31)*($U31&gt;=TODAY())*($U31&lt;=TODAY()+7)+ISNUMBER($V31)*($V31&gt;=TODAY())*($V31&lt;=TODAY()+7)+ISNUMBER($W31)*($W31&gt;=TODAY())*($W31&lt;=TODAY()+7)+ISNUMBER($X31)*($X31&gt;=TODAY())*($X31&lt;=TODAY()+7)+ISNUMBER($Y31)*($Y31&gt;=TODAY())*($Y31&lt;=TODAY()+7)+ISNUMBER($Q31)*($Q31&gt;=TODAY())*($Q31&lt;=TODAY()+7)+ISNUMBER($R31)*($R31&gt;=TODAY())*($R31&lt;=TODAY()+7)+ISNUMBER($AA31)*($AA31&gt;=TODAY())*($AA31&lt;=TODAY()+7)+ISNUMBER($AB31)*($AB31&gt;=TODAY())*($AB31&lt;=TODAY()+7))</f>
        <v/>
      </c>
      <c r="L31" s="28">
        <f>IF(NOT(AND($A31&lt;&gt;"",OR($I31="",$I31="Active"))),"",IF($M31&lt;&gt;"",IF($N31=$M31,"Booking",IF($O31=$M31,"16/40",IF($P31=$M31,"25/40",IF($S31=$M31,"28/40",IF($T31=$M31,"31/40",IF($U31=$M31,"34/40",IF($V31=$M31,"36/40",IF($W31=$M31,"38/40",IF($X31=$M31,"40/40",IF($Y31=$M31,"41/40","")))))))))),IF(IF(OR(ISNUMBER($Y31),$Y31="DNA"),$Y31,IF(OR(ISNUMBER($X31),$X31="DNA"),$X31,IF(OR(ISNUMBER($W31),$W31="DNA"),$W31,IF(OR(ISNUMBER($V31),$V31="DNA"),$V31,IF(OR(ISNUMBER($U31),$U31="DNA"),$U31,IF(OR(ISNUMBER($T31),$T31="DNA"),$T31,IF(OR(ISNUMBER($S31),$S31="DNA"),$S31,IF(OR(ISNUMBER($P31),$P31="DNA"),$P31,IF(OR(ISNUMBER($O31),$O31="DNA"),$O31,IF(OR(ISNUMBER($N31),$N31="DNA"),$N31,""))))))))))="DNA","Rebook DNA",IF(ISNUMBER(IF(OR(ISNUMBER($Y31),$Y31="DNA"),$Y31,IF(OR(ISNUMBER($X31),$X31="DNA"),$X31,IF(OR(ISNUMBER($W31),$W31="DNA"),$W31,IF(OR(ISNUMBER($V31),$V31="DNA"),$V31,IF(OR(ISNUMBER($U31),$U31="DNA"),$U31,IF(OR(ISNUMBER($T31),$T31="DNA"),$T31,IF(OR(ISNUMBER($S31),$S31="DNA"),$S31,IF(OR(ISNUMBER($P31),$P31="DNA"),$P31,IF(OR(ISNUMBER($O31),$O31="DNA"),$O31,IF(OR(ISNUMBER($N31),$N31="DNA"),$N31,""))))))))))),IF(ISNUMBER($Y31),"Update status","Missed/not booked?"),""))))</f>
        <v/>
      </c>
      <c r="M31" s="29">
        <f>IF(NOT(AND($A31&lt;&gt;"",OR($I31="",$I31="Active"))),"",IF(MIN(IF(AND(ISNUMBER($N31),$N31&gt;=TODAY()),$N31,99999),IF(AND(ISNUMBER($O31),$O31&gt;=TODAY()),$O31,99999),IF(AND(ISNUMBER($P31),$P31&gt;=TODAY()),$P31,99999),IF(AND(ISNUMBER($S31),$S31&gt;=TODAY()),$S31,99999),IF(AND(ISNUMBER($T31),$T31&gt;=TODAY()),$T31,99999),IF(AND(ISNUMBER($U31),$U31&gt;=TODAY()),$U31,99999),IF(AND(ISNUMBER($V31),$V31&gt;=TODAY()),$V31,99999),IF(AND(ISNUMBER($W31),$W31&gt;=TODAY()),$W31,99999),IF(AND(ISNUMBER($X31),$X31&gt;=TODAY()),$X31,99999),IF(AND(ISNUMBER($Y31),$Y31&gt;=TODAY()),$Y31,99999))=99999,"",MIN(IF(AND(ISNUMBER($N31),$N31&gt;=TODAY()),$N31,99999),IF(AND(ISNUMBER($O31),$O31&gt;=TODAY()),$O31,99999),IF(AND(ISNUMBER($P31),$P31&gt;=TODAY()),$P31,99999),IF(AND(ISNUMBER($S31),$S31&gt;=TODAY()),$S31,99999),IF(AND(ISNUMBER($T31),$T31&gt;=TODAY()),$T31,99999),IF(AND(ISNUMBER($U31),$U31&gt;=TODAY()),$U31,99999),IF(AND(ISNUMBER($V31),$V31&gt;=TODAY()),$V31,99999),IF(AND(ISNUMBER($W31),$W31&gt;=TODAY()),$W31,99999),IF(AND(ISNUMBER($X31),$X31&gt;=TODAY()),$X31,99999),IF(AND(ISNUMBER($Y31),$Y31&gt;=TODAY()),$Y31,99999))))</f>
        <v/>
      </c>
      <c r="N31" s="27" t="n"/>
      <c r="O31" s="27" t="n"/>
      <c r="P31" s="27" t="n"/>
      <c r="Q31" s="27" t="n"/>
      <c r="R31" s="27" t="n"/>
      <c r="S31" s="27" t="n"/>
      <c r="T31" s="27" t="n"/>
      <c r="U31" s="27" t="n"/>
      <c r="V31" s="27" t="n"/>
      <c r="W31" s="27" t="n"/>
      <c r="X31" s="27" t="n"/>
      <c r="Y31" s="27" t="n"/>
      <c r="Z31" s="27" t="n"/>
      <c r="AA31" s="27" t="n"/>
      <c r="AB31" s="27" t="n"/>
      <c r="AC31" s="30" t="n"/>
      <c r="AD31" s="25" t="n"/>
      <c r="AE31" s="28">
        <f>IF(NOT(AND($A31&lt;&gt;"",OR($I31="",$I31="Active"))),"",IF(OR(IF(OR(ISNUMBER($Y31),$Y31="DNA"),$Y31,IF(OR(ISNUMBER($X31),$X31="DNA"),$X31,IF(OR(ISNUMBER($W31),$W31="DNA"),$W31,IF(OR(ISNUMBER($V31),$V31="DNA"),$V31,IF(OR(ISNUMBER($U31),$U31="DNA"),$U31,IF(OR(ISNUMBER($T31),$T31="DNA"),$T31,IF(OR(ISNUMBER($S31),$S31="DNA"),$S31,IF(OR(ISNUMBER($P31),$P31="DNA"),$P31,IF(OR(ISNUMBER($O31),$O31="DNA"),$O31,IF(OR(ISNUMBER($N31),$N31="DNA"),$N31,""))))))))))="DNA",AND(ISNUMBER(IF(OR(ISNUMBER($Y31),$Y31="DNA"),$Y31,IF(OR(ISNUMBER($X31),$X31="DNA"),$X31,IF(OR(ISNUMBER($W31),$W31="DNA"),$W31,IF(OR(ISNUMBER($V31),$V31="DNA"),$V31,IF(OR(ISNUMBER($U31),$U31="DNA"),$U31,IF(OR(ISNUMBER($T31),$T31="DNA"),$T31,IF(OR(ISNUMBER($S31),$S31="DNA"),$S31,IF(OR(ISNUMBER($P31),$P31="DNA"),$P31,IF(OR(ISNUMBER($O31),$O31="DNA"),$O31,IF(OR(ISNUMBER($N31),$N31="DNA"),$N31,""))))))))))),IF(OR(ISNUMBER($Y31),$Y31="DNA"),$Y31,IF(OR(ISNUMBER($X31),$X31="DNA"),$X31,IF(OR(ISNUMBER($W31),$W31="DNA"),$W31,IF(OR(ISNUMBER($V31),$V31="DNA"),$V31,IF(OR(ISNUMBER($U31),$U31="DNA"),$U31,IF(OR(ISNUMBER($T31),$T31="DNA"),$T31,IF(OR(ISNUMBER($S31),$S31="DNA"),$S31,IF(OR(ISNUMBER($P31),$P31="DNA"),$P31,IF(OR(ISNUMBER($O31),$O31="DNA"),$O31,IF(OR(ISNUMBER($N31),$N31="DNA"),$N31,""))))))))))&lt;TODAY())),1,0)+ISNUMBER($Q31)*($Q31&lt;TODAY())+ISNUMBER($R31)*($R31&lt;TODAY())+ISNUMBER($AA31)*($AA31&lt;TODAY())+ISNUMBER($AB31)*($AB31&lt;TODAY()))</f>
        <v/>
      </c>
    </row>
    <row r="32">
      <c r="A32" s="25" t="n"/>
      <c r="B32" s="26" t="n"/>
      <c r="C32" s="27" t="n"/>
      <c r="D32" s="25" t="n"/>
      <c r="E32" s="25" t="n"/>
      <c r="F32" s="25" t="n"/>
      <c r="G32" s="25" t="n"/>
      <c r="H32" s="27" t="n"/>
      <c r="I32" s="25" t="n"/>
      <c r="J32" s="28">
        <f>IF(OR(NOT(AND($A32&lt;&gt;"",OR($I32="",$I32="Active"))),$H32=""),"",INT((TODAY()-$H32+280)/7)&amp;"+"&amp;MOD(TODAY()-$H32+280,7))</f>
        <v/>
      </c>
      <c r="K32" s="28">
        <f>IF(NOT(AND($A32&lt;&gt;"",OR($I32="",$I32="Active"))),"",ISNUMBER($N32)*($N32&gt;=TODAY())*($N32&lt;=TODAY()+7)+ISNUMBER($O32)*($O32&gt;=TODAY())*($O32&lt;=TODAY()+7)+ISNUMBER($P32)*($P32&gt;=TODAY())*($P32&lt;=TODAY()+7)+ISNUMBER($S32)*($S32&gt;=TODAY())*($S32&lt;=TODAY()+7)+ISNUMBER($T32)*($T32&gt;=TODAY())*($T32&lt;=TODAY()+7)+ISNUMBER($U32)*($U32&gt;=TODAY())*($U32&lt;=TODAY()+7)+ISNUMBER($V32)*($V32&gt;=TODAY())*($V32&lt;=TODAY()+7)+ISNUMBER($W32)*($W32&gt;=TODAY())*($W32&lt;=TODAY()+7)+ISNUMBER($X32)*($X32&gt;=TODAY())*($X32&lt;=TODAY()+7)+ISNUMBER($Y32)*($Y32&gt;=TODAY())*($Y32&lt;=TODAY()+7)+ISNUMBER($Q32)*($Q32&gt;=TODAY())*($Q32&lt;=TODAY()+7)+ISNUMBER($R32)*($R32&gt;=TODAY())*($R32&lt;=TODAY()+7)+ISNUMBER($AA32)*($AA32&gt;=TODAY())*($AA32&lt;=TODAY()+7)+ISNUMBER($AB32)*($AB32&gt;=TODAY())*($AB32&lt;=TODAY()+7))</f>
        <v/>
      </c>
      <c r="L32" s="28">
        <f>IF(NOT(AND($A32&lt;&gt;"",OR($I32="",$I32="Active"))),"",IF($M32&lt;&gt;"",IF($N32=$M32,"Booking",IF($O32=$M32,"16/40",IF($P32=$M32,"25/40",IF($S32=$M32,"28/40",IF($T32=$M32,"31/40",IF($U32=$M32,"34/40",IF($V32=$M32,"36/40",IF($W32=$M32,"38/40",IF($X32=$M32,"40/40",IF($Y32=$M32,"41/40","")))))))))),IF(IF(OR(ISNUMBER($Y32),$Y32="DNA"),$Y32,IF(OR(ISNUMBER($X32),$X32="DNA"),$X32,IF(OR(ISNUMBER($W32),$W32="DNA"),$W32,IF(OR(ISNUMBER($V32),$V32="DNA"),$V32,IF(OR(ISNUMBER($U32),$U32="DNA"),$U32,IF(OR(ISNUMBER($T32),$T32="DNA"),$T32,IF(OR(ISNUMBER($S32),$S32="DNA"),$S32,IF(OR(ISNUMBER($P32),$P32="DNA"),$P32,IF(OR(ISNUMBER($O32),$O32="DNA"),$O32,IF(OR(ISNUMBER($N32),$N32="DNA"),$N32,""))))))))))="DNA","Rebook DNA",IF(ISNUMBER(IF(OR(ISNUMBER($Y32),$Y32="DNA"),$Y32,IF(OR(ISNUMBER($X32),$X32="DNA"),$X32,IF(OR(ISNUMBER($W32),$W32="DNA"),$W32,IF(OR(ISNUMBER($V32),$V32="DNA"),$V32,IF(OR(ISNUMBER($U32),$U32="DNA"),$U32,IF(OR(ISNUMBER($T32),$T32="DNA"),$T32,IF(OR(ISNUMBER($S32),$S32="DNA"),$S32,IF(OR(ISNUMBER($P32),$P32="DNA"),$P32,IF(OR(ISNUMBER($O32),$O32="DNA"),$O32,IF(OR(ISNUMBER($N32),$N32="DNA"),$N32,""))))))))))),IF(ISNUMBER($Y32),"Update status","Missed/not booked?"),""))))</f>
        <v/>
      </c>
      <c r="M32" s="29">
        <f>IF(NOT(AND($A32&lt;&gt;"",OR($I32="",$I32="Active"))),"",IF(MIN(IF(AND(ISNUMBER($N32),$N32&gt;=TODAY()),$N32,99999),IF(AND(ISNUMBER($O32),$O32&gt;=TODAY()),$O32,99999),IF(AND(ISNUMBER($P32),$P32&gt;=TODAY()),$P32,99999),IF(AND(ISNUMBER($S32),$S32&gt;=TODAY()),$S32,99999),IF(AND(ISNUMBER($T32),$T32&gt;=TODAY()),$T32,99999),IF(AND(ISNUMBER($U32),$U32&gt;=TODAY()),$U32,99999),IF(AND(ISNUMBER($V32),$V32&gt;=TODAY()),$V32,99999),IF(AND(ISNUMBER($W32),$W32&gt;=TODAY()),$W32,99999),IF(AND(ISNUMBER($X32),$X32&gt;=TODAY()),$X32,99999),IF(AND(ISNUMBER($Y32),$Y32&gt;=TODAY()),$Y32,99999))=99999,"",MIN(IF(AND(ISNUMBER($N32),$N32&gt;=TODAY()),$N32,99999),IF(AND(ISNUMBER($O32),$O32&gt;=TODAY()),$O32,99999),IF(AND(ISNUMBER($P32),$P32&gt;=TODAY()),$P32,99999),IF(AND(ISNUMBER($S32),$S32&gt;=TODAY()),$S32,99999),IF(AND(ISNUMBER($T32),$T32&gt;=TODAY()),$T32,99999),IF(AND(ISNUMBER($U32),$U32&gt;=TODAY()),$U32,99999),IF(AND(ISNUMBER($V32),$V32&gt;=TODAY()),$V32,99999),IF(AND(ISNUMBER($W32),$W32&gt;=TODAY()),$W32,99999),IF(AND(ISNUMBER($X32),$X32&gt;=TODAY()),$X32,99999),IF(AND(ISNUMBER($Y32),$Y32&gt;=TODAY()),$Y32,99999))))</f>
        <v/>
      </c>
      <c r="N32" s="27" t="n"/>
      <c r="O32" s="27" t="n"/>
      <c r="P32" s="27" t="n"/>
      <c r="Q32" s="27" t="n"/>
      <c r="R32" s="27" t="n"/>
      <c r="S32" s="27" t="n"/>
      <c r="T32" s="27" t="n"/>
      <c r="U32" s="27" t="n"/>
      <c r="V32" s="27" t="n"/>
      <c r="W32" s="27" t="n"/>
      <c r="X32" s="27" t="n"/>
      <c r="Y32" s="27" t="n"/>
      <c r="Z32" s="27" t="n"/>
      <c r="AA32" s="27" t="n"/>
      <c r="AB32" s="27" t="n"/>
      <c r="AC32" s="30" t="n"/>
      <c r="AD32" s="25" t="n"/>
      <c r="AE32" s="28">
        <f>IF(NOT(AND($A32&lt;&gt;"",OR($I32="",$I32="Active"))),"",IF(OR(IF(OR(ISNUMBER($Y32),$Y32="DNA"),$Y32,IF(OR(ISNUMBER($X32),$X32="DNA"),$X32,IF(OR(ISNUMBER($W32),$W32="DNA"),$W32,IF(OR(ISNUMBER($V32),$V32="DNA"),$V32,IF(OR(ISNUMBER($U32),$U32="DNA"),$U32,IF(OR(ISNUMBER($T32),$T32="DNA"),$T32,IF(OR(ISNUMBER($S32),$S32="DNA"),$S32,IF(OR(ISNUMBER($P32),$P32="DNA"),$P32,IF(OR(ISNUMBER($O32),$O32="DNA"),$O32,IF(OR(ISNUMBER($N32),$N32="DNA"),$N32,""))))))))))="DNA",AND(ISNUMBER(IF(OR(ISNUMBER($Y32),$Y32="DNA"),$Y32,IF(OR(ISNUMBER($X32),$X32="DNA"),$X32,IF(OR(ISNUMBER($W32),$W32="DNA"),$W32,IF(OR(ISNUMBER($V32),$V32="DNA"),$V32,IF(OR(ISNUMBER($U32),$U32="DNA"),$U32,IF(OR(ISNUMBER($T32),$T32="DNA"),$T32,IF(OR(ISNUMBER($S32),$S32="DNA"),$S32,IF(OR(ISNUMBER($P32),$P32="DNA"),$P32,IF(OR(ISNUMBER($O32),$O32="DNA"),$O32,IF(OR(ISNUMBER($N32),$N32="DNA"),$N32,""))))))))))),IF(OR(ISNUMBER($Y32),$Y32="DNA"),$Y32,IF(OR(ISNUMBER($X32),$X32="DNA"),$X32,IF(OR(ISNUMBER($W32),$W32="DNA"),$W32,IF(OR(ISNUMBER($V32),$V32="DNA"),$V32,IF(OR(ISNUMBER($U32),$U32="DNA"),$U32,IF(OR(ISNUMBER($T32),$T32="DNA"),$T32,IF(OR(ISNUMBER($S32),$S32="DNA"),$S32,IF(OR(ISNUMBER($P32),$P32="DNA"),$P32,IF(OR(ISNUMBER($O32),$O32="DNA"),$O32,IF(OR(ISNUMBER($N32),$N32="DNA"),$N32,""))))))))))&lt;TODAY())),1,0)+ISNUMBER($Q32)*($Q32&lt;TODAY())+ISNUMBER($R32)*($R32&lt;TODAY())+ISNUMBER($AA32)*($AA32&lt;TODAY())+ISNUMBER($AB32)*($AB32&lt;TODAY()))</f>
        <v/>
      </c>
    </row>
    <row r="33">
      <c r="A33" s="25" t="n"/>
      <c r="B33" s="26" t="n"/>
      <c r="C33" s="27" t="n"/>
      <c r="D33" s="25" t="n"/>
      <c r="E33" s="25" t="n"/>
      <c r="F33" s="25" t="n"/>
      <c r="G33" s="25" t="n"/>
      <c r="H33" s="27" t="n"/>
      <c r="I33" s="25" t="n"/>
      <c r="J33" s="28">
        <f>IF(OR(NOT(AND($A33&lt;&gt;"",OR($I33="",$I33="Active"))),$H33=""),"",INT((TODAY()-$H33+280)/7)&amp;"+"&amp;MOD(TODAY()-$H33+280,7))</f>
        <v/>
      </c>
      <c r="K33" s="28">
        <f>IF(NOT(AND($A33&lt;&gt;"",OR($I33="",$I33="Active"))),"",ISNUMBER($N33)*($N33&gt;=TODAY())*($N33&lt;=TODAY()+7)+ISNUMBER($O33)*($O33&gt;=TODAY())*($O33&lt;=TODAY()+7)+ISNUMBER($P33)*($P33&gt;=TODAY())*($P33&lt;=TODAY()+7)+ISNUMBER($S33)*($S33&gt;=TODAY())*($S33&lt;=TODAY()+7)+ISNUMBER($T33)*($T33&gt;=TODAY())*($T33&lt;=TODAY()+7)+ISNUMBER($U33)*($U33&gt;=TODAY())*($U33&lt;=TODAY()+7)+ISNUMBER($V33)*($V33&gt;=TODAY())*($V33&lt;=TODAY()+7)+ISNUMBER($W33)*($W33&gt;=TODAY())*($W33&lt;=TODAY()+7)+ISNUMBER($X33)*($X33&gt;=TODAY())*($X33&lt;=TODAY()+7)+ISNUMBER($Y33)*($Y33&gt;=TODAY())*($Y33&lt;=TODAY()+7)+ISNUMBER($Q33)*($Q33&gt;=TODAY())*($Q33&lt;=TODAY()+7)+ISNUMBER($R33)*($R33&gt;=TODAY())*($R33&lt;=TODAY()+7)+ISNUMBER($AA33)*($AA33&gt;=TODAY())*($AA33&lt;=TODAY()+7)+ISNUMBER($AB33)*($AB33&gt;=TODAY())*($AB33&lt;=TODAY()+7))</f>
        <v/>
      </c>
      <c r="L33" s="28">
        <f>IF(NOT(AND($A33&lt;&gt;"",OR($I33="",$I33="Active"))),"",IF($M33&lt;&gt;"",IF($N33=$M33,"Booking",IF($O33=$M33,"16/40",IF($P33=$M33,"25/40",IF($S33=$M33,"28/40",IF($T33=$M33,"31/40",IF($U33=$M33,"34/40",IF($V33=$M33,"36/40",IF($W33=$M33,"38/40",IF($X33=$M33,"40/40",IF($Y33=$M33,"41/40","")))))))))),IF(IF(OR(ISNUMBER($Y33),$Y33="DNA"),$Y33,IF(OR(ISNUMBER($X33),$X33="DNA"),$X33,IF(OR(ISNUMBER($W33),$W33="DNA"),$W33,IF(OR(ISNUMBER($V33),$V33="DNA"),$V33,IF(OR(ISNUMBER($U33),$U33="DNA"),$U33,IF(OR(ISNUMBER($T33),$T33="DNA"),$T33,IF(OR(ISNUMBER($S33),$S33="DNA"),$S33,IF(OR(ISNUMBER($P33),$P33="DNA"),$P33,IF(OR(ISNUMBER($O33),$O33="DNA"),$O33,IF(OR(ISNUMBER($N33),$N33="DNA"),$N33,""))))))))))="DNA","Rebook DNA",IF(ISNUMBER(IF(OR(ISNUMBER($Y33),$Y33="DNA"),$Y33,IF(OR(ISNUMBER($X33),$X33="DNA"),$X33,IF(OR(ISNUMBER($W33),$W33="DNA"),$W33,IF(OR(ISNUMBER($V33),$V33="DNA"),$V33,IF(OR(ISNUMBER($U33),$U33="DNA"),$U33,IF(OR(ISNUMBER($T33),$T33="DNA"),$T33,IF(OR(ISNUMBER($S33),$S33="DNA"),$S33,IF(OR(ISNUMBER($P33),$P33="DNA"),$P33,IF(OR(ISNUMBER($O33),$O33="DNA"),$O33,IF(OR(ISNUMBER($N33),$N33="DNA"),$N33,""))))))))))),IF(ISNUMBER($Y33),"Update status","Missed/not booked?"),""))))</f>
        <v/>
      </c>
      <c r="M33" s="29">
        <f>IF(NOT(AND($A33&lt;&gt;"",OR($I33="",$I33="Active"))),"",IF(MIN(IF(AND(ISNUMBER($N33),$N33&gt;=TODAY()),$N33,99999),IF(AND(ISNUMBER($O33),$O33&gt;=TODAY()),$O33,99999),IF(AND(ISNUMBER($P33),$P33&gt;=TODAY()),$P33,99999),IF(AND(ISNUMBER($S33),$S33&gt;=TODAY()),$S33,99999),IF(AND(ISNUMBER($T33),$T33&gt;=TODAY()),$T33,99999),IF(AND(ISNUMBER($U33),$U33&gt;=TODAY()),$U33,99999),IF(AND(ISNUMBER($V33),$V33&gt;=TODAY()),$V33,99999),IF(AND(ISNUMBER($W33),$W33&gt;=TODAY()),$W33,99999),IF(AND(ISNUMBER($X33),$X33&gt;=TODAY()),$X33,99999),IF(AND(ISNUMBER($Y33),$Y33&gt;=TODAY()),$Y33,99999))=99999,"",MIN(IF(AND(ISNUMBER($N33),$N33&gt;=TODAY()),$N33,99999),IF(AND(ISNUMBER($O33),$O33&gt;=TODAY()),$O33,99999),IF(AND(ISNUMBER($P33),$P33&gt;=TODAY()),$P33,99999),IF(AND(ISNUMBER($S33),$S33&gt;=TODAY()),$S33,99999),IF(AND(ISNUMBER($T33),$T33&gt;=TODAY()),$T33,99999),IF(AND(ISNUMBER($U33),$U33&gt;=TODAY()),$U33,99999),IF(AND(ISNUMBER($V33),$V33&gt;=TODAY()),$V33,99999),IF(AND(ISNUMBER($W33),$W33&gt;=TODAY()),$W33,99999),IF(AND(ISNUMBER($X33),$X33&gt;=TODAY()),$X33,99999),IF(AND(ISNUMBER($Y33),$Y33&gt;=TODAY()),$Y33,99999))))</f>
        <v/>
      </c>
      <c r="N33" s="27" t="n"/>
      <c r="O33" s="27" t="n"/>
      <c r="P33" s="27" t="n"/>
      <c r="Q33" s="27" t="n"/>
      <c r="R33" s="27" t="n"/>
      <c r="S33" s="27" t="n"/>
      <c r="T33" s="27" t="n"/>
      <c r="U33" s="27" t="n"/>
      <c r="V33" s="27" t="n"/>
      <c r="W33" s="27" t="n"/>
      <c r="X33" s="27" t="n"/>
      <c r="Y33" s="27" t="n"/>
      <c r="Z33" s="27" t="n"/>
      <c r="AA33" s="27" t="n"/>
      <c r="AB33" s="27" t="n"/>
      <c r="AC33" s="30" t="n"/>
      <c r="AD33" s="25" t="n"/>
      <c r="AE33" s="28">
        <f>IF(NOT(AND($A33&lt;&gt;"",OR($I33="",$I33="Active"))),"",IF(OR(IF(OR(ISNUMBER($Y33),$Y33="DNA"),$Y33,IF(OR(ISNUMBER($X33),$X33="DNA"),$X33,IF(OR(ISNUMBER($W33),$W33="DNA"),$W33,IF(OR(ISNUMBER($V33),$V33="DNA"),$V33,IF(OR(ISNUMBER($U33),$U33="DNA"),$U33,IF(OR(ISNUMBER($T33),$T33="DNA"),$T33,IF(OR(ISNUMBER($S33),$S33="DNA"),$S33,IF(OR(ISNUMBER($P33),$P33="DNA"),$P33,IF(OR(ISNUMBER($O33),$O33="DNA"),$O33,IF(OR(ISNUMBER($N33),$N33="DNA"),$N33,""))))))))))="DNA",AND(ISNUMBER(IF(OR(ISNUMBER($Y33),$Y33="DNA"),$Y33,IF(OR(ISNUMBER($X33),$X33="DNA"),$X33,IF(OR(ISNUMBER($W33),$W33="DNA"),$W33,IF(OR(ISNUMBER($V33),$V33="DNA"),$V33,IF(OR(ISNUMBER($U33),$U33="DNA"),$U33,IF(OR(ISNUMBER($T33),$T33="DNA"),$T33,IF(OR(ISNUMBER($S33),$S33="DNA"),$S33,IF(OR(ISNUMBER($P33),$P33="DNA"),$P33,IF(OR(ISNUMBER($O33),$O33="DNA"),$O33,IF(OR(ISNUMBER($N33),$N33="DNA"),$N33,""))))))))))),IF(OR(ISNUMBER($Y33),$Y33="DNA"),$Y33,IF(OR(ISNUMBER($X33),$X33="DNA"),$X33,IF(OR(ISNUMBER($W33),$W33="DNA"),$W33,IF(OR(ISNUMBER($V33),$V33="DNA"),$V33,IF(OR(ISNUMBER($U33),$U33="DNA"),$U33,IF(OR(ISNUMBER($T33),$T33="DNA"),$T33,IF(OR(ISNUMBER($S33),$S33="DNA"),$S33,IF(OR(ISNUMBER($P33),$P33="DNA"),$P33,IF(OR(ISNUMBER($O33),$O33="DNA"),$O33,IF(OR(ISNUMBER($N33),$N33="DNA"),$N33,""))))))))))&lt;TODAY())),1,0)+ISNUMBER($Q33)*($Q33&lt;TODAY())+ISNUMBER($R33)*($R33&lt;TODAY())+ISNUMBER($AA33)*($AA33&lt;TODAY())+ISNUMBER($AB33)*($AB33&lt;TODAY()))</f>
        <v/>
      </c>
    </row>
    <row r="34">
      <c r="A34" s="25" t="n"/>
      <c r="B34" s="26" t="n"/>
      <c r="C34" s="27" t="n"/>
      <c r="D34" s="25" t="n"/>
      <c r="E34" s="25" t="n"/>
      <c r="F34" s="25" t="n"/>
      <c r="G34" s="25" t="n"/>
      <c r="H34" s="27" t="n"/>
      <c r="I34" s="25" t="n"/>
      <c r="J34" s="28">
        <f>IF(OR(NOT(AND($A34&lt;&gt;"",OR($I34="",$I34="Active"))),$H34=""),"",INT((TODAY()-$H34+280)/7)&amp;"+"&amp;MOD(TODAY()-$H34+280,7))</f>
        <v/>
      </c>
      <c r="K34" s="28">
        <f>IF(NOT(AND($A34&lt;&gt;"",OR($I34="",$I34="Active"))),"",ISNUMBER($N34)*($N34&gt;=TODAY())*($N34&lt;=TODAY()+7)+ISNUMBER($O34)*($O34&gt;=TODAY())*($O34&lt;=TODAY()+7)+ISNUMBER($P34)*($P34&gt;=TODAY())*($P34&lt;=TODAY()+7)+ISNUMBER($S34)*($S34&gt;=TODAY())*($S34&lt;=TODAY()+7)+ISNUMBER($T34)*($T34&gt;=TODAY())*($T34&lt;=TODAY()+7)+ISNUMBER($U34)*($U34&gt;=TODAY())*($U34&lt;=TODAY()+7)+ISNUMBER($V34)*($V34&gt;=TODAY())*($V34&lt;=TODAY()+7)+ISNUMBER($W34)*($W34&gt;=TODAY())*($W34&lt;=TODAY()+7)+ISNUMBER($X34)*($X34&gt;=TODAY())*($X34&lt;=TODAY()+7)+ISNUMBER($Y34)*($Y34&gt;=TODAY())*($Y34&lt;=TODAY()+7)+ISNUMBER($Q34)*($Q34&gt;=TODAY())*($Q34&lt;=TODAY()+7)+ISNUMBER($R34)*($R34&gt;=TODAY())*($R34&lt;=TODAY()+7)+ISNUMBER($AA34)*($AA34&gt;=TODAY())*($AA34&lt;=TODAY()+7)+ISNUMBER($AB34)*($AB34&gt;=TODAY())*($AB34&lt;=TODAY()+7))</f>
        <v/>
      </c>
      <c r="L34" s="28">
        <f>IF(NOT(AND($A34&lt;&gt;"",OR($I34="",$I34="Active"))),"",IF($M34&lt;&gt;"",IF($N34=$M34,"Booking",IF($O34=$M34,"16/40",IF($P34=$M34,"25/40",IF($S34=$M34,"28/40",IF($T34=$M34,"31/40",IF($U34=$M34,"34/40",IF($V34=$M34,"36/40",IF($W34=$M34,"38/40",IF($X34=$M34,"40/40",IF($Y34=$M34,"41/40","")))))))))),IF(IF(OR(ISNUMBER($Y34),$Y34="DNA"),$Y34,IF(OR(ISNUMBER($X34),$X34="DNA"),$X34,IF(OR(ISNUMBER($W34),$W34="DNA"),$W34,IF(OR(ISNUMBER($V34),$V34="DNA"),$V34,IF(OR(ISNUMBER($U34),$U34="DNA"),$U34,IF(OR(ISNUMBER($T34),$T34="DNA"),$T34,IF(OR(ISNUMBER($S34),$S34="DNA"),$S34,IF(OR(ISNUMBER($P34),$P34="DNA"),$P34,IF(OR(ISNUMBER($O34),$O34="DNA"),$O34,IF(OR(ISNUMBER($N34),$N34="DNA"),$N34,""))))))))))="DNA","Rebook DNA",IF(ISNUMBER(IF(OR(ISNUMBER($Y34),$Y34="DNA"),$Y34,IF(OR(ISNUMBER($X34),$X34="DNA"),$X34,IF(OR(ISNUMBER($W34),$W34="DNA"),$W34,IF(OR(ISNUMBER($V34),$V34="DNA"),$V34,IF(OR(ISNUMBER($U34),$U34="DNA"),$U34,IF(OR(ISNUMBER($T34),$T34="DNA"),$T34,IF(OR(ISNUMBER($S34),$S34="DNA"),$S34,IF(OR(ISNUMBER($P34),$P34="DNA"),$P34,IF(OR(ISNUMBER($O34),$O34="DNA"),$O34,IF(OR(ISNUMBER($N34),$N34="DNA"),$N34,""))))))))))),IF(ISNUMBER($Y34),"Update status","Missed/not booked?"),""))))</f>
        <v/>
      </c>
      <c r="M34" s="29">
        <f>IF(NOT(AND($A34&lt;&gt;"",OR($I34="",$I34="Active"))),"",IF(MIN(IF(AND(ISNUMBER($N34),$N34&gt;=TODAY()),$N34,99999),IF(AND(ISNUMBER($O34),$O34&gt;=TODAY()),$O34,99999),IF(AND(ISNUMBER($P34),$P34&gt;=TODAY()),$P34,99999),IF(AND(ISNUMBER($S34),$S34&gt;=TODAY()),$S34,99999),IF(AND(ISNUMBER($T34),$T34&gt;=TODAY()),$T34,99999),IF(AND(ISNUMBER($U34),$U34&gt;=TODAY()),$U34,99999),IF(AND(ISNUMBER($V34),$V34&gt;=TODAY()),$V34,99999),IF(AND(ISNUMBER($W34),$W34&gt;=TODAY()),$W34,99999),IF(AND(ISNUMBER($X34),$X34&gt;=TODAY()),$X34,99999),IF(AND(ISNUMBER($Y34),$Y34&gt;=TODAY()),$Y34,99999))=99999,"",MIN(IF(AND(ISNUMBER($N34),$N34&gt;=TODAY()),$N34,99999),IF(AND(ISNUMBER($O34),$O34&gt;=TODAY()),$O34,99999),IF(AND(ISNUMBER($P34),$P34&gt;=TODAY()),$P34,99999),IF(AND(ISNUMBER($S34),$S34&gt;=TODAY()),$S34,99999),IF(AND(ISNUMBER($T34),$T34&gt;=TODAY()),$T34,99999),IF(AND(ISNUMBER($U34),$U34&gt;=TODAY()),$U34,99999),IF(AND(ISNUMBER($V34),$V34&gt;=TODAY()),$V34,99999),IF(AND(ISNUMBER($W34),$W34&gt;=TODAY()),$W34,99999),IF(AND(ISNUMBER($X34),$X34&gt;=TODAY()),$X34,99999),IF(AND(ISNUMBER($Y34),$Y34&gt;=TODAY()),$Y34,99999))))</f>
        <v/>
      </c>
      <c r="N34" s="27" t="n"/>
      <c r="O34" s="27" t="n"/>
      <c r="P34" s="27" t="n"/>
      <c r="Q34" s="27" t="n"/>
      <c r="R34" s="27" t="n"/>
      <c r="S34" s="27" t="n"/>
      <c r="T34" s="27" t="n"/>
      <c r="U34" s="27" t="n"/>
      <c r="V34" s="27" t="n"/>
      <c r="W34" s="27" t="n"/>
      <c r="X34" s="27" t="n"/>
      <c r="Y34" s="27" t="n"/>
      <c r="Z34" s="27" t="n"/>
      <c r="AA34" s="27" t="n"/>
      <c r="AB34" s="27" t="n"/>
      <c r="AC34" s="30" t="n"/>
      <c r="AD34" s="25" t="n"/>
      <c r="AE34" s="28">
        <f>IF(NOT(AND($A34&lt;&gt;"",OR($I34="",$I34="Active"))),"",IF(OR(IF(OR(ISNUMBER($Y34),$Y34="DNA"),$Y34,IF(OR(ISNUMBER($X34),$X34="DNA"),$X34,IF(OR(ISNUMBER($W34),$W34="DNA"),$W34,IF(OR(ISNUMBER($V34),$V34="DNA"),$V34,IF(OR(ISNUMBER($U34),$U34="DNA"),$U34,IF(OR(ISNUMBER($T34),$T34="DNA"),$T34,IF(OR(ISNUMBER($S34),$S34="DNA"),$S34,IF(OR(ISNUMBER($P34),$P34="DNA"),$P34,IF(OR(ISNUMBER($O34),$O34="DNA"),$O34,IF(OR(ISNUMBER($N34),$N34="DNA"),$N34,""))))))))))="DNA",AND(ISNUMBER(IF(OR(ISNUMBER($Y34),$Y34="DNA"),$Y34,IF(OR(ISNUMBER($X34),$X34="DNA"),$X34,IF(OR(ISNUMBER($W34),$W34="DNA"),$W34,IF(OR(ISNUMBER($V34),$V34="DNA"),$V34,IF(OR(ISNUMBER($U34),$U34="DNA"),$U34,IF(OR(ISNUMBER($T34),$T34="DNA"),$T34,IF(OR(ISNUMBER($S34),$S34="DNA"),$S34,IF(OR(ISNUMBER($P34),$P34="DNA"),$P34,IF(OR(ISNUMBER($O34),$O34="DNA"),$O34,IF(OR(ISNUMBER($N34),$N34="DNA"),$N34,""))))))))))),IF(OR(ISNUMBER($Y34),$Y34="DNA"),$Y34,IF(OR(ISNUMBER($X34),$X34="DNA"),$X34,IF(OR(ISNUMBER($W34),$W34="DNA"),$W34,IF(OR(ISNUMBER($V34),$V34="DNA"),$V34,IF(OR(ISNUMBER($U34),$U34="DNA"),$U34,IF(OR(ISNUMBER($T34),$T34="DNA"),$T34,IF(OR(ISNUMBER($S34),$S34="DNA"),$S34,IF(OR(ISNUMBER($P34),$P34="DNA"),$P34,IF(OR(ISNUMBER($O34),$O34="DNA"),$O34,IF(OR(ISNUMBER($N34),$N34="DNA"),$N34,""))))))))))&lt;TODAY())),1,0)+ISNUMBER($Q34)*($Q34&lt;TODAY())+ISNUMBER($R34)*($R34&lt;TODAY())+ISNUMBER($AA34)*($AA34&lt;TODAY())+ISNUMBER($AB34)*($AB34&lt;TODAY()))</f>
        <v/>
      </c>
    </row>
    <row r="35">
      <c r="A35" s="25" t="n"/>
      <c r="B35" s="26" t="n"/>
      <c r="C35" s="27" t="n"/>
      <c r="D35" s="25" t="n"/>
      <c r="E35" s="25" t="n"/>
      <c r="F35" s="25" t="n"/>
      <c r="G35" s="25" t="n"/>
      <c r="H35" s="27" t="n"/>
      <c r="I35" s="25" t="n"/>
      <c r="J35" s="28">
        <f>IF(OR(NOT(AND($A35&lt;&gt;"",OR($I35="",$I35="Active"))),$H35=""),"",INT((TODAY()-$H35+280)/7)&amp;"+"&amp;MOD(TODAY()-$H35+280,7))</f>
        <v/>
      </c>
      <c r="K35" s="28">
        <f>IF(NOT(AND($A35&lt;&gt;"",OR($I35="",$I35="Active"))),"",ISNUMBER($N35)*($N35&gt;=TODAY())*($N35&lt;=TODAY()+7)+ISNUMBER($O35)*($O35&gt;=TODAY())*($O35&lt;=TODAY()+7)+ISNUMBER($P35)*($P35&gt;=TODAY())*($P35&lt;=TODAY()+7)+ISNUMBER($S35)*($S35&gt;=TODAY())*($S35&lt;=TODAY()+7)+ISNUMBER($T35)*($T35&gt;=TODAY())*($T35&lt;=TODAY()+7)+ISNUMBER($U35)*($U35&gt;=TODAY())*($U35&lt;=TODAY()+7)+ISNUMBER($V35)*($V35&gt;=TODAY())*($V35&lt;=TODAY()+7)+ISNUMBER($W35)*($W35&gt;=TODAY())*($W35&lt;=TODAY()+7)+ISNUMBER($X35)*($X35&gt;=TODAY())*($X35&lt;=TODAY()+7)+ISNUMBER($Y35)*($Y35&gt;=TODAY())*($Y35&lt;=TODAY()+7)+ISNUMBER($Q35)*($Q35&gt;=TODAY())*($Q35&lt;=TODAY()+7)+ISNUMBER($R35)*($R35&gt;=TODAY())*($R35&lt;=TODAY()+7)+ISNUMBER($AA35)*($AA35&gt;=TODAY())*($AA35&lt;=TODAY()+7)+ISNUMBER($AB35)*($AB35&gt;=TODAY())*($AB35&lt;=TODAY()+7))</f>
        <v/>
      </c>
      <c r="L35" s="28">
        <f>IF(NOT(AND($A35&lt;&gt;"",OR($I35="",$I35="Active"))),"",IF($M35&lt;&gt;"",IF($N35=$M35,"Booking",IF($O35=$M35,"16/40",IF($P35=$M35,"25/40",IF($S35=$M35,"28/40",IF($T35=$M35,"31/40",IF($U35=$M35,"34/40",IF($V35=$M35,"36/40",IF($W35=$M35,"38/40",IF($X35=$M35,"40/40",IF($Y35=$M35,"41/40","")))))))))),IF(IF(OR(ISNUMBER($Y35),$Y35="DNA"),$Y35,IF(OR(ISNUMBER($X35),$X35="DNA"),$X35,IF(OR(ISNUMBER($W35),$W35="DNA"),$W35,IF(OR(ISNUMBER($V35),$V35="DNA"),$V35,IF(OR(ISNUMBER($U35),$U35="DNA"),$U35,IF(OR(ISNUMBER($T35),$T35="DNA"),$T35,IF(OR(ISNUMBER($S35),$S35="DNA"),$S35,IF(OR(ISNUMBER($P35),$P35="DNA"),$P35,IF(OR(ISNUMBER($O35),$O35="DNA"),$O35,IF(OR(ISNUMBER($N35),$N35="DNA"),$N35,""))))))))))="DNA","Rebook DNA",IF(ISNUMBER(IF(OR(ISNUMBER($Y35),$Y35="DNA"),$Y35,IF(OR(ISNUMBER($X35),$X35="DNA"),$X35,IF(OR(ISNUMBER($W35),$W35="DNA"),$W35,IF(OR(ISNUMBER($V35),$V35="DNA"),$V35,IF(OR(ISNUMBER($U35),$U35="DNA"),$U35,IF(OR(ISNUMBER($T35),$T35="DNA"),$T35,IF(OR(ISNUMBER($S35),$S35="DNA"),$S35,IF(OR(ISNUMBER($P35),$P35="DNA"),$P35,IF(OR(ISNUMBER($O35),$O35="DNA"),$O35,IF(OR(ISNUMBER($N35),$N35="DNA"),$N35,""))))))))))),IF(ISNUMBER($Y35),"Update status","Missed/not booked?"),""))))</f>
        <v/>
      </c>
      <c r="M35" s="29">
        <f>IF(NOT(AND($A35&lt;&gt;"",OR($I35="",$I35="Active"))),"",IF(MIN(IF(AND(ISNUMBER($N35),$N35&gt;=TODAY()),$N35,99999),IF(AND(ISNUMBER($O35),$O35&gt;=TODAY()),$O35,99999),IF(AND(ISNUMBER($P35),$P35&gt;=TODAY()),$P35,99999),IF(AND(ISNUMBER($S35),$S35&gt;=TODAY()),$S35,99999),IF(AND(ISNUMBER($T35),$T35&gt;=TODAY()),$T35,99999),IF(AND(ISNUMBER($U35),$U35&gt;=TODAY()),$U35,99999),IF(AND(ISNUMBER($V35),$V35&gt;=TODAY()),$V35,99999),IF(AND(ISNUMBER($W35),$W35&gt;=TODAY()),$W35,99999),IF(AND(ISNUMBER($X35),$X35&gt;=TODAY()),$X35,99999),IF(AND(ISNUMBER($Y35),$Y35&gt;=TODAY()),$Y35,99999))=99999,"",MIN(IF(AND(ISNUMBER($N35),$N35&gt;=TODAY()),$N35,99999),IF(AND(ISNUMBER($O35),$O35&gt;=TODAY()),$O35,99999),IF(AND(ISNUMBER($P35),$P35&gt;=TODAY()),$P35,99999),IF(AND(ISNUMBER($S35),$S35&gt;=TODAY()),$S35,99999),IF(AND(ISNUMBER($T35),$T35&gt;=TODAY()),$T35,99999),IF(AND(ISNUMBER($U35),$U35&gt;=TODAY()),$U35,99999),IF(AND(ISNUMBER($V35),$V35&gt;=TODAY()),$V35,99999),IF(AND(ISNUMBER($W35),$W35&gt;=TODAY()),$W35,99999),IF(AND(ISNUMBER($X35),$X35&gt;=TODAY()),$X35,99999),IF(AND(ISNUMBER($Y35),$Y35&gt;=TODAY()),$Y35,99999))))</f>
        <v/>
      </c>
      <c r="N35" s="27" t="n"/>
      <c r="O35" s="27" t="n"/>
      <c r="P35" s="27" t="n"/>
      <c r="Q35" s="27" t="n"/>
      <c r="R35" s="27" t="n"/>
      <c r="S35" s="27" t="n"/>
      <c r="T35" s="27" t="n"/>
      <c r="U35" s="27" t="n"/>
      <c r="V35" s="27" t="n"/>
      <c r="W35" s="27" t="n"/>
      <c r="X35" s="27" t="n"/>
      <c r="Y35" s="27" t="n"/>
      <c r="Z35" s="27" t="n"/>
      <c r="AA35" s="27" t="n"/>
      <c r="AB35" s="27" t="n"/>
      <c r="AC35" s="30" t="n"/>
      <c r="AD35" s="25" t="n"/>
      <c r="AE35" s="28">
        <f>IF(NOT(AND($A35&lt;&gt;"",OR($I35="",$I35="Active"))),"",IF(OR(IF(OR(ISNUMBER($Y35),$Y35="DNA"),$Y35,IF(OR(ISNUMBER($X35),$X35="DNA"),$X35,IF(OR(ISNUMBER($W35),$W35="DNA"),$W35,IF(OR(ISNUMBER($V35),$V35="DNA"),$V35,IF(OR(ISNUMBER($U35),$U35="DNA"),$U35,IF(OR(ISNUMBER($T35),$T35="DNA"),$T35,IF(OR(ISNUMBER($S35),$S35="DNA"),$S35,IF(OR(ISNUMBER($P35),$P35="DNA"),$P35,IF(OR(ISNUMBER($O35),$O35="DNA"),$O35,IF(OR(ISNUMBER($N35),$N35="DNA"),$N35,""))))))))))="DNA",AND(ISNUMBER(IF(OR(ISNUMBER($Y35),$Y35="DNA"),$Y35,IF(OR(ISNUMBER($X35),$X35="DNA"),$X35,IF(OR(ISNUMBER($W35),$W35="DNA"),$W35,IF(OR(ISNUMBER($V35),$V35="DNA"),$V35,IF(OR(ISNUMBER($U35),$U35="DNA"),$U35,IF(OR(ISNUMBER($T35),$T35="DNA"),$T35,IF(OR(ISNUMBER($S35),$S35="DNA"),$S35,IF(OR(ISNUMBER($P35),$P35="DNA"),$P35,IF(OR(ISNUMBER($O35),$O35="DNA"),$O35,IF(OR(ISNUMBER($N35),$N35="DNA"),$N35,""))))))))))),IF(OR(ISNUMBER($Y35),$Y35="DNA"),$Y35,IF(OR(ISNUMBER($X35),$X35="DNA"),$X35,IF(OR(ISNUMBER($W35),$W35="DNA"),$W35,IF(OR(ISNUMBER($V35),$V35="DNA"),$V35,IF(OR(ISNUMBER($U35),$U35="DNA"),$U35,IF(OR(ISNUMBER($T35),$T35="DNA"),$T35,IF(OR(ISNUMBER($S35),$S35="DNA"),$S35,IF(OR(ISNUMBER($P35),$P35="DNA"),$P35,IF(OR(ISNUMBER($O35),$O35="DNA"),$O35,IF(OR(ISNUMBER($N35),$N35="DNA"),$N35,""))))))))))&lt;TODAY())),1,0)+ISNUMBER($Q35)*($Q35&lt;TODAY())+ISNUMBER($R35)*($R35&lt;TODAY())+ISNUMBER($AA35)*($AA35&lt;TODAY())+ISNUMBER($AB35)*($AB35&lt;TODAY()))</f>
        <v/>
      </c>
    </row>
    <row r="36">
      <c r="A36" s="25" t="n"/>
      <c r="B36" s="26" t="n"/>
      <c r="C36" s="27" t="n"/>
      <c r="D36" s="25" t="n"/>
      <c r="E36" s="25" t="n"/>
      <c r="F36" s="25" t="n"/>
      <c r="G36" s="25" t="n"/>
      <c r="H36" s="27" t="n"/>
      <c r="I36" s="25" t="n"/>
      <c r="J36" s="28">
        <f>IF(OR(NOT(AND($A36&lt;&gt;"",OR($I36="",$I36="Active"))),$H36=""),"",INT((TODAY()-$H36+280)/7)&amp;"+"&amp;MOD(TODAY()-$H36+280,7))</f>
        <v/>
      </c>
      <c r="K36" s="28">
        <f>IF(NOT(AND($A36&lt;&gt;"",OR($I36="",$I36="Active"))),"",ISNUMBER($N36)*($N36&gt;=TODAY())*($N36&lt;=TODAY()+7)+ISNUMBER($O36)*($O36&gt;=TODAY())*($O36&lt;=TODAY()+7)+ISNUMBER($P36)*($P36&gt;=TODAY())*($P36&lt;=TODAY()+7)+ISNUMBER($S36)*($S36&gt;=TODAY())*($S36&lt;=TODAY()+7)+ISNUMBER($T36)*($T36&gt;=TODAY())*($T36&lt;=TODAY()+7)+ISNUMBER($U36)*($U36&gt;=TODAY())*($U36&lt;=TODAY()+7)+ISNUMBER($V36)*($V36&gt;=TODAY())*($V36&lt;=TODAY()+7)+ISNUMBER($W36)*($W36&gt;=TODAY())*($W36&lt;=TODAY()+7)+ISNUMBER($X36)*($X36&gt;=TODAY())*($X36&lt;=TODAY()+7)+ISNUMBER($Y36)*($Y36&gt;=TODAY())*($Y36&lt;=TODAY()+7)+ISNUMBER($Q36)*($Q36&gt;=TODAY())*($Q36&lt;=TODAY()+7)+ISNUMBER($R36)*($R36&gt;=TODAY())*($R36&lt;=TODAY()+7)+ISNUMBER($AA36)*($AA36&gt;=TODAY())*($AA36&lt;=TODAY()+7)+ISNUMBER($AB36)*($AB36&gt;=TODAY())*($AB36&lt;=TODAY()+7))</f>
        <v/>
      </c>
      <c r="L36" s="28">
        <f>IF(NOT(AND($A36&lt;&gt;"",OR($I36="",$I36="Active"))),"",IF($M36&lt;&gt;"",IF($N36=$M36,"Booking",IF($O36=$M36,"16/40",IF($P36=$M36,"25/40",IF($S36=$M36,"28/40",IF($T36=$M36,"31/40",IF($U36=$M36,"34/40",IF($V36=$M36,"36/40",IF($W36=$M36,"38/40",IF($X36=$M36,"40/40",IF($Y36=$M36,"41/40","")))))))))),IF(IF(OR(ISNUMBER($Y36),$Y36="DNA"),$Y36,IF(OR(ISNUMBER($X36),$X36="DNA"),$X36,IF(OR(ISNUMBER($W36),$W36="DNA"),$W36,IF(OR(ISNUMBER($V36),$V36="DNA"),$V36,IF(OR(ISNUMBER($U36),$U36="DNA"),$U36,IF(OR(ISNUMBER($T36),$T36="DNA"),$T36,IF(OR(ISNUMBER($S36),$S36="DNA"),$S36,IF(OR(ISNUMBER($P36),$P36="DNA"),$P36,IF(OR(ISNUMBER($O36),$O36="DNA"),$O36,IF(OR(ISNUMBER($N36),$N36="DNA"),$N36,""))))))))))="DNA","Rebook DNA",IF(ISNUMBER(IF(OR(ISNUMBER($Y36),$Y36="DNA"),$Y36,IF(OR(ISNUMBER($X36),$X36="DNA"),$X36,IF(OR(ISNUMBER($W36),$W36="DNA"),$W36,IF(OR(ISNUMBER($V36),$V36="DNA"),$V36,IF(OR(ISNUMBER($U36),$U36="DNA"),$U36,IF(OR(ISNUMBER($T36),$T36="DNA"),$T36,IF(OR(ISNUMBER($S36),$S36="DNA"),$S36,IF(OR(ISNUMBER($P36),$P36="DNA"),$P36,IF(OR(ISNUMBER($O36),$O36="DNA"),$O36,IF(OR(ISNUMBER($N36),$N36="DNA"),$N36,""))))))))))),IF(ISNUMBER($Y36),"Update status","Missed/not booked?"),""))))</f>
        <v/>
      </c>
      <c r="M36" s="29">
        <f>IF(NOT(AND($A36&lt;&gt;"",OR($I36="",$I36="Active"))),"",IF(MIN(IF(AND(ISNUMBER($N36),$N36&gt;=TODAY()),$N36,99999),IF(AND(ISNUMBER($O36),$O36&gt;=TODAY()),$O36,99999),IF(AND(ISNUMBER($P36),$P36&gt;=TODAY()),$P36,99999),IF(AND(ISNUMBER($S36),$S36&gt;=TODAY()),$S36,99999),IF(AND(ISNUMBER($T36),$T36&gt;=TODAY()),$T36,99999),IF(AND(ISNUMBER($U36),$U36&gt;=TODAY()),$U36,99999),IF(AND(ISNUMBER($V36),$V36&gt;=TODAY()),$V36,99999),IF(AND(ISNUMBER($W36),$W36&gt;=TODAY()),$W36,99999),IF(AND(ISNUMBER($X36),$X36&gt;=TODAY()),$X36,99999),IF(AND(ISNUMBER($Y36),$Y36&gt;=TODAY()),$Y36,99999))=99999,"",MIN(IF(AND(ISNUMBER($N36),$N36&gt;=TODAY()),$N36,99999),IF(AND(ISNUMBER($O36),$O36&gt;=TODAY()),$O36,99999),IF(AND(ISNUMBER($P36),$P36&gt;=TODAY()),$P36,99999),IF(AND(ISNUMBER($S36),$S36&gt;=TODAY()),$S36,99999),IF(AND(ISNUMBER($T36),$T36&gt;=TODAY()),$T36,99999),IF(AND(ISNUMBER($U36),$U36&gt;=TODAY()),$U36,99999),IF(AND(ISNUMBER($V36),$V36&gt;=TODAY()),$V36,99999),IF(AND(ISNUMBER($W36),$W36&gt;=TODAY()),$W36,99999),IF(AND(ISNUMBER($X36),$X36&gt;=TODAY()),$X36,99999),IF(AND(ISNUMBER($Y36),$Y36&gt;=TODAY()),$Y36,99999))))</f>
        <v/>
      </c>
      <c r="N36" s="27" t="n"/>
      <c r="O36" s="27" t="n"/>
      <c r="P36" s="27" t="n"/>
      <c r="Q36" s="27" t="n"/>
      <c r="R36" s="27" t="n"/>
      <c r="S36" s="27" t="n"/>
      <c r="T36" s="27" t="n"/>
      <c r="U36" s="27" t="n"/>
      <c r="V36" s="27" t="n"/>
      <c r="W36" s="27" t="n"/>
      <c r="X36" s="27" t="n"/>
      <c r="Y36" s="27" t="n"/>
      <c r="Z36" s="27" t="n"/>
      <c r="AA36" s="27" t="n"/>
      <c r="AB36" s="27" t="n"/>
      <c r="AC36" s="30" t="n"/>
      <c r="AD36" s="25" t="n"/>
      <c r="AE36" s="28">
        <f>IF(NOT(AND($A36&lt;&gt;"",OR($I36="",$I36="Active"))),"",IF(OR(IF(OR(ISNUMBER($Y36),$Y36="DNA"),$Y36,IF(OR(ISNUMBER($X36),$X36="DNA"),$X36,IF(OR(ISNUMBER($W36),$W36="DNA"),$W36,IF(OR(ISNUMBER($V36),$V36="DNA"),$V36,IF(OR(ISNUMBER($U36),$U36="DNA"),$U36,IF(OR(ISNUMBER($T36),$T36="DNA"),$T36,IF(OR(ISNUMBER($S36),$S36="DNA"),$S36,IF(OR(ISNUMBER($P36),$P36="DNA"),$P36,IF(OR(ISNUMBER($O36),$O36="DNA"),$O36,IF(OR(ISNUMBER($N36),$N36="DNA"),$N36,""))))))))))="DNA",AND(ISNUMBER(IF(OR(ISNUMBER($Y36),$Y36="DNA"),$Y36,IF(OR(ISNUMBER($X36),$X36="DNA"),$X36,IF(OR(ISNUMBER($W36),$W36="DNA"),$W36,IF(OR(ISNUMBER($V36),$V36="DNA"),$V36,IF(OR(ISNUMBER($U36),$U36="DNA"),$U36,IF(OR(ISNUMBER($T36),$T36="DNA"),$T36,IF(OR(ISNUMBER($S36),$S36="DNA"),$S36,IF(OR(ISNUMBER($P36),$P36="DNA"),$P36,IF(OR(ISNUMBER($O36),$O36="DNA"),$O36,IF(OR(ISNUMBER($N36),$N36="DNA"),$N36,""))))))))))),IF(OR(ISNUMBER($Y36),$Y36="DNA"),$Y36,IF(OR(ISNUMBER($X36),$X36="DNA"),$X36,IF(OR(ISNUMBER($W36),$W36="DNA"),$W36,IF(OR(ISNUMBER($V36),$V36="DNA"),$V36,IF(OR(ISNUMBER($U36),$U36="DNA"),$U36,IF(OR(ISNUMBER($T36),$T36="DNA"),$T36,IF(OR(ISNUMBER($S36),$S36="DNA"),$S36,IF(OR(ISNUMBER($P36),$P36="DNA"),$P36,IF(OR(ISNUMBER($O36),$O36="DNA"),$O36,IF(OR(ISNUMBER($N36),$N36="DNA"),$N36,""))))))))))&lt;TODAY())),1,0)+ISNUMBER($Q36)*($Q36&lt;TODAY())+ISNUMBER($R36)*($R36&lt;TODAY())+ISNUMBER($AA36)*($AA36&lt;TODAY())+ISNUMBER($AB36)*($AB36&lt;TODAY()))</f>
        <v/>
      </c>
    </row>
    <row r="37">
      <c r="A37" s="25" t="n"/>
      <c r="B37" s="26" t="n"/>
      <c r="C37" s="27" t="n"/>
      <c r="D37" s="25" t="n"/>
      <c r="E37" s="25" t="n"/>
      <c r="F37" s="25" t="n"/>
      <c r="G37" s="25" t="n"/>
      <c r="H37" s="27" t="n"/>
      <c r="I37" s="25" t="n"/>
      <c r="J37" s="28">
        <f>IF(OR(NOT(AND($A37&lt;&gt;"",OR($I37="",$I37="Active"))),$H37=""),"",INT((TODAY()-$H37+280)/7)&amp;"+"&amp;MOD(TODAY()-$H37+280,7))</f>
        <v/>
      </c>
      <c r="K37" s="28">
        <f>IF(NOT(AND($A37&lt;&gt;"",OR($I37="",$I37="Active"))),"",ISNUMBER($N37)*($N37&gt;=TODAY())*($N37&lt;=TODAY()+7)+ISNUMBER($O37)*($O37&gt;=TODAY())*($O37&lt;=TODAY()+7)+ISNUMBER($P37)*($P37&gt;=TODAY())*($P37&lt;=TODAY()+7)+ISNUMBER($S37)*($S37&gt;=TODAY())*($S37&lt;=TODAY()+7)+ISNUMBER($T37)*($T37&gt;=TODAY())*($T37&lt;=TODAY()+7)+ISNUMBER($U37)*($U37&gt;=TODAY())*($U37&lt;=TODAY()+7)+ISNUMBER($V37)*($V37&gt;=TODAY())*($V37&lt;=TODAY()+7)+ISNUMBER($W37)*($W37&gt;=TODAY())*($W37&lt;=TODAY()+7)+ISNUMBER($X37)*($X37&gt;=TODAY())*($X37&lt;=TODAY()+7)+ISNUMBER($Y37)*($Y37&gt;=TODAY())*($Y37&lt;=TODAY()+7)+ISNUMBER($Q37)*($Q37&gt;=TODAY())*($Q37&lt;=TODAY()+7)+ISNUMBER($R37)*($R37&gt;=TODAY())*($R37&lt;=TODAY()+7)+ISNUMBER($AA37)*($AA37&gt;=TODAY())*($AA37&lt;=TODAY()+7)+ISNUMBER($AB37)*($AB37&gt;=TODAY())*($AB37&lt;=TODAY()+7))</f>
        <v/>
      </c>
      <c r="L37" s="28">
        <f>IF(NOT(AND($A37&lt;&gt;"",OR($I37="",$I37="Active"))),"",IF($M37&lt;&gt;"",IF($N37=$M37,"Booking",IF($O37=$M37,"16/40",IF($P37=$M37,"25/40",IF($S37=$M37,"28/40",IF($T37=$M37,"31/40",IF($U37=$M37,"34/40",IF($V37=$M37,"36/40",IF($W37=$M37,"38/40",IF($X37=$M37,"40/40",IF($Y37=$M37,"41/40","")))))))))),IF(IF(OR(ISNUMBER($Y37),$Y37="DNA"),$Y37,IF(OR(ISNUMBER($X37),$X37="DNA"),$X37,IF(OR(ISNUMBER($W37),$W37="DNA"),$W37,IF(OR(ISNUMBER($V37),$V37="DNA"),$V37,IF(OR(ISNUMBER($U37),$U37="DNA"),$U37,IF(OR(ISNUMBER($T37),$T37="DNA"),$T37,IF(OR(ISNUMBER($S37),$S37="DNA"),$S37,IF(OR(ISNUMBER($P37),$P37="DNA"),$P37,IF(OR(ISNUMBER($O37),$O37="DNA"),$O37,IF(OR(ISNUMBER($N37),$N37="DNA"),$N37,""))))))))))="DNA","Rebook DNA",IF(ISNUMBER(IF(OR(ISNUMBER($Y37),$Y37="DNA"),$Y37,IF(OR(ISNUMBER($X37),$X37="DNA"),$X37,IF(OR(ISNUMBER($W37),$W37="DNA"),$W37,IF(OR(ISNUMBER($V37),$V37="DNA"),$V37,IF(OR(ISNUMBER($U37),$U37="DNA"),$U37,IF(OR(ISNUMBER($T37),$T37="DNA"),$T37,IF(OR(ISNUMBER($S37),$S37="DNA"),$S37,IF(OR(ISNUMBER($P37),$P37="DNA"),$P37,IF(OR(ISNUMBER($O37),$O37="DNA"),$O37,IF(OR(ISNUMBER($N37),$N37="DNA"),$N37,""))))))))))),IF(ISNUMBER($Y37),"Update status","Missed/not booked?"),""))))</f>
        <v/>
      </c>
      <c r="M37" s="29">
        <f>IF(NOT(AND($A37&lt;&gt;"",OR($I37="",$I37="Active"))),"",IF(MIN(IF(AND(ISNUMBER($N37),$N37&gt;=TODAY()),$N37,99999),IF(AND(ISNUMBER($O37),$O37&gt;=TODAY()),$O37,99999),IF(AND(ISNUMBER($P37),$P37&gt;=TODAY()),$P37,99999),IF(AND(ISNUMBER($S37),$S37&gt;=TODAY()),$S37,99999),IF(AND(ISNUMBER($T37),$T37&gt;=TODAY()),$T37,99999),IF(AND(ISNUMBER($U37),$U37&gt;=TODAY()),$U37,99999),IF(AND(ISNUMBER($V37),$V37&gt;=TODAY()),$V37,99999),IF(AND(ISNUMBER($W37),$W37&gt;=TODAY()),$W37,99999),IF(AND(ISNUMBER($X37),$X37&gt;=TODAY()),$X37,99999),IF(AND(ISNUMBER($Y37),$Y37&gt;=TODAY()),$Y37,99999))=99999,"",MIN(IF(AND(ISNUMBER($N37),$N37&gt;=TODAY()),$N37,99999),IF(AND(ISNUMBER($O37),$O37&gt;=TODAY()),$O37,99999),IF(AND(ISNUMBER($P37),$P37&gt;=TODAY()),$P37,99999),IF(AND(ISNUMBER($S37),$S37&gt;=TODAY()),$S37,99999),IF(AND(ISNUMBER($T37),$T37&gt;=TODAY()),$T37,99999),IF(AND(ISNUMBER($U37),$U37&gt;=TODAY()),$U37,99999),IF(AND(ISNUMBER($V37),$V37&gt;=TODAY()),$V37,99999),IF(AND(ISNUMBER($W37),$W37&gt;=TODAY()),$W37,99999),IF(AND(ISNUMBER($X37),$X37&gt;=TODAY()),$X37,99999),IF(AND(ISNUMBER($Y37),$Y37&gt;=TODAY()),$Y37,99999))))</f>
        <v/>
      </c>
      <c r="N37" s="27" t="n"/>
      <c r="O37" s="27" t="n"/>
      <c r="P37" s="27" t="n"/>
      <c r="Q37" s="27" t="n"/>
      <c r="R37" s="27" t="n"/>
      <c r="S37" s="27" t="n"/>
      <c r="T37" s="27" t="n"/>
      <c r="U37" s="27" t="n"/>
      <c r="V37" s="27" t="n"/>
      <c r="W37" s="27" t="n"/>
      <c r="X37" s="27" t="n"/>
      <c r="Y37" s="27" t="n"/>
      <c r="Z37" s="27" t="n"/>
      <c r="AA37" s="27" t="n"/>
      <c r="AB37" s="27" t="n"/>
      <c r="AC37" s="30" t="n"/>
      <c r="AD37" s="25" t="n"/>
      <c r="AE37" s="28">
        <f>IF(NOT(AND($A37&lt;&gt;"",OR($I37="",$I37="Active"))),"",IF(OR(IF(OR(ISNUMBER($Y37),$Y37="DNA"),$Y37,IF(OR(ISNUMBER($X37),$X37="DNA"),$X37,IF(OR(ISNUMBER($W37),$W37="DNA"),$W37,IF(OR(ISNUMBER($V37),$V37="DNA"),$V37,IF(OR(ISNUMBER($U37),$U37="DNA"),$U37,IF(OR(ISNUMBER($T37),$T37="DNA"),$T37,IF(OR(ISNUMBER($S37),$S37="DNA"),$S37,IF(OR(ISNUMBER($P37),$P37="DNA"),$P37,IF(OR(ISNUMBER($O37),$O37="DNA"),$O37,IF(OR(ISNUMBER($N37),$N37="DNA"),$N37,""))))))))))="DNA",AND(ISNUMBER(IF(OR(ISNUMBER($Y37),$Y37="DNA"),$Y37,IF(OR(ISNUMBER($X37),$X37="DNA"),$X37,IF(OR(ISNUMBER($W37),$W37="DNA"),$W37,IF(OR(ISNUMBER($V37),$V37="DNA"),$V37,IF(OR(ISNUMBER($U37),$U37="DNA"),$U37,IF(OR(ISNUMBER($T37),$T37="DNA"),$T37,IF(OR(ISNUMBER($S37),$S37="DNA"),$S37,IF(OR(ISNUMBER($P37),$P37="DNA"),$P37,IF(OR(ISNUMBER($O37),$O37="DNA"),$O37,IF(OR(ISNUMBER($N37),$N37="DNA"),$N37,""))))))))))),IF(OR(ISNUMBER($Y37),$Y37="DNA"),$Y37,IF(OR(ISNUMBER($X37),$X37="DNA"),$X37,IF(OR(ISNUMBER($W37),$W37="DNA"),$W37,IF(OR(ISNUMBER($V37),$V37="DNA"),$V37,IF(OR(ISNUMBER($U37),$U37="DNA"),$U37,IF(OR(ISNUMBER($T37),$T37="DNA"),$T37,IF(OR(ISNUMBER($S37),$S37="DNA"),$S37,IF(OR(ISNUMBER($P37),$P37="DNA"),$P37,IF(OR(ISNUMBER($O37),$O37="DNA"),$O37,IF(OR(ISNUMBER($N37),$N37="DNA"),$N37,""))))))))))&lt;TODAY())),1,0)+ISNUMBER($Q37)*($Q37&lt;TODAY())+ISNUMBER($R37)*($R37&lt;TODAY())+ISNUMBER($AA37)*($AA37&lt;TODAY())+ISNUMBER($AB37)*($AB37&lt;TODAY()))</f>
        <v/>
      </c>
    </row>
    <row r="38">
      <c r="A38" s="25" t="n"/>
      <c r="B38" s="26" t="n"/>
      <c r="C38" s="27" t="n"/>
      <c r="D38" s="25" t="n"/>
      <c r="E38" s="25" t="n"/>
      <c r="F38" s="25" t="n"/>
      <c r="G38" s="25" t="n"/>
      <c r="H38" s="27" t="n"/>
      <c r="I38" s="25" t="n"/>
      <c r="J38" s="28">
        <f>IF(OR(NOT(AND($A38&lt;&gt;"",OR($I38="",$I38="Active"))),$H38=""),"",INT((TODAY()-$H38+280)/7)&amp;"+"&amp;MOD(TODAY()-$H38+280,7))</f>
        <v/>
      </c>
      <c r="K38" s="28">
        <f>IF(NOT(AND($A38&lt;&gt;"",OR($I38="",$I38="Active"))),"",ISNUMBER($N38)*($N38&gt;=TODAY())*($N38&lt;=TODAY()+7)+ISNUMBER($O38)*($O38&gt;=TODAY())*($O38&lt;=TODAY()+7)+ISNUMBER($P38)*($P38&gt;=TODAY())*($P38&lt;=TODAY()+7)+ISNUMBER($S38)*($S38&gt;=TODAY())*($S38&lt;=TODAY()+7)+ISNUMBER($T38)*($T38&gt;=TODAY())*($T38&lt;=TODAY()+7)+ISNUMBER($U38)*($U38&gt;=TODAY())*($U38&lt;=TODAY()+7)+ISNUMBER($V38)*($V38&gt;=TODAY())*($V38&lt;=TODAY()+7)+ISNUMBER($W38)*($W38&gt;=TODAY())*($W38&lt;=TODAY()+7)+ISNUMBER($X38)*($X38&gt;=TODAY())*($X38&lt;=TODAY()+7)+ISNUMBER($Y38)*($Y38&gt;=TODAY())*($Y38&lt;=TODAY()+7)+ISNUMBER($Q38)*($Q38&gt;=TODAY())*($Q38&lt;=TODAY()+7)+ISNUMBER($R38)*($R38&gt;=TODAY())*($R38&lt;=TODAY()+7)+ISNUMBER($AA38)*($AA38&gt;=TODAY())*($AA38&lt;=TODAY()+7)+ISNUMBER($AB38)*($AB38&gt;=TODAY())*($AB38&lt;=TODAY()+7))</f>
        <v/>
      </c>
      <c r="L38" s="28">
        <f>IF(NOT(AND($A38&lt;&gt;"",OR($I38="",$I38="Active"))),"",IF($M38&lt;&gt;"",IF($N38=$M38,"Booking",IF($O38=$M38,"16/40",IF($P38=$M38,"25/40",IF($S38=$M38,"28/40",IF($T38=$M38,"31/40",IF($U38=$M38,"34/40",IF($V38=$M38,"36/40",IF($W38=$M38,"38/40",IF($X38=$M38,"40/40",IF($Y38=$M38,"41/40","")))))))))),IF(IF(OR(ISNUMBER($Y38),$Y38="DNA"),$Y38,IF(OR(ISNUMBER($X38),$X38="DNA"),$X38,IF(OR(ISNUMBER($W38),$W38="DNA"),$W38,IF(OR(ISNUMBER($V38),$V38="DNA"),$V38,IF(OR(ISNUMBER($U38),$U38="DNA"),$U38,IF(OR(ISNUMBER($T38),$T38="DNA"),$T38,IF(OR(ISNUMBER($S38),$S38="DNA"),$S38,IF(OR(ISNUMBER($P38),$P38="DNA"),$P38,IF(OR(ISNUMBER($O38),$O38="DNA"),$O38,IF(OR(ISNUMBER($N38),$N38="DNA"),$N38,""))))))))))="DNA","Rebook DNA",IF(ISNUMBER(IF(OR(ISNUMBER($Y38),$Y38="DNA"),$Y38,IF(OR(ISNUMBER($X38),$X38="DNA"),$X38,IF(OR(ISNUMBER($W38),$W38="DNA"),$W38,IF(OR(ISNUMBER($V38),$V38="DNA"),$V38,IF(OR(ISNUMBER($U38),$U38="DNA"),$U38,IF(OR(ISNUMBER($T38),$T38="DNA"),$T38,IF(OR(ISNUMBER($S38),$S38="DNA"),$S38,IF(OR(ISNUMBER($P38),$P38="DNA"),$P38,IF(OR(ISNUMBER($O38),$O38="DNA"),$O38,IF(OR(ISNUMBER($N38),$N38="DNA"),$N38,""))))))))))),IF(ISNUMBER($Y38),"Update status","Missed/not booked?"),""))))</f>
        <v/>
      </c>
      <c r="M38" s="29">
        <f>IF(NOT(AND($A38&lt;&gt;"",OR($I38="",$I38="Active"))),"",IF(MIN(IF(AND(ISNUMBER($N38),$N38&gt;=TODAY()),$N38,99999),IF(AND(ISNUMBER($O38),$O38&gt;=TODAY()),$O38,99999),IF(AND(ISNUMBER($P38),$P38&gt;=TODAY()),$P38,99999),IF(AND(ISNUMBER($S38),$S38&gt;=TODAY()),$S38,99999),IF(AND(ISNUMBER($T38),$T38&gt;=TODAY()),$T38,99999),IF(AND(ISNUMBER($U38),$U38&gt;=TODAY()),$U38,99999),IF(AND(ISNUMBER($V38),$V38&gt;=TODAY()),$V38,99999),IF(AND(ISNUMBER($W38),$W38&gt;=TODAY()),$W38,99999),IF(AND(ISNUMBER($X38),$X38&gt;=TODAY()),$X38,99999),IF(AND(ISNUMBER($Y38),$Y38&gt;=TODAY()),$Y38,99999))=99999,"",MIN(IF(AND(ISNUMBER($N38),$N38&gt;=TODAY()),$N38,99999),IF(AND(ISNUMBER($O38),$O38&gt;=TODAY()),$O38,99999),IF(AND(ISNUMBER($P38),$P38&gt;=TODAY()),$P38,99999),IF(AND(ISNUMBER($S38),$S38&gt;=TODAY()),$S38,99999),IF(AND(ISNUMBER($T38),$T38&gt;=TODAY()),$T38,99999),IF(AND(ISNUMBER($U38),$U38&gt;=TODAY()),$U38,99999),IF(AND(ISNUMBER($V38),$V38&gt;=TODAY()),$V38,99999),IF(AND(ISNUMBER($W38),$W38&gt;=TODAY()),$W38,99999),IF(AND(ISNUMBER($X38),$X38&gt;=TODAY()),$X38,99999),IF(AND(ISNUMBER($Y38),$Y38&gt;=TODAY()),$Y38,99999))))</f>
        <v/>
      </c>
      <c r="N38" s="27" t="n"/>
      <c r="O38" s="27" t="n"/>
      <c r="P38" s="27" t="n"/>
      <c r="Q38" s="27" t="n"/>
      <c r="R38" s="27" t="n"/>
      <c r="S38" s="27" t="n"/>
      <c r="T38" s="27" t="n"/>
      <c r="U38" s="27" t="n"/>
      <c r="V38" s="27" t="n"/>
      <c r="W38" s="27" t="n"/>
      <c r="X38" s="27" t="n"/>
      <c r="Y38" s="27" t="n"/>
      <c r="Z38" s="27" t="n"/>
      <c r="AA38" s="27" t="n"/>
      <c r="AB38" s="27" t="n"/>
      <c r="AC38" s="30" t="n"/>
      <c r="AD38" s="25" t="n"/>
      <c r="AE38" s="28">
        <f>IF(NOT(AND($A38&lt;&gt;"",OR($I38="",$I38="Active"))),"",IF(OR(IF(OR(ISNUMBER($Y38),$Y38="DNA"),$Y38,IF(OR(ISNUMBER($X38),$X38="DNA"),$X38,IF(OR(ISNUMBER($W38),$W38="DNA"),$W38,IF(OR(ISNUMBER($V38),$V38="DNA"),$V38,IF(OR(ISNUMBER($U38),$U38="DNA"),$U38,IF(OR(ISNUMBER($T38),$T38="DNA"),$T38,IF(OR(ISNUMBER($S38),$S38="DNA"),$S38,IF(OR(ISNUMBER($P38),$P38="DNA"),$P38,IF(OR(ISNUMBER($O38),$O38="DNA"),$O38,IF(OR(ISNUMBER($N38),$N38="DNA"),$N38,""))))))))))="DNA",AND(ISNUMBER(IF(OR(ISNUMBER($Y38),$Y38="DNA"),$Y38,IF(OR(ISNUMBER($X38),$X38="DNA"),$X38,IF(OR(ISNUMBER($W38),$W38="DNA"),$W38,IF(OR(ISNUMBER($V38),$V38="DNA"),$V38,IF(OR(ISNUMBER($U38),$U38="DNA"),$U38,IF(OR(ISNUMBER($T38),$T38="DNA"),$T38,IF(OR(ISNUMBER($S38),$S38="DNA"),$S38,IF(OR(ISNUMBER($P38),$P38="DNA"),$P38,IF(OR(ISNUMBER($O38),$O38="DNA"),$O38,IF(OR(ISNUMBER($N38),$N38="DNA"),$N38,""))))))))))),IF(OR(ISNUMBER($Y38),$Y38="DNA"),$Y38,IF(OR(ISNUMBER($X38),$X38="DNA"),$X38,IF(OR(ISNUMBER($W38),$W38="DNA"),$W38,IF(OR(ISNUMBER($V38),$V38="DNA"),$V38,IF(OR(ISNUMBER($U38),$U38="DNA"),$U38,IF(OR(ISNUMBER($T38),$T38="DNA"),$T38,IF(OR(ISNUMBER($S38),$S38="DNA"),$S38,IF(OR(ISNUMBER($P38),$P38="DNA"),$P38,IF(OR(ISNUMBER($O38),$O38="DNA"),$O38,IF(OR(ISNUMBER($N38),$N38="DNA"),$N38,""))))))))))&lt;TODAY())),1,0)+ISNUMBER($Q38)*($Q38&lt;TODAY())+ISNUMBER($R38)*($R38&lt;TODAY())+ISNUMBER($AA38)*($AA38&lt;TODAY())+ISNUMBER($AB38)*($AB38&lt;TODAY()))</f>
        <v/>
      </c>
    </row>
    <row r="39">
      <c r="A39" s="25" t="n"/>
      <c r="B39" s="26" t="n"/>
      <c r="C39" s="27" t="n"/>
      <c r="D39" s="25" t="n"/>
      <c r="E39" s="25" t="n"/>
      <c r="F39" s="25" t="n"/>
      <c r="G39" s="25" t="n"/>
      <c r="H39" s="27" t="n"/>
      <c r="I39" s="25" t="n"/>
      <c r="J39" s="28">
        <f>IF(OR(NOT(AND($A39&lt;&gt;"",OR($I39="",$I39="Active"))),$H39=""),"",INT((TODAY()-$H39+280)/7)&amp;"+"&amp;MOD(TODAY()-$H39+280,7))</f>
        <v/>
      </c>
      <c r="K39" s="28">
        <f>IF(NOT(AND($A39&lt;&gt;"",OR($I39="",$I39="Active"))),"",ISNUMBER($N39)*($N39&gt;=TODAY())*($N39&lt;=TODAY()+7)+ISNUMBER($O39)*($O39&gt;=TODAY())*($O39&lt;=TODAY()+7)+ISNUMBER($P39)*($P39&gt;=TODAY())*($P39&lt;=TODAY()+7)+ISNUMBER($S39)*($S39&gt;=TODAY())*($S39&lt;=TODAY()+7)+ISNUMBER($T39)*($T39&gt;=TODAY())*($T39&lt;=TODAY()+7)+ISNUMBER($U39)*($U39&gt;=TODAY())*($U39&lt;=TODAY()+7)+ISNUMBER($V39)*($V39&gt;=TODAY())*($V39&lt;=TODAY()+7)+ISNUMBER($W39)*($W39&gt;=TODAY())*($W39&lt;=TODAY()+7)+ISNUMBER($X39)*($X39&gt;=TODAY())*($X39&lt;=TODAY()+7)+ISNUMBER($Y39)*($Y39&gt;=TODAY())*($Y39&lt;=TODAY()+7)+ISNUMBER($Q39)*($Q39&gt;=TODAY())*($Q39&lt;=TODAY()+7)+ISNUMBER($R39)*($R39&gt;=TODAY())*($R39&lt;=TODAY()+7)+ISNUMBER($AA39)*($AA39&gt;=TODAY())*($AA39&lt;=TODAY()+7)+ISNUMBER($AB39)*($AB39&gt;=TODAY())*($AB39&lt;=TODAY()+7))</f>
        <v/>
      </c>
      <c r="L39" s="28">
        <f>IF(NOT(AND($A39&lt;&gt;"",OR($I39="",$I39="Active"))),"",IF($M39&lt;&gt;"",IF($N39=$M39,"Booking",IF($O39=$M39,"16/40",IF($P39=$M39,"25/40",IF($S39=$M39,"28/40",IF($T39=$M39,"31/40",IF($U39=$M39,"34/40",IF($V39=$M39,"36/40",IF($W39=$M39,"38/40",IF($X39=$M39,"40/40",IF($Y39=$M39,"41/40","")))))))))),IF(IF(OR(ISNUMBER($Y39),$Y39="DNA"),$Y39,IF(OR(ISNUMBER($X39),$X39="DNA"),$X39,IF(OR(ISNUMBER($W39),$W39="DNA"),$W39,IF(OR(ISNUMBER($V39),$V39="DNA"),$V39,IF(OR(ISNUMBER($U39),$U39="DNA"),$U39,IF(OR(ISNUMBER($T39),$T39="DNA"),$T39,IF(OR(ISNUMBER($S39),$S39="DNA"),$S39,IF(OR(ISNUMBER($P39),$P39="DNA"),$P39,IF(OR(ISNUMBER($O39),$O39="DNA"),$O39,IF(OR(ISNUMBER($N39),$N39="DNA"),$N39,""))))))))))="DNA","Rebook DNA",IF(ISNUMBER(IF(OR(ISNUMBER($Y39),$Y39="DNA"),$Y39,IF(OR(ISNUMBER($X39),$X39="DNA"),$X39,IF(OR(ISNUMBER($W39),$W39="DNA"),$W39,IF(OR(ISNUMBER($V39),$V39="DNA"),$V39,IF(OR(ISNUMBER($U39),$U39="DNA"),$U39,IF(OR(ISNUMBER($T39),$T39="DNA"),$T39,IF(OR(ISNUMBER($S39),$S39="DNA"),$S39,IF(OR(ISNUMBER($P39),$P39="DNA"),$P39,IF(OR(ISNUMBER($O39),$O39="DNA"),$O39,IF(OR(ISNUMBER($N39),$N39="DNA"),$N39,""))))))))))),IF(ISNUMBER($Y39),"Update status","Missed/not booked?"),""))))</f>
        <v/>
      </c>
      <c r="M39" s="29">
        <f>IF(NOT(AND($A39&lt;&gt;"",OR($I39="",$I39="Active"))),"",IF(MIN(IF(AND(ISNUMBER($N39),$N39&gt;=TODAY()),$N39,99999),IF(AND(ISNUMBER($O39),$O39&gt;=TODAY()),$O39,99999),IF(AND(ISNUMBER($P39),$P39&gt;=TODAY()),$P39,99999),IF(AND(ISNUMBER($S39),$S39&gt;=TODAY()),$S39,99999),IF(AND(ISNUMBER($T39),$T39&gt;=TODAY()),$T39,99999),IF(AND(ISNUMBER($U39),$U39&gt;=TODAY()),$U39,99999),IF(AND(ISNUMBER($V39),$V39&gt;=TODAY()),$V39,99999),IF(AND(ISNUMBER($W39),$W39&gt;=TODAY()),$W39,99999),IF(AND(ISNUMBER($X39),$X39&gt;=TODAY()),$X39,99999),IF(AND(ISNUMBER($Y39),$Y39&gt;=TODAY()),$Y39,99999))=99999,"",MIN(IF(AND(ISNUMBER($N39),$N39&gt;=TODAY()),$N39,99999),IF(AND(ISNUMBER($O39),$O39&gt;=TODAY()),$O39,99999),IF(AND(ISNUMBER($P39),$P39&gt;=TODAY()),$P39,99999),IF(AND(ISNUMBER($S39),$S39&gt;=TODAY()),$S39,99999),IF(AND(ISNUMBER($T39),$T39&gt;=TODAY()),$T39,99999),IF(AND(ISNUMBER($U39),$U39&gt;=TODAY()),$U39,99999),IF(AND(ISNUMBER($V39),$V39&gt;=TODAY()),$V39,99999),IF(AND(ISNUMBER($W39),$W39&gt;=TODAY()),$W39,99999),IF(AND(ISNUMBER($X39),$X39&gt;=TODAY()),$X39,99999),IF(AND(ISNUMBER($Y39),$Y39&gt;=TODAY()),$Y39,99999))))</f>
        <v/>
      </c>
      <c r="N39" s="27" t="n"/>
      <c r="O39" s="27" t="n"/>
      <c r="P39" s="27" t="n"/>
      <c r="Q39" s="27" t="n"/>
      <c r="R39" s="27" t="n"/>
      <c r="S39" s="27" t="n"/>
      <c r="T39" s="27" t="n"/>
      <c r="U39" s="27" t="n"/>
      <c r="V39" s="27" t="n"/>
      <c r="W39" s="27" t="n"/>
      <c r="X39" s="27" t="n"/>
      <c r="Y39" s="27" t="n"/>
      <c r="Z39" s="27" t="n"/>
      <c r="AA39" s="27" t="n"/>
      <c r="AB39" s="27" t="n"/>
      <c r="AC39" s="30" t="n"/>
      <c r="AD39" s="25" t="n"/>
      <c r="AE39" s="28">
        <f>IF(NOT(AND($A39&lt;&gt;"",OR($I39="",$I39="Active"))),"",IF(OR(IF(OR(ISNUMBER($Y39),$Y39="DNA"),$Y39,IF(OR(ISNUMBER($X39),$X39="DNA"),$X39,IF(OR(ISNUMBER($W39),$W39="DNA"),$W39,IF(OR(ISNUMBER($V39),$V39="DNA"),$V39,IF(OR(ISNUMBER($U39),$U39="DNA"),$U39,IF(OR(ISNUMBER($T39),$T39="DNA"),$T39,IF(OR(ISNUMBER($S39),$S39="DNA"),$S39,IF(OR(ISNUMBER($P39),$P39="DNA"),$P39,IF(OR(ISNUMBER($O39),$O39="DNA"),$O39,IF(OR(ISNUMBER($N39),$N39="DNA"),$N39,""))))))))))="DNA",AND(ISNUMBER(IF(OR(ISNUMBER($Y39),$Y39="DNA"),$Y39,IF(OR(ISNUMBER($X39),$X39="DNA"),$X39,IF(OR(ISNUMBER($W39),$W39="DNA"),$W39,IF(OR(ISNUMBER($V39),$V39="DNA"),$V39,IF(OR(ISNUMBER($U39),$U39="DNA"),$U39,IF(OR(ISNUMBER($T39),$T39="DNA"),$T39,IF(OR(ISNUMBER($S39),$S39="DNA"),$S39,IF(OR(ISNUMBER($P39),$P39="DNA"),$P39,IF(OR(ISNUMBER($O39),$O39="DNA"),$O39,IF(OR(ISNUMBER($N39),$N39="DNA"),$N39,""))))))))))),IF(OR(ISNUMBER($Y39),$Y39="DNA"),$Y39,IF(OR(ISNUMBER($X39),$X39="DNA"),$X39,IF(OR(ISNUMBER($W39),$W39="DNA"),$W39,IF(OR(ISNUMBER($V39),$V39="DNA"),$V39,IF(OR(ISNUMBER($U39),$U39="DNA"),$U39,IF(OR(ISNUMBER($T39),$T39="DNA"),$T39,IF(OR(ISNUMBER($S39),$S39="DNA"),$S39,IF(OR(ISNUMBER($P39),$P39="DNA"),$P39,IF(OR(ISNUMBER($O39),$O39="DNA"),$O39,IF(OR(ISNUMBER($N39),$N39="DNA"),$N39,""))))))))))&lt;TODAY())),1,0)+ISNUMBER($Q39)*($Q39&lt;TODAY())+ISNUMBER($R39)*($R39&lt;TODAY())+ISNUMBER($AA39)*($AA39&lt;TODAY())+ISNUMBER($AB39)*($AB39&lt;TODAY()))</f>
        <v/>
      </c>
    </row>
    <row r="40">
      <c r="A40" s="25" t="n"/>
      <c r="B40" s="26" t="n"/>
      <c r="C40" s="27" t="n"/>
      <c r="D40" s="25" t="n"/>
      <c r="E40" s="25" t="n"/>
      <c r="F40" s="25" t="n"/>
      <c r="G40" s="25" t="n"/>
      <c r="H40" s="27" t="n"/>
      <c r="I40" s="25" t="n"/>
      <c r="J40" s="28">
        <f>IF(OR(NOT(AND($A40&lt;&gt;"",OR($I40="",$I40="Active"))),$H40=""),"",INT((TODAY()-$H40+280)/7)&amp;"+"&amp;MOD(TODAY()-$H40+280,7))</f>
        <v/>
      </c>
      <c r="K40" s="28">
        <f>IF(NOT(AND($A40&lt;&gt;"",OR($I40="",$I40="Active"))),"",ISNUMBER($N40)*($N40&gt;=TODAY())*($N40&lt;=TODAY()+7)+ISNUMBER($O40)*($O40&gt;=TODAY())*($O40&lt;=TODAY()+7)+ISNUMBER($P40)*($P40&gt;=TODAY())*($P40&lt;=TODAY()+7)+ISNUMBER($S40)*($S40&gt;=TODAY())*($S40&lt;=TODAY()+7)+ISNUMBER($T40)*($T40&gt;=TODAY())*($T40&lt;=TODAY()+7)+ISNUMBER($U40)*($U40&gt;=TODAY())*($U40&lt;=TODAY()+7)+ISNUMBER($V40)*($V40&gt;=TODAY())*($V40&lt;=TODAY()+7)+ISNUMBER($W40)*($W40&gt;=TODAY())*($W40&lt;=TODAY()+7)+ISNUMBER($X40)*($X40&gt;=TODAY())*($X40&lt;=TODAY()+7)+ISNUMBER($Y40)*($Y40&gt;=TODAY())*($Y40&lt;=TODAY()+7)+ISNUMBER($Q40)*($Q40&gt;=TODAY())*($Q40&lt;=TODAY()+7)+ISNUMBER($R40)*($R40&gt;=TODAY())*($R40&lt;=TODAY()+7)+ISNUMBER($AA40)*($AA40&gt;=TODAY())*($AA40&lt;=TODAY()+7)+ISNUMBER($AB40)*($AB40&gt;=TODAY())*($AB40&lt;=TODAY()+7))</f>
        <v/>
      </c>
      <c r="L40" s="28">
        <f>IF(NOT(AND($A40&lt;&gt;"",OR($I40="",$I40="Active"))),"",IF($M40&lt;&gt;"",IF($N40=$M40,"Booking",IF($O40=$M40,"16/40",IF($P40=$M40,"25/40",IF($S40=$M40,"28/40",IF($T40=$M40,"31/40",IF($U40=$M40,"34/40",IF($V40=$M40,"36/40",IF($W40=$M40,"38/40",IF($X40=$M40,"40/40",IF($Y40=$M40,"41/40","")))))))))),IF(IF(OR(ISNUMBER($Y40),$Y40="DNA"),$Y40,IF(OR(ISNUMBER($X40),$X40="DNA"),$X40,IF(OR(ISNUMBER($W40),$W40="DNA"),$W40,IF(OR(ISNUMBER($V40),$V40="DNA"),$V40,IF(OR(ISNUMBER($U40),$U40="DNA"),$U40,IF(OR(ISNUMBER($T40),$T40="DNA"),$T40,IF(OR(ISNUMBER($S40),$S40="DNA"),$S40,IF(OR(ISNUMBER($P40),$P40="DNA"),$P40,IF(OR(ISNUMBER($O40),$O40="DNA"),$O40,IF(OR(ISNUMBER($N40),$N40="DNA"),$N40,""))))))))))="DNA","Rebook DNA",IF(ISNUMBER(IF(OR(ISNUMBER($Y40),$Y40="DNA"),$Y40,IF(OR(ISNUMBER($X40),$X40="DNA"),$X40,IF(OR(ISNUMBER($W40),$W40="DNA"),$W40,IF(OR(ISNUMBER($V40),$V40="DNA"),$V40,IF(OR(ISNUMBER($U40),$U40="DNA"),$U40,IF(OR(ISNUMBER($T40),$T40="DNA"),$T40,IF(OR(ISNUMBER($S40),$S40="DNA"),$S40,IF(OR(ISNUMBER($P40),$P40="DNA"),$P40,IF(OR(ISNUMBER($O40),$O40="DNA"),$O40,IF(OR(ISNUMBER($N40),$N40="DNA"),$N40,""))))))))))),IF(ISNUMBER($Y40),"Update status","Missed/not booked?"),""))))</f>
        <v/>
      </c>
      <c r="M40" s="29">
        <f>IF(NOT(AND($A40&lt;&gt;"",OR($I40="",$I40="Active"))),"",IF(MIN(IF(AND(ISNUMBER($N40),$N40&gt;=TODAY()),$N40,99999),IF(AND(ISNUMBER($O40),$O40&gt;=TODAY()),$O40,99999),IF(AND(ISNUMBER($P40),$P40&gt;=TODAY()),$P40,99999),IF(AND(ISNUMBER($S40),$S40&gt;=TODAY()),$S40,99999),IF(AND(ISNUMBER($T40),$T40&gt;=TODAY()),$T40,99999),IF(AND(ISNUMBER($U40),$U40&gt;=TODAY()),$U40,99999),IF(AND(ISNUMBER($V40),$V40&gt;=TODAY()),$V40,99999),IF(AND(ISNUMBER($W40),$W40&gt;=TODAY()),$W40,99999),IF(AND(ISNUMBER($X40),$X40&gt;=TODAY()),$X40,99999),IF(AND(ISNUMBER($Y40),$Y40&gt;=TODAY()),$Y40,99999))=99999,"",MIN(IF(AND(ISNUMBER($N40),$N40&gt;=TODAY()),$N40,99999),IF(AND(ISNUMBER($O40),$O40&gt;=TODAY()),$O40,99999),IF(AND(ISNUMBER($P40),$P40&gt;=TODAY()),$P40,99999),IF(AND(ISNUMBER($S40),$S40&gt;=TODAY()),$S40,99999),IF(AND(ISNUMBER($T40),$T40&gt;=TODAY()),$T40,99999),IF(AND(ISNUMBER($U40),$U40&gt;=TODAY()),$U40,99999),IF(AND(ISNUMBER($V40),$V40&gt;=TODAY()),$V40,99999),IF(AND(ISNUMBER($W40),$W40&gt;=TODAY()),$W40,99999),IF(AND(ISNUMBER($X40),$X40&gt;=TODAY()),$X40,99999),IF(AND(ISNUMBER($Y40),$Y40&gt;=TODAY()),$Y40,99999))))</f>
        <v/>
      </c>
      <c r="N40" s="27" t="n"/>
      <c r="O40" s="27" t="n"/>
      <c r="P40" s="27" t="n"/>
      <c r="Q40" s="27" t="n"/>
      <c r="R40" s="27" t="n"/>
      <c r="S40" s="27" t="n"/>
      <c r="T40" s="27" t="n"/>
      <c r="U40" s="27" t="n"/>
      <c r="V40" s="27" t="n"/>
      <c r="W40" s="27" t="n"/>
      <c r="X40" s="27" t="n"/>
      <c r="Y40" s="27" t="n"/>
      <c r="Z40" s="27" t="n"/>
      <c r="AA40" s="27" t="n"/>
      <c r="AB40" s="27" t="n"/>
      <c r="AC40" s="30" t="n"/>
      <c r="AD40" s="25" t="n"/>
      <c r="AE40" s="28">
        <f>IF(NOT(AND($A40&lt;&gt;"",OR($I40="",$I40="Active"))),"",IF(OR(IF(OR(ISNUMBER($Y40),$Y40="DNA"),$Y40,IF(OR(ISNUMBER($X40),$X40="DNA"),$X40,IF(OR(ISNUMBER($W40),$W40="DNA"),$W40,IF(OR(ISNUMBER($V40),$V40="DNA"),$V40,IF(OR(ISNUMBER($U40),$U40="DNA"),$U40,IF(OR(ISNUMBER($T40),$T40="DNA"),$T40,IF(OR(ISNUMBER($S40),$S40="DNA"),$S40,IF(OR(ISNUMBER($P40),$P40="DNA"),$P40,IF(OR(ISNUMBER($O40),$O40="DNA"),$O40,IF(OR(ISNUMBER($N40),$N40="DNA"),$N40,""))))))))))="DNA",AND(ISNUMBER(IF(OR(ISNUMBER($Y40),$Y40="DNA"),$Y40,IF(OR(ISNUMBER($X40),$X40="DNA"),$X40,IF(OR(ISNUMBER($W40),$W40="DNA"),$W40,IF(OR(ISNUMBER($V40),$V40="DNA"),$V40,IF(OR(ISNUMBER($U40),$U40="DNA"),$U40,IF(OR(ISNUMBER($T40),$T40="DNA"),$T40,IF(OR(ISNUMBER($S40),$S40="DNA"),$S40,IF(OR(ISNUMBER($P40),$P40="DNA"),$P40,IF(OR(ISNUMBER($O40),$O40="DNA"),$O40,IF(OR(ISNUMBER($N40),$N40="DNA"),$N40,""))))))))))),IF(OR(ISNUMBER($Y40),$Y40="DNA"),$Y40,IF(OR(ISNUMBER($X40),$X40="DNA"),$X40,IF(OR(ISNUMBER($W40),$W40="DNA"),$W40,IF(OR(ISNUMBER($V40),$V40="DNA"),$V40,IF(OR(ISNUMBER($U40),$U40="DNA"),$U40,IF(OR(ISNUMBER($T40),$T40="DNA"),$T40,IF(OR(ISNUMBER($S40),$S40="DNA"),$S40,IF(OR(ISNUMBER($P40),$P40="DNA"),$P40,IF(OR(ISNUMBER($O40),$O40="DNA"),$O40,IF(OR(ISNUMBER($N40),$N40="DNA"),$N40,""))))))))))&lt;TODAY())),1,0)+ISNUMBER($Q40)*($Q40&lt;TODAY())+ISNUMBER($R40)*($R40&lt;TODAY())+ISNUMBER($AA40)*($AA40&lt;TODAY())+ISNUMBER($AB40)*($AB40&lt;TODAY()))</f>
        <v/>
      </c>
    </row>
    <row r="41">
      <c r="A41" s="25" t="n"/>
      <c r="B41" s="26" t="n"/>
      <c r="C41" s="27" t="n"/>
      <c r="D41" s="25" t="n"/>
      <c r="E41" s="25" t="n"/>
      <c r="F41" s="25" t="n"/>
      <c r="G41" s="25" t="n"/>
      <c r="H41" s="27" t="n"/>
      <c r="I41" s="25" t="n"/>
      <c r="J41" s="28">
        <f>IF(OR(NOT(AND($A41&lt;&gt;"",OR($I41="",$I41="Active"))),$H41=""),"",INT((TODAY()-$H41+280)/7)&amp;"+"&amp;MOD(TODAY()-$H41+280,7))</f>
        <v/>
      </c>
      <c r="K41" s="28">
        <f>IF(NOT(AND($A41&lt;&gt;"",OR($I41="",$I41="Active"))),"",ISNUMBER($N41)*($N41&gt;=TODAY())*($N41&lt;=TODAY()+7)+ISNUMBER($O41)*($O41&gt;=TODAY())*($O41&lt;=TODAY()+7)+ISNUMBER($P41)*($P41&gt;=TODAY())*($P41&lt;=TODAY()+7)+ISNUMBER($S41)*($S41&gt;=TODAY())*($S41&lt;=TODAY()+7)+ISNUMBER($T41)*($T41&gt;=TODAY())*($T41&lt;=TODAY()+7)+ISNUMBER($U41)*($U41&gt;=TODAY())*($U41&lt;=TODAY()+7)+ISNUMBER($V41)*($V41&gt;=TODAY())*($V41&lt;=TODAY()+7)+ISNUMBER($W41)*($W41&gt;=TODAY())*($W41&lt;=TODAY()+7)+ISNUMBER($X41)*($X41&gt;=TODAY())*($X41&lt;=TODAY()+7)+ISNUMBER($Y41)*($Y41&gt;=TODAY())*($Y41&lt;=TODAY()+7)+ISNUMBER($Q41)*($Q41&gt;=TODAY())*($Q41&lt;=TODAY()+7)+ISNUMBER($R41)*($R41&gt;=TODAY())*($R41&lt;=TODAY()+7)+ISNUMBER($AA41)*($AA41&gt;=TODAY())*($AA41&lt;=TODAY()+7)+ISNUMBER($AB41)*($AB41&gt;=TODAY())*($AB41&lt;=TODAY()+7))</f>
        <v/>
      </c>
      <c r="L41" s="28">
        <f>IF(NOT(AND($A41&lt;&gt;"",OR($I41="",$I41="Active"))),"",IF($M41&lt;&gt;"",IF($N41=$M41,"Booking",IF($O41=$M41,"16/40",IF($P41=$M41,"25/40",IF($S41=$M41,"28/40",IF($T41=$M41,"31/40",IF($U41=$M41,"34/40",IF($V41=$M41,"36/40",IF($W41=$M41,"38/40",IF($X41=$M41,"40/40",IF($Y41=$M41,"41/40","")))))))))),IF(IF(OR(ISNUMBER($Y41),$Y41="DNA"),$Y41,IF(OR(ISNUMBER($X41),$X41="DNA"),$X41,IF(OR(ISNUMBER($W41),$W41="DNA"),$W41,IF(OR(ISNUMBER($V41),$V41="DNA"),$V41,IF(OR(ISNUMBER($U41),$U41="DNA"),$U41,IF(OR(ISNUMBER($T41),$T41="DNA"),$T41,IF(OR(ISNUMBER($S41),$S41="DNA"),$S41,IF(OR(ISNUMBER($P41),$P41="DNA"),$P41,IF(OR(ISNUMBER($O41),$O41="DNA"),$O41,IF(OR(ISNUMBER($N41),$N41="DNA"),$N41,""))))))))))="DNA","Rebook DNA",IF(ISNUMBER(IF(OR(ISNUMBER($Y41),$Y41="DNA"),$Y41,IF(OR(ISNUMBER($X41),$X41="DNA"),$X41,IF(OR(ISNUMBER($W41),$W41="DNA"),$W41,IF(OR(ISNUMBER($V41),$V41="DNA"),$V41,IF(OR(ISNUMBER($U41),$U41="DNA"),$U41,IF(OR(ISNUMBER($T41),$T41="DNA"),$T41,IF(OR(ISNUMBER($S41),$S41="DNA"),$S41,IF(OR(ISNUMBER($P41),$P41="DNA"),$P41,IF(OR(ISNUMBER($O41),$O41="DNA"),$O41,IF(OR(ISNUMBER($N41),$N41="DNA"),$N41,""))))))))))),IF(ISNUMBER($Y41),"Update status","Missed/not booked?"),""))))</f>
        <v/>
      </c>
      <c r="M41" s="29">
        <f>IF(NOT(AND($A41&lt;&gt;"",OR($I41="",$I41="Active"))),"",IF(MIN(IF(AND(ISNUMBER($N41),$N41&gt;=TODAY()),$N41,99999),IF(AND(ISNUMBER($O41),$O41&gt;=TODAY()),$O41,99999),IF(AND(ISNUMBER($P41),$P41&gt;=TODAY()),$P41,99999),IF(AND(ISNUMBER($S41),$S41&gt;=TODAY()),$S41,99999),IF(AND(ISNUMBER($T41),$T41&gt;=TODAY()),$T41,99999),IF(AND(ISNUMBER($U41),$U41&gt;=TODAY()),$U41,99999),IF(AND(ISNUMBER($V41),$V41&gt;=TODAY()),$V41,99999),IF(AND(ISNUMBER($W41),$W41&gt;=TODAY()),$W41,99999),IF(AND(ISNUMBER($X41),$X41&gt;=TODAY()),$X41,99999),IF(AND(ISNUMBER($Y41),$Y41&gt;=TODAY()),$Y41,99999))=99999,"",MIN(IF(AND(ISNUMBER($N41),$N41&gt;=TODAY()),$N41,99999),IF(AND(ISNUMBER($O41),$O41&gt;=TODAY()),$O41,99999),IF(AND(ISNUMBER($P41),$P41&gt;=TODAY()),$P41,99999),IF(AND(ISNUMBER($S41),$S41&gt;=TODAY()),$S41,99999),IF(AND(ISNUMBER($T41),$T41&gt;=TODAY()),$T41,99999),IF(AND(ISNUMBER($U41),$U41&gt;=TODAY()),$U41,99999),IF(AND(ISNUMBER($V41),$V41&gt;=TODAY()),$V41,99999),IF(AND(ISNUMBER($W41),$W41&gt;=TODAY()),$W41,99999),IF(AND(ISNUMBER($X41),$X41&gt;=TODAY()),$X41,99999),IF(AND(ISNUMBER($Y41),$Y41&gt;=TODAY()),$Y41,99999))))</f>
        <v/>
      </c>
      <c r="N41" s="27" t="n"/>
      <c r="O41" s="27" t="n"/>
      <c r="P41" s="27" t="n"/>
      <c r="Q41" s="27" t="n"/>
      <c r="R41" s="27" t="n"/>
      <c r="S41" s="27" t="n"/>
      <c r="T41" s="27" t="n"/>
      <c r="U41" s="27" t="n"/>
      <c r="V41" s="27" t="n"/>
      <c r="W41" s="27" t="n"/>
      <c r="X41" s="27" t="n"/>
      <c r="Y41" s="27" t="n"/>
      <c r="Z41" s="27" t="n"/>
      <c r="AA41" s="27" t="n"/>
      <c r="AB41" s="27" t="n"/>
      <c r="AC41" s="30" t="n"/>
      <c r="AD41" s="25" t="n"/>
      <c r="AE41" s="28">
        <f>IF(NOT(AND($A41&lt;&gt;"",OR($I41="",$I41="Active"))),"",IF(OR(IF(OR(ISNUMBER($Y41),$Y41="DNA"),$Y41,IF(OR(ISNUMBER($X41),$X41="DNA"),$X41,IF(OR(ISNUMBER($W41),$W41="DNA"),$W41,IF(OR(ISNUMBER($V41),$V41="DNA"),$V41,IF(OR(ISNUMBER($U41),$U41="DNA"),$U41,IF(OR(ISNUMBER($T41),$T41="DNA"),$T41,IF(OR(ISNUMBER($S41),$S41="DNA"),$S41,IF(OR(ISNUMBER($P41),$P41="DNA"),$P41,IF(OR(ISNUMBER($O41),$O41="DNA"),$O41,IF(OR(ISNUMBER($N41),$N41="DNA"),$N41,""))))))))))="DNA",AND(ISNUMBER(IF(OR(ISNUMBER($Y41),$Y41="DNA"),$Y41,IF(OR(ISNUMBER($X41),$X41="DNA"),$X41,IF(OR(ISNUMBER($W41),$W41="DNA"),$W41,IF(OR(ISNUMBER($V41),$V41="DNA"),$V41,IF(OR(ISNUMBER($U41),$U41="DNA"),$U41,IF(OR(ISNUMBER($T41),$T41="DNA"),$T41,IF(OR(ISNUMBER($S41),$S41="DNA"),$S41,IF(OR(ISNUMBER($P41),$P41="DNA"),$P41,IF(OR(ISNUMBER($O41),$O41="DNA"),$O41,IF(OR(ISNUMBER($N41),$N41="DNA"),$N41,""))))))))))),IF(OR(ISNUMBER($Y41),$Y41="DNA"),$Y41,IF(OR(ISNUMBER($X41),$X41="DNA"),$X41,IF(OR(ISNUMBER($W41),$W41="DNA"),$W41,IF(OR(ISNUMBER($V41),$V41="DNA"),$V41,IF(OR(ISNUMBER($U41),$U41="DNA"),$U41,IF(OR(ISNUMBER($T41),$T41="DNA"),$T41,IF(OR(ISNUMBER($S41),$S41="DNA"),$S41,IF(OR(ISNUMBER($P41),$P41="DNA"),$P41,IF(OR(ISNUMBER($O41),$O41="DNA"),$O41,IF(OR(ISNUMBER($N41),$N41="DNA"),$N41,""))))))))))&lt;TODAY())),1,0)+ISNUMBER($Q41)*($Q41&lt;TODAY())+ISNUMBER($R41)*($R41&lt;TODAY())+ISNUMBER($AA41)*($AA41&lt;TODAY())+ISNUMBER($AB41)*($AB41&lt;TODAY()))</f>
        <v/>
      </c>
    </row>
    <row r="42">
      <c r="A42" s="25" t="n"/>
      <c r="B42" s="26" t="n"/>
      <c r="C42" s="27" t="n"/>
      <c r="D42" s="25" t="n"/>
      <c r="E42" s="25" t="n"/>
      <c r="F42" s="25" t="n"/>
      <c r="G42" s="25" t="n"/>
      <c r="H42" s="27" t="n"/>
      <c r="I42" s="25" t="n"/>
      <c r="J42" s="28">
        <f>IF(OR(NOT(AND($A42&lt;&gt;"",OR($I42="",$I42="Active"))),$H42=""),"",INT((TODAY()-$H42+280)/7)&amp;"+"&amp;MOD(TODAY()-$H42+280,7))</f>
        <v/>
      </c>
      <c r="K42" s="28">
        <f>IF(NOT(AND($A42&lt;&gt;"",OR($I42="",$I42="Active"))),"",ISNUMBER($N42)*($N42&gt;=TODAY())*($N42&lt;=TODAY()+7)+ISNUMBER($O42)*($O42&gt;=TODAY())*($O42&lt;=TODAY()+7)+ISNUMBER($P42)*($P42&gt;=TODAY())*($P42&lt;=TODAY()+7)+ISNUMBER($S42)*($S42&gt;=TODAY())*($S42&lt;=TODAY()+7)+ISNUMBER($T42)*($T42&gt;=TODAY())*($T42&lt;=TODAY()+7)+ISNUMBER($U42)*($U42&gt;=TODAY())*($U42&lt;=TODAY()+7)+ISNUMBER($V42)*($V42&gt;=TODAY())*($V42&lt;=TODAY()+7)+ISNUMBER($W42)*($W42&gt;=TODAY())*($W42&lt;=TODAY()+7)+ISNUMBER($X42)*($X42&gt;=TODAY())*($X42&lt;=TODAY()+7)+ISNUMBER($Y42)*($Y42&gt;=TODAY())*($Y42&lt;=TODAY()+7)+ISNUMBER($Q42)*($Q42&gt;=TODAY())*($Q42&lt;=TODAY()+7)+ISNUMBER($R42)*($R42&gt;=TODAY())*($R42&lt;=TODAY()+7)+ISNUMBER($AA42)*($AA42&gt;=TODAY())*($AA42&lt;=TODAY()+7)+ISNUMBER($AB42)*($AB42&gt;=TODAY())*($AB42&lt;=TODAY()+7))</f>
        <v/>
      </c>
      <c r="L42" s="28">
        <f>IF(NOT(AND($A42&lt;&gt;"",OR($I42="",$I42="Active"))),"",IF($M42&lt;&gt;"",IF($N42=$M42,"Booking",IF($O42=$M42,"16/40",IF($P42=$M42,"25/40",IF($S42=$M42,"28/40",IF($T42=$M42,"31/40",IF($U42=$M42,"34/40",IF($V42=$M42,"36/40",IF($W42=$M42,"38/40",IF($X42=$M42,"40/40",IF($Y42=$M42,"41/40","")))))))))),IF(IF(OR(ISNUMBER($Y42),$Y42="DNA"),$Y42,IF(OR(ISNUMBER($X42),$X42="DNA"),$X42,IF(OR(ISNUMBER($W42),$W42="DNA"),$W42,IF(OR(ISNUMBER($V42),$V42="DNA"),$V42,IF(OR(ISNUMBER($U42),$U42="DNA"),$U42,IF(OR(ISNUMBER($T42),$T42="DNA"),$T42,IF(OR(ISNUMBER($S42),$S42="DNA"),$S42,IF(OR(ISNUMBER($P42),$P42="DNA"),$P42,IF(OR(ISNUMBER($O42),$O42="DNA"),$O42,IF(OR(ISNUMBER($N42),$N42="DNA"),$N42,""))))))))))="DNA","Rebook DNA",IF(ISNUMBER(IF(OR(ISNUMBER($Y42),$Y42="DNA"),$Y42,IF(OR(ISNUMBER($X42),$X42="DNA"),$X42,IF(OR(ISNUMBER($W42),$W42="DNA"),$W42,IF(OR(ISNUMBER($V42),$V42="DNA"),$V42,IF(OR(ISNUMBER($U42),$U42="DNA"),$U42,IF(OR(ISNUMBER($T42),$T42="DNA"),$T42,IF(OR(ISNUMBER($S42),$S42="DNA"),$S42,IF(OR(ISNUMBER($P42),$P42="DNA"),$P42,IF(OR(ISNUMBER($O42),$O42="DNA"),$O42,IF(OR(ISNUMBER($N42),$N42="DNA"),$N42,""))))))))))),IF(ISNUMBER($Y42),"Update status","Missed/not booked?"),""))))</f>
        <v/>
      </c>
      <c r="M42" s="29">
        <f>IF(NOT(AND($A42&lt;&gt;"",OR($I42="",$I42="Active"))),"",IF(MIN(IF(AND(ISNUMBER($N42),$N42&gt;=TODAY()),$N42,99999),IF(AND(ISNUMBER($O42),$O42&gt;=TODAY()),$O42,99999),IF(AND(ISNUMBER($P42),$P42&gt;=TODAY()),$P42,99999),IF(AND(ISNUMBER($S42),$S42&gt;=TODAY()),$S42,99999),IF(AND(ISNUMBER($T42),$T42&gt;=TODAY()),$T42,99999),IF(AND(ISNUMBER($U42),$U42&gt;=TODAY()),$U42,99999),IF(AND(ISNUMBER($V42),$V42&gt;=TODAY()),$V42,99999),IF(AND(ISNUMBER($W42),$W42&gt;=TODAY()),$W42,99999),IF(AND(ISNUMBER($X42),$X42&gt;=TODAY()),$X42,99999),IF(AND(ISNUMBER($Y42),$Y42&gt;=TODAY()),$Y42,99999))=99999,"",MIN(IF(AND(ISNUMBER($N42),$N42&gt;=TODAY()),$N42,99999),IF(AND(ISNUMBER($O42),$O42&gt;=TODAY()),$O42,99999),IF(AND(ISNUMBER($P42),$P42&gt;=TODAY()),$P42,99999),IF(AND(ISNUMBER($S42),$S42&gt;=TODAY()),$S42,99999),IF(AND(ISNUMBER($T42),$T42&gt;=TODAY()),$T42,99999),IF(AND(ISNUMBER($U42),$U42&gt;=TODAY()),$U42,99999),IF(AND(ISNUMBER($V42),$V42&gt;=TODAY()),$V42,99999),IF(AND(ISNUMBER($W42),$W42&gt;=TODAY()),$W42,99999),IF(AND(ISNUMBER($X42),$X42&gt;=TODAY()),$X42,99999),IF(AND(ISNUMBER($Y42),$Y42&gt;=TODAY()),$Y42,99999))))</f>
        <v/>
      </c>
      <c r="N42" s="27" t="n"/>
      <c r="O42" s="27" t="n"/>
      <c r="P42" s="27" t="n"/>
      <c r="Q42" s="27" t="n"/>
      <c r="R42" s="27" t="n"/>
      <c r="S42" s="27" t="n"/>
      <c r="T42" s="27" t="n"/>
      <c r="U42" s="27" t="n"/>
      <c r="V42" s="27" t="n"/>
      <c r="W42" s="27" t="n"/>
      <c r="X42" s="27" t="n"/>
      <c r="Y42" s="27" t="n"/>
      <c r="Z42" s="27" t="n"/>
      <c r="AA42" s="27" t="n"/>
      <c r="AB42" s="27" t="n"/>
      <c r="AC42" s="30" t="n"/>
      <c r="AD42" s="25" t="n"/>
      <c r="AE42" s="28">
        <f>IF(NOT(AND($A42&lt;&gt;"",OR($I42="",$I42="Active"))),"",IF(OR(IF(OR(ISNUMBER($Y42),$Y42="DNA"),$Y42,IF(OR(ISNUMBER($X42),$X42="DNA"),$X42,IF(OR(ISNUMBER($W42),$W42="DNA"),$W42,IF(OR(ISNUMBER($V42),$V42="DNA"),$V42,IF(OR(ISNUMBER($U42),$U42="DNA"),$U42,IF(OR(ISNUMBER($T42),$T42="DNA"),$T42,IF(OR(ISNUMBER($S42),$S42="DNA"),$S42,IF(OR(ISNUMBER($P42),$P42="DNA"),$P42,IF(OR(ISNUMBER($O42),$O42="DNA"),$O42,IF(OR(ISNUMBER($N42),$N42="DNA"),$N42,""))))))))))="DNA",AND(ISNUMBER(IF(OR(ISNUMBER($Y42),$Y42="DNA"),$Y42,IF(OR(ISNUMBER($X42),$X42="DNA"),$X42,IF(OR(ISNUMBER($W42),$W42="DNA"),$W42,IF(OR(ISNUMBER($V42),$V42="DNA"),$V42,IF(OR(ISNUMBER($U42),$U42="DNA"),$U42,IF(OR(ISNUMBER($T42),$T42="DNA"),$T42,IF(OR(ISNUMBER($S42),$S42="DNA"),$S42,IF(OR(ISNUMBER($P42),$P42="DNA"),$P42,IF(OR(ISNUMBER($O42),$O42="DNA"),$O42,IF(OR(ISNUMBER($N42),$N42="DNA"),$N42,""))))))))))),IF(OR(ISNUMBER($Y42),$Y42="DNA"),$Y42,IF(OR(ISNUMBER($X42),$X42="DNA"),$X42,IF(OR(ISNUMBER($W42),$W42="DNA"),$W42,IF(OR(ISNUMBER($V42),$V42="DNA"),$V42,IF(OR(ISNUMBER($U42),$U42="DNA"),$U42,IF(OR(ISNUMBER($T42),$T42="DNA"),$T42,IF(OR(ISNUMBER($S42),$S42="DNA"),$S42,IF(OR(ISNUMBER($P42),$P42="DNA"),$P42,IF(OR(ISNUMBER($O42),$O42="DNA"),$O42,IF(OR(ISNUMBER($N42),$N42="DNA"),$N42,""))))))))))&lt;TODAY())),1,0)+ISNUMBER($Q42)*($Q42&lt;TODAY())+ISNUMBER($R42)*($R42&lt;TODAY())+ISNUMBER($AA42)*($AA42&lt;TODAY())+ISNUMBER($AB42)*($AB42&lt;TODAY()))</f>
        <v/>
      </c>
    </row>
    <row r="43">
      <c r="A43" s="25" t="n"/>
      <c r="B43" s="26" t="n"/>
      <c r="C43" s="27" t="n"/>
      <c r="D43" s="25" t="n"/>
      <c r="E43" s="25" t="n"/>
      <c r="F43" s="25" t="n"/>
      <c r="G43" s="25" t="n"/>
      <c r="H43" s="27" t="n"/>
      <c r="I43" s="25" t="n"/>
      <c r="J43" s="28">
        <f>IF(OR(NOT(AND($A43&lt;&gt;"",OR($I43="",$I43="Active"))),$H43=""),"",INT((TODAY()-$H43+280)/7)&amp;"+"&amp;MOD(TODAY()-$H43+280,7))</f>
        <v/>
      </c>
      <c r="K43" s="28">
        <f>IF(NOT(AND($A43&lt;&gt;"",OR($I43="",$I43="Active"))),"",ISNUMBER($N43)*($N43&gt;=TODAY())*($N43&lt;=TODAY()+7)+ISNUMBER($O43)*($O43&gt;=TODAY())*($O43&lt;=TODAY()+7)+ISNUMBER($P43)*($P43&gt;=TODAY())*($P43&lt;=TODAY()+7)+ISNUMBER($S43)*($S43&gt;=TODAY())*($S43&lt;=TODAY()+7)+ISNUMBER($T43)*($T43&gt;=TODAY())*($T43&lt;=TODAY()+7)+ISNUMBER($U43)*($U43&gt;=TODAY())*($U43&lt;=TODAY()+7)+ISNUMBER($V43)*($V43&gt;=TODAY())*($V43&lt;=TODAY()+7)+ISNUMBER($W43)*($W43&gt;=TODAY())*($W43&lt;=TODAY()+7)+ISNUMBER($X43)*($X43&gt;=TODAY())*($X43&lt;=TODAY()+7)+ISNUMBER($Y43)*($Y43&gt;=TODAY())*($Y43&lt;=TODAY()+7)+ISNUMBER($Q43)*($Q43&gt;=TODAY())*($Q43&lt;=TODAY()+7)+ISNUMBER($R43)*($R43&gt;=TODAY())*($R43&lt;=TODAY()+7)+ISNUMBER($AA43)*($AA43&gt;=TODAY())*($AA43&lt;=TODAY()+7)+ISNUMBER($AB43)*($AB43&gt;=TODAY())*($AB43&lt;=TODAY()+7))</f>
        <v/>
      </c>
      <c r="L43" s="28">
        <f>IF(NOT(AND($A43&lt;&gt;"",OR($I43="",$I43="Active"))),"",IF($M43&lt;&gt;"",IF($N43=$M43,"Booking",IF($O43=$M43,"16/40",IF($P43=$M43,"25/40",IF($S43=$M43,"28/40",IF($T43=$M43,"31/40",IF($U43=$M43,"34/40",IF($V43=$M43,"36/40",IF($W43=$M43,"38/40",IF($X43=$M43,"40/40",IF($Y43=$M43,"41/40","")))))))))),IF(IF(OR(ISNUMBER($Y43),$Y43="DNA"),$Y43,IF(OR(ISNUMBER($X43),$X43="DNA"),$X43,IF(OR(ISNUMBER($W43),$W43="DNA"),$W43,IF(OR(ISNUMBER($V43),$V43="DNA"),$V43,IF(OR(ISNUMBER($U43),$U43="DNA"),$U43,IF(OR(ISNUMBER($T43),$T43="DNA"),$T43,IF(OR(ISNUMBER($S43),$S43="DNA"),$S43,IF(OR(ISNUMBER($P43),$P43="DNA"),$P43,IF(OR(ISNUMBER($O43),$O43="DNA"),$O43,IF(OR(ISNUMBER($N43),$N43="DNA"),$N43,""))))))))))="DNA","Rebook DNA",IF(ISNUMBER(IF(OR(ISNUMBER($Y43),$Y43="DNA"),$Y43,IF(OR(ISNUMBER($X43),$X43="DNA"),$X43,IF(OR(ISNUMBER($W43),$W43="DNA"),$W43,IF(OR(ISNUMBER($V43),$V43="DNA"),$V43,IF(OR(ISNUMBER($U43),$U43="DNA"),$U43,IF(OR(ISNUMBER($T43),$T43="DNA"),$T43,IF(OR(ISNUMBER($S43),$S43="DNA"),$S43,IF(OR(ISNUMBER($P43),$P43="DNA"),$P43,IF(OR(ISNUMBER($O43),$O43="DNA"),$O43,IF(OR(ISNUMBER($N43),$N43="DNA"),$N43,""))))))))))),IF(ISNUMBER($Y43),"Update status","Missed/not booked?"),""))))</f>
        <v/>
      </c>
      <c r="M43" s="29">
        <f>IF(NOT(AND($A43&lt;&gt;"",OR($I43="",$I43="Active"))),"",IF(MIN(IF(AND(ISNUMBER($N43),$N43&gt;=TODAY()),$N43,99999),IF(AND(ISNUMBER($O43),$O43&gt;=TODAY()),$O43,99999),IF(AND(ISNUMBER($P43),$P43&gt;=TODAY()),$P43,99999),IF(AND(ISNUMBER($S43),$S43&gt;=TODAY()),$S43,99999),IF(AND(ISNUMBER($T43),$T43&gt;=TODAY()),$T43,99999),IF(AND(ISNUMBER($U43),$U43&gt;=TODAY()),$U43,99999),IF(AND(ISNUMBER($V43),$V43&gt;=TODAY()),$V43,99999),IF(AND(ISNUMBER($W43),$W43&gt;=TODAY()),$W43,99999),IF(AND(ISNUMBER($X43),$X43&gt;=TODAY()),$X43,99999),IF(AND(ISNUMBER($Y43),$Y43&gt;=TODAY()),$Y43,99999))=99999,"",MIN(IF(AND(ISNUMBER($N43),$N43&gt;=TODAY()),$N43,99999),IF(AND(ISNUMBER($O43),$O43&gt;=TODAY()),$O43,99999),IF(AND(ISNUMBER($P43),$P43&gt;=TODAY()),$P43,99999),IF(AND(ISNUMBER($S43),$S43&gt;=TODAY()),$S43,99999),IF(AND(ISNUMBER($T43),$T43&gt;=TODAY()),$T43,99999),IF(AND(ISNUMBER($U43),$U43&gt;=TODAY()),$U43,99999),IF(AND(ISNUMBER($V43),$V43&gt;=TODAY()),$V43,99999),IF(AND(ISNUMBER($W43),$W43&gt;=TODAY()),$W43,99999),IF(AND(ISNUMBER($X43),$X43&gt;=TODAY()),$X43,99999),IF(AND(ISNUMBER($Y43),$Y43&gt;=TODAY()),$Y43,99999))))</f>
        <v/>
      </c>
      <c r="N43" s="27" t="n"/>
      <c r="O43" s="27" t="n"/>
      <c r="P43" s="27" t="n"/>
      <c r="Q43" s="27" t="n"/>
      <c r="R43" s="27" t="n"/>
      <c r="S43" s="27" t="n"/>
      <c r="T43" s="27" t="n"/>
      <c r="U43" s="27" t="n"/>
      <c r="V43" s="27" t="n"/>
      <c r="W43" s="27" t="n"/>
      <c r="X43" s="27" t="n"/>
      <c r="Y43" s="27" t="n"/>
      <c r="Z43" s="27" t="n"/>
      <c r="AA43" s="27" t="n"/>
      <c r="AB43" s="27" t="n"/>
      <c r="AC43" s="30" t="n"/>
      <c r="AD43" s="25" t="n"/>
      <c r="AE43" s="28">
        <f>IF(NOT(AND($A43&lt;&gt;"",OR($I43="",$I43="Active"))),"",IF(OR(IF(OR(ISNUMBER($Y43),$Y43="DNA"),$Y43,IF(OR(ISNUMBER($X43),$X43="DNA"),$X43,IF(OR(ISNUMBER($W43),$W43="DNA"),$W43,IF(OR(ISNUMBER($V43),$V43="DNA"),$V43,IF(OR(ISNUMBER($U43),$U43="DNA"),$U43,IF(OR(ISNUMBER($T43),$T43="DNA"),$T43,IF(OR(ISNUMBER($S43),$S43="DNA"),$S43,IF(OR(ISNUMBER($P43),$P43="DNA"),$P43,IF(OR(ISNUMBER($O43),$O43="DNA"),$O43,IF(OR(ISNUMBER($N43),$N43="DNA"),$N43,""))))))))))="DNA",AND(ISNUMBER(IF(OR(ISNUMBER($Y43),$Y43="DNA"),$Y43,IF(OR(ISNUMBER($X43),$X43="DNA"),$X43,IF(OR(ISNUMBER($W43),$W43="DNA"),$W43,IF(OR(ISNUMBER($V43),$V43="DNA"),$V43,IF(OR(ISNUMBER($U43),$U43="DNA"),$U43,IF(OR(ISNUMBER($T43),$T43="DNA"),$T43,IF(OR(ISNUMBER($S43),$S43="DNA"),$S43,IF(OR(ISNUMBER($P43),$P43="DNA"),$P43,IF(OR(ISNUMBER($O43),$O43="DNA"),$O43,IF(OR(ISNUMBER($N43),$N43="DNA"),$N43,""))))))))))),IF(OR(ISNUMBER($Y43),$Y43="DNA"),$Y43,IF(OR(ISNUMBER($X43),$X43="DNA"),$X43,IF(OR(ISNUMBER($W43),$W43="DNA"),$W43,IF(OR(ISNUMBER($V43),$V43="DNA"),$V43,IF(OR(ISNUMBER($U43),$U43="DNA"),$U43,IF(OR(ISNUMBER($T43),$T43="DNA"),$T43,IF(OR(ISNUMBER($S43),$S43="DNA"),$S43,IF(OR(ISNUMBER($P43),$P43="DNA"),$P43,IF(OR(ISNUMBER($O43),$O43="DNA"),$O43,IF(OR(ISNUMBER($N43),$N43="DNA"),$N43,""))))))))))&lt;TODAY())),1,0)+ISNUMBER($Q43)*($Q43&lt;TODAY())+ISNUMBER($R43)*($R43&lt;TODAY())+ISNUMBER($AA43)*($AA43&lt;TODAY())+ISNUMBER($AB43)*($AB43&lt;TODAY()))</f>
        <v/>
      </c>
    </row>
    <row r="44">
      <c r="A44" s="25" t="n"/>
      <c r="B44" s="26" t="n"/>
      <c r="C44" s="27" t="n"/>
      <c r="D44" s="25" t="n"/>
      <c r="E44" s="25" t="n"/>
      <c r="F44" s="25" t="n"/>
      <c r="G44" s="25" t="n"/>
      <c r="H44" s="27" t="n"/>
      <c r="I44" s="25" t="n"/>
      <c r="J44" s="28">
        <f>IF(OR(NOT(AND($A44&lt;&gt;"",OR($I44="",$I44="Active"))),$H44=""),"",INT((TODAY()-$H44+280)/7)&amp;"+"&amp;MOD(TODAY()-$H44+280,7))</f>
        <v/>
      </c>
      <c r="K44" s="28">
        <f>IF(NOT(AND($A44&lt;&gt;"",OR($I44="",$I44="Active"))),"",ISNUMBER($N44)*($N44&gt;=TODAY())*($N44&lt;=TODAY()+7)+ISNUMBER($O44)*($O44&gt;=TODAY())*($O44&lt;=TODAY()+7)+ISNUMBER($P44)*($P44&gt;=TODAY())*($P44&lt;=TODAY()+7)+ISNUMBER($S44)*($S44&gt;=TODAY())*($S44&lt;=TODAY()+7)+ISNUMBER($T44)*($T44&gt;=TODAY())*($T44&lt;=TODAY()+7)+ISNUMBER($U44)*($U44&gt;=TODAY())*($U44&lt;=TODAY()+7)+ISNUMBER($V44)*($V44&gt;=TODAY())*($V44&lt;=TODAY()+7)+ISNUMBER($W44)*($W44&gt;=TODAY())*($W44&lt;=TODAY()+7)+ISNUMBER($X44)*($X44&gt;=TODAY())*($X44&lt;=TODAY()+7)+ISNUMBER($Y44)*($Y44&gt;=TODAY())*($Y44&lt;=TODAY()+7)+ISNUMBER($Q44)*($Q44&gt;=TODAY())*($Q44&lt;=TODAY()+7)+ISNUMBER($R44)*($R44&gt;=TODAY())*($R44&lt;=TODAY()+7)+ISNUMBER($AA44)*($AA44&gt;=TODAY())*($AA44&lt;=TODAY()+7)+ISNUMBER($AB44)*($AB44&gt;=TODAY())*($AB44&lt;=TODAY()+7))</f>
        <v/>
      </c>
      <c r="L44" s="28">
        <f>IF(NOT(AND($A44&lt;&gt;"",OR($I44="",$I44="Active"))),"",IF($M44&lt;&gt;"",IF($N44=$M44,"Booking",IF($O44=$M44,"16/40",IF($P44=$M44,"25/40",IF($S44=$M44,"28/40",IF($T44=$M44,"31/40",IF($U44=$M44,"34/40",IF($V44=$M44,"36/40",IF($W44=$M44,"38/40",IF($X44=$M44,"40/40",IF($Y44=$M44,"41/40","")))))))))),IF(IF(OR(ISNUMBER($Y44),$Y44="DNA"),$Y44,IF(OR(ISNUMBER($X44),$X44="DNA"),$X44,IF(OR(ISNUMBER($W44),$W44="DNA"),$W44,IF(OR(ISNUMBER($V44),$V44="DNA"),$V44,IF(OR(ISNUMBER($U44),$U44="DNA"),$U44,IF(OR(ISNUMBER($T44),$T44="DNA"),$T44,IF(OR(ISNUMBER($S44),$S44="DNA"),$S44,IF(OR(ISNUMBER($P44),$P44="DNA"),$P44,IF(OR(ISNUMBER($O44),$O44="DNA"),$O44,IF(OR(ISNUMBER($N44),$N44="DNA"),$N44,""))))))))))="DNA","Rebook DNA",IF(ISNUMBER(IF(OR(ISNUMBER($Y44),$Y44="DNA"),$Y44,IF(OR(ISNUMBER($X44),$X44="DNA"),$X44,IF(OR(ISNUMBER($W44),$W44="DNA"),$W44,IF(OR(ISNUMBER($V44),$V44="DNA"),$V44,IF(OR(ISNUMBER($U44),$U44="DNA"),$U44,IF(OR(ISNUMBER($T44),$T44="DNA"),$T44,IF(OR(ISNUMBER($S44),$S44="DNA"),$S44,IF(OR(ISNUMBER($P44),$P44="DNA"),$P44,IF(OR(ISNUMBER($O44),$O44="DNA"),$O44,IF(OR(ISNUMBER($N44),$N44="DNA"),$N44,""))))))))))),IF(ISNUMBER($Y44),"Update status","Missed/not booked?"),""))))</f>
        <v/>
      </c>
      <c r="M44" s="29">
        <f>IF(NOT(AND($A44&lt;&gt;"",OR($I44="",$I44="Active"))),"",IF(MIN(IF(AND(ISNUMBER($N44),$N44&gt;=TODAY()),$N44,99999),IF(AND(ISNUMBER($O44),$O44&gt;=TODAY()),$O44,99999),IF(AND(ISNUMBER($P44),$P44&gt;=TODAY()),$P44,99999),IF(AND(ISNUMBER($S44),$S44&gt;=TODAY()),$S44,99999),IF(AND(ISNUMBER($T44),$T44&gt;=TODAY()),$T44,99999),IF(AND(ISNUMBER($U44),$U44&gt;=TODAY()),$U44,99999),IF(AND(ISNUMBER($V44),$V44&gt;=TODAY()),$V44,99999),IF(AND(ISNUMBER($W44),$W44&gt;=TODAY()),$W44,99999),IF(AND(ISNUMBER($X44),$X44&gt;=TODAY()),$X44,99999),IF(AND(ISNUMBER($Y44),$Y44&gt;=TODAY()),$Y44,99999))=99999,"",MIN(IF(AND(ISNUMBER($N44),$N44&gt;=TODAY()),$N44,99999),IF(AND(ISNUMBER($O44),$O44&gt;=TODAY()),$O44,99999),IF(AND(ISNUMBER($P44),$P44&gt;=TODAY()),$P44,99999),IF(AND(ISNUMBER($S44),$S44&gt;=TODAY()),$S44,99999),IF(AND(ISNUMBER($T44),$T44&gt;=TODAY()),$T44,99999),IF(AND(ISNUMBER($U44),$U44&gt;=TODAY()),$U44,99999),IF(AND(ISNUMBER($V44),$V44&gt;=TODAY()),$V44,99999),IF(AND(ISNUMBER($W44),$W44&gt;=TODAY()),$W44,99999),IF(AND(ISNUMBER($X44),$X44&gt;=TODAY()),$X44,99999),IF(AND(ISNUMBER($Y44),$Y44&gt;=TODAY()),$Y44,99999))))</f>
        <v/>
      </c>
      <c r="N44" s="27" t="n"/>
      <c r="O44" s="27" t="n"/>
      <c r="P44" s="27" t="n"/>
      <c r="Q44" s="27" t="n"/>
      <c r="R44" s="27" t="n"/>
      <c r="S44" s="27" t="n"/>
      <c r="T44" s="27" t="n"/>
      <c r="U44" s="27" t="n"/>
      <c r="V44" s="27" t="n"/>
      <c r="W44" s="27" t="n"/>
      <c r="X44" s="27" t="n"/>
      <c r="Y44" s="27" t="n"/>
      <c r="Z44" s="27" t="n"/>
      <c r="AA44" s="27" t="n"/>
      <c r="AB44" s="27" t="n"/>
      <c r="AC44" s="30" t="n"/>
      <c r="AD44" s="25" t="n"/>
      <c r="AE44" s="28">
        <f>IF(NOT(AND($A44&lt;&gt;"",OR($I44="",$I44="Active"))),"",IF(OR(IF(OR(ISNUMBER($Y44),$Y44="DNA"),$Y44,IF(OR(ISNUMBER($X44),$X44="DNA"),$X44,IF(OR(ISNUMBER($W44),$W44="DNA"),$W44,IF(OR(ISNUMBER($V44),$V44="DNA"),$V44,IF(OR(ISNUMBER($U44),$U44="DNA"),$U44,IF(OR(ISNUMBER($T44),$T44="DNA"),$T44,IF(OR(ISNUMBER($S44),$S44="DNA"),$S44,IF(OR(ISNUMBER($P44),$P44="DNA"),$P44,IF(OR(ISNUMBER($O44),$O44="DNA"),$O44,IF(OR(ISNUMBER($N44),$N44="DNA"),$N44,""))))))))))="DNA",AND(ISNUMBER(IF(OR(ISNUMBER($Y44),$Y44="DNA"),$Y44,IF(OR(ISNUMBER($X44),$X44="DNA"),$X44,IF(OR(ISNUMBER($W44),$W44="DNA"),$W44,IF(OR(ISNUMBER($V44),$V44="DNA"),$V44,IF(OR(ISNUMBER($U44),$U44="DNA"),$U44,IF(OR(ISNUMBER($T44),$T44="DNA"),$T44,IF(OR(ISNUMBER($S44),$S44="DNA"),$S44,IF(OR(ISNUMBER($P44),$P44="DNA"),$P44,IF(OR(ISNUMBER($O44),$O44="DNA"),$O44,IF(OR(ISNUMBER($N44),$N44="DNA"),$N44,""))))))))))),IF(OR(ISNUMBER($Y44),$Y44="DNA"),$Y44,IF(OR(ISNUMBER($X44),$X44="DNA"),$X44,IF(OR(ISNUMBER($W44),$W44="DNA"),$W44,IF(OR(ISNUMBER($V44),$V44="DNA"),$V44,IF(OR(ISNUMBER($U44),$U44="DNA"),$U44,IF(OR(ISNUMBER($T44),$T44="DNA"),$T44,IF(OR(ISNUMBER($S44),$S44="DNA"),$S44,IF(OR(ISNUMBER($P44),$P44="DNA"),$P44,IF(OR(ISNUMBER($O44),$O44="DNA"),$O44,IF(OR(ISNUMBER($N44),$N44="DNA"),$N44,""))))))))))&lt;TODAY())),1,0)+ISNUMBER($Q44)*($Q44&lt;TODAY())+ISNUMBER($R44)*($R44&lt;TODAY())+ISNUMBER($AA44)*($AA44&lt;TODAY())+ISNUMBER($AB44)*($AB44&lt;TODAY()))</f>
        <v/>
      </c>
    </row>
    <row r="45">
      <c r="A45" s="25" t="n"/>
      <c r="B45" s="26" t="n"/>
      <c r="C45" s="27" t="n"/>
      <c r="D45" s="25" t="n"/>
      <c r="E45" s="25" t="n"/>
      <c r="F45" s="25" t="n"/>
      <c r="G45" s="25" t="n"/>
      <c r="H45" s="27" t="n"/>
      <c r="I45" s="25" t="n"/>
      <c r="J45" s="28">
        <f>IF(OR(NOT(AND($A45&lt;&gt;"",OR($I45="",$I45="Active"))),$H45=""),"",INT((TODAY()-$H45+280)/7)&amp;"+"&amp;MOD(TODAY()-$H45+280,7))</f>
        <v/>
      </c>
      <c r="K45" s="28">
        <f>IF(NOT(AND($A45&lt;&gt;"",OR($I45="",$I45="Active"))),"",ISNUMBER($N45)*($N45&gt;=TODAY())*($N45&lt;=TODAY()+7)+ISNUMBER($O45)*($O45&gt;=TODAY())*($O45&lt;=TODAY()+7)+ISNUMBER($P45)*($P45&gt;=TODAY())*($P45&lt;=TODAY()+7)+ISNUMBER($S45)*($S45&gt;=TODAY())*($S45&lt;=TODAY()+7)+ISNUMBER($T45)*($T45&gt;=TODAY())*($T45&lt;=TODAY()+7)+ISNUMBER($U45)*($U45&gt;=TODAY())*($U45&lt;=TODAY()+7)+ISNUMBER($V45)*($V45&gt;=TODAY())*($V45&lt;=TODAY()+7)+ISNUMBER($W45)*($W45&gt;=TODAY())*($W45&lt;=TODAY()+7)+ISNUMBER($X45)*($X45&gt;=TODAY())*($X45&lt;=TODAY()+7)+ISNUMBER($Y45)*($Y45&gt;=TODAY())*($Y45&lt;=TODAY()+7)+ISNUMBER($Q45)*($Q45&gt;=TODAY())*($Q45&lt;=TODAY()+7)+ISNUMBER($R45)*($R45&gt;=TODAY())*($R45&lt;=TODAY()+7)+ISNUMBER($AA45)*($AA45&gt;=TODAY())*($AA45&lt;=TODAY()+7)+ISNUMBER($AB45)*($AB45&gt;=TODAY())*($AB45&lt;=TODAY()+7))</f>
        <v/>
      </c>
      <c r="L45" s="28">
        <f>IF(NOT(AND($A45&lt;&gt;"",OR($I45="",$I45="Active"))),"",IF($M45&lt;&gt;"",IF($N45=$M45,"Booking",IF($O45=$M45,"16/40",IF($P45=$M45,"25/40",IF($S45=$M45,"28/40",IF($T45=$M45,"31/40",IF($U45=$M45,"34/40",IF($V45=$M45,"36/40",IF($W45=$M45,"38/40",IF($X45=$M45,"40/40",IF($Y45=$M45,"41/40","")))))))))),IF(IF(OR(ISNUMBER($Y45),$Y45="DNA"),$Y45,IF(OR(ISNUMBER($X45),$X45="DNA"),$X45,IF(OR(ISNUMBER($W45),$W45="DNA"),$W45,IF(OR(ISNUMBER($V45),$V45="DNA"),$V45,IF(OR(ISNUMBER($U45),$U45="DNA"),$U45,IF(OR(ISNUMBER($T45),$T45="DNA"),$T45,IF(OR(ISNUMBER($S45),$S45="DNA"),$S45,IF(OR(ISNUMBER($P45),$P45="DNA"),$P45,IF(OR(ISNUMBER($O45),$O45="DNA"),$O45,IF(OR(ISNUMBER($N45),$N45="DNA"),$N45,""))))))))))="DNA","Rebook DNA",IF(ISNUMBER(IF(OR(ISNUMBER($Y45),$Y45="DNA"),$Y45,IF(OR(ISNUMBER($X45),$X45="DNA"),$X45,IF(OR(ISNUMBER($W45),$W45="DNA"),$W45,IF(OR(ISNUMBER($V45),$V45="DNA"),$V45,IF(OR(ISNUMBER($U45),$U45="DNA"),$U45,IF(OR(ISNUMBER($T45),$T45="DNA"),$T45,IF(OR(ISNUMBER($S45),$S45="DNA"),$S45,IF(OR(ISNUMBER($P45),$P45="DNA"),$P45,IF(OR(ISNUMBER($O45),$O45="DNA"),$O45,IF(OR(ISNUMBER($N45),$N45="DNA"),$N45,""))))))))))),IF(ISNUMBER($Y45),"Update status","Missed/not booked?"),""))))</f>
        <v/>
      </c>
      <c r="M45" s="29">
        <f>IF(NOT(AND($A45&lt;&gt;"",OR($I45="",$I45="Active"))),"",IF(MIN(IF(AND(ISNUMBER($N45),$N45&gt;=TODAY()),$N45,99999),IF(AND(ISNUMBER($O45),$O45&gt;=TODAY()),$O45,99999),IF(AND(ISNUMBER($P45),$P45&gt;=TODAY()),$P45,99999),IF(AND(ISNUMBER($S45),$S45&gt;=TODAY()),$S45,99999),IF(AND(ISNUMBER($T45),$T45&gt;=TODAY()),$T45,99999),IF(AND(ISNUMBER($U45),$U45&gt;=TODAY()),$U45,99999),IF(AND(ISNUMBER($V45),$V45&gt;=TODAY()),$V45,99999),IF(AND(ISNUMBER($W45),$W45&gt;=TODAY()),$W45,99999),IF(AND(ISNUMBER($X45),$X45&gt;=TODAY()),$X45,99999),IF(AND(ISNUMBER($Y45),$Y45&gt;=TODAY()),$Y45,99999))=99999,"",MIN(IF(AND(ISNUMBER($N45),$N45&gt;=TODAY()),$N45,99999),IF(AND(ISNUMBER($O45),$O45&gt;=TODAY()),$O45,99999),IF(AND(ISNUMBER($P45),$P45&gt;=TODAY()),$P45,99999),IF(AND(ISNUMBER($S45),$S45&gt;=TODAY()),$S45,99999),IF(AND(ISNUMBER($T45),$T45&gt;=TODAY()),$T45,99999),IF(AND(ISNUMBER($U45),$U45&gt;=TODAY()),$U45,99999),IF(AND(ISNUMBER($V45),$V45&gt;=TODAY()),$V45,99999),IF(AND(ISNUMBER($W45),$W45&gt;=TODAY()),$W45,99999),IF(AND(ISNUMBER($X45),$X45&gt;=TODAY()),$X45,99999),IF(AND(ISNUMBER($Y45),$Y45&gt;=TODAY()),$Y45,99999))))</f>
        <v/>
      </c>
      <c r="N45" s="27" t="n"/>
      <c r="O45" s="27" t="n"/>
      <c r="P45" s="27" t="n"/>
      <c r="Q45" s="27" t="n"/>
      <c r="R45" s="27" t="n"/>
      <c r="S45" s="27" t="n"/>
      <c r="T45" s="27" t="n"/>
      <c r="U45" s="27" t="n"/>
      <c r="V45" s="27" t="n"/>
      <c r="W45" s="27" t="n"/>
      <c r="X45" s="27" t="n"/>
      <c r="Y45" s="27" t="n"/>
      <c r="Z45" s="27" t="n"/>
      <c r="AA45" s="27" t="n"/>
      <c r="AB45" s="27" t="n"/>
      <c r="AC45" s="30" t="n"/>
      <c r="AD45" s="25" t="n"/>
      <c r="AE45" s="28">
        <f>IF(NOT(AND($A45&lt;&gt;"",OR($I45="",$I45="Active"))),"",IF(OR(IF(OR(ISNUMBER($Y45),$Y45="DNA"),$Y45,IF(OR(ISNUMBER($X45),$X45="DNA"),$X45,IF(OR(ISNUMBER($W45),$W45="DNA"),$W45,IF(OR(ISNUMBER($V45),$V45="DNA"),$V45,IF(OR(ISNUMBER($U45),$U45="DNA"),$U45,IF(OR(ISNUMBER($T45),$T45="DNA"),$T45,IF(OR(ISNUMBER($S45),$S45="DNA"),$S45,IF(OR(ISNUMBER($P45),$P45="DNA"),$P45,IF(OR(ISNUMBER($O45),$O45="DNA"),$O45,IF(OR(ISNUMBER($N45),$N45="DNA"),$N45,""))))))))))="DNA",AND(ISNUMBER(IF(OR(ISNUMBER($Y45),$Y45="DNA"),$Y45,IF(OR(ISNUMBER($X45),$X45="DNA"),$X45,IF(OR(ISNUMBER($W45),$W45="DNA"),$W45,IF(OR(ISNUMBER($V45),$V45="DNA"),$V45,IF(OR(ISNUMBER($U45),$U45="DNA"),$U45,IF(OR(ISNUMBER($T45),$T45="DNA"),$T45,IF(OR(ISNUMBER($S45),$S45="DNA"),$S45,IF(OR(ISNUMBER($P45),$P45="DNA"),$P45,IF(OR(ISNUMBER($O45),$O45="DNA"),$O45,IF(OR(ISNUMBER($N45),$N45="DNA"),$N45,""))))))))))),IF(OR(ISNUMBER($Y45),$Y45="DNA"),$Y45,IF(OR(ISNUMBER($X45),$X45="DNA"),$X45,IF(OR(ISNUMBER($W45),$W45="DNA"),$W45,IF(OR(ISNUMBER($V45),$V45="DNA"),$V45,IF(OR(ISNUMBER($U45),$U45="DNA"),$U45,IF(OR(ISNUMBER($T45),$T45="DNA"),$T45,IF(OR(ISNUMBER($S45),$S45="DNA"),$S45,IF(OR(ISNUMBER($P45),$P45="DNA"),$P45,IF(OR(ISNUMBER($O45),$O45="DNA"),$O45,IF(OR(ISNUMBER($N45),$N45="DNA"),$N45,""))))))))))&lt;TODAY())),1,0)+ISNUMBER($Q45)*($Q45&lt;TODAY())+ISNUMBER($R45)*($R45&lt;TODAY())+ISNUMBER($AA45)*($AA45&lt;TODAY())+ISNUMBER($AB45)*($AB45&lt;TODAY()))</f>
        <v/>
      </c>
    </row>
    <row r="46">
      <c r="A46" s="25" t="n"/>
      <c r="B46" s="26" t="n"/>
      <c r="C46" s="27" t="n"/>
      <c r="D46" s="25" t="n"/>
      <c r="E46" s="25" t="n"/>
      <c r="F46" s="25" t="n"/>
      <c r="G46" s="25" t="n"/>
      <c r="H46" s="27" t="n"/>
      <c r="I46" s="25" t="n"/>
      <c r="J46" s="28">
        <f>IF(OR(NOT(AND($A46&lt;&gt;"",OR($I46="",$I46="Active"))),$H46=""),"",INT((TODAY()-$H46+280)/7)&amp;"+"&amp;MOD(TODAY()-$H46+280,7))</f>
        <v/>
      </c>
      <c r="K46" s="28">
        <f>IF(NOT(AND($A46&lt;&gt;"",OR($I46="",$I46="Active"))),"",ISNUMBER($N46)*($N46&gt;=TODAY())*($N46&lt;=TODAY()+7)+ISNUMBER($O46)*($O46&gt;=TODAY())*($O46&lt;=TODAY()+7)+ISNUMBER($P46)*($P46&gt;=TODAY())*($P46&lt;=TODAY()+7)+ISNUMBER($S46)*($S46&gt;=TODAY())*($S46&lt;=TODAY()+7)+ISNUMBER($T46)*($T46&gt;=TODAY())*($T46&lt;=TODAY()+7)+ISNUMBER($U46)*($U46&gt;=TODAY())*($U46&lt;=TODAY()+7)+ISNUMBER($V46)*($V46&gt;=TODAY())*($V46&lt;=TODAY()+7)+ISNUMBER($W46)*($W46&gt;=TODAY())*($W46&lt;=TODAY()+7)+ISNUMBER($X46)*($X46&gt;=TODAY())*($X46&lt;=TODAY()+7)+ISNUMBER($Y46)*($Y46&gt;=TODAY())*($Y46&lt;=TODAY()+7)+ISNUMBER($Q46)*($Q46&gt;=TODAY())*($Q46&lt;=TODAY()+7)+ISNUMBER($R46)*($R46&gt;=TODAY())*($R46&lt;=TODAY()+7)+ISNUMBER($AA46)*($AA46&gt;=TODAY())*($AA46&lt;=TODAY()+7)+ISNUMBER($AB46)*($AB46&gt;=TODAY())*($AB46&lt;=TODAY()+7))</f>
        <v/>
      </c>
      <c r="L46" s="28">
        <f>IF(NOT(AND($A46&lt;&gt;"",OR($I46="",$I46="Active"))),"",IF($M46&lt;&gt;"",IF($N46=$M46,"Booking",IF($O46=$M46,"16/40",IF($P46=$M46,"25/40",IF($S46=$M46,"28/40",IF($T46=$M46,"31/40",IF($U46=$M46,"34/40",IF($V46=$M46,"36/40",IF($W46=$M46,"38/40",IF($X46=$M46,"40/40",IF($Y46=$M46,"41/40","")))))))))),IF(IF(OR(ISNUMBER($Y46),$Y46="DNA"),$Y46,IF(OR(ISNUMBER($X46),$X46="DNA"),$X46,IF(OR(ISNUMBER($W46),$W46="DNA"),$W46,IF(OR(ISNUMBER($V46),$V46="DNA"),$V46,IF(OR(ISNUMBER($U46),$U46="DNA"),$U46,IF(OR(ISNUMBER($T46),$T46="DNA"),$T46,IF(OR(ISNUMBER($S46),$S46="DNA"),$S46,IF(OR(ISNUMBER($P46),$P46="DNA"),$P46,IF(OR(ISNUMBER($O46),$O46="DNA"),$O46,IF(OR(ISNUMBER($N46),$N46="DNA"),$N46,""))))))))))="DNA","Rebook DNA",IF(ISNUMBER(IF(OR(ISNUMBER($Y46),$Y46="DNA"),$Y46,IF(OR(ISNUMBER($X46),$X46="DNA"),$X46,IF(OR(ISNUMBER($W46),$W46="DNA"),$W46,IF(OR(ISNUMBER($V46),$V46="DNA"),$V46,IF(OR(ISNUMBER($U46),$U46="DNA"),$U46,IF(OR(ISNUMBER($T46),$T46="DNA"),$T46,IF(OR(ISNUMBER($S46),$S46="DNA"),$S46,IF(OR(ISNUMBER($P46),$P46="DNA"),$P46,IF(OR(ISNUMBER($O46),$O46="DNA"),$O46,IF(OR(ISNUMBER($N46),$N46="DNA"),$N46,""))))))))))),IF(ISNUMBER($Y46),"Update status","Missed/not booked?"),""))))</f>
        <v/>
      </c>
      <c r="M46" s="29">
        <f>IF(NOT(AND($A46&lt;&gt;"",OR($I46="",$I46="Active"))),"",IF(MIN(IF(AND(ISNUMBER($N46),$N46&gt;=TODAY()),$N46,99999),IF(AND(ISNUMBER($O46),$O46&gt;=TODAY()),$O46,99999),IF(AND(ISNUMBER($P46),$P46&gt;=TODAY()),$P46,99999),IF(AND(ISNUMBER($S46),$S46&gt;=TODAY()),$S46,99999),IF(AND(ISNUMBER($T46),$T46&gt;=TODAY()),$T46,99999),IF(AND(ISNUMBER($U46),$U46&gt;=TODAY()),$U46,99999),IF(AND(ISNUMBER($V46),$V46&gt;=TODAY()),$V46,99999),IF(AND(ISNUMBER($W46),$W46&gt;=TODAY()),$W46,99999),IF(AND(ISNUMBER($X46),$X46&gt;=TODAY()),$X46,99999),IF(AND(ISNUMBER($Y46),$Y46&gt;=TODAY()),$Y46,99999))=99999,"",MIN(IF(AND(ISNUMBER($N46),$N46&gt;=TODAY()),$N46,99999),IF(AND(ISNUMBER($O46),$O46&gt;=TODAY()),$O46,99999),IF(AND(ISNUMBER($P46),$P46&gt;=TODAY()),$P46,99999),IF(AND(ISNUMBER($S46),$S46&gt;=TODAY()),$S46,99999),IF(AND(ISNUMBER($T46),$T46&gt;=TODAY()),$T46,99999),IF(AND(ISNUMBER($U46),$U46&gt;=TODAY()),$U46,99999),IF(AND(ISNUMBER($V46),$V46&gt;=TODAY()),$V46,99999),IF(AND(ISNUMBER($W46),$W46&gt;=TODAY()),$W46,99999),IF(AND(ISNUMBER($X46),$X46&gt;=TODAY()),$X46,99999),IF(AND(ISNUMBER($Y46),$Y46&gt;=TODAY()),$Y46,99999))))</f>
        <v/>
      </c>
      <c r="N46" s="27" t="n"/>
      <c r="O46" s="27" t="n"/>
      <c r="P46" s="27" t="n"/>
      <c r="Q46" s="27" t="n"/>
      <c r="R46" s="27" t="n"/>
      <c r="S46" s="27" t="n"/>
      <c r="T46" s="27" t="n"/>
      <c r="U46" s="27" t="n"/>
      <c r="V46" s="27" t="n"/>
      <c r="W46" s="27" t="n"/>
      <c r="X46" s="27" t="n"/>
      <c r="Y46" s="27" t="n"/>
      <c r="Z46" s="27" t="n"/>
      <c r="AA46" s="27" t="n"/>
      <c r="AB46" s="27" t="n"/>
      <c r="AC46" s="30" t="n"/>
      <c r="AD46" s="25" t="n"/>
      <c r="AE46" s="28">
        <f>IF(NOT(AND($A46&lt;&gt;"",OR($I46="",$I46="Active"))),"",IF(OR(IF(OR(ISNUMBER($Y46),$Y46="DNA"),$Y46,IF(OR(ISNUMBER($X46),$X46="DNA"),$X46,IF(OR(ISNUMBER($W46),$W46="DNA"),$W46,IF(OR(ISNUMBER($V46),$V46="DNA"),$V46,IF(OR(ISNUMBER($U46),$U46="DNA"),$U46,IF(OR(ISNUMBER($T46),$T46="DNA"),$T46,IF(OR(ISNUMBER($S46),$S46="DNA"),$S46,IF(OR(ISNUMBER($P46),$P46="DNA"),$P46,IF(OR(ISNUMBER($O46),$O46="DNA"),$O46,IF(OR(ISNUMBER($N46),$N46="DNA"),$N46,""))))))))))="DNA",AND(ISNUMBER(IF(OR(ISNUMBER($Y46),$Y46="DNA"),$Y46,IF(OR(ISNUMBER($X46),$X46="DNA"),$X46,IF(OR(ISNUMBER($W46),$W46="DNA"),$W46,IF(OR(ISNUMBER($V46),$V46="DNA"),$V46,IF(OR(ISNUMBER($U46),$U46="DNA"),$U46,IF(OR(ISNUMBER($T46),$T46="DNA"),$T46,IF(OR(ISNUMBER($S46),$S46="DNA"),$S46,IF(OR(ISNUMBER($P46),$P46="DNA"),$P46,IF(OR(ISNUMBER($O46),$O46="DNA"),$O46,IF(OR(ISNUMBER($N46),$N46="DNA"),$N46,""))))))))))),IF(OR(ISNUMBER($Y46),$Y46="DNA"),$Y46,IF(OR(ISNUMBER($X46),$X46="DNA"),$X46,IF(OR(ISNUMBER($W46),$W46="DNA"),$W46,IF(OR(ISNUMBER($V46),$V46="DNA"),$V46,IF(OR(ISNUMBER($U46),$U46="DNA"),$U46,IF(OR(ISNUMBER($T46),$T46="DNA"),$T46,IF(OR(ISNUMBER($S46),$S46="DNA"),$S46,IF(OR(ISNUMBER($P46),$P46="DNA"),$P46,IF(OR(ISNUMBER($O46),$O46="DNA"),$O46,IF(OR(ISNUMBER($N46),$N46="DNA"),$N46,""))))))))))&lt;TODAY())),1,0)+ISNUMBER($Q46)*($Q46&lt;TODAY())+ISNUMBER($R46)*($R46&lt;TODAY())+ISNUMBER($AA46)*($AA46&lt;TODAY())+ISNUMBER($AB46)*($AB46&lt;TODAY()))</f>
        <v/>
      </c>
    </row>
    <row r="47">
      <c r="A47" s="25" t="n"/>
      <c r="B47" s="26" t="n"/>
      <c r="C47" s="27" t="n"/>
      <c r="D47" s="25" t="n"/>
      <c r="E47" s="25" t="n"/>
      <c r="F47" s="25" t="n"/>
      <c r="G47" s="25" t="n"/>
      <c r="H47" s="27" t="n"/>
      <c r="I47" s="25" t="n"/>
      <c r="J47" s="28">
        <f>IF(OR(NOT(AND($A47&lt;&gt;"",OR($I47="",$I47="Active"))),$H47=""),"",INT((TODAY()-$H47+280)/7)&amp;"+"&amp;MOD(TODAY()-$H47+280,7))</f>
        <v/>
      </c>
      <c r="K47" s="28">
        <f>IF(NOT(AND($A47&lt;&gt;"",OR($I47="",$I47="Active"))),"",ISNUMBER($N47)*($N47&gt;=TODAY())*($N47&lt;=TODAY()+7)+ISNUMBER($O47)*($O47&gt;=TODAY())*($O47&lt;=TODAY()+7)+ISNUMBER($P47)*($P47&gt;=TODAY())*($P47&lt;=TODAY()+7)+ISNUMBER($S47)*($S47&gt;=TODAY())*($S47&lt;=TODAY()+7)+ISNUMBER($T47)*($T47&gt;=TODAY())*($T47&lt;=TODAY()+7)+ISNUMBER($U47)*($U47&gt;=TODAY())*($U47&lt;=TODAY()+7)+ISNUMBER($V47)*($V47&gt;=TODAY())*($V47&lt;=TODAY()+7)+ISNUMBER($W47)*($W47&gt;=TODAY())*($W47&lt;=TODAY()+7)+ISNUMBER($X47)*($X47&gt;=TODAY())*($X47&lt;=TODAY()+7)+ISNUMBER($Y47)*($Y47&gt;=TODAY())*($Y47&lt;=TODAY()+7)+ISNUMBER($Q47)*($Q47&gt;=TODAY())*($Q47&lt;=TODAY()+7)+ISNUMBER($R47)*($R47&gt;=TODAY())*($R47&lt;=TODAY()+7)+ISNUMBER($AA47)*($AA47&gt;=TODAY())*($AA47&lt;=TODAY()+7)+ISNUMBER($AB47)*($AB47&gt;=TODAY())*($AB47&lt;=TODAY()+7))</f>
        <v/>
      </c>
      <c r="L47" s="28">
        <f>IF(NOT(AND($A47&lt;&gt;"",OR($I47="",$I47="Active"))),"",IF($M47&lt;&gt;"",IF($N47=$M47,"Booking",IF($O47=$M47,"16/40",IF($P47=$M47,"25/40",IF($S47=$M47,"28/40",IF($T47=$M47,"31/40",IF($U47=$M47,"34/40",IF($V47=$M47,"36/40",IF($W47=$M47,"38/40",IF($X47=$M47,"40/40",IF($Y47=$M47,"41/40","")))))))))),IF(IF(OR(ISNUMBER($Y47),$Y47="DNA"),$Y47,IF(OR(ISNUMBER($X47),$X47="DNA"),$X47,IF(OR(ISNUMBER($W47),$W47="DNA"),$W47,IF(OR(ISNUMBER($V47),$V47="DNA"),$V47,IF(OR(ISNUMBER($U47),$U47="DNA"),$U47,IF(OR(ISNUMBER($T47),$T47="DNA"),$T47,IF(OR(ISNUMBER($S47),$S47="DNA"),$S47,IF(OR(ISNUMBER($P47),$P47="DNA"),$P47,IF(OR(ISNUMBER($O47),$O47="DNA"),$O47,IF(OR(ISNUMBER($N47),$N47="DNA"),$N47,""))))))))))="DNA","Rebook DNA",IF(ISNUMBER(IF(OR(ISNUMBER($Y47),$Y47="DNA"),$Y47,IF(OR(ISNUMBER($X47),$X47="DNA"),$X47,IF(OR(ISNUMBER($W47),$W47="DNA"),$W47,IF(OR(ISNUMBER($V47),$V47="DNA"),$V47,IF(OR(ISNUMBER($U47),$U47="DNA"),$U47,IF(OR(ISNUMBER($T47),$T47="DNA"),$T47,IF(OR(ISNUMBER($S47),$S47="DNA"),$S47,IF(OR(ISNUMBER($P47),$P47="DNA"),$P47,IF(OR(ISNUMBER($O47),$O47="DNA"),$O47,IF(OR(ISNUMBER($N47),$N47="DNA"),$N47,""))))))))))),IF(ISNUMBER($Y47),"Update status","Missed/not booked?"),""))))</f>
        <v/>
      </c>
      <c r="M47" s="29">
        <f>IF(NOT(AND($A47&lt;&gt;"",OR($I47="",$I47="Active"))),"",IF(MIN(IF(AND(ISNUMBER($N47),$N47&gt;=TODAY()),$N47,99999),IF(AND(ISNUMBER($O47),$O47&gt;=TODAY()),$O47,99999),IF(AND(ISNUMBER($P47),$P47&gt;=TODAY()),$P47,99999),IF(AND(ISNUMBER($S47),$S47&gt;=TODAY()),$S47,99999),IF(AND(ISNUMBER($T47),$T47&gt;=TODAY()),$T47,99999),IF(AND(ISNUMBER($U47),$U47&gt;=TODAY()),$U47,99999),IF(AND(ISNUMBER($V47),$V47&gt;=TODAY()),$V47,99999),IF(AND(ISNUMBER($W47),$W47&gt;=TODAY()),$W47,99999),IF(AND(ISNUMBER($X47),$X47&gt;=TODAY()),$X47,99999),IF(AND(ISNUMBER($Y47),$Y47&gt;=TODAY()),$Y47,99999))=99999,"",MIN(IF(AND(ISNUMBER($N47),$N47&gt;=TODAY()),$N47,99999),IF(AND(ISNUMBER($O47),$O47&gt;=TODAY()),$O47,99999),IF(AND(ISNUMBER($P47),$P47&gt;=TODAY()),$P47,99999),IF(AND(ISNUMBER($S47),$S47&gt;=TODAY()),$S47,99999),IF(AND(ISNUMBER($T47),$T47&gt;=TODAY()),$T47,99999),IF(AND(ISNUMBER($U47),$U47&gt;=TODAY()),$U47,99999),IF(AND(ISNUMBER($V47),$V47&gt;=TODAY()),$V47,99999),IF(AND(ISNUMBER($W47),$W47&gt;=TODAY()),$W47,99999),IF(AND(ISNUMBER($X47),$X47&gt;=TODAY()),$X47,99999),IF(AND(ISNUMBER($Y47),$Y47&gt;=TODAY()),$Y47,99999))))</f>
        <v/>
      </c>
      <c r="N47" s="27" t="n"/>
      <c r="O47" s="27" t="n"/>
      <c r="P47" s="27" t="n"/>
      <c r="Q47" s="27" t="n"/>
      <c r="R47" s="27" t="n"/>
      <c r="S47" s="27" t="n"/>
      <c r="T47" s="27" t="n"/>
      <c r="U47" s="27" t="n"/>
      <c r="V47" s="27" t="n"/>
      <c r="W47" s="27" t="n"/>
      <c r="X47" s="27" t="n"/>
      <c r="Y47" s="27" t="n"/>
      <c r="Z47" s="27" t="n"/>
      <c r="AA47" s="27" t="n"/>
      <c r="AB47" s="27" t="n"/>
      <c r="AC47" s="30" t="n"/>
      <c r="AD47" s="25" t="n"/>
      <c r="AE47" s="28">
        <f>IF(NOT(AND($A47&lt;&gt;"",OR($I47="",$I47="Active"))),"",IF(OR(IF(OR(ISNUMBER($Y47),$Y47="DNA"),$Y47,IF(OR(ISNUMBER($X47),$X47="DNA"),$X47,IF(OR(ISNUMBER($W47),$W47="DNA"),$W47,IF(OR(ISNUMBER($V47),$V47="DNA"),$V47,IF(OR(ISNUMBER($U47),$U47="DNA"),$U47,IF(OR(ISNUMBER($T47),$T47="DNA"),$T47,IF(OR(ISNUMBER($S47),$S47="DNA"),$S47,IF(OR(ISNUMBER($P47),$P47="DNA"),$P47,IF(OR(ISNUMBER($O47),$O47="DNA"),$O47,IF(OR(ISNUMBER($N47),$N47="DNA"),$N47,""))))))))))="DNA",AND(ISNUMBER(IF(OR(ISNUMBER($Y47),$Y47="DNA"),$Y47,IF(OR(ISNUMBER($X47),$X47="DNA"),$X47,IF(OR(ISNUMBER($W47),$W47="DNA"),$W47,IF(OR(ISNUMBER($V47),$V47="DNA"),$V47,IF(OR(ISNUMBER($U47),$U47="DNA"),$U47,IF(OR(ISNUMBER($T47),$T47="DNA"),$T47,IF(OR(ISNUMBER($S47),$S47="DNA"),$S47,IF(OR(ISNUMBER($P47),$P47="DNA"),$P47,IF(OR(ISNUMBER($O47),$O47="DNA"),$O47,IF(OR(ISNUMBER($N47),$N47="DNA"),$N47,""))))))))))),IF(OR(ISNUMBER($Y47),$Y47="DNA"),$Y47,IF(OR(ISNUMBER($X47),$X47="DNA"),$X47,IF(OR(ISNUMBER($W47),$W47="DNA"),$W47,IF(OR(ISNUMBER($V47),$V47="DNA"),$V47,IF(OR(ISNUMBER($U47),$U47="DNA"),$U47,IF(OR(ISNUMBER($T47),$T47="DNA"),$T47,IF(OR(ISNUMBER($S47),$S47="DNA"),$S47,IF(OR(ISNUMBER($P47),$P47="DNA"),$P47,IF(OR(ISNUMBER($O47),$O47="DNA"),$O47,IF(OR(ISNUMBER($N47),$N47="DNA"),$N47,""))))))))))&lt;TODAY())),1,0)+ISNUMBER($Q47)*($Q47&lt;TODAY())+ISNUMBER($R47)*($R47&lt;TODAY())+ISNUMBER($AA47)*($AA47&lt;TODAY())+ISNUMBER($AB47)*($AB47&lt;TODAY()))</f>
        <v/>
      </c>
    </row>
    <row r="48">
      <c r="A48" s="25" t="n"/>
      <c r="B48" s="26" t="n"/>
      <c r="C48" s="27" t="n"/>
      <c r="D48" s="25" t="n"/>
      <c r="E48" s="25" t="n"/>
      <c r="F48" s="25" t="n"/>
      <c r="G48" s="25" t="n"/>
      <c r="H48" s="27" t="n"/>
      <c r="I48" s="25" t="n"/>
      <c r="J48" s="28">
        <f>IF(OR(NOT(AND($A48&lt;&gt;"",OR($I48="",$I48="Active"))),$H48=""),"",INT((TODAY()-$H48+280)/7)&amp;"+"&amp;MOD(TODAY()-$H48+280,7))</f>
        <v/>
      </c>
      <c r="K48" s="28">
        <f>IF(NOT(AND($A48&lt;&gt;"",OR($I48="",$I48="Active"))),"",ISNUMBER($N48)*($N48&gt;=TODAY())*($N48&lt;=TODAY()+7)+ISNUMBER($O48)*($O48&gt;=TODAY())*($O48&lt;=TODAY()+7)+ISNUMBER($P48)*($P48&gt;=TODAY())*($P48&lt;=TODAY()+7)+ISNUMBER($S48)*($S48&gt;=TODAY())*($S48&lt;=TODAY()+7)+ISNUMBER($T48)*($T48&gt;=TODAY())*($T48&lt;=TODAY()+7)+ISNUMBER($U48)*($U48&gt;=TODAY())*($U48&lt;=TODAY()+7)+ISNUMBER($V48)*($V48&gt;=TODAY())*($V48&lt;=TODAY()+7)+ISNUMBER($W48)*($W48&gt;=TODAY())*($W48&lt;=TODAY()+7)+ISNUMBER($X48)*($X48&gt;=TODAY())*($X48&lt;=TODAY()+7)+ISNUMBER($Y48)*($Y48&gt;=TODAY())*($Y48&lt;=TODAY()+7)+ISNUMBER($Q48)*($Q48&gt;=TODAY())*($Q48&lt;=TODAY()+7)+ISNUMBER($R48)*($R48&gt;=TODAY())*($R48&lt;=TODAY()+7)+ISNUMBER($AA48)*($AA48&gt;=TODAY())*($AA48&lt;=TODAY()+7)+ISNUMBER($AB48)*($AB48&gt;=TODAY())*($AB48&lt;=TODAY()+7))</f>
        <v/>
      </c>
      <c r="L48" s="28">
        <f>IF(NOT(AND($A48&lt;&gt;"",OR($I48="",$I48="Active"))),"",IF($M48&lt;&gt;"",IF($N48=$M48,"Booking",IF($O48=$M48,"16/40",IF($P48=$M48,"25/40",IF($S48=$M48,"28/40",IF($T48=$M48,"31/40",IF($U48=$M48,"34/40",IF($V48=$M48,"36/40",IF($W48=$M48,"38/40",IF($X48=$M48,"40/40",IF($Y48=$M48,"41/40","")))))))))),IF(IF(OR(ISNUMBER($Y48),$Y48="DNA"),$Y48,IF(OR(ISNUMBER($X48),$X48="DNA"),$X48,IF(OR(ISNUMBER($W48),$W48="DNA"),$W48,IF(OR(ISNUMBER($V48),$V48="DNA"),$V48,IF(OR(ISNUMBER($U48),$U48="DNA"),$U48,IF(OR(ISNUMBER($T48),$T48="DNA"),$T48,IF(OR(ISNUMBER($S48),$S48="DNA"),$S48,IF(OR(ISNUMBER($P48),$P48="DNA"),$P48,IF(OR(ISNUMBER($O48),$O48="DNA"),$O48,IF(OR(ISNUMBER($N48),$N48="DNA"),$N48,""))))))))))="DNA","Rebook DNA",IF(ISNUMBER(IF(OR(ISNUMBER($Y48),$Y48="DNA"),$Y48,IF(OR(ISNUMBER($X48),$X48="DNA"),$X48,IF(OR(ISNUMBER($W48),$W48="DNA"),$W48,IF(OR(ISNUMBER($V48),$V48="DNA"),$V48,IF(OR(ISNUMBER($U48),$U48="DNA"),$U48,IF(OR(ISNUMBER($T48),$T48="DNA"),$T48,IF(OR(ISNUMBER($S48),$S48="DNA"),$S48,IF(OR(ISNUMBER($P48),$P48="DNA"),$P48,IF(OR(ISNUMBER($O48),$O48="DNA"),$O48,IF(OR(ISNUMBER($N48),$N48="DNA"),$N48,""))))))))))),IF(ISNUMBER($Y48),"Update status","Missed/not booked?"),""))))</f>
        <v/>
      </c>
      <c r="M48" s="29">
        <f>IF(NOT(AND($A48&lt;&gt;"",OR($I48="",$I48="Active"))),"",IF(MIN(IF(AND(ISNUMBER($N48),$N48&gt;=TODAY()),$N48,99999),IF(AND(ISNUMBER($O48),$O48&gt;=TODAY()),$O48,99999),IF(AND(ISNUMBER($P48),$P48&gt;=TODAY()),$P48,99999),IF(AND(ISNUMBER($S48),$S48&gt;=TODAY()),$S48,99999),IF(AND(ISNUMBER($T48),$T48&gt;=TODAY()),$T48,99999),IF(AND(ISNUMBER($U48),$U48&gt;=TODAY()),$U48,99999),IF(AND(ISNUMBER($V48),$V48&gt;=TODAY()),$V48,99999),IF(AND(ISNUMBER($W48),$W48&gt;=TODAY()),$W48,99999),IF(AND(ISNUMBER($X48),$X48&gt;=TODAY()),$X48,99999),IF(AND(ISNUMBER($Y48),$Y48&gt;=TODAY()),$Y48,99999))=99999,"",MIN(IF(AND(ISNUMBER($N48),$N48&gt;=TODAY()),$N48,99999),IF(AND(ISNUMBER($O48),$O48&gt;=TODAY()),$O48,99999),IF(AND(ISNUMBER($P48),$P48&gt;=TODAY()),$P48,99999),IF(AND(ISNUMBER($S48),$S48&gt;=TODAY()),$S48,99999),IF(AND(ISNUMBER($T48),$T48&gt;=TODAY()),$T48,99999),IF(AND(ISNUMBER($U48),$U48&gt;=TODAY()),$U48,99999),IF(AND(ISNUMBER($V48),$V48&gt;=TODAY()),$V48,99999),IF(AND(ISNUMBER($W48),$W48&gt;=TODAY()),$W48,99999),IF(AND(ISNUMBER($X48),$X48&gt;=TODAY()),$X48,99999),IF(AND(ISNUMBER($Y48),$Y48&gt;=TODAY()),$Y48,99999))))</f>
        <v/>
      </c>
      <c r="N48" s="27" t="n"/>
      <c r="O48" s="27" t="n"/>
      <c r="P48" s="27" t="n"/>
      <c r="Q48" s="27" t="n"/>
      <c r="R48" s="27" t="n"/>
      <c r="S48" s="27" t="n"/>
      <c r="T48" s="27" t="n"/>
      <c r="U48" s="27" t="n"/>
      <c r="V48" s="27" t="n"/>
      <c r="W48" s="27" t="n"/>
      <c r="X48" s="27" t="n"/>
      <c r="Y48" s="27" t="n"/>
      <c r="Z48" s="27" t="n"/>
      <c r="AA48" s="27" t="n"/>
      <c r="AB48" s="27" t="n"/>
      <c r="AC48" s="30" t="n"/>
      <c r="AD48" s="25" t="n"/>
      <c r="AE48" s="28">
        <f>IF(NOT(AND($A48&lt;&gt;"",OR($I48="",$I48="Active"))),"",IF(OR(IF(OR(ISNUMBER($Y48),$Y48="DNA"),$Y48,IF(OR(ISNUMBER($X48),$X48="DNA"),$X48,IF(OR(ISNUMBER($W48),$W48="DNA"),$W48,IF(OR(ISNUMBER($V48),$V48="DNA"),$V48,IF(OR(ISNUMBER($U48),$U48="DNA"),$U48,IF(OR(ISNUMBER($T48),$T48="DNA"),$T48,IF(OR(ISNUMBER($S48),$S48="DNA"),$S48,IF(OR(ISNUMBER($P48),$P48="DNA"),$P48,IF(OR(ISNUMBER($O48),$O48="DNA"),$O48,IF(OR(ISNUMBER($N48),$N48="DNA"),$N48,""))))))))))="DNA",AND(ISNUMBER(IF(OR(ISNUMBER($Y48),$Y48="DNA"),$Y48,IF(OR(ISNUMBER($X48),$X48="DNA"),$X48,IF(OR(ISNUMBER($W48),$W48="DNA"),$W48,IF(OR(ISNUMBER($V48),$V48="DNA"),$V48,IF(OR(ISNUMBER($U48),$U48="DNA"),$U48,IF(OR(ISNUMBER($T48),$T48="DNA"),$T48,IF(OR(ISNUMBER($S48),$S48="DNA"),$S48,IF(OR(ISNUMBER($P48),$P48="DNA"),$P48,IF(OR(ISNUMBER($O48),$O48="DNA"),$O48,IF(OR(ISNUMBER($N48),$N48="DNA"),$N48,""))))))))))),IF(OR(ISNUMBER($Y48),$Y48="DNA"),$Y48,IF(OR(ISNUMBER($X48),$X48="DNA"),$X48,IF(OR(ISNUMBER($W48),$W48="DNA"),$W48,IF(OR(ISNUMBER($V48),$V48="DNA"),$V48,IF(OR(ISNUMBER($U48),$U48="DNA"),$U48,IF(OR(ISNUMBER($T48),$T48="DNA"),$T48,IF(OR(ISNUMBER($S48),$S48="DNA"),$S48,IF(OR(ISNUMBER($P48),$P48="DNA"),$P48,IF(OR(ISNUMBER($O48),$O48="DNA"),$O48,IF(OR(ISNUMBER($N48),$N48="DNA"),$N48,""))))))))))&lt;TODAY())),1,0)+ISNUMBER($Q48)*($Q48&lt;TODAY())+ISNUMBER($R48)*($R48&lt;TODAY())+ISNUMBER($AA48)*($AA48&lt;TODAY())+ISNUMBER($AB48)*($AB48&lt;TODAY()))</f>
        <v/>
      </c>
    </row>
    <row r="49">
      <c r="A49" s="25" t="n"/>
      <c r="B49" s="26" t="n"/>
      <c r="C49" s="27" t="n"/>
      <c r="D49" s="25" t="n"/>
      <c r="E49" s="25" t="n"/>
      <c r="F49" s="25" t="n"/>
      <c r="G49" s="25" t="n"/>
      <c r="H49" s="27" t="n"/>
      <c r="I49" s="25" t="n"/>
      <c r="J49" s="28">
        <f>IF(OR(NOT(AND($A49&lt;&gt;"",OR($I49="",$I49="Active"))),$H49=""),"",INT((TODAY()-$H49+280)/7)&amp;"+"&amp;MOD(TODAY()-$H49+280,7))</f>
        <v/>
      </c>
      <c r="K49" s="28">
        <f>IF(NOT(AND($A49&lt;&gt;"",OR($I49="",$I49="Active"))),"",ISNUMBER($N49)*($N49&gt;=TODAY())*($N49&lt;=TODAY()+7)+ISNUMBER($O49)*($O49&gt;=TODAY())*($O49&lt;=TODAY()+7)+ISNUMBER($P49)*($P49&gt;=TODAY())*($P49&lt;=TODAY()+7)+ISNUMBER($S49)*($S49&gt;=TODAY())*($S49&lt;=TODAY()+7)+ISNUMBER($T49)*($T49&gt;=TODAY())*($T49&lt;=TODAY()+7)+ISNUMBER($U49)*($U49&gt;=TODAY())*($U49&lt;=TODAY()+7)+ISNUMBER($V49)*($V49&gt;=TODAY())*($V49&lt;=TODAY()+7)+ISNUMBER($W49)*($W49&gt;=TODAY())*($W49&lt;=TODAY()+7)+ISNUMBER($X49)*($X49&gt;=TODAY())*($X49&lt;=TODAY()+7)+ISNUMBER($Y49)*($Y49&gt;=TODAY())*($Y49&lt;=TODAY()+7)+ISNUMBER($Q49)*($Q49&gt;=TODAY())*($Q49&lt;=TODAY()+7)+ISNUMBER($R49)*($R49&gt;=TODAY())*($R49&lt;=TODAY()+7)+ISNUMBER($AA49)*($AA49&gt;=TODAY())*($AA49&lt;=TODAY()+7)+ISNUMBER($AB49)*($AB49&gt;=TODAY())*($AB49&lt;=TODAY()+7))</f>
        <v/>
      </c>
      <c r="L49" s="28">
        <f>IF(NOT(AND($A49&lt;&gt;"",OR($I49="",$I49="Active"))),"",IF($M49&lt;&gt;"",IF($N49=$M49,"Booking",IF($O49=$M49,"16/40",IF($P49=$M49,"25/40",IF($S49=$M49,"28/40",IF($T49=$M49,"31/40",IF($U49=$M49,"34/40",IF($V49=$M49,"36/40",IF($W49=$M49,"38/40",IF($X49=$M49,"40/40",IF($Y49=$M49,"41/40","")))))))))),IF(IF(OR(ISNUMBER($Y49),$Y49="DNA"),$Y49,IF(OR(ISNUMBER($X49),$X49="DNA"),$X49,IF(OR(ISNUMBER($W49),$W49="DNA"),$W49,IF(OR(ISNUMBER($V49),$V49="DNA"),$V49,IF(OR(ISNUMBER($U49),$U49="DNA"),$U49,IF(OR(ISNUMBER($T49),$T49="DNA"),$T49,IF(OR(ISNUMBER($S49),$S49="DNA"),$S49,IF(OR(ISNUMBER($P49),$P49="DNA"),$P49,IF(OR(ISNUMBER($O49),$O49="DNA"),$O49,IF(OR(ISNUMBER($N49),$N49="DNA"),$N49,""))))))))))="DNA","Rebook DNA",IF(ISNUMBER(IF(OR(ISNUMBER($Y49),$Y49="DNA"),$Y49,IF(OR(ISNUMBER($X49),$X49="DNA"),$X49,IF(OR(ISNUMBER($W49),$W49="DNA"),$W49,IF(OR(ISNUMBER($V49),$V49="DNA"),$V49,IF(OR(ISNUMBER($U49),$U49="DNA"),$U49,IF(OR(ISNUMBER($T49),$T49="DNA"),$T49,IF(OR(ISNUMBER($S49),$S49="DNA"),$S49,IF(OR(ISNUMBER($P49),$P49="DNA"),$P49,IF(OR(ISNUMBER($O49),$O49="DNA"),$O49,IF(OR(ISNUMBER($N49),$N49="DNA"),$N49,""))))))))))),IF(ISNUMBER($Y49),"Update status","Missed/not booked?"),""))))</f>
        <v/>
      </c>
      <c r="M49" s="29">
        <f>IF(NOT(AND($A49&lt;&gt;"",OR($I49="",$I49="Active"))),"",IF(MIN(IF(AND(ISNUMBER($N49),$N49&gt;=TODAY()),$N49,99999),IF(AND(ISNUMBER($O49),$O49&gt;=TODAY()),$O49,99999),IF(AND(ISNUMBER($P49),$P49&gt;=TODAY()),$P49,99999),IF(AND(ISNUMBER($S49),$S49&gt;=TODAY()),$S49,99999),IF(AND(ISNUMBER($T49),$T49&gt;=TODAY()),$T49,99999),IF(AND(ISNUMBER($U49),$U49&gt;=TODAY()),$U49,99999),IF(AND(ISNUMBER($V49),$V49&gt;=TODAY()),$V49,99999),IF(AND(ISNUMBER($W49),$W49&gt;=TODAY()),$W49,99999),IF(AND(ISNUMBER($X49),$X49&gt;=TODAY()),$X49,99999),IF(AND(ISNUMBER($Y49),$Y49&gt;=TODAY()),$Y49,99999))=99999,"",MIN(IF(AND(ISNUMBER($N49),$N49&gt;=TODAY()),$N49,99999),IF(AND(ISNUMBER($O49),$O49&gt;=TODAY()),$O49,99999),IF(AND(ISNUMBER($P49),$P49&gt;=TODAY()),$P49,99999),IF(AND(ISNUMBER($S49),$S49&gt;=TODAY()),$S49,99999),IF(AND(ISNUMBER($T49),$T49&gt;=TODAY()),$T49,99999),IF(AND(ISNUMBER($U49),$U49&gt;=TODAY()),$U49,99999),IF(AND(ISNUMBER($V49),$V49&gt;=TODAY()),$V49,99999),IF(AND(ISNUMBER($W49),$W49&gt;=TODAY()),$W49,99999),IF(AND(ISNUMBER($X49),$X49&gt;=TODAY()),$X49,99999),IF(AND(ISNUMBER($Y49),$Y49&gt;=TODAY()),$Y49,99999))))</f>
        <v/>
      </c>
      <c r="N49" s="27" t="n"/>
      <c r="O49" s="27" t="n"/>
      <c r="P49" s="27" t="n"/>
      <c r="Q49" s="27" t="n"/>
      <c r="R49" s="27" t="n"/>
      <c r="S49" s="27" t="n"/>
      <c r="T49" s="27" t="n"/>
      <c r="U49" s="27" t="n"/>
      <c r="V49" s="27" t="n"/>
      <c r="W49" s="27" t="n"/>
      <c r="X49" s="27" t="n"/>
      <c r="Y49" s="27" t="n"/>
      <c r="Z49" s="27" t="n"/>
      <c r="AA49" s="27" t="n"/>
      <c r="AB49" s="27" t="n"/>
      <c r="AC49" s="30" t="n"/>
      <c r="AD49" s="25" t="n"/>
      <c r="AE49" s="28">
        <f>IF(NOT(AND($A49&lt;&gt;"",OR($I49="",$I49="Active"))),"",IF(OR(IF(OR(ISNUMBER($Y49),$Y49="DNA"),$Y49,IF(OR(ISNUMBER($X49),$X49="DNA"),$X49,IF(OR(ISNUMBER($W49),$W49="DNA"),$W49,IF(OR(ISNUMBER($V49),$V49="DNA"),$V49,IF(OR(ISNUMBER($U49),$U49="DNA"),$U49,IF(OR(ISNUMBER($T49),$T49="DNA"),$T49,IF(OR(ISNUMBER($S49),$S49="DNA"),$S49,IF(OR(ISNUMBER($P49),$P49="DNA"),$P49,IF(OR(ISNUMBER($O49),$O49="DNA"),$O49,IF(OR(ISNUMBER($N49),$N49="DNA"),$N49,""))))))))))="DNA",AND(ISNUMBER(IF(OR(ISNUMBER($Y49),$Y49="DNA"),$Y49,IF(OR(ISNUMBER($X49),$X49="DNA"),$X49,IF(OR(ISNUMBER($W49),$W49="DNA"),$W49,IF(OR(ISNUMBER($V49),$V49="DNA"),$V49,IF(OR(ISNUMBER($U49),$U49="DNA"),$U49,IF(OR(ISNUMBER($T49),$T49="DNA"),$T49,IF(OR(ISNUMBER($S49),$S49="DNA"),$S49,IF(OR(ISNUMBER($P49),$P49="DNA"),$P49,IF(OR(ISNUMBER($O49),$O49="DNA"),$O49,IF(OR(ISNUMBER($N49),$N49="DNA"),$N49,""))))))))))),IF(OR(ISNUMBER($Y49),$Y49="DNA"),$Y49,IF(OR(ISNUMBER($X49),$X49="DNA"),$X49,IF(OR(ISNUMBER($W49),$W49="DNA"),$W49,IF(OR(ISNUMBER($V49),$V49="DNA"),$V49,IF(OR(ISNUMBER($U49),$U49="DNA"),$U49,IF(OR(ISNUMBER($T49),$T49="DNA"),$T49,IF(OR(ISNUMBER($S49),$S49="DNA"),$S49,IF(OR(ISNUMBER($P49),$P49="DNA"),$P49,IF(OR(ISNUMBER($O49),$O49="DNA"),$O49,IF(OR(ISNUMBER($N49),$N49="DNA"),$N49,""))))))))))&lt;TODAY())),1,0)+ISNUMBER($Q49)*($Q49&lt;TODAY())+ISNUMBER($R49)*($R49&lt;TODAY())+ISNUMBER($AA49)*($AA49&lt;TODAY())+ISNUMBER($AB49)*($AB49&lt;TODAY()))</f>
        <v/>
      </c>
    </row>
    <row r="50">
      <c r="A50" s="25" t="n"/>
      <c r="B50" s="26" t="n"/>
      <c r="C50" s="27" t="n"/>
      <c r="D50" s="25" t="n"/>
      <c r="E50" s="25" t="n"/>
      <c r="F50" s="25" t="n"/>
      <c r="G50" s="25" t="n"/>
      <c r="H50" s="27" t="n"/>
      <c r="I50" s="25" t="n"/>
      <c r="J50" s="28">
        <f>IF(OR(NOT(AND($A50&lt;&gt;"",OR($I50="",$I50="Active"))),$H50=""),"",INT((TODAY()-$H50+280)/7)&amp;"+"&amp;MOD(TODAY()-$H50+280,7))</f>
        <v/>
      </c>
      <c r="K50" s="28">
        <f>IF(NOT(AND($A50&lt;&gt;"",OR($I50="",$I50="Active"))),"",ISNUMBER($N50)*($N50&gt;=TODAY())*($N50&lt;=TODAY()+7)+ISNUMBER($O50)*($O50&gt;=TODAY())*($O50&lt;=TODAY()+7)+ISNUMBER($P50)*($P50&gt;=TODAY())*($P50&lt;=TODAY()+7)+ISNUMBER($S50)*($S50&gt;=TODAY())*($S50&lt;=TODAY()+7)+ISNUMBER($T50)*($T50&gt;=TODAY())*($T50&lt;=TODAY()+7)+ISNUMBER($U50)*($U50&gt;=TODAY())*($U50&lt;=TODAY()+7)+ISNUMBER($V50)*($V50&gt;=TODAY())*($V50&lt;=TODAY()+7)+ISNUMBER($W50)*($W50&gt;=TODAY())*($W50&lt;=TODAY()+7)+ISNUMBER($X50)*($X50&gt;=TODAY())*($X50&lt;=TODAY()+7)+ISNUMBER($Y50)*($Y50&gt;=TODAY())*($Y50&lt;=TODAY()+7)+ISNUMBER($Q50)*($Q50&gt;=TODAY())*($Q50&lt;=TODAY()+7)+ISNUMBER($R50)*($R50&gt;=TODAY())*($R50&lt;=TODAY()+7)+ISNUMBER($AA50)*($AA50&gt;=TODAY())*($AA50&lt;=TODAY()+7)+ISNUMBER($AB50)*($AB50&gt;=TODAY())*($AB50&lt;=TODAY()+7))</f>
        <v/>
      </c>
      <c r="L50" s="28">
        <f>IF(NOT(AND($A50&lt;&gt;"",OR($I50="",$I50="Active"))),"",IF($M50&lt;&gt;"",IF($N50=$M50,"Booking",IF($O50=$M50,"16/40",IF($P50=$M50,"25/40",IF($S50=$M50,"28/40",IF($T50=$M50,"31/40",IF($U50=$M50,"34/40",IF($V50=$M50,"36/40",IF($W50=$M50,"38/40",IF($X50=$M50,"40/40",IF($Y50=$M50,"41/40","")))))))))),IF(IF(OR(ISNUMBER($Y50),$Y50="DNA"),$Y50,IF(OR(ISNUMBER($X50),$X50="DNA"),$X50,IF(OR(ISNUMBER($W50),$W50="DNA"),$W50,IF(OR(ISNUMBER($V50),$V50="DNA"),$V50,IF(OR(ISNUMBER($U50),$U50="DNA"),$U50,IF(OR(ISNUMBER($T50),$T50="DNA"),$T50,IF(OR(ISNUMBER($S50),$S50="DNA"),$S50,IF(OR(ISNUMBER($P50),$P50="DNA"),$P50,IF(OR(ISNUMBER($O50),$O50="DNA"),$O50,IF(OR(ISNUMBER($N50),$N50="DNA"),$N50,""))))))))))="DNA","Rebook DNA",IF(ISNUMBER(IF(OR(ISNUMBER($Y50),$Y50="DNA"),$Y50,IF(OR(ISNUMBER($X50),$X50="DNA"),$X50,IF(OR(ISNUMBER($W50),$W50="DNA"),$W50,IF(OR(ISNUMBER($V50),$V50="DNA"),$V50,IF(OR(ISNUMBER($U50),$U50="DNA"),$U50,IF(OR(ISNUMBER($T50),$T50="DNA"),$T50,IF(OR(ISNUMBER($S50),$S50="DNA"),$S50,IF(OR(ISNUMBER($P50),$P50="DNA"),$P50,IF(OR(ISNUMBER($O50),$O50="DNA"),$O50,IF(OR(ISNUMBER($N50),$N50="DNA"),$N50,""))))))))))),IF(ISNUMBER($Y50),"Update status","Missed/not booked?"),""))))</f>
        <v/>
      </c>
      <c r="M50" s="29">
        <f>IF(NOT(AND($A50&lt;&gt;"",OR($I50="",$I50="Active"))),"",IF(MIN(IF(AND(ISNUMBER($N50),$N50&gt;=TODAY()),$N50,99999),IF(AND(ISNUMBER($O50),$O50&gt;=TODAY()),$O50,99999),IF(AND(ISNUMBER($P50),$P50&gt;=TODAY()),$P50,99999),IF(AND(ISNUMBER($S50),$S50&gt;=TODAY()),$S50,99999),IF(AND(ISNUMBER($T50),$T50&gt;=TODAY()),$T50,99999),IF(AND(ISNUMBER($U50),$U50&gt;=TODAY()),$U50,99999),IF(AND(ISNUMBER($V50),$V50&gt;=TODAY()),$V50,99999),IF(AND(ISNUMBER($W50),$W50&gt;=TODAY()),$W50,99999),IF(AND(ISNUMBER($X50),$X50&gt;=TODAY()),$X50,99999),IF(AND(ISNUMBER($Y50),$Y50&gt;=TODAY()),$Y50,99999))=99999,"",MIN(IF(AND(ISNUMBER($N50),$N50&gt;=TODAY()),$N50,99999),IF(AND(ISNUMBER($O50),$O50&gt;=TODAY()),$O50,99999),IF(AND(ISNUMBER($P50),$P50&gt;=TODAY()),$P50,99999),IF(AND(ISNUMBER($S50),$S50&gt;=TODAY()),$S50,99999),IF(AND(ISNUMBER($T50),$T50&gt;=TODAY()),$T50,99999),IF(AND(ISNUMBER($U50),$U50&gt;=TODAY()),$U50,99999),IF(AND(ISNUMBER($V50),$V50&gt;=TODAY()),$V50,99999),IF(AND(ISNUMBER($W50),$W50&gt;=TODAY()),$W50,99999),IF(AND(ISNUMBER($X50),$X50&gt;=TODAY()),$X50,99999),IF(AND(ISNUMBER($Y50),$Y50&gt;=TODAY()),$Y50,99999))))</f>
        <v/>
      </c>
      <c r="N50" s="27" t="n"/>
      <c r="O50" s="27" t="n"/>
      <c r="P50" s="27" t="n"/>
      <c r="Q50" s="27" t="n"/>
      <c r="R50" s="27" t="n"/>
      <c r="S50" s="27" t="n"/>
      <c r="T50" s="27" t="n"/>
      <c r="U50" s="27" t="n"/>
      <c r="V50" s="27" t="n"/>
      <c r="W50" s="27" t="n"/>
      <c r="X50" s="27" t="n"/>
      <c r="Y50" s="27" t="n"/>
      <c r="Z50" s="27" t="n"/>
      <c r="AA50" s="27" t="n"/>
      <c r="AB50" s="27" t="n"/>
      <c r="AC50" s="30" t="n"/>
      <c r="AD50" s="25" t="n"/>
      <c r="AE50" s="28">
        <f>IF(NOT(AND($A50&lt;&gt;"",OR($I50="",$I50="Active"))),"",IF(OR(IF(OR(ISNUMBER($Y50),$Y50="DNA"),$Y50,IF(OR(ISNUMBER($X50),$X50="DNA"),$X50,IF(OR(ISNUMBER($W50),$W50="DNA"),$W50,IF(OR(ISNUMBER($V50),$V50="DNA"),$V50,IF(OR(ISNUMBER($U50),$U50="DNA"),$U50,IF(OR(ISNUMBER($T50),$T50="DNA"),$T50,IF(OR(ISNUMBER($S50),$S50="DNA"),$S50,IF(OR(ISNUMBER($P50),$P50="DNA"),$P50,IF(OR(ISNUMBER($O50),$O50="DNA"),$O50,IF(OR(ISNUMBER($N50),$N50="DNA"),$N50,""))))))))))="DNA",AND(ISNUMBER(IF(OR(ISNUMBER($Y50),$Y50="DNA"),$Y50,IF(OR(ISNUMBER($X50),$X50="DNA"),$X50,IF(OR(ISNUMBER($W50),$W50="DNA"),$W50,IF(OR(ISNUMBER($V50),$V50="DNA"),$V50,IF(OR(ISNUMBER($U50),$U50="DNA"),$U50,IF(OR(ISNUMBER($T50),$T50="DNA"),$T50,IF(OR(ISNUMBER($S50),$S50="DNA"),$S50,IF(OR(ISNUMBER($P50),$P50="DNA"),$P50,IF(OR(ISNUMBER($O50),$O50="DNA"),$O50,IF(OR(ISNUMBER($N50),$N50="DNA"),$N50,""))))))))))),IF(OR(ISNUMBER($Y50),$Y50="DNA"),$Y50,IF(OR(ISNUMBER($X50),$X50="DNA"),$X50,IF(OR(ISNUMBER($W50),$W50="DNA"),$W50,IF(OR(ISNUMBER($V50),$V50="DNA"),$V50,IF(OR(ISNUMBER($U50),$U50="DNA"),$U50,IF(OR(ISNUMBER($T50),$T50="DNA"),$T50,IF(OR(ISNUMBER($S50),$S50="DNA"),$S50,IF(OR(ISNUMBER($P50),$P50="DNA"),$P50,IF(OR(ISNUMBER($O50),$O50="DNA"),$O50,IF(OR(ISNUMBER($N50),$N50="DNA"),$N50,""))))))))))&lt;TODAY())),1,0)+ISNUMBER($Q50)*($Q50&lt;TODAY())+ISNUMBER($R50)*($R50&lt;TODAY())+ISNUMBER($AA50)*($AA50&lt;TODAY())+ISNUMBER($AB50)*($AB50&lt;TODAY()))</f>
        <v/>
      </c>
    </row>
    <row r="51">
      <c r="A51" s="25" t="n"/>
      <c r="B51" s="26" t="n"/>
      <c r="C51" s="27" t="n"/>
      <c r="D51" s="25" t="n"/>
      <c r="E51" s="25" t="n"/>
      <c r="F51" s="25" t="n"/>
      <c r="G51" s="25" t="n"/>
      <c r="H51" s="27" t="n"/>
      <c r="I51" s="25" t="n"/>
      <c r="J51" s="28">
        <f>IF(OR(NOT(AND($A51&lt;&gt;"",OR($I51="",$I51="Active"))),$H51=""),"",INT((TODAY()-$H51+280)/7)&amp;"+"&amp;MOD(TODAY()-$H51+280,7))</f>
        <v/>
      </c>
      <c r="K51" s="28">
        <f>IF(NOT(AND($A51&lt;&gt;"",OR($I51="",$I51="Active"))),"",ISNUMBER($N51)*($N51&gt;=TODAY())*($N51&lt;=TODAY()+7)+ISNUMBER($O51)*($O51&gt;=TODAY())*($O51&lt;=TODAY()+7)+ISNUMBER($P51)*($P51&gt;=TODAY())*($P51&lt;=TODAY()+7)+ISNUMBER($S51)*($S51&gt;=TODAY())*($S51&lt;=TODAY()+7)+ISNUMBER($T51)*($T51&gt;=TODAY())*($T51&lt;=TODAY()+7)+ISNUMBER($U51)*($U51&gt;=TODAY())*($U51&lt;=TODAY()+7)+ISNUMBER($V51)*($V51&gt;=TODAY())*($V51&lt;=TODAY()+7)+ISNUMBER($W51)*($W51&gt;=TODAY())*($W51&lt;=TODAY()+7)+ISNUMBER($X51)*($X51&gt;=TODAY())*($X51&lt;=TODAY()+7)+ISNUMBER($Y51)*($Y51&gt;=TODAY())*($Y51&lt;=TODAY()+7)+ISNUMBER($Q51)*($Q51&gt;=TODAY())*($Q51&lt;=TODAY()+7)+ISNUMBER($R51)*($R51&gt;=TODAY())*($R51&lt;=TODAY()+7)+ISNUMBER($AA51)*($AA51&gt;=TODAY())*($AA51&lt;=TODAY()+7)+ISNUMBER($AB51)*($AB51&gt;=TODAY())*($AB51&lt;=TODAY()+7))</f>
        <v/>
      </c>
      <c r="L51" s="28">
        <f>IF(NOT(AND($A51&lt;&gt;"",OR($I51="",$I51="Active"))),"",IF($M51&lt;&gt;"",IF($N51=$M51,"Booking",IF($O51=$M51,"16/40",IF($P51=$M51,"25/40",IF($S51=$M51,"28/40",IF($T51=$M51,"31/40",IF($U51=$M51,"34/40",IF($V51=$M51,"36/40",IF($W51=$M51,"38/40",IF($X51=$M51,"40/40",IF($Y51=$M51,"41/40","")))))))))),IF(IF(OR(ISNUMBER($Y51),$Y51="DNA"),$Y51,IF(OR(ISNUMBER($X51),$X51="DNA"),$X51,IF(OR(ISNUMBER($W51),$W51="DNA"),$W51,IF(OR(ISNUMBER($V51),$V51="DNA"),$V51,IF(OR(ISNUMBER($U51),$U51="DNA"),$U51,IF(OR(ISNUMBER($T51),$T51="DNA"),$T51,IF(OR(ISNUMBER($S51),$S51="DNA"),$S51,IF(OR(ISNUMBER($P51),$P51="DNA"),$P51,IF(OR(ISNUMBER($O51),$O51="DNA"),$O51,IF(OR(ISNUMBER($N51),$N51="DNA"),$N51,""))))))))))="DNA","Rebook DNA",IF(ISNUMBER(IF(OR(ISNUMBER($Y51),$Y51="DNA"),$Y51,IF(OR(ISNUMBER($X51),$X51="DNA"),$X51,IF(OR(ISNUMBER($W51),$W51="DNA"),$W51,IF(OR(ISNUMBER($V51),$V51="DNA"),$V51,IF(OR(ISNUMBER($U51),$U51="DNA"),$U51,IF(OR(ISNUMBER($T51),$T51="DNA"),$T51,IF(OR(ISNUMBER($S51),$S51="DNA"),$S51,IF(OR(ISNUMBER($P51),$P51="DNA"),$P51,IF(OR(ISNUMBER($O51),$O51="DNA"),$O51,IF(OR(ISNUMBER($N51),$N51="DNA"),$N51,""))))))))))),IF(ISNUMBER($Y51),"Update status","Missed/not booked?"),""))))</f>
        <v/>
      </c>
      <c r="M51" s="29">
        <f>IF(NOT(AND($A51&lt;&gt;"",OR($I51="",$I51="Active"))),"",IF(MIN(IF(AND(ISNUMBER($N51),$N51&gt;=TODAY()),$N51,99999),IF(AND(ISNUMBER($O51),$O51&gt;=TODAY()),$O51,99999),IF(AND(ISNUMBER($P51),$P51&gt;=TODAY()),$P51,99999),IF(AND(ISNUMBER($S51),$S51&gt;=TODAY()),$S51,99999),IF(AND(ISNUMBER($T51),$T51&gt;=TODAY()),$T51,99999),IF(AND(ISNUMBER($U51),$U51&gt;=TODAY()),$U51,99999),IF(AND(ISNUMBER($V51),$V51&gt;=TODAY()),$V51,99999),IF(AND(ISNUMBER($W51),$W51&gt;=TODAY()),$W51,99999),IF(AND(ISNUMBER($X51),$X51&gt;=TODAY()),$X51,99999),IF(AND(ISNUMBER($Y51),$Y51&gt;=TODAY()),$Y51,99999))=99999,"",MIN(IF(AND(ISNUMBER($N51),$N51&gt;=TODAY()),$N51,99999),IF(AND(ISNUMBER($O51),$O51&gt;=TODAY()),$O51,99999),IF(AND(ISNUMBER($P51),$P51&gt;=TODAY()),$P51,99999),IF(AND(ISNUMBER($S51),$S51&gt;=TODAY()),$S51,99999),IF(AND(ISNUMBER($T51),$T51&gt;=TODAY()),$T51,99999),IF(AND(ISNUMBER($U51),$U51&gt;=TODAY()),$U51,99999),IF(AND(ISNUMBER($V51),$V51&gt;=TODAY()),$V51,99999),IF(AND(ISNUMBER($W51),$W51&gt;=TODAY()),$W51,99999),IF(AND(ISNUMBER($X51),$X51&gt;=TODAY()),$X51,99999),IF(AND(ISNUMBER($Y51),$Y51&gt;=TODAY()),$Y51,99999))))</f>
        <v/>
      </c>
      <c r="N51" s="27" t="n"/>
      <c r="O51" s="27" t="n"/>
      <c r="P51" s="27" t="n"/>
      <c r="Q51" s="27" t="n"/>
      <c r="R51" s="27" t="n"/>
      <c r="S51" s="27" t="n"/>
      <c r="T51" s="27" t="n"/>
      <c r="U51" s="27" t="n"/>
      <c r="V51" s="27" t="n"/>
      <c r="W51" s="27" t="n"/>
      <c r="X51" s="27" t="n"/>
      <c r="Y51" s="27" t="n"/>
      <c r="Z51" s="27" t="n"/>
      <c r="AA51" s="27" t="n"/>
      <c r="AB51" s="27" t="n"/>
      <c r="AC51" s="30" t="n"/>
      <c r="AD51" s="25" t="n"/>
      <c r="AE51" s="28">
        <f>IF(NOT(AND($A51&lt;&gt;"",OR($I51="",$I51="Active"))),"",IF(OR(IF(OR(ISNUMBER($Y51),$Y51="DNA"),$Y51,IF(OR(ISNUMBER($X51),$X51="DNA"),$X51,IF(OR(ISNUMBER($W51),$W51="DNA"),$W51,IF(OR(ISNUMBER($V51),$V51="DNA"),$V51,IF(OR(ISNUMBER($U51),$U51="DNA"),$U51,IF(OR(ISNUMBER($T51),$T51="DNA"),$T51,IF(OR(ISNUMBER($S51),$S51="DNA"),$S51,IF(OR(ISNUMBER($P51),$P51="DNA"),$P51,IF(OR(ISNUMBER($O51),$O51="DNA"),$O51,IF(OR(ISNUMBER($N51),$N51="DNA"),$N51,""))))))))))="DNA",AND(ISNUMBER(IF(OR(ISNUMBER($Y51),$Y51="DNA"),$Y51,IF(OR(ISNUMBER($X51),$X51="DNA"),$X51,IF(OR(ISNUMBER($W51),$W51="DNA"),$W51,IF(OR(ISNUMBER($V51),$V51="DNA"),$V51,IF(OR(ISNUMBER($U51),$U51="DNA"),$U51,IF(OR(ISNUMBER($T51),$T51="DNA"),$T51,IF(OR(ISNUMBER($S51),$S51="DNA"),$S51,IF(OR(ISNUMBER($P51),$P51="DNA"),$P51,IF(OR(ISNUMBER($O51),$O51="DNA"),$O51,IF(OR(ISNUMBER($N51),$N51="DNA"),$N51,""))))))))))),IF(OR(ISNUMBER($Y51),$Y51="DNA"),$Y51,IF(OR(ISNUMBER($X51),$X51="DNA"),$X51,IF(OR(ISNUMBER($W51),$W51="DNA"),$W51,IF(OR(ISNUMBER($V51),$V51="DNA"),$V51,IF(OR(ISNUMBER($U51),$U51="DNA"),$U51,IF(OR(ISNUMBER($T51),$T51="DNA"),$T51,IF(OR(ISNUMBER($S51),$S51="DNA"),$S51,IF(OR(ISNUMBER($P51),$P51="DNA"),$P51,IF(OR(ISNUMBER($O51),$O51="DNA"),$O51,IF(OR(ISNUMBER($N51),$N51="DNA"),$N51,""))))))))))&lt;TODAY())),1,0)+ISNUMBER($Q51)*($Q51&lt;TODAY())+ISNUMBER($R51)*($R51&lt;TODAY())+ISNUMBER($AA51)*($AA51&lt;TODAY())+ISNUMBER($AB51)*($AB51&lt;TODAY()))</f>
        <v/>
      </c>
    </row>
    <row r="52">
      <c r="A52" s="25" t="n"/>
      <c r="B52" s="26" t="n"/>
      <c r="C52" s="27" t="n"/>
      <c r="D52" s="25" t="n"/>
      <c r="E52" s="25" t="n"/>
      <c r="F52" s="25" t="n"/>
      <c r="G52" s="25" t="n"/>
      <c r="H52" s="27" t="n"/>
      <c r="I52" s="25" t="n"/>
      <c r="J52" s="28">
        <f>IF(OR(NOT(AND($A52&lt;&gt;"",OR($I52="",$I52="Active"))),$H52=""),"",INT((TODAY()-$H52+280)/7)&amp;"+"&amp;MOD(TODAY()-$H52+280,7))</f>
        <v/>
      </c>
      <c r="K52" s="28">
        <f>IF(NOT(AND($A52&lt;&gt;"",OR($I52="",$I52="Active"))),"",ISNUMBER($N52)*($N52&gt;=TODAY())*($N52&lt;=TODAY()+7)+ISNUMBER($O52)*($O52&gt;=TODAY())*($O52&lt;=TODAY()+7)+ISNUMBER($P52)*($P52&gt;=TODAY())*($P52&lt;=TODAY()+7)+ISNUMBER($S52)*($S52&gt;=TODAY())*($S52&lt;=TODAY()+7)+ISNUMBER($T52)*($T52&gt;=TODAY())*($T52&lt;=TODAY()+7)+ISNUMBER($U52)*($U52&gt;=TODAY())*($U52&lt;=TODAY()+7)+ISNUMBER($V52)*($V52&gt;=TODAY())*($V52&lt;=TODAY()+7)+ISNUMBER($W52)*($W52&gt;=TODAY())*($W52&lt;=TODAY()+7)+ISNUMBER($X52)*($X52&gt;=TODAY())*($X52&lt;=TODAY()+7)+ISNUMBER($Y52)*($Y52&gt;=TODAY())*($Y52&lt;=TODAY()+7)+ISNUMBER($Q52)*($Q52&gt;=TODAY())*($Q52&lt;=TODAY()+7)+ISNUMBER($R52)*($R52&gt;=TODAY())*($R52&lt;=TODAY()+7)+ISNUMBER($AA52)*($AA52&gt;=TODAY())*($AA52&lt;=TODAY()+7)+ISNUMBER($AB52)*($AB52&gt;=TODAY())*($AB52&lt;=TODAY()+7))</f>
        <v/>
      </c>
      <c r="L52" s="28">
        <f>IF(NOT(AND($A52&lt;&gt;"",OR($I52="",$I52="Active"))),"",IF($M52&lt;&gt;"",IF($N52=$M52,"Booking",IF($O52=$M52,"16/40",IF($P52=$M52,"25/40",IF($S52=$M52,"28/40",IF($T52=$M52,"31/40",IF($U52=$M52,"34/40",IF($V52=$M52,"36/40",IF($W52=$M52,"38/40",IF($X52=$M52,"40/40",IF($Y52=$M52,"41/40","")))))))))),IF(IF(OR(ISNUMBER($Y52),$Y52="DNA"),$Y52,IF(OR(ISNUMBER($X52),$X52="DNA"),$X52,IF(OR(ISNUMBER($W52),$W52="DNA"),$W52,IF(OR(ISNUMBER($V52),$V52="DNA"),$V52,IF(OR(ISNUMBER($U52),$U52="DNA"),$U52,IF(OR(ISNUMBER($T52),$T52="DNA"),$T52,IF(OR(ISNUMBER($S52),$S52="DNA"),$S52,IF(OR(ISNUMBER($P52),$P52="DNA"),$P52,IF(OR(ISNUMBER($O52),$O52="DNA"),$O52,IF(OR(ISNUMBER($N52),$N52="DNA"),$N52,""))))))))))="DNA","Rebook DNA",IF(ISNUMBER(IF(OR(ISNUMBER($Y52),$Y52="DNA"),$Y52,IF(OR(ISNUMBER($X52),$X52="DNA"),$X52,IF(OR(ISNUMBER($W52),$W52="DNA"),$W52,IF(OR(ISNUMBER($V52),$V52="DNA"),$V52,IF(OR(ISNUMBER($U52),$U52="DNA"),$U52,IF(OR(ISNUMBER($T52),$T52="DNA"),$T52,IF(OR(ISNUMBER($S52),$S52="DNA"),$S52,IF(OR(ISNUMBER($P52),$P52="DNA"),$P52,IF(OR(ISNUMBER($O52),$O52="DNA"),$O52,IF(OR(ISNUMBER($N52),$N52="DNA"),$N52,""))))))))))),IF(ISNUMBER($Y52),"Update status","Missed/not booked?"),""))))</f>
        <v/>
      </c>
      <c r="M52" s="29">
        <f>IF(NOT(AND($A52&lt;&gt;"",OR($I52="",$I52="Active"))),"",IF(MIN(IF(AND(ISNUMBER($N52),$N52&gt;=TODAY()),$N52,99999),IF(AND(ISNUMBER($O52),$O52&gt;=TODAY()),$O52,99999),IF(AND(ISNUMBER($P52),$P52&gt;=TODAY()),$P52,99999),IF(AND(ISNUMBER($S52),$S52&gt;=TODAY()),$S52,99999),IF(AND(ISNUMBER($T52),$T52&gt;=TODAY()),$T52,99999),IF(AND(ISNUMBER($U52),$U52&gt;=TODAY()),$U52,99999),IF(AND(ISNUMBER($V52),$V52&gt;=TODAY()),$V52,99999),IF(AND(ISNUMBER($W52),$W52&gt;=TODAY()),$W52,99999),IF(AND(ISNUMBER($X52),$X52&gt;=TODAY()),$X52,99999),IF(AND(ISNUMBER($Y52),$Y52&gt;=TODAY()),$Y52,99999))=99999,"",MIN(IF(AND(ISNUMBER($N52),$N52&gt;=TODAY()),$N52,99999),IF(AND(ISNUMBER($O52),$O52&gt;=TODAY()),$O52,99999),IF(AND(ISNUMBER($P52),$P52&gt;=TODAY()),$P52,99999),IF(AND(ISNUMBER($S52),$S52&gt;=TODAY()),$S52,99999),IF(AND(ISNUMBER($T52),$T52&gt;=TODAY()),$T52,99999),IF(AND(ISNUMBER($U52),$U52&gt;=TODAY()),$U52,99999),IF(AND(ISNUMBER($V52),$V52&gt;=TODAY()),$V52,99999),IF(AND(ISNUMBER($W52),$W52&gt;=TODAY()),$W52,99999),IF(AND(ISNUMBER($X52),$X52&gt;=TODAY()),$X52,99999),IF(AND(ISNUMBER($Y52),$Y52&gt;=TODAY()),$Y52,99999))))</f>
        <v/>
      </c>
      <c r="N52" s="27" t="n"/>
      <c r="O52" s="27" t="n"/>
      <c r="P52" s="27" t="n"/>
      <c r="Q52" s="27" t="n"/>
      <c r="R52" s="27" t="n"/>
      <c r="S52" s="27" t="n"/>
      <c r="T52" s="27" t="n"/>
      <c r="U52" s="27" t="n"/>
      <c r="V52" s="27" t="n"/>
      <c r="W52" s="27" t="n"/>
      <c r="X52" s="27" t="n"/>
      <c r="Y52" s="27" t="n"/>
      <c r="Z52" s="27" t="n"/>
      <c r="AA52" s="27" t="n"/>
      <c r="AB52" s="27" t="n"/>
      <c r="AC52" s="30" t="n"/>
      <c r="AD52" s="25" t="n"/>
      <c r="AE52" s="28">
        <f>IF(NOT(AND($A52&lt;&gt;"",OR($I52="",$I52="Active"))),"",IF(OR(IF(OR(ISNUMBER($Y52),$Y52="DNA"),$Y52,IF(OR(ISNUMBER($X52),$X52="DNA"),$X52,IF(OR(ISNUMBER($W52),$W52="DNA"),$W52,IF(OR(ISNUMBER($V52),$V52="DNA"),$V52,IF(OR(ISNUMBER($U52),$U52="DNA"),$U52,IF(OR(ISNUMBER($T52),$T52="DNA"),$T52,IF(OR(ISNUMBER($S52),$S52="DNA"),$S52,IF(OR(ISNUMBER($P52),$P52="DNA"),$P52,IF(OR(ISNUMBER($O52),$O52="DNA"),$O52,IF(OR(ISNUMBER($N52),$N52="DNA"),$N52,""))))))))))="DNA",AND(ISNUMBER(IF(OR(ISNUMBER($Y52),$Y52="DNA"),$Y52,IF(OR(ISNUMBER($X52),$X52="DNA"),$X52,IF(OR(ISNUMBER($W52),$W52="DNA"),$W52,IF(OR(ISNUMBER($V52),$V52="DNA"),$V52,IF(OR(ISNUMBER($U52),$U52="DNA"),$U52,IF(OR(ISNUMBER($T52),$T52="DNA"),$T52,IF(OR(ISNUMBER($S52),$S52="DNA"),$S52,IF(OR(ISNUMBER($P52),$P52="DNA"),$P52,IF(OR(ISNUMBER($O52),$O52="DNA"),$O52,IF(OR(ISNUMBER($N52),$N52="DNA"),$N52,""))))))))))),IF(OR(ISNUMBER($Y52),$Y52="DNA"),$Y52,IF(OR(ISNUMBER($X52),$X52="DNA"),$X52,IF(OR(ISNUMBER($W52),$W52="DNA"),$W52,IF(OR(ISNUMBER($V52),$V52="DNA"),$V52,IF(OR(ISNUMBER($U52),$U52="DNA"),$U52,IF(OR(ISNUMBER($T52),$T52="DNA"),$T52,IF(OR(ISNUMBER($S52),$S52="DNA"),$S52,IF(OR(ISNUMBER($P52),$P52="DNA"),$P52,IF(OR(ISNUMBER($O52),$O52="DNA"),$O52,IF(OR(ISNUMBER($N52),$N52="DNA"),$N52,""))))))))))&lt;TODAY())),1,0)+ISNUMBER($Q52)*($Q52&lt;TODAY())+ISNUMBER($R52)*($R52&lt;TODAY())+ISNUMBER($AA52)*($AA52&lt;TODAY())+ISNUMBER($AB52)*($AB52&lt;TODAY()))</f>
        <v/>
      </c>
    </row>
    <row r="53">
      <c r="A53" s="25" t="n"/>
      <c r="B53" s="26" t="n"/>
      <c r="C53" s="27" t="n"/>
      <c r="D53" s="25" t="n"/>
      <c r="E53" s="25" t="n"/>
      <c r="F53" s="25" t="n"/>
      <c r="G53" s="25" t="n"/>
      <c r="H53" s="27" t="n"/>
      <c r="I53" s="25" t="n"/>
      <c r="J53" s="28">
        <f>IF(OR(NOT(AND($A53&lt;&gt;"",OR($I53="",$I53="Active"))),$H53=""),"",INT((TODAY()-$H53+280)/7)&amp;"+"&amp;MOD(TODAY()-$H53+280,7))</f>
        <v/>
      </c>
      <c r="K53" s="28">
        <f>IF(NOT(AND($A53&lt;&gt;"",OR($I53="",$I53="Active"))),"",ISNUMBER($N53)*($N53&gt;=TODAY())*($N53&lt;=TODAY()+7)+ISNUMBER($O53)*($O53&gt;=TODAY())*($O53&lt;=TODAY()+7)+ISNUMBER($P53)*($P53&gt;=TODAY())*($P53&lt;=TODAY()+7)+ISNUMBER($S53)*($S53&gt;=TODAY())*($S53&lt;=TODAY()+7)+ISNUMBER($T53)*($T53&gt;=TODAY())*($T53&lt;=TODAY()+7)+ISNUMBER($U53)*($U53&gt;=TODAY())*($U53&lt;=TODAY()+7)+ISNUMBER($V53)*($V53&gt;=TODAY())*($V53&lt;=TODAY()+7)+ISNUMBER($W53)*($W53&gt;=TODAY())*($W53&lt;=TODAY()+7)+ISNUMBER($X53)*($X53&gt;=TODAY())*($X53&lt;=TODAY()+7)+ISNUMBER($Y53)*($Y53&gt;=TODAY())*($Y53&lt;=TODAY()+7)+ISNUMBER($Q53)*($Q53&gt;=TODAY())*($Q53&lt;=TODAY()+7)+ISNUMBER($R53)*($R53&gt;=TODAY())*($R53&lt;=TODAY()+7)+ISNUMBER($AA53)*($AA53&gt;=TODAY())*($AA53&lt;=TODAY()+7)+ISNUMBER($AB53)*($AB53&gt;=TODAY())*($AB53&lt;=TODAY()+7))</f>
        <v/>
      </c>
      <c r="L53" s="28">
        <f>IF(NOT(AND($A53&lt;&gt;"",OR($I53="",$I53="Active"))),"",IF($M53&lt;&gt;"",IF($N53=$M53,"Booking",IF($O53=$M53,"16/40",IF($P53=$M53,"25/40",IF($S53=$M53,"28/40",IF($T53=$M53,"31/40",IF($U53=$M53,"34/40",IF($V53=$M53,"36/40",IF($W53=$M53,"38/40",IF($X53=$M53,"40/40",IF($Y53=$M53,"41/40","")))))))))),IF(IF(OR(ISNUMBER($Y53),$Y53="DNA"),$Y53,IF(OR(ISNUMBER($X53),$X53="DNA"),$X53,IF(OR(ISNUMBER($W53),$W53="DNA"),$W53,IF(OR(ISNUMBER($V53),$V53="DNA"),$V53,IF(OR(ISNUMBER($U53),$U53="DNA"),$U53,IF(OR(ISNUMBER($T53),$T53="DNA"),$T53,IF(OR(ISNUMBER($S53),$S53="DNA"),$S53,IF(OR(ISNUMBER($P53),$P53="DNA"),$P53,IF(OR(ISNUMBER($O53),$O53="DNA"),$O53,IF(OR(ISNUMBER($N53),$N53="DNA"),$N53,""))))))))))="DNA","Rebook DNA",IF(ISNUMBER(IF(OR(ISNUMBER($Y53),$Y53="DNA"),$Y53,IF(OR(ISNUMBER($X53),$X53="DNA"),$X53,IF(OR(ISNUMBER($W53),$W53="DNA"),$W53,IF(OR(ISNUMBER($V53),$V53="DNA"),$V53,IF(OR(ISNUMBER($U53),$U53="DNA"),$U53,IF(OR(ISNUMBER($T53),$T53="DNA"),$T53,IF(OR(ISNUMBER($S53),$S53="DNA"),$S53,IF(OR(ISNUMBER($P53),$P53="DNA"),$P53,IF(OR(ISNUMBER($O53),$O53="DNA"),$O53,IF(OR(ISNUMBER($N53),$N53="DNA"),$N53,""))))))))))),IF(ISNUMBER($Y53),"Update status","Missed/not booked?"),""))))</f>
        <v/>
      </c>
      <c r="M53" s="29">
        <f>IF(NOT(AND($A53&lt;&gt;"",OR($I53="",$I53="Active"))),"",IF(MIN(IF(AND(ISNUMBER($N53),$N53&gt;=TODAY()),$N53,99999),IF(AND(ISNUMBER($O53),$O53&gt;=TODAY()),$O53,99999),IF(AND(ISNUMBER($P53),$P53&gt;=TODAY()),$P53,99999),IF(AND(ISNUMBER($S53),$S53&gt;=TODAY()),$S53,99999),IF(AND(ISNUMBER($T53),$T53&gt;=TODAY()),$T53,99999),IF(AND(ISNUMBER($U53),$U53&gt;=TODAY()),$U53,99999),IF(AND(ISNUMBER($V53),$V53&gt;=TODAY()),$V53,99999),IF(AND(ISNUMBER($W53),$W53&gt;=TODAY()),$W53,99999),IF(AND(ISNUMBER($X53),$X53&gt;=TODAY()),$X53,99999),IF(AND(ISNUMBER($Y53),$Y53&gt;=TODAY()),$Y53,99999))=99999,"",MIN(IF(AND(ISNUMBER($N53),$N53&gt;=TODAY()),$N53,99999),IF(AND(ISNUMBER($O53),$O53&gt;=TODAY()),$O53,99999),IF(AND(ISNUMBER($P53),$P53&gt;=TODAY()),$P53,99999),IF(AND(ISNUMBER($S53),$S53&gt;=TODAY()),$S53,99999),IF(AND(ISNUMBER($T53),$T53&gt;=TODAY()),$T53,99999),IF(AND(ISNUMBER($U53),$U53&gt;=TODAY()),$U53,99999),IF(AND(ISNUMBER($V53),$V53&gt;=TODAY()),$V53,99999),IF(AND(ISNUMBER($W53),$W53&gt;=TODAY()),$W53,99999),IF(AND(ISNUMBER($X53),$X53&gt;=TODAY()),$X53,99999),IF(AND(ISNUMBER($Y53),$Y53&gt;=TODAY()),$Y53,99999))))</f>
        <v/>
      </c>
      <c r="N53" s="27" t="n"/>
      <c r="O53" s="27" t="n"/>
      <c r="P53" s="27" t="n"/>
      <c r="Q53" s="27" t="n"/>
      <c r="R53" s="27" t="n"/>
      <c r="S53" s="27" t="n"/>
      <c r="T53" s="27" t="n"/>
      <c r="U53" s="27" t="n"/>
      <c r="V53" s="27" t="n"/>
      <c r="W53" s="27" t="n"/>
      <c r="X53" s="27" t="n"/>
      <c r="Y53" s="27" t="n"/>
      <c r="Z53" s="27" t="n"/>
      <c r="AA53" s="27" t="n"/>
      <c r="AB53" s="27" t="n"/>
      <c r="AC53" s="30" t="n"/>
      <c r="AD53" s="25" t="n"/>
      <c r="AE53" s="28">
        <f>IF(NOT(AND($A53&lt;&gt;"",OR($I53="",$I53="Active"))),"",IF(OR(IF(OR(ISNUMBER($Y53),$Y53="DNA"),$Y53,IF(OR(ISNUMBER($X53),$X53="DNA"),$X53,IF(OR(ISNUMBER($W53),$W53="DNA"),$W53,IF(OR(ISNUMBER($V53),$V53="DNA"),$V53,IF(OR(ISNUMBER($U53),$U53="DNA"),$U53,IF(OR(ISNUMBER($T53),$T53="DNA"),$T53,IF(OR(ISNUMBER($S53),$S53="DNA"),$S53,IF(OR(ISNUMBER($P53),$P53="DNA"),$P53,IF(OR(ISNUMBER($O53),$O53="DNA"),$O53,IF(OR(ISNUMBER($N53),$N53="DNA"),$N53,""))))))))))="DNA",AND(ISNUMBER(IF(OR(ISNUMBER($Y53),$Y53="DNA"),$Y53,IF(OR(ISNUMBER($X53),$X53="DNA"),$X53,IF(OR(ISNUMBER($W53),$W53="DNA"),$W53,IF(OR(ISNUMBER($V53),$V53="DNA"),$V53,IF(OR(ISNUMBER($U53),$U53="DNA"),$U53,IF(OR(ISNUMBER($T53),$T53="DNA"),$T53,IF(OR(ISNUMBER($S53),$S53="DNA"),$S53,IF(OR(ISNUMBER($P53),$P53="DNA"),$P53,IF(OR(ISNUMBER($O53),$O53="DNA"),$O53,IF(OR(ISNUMBER($N53),$N53="DNA"),$N53,""))))))))))),IF(OR(ISNUMBER($Y53),$Y53="DNA"),$Y53,IF(OR(ISNUMBER($X53),$X53="DNA"),$X53,IF(OR(ISNUMBER($W53),$W53="DNA"),$W53,IF(OR(ISNUMBER($V53),$V53="DNA"),$V53,IF(OR(ISNUMBER($U53),$U53="DNA"),$U53,IF(OR(ISNUMBER($T53),$T53="DNA"),$T53,IF(OR(ISNUMBER($S53),$S53="DNA"),$S53,IF(OR(ISNUMBER($P53),$P53="DNA"),$P53,IF(OR(ISNUMBER($O53),$O53="DNA"),$O53,IF(OR(ISNUMBER($N53),$N53="DNA"),$N53,""))))))))))&lt;TODAY())),1,0)+ISNUMBER($Q53)*($Q53&lt;TODAY())+ISNUMBER($R53)*($R53&lt;TODAY())+ISNUMBER($AA53)*($AA53&lt;TODAY())+ISNUMBER($AB53)*($AB53&lt;TODAY()))</f>
        <v/>
      </c>
    </row>
    <row r="54">
      <c r="A54" s="25" t="n"/>
      <c r="B54" s="26" t="n"/>
      <c r="C54" s="27" t="n"/>
      <c r="D54" s="25" t="n"/>
      <c r="E54" s="25" t="n"/>
      <c r="F54" s="25" t="n"/>
      <c r="G54" s="25" t="n"/>
      <c r="H54" s="27" t="n"/>
      <c r="I54" s="25" t="n"/>
      <c r="J54" s="28">
        <f>IF(OR(NOT(AND($A54&lt;&gt;"",OR($I54="",$I54="Active"))),$H54=""),"",INT((TODAY()-$H54+280)/7)&amp;"+"&amp;MOD(TODAY()-$H54+280,7))</f>
        <v/>
      </c>
      <c r="K54" s="28">
        <f>IF(NOT(AND($A54&lt;&gt;"",OR($I54="",$I54="Active"))),"",ISNUMBER($N54)*($N54&gt;=TODAY())*($N54&lt;=TODAY()+7)+ISNUMBER($O54)*($O54&gt;=TODAY())*($O54&lt;=TODAY()+7)+ISNUMBER($P54)*($P54&gt;=TODAY())*($P54&lt;=TODAY()+7)+ISNUMBER($S54)*($S54&gt;=TODAY())*($S54&lt;=TODAY()+7)+ISNUMBER($T54)*($T54&gt;=TODAY())*($T54&lt;=TODAY()+7)+ISNUMBER($U54)*($U54&gt;=TODAY())*($U54&lt;=TODAY()+7)+ISNUMBER($V54)*($V54&gt;=TODAY())*($V54&lt;=TODAY()+7)+ISNUMBER($W54)*($W54&gt;=TODAY())*($W54&lt;=TODAY()+7)+ISNUMBER($X54)*($X54&gt;=TODAY())*($X54&lt;=TODAY()+7)+ISNUMBER($Y54)*($Y54&gt;=TODAY())*($Y54&lt;=TODAY()+7)+ISNUMBER($Q54)*($Q54&gt;=TODAY())*($Q54&lt;=TODAY()+7)+ISNUMBER($R54)*($R54&gt;=TODAY())*($R54&lt;=TODAY()+7)+ISNUMBER($AA54)*($AA54&gt;=TODAY())*($AA54&lt;=TODAY()+7)+ISNUMBER($AB54)*($AB54&gt;=TODAY())*($AB54&lt;=TODAY()+7))</f>
        <v/>
      </c>
      <c r="L54" s="28">
        <f>IF(NOT(AND($A54&lt;&gt;"",OR($I54="",$I54="Active"))),"",IF($M54&lt;&gt;"",IF($N54=$M54,"Booking",IF($O54=$M54,"16/40",IF($P54=$M54,"25/40",IF($S54=$M54,"28/40",IF($T54=$M54,"31/40",IF($U54=$M54,"34/40",IF($V54=$M54,"36/40",IF($W54=$M54,"38/40",IF($X54=$M54,"40/40",IF($Y54=$M54,"41/40","")))))))))),IF(IF(OR(ISNUMBER($Y54),$Y54="DNA"),$Y54,IF(OR(ISNUMBER($X54),$X54="DNA"),$X54,IF(OR(ISNUMBER($W54),$W54="DNA"),$W54,IF(OR(ISNUMBER($V54),$V54="DNA"),$V54,IF(OR(ISNUMBER($U54),$U54="DNA"),$U54,IF(OR(ISNUMBER($T54),$T54="DNA"),$T54,IF(OR(ISNUMBER($S54),$S54="DNA"),$S54,IF(OR(ISNUMBER($P54),$P54="DNA"),$P54,IF(OR(ISNUMBER($O54),$O54="DNA"),$O54,IF(OR(ISNUMBER($N54),$N54="DNA"),$N54,""))))))))))="DNA","Rebook DNA",IF(ISNUMBER(IF(OR(ISNUMBER($Y54),$Y54="DNA"),$Y54,IF(OR(ISNUMBER($X54),$X54="DNA"),$X54,IF(OR(ISNUMBER($W54),$W54="DNA"),$W54,IF(OR(ISNUMBER($V54),$V54="DNA"),$V54,IF(OR(ISNUMBER($U54),$U54="DNA"),$U54,IF(OR(ISNUMBER($T54),$T54="DNA"),$T54,IF(OR(ISNUMBER($S54),$S54="DNA"),$S54,IF(OR(ISNUMBER($P54),$P54="DNA"),$P54,IF(OR(ISNUMBER($O54),$O54="DNA"),$O54,IF(OR(ISNUMBER($N54),$N54="DNA"),$N54,""))))))))))),IF(ISNUMBER($Y54),"Update status","Missed/not booked?"),""))))</f>
        <v/>
      </c>
      <c r="M54" s="29">
        <f>IF(NOT(AND($A54&lt;&gt;"",OR($I54="",$I54="Active"))),"",IF(MIN(IF(AND(ISNUMBER($N54),$N54&gt;=TODAY()),$N54,99999),IF(AND(ISNUMBER($O54),$O54&gt;=TODAY()),$O54,99999),IF(AND(ISNUMBER($P54),$P54&gt;=TODAY()),$P54,99999),IF(AND(ISNUMBER($S54),$S54&gt;=TODAY()),$S54,99999),IF(AND(ISNUMBER($T54),$T54&gt;=TODAY()),$T54,99999),IF(AND(ISNUMBER($U54),$U54&gt;=TODAY()),$U54,99999),IF(AND(ISNUMBER($V54),$V54&gt;=TODAY()),$V54,99999),IF(AND(ISNUMBER($W54),$W54&gt;=TODAY()),$W54,99999),IF(AND(ISNUMBER($X54),$X54&gt;=TODAY()),$X54,99999),IF(AND(ISNUMBER($Y54),$Y54&gt;=TODAY()),$Y54,99999))=99999,"",MIN(IF(AND(ISNUMBER($N54),$N54&gt;=TODAY()),$N54,99999),IF(AND(ISNUMBER($O54),$O54&gt;=TODAY()),$O54,99999),IF(AND(ISNUMBER($P54),$P54&gt;=TODAY()),$P54,99999),IF(AND(ISNUMBER($S54),$S54&gt;=TODAY()),$S54,99999),IF(AND(ISNUMBER($T54),$T54&gt;=TODAY()),$T54,99999),IF(AND(ISNUMBER($U54),$U54&gt;=TODAY()),$U54,99999),IF(AND(ISNUMBER($V54),$V54&gt;=TODAY()),$V54,99999),IF(AND(ISNUMBER($W54),$W54&gt;=TODAY()),$W54,99999),IF(AND(ISNUMBER($X54),$X54&gt;=TODAY()),$X54,99999),IF(AND(ISNUMBER($Y54),$Y54&gt;=TODAY()),$Y54,99999))))</f>
        <v/>
      </c>
      <c r="N54" s="27" t="n"/>
      <c r="O54" s="27" t="n"/>
      <c r="P54" s="27" t="n"/>
      <c r="Q54" s="27" t="n"/>
      <c r="R54" s="27" t="n"/>
      <c r="S54" s="27" t="n"/>
      <c r="T54" s="27" t="n"/>
      <c r="U54" s="27" t="n"/>
      <c r="V54" s="27" t="n"/>
      <c r="W54" s="27" t="n"/>
      <c r="X54" s="27" t="n"/>
      <c r="Y54" s="27" t="n"/>
      <c r="Z54" s="27" t="n"/>
      <c r="AA54" s="27" t="n"/>
      <c r="AB54" s="27" t="n"/>
      <c r="AC54" s="30" t="n"/>
      <c r="AD54" s="25" t="n"/>
      <c r="AE54" s="28">
        <f>IF(NOT(AND($A54&lt;&gt;"",OR($I54="",$I54="Active"))),"",IF(OR(IF(OR(ISNUMBER($Y54),$Y54="DNA"),$Y54,IF(OR(ISNUMBER($X54),$X54="DNA"),$X54,IF(OR(ISNUMBER($W54),$W54="DNA"),$W54,IF(OR(ISNUMBER($V54),$V54="DNA"),$V54,IF(OR(ISNUMBER($U54),$U54="DNA"),$U54,IF(OR(ISNUMBER($T54),$T54="DNA"),$T54,IF(OR(ISNUMBER($S54),$S54="DNA"),$S54,IF(OR(ISNUMBER($P54),$P54="DNA"),$P54,IF(OR(ISNUMBER($O54),$O54="DNA"),$O54,IF(OR(ISNUMBER($N54),$N54="DNA"),$N54,""))))))))))="DNA",AND(ISNUMBER(IF(OR(ISNUMBER($Y54),$Y54="DNA"),$Y54,IF(OR(ISNUMBER($X54),$X54="DNA"),$X54,IF(OR(ISNUMBER($W54),$W54="DNA"),$W54,IF(OR(ISNUMBER($V54),$V54="DNA"),$V54,IF(OR(ISNUMBER($U54),$U54="DNA"),$U54,IF(OR(ISNUMBER($T54),$T54="DNA"),$T54,IF(OR(ISNUMBER($S54),$S54="DNA"),$S54,IF(OR(ISNUMBER($P54),$P54="DNA"),$P54,IF(OR(ISNUMBER($O54),$O54="DNA"),$O54,IF(OR(ISNUMBER($N54),$N54="DNA"),$N54,""))))))))))),IF(OR(ISNUMBER($Y54),$Y54="DNA"),$Y54,IF(OR(ISNUMBER($X54),$X54="DNA"),$X54,IF(OR(ISNUMBER($W54),$W54="DNA"),$W54,IF(OR(ISNUMBER($V54),$V54="DNA"),$V54,IF(OR(ISNUMBER($U54),$U54="DNA"),$U54,IF(OR(ISNUMBER($T54),$T54="DNA"),$T54,IF(OR(ISNUMBER($S54),$S54="DNA"),$S54,IF(OR(ISNUMBER($P54),$P54="DNA"),$P54,IF(OR(ISNUMBER($O54),$O54="DNA"),$O54,IF(OR(ISNUMBER($N54),$N54="DNA"),$N54,""))))))))))&lt;TODAY())),1,0)+ISNUMBER($Q54)*($Q54&lt;TODAY())+ISNUMBER($R54)*($R54&lt;TODAY())+ISNUMBER($AA54)*($AA54&lt;TODAY())+ISNUMBER($AB54)*($AB54&lt;TODAY()))</f>
        <v/>
      </c>
    </row>
    <row r="55">
      <c r="A55" s="25" t="n"/>
      <c r="B55" s="26" t="n"/>
      <c r="C55" s="27" t="n"/>
      <c r="D55" s="25" t="n"/>
      <c r="E55" s="25" t="n"/>
      <c r="F55" s="25" t="n"/>
      <c r="G55" s="25" t="n"/>
      <c r="H55" s="27" t="n"/>
      <c r="I55" s="25" t="n"/>
      <c r="J55" s="28">
        <f>IF(OR(NOT(AND($A55&lt;&gt;"",OR($I55="",$I55="Active"))),$H55=""),"",INT((TODAY()-$H55+280)/7)&amp;"+"&amp;MOD(TODAY()-$H55+280,7))</f>
        <v/>
      </c>
      <c r="K55" s="28">
        <f>IF(NOT(AND($A55&lt;&gt;"",OR($I55="",$I55="Active"))),"",ISNUMBER($N55)*($N55&gt;=TODAY())*($N55&lt;=TODAY()+7)+ISNUMBER($O55)*($O55&gt;=TODAY())*($O55&lt;=TODAY()+7)+ISNUMBER($P55)*($P55&gt;=TODAY())*($P55&lt;=TODAY()+7)+ISNUMBER($S55)*($S55&gt;=TODAY())*($S55&lt;=TODAY()+7)+ISNUMBER($T55)*($T55&gt;=TODAY())*($T55&lt;=TODAY()+7)+ISNUMBER($U55)*($U55&gt;=TODAY())*($U55&lt;=TODAY()+7)+ISNUMBER($V55)*($V55&gt;=TODAY())*($V55&lt;=TODAY()+7)+ISNUMBER($W55)*($W55&gt;=TODAY())*($W55&lt;=TODAY()+7)+ISNUMBER($X55)*($X55&gt;=TODAY())*($X55&lt;=TODAY()+7)+ISNUMBER($Y55)*($Y55&gt;=TODAY())*($Y55&lt;=TODAY()+7)+ISNUMBER($Q55)*($Q55&gt;=TODAY())*($Q55&lt;=TODAY()+7)+ISNUMBER($R55)*($R55&gt;=TODAY())*($R55&lt;=TODAY()+7)+ISNUMBER($AA55)*($AA55&gt;=TODAY())*($AA55&lt;=TODAY()+7)+ISNUMBER($AB55)*($AB55&gt;=TODAY())*($AB55&lt;=TODAY()+7))</f>
        <v/>
      </c>
      <c r="L55" s="28">
        <f>IF(NOT(AND($A55&lt;&gt;"",OR($I55="",$I55="Active"))),"",IF($M55&lt;&gt;"",IF($N55=$M55,"Booking",IF($O55=$M55,"16/40",IF($P55=$M55,"25/40",IF($S55=$M55,"28/40",IF($T55=$M55,"31/40",IF($U55=$M55,"34/40",IF($V55=$M55,"36/40",IF($W55=$M55,"38/40",IF($X55=$M55,"40/40",IF($Y55=$M55,"41/40","")))))))))),IF(IF(OR(ISNUMBER($Y55),$Y55="DNA"),$Y55,IF(OR(ISNUMBER($X55),$X55="DNA"),$X55,IF(OR(ISNUMBER($W55),$W55="DNA"),$W55,IF(OR(ISNUMBER($V55),$V55="DNA"),$V55,IF(OR(ISNUMBER($U55),$U55="DNA"),$U55,IF(OR(ISNUMBER($T55),$T55="DNA"),$T55,IF(OR(ISNUMBER($S55),$S55="DNA"),$S55,IF(OR(ISNUMBER($P55),$P55="DNA"),$P55,IF(OR(ISNUMBER($O55),$O55="DNA"),$O55,IF(OR(ISNUMBER($N55),$N55="DNA"),$N55,""))))))))))="DNA","Rebook DNA",IF(ISNUMBER(IF(OR(ISNUMBER($Y55),$Y55="DNA"),$Y55,IF(OR(ISNUMBER($X55),$X55="DNA"),$X55,IF(OR(ISNUMBER($W55),$W55="DNA"),$W55,IF(OR(ISNUMBER($V55),$V55="DNA"),$V55,IF(OR(ISNUMBER($U55),$U55="DNA"),$U55,IF(OR(ISNUMBER($T55),$T55="DNA"),$T55,IF(OR(ISNUMBER($S55),$S55="DNA"),$S55,IF(OR(ISNUMBER($P55),$P55="DNA"),$P55,IF(OR(ISNUMBER($O55),$O55="DNA"),$O55,IF(OR(ISNUMBER($N55),$N55="DNA"),$N55,""))))))))))),IF(ISNUMBER($Y55),"Update status","Missed/not booked?"),""))))</f>
        <v/>
      </c>
      <c r="M55" s="29">
        <f>IF(NOT(AND($A55&lt;&gt;"",OR($I55="",$I55="Active"))),"",IF(MIN(IF(AND(ISNUMBER($N55),$N55&gt;=TODAY()),$N55,99999),IF(AND(ISNUMBER($O55),$O55&gt;=TODAY()),$O55,99999),IF(AND(ISNUMBER($P55),$P55&gt;=TODAY()),$P55,99999),IF(AND(ISNUMBER($S55),$S55&gt;=TODAY()),$S55,99999),IF(AND(ISNUMBER($T55),$T55&gt;=TODAY()),$T55,99999),IF(AND(ISNUMBER($U55),$U55&gt;=TODAY()),$U55,99999),IF(AND(ISNUMBER($V55),$V55&gt;=TODAY()),$V55,99999),IF(AND(ISNUMBER($W55),$W55&gt;=TODAY()),$W55,99999),IF(AND(ISNUMBER($X55),$X55&gt;=TODAY()),$X55,99999),IF(AND(ISNUMBER($Y55),$Y55&gt;=TODAY()),$Y55,99999))=99999,"",MIN(IF(AND(ISNUMBER($N55),$N55&gt;=TODAY()),$N55,99999),IF(AND(ISNUMBER($O55),$O55&gt;=TODAY()),$O55,99999),IF(AND(ISNUMBER($P55),$P55&gt;=TODAY()),$P55,99999),IF(AND(ISNUMBER($S55),$S55&gt;=TODAY()),$S55,99999),IF(AND(ISNUMBER($T55),$T55&gt;=TODAY()),$T55,99999),IF(AND(ISNUMBER($U55),$U55&gt;=TODAY()),$U55,99999),IF(AND(ISNUMBER($V55),$V55&gt;=TODAY()),$V55,99999),IF(AND(ISNUMBER($W55),$W55&gt;=TODAY()),$W55,99999),IF(AND(ISNUMBER($X55),$X55&gt;=TODAY()),$X55,99999),IF(AND(ISNUMBER($Y55),$Y55&gt;=TODAY()),$Y55,99999))))</f>
        <v/>
      </c>
      <c r="N55" s="27" t="n"/>
      <c r="O55" s="27" t="n"/>
      <c r="P55" s="27" t="n"/>
      <c r="Q55" s="27" t="n"/>
      <c r="R55" s="27" t="n"/>
      <c r="S55" s="27" t="n"/>
      <c r="T55" s="27" t="n"/>
      <c r="U55" s="27" t="n"/>
      <c r="V55" s="27" t="n"/>
      <c r="W55" s="27" t="n"/>
      <c r="X55" s="27" t="n"/>
      <c r="Y55" s="27" t="n"/>
      <c r="Z55" s="27" t="n"/>
      <c r="AA55" s="27" t="n"/>
      <c r="AB55" s="27" t="n"/>
      <c r="AC55" s="30" t="n"/>
      <c r="AD55" s="25" t="n"/>
      <c r="AE55" s="28">
        <f>IF(NOT(AND($A55&lt;&gt;"",OR($I55="",$I55="Active"))),"",IF(OR(IF(OR(ISNUMBER($Y55),$Y55="DNA"),$Y55,IF(OR(ISNUMBER($X55),$X55="DNA"),$X55,IF(OR(ISNUMBER($W55),$W55="DNA"),$W55,IF(OR(ISNUMBER($V55),$V55="DNA"),$V55,IF(OR(ISNUMBER($U55),$U55="DNA"),$U55,IF(OR(ISNUMBER($T55),$T55="DNA"),$T55,IF(OR(ISNUMBER($S55),$S55="DNA"),$S55,IF(OR(ISNUMBER($P55),$P55="DNA"),$P55,IF(OR(ISNUMBER($O55),$O55="DNA"),$O55,IF(OR(ISNUMBER($N55),$N55="DNA"),$N55,""))))))))))="DNA",AND(ISNUMBER(IF(OR(ISNUMBER($Y55),$Y55="DNA"),$Y55,IF(OR(ISNUMBER($X55),$X55="DNA"),$X55,IF(OR(ISNUMBER($W55),$W55="DNA"),$W55,IF(OR(ISNUMBER($V55),$V55="DNA"),$V55,IF(OR(ISNUMBER($U55),$U55="DNA"),$U55,IF(OR(ISNUMBER($T55),$T55="DNA"),$T55,IF(OR(ISNUMBER($S55),$S55="DNA"),$S55,IF(OR(ISNUMBER($P55),$P55="DNA"),$P55,IF(OR(ISNUMBER($O55),$O55="DNA"),$O55,IF(OR(ISNUMBER($N55),$N55="DNA"),$N55,""))))))))))),IF(OR(ISNUMBER($Y55),$Y55="DNA"),$Y55,IF(OR(ISNUMBER($X55),$X55="DNA"),$X55,IF(OR(ISNUMBER($W55),$W55="DNA"),$W55,IF(OR(ISNUMBER($V55),$V55="DNA"),$V55,IF(OR(ISNUMBER($U55),$U55="DNA"),$U55,IF(OR(ISNUMBER($T55),$T55="DNA"),$T55,IF(OR(ISNUMBER($S55),$S55="DNA"),$S55,IF(OR(ISNUMBER($P55),$P55="DNA"),$P55,IF(OR(ISNUMBER($O55),$O55="DNA"),$O55,IF(OR(ISNUMBER($N55),$N55="DNA"),$N55,""))))))))))&lt;TODAY())),1,0)+ISNUMBER($Q55)*($Q55&lt;TODAY())+ISNUMBER($R55)*($R55&lt;TODAY())+ISNUMBER($AA55)*($AA55&lt;TODAY())+ISNUMBER($AB55)*($AB55&lt;TODAY()))</f>
        <v/>
      </c>
    </row>
    <row r="56">
      <c r="A56" s="25" t="n"/>
      <c r="B56" s="26" t="n"/>
      <c r="C56" s="27" t="n"/>
      <c r="D56" s="25" t="n"/>
      <c r="E56" s="25" t="n"/>
      <c r="F56" s="25" t="n"/>
      <c r="G56" s="25" t="n"/>
      <c r="H56" s="27" t="n"/>
      <c r="I56" s="25" t="n"/>
      <c r="J56" s="28">
        <f>IF(OR(NOT(AND($A56&lt;&gt;"",OR($I56="",$I56="Active"))),$H56=""),"",INT((TODAY()-$H56+280)/7)&amp;"+"&amp;MOD(TODAY()-$H56+280,7))</f>
        <v/>
      </c>
      <c r="K56" s="28">
        <f>IF(NOT(AND($A56&lt;&gt;"",OR($I56="",$I56="Active"))),"",ISNUMBER($N56)*($N56&gt;=TODAY())*($N56&lt;=TODAY()+7)+ISNUMBER($O56)*($O56&gt;=TODAY())*($O56&lt;=TODAY()+7)+ISNUMBER($P56)*($P56&gt;=TODAY())*($P56&lt;=TODAY()+7)+ISNUMBER($S56)*($S56&gt;=TODAY())*($S56&lt;=TODAY()+7)+ISNUMBER($T56)*($T56&gt;=TODAY())*($T56&lt;=TODAY()+7)+ISNUMBER($U56)*($U56&gt;=TODAY())*($U56&lt;=TODAY()+7)+ISNUMBER($V56)*($V56&gt;=TODAY())*($V56&lt;=TODAY()+7)+ISNUMBER($W56)*($W56&gt;=TODAY())*($W56&lt;=TODAY()+7)+ISNUMBER($X56)*($X56&gt;=TODAY())*($X56&lt;=TODAY()+7)+ISNUMBER($Y56)*($Y56&gt;=TODAY())*($Y56&lt;=TODAY()+7)+ISNUMBER($Q56)*($Q56&gt;=TODAY())*($Q56&lt;=TODAY()+7)+ISNUMBER($R56)*($R56&gt;=TODAY())*($R56&lt;=TODAY()+7)+ISNUMBER($AA56)*($AA56&gt;=TODAY())*($AA56&lt;=TODAY()+7)+ISNUMBER($AB56)*($AB56&gt;=TODAY())*($AB56&lt;=TODAY()+7))</f>
        <v/>
      </c>
      <c r="L56" s="28">
        <f>IF(NOT(AND($A56&lt;&gt;"",OR($I56="",$I56="Active"))),"",IF($M56&lt;&gt;"",IF($N56=$M56,"Booking",IF($O56=$M56,"16/40",IF($P56=$M56,"25/40",IF($S56=$M56,"28/40",IF($T56=$M56,"31/40",IF($U56=$M56,"34/40",IF($V56=$M56,"36/40",IF($W56=$M56,"38/40",IF($X56=$M56,"40/40",IF($Y56=$M56,"41/40","")))))))))),IF(IF(OR(ISNUMBER($Y56),$Y56="DNA"),$Y56,IF(OR(ISNUMBER($X56),$X56="DNA"),$X56,IF(OR(ISNUMBER($W56),$W56="DNA"),$W56,IF(OR(ISNUMBER($V56),$V56="DNA"),$V56,IF(OR(ISNUMBER($U56),$U56="DNA"),$U56,IF(OR(ISNUMBER($T56),$T56="DNA"),$T56,IF(OR(ISNUMBER($S56),$S56="DNA"),$S56,IF(OR(ISNUMBER($P56),$P56="DNA"),$P56,IF(OR(ISNUMBER($O56),$O56="DNA"),$O56,IF(OR(ISNUMBER($N56),$N56="DNA"),$N56,""))))))))))="DNA","Rebook DNA",IF(ISNUMBER(IF(OR(ISNUMBER($Y56),$Y56="DNA"),$Y56,IF(OR(ISNUMBER($X56),$X56="DNA"),$X56,IF(OR(ISNUMBER($W56),$W56="DNA"),$W56,IF(OR(ISNUMBER($V56),$V56="DNA"),$V56,IF(OR(ISNUMBER($U56),$U56="DNA"),$U56,IF(OR(ISNUMBER($T56),$T56="DNA"),$T56,IF(OR(ISNUMBER($S56),$S56="DNA"),$S56,IF(OR(ISNUMBER($P56),$P56="DNA"),$P56,IF(OR(ISNUMBER($O56),$O56="DNA"),$O56,IF(OR(ISNUMBER($N56),$N56="DNA"),$N56,""))))))))))),IF(ISNUMBER($Y56),"Update status","Missed/not booked?"),""))))</f>
        <v/>
      </c>
      <c r="M56" s="29">
        <f>IF(NOT(AND($A56&lt;&gt;"",OR($I56="",$I56="Active"))),"",IF(MIN(IF(AND(ISNUMBER($N56),$N56&gt;=TODAY()),$N56,99999),IF(AND(ISNUMBER($O56),$O56&gt;=TODAY()),$O56,99999),IF(AND(ISNUMBER($P56),$P56&gt;=TODAY()),$P56,99999),IF(AND(ISNUMBER($S56),$S56&gt;=TODAY()),$S56,99999),IF(AND(ISNUMBER($T56),$T56&gt;=TODAY()),$T56,99999),IF(AND(ISNUMBER($U56),$U56&gt;=TODAY()),$U56,99999),IF(AND(ISNUMBER($V56),$V56&gt;=TODAY()),$V56,99999),IF(AND(ISNUMBER($W56),$W56&gt;=TODAY()),$W56,99999),IF(AND(ISNUMBER($X56),$X56&gt;=TODAY()),$X56,99999),IF(AND(ISNUMBER($Y56),$Y56&gt;=TODAY()),$Y56,99999))=99999,"",MIN(IF(AND(ISNUMBER($N56),$N56&gt;=TODAY()),$N56,99999),IF(AND(ISNUMBER($O56),$O56&gt;=TODAY()),$O56,99999),IF(AND(ISNUMBER($P56),$P56&gt;=TODAY()),$P56,99999),IF(AND(ISNUMBER($S56),$S56&gt;=TODAY()),$S56,99999),IF(AND(ISNUMBER($T56),$T56&gt;=TODAY()),$T56,99999),IF(AND(ISNUMBER($U56),$U56&gt;=TODAY()),$U56,99999),IF(AND(ISNUMBER($V56),$V56&gt;=TODAY()),$V56,99999),IF(AND(ISNUMBER($W56),$W56&gt;=TODAY()),$W56,99999),IF(AND(ISNUMBER($X56),$X56&gt;=TODAY()),$X56,99999),IF(AND(ISNUMBER($Y56),$Y56&gt;=TODAY()),$Y56,99999))))</f>
        <v/>
      </c>
      <c r="N56" s="27" t="n"/>
      <c r="O56" s="27" t="n"/>
      <c r="P56" s="27" t="n"/>
      <c r="Q56" s="27" t="n"/>
      <c r="R56" s="27" t="n"/>
      <c r="S56" s="27" t="n"/>
      <c r="T56" s="27" t="n"/>
      <c r="U56" s="27" t="n"/>
      <c r="V56" s="27" t="n"/>
      <c r="W56" s="27" t="n"/>
      <c r="X56" s="27" t="n"/>
      <c r="Y56" s="27" t="n"/>
      <c r="Z56" s="27" t="n"/>
      <c r="AA56" s="27" t="n"/>
      <c r="AB56" s="27" t="n"/>
      <c r="AC56" s="30" t="n"/>
      <c r="AD56" s="25" t="n"/>
      <c r="AE56" s="28">
        <f>IF(NOT(AND($A56&lt;&gt;"",OR($I56="",$I56="Active"))),"",IF(OR(IF(OR(ISNUMBER($Y56),$Y56="DNA"),$Y56,IF(OR(ISNUMBER($X56),$X56="DNA"),$X56,IF(OR(ISNUMBER($W56),$W56="DNA"),$W56,IF(OR(ISNUMBER($V56),$V56="DNA"),$V56,IF(OR(ISNUMBER($U56),$U56="DNA"),$U56,IF(OR(ISNUMBER($T56),$T56="DNA"),$T56,IF(OR(ISNUMBER($S56),$S56="DNA"),$S56,IF(OR(ISNUMBER($P56),$P56="DNA"),$P56,IF(OR(ISNUMBER($O56),$O56="DNA"),$O56,IF(OR(ISNUMBER($N56),$N56="DNA"),$N56,""))))))))))="DNA",AND(ISNUMBER(IF(OR(ISNUMBER($Y56),$Y56="DNA"),$Y56,IF(OR(ISNUMBER($X56),$X56="DNA"),$X56,IF(OR(ISNUMBER($W56),$W56="DNA"),$W56,IF(OR(ISNUMBER($V56),$V56="DNA"),$V56,IF(OR(ISNUMBER($U56),$U56="DNA"),$U56,IF(OR(ISNUMBER($T56),$T56="DNA"),$T56,IF(OR(ISNUMBER($S56),$S56="DNA"),$S56,IF(OR(ISNUMBER($P56),$P56="DNA"),$P56,IF(OR(ISNUMBER($O56),$O56="DNA"),$O56,IF(OR(ISNUMBER($N56),$N56="DNA"),$N56,""))))))))))),IF(OR(ISNUMBER($Y56),$Y56="DNA"),$Y56,IF(OR(ISNUMBER($X56),$X56="DNA"),$X56,IF(OR(ISNUMBER($W56),$W56="DNA"),$W56,IF(OR(ISNUMBER($V56),$V56="DNA"),$V56,IF(OR(ISNUMBER($U56),$U56="DNA"),$U56,IF(OR(ISNUMBER($T56),$T56="DNA"),$T56,IF(OR(ISNUMBER($S56),$S56="DNA"),$S56,IF(OR(ISNUMBER($P56),$P56="DNA"),$P56,IF(OR(ISNUMBER($O56),$O56="DNA"),$O56,IF(OR(ISNUMBER($N56),$N56="DNA"),$N56,""))))))))))&lt;TODAY())),1,0)+ISNUMBER($Q56)*($Q56&lt;TODAY())+ISNUMBER($R56)*($R56&lt;TODAY())+ISNUMBER($AA56)*($AA56&lt;TODAY())+ISNUMBER($AB56)*($AB56&lt;TODAY()))</f>
        <v/>
      </c>
    </row>
    <row r="57">
      <c r="A57" s="25" t="n"/>
      <c r="B57" s="26" t="n"/>
      <c r="C57" s="27" t="n"/>
      <c r="D57" s="25" t="n"/>
      <c r="E57" s="25" t="n"/>
      <c r="F57" s="25" t="n"/>
      <c r="G57" s="25" t="n"/>
      <c r="H57" s="27" t="n"/>
      <c r="I57" s="25" t="n"/>
      <c r="J57" s="28">
        <f>IF(OR(NOT(AND($A57&lt;&gt;"",OR($I57="",$I57="Active"))),$H57=""),"",INT((TODAY()-$H57+280)/7)&amp;"+"&amp;MOD(TODAY()-$H57+280,7))</f>
        <v/>
      </c>
      <c r="K57" s="28">
        <f>IF(NOT(AND($A57&lt;&gt;"",OR($I57="",$I57="Active"))),"",ISNUMBER($N57)*($N57&gt;=TODAY())*($N57&lt;=TODAY()+7)+ISNUMBER($O57)*($O57&gt;=TODAY())*($O57&lt;=TODAY()+7)+ISNUMBER($P57)*($P57&gt;=TODAY())*($P57&lt;=TODAY()+7)+ISNUMBER($S57)*($S57&gt;=TODAY())*($S57&lt;=TODAY()+7)+ISNUMBER($T57)*($T57&gt;=TODAY())*($T57&lt;=TODAY()+7)+ISNUMBER($U57)*($U57&gt;=TODAY())*($U57&lt;=TODAY()+7)+ISNUMBER($V57)*($V57&gt;=TODAY())*($V57&lt;=TODAY()+7)+ISNUMBER($W57)*($W57&gt;=TODAY())*($W57&lt;=TODAY()+7)+ISNUMBER($X57)*($X57&gt;=TODAY())*($X57&lt;=TODAY()+7)+ISNUMBER($Y57)*($Y57&gt;=TODAY())*($Y57&lt;=TODAY()+7)+ISNUMBER($Q57)*($Q57&gt;=TODAY())*($Q57&lt;=TODAY()+7)+ISNUMBER($R57)*($R57&gt;=TODAY())*($R57&lt;=TODAY()+7)+ISNUMBER($AA57)*($AA57&gt;=TODAY())*($AA57&lt;=TODAY()+7)+ISNUMBER($AB57)*($AB57&gt;=TODAY())*($AB57&lt;=TODAY()+7))</f>
        <v/>
      </c>
      <c r="L57" s="28">
        <f>IF(NOT(AND($A57&lt;&gt;"",OR($I57="",$I57="Active"))),"",IF($M57&lt;&gt;"",IF($N57=$M57,"Booking",IF($O57=$M57,"16/40",IF($P57=$M57,"25/40",IF($S57=$M57,"28/40",IF($T57=$M57,"31/40",IF($U57=$M57,"34/40",IF($V57=$M57,"36/40",IF($W57=$M57,"38/40",IF($X57=$M57,"40/40",IF($Y57=$M57,"41/40","")))))))))),IF(IF(OR(ISNUMBER($Y57),$Y57="DNA"),$Y57,IF(OR(ISNUMBER($X57),$X57="DNA"),$X57,IF(OR(ISNUMBER($W57),$W57="DNA"),$W57,IF(OR(ISNUMBER($V57),$V57="DNA"),$V57,IF(OR(ISNUMBER($U57),$U57="DNA"),$U57,IF(OR(ISNUMBER($T57),$T57="DNA"),$T57,IF(OR(ISNUMBER($S57),$S57="DNA"),$S57,IF(OR(ISNUMBER($P57),$P57="DNA"),$P57,IF(OR(ISNUMBER($O57),$O57="DNA"),$O57,IF(OR(ISNUMBER($N57),$N57="DNA"),$N57,""))))))))))="DNA","Rebook DNA",IF(ISNUMBER(IF(OR(ISNUMBER($Y57),$Y57="DNA"),$Y57,IF(OR(ISNUMBER($X57),$X57="DNA"),$X57,IF(OR(ISNUMBER($W57),$W57="DNA"),$W57,IF(OR(ISNUMBER($V57),$V57="DNA"),$V57,IF(OR(ISNUMBER($U57),$U57="DNA"),$U57,IF(OR(ISNUMBER($T57),$T57="DNA"),$T57,IF(OR(ISNUMBER($S57),$S57="DNA"),$S57,IF(OR(ISNUMBER($P57),$P57="DNA"),$P57,IF(OR(ISNUMBER($O57),$O57="DNA"),$O57,IF(OR(ISNUMBER($N57),$N57="DNA"),$N57,""))))))))))),IF(ISNUMBER($Y57),"Update status","Missed/not booked?"),""))))</f>
        <v/>
      </c>
      <c r="M57" s="29">
        <f>IF(NOT(AND($A57&lt;&gt;"",OR($I57="",$I57="Active"))),"",IF(MIN(IF(AND(ISNUMBER($N57),$N57&gt;=TODAY()),$N57,99999),IF(AND(ISNUMBER($O57),$O57&gt;=TODAY()),$O57,99999),IF(AND(ISNUMBER($P57),$P57&gt;=TODAY()),$P57,99999),IF(AND(ISNUMBER($S57),$S57&gt;=TODAY()),$S57,99999),IF(AND(ISNUMBER($T57),$T57&gt;=TODAY()),$T57,99999),IF(AND(ISNUMBER($U57),$U57&gt;=TODAY()),$U57,99999),IF(AND(ISNUMBER($V57),$V57&gt;=TODAY()),$V57,99999),IF(AND(ISNUMBER($W57),$W57&gt;=TODAY()),$W57,99999),IF(AND(ISNUMBER($X57),$X57&gt;=TODAY()),$X57,99999),IF(AND(ISNUMBER($Y57),$Y57&gt;=TODAY()),$Y57,99999))=99999,"",MIN(IF(AND(ISNUMBER($N57),$N57&gt;=TODAY()),$N57,99999),IF(AND(ISNUMBER($O57),$O57&gt;=TODAY()),$O57,99999),IF(AND(ISNUMBER($P57),$P57&gt;=TODAY()),$P57,99999),IF(AND(ISNUMBER($S57),$S57&gt;=TODAY()),$S57,99999),IF(AND(ISNUMBER($T57),$T57&gt;=TODAY()),$T57,99999),IF(AND(ISNUMBER($U57),$U57&gt;=TODAY()),$U57,99999),IF(AND(ISNUMBER($V57),$V57&gt;=TODAY()),$V57,99999),IF(AND(ISNUMBER($W57),$W57&gt;=TODAY()),$W57,99999),IF(AND(ISNUMBER($X57),$X57&gt;=TODAY()),$X57,99999),IF(AND(ISNUMBER($Y57),$Y57&gt;=TODAY()),$Y57,99999))))</f>
        <v/>
      </c>
      <c r="N57" s="27" t="n"/>
      <c r="O57" s="27" t="n"/>
      <c r="P57" s="27" t="n"/>
      <c r="Q57" s="27" t="n"/>
      <c r="R57" s="27" t="n"/>
      <c r="S57" s="27" t="n"/>
      <c r="T57" s="27" t="n"/>
      <c r="U57" s="27" t="n"/>
      <c r="V57" s="27" t="n"/>
      <c r="W57" s="27" t="n"/>
      <c r="X57" s="27" t="n"/>
      <c r="Y57" s="27" t="n"/>
      <c r="Z57" s="27" t="n"/>
      <c r="AA57" s="27" t="n"/>
      <c r="AB57" s="27" t="n"/>
      <c r="AC57" s="30" t="n"/>
      <c r="AD57" s="25" t="n"/>
      <c r="AE57" s="28">
        <f>IF(NOT(AND($A57&lt;&gt;"",OR($I57="",$I57="Active"))),"",IF(OR(IF(OR(ISNUMBER($Y57),$Y57="DNA"),$Y57,IF(OR(ISNUMBER($X57),$X57="DNA"),$X57,IF(OR(ISNUMBER($W57),$W57="DNA"),$W57,IF(OR(ISNUMBER($V57),$V57="DNA"),$V57,IF(OR(ISNUMBER($U57),$U57="DNA"),$U57,IF(OR(ISNUMBER($T57),$T57="DNA"),$T57,IF(OR(ISNUMBER($S57),$S57="DNA"),$S57,IF(OR(ISNUMBER($P57),$P57="DNA"),$P57,IF(OR(ISNUMBER($O57),$O57="DNA"),$O57,IF(OR(ISNUMBER($N57),$N57="DNA"),$N57,""))))))))))="DNA",AND(ISNUMBER(IF(OR(ISNUMBER($Y57),$Y57="DNA"),$Y57,IF(OR(ISNUMBER($X57),$X57="DNA"),$X57,IF(OR(ISNUMBER($W57),$W57="DNA"),$W57,IF(OR(ISNUMBER($V57),$V57="DNA"),$V57,IF(OR(ISNUMBER($U57),$U57="DNA"),$U57,IF(OR(ISNUMBER($T57),$T57="DNA"),$T57,IF(OR(ISNUMBER($S57),$S57="DNA"),$S57,IF(OR(ISNUMBER($P57),$P57="DNA"),$P57,IF(OR(ISNUMBER($O57),$O57="DNA"),$O57,IF(OR(ISNUMBER($N57),$N57="DNA"),$N57,""))))))))))),IF(OR(ISNUMBER($Y57),$Y57="DNA"),$Y57,IF(OR(ISNUMBER($X57),$X57="DNA"),$X57,IF(OR(ISNUMBER($W57),$W57="DNA"),$W57,IF(OR(ISNUMBER($V57),$V57="DNA"),$V57,IF(OR(ISNUMBER($U57),$U57="DNA"),$U57,IF(OR(ISNUMBER($T57),$T57="DNA"),$T57,IF(OR(ISNUMBER($S57),$S57="DNA"),$S57,IF(OR(ISNUMBER($P57),$P57="DNA"),$P57,IF(OR(ISNUMBER($O57),$O57="DNA"),$O57,IF(OR(ISNUMBER($N57),$N57="DNA"),$N57,""))))))))))&lt;TODAY())),1,0)+ISNUMBER($Q57)*($Q57&lt;TODAY())+ISNUMBER($R57)*($R57&lt;TODAY())+ISNUMBER($AA57)*($AA57&lt;TODAY())+ISNUMBER($AB57)*($AB57&lt;TODAY()))</f>
        <v/>
      </c>
    </row>
    <row r="58">
      <c r="A58" s="25" t="n"/>
      <c r="B58" s="26" t="n"/>
      <c r="C58" s="27" t="n"/>
      <c r="D58" s="25" t="n"/>
      <c r="E58" s="25" t="n"/>
      <c r="F58" s="25" t="n"/>
      <c r="G58" s="25" t="n"/>
      <c r="H58" s="27" t="n"/>
      <c r="I58" s="25" t="n"/>
      <c r="J58" s="28">
        <f>IF(OR(NOT(AND($A58&lt;&gt;"",OR($I58="",$I58="Active"))),$H58=""),"",INT((TODAY()-$H58+280)/7)&amp;"+"&amp;MOD(TODAY()-$H58+280,7))</f>
        <v/>
      </c>
      <c r="K58" s="28">
        <f>IF(NOT(AND($A58&lt;&gt;"",OR($I58="",$I58="Active"))),"",ISNUMBER($N58)*($N58&gt;=TODAY())*($N58&lt;=TODAY()+7)+ISNUMBER($O58)*($O58&gt;=TODAY())*($O58&lt;=TODAY()+7)+ISNUMBER($P58)*($P58&gt;=TODAY())*($P58&lt;=TODAY()+7)+ISNUMBER($S58)*($S58&gt;=TODAY())*($S58&lt;=TODAY()+7)+ISNUMBER($T58)*($T58&gt;=TODAY())*($T58&lt;=TODAY()+7)+ISNUMBER($U58)*($U58&gt;=TODAY())*($U58&lt;=TODAY()+7)+ISNUMBER($V58)*($V58&gt;=TODAY())*($V58&lt;=TODAY()+7)+ISNUMBER($W58)*($W58&gt;=TODAY())*($W58&lt;=TODAY()+7)+ISNUMBER($X58)*($X58&gt;=TODAY())*($X58&lt;=TODAY()+7)+ISNUMBER($Y58)*($Y58&gt;=TODAY())*($Y58&lt;=TODAY()+7)+ISNUMBER($Q58)*($Q58&gt;=TODAY())*($Q58&lt;=TODAY()+7)+ISNUMBER($R58)*($R58&gt;=TODAY())*($R58&lt;=TODAY()+7)+ISNUMBER($AA58)*($AA58&gt;=TODAY())*($AA58&lt;=TODAY()+7)+ISNUMBER($AB58)*($AB58&gt;=TODAY())*($AB58&lt;=TODAY()+7))</f>
        <v/>
      </c>
      <c r="L58" s="28">
        <f>IF(NOT(AND($A58&lt;&gt;"",OR($I58="",$I58="Active"))),"",IF($M58&lt;&gt;"",IF($N58=$M58,"Booking",IF($O58=$M58,"16/40",IF($P58=$M58,"25/40",IF($S58=$M58,"28/40",IF($T58=$M58,"31/40",IF($U58=$M58,"34/40",IF($V58=$M58,"36/40",IF($W58=$M58,"38/40",IF($X58=$M58,"40/40",IF($Y58=$M58,"41/40","")))))))))),IF(IF(OR(ISNUMBER($Y58),$Y58="DNA"),$Y58,IF(OR(ISNUMBER($X58),$X58="DNA"),$X58,IF(OR(ISNUMBER($W58),$W58="DNA"),$W58,IF(OR(ISNUMBER($V58),$V58="DNA"),$V58,IF(OR(ISNUMBER($U58),$U58="DNA"),$U58,IF(OR(ISNUMBER($T58),$T58="DNA"),$T58,IF(OR(ISNUMBER($S58),$S58="DNA"),$S58,IF(OR(ISNUMBER($P58),$P58="DNA"),$P58,IF(OR(ISNUMBER($O58),$O58="DNA"),$O58,IF(OR(ISNUMBER($N58),$N58="DNA"),$N58,""))))))))))="DNA","Rebook DNA",IF(ISNUMBER(IF(OR(ISNUMBER($Y58),$Y58="DNA"),$Y58,IF(OR(ISNUMBER($X58),$X58="DNA"),$X58,IF(OR(ISNUMBER($W58),$W58="DNA"),$W58,IF(OR(ISNUMBER($V58),$V58="DNA"),$V58,IF(OR(ISNUMBER($U58),$U58="DNA"),$U58,IF(OR(ISNUMBER($T58),$T58="DNA"),$T58,IF(OR(ISNUMBER($S58),$S58="DNA"),$S58,IF(OR(ISNUMBER($P58),$P58="DNA"),$P58,IF(OR(ISNUMBER($O58),$O58="DNA"),$O58,IF(OR(ISNUMBER($N58),$N58="DNA"),$N58,""))))))))))),IF(ISNUMBER($Y58),"Update status","Missed/not booked?"),""))))</f>
        <v/>
      </c>
      <c r="M58" s="29">
        <f>IF(NOT(AND($A58&lt;&gt;"",OR($I58="",$I58="Active"))),"",IF(MIN(IF(AND(ISNUMBER($N58),$N58&gt;=TODAY()),$N58,99999),IF(AND(ISNUMBER($O58),$O58&gt;=TODAY()),$O58,99999),IF(AND(ISNUMBER($P58),$P58&gt;=TODAY()),$P58,99999),IF(AND(ISNUMBER($S58),$S58&gt;=TODAY()),$S58,99999),IF(AND(ISNUMBER($T58),$T58&gt;=TODAY()),$T58,99999),IF(AND(ISNUMBER($U58),$U58&gt;=TODAY()),$U58,99999),IF(AND(ISNUMBER($V58),$V58&gt;=TODAY()),$V58,99999),IF(AND(ISNUMBER($W58),$W58&gt;=TODAY()),$W58,99999),IF(AND(ISNUMBER($X58),$X58&gt;=TODAY()),$X58,99999),IF(AND(ISNUMBER($Y58),$Y58&gt;=TODAY()),$Y58,99999))=99999,"",MIN(IF(AND(ISNUMBER($N58),$N58&gt;=TODAY()),$N58,99999),IF(AND(ISNUMBER($O58),$O58&gt;=TODAY()),$O58,99999),IF(AND(ISNUMBER($P58),$P58&gt;=TODAY()),$P58,99999),IF(AND(ISNUMBER($S58),$S58&gt;=TODAY()),$S58,99999),IF(AND(ISNUMBER($T58),$T58&gt;=TODAY()),$T58,99999),IF(AND(ISNUMBER($U58),$U58&gt;=TODAY()),$U58,99999),IF(AND(ISNUMBER($V58),$V58&gt;=TODAY()),$V58,99999),IF(AND(ISNUMBER($W58),$W58&gt;=TODAY()),$W58,99999),IF(AND(ISNUMBER($X58),$X58&gt;=TODAY()),$X58,99999),IF(AND(ISNUMBER($Y58),$Y58&gt;=TODAY()),$Y58,99999))))</f>
        <v/>
      </c>
      <c r="N58" s="27" t="n"/>
      <c r="O58" s="27" t="n"/>
      <c r="P58" s="27" t="n"/>
      <c r="Q58" s="27" t="n"/>
      <c r="R58" s="27" t="n"/>
      <c r="S58" s="27" t="n"/>
      <c r="T58" s="27" t="n"/>
      <c r="U58" s="27" t="n"/>
      <c r="V58" s="27" t="n"/>
      <c r="W58" s="27" t="n"/>
      <c r="X58" s="27" t="n"/>
      <c r="Y58" s="27" t="n"/>
      <c r="Z58" s="27" t="n"/>
      <c r="AA58" s="27" t="n"/>
      <c r="AB58" s="27" t="n"/>
      <c r="AC58" s="30" t="n"/>
      <c r="AD58" s="25" t="n"/>
      <c r="AE58" s="28">
        <f>IF(NOT(AND($A58&lt;&gt;"",OR($I58="",$I58="Active"))),"",IF(OR(IF(OR(ISNUMBER($Y58),$Y58="DNA"),$Y58,IF(OR(ISNUMBER($X58),$X58="DNA"),$X58,IF(OR(ISNUMBER($W58),$W58="DNA"),$W58,IF(OR(ISNUMBER($V58),$V58="DNA"),$V58,IF(OR(ISNUMBER($U58),$U58="DNA"),$U58,IF(OR(ISNUMBER($T58),$T58="DNA"),$T58,IF(OR(ISNUMBER($S58),$S58="DNA"),$S58,IF(OR(ISNUMBER($P58),$P58="DNA"),$P58,IF(OR(ISNUMBER($O58),$O58="DNA"),$O58,IF(OR(ISNUMBER($N58),$N58="DNA"),$N58,""))))))))))="DNA",AND(ISNUMBER(IF(OR(ISNUMBER($Y58),$Y58="DNA"),$Y58,IF(OR(ISNUMBER($X58),$X58="DNA"),$X58,IF(OR(ISNUMBER($W58),$W58="DNA"),$W58,IF(OR(ISNUMBER($V58),$V58="DNA"),$V58,IF(OR(ISNUMBER($U58),$U58="DNA"),$U58,IF(OR(ISNUMBER($T58),$T58="DNA"),$T58,IF(OR(ISNUMBER($S58),$S58="DNA"),$S58,IF(OR(ISNUMBER($P58),$P58="DNA"),$P58,IF(OR(ISNUMBER($O58),$O58="DNA"),$O58,IF(OR(ISNUMBER($N58),$N58="DNA"),$N58,""))))))))))),IF(OR(ISNUMBER($Y58),$Y58="DNA"),$Y58,IF(OR(ISNUMBER($X58),$X58="DNA"),$X58,IF(OR(ISNUMBER($W58),$W58="DNA"),$W58,IF(OR(ISNUMBER($V58),$V58="DNA"),$V58,IF(OR(ISNUMBER($U58),$U58="DNA"),$U58,IF(OR(ISNUMBER($T58),$T58="DNA"),$T58,IF(OR(ISNUMBER($S58),$S58="DNA"),$S58,IF(OR(ISNUMBER($P58),$P58="DNA"),$P58,IF(OR(ISNUMBER($O58),$O58="DNA"),$O58,IF(OR(ISNUMBER($N58),$N58="DNA"),$N58,""))))))))))&lt;TODAY())),1,0)+ISNUMBER($Q58)*($Q58&lt;TODAY())+ISNUMBER($R58)*($R58&lt;TODAY())+ISNUMBER($AA58)*($AA58&lt;TODAY())+ISNUMBER($AB58)*($AB58&lt;TODAY()))</f>
        <v/>
      </c>
    </row>
    <row r="59">
      <c r="A59" s="25" t="n"/>
      <c r="B59" s="26" t="n"/>
      <c r="C59" s="27" t="n"/>
      <c r="D59" s="25" t="n"/>
      <c r="E59" s="25" t="n"/>
      <c r="F59" s="25" t="n"/>
      <c r="G59" s="25" t="n"/>
      <c r="H59" s="27" t="n"/>
      <c r="I59" s="25" t="n"/>
      <c r="J59" s="28">
        <f>IF(OR(NOT(AND($A59&lt;&gt;"",OR($I59="",$I59="Active"))),$H59=""),"",INT((TODAY()-$H59+280)/7)&amp;"+"&amp;MOD(TODAY()-$H59+280,7))</f>
        <v/>
      </c>
      <c r="K59" s="28">
        <f>IF(NOT(AND($A59&lt;&gt;"",OR($I59="",$I59="Active"))),"",ISNUMBER($N59)*($N59&gt;=TODAY())*($N59&lt;=TODAY()+7)+ISNUMBER($O59)*($O59&gt;=TODAY())*($O59&lt;=TODAY()+7)+ISNUMBER($P59)*($P59&gt;=TODAY())*($P59&lt;=TODAY()+7)+ISNUMBER($S59)*($S59&gt;=TODAY())*($S59&lt;=TODAY()+7)+ISNUMBER($T59)*($T59&gt;=TODAY())*($T59&lt;=TODAY()+7)+ISNUMBER($U59)*($U59&gt;=TODAY())*($U59&lt;=TODAY()+7)+ISNUMBER($V59)*($V59&gt;=TODAY())*($V59&lt;=TODAY()+7)+ISNUMBER($W59)*($W59&gt;=TODAY())*($W59&lt;=TODAY()+7)+ISNUMBER($X59)*($X59&gt;=TODAY())*($X59&lt;=TODAY()+7)+ISNUMBER($Y59)*($Y59&gt;=TODAY())*($Y59&lt;=TODAY()+7)+ISNUMBER($Q59)*($Q59&gt;=TODAY())*($Q59&lt;=TODAY()+7)+ISNUMBER($R59)*($R59&gt;=TODAY())*($R59&lt;=TODAY()+7)+ISNUMBER($AA59)*($AA59&gt;=TODAY())*($AA59&lt;=TODAY()+7)+ISNUMBER($AB59)*($AB59&gt;=TODAY())*($AB59&lt;=TODAY()+7))</f>
        <v/>
      </c>
      <c r="L59" s="28">
        <f>IF(NOT(AND($A59&lt;&gt;"",OR($I59="",$I59="Active"))),"",IF($M59&lt;&gt;"",IF($N59=$M59,"Booking",IF($O59=$M59,"16/40",IF($P59=$M59,"25/40",IF($S59=$M59,"28/40",IF($T59=$M59,"31/40",IF($U59=$M59,"34/40",IF($V59=$M59,"36/40",IF($W59=$M59,"38/40",IF($X59=$M59,"40/40",IF($Y59=$M59,"41/40","")))))))))),IF(IF(OR(ISNUMBER($Y59),$Y59="DNA"),$Y59,IF(OR(ISNUMBER($X59),$X59="DNA"),$X59,IF(OR(ISNUMBER($W59),$W59="DNA"),$W59,IF(OR(ISNUMBER($V59),$V59="DNA"),$V59,IF(OR(ISNUMBER($U59),$U59="DNA"),$U59,IF(OR(ISNUMBER($T59),$T59="DNA"),$T59,IF(OR(ISNUMBER($S59),$S59="DNA"),$S59,IF(OR(ISNUMBER($P59),$P59="DNA"),$P59,IF(OR(ISNUMBER($O59),$O59="DNA"),$O59,IF(OR(ISNUMBER($N59),$N59="DNA"),$N59,""))))))))))="DNA","Rebook DNA",IF(ISNUMBER(IF(OR(ISNUMBER($Y59),$Y59="DNA"),$Y59,IF(OR(ISNUMBER($X59),$X59="DNA"),$X59,IF(OR(ISNUMBER($W59),$W59="DNA"),$W59,IF(OR(ISNUMBER($V59),$V59="DNA"),$V59,IF(OR(ISNUMBER($U59),$U59="DNA"),$U59,IF(OR(ISNUMBER($T59),$T59="DNA"),$T59,IF(OR(ISNUMBER($S59),$S59="DNA"),$S59,IF(OR(ISNUMBER($P59),$P59="DNA"),$P59,IF(OR(ISNUMBER($O59),$O59="DNA"),$O59,IF(OR(ISNUMBER($N59),$N59="DNA"),$N59,""))))))))))),IF(ISNUMBER($Y59),"Update status","Missed/not booked?"),""))))</f>
        <v/>
      </c>
      <c r="M59" s="29">
        <f>IF(NOT(AND($A59&lt;&gt;"",OR($I59="",$I59="Active"))),"",IF(MIN(IF(AND(ISNUMBER($N59),$N59&gt;=TODAY()),$N59,99999),IF(AND(ISNUMBER($O59),$O59&gt;=TODAY()),$O59,99999),IF(AND(ISNUMBER($P59),$P59&gt;=TODAY()),$P59,99999),IF(AND(ISNUMBER($S59),$S59&gt;=TODAY()),$S59,99999),IF(AND(ISNUMBER($T59),$T59&gt;=TODAY()),$T59,99999),IF(AND(ISNUMBER($U59),$U59&gt;=TODAY()),$U59,99999),IF(AND(ISNUMBER($V59),$V59&gt;=TODAY()),$V59,99999),IF(AND(ISNUMBER($W59),$W59&gt;=TODAY()),$W59,99999),IF(AND(ISNUMBER($X59),$X59&gt;=TODAY()),$X59,99999),IF(AND(ISNUMBER($Y59),$Y59&gt;=TODAY()),$Y59,99999))=99999,"",MIN(IF(AND(ISNUMBER($N59),$N59&gt;=TODAY()),$N59,99999),IF(AND(ISNUMBER($O59),$O59&gt;=TODAY()),$O59,99999),IF(AND(ISNUMBER($P59),$P59&gt;=TODAY()),$P59,99999),IF(AND(ISNUMBER($S59),$S59&gt;=TODAY()),$S59,99999),IF(AND(ISNUMBER($T59),$T59&gt;=TODAY()),$T59,99999),IF(AND(ISNUMBER($U59),$U59&gt;=TODAY()),$U59,99999),IF(AND(ISNUMBER($V59),$V59&gt;=TODAY()),$V59,99999),IF(AND(ISNUMBER($W59),$W59&gt;=TODAY()),$W59,99999),IF(AND(ISNUMBER($X59),$X59&gt;=TODAY()),$X59,99999),IF(AND(ISNUMBER($Y59),$Y59&gt;=TODAY()),$Y59,99999))))</f>
        <v/>
      </c>
      <c r="N59" s="27" t="n"/>
      <c r="O59" s="27" t="n"/>
      <c r="P59" s="27" t="n"/>
      <c r="Q59" s="27" t="n"/>
      <c r="R59" s="27" t="n"/>
      <c r="S59" s="27" t="n"/>
      <c r="T59" s="27" t="n"/>
      <c r="U59" s="27" t="n"/>
      <c r="V59" s="27" t="n"/>
      <c r="W59" s="27" t="n"/>
      <c r="X59" s="27" t="n"/>
      <c r="Y59" s="27" t="n"/>
      <c r="Z59" s="27" t="n"/>
      <c r="AA59" s="27" t="n"/>
      <c r="AB59" s="27" t="n"/>
      <c r="AC59" s="30" t="n"/>
      <c r="AD59" s="25" t="n"/>
      <c r="AE59" s="28">
        <f>IF(NOT(AND($A59&lt;&gt;"",OR($I59="",$I59="Active"))),"",IF(OR(IF(OR(ISNUMBER($Y59),$Y59="DNA"),$Y59,IF(OR(ISNUMBER($X59),$X59="DNA"),$X59,IF(OR(ISNUMBER($W59),$W59="DNA"),$W59,IF(OR(ISNUMBER($V59),$V59="DNA"),$V59,IF(OR(ISNUMBER($U59),$U59="DNA"),$U59,IF(OR(ISNUMBER($T59),$T59="DNA"),$T59,IF(OR(ISNUMBER($S59),$S59="DNA"),$S59,IF(OR(ISNUMBER($P59),$P59="DNA"),$P59,IF(OR(ISNUMBER($O59),$O59="DNA"),$O59,IF(OR(ISNUMBER($N59),$N59="DNA"),$N59,""))))))))))="DNA",AND(ISNUMBER(IF(OR(ISNUMBER($Y59),$Y59="DNA"),$Y59,IF(OR(ISNUMBER($X59),$X59="DNA"),$X59,IF(OR(ISNUMBER($W59),$W59="DNA"),$W59,IF(OR(ISNUMBER($V59),$V59="DNA"),$V59,IF(OR(ISNUMBER($U59),$U59="DNA"),$U59,IF(OR(ISNUMBER($T59),$T59="DNA"),$T59,IF(OR(ISNUMBER($S59),$S59="DNA"),$S59,IF(OR(ISNUMBER($P59),$P59="DNA"),$P59,IF(OR(ISNUMBER($O59),$O59="DNA"),$O59,IF(OR(ISNUMBER($N59),$N59="DNA"),$N59,""))))))))))),IF(OR(ISNUMBER($Y59),$Y59="DNA"),$Y59,IF(OR(ISNUMBER($X59),$X59="DNA"),$X59,IF(OR(ISNUMBER($W59),$W59="DNA"),$W59,IF(OR(ISNUMBER($V59),$V59="DNA"),$V59,IF(OR(ISNUMBER($U59),$U59="DNA"),$U59,IF(OR(ISNUMBER($T59),$T59="DNA"),$T59,IF(OR(ISNUMBER($S59),$S59="DNA"),$S59,IF(OR(ISNUMBER($P59),$P59="DNA"),$P59,IF(OR(ISNUMBER($O59),$O59="DNA"),$O59,IF(OR(ISNUMBER($N59),$N59="DNA"),$N59,""))))))))))&lt;TODAY())),1,0)+ISNUMBER($Q59)*($Q59&lt;TODAY())+ISNUMBER($R59)*($R59&lt;TODAY())+ISNUMBER($AA59)*($AA59&lt;TODAY())+ISNUMBER($AB59)*($AB59&lt;TODAY()))</f>
        <v/>
      </c>
    </row>
    <row r="60">
      <c r="A60" s="25" t="n"/>
      <c r="B60" s="26" t="n"/>
      <c r="C60" s="27" t="n"/>
      <c r="D60" s="25" t="n"/>
      <c r="E60" s="25" t="n"/>
      <c r="F60" s="25" t="n"/>
      <c r="G60" s="25" t="n"/>
      <c r="H60" s="27" t="n"/>
      <c r="I60" s="25" t="n"/>
      <c r="J60" s="28">
        <f>IF(OR(NOT(AND($A60&lt;&gt;"",OR($I60="",$I60="Active"))),$H60=""),"",INT((TODAY()-$H60+280)/7)&amp;"+"&amp;MOD(TODAY()-$H60+280,7))</f>
        <v/>
      </c>
      <c r="K60" s="28">
        <f>IF(NOT(AND($A60&lt;&gt;"",OR($I60="",$I60="Active"))),"",ISNUMBER($N60)*($N60&gt;=TODAY())*($N60&lt;=TODAY()+7)+ISNUMBER($O60)*($O60&gt;=TODAY())*($O60&lt;=TODAY()+7)+ISNUMBER($P60)*($P60&gt;=TODAY())*($P60&lt;=TODAY()+7)+ISNUMBER($S60)*($S60&gt;=TODAY())*($S60&lt;=TODAY()+7)+ISNUMBER($T60)*($T60&gt;=TODAY())*($T60&lt;=TODAY()+7)+ISNUMBER($U60)*($U60&gt;=TODAY())*($U60&lt;=TODAY()+7)+ISNUMBER($V60)*($V60&gt;=TODAY())*($V60&lt;=TODAY()+7)+ISNUMBER($W60)*($W60&gt;=TODAY())*($W60&lt;=TODAY()+7)+ISNUMBER($X60)*($X60&gt;=TODAY())*($X60&lt;=TODAY()+7)+ISNUMBER($Y60)*($Y60&gt;=TODAY())*($Y60&lt;=TODAY()+7)+ISNUMBER($Q60)*($Q60&gt;=TODAY())*($Q60&lt;=TODAY()+7)+ISNUMBER($R60)*($R60&gt;=TODAY())*($R60&lt;=TODAY()+7)+ISNUMBER($AA60)*($AA60&gt;=TODAY())*($AA60&lt;=TODAY()+7)+ISNUMBER($AB60)*($AB60&gt;=TODAY())*($AB60&lt;=TODAY()+7))</f>
        <v/>
      </c>
      <c r="L60" s="28">
        <f>IF(NOT(AND($A60&lt;&gt;"",OR($I60="",$I60="Active"))),"",IF($M60&lt;&gt;"",IF($N60=$M60,"Booking",IF($O60=$M60,"16/40",IF($P60=$M60,"25/40",IF($S60=$M60,"28/40",IF($T60=$M60,"31/40",IF($U60=$M60,"34/40",IF($V60=$M60,"36/40",IF($W60=$M60,"38/40",IF($X60=$M60,"40/40",IF($Y60=$M60,"41/40","")))))))))),IF(IF(OR(ISNUMBER($Y60),$Y60="DNA"),$Y60,IF(OR(ISNUMBER($X60),$X60="DNA"),$X60,IF(OR(ISNUMBER($W60),$W60="DNA"),$W60,IF(OR(ISNUMBER($V60),$V60="DNA"),$V60,IF(OR(ISNUMBER($U60),$U60="DNA"),$U60,IF(OR(ISNUMBER($T60),$T60="DNA"),$T60,IF(OR(ISNUMBER($S60),$S60="DNA"),$S60,IF(OR(ISNUMBER($P60),$P60="DNA"),$P60,IF(OR(ISNUMBER($O60),$O60="DNA"),$O60,IF(OR(ISNUMBER($N60),$N60="DNA"),$N60,""))))))))))="DNA","Rebook DNA",IF(ISNUMBER(IF(OR(ISNUMBER($Y60),$Y60="DNA"),$Y60,IF(OR(ISNUMBER($X60),$X60="DNA"),$X60,IF(OR(ISNUMBER($W60),$W60="DNA"),$W60,IF(OR(ISNUMBER($V60),$V60="DNA"),$V60,IF(OR(ISNUMBER($U60),$U60="DNA"),$U60,IF(OR(ISNUMBER($T60),$T60="DNA"),$T60,IF(OR(ISNUMBER($S60),$S60="DNA"),$S60,IF(OR(ISNUMBER($P60),$P60="DNA"),$P60,IF(OR(ISNUMBER($O60),$O60="DNA"),$O60,IF(OR(ISNUMBER($N60),$N60="DNA"),$N60,""))))))))))),IF(ISNUMBER($Y60),"Update status","Missed/not booked?"),""))))</f>
        <v/>
      </c>
      <c r="M60" s="29">
        <f>IF(NOT(AND($A60&lt;&gt;"",OR($I60="",$I60="Active"))),"",IF(MIN(IF(AND(ISNUMBER($N60),$N60&gt;=TODAY()),$N60,99999),IF(AND(ISNUMBER($O60),$O60&gt;=TODAY()),$O60,99999),IF(AND(ISNUMBER($P60),$P60&gt;=TODAY()),$P60,99999),IF(AND(ISNUMBER($S60),$S60&gt;=TODAY()),$S60,99999),IF(AND(ISNUMBER($T60),$T60&gt;=TODAY()),$T60,99999),IF(AND(ISNUMBER($U60),$U60&gt;=TODAY()),$U60,99999),IF(AND(ISNUMBER($V60),$V60&gt;=TODAY()),$V60,99999),IF(AND(ISNUMBER($W60),$W60&gt;=TODAY()),$W60,99999),IF(AND(ISNUMBER($X60),$X60&gt;=TODAY()),$X60,99999),IF(AND(ISNUMBER($Y60),$Y60&gt;=TODAY()),$Y60,99999))=99999,"",MIN(IF(AND(ISNUMBER($N60),$N60&gt;=TODAY()),$N60,99999),IF(AND(ISNUMBER($O60),$O60&gt;=TODAY()),$O60,99999),IF(AND(ISNUMBER($P60),$P60&gt;=TODAY()),$P60,99999),IF(AND(ISNUMBER($S60),$S60&gt;=TODAY()),$S60,99999),IF(AND(ISNUMBER($T60),$T60&gt;=TODAY()),$T60,99999),IF(AND(ISNUMBER($U60),$U60&gt;=TODAY()),$U60,99999),IF(AND(ISNUMBER($V60),$V60&gt;=TODAY()),$V60,99999),IF(AND(ISNUMBER($W60),$W60&gt;=TODAY()),$W60,99999),IF(AND(ISNUMBER($X60),$X60&gt;=TODAY()),$X60,99999),IF(AND(ISNUMBER($Y60),$Y60&gt;=TODAY()),$Y60,99999))))</f>
        <v/>
      </c>
      <c r="N60" s="27" t="n"/>
      <c r="O60" s="27" t="n"/>
      <c r="P60" s="27" t="n"/>
      <c r="Q60" s="27" t="n"/>
      <c r="R60" s="27" t="n"/>
      <c r="S60" s="27" t="n"/>
      <c r="T60" s="27" t="n"/>
      <c r="U60" s="27" t="n"/>
      <c r="V60" s="27" t="n"/>
      <c r="W60" s="27" t="n"/>
      <c r="X60" s="27" t="n"/>
      <c r="Y60" s="27" t="n"/>
      <c r="Z60" s="27" t="n"/>
      <c r="AA60" s="27" t="n"/>
      <c r="AB60" s="27" t="n"/>
      <c r="AC60" s="30" t="n"/>
      <c r="AD60" s="25" t="n"/>
      <c r="AE60" s="28">
        <f>IF(NOT(AND($A60&lt;&gt;"",OR($I60="",$I60="Active"))),"",IF(OR(IF(OR(ISNUMBER($Y60),$Y60="DNA"),$Y60,IF(OR(ISNUMBER($X60),$X60="DNA"),$X60,IF(OR(ISNUMBER($W60),$W60="DNA"),$W60,IF(OR(ISNUMBER($V60),$V60="DNA"),$V60,IF(OR(ISNUMBER($U60),$U60="DNA"),$U60,IF(OR(ISNUMBER($T60),$T60="DNA"),$T60,IF(OR(ISNUMBER($S60),$S60="DNA"),$S60,IF(OR(ISNUMBER($P60),$P60="DNA"),$P60,IF(OR(ISNUMBER($O60),$O60="DNA"),$O60,IF(OR(ISNUMBER($N60),$N60="DNA"),$N60,""))))))))))="DNA",AND(ISNUMBER(IF(OR(ISNUMBER($Y60),$Y60="DNA"),$Y60,IF(OR(ISNUMBER($X60),$X60="DNA"),$X60,IF(OR(ISNUMBER($W60),$W60="DNA"),$W60,IF(OR(ISNUMBER($V60),$V60="DNA"),$V60,IF(OR(ISNUMBER($U60),$U60="DNA"),$U60,IF(OR(ISNUMBER($T60),$T60="DNA"),$T60,IF(OR(ISNUMBER($S60),$S60="DNA"),$S60,IF(OR(ISNUMBER($P60),$P60="DNA"),$P60,IF(OR(ISNUMBER($O60),$O60="DNA"),$O60,IF(OR(ISNUMBER($N60),$N60="DNA"),$N60,""))))))))))),IF(OR(ISNUMBER($Y60),$Y60="DNA"),$Y60,IF(OR(ISNUMBER($X60),$X60="DNA"),$X60,IF(OR(ISNUMBER($W60),$W60="DNA"),$W60,IF(OR(ISNUMBER($V60),$V60="DNA"),$V60,IF(OR(ISNUMBER($U60),$U60="DNA"),$U60,IF(OR(ISNUMBER($T60),$T60="DNA"),$T60,IF(OR(ISNUMBER($S60),$S60="DNA"),$S60,IF(OR(ISNUMBER($P60),$P60="DNA"),$P60,IF(OR(ISNUMBER($O60),$O60="DNA"),$O60,IF(OR(ISNUMBER($N60),$N60="DNA"),$N60,""))))))))))&lt;TODAY())),1,0)+ISNUMBER($Q60)*($Q60&lt;TODAY())+ISNUMBER($R60)*($R60&lt;TODAY())+ISNUMBER($AA60)*($AA60&lt;TODAY())+ISNUMBER($AB60)*($AB60&lt;TODAY()))</f>
        <v/>
      </c>
    </row>
    <row r="61">
      <c r="A61" s="25" t="n"/>
      <c r="B61" s="26" t="n"/>
      <c r="C61" s="27" t="n"/>
      <c r="D61" s="25" t="n"/>
      <c r="E61" s="25" t="n"/>
      <c r="F61" s="25" t="n"/>
      <c r="G61" s="25" t="n"/>
      <c r="H61" s="27" t="n"/>
      <c r="I61" s="25" t="n"/>
      <c r="J61" s="28">
        <f>IF(OR(NOT(AND($A61&lt;&gt;"",OR($I61="",$I61="Active"))),$H61=""),"",INT((TODAY()-$H61+280)/7)&amp;"+"&amp;MOD(TODAY()-$H61+280,7))</f>
        <v/>
      </c>
      <c r="K61" s="28">
        <f>IF(NOT(AND($A61&lt;&gt;"",OR($I61="",$I61="Active"))),"",ISNUMBER($N61)*($N61&gt;=TODAY())*($N61&lt;=TODAY()+7)+ISNUMBER($O61)*($O61&gt;=TODAY())*($O61&lt;=TODAY()+7)+ISNUMBER($P61)*($P61&gt;=TODAY())*($P61&lt;=TODAY()+7)+ISNUMBER($S61)*($S61&gt;=TODAY())*($S61&lt;=TODAY()+7)+ISNUMBER($T61)*($T61&gt;=TODAY())*($T61&lt;=TODAY()+7)+ISNUMBER($U61)*($U61&gt;=TODAY())*($U61&lt;=TODAY()+7)+ISNUMBER($V61)*($V61&gt;=TODAY())*($V61&lt;=TODAY()+7)+ISNUMBER($W61)*($W61&gt;=TODAY())*($W61&lt;=TODAY()+7)+ISNUMBER($X61)*($X61&gt;=TODAY())*($X61&lt;=TODAY()+7)+ISNUMBER($Y61)*($Y61&gt;=TODAY())*($Y61&lt;=TODAY()+7)+ISNUMBER($Q61)*($Q61&gt;=TODAY())*($Q61&lt;=TODAY()+7)+ISNUMBER($R61)*($R61&gt;=TODAY())*($R61&lt;=TODAY()+7)+ISNUMBER($AA61)*($AA61&gt;=TODAY())*($AA61&lt;=TODAY()+7)+ISNUMBER($AB61)*($AB61&gt;=TODAY())*($AB61&lt;=TODAY()+7))</f>
        <v/>
      </c>
      <c r="L61" s="28">
        <f>IF(NOT(AND($A61&lt;&gt;"",OR($I61="",$I61="Active"))),"",IF($M61&lt;&gt;"",IF($N61=$M61,"Booking",IF($O61=$M61,"16/40",IF($P61=$M61,"25/40",IF($S61=$M61,"28/40",IF($T61=$M61,"31/40",IF($U61=$M61,"34/40",IF($V61=$M61,"36/40",IF($W61=$M61,"38/40",IF($X61=$M61,"40/40",IF($Y61=$M61,"41/40","")))))))))),IF(IF(OR(ISNUMBER($Y61),$Y61="DNA"),$Y61,IF(OR(ISNUMBER($X61),$X61="DNA"),$X61,IF(OR(ISNUMBER($W61),$W61="DNA"),$W61,IF(OR(ISNUMBER($V61),$V61="DNA"),$V61,IF(OR(ISNUMBER($U61),$U61="DNA"),$U61,IF(OR(ISNUMBER($T61),$T61="DNA"),$T61,IF(OR(ISNUMBER($S61),$S61="DNA"),$S61,IF(OR(ISNUMBER($P61),$P61="DNA"),$P61,IF(OR(ISNUMBER($O61),$O61="DNA"),$O61,IF(OR(ISNUMBER($N61),$N61="DNA"),$N61,""))))))))))="DNA","Rebook DNA",IF(ISNUMBER(IF(OR(ISNUMBER($Y61),$Y61="DNA"),$Y61,IF(OR(ISNUMBER($X61),$X61="DNA"),$X61,IF(OR(ISNUMBER($W61),$W61="DNA"),$W61,IF(OR(ISNUMBER($V61),$V61="DNA"),$V61,IF(OR(ISNUMBER($U61),$U61="DNA"),$U61,IF(OR(ISNUMBER($T61),$T61="DNA"),$T61,IF(OR(ISNUMBER($S61),$S61="DNA"),$S61,IF(OR(ISNUMBER($P61),$P61="DNA"),$P61,IF(OR(ISNUMBER($O61),$O61="DNA"),$O61,IF(OR(ISNUMBER($N61),$N61="DNA"),$N61,""))))))))))),IF(ISNUMBER($Y61),"Update status","Missed/not booked?"),""))))</f>
        <v/>
      </c>
      <c r="M61" s="29">
        <f>IF(NOT(AND($A61&lt;&gt;"",OR($I61="",$I61="Active"))),"",IF(MIN(IF(AND(ISNUMBER($N61),$N61&gt;=TODAY()),$N61,99999),IF(AND(ISNUMBER($O61),$O61&gt;=TODAY()),$O61,99999),IF(AND(ISNUMBER($P61),$P61&gt;=TODAY()),$P61,99999),IF(AND(ISNUMBER($S61),$S61&gt;=TODAY()),$S61,99999),IF(AND(ISNUMBER($T61),$T61&gt;=TODAY()),$T61,99999),IF(AND(ISNUMBER($U61),$U61&gt;=TODAY()),$U61,99999),IF(AND(ISNUMBER($V61),$V61&gt;=TODAY()),$V61,99999),IF(AND(ISNUMBER($W61),$W61&gt;=TODAY()),$W61,99999),IF(AND(ISNUMBER($X61),$X61&gt;=TODAY()),$X61,99999),IF(AND(ISNUMBER($Y61),$Y61&gt;=TODAY()),$Y61,99999))=99999,"",MIN(IF(AND(ISNUMBER($N61),$N61&gt;=TODAY()),$N61,99999),IF(AND(ISNUMBER($O61),$O61&gt;=TODAY()),$O61,99999),IF(AND(ISNUMBER($P61),$P61&gt;=TODAY()),$P61,99999),IF(AND(ISNUMBER($S61),$S61&gt;=TODAY()),$S61,99999),IF(AND(ISNUMBER($T61),$T61&gt;=TODAY()),$T61,99999),IF(AND(ISNUMBER($U61),$U61&gt;=TODAY()),$U61,99999),IF(AND(ISNUMBER($V61),$V61&gt;=TODAY()),$V61,99999),IF(AND(ISNUMBER($W61),$W61&gt;=TODAY()),$W61,99999),IF(AND(ISNUMBER($X61),$X61&gt;=TODAY()),$X61,99999),IF(AND(ISNUMBER($Y61),$Y61&gt;=TODAY()),$Y61,99999))))</f>
        <v/>
      </c>
      <c r="N61" s="27" t="n"/>
      <c r="O61" s="27" t="n"/>
      <c r="P61" s="27" t="n"/>
      <c r="Q61" s="27" t="n"/>
      <c r="R61" s="27" t="n"/>
      <c r="S61" s="27" t="n"/>
      <c r="T61" s="27" t="n"/>
      <c r="U61" s="27" t="n"/>
      <c r="V61" s="27" t="n"/>
      <c r="W61" s="27" t="n"/>
      <c r="X61" s="27" t="n"/>
      <c r="Y61" s="27" t="n"/>
      <c r="Z61" s="27" t="n"/>
      <c r="AA61" s="27" t="n"/>
      <c r="AB61" s="27" t="n"/>
      <c r="AC61" s="30" t="n"/>
      <c r="AD61" s="25" t="n"/>
      <c r="AE61" s="28">
        <f>IF(NOT(AND($A61&lt;&gt;"",OR($I61="",$I61="Active"))),"",IF(OR(IF(OR(ISNUMBER($Y61),$Y61="DNA"),$Y61,IF(OR(ISNUMBER($X61),$X61="DNA"),$X61,IF(OR(ISNUMBER($W61),$W61="DNA"),$W61,IF(OR(ISNUMBER($V61),$V61="DNA"),$V61,IF(OR(ISNUMBER($U61),$U61="DNA"),$U61,IF(OR(ISNUMBER($T61),$T61="DNA"),$T61,IF(OR(ISNUMBER($S61),$S61="DNA"),$S61,IF(OR(ISNUMBER($P61),$P61="DNA"),$P61,IF(OR(ISNUMBER($O61),$O61="DNA"),$O61,IF(OR(ISNUMBER($N61),$N61="DNA"),$N61,""))))))))))="DNA",AND(ISNUMBER(IF(OR(ISNUMBER($Y61),$Y61="DNA"),$Y61,IF(OR(ISNUMBER($X61),$X61="DNA"),$X61,IF(OR(ISNUMBER($W61),$W61="DNA"),$W61,IF(OR(ISNUMBER($V61),$V61="DNA"),$V61,IF(OR(ISNUMBER($U61),$U61="DNA"),$U61,IF(OR(ISNUMBER($T61),$T61="DNA"),$T61,IF(OR(ISNUMBER($S61),$S61="DNA"),$S61,IF(OR(ISNUMBER($P61),$P61="DNA"),$P61,IF(OR(ISNUMBER($O61),$O61="DNA"),$O61,IF(OR(ISNUMBER($N61),$N61="DNA"),$N61,""))))))))))),IF(OR(ISNUMBER($Y61),$Y61="DNA"),$Y61,IF(OR(ISNUMBER($X61),$X61="DNA"),$X61,IF(OR(ISNUMBER($W61),$W61="DNA"),$W61,IF(OR(ISNUMBER($V61),$V61="DNA"),$V61,IF(OR(ISNUMBER($U61),$U61="DNA"),$U61,IF(OR(ISNUMBER($T61),$T61="DNA"),$T61,IF(OR(ISNUMBER($S61),$S61="DNA"),$S61,IF(OR(ISNUMBER($P61),$P61="DNA"),$P61,IF(OR(ISNUMBER($O61),$O61="DNA"),$O61,IF(OR(ISNUMBER($N61),$N61="DNA"),$N61,""))))))))))&lt;TODAY())),1,0)+ISNUMBER($Q61)*($Q61&lt;TODAY())+ISNUMBER($R61)*($R61&lt;TODAY())+ISNUMBER($AA61)*($AA61&lt;TODAY())+ISNUMBER($AB61)*($AB61&lt;TODAY()))</f>
        <v/>
      </c>
    </row>
    <row r="62">
      <c r="A62" s="25" t="n"/>
      <c r="B62" s="26" t="n"/>
      <c r="C62" s="27" t="n"/>
      <c r="D62" s="25" t="n"/>
      <c r="E62" s="25" t="n"/>
      <c r="F62" s="25" t="n"/>
      <c r="G62" s="25" t="n"/>
      <c r="H62" s="27" t="n"/>
      <c r="I62" s="25" t="n"/>
      <c r="J62" s="28">
        <f>IF(OR(NOT(AND($A62&lt;&gt;"",OR($I62="",$I62="Active"))),$H62=""),"",INT((TODAY()-$H62+280)/7)&amp;"+"&amp;MOD(TODAY()-$H62+280,7))</f>
        <v/>
      </c>
      <c r="K62" s="28">
        <f>IF(NOT(AND($A62&lt;&gt;"",OR($I62="",$I62="Active"))),"",ISNUMBER($N62)*($N62&gt;=TODAY())*($N62&lt;=TODAY()+7)+ISNUMBER($O62)*($O62&gt;=TODAY())*($O62&lt;=TODAY()+7)+ISNUMBER($P62)*($P62&gt;=TODAY())*($P62&lt;=TODAY()+7)+ISNUMBER($S62)*($S62&gt;=TODAY())*($S62&lt;=TODAY()+7)+ISNUMBER($T62)*($T62&gt;=TODAY())*($T62&lt;=TODAY()+7)+ISNUMBER($U62)*($U62&gt;=TODAY())*($U62&lt;=TODAY()+7)+ISNUMBER($V62)*($V62&gt;=TODAY())*($V62&lt;=TODAY()+7)+ISNUMBER($W62)*($W62&gt;=TODAY())*($W62&lt;=TODAY()+7)+ISNUMBER($X62)*($X62&gt;=TODAY())*($X62&lt;=TODAY()+7)+ISNUMBER($Y62)*($Y62&gt;=TODAY())*($Y62&lt;=TODAY()+7)+ISNUMBER($Q62)*($Q62&gt;=TODAY())*($Q62&lt;=TODAY()+7)+ISNUMBER($R62)*($R62&gt;=TODAY())*($R62&lt;=TODAY()+7)+ISNUMBER($AA62)*($AA62&gt;=TODAY())*($AA62&lt;=TODAY()+7)+ISNUMBER($AB62)*($AB62&gt;=TODAY())*($AB62&lt;=TODAY()+7))</f>
        <v/>
      </c>
      <c r="L62" s="28">
        <f>IF(NOT(AND($A62&lt;&gt;"",OR($I62="",$I62="Active"))),"",IF($M62&lt;&gt;"",IF($N62=$M62,"Booking",IF($O62=$M62,"16/40",IF($P62=$M62,"25/40",IF($S62=$M62,"28/40",IF($T62=$M62,"31/40",IF($U62=$M62,"34/40",IF($V62=$M62,"36/40",IF($W62=$M62,"38/40",IF($X62=$M62,"40/40",IF($Y62=$M62,"41/40","")))))))))),IF(IF(OR(ISNUMBER($Y62),$Y62="DNA"),$Y62,IF(OR(ISNUMBER($X62),$X62="DNA"),$X62,IF(OR(ISNUMBER($W62),$W62="DNA"),$W62,IF(OR(ISNUMBER($V62),$V62="DNA"),$V62,IF(OR(ISNUMBER($U62),$U62="DNA"),$U62,IF(OR(ISNUMBER($T62),$T62="DNA"),$T62,IF(OR(ISNUMBER($S62),$S62="DNA"),$S62,IF(OR(ISNUMBER($P62),$P62="DNA"),$P62,IF(OR(ISNUMBER($O62),$O62="DNA"),$O62,IF(OR(ISNUMBER($N62),$N62="DNA"),$N62,""))))))))))="DNA","Rebook DNA",IF(ISNUMBER(IF(OR(ISNUMBER($Y62),$Y62="DNA"),$Y62,IF(OR(ISNUMBER($X62),$X62="DNA"),$X62,IF(OR(ISNUMBER($W62),$W62="DNA"),$W62,IF(OR(ISNUMBER($V62),$V62="DNA"),$V62,IF(OR(ISNUMBER($U62),$U62="DNA"),$U62,IF(OR(ISNUMBER($T62),$T62="DNA"),$T62,IF(OR(ISNUMBER($S62),$S62="DNA"),$S62,IF(OR(ISNUMBER($P62),$P62="DNA"),$P62,IF(OR(ISNUMBER($O62),$O62="DNA"),$O62,IF(OR(ISNUMBER($N62),$N62="DNA"),$N62,""))))))))))),IF(ISNUMBER($Y62),"Update status","Missed/not booked?"),""))))</f>
        <v/>
      </c>
      <c r="M62" s="29">
        <f>IF(NOT(AND($A62&lt;&gt;"",OR($I62="",$I62="Active"))),"",IF(MIN(IF(AND(ISNUMBER($N62),$N62&gt;=TODAY()),$N62,99999),IF(AND(ISNUMBER($O62),$O62&gt;=TODAY()),$O62,99999),IF(AND(ISNUMBER($P62),$P62&gt;=TODAY()),$P62,99999),IF(AND(ISNUMBER($S62),$S62&gt;=TODAY()),$S62,99999),IF(AND(ISNUMBER($T62),$T62&gt;=TODAY()),$T62,99999),IF(AND(ISNUMBER($U62),$U62&gt;=TODAY()),$U62,99999),IF(AND(ISNUMBER($V62),$V62&gt;=TODAY()),$V62,99999),IF(AND(ISNUMBER($W62),$W62&gt;=TODAY()),$W62,99999),IF(AND(ISNUMBER($X62),$X62&gt;=TODAY()),$X62,99999),IF(AND(ISNUMBER($Y62),$Y62&gt;=TODAY()),$Y62,99999))=99999,"",MIN(IF(AND(ISNUMBER($N62),$N62&gt;=TODAY()),$N62,99999),IF(AND(ISNUMBER($O62),$O62&gt;=TODAY()),$O62,99999),IF(AND(ISNUMBER($P62),$P62&gt;=TODAY()),$P62,99999),IF(AND(ISNUMBER($S62),$S62&gt;=TODAY()),$S62,99999),IF(AND(ISNUMBER($T62),$T62&gt;=TODAY()),$T62,99999),IF(AND(ISNUMBER($U62),$U62&gt;=TODAY()),$U62,99999),IF(AND(ISNUMBER($V62),$V62&gt;=TODAY()),$V62,99999),IF(AND(ISNUMBER($W62),$W62&gt;=TODAY()),$W62,99999),IF(AND(ISNUMBER($X62),$X62&gt;=TODAY()),$X62,99999),IF(AND(ISNUMBER($Y62),$Y62&gt;=TODAY()),$Y62,99999))))</f>
        <v/>
      </c>
      <c r="N62" s="27" t="n"/>
      <c r="O62" s="27" t="n"/>
      <c r="P62" s="27" t="n"/>
      <c r="Q62" s="27" t="n"/>
      <c r="R62" s="27" t="n"/>
      <c r="S62" s="27" t="n"/>
      <c r="T62" s="27" t="n"/>
      <c r="U62" s="27" t="n"/>
      <c r="V62" s="27" t="n"/>
      <c r="W62" s="27" t="n"/>
      <c r="X62" s="27" t="n"/>
      <c r="Y62" s="27" t="n"/>
      <c r="Z62" s="27" t="n"/>
      <c r="AA62" s="27" t="n"/>
      <c r="AB62" s="27" t="n"/>
      <c r="AC62" s="30" t="n"/>
      <c r="AD62" s="25" t="n"/>
      <c r="AE62" s="28">
        <f>IF(NOT(AND($A62&lt;&gt;"",OR($I62="",$I62="Active"))),"",IF(OR(IF(OR(ISNUMBER($Y62),$Y62="DNA"),$Y62,IF(OR(ISNUMBER($X62),$X62="DNA"),$X62,IF(OR(ISNUMBER($W62),$W62="DNA"),$W62,IF(OR(ISNUMBER($V62),$V62="DNA"),$V62,IF(OR(ISNUMBER($U62),$U62="DNA"),$U62,IF(OR(ISNUMBER($T62),$T62="DNA"),$T62,IF(OR(ISNUMBER($S62),$S62="DNA"),$S62,IF(OR(ISNUMBER($P62),$P62="DNA"),$P62,IF(OR(ISNUMBER($O62),$O62="DNA"),$O62,IF(OR(ISNUMBER($N62),$N62="DNA"),$N62,""))))))))))="DNA",AND(ISNUMBER(IF(OR(ISNUMBER($Y62),$Y62="DNA"),$Y62,IF(OR(ISNUMBER($X62),$X62="DNA"),$X62,IF(OR(ISNUMBER($W62),$W62="DNA"),$W62,IF(OR(ISNUMBER($V62),$V62="DNA"),$V62,IF(OR(ISNUMBER($U62),$U62="DNA"),$U62,IF(OR(ISNUMBER($T62),$T62="DNA"),$T62,IF(OR(ISNUMBER($S62),$S62="DNA"),$S62,IF(OR(ISNUMBER($P62),$P62="DNA"),$P62,IF(OR(ISNUMBER($O62),$O62="DNA"),$O62,IF(OR(ISNUMBER($N62),$N62="DNA"),$N62,""))))))))))),IF(OR(ISNUMBER($Y62),$Y62="DNA"),$Y62,IF(OR(ISNUMBER($X62),$X62="DNA"),$X62,IF(OR(ISNUMBER($W62),$W62="DNA"),$W62,IF(OR(ISNUMBER($V62),$V62="DNA"),$V62,IF(OR(ISNUMBER($U62),$U62="DNA"),$U62,IF(OR(ISNUMBER($T62),$T62="DNA"),$T62,IF(OR(ISNUMBER($S62),$S62="DNA"),$S62,IF(OR(ISNUMBER($P62),$P62="DNA"),$P62,IF(OR(ISNUMBER($O62),$O62="DNA"),$O62,IF(OR(ISNUMBER($N62),$N62="DNA"),$N62,""))))))))))&lt;TODAY())),1,0)+ISNUMBER($Q62)*($Q62&lt;TODAY())+ISNUMBER($R62)*($R62&lt;TODAY())+ISNUMBER($AA62)*($AA62&lt;TODAY())+ISNUMBER($AB62)*($AB62&lt;TODAY()))</f>
        <v/>
      </c>
    </row>
    <row r="63">
      <c r="A63" s="25" t="n"/>
      <c r="B63" s="26" t="n"/>
      <c r="C63" s="27" t="n"/>
      <c r="D63" s="25" t="n"/>
      <c r="E63" s="25" t="n"/>
      <c r="F63" s="25" t="n"/>
      <c r="G63" s="25" t="n"/>
      <c r="H63" s="27" t="n"/>
      <c r="I63" s="25" t="n"/>
      <c r="J63" s="28">
        <f>IF(OR(NOT(AND($A63&lt;&gt;"",OR($I63="",$I63="Active"))),$H63=""),"",INT((TODAY()-$H63+280)/7)&amp;"+"&amp;MOD(TODAY()-$H63+280,7))</f>
        <v/>
      </c>
      <c r="K63" s="28">
        <f>IF(NOT(AND($A63&lt;&gt;"",OR($I63="",$I63="Active"))),"",ISNUMBER($N63)*($N63&gt;=TODAY())*($N63&lt;=TODAY()+7)+ISNUMBER($O63)*($O63&gt;=TODAY())*($O63&lt;=TODAY()+7)+ISNUMBER($P63)*($P63&gt;=TODAY())*($P63&lt;=TODAY()+7)+ISNUMBER($S63)*($S63&gt;=TODAY())*($S63&lt;=TODAY()+7)+ISNUMBER($T63)*($T63&gt;=TODAY())*($T63&lt;=TODAY()+7)+ISNUMBER($U63)*($U63&gt;=TODAY())*($U63&lt;=TODAY()+7)+ISNUMBER($V63)*($V63&gt;=TODAY())*($V63&lt;=TODAY()+7)+ISNUMBER($W63)*($W63&gt;=TODAY())*($W63&lt;=TODAY()+7)+ISNUMBER($X63)*($X63&gt;=TODAY())*($X63&lt;=TODAY()+7)+ISNUMBER($Y63)*($Y63&gt;=TODAY())*($Y63&lt;=TODAY()+7)+ISNUMBER($Q63)*($Q63&gt;=TODAY())*($Q63&lt;=TODAY()+7)+ISNUMBER($R63)*($R63&gt;=TODAY())*($R63&lt;=TODAY()+7)+ISNUMBER($AA63)*($AA63&gt;=TODAY())*($AA63&lt;=TODAY()+7)+ISNUMBER($AB63)*($AB63&gt;=TODAY())*($AB63&lt;=TODAY()+7))</f>
        <v/>
      </c>
      <c r="L63" s="28">
        <f>IF(NOT(AND($A63&lt;&gt;"",OR($I63="",$I63="Active"))),"",IF($M63&lt;&gt;"",IF($N63=$M63,"Booking",IF($O63=$M63,"16/40",IF($P63=$M63,"25/40",IF($S63=$M63,"28/40",IF($T63=$M63,"31/40",IF($U63=$M63,"34/40",IF($V63=$M63,"36/40",IF($W63=$M63,"38/40",IF($X63=$M63,"40/40",IF($Y63=$M63,"41/40","")))))))))),IF(IF(OR(ISNUMBER($Y63),$Y63="DNA"),$Y63,IF(OR(ISNUMBER($X63),$X63="DNA"),$X63,IF(OR(ISNUMBER($W63),$W63="DNA"),$W63,IF(OR(ISNUMBER($V63),$V63="DNA"),$V63,IF(OR(ISNUMBER($U63),$U63="DNA"),$U63,IF(OR(ISNUMBER($T63),$T63="DNA"),$T63,IF(OR(ISNUMBER($S63),$S63="DNA"),$S63,IF(OR(ISNUMBER($P63),$P63="DNA"),$P63,IF(OR(ISNUMBER($O63),$O63="DNA"),$O63,IF(OR(ISNUMBER($N63),$N63="DNA"),$N63,""))))))))))="DNA","Rebook DNA",IF(ISNUMBER(IF(OR(ISNUMBER($Y63),$Y63="DNA"),$Y63,IF(OR(ISNUMBER($X63),$X63="DNA"),$X63,IF(OR(ISNUMBER($W63),$W63="DNA"),$W63,IF(OR(ISNUMBER($V63),$V63="DNA"),$V63,IF(OR(ISNUMBER($U63),$U63="DNA"),$U63,IF(OR(ISNUMBER($T63),$T63="DNA"),$T63,IF(OR(ISNUMBER($S63),$S63="DNA"),$S63,IF(OR(ISNUMBER($P63),$P63="DNA"),$P63,IF(OR(ISNUMBER($O63),$O63="DNA"),$O63,IF(OR(ISNUMBER($N63),$N63="DNA"),$N63,""))))))))))),IF(ISNUMBER($Y63),"Update status","Missed/not booked?"),""))))</f>
        <v/>
      </c>
      <c r="M63" s="29">
        <f>IF(NOT(AND($A63&lt;&gt;"",OR($I63="",$I63="Active"))),"",IF(MIN(IF(AND(ISNUMBER($N63),$N63&gt;=TODAY()),$N63,99999),IF(AND(ISNUMBER($O63),$O63&gt;=TODAY()),$O63,99999),IF(AND(ISNUMBER($P63),$P63&gt;=TODAY()),$P63,99999),IF(AND(ISNUMBER($S63),$S63&gt;=TODAY()),$S63,99999),IF(AND(ISNUMBER($T63),$T63&gt;=TODAY()),$T63,99999),IF(AND(ISNUMBER($U63),$U63&gt;=TODAY()),$U63,99999),IF(AND(ISNUMBER($V63),$V63&gt;=TODAY()),$V63,99999),IF(AND(ISNUMBER($W63),$W63&gt;=TODAY()),$W63,99999),IF(AND(ISNUMBER($X63),$X63&gt;=TODAY()),$X63,99999),IF(AND(ISNUMBER($Y63),$Y63&gt;=TODAY()),$Y63,99999))=99999,"",MIN(IF(AND(ISNUMBER($N63),$N63&gt;=TODAY()),$N63,99999),IF(AND(ISNUMBER($O63),$O63&gt;=TODAY()),$O63,99999),IF(AND(ISNUMBER($P63),$P63&gt;=TODAY()),$P63,99999),IF(AND(ISNUMBER($S63),$S63&gt;=TODAY()),$S63,99999),IF(AND(ISNUMBER($T63),$T63&gt;=TODAY()),$T63,99999),IF(AND(ISNUMBER($U63),$U63&gt;=TODAY()),$U63,99999),IF(AND(ISNUMBER($V63),$V63&gt;=TODAY()),$V63,99999),IF(AND(ISNUMBER($W63),$W63&gt;=TODAY()),$W63,99999),IF(AND(ISNUMBER($X63),$X63&gt;=TODAY()),$X63,99999),IF(AND(ISNUMBER($Y63),$Y63&gt;=TODAY()),$Y63,99999))))</f>
        <v/>
      </c>
      <c r="N63" s="27" t="n"/>
      <c r="O63" s="27" t="n"/>
      <c r="P63" s="27" t="n"/>
      <c r="Q63" s="27" t="n"/>
      <c r="R63" s="27" t="n"/>
      <c r="S63" s="27" t="n"/>
      <c r="T63" s="27" t="n"/>
      <c r="U63" s="27" t="n"/>
      <c r="V63" s="27" t="n"/>
      <c r="W63" s="27" t="n"/>
      <c r="X63" s="27" t="n"/>
      <c r="Y63" s="27" t="n"/>
      <c r="Z63" s="27" t="n"/>
      <c r="AA63" s="27" t="n"/>
      <c r="AB63" s="27" t="n"/>
      <c r="AC63" s="30" t="n"/>
      <c r="AD63" s="25" t="n"/>
      <c r="AE63" s="28">
        <f>IF(NOT(AND($A63&lt;&gt;"",OR($I63="",$I63="Active"))),"",IF(OR(IF(OR(ISNUMBER($Y63),$Y63="DNA"),$Y63,IF(OR(ISNUMBER($X63),$X63="DNA"),$X63,IF(OR(ISNUMBER($W63),$W63="DNA"),$W63,IF(OR(ISNUMBER($V63),$V63="DNA"),$V63,IF(OR(ISNUMBER($U63),$U63="DNA"),$U63,IF(OR(ISNUMBER($T63),$T63="DNA"),$T63,IF(OR(ISNUMBER($S63),$S63="DNA"),$S63,IF(OR(ISNUMBER($P63),$P63="DNA"),$P63,IF(OR(ISNUMBER($O63),$O63="DNA"),$O63,IF(OR(ISNUMBER($N63),$N63="DNA"),$N63,""))))))))))="DNA",AND(ISNUMBER(IF(OR(ISNUMBER($Y63),$Y63="DNA"),$Y63,IF(OR(ISNUMBER($X63),$X63="DNA"),$X63,IF(OR(ISNUMBER($W63),$W63="DNA"),$W63,IF(OR(ISNUMBER($V63),$V63="DNA"),$V63,IF(OR(ISNUMBER($U63),$U63="DNA"),$U63,IF(OR(ISNUMBER($T63),$T63="DNA"),$T63,IF(OR(ISNUMBER($S63),$S63="DNA"),$S63,IF(OR(ISNUMBER($P63),$P63="DNA"),$P63,IF(OR(ISNUMBER($O63),$O63="DNA"),$O63,IF(OR(ISNUMBER($N63),$N63="DNA"),$N63,""))))))))))),IF(OR(ISNUMBER($Y63),$Y63="DNA"),$Y63,IF(OR(ISNUMBER($X63),$X63="DNA"),$X63,IF(OR(ISNUMBER($W63),$W63="DNA"),$W63,IF(OR(ISNUMBER($V63),$V63="DNA"),$V63,IF(OR(ISNUMBER($U63),$U63="DNA"),$U63,IF(OR(ISNUMBER($T63),$T63="DNA"),$T63,IF(OR(ISNUMBER($S63),$S63="DNA"),$S63,IF(OR(ISNUMBER($P63),$P63="DNA"),$P63,IF(OR(ISNUMBER($O63),$O63="DNA"),$O63,IF(OR(ISNUMBER($N63),$N63="DNA"),$N63,""))))))))))&lt;TODAY())),1,0)+ISNUMBER($Q63)*($Q63&lt;TODAY())+ISNUMBER($R63)*($R63&lt;TODAY())+ISNUMBER($AA63)*($AA63&lt;TODAY())+ISNUMBER($AB63)*($AB63&lt;TODAY()))</f>
        <v/>
      </c>
    </row>
    <row r="64">
      <c r="A64" s="25" t="n"/>
      <c r="B64" s="26" t="n"/>
      <c r="C64" s="27" t="n"/>
      <c r="D64" s="25" t="n"/>
      <c r="E64" s="25" t="n"/>
      <c r="F64" s="25" t="n"/>
      <c r="G64" s="25" t="n"/>
      <c r="H64" s="27" t="n"/>
      <c r="I64" s="25" t="n"/>
      <c r="J64" s="28">
        <f>IF(OR(NOT(AND($A64&lt;&gt;"",OR($I64="",$I64="Active"))),$H64=""),"",INT((TODAY()-$H64+280)/7)&amp;"+"&amp;MOD(TODAY()-$H64+280,7))</f>
        <v/>
      </c>
      <c r="K64" s="28">
        <f>IF(NOT(AND($A64&lt;&gt;"",OR($I64="",$I64="Active"))),"",ISNUMBER($N64)*($N64&gt;=TODAY())*($N64&lt;=TODAY()+7)+ISNUMBER($O64)*($O64&gt;=TODAY())*($O64&lt;=TODAY()+7)+ISNUMBER($P64)*($P64&gt;=TODAY())*($P64&lt;=TODAY()+7)+ISNUMBER($S64)*($S64&gt;=TODAY())*($S64&lt;=TODAY()+7)+ISNUMBER($T64)*($T64&gt;=TODAY())*($T64&lt;=TODAY()+7)+ISNUMBER($U64)*($U64&gt;=TODAY())*($U64&lt;=TODAY()+7)+ISNUMBER($V64)*($V64&gt;=TODAY())*($V64&lt;=TODAY()+7)+ISNUMBER($W64)*($W64&gt;=TODAY())*($W64&lt;=TODAY()+7)+ISNUMBER($X64)*($X64&gt;=TODAY())*($X64&lt;=TODAY()+7)+ISNUMBER($Y64)*($Y64&gt;=TODAY())*($Y64&lt;=TODAY()+7)+ISNUMBER($Q64)*($Q64&gt;=TODAY())*($Q64&lt;=TODAY()+7)+ISNUMBER($R64)*($R64&gt;=TODAY())*($R64&lt;=TODAY()+7)+ISNUMBER($AA64)*($AA64&gt;=TODAY())*($AA64&lt;=TODAY()+7)+ISNUMBER($AB64)*($AB64&gt;=TODAY())*($AB64&lt;=TODAY()+7))</f>
        <v/>
      </c>
      <c r="L64" s="28">
        <f>IF(NOT(AND($A64&lt;&gt;"",OR($I64="",$I64="Active"))),"",IF($M64&lt;&gt;"",IF($N64=$M64,"Booking",IF($O64=$M64,"16/40",IF($P64=$M64,"25/40",IF($S64=$M64,"28/40",IF($T64=$M64,"31/40",IF($U64=$M64,"34/40",IF($V64=$M64,"36/40",IF($W64=$M64,"38/40",IF($X64=$M64,"40/40",IF($Y64=$M64,"41/40","")))))))))),IF(IF(OR(ISNUMBER($Y64),$Y64="DNA"),$Y64,IF(OR(ISNUMBER($X64),$X64="DNA"),$X64,IF(OR(ISNUMBER($W64),$W64="DNA"),$W64,IF(OR(ISNUMBER($V64),$V64="DNA"),$V64,IF(OR(ISNUMBER($U64),$U64="DNA"),$U64,IF(OR(ISNUMBER($T64),$T64="DNA"),$T64,IF(OR(ISNUMBER($S64),$S64="DNA"),$S64,IF(OR(ISNUMBER($P64),$P64="DNA"),$P64,IF(OR(ISNUMBER($O64),$O64="DNA"),$O64,IF(OR(ISNUMBER($N64),$N64="DNA"),$N64,""))))))))))="DNA","Rebook DNA",IF(ISNUMBER(IF(OR(ISNUMBER($Y64),$Y64="DNA"),$Y64,IF(OR(ISNUMBER($X64),$X64="DNA"),$X64,IF(OR(ISNUMBER($W64),$W64="DNA"),$W64,IF(OR(ISNUMBER($V64),$V64="DNA"),$V64,IF(OR(ISNUMBER($U64),$U64="DNA"),$U64,IF(OR(ISNUMBER($T64),$T64="DNA"),$T64,IF(OR(ISNUMBER($S64),$S64="DNA"),$S64,IF(OR(ISNUMBER($P64),$P64="DNA"),$P64,IF(OR(ISNUMBER($O64),$O64="DNA"),$O64,IF(OR(ISNUMBER($N64),$N64="DNA"),$N64,""))))))))))),IF(ISNUMBER($Y64),"Update status","Missed/not booked?"),""))))</f>
        <v/>
      </c>
      <c r="M64" s="29">
        <f>IF(NOT(AND($A64&lt;&gt;"",OR($I64="",$I64="Active"))),"",IF(MIN(IF(AND(ISNUMBER($N64),$N64&gt;=TODAY()),$N64,99999),IF(AND(ISNUMBER($O64),$O64&gt;=TODAY()),$O64,99999),IF(AND(ISNUMBER($P64),$P64&gt;=TODAY()),$P64,99999),IF(AND(ISNUMBER($S64),$S64&gt;=TODAY()),$S64,99999),IF(AND(ISNUMBER($T64),$T64&gt;=TODAY()),$T64,99999),IF(AND(ISNUMBER($U64),$U64&gt;=TODAY()),$U64,99999),IF(AND(ISNUMBER($V64),$V64&gt;=TODAY()),$V64,99999),IF(AND(ISNUMBER($W64),$W64&gt;=TODAY()),$W64,99999),IF(AND(ISNUMBER($X64),$X64&gt;=TODAY()),$X64,99999),IF(AND(ISNUMBER($Y64),$Y64&gt;=TODAY()),$Y64,99999))=99999,"",MIN(IF(AND(ISNUMBER($N64),$N64&gt;=TODAY()),$N64,99999),IF(AND(ISNUMBER($O64),$O64&gt;=TODAY()),$O64,99999),IF(AND(ISNUMBER($P64),$P64&gt;=TODAY()),$P64,99999),IF(AND(ISNUMBER($S64),$S64&gt;=TODAY()),$S64,99999),IF(AND(ISNUMBER($T64),$T64&gt;=TODAY()),$T64,99999),IF(AND(ISNUMBER($U64),$U64&gt;=TODAY()),$U64,99999),IF(AND(ISNUMBER($V64),$V64&gt;=TODAY()),$V64,99999),IF(AND(ISNUMBER($W64),$W64&gt;=TODAY()),$W64,99999),IF(AND(ISNUMBER($X64),$X64&gt;=TODAY()),$X64,99999),IF(AND(ISNUMBER($Y64),$Y64&gt;=TODAY()),$Y64,99999))))</f>
        <v/>
      </c>
      <c r="N64" s="27" t="n"/>
      <c r="O64" s="27" t="n"/>
      <c r="P64" s="27" t="n"/>
      <c r="Q64" s="27" t="n"/>
      <c r="R64" s="27" t="n"/>
      <c r="S64" s="27" t="n"/>
      <c r="T64" s="27" t="n"/>
      <c r="U64" s="27" t="n"/>
      <c r="V64" s="27" t="n"/>
      <c r="W64" s="27" t="n"/>
      <c r="X64" s="27" t="n"/>
      <c r="Y64" s="27" t="n"/>
      <c r="Z64" s="27" t="n"/>
      <c r="AA64" s="27" t="n"/>
      <c r="AB64" s="27" t="n"/>
      <c r="AC64" s="30" t="n"/>
      <c r="AD64" s="25" t="n"/>
      <c r="AE64" s="28">
        <f>IF(NOT(AND($A64&lt;&gt;"",OR($I64="",$I64="Active"))),"",IF(OR(IF(OR(ISNUMBER($Y64),$Y64="DNA"),$Y64,IF(OR(ISNUMBER($X64),$X64="DNA"),$X64,IF(OR(ISNUMBER($W64),$W64="DNA"),$W64,IF(OR(ISNUMBER($V64),$V64="DNA"),$V64,IF(OR(ISNUMBER($U64),$U64="DNA"),$U64,IF(OR(ISNUMBER($T64),$T64="DNA"),$T64,IF(OR(ISNUMBER($S64),$S64="DNA"),$S64,IF(OR(ISNUMBER($P64),$P64="DNA"),$P64,IF(OR(ISNUMBER($O64),$O64="DNA"),$O64,IF(OR(ISNUMBER($N64),$N64="DNA"),$N64,""))))))))))="DNA",AND(ISNUMBER(IF(OR(ISNUMBER($Y64),$Y64="DNA"),$Y64,IF(OR(ISNUMBER($X64),$X64="DNA"),$X64,IF(OR(ISNUMBER($W64),$W64="DNA"),$W64,IF(OR(ISNUMBER($V64),$V64="DNA"),$V64,IF(OR(ISNUMBER($U64),$U64="DNA"),$U64,IF(OR(ISNUMBER($T64),$T64="DNA"),$T64,IF(OR(ISNUMBER($S64),$S64="DNA"),$S64,IF(OR(ISNUMBER($P64),$P64="DNA"),$P64,IF(OR(ISNUMBER($O64),$O64="DNA"),$O64,IF(OR(ISNUMBER($N64),$N64="DNA"),$N64,""))))))))))),IF(OR(ISNUMBER($Y64),$Y64="DNA"),$Y64,IF(OR(ISNUMBER($X64),$X64="DNA"),$X64,IF(OR(ISNUMBER($W64),$W64="DNA"),$W64,IF(OR(ISNUMBER($V64),$V64="DNA"),$V64,IF(OR(ISNUMBER($U64),$U64="DNA"),$U64,IF(OR(ISNUMBER($T64),$T64="DNA"),$T64,IF(OR(ISNUMBER($S64),$S64="DNA"),$S64,IF(OR(ISNUMBER($P64),$P64="DNA"),$P64,IF(OR(ISNUMBER($O64),$O64="DNA"),$O64,IF(OR(ISNUMBER($N64),$N64="DNA"),$N64,""))))))))))&lt;TODAY())),1,0)+ISNUMBER($Q64)*($Q64&lt;TODAY())+ISNUMBER($R64)*($R64&lt;TODAY())+ISNUMBER($AA64)*($AA64&lt;TODAY())+ISNUMBER($AB64)*($AB64&lt;TODAY()))</f>
        <v/>
      </c>
    </row>
    <row r="65">
      <c r="A65" s="25" t="n"/>
      <c r="B65" s="26" t="n"/>
      <c r="C65" s="27" t="n"/>
      <c r="D65" s="25" t="n"/>
      <c r="E65" s="25" t="n"/>
      <c r="F65" s="25" t="n"/>
      <c r="G65" s="25" t="n"/>
      <c r="H65" s="27" t="n"/>
      <c r="I65" s="25" t="n"/>
      <c r="J65" s="28">
        <f>IF(OR(NOT(AND($A65&lt;&gt;"",OR($I65="",$I65="Active"))),$H65=""),"",INT((TODAY()-$H65+280)/7)&amp;"+"&amp;MOD(TODAY()-$H65+280,7))</f>
        <v/>
      </c>
      <c r="K65" s="28">
        <f>IF(NOT(AND($A65&lt;&gt;"",OR($I65="",$I65="Active"))),"",ISNUMBER($N65)*($N65&gt;=TODAY())*($N65&lt;=TODAY()+7)+ISNUMBER($O65)*($O65&gt;=TODAY())*($O65&lt;=TODAY()+7)+ISNUMBER($P65)*($P65&gt;=TODAY())*($P65&lt;=TODAY()+7)+ISNUMBER($S65)*($S65&gt;=TODAY())*($S65&lt;=TODAY()+7)+ISNUMBER($T65)*($T65&gt;=TODAY())*($T65&lt;=TODAY()+7)+ISNUMBER($U65)*($U65&gt;=TODAY())*($U65&lt;=TODAY()+7)+ISNUMBER($V65)*($V65&gt;=TODAY())*($V65&lt;=TODAY()+7)+ISNUMBER($W65)*($W65&gt;=TODAY())*($W65&lt;=TODAY()+7)+ISNUMBER($X65)*($X65&gt;=TODAY())*($X65&lt;=TODAY()+7)+ISNUMBER($Y65)*($Y65&gt;=TODAY())*($Y65&lt;=TODAY()+7)+ISNUMBER($Q65)*($Q65&gt;=TODAY())*($Q65&lt;=TODAY()+7)+ISNUMBER($R65)*($R65&gt;=TODAY())*($R65&lt;=TODAY()+7)+ISNUMBER($AA65)*($AA65&gt;=TODAY())*($AA65&lt;=TODAY()+7)+ISNUMBER($AB65)*($AB65&gt;=TODAY())*($AB65&lt;=TODAY()+7))</f>
        <v/>
      </c>
      <c r="L65" s="28">
        <f>IF(NOT(AND($A65&lt;&gt;"",OR($I65="",$I65="Active"))),"",IF($M65&lt;&gt;"",IF($N65=$M65,"Booking",IF($O65=$M65,"16/40",IF($P65=$M65,"25/40",IF($S65=$M65,"28/40",IF($T65=$M65,"31/40",IF($U65=$M65,"34/40",IF($V65=$M65,"36/40",IF($W65=$M65,"38/40",IF($X65=$M65,"40/40",IF($Y65=$M65,"41/40","")))))))))),IF(IF(OR(ISNUMBER($Y65),$Y65="DNA"),$Y65,IF(OR(ISNUMBER($X65),$X65="DNA"),$X65,IF(OR(ISNUMBER($W65),$W65="DNA"),$W65,IF(OR(ISNUMBER($V65),$V65="DNA"),$V65,IF(OR(ISNUMBER($U65),$U65="DNA"),$U65,IF(OR(ISNUMBER($T65),$T65="DNA"),$T65,IF(OR(ISNUMBER($S65),$S65="DNA"),$S65,IF(OR(ISNUMBER($P65),$P65="DNA"),$P65,IF(OR(ISNUMBER($O65),$O65="DNA"),$O65,IF(OR(ISNUMBER($N65),$N65="DNA"),$N65,""))))))))))="DNA","Rebook DNA",IF(ISNUMBER(IF(OR(ISNUMBER($Y65),$Y65="DNA"),$Y65,IF(OR(ISNUMBER($X65),$X65="DNA"),$X65,IF(OR(ISNUMBER($W65),$W65="DNA"),$W65,IF(OR(ISNUMBER($V65),$V65="DNA"),$V65,IF(OR(ISNUMBER($U65),$U65="DNA"),$U65,IF(OR(ISNUMBER($T65),$T65="DNA"),$T65,IF(OR(ISNUMBER($S65),$S65="DNA"),$S65,IF(OR(ISNUMBER($P65),$P65="DNA"),$P65,IF(OR(ISNUMBER($O65),$O65="DNA"),$O65,IF(OR(ISNUMBER($N65),$N65="DNA"),$N65,""))))))))))),IF(ISNUMBER($Y65),"Update status","Missed/not booked?"),""))))</f>
        <v/>
      </c>
      <c r="M65" s="29">
        <f>IF(NOT(AND($A65&lt;&gt;"",OR($I65="",$I65="Active"))),"",IF(MIN(IF(AND(ISNUMBER($N65),$N65&gt;=TODAY()),$N65,99999),IF(AND(ISNUMBER($O65),$O65&gt;=TODAY()),$O65,99999),IF(AND(ISNUMBER($P65),$P65&gt;=TODAY()),$P65,99999),IF(AND(ISNUMBER($S65),$S65&gt;=TODAY()),$S65,99999),IF(AND(ISNUMBER($T65),$T65&gt;=TODAY()),$T65,99999),IF(AND(ISNUMBER($U65),$U65&gt;=TODAY()),$U65,99999),IF(AND(ISNUMBER($V65),$V65&gt;=TODAY()),$V65,99999),IF(AND(ISNUMBER($W65),$W65&gt;=TODAY()),$W65,99999),IF(AND(ISNUMBER($X65),$X65&gt;=TODAY()),$X65,99999),IF(AND(ISNUMBER($Y65),$Y65&gt;=TODAY()),$Y65,99999))=99999,"",MIN(IF(AND(ISNUMBER($N65),$N65&gt;=TODAY()),$N65,99999),IF(AND(ISNUMBER($O65),$O65&gt;=TODAY()),$O65,99999),IF(AND(ISNUMBER($P65),$P65&gt;=TODAY()),$P65,99999),IF(AND(ISNUMBER($S65),$S65&gt;=TODAY()),$S65,99999),IF(AND(ISNUMBER($T65),$T65&gt;=TODAY()),$T65,99999),IF(AND(ISNUMBER($U65),$U65&gt;=TODAY()),$U65,99999),IF(AND(ISNUMBER($V65),$V65&gt;=TODAY()),$V65,99999),IF(AND(ISNUMBER($W65),$W65&gt;=TODAY()),$W65,99999),IF(AND(ISNUMBER($X65),$X65&gt;=TODAY()),$X65,99999),IF(AND(ISNUMBER($Y65),$Y65&gt;=TODAY()),$Y65,99999))))</f>
        <v/>
      </c>
      <c r="N65" s="27" t="n"/>
      <c r="O65" s="27" t="n"/>
      <c r="P65" s="27" t="n"/>
      <c r="Q65" s="27" t="n"/>
      <c r="R65" s="27" t="n"/>
      <c r="S65" s="27" t="n"/>
      <c r="T65" s="27" t="n"/>
      <c r="U65" s="27" t="n"/>
      <c r="V65" s="27" t="n"/>
      <c r="W65" s="27" t="n"/>
      <c r="X65" s="27" t="n"/>
      <c r="Y65" s="27" t="n"/>
      <c r="Z65" s="27" t="n"/>
      <c r="AA65" s="27" t="n"/>
      <c r="AB65" s="27" t="n"/>
      <c r="AC65" s="30" t="n"/>
      <c r="AD65" s="25" t="n"/>
      <c r="AE65" s="28">
        <f>IF(NOT(AND($A65&lt;&gt;"",OR($I65="",$I65="Active"))),"",IF(OR(IF(OR(ISNUMBER($Y65),$Y65="DNA"),$Y65,IF(OR(ISNUMBER($X65),$X65="DNA"),$X65,IF(OR(ISNUMBER($W65),$W65="DNA"),$W65,IF(OR(ISNUMBER($V65),$V65="DNA"),$V65,IF(OR(ISNUMBER($U65),$U65="DNA"),$U65,IF(OR(ISNUMBER($T65),$T65="DNA"),$T65,IF(OR(ISNUMBER($S65),$S65="DNA"),$S65,IF(OR(ISNUMBER($P65),$P65="DNA"),$P65,IF(OR(ISNUMBER($O65),$O65="DNA"),$O65,IF(OR(ISNUMBER($N65),$N65="DNA"),$N65,""))))))))))="DNA",AND(ISNUMBER(IF(OR(ISNUMBER($Y65),$Y65="DNA"),$Y65,IF(OR(ISNUMBER($X65),$X65="DNA"),$X65,IF(OR(ISNUMBER($W65),$W65="DNA"),$W65,IF(OR(ISNUMBER($V65),$V65="DNA"),$V65,IF(OR(ISNUMBER($U65),$U65="DNA"),$U65,IF(OR(ISNUMBER($T65),$T65="DNA"),$T65,IF(OR(ISNUMBER($S65),$S65="DNA"),$S65,IF(OR(ISNUMBER($P65),$P65="DNA"),$P65,IF(OR(ISNUMBER($O65),$O65="DNA"),$O65,IF(OR(ISNUMBER($N65),$N65="DNA"),$N65,""))))))))))),IF(OR(ISNUMBER($Y65),$Y65="DNA"),$Y65,IF(OR(ISNUMBER($X65),$X65="DNA"),$X65,IF(OR(ISNUMBER($W65),$W65="DNA"),$W65,IF(OR(ISNUMBER($V65),$V65="DNA"),$V65,IF(OR(ISNUMBER($U65),$U65="DNA"),$U65,IF(OR(ISNUMBER($T65),$T65="DNA"),$T65,IF(OR(ISNUMBER($S65),$S65="DNA"),$S65,IF(OR(ISNUMBER($P65),$P65="DNA"),$P65,IF(OR(ISNUMBER($O65),$O65="DNA"),$O65,IF(OR(ISNUMBER($N65),$N65="DNA"),$N65,""))))))))))&lt;TODAY())),1,0)+ISNUMBER($Q65)*($Q65&lt;TODAY())+ISNUMBER($R65)*($R65&lt;TODAY())+ISNUMBER($AA65)*($AA65&lt;TODAY())+ISNUMBER($AB65)*($AB65&lt;TODAY()))</f>
        <v/>
      </c>
    </row>
    <row r="66">
      <c r="A66" s="25" t="n"/>
      <c r="B66" s="26" t="n"/>
      <c r="C66" s="27" t="n"/>
      <c r="D66" s="25" t="n"/>
      <c r="E66" s="25" t="n"/>
      <c r="F66" s="25" t="n"/>
      <c r="G66" s="25" t="n"/>
      <c r="H66" s="27" t="n"/>
      <c r="I66" s="25" t="n"/>
      <c r="J66" s="28">
        <f>IF(OR(NOT(AND($A66&lt;&gt;"",OR($I66="",$I66="Active"))),$H66=""),"",INT((TODAY()-$H66+280)/7)&amp;"+"&amp;MOD(TODAY()-$H66+280,7))</f>
        <v/>
      </c>
      <c r="K66" s="28">
        <f>IF(NOT(AND($A66&lt;&gt;"",OR($I66="",$I66="Active"))),"",ISNUMBER($N66)*($N66&gt;=TODAY())*($N66&lt;=TODAY()+7)+ISNUMBER($O66)*($O66&gt;=TODAY())*($O66&lt;=TODAY()+7)+ISNUMBER($P66)*($P66&gt;=TODAY())*($P66&lt;=TODAY()+7)+ISNUMBER($S66)*($S66&gt;=TODAY())*($S66&lt;=TODAY()+7)+ISNUMBER($T66)*($T66&gt;=TODAY())*($T66&lt;=TODAY()+7)+ISNUMBER($U66)*($U66&gt;=TODAY())*($U66&lt;=TODAY()+7)+ISNUMBER($V66)*($V66&gt;=TODAY())*($V66&lt;=TODAY()+7)+ISNUMBER($W66)*($W66&gt;=TODAY())*($W66&lt;=TODAY()+7)+ISNUMBER($X66)*($X66&gt;=TODAY())*($X66&lt;=TODAY()+7)+ISNUMBER($Y66)*($Y66&gt;=TODAY())*($Y66&lt;=TODAY()+7)+ISNUMBER($Q66)*($Q66&gt;=TODAY())*($Q66&lt;=TODAY()+7)+ISNUMBER($R66)*($R66&gt;=TODAY())*($R66&lt;=TODAY()+7)+ISNUMBER($AA66)*($AA66&gt;=TODAY())*($AA66&lt;=TODAY()+7)+ISNUMBER($AB66)*($AB66&gt;=TODAY())*($AB66&lt;=TODAY()+7))</f>
        <v/>
      </c>
      <c r="L66" s="28">
        <f>IF(NOT(AND($A66&lt;&gt;"",OR($I66="",$I66="Active"))),"",IF($M66&lt;&gt;"",IF($N66=$M66,"Booking",IF($O66=$M66,"16/40",IF($P66=$M66,"25/40",IF($S66=$M66,"28/40",IF($T66=$M66,"31/40",IF($U66=$M66,"34/40",IF($V66=$M66,"36/40",IF($W66=$M66,"38/40",IF($X66=$M66,"40/40",IF($Y66=$M66,"41/40","")))))))))),IF(IF(OR(ISNUMBER($Y66),$Y66="DNA"),$Y66,IF(OR(ISNUMBER($X66),$X66="DNA"),$X66,IF(OR(ISNUMBER($W66),$W66="DNA"),$W66,IF(OR(ISNUMBER($V66),$V66="DNA"),$V66,IF(OR(ISNUMBER($U66),$U66="DNA"),$U66,IF(OR(ISNUMBER($T66),$T66="DNA"),$T66,IF(OR(ISNUMBER($S66),$S66="DNA"),$S66,IF(OR(ISNUMBER($P66),$P66="DNA"),$P66,IF(OR(ISNUMBER($O66),$O66="DNA"),$O66,IF(OR(ISNUMBER($N66),$N66="DNA"),$N66,""))))))))))="DNA","Rebook DNA",IF(ISNUMBER(IF(OR(ISNUMBER($Y66),$Y66="DNA"),$Y66,IF(OR(ISNUMBER($X66),$X66="DNA"),$X66,IF(OR(ISNUMBER($W66),$W66="DNA"),$W66,IF(OR(ISNUMBER($V66),$V66="DNA"),$V66,IF(OR(ISNUMBER($U66),$U66="DNA"),$U66,IF(OR(ISNUMBER($T66),$T66="DNA"),$T66,IF(OR(ISNUMBER($S66),$S66="DNA"),$S66,IF(OR(ISNUMBER($P66),$P66="DNA"),$P66,IF(OR(ISNUMBER($O66),$O66="DNA"),$O66,IF(OR(ISNUMBER($N66),$N66="DNA"),$N66,""))))))))))),IF(ISNUMBER($Y66),"Update status","Missed/not booked?"),""))))</f>
        <v/>
      </c>
      <c r="M66" s="29">
        <f>IF(NOT(AND($A66&lt;&gt;"",OR($I66="",$I66="Active"))),"",IF(MIN(IF(AND(ISNUMBER($N66),$N66&gt;=TODAY()),$N66,99999),IF(AND(ISNUMBER($O66),$O66&gt;=TODAY()),$O66,99999),IF(AND(ISNUMBER($P66),$P66&gt;=TODAY()),$P66,99999),IF(AND(ISNUMBER($S66),$S66&gt;=TODAY()),$S66,99999),IF(AND(ISNUMBER($T66),$T66&gt;=TODAY()),$T66,99999),IF(AND(ISNUMBER($U66),$U66&gt;=TODAY()),$U66,99999),IF(AND(ISNUMBER($V66),$V66&gt;=TODAY()),$V66,99999),IF(AND(ISNUMBER($W66),$W66&gt;=TODAY()),$W66,99999),IF(AND(ISNUMBER($X66),$X66&gt;=TODAY()),$X66,99999),IF(AND(ISNUMBER($Y66),$Y66&gt;=TODAY()),$Y66,99999))=99999,"",MIN(IF(AND(ISNUMBER($N66),$N66&gt;=TODAY()),$N66,99999),IF(AND(ISNUMBER($O66),$O66&gt;=TODAY()),$O66,99999),IF(AND(ISNUMBER($P66),$P66&gt;=TODAY()),$P66,99999),IF(AND(ISNUMBER($S66),$S66&gt;=TODAY()),$S66,99999),IF(AND(ISNUMBER($T66),$T66&gt;=TODAY()),$T66,99999),IF(AND(ISNUMBER($U66),$U66&gt;=TODAY()),$U66,99999),IF(AND(ISNUMBER($V66),$V66&gt;=TODAY()),$V66,99999),IF(AND(ISNUMBER($W66),$W66&gt;=TODAY()),$W66,99999),IF(AND(ISNUMBER($X66),$X66&gt;=TODAY()),$X66,99999),IF(AND(ISNUMBER($Y66),$Y66&gt;=TODAY()),$Y66,99999))))</f>
        <v/>
      </c>
      <c r="N66" s="27" t="n"/>
      <c r="O66" s="27" t="n"/>
      <c r="P66" s="27" t="n"/>
      <c r="Q66" s="27" t="n"/>
      <c r="R66" s="27" t="n"/>
      <c r="S66" s="27" t="n"/>
      <c r="T66" s="27" t="n"/>
      <c r="U66" s="27" t="n"/>
      <c r="V66" s="27" t="n"/>
      <c r="W66" s="27" t="n"/>
      <c r="X66" s="27" t="n"/>
      <c r="Y66" s="27" t="n"/>
      <c r="Z66" s="27" t="n"/>
      <c r="AA66" s="27" t="n"/>
      <c r="AB66" s="27" t="n"/>
      <c r="AC66" s="30" t="n"/>
      <c r="AD66" s="25" t="n"/>
      <c r="AE66" s="28">
        <f>IF(NOT(AND($A66&lt;&gt;"",OR($I66="",$I66="Active"))),"",IF(OR(IF(OR(ISNUMBER($Y66),$Y66="DNA"),$Y66,IF(OR(ISNUMBER($X66),$X66="DNA"),$X66,IF(OR(ISNUMBER($W66),$W66="DNA"),$W66,IF(OR(ISNUMBER($V66),$V66="DNA"),$V66,IF(OR(ISNUMBER($U66),$U66="DNA"),$U66,IF(OR(ISNUMBER($T66),$T66="DNA"),$T66,IF(OR(ISNUMBER($S66),$S66="DNA"),$S66,IF(OR(ISNUMBER($P66),$P66="DNA"),$P66,IF(OR(ISNUMBER($O66),$O66="DNA"),$O66,IF(OR(ISNUMBER($N66),$N66="DNA"),$N66,""))))))))))="DNA",AND(ISNUMBER(IF(OR(ISNUMBER($Y66),$Y66="DNA"),$Y66,IF(OR(ISNUMBER($X66),$X66="DNA"),$X66,IF(OR(ISNUMBER($W66),$W66="DNA"),$W66,IF(OR(ISNUMBER($V66),$V66="DNA"),$V66,IF(OR(ISNUMBER($U66),$U66="DNA"),$U66,IF(OR(ISNUMBER($T66),$T66="DNA"),$T66,IF(OR(ISNUMBER($S66),$S66="DNA"),$S66,IF(OR(ISNUMBER($P66),$P66="DNA"),$P66,IF(OR(ISNUMBER($O66),$O66="DNA"),$O66,IF(OR(ISNUMBER($N66),$N66="DNA"),$N66,""))))))))))),IF(OR(ISNUMBER($Y66),$Y66="DNA"),$Y66,IF(OR(ISNUMBER($X66),$X66="DNA"),$X66,IF(OR(ISNUMBER($W66),$W66="DNA"),$W66,IF(OR(ISNUMBER($V66),$V66="DNA"),$V66,IF(OR(ISNUMBER($U66),$U66="DNA"),$U66,IF(OR(ISNUMBER($T66),$T66="DNA"),$T66,IF(OR(ISNUMBER($S66),$S66="DNA"),$S66,IF(OR(ISNUMBER($P66),$P66="DNA"),$P66,IF(OR(ISNUMBER($O66),$O66="DNA"),$O66,IF(OR(ISNUMBER($N66),$N66="DNA"),$N66,""))))))))))&lt;TODAY())),1,0)+ISNUMBER($Q66)*($Q66&lt;TODAY())+ISNUMBER($R66)*($R66&lt;TODAY())+ISNUMBER($AA66)*($AA66&lt;TODAY())+ISNUMBER($AB66)*($AB66&lt;TODAY()))</f>
        <v/>
      </c>
    </row>
    <row r="67">
      <c r="A67" s="25" t="n"/>
      <c r="B67" s="26" t="n"/>
      <c r="C67" s="27" t="n"/>
      <c r="D67" s="25" t="n"/>
      <c r="E67" s="25" t="n"/>
      <c r="F67" s="25" t="n"/>
      <c r="G67" s="25" t="n"/>
      <c r="H67" s="27" t="n"/>
      <c r="I67" s="25" t="n"/>
      <c r="J67" s="28">
        <f>IF(OR(NOT(AND($A67&lt;&gt;"",OR($I67="",$I67="Active"))),$H67=""),"",INT((TODAY()-$H67+280)/7)&amp;"+"&amp;MOD(TODAY()-$H67+280,7))</f>
        <v/>
      </c>
      <c r="K67" s="28">
        <f>IF(NOT(AND($A67&lt;&gt;"",OR($I67="",$I67="Active"))),"",ISNUMBER($N67)*($N67&gt;=TODAY())*($N67&lt;=TODAY()+7)+ISNUMBER($O67)*($O67&gt;=TODAY())*($O67&lt;=TODAY()+7)+ISNUMBER($P67)*($P67&gt;=TODAY())*($P67&lt;=TODAY()+7)+ISNUMBER($S67)*($S67&gt;=TODAY())*($S67&lt;=TODAY()+7)+ISNUMBER($T67)*($T67&gt;=TODAY())*($T67&lt;=TODAY()+7)+ISNUMBER($U67)*($U67&gt;=TODAY())*($U67&lt;=TODAY()+7)+ISNUMBER($V67)*($V67&gt;=TODAY())*($V67&lt;=TODAY()+7)+ISNUMBER($W67)*($W67&gt;=TODAY())*($W67&lt;=TODAY()+7)+ISNUMBER($X67)*($X67&gt;=TODAY())*($X67&lt;=TODAY()+7)+ISNUMBER($Y67)*($Y67&gt;=TODAY())*($Y67&lt;=TODAY()+7)+ISNUMBER($Q67)*($Q67&gt;=TODAY())*($Q67&lt;=TODAY()+7)+ISNUMBER($R67)*($R67&gt;=TODAY())*($R67&lt;=TODAY()+7)+ISNUMBER($AA67)*($AA67&gt;=TODAY())*($AA67&lt;=TODAY()+7)+ISNUMBER($AB67)*($AB67&gt;=TODAY())*($AB67&lt;=TODAY()+7))</f>
        <v/>
      </c>
      <c r="L67" s="28">
        <f>IF(NOT(AND($A67&lt;&gt;"",OR($I67="",$I67="Active"))),"",IF($M67&lt;&gt;"",IF($N67=$M67,"Booking",IF($O67=$M67,"16/40",IF($P67=$M67,"25/40",IF($S67=$M67,"28/40",IF($T67=$M67,"31/40",IF($U67=$M67,"34/40",IF($V67=$M67,"36/40",IF($W67=$M67,"38/40",IF($X67=$M67,"40/40",IF($Y67=$M67,"41/40","")))))))))),IF(IF(OR(ISNUMBER($Y67),$Y67="DNA"),$Y67,IF(OR(ISNUMBER($X67),$X67="DNA"),$X67,IF(OR(ISNUMBER($W67),$W67="DNA"),$W67,IF(OR(ISNUMBER($V67),$V67="DNA"),$V67,IF(OR(ISNUMBER($U67),$U67="DNA"),$U67,IF(OR(ISNUMBER($T67),$T67="DNA"),$T67,IF(OR(ISNUMBER($S67),$S67="DNA"),$S67,IF(OR(ISNUMBER($P67),$P67="DNA"),$P67,IF(OR(ISNUMBER($O67),$O67="DNA"),$O67,IF(OR(ISNUMBER($N67),$N67="DNA"),$N67,""))))))))))="DNA","Rebook DNA",IF(ISNUMBER(IF(OR(ISNUMBER($Y67),$Y67="DNA"),$Y67,IF(OR(ISNUMBER($X67),$X67="DNA"),$X67,IF(OR(ISNUMBER($W67),$W67="DNA"),$W67,IF(OR(ISNUMBER($V67),$V67="DNA"),$V67,IF(OR(ISNUMBER($U67),$U67="DNA"),$U67,IF(OR(ISNUMBER($T67),$T67="DNA"),$T67,IF(OR(ISNUMBER($S67),$S67="DNA"),$S67,IF(OR(ISNUMBER($P67),$P67="DNA"),$P67,IF(OR(ISNUMBER($O67),$O67="DNA"),$O67,IF(OR(ISNUMBER($N67),$N67="DNA"),$N67,""))))))))))),IF(ISNUMBER($Y67),"Update status","Missed/not booked?"),""))))</f>
        <v/>
      </c>
      <c r="M67" s="29">
        <f>IF(NOT(AND($A67&lt;&gt;"",OR($I67="",$I67="Active"))),"",IF(MIN(IF(AND(ISNUMBER($N67),$N67&gt;=TODAY()),$N67,99999),IF(AND(ISNUMBER($O67),$O67&gt;=TODAY()),$O67,99999),IF(AND(ISNUMBER($P67),$P67&gt;=TODAY()),$P67,99999),IF(AND(ISNUMBER($S67),$S67&gt;=TODAY()),$S67,99999),IF(AND(ISNUMBER($T67),$T67&gt;=TODAY()),$T67,99999),IF(AND(ISNUMBER($U67),$U67&gt;=TODAY()),$U67,99999),IF(AND(ISNUMBER($V67),$V67&gt;=TODAY()),$V67,99999),IF(AND(ISNUMBER($W67),$W67&gt;=TODAY()),$W67,99999),IF(AND(ISNUMBER($X67),$X67&gt;=TODAY()),$X67,99999),IF(AND(ISNUMBER($Y67),$Y67&gt;=TODAY()),$Y67,99999))=99999,"",MIN(IF(AND(ISNUMBER($N67),$N67&gt;=TODAY()),$N67,99999),IF(AND(ISNUMBER($O67),$O67&gt;=TODAY()),$O67,99999),IF(AND(ISNUMBER($P67),$P67&gt;=TODAY()),$P67,99999),IF(AND(ISNUMBER($S67),$S67&gt;=TODAY()),$S67,99999),IF(AND(ISNUMBER($T67),$T67&gt;=TODAY()),$T67,99999),IF(AND(ISNUMBER($U67),$U67&gt;=TODAY()),$U67,99999),IF(AND(ISNUMBER($V67),$V67&gt;=TODAY()),$V67,99999),IF(AND(ISNUMBER($W67),$W67&gt;=TODAY()),$W67,99999),IF(AND(ISNUMBER($X67),$X67&gt;=TODAY()),$X67,99999),IF(AND(ISNUMBER($Y67),$Y67&gt;=TODAY()),$Y67,99999))))</f>
        <v/>
      </c>
      <c r="N67" s="27" t="n"/>
      <c r="O67" s="27" t="n"/>
      <c r="P67" s="27" t="n"/>
      <c r="Q67" s="27" t="n"/>
      <c r="R67" s="27" t="n"/>
      <c r="S67" s="27" t="n"/>
      <c r="T67" s="27" t="n"/>
      <c r="U67" s="27" t="n"/>
      <c r="V67" s="27" t="n"/>
      <c r="W67" s="27" t="n"/>
      <c r="X67" s="27" t="n"/>
      <c r="Y67" s="27" t="n"/>
      <c r="Z67" s="27" t="n"/>
      <c r="AA67" s="27" t="n"/>
      <c r="AB67" s="27" t="n"/>
      <c r="AC67" s="30" t="n"/>
      <c r="AD67" s="25" t="n"/>
      <c r="AE67" s="28">
        <f>IF(NOT(AND($A67&lt;&gt;"",OR($I67="",$I67="Active"))),"",IF(OR(IF(OR(ISNUMBER($Y67),$Y67="DNA"),$Y67,IF(OR(ISNUMBER($X67),$X67="DNA"),$X67,IF(OR(ISNUMBER($W67),$W67="DNA"),$W67,IF(OR(ISNUMBER($V67),$V67="DNA"),$V67,IF(OR(ISNUMBER($U67),$U67="DNA"),$U67,IF(OR(ISNUMBER($T67),$T67="DNA"),$T67,IF(OR(ISNUMBER($S67),$S67="DNA"),$S67,IF(OR(ISNUMBER($P67),$P67="DNA"),$P67,IF(OR(ISNUMBER($O67),$O67="DNA"),$O67,IF(OR(ISNUMBER($N67),$N67="DNA"),$N67,""))))))))))="DNA",AND(ISNUMBER(IF(OR(ISNUMBER($Y67),$Y67="DNA"),$Y67,IF(OR(ISNUMBER($X67),$X67="DNA"),$X67,IF(OR(ISNUMBER($W67),$W67="DNA"),$W67,IF(OR(ISNUMBER($V67),$V67="DNA"),$V67,IF(OR(ISNUMBER($U67),$U67="DNA"),$U67,IF(OR(ISNUMBER($T67),$T67="DNA"),$T67,IF(OR(ISNUMBER($S67),$S67="DNA"),$S67,IF(OR(ISNUMBER($P67),$P67="DNA"),$P67,IF(OR(ISNUMBER($O67),$O67="DNA"),$O67,IF(OR(ISNUMBER($N67),$N67="DNA"),$N67,""))))))))))),IF(OR(ISNUMBER($Y67),$Y67="DNA"),$Y67,IF(OR(ISNUMBER($X67),$X67="DNA"),$X67,IF(OR(ISNUMBER($W67),$W67="DNA"),$W67,IF(OR(ISNUMBER($V67),$V67="DNA"),$V67,IF(OR(ISNUMBER($U67),$U67="DNA"),$U67,IF(OR(ISNUMBER($T67),$T67="DNA"),$T67,IF(OR(ISNUMBER($S67),$S67="DNA"),$S67,IF(OR(ISNUMBER($P67),$P67="DNA"),$P67,IF(OR(ISNUMBER($O67),$O67="DNA"),$O67,IF(OR(ISNUMBER($N67),$N67="DNA"),$N67,""))))))))))&lt;TODAY())),1,0)+ISNUMBER($Q67)*($Q67&lt;TODAY())+ISNUMBER($R67)*($R67&lt;TODAY())+ISNUMBER($AA67)*($AA67&lt;TODAY())+ISNUMBER($AB67)*($AB67&lt;TODAY()))</f>
        <v/>
      </c>
    </row>
    <row r="68">
      <c r="A68" s="25" t="n"/>
      <c r="B68" s="26" t="n"/>
      <c r="C68" s="27" t="n"/>
      <c r="D68" s="25" t="n"/>
      <c r="E68" s="25" t="n"/>
      <c r="F68" s="25" t="n"/>
      <c r="G68" s="25" t="n"/>
      <c r="H68" s="27" t="n"/>
      <c r="I68" s="25" t="n"/>
      <c r="J68" s="28">
        <f>IF(OR(NOT(AND($A68&lt;&gt;"",OR($I68="",$I68="Active"))),$H68=""),"",INT((TODAY()-$H68+280)/7)&amp;"+"&amp;MOD(TODAY()-$H68+280,7))</f>
        <v/>
      </c>
      <c r="K68" s="28">
        <f>IF(NOT(AND($A68&lt;&gt;"",OR($I68="",$I68="Active"))),"",ISNUMBER($N68)*($N68&gt;=TODAY())*($N68&lt;=TODAY()+7)+ISNUMBER($O68)*($O68&gt;=TODAY())*($O68&lt;=TODAY()+7)+ISNUMBER($P68)*($P68&gt;=TODAY())*($P68&lt;=TODAY()+7)+ISNUMBER($S68)*($S68&gt;=TODAY())*($S68&lt;=TODAY()+7)+ISNUMBER($T68)*($T68&gt;=TODAY())*($T68&lt;=TODAY()+7)+ISNUMBER($U68)*($U68&gt;=TODAY())*($U68&lt;=TODAY()+7)+ISNUMBER($V68)*($V68&gt;=TODAY())*($V68&lt;=TODAY()+7)+ISNUMBER($W68)*($W68&gt;=TODAY())*($W68&lt;=TODAY()+7)+ISNUMBER($X68)*($X68&gt;=TODAY())*($X68&lt;=TODAY()+7)+ISNUMBER($Y68)*($Y68&gt;=TODAY())*($Y68&lt;=TODAY()+7)+ISNUMBER($Q68)*($Q68&gt;=TODAY())*($Q68&lt;=TODAY()+7)+ISNUMBER($R68)*($R68&gt;=TODAY())*($R68&lt;=TODAY()+7)+ISNUMBER($AA68)*($AA68&gt;=TODAY())*($AA68&lt;=TODAY()+7)+ISNUMBER($AB68)*($AB68&gt;=TODAY())*($AB68&lt;=TODAY()+7))</f>
        <v/>
      </c>
      <c r="L68" s="28">
        <f>IF(NOT(AND($A68&lt;&gt;"",OR($I68="",$I68="Active"))),"",IF($M68&lt;&gt;"",IF($N68=$M68,"Booking",IF($O68=$M68,"16/40",IF($P68=$M68,"25/40",IF($S68=$M68,"28/40",IF($T68=$M68,"31/40",IF($U68=$M68,"34/40",IF($V68=$M68,"36/40",IF($W68=$M68,"38/40",IF($X68=$M68,"40/40",IF($Y68=$M68,"41/40","")))))))))),IF(IF(OR(ISNUMBER($Y68),$Y68="DNA"),$Y68,IF(OR(ISNUMBER($X68),$X68="DNA"),$X68,IF(OR(ISNUMBER($W68),$W68="DNA"),$W68,IF(OR(ISNUMBER($V68),$V68="DNA"),$V68,IF(OR(ISNUMBER($U68),$U68="DNA"),$U68,IF(OR(ISNUMBER($T68),$T68="DNA"),$T68,IF(OR(ISNUMBER($S68),$S68="DNA"),$S68,IF(OR(ISNUMBER($P68),$P68="DNA"),$P68,IF(OR(ISNUMBER($O68),$O68="DNA"),$O68,IF(OR(ISNUMBER($N68),$N68="DNA"),$N68,""))))))))))="DNA","Rebook DNA",IF(ISNUMBER(IF(OR(ISNUMBER($Y68),$Y68="DNA"),$Y68,IF(OR(ISNUMBER($X68),$X68="DNA"),$X68,IF(OR(ISNUMBER($W68),$W68="DNA"),$W68,IF(OR(ISNUMBER($V68),$V68="DNA"),$V68,IF(OR(ISNUMBER($U68),$U68="DNA"),$U68,IF(OR(ISNUMBER($T68),$T68="DNA"),$T68,IF(OR(ISNUMBER($S68),$S68="DNA"),$S68,IF(OR(ISNUMBER($P68),$P68="DNA"),$P68,IF(OR(ISNUMBER($O68),$O68="DNA"),$O68,IF(OR(ISNUMBER($N68),$N68="DNA"),$N68,""))))))))))),IF(ISNUMBER($Y68),"Update status","Missed/not booked?"),""))))</f>
        <v/>
      </c>
      <c r="M68" s="29">
        <f>IF(NOT(AND($A68&lt;&gt;"",OR($I68="",$I68="Active"))),"",IF(MIN(IF(AND(ISNUMBER($N68),$N68&gt;=TODAY()),$N68,99999),IF(AND(ISNUMBER($O68),$O68&gt;=TODAY()),$O68,99999),IF(AND(ISNUMBER($P68),$P68&gt;=TODAY()),$P68,99999),IF(AND(ISNUMBER($S68),$S68&gt;=TODAY()),$S68,99999),IF(AND(ISNUMBER($T68),$T68&gt;=TODAY()),$T68,99999),IF(AND(ISNUMBER($U68),$U68&gt;=TODAY()),$U68,99999),IF(AND(ISNUMBER($V68),$V68&gt;=TODAY()),$V68,99999),IF(AND(ISNUMBER($W68),$W68&gt;=TODAY()),$W68,99999),IF(AND(ISNUMBER($X68),$X68&gt;=TODAY()),$X68,99999),IF(AND(ISNUMBER($Y68),$Y68&gt;=TODAY()),$Y68,99999))=99999,"",MIN(IF(AND(ISNUMBER($N68),$N68&gt;=TODAY()),$N68,99999),IF(AND(ISNUMBER($O68),$O68&gt;=TODAY()),$O68,99999),IF(AND(ISNUMBER($P68),$P68&gt;=TODAY()),$P68,99999),IF(AND(ISNUMBER($S68),$S68&gt;=TODAY()),$S68,99999),IF(AND(ISNUMBER($T68),$T68&gt;=TODAY()),$T68,99999),IF(AND(ISNUMBER($U68),$U68&gt;=TODAY()),$U68,99999),IF(AND(ISNUMBER($V68),$V68&gt;=TODAY()),$V68,99999),IF(AND(ISNUMBER($W68),$W68&gt;=TODAY()),$W68,99999),IF(AND(ISNUMBER($X68),$X68&gt;=TODAY()),$X68,99999),IF(AND(ISNUMBER($Y68),$Y68&gt;=TODAY()),$Y68,99999))))</f>
        <v/>
      </c>
      <c r="N68" s="27" t="n"/>
      <c r="O68" s="27" t="n"/>
      <c r="P68" s="27" t="n"/>
      <c r="Q68" s="27" t="n"/>
      <c r="R68" s="27" t="n"/>
      <c r="S68" s="27" t="n"/>
      <c r="T68" s="27" t="n"/>
      <c r="U68" s="27" t="n"/>
      <c r="V68" s="27" t="n"/>
      <c r="W68" s="27" t="n"/>
      <c r="X68" s="27" t="n"/>
      <c r="Y68" s="27" t="n"/>
      <c r="Z68" s="27" t="n"/>
      <c r="AA68" s="27" t="n"/>
      <c r="AB68" s="27" t="n"/>
      <c r="AC68" s="30" t="n"/>
      <c r="AD68" s="25" t="n"/>
      <c r="AE68" s="28">
        <f>IF(NOT(AND($A68&lt;&gt;"",OR($I68="",$I68="Active"))),"",IF(OR(IF(OR(ISNUMBER($Y68),$Y68="DNA"),$Y68,IF(OR(ISNUMBER($X68),$X68="DNA"),$X68,IF(OR(ISNUMBER($W68),$W68="DNA"),$W68,IF(OR(ISNUMBER($V68),$V68="DNA"),$V68,IF(OR(ISNUMBER($U68),$U68="DNA"),$U68,IF(OR(ISNUMBER($T68),$T68="DNA"),$T68,IF(OR(ISNUMBER($S68),$S68="DNA"),$S68,IF(OR(ISNUMBER($P68),$P68="DNA"),$P68,IF(OR(ISNUMBER($O68),$O68="DNA"),$O68,IF(OR(ISNUMBER($N68),$N68="DNA"),$N68,""))))))))))="DNA",AND(ISNUMBER(IF(OR(ISNUMBER($Y68),$Y68="DNA"),$Y68,IF(OR(ISNUMBER($X68),$X68="DNA"),$X68,IF(OR(ISNUMBER($W68),$W68="DNA"),$W68,IF(OR(ISNUMBER($V68),$V68="DNA"),$V68,IF(OR(ISNUMBER($U68),$U68="DNA"),$U68,IF(OR(ISNUMBER($T68),$T68="DNA"),$T68,IF(OR(ISNUMBER($S68),$S68="DNA"),$S68,IF(OR(ISNUMBER($P68),$P68="DNA"),$P68,IF(OR(ISNUMBER($O68),$O68="DNA"),$O68,IF(OR(ISNUMBER($N68),$N68="DNA"),$N68,""))))))))))),IF(OR(ISNUMBER($Y68),$Y68="DNA"),$Y68,IF(OR(ISNUMBER($X68),$X68="DNA"),$X68,IF(OR(ISNUMBER($W68),$W68="DNA"),$W68,IF(OR(ISNUMBER($V68),$V68="DNA"),$V68,IF(OR(ISNUMBER($U68),$U68="DNA"),$U68,IF(OR(ISNUMBER($T68),$T68="DNA"),$T68,IF(OR(ISNUMBER($S68),$S68="DNA"),$S68,IF(OR(ISNUMBER($P68),$P68="DNA"),$P68,IF(OR(ISNUMBER($O68),$O68="DNA"),$O68,IF(OR(ISNUMBER($N68),$N68="DNA"),$N68,""))))))))))&lt;TODAY())),1,0)+ISNUMBER($Q68)*($Q68&lt;TODAY())+ISNUMBER($R68)*($R68&lt;TODAY())+ISNUMBER($AA68)*($AA68&lt;TODAY())+ISNUMBER($AB68)*($AB68&lt;TODAY()))</f>
        <v/>
      </c>
    </row>
    <row r="69">
      <c r="A69" s="25" t="n"/>
      <c r="B69" s="26" t="n"/>
      <c r="C69" s="27" t="n"/>
      <c r="D69" s="25" t="n"/>
      <c r="E69" s="25" t="n"/>
      <c r="F69" s="25" t="n"/>
      <c r="G69" s="25" t="n"/>
      <c r="H69" s="27" t="n"/>
      <c r="I69" s="25" t="n"/>
      <c r="J69" s="28">
        <f>IF(OR(NOT(AND($A69&lt;&gt;"",OR($I69="",$I69="Active"))),$H69=""),"",INT((TODAY()-$H69+280)/7)&amp;"+"&amp;MOD(TODAY()-$H69+280,7))</f>
        <v/>
      </c>
      <c r="K69" s="28">
        <f>IF(NOT(AND($A69&lt;&gt;"",OR($I69="",$I69="Active"))),"",ISNUMBER($N69)*($N69&gt;=TODAY())*($N69&lt;=TODAY()+7)+ISNUMBER($O69)*($O69&gt;=TODAY())*($O69&lt;=TODAY()+7)+ISNUMBER($P69)*($P69&gt;=TODAY())*($P69&lt;=TODAY()+7)+ISNUMBER($S69)*($S69&gt;=TODAY())*($S69&lt;=TODAY()+7)+ISNUMBER($T69)*($T69&gt;=TODAY())*($T69&lt;=TODAY()+7)+ISNUMBER($U69)*($U69&gt;=TODAY())*($U69&lt;=TODAY()+7)+ISNUMBER($V69)*($V69&gt;=TODAY())*($V69&lt;=TODAY()+7)+ISNUMBER($W69)*($W69&gt;=TODAY())*($W69&lt;=TODAY()+7)+ISNUMBER($X69)*($X69&gt;=TODAY())*($X69&lt;=TODAY()+7)+ISNUMBER($Y69)*($Y69&gt;=TODAY())*($Y69&lt;=TODAY()+7)+ISNUMBER($Q69)*($Q69&gt;=TODAY())*($Q69&lt;=TODAY()+7)+ISNUMBER($R69)*($R69&gt;=TODAY())*($R69&lt;=TODAY()+7)+ISNUMBER($AA69)*($AA69&gt;=TODAY())*($AA69&lt;=TODAY()+7)+ISNUMBER($AB69)*($AB69&gt;=TODAY())*($AB69&lt;=TODAY()+7))</f>
        <v/>
      </c>
      <c r="L69" s="28">
        <f>IF(NOT(AND($A69&lt;&gt;"",OR($I69="",$I69="Active"))),"",IF($M69&lt;&gt;"",IF($N69=$M69,"Booking",IF($O69=$M69,"16/40",IF($P69=$M69,"25/40",IF($S69=$M69,"28/40",IF($T69=$M69,"31/40",IF($U69=$M69,"34/40",IF($V69=$M69,"36/40",IF($W69=$M69,"38/40",IF($X69=$M69,"40/40",IF($Y69=$M69,"41/40","")))))))))),IF(IF(OR(ISNUMBER($Y69),$Y69="DNA"),$Y69,IF(OR(ISNUMBER($X69),$X69="DNA"),$X69,IF(OR(ISNUMBER($W69),$W69="DNA"),$W69,IF(OR(ISNUMBER($V69),$V69="DNA"),$V69,IF(OR(ISNUMBER($U69),$U69="DNA"),$U69,IF(OR(ISNUMBER($T69),$T69="DNA"),$T69,IF(OR(ISNUMBER($S69),$S69="DNA"),$S69,IF(OR(ISNUMBER($P69),$P69="DNA"),$P69,IF(OR(ISNUMBER($O69),$O69="DNA"),$O69,IF(OR(ISNUMBER($N69),$N69="DNA"),$N69,""))))))))))="DNA","Rebook DNA",IF(ISNUMBER(IF(OR(ISNUMBER($Y69),$Y69="DNA"),$Y69,IF(OR(ISNUMBER($X69),$X69="DNA"),$X69,IF(OR(ISNUMBER($W69),$W69="DNA"),$W69,IF(OR(ISNUMBER($V69),$V69="DNA"),$V69,IF(OR(ISNUMBER($U69),$U69="DNA"),$U69,IF(OR(ISNUMBER($T69),$T69="DNA"),$T69,IF(OR(ISNUMBER($S69),$S69="DNA"),$S69,IF(OR(ISNUMBER($P69),$P69="DNA"),$P69,IF(OR(ISNUMBER($O69),$O69="DNA"),$O69,IF(OR(ISNUMBER($N69),$N69="DNA"),$N69,""))))))))))),IF(ISNUMBER($Y69),"Update status","Missed/not booked?"),""))))</f>
        <v/>
      </c>
      <c r="M69" s="29">
        <f>IF(NOT(AND($A69&lt;&gt;"",OR($I69="",$I69="Active"))),"",IF(MIN(IF(AND(ISNUMBER($N69),$N69&gt;=TODAY()),$N69,99999),IF(AND(ISNUMBER($O69),$O69&gt;=TODAY()),$O69,99999),IF(AND(ISNUMBER($P69),$P69&gt;=TODAY()),$P69,99999),IF(AND(ISNUMBER($S69),$S69&gt;=TODAY()),$S69,99999),IF(AND(ISNUMBER($T69),$T69&gt;=TODAY()),$T69,99999),IF(AND(ISNUMBER($U69),$U69&gt;=TODAY()),$U69,99999),IF(AND(ISNUMBER($V69),$V69&gt;=TODAY()),$V69,99999),IF(AND(ISNUMBER($W69),$W69&gt;=TODAY()),$W69,99999),IF(AND(ISNUMBER($X69),$X69&gt;=TODAY()),$X69,99999),IF(AND(ISNUMBER($Y69),$Y69&gt;=TODAY()),$Y69,99999))=99999,"",MIN(IF(AND(ISNUMBER($N69),$N69&gt;=TODAY()),$N69,99999),IF(AND(ISNUMBER($O69),$O69&gt;=TODAY()),$O69,99999),IF(AND(ISNUMBER($P69),$P69&gt;=TODAY()),$P69,99999),IF(AND(ISNUMBER($S69),$S69&gt;=TODAY()),$S69,99999),IF(AND(ISNUMBER($T69),$T69&gt;=TODAY()),$T69,99999),IF(AND(ISNUMBER($U69),$U69&gt;=TODAY()),$U69,99999),IF(AND(ISNUMBER($V69),$V69&gt;=TODAY()),$V69,99999),IF(AND(ISNUMBER($W69),$W69&gt;=TODAY()),$W69,99999),IF(AND(ISNUMBER($X69),$X69&gt;=TODAY()),$X69,99999),IF(AND(ISNUMBER($Y69),$Y69&gt;=TODAY()),$Y69,99999))))</f>
        <v/>
      </c>
      <c r="N69" s="27" t="n"/>
      <c r="O69" s="27" t="n"/>
      <c r="P69" s="27" t="n"/>
      <c r="Q69" s="27" t="n"/>
      <c r="R69" s="27" t="n"/>
      <c r="S69" s="27" t="n"/>
      <c r="T69" s="27" t="n"/>
      <c r="U69" s="27" t="n"/>
      <c r="V69" s="27" t="n"/>
      <c r="W69" s="27" t="n"/>
      <c r="X69" s="27" t="n"/>
      <c r="Y69" s="27" t="n"/>
      <c r="Z69" s="27" t="n"/>
      <c r="AA69" s="27" t="n"/>
      <c r="AB69" s="27" t="n"/>
      <c r="AC69" s="30" t="n"/>
      <c r="AD69" s="25" t="n"/>
      <c r="AE69" s="28">
        <f>IF(NOT(AND($A69&lt;&gt;"",OR($I69="",$I69="Active"))),"",IF(OR(IF(OR(ISNUMBER($Y69),$Y69="DNA"),$Y69,IF(OR(ISNUMBER($X69),$X69="DNA"),$X69,IF(OR(ISNUMBER($W69),$W69="DNA"),$W69,IF(OR(ISNUMBER($V69),$V69="DNA"),$V69,IF(OR(ISNUMBER($U69),$U69="DNA"),$U69,IF(OR(ISNUMBER($T69),$T69="DNA"),$T69,IF(OR(ISNUMBER($S69),$S69="DNA"),$S69,IF(OR(ISNUMBER($P69),$P69="DNA"),$P69,IF(OR(ISNUMBER($O69),$O69="DNA"),$O69,IF(OR(ISNUMBER($N69),$N69="DNA"),$N69,""))))))))))="DNA",AND(ISNUMBER(IF(OR(ISNUMBER($Y69),$Y69="DNA"),$Y69,IF(OR(ISNUMBER($X69),$X69="DNA"),$X69,IF(OR(ISNUMBER($W69),$W69="DNA"),$W69,IF(OR(ISNUMBER($V69),$V69="DNA"),$V69,IF(OR(ISNUMBER($U69),$U69="DNA"),$U69,IF(OR(ISNUMBER($T69),$T69="DNA"),$T69,IF(OR(ISNUMBER($S69),$S69="DNA"),$S69,IF(OR(ISNUMBER($P69),$P69="DNA"),$P69,IF(OR(ISNUMBER($O69),$O69="DNA"),$O69,IF(OR(ISNUMBER($N69),$N69="DNA"),$N69,""))))))))))),IF(OR(ISNUMBER($Y69),$Y69="DNA"),$Y69,IF(OR(ISNUMBER($X69),$X69="DNA"),$X69,IF(OR(ISNUMBER($W69),$W69="DNA"),$W69,IF(OR(ISNUMBER($V69),$V69="DNA"),$V69,IF(OR(ISNUMBER($U69),$U69="DNA"),$U69,IF(OR(ISNUMBER($T69),$T69="DNA"),$T69,IF(OR(ISNUMBER($S69),$S69="DNA"),$S69,IF(OR(ISNUMBER($P69),$P69="DNA"),$P69,IF(OR(ISNUMBER($O69),$O69="DNA"),$O69,IF(OR(ISNUMBER($N69),$N69="DNA"),$N69,""))))))))))&lt;TODAY())),1,0)+ISNUMBER($Q69)*($Q69&lt;TODAY())+ISNUMBER($R69)*($R69&lt;TODAY())+ISNUMBER($AA69)*($AA69&lt;TODAY())+ISNUMBER($AB69)*($AB69&lt;TODAY()))</f>
        <v/>
      </c>
    </row>
    <row r="70">
      <c r="A70" s="25" t="n"/>
      <c r="B70" s="26" t="n"/>
      <c r="C70" s="27" t="n"/>
      <c r="D70" s="25" t="n"/>
      <c r="E70" s="25" t="n"/>
      <c r="F70" s="25" t="n"/>
      <c r="G70" s="25" t="n"/>
      <c r="H70" s="27" t="n"/>
      <c r="I70" s="25" t="n"/>
      <c r="J70" s="28">
        <f>IF(OR(NOT(AND($A70&lt;&gt;"",OR($I70="",$I70="Active"))),$H70=""),"",INT((TODAY()-$H70+280)/7)&amp;"+"&amp;MOD(TODAY()-$H70+280,7))</f>
        <v/>
      </c>
      <c r="K70" s="28">
        <f>IF(NOT(AND($A70&lt;&gt;"",OR($I70="",$I70="Active"))),"",ISNUMBER($N70)*($N70&gt;=TODAY())*($N70&lt;=TODAY()+7)+ISNUMBER($O70)*($O70&gt;=TODAY())*($O70&lt;=TODAY()+7)+ISNUMBER($P70)*($P70&gt;=TODAY())*($P70&lt;=TODAY()+7)+ISNUMBER($S70)*($S70&gt;=TODAY())*($S70&lt;=TODAY()+7)+ISNUMBER($T70)*($T70&gt;=TODAY())*($T70&lt;=TODAY()+7)+ISNUMBER($U70)*($U70&gt;=TODAY())*($U70&lt;=TODAY()+7)+ISNUMBER($V70)*($V70&gt;=TODAY())*($V70&lt;=TODAY()+7)+ISNUMBER($W70)*($W70&gt;=TODAY())*($W70&lt;=TODAY()+7)+ISNUMBER($X70)*($X70&gt;=TODAY())*($X70&lt;=TODAY()+7)+ISNUMBER($Y70)*($Y70&gt;=TODAY())*($Y70&lt;=TODAY()+7)+ISNUMBER($Q70)*($Q70&gt;=TODAY())*($Q70&lt;=TODAY()+7)+ISNUMBER($R70)*($R70&gt;=TODAY())*($R70&lt;=TODAY()+7)+ISNUMBER($AA70)*($AA70&gt;=TODAY())*($AA70&lt;=TODAY()+7)+ISNUMBER($AB70)*($AB70&gt;=TODAY())*($AB70&lt;=TODAY()+7))</f>
        <v/>
      </c>
      <c r="L70" s="28">
        <f>IF(NOT(AND($A70&lt;&gt;"",OR($I70="",$I70="Active"))),"",IF($M70&lt;&gt;"",IF($N70=$M70,"Booking",IF($O70=$M70,"16/40",IF($P70=$M70,"25/40",IF($S70=$M70,"28/40",IF($T70=$M70,"31/40",IF($U70=$M70,"34/40",IF($V70=$M70,"36/40",IF($W70=$M70,"38/40",IF($X70=$M70,"40/40",IF($Y70=$M70,"41/40","")))))))))),IF(IF(OR(ISNUMBER($Y70),$Y70="DNA"),$Y70,IF(OR(ISNUMBER($X70),$X70="DNA"),$X70,IF(OR(ISNUMBER($W70),$W70="DNA"),$W70,IF(OR(ISNUMBER($V70),$V70="DNA"),$V70,IF(OR(ISNUMBER($U70),$U70="DNA"),$U70,IF(OR(ISNUMBER($T70),$T70="DNA"),$T70,IF(OR(ISNUMBER($S70),$S70="DNA"),$S70,IF(OR(ISNUMBER($P70),$P70="DNA"),$P70,IF(OR(ISNUMBER($O70),$O70="DNA"),$O70,IF(OR(ISNUMBER($N70),$N70="DNA"),$N70,""))))))))))="DNA","Rebook DNA",IF(ISNUMBER(IF(OR(ISNUMBER($Y70),$Y70="DNA"),$Y70,IF(OR(ISNUMBER($X70),$X70="DNA"),$X70,IF(OR(ISNUMBER($W70),$W70="DNA"),$W70,IF(OR(ISNUMBER($V70),$V70="DNA"),$V70,IF(OR(ISNUMBER($U70),$U70="DNA"),$U70,IF(OR(ISNUMBER($T70),$T70="DNA"),$T70,IF(OR(ISNUMBER($S70),$S70="DNA"),$S70,IF(OR(ISNUMBER($P70),$P70="DNA"),$P70,IF(OR(ISNUMBER($O70),$O70="DNA"),$O70,IF(OR(ISNUMBER($N70),$N70="DNA"),$N70,""))))))))))),IF(ISNUMBER($Y70),"Update status","Missed/not booked?"),""))))</f>
        <v/>
      </c>
      <c r="M70" s="29">
        <f>IF(NOT(AND($A70&lt;&gt;"",OR($I70="",$I70="Active"))),"",IF(MIN(IF(AND(ISNUMBER($N70),$N70&gt;=TODAY()),$N70,99999),IF(AND(ISNUMBER($O70),$O70&gt;=TODAY()),$O70,99999),IF(AND(ISNUMBER($P70),$P70&gt;=TODAY()),$P70,99999),IF(AND(ISNUMBER($S70),$S70&gt;=TODAY()),$S70,99999),IF(AND(ISNUMBER($T70),$T70&gt;=TODAY()),$T70,99999),IF(AND(ISNUMBER($U70),$U70&gt;=TODAY()),$U70,99999),IF(AND(ISNUMBER($V70),$V70&gt;=TODAY()),$V70,99999),IF(AND(ISNUMBER($W70),$W70&gt;=TODAY()),$W70,99999),IF(AND(ISNUMBER($X70),$X70&gt;=TODAY()),$X70,99999),IF(AND(ISNUMBER($Y70),$Y70&gt;=TODAY()),$Y70,99999))=99999,"",MIN(IF(AND(ISNUMBER($N70),$N70&gt;=TODAY()),$N70,99999),IF(AND(ISNUMBER($O70),$O70&gt;=TODAY()),$O70,99999),IF(AND(ISNUMBER($P70),$P70&gt;=TODAY()),$P70,99999),IF(AND(ISNUMBER($S70),$S70&gt;=TODAY()),$S70,99999),IF(AND(ISNUMBER($T70),$T70&gt;=TODAY()),$T70,99999),IF(AND(ISNUMBER($U70),$U70&gt;=TODAY()),$U70,99999),IF(AND(ISNUMBER($V70),$V70&gt;=TODAY()),$V70,99999),IF(AND(ISNUMBER($W70),$W70&gt;=TODAY()),$W70,99999),IF(AND(ISNUMBER($X70),$X70&gt;=TODAY()),$X70,99999),IF(AND(ISNUMBER($Y70),$Y70&gt;=TODAY()),$Y70,99999))))</f>
        <v/>
      </c>
      <c r="N70" s="27" t="n"/>
      <c r="O70" s="27" t="n"/>
      <c r="P70" s="27" t="n"/>
      <c r="Q70" s="27" t="n"/>
      <c r="R70" s="27" t="n"/>
      <c r="S70" s="27" t="n"/>
      <c r="T70" s="27" t="n"/>
      <c r="U70" s="27" t="n"/>
      <c r="V70" s="27" t="n"/>
      <c r="W70" s="27" t="n"/>
      <c r="X70" s="27" t="n"/>
      <c r="Y70" s="27" t="n"/>
      <c r="Z70" s="27" t="n"/>
      <c r="AA70" s="27" t="n"/>
      <c r="AB70" s="27" t="n"/>
      <c r="AC70" s="30" t="n"/>
      <c r="AD70" s="25" t="n"/>
      <c r="AE70" s="28">
        <f>IF(NOT(AND($A70&lt;&gt;"",OR($I70="",$I70="Active"))),"",IF(OR(IF(OR(ISNUMBER($Y70),$Y70="DNA"),$Y70,IF(OR(ISNUMBER($X70),$X70="DNA"),$X70,IF(OR(ISNUMBER($W70),$W70="DNA"),$W70,IF(OR(ISNUMBER($V70),$V70="DNA"),$V70,IF(OR(ISNUMBER($U70),$U70="DNA"),$U70,IF(OR(ISNUMBER($T70),$T70="DNA"),$T70,IF(OR(ISNUMBER($S70),$S70="DNA"),$S70,IF(OR(ISNUMBER($P70),$P70="DNA"),$P70,IF(OR(ISNUMBER($O70),$O70="DNA"),$O70,IF(OR(ISNUMBER($N70),$N70="DNA"),$N70,""))))))))))="DNA",AND(ISNUMBER(IF(OR(ISNUMBER($Y70),$Y70="DNA"),$Y70,IF(OR(ISNUMBER($X70),$X70="DNA"),$X70,IF(OR(ISNUMBER($W70),$W70="DNA"),$W70,IF(OR(ISNUMBER($V70),$V70="DNA"),$V70,IF(OR(ISNUMBER($U70),$U70="DNA"),$U70,IF(OR(ISNUMBER($T70),$T70="DNA"),$T70,IF(OR(ISNUMBER($S70),$S70="DNA"),$S70,IF(OR(ISNUMBER($P70),$P70="DNA"),$P70,IF(OR(ISNUMBER($O70),$O70="DNA"),$O70,IF(OR(ISNUMBER($N70),$N70="DNA"),$N70,""))))))))))),IF(OR(ISNUMBER($Y70),$Y70="DNA"),$Y70,IF(OR(ISNUMBER($X70),$X70="DNA"),$X70,IF(OR(ISNUMBER($W70),$W70="DNA"),$W70,IF(OR(ISNUMBER($V70),$V70="DNA"),$V70,IF(OR(ISNUMBER($U70),$U70="DNA"),$U70,IF(OR(ISNUMBER($T70),$T70="DNA"),$T70,IF(OR(ISNUMBER($S70),$S70="DNA"),$S70,IF(OR(ISNUMBER($P70),$P70="DNA"),$P70,IF(OR(ISNUMBER($O70),$O70="DNA"),$O70,IF(OR(ISNUMBER($N70),$N70="DNA"),$N70,""))))))))))&lt;TODAY())),1,0)+ISNUMBER($Q70)*($Q70&lt;TODAY())+ISNUMBER($R70)*($R70&lt;TODAY())+ISNUMBER($AA70)*($AA70&lt;TODAY())+ISNUMBER($AB70)*($AB70&lt;TODAY()))</f>
        <v/>
      </c>
    </row>
    <row r="71">
      <c r="A71" s="25" t="n"/>
      <c r="B71" s="26" t="n"/>
      <c r="C71" s="27" t="n"/>
      <c r="D71" s="25" t="n"/>
      <c r="E71" s="25" t="n"/>
      <c r="F71" s="25" t="n"/>
      <c r="G71" s="25" t="n"/>
      <c r="H71" s="27" t="n"/>
      <c r="I71" s="25" t="n"/>
      <c r="J71" s="28">
        <f>IF(OR(NOT(AND($A71&lt;&gt;"",OR($I71="",$I71="Active"))),$H71=""),"",INT((TODAY()-$H71+280)/7)&amp;"+"&amp;MOD(TODAY()-$H71+280,7))</f>
        <v/>
      </c>
      <c r="K71" s="28">
        <f>IF(NOT(AND($A71&lt;&gt;"",OR($I71="",$I71="Active"))),"",ISNUMBER($N71)*($N71&gt;=TODAY())*($N71&lt;=TODAY()+7)+ISNUMBER($O71)*($O71&gt;=TODAY())*($O71&lt;=TODAY()+7)+ISNUMBER($P71)*($P71&gt;=TODAY())*($P71&lt;=TODAY()+7)+ISNUMBER($S71)*($S71&gt;=TODAY())*($S71&lt;=TODAY()+7)+ISNUMBER($T71)*($T71&gt;=TODAY())*($T71&lt;=TODAY()+7)+ISNUMBER($U71)*($U71&gt;=TODAY())*($U71&lt;=TODAY()+7)+ISNUMBER($V71)*($V71&gt;=TODAY())*($V71&lt;=TODAY()+7)+ISNUMBER($W71)*($W71&gt;=TODAY())*($W71&lt;=TODAY()+7)+ISNUMBER($X71)*($X71&gt;=TODAY())*($X71&lt;=TODAY()+7)+ISNUMBER($Y71)*($Y71&gt;=TODAY())*($Y71&lt;=TODAY()+7)+ISNUMBER($Q71)*($Q71&gt;=TODAY())*($Q71&lt;=TODAY()+7)+ISNUMBER($R71)*($R71&gt;=TODAY())*($R71&lt;=TODAY()+7)+ISNUMBER($AA71)*($AA71&gt;=TODAY())*($AA71&lt;=TODAY()+7)+ISNUMBER($AB71)*($AB71&gt;=TODAY())*($AB71&lt;=TODAY()+7))</f>
        <v/>
      </c>
      <c r="L71" s="28">
        <f>IF(NOT(AND($A71&lt;&gt;"",OR($I71="",$I71="Active"))),"",IF($M71&lt;&gt;"",IF($N71=$M71,"Booking",IF($O71=$M71,"16/40",IF($P71=$M71,"25/40",IF($S71=$M71,"28/40",IF($T71=$M71,"31/40",IF($U71=$M71,"34/40",IF($V71=$M71,"36/40",IF($W71=$M71,"38/40",IF($X71=$M71,"40/40",IF($Y71=$M71,"41/40","")))))))))),IF(IF(OR(ISNUMBER($Y71),$Y71="DNA"),$Y71,IF(OR(ISNUMBER($X71),$X71="DNA"),$X71,IF(OR(ISNUMBER($W71),$W71="DNA"),$W71,IF(OR(ISNUMBER($V71),$V71="DNA"),$V71,IF(OR(ISNUMBER($U71),$U71="DNA"),$U71,IF(OR(ISNUMBER($T71),$T71="DNA"),$T71,IF(OR(ISNUMBER($S71),$S71="DNA"),$S71,IF(OR(ISNUMBER($P71),$P71="DNA"),$P71,IF(OR(ISNUMBER($O71),$O71="DNA"),$O71,IF(OR(ISNUMBER($N71),$N71="DNA"),$N71,""))))))))))="DNA","Rebook DNA",IF(ISNUMBER(IF(OR(ISNUMBER($Y71),$Y71="DNA"),$Y71,IF(OR(ISNUMBER($X71),$X71="DNA"),$X71,IF(OR(ISNUMBER($W71),$W71="DNA"),$W71,IF(OR(ISNUMBER($V71),$V71="DNA"),$V71,IF(OR(ISNUMBER($U71),$U71="DNA"),$U71,IF(OR(ISNUMBER($T71),$T71="DNA"),$T71,IF(OR(ISNUMBER($S71),$S71="DNA"),$S71,IF(OR(ISNUMBER($P71),$P71="DNA"),$P71,IF(OR(ISNUMBER($O71),$O71="DNA"),$O71,IF(OR(ISNUMBER($N71),$N71="DNA"),$N71,""))))))))))),IF(ISNUMBER($Y71),"Update status","Missed/not booked?"),""))))</f>
        <v/>
      </c>
      <c r="M71" s="29">
        <f>IF(NOT(AND($A71&lt;&gt;"",OR($I71="",$I71="Active"))),"",IF(MIN(IF(AND(ISNUMBER($N71),$N71&gt;=TODAY()),$N71,99999),IF(AND(ISNUMBER($O71),$O71&gt;=TODAY()),$O71,99999),IF(AND(ISNUMBER($P71),$P71&gt;=TODAY()),$P71,99999),IF(AND(ISNUMBER($S71),$S71&gt;=TODAY()),$S71,99999),IF(AND(ISNUMBER($T71),$T71&gt;=TODAY()),$T71,99999),IF(AND(ISNUMBER($U71),$U71&gt;=TODAY()),$U71,99999),IF(AND(ISNUMBER($V71),$V71&gt;=TODAY()),$V71,99999),IF(AND(ISNUMBER($W71),$W71&gt;=TODAY()),$W71,99999),IF(AND(ISNUMBER($X71),$X71&gt;=TODAY()),$X71,99999),IF(AND(ISNUMBER($Y71),$Y71&gt;=TODAY()),$Y71,99999))=99999,"",MIN(IF(AND(ISNUMBER($N71),$N71&gt;=TODAY()),$N71,99999),IF(AND(ISNUMBER($O71),$O71&gt;=TODAY()),$O71,99999),IF(AND(ISNUMBER($P71),$P71&gt;=TODAY()),$P71,99999),IF(AND(ISNUMBER($S71),$S71&gt;=TODAY()),$S71,99999),IF(AND(ISNUMBER($T71),$T71&gt;=TODAY()),$T71,99999),IF(AND(ISNUMBER($U71),$U71&gt;=TODAY()),$U71,99999),IF(AND(ISNUMBER($V71),$V71&gt;=TODAY()),$V71,99999),IF(AND(ISNUMBER($W71),$W71&gt;=TODAY()),$W71,99999),IF(AND(ISNUMBER($X71),$X71&gt;=TODAY()),$X71,99999),IF(AND(ISNUMBER($Y71),$Y71&gt;=TODAY()),$Y71,99999))))</f>
        <v/>
      </c>
      <c r="N71" s="27" t="n"/>
      <c r="O71" s="27" t="n"/>
      <c r="P71" s="27" t="n"/>
      <c r="Q71" s="27" t="n"/>
      <c r="R71" s="27" t="n"/>
      <c r="S71" s="27" t="n"/>
      <c r="T71" s="27" t="n"/>
      <c r="U71" s="27" t="n"/>
      <c r="V71" s="27" t="n"/>
      <c r="W71" s="27" t="n"/>
      <c r="X71" s="27" t="n"/>
      <c r="Y71" s="27" t="n"/>
      <c r="Z71" s="27" t="n"/>
      <c r="AA71" s="27" t="n"/>
      <c r="AB71" s="27" t="n"/>
      <c r="AC71" s="30" t="n"/>
      <c r="AD71" s="25" t="n"/>
      <c r="AE71" s="28">
        <f>IF(NOT(AND($A71&lt;&gt;"",OR($I71="",$I71="Active"))),"",IF(OR(IF(OR(ISNUMBER($Y71),$Y71="DNA"),$Y71,IF(OR(ISNUMBER($X71),$X71="DNA"),$X71,IF(OR(ISNUMBER($W71),$W71="DNA"),$W71,IF(OR(ISNUMBER($V71),$V71="DNA"),$V71,IF(OR(ISNUMBER($U71),$U71="DNA"),$U71,IF(OR(ISNUMBER($T71),$T71="DNA"),$T71,IF(OR(ISNUMBER($S71),$S71="DNA"),$S71,IF(OR(ISNUMBER($P71),$P71="DNA"),$P71,IF(OR(ISNUMBER($O71),$O71="DNA"),$O71,IF(OR(ISNUMBER($N71),$N71="DNA"),$N71,""))))))))))="DNA",AND(ISNUMBER(IF(OR(ISNUMBER($Y71),$Y71="DNA"),$Y71,IF(OR(ISNUMBER($X71),$X71="DNA"),$X71,IF(OR(ISNUMBER($W71),$W71="DNA"),$W71,IF(OR(ISNUMBER($V71),$V71="DNA"),$V71,IF(OR(ISNUMBER($U71),$U71="DNA"),$U71,IF(OR(ISNUMBER($T71),$T71="DNA"),$T71,IF(OR(ISNUMBER($S71),$S71="DNA"),$S71,IF(OR(ISNUMBER($P71),$P71="DNA"),$P71,IF(OR(ISNUMBER($O71),$O71="DNA"),$O71,IF(OR(ISNUMBER($N71),$N71="DNA"),$N71,""))))))))))),IF(OR(ISNUMBER($Y71),$Y71="DNA"),$Y71,IF(OR(ISNUMBER($X71),$X71="DNA"),$X71,IF(OR(ISNUMBER($W71),$W71="DNA"),$W71,IF(OR(ISNUMBER($V71),$V71="DNA"),$V71,IF(OR(ISNUMBER($U71),$U71="DNA"),$U71,IF(OR(ISNUMBER($T71),$T71="DNA"),$T71,IF(OR(ISNUMBER($S71),$S71="DNA"),$S71,IF(OR(ISNUMBER($P71),$P71="DNA"),$P71,IF(OR(ISNUMBER($O71),$O71="DNA"),$O71,IF(OR(ISNUMBER($N71),$N71="DNA"),$N71,""))))))))))&lt;TODAY())),1,0)+ISNUMBER($Q71)*($Q71&lt;TODAY())+ISNUMBER($R71)*($R71&lt;TODAY())+ISNUMBER($AA71)*($AA71&lt;TODAY())+ISNUMBER($AB71)*($AB71&lt;TODAY()))</f>
        <v/>
      </c>
    </row>
    <row r="72">
      <c r="A72" s="25" t="n"/>
      <c r="B72" s="26" t="n"/>
      <c r="C72" s="27" t="n"/>
      <c r="D72" s="25" t="n"/>
      <c r="E72" s="25" t="n"/>
      <c r="F72" s="25" t="n"/>
      <c r="G72" s="25" t="n"/>
      <c r="H72" s="27" t="n"/>
      <c r="I72" s="25" t="n"/>
      <c r="J72" s="28">
        <f>IF(OR(NOT(AND($A72&lt;&gt;"",OR($I72="",$I72="Active"))),$H72=""),"",INT((TODAY()-$H72+280)/7)&amp;"+"&amp;MOD(TODAY()-$H72+280,7))</f>
        <v/>
      </c>
      <c r="K72" s="28">
        <f>IF(NOT(AND($A72&lt;&gt;"",OR($I72="",$I72="Active"))),"",ISNUMBER($N72)*($N72&gt;=TODAY())*($N72&lt;=TODAY()+7)+ISNUMBER($O72)*($O72&gt;=TODAY())*($O72&lt;=TODAY()+7)+ISNUMBER($P72)*($P72&gt;=TODAY())*($P72&lt;=TODAY()+7)+ISNUMBER($S72)*($S72&gt;=TODAY())*($S72&lt;=TODAY()+7)+ISNUMBER($T72)*($T72&gt;=TODAY())*($T72&lt;=TODAY()+7)+ISNUMBER($U72)*($U72&gt;=TODAY())*($U72&lt;=TODAY()+7)+ISNUMBER($V72)*($V72&gt;=TODAY())*($V72&lt;=TODAY()+7)+ISNUMBER($W72)*($W72&gt;=TODAY())*($W72&lt;=TODAY()+7)+ISNUMBER($X72)*($X72&gt;=TODAY())*($X72&lt;=TODAY()+7)+ISNUMBER($Y72)*($Y72&gt;=TODAY())*($Y72&lt;=TODAY()+7)+ISNUMBER($Q72)*($Q72&gt;=TODAY())*($Q72&lt;=TODAY()+7)+ISNUMBER($R72)*($R72&gt;=TODAY())*($R72&lt;=TODAY()+7)+ISNUMBER($AA72)*($AA72&gt;=TODAY())*($AA72&lt;=TODAY()+7)+ISNUMBER($AB72)*($AB72&gt;=TODAY())*($AB72&lt;=TODAY()+7))</f>
        <v/>
      </c>
      <c r="L72" s="28">
        <f>IF(NOT(AND($A72&lt;&gt;"",OR($I72="",$I72="Active"))),"",IF($M72&lt;&gt;"",IF($N72=$M72,"Booking",IF($O72=$M72,"16/40",IF($P72=$M72,"25/40",IF($S72=$M72,"28/40",IF($T72=$M72,"31/40",IF($U72=$M72,"34/40",IF($V72=$M72,"36/40",IF($W72=$M72,"38/40",IF($X72=$M72,"40/40",IF($Y72=$M72,"41/40","")))))))))),IF(IF(OR(ISNUMBER($Y72),$Y72="DNA"),$Y72,IF(OR(ISNUMBER($X72),$X72="DNA"),$X72,IF(OR(ISNUMBER($W72),$W72="DNA"),$W72,IF(OR(ISNUMBER($V72),$V72="DNA"),$V72,IF(OR(ISNUMBER($U72),$U72="DNA"),$U72,IF(OR(ISNUMBER($T72),$T72="DNA"),$T72,IF(OR(ISNUMBER($S72),$S72="DNA"),$S72,IF(OR(ISNUMBER($P72),$P72="DNA"),$P72,IF(OR(ISNUMBER($O72),$O72="DNA"),$O72,IF(OR(ISNUMBER($N72),$N72="DNA"),$N72,""))))))))))="DNA","Rebook DNA",IF(ISNUMBER(IF(OR(ISNUMBER($Y72),$Y72="DNA"),$Y72,IF(OR(ISNUMBER($X72),$X72="DNA"),$X72,IF(OR(ISNUMBER($W72),$W72="DNA"),$W72,IF(OR(ISNUMBER($V72),$V72="DNA"),$V72,IF(OR(ISNUMBER($U72),$U72="DNA"),$U72,IF(OR(ISNUMBER($T72),$T72="DNA"),$T72,IF(OR(ISNUMBER($S72),$S72="DNA"),$S72,IF(OR(ISNUMBER($P72),$P72="DNA"),$P72,IF(OR(ISNUMBER($O72),$O72="DNA"),$O72,IF(OR(ISNUMBER($N72),$N72="DNA"),$N72,""))))))))))),IF(ISNUMBER($Y72),"Update status","Missed/not booked?"),""))))</f>
        <v/>
      </c>
      <c r="M72" s="29">
        <f>IF(NOT(AND($A72&lt;&gt;"",OR($I72="",$I72="Active"))),"",IF(MIN(IF(AND(ISNUMBER($N72),$N72&gt;=TODAY()),$N72,99999),IF(AND(ISNUMBER($O72),$O72&gt;=TODAY()),$O72,99999),IF(AND(ISNUMBER($P72),$P72&gt;=TODAY()),$P72,99999),IF(AND(ISNUMBER($S72),$S72&gt;=TODAY()),$S72,99999),IF(AND(ISNUMBER($T72),$T72&gt;=TODAY()),$T72,99999),IF(AND(ISNUMBER($U72),$U72&gt;=TODAY()),$U72,99999),IF(AND(ISNUMBER($V72),$V72&gt;=TODAY()),$V72,99999),IF(AND(ISNUMBER($W72),$W72&gt;=TODAY()),$W72,99999),IF(AND(ISNUMBER($X72),$X72&gt;=TODAY()),$X72,99999),IF(AND(ISNUMBER($Y72),$Y72&gt;=TODAY()),$Y72,99999))=99999,"",MIN(IF(AND(ISNUMBER($N72),$N72&gt;=TODAY()),$N72,99999),IF(AND(ISNUMBER($O72),$O72&gt;=TODAY()),$O72,99999),IF(AND(ISNUMBER($P72),$P72&gt;=TODAY()),$P72,99999),IF(AND(ISNUMBER($S72),$S72&gt;=TODAY()),$S72,99999),IF(AND(ISNUMBER($T72),$T72&gt;=TODAY()),$T72,99999),IF(AND(ISNUMBER($U72),$U72&gt;=TODAY()),$U72,99999),IF(AND(ISNUMBER($V72),$V72&gt;=TODAY()),$V72,99999),IF(AND(ISNUMBER($W72),$W72&gt;=TODAY()),$W72,99999),IF(AND(ISNUMBER($X72),$X72&gt;=TODAY()),$X72,99999),IF(AND(ISNUMBER($Y72),$Y72&gt;=TODAY()),$Y72,99999))))</f>
        <v/>
      </c>
      <c r="N72" s="27" t="n"/>
      <c r="O72" s="27" t="n"/>
      <c r="P72" s="27" t="n"/>
      <c r="Q72" s="27" t="n"/>
      <c r="R72" s="27" t="n"/>
      <c r="S72" s="27" t="n"/>
      <c r="T72" s="27" t="n"/>
      <c r="U72" s="27" t="n"/>
      <c r="V72" s="27" t="n"/>
      <c r="W72" s="27" t="n"/>
      <c r="X72" s="27" t="n"/>
      <c r="Y72" s="27" t="n"/>
      <c r="Z72" s="27" t="n"/>
      <c r="AA72" s="27" t="n"/>
      <c r="AB72" s="27" t="n"/>
      <c r="AC72" s="30" t="n"/>
      <c r="AD72" s="25" t="n"/>
      <c r="AE72" s="28">
        <f>IF(NOT(AND($A72&lt;&gt;"",OR($I72="",$I72="Active"))),"",IF(OR(IF(OR(ISNUMBER($Y72),$Y72="DNA"),$Y72,IF(OR(ISNUMBER($X72),$X72="DNA"),$X72,IF(OR(ISNUMBER($W72),$W72="DNA"),$W72,IF(OR(ISNUMBER($V72),$V72="DNA"),$V72,IF(OR(ISNUMBER($U72),$U72="DNA"),$U72,IF(OR(ISNUMBER($T72),$T72="DNA"),$T72,IF(OR(ISNUMBER($S72),$S72="DNA"),$S72,IF(OR(ISNUMBER($P72),$P72="DNA"),$P72,IF(OR(ISNUMBER($O72),$O72="DNA"),$O72,IF(OR(ISNUMBER($N72),$N72="DNA"),$N72,""))))))))))="DNA",AND(ISNUMBER(IF(OR(ISNUMBER($Y72),$Y72="DNA"),$Y72,IF(OR(ISNUMBER($X72),$X72="DNA"),$X72,IF(OR(ISNUMBER($W72),$W72="DNA"),$W72,IF(OR(ISNUMBER($V72),$V72="DNA"),$V72,IF(OR(ISNUMBER($U72),$U72="DNA"),$U72,IF(OR(ISNUMBER($T72),$T72="DNA"),$T72,IF(OR(ISNUMBER($S72),$S72="DNA"),$S72,IF(OR(ISNUMBER($P72),$P72="DNA"),$P72,IF(OR(ISNUMBER($O72),$O72="DNA"),$O72,IF(OR(ISNUMBER($N72),$N72="DNA"),$N72,""))))))))))),IF(OR(ISNUMBER($Y72),$Y72="DNA"),$Y72,IF(OR(ISNUMBER($X72),$X72="DNA"),$X72,IF(OR(ISNUMBER($W72),$W72="DNA"),$W72,IF(OR(ISNUMBER($V72),$V72="DNA"),$V72,IF(OR(ISNUMBER($U72),$U72="DNA"),$U72,IF(OR(ISNUMBER($T72),$T72="DNA"),$T72,IF(OR(ISNUMBER($S72),$S72="DNA"),$S72,IF(OR(ISNUMBER($P72),$P72="DNA"),$P72,IF(OR(ISNUMBER($O72),$O72="DNA"),$O72,IF(OR(ISNUMBER($N72),$N72="DNA"),$N72,""))))))))))&lt;TODAY())),1,0)+ISNUMBER($Q72)*($Q72&lt;TODAY())+ISNUMBER($R72)*($R72&lt;TODAY())+ISNUMBER($AA72)*($AA72&lt;TODAY())+ISNUMBER($AB72)*($AB72&lt;TODAY()))</f>
        <v/>
      </c>
    </row>
    <row r="73">
      <c r="A73" s="25" t="n"/>
      <c r="B73" s="26" t="n"/>
      <c r="C73" s="27" t="n"/>
      <c r="D73" s="25" t="n"/>
      <c r="E73" s="25" t="n"/>
      <c r="F73" s="25" t="n"/>
      <c r="G73" s="25" t="n"/>
      <c r="H73" s="27" t="n"/>
      <c r="I73" s="25" t="n"/>
      <c r="J73" s="28">
        <f>IF(OR(NOT(AND($A73&lt;&gt;"",OR($I73="",$I73="Active"))),$H73=""),"",INT((TODAY()-$H73+280)/7)&amp;"+"&amp;MOD(TODAY()-$H73+280,7))</f>
        <v/>
      </c>
      <c r="K73" s="28">
        <f>IF(NOT(AND($A73&lt;&gt;"",OR($I73="",$I73="Active"))),"",ISNUMBER($N73)*($N73&gt;=TODAY())*($N73&lt;=TODAY()+7)+ISNUMBER($O73)*($O73&gt;=TODAY())*($O73&lt;=TODAY()+7)+ISNUMBER($P73)*($P73&gt;=TODAY())*($P73&lt;=TODAY()+7)+ISNUMBER($S73)*($S73&gt;=TODAY())*($S73&lt;=TODAY()+7)+ISNUMBER($T73)*($T73&gt;=TODAY())*($T73&lt;=TODAY()+7)+ISNUMBER($U73)*($U73&gt;=TODAY())*($U73&lt;=TODAY()+7)+ISNUMBER($V73)*($V73&gt;=TODAY())*($V73&lt;=TODAY()+7)+ISNUMBER($W73)*($W73&gt;=TODAY())*($W73&lt;=TODAY()+7)+ISNUMBER($X73)*($X73&gt;=TODAY())*($X73&lt;=TODAY()+7)+ISNUMBER($Y73)*($Y73&gt;=TODAY())*($Y73&lt;=TODAY()+7)+ISNUMBER($Q73)*($Q73&gt;=TODAY())*($Q73&lt;=TODAY()+7)+ISNUMBER($R73)*($R73&gt;=TODAY())*($R73&lt;=TODAY()+7)+ISNUMBER($AA73)*($AA73&gt;=TODAY())*($AA73&lt;=TODAY()+7)+ISNUMBER($AB73)*($AB73&gt;=TODAY())*($AB73&lt;=TODAY()+7))</f>
        <v/>
      </c>
      <c r="L73" s="28">
        <f>IF(NOT(AND($A73&lt;&gt;"",OR($I73="",$I73="Active"))),"",IF($M73&lt;&gt;"",IF($N73=$M73,"Booking",IF($O73=$M73,"16/40",IF($P73=$M73,"25/40",IF($S73=$M73,"28/40",IF($T73=$M73,"31/40",IF($U73=$M73,"34/40",IF($V73=$M73,"36/40",IF($W73=$M73,"38/40",IF($X73=$M73,"40/40",IF($Y73=$M73,"41/40","")))))))))),IF(IF(OR(ISNUMBER($Y73),$Y73="DNA"),$Y73,IF(OR(ISNUMBER($X73),$X73="DNA"),$X73,IF(OR(ISNUMBER($W73),$W73="DNA"),$W73,IF(OR(ISNUMBER($V73),$V73="DNA"),$V73,IF(OR(ISNUMBER($U73),$U73="DNA"),$U73,IF(OR(ISNUMBER($T73),$T73="DNA"),$T73,IF(OR(ISNUMBER($S73),$S73="DNA"),$S73,IF(OR(ISNUMBER($P73),$P73="DNA"),$P73,IF(OR(ISNUMBER($O73),$O73="DNA"),$O73,IF(OR(ISNUMBER($N73),$N73="DNA"),$N73,""))))))))))="DNA","Rebook DNA",IF(ISNUMBER(IF(OR(ISNUMBER($Y73),$Y73="DNA"),$Y73,IF(OR(ISNUMBER($X73),$X73="DNA"),$X73,IF(OR(ISNUMBER($W73),$W73="DNA"),$W73,IF(OR(ISNUMBER($V73),$V73="DNA"),$V73,IF(OR(ISNUMBER($U73),$U73="DNA"),$U73,IF(OR(ISNUMBER($T73),$T73="DNA"),$T73,IF(OR(ISNUMBER($S73),$S73="DNA"),$S73,IF(OR(ISNUMBER($P73),$P73="DNA"),$P73,IF(OR(ISNUMBER($O73),$O73="DNA"),$O73,IF(OR(ISNUMBER($N73),$N73="DNA"),$N73,""))))))))))),IF(ISNUMBER($Y73),"Update status","Missed/not booked?"),""))))</f>
        <v/>
      </c>
      <c r="M73" s="29">
        <f>IF(NOT(AND($A73&lt;&gt;"",OR($I73="",$I73="Active"))),"",IF(MIN(IF(AND(ISNUMBER($N73),$N73&gt;=TODAY()),$N73,99999),IF(AND(ISNUMBER($O73),$O73&gt;=TODAY()),$O73,99999),IF(AND(ISNUMBER($P73),$P73&gt;=TODAY()),$P73,99999),IF(AND(ISNUMBER($S73),$S73&gt;=TODAY()),$S73,99999),IF(AND(ISNUMBER($T73),$T73&gt;=TODAY()),$T73,99999),IF(AND(ISNUMBER($U73),$U73&gt;=TODAY()),$U73,99999),IF(AND(ISNUMBER($V73),$V73&gt;=TODAY()),$V73,99999),IF(AND(ISNUMBER($W73),$W73&gt;=TODAY()),$W73,99999),IF(AND(ISNUMBER($X73),$X73&gt;=TODAY()),$X73,99999),IF(AND(ISNUMBER($Y73),$Y73&gt;=TODAY()),$Y73,99999))=99999,"",MIN(IF(AND(ISNUMBER($N73),$N73&gt;=TODAY()),$N73,99999),IF(AND(ISNUMBER($O73),$O73&gt;=TODAY()),$O73,99999),IF(AND(ISNUMBER($P73),$P73&gt;=TODAY()),$P73,99999),IF(AND(ISNUMBER($S73),$S73&gt;=TODAY()),$S73,99999),IF(AND(ISNUMBER($T73),$T73&gt;=TODAY()),$T73,99999),IF(AND(ISNUMBER($U73),$U73&gt;=TODAY()),$U73,99999),IF(AND(ISNUMBER($V73),$V73&gt;=TODAY()),$V73,99999),IF(AND(ISNUMBER($W73),$W73&gt;=TODAY()),$W73,99999),IF(AND(ISNUMBER($X73),$X73&gt;=TODAY()),$X73,99999),IF(AND(ISNUMBER($Y73),$Y73&gt;=TODAY()),$Y73,99999))))</f>
        <v/>
      </c>
      <c r="N73" s="27" t="n"/>
      <c r="O73" s="27" t="n"/>
      <c r="P73" s="27" t="n"/>
      <c r="Q73" s="27" t="n"/>
      <c r="R73" s="27" t="n"/>
      <c r="S73" s="27" t="n"/>
      <c r="T73" s="27" t="n"/>
      <c r="U73" s="27" t="n"/>
      <c r="V73" s="27" t="n"/>
      <c r="W73" s="27" t="n"/>
      <c r="X73" s="27" t="n"/>
      <c r="Y73" s="27" t="n"/>
      <c r="Z73" s="27" t="n"/>
      <c r="AA73" s="27" t="n"/>
      <c r="AB73" s="27" t="n"/>
      <c r="AC73" s="30" t="n"/>
      <c r="AD73" s="25" t="n"/>
      <c r="AE73" s="28">
        <f>IF(NOT(AND($A73&lt;&gt;"",OR($I73="",$I73="Active"))),"",IF(OR(IF(OR(ISNUMBER($Y73),$Y73="DNA"),$Y73,IF(OR(ISNUMBER($X73),$X73="DNA"),$X73,IF(OR(ISNUMBER($W73),$W73="DNA"),$W73,IF(OR(ISNUMBER($V73),$V73="DNA"),$V73,IF(OR(ISNUMBER($U73),$U73="DNA"),$U73,IF(OR(ISNUMBER($T73),$T73="DNA"),$T73,IF(OR(ISNUMBER($S73),$S73="DNA"),$S73,IF(OR(ISNUMBER($P73),$P73="DNA"),$P73,IF(OR(ISNUMBER($O73),$O73="DNA"),$O73,IF(OR(ISNUMBER($N73),$N73="DNA"),$N73,""))))))))))="DNA",AND(ISNUMBER(IF(OR(ISNUMBER($Y73),$Y73="DNA"),$Y73,IF(OR(ISNUMBER($X73),$X73="DNA"),$X73,IF(OR(ISNUMBER($W73),$W73="DNA"),$W73,IF(OR(ISNUMBER($V73),$V73="DNA"),$V73,IF(OR(ISNUMBER($U73),$U73="DNA"),$U73,IF(OR(ISNUMBER($T73),$T73="DNA"),$T73,IF(OR(ISNUMBER($S73),$S73="DNA"),$S73,IF(OR(ISNUMBER($P73),$P73="DNA"),$P73,IF(OR(ISNUMBER($O73),$O73="DNA"),$O73,IF(OR(ISNUMBER($N73),$N73="DNA"),$N73,""))))))))))),IF(OR(ISNUMBER($Y73),$Y73="DNA"),$Y73,IF(OR(ISNUMBER($X73),$X73="DNA"),$X73,IF(OR(ISNUMBER($W73),$W73="DNA"),$W73,IF(OR(ISNUMBER($V73),$V73="DNA"),$V73,IF(OR(ISNUMBER($U73),$U73="DNA"),$U73,IF(OR(ISNUMBER($T73),$T73="DNA"),$T73,IF(OR(ISNUMBER($S73),$S73="DNA"),$S73,IF(OR(ISNUMBER($P73),$P73="DNA"),$P73,IF(OR(ISNUMBER($O73),$O73="DNA"),$O73,IF(OR(ISNUMBER($N73),$N73="DNA"),$N73,""))))))))))&lt;TODAY())),1,0)+ISNUMBER($Q73)*($Q73&lt;TODAY())+ISNUMBER($R73)*($R73&lt;TODAY())+ISNUMBER($AA73)*($AA73&lt;TODAY())+ISNUMBER($AB73)*($AB73&lt;TODAY()))</f>
        <v/>
      </c>
    </row>
    <row r="74">
      <c r="A74" s="25" t="n"/>
      <c r="B74" s="26" t="n"/>
      <c r="C74" s="27" t="n"/>
      <c r="D74" s="25" t="n"/>
      <c r="E74" s="25" t="n"/>
      <c r="F74" s="25" t="n"/>
      <c r="G74" s="25" t="n"/>
      <c r="H74" s="27" t="n"/>
      <c r="I74" s="25" t="n"/>
      <c r="J74" s="28">
        <f>IF(OR(NOT(AND($A74&lt;&gt;"",OR($I74="",$I74="Active"))),$H74=""),"",INT((TODAY()-$H74+280)/7)&amp;"+"&amp;MOD(TODAY()-$H74+280,7))</f>
        <v/>
      </c>
      <c r="K74" s="28">
        <f>IF(NOT(AND($A74&lt;&gt;"",OR($I74="",$I74="Active"))),"",ISNUMBER($N74)*($N74&gt;=TODAY())*($N74&lt;=TODAY()+7)+ISNUMBER($O74)*($O74&gt;=TODAY())*($O74&lt;=TODAY()+7)+ISNUMBER($P74)*($P74&gt;=TODAY())*($P74&lt;=TODAY()+7)+ISNUMBER($S74)*($S74&gt;=TODAY())*($S74&lt;=TODAY()+7)+ISNUMBER($T74)*($T74&gt;=TODAY())*($T74&lt;=TODAY()+7)+ISNUMBER($U74)*($U74&gt;=TODAY())*($U74&lt;=TODAY()+7)+ISNUMBER($V74)*($V74&gt;=TODAY())*($V74&lt;=TODAY()+7)+ISNUMBER($W74)*($W74&gt;=TODAY())*($W74&lt;=TODAY()+7)+ISNUMBER($X74)*($X74&gt;=TODAY())*($X74&lt;=TODAY()+7)+ISNUMBER($Y74)*($Y74&gt;=TODAY())*($Y74&lt;=TODAY()+7)+ISNUMBER($Q74)*($Q74&gt;=TODAY())*($Q74&lt;=TODAY()+7)+ISNUMBER($R74)*($R74&gt;=TODAY())*($R74&lt;=TODAY()+7)+ISNUMBER($AA74)*($AA74&gt;=TODAY())*($AA74&lt;=TODAY()+7)+ISNUMBER($AB74)*($AB74&gt;=TODAY())*($AB74&lt;=TODAY()+7))</f>
        <v/>
      </c>
      <c r="L74" s="28">
        <f>IF(NOT(AND($A74&lt;&gt;"",OR($I74="",$I74="Active"))),"",IF($M74&lt;&gt;"",IF($N74=$M74,"Booking",IF($O74=$M74,"16/40",IF($P74=$M74,"25/40",IF($S74=$M74,"28/40",IF($T74=$M74,"31/40",IF($U74=$M74,"34/40",IF($V74=$M74,"36/40",IF($W74=$M74,"38/40",IF($X74=$M74,"40/40",IF($Y74=$M74,"41/40","")))))))))),IF(IF(OR(ISNUMBER($Y74),$Y74="DNA"),$Y74,IF(OR(ISNUMBER($X74),$X74="DNA"),$X74,IF(OR(ISNUMBER($W74),$W74="DNA"),$W74,IF(OR(ISNUMBER($V74),$V74="DNA"),$V74,IF(OR(ISNUMBER($U74),$U74="DNA"),$U74,IF(OR(ISNUMBER($T74),$T74="DNA"),$T74,IF(OR(ISNUMBER($S74),$S74="DNA"),$S74,IF(OR(ISNUMBER($P74),$P74="DNA"),$P74,IF(OR(ISNUMBER($O74),$O74="DNA"),$O74,IF(OR(ISNUMBER($N74),$N74="DNA"),$N74,""))))))))))="DNA","Rebook DNA",IF(ISNUMBER(IF(OR(ISNUMBER($Y74),$Y74="DNA"),$Y74,IF(OR(ISNUMBER($X74),$X74="DNA"),$X74,IF(OR(ISNUMBER($W74),$W74="DNA"),$W74,IF(OR(ISNUMBER($V74),$V74="DNA"),$V74,IF(OR(ISNUMBER($U74),$U74="DNA"),$U74,IF(OR(ISNUMBER($T74),$T74="DNA"),$T74,IF(OR(ISNUMBER($S74),$S74="DNA"),$S74,IF(OR(ISNUMBER($P74),$P74="DNA"),$P74,IF(OR(ISNUMBER($O74),$O74="DNA"),$O74,IF(OR(ISNUMBER($N74),$N74="DNA"),$N74,""))))))))))),IF(ISNUMBER($Y74),"Update status","Missed/not booked?"),""))))</f>
        <v/>
      </c>
      <c r="M74" s="29">
        <f>IF(NOT(AND($A74&lt;&gt;"",OR($I74="",$I74="Active"))),"",IF(MIN(IF(AND(ISNUMBER($N74),$N74&gt;=TODAY()),$N74,99999),IF(AND(ISNUMBER($O74),$O74&gt;=TODAY()),$O74,99999),IF(AND(ISNUMBER($P74),$P74&gt;=TODAY()),$P74,99999),IF(AND(ISNUMBER($S74),$S74&gt;=TODAY()),$S74,99999),IF(AND(ISNUMBER($T74),$T74&gt;=TODAY()),$T74,99999),IF(AND(ISNUMBER($U74),$U74&gt;=TODAY()),$U74,99999),IF(AND(ISNUMBER($V74),$V74&gt;=TODAY()),$V74,99999),IF(AND(ISNUMBER($W74),$W74&gt;=TODAY()),$W74,99999),IF(AND(ISNUMBER($X74),$X74&gt;=TODAY()),$X74,99999),IF(AND(ISNUMBER($Y74),$Y74&gt;=TODAY()),$Y74,99999))=99999,"",MIN(IF(AND(ISNUMBER($N74),$N74&gt;=TODAY()),$N74,99999),IF(AND(ISNUMBER($O74),$O74&gt;=TODAY()),$O74,99999),IF(AND(ISNUMBER($P74),$P74&gt;=TODAY()),$P74,99999),IF(AND(ISNUMBER($S74),$S74&gt;=TODAY()),$S74,99999),IF(AND(ISNUMBER($T74),$T74&gt;=TODAY()),$T74,99999),IF(AND(ISNUMBER($U74),$U74&gt;=TODAY()),$U74,99999),IF(AND(ISNUMBER($V74),$V74&gt;=TODAY()),$V74,99999),IF(AND(ISNUMBER($W74),$W74&gt;=TODAY()),$W74,99999),IF(AND(ISNUMBER($X74),$X74&gt;=TODAY()),$X74,99999),IF(AND(ISNUMBER($Y74),$Y74&gt;=TODAY()),$Y74,99999))))</f>
        <v/>
      </c>
      <c r="N74" s="27" t="n"/>
      <c r="O74" s="27" t="n"/>
      <c r="P74" s="27" t="n"/>
      <c r="Q74" s="27" t="n"/>
      <c r="R74" s="27" t="n"/>
      <c r="S74" s="27" t="n"/>
      <c r="T74" s="27" t="n"/>
      <c r="U74" s="27" t="n"/>
      <c r="V74" s="27" t="n"/>
      <c r="W74" s="27" t="n"/>
      <c r="X74" s="27" t="n"/>
      <c r="Y74" s="27" t="n"/>
      <c r="Z74" s="27" t="n"/>
      <c r="AA74" s="27" t="n"/>
      <c r="AB74" s="27" t="n"/>
      <c r="AC74" s="30" t="n"/>
      <c r="AD74" s="25" t="n"/>
      <c r="AE74" s="28">
        <f>IF(NOT(AND($A74&lt;&gt;"",OR($I74="",$I74="Active"))),"",IF(OR(IF(OR(ISNUMBER($Y74),$Y74="DNA"),$Y74,IF(OR(ISNUMBER($X74),$X74="DNA"),$X74,IF(OR(ISNUMBER($W74),$W74="DNA"),$W74,IF(OR(ISNUMBER($V74),$V74="DNA"),$V74,IF(OR(ISNUMBER($U74),$U74="DNA"),$U74,IF(OR(ISNUMBER($T74),$T74="DNA"),$T74,IF(OR(ISNUMBER($S74),$S74="DNA"),$S74,IF(OR(ISNUMBER($P74),$P74="DNA"),$P74,IF(OR(ISNUMBER($O74),$O74="DNA"),$O74,IF(OR(ISNUMBER($N74),$N74="DNA"),$N74,""))))))))))="DNA",AND(ISNUMBER(IF(OR(ISNUMBER($Y74),$Y74="DNA"),$Y74,IF(OR(ISNUMBER($X74),$X74="DNA"),$X74,IF(OR(ISNUMBER($W74),$W74="DNA"),$W74,IF(OR(ISNUMBER($V74),$V74="DNA"),$V74,IF(OR(ISNUMBER($U74),$U74="DNA"),$U74,IF(OR(ISNUMBER($T74),$T74="DNA"),$T74,IF(OR(ISNUMBER($S74),$S74="DNA"),$S74,IF(OR(ISNUMBER($P74),$P74="DNA"),$P74,IF(OR(ISNUMBER($O74),$O74="DNA"),$O74,IF(OR(ISNUMBER($N74),$N74="DNA"),$N74,""))))))))))),IF(OR(ISNUMBER($Y74),$Y74="DNA"),$Y74,IF(OR(ISNUMBER($X74),$X74="DNA"),$X74,IF(OR(ISNUMBER($W74),$W74="DNA"),$W74,IF(OR(ISNUMBER($V74),$V74="DNA"),$V74,IF(OR(ISNUMBER($U74),$U74="DNA"),$U74,IF(OR(ISNUMBER($T74),$T74="DNA"),$T74,IF(OR(ISNUMBER($S74),$S74="DNA"),$S74,IF(OR(ISNUMBER($P74),$P74="DNA"),$P74,IF(OR(ISNUMBER($O74),$O74="DNA"),$O74,IF(OR(ISNUMBER($N74),$N74="DNA"),$N74,""))))))))))&lt;TODAY())),1,0)+ISNUMBER($Q74)*($Q74&lt;TODAY())+ISNUMBER($R74)*($R74&lt;TODAY())+ISNUMBER($AA74)*($AA74&lt;TODAY())+ISNUMBER($AB74)*($AB74&lt;TODAY()))</f>
        <v/>
      </c>
    </row>
    <row r="75">
      <c r="A75" s="25" t="n"/>
      <c r="B75" s="26" t="n"/>
      <c r="C75" s="27" t="n"/>
      <c r="D75" s="25" t="n"/>
      <c r="E75" s="25" t="n"/>
      <c r="F75" s="25" t="n"/>
      <c r="G75" s="25" t="n"/>
      <c r="H75" s="27" t="n"/>
      <c r="I75" s="25" t="n"/>
      <c r="J75" s="28">
        <f>IF(OR(NOT(AND($A75&lt;&gt;"",OR($I75="",$I75="Active"))),$H75=""),"",INT((TODAY()-$H75+280)/7)&amp;"+"&amp;MOD(TODAY()-$H75+280,7))</f>
        <v/>
      </c>
      <c r="K75" s="28">
        <f>IF(NOT(AND($A75&lt;&gt;"",OR($I75="",$I75="Active"))),"",ISNUMBER($N75)*($N75&gt;=TODAY())*($N75&lt;=TODAY()+7)+ISNUMBER($O75)*($O75&gt;=TODAY())*($O75&lt;=TODAY()+7)+ISNUMBER($P75)*($P75&gt;=TODAY())*($P75&lt;=TODAY()+7)+ISNUMBER($S75)*($S75&gt;=TODAY())*($S75&lt;=TODAY()+7)+ISNUMBER($T75)*($T75&gt;=TODAY())*($T75&lt;=TODAY()+7)+ISNUMBER($U75)*($U75&gt;=TODAY())*($U75&lt;=TODAY()+7)+ISNUMBER($V75)*($V75&gt;=TODAY())*($V75&lt;=TODAY()+7)+ISNUMBER($W75)*($W75&gt;=TODAY())*($W75&lt;=TODAY()+7)+ISNUMBER($X75)*($X75&gt;=TODAY())*($X75&lt;=TODAY()+7)+ISNUMBER($Y75)*($Y75&gt;=TODAY())*($Y75&lt;=TODAY()+7)+ISNUMBER($Q75)*($Q75&gt;=TODAY())*($Q75&lt;=TODAY()+7)+ISNUMBER($R75)*($R75&gt;=TODAY())*($R75&lt;=TODAY()+7)+ISNUMBER($AA75)*($AA75&gt;=TODAY())*($AA75&lt;=TODAY()+7)+ISNUMBER($AB75)*($AB75&gt;=TODAY())*($AB75&lt;=TODAY()+7))</f>
        <v/>
      </c>
      <c r="L75" s="28">
        <f>IF(NOT(AND($A75&lt;&gt;"",OR($I75="",$I75="Active"))),"",IF($M75&lt;&gt;"",IF($N75=$M75,"Booking",IF($O75=$M75,"16/40",IF($P75=$M75,"25/40",IF($S75=$M75,"28/40",IF($T75=$M75,"31/40",IF($U75=$M75,"34/40",IF($V75=$M75,"36/40",IF($W75=$M75,"38/40",IF($X75=$M75,"40/40",IF($Y75=$M75,"41/40","")))))))))),IF(IF(OR(ISNUMBER($Y75),$Y75="DNA"),$Y75,IF(OR(ISNUMBER($X75),$X75="DNA"),$X75,IF(OR(ISNUMBER($W75),$W75="DNA"),$W75,IF(OR(ISNUMBER($V75),$V75="DNA"),$V75,IF(OR(ISNUMBER($U75),$U75="DNA"),$U75,IF(OR(ISNUMBER($T75),$T75="DNA"),$T75,IF(OR(ISNUMBER($S75),$S75="DNA"),$S75,IF(OR(ISNUMBER($P75),$P75="DNA"),$P75,IF(OR(ISNUMBER($O75),$O75="DNA"),$O75,IF(OR(ISNUMBER($N75),$N75="DNA"),$N75,""))))))))))="DNA","Rebook DNA",IF(ISNUMBER(IF(OR(ISNUMBER($Y75),$Y75="DNA"),$Y75,IF(OR(ISNUMBER($X75),$X75="DNA"),$X75,IF(OR(ISNUMBER($W75),$W75="DNA"),$W75,IF(OR(ISNUMBER($V75),$V75="DNA"),$V75,IF(OR(ISNUMBER($U75),$U75="DNA"),$U75,IF(OR(ISNUMBER($T75),$T75="DNA"),$T75,IF(OR(ISNUMBER($S75),$S75="DNA"),$S75,IF(OR(ISNUMBER($P75),$P75="DNA"),$P75,IF(OR(ISNUMBER($O75),$O75="DNA"),$O75,IF(OR(ISNUMBER($N75),$N75="DNA"),$N75,""))))))))))),IF(ISNUMBER($Y75),"Update status","Missed/not booked?"),""))))</f>
        <v/>
      </c>
      <c r="M75" s="29">
        <f>IF(NOT(AND($A75&lt;&gt;"",OR($I75="",$I75="Active"))),"",IF(MIN(IF(AND(ISNUMBER($N75),$N75&gt;=TODAY()),$N75,99999),IF(AND(ISNUMBER($O75),$O75&gt;=TODAY()),$O75,99999),IF(AND(ISNUMBER($P75),$P75&gt;=TODAY()),$P75,99999),IF(AND(ISNUMBER($S75),$S75&gt;=TODAY()),$S75,99999),IF(AND(ISNUMBER($T75),$T75&gt;=TODAY()),$T75,99999),IF(AND(ISNUMBER($U75),$U75&gt;=TODAY()),$U75,99999),IF(AND(ISNUMBER($V75),$V75&gt;=TODAY()),$V75,99999),IF(AND(ISNUMBER($W75),$W75&gt;=TODAY()),$W75,99999),IF(AND(ISNUMBER($X75),$X75&gt;=TODAY()),$X75,99999),IF(AND(ISNUMBER($Y75),$Y75&gt;=TODAY()),$Y75,99999))=99999,"",MIN(IF(AND(ISNUMBER($N75),$N75&gt;=TODAY()),$N75,99999),IF(AND(ISNUMBER($O75),$O75&gt;=TODAY()),$O75,99999),IF(AND(ISNUMBER($P75),$P75&gt;=TODAY()),$P75,99999),IF(AND(ISNUMBER($S75),$S75&gt;=TODAY()),$S75,99999),IF(AND(ISNUMBER($T75),$T75&gt;=TODAY()),$T75,99999),IF(AND(ISNUMBER($U75),$U75&gt;=TODAY()),$U75,99999),IF(AND(ISNUMBER($V75),$V75&gt;=TODAY()),$V75,99999),IF(AND(ISNUMBER($W75),$W75&gt;=TODAY()),$W75,99999),IF(AND(ISNUMBER($X75),$X75&gt;=TODAY()),$X75,99999),IF(AND(ISNUMBER($Y75),$Y75&gt;=TODAY()),$Y75,99999))))</f>
        <v/>
      </c>
      <c r="N75" s="27" t="n"/>
      <c r="O75" s="27" t="n"/>
      <c r="P75" s="27" t="n"/>
      <c r="Q75" s="27" t="n"/>
      <c r="R75" s="27" t="n"/>
      <c r="S75" s="27" t="n"/>
      <c r="T75" s="27" t="n"/>
      <c r="U75" s="27" t="n"/>
      <c r="V75" s="27" t="n"/>
      <c r="W75" s="27" t="n"/>
      <c r="X75" s="27" t="n"/>
      <c r="Y75" s="27" t="n"/>
      <c r="Z75" s="27" t="n"/>
      <c r="AA75" s="27" t="n"/>
      <c r="AB75" s="27" t="n"/>
      <c r="AC75" s="30" t="n"/>
      <c r="AD75" s="25" t="n"/>
      <c r="AE75" s="28">
        <f>IF(NOT(AND($A75&lt;&gt;"",OR($I75="",$I75="Active"))),"",IF(OR(IF(OR(ISNUMBER($Y75),$Y75="DNA"),$Y75,IF(OR(ISNUMBER($X75),$X75="DNA"),$X75,IF(OR(ISNUMBER($W75),$W75="DNA"),$W75,IF(OR(ISNUMBER($V75),$V75="DNA"),$V75,IF(OR(ISNUMBER($U75),$U75="DNA"),$U75,IF(OR(ISNUMBER($T75),$T75="DNA"),$T75,IF(OR(ISNUMBER($S75),$S75="DNA"),$S75,IF(OR(ISNUMBER($P75),$P75="DNA"),$P75,IF(OR(ISNUMBER($O75),$O75="DNA"),$O75,IF(OR(ISNUMBER($N75),$N75="DNA"),$N75,""))))))))))="DNA",AND(ISNUMBER(IF(OR(ISNUMBER($Y75),$Y75="DNA"),$Y75,IF(OR(ISNUMBER($X75),$X75="DNA"),$X75,IF(OR(ISNUMBER($W75),$W75="DNA"),$W75,IF(OR(ISNUMBER($V75),$V75="DNA"),$V75,IF(OR(ISNUMBER($U75),$U75="DNA"),$U75,IF(OR(ISNUMBER($T75),$T75="DNA"),$T75,IF(OR(ISNUMBER($S75),$S75="DNA"),$S75,IF(OR(ISNUMBER($P75),$P75="DNA"),$P75,IF(OR(ISNUMBER($O75),$O75="DNA"),$O75,IF(OR(ISNUMBER($N75),$N75="DNA"),$N75,""))))))))))),IF(OR(ISNUMBER($Y75),$Y75="DNA"),$Y75,IF(OR(ISNUMBER($X75),$X75="DNA"),$X75,IF(OR(ISNUMBER($W75),$W75="DNA"),$W75,IF(OR(ISNUMBER($V75),$V75="DNA"),$V75,IF(OR(ISNUMBER($U75),$U75="DNA"),$U75,IF(OR(ISNUMBER($T75),$T75="DNA"),$T75,IF(OR(ISNUMBER($S75),$S75="DNA"),$S75,IF(OR(ISNUMBER($P75),$P75="DNA"),$P75,IF(OR(ISNUMBER($O75),$O75="DNA"),$O75,IF(OR(ISNUMBER($N75),$N75="DNA"),$N75,""))))))))))&lt;TODAY())),1,0)+ISNUMBER($Q75)*($Q75&lt;TODAY())+ISNUMBER($R75)*($R75&lt;TODAY())+ISNUMBER($AA75)*($AA75&lt;TODAY())+ISNUMBER($AB75)*($AB75&lt;TODAY()))</f>
        <v/>
      </c>
    </row>
    <row r="76">
      <c r="A76" s="25" t="n"/>
      <c r="B76" s="26" t="n"/>
      <c r="C76" s="27" t="n"/>
      <c r="D76" s="25" t="n"/>
      <c r="E76" s="25" t="n"/>
      <c r="F76" s="25" t="n"/>
      <c r="G76" s="25" t="n"/>
      <c r="H76" s="27" t="n"/>
      <c r="I76" s="25" t="n"/>
      <c r="J76" s="28">
        <f>IF(OR(NOT(AND($A76&lt;&gt;"",OR($I76="",$I76="Active"))),$H76=""),"",INT((TODAY()-$H76+280)/7)&amp;"+"&amp;MOD(TODAY()-$H76+280,7))</f>
        <v/>
      </c>
      <c r="K76" s="28">
        <f>IF(NOT(AND($A76&lt;&gt;"",OR($I76="",$I76="Active"))),"",ISNUMBER($N76)*($N76&gt;=TODAY())*($N76&lt;=TODAY()+7)+ISNUMBER($O76)*($O76&gt;=TODAY())*($O76&lt;=TODAY()+7)+ISNUMBER($P76)*($P76&gt;=TODAY())*($P76&lt;=TODAY()+7)+ISNUMBER($S76)*($S76&gt;=TODAY())*($S76&lt;=TODAY()+7)+ISNUMBER($T76)*($T76&gt;=TODAY())*($T76&lt;=TODAY()+7)+ISNUMBER($U76)*($U76&gt;=TODAY())*($U76&lt;=TODAY()+7)+ISNUMBER($V76)*($V76&gt;=TODAY())*($V76&lt;=TODAY()+7)+ISNUMBER($W76)*($W76&gt;=TODAY())*($W76&lt;=TODAY()+7)+ISNUMBER($X76)*($X76&gt;=TODAY())*($X76&lt;=TODAY()+7)+ISNUMBER($Y76)*($Y76&gt;=TODAY())*($Y76&lt;=TODAY()+7)+ISNUMBER($Q76)*($Q76&gt;=TODAY())*($Q76&lt;=TODAY()+7)+ISNUMBER($R76)*($R76&gt;=TODAY())*($R76&lt;=TODAY()+7)+ISNUMBER($AA76)*($AA76&gt;=TODAY())*($AA76&lt;=TODAY()+7)+ISNUMBER($AB76)*($AB76&gt;=TODAY())*($AB76&lt;=TODAY()+7))</f>
        <v/>
      </c>
      <c r="L76" s="28">
        <f>IF(NOT(AND($A76&lt;&gt;"",OR($I76="",$I76="Active"))),"",IF($M76&lt;&gt;"",IF($N76=$M76,"Booking",IF($O76=$M76,"16/40",IF($P76=$M76,"25/40",IF($S76=$M76,"28/40",IF($T76=$M76,"31/40",IF($U76=$M76,"34/40",IF($V76=$M76,"36/40",IF($W76=$M76,"38/40",IF($X76=$M76,"40/40",IF($Y76=$M76,"41/40","")))))))))),IF(IF(OR(ISNUMBER($Y76),$Y76="DNA"),$Y76,IF(OR(ISNUMBER($X76),$X76="DNA"),$X76,IF(OR(ISNUMBER($W76),$W76="DNA"),$W76,IF(OR(ISNUMBER($V76),$V76="DNA"),$V76,IF(OR(ISNUMBER($U76),$U76="DNA"),$U76,IF(OR(ISNUMBER($T76),$T76="DNA"),$T76,IF(OR(ISNUMBER($S76),$S76="DNA"),$S76,IF(OR(ISNUMBER($P76),$P76="DNA"),$P76,IF(OR(ISNUMBER($O76),$O76="DNA"),$O76,IF(OR(ISNUMBER($N76),$N76="DNA"),$N76,""))))))))))="DNA","Rebook DNA",IF(ISNUMBER(IF(OR(ISNUMBER($Y76),$Y76="DNA"),$Y76,IF(OR(ISNUMBER($X76),$X76="DNA"),$X76,IF(OR(ISNUMBER($W76),$W76="DNA"),$W76,IF(OR(ISNUMBER($V76),$V76="DNA"),$V76,IF(OR(ISNUMBER($U76),$U76="DNA"),$U76,IF(OR(ISNUMBER($T76),$T76="DNA"),$T76,IF(OR(ISNUMBER($S76),$S76="DNA"),$S76,IF(OR(ISNUMBER($P76),$P76="DNA"),$P76,IF(OR(ISNUMBER($O76),$O76="DNA"),$O76,IF(OR(ISNUMBER($N76),$N76="DNA"),$N76,""))))))))))),IF(ISNUMBER($Y76),"Update status","Missed/not booked?"),""))))</f>
        <v/>
      </c>
      <c r="M76" s="29">
        <f>IF(NOT(AND($A76&lt;&gt;"",OR($I76="",$I76="Active"))),"",IF(MIN(IF(AND(ISNUMBER($N76),$N76&gt;=TODAY()),$N76,99999),IF(AND(ISNUMBER($O76),$O76&gt;=TODAY()),$O76,99999),IF(AND(ISNUMBER($P76),$P76&gt;=TODAY()),$P76,99999),IF(AND(ISNUMBER($S76),$S76&gt;=TODAY()),$S76,99999),IF(AND(ISNUMBER($T76),$T76&gt;=TODAY()),$T76,99999),IF(AND(ISNUMBER($U76),$U76&gt;=TODAY()),$U76,99999),IF(AND(ISNUMBER($V76),$V76&gt;=TODAY()),$V76,99999),IF(AND(ISNUMBER($W76),$W76&gt;=TODAY()),$W76,99999),IF(AND(ISNUMBER($X76),$X76&gt;=TODAY()),$X76,99999),IF(AND(ISNUMBER($Y76),$Y76&gt;=TODAY()),$Y76,99999))=99999,"",MIN(IF(AND(ISNUMBER($N76),$N76&gt;=TODAY()),$N76,99999),IF(AND(ISNUMBER($O76),$O76&gt;=TODAY()),$O76,99999),IF(AND(ISNUMBER($P76),$P76&gt;=TODAY()),$P76,99999),IF(AND(ISNUMBER($S76),$S76&gt;=TODAY()),$S76,99999),IF(AND(ISNUMBER($T76),$T76&gt;=TODAY()),$T76,99999),IF(AND(ISNUMBER($U76),$U76&gt;=TODAY()),$U76,99999),IF(AND(ISNUMBER($V76),$V76&gt;=TODAY()),$V76,99999),IF(AND(ISNUMBER($W76),$W76&gt;=TODAY()),$W76,99999),IF(AND(ISNUMBER($X76),$X76&gt;=TODAY()),$X76,99999),IF(AND(ISNUMBER($Y76),$Y76&gt;=TODAY()),$Y76,99999))))</f>
        <v/>
      </c>
      <c r="N76" s="27" t="n"/>
      <c r="O76" s="27" t="n"/>
      <c r="P76" s="27" t="n"/>
      <c r="Q76" s="27" t="n"/>
      <c r="R76" s="27" t="n"/>
      <c r="S76" s="27" t="n"/>
      <c r="T76" s="27" t="n"/>
      <c r="U76" s="27" t="n"/>
      <c r="V76" s="27" t="n"/>
      <c r="W76" s="27" t="n"/>
      <c r="X76" s="27" t="n"/>
      <c r="Y76" s="27" t="n"/>
      <c r="Z76" s="27" t="n"/>
      <c r="AA76" s="27" t="n"/>
      <c r="AB76" s="27" t="n"/>
      <c r="AC76" s="30" t="n"/>
      <c r="AD76" s="25" t="n"/>
      <c r="AE76" s="28">
        <f>IF(NOT(AND($A76&lt;&gt;"",OR($I76="",$I76="Active"))),"",IF(OR(IF(OR(ISNUMBER($Y76),$Y76="DNA"),$Y76,IF(OR(ISNUMBER($X76),$X76="DNA"),$X76,IF(OR(ISNUMBER($W76),$W76="DNA"),$W76,IF(OR(ISNUMBER($V76),$V76="DNA"),$V76,IF(OR(ISNUMBER($U76),$U76="DNA"),$U76,IF(OR(ISNUMBER($T76),$T76="DNA"),$T76,IF(OR(ISNUMBER($S76),$S76="DNA"),$S76,IF(OR(ISNUMBER($P76),$P76="DNA"),$P76,IF(OR(ISNUMBER($O76),$O76="DNA"),$O76,IF(OR(ISNUMBER($N76),$N76="DNA"),$N76,""))))))))))="DNA",AND(ISNUMBER(IF(OR(ISNUMBER($Y76),$Y76="DNA"),$Y76,IF(OR(ISNUMBER($X76),$X76="DNA"),$X76,IF(OR(ISNUMBER($W76),$W76="DNA"),$W76,IF(OR(ISNUMBER($V76),$V76="DNA"),$V76,IF(OR(ISNUMBER($U76),$U76="DNA"),$U76,IF(OR(ISNUMBER($T76),$T76="DNA"),$T76,IF(OR(ISNUMBER($S76),$S76="DNA"),$S76,IF(OR(ISNUMBER($P76),$P76="DNA"),$P76,IF(OR(ISNUMBER($O76),$O76="DNA"),$O76,IF(OR(ISNUMBER($N76),$N76="DNA"),$N76,""))))))))))),IF(OR(ISNUMBER($Y76),$Y76="DNA"),$Y76,IF(OR(ISNUMBER($X76),$X76="DNA"),$X76,IF(OR(ISNUMBER($W76),$W76="DNA"),$W76,IF(OR(ISNUMBER($V76),$V76="DNA"),$V76,IF(OR(ISNUMBER($U76),$U76="DNA"),$U76,IF(OR(ISNUMBER($T76),$T76="DNA"),$T76,IF(OR(ISNUMBER($S76),$S76="DNA"),$S76,IF(OR(ISNUMBER($P76),$P76="DNA"),$P76,IF(OR(ISNUMBER($O76),$O76="DNA"),$O76,IF(OR(ISNUMBER($N76),$N76="DNA"),$N76,""))))))))))&lt;TODAY())),1,0)+ISNUMBER($Q76)*($Q76&lt;TODAY())+ISNUMBER($R76)*($R76&lt;TODAY())+ISNUMBER($AA76)*($AA76&lt;TODAY())+ISNUMBER($AB76)*($AB76&lt;TODAY()))</f>
        <v/>
      </c>
    </row>
    <row r="77">
      <c r="A77" s="25" t="n"/>
      <c r="B77" s="26" t="n"/>
      <c r="C77" s="27" t="n"/>
      <c r="D77" s="25" t="n"/>
      <c r="E77" s="25" t="n"/>
      <c r="F77" s="25" t="n"/>
      <c r="G77" s="25" t="n"/>
      <c r="H77" s="27" t="n"/>
      <c r="I77" s="25" t="n"/>
      <c r="J77" s="28">
        <f>IF(OR(NOT(AND($A77&lt;&gt;"",OR($I77="",$I77="Active"))),$H77=""),"",INT((TODAY()-$H77+280)/7)&amp;"+"&amp;MOD(TODAY()-$H77+280,7))</f>
        <v/>
      </c>
      <c r="K77" s="28">
        <f>IF(NOT(AND($A77&lt;&gt;"",OR($I77="",$I77="Active"))),"",ISNUMBER($N77)*($N77&gt;=TODAY())*($N77&lt;=TODAY()+7)+ISNUMBER($O77)*($O77&gt;=TODAY())*($O77&lt;=TODAY()+7)+ISNUMBER($P77)*($P77&gt;=TODAY())*($P77&lt;=TODAY()+7)+ISNUMBER($S77)*($S77&gt;=TODAY())*($S77&lt;=TODAY()+7)+ISNUMBER($T77)*($T77&gt;=TODAY())*($T77&lt;=TODAY()+7)+ISNUMBER($U77)*($U77&gt;=TODAY())*($U77&lt;=TODAY()+7)+ISNUMBER($V77)*($V77&gt;=TODAY())*($V77&lt;=TODAY()+7)+ISNUMBER($W77)*($W77&gt;=TODAY())*($W77&lt;=TODAY()+7)+ISNUMBER($X77)*($X77&gt;=TODAY())*($X77&lt;=TODAY()+7)+ISNUMBER($Y77)*($Y77&gt;=TODAY())*($Y77&lt;=TODAY()+7)+ISNUMBER($Q77)*($Q77&gt;=TODAY())*($Q77&lt;=TODAY()+7)+ISNUMBER($R77)*($R77&gt;=TODAY())*($R77&lt;=TODAY()+7)+ISNUMBER($AA77)*($AA77&gt;=TODAY())*($AA77&lt;=TODAY()+7)+ISNUMBER($AB77)*($AB77&gt;=TODAY())*($AB77&lt;=TODAY()+7))</f>
        <v/>
      </c>
      <c r="L77" s="28">
        <f>IF(NOT(AND($A77&lt;&gt;"",OR($I77="",$I77="Active"))),"",IF($M77&lt;&gt;"",IF($N77=$M77,"Booking",IF($O77=$M77,"16/40",IF($P77=$M77,"25/40",IF($S77=$M77,"28/40",IF($T77=$M77,"31/40",IF($U77=$M77,"34/40",IF($V77=$M77,"36/40",IF($W77=$M77,"38/40",IF($X77=$M77,"40/40",IF($Y77=$M77,"41/40","")))))))))),IF(IF(OR(ISNUMBER($Y77),$Y77="DNA"),$Y77,IF(OR(ISNUMBER($X77),$X77="DNA"),$X77,IF(OR(ISNUMBER($W77),$W77="DNA"),$W77,IF(OR(ISNUMBER($V77),$V77="DNA"),$V77,IF(OR(ISNUMBER($U77),$U77="DNA"),$U77,IF(OR(ISNUMBER($T77),$T77="DNA"),$T77,IF(OR(ISNUMBER($S77),$S77="DNA"),$S77,IF(OR(ISNUMBER($P77),$P77="DNA"),$P77,IF(OR(ISNUMBER($O77),$O77="DNA"),$O77,IF(OR(ISNUMBER($N77),$N77="DNA"),$N77,""))))))))))="DNA","Rebook DNA",IF(ISNUMBER(IF(OR(ISNUMBER($Y77),$Y77="DNA"),$Y77,IF(OR(ISNUMBER($X77),$X77="DNA"),$X77,IF(OR(ISNUMBER($W77),$W77="DNA"),$W77,IF(OR(ISNUMBER($V77),$V77="DNA"),$V77,IF(OR(ISNUMBER($U77),$U77="DNA"),$U77,IF(OR(ISNUMBER($T77),$T77="DNA"),$T77,IF(OR(ISNUMBER($S77),$S77="DNA"),$S77,IF(OR(ISNUMBER($P77),$P77="DNA"),$P77,IF(OR(ISNUMBER($O77),$O77="DNA"),$O77,IF(OR(ISNUMBER($N77),$N77="DNA"),$N77,""))))))))))),IF(ISNUMBER($Y77),"Update status","Missed/not booked?"),""))))</f>
        <v/>
      </c>
      <c r="M77" s="29">
        <f>IF(NOT(AND($A77&lt;&gt;"",OR($I77="",$I77="Active"))),"",IF(MIN(IF(AND(ISNUMBER($N77),$N77&gt;=TODAY()),$N77,99999),IF(AND(ISNUMBER($O77),$O77&gt;=TODAY()),$O77,99999),IF(AND(ISNUMBER($P77),$P77&gt;=TODAY()),$P77,99999),IF(AND(ISNUMBER($S77),$S77&gt;=TODAY()),$S77,99999),IF(AND(ISNUMBER($T77),$T77&gt;=TODAY()),$T77,99999),IF(AND(ISNUMBER($U77),$U77&gt;=TODAY()),$U77,99999),IF(AND(ISNUMBER($V77),$V77&gt;=TODAY()),$V77,99999),IF(AND(ISNUMBER($W77),$W77&gt;=TODAY()),$W77,99999),IF(AND(ISNUMBER($X77),$X77&gt;=TODAY()),$X77,99999),IF(AND(ISNUMBER($Y77),$Y77&gt;=TODAY()),$Y77,99999))=99999,"",MIN(IF(AND(ISNUMBER($N77),$N77&gt;=TODAY()),$N77,99999),IF(AND(ISNUMBER($O77),$O77&gt;=TODAY()),$O77,99999),IF(AND(ISNUMBER($P77),$P77&gt;=TODAY()),$P77,99999),IF(AND(ISNUMBER($S77),$S77&gt;=TODAY()),$S77,99999),IF(AND(ISNUMBER($T77),$T77&gt;=TODAY()),$T77,99999),IF(AND(ISNUMBER($U77),$U77&gt;=TODAY()),$U77,99999),IF(AND(ISNUMBER($V77),$V77&gt;=TODAY()),$V77,99999),IF(AND(ISNUMBER($W77),$W77&gt;=TODAY()),$W77,99999),IF(AND(ISNUMBER($X77),$X77&gt;=TODAY()),$X77,99999),IF(AND(ISNUMBER($Y77),$Y77&gt;=TODAY()),$Y77,99999))))</f>
        <v/>
      </c>
      <c r="N77" s="27" t="n"/>
      <c r="O77" s="27" t="n"/>
      <c r="P77" s="27" t="n"/>
      <c r="Q77" s="27" t="n"/>
      <c r="R77" s="27" t="n"/>
      <c r="S77" s="27" t="n"/>
      <c r="T77" s="27" t="n"/>
      <c r="U77" s="27" t="n"/>
      <c r="V77" s="27" t="n"/>
      <c r="W77" s="27" t="n"/>
      <c r="X77" s="27" t="n"/>
      <c r="Y77" s="27" t="n"/>
      <c r="Z77" s="27" t="n"/>
      <c r="AA77" s="27" t="n"/>
      <c r="AB77" s="27" t="n"/>
      <c r="AC77" s="30" t="n"/>
      <c r="AD77" s="25" t="n"/>
      <c r="AE77" s="28">
        <f>IF(NOT(AND($A77&lt;&gt;"",OR($I77="",$I77="Active"))),"",IF(OR(IF(OR(ISNUMBER($Y77),$Y77="DNA"),$Y77,IF(OR(ISNUMBER($X77),$X77="DNA"),$X77,IF(OR(ISNUMBER($W77),$W77="DNA"),$W77,IF(OR(ISNUMBER($V77),$V77="DNA"),$V77,IF(OR(ISNUMBER($U77),$U77="DNA"),$U77,IF(OR(ISNUMBER($T77),$T77="DNA"),$T77,IF(OR(ISNUMBER($S77),$S77="DNA"),$S77,IF(OR(ISNUMBER($P77),$P77="DNA"),$P77,IF(OR(ISNUMBER($O77),$O77="DNA"),$O77,IF(OR(ISNUMBER($N77),$N77="DNA"),$N77,""))))))))))="DNA",AND(ISNUMBER(IF(OR(ISNUMBER($Y77),$Y77="DNA"),$Y77,IF(OR(ISNUMBER($X77),$X77="DNA"),$X77,IF(OR(ISNUMBER($W77),$W77="DNA"),$W77,IF(OR(ISNUMBER($V77),$V77="DNA"),$V77,IF(OR(ISNUMBER($U77),$U77="DNA"),$U77,IF(OR(ISNUMBER($T77),$T77="DNA"),$T77,IF(OR(ISNUMBER($S77),$S77="DNA"),$S77,IF(OR(ISNUMBER($P77),$P77="DNA"),$P77,IF(OR(ISNUMBER($O77),$O77="DNA"),$O77,IF(OR(ISNUMBER($N77),$N77="DNA"),$N77,""))))))))))),IF(OR(ISNUMBER($Y77),$Y77="DNA"),$Y77,IF(OR(ISNUMBER($X77),$X77="DNA"),$X77,IF(OR(ISNUMBER($W77),$W77="DNA"),$W77,IF(OR(ISNUMBER($V77),$V77="DNA"),$V77,IF(OR(ISNUMBER($U77),$U77="DNA"),$U77,IF(OR(ISNUMBER($T77),$T77="DNA"),$T77,IF(OR(ISNUMBER($S77),$S77="DNA"),$S77,IF(OR(ISNUMBER($P77),$P77="DNA"),$P77,IF(OR(ISNUMBER($O77),$O77="DNA"),$O77,IF(OR(ISNUMBER($N77),$N77="DNA"),$N77,""))))))))))&lt;TODAY())),1,0)+ISNUMBER($Q77)*($Q77&lt;TODAY())+ISNUMBER($R77)*($R77&lt;TODAY())+ISNUMBER($AA77)*($AA77&lt;TODAY())+ISNUMBER($AB77)*($AB77&lt;TODAY()))</f>
        <v/>
      </c>
    </row>
    <row r="78">
      <c r="A78" s="25" t="n"/>
      <c r="B78" s="26" t="n"/>
      <c r="C78" s="27" t="n"/>
      <c r="D78" s="25" t="n"/>
      <c r="E78" s="25" t="n"/>
      <c r="F78" s="25" t="n"/>
      <c r="G78" s="25" t="n"/>
      <c r="H78" s="27" t="n"/>
      <c r="I78" s="25" t="n"/>
      <c r="J78" s="28">
        <f>IF(OR(NOT(AND($A78&lt;&gt;"",OR($I78="",$I78="Active"))),$H78=""),"",INT((TODAY()-$H78+280)/7)&amp;"+"&amp;MOD(TODAY()-$H78+280,7))</f>
        <v/>
      </c>
      <c r="K78" s="28">
        <f>IF(NOT(AND($A78&lt;&gt;"",OR($I78="",$I78="Active"))),"",ISNUMBER($N78)*($N78&gt;=TODAY())*($N78&lt;=TODAY()+7)+ISNUMBER($O78)*($O78&gt;=TODAY())*($O78&lt;=TODAY()+7)+ISNUMBER($P78)*($P78&gt;=TODAY())*($P78&lt;=TODAY()+7)+ISNUMBER($S78)*($S78&gt;=TODAY())*($S78&lt;=TODAY()+7)+ISNUMBER($T78)*($T78&gt;=TODAY())*($T78&lt;=TODAY()+7)+ISNUMBER($U78)*($U78&gt;=TODAY())*($U78&lt;=TODAY()+7)+ISNUMBER($V78)*($V78&gt;=TODAY())*($V78&lt;=TODAY()+7)+ISNUMBER($W78)*($W78&gt;=TODAY())*($W78&lt;=TODAY()+7)+ISNUMBER($X78)*($X78&gt;=TODAY())*($X78&lt;=TODAY()+7)+ISNUMBER($Y78)*($Y78&gt;=TODAY())*($Y78&lt;=TODAY()+7)+ISNUMBER($Q78)*($Q78&gt;=TODAY())*($Q78&lt;=TODAY()+7)+ISNUMBER($R78)*($R78&gt;=TODAY())*($R78&lt;=TODAY()+7)+ISNUMBER($AA78)*($AA78&gt;=TODAY())*($AA78&lt;=TODAY()+7)+ISNUMBER($AB78)*($AB78&gt;=TODAY())*($AB78&lt;=TODAY()+7))</f>
        <v/>
      </c>
      <c r="L78" s="28">
        <f>IF(NOT(AND($A78&lt;&gt;"",OR($I78="",$I78="Active"))),"",IF($M78&lt;&gt;"",IF($N78=$M78,"Booking",IF($O78=$M78,"16/40",IF($P78=$M78,"25/40",IF($S78=$M78,"28/40",IF($T78=$M78,"31/40",IF($U78=$M78,"34/40",IF($V78=$M78,"36/40",IF($W78=$M78,"38/40",IF($X78=$M78,"40/40",IF($Y78=$M78,"41/40","")))))))))),IF(IF(OR(ISNUMBER($Y78),$Y78="DNA"),$Y78,IF(OR(ISNUMBER($X78),$X78="DNA"),$X78,IF(OR(ISNUMBER($W78),$W78="DNA"),$W78,IF(OR(ISNUMBER($V78),$V78="DNA"),$V78,IF(OR(ISNUMBER($U78),$U78="DNA"),$U78,IF(OR(ISNUMBER($T78),$T78="DNA"),$T78,IF(OR(ISNUMBER($S78),$S78="DNA"),$S78,IF(OR(ISNUMBER($P78),$P78="DNA"),$P78,IF(OR(ISNUMBER($O78),$O78="DNA"),$O78,IF(OR(ISNUMBER($N78),$N78="DNA"),$N78,""))))))))))="DNA","Rebook DNA",IF(ISNUMBER(IF(OR(ISNUMBER($Y78),$Y78="DNA"),$Y78,IF(OR(ISNUMBER($X78),$X78="DNA"),$X78,IF(OR(ISNUMBER($W78),$W78="DNA"),$W78,IF(OR(ISNUMBER($V78),$V78="DNA"),$V78,IF(OR(ISNUMBER($U78),$U78="DNA"),$U78,IF(OR(ISNUMBER($T78),$T78="DNA"),$T78,IF(OR(ISNUMBER($S78),$S78="DNA"),$S78,IF(OR(ISNUMBER($P78),$P78="DNA"),$P78,IF(OR(ISNUMBER($O78),$O78="DNA"),$O78,IF(OR(ISNUMBER($N78),$N78="DNA"),$N78,""))))))))))),IF(ISNUMBER($Y78),"Update status","Missed/not booked?"),""))))</f>
        <v/>
      </c>
      <c r="M78" s="29">
        <f>IF(NOT(AND($A78&lt;&gt;"",OR($I78="",$I78="Active"))),"",IF(MIN(IF(AND(ISNUMBER($N78),$N78&gt;=TODAY()),$N78,99999),IF(AND(ISNUMBER($O78),$O78&gt;=TODAY()),$O78,99999),IF(AND(ISNUMBER($P78),$P78&gt;=TODAY()),$P78,99999),IF(AND(ISNUMBER($S78),$S78&gt;=TODAY()),$S78,99999),IF(AND(ISNUMBER($T78),$T78&gt;=TODAY()),$T78,99999),IF(AND(ISNUMBER($U78),$U78&gt;=TODAY()),$U78,99999),IF(AND(ISNUMBER($V78),$V78&gt;=TODAY()),$V78,99999),IF(AND(ISNUMBER($W78),$W78&gt;=TODAY()),$W78,99999),IF(AND(ISNUMBER($X78),$X78&gt;=TODAY()),$X78,99999),IF(AND(ISNUMBER($Y78),$Y78&gt;=TODAY()),$Y78,99999))=99999,"",MIN(IF(AND(ISNUMBER($N78),$N78&gt;=TODAY()),$N78,99999),IF(AND(ISNUMBER($O78),$O78&gt;=TODAY()),$O78,99999),IF(AND(ISNUMBER($P78),$P78&gt;=TODAY()),$P78,99999),IF(AND(ISNUMBER($S78),$S78&gt;=TODAY()),$S78,99999),IF(AND(ISNUMBER($T78),$T78&gt;=TODAY()),$T78,99999),IF(AND(ISNUMBER($U78),$U78&gt;=TODAY()),$U78,99999),IF(AND(ISNUMBER($V78),$V78&gt;=TODAY()),$V78,99999),IF(AND(ISNUMBER($W78),$W78&gt;=TODAY()),$W78,99999),IF(AND(ISNUMBER($X78),$X78&gt;=TODAY()),$X78,99999),IF(AND(ISNUMBER($Y78),$Y78&gt;=TODAY()),$Y78,99999))))</f>
        <v/>
      </c>
      <c r="N78" s="27" t="n"/>
      <c r="O78" s="27" t="n"/>
      <c r="P78" s="27" t="n"/>
      <c r="Q78" s="27" t="n"/>
      <c r="R78" s="27" t="n"/>
      <c r="S78" s="27" t="n"/>
      <c r="T78" s="27" t="n"/>
      <c r="U78" s="27" t="n"/>
      <c r="V78" s="27" t="n"/>
      <c r="W78" s="27" t="n"/>
      <c r="X78" s="27" t="n"/>
      <c r="Y78" s="27" t="n"/>
      <c r="Z78" s="27" t="n"/>
      <c r="AA78" s="27" t="n"/>
      <c r="AB78" s="27" t="n"/>
      <c r="AC78" s="30" t="n"/>
      <c r="AD78" s="25" t="n"/>
      <c r="AE78" s="28">
        <f>IF(NOT(AND($A78&lt;&gt;"",OR($I78="",$I78="Active"))),"",IF(OR(IF(OR(ISNUMBER($Y78),$Y78="DNA"),$Y78,IF(OR(ISNUMBER($X78),$X78="DNA"),$X78,IF(OR(ISNUMBER($W78),$W78="DNA"),$W78,IF(OR(ISNUMBER($V78),$V78="DNA"),$V78,IF(OR(ISNUMBER($U78),$U78="DNA"),$U78,IF(OR(ISNUMBER($T78),$T78="DNA"),$T78,IF(OR(ISNUMBER($S78),$S78="DNA"),$S78,IF(OR(ISNUMBER($P78),$P78="DNA"),$P78,IF(OR(ISNUMBER($O78),$O78="DNA"),$O78,IF(OR(ISNUMBER($N78),$N78="DNA"),$N78,""))))))))))="DNA",AND(ISNUMBER(IF(OR(ISNUMBER($Y78),$Y78="DNA"),$Y78,IF(OR(ISNUMBER($X78),$X78="DNA"),$X78,IF(OR(ISNUMBER($W78),$W78="DNA"),$W78,IF(OR(ISNUMBER($V78),$V78="DNA"),$V78,IF(OR(ISNUMBER($U78),$U78="DNA"),$U78,IF(OR(ISNUMBER($T78),$T78="DNA"),$T78,IF(OR(ISNUMBER($S78),$S78="DNA"),$S78,IF(OR(ISNUMBER($P78),$P78="DNA"),$P78,IF(OR(ISNUMBER($O78),$O78="DNA"),$O78,IF(OR(ISNUMBER($N78),$N78="DNA"),$N78,""))))))))))),IF(OR(ISNUMBER($Y78),$Y78="DNA"),$Y78,IF(OR(ISNUMBER($X78),$X78="DNA"),$X78,IF(OR(ISNUMBER($W78),$W78="DNA"),$W78,IF(OR(ISNUMBER($V78),$V78="DNA"),$V78,IF(OR(ISNUMBER($U78),$U78="DNA"),$U78,IF(OR(ISNUMBER($T78),$T78="DNA"),$T78,IF(OR(ISNUMBER($S78),$S78="DNA"),$S78,IF(OR(ISNUMBER($P78),$P78="DNA"),$P78,IF(OR(ISNUMBER($O78),$O78="DNA"),$O78,IF(OR(ISNUMBER($N78),$N78="DNA"),$N78,""))))))))))&lt;TODAY())),1,0)+ISNUMBER($Q78)*($Q78&lt;TODAY())+ISNUMBER($R78)*($R78&lt;TODAY())+ISNUMBER($AA78)*($AA78&lt;TODAY())+ISNUMBER($AB78)*($AB78&lt;TODAY()))</f>
        <v/>
      </c>
    </row>
    <row r="79">
      <c r="A79" s="25" t="n"/>
      <c r="B79" s="26" t="n"/>
      <c r="C79" s="27" t="n"/>
      <c r="D79" s="25" t="n"/>
      <c r="E79" s="25" t="n"/>
      <c r="F79" s="25" t="n"/>
      <c r="G79" s="25" t="n"/>
      <c r="H79" s="27" t="n"/>
      <c r="I79" s="25" t="n"/>
      <c r="J79" s="28">
        <f>IF(OR(NOT(AND($A79&lt;&gt;"",OR($I79="",$I79="Active"))),$H79=""),"",INT((TODAY()-$H79+280)/7)&amp;"+"&amp;MOD(TODAY()-$H79+280,7))</f>
        <v/>
      </c>
      <c r="K79" s="28">
        <f>IF(NOT(AND($A79&lt;&gt;"",OR($I79="",$I79="Active"))),"",ISNUMBER($N79)*($N79&gt;=TODAY())*($N79&lt;=TODAY()+7)+ISNUMBER($O79)*($O79&gt;=TODAY())*($O79&lt;=TODAY()+7)+ISNUMBER($P79)*($P79&gt;=TODAY())*($P79&lt;=TODAY()+7)+ISNUMBER($S79)*($S79&gt;=TODAY())*($S79&lt;=TODAY()+7)+ISNUMBER($T79)*($T79&gt;=TODAY())*($T79&lt;=TODAY()+7)+ISNUMBER($U79)*($U79&gt;=TODAY())*($U79&lt;=TODAY()+7)+ISNUMBER($V79)*($V79&gt;=TODAY())*($V79&lt;=TODAY()+7)+ISNUMBER($W79)*($W79&gt;=TODAY())*($W79&lt;=TODAY()+7)+ISNUMBER($X79)*($X79&gt;=TODAY())*($X79&lt;=TODAY()+7)+ISNUMBER($Y79)*($Y79&gt;=TODAY())*($Y79&lt;=TODAY()+7)+ISNUMBER($Q79)*($Q79&gt;=TODAY())*($Q79&lt;=TODAY()+7)+ISNUMBER($R79)*($R79&gt;=TODAY())*($R79&lt;=TODAY()+7)+ISNUMBER($AA79)*($AA79&gt;=TODAY())*($AA79&lt;=TODAY()+7)+ISNUMBER($AB79)*($AB79&gt;=TODAY())*($AB79&lt;=TODAY()+7))</f>
        <v/>
      </c>
      <c r="L79" s="28">
        <f>IF(NOT(AND($A79&lt;&gt;"",OR($I79="",$I79="Active"))),"",IF($M79&lt;&gt;"",IF($N79=$M79,"Booking",IF($O79=$M79,"16/40",IF($P79=$M79,"25/40",IF($S79=$M79,"28/40",IF($T79=$M79,"31/40",IF($U79=$M79,"34/40",IF($V79=$M79,"36/40",IF($W79=$M79,"38/40",IF($X79=$M79,"40/40",IF($Y79=$M79,"41/40","")))))))))),IF(IF(OR(ISNUMBER($Y79),$Y79="DNA"),$Y79,IF(OR(ISNUMBER($X79),$X79="DNA"),$X79,IF(OR(ISNUMBER($W79),$W79="DNA"),$W79,IF(OR(ISNUMBER($V79),$V79="DNA"),$V79,IF(OR(ISNUMBER($U79),$U79="DNA"),$U79,IF(OR(ISNUMBER($T79),$T79="DNA"),$T79,IF(OR(ISNUMBER($S79),$S79="DNA"),$S79,IF(OR(ISNUMBER($P79),$P79="DNA"),$P79,IF(OR(ISNUMBER($O79),$O79="DNA"),$O79,IF(OR(ISNUMBER($N79),$N79="DNA"),$N79,""))))))))))="DNA","Rebook DNA",IF(ISNUMBER(IF(OR(ISNUMBER($Y79),$Y79="DNA"),$Y79,IF(OR(ISNUMBER($X79),$X79="DNA"),$X79,IF(OR(ISNUMBER($W79),$W79="DNA"),$W79,IF(OR(ISNUMBER($V79),$V79="DNA"),$V79,IF(OR(ISNUMBER($U79),$U79="DNA"),$U79,IF(OR(ISNUMBER($T79),$T79="DNA"),$T79,IF(OR(ISNUMBER($S79),$S79="DNA"),$S79,IF(OR(ISNUMBER($P79),$P79="DNA"),$P79,IF(OR(ISNUMBER($O79),$O79="DNA"),$O79,IF(OR(ISNUMBER($N79),$N79="DNA"),$N79,""))))))))))),IF(ISNUMBER($Y79),"Update status","Missed/not booked?"),""))))</f>
        <v/>
      </c>
      <c r="M79" s="29">
        <f>IF(NOT(AND($A79&lt;&gt;"",OR($I79="",$I79="Active"))),"",IF(MIN(IF(AND(ISNUMBER($N79),$N79&gt;=TODAY()),$N79,99999),IF(AND(ISNUMBER($O79),$O79&gt;=TODAY()),$O79,99999),IF(AND(ISNUMBER($P79),$P79&gt;=TODAY()),$P79,99999),IF(AND(ISNUMBER($S79),$S79&gt;=TODAY()),$S79,99999),IF(AND(ISNUMBER($T79),$T79&gt;=TODAY()),$T79,99999),IF(AND(ISNUMBER($U79),$U79&gt;=TODAY()),$U79,99999),IF(AND(ISNUMBER($V79),$V79&gt;=TODAY()),$V79,99999),IF(AND(ISNUMBER($W79),$W79&gt;=TODAY()),$W79,99999),IF(AND(ISNUMBER($X79),$X79&gt;=TODAY()),$X79,99999),IF(AND(ISNUMBER($Y79),$Y79&gt;=TODAY()),$Y79,99999))=99999,"",MIN(IF(AND(ISNUMBER($N79),$N79&gt;=TODAY()),$N79,99999),IF(AND(ISNUMBER($O79),$O79&gt;=TODAY()),$O79,99999),IF(AND(ISNUMBER($P79),$P79&gt;=TODAY()),$P79,99999),IF(AND(ISNUMBER($S79),$S79&gt;=TODAY()),$S79,99999),IF(AND(ISNUMBER($T79),$T79&gt;=TODAY()),$T79,99999),IF(AND(ISNUMBER($U79),$U79&gt;=TODAY()),$U79,99999),IF(AND(ISNUMBER($V79),$V79&gt;=TODAY()),$V79,99999),IF(AND(ISNUMBER($W79),$W79&gt;=TODAY()),$W79,99999),IF(AND(ISNUMBER($X79),$X79&gt;=TODAY()),$X79,99999),IF(AND(ISNUMBER($Y79),$Y79&gt;=TODAY()),$Y79,99999))))</f>
        <v/>
      </c>
      <c r="N79" s="27" t="n"/>
      <c r="O79" s="27" t="n"/>
      <c r="P79" s="27" t="n"/>
      <c r="Q79" s="27" t="n"/>
      <c r="R79" s="27" t="n"/>
      <c r="S79" s="27" t="n"/>
      <c r="T79" s="27" t="n"/>
      <c r="U79" s="27" t="n"/>
      <c r="V79" s="27" t="n"/>
      <c r="W79" s="27" t="n"/>
      <c r="X79" s="27" t="n"/>
      <c r="Y79" s="27" t="n"/>
      <c r="Z79" s="27" t="n"/>
      <c r="AA79" s="27" t="n"/>
      <c r="AB79" s="27" t="n"/>
      <c r="AC79" s="30" t="n"/>
      <c r="AD79" s="25" t="n"/>
      <c r="AE79" s="28">
        <f>IF(NOT(AND($A79&lt;&gt;"",OR($I79="",$I79="Active"))),"",IF(OR(IF(OR(ISNUMBER($Y79),$Y79="DNA"),$Y79,IF(OR(ISNUMBER($X79),$X79="DNA"),$X79,IF(OR(ISNUMBER($W79),$W79="DNA"),$W79,IF(OR(ISNUMBER($V79),$V79="DNA"),$V79,IF(OR(ISNUMBER($U79),$U79="DNA"),$U79,IF(OR(ISNUMBER($T79),$T79="DNA"),$T79,IF(OR(ISNUMBER($S79),$S79="DNA"),$S79,IF(OR(ISNUMBER($P79),$P79="DNA"),$P79,IF(OR(ISNUMBER($O79),$O79="DNA"),$O79,IF(OR(ISNUMBER($N79),$N79="DNA"),$N79,""))))))))))="DNA",AND(ISNUMBER(IF(OR(ISNUMBER($Y79),$Y79="DNA"),$Y79,IF(OR(ISNUMBER($X79),$X79="DNA"),$X79,IF(OR(ISNUMBER($W79),$W79="DNA"),$W79,IF(OR(ISNUMBER($V79),$V79="DNA"),$V79,IF(OR(ISNUMBER($U79),$U79="DNA"),$U79,IF(OR(ISNUMBER($T79),$T79="DNA"),$T79,IF(OR(ISNUMBER($S79),$S79="DNA"),$S79,IF(OR(ISNUMBER($P79),$P79="DNA"),$P79,IF(OR(ISNUMBER($O79),$O79="DNA"),$O79,IF(OR(ISNUMBER($N79),$N79="DNA"),$N79,""))))))))))),IF(OR(ISNUMBER($Y79),$Y79="DNA"),$Y79,IF(OR(ISNUMBER($X79),$X79="DNA"),$X79,IF(OR(ISNUMBER($W79),$W79="DNA"),$W79,IF(OR(ISNUMBER($V79),$V79="DNA"),$V79,IF(OR(ISNUMBER($U79),$U79="DNA"),$U79,IF(OR(ISNUMBER($T79),$T79="DNA"),$T79,IF(OR(ISNUMBER($S79),$S79="DNA"),$S79,IF(OR(ISNUMBER($P79),$P79="DNA"),$P79,IF(OR(ISNUMBER($O79),$O79="DNA"),$O79,IF(OR(ISNUMBER($N79),$N79="DNA"),$N79,""))))))))))&lt;TODAY())),1,0)+ISNUMBER($Q79)*($Q79&lt;TODAY())+ISNUMBER($R79)*($R79&lt;TODAY())+ISNUMBER($AA79)*($AA79&lt;TODAY())+ISNUMBER($AB79)*($AB79&lt;TODAY()))</f>
        <v/>
      </c>
    </row>
    <row r="80">
      <c r="A80" s="25" t="n"/>
      <c r="B80" s="26" t="n"/>
      <c r="C80" s="27" t="n"/>
      <c r="D80" s="25" t="n"/>
      <c r="E80" s="25" t="n"/>
      <c r="F80" s="25" t="n"/>
      <c r="G80" s="25" t="n"/>
      <c r="H80" s="27" t="n"/>
      <c r="I80" s="25" t="n"/>
      <c r="J80" s="28">
        <f>IF(OR(NOT(AND($A80&lt;&gt;"",OR($I80="",$I80="Active"))),$H80=""),"",INT((TODAY()-$H80+280)/7)&amp;"+"&amp;MOD(TODAY()-$H80+280,7))</f>
        <v/>
      </c>
      <c r="K80" s="28">
        <f>IF(NOT(AND($A80&lt;&gt;"",OR($I80="",$I80="Active"))),"",ISNUMBER($N80)*($N80&gt;=TODAY())*($N80&lt;=TODAY()+7)+ISNUMBER($O80)*($O80&gt;=TODAY())*($O80&lt;=TODAY()+7)+ISNUMBER($P80)*($P80&gt;=TODAY())*($P80&lt;=TODAY()+7)+ISNUMBER($S80)*($S80&gt;=TODAY())*($S80&lt;=TODAY()+7)+ISNUMBER($T80)*($T80&gt;=TODAY())*($T80&lt;=TODAY()+7)+ISNUMBER($U80)*($U80&gt;=TODAY())*($U80&lt;=TODAY()+7)+ISNUMBER($V80)*($V80&gt;=TODAY())*($V80&lt;=TODAY()+7)+ISNUMBER($W80)*($W80&gt;=TODAY())*($W80&lt;=TODAY()+7)+ISNUMBER($X80)*($X80&gt;=TODAY())*($X80&lt;=TODAY()+7)+ISNUMBER($Y80)*($Y80&gt;=TODAY())*($Y80&lt;=TODAY()+7)+ISNUMBER($Q80)*($Q80&gt;=TODAY())*($Q80&lt;=TODAY()+7)+ISNUMBER($R80)*($R80&gt;=TODAY())*($R80&lt;=TODAY()+7)+ISNUMBER($AA80)*($AA80&gt;=TODAY())*($AA80&lt;=TODAY()+7)+ISNUMBER($AB80)*($AB80&gt;=TODAY())*($AB80&lt;=TODAY()+7))</f>
        <v/>
      </c>
      <c r="L80" s="28">
        <f>IF(NOT(AND($A80&lt;&gt;"",OR($I80="",$I80="Active"))),"",IF($M80&lt;&gt;"",IF($N80=$M80,"Booking",IF($O80=$M80,"16/40",IF($P80=$M80,"25/40",IF($S80=$M80,"28/40",IF($T80=$M80,"31/40",IF($U80=$M80,"34/40",IF($V80=$M80,"36/40",IF($W80=$M80,"38/40",IF($X80=$M80,"40/40",IF($Y80=$M80,"41/40","")))))))))),IF(IF(OR(ISNUMBER($Y80),$Y80="DNA"),$Y80,IF(OR(ISNUMBER($X80),$X80="DNA"),$X80,IF(OR(ISNUMBER($W80),$W80="DNA"),$W80,IF(OR(ISNUMBER($V80),$V80="DNA"),$V80,IF(OR(ISNUMBER($U80),$U80="DNA"),$U80,IF(OR(ISNUMBER($T80),$T80="DNA"),$T80,IF(OR(ISNUMBER($S80),$S80="DNA"),$S80,IF(OR(ISNUMBER($P80),$P80="DNA"),$P80,IF(OR(ISNUMBER($O80),$O80="DNA"),$O80,IF(OR(ISNUMBER($N80),$N80="DNA"),$N80,""))))))))))="DNA","Rebook DNA",IF(ISNUMBER(IF(OR(ISNUMBER($Y80),$Y80="DNA"),$Y80,IF(OR(ISNUMBER($X80),$X80="DNA"),$X80,IF(OR(ISNUMBER($W80),$W80="DNA"),$W80,IF(OR(ISNUMBER($V80),$V80="DNA"),$V80,IF(OR(ISNUMBER($U80),$U80="DNA"),$U80,IF(OR(ISNUMBER($T80),$T80="DNA"),$T80,IF(OR(ISNUMBER($S80),$S80="DNA"),$S80,IF(OR(ISNUMBER($P80),$P80="DNA"),$P80,IF(OR(ISNUMBER($O80),$O80="DNA"),$O80,IF(OR(ISNUMBER($N80),$N80="DNA"),$N80,""))))))))))),IF(ISNUMBER($Y80),"Update status","Missed/not booked?"),""))))</f>
        <v/>
      </c>
      <c r="M80" s="29">
        <f>IF(NOT(AND($A80&lt;&gt;"",OR($I80="",$I80="Active"))),"",IF(MIN(IF(AND(ISNUMBER($N80),$N80&gt;=TODAY()),$N80,99999),IF(AND(ISNUMBER($O80),$O80&gt;=TODAY()),$O80,99999),IF(AND(ISNUMBER($P80),$P80&gt;=TODAY()),$P80,99999),IF(AND(ISNUMBER($S80),$S80&gt;=TODAY()),$S80,99999),IF(AND(ISNUMBER($T80),$T80&gt;=TODAY()),$T80,99999),IF(AND(ISNUMBER($U80),$U80&gt;=TODAY()),$U80,99999),IF(AND(ISNUMBER($V80),$V80&gt;=TODAY()),$V80,99999),IF(AND(ISNUMBER($W80),$W80&gt;=TODAY()),$W80,99999),IF(AND(ISNUMBER($X80),$X80&gt;=TODAY()),$X80,99999),IF(AND(ISNUMBER($Y80),$Y80&gt;=TODAY()),$Y80,99999))=99999,"",MIN(IF(AND(ISNUMBER($N80),$N80&gt;=TODAY()),$N80,99999),IF(AND(ISNUMBER($O80),$O80&gt;=TODAY()),$O80,99999),IF(AND(ISNUMBER($P80),$P80&gt;=TODAY()),$P80,99999),IF(AND(ISNUMBER($S80),$S80&gt;=TODAY()),$S80,99999),IF(AND(ISNUMBER($T80),$T80&gt;=TODAY()),$T80,99999),IF(AND(ISNUMBER($U80),$U80&gt;=TODAY()),$U80,99999),IF(AND(ISNUMBER($V80),$V80&gt;=TODAY()),$V80,99999),IF(AND(ISNUMBER($W80),$W80&gt;=TODAY()),$W80,99999),IF(AND(ISNUMBER($X80),$X80&gt;=TODAY()),$X80,99999),IF(AND(ISNUMBER($Y80),$Y80&gt;=TODAY()),$Y80,99999))))</f>
        <v/>
      </c>
      <c r="N80" s="27" t="n"/>
      <c r="O80" s="27" t="n"/>
      <c r="P80" s="27" t="n"/>
      <c r="Q80" s="27" t="n"/>
      <c r="R80" s="27" t="n"/>
      <c r="S80" s="27" t="n"/>
      <c r="T80" s="27" t="n"/>
      <c r="U80" s="27" t="n"/>
      <c r="V80" s="27" t="n"/>
      <c r="W80" s="27" t="n"/>
      <c r="X80" s="27" t="n"/>
      <c r="Y80" s="27" t="n"/>
      <c r="Z80" s="27" t="n"/>
      <c r="AA80" s="27" t="n"/>
      <c r="AB80" s="27" t="n"/>
      <c r="AC80" s="30" t="n"/>
      <c r="AD80" s="25" t="n"/>
      <c r="AE80" s="28">
        <f>IF(NOT(AND($A80&lt;&gt;"",OR($I80="",$I80="Active"))),"",IF(OR(IF(OR(ISNUMBER($Y80),$Y80="DNA"),$Y80,IF(OR(ISNUMBER($X80),$X80="DNA"),$X80,IF(OR(ISNUMBER($W80),$W80="DNA"),$W80,IF(OR(ISNUMBER($V80),$V80="DNA"),$V80,IF(OR(ISNUMBER($U80),$U80="DNA"),$U80,IF(OR(ISNUMBER($T80),$T80="DNA"),$T80,IF(OR(ISNUMBER($S80),$S80="DNA"),$S80,IF(OR(ISNUMBER($P80),$P80="DNA"),$P80,IF(OR(ISNUMBER($O80),$O80="DNA"),$O80,IF(OR(ISNUMBER($N80),$N80="DNA"),$N80,""))))))))))="DNA",AND(ISNUMBER(IF(OR(ISNUMBER($Y80),$Y80="DNA"),$Y80,IF(OR(ISNUMBER($X80),$X80="DNA"),$X80,IF(OR(ISNUMBER($W80),$W80="DNA"),$W80,IF(OR(ISNUMBER($V80),$V80="DNA"),$V80,IF(OR(ISNUMBER($U80),$U80="DNA"),$U80,IF(OR(ISNUMBER($T80),$T80="DNA"),$T80,IF(OR(ISNUMBER($S80),$S80="DNA"),$S80,IF(OR(ISNUMBER($P80),$P80="DNA"),$P80,IF(OR(ISNUMBER($O80),$O80="DNA"),$O80,IF(OR(ISNUMBER($N80),$N80="DNA"),$N80,""))))))))))),IF(OR(ISNUMBER($Y80),$Y80="DNA"),$Y80,IF(OR(ISNUMBER($X80),$X80="DNA"),$X80,IF(OR(ISNUMBER($W80),$W80="DNA"),$W80,IF(OR(ISNUMBER($V80),$V80="DNA"),$V80,IF(OR(ISNUMBER($U80),$U80="DNA"),$U80,IF(OR(ISNUMBER($T80),$T80="DNA"),$T80,IF(OR(ISNUMBER($S80),$S80="DNA"),$S80,IF(OR(ISNUMBER($P80),$P80="DNA"),$P80,IF(OR(ISNUMBER($O80),$O80="DNA"),$O80,IF(OR(ISNUMBER($N80),$N80="DNA"),$N80,""))))))))))&lt;TODAY())),1,0)+ISNUMBER($Q80)*($Q80&lt;TODAY())+ISNUMBER($R80)*($R80&lt;TODAY())+ISNUMBER($AA80)*($AA80&lt;TODAY())+ISNUMBER($AB80)*($AB80&lt;TODAY()))</f>
        <v/>
      </c>
    </row>
    <row r="81">
      <c r="A81" s="25" t="n"/>
      <c r="B81" s="26" t="n"/>
      <c r="C81" s="27" t="n"/>
      <c r="D81" s="25" t="n"/>
      <c r="E81" s="25" t="n"/>
      <c r="F81" s="25" t="n"/>
      <c r="G81" s="25" t="n"/>
      <c r="H81" s="27" t="n"/>
      <c r="I81" s="25" t="n"/>
      <c r="J81" s="28">
        <f>IF(OR(NOT(AND($A81&lt;&gt;"",OR($I81="",$I81="Active"))),$H81=""),"",INT((TODAY()-$H81+280)/7)&amp;"+"&amp;MOD(TODAY()-$H81+280,7))</f>
        <v/>
      </c>
      <c r="K81" s="28">
        <f>IF(NOT(AND($A81&lt;&gt;"",OR($I81="",$I81="Active"))),"",ISNUMBER($N81)*($N81&gt;=TODAY())*($N81&lt;=TODAY()+7)+ISNUMBER($O81)*($O81&gt;=TODAY())*($O81&lt;=TODAY()+7)+ISNUMBER($P81)*($P81&gt;=TODAY())*($P81&lt;=TODAY()+7)+ISNUMBER($S81)*($S81&gt;=TODAY())*($S81&lt;=TODAY()+7)+ISNUMBER($T81)*($T81&gt;=TODAY())*($T81&lt;=TODAY()+7)+ISNUMBER($U81)*($U81&gt;=TODAY())*($U81&lt;=TODAY()+7)+ISNUMBER($V81)*($V81&gt;=TODAY())*($V81&lt;=TODAY()+7)+ISNUMBER($W81)*($W81&gt;=TODAY())*($W81&lt;=TODAY()+7)+ISNUMBER($X81)*($X81&gt;=TODAY())*($X81&lt;=TODAY()+7)+ISNUMBER($Y81)*($Y81&gt;=TODAY())*($Y81&lt;=TODAY()+7)+ISNUMBER($Q81)*($Q81&gt;=TODAY())*($Q81&lt;=TODAY()+7)+ISNUMBER($R81)*($R81&gt;=TODAY())*($R81&lt;=TODAY()+7)+ISNUMBER($AA81)*($AA81&gt;=TODAY())*($AA81&lt;=TODAY()+7)+ISNUMBER($AB81)*($AB81&gt;=TODAY())*($AB81&lt;=TODAY()+7))</f>
        <v/>
      </c>
      <c r="L81" s="28">
        <f>IF(NOT(AND($A81&lt;&gt;"",OR($I81="",$I81="Active"))),"",IF($M81&lt;&gt;"",IF($N81=$M81,"Booking",IF($O81=$M81,"16/40",IF($P81=$M81,"25/40",IF($S81=$M81,"28/40",IF($T81=$M81,"31/40",IF($U81=$M81,"34/40",IF($V81=$M81,"36/40",IF($W81=$M81,"38/40",IF($X81=$M81,"40/40",IF($Y81=$M81,"41/40","")))))))))),IF(IF(OR(ISNUMBER($Y81),$Y81="DNA"),$Y81,IF(OR(ISNUMBER($X81),$X81="DNA"),$X81,IF(OR(ISNUMBER($W81),$W81="DNA"),$W81,IF(OR(ISNUMBER($V81),$V81="DNA"),$V81,IF(OR(ISNUMBER($U81),$U81="DNA"),$U81,IF(OR(ISNUMBER($T81),$T81="DNA"),$T81,IF(OR(ISNUMBER($S81),$S81="DNA"),$S81,IF(OR(ISNUMBER($P81),$P81="DNA"),$P81,IF(OR(ISNUMBER($O81),$O81="DNA"),$O81,IF(OR(ISNUMBER($N81),$N81="DNA"),$N81,""))))))))))="DNA","Rebook DNA",IF(ISNUMBER(IF(OR(ISNUMBER($Y81),$Y81="DNA"),$Y81,IF(OR(ISNUMBER($X81),$X81="DNA"),$X81,IF(OR(ISNUMBER($W81),$W81="DNA"),$W81,IF(OR(ISNUMBER($V81),$V81="DNA"),$V81,IF(OR(ISNUMBER($U81),$U81="DNA"),$U81,IF(OR(ISNUMBER($T81),$T81="DNA"),$T81,IF(OR(ISNUMBER($S81),$S81="DNA"),$S81,IF(OR(ISNUMBER($P81),$P81="DNA"),$P81,IF(OR(ISNUMBER($O81),$O81="DNA"),$O81,IF(OR(ISNUMBER($N81),$N81="DNA"),$N81,""))))))))))),IF(ISNUMBER($Y81),"Update status","Missed/not booked?"),""))))</f>
        <v/>
      </c>
      <c r="M81" s="29">
        <f>IF(NOT(AND($A81&lt;&gt;"",OR($I81="",$I81="Active"))),"",IF(MIN(IF(AND(ISNUMBER($N81),$N81&gt;=TODAY()),$N81,99999),IF(AND(ISNUMBER($O81),$O81&gt;=TODAY()),$O81,99999),IF(AND(ISNUMBER($P81),$P81&gt;=TODAY()),$P81,99999),IF(AND(ISNUMBER($S81),$S81&gt;=TODAY()),$S81,99999),IF(AND(ISNUMBER($T81),$T81&gt;=TODAY()),$T81,99999),IF(AND(ISNUMBER($U81),$U81&gt;=TODAY()),$U81,99999),IF(AND(ISNUMBER($V81),$V81&gt;=TODAY()),$V81,99999),IF(AND(ISNUMBER($W81),$W81&gt;=TODAY()),$W81,99999),IF(AND(ISNUMBER($X81),$X81&gt;=TODAY()),$X81,99999),IF(AND(ISNUMBER($Y81),$Y81&gt;=TODAY()),$Y81,99999))=99999,"",MIN(IF(AND(ISNUMBER($N81),$N81&gt;=TODAY()),$N81,99999),IF(AND(ISNUMBER($O81),$O81&gt;=TODAY()),$O81,99999),IF(AND(ISNUMBER($P81),$P81&gt;=TODAY()),$P81,99999),IF(AND(ISNUMBER($S81),$S81&gt;=TODAY()),$S81,99999),IF(AND(ISNUMBER($T81),$T81&gt;=TODAY()),$T81,99999),IF(AND(ISNUMBER($U81),$U81&gt;=TODAY()),$U81,99999),IF(AND(ISNUMBER($V81),$V81&gt;=TODAY()),$V81,99999),IF(AND(ISNUMBER($W81),$W81&gt;=TODAY()),$W81,99999),IF(AND(ISNUMBER($X81),$X81&gt;=TODAY()),$X81,99999),IF(AND(ISNUMBER($Y81),$Y81&gt;=TODAY()),$Y81,99999))))</f>
        <v/>
      </c>
      <c r="N81" s="27" t="n"/>
      <c r="O81" s="27" t="n"/>
      <c r="P81" s="27" t="n"/>
      <c r="Q81" s="27" t="n"/>
      <c r="R81" s="27" t="n"/>
      <c r="S81" s="27" t="n"/>
      <c r="T81" s="27" t="n"/>
      <c r="U81" s="27" t="n"/>
      <c r="V81" s="27" t="n"/>
      <c r="W81" s="27" t="n"/>
      <c r="X81" s="27" t="n"/>
      <c r="Y81" s="27" t="n"/>
      <c r="Z81" s="27" t="n"/>
      <c r="AA81" s="27" t="n"/>
      <c r="AB81" s="27" t="n"/>
      <c r="AC81" s="30" t="n"/>
      <c r="AD81" s="25" t="n"/>
      <c r="AE81" s="28">
        <f>IF(NOT(AND($A81&lt;&gt;"",OR($I81="",$I81="Active"))),"",IF(OR(IF(OR(ISNUMBER($Y81),$Y81="DNA"),$Y81,IF(OR(ISNUMBER($X81),$X81="DNA"),$X81,IF(OR(ISNUMBER($W81),$W81="DNA"),$W81,IF(OR(ISNUMBER($V81),$V81="DNA"),$V81,IF(OR(ISNUMBER($U81),$U81="DNA"),$U81,IF(OR(ISNUMBER($T81),$T81="DNA"),$T81,IF(OR(ISNUMBER($S81),$S81="DNA"),$S81,IF(OR(ISNUMBER($P81),$P81="DNA"),$P81,IF(OR(ISNUMBER($O81),$O81="DNA"),$O81,IF(OR(ISNUMBER($N81),$N81="DNA"),$N81,""))))))))))="DNA",AND(ISNUMBER(IF(OR(ISNUMBER($Y81),$Y81="DNA"),$Y81,IF(OR(ISNUMBER($X81),$X81="DNA"),$X81,IF(OR(ISNUMBER($W81),$W81="DNA"),$W81,IF(OR(ISNUMBER($V81),$V81="DNA"),$V81,IF(OR(ISNUMBER($U81),$U81="DNA"),$U81,IF(OR(ISNUMBER($T81),$T81="DNA"),$T81,IF(OR(ISNUMBER($S81),$S81="DNA"),$S81,IF(OR(ISNUMBER($P81),$P81="DNA"),$P81,IF(OR(ISNUMBER($O81),$O81="DNA"),$O81,IF(OR(ISNUMBER($N81),$N81="DNA"),$N81,""))))))))))),IF(OR(ISNUMBER($Y81),$Y81="DNA"),$Y81,IF(OR(ISNUMBER($X81),$X81="DNA"),$X81,IF(OR(ISNUMBER($W81),$W81="DNA"),$W81,IF(OR(ISNUMBER($V81),$V81="DNA"),$V81,IF(OR(ISNUMBER($U81),$U81="DNA"),$U81,IF(OR(ISNUMBER($T81),$T81="DNA"),$T81,IF(OR(ISNUMBER($S81),$S81="DNA"),$S81,IF(OR(ISNUMBER($P81),$P81="DNA"),$P81,IF(OR(ISNUMBER($O81),$O81="DNA"),$O81,IF(OR(ISNUMBER($N81),$N81="DNA"),$N81,""))))))))))&lt;TODAY())),1,0)+ISNUMBER($Q81)*($Q81&lt;TODAY())+ISNUMBER($R81)*($R81&lt;TODAY())+ISNUMBER($AA81)*($AA81&lt;TODAY())+ISNUMBER($AB81)*($AB81&lt;TODAY()))</f>
        <v/>
      </c>
    </row>
    <row r="82">
      <c r="A82" s="25" t="n"/>
      <c r="B82" s="26" t="n"/>
      <c r="C82" s="27" t="n"/>
      <c r="D82" s="25" t="n"/>
      <c r="E82" s="25" t="n"/>
      <c r="F82" s="25" t="n"/>
      <c r="G82" s="25" t="n"/>
      <c r="H82" s="27" t="n"/>
      <c r="I82" s="25" t="n"/>
      <c r="J82" s="28">
        <f>IF(OR(NOT(AND($A82&lt;&gt;"",OR($I82="",$I82="Active"))),$H82=""),"",INT((TODAY()-$H82+280)/7)&amp;"+"&amp;MOD(TODAY()-$H82+280,7))</f>
        <v/>
      </c>
      <c r="K82" s="28">
        <f>IF(NOT(AND($A82&lt;&gt;"",OR($I82="",$I82="Active"))),"",ISNUMBER($N82)*($N82&gt;=TODAY())*($N82&lt;=TODAY()+7)+ISNUMBER($O82)*($O82&gt;=TODAY())*($O82&lt;=TODAY()+7)+ISNUMBER($P82)*($P82&gt;=TODAY())*($P82&lt;=TODAY()+7)+ISNUMBER($S82)*($S82&gt;=TODAY())*($S82&lt;=TODAY()+7)+ISNUMBER($T82)*($T82&gt;=TODAY())*($T82&lt;=TODAY()+7)+ISNUMBER($U82)*($U82&gt;=TODAY())*($U82&lt;=TODAY()+7)+ISNUMBER($V82)*($V82&gt;=TODAY())*($V82&lt;=TODAY()+7)+ISNUMBER($W82)*($W82&gt;=TODAY())*($W82&lt;=TODAY()+7)+ISNUMBER($X82)*($X82&gt;=TODAY())*($X82&lt;=TODAY()+7)+ISNUMBER($Y82)*($Y82&gt;=TODAY())*($Y82&lt;=TODAY()+7)+ISNUMBER($Q82)*($Q82&gt;=TODAY())*($Q82&lt;=TODAY()+7)+ISNUMBER($R82)*($R82&gt;=TODAY())*($R82&lt;=TODAY()+7)+ISNUMBER($AA82)*($AA82&gt;=TODAY())*($AA82&lt;=TODAY()+7)+ISNUMBER($AB82)*($AB82&gt;=TODAY())*($AB82&lt;=TODAY()+7))</f>
        <v/>
      </c>
      <c r="L82" s="28">
        <f>IF(NOT(AND($A82&lt;&gt;"",OR($I82="",$I82="Active"))),"",IF($M82&lt;&gt;"",IF($N82=$M82,"Booking",IF($O82=$M82,"16/40",IF($P82=$M82,"25/40",IF($S82=$M82,"28/40",IF($T82=$M82,"31/40",IF($U82=$M82,"34/40",IF($V82=$M82,"36/40",IF($W82=$M82,"38/40",IF($X82=$M82,"40/40",IF($Y82=$M82,"41/40","")))))))))),IF(IF(OR(ISNUMBER($Y82),$Y82="DNA"),$Y82,IF(OR(ISNUMBER($X82),$X82="DNA"),$X82,IF(OR(ISNUMBER($W82),$W82="DNA"),$W82,IF(OR(ISNUMBER($V82),$V82="DNA"),$V82,IF(OR(ISNUMBER($U82),$U82="DNA"),$U82,IF(OR(ISNUMBER($T82),$T82="DNA"),$T82,IF(OR(ISNUMBER($S82),$S82="DNA"),$S82,IF(OR(ISNUMBER($P82),$P82="DNA"),$P82,IF(OR(ISNUMBER($O82),$O82="DNA"),$O82,IF(OR(ISNUMBER($N82),$N82="DNA"),$N82,""))))))))))="DNA","Rebook DNA",IF(ISNUMBER(IF(OR(ISNUMBER($Y82),$Y82="DNA"),$Y82,IF(OR(ISNUMBER($X82),$X82="DNA"),$X82,IF(OR(ISNUMBER($W82),$W82="DNA"),$W82,IF(OR(ISNUMBER($V82),$V82="DNA"),$V82,IF(OR(ISNUMBER($U82),$U82="DNA"),$U82,IF(OR(ISNUMBER($T82),$T82="DNA"),$T82,IF(OR(ISNUMBER($S82),$S82="DNA"),$S82,IF(OR(ISNUMBER($P82),$P82="DNA"),$P82,IF(OR(ISNUMBER($O82),$O82="DNA"),$O82,IF(OR(ISNUMBER($N82),$N82="DNA"),$N82,""))))))))))),IF(ISNUMBER($Y82),"Update status","Missed/not booked?"),""))))</f>
        <v/>
      </c>
      <c r="M82" s="29">
        <f>IF(NOT(AND($A82&lt;&gt;"",OR($I82="",$I82="Active"))),"",IF(MIN(IF(AND(ISNUMBER($N82),$N82&gt;=TODAY()),$N82,99999),IF(AND(ISNUMBER($O82),$O82&gt;=TODAY()),$O82,99999),IF(AND(ISNUMBER($P82),$P82&gt;=TODAY()),$P82,99999),IF(AND(ISNUMBER($S82),$S82&gt;=TODAY()),$S82,99999),IF(AND(ISNUMBER($T82),$T82&gt;=TODAY()),$T82,99999),IF(AND(ISNUMBER($U82),$U82&gt;=TODAY()),$U82,99999),IF(AND(ISNUMBER($V82),$V82&gt;=TODAY()),$V82,99999),IF(AND(ISNUMBER($W82),$W82&gt;=TODAY()),$W82,99999),IF(AND(ISNUMBER($X82),$X82&gt;=TODAY()),$X82,99999),IF(AND(ISNUMBER($Y82),$Y82&gt;=TODAY()),$Y82,99999))=99999,"",MIN(IF(AND(ISNUMBER($N82),$N82&gt;=TODAY()),$N82,99999),IF(AND(ISNUMBER($O82),$O82&gt;=TODAY()),$O82,99999),IF(AND(ISNUMBER($P82),$P82&gt;=TODAY()),$P82,99999),IF(AND(ISNUMBER($S82),$S82&gt;=TODAY()),$S82,99999),IF(AND(ISNUMBER($T82),$T82&gt;=TODAY()),$T82,99999),IF(AND(ISNUMBER($U82),$U82&gt;=TODAY()),$U82,99999),IF(AND(ISNUMBER($V82),$V82&gt;=TODAY()),$V82,99999),IF(AND(ISNUMBER($W82),$W82&gt;=TODAY()),$W82,99999),IF(AND(ISNUMBER($X82),$X82&gt;=TODAY()),$X82,99999),IF(AND(ISNUMBER($Y82),$Y82&gt;=TODAY()),$Y82,99999))))</f>
        <v/>
      </c>
      <c r="N82" s="27" t="n"/>
      <c r="O82" s="27" t="n"/>
      <c r="P82" s="27" t="n"/>
      <c r="Q82" s="27" t="n"/>
      <c r="R82" s="27" t="n"/>
      <c r="S82" s="27" t="n"/>
      <c r="T82" s="27" t="n"/>
      <c r="U82" s="27" t="n"/>
      <c r="V82" s="27" t="n"/>
      <c r="W82" s="27" t="n"/>
      <c r="X82" s="27" t="n"/>
      <c r="Y82" s="27" t="n"/>
      <c r="Z82" s="27" t="n"/>
      <c r="AA82" s="27" t="n"/>
      <c r="AB82" s="27" t="n"/>
      <c r="AC82" s="30" t="n"/>
      <c r="AD82" s="25" t="n"/>
      <c r="AE82" s="28">
        <f>IF(NOT(AND($A82&lt;&gt;"",OR($I82="",$I82="Active"))),"",IF(OR(IF(OR(ISNUMBER($Y82),$Y82="DNA"),$Y82,IF(OR(ISNUMBER($X82),$X82="DNA"),$X82,IF(OR(ISNUMBER($W82),$W82="DNA"),$W82,IF(OR(ISNUMBER($V82),$V82="DNA"),$V82,IF(OR(ISNUMBER($U82),$U82="DNA"),$U82,IF(OR(ISNUMBER($T82),$T82="DNA"),$T82,IF(OR(ISNUMBER($S82),$S82="DNA"),$S82,IF(OR(ISNUMBER($P82),$P82="DNA"),$P82,IF(OR(ISNUMBER($O82),$O82="DNA"),$O82,IF(OR(ISNUMBER($N82),$N82="DNA"),$N82,""))))))))))="DNA",AND(ISNUMBER(IF(OR(ISNUMBER($Y82),$Y82="DNA"),$Y82,IF(OR(ISNUMBER($X82),$X82="DNA"),$X82,IF(OR(ISNUMBER($W82),$W82="DNA"),$W82,IF(OR(ISNUMBER($V82),$V82="DNA"),$V82,IF(OR(ISNUMBER($U82),$U82="DNA"),$U82,IF(OR(ISNUMBER($T82),$T82="DNA"),$T82,IF(OR(ISNUMBER($S82),$S82="DNA"),$S82,IF(OR(ISNUMBER($P82),$P82="DNA"),$P82,IF(OR(ISNUMBER($O82),$O82="DNA"),$O82,IF(OR(ISNUMBER($N82),$N82="DNA"),$N82,""))))))))))),IF(OR(ISNUMBER($Y82),$Y82="DNA"),$Y82,IF(OR(ISNUMBER($X82),$X82="DNA"),$X82,IF(OR(ISNUMBER($W82),$W82="DNA"),$W82,IF(OR(ISNUMBER($V82),$V82="DNA"),$V82,IF(OR(ISNUMBER($U82),$U82="DNA"),$U82,IF(OR(ISNUMBER($T82),$T82="DNA"),$T82,IF(OR(ISNUMBER($S82),$S82="DNA"),$S82,IF(OR(ISNUMBER($P82),$P82="DNA"),$P82,IF(OR(ISNUMBER($O82),$O82="DNA"),$O82,IF(OR(ISNUMBER($N82),$N82="DNA"),$N82,""))))))))))&lt;TODAY())),1,0)+ISNUMBER($Q82)*($Q82&lt;TODAY())+ISNUMBER($R82)*($R82&lt;TODAY())+ISNUMBER($AA82)*($AA82&lt;TODAY())+ISNUMBER($AB82)*($AB82&lt;TODAY()))</f>
        <v/>
      </c>
    </row>
    <row r="83">
      <c r="A83" s="25" t="n"/>
      <c r="B83" s="26" t="n"/>
      <c r="C83" s="27" t="n"/>
      <c r="D83" s="25" t="n"/>
      <c r="E83" s="25" t="n"/>
      <c r="F83" s="25" t="n"/>
      <c r="G83" s="25" t="n"/>
      <c r="H83" s="27" t="n"/>
      <c r="I83" s="25" t="n"/>
      <c r="J83" s="28">
        <f>IF(OR(NOT(AND($A83&lt;&gt;"",OR($I83="",$I83="Active"))),$H83=""),"",INT((TODAY()-$H83+280)/7)&amp;"+"&amp;MOD(TODAY()-$H83+280,7))</f>
        <v/>
      </c>
      <c r="K83" s="28">
        <f>IF(NOT(AND($A83&lt;&gt;"",OR($I83="",$I83="Active"))),"",ISNUMBER($N83)*($N83&gt;=TODAY())*($N83&lt;=TODAY()+7)+ISNUMBER($O83)*($O83&gt;=TODAY())*($O83&lt;=TODAY()+7)+ISNUMBER($P83)*($P83&gt;=TODAY())*($P83&lt;=TODAY()+7)+ISNUMBER($S83)*($S83&gt;=TODAY())*($S83&lt;=TODAY()+7)+ISNUMBER($T83)*($T83&gt;=TODAY())*($T83&lt;=TODAY()+7)+ISNUMBER($U83)*($U83&gt;=TODAY())*($U83&lt;=TODAY()+7)+ISNUMBER($V83)*($V83&gt;=TODAY())*($V83&lt;=TODAY()+7)+ISNUMBER($W83)*($W83&gt;=TODAY())*($W83&lt;=TODAY()+7)+ISNUMBER($X83)*($X83&gt;=TODAY())*($X83&lt;=TODAY()+7)+ISNUMBER($Y83)*($Y83&gt;=TODAY())*($Y83&lt;=TODAY()+7)+ISNUMBER($Q83)*($Q83&gt;=TODAY())*($Q83&lt;=TODAY()+7)+ISNUMBER($R83)*($R83&gt;=TODAY())*($R83&lt;=TODAY()+7)+ISNUMBER($AA83)*($AA83&gt;=TODAY())*($AA83&lt;=TODAY()+7)+ISNUMBER($AB83)*($AB83&gt;=TODAY())*($AB83&lt;=TODAY()+7))</f>
        <v/>
      </c>
      <c r="L83" s="28">
        <f>IF(NOT(AND($A83&lt;&gt;"",OR($I83="",$I83="Active"))),"",IF($M83&lt;&gt;"",IF($N83=$M83,"Booking",IF($O83=$M83,"16/40",IF($P83=$M83,"25/40",IF($S83=$M83,"28/40",IF($T83=$M83,"31/40",IF($U83=$M83,"34/40",IF($V83=$M83,"36/40",IF($W83=$M83,"38/40",IF($X83=$M83,"40/40",IF($Y83=$M83,"41/40","")))))))))),IF(IF(OR(ISNUMBER($Y83),$Y83="DNA"),$Y83,IF(OR(ISNUMBER($X83),$X83="DNA"),$X83,IF(OR(ISNUMBER($W83),$W83="DNA"),$W83,IF(OR(ISNUMBER($V83),$V83="DNA"),$V83,IF(OR(ISNUMBER($U83),$U83="DNA"),$U83,IF(OR(ISNUMBER($T83),$T83="DNA"),$T83,IF(OR(ISNUMBER($S83),$S83="DNA"),$S83,IF(OR(ISNUMBER($P83),$P83="DNA"),$P83,IF(OR(ISNUMBER($O83),$O83="DNA"),$O83,IF(OR(ISNUMBER($N83),$N83="DNA"),$N83,""))))))))))="DNA","Rebook DNA",IF(ISNUMBER(IF(OR(ISNUMBER($Y83),$Y83="DNA"),$Y83,IF(OR(ISNUMBER($X83),$X83="DNA"),$X83,IF(OR(ISNUMBER($W83),$W83="DNA"),$W83,IF(OR(ISNUMBER($V83),$V83="DNA"),$V83,IF(OR(ISNUMBER($U83),$U83="DNA"),$U83,IF(OR(ISNUMBER($T83),$T83="DNA"),$T83,IF(OR(ISNUMBER($S83),$S83="DNA"),$S83,IF(OR(ISNUMBER($P83),$P83="DNA"),$P83,IF(OR(ISNUMBER($O83),$O83="DNA"),$O83,IF(OR(ISNUMBER($N83),$N83="DNA"),$N83,""))))))))))),IF(ISNUMBER($Y83),"Update status","Missed/not booked?"),""))))</f>
        <v/>
      </c>
      <c r="M83" s="29">
        <f>IF(NOT(AND($A83&lt;&gt;"",OR($I83="",$I83="Active"))),"",IF(MIN(IF(AND(ISNUMBER($N83),$N83&gt;=TODAY()),$N83,99999),IF(AND(ISNUMBER($O83),$O83&gt;=TODAY()),$O83,99999),IF(AND(ISNUMBER($P83),$P83&gt;=TODAY()),$P83,99999),IF(AND(ISNUMBER($S83),$S83&gt;=TODAY()),$S83,99999),IF(AND(ISNUMBER($T83),$T83&gt;=TODAY()),$T83,99999),IF(AND(ISNUMBER($U83),$U83&gt;=TODAY()),$U83,99999),IF(AND(ISNUMBER($V83),$V83&gt;=TODAY()),$V83,99999),IF(AND(ISNUMBER($W83),$W83&gt;=TODAY()),$W83,99999),IF(AND(ISNUMBER($X83),$X83&gt;=TODAY()),$X83,99999),IF(AND(ISNUMBER($Y83),$Y83&gt;=TODAY()),$Y83,99999))=99999,"",MIN(IF(AND(ISNUMBER($N83),$N83&gt;=TODAY()),$N83,99999),IF(AND(ISNUMBER($O83),$O83&gt;=TODAY()),$O83,99999),IF(AND(ISNUMBER($P83),$P83&gt;=TODAY()),$P83,99999),IF(AND(ISNUMBER($S83),$S83&gt;=TODAY()),$S83,99999),IF(AND(ISNUMBER($T83),$T83&gt;=TODAY()),$T83,99999),IF(AND(ISNUMBER($U83),$U83&gt;=TODAY()),$U83,99999),IF(AND(ISNUMBER($V83),$V83&gt;=TODAY()),$V83,99999),IF(AND(ISNUMBER($W83),$W83&gt;=TODAY()),$W83,99999),IF(AND(ISNUMBER($X83),$X83&gt;=TODAY()),$X83,99999),IF(AND(ISNUMBER($Y83),$Y83&gt;=TODAY()),$Y83,99999))))</f>
        <v/>
      </c>
      <c r="N83" s="27" t="n"/>
      <c r="O83" s="27" t="n"/>
      <c r="P83" s="27" t="n"/>
      <c r="Q83" s="27" t="n"/>
      <c r="R83" s="27" t="n"/>
      <c r="S83" s="27" t="n"/>
      <c r="T83" s="27" t="n"/>
      <c r="U83" s="27" t="n"/>
      <c r="V83" s="27" t="n"/>
      <c r="W83" s="27" t="n"/>
      <c r="X83" s="27" t="n"/>
      <c r="Y83" s="27" t="n"/>
      <c r="Z83" s="27" t="n"/>
      <c r="AA83" s="27" t="n"/>
      <c r="AB83" s="27" t="n"/>
      <c r="AC83" s="30" t="n"/>
      <c r="AD83" s="25" t="n"/>
      <c r="AE83" s="28">
        <f>IF(NOT(AND($A83&lt;&gt;"",OR($I83="",$I83="Active"))),"",IF(OR(IF(OR(ISNUMBER($Y83),$Y83="DNA"),$Y83,IF(OR(ISNUMBER($X83),$X83="DNA"),$X83,IF(OR(ISNUMBER($W83),$W83="DNA"),$W83,IF(OR(ISNUMBER($V83),$V83="DNA"),$V83,IF(OR(ISNUMBER($U83),$U83="DNA"),$U83,IF(OR(ISNUMBER($T83),$T83="DNA"),$T83,IF(OR(ISNUMBER($S83),$S83="DNA"),$S83,IF(OR(ISNUMBER($P83),$P83="DNA"),$P83,IF(OR(ISNUMBER($O83),$O83="DNA"),$O83,IF(OR(ISNUMBER($N83),$N83="DNA"),$N83,""))))))))))="DNA",AND(ISNUMBER(IF(OR(ISNUMBER($Y83),$Y83="DNA"),$Y83,IF(OR(ISNUMBER($X83),$X83="DNA"),$X83,IF(OR(ISNUMBER($W83),$W83="DNA"),$W83,IF(OR(ISNUMBER($V83),$V83="DNA"),$V83,IF(OR(ISNUMBER($U83),$U83="DNA"),$U83,IF(OR(ISNUMBER($T83),$T83="DNA"),$T83,IF(OR(ISNUMBER($S83),$S83="DNA"),$S83,IF(OR(ISNUMBER($P83),$P83="DNA"),$P83,IF(OR(ISNUMBER($O83),$O83="DNA"),$O83,IF(OR(ISNUMBER($N83),$N83="DNA"),$N83,""))))))))))),IF(OR(ISNUMBER($Y83),$Y83="DNA"),$Y83,IF(OR(ISNUMBER($X83),$X83="DNA"),$X83,IF(OR(ISNUMBER($W83),$W83="DNA"),$W83,IF(OR(ISNUMBER($V83),$V83="DNA"),$V83,IF(OR(ISNUMBER($U83),$U83="DNA"),$U83,IF(OR(ISNUMBER($T83),$T83="DNA"),$T83,IF(OR(ISNUMBER($S83),$S83="DNA"),$S83,IF(OR(ISNUMBER($P83),$P83="DNA"),$P83,IF(OR(ISNUMBER($O83),$O83="DNA"),$O83,IF(OR(ISNUMBER($N83),$N83="DNA"),$N83,""))))))))))&lt;TODAY())),1,0)+ISNUMBER($Q83)*($Q83&lt;TODAY())+ISNUMBER($R83)*($R83&lt;TODAY())+ISNUMBER($AA83)*($AA83&lt;TODAY())+ISNUMBER($AB83)*($AB83&lt;TODAY()))</f>
        <v/>
      </c>
    </row>
    <row r="84">
      <c r="A84" s="25" t="n"/>
      <c r="B84" s="26" t="n"/>
      <c r="C84" s="27" t="n"/>
      <c r="D84" s="25" t="n"/>
      <c r="E84" s="25" t="n"/>
      <c r="F84" s="25" t="n"/>
      <c r="G84" s="25" t="n"/>
      <c r="H84" s="27" t="n"/>
      <c r="I84" s="25" t="n"/>
      <c r="J84" s="28">
        <f>IF(OR(NOT(AND($A84&lt;&gt;"",OR($I84="",$I84="Active"))),$H84=""),"",INT((TODAY()-$H84+280)/7)&amp;"+"&amp;MOD(TODAY()-$H84+280,7))</f>
        <v/>
      </c>
      <c r="K84" s="28">
        <f>IF(NOT(AND($A84&lt;&gt;"",OR($I84="",$I84="Active"))),"",ISNUMBER($N84)*($N84&gt;=TODAY())*($N84&lt;=TODAY()+7)+ISNUMBER($O84)*($O84&gt;=TODAY())*($O84&lt;=TODAY()+7)+ISNUMBER($P84)*($P84&gt;=TODAY())*($P84&lt;=TODAY()+7)+ISNUMBER($S84)*($S84&gt;=TODAY())*($S84&lt;=TODAY()+7)+ISNUMBER($T84)*($T84&gt;=TODAY())*($T84&lt;=TODAY()+7)+ISNUMBER($U84)*($U84&gt;=TODAY())*($U84&lt;=TODAY()+7)+ISNUMBER($V84)*($V84&gt;=TODAY())*($V84&lt;=TODAY()+7)+ISNUMBER($W84)*($W84&gt;=TODAY())*($W84&lt;=TODAY()+7)+ISNUMBER($X84)*($X84&gt;=TODAY())*($X84&lt;=TODAY()+7)+ISNUMBER($Y84)*($Y84&gt;=TODAY())*($Y84&lt;=TODAY()+7)+ISNUMBER($Q84)*($Q84&gt;=TODAY())*($Q84&lt;=TODAY()+7)+ISNUMBER($R84)*($R84&gt;=TODAY())*($R84&lt;=TODAY()+7)+ISNUMBER($AA84)*($AA84&gt;=TODAY())*($AA84&lt;=TODAY()+7)+ISNUMBER($AB84)*($AB84&gt;=TODAY())*($AB84&lt;=TODAY()+7))</f>
        <v/>
      </c>
      <c r="L84" s="28">
        <f>IF(NOT(AND($A84&lt;&gt;"",OR($I84="",$I84="Active"))),"",IF($M84&lt;&gt;"",IF($N84=$M84,"Booking",IF($O84=$M84,"16/40",IF($P84=$M84,"25/40",IF($S84=$M84,"28/40",IF($T84=$M84,"31/40",IF($U84=$M84,"34/40",IF($V84=$M84,"36/40",IF($W84=$M84,"38/40",IF($X84=$M84,"40/40",IF($Y84=$M84,"41/40","")))))))))),IF(IF(OR(ISNUMBER($Y84),$Y84="DNA"),$Y84,IF(OR(ISNUMBER($X84),$X84="DNA"),$X84,IF(OR(ISNUMBER($W84),$W84="DNA"),$W84,IF(OR(ISNUMBER($V84),$V84="DNA"),$V84,IF(OR(ISNUMBER($U84),$U84="DNA"),$U84,IF(OR(ISNUMBER($T84),$T84="DNA"),$T84,IF(OR(ISNUMBER($S84),$S84="DNA"),$S84,IF(OR(ISNUMBER($P84),$P84="DNA"),$P84,IF(OR(ISNUMBER($O84),$O84="DNA"),$O84,IF(OR(ISNUMBER($N84),$N84="DNA"),$N84,""))))))))))="DNA","Rebook DNA",IF(ISNUMBER(IF(OR(ISNUMBER($Y84),$Y84="DNA"),$Y84,IF(OR(ISNUMBER($X84),$X84="DNA"),$X84,IF(OR(ISNUMBER($W84),$W84="DNA"),$W84,IF(OR(ISNUMBER($V84),$V84="DNA"),$V84,IF(OR(ISNUMBER($U84),$U84="DNA"),$U84,IF(OR(ISNUMBER($T84),$T84="DNA"),$T84,IF(OR(ISNUMBER($S84),$S84="DNA"),$S84,IF(OR(ISNUMBER($P84),$P84="DNA"),$P84,IF(OR(ISNUMBER($O84),$O84="DNA"),$O84,IF(OR(ISNUMBER($N84),$N84="DNA"),$N84,""))))))))))),IF(ISNUMBER($Y84),"Update status","Missed/not booked?"),""))))</f>
        <v/>
      </c>
      <c r="M84" s="29">
        <f>IF(NOT(AND($A84&lt;&gt;"",OR($I84="",$I84="Active"))),"",IF(MIN(IF(AND(ISNUMBER($N84),$N84&gt;=TODAY()),$N84,99999),IF(AND(ISNUMBER($O84),$O84&gt;=TODAY()),$O84,99999),IF(AND(ISNUMBER($P84),$P84&gt;=TODAY()),$P84,99999),IF(AND(ISNUMBER($S84),$S84&gt;=TODAY()),$S84,99999),IF(AND(ISNUMBER($T84),$T84&gt;=TODAY()),$T84,99999),IF(AND(ISNUMBER($U84),$U84&gt;=TODAY()),$U84,99999),IF(AND(ISNUMBER($V84),$V84&gt;=TODAY()),$V84,99999),IF(AND(ISNUMBER($W84),$W84&gt;=TODAY()),$W84,99999),IF(AND(ISNUMBER($X84),$X84&gt;=TODAY()),$X84,99999),IF(AND(ISNUMBER($Y84),$Y84&gt;=TODAY()),$Y84,99999))=99999,"",MIN(IF(AND(ISNUMBER($N84),$N84&gt;=TODAY()),$N84,99999),IF(AND(ISNUMBER($O84),$O84&gt;=TODAY()),$O84,99999),IF(AND(ISNUMBER($P84),$P84&gt;=TODAY()),$P84,99999),IF(AND(ISNUMBER($S84),$S84&gt;=TODAY()),$S84,99999),IF(AND(ISNUMBER($T84),$T84&gt;=TODAY()),$T84,99999),IF(AND(ISNUMBER($U84),$U84&gt;=TODAY()),$U84,99999),IF(AND(ISNUMBER($V84),$V84&gt;=TODAY()),$V84,99999),IF(AND(ISNUMBER($W84),$W84&gt;=TODAY()),$W84,99999),IF(AND(ISNUMBER($X84),$X84&gt;=TODAY()),$X84,99999),IF(AND(ISNUMBER($Y84),$Y84&gt;=TODAY()),$Y84,99999))))</f>
        <v/>
      </c>
      <c r="N84" s="27" t="n"/>
      <c r="O84" s="27" t="n"/>
      <c r="P84" s="27" t="n"/>
      <c r="Q84" s="27" t="n"/>
      <c r="R84" s="27" t="n"/>
      <c r="S84" s="27" t="n"/>
      <c r="T84" s="27" t="n"/>
      <c r="U84" s="27" t="n"/>
      <c r="V84" s="27" t="n"/>
      <c r="W84" s="27" t="n"/>
      <c r="X84" s="27" t="n"/>
      <c r="Y84" s="27" t="n"/>
      <c r="Z84" s="27" t="n"/>
      <c r="AA84" s="27" t="n"/>
      <c r="AB84" s="27" t="n"/>
      <c r="AC84" s="30" t="n"/>
      <c r="AD84" s="25" t="n"/>
      <c r="AE84" s="28">
        <f>IF(NOT(AND($A84&lt;&gt;"",OR($I84="",$I84="Active"))),"",IF(OR(IF(OR(ISNUMBER($Y84),$Y84="DNA"),$Y84,IF(OR(ISNUMBER($X84),$X84="DNA"),$X84,IF(OR(ISNUMBER($W84),$W84="DNA"),$W84,IF(OR(ISNUMBER($V84),$V84="DNA"),$V84,IF(OR(ISNUMBER($U84),$U84="DNA"),$U84,IF(OR(ISNUMBER($T84),$T84="DNA"),$T84,IF(OR(ISNUMBER($S84),$S84="DNA"),$S84,IF(OR(ISNUMBER($P84),$P84="DNA"),$P84,IF(OR(ISNUMBER($O84),$O84="DNA"),$O84,IF(OR(ISNUMBER($N84),$N84="DNA"),$N84,""))))))))))="DNA",AND(ISNUMBER(IF(OR(ISNUMBER($Y84),$Y84="DNA"),$Y84,IF(OR(ISNUMBER($X84),$X84="DNA"),$X84,IF(OR(ISNUMBER($W84),$W84="DNA"),$W84,IF(OR(ISNUMBER($V84),$V84="DNA"),$V84,IF(OR(ISNUMBER($U84),$U84="DNA"),$U84,IF(OR(ISNUMBER($T84),$T84="DNA"),$T84,IF(OR(ISNUMBER($S84),$S84="DNA"),$S84,IF(OR(ISNUMBER($P84),$P84="DNA"),$P84,IF(OR(ISNUMBER($O84),$O84="DNA"),$O84,IF(OR(ISNUMBER($N84),$N84="DNA"),$N84,""))))))))))),IF(OR(ISNUMBER($Y84),$Y84="DNA"),$Y84,IF(OR(ISNUMBER($X84),$X84="DNA"),$X84,IF(OR(ISNUMBER($W84),$W84="DNA"),$W84,IF(OR(ISNUMBER($V84),$V84="DNA"),$V84,IF(OR(ISNUMBER($U84),$U84="DNA"),$U84,IF(OR(ISNUMBER($T84),$T84="DNA"),$T84,IF(OR(ISNUMBER($S84),$S84="DNA"),$S84,IF(OR(ISNUMBER($P84),$P84="DNA"),$P84,IF(OR(ISNUMBER($O84),$O84="DNA"),$O84,IF(OR(ISNUMBER($N84),$N84="DNA"),$N84,""))))))))))&lt;TODAY())),1,0)+ISNUMBER($Q84)*($Q84&lt;TODAY())+ISNUMBER($R84)*($R84&lt;TODAY())+ISNUMBER($AA84)*($AA84&lt;TODAY())+ISNUMBER($AB84)*($AB84&lt;TODAY()))</f>
        <v/>
      </c>
    </row>
    <row r="85">
      <c r="A85" s="25" t="n"/>
      <c r="B85" s="26" t="n"/>
      <c r="C85" s="27" t="n"/>
      <c r="D85" s="25" t="n"/>
      <c r="E85" s="25" t="n"/>
      <c r="F85" s="25" t="n"/>
      <c r="G85" s="25" t="n"/>
      <c r="H85" s="27" t="n"/>
      <c r="I85" s="25" t="n"/>
      <c r="J85" s="28">
        <f>IF(OR(NOT(AND($A85&lt;&gt;"",OR($I85="",$I85="Active"))),$H85=""),"",INT((TODAY()-$H85+280)/7)&amp;"+"&amp;MOD(TODAY()-$H85+280,7))</f>
        <v/>
      </c>
      <c r="K85" s="28">
        <f>IF(NOT(AND($A85&lt;&gt;"",OR($I85="",$I85="Active"))),"",ISNUMBER($N85)*($N85&gt;=TODAY())*($N85&lt;=TODAY()+7)+ISNUMBER($O85)*($O85&gt;=TODAY())*($O85&lt;=TODAY()+7)+ISNUMBER($P85)*($P85&gt;=TODAY())*($P85&lt;=TODAY()+7)+ISNUMBER($S85)*($S85&gt;=TODAY())*($S85&lt;=TODAY()+7)+ISNUMBER($T85)*($T85&gt;=TODAY())*($T85&lt;=TODAY()+7)+ISNUMBER($U85)*($U85&gt;=TODAY())*($U85&lt;=TODAY()+7)+ISNUMBER($V85)*($V85&gt;=TODAY())*($V85&lt;=TODAY()+7)+ISNUMBER($W85)*($W85&gt;=TODAY())*($W85&lt;=TODAY()+7)+ISNUMBER($X85)*($X85&gt;=TODAY())*($X85&lt;=TODAY()+7)+ISNUMBER($Y85)*($Y85&gt;=TODAY())*($Y85&lt;=TODAY()+7)+ISNUMBER($Q85)*($Q85&gt;=TODAY())*($Q85&lt;=TODAY()+7)+ISNUMBER($R85)*($R85&gt;=TODAY())*($R85&lt;=TODAY()+7)+ISNUMBER($AA85)*($AA85&gt;=TODAY())*($AA85&lt;=TODAY()+7)+ISNUMBER($AB85)*($AB85&gt;=TODAY())*($AB85&lt;=TODAY()+7))</f>
        <v/>
      </c>
      <c r="L85" s="28">
        <f>IF(NOT(AND($A85&lt;&gt;"",OR($I85="",$I85="Active"))),"",IF($M85&lt;&gt;"",IF($N85=$M85,"Booking",IF($O85=$M85,"16/40",IF($P85=$M85,"25/40",IF($S85=$M85,"28/40",IF($T85=$M85,"31/40",IF($U85=$M85,"34/40",IF($V85=$M85,"36/40",IF($W85=$M85,"38/40",IF($X85=$M85,"40/40",IF($Y85=$M85,"41/40","")))))))))),IF(IF(OR(ISNUMBER($Y85),$Y85="DNA"),$Y85,IF(OR(ISNUMBER($X85),$X85="DNA"),$X85,IF(OR(ISNUMBER($W85),$W85="DNA"),$W85,IF(OR(ISNUMBER($V85),$V85="DNA"),$V85,IF(OR(ISNUMBER($U85),$U85="DNA"),$U85,IF(OR(ISNUMBER($T85),$T85="DNA"),$T85,IF(OR(ISNUMBER($S85),$S85="DNA"),$S85,IF(OR(ISNUMBER($P85),$P85="DNA"),$P85,IF(OR(ISNUMBER($O85),$O85="DNA"),$O85,IF(OR(ISNUMBER($N85),$N85="DNA"),$N85,""))))))))))="DNA","Rebook DNA",IF(ISNUMBER(IF(OR(ISNUMBER($Y85),$Y85="DNA"),$Y85,IF(OR(ISNUMBER($X85),$X85="DNA"),$X85,IF(OR(ISNUMBER($W85),$W85="DNA"),$W85,IF(OR(ISNUMBER($V85),$V85="DNA"),$V85,IF(OR(ISNUMBER($U85),$U85="DNA"),$U85,IF(OR(ISNUMBER($T85),$T85="DNA"),$T85,IF(OR(ISNUMBER($S85),$S85="DNA"),$S85,IF(OR(ISNUMBER($P85),$P85="DNA"),$P85,IF(OR(ISNUMBER($O85),$O85="DNA"),$O85,IF(OR(ISNUMBER($N85),$N85="DNA"),$N85,""))))))))))),IF(ISNUMBER($Y85),"Update status","Missed/not booked?"),""))))</f>
        <v/>
      </c>
      <c r="M85" s="29">
        <f>IF(NOT(AND($A85&lt;&gt;"",OR($I85="",$I85="Active"))),"",IF(MIN(IF(AND(ISNUMBER($N85),$N85&gt;=TODAY()),$N85,99999),IF(AND(ISNUMBER($O85),$O85&gt;=TODAY()),$O85,99999),IF(AND(ISNUMBER($P85),$P85&gt;=TODAY()),$P85,99999),IF(AND(ISNUMBER($S85),$S85&gt;=TODAY()),$S85,99999),IF(AND(ISNUMBER($T85),$T85&gt;=TODAY()),$T85,99999),IF(AND(ISNUMBER($U85),$U85&gt;=TODAY()),$U85,99999),IF(AND(ISNUMBER($V85),$V85&gt;=TODAY()),$V85,99999),IF(AND(ISNUMBER($W85),$W85&gt;=TODAY()),$W85,99999),IF(AND(ISNUMBER($X85),$X85&gt;=TODAY()),$X85,99999),IF(AND(ISNUMBER($Y85),$Y85&gt;=TODAY()),$Y85,99999))=99999,"",MIN(IF(AND(ISNUMBER($N85),$N85&gt;=TODAY()),$N85,99999),IF(AND(ISNUMBER($O85),$O85&gt;=TODAY()),$O85,99999),IF(AND(ISNUMBER($P85),$P85&gt;=TODAY()),$P85,99999),IF(AND(ISNUMBER($S85),$S85&gt;=TODAY()),$S85,99999),IF(AND(ISNUMBER($T85),$T85&gt;=TODAY()),$T85,99999),IF(AND(ISNUMBER($U85),$U85&gt;=TODAY()),$U85,99999),IF(AND(ISNUMBER($V85),$V85&gt;=TODAY()),$V85,99999),IF(AND(ISNUMBER($W85),$W85&gt;=TODAY()),$W85,99999),IF(AND(ISNUMBER($X85),$X85&gt;=TODAY()),$X85,99999),IF(AND(ISNUMBER($Y85),$Y85&gt;=TODAY()),$Y85,99999))))</f>
        <v/>
      </c>
      <c r="N85" s="27" t="n"/>
      <c r="O85" s="27" t="n"/>
      <c r="P85" s="27" t="n"/>
      <c r="Q85" s="27" t="n"/>
      <c r="R85" s="27" t="n"/>
      <c r="S85" s="27" t="n"/>
      <c r="T85" s="27" t="n"/>
      <c r="U85" s="27" t="n"/>
      <c r="V85" s="27" t="n"/>
      <c r="W85" s="27" t="n"/>
      <c r="X85" s="27" t="n"/>
      <c r="Y85" s="27" t="n"/>
      <c r="Z85" s="27" t="n"/>
      <c r="AA85" s="27" t="n"/>
      <c r="AB85" s="27" t="n"/>
      <c r="AC85" s="30" t="n"/>
      <c r="AD85" s="25" t="n"/>
      <c r="AE85" s="28">
        <f>IF(NOT(AND($A85&lt;&gt;"",OR($I85="",$I85="Active"))),"",IF(OR(IF(OR(ISNUMBER($Y85),$Y85="DNA"),$Y85,IF(OR(ISNUMBER($X85),$X85="DNA"),$X85,IF(OR(ISNUMBER($W85),$W85="DNA"),$W85,IF(OR(ISNUMBER($V85),$V85="DNA"),$V85,IF(OR(ISNUMBER($U85),$U85="DNA"),$U85,IF(OR(ISNUMBER($T85),$T85="DNA"),$T85,IF(OR(ISNUMBER($S85),$S85="DNA"),$S85,IF(OR(ISNUMBER($P85),$P85="DNA"),$P85,IF(OR(ISNUMBER($O85),$O85="DNA"),$O85,IF(OR(ISNUMBER($N85),$N85="DNA"),$N85,""))))))))))="DNA",AND(ISNUMBER(IF(OR(ISNUMBER($Y85),$Y85="DNA"),$Y85,IF(OR(ISNUMBER($X85),$X85="DNA"),$X85,IF(OR(ISNUMBER($W85),$W85="DNA"),$W85,IF(OR(ISNUMBER($V85),$V85="DNA"),$V85,IF(OR(ISNUMBER($U85),$U85="DNA"),$U85,IF(OR(ISNUMBER($T85),$T85="DNA"),$T85,IF(OR(ISNUMBER($S85),$S85="DNA"),$S85,IF(OR(ISNUMBER($P85),$P85="DNA"),$P85,IF(OR(ISNUMBER($O85),$O85="DNA"),$O85,IF(OR(ISNUMBER($N85),$N85="DNA"),$N85,""))))))))))),IF(OR(ISNUMBER($Y85),$Y85="DNA"),$Y85,IF(OR(ISNUMBER($X85),$X85="DNA"),$X85,IF(OR(ISNUMBER($W85),$W85="DNA"),$W85,IF(OR(ISNUMBER($V85),$V85="DNA"),$V85,IF(OR(ISNUMBER($U85),$U85="DNA"),$U85,IF(OR(ISNUMBER($T85),$T85="DNA"),$T85,IF(OR(ISNUMBER($S85),$S85="DNA"),$S85,IF(OR(ISNUMBER($P85),$P85="DNA"),$P85,IF(OR(ISNUMBER($O85),$O85="DNA"),$O85,IF(OR(ISNUMBER($N85),$N85="DNA"),$N85,""))))))))))&lt;TODAY())),1,0)+ISNUMBER($Q85)*($Q85&lt;TODAY())+ISNUMBER($R85)*($R85&lt;TODAY())+ISNUMBER($AA85)*($AA85&lt;TODAY())+ISNUMBER($AB85)*($AB85&lt;TODAY()))</f>
        <v/>
      </c>
    </row>
    <row r="86">
      <c r="A86" s="25" t="n"/>
      <c r="B86" s="26" t="n"/>
      <c r="C86" s="27" t="n"/>
      <c r="D86" s="25" t="n"/>
      <c r="E86" s="25" t="n"/>
      <c r="F86" s="25" t="n"/>
      <c r="G86" s="25" t="n"/>
      <c r="H86" s="27" t="n"/>
      <c r="I86" s="25" t="n"/>
      <c r="J86" s="28">
        <f>IF(OR(NOT(AND($A86&lt;&gt;"",OR($I86="",$I86="Active"))),$H86=""),"",INT((TODAY()-$H86+280)/7)&amp;"+"&amp;MOD(TODAY()-$H86+280,7))</f>
        <v/>
      </c>
      <c r="K86" s="28">
        <f>IF(NOT(AND($A86&lt;&gt;"",OR($I86="",$I86="Active"))),"",ISNUMBER($N86)*($N86&gt;=TODAY())*($N86&lt;=TODAY()+7)+ISNUMBER($O86)*($O86&gt;=TODAY())*($O86&lt;=TODAY()+7)+ISNUMBER($P86)*($P86&gt;=TODAY())*($P86&lt;=TODAY()+7)+ISNUMBER($S86)*($S86&gt;=TODAY())*($S86&lt;=TODAY()+7)+ISNUMBER($T86)*($T86&gt;=TODAY())*($T86&lt;=TODAY()+7)+ISNUMBER($U86)*($U86&gt;=TODAY())*($U86&lt;=TODAY()+7)+ISNUMBER($V86)*($V86&gt;=TODAY())*($V86&lt;=TODAY()+7)+ISNUMBER($W86)*($W86&gt;=TODAY())*($W86&lt;=TODAY()+7)+ISNUMBER($X86)*($X86&gt;=TODAY())*($X86&lt;=TODAY()+7)+ISNUMBER($Y86)*($Y86&gt;=TODAY())*($Y86&lt;=TODAY()+7)+ISNUMBER($Q86)*($Q86&gt;=TODAY())*($Q86&lt;=TODAY()+7)+ISNUMBER($R86)*($R86&gt;=TODAY())*($R86&lt;=TODAY()+7)+ISNUMBER($AA86)*($AA86&gt;=TODAY())*($AA86&lt;=TODAY()+7)+ISNUMBER($AB86)*($AB86&gt;=TODAY())*($AB86&lt;=TODAY()+7))</f>
        <v/>
      </c>
      <c r="L86" s="28">
        <f>IF(NOT(AND($A86&lt;&gt;"",OR($I86="",$I86="Active"))),"",IF($M86&lt;&gt;"",IF($N86=$M86,"Booking",IF($O86=$M86,"16/40",IF($P86=$M86,"25/40",IF($S86=$M86,"28/40",IF($T86=$M86,"31/40",IF($U86=$M86,"34/40",IF($V86=$M86,"36/40",IF($W86=$M86,"38/40",IF($X86=$M86,"40/40",IF($Y86=$M86,"41/40","")))))))))),IF(IF(OR(ISNUMBER($Y86),$Y86="DNA"),$Y86,IF(OR(ISNUMBER($X86),$X86="DNA"),$X86,IF(OR(ISNUMBER($W86),$W86="DNA"),$W86,IF(OR(ISNUMBER($V86),$V86="DNA"),$V86,IF(OR(ISNUMBER($U86),$U86="DNA"),$U86,IF(OR(ISNUMBER($T86),$T86="DNA"),$T86,IF(OR(ISNUMBER($S86),$S86="DNA"),$S86,IF(OR(ISNUMBER($P86),$P86="DNA"),$P86,IF(OR(ISNUMBER($O86),$O86="DNA"),$O86,IF(OR(ISNUMBER($N86),$N86="DNA"),$N86,""))))))))))="DNA","Rebook DNA",IF(ISNUMBER(IF(OR(ISNUMBER($Y86),$Y86="DNA"),$Y86,IF(OR(ISNUMBER($X86),$X86="DNA"),$X86,IF(OR(ISNUMBER($W86),$W86="DNA"),$W86,IF(OR(ISNUMBER($V86),$V86="DNA"),$V86,IF(OR(ISNUMBER($U86),$U86="DNA"),$U86,IF(OR(ISNUMBER($T86),$T86="DNA"),$T86,IF(OR(ISNUMBER($S86),$S86="DNA"),$S86,IF(OR(ISNUMBER($P86),$P86="DNA"),$P86,IF(OR(ISNUMBER($O86),$O86="DNA"),$O86,IF(OR(ISNUMBER($N86),$N86="DNA"),$N86,""))))))))))),IF(ISNUMBER($Y86),"Update status","Missed/not booked?"),""))))</f>
        <v/>
      </c>
      <c r="M86" s="29">
        <f>IF(NOT(AND($A86&lt;&gt;"",OR($I86="",$I86="Active"))),"",IF(MIN(IF(AND(ISNUMBER($N86),$N86&gt;=TODAY()),$N86,99999),IF(AND(ISNUMBER($O86),$O86&gt;=TODAY()),$O86,99999),IF(AND(ISNUMBER($P86),$P86&gt;=TODAY()),$P86,99999),IF(AND(ISNUMBER($S86),$S86&gt;=TODAY()),$S86,99999),IF(AND(ISNUMBER($T86),$T86&gt;=TODAY()),$T86,99999),IF(AND(ISNUMBER($U86),$U86&gt;=TODAY()),$U86,99999),IF(AND(ISNUMBER($V86),$V86&gt;=TODAY()),$V86,99999),IF(AND(ISNUMBER($W86),$W86&gt;=TODAY()),$W86,99999),IF(AND(ISNUMBER($X86),$X86&gt;=TODAY()),$X86,99999),IF(AND(ISNUMBER($Y86),$Y86&gt;=TODAY()),$Y86,99999))=99999,"",MIN(IF(AND(ISNUMBER($N86),$N86&gt;=TODAY()),$N86,99999),IF(AND(ISNUMBER($O86),$O86&gt;=TODAY()),$O86,99999),IF(AND(ISNUMBER($P86),$P86&gt;=TODAY()),$P86,99999),IF(AND(ISNUMBER($S86),$S86&gt;=TODAY()),$S86,99999),IF(AND(ISNUMBER($T86),$T86&gt;=TODAY()),$T86,99999),IF(AND(ISNUMBER($U86),$U86&gt;=TODAY()),$U86,99999),IF(AND(ISNUMBER($V86),$V86&gt;=TODAY()),$V86,99999),IF(AND(ISNUMBER($W86),$W86&gt;=TODAY()),$W86,99999),IF(AND(ISNUMBER($X86),$X86&gt;=TODAY()),$X86,99999),IF(AND(ISNUMBER($Y86),$Y86&gt;=TODAY()),$Y86,99999))))</f>
        <v/>
      </c>
      <c r="N86" s="27" t="n"/>
      <c r="O86" s="27" t="n"/>
      <c r="P86" s="27" t="n"/>
      <c r="Q86" s="27" t="n"/>
      <c r="R86" s="27" t="n"/>
      <c r="S86" s="27" t="n"/>
      <c r="T86" s="27" t="n"/>
      <c r="U86" s="27" t="n"/>
      <c r="V86" s="27" t="n"/>
      <c r="W86" s="27" t="n"/>
      <c r="X86" s="27" t="n"/>
      <c r="Y86" s="27" t="n"/>
      <c r="Z86" s="27" t="n"/>
      <c r="AA86" s="27" t="n"/>
      <c r="AB86" s="27" t="n"/>
      <c r="AC86" s="30" t="n"/>
      <c r="AD86" s="25" t="n"/>
      <c r="AE86" s="28">
        <f>IF(NOT(AND($A86&lt;&gt;"",OR($I86="",$I86="Active"))),"",IF(OR(IF(OR(ISNUMBER($Y86),$Y86="DNA"),$Y86,IF(OR(ISNUMBER($X86),$X86="DNA"),$X86,IF(OR(ISNUMBER($W86),$W86="DNA"),$W86,IF(OR(ISNUMBER($V86),$V86="DNA"),$V86,IF(OR(ISNUMBER($U86),$U86="DNA"),$U86,IF(OR(ISNUMBER($T86),$T86="DNA"),$T86,IF(OR(ISNUMBER($S86),$S86="DNA"),$S86,IF(OR(ISNUMBER($P86),$P86="DNA"),$P86,IF(OR(ISNUMBER($O86),$O86="DNA"),$O86,IF(OR(ISNUMBER($N86),$N86="DNA"),$N86,""))))))))))="DNA",AND(ISNUMBER(IF(OR(ISNUMBER($Y86),$Y86="DNA"),$Y86,IF(OR(ISNUMBER($X86),$X86="DNA"),$X86,IF(OR(ISNUMBER($W86),$W86="DNA"),$W86,IF(OR(ISNUMBER($V86),$V86="DNA"),$V86,IF(OR(ISNUMBER($U86),$U86="DNA"),$U86,IF(OR(ISNUMBER($T86),$T86="DNA"),$T86,IF(OR(ISNUMBER($S86),$S86="DNA"),$S86,IF(OR(ISNUMBER($P86),$P86="DNA"),$P86,IF(OR(ISNUMBER($O86),$O86="DNA"),$O86,IF(OR(ISNUMBER($N86),$N86="DNA"),$N86,""))))))))))),IF(OR(ISNUMBER($Y86),$Y86="DNA"),$Y86,IF(OR(ISNUMBER($X86),$X86="DNA"),$X86,IF(OR(ISNUMBER($W86),$W86="DNA"),$W86,IF(OR(ISNUMBER($V86),$V86="DNA"),$V86,IF(OR(ISNUMBER($U86),$U86="DNA"),$U86,IF(OR(ISNUMBER($T86),$T86="DNA"),$T86,IF(OR(ISNUMBER($S86),$S86="DNA"),$S86,IF(OR(ISNUMBER($P86),$P86="DNA"),$P86,IF(OR(ISNUMBER($O86),$O86="DNA"),$O86,IF(OR(ISNUMBER($N86),$N86="DNA"),$N86,""))))))))))&lt;TODAY())),1,0)+ISNUMBER($Q86)*($Q86&lt;TODAY())+ISNUMBER($R86)*($R86&lt;TODAY())+ISNUMBER($AA86)*($AA86&lt;TODAY())+ISNUMBER($AB86)*($AB86&lt;TODAY()))</f>
        <v/>
      </c>
    </row>
    <row r="87">
      <c r="A87" s="25" t="n"/>
      <c r="B87" s="26" t="n"/>
      <c r="C87" s="27" t="n"/>
      <c r="D87" s="25" t="n"/>
      <c r="E87" s="25" t="n"/>
      <c r="F87" s="25" t="n"/>
      <c r="G87" s="25" t="n"/>
      <c r="H87" s="27" t="n"/>
      <c r="I87" s="25" t="n"/>
      <c r="J87" s="28">
        <f>IF(OR(NOT(AND($A87&lt;&gt;"",OR($I87="",$I87="Active"))),$H87=""),"",INT((TODAY()-$H87+280)/7)&amp;"+"&amp;MOD(TODAY()-$H87+280,7))</f>
        <v/>
      </c>
      <c r="K87" s="28">
        <f>IF(NOT(AND($A87&lt;&gt;"",OR($I87="",$I87="Active"))),"",ISNUMBER($N87)*($N87&gt;=TODAY())*($N87&lt;=TODAY()+7)+ISNUMBER($O87)*($O87&gt;=TODAY())*($O87&lt;=TODAY()+7)+ISNUMBER($P87)*($P87&gt;=TODAY())*($P87&lt;=TODAY()+7)+ISNUMBER($S87)*($S87&gt;=TODAY())*($S87&lt;=TODAY()+7)+ISNUMBER($T87)*($T87&gt;=TODAY())*($T87&lt;=TODAY()+7)+ISNUMBER($U87)*($U87&gt;=TODAY())*($U87&lt;=TODAY()+7)+ISNUMBER($V87)*($V87&gt;=TODAY())*($V87&lt;=TODAY()+7)+ISNUMBER($W87)*($W87&gt;=TODAY())*($W87&lt;=TODAY()+7)+ISNUMBER($X87)*($X87&gt;=TODAY())*($X87&lt;=TODAY()+7)+ISNUMBER($Y87)*($Y87&gt;=TODAY())*($Y87&lt;=TODAY()+7)+ISNUMBER($Q87)*($Q87&gt;=TODAY())*($Q87&lt;=TODAY()+7)+ISNUMBER($R87)*($R87&gt;=TODAY())*($R87&lt;=TODAY()+7)+ISNUMBER($AA87)*($AA87&gt;=TODAY())*($AA87&lt;=TODAY()+7)+ISNUMBER($AB87)*($AB87&gt;=TODAY())*($AB87&lt;=TODAY()+7))</f>
        <v/>
      </c>
      <c r="L87" s="28">
        <f>IF(NOT(AND($A87&lt;&gt;"",OR($I87="",$I87="Active"))),"",IF($M87&lt;&gt;"",IF($N87=$M87,"Booking",IF($O87=$M87,"16/40",IF($P87=$M87,"25/40",IF($S87=$M87,"28/40",IF($T87=$M87,"31/40",IF($U87=$M87,"34/40",IF($V87=$M87,"36/40",IF($W87=$M87,"38/40",IF($X87=$M87,"40/40",IF($Y87=$M87,"41/40","")))))))))),IF(IF(OR(ISNUMBER($Y87),$Y87="DNA"),$Y87,IF(OR(ISNUMBER($X87),$X87="DNA"),$X87,IF(OR(ISNUMBER($W87),$W87="DNA"),$W87,IF(OR(ISNUMBER($V87),$V87="DNA"),$V87,IF(OR(ISNUMBER($U87),$U87="DNA"),$U87,IF(OR(ISNUMBER($T87),$T87="DNA"),$T87,IF(OR(ISNUMBER($S87),$S87="DNA"),$S87,IF(OR(ISNUMBER($P87),$P87="DNA"),$P87,IF(OR(ISNUMBER($O87),$O87="DNA"),$O87,IF(OR(ISNUMBER($N87),$N87="DNA"),$N87,""))))))))))="DNA","Rebook DNA",IF(ISNUMBER(IF(OR(ISNUMBER($Y87),$Y87="DNA"),$Y87,IF(OR(ISNUMBER($X87),$X87="DNA"),$X87,IF(OR(ISNUMBER($W87),$W87="DNA"),$W87,IF(OR(ISNUMBER($V87),$V87="DNA"),$V87,IF(OR(ISNUMBER($U87),$U87="DNA"),$U87,IF(OR(ISNUMBER($T87),$T87="DNA"),$T87,IF(OR(ISNUMBER($S87),$S87="DNA"),$S87,IF(OR(ISNUMBER($P87),$P87="DNA"),$P87,IF(OR(ISNUMBER($O87),$O87="DNA"),$O87,IF(OR(ISNUMBER($N87),$N87="DNA"),$N87,""))))))))))),IF(ISNUMBER($Y87),"Update status","Missed/not booked?"),""))))</f>
        <v/>
      </c>
      <c r="M87" s="29">
        <f>IF(NOT(AND($A87&lt;&gt;"",OR($I87="",$I87="Active"))),"",IF(MIN(IF(AND(ISNUMBER($N87),$N87&gt;=TODAY()),$N87,99999),IF(AND(ISNUMBER($O87),$O87&gt;=TODAY()),$O87,99999),IF(AND(ISNUMBER($P87),$P87&gt;=TODAY()),$P87,99999),IF(AND(ISNUMBER($S87),$S87&gt;=TODAY()),$S87,99999),IF(AND(ISNUMBER($T87),$T87&gt;=TODAY()),$T87,99999),IF(AND(ISNUMBER($U87),$U87&gt;=TODAY()),$U87,99999),IF(AND(ISNUMBER($V87),$V87&gt;=TODAY()),$V87,99999),IF(AND(ISNUMBER($W87),$W87&gt;=TODAY()),$W87,99999),IF(AND(ISNUMBER($X87),$X87&gt;=TODAY()),$X87,99999),IF(AND(ISNUMBER($Y87),$Y87&gt;=TODAY()),$Y87,99999))=99999,"",MIN(IF(AND(ISNUMBER($N87),$N87&gt;=TODAY()),$N87,99999),IF(AND(ISNUMBER($O87),$O87&gt;=TODAY()),$O87,99999),IF(AND(ISNUMBER($P87),$P87&gt;=TODAY()),$P87,99999),IF(AND(ISNUMBER($S87),$S87&gt;=TODAY()),$S87,99999),IF(AND(ISNUMBER($T87),$T87&gt;=TODAY()),$T87,99999),IF(AND(ISNUMBER($U87),$U87&gt;=TODAY()),$U87,99999),IF(AND(ISNUMBER($V87),$V87&gt;=TODAY()),$V87,99999),IF(AND(ISNUMBER($W87),$W87&gt;=TODAY()),$W87,99999),IF(AND(ISNUMBER($X87),$X87&gt;=TODAY()),$X87,99999),IF(AND(ISNUMBER($Y87),$Y87&gt;=TODAY()),$Y87,99999))))</f>
        <v/>
      </c>
      <c r="N87" s="27" t="n"/>
      <c r="O87" s="27" t="n"/>
      <c r="P87" s="27" t="n"/>
      <c r="Q87" s="27" t="n"/>
      <c r="R87" s="27" t="n"/>
      <c r="S87" s="27" t="n"/>
      <c r="T87" s="27" t="n"/>
      <c r="U87" s="27" t="n"/>
      <c r="V87" s="27" t="n"/>
      <c r="W87" s="27" t="n"/>
      <c r="X87" s="27" t="n"/>
      <c r="Y87" s="27" t="n"/>
      <c r="Z87" s="27" t="n"/>
      <c r="AA87" s="27" t="n"/>
      <c r="AB87" s="27" t="n"/>
      <c r="AC87" s="30" t="n"/>
      <c r="AD87" s="25" t="n"/>
      <c r="AE87" s="28">
        <f>IF(NOT(AND($A87&lt;&gt;"",OR($I87="",$I87="Active"))),"",IF(OR(IF(OR(ISNUMBER($Y87),$Y87="DNA"),$Y87,IF(OR(ISNUMBER($X87),$X87="DNA"),$X87,IF(OR(ISNUMBER($W87),$W87="DNA"),$W87,IF(OR(ISNUMBER($V87),$V87="DNA"),$V87,IF(OR(ISNUMBER($U87),$U87="DNA"),$U87,IF(OR(ISNUMBER($T87),$T87="DNA"),$T87,IF(OR(ISNUMBER($S87),$S87="DNA"),$S87,IF(OR(ISNUMBER($P87),$P87="DNA"),$P87,IF(OR(ISNUMBER($O87),$O87="DNA"),$O87,IF(OR(ISNUMBER($N87),$N87="DNA"),$N87,""))))))))))="DNA",AND(ISNUMBER(IF(OR(ISNUMBER($Y87),$Y87="DNA"),$Y87,IF(OR(ISNUMBER($X87),$X87="DNA"),$X87,IF(OR(ISNUMBER($W87),$W87="DNA"),$W87,IF(OR(ISNUMBER($V87),$V87="DNA"),$V87,IF(OR(ISNUMBER($U87),$U87="DNA"),$U87,IF(OR(ISNUMBER($T87),$T87="DNA"),$T87,IF(OR(ISNUMBER($S87),$S87="DNA"),$S87,IF(OR(ISNUMBER($P87),$P87="DNA"),$P87,IF(OR(ISNUMBER($O87),$O87="DNA"),$O87,IF(OR(ISNUMBER($N87),$N87="DNA"),$N87,""))))))))))),IF(OR(ISNUMBER($Y87),$Y87="DNA"),$Y87,IF(OR(ISNUMBER($X87),$X87="DNA"),$X87,IF(OR(ISNUMBER($W87),$W87="DNA"),$W87,IF(OR(ISNUMBER($V87),$V87="DNA"),$V87,IF(OR(ISNUMBER($U87),$U87="DNA"),$U87,IF(OR(ISNUMBER($T87),$T87="DNA"),$T87,IF(OR(ISNUMBER($S87),$S87="DNA"),$S87,IF(OR(ISNUMBER($P87),$P87="DNA"),$P87,IF(OR(ISNUMBER($O87),$O87="DNA"),$O87,IF(OR(ISNUMBER($N87),$N87="DNA"),$N87,""))))))))))&lt;TODAY())),1,0)+ISNUMBER($Q87)*($Q87&lt;TODAY())+ISNUMBER($R87)*($R87&lt;TODAY())+ISNUMBER($AA87)*($AA87&lt;TODAY())+ISNUMBER($AB87)*($AB87&lt;TODAY()))</f>
        <v/>
      </c>
    </row>
    <row r="88">
      <c r="A88" s="25" t="n"/>
      <c r="B88" s="26" t="n"/>
      <c r="C88" s="27" t="n"/>
      <c r="D88" s="25" t="n"/>
      <c r="E88" s="25" t="n"/>
      <c r="F88" s="25" t="n"/>
      <c r="G88" s="25" t="n"/>
      <c r="H88" s="27" t="n"/>
      <c r="I88" s="25" t="n"/>
      <c r="J88" s="28">
        <f>IF(OR(NOT(AND($A88&lt;&gt;"",OR($I88="",$I88="Active"))),$H88=""),"",INT((TODAY()-$H88+280)/7)&amp;"+"&amp;MOD(TODAY()-$H88+280,7))</f>
        <v/>
      </c>
      <c r="K88" s="28">
        <f>IF(NOT(AND($A88&lt;&gt;"",OR($I88="",$I88="Active"))),"",ISNUMBER($N88)*($N88&gt;=TODAY())*($N88&lt;=TODAY()+7)+ISNUMBER($O88)*($O88&gt;=TODAY())*($O88&lt;=TODAY()+7)+ISNUMBER($P88)*($P88&gt;=TODAY())*($P88&lt;=TODAY()+7)+ISNUMBER($S88)*($S88&gt;=TODAY())*($S88&lt;=TODAY()+7)+ISNUMBER($T88)*($T88&gt;=TODAY())*($T88&lt;=TODAY()+7)+ISNUMBER($U88)*($U88&gt;=TODAY())*($U88&lt;=TODAY()+7)+ISNUMBER($V88)*($V88&gt;=TODAY())*($V88&lt;=TODAY()+7)+ISNUMBER($W88)*($W88&gt;=TODAY())*($W88&lt;=TODAY()+7)+ISNUMBER($X88)*($X88&gt;=TODAY())*($X88&lt;=TODAY()+7)+ISNUMBER($Y88)*($Y88&gt;=TODAY())*($Y88&lt;=TODAY()+7)+ISNUMBER($Q88)*($Q88&gt;=TODAY())*($Q88&lt;=TODAY()+7)+ISNUMBER($R88)*($R88&gt;=TODAY())*($R88&lt;=TODAY()+7)+ISNUMBER($AA88)*($AA88&gt;=TODAY())*($AA88&lt;=TODAY()+7)+ISNUMBER($AB88)*($AB88&gt;=TODAY())*($AB88&lt;=TODAY()+7))</f>
        <v/>
      </c>
      <c r="L88" s="28">
        <f>IF(NOT(AND($A88&lt;&gt;"",OR($I88="",$I88="Active"))),"",IF($M88&lt;&gt;"",IF($N88=$M88,"Booking",IF($O88=$M88,"16/40",IF($P88=$M88,"25/40",IF($S88=$M88,"28/40",IF($T88=$M88,"31/40",IF($U88=$M88,"34/40",IF($V88=$M88,"36/40",IF($W88=$M88,"38/40",IF($X88=$M88,"40/40",IF($Y88=$M88,"41/40","")))))))))),IF(IF(OR(ISNUMBER($Y88),$Y88="DNA"),$Y88,IF(OR(ISNUMBER($X88),$X88="DNA"),$X88,IF(OR(ISNUMBER($W88),$W88="DNA"),$W88,IF(OR(ISNUMBER($V88),$V88="DNA"),$V88,IF(OR(ISNUMBER($U88),$U88="DNA"),$U88,IF(OR(ISNUMBER($T88),$T88="DNA"),$T88,IF(OR(ISNUMBER($S88),$S88="DNA"),$S88,IF(OR(ISNUMBER($P88),$P88="DNA"),$P88,IF(OR(ISNUMBER($O88),$O88="DNA"),$O88,IF(OR(ISNUMBER($N88),$N88="DNA"),$N88,""))))))))))="DNA","Rebook DNA",IF(ISNUMBER(IF(OR(ISNUMBER($Y88),$Y88="DNA"),$Y88,IF(OR(ISNUMBER($X88),$X88="DNA"),$X88,IF(OR(ISNUMBER($W88),$W88="DNA"),$W88,IF(OR(ISNUMBER($V88),$V88="DNA"),$V88,IF(OR(ISNUMBER($U88),$U88="DNA"),$U88,IF(OR(ISNUMBER($T88),$T88="DNA"),$T88,IF(OR(ISNUMBER($S88),$S88="DNA"),$S88,IF(OR(ISNUMBER($P88),$P88="DNA"),$P88,IF(OR(ISNUMBER($O88),$O88="DNA"),$O88,IF(OR(ISNUMBER($N88),$N88="DNA"),$N88,""))))))))))),IF(ISNUMBER($Y88),"Update status","Missed/not booked?"),""))))</f>
        <v/>
      </c>
      <c r="M88" s="29">
        <f>IF(NOT(AND($A88&lt;&gt;"",OR($I88="",$I88="Active"))),"",IF(MIN(IF(AND(ISNUMBER($N88),$N88&gt;=TODAY()),$N88,99999),IF(AND(ISNUMBER($O88),$O88&gt;=TODAY()),$O88,99999),IF(AND(ISNUMBER($P88),$P88&gt;=TODAY()),$P88,99999),IF(AND(ISNUMBER($S88),$S88&gt;=TODAY()),$S88,99999),IF(AND(ISNUMBER($T88),$T88&gt;=TODAY()),$T88,99999),IF(AND(ISNUMBER($U88),$U88&gt;=TODAY()),$U88,99999),IF(AND(ISNUMBER($V88),$V88&gt;=TODAY()),$V88,99999),IF(AND(ISNUMBER($W88),$W88&gt;=TODAY()),$W88,99999),IF(AND(ISNUMBER($X88),$X88&gt;=TODAY()),$X88,99999),IF(AND(ISNUMBER($Y88),$Y88&gt;=TODAY()),$Y88,99999))=99999,"",MIN(IF(AND(ISNUMBER($N88),$N88&gt;=TODAY()),$N88,99999),IF(AND(ISNUMBER($O88),$O88&gt;=TODAY()),$O88,99999),IF(AND(ISNUMBER($P88),$P88&gt;=TODAY()),$P88,99999),IF(AND(ISNUMBER($S88),$S88&gt;=TODAY()),$S88,99999),IF(AND(ISNUMBER($T88),$T88&gt;=TODAY()),$T88,99999),IF(AND(ISNUMBER($U88),$U88&gt;=TODAY()),$U88,99999),IF(AND(ISNUMBER($V88),$V88&gt;=TODAY()),$V88,99999),IF(AND(ISNUMBER($W88),$W88&gt;=TODAY()),$W88,99999),IF(AND(ISNUMBER($X88),$X88&gt;=TODAY()),$X88,99999),IF(AND(ISNUMBER($Y88),$Y88&gt;=TODAY()),$Y88,99999))))</f>
        <v/>
      </c>
      <c r="N88" s="27" t="n"/>
      <c r="O88" s="27" t="n"/>
      <c r="P88" s="27" t="n"/>
      <c r="Q88" s="27" t="n"/>
      <c r="R88" s="27" t="n"/>
      <c r="S88" s="27" t="n"/>
      <c r="T88" s="27" t="n"/>
      <c r="U88" s="27" t="n"/>
      <c r="V88" s="27" t="n"/>
      <c r="W88" s="27" t="n"/>
      <c r="X88" s="27" t="n"/>
      <c r="Y88" s="27" t="n"/>
      <c r="Z88" s="27" t="n"/>
      <c r="AA88" s="27" t="n"/>
      <c r="AB88" s="27" t="n"/>
      <c r="AC88" s="30" t="n"/>
      <c r="AD88" s="25" t="n"/>
      <c r="AE88" s="28">
        <f>IF(NOT(AND($A88&lt;&gt;"",OR($I88="",$I88="Active"))),"",IF(OR(IF(OR(ISNUMBER($Y88),$Y88="DNA"),$Y88,IF(OR(ISNUMBER($X88),$X88="DNA"),$X88,IF(OR(ISNUMBER($W88),$W88="DNA"),$W88,IF(OR(ISNUMBER($V88),$V88="DNA"),$V88,IF(OR(ISNUMBER($U88),$U88="DNA"),$U88,IF(OR(ISNUMBER($T88),$T88="DNA"),$T88,IF(OR(ISNUMBER($S88),$S88="DNA"),$S88,IF(OR(ISNUMBER($P88),$P88="DNA"),$P88,IF(OR(ISNUMBER($O88),$O88="DNA"),$O88,IF(OR(ISNUMBER($N88),$N88="DNA"),$N88,""))))))))))="DNA",AND(ISNUMBER(IF(OR(ISNUMBER($Y88),$Y88="DNA"),$Y88,IF(OR(ISNUMBER($X88),$X88="DNA"),$X88,IF(OR(ISNUMBER($W88),$W88="DNA"),$W88,IF(OR(ISNUMBER($V88),$V88="DNA"),$V88,IF(OR(ISNUMBER($U88),$U88="DNA"),$U88,IF(OR(ISNUMBER($T88),$T88="DNA"),$T88,IF(OR(ISNUMBER($S88),$S88="DNA"),$S88,IF(OR(ISNUMBER($P88),$P88="DNA"),$P88,IF(OR(ISNUMBER($O88),$O88="DNA"),$O88,IF(OR(ISNUMBER($N88),$N88="DNA"),$N88,""))))))))))),IF(OR(ISNUMBER($Y88),$Y88="DNA"),$Y88,IF(OR(ISNUMBER($X88),$X88="DNA"),$X88,IF(OR(ISNUMBER($W88),$W88="DNA"),$W88,IF(OR(ISNUMBER($V88),$V88="DNA"),$V88,IF(OR(ISNUMBER($U88),$U88="DNA"),$U88,IF(OR(ISNUMBER($T88),$T88="DNA"),$T88,IF(OR(ISNUMBER($S88),$S88="DNA"),$S88,IF(OR(ISNUMBER($P88),$P88="DNA"),$P88,IF(OR(ISNUMBER($O88),$O88="DNA"),$O88,IF(OR(ISNUMBER($N88),$N88="DNA"),$N88,""))))))))))&lt;TODAY())),1,0)+ISNUMBER($Q88)*($Q88&lt;TODAY())+ISNUMBER($R88)*($R88&lt;TODAY())+ISNUMBER($AA88)*($AA88&lt;TODAY())+ISNUMBER($AB88)*($AB88&lt;TODAY()))</f>
        <v/>
      </c>
    </row>
    <row r="89">
      <c r="A89" s="25" t="n"/>
      <c r="B89" s="26" t="n"/>
      <c r="C89" s="27" t="n"/>
      <c r="D89" s="25" t="n"/>
      <c r="E89" s="25" t="n"/>
      <c r="F89" s="25" t="n"/>
      <c r="G89" s="25" t="n"/>
      <c r="H89" s="27" t="n"/>
      <c r="I89" s="25" t="n"/>
      <c r="J89" s="28">
        <f>IF(OR(NOT(AND($A89&lt;&gt;"",OR($I89="",$I89="Active"))),$H89=""),"",INT((TODAY()-$H89+280)/7)&amp;"+"&amp;MOD(TODAY()-$H89+280,7))</f>
        <v/>
      </c>
      <c r="K89" s="28">
        <f>IF(NOT(AND($A89&lt;&gt;"",OR($I89="",$I89="Active"))),"",ISNUMBER($N89)*($N89&gt;=TODAY())*($N89&lt;=TODAY()+7)+ISNUMBER($O89)*($O89&gt;=TODAY())*($O89&lt;=TODAY()+7)+ISNUMBER($P89)*($P89&gt;=TODAY())*($P89&lt;=TODAY()+7)+ISNUMBER($S89)*($S89&gt;=TODAY())*($S89&lt;=TODAY()+7)+ISNUMBER($T89)*($T89&gt;=TODAY())*($T89&lt;=TODAY()+7)+ISNUMBER($U89)*($U89&gt;=TODAY())*($U89&lt;=TODAY()+7)+ISNUMBER($V89)*($V89&gt;=TODAY())*($V89&lt;=TODAY()+7)+ISNUMBER($W89)*($W89&gt;=TODAY())*($W89&lt;=TODAY()+7)+ISNUMBER($X89)*($X89&gt;=TODAY())*($X89&lt;=TODAY()+7)+ISNUMBER($Y89)*($Y89&gt;=TODAY())*($Y89&lt;=TODAY()+7)+ISNUMBER($Q89)*($Q89&gt;=TODAY())*($Q89&lt;=TODAY()+7)+ISNUMBER($R89)*($R89&gt;=TODAY())*($R89&lt;=TODAY()+7)+ISNUMBER($AA89)*($AA89&gt;=TODAY())*($AA89&lt;=TODAY()+7)+ISNUMBER($AB89)*($AB89&gt;=TODAY())*($AB89&lt;=TODAY()+7))</f>
        <v/>
      </c>
      <c r="L89" s="28">
        <f>IF(NOT(AND($A89&lt;&gt;"",OR($I89="",$I89="Active"))),"",IF($M89&lt;&gt;"",IF($N89=$M89,"Booking",IF($O89=$M89,"16/40",IF($P89=$M89,"25/40",IF($S89=$M89,"28/40",IF($T89=$M89,"31/40",IF($U89=$M89,"34/40",IF($V89=$M89,"36/40",IF($W89=$M89,"38/40",IF($X89=$M89,"40/40",IF($Y89=$M89,"41/40","")))))))))),IF(IF(OR(ISNUMBER($Y89),$Y89="DNA"),$Y89,IF(OR(ISNUMBER($X89),$X89="DNA"),$X89,IF(OR(ISNUMBER($W89),$W89="DNA"),$W89,IF(OR(ISNUMBER($V89),$V89="DNA"),$V89,IF(OR(ISNUMBER($U89),$U89="DNA"),$U89,IF(OR(ISNUMBER($T89),$T89="DNA"),$T89,IF(OR(ISNUMBER($S89),$S89="DNA"),$S89,IF(OR(ISNUMBER($P89),$P89="DNA"),$P89,IF(OR(ISNUMBER($O89),$O89="DNA"),$O89,IF(OR(ISNUMBER($N89),$N89="DNA"),$N89,""))))))))))="DNA","Rebook DNA",IF(ISNUMBER(IF(OR(ISNUMBER($Y89),$Y89="DNA"),$Y89,IF(OR(ISNUMBER($X89),$X89="DNA"),$X89,IF(OR(ISNUMBER($W89),$W89="DNA"),$W89,IF(OR(ISNUMBER($V89),$V89="DNA"),$V89,IF(OR(ISNUMBER($U89),$U89="DNA"),$U89,IF(OR(ISNUMBER($T89),$T89="DNA"),$T89,IF(OR(ISNUMBER($S89),$S89="DNA"),$S89,IF(OR(ISNUMBER($P89),$P89="DNA"),$P89,IF(OR(ISNUMBER($O89),$O89="DNA"),$O89,IF(OR(ISNUMBER($N89),$N89="DNA"),$N89,""))))))))))),IF(ISNUMBER($Y89),"Update status","Missed/not booked?"),""))))</f>
        <v/>
      </c>
      <c r="M89" s="29">
        <f>IF(NOT(AND($A89&lt;&gt;"",OR($I89="",$I89="Active"))),"",IF(MIN(IF(AND(ISNUMBER($N89),$N89&gt;=TODAY()),$N89,99999),IF(AND(ISNUMBER($O89),$O89&gt;=TODAY()),$O89,99999),IF(AND(ISNUMBER($P89),$P89&gt;=TODAY()),$P89,99999),IF(AND(ISNUMBER($S89),$S89&gt;=TODAY()),$S89,99999),IF(AND(ISNUMBER($T89),$T89&gt;=TODAY()),$T89,99999),IF(AND(ISNUMBER($U89),$U89&gt;=TODAY()),$U89,99999),IF(AND(ISNUMBER($V89),$V89&gt;=TODAY()),$V89,99999),IF(AND(ISNUMBER($W89),$W89&gt;=TODAY()),$W89,99999),IF(AND(ISNUMBER($X89),$X89&gt;=TODAY()),$X89,99999),IF(AND(ISNUMBER($Y89),$Y89&gt;=TODAY()),$Y89,99999))=99999,"",MIN(IF(AND(ISNUMBER($N89),$N89&gt;=TODAY()),$N89,99999),IF(AND(ISNUMBER($O89),$O89&gt;=TODAY()),$O89,99999),IF(AND(ISNUMBER($P89),$P89&gt;=TODAY()),$P89,99999),IF(AND(ISNUMBER($S89),$S89&gt;=TODAY()),$S89,99999),IF(AND(ISNUMBER($T89),$T89&gt;=TODAY()),$T89,99999),IF(AND(ISNUMBER($U89),$U89&gt;=TODAY()),$U89,99999),IF(AND(ISNUMBER($V89),$V89&gt;=TODAY()),$V89,99999),IF(AND(ISNUMBER($W89),$W89&gt;=TODAY()),$W89,99999),IF(AND(ISNUMBER($X89),$X89&gt;=TODAY()),$X89,99999),IF(AND(ISNUMBER($Y89),$Y89&gt;=TODAY()),$Y89,99999))))</f>
        <v/>
      </c>
      <c r="N89" s="27" t="n"/>
      <c r="O89" s="27" t="n"/>
      <c r="P89" s="27" t="n"/>
      <c r="Q89" s="27" t="n"/>
      <c r="R89" s="27" t="n"/>
      <c r="S89" s="27" t="n"/>
      <c r="T89" s="27" t="n"/>
      <c r="U89" s="27" t="n"/>
      <c r="V89" s="27" t="n"/>
      <c r="W89" s="27" t="n"/>
      <c r="X89" s="27" t="n"/>
      <c r="Y89" s="27" t="n"/>
      <c r="Z89" s="27" t="n"/>
      <c r="AA89" s="27" t="n"/>
      <c r="AB89" s="27" t="n"/>
      <c r="AC89" s="30" t="n"/>
      <c r="AD89" s="25" t="n"/>
      <c r="AE89" s="28">
        <f>IF(NOT(AND($A89&lt;&gt;"",OR($I89="",$I89="Active"))),"",IF(OR(IF(OR(ISNUMBER($Y89),$Y89="DNA"),$Y89,IF(OR(ISNUMBER($X89),$X89="DNA"),$X89,IF(OR(ISNUMBER($W89),$W89="DNA"),$W89,IF(OR(ISNUMBER($V89),$V89="DNA"),$V89,IF(OR(ISNUMBER($U89),$U89="DNA"),$U89,IF(OR(ISNUMBER($T89),$T89="DNA"),$T89,IF(OR(ISNUMBER($S89),$S89="DNA"),$S89,IF(OR(ISNUMBER($P89),$P89="DNA"),$P89,IF(OR(ISNUMBER($O89),$O89="DNA"),$O89,IF(OR(ISNUMBER($N89),$N89="DNA"),$N89,""))))))))))="DNA",AND(ISNUMBER(IF(OR(ISNUMBER($Y89),$Y89="DNA"),$Y89,IF(OR(ISNUMBER($X89),$X89="DNA"),$X89,IF(OR(ISNUMBER($W89),$W89="DNA"),$W89,IF(OR(ISNUMBER($V89),$V89="DNA"),$V89,IF(OR(ISNUMBER($U89),$U89="DNA"),$U89,IF(OR(ISNUMBER($T89),$T89="DNA"),$T89,IF(OR(ISNUMBER($S89),$S89="DNA"),$S89,IF(OR(ISNUMBER($P89),$P89="DNA"),$P89,IF(OR(ISNUMBER($O89),$O89="DNA"),$O89,IF(OR(ISNUMBER($N89),$N89="DNA"),$N89,""))))))))))),IF(OR(ISNUMBER($Y89),$Y89="DNA"),$Y89,IF(OR(ISNUMBER($X89),$X89="DNA"),$X89,IF(OR(ISNUMBER($W89),$W89="DNA"),$W89,IF(OR(ISNUMBER($V89),$V89="DNA"),$V89,IF(OR(ISNUMBER($U89),$U89="DNA"),$U89,IF(OR(ISNUMBER($T89),$T89="DNA"),$T89,IF(OR(ISNUMBER($S89),$S89="DNA"),$S89,IF(OR(ISNUMBER($P89),$P89="DNA"),$P89,IF(OR(ISNUMBER($O89),$O89="DNA"),$O89,IF(OR(ISNUMBER($N89),$N89="DNA"),$N89,""))))))))))&lt;TODAY())),1,0)+ISNUMBER($Q89)*($Q89&lt;TODAY())+ISNUMBER($R89)*($R89&lt;TODAY())+ISNUMBER($AA89)*($AA89&lt;TODAY())+ISNUMBER($AB89)*($AB89&lt;TODAY()))</f>
        <v/>
      </c>
    </row>
    <row r="90">
      <c r="A90" s="25" t="n"/>
      <c r="B90" s="26" t="n"/>
      <c r="C90" s="27" t="n"/>
      <c r="D90" s="25" t="n"/>
      <c r="E90" s="25" t="n"/>
      <c r="F90" s="25" t="n"/>
      <c r="G90" s="25" t="n"/>
      <c r="H90" s="27" t="n"/>
      <c r="I90" s="25" t="n"/>
      <c r="J90" s="28">
        <f>IF(OR(NOT(AND($A90&lt;&gt;"",OR($I90="",$I90="Active"))),$H90=""),"",INT((TODAY()-$H90+280)/7)&amp;"+"&amp;MOD(TODAY()-$H90+280,7))</f>
        <v/>
      </c>
      <c r="K90" s="28">
        <f>IF(NOT(AND($A90&lt;&gt;"",OR($I90="",$I90="Active"))),"",ISNUMBER($N90)*($N90&gt;=TODAY())*($N90&lt;=TODAY()+7)+ISNUMBER($O90)*($O90&gt;=TODAY())*($O90&lt;=TODAY()+7)+ISNUMBER($P90)*($P90&gt;=TODAY())*($P90&lt;=TODAY()+7)+ISNUMBER($S90)*($S90&gt;=TODAY())*($S90&lt;=TODAY()+7)+ISNUMBER($T90)*($T90&gt;=TODAY())*($T90&lt;=TODAY()+7)+ISNUMBER($U90)*($U90&gt;=TODAY())*($U90&lt;=TODAY()+7)+ISNUMBER($V90)*($V90&gt;=TODAY())*($V90&lt;=TODAY()+7)+ISNUMBER($W90)*($W90&gt;=TODAY())*($W90&lt;=TODAY()+7)+ISNUMBER($X90)*($X90&gt;=TODAY())*($X90&lt;=TODAY()+7)+ISNUMBER($Y90)*($Y90&gt;=TODAY())*($Y90&lt;=TODAY()+7)+ISNUMBER($Q90)*($Q90&gt;=TODAY())*($Q90&lt;=TODAY()+7)+ISNUMBER($R90)*($R90&gt;=TODAY())*($R90&lt;=TODAY()+7)+ISNUMBER($AA90)*($AA90&gt;=TODAY())*($AA90&lt;=TODAY()+7)+ISNUMBER($AB90)*($AB90&gt;=TODAY())*($AB90&lt;=TODAY()+7))</f>
        <v/>
      </c>
      <c r="L90" s="28">
        <f>IF(NOT(AND($A90&lt;&gt;"",OR($I90="",$I90="Active"))),"",IF($M90&lt;&gt;"",IF($N90=$M90,"Booking",IF($O90=$M90,"16/40",IF($P90=$M90,"25/40",IF($S90=$M90,"28/40",IF($T90=$M90,"31/40",IF($U90=$M90,"34/40",IF($V90=$M90,"36/40",IF($W90=$M90,"38/40",IF($X90=$M90,"40/40",IF($Y90=$M90,"41/40","")))))))))),IF(IF(OR(ISNUMBER($Y90),$Y90="DNA"),$Y90,IF(OR(ISNUMBER($X90),$X90="DNA"),$X90,IF(OR(ISNUMBER($W90),$W90="DNA"),$W90,IF(OR(ISNUMBER($V90),$V90="DNA"),$V90,IF(OR(ISNUMBER($U90),$U90="DNA"),$U90,IF(OR(ISNUMBER($T90),$T90="DNA"),$T90,IF(OR(ISNUMBER($S90),$S90="DNA"),$S90,IF(OR(ISNUMBER($P90),$P90="DNA"),$P90,IF(OR(ISNUMBER($O90),$O90="DNA"),$O90,IF(OR(ISNUMBER($N90),$N90="DNA"),$N90,""))))))))))="DNA","Rebook DNA",IF(ISNUMBER(IF(OR(ISNUMBER($Y90),$Y90="DNA"),$Y90,IF(OR(ISNUMBER($X90),$X90="DNA"),$X90,IF(OR(ISNUMBER($W90),$W90="DNA"),$W90,IF(OR(ISNUMBER($V90),$V90="DNA"),$V90,IF(OR(ISNUMBER($U90),$U90="DNA"),$U90,IF(OR(ISNUMBER($T90),$T90="DNA"),$T90,IF(OR(ISNUMBER($S90),$S90="DNA"),$S90,IF(OR(ISNUMBER($P90),$P90="DNA"),$P90,IF(OR(ISNUMBER($O90),$O90="DNA"),$O90,IF(OR(ISNUMBER($N90),$N90="DNA"),$N90,""))))))))))),IF(ISNUMBER($Y90),"Update status","Missed/not booked?"),""))))</f>
        <v/>
      </c>
      <c r="M90" s="29">
        <f>IF(NOT(AND($A90&lt;&gt;"",OR($I90="",$I90="Active"))),"",IF(MIN(IF(AND(ISNUMBER($N90),$N90&gt;=TODAY()),$N90,99999),IF(AND(ISNUMBER($O90),$O90&gt;=TODAY()),$O90,99999),IF(AND(ISNUMBER($P90),$P90&gt;=TODAY()),$P90,99999),IF(AND(ISNUMBER($S90),$S90&gt;=TODAY()),$S90,99999),IF(AND(ISNUMBER($T90),$T90&gt;=TODAY()),$T90,99999),IF(AND(ISNUMBER($U90),$U90&gt;=TODAY()),$U90,99999),IF(AND(ISNUMBER($V90),$V90&gt;=TODAY()),$V90,99999),IF(AND(ISNUMBER($W90),$W90&gt;=TODAY()),$W90,99999),IF(AND(ISNUMBER($X90),$X90&gt;=TODAY()),$X90,99999),IF(AND(ISNUMBER($Y90),$Y90&gt;=TODAY()),$Y90,99999))=99999,"",MIN(IF(AND(ISNUMBER($N90),$N90&gt;=TODAY()),$N90,99999),IF(AND(ISNUMBER($O90),$O90&gt;=TODAY()),$O90,99999),IF(AND(ISNUMBER($P90),$P90&gt;=TODAY()),$P90,99999),IF(AND(ISNUMBER($S90),$S90&gt;=TODAY()),$S90,99999),IF(AND(ISNUMBER($T90),$T90&gt;=TODAY()),$T90,99999),IF(AND(ISNUMBER($U90),$U90&gt;=TODAY()),$U90,99999),IF(AND(ISNUMBER($V90),$V90&gt;=TODAY()),$V90,99999),IF(AND(ISNUMBER($W90),$W90&gt;=TODAY()),$W90,99999),IF(AND(ISNUMBER($X90),$X90&gt;=TODAY()),$X90,99999),IF(AND(ISNUMBER($Y90),$Y90&gt;=TODAY()),$Y90,99999))))</f>
        <v/>
      </c>
      <c r="N90" s="27" t="n"/>
      <c r="O90" s="27" t="n"/>
      <c r="P90" s="27" t="n"/>
      <c r="Q90" s="27" t="n"/>
      <c r="R90" s="27" t="n"/>
      <c r="S90" s="27" t="n"/>
      <c r="T90" s="27" t="n"/>
      <c r="U90" s="27" t="n"/>
      <c r="V90" s="27" t="n"/>
      <c r="W90" s="27" t="n"/>
      <c r="X90" s="27" t="n"/>
      <c r="Y90" s="27" t="n"/>
      <c r="Z90" s="27" t="n"/>
      <c r="AA90" s="27" t="n"/>
      <c r="AB90" s="27" t="n"/>
      <c r="AC90" s="30" t="n"/>
      <c r="AD90" s="25" t="n"/>
      <c r="AE90" s="28">
        <f>IF(NOT(AND($A90&lt;&gt;"",OR($I90="",$I90="Active"))),"",IF(OR(IF(OR(ISNUMBER($Y90),$Y90="DNA"),$Y90,IF(OR(ISNUMBER($X90),$X90="DNA"),$X90,IF(OR(ISNUMBER($W90),$W90="DNA"),$W90,IF(OR(ISNUMBER($V90),$V90="DNA"),$V90,IF(OR(ISNUMBER($U90),$U90="DNA"),$U90,IF(OR(ISNUMBER($T90),$T90="DNA"),$T90,IF(OR(ISNUMBER($S90),$S90="DNA"),$S90,IF(OR(ISNUMBER($P90),$P90="DNA"),$P90,IF(OR(ISNUMBER($O90),$O90="DNA"),$O90,IF(OR(ISNUMBER($N90),$N90="DNA"),$N90,""))))))))))="DNA",AND(ISNUMBER(IF(OR(ISNUMBER($Y90),$Y90="DNA"),$Y90,IF(OR(ISNUMBER($X90),$X90="DNA"),$X90,IF(OR(ISNUMBER($W90),$W90="DNA"),$W90,IF(OR(ISNUMBER($V90),$V90="DNA"),$V90,IF(OR(ISNUMBER($U90),$U90="DNA"),$U90,IF(OR(ISNUMBER($T90),$T90="DNA"),$T90,IF(OR(ISNUMBER($S90),$S90="DNA"),$S90,IF(OR(ISNUMBER($P90),$P90="DNA"),$P90,IF(OR(ISNUMBER($O90),$O90="DNA"),$O90,IF(OR(ISNUMBER($N90),$N90="DNA"),$N90,""))))))))))),IF(OR(ISNUMBER($Y90),$Y90="DNA"),$Y90,IF(OR(ISNUMBER($X90),$X90="DNA"),$X90,IF(OR(ISNUMBER($W90),$W90="DNA"),$W90,IF(OR(ISNUMBER($V90),$V90="DNA"),$V90,IF(OR(ISNUMBER($U90),$U90="DNA"),$U90,IF(OR(ISNUMBER($T90),$T90="DNA"),$T90,IF(OR(ISNUMBER($S90),$S90="DNA"),$S90,IF(OR(ISNUMBER($P90),$P90="DNA"),$P90,IF(OR(ISNUMBER($O90),$O90="DNA"),$O90,IF(OR(ISNUMBER($N90),$N90="DNA"),$N90,""))))))))))&lt;TODAY())),1,0)+ISNUMBER($Q90)*($Q90&lt;TODAY())+ISNUMBER($R90)*($R90&lt;TODAY())+ISNUMBER($AA90)*($AA90&lt;TODAY())+ISNUMBER($AB90)*($AB90&lt;TODAY()))</f>
        <v/>
      </c>
    </row>
    <row r="91">
      <c r="A91" s="25" t="n"/>
      <c r="B91" s="26" t="n"/>
      <c r="C91" s="27" t="n"/>
      <c r="D91" s="25" t="n"/>
      <c r="E91" s="25" t="n"/>
      <c r="F91" s="25" t="n"/>
      <c r="G91" s="25" t="n"/>
      <c r="H91" s="27" t="n"/>
      <c r="I91" s="25" t="n"/>
      <c r="J91" s="28">
        <f>IF(OR(NOT(AND($A91&lt;&gt;"",OR($I91="",$I91="Active"))),$H91=""),"",INT((TODAY()-$H91+280)/7)&amp;"+"&amp;MOD(TODAY()-$H91+280,7))</f>
        <v/>
      </c>
      <c r="K91" s="28">
        <f>IF(NOT(AND($A91&lt;&gt;"",OR($I91="",$I91="Active"))),"",ISNUMBER($N91)*($N91&gt;=TODAY())*($N91&lt;=TODAY()+7)+ISNUMBER($O91)*($O91&gt;=TODAY())*($O91&lt;=TODAY()+7)+ISNUMBER($P91)*($P91&gt;=TODAY())*($P91&lt;=TODAY()+7)+ISNUMBER($S91)*($S91&gt;=TODAY())*($S91&lt;=TODAY()+7)+ISNUMBER($T91)*($T91&gt;=TODAY())*($T91&lt;=TODAY()+7)+ISNUMBER($U91)*($U91&gt;=TODAY())*($U91&lt;=TODAY()+7)+ISNUMBER($V91)*($V91&gt;=TODAY())*($V91&lt;=TODAY()+7)+ISNUMBER($W91)*($W91&gt;=TODAY())*($W91&lt;=TODAY()+7)+ISNUMBER($X91)*($X91&gt;=TODAY())*($X91&lt;=TODAY()+7)+ISNUMBER($Y91)*($Y91&gt;=TODAY())*($Y91&lt;=TODAY()+7)+ISNUMBER($Q91)*($Q91&gt;=TODAY())*($Q91&lt;=TODAY()+7)+ISNUMBER($R91)*($R91&gt;=TODAY())*($R91&lt;=TODAY()+7)+ISNUMBER($AA91)*($AA91&gt;=TODAY())*($AA91&lt;=TODAY()+7)+ISNUMBER($AB91)*($AB91&gt;=TODAY())*($AB91&lt;=TODAY()+7))</f>
        <v/>
      </c>
      <c r="L91" s="28">
        <f>IF(NOT(AND($A91&lt;&gt;"",OR($I91="",$I91="Active"))),"",IF($M91&lt;&gt;"",IF($N91=$M91,"Booking",IF($O91=$M91,"16/40",IF($P91=$M91,"25/40",IF($S91=$M91,"28/40",IF($T91=$M91,"31/40",IF($U91=$M91,"34/40",IF($V91=$M91,"36/40",IF($W91=$M91,"38/40",IF($X91=$M91,"40/40",IF($Y91=$M91,"41/40","")))))))))),IF(IF(OR(ISNUMBER($Y91),$Y91="DNA"),$Y91,IF(OR(ISNUMBER($X91),$X91="DNA"),$X91,IF(OR(ISNUMBER($W91),$W91="DNA"),$W91,IF(OR(ISNUMBER($V91),$V91="DNA"),$V91,IF(OR(ISNUMBER($U91),$U91="DNA"),$U91,IF(OR(ISNUMBER($T91),$T91="DNA"),$T91,IF(OR(ISNUMBER($S91),$S91="DNA"),$S91,IF(OR(ISNUMBER($P91),$P91="DNA"),$P91,IF(OR(ISNUMBER($O91),$O91="DNA"),$O91,IF(OR(ISNUMBER($N91),$N91="DNA"),$N91,""))))))))))="DNA","Rebook DNA",IF(ISNUMBER(IF(OR(ISNUMBER($Y91),$Y91="DNA"),$Y91,IF(OR(ISNUMBER($X91),$X91="DNA"),$X91,IF(OR(ISNUMBER($W91),$W91="DNA"),$W91,IF(OR(ISNUMBER($V91),$V91="DNA"),$V91,IF(OR(ISNUMBER($U91),$U91="DNA"),$U91,IF(OR(ISNUMBER($T91),$T91="DNA"),$T91,IF(OR(ISNUMBER($S91),$S91="DNA"),$S91,IF(OR(ISNUMBER($P91),$P91="DNA"),$P91,IF(OR(ISNUMBER($O91),$O91="DNA"),$O91,IF(OR(ISNUMBER($N91),$N91="DNA"),$N91,""))))))))))),IF(ISNUMBER($Y91),"Update status","Missed/not booked?"),""))))</f>
        <v/>
      </c>
      <c r="M91" s="29">
        <f>IF(NOT(AND($A91&lt;&gt;"",OR($I91="",$I91="Active"))),"",IF(MIN(IF(AND(ISNUMBER($N91),$N91&gt;=TODAY()),$N91,99999),IF(AND(ISNUMBER($O91),$O91&gt;=TODAY()),$O91,99999),IF(AND(ISNUMBER($P91),$P91&gt;=TODAY()),$P91,99999),IF(AND(ISNUMBER($S91),$S91&gt;=TODAY()),$S91,99999),IF(AND(ISNUMBER($T91),$T91&gt;=TODAY()),$T91,99999),IF(AND(ISNUMBER($U91),$U91&gt;=TODAY()),$U91,99999),IF(AND(ISNUMBER($V91),$V91&gt;=TODAY()),$V91,99999),IF(AND(ISNUMBER($W91),$W91&gt;=TODAY()),$W91,99999),IF(AND(ISNUMBER($X91),$X91&gt;=TODAY()),$X91,99999),IF(AND(ISNUMBER($Y91),$Y91&gt;=TODAY()),$Y91,99999))=99999,"",MIN(IF(AND(ISNUMBER($N91),$N91&gt;=TODAY()),$N91,99999),IF(AND(ISNUMBER($O91),$O91&gt;=TODAY()),$O91,99999),IF(AND(ISNUMBER($P91),$P91&gt;=TODAY()),$P91,99999),IF(AND(ISNUMBER($S91),$S91&gt;=TODAY()),$S91,99999),IF(AND(ISNUMBER($T91),$T91&gt;=TODAY()),$T91,99999),IF(AND(ISNUMBER($U91),$U91&gt;=TODAY()),$U91,99999),IF(AND(ISNUMBER($V91),$V91&gt;=TODAY()),$V91,99999),IF(AND(ISNUMBER($W91),$W91&gt;=TODAY()),$W91,99999),IF(AND(ISNUMBER($X91),$X91&gt;=TODAY()),$X91,99999),IF(AND(ISNUMBER($Y91),$Y91&gt;=TODAY()),$Y91,99999))))</f>
        <v/>
      </c>
      <c r="N91" s="27" t="n"/>
      <c r="O91" s="27" t="n"/>
      <c r="P91" s="27" t="n"/>
      <c r="Q91" s="27" t="n"/>
      <c r="R91" s="27" t="n"/>
      <c r="S91" s="27" t="n"/>
      <c r="T91" s="27" t="n"/>
      <c r="U91" s="27" t="n"/>
      <c r="V91" s="27" t="n"/>
      <c r="W91" s="27" t="n"/>
      <c r="X91" s="27" t="n"/>
      <c r="Y91" s="27" t="n"/>
      <c r="Z91" s="27" t="n"/>
      <c r="AA91" s="27" t="n"/>
      <c r="AB91" s="27" t="n"/>
      <c r="AC91" s="30" t="n"/>
      <c r="AD91" s="25" t="n"/>
      <c r="AE91" s="28">
        <f>IF(NOT(AND($A91&lt;&gt;"",OR($I91="",$I91="Active"))),"",IF(OR(IF(OR(ISNUMBER($Y91),$Y91="DNA"),$Y91,IF(OR(ISNUMBER($X91),$X91="DNA"),$X91,IF(OR(ISNUMBER($W91),$W91="DNA"),$W91,IF(OR(ISNUMBER($V91),$V91="DNA"),$V91,IF(OR(ISNUMBER($U91),$U91="DNA"),$U91,IF(OR(ISNUMBER($T91),$T91="DNA"),$T91,IF(OR(ISNUMBER($S91),$S91="DNA"),$S91,IF(OR(ISNUMBER($P91),$P91="DNA"),$P91,IF(OR(ISNUMBER($O91),$O91="DNA"),$O91,IF(OR(ISNUMBER($N91),$N91="DNA"),$N91,""))))))))))="DNA",AND(ISNUMBER(IF(OR(ISNUMBER($Y91),$Y91="DNA"),$Y91,IF(OR(ISNUMBER($X91),$X91="DNA"),$X91,IF(OR(ISNUMBER($W91),$W91="DNA"),$W91,IF(OR(ISNUMBER($V91),$V91="DNA"),$V91,IF(OR(ISNUMBER($U91),$U91="DNA"),$U91,IF(OR(ISNUMBER($T91),$T91="DNA"),$T91,IF(OR(ISNUMBER($S91),$S91="DNA"),$S91,IF(OR(ISNUMBER($P91),$P91="DNA"),$P91,IF(OR(ISNUMBER($O91),$O91="DNA"),$O91,IF(OR(ISNUMBER($N91),$N91="DNA"),$N91,""))))))))))),IF(OR(ISNUMBER($Y91),$Y91="DNA"),$Y91,IF(OR(ISNUMBER($X91),$X91="DNA"),$X91,IF(OR(ISNUMBER($W91),$W91="DNA"),$W91,IF(OR(ISNUMBER($V91),$V91="DNA"),$V91,IF(OR(ISNUMBER($U91),$U91="DNA"),$U91,IF(OR(ISNUMBER($T91),$T91="DNA"),$T91,IF(OR(ISNUMBER($S91),$S91="DNA"),$S91,IF(OR(ISNUMBER($P91),$P91="DNA"),$P91,IF(OR(ISNUMBER($O91),$O91="DNA"),$O91,IF(OR(ISNUMBER($N91),$N91="DNA"),$N91,""))))))))))&lt;TODAY())),1,0)+ISNUMBER($Q91)*($Q91&lt;TODAY())+ISNUMBER($R91)*($R91&lt;TODAY())+ISNUMBER($AA91)*($AA91&lt;TODAY())+ISNUMBER($AB91)*($AB91&lt;TODAY()))</f>
        <v/>
      </c>
    </row>
    <row r="92">
      <c r="A92" s="25" t="n"/>
      <c r="B92" s="26" t="n"/>
      <c r="C92" s="27" t="n"/>
      <c r="D92" s="25" t="n"/>
      <c r="E92" s="25" t="n"/>
      <c r="F92" s="25" t="n"/>
      <c r="G92" s="25" t="n"/>
      <c r="H92" s="27" t="n"/>
      <c r="I92" s="25" t="n"/>
      <c r="J92" s="28">
        <f>IF(OR(NOT(AND($A92&lt;&gt;"",OR($I92="",$I92="Active"))),$H92=""),"",INT((TODAY()-$H92+280)/7)&amp;"+"&amp;MOD(TODAY()-$H92+280,7))</f>
        <v/>
      </c>
      <c r="K92" s="28">
        <f>IF(NOT(AND($A92&lt;&gt;"",OR($I92="",$I92="Active"))),"",ISNUMBER($N92)*($N92&gt;=TODAY())*($N92&lt;=TODAY()+7)+ISNUMBER($O92)*($O92&gt;=TODAY())*($O92&lt;=TODAY()+7)+ISNUMBER($P92)*($P92&gt;=TODAY())*($P92&lt;=TODAY()+7)+ISNUMBER($S92)*($S92&gt;=TODAY())*($S92&lt;=TODAY()+7)+ISNUMBER($T92)*($T92&gt;=TODAY())*($T92&lt;=TODAY()+7)+ISNUMBER($U92)*($U92&gt;=TODAY())*($U92&lt;=TODAY()+7)+ISNUMBER($V92)*($V92&gt;=TODAY())*($V92&lt;=TODAY()+7)+ISNUMBER($W92)*($W92&gt;=TODAY())*($W92&lt;=TODAY()+7)+ISNUMBER($X92)*($X92&gt;=TODAY())*($X92&lt;=TODAY()+7)+ISNUMBER($Y92)*($Y92&gt;=TODAY())*($Y92&lt;=TODAY()+7)+ISNUMBER($Q92)*($Q92&gt;=TODAY())*($Q92&lt;=TODAY()+7)+ISNUMBER($R92)*($R92&gt;=TODAY())*($R92&lt;=TODAY()+7)+ISNUMBER($AA92)*($AA92&gt;=TODAY())*($AA92&lt;=TODAY()+7)+ISNUMBER($AB92)*($AB92&gt;=TODAY())*($AB92&lt;=TODAY()+7))</f>
        <v/>
      </c>
      <c r="L92" s="28">
        <f>IF(NOT(AND($A92&lt;&gt;"",OR($I92="",$I92="Active"))),"",IF($M92&lt;&gt;"",IF($N92=$M92,"Booking",IF($O92=$M92,"16/40",IF($P92=$M92,"25/40",IF($S92=$M92,"28/40",IF($T92=$M92,"31/40",IF($U92=$M92,"34/40",IF($V92=$M92,"36/40",IF($W92=$M92,"38/40",IF($X92=$M92,"40/40",IF($Y92=$M92,"41/40","")))))))))),IF(IF(OR(ISNUMBER($Y92),$Y92="DNA"),$Y92,IF(OR(ISNUMBER($X92),$X92="DNA"),$X92,IF(OR(ISNUMBER($W92),$W92="DNA"),$W92,IF(OR(ISNUMBER($V92),$V92="DNA"),$V92,IF(OR(ISNUMBER($U92),$U92="DNA"),$U92,IF(OR(ISNUMBER($T92),$T92="DNA"),$T92,IF(OR(ISNUMBER($S92),$S92="DNA"),$S92,IF(OR(ISNUMBER($P92),$P92="DNA"),$P92,IF(OR(ISNUMBER($O92),$O92="DNA"),$O92,IF(OR(ISNUMBER($N92),$N92="DNA"),$N92,""))))))))))="DNA","Rebook DNA",IF(ISNUMBER(IF(OR(ISNUMBER($Y92),$Y92="DNA"),$Y92,IF(OR(ISNUMBER($X92),$X92="DNA"),$X92,IF(OR(ISNUMBER($W92),$W92="DNA"),$W92,IF(OR(ISNUMBER($V92),$V92="DNA"),$V92,IF(OR(ISNUMBER($U92),$U92="DNA"),$U92,IF(OR(ISNUMBER($T92),$T92="DNA"),$T92,IF(OR(ISNUMBER($S92),$S92="DNA"),$S92,IF(OR(ISNUMBER($P92),$P92="DNA"),$P92,IF(OR(ISNUMBER($O92),$O92="DNA"),$O92,IF(OR(ISNUMBER($N92),$N92="DNA"),$N92,""))))))))))),IF(ISNUMBER($Y92),"Update status","Missed/not booked?"),""))))</f>
        <v/>
      </c>
      <c r="M92" s="29">
        <f>IF(NOT(AND($A92&lt;&gt;"",OR($I92="",$I92="Active"))),"",IF(MIN(IF(AND(ISNUMBER($N92),$N92&gt;=TODAY()),$N92,99999),IF(AND(ISNUMBER($O92),$O92&gt;=TODAY()),$O92,99999),IF(AND(ISNUMBER($P92),$P92&gt;=TODAY()),$P92,99999),IF(AND(ISNUMBER($S92),$S92&gt;=TODAY()),$S92,99999),IF(AND(ISNUMBER($T92),$T92&gt;=TODAY()),$T92,99999),IF(AND(ISNUMBER($U92),$U92&gt;=TODAY()),$U92,99999),IF(AND(ISNUMBER($V92),$V92&gt;=TODAY()),$V92,99999),IF(AND(ISNUMBER($W92),$W92&gt;=TODAY()),$W92,99999),IF(AND(ISNUMBER($X92),$X92&gt;=TODAY()),$X92,99999),IF(AND(ISNUMBER($Y92),$Y92&gt;=TODAY()),$Y92,99999))=99999,"",MIN(IF(AND(ISNUMBER($N92),$N92&gt;=TODAY()),$N92,99999),IF(AND(ISNUMBER($O92),$O92&gt;=TODAY()),$O92,99999),IF(AND(ISNUMBER($P92),$P92&gt;=TODAY()),$P92,99999),IF(AND(ISNUMBER($S92),$S92&gt;=TODAY()),$S92,99999),IF(AND(ISNUMBER($T92),$T92&gt;=TODAY()),$T92,99999),IF(AND(ISNUMBER($U92),$U92&gt;=TODAY()),$U92,99999),IF(AND(ISNUMBER($V92),$V92&gt;=TODAY()),$V92,99999),IF(AND(ISNUMBER($W92),$W92&gt;=TODAY()),$W92,99999),IF(AND(ISNUMBER($X92),$X92&gt;=TODAY()),$X92,99999),IF(AND(ISNUMBER($Y92),$Y92&gt;=TODAY()),$Y92,99999))))</f>
        <v/>
      </c>
      <c r="N92" s="27" t="n"/>
      <c r="O92" s="27" t="n"/>
      <c r="P92" s="27" t="n"/>
      <c r="Q92" s="27" t="n"/>
      <c r="R92" s="27" t="n"/>
      <c r="S92" s="27" t="n"/>
      <c r="T92" s="27" t="n"/>
      <c r="U92" s="27" t="n"/>
      <c r="V92" s="27" t="n"/>
      <c r="W92" s="27" t="n"/>
      <c r="X92" s="27" t="n"/>
      <c r="Y92" s="27" t="n"/>
      <c r="Z92" s="27" t="n"/>
      <c r="AA92" s="27" t="n"/>
      <c r="AB92" s="27" t="n"/>
      <c r="AC92" s="30" t="n"/>
      <c r="AD92" s="25" t="n"/>
      <c r="AE92" s="28">
        <f>IF(NOT(AND($A92&lt;&gt;"",OR($I92="",$I92="Active"))),"",IF(OR(IF(OR(ISNUMBER($Y92),$Y92="DNA"),$Y92,IF(OR(ISNUMBER($X92),$X92="DNA"),$X92,IF(OR(ISNUMBER($W92),$W92="DNA"),$W92,IF(OR(ISNUMBER($V92),$V92="DNA"),$V92,IF(OR(ISNUMBER($U92),$U92="DNA"),$U92,IF(OR(ISNUMBER($T92),$T92="DNA"),$T92,IF(OR(ISNUMBER($S92),$S92="DNA"),$S92,IF(OR(ISNUMBER($P92),$P92="DNA"),$P92,IF(OR(ISNUMBER($O92),$O92="DNA"),$O92,IF(OR(ISNUMBER($N92),$N92="DNA"),$N92,""))))))))))="DNA",AND(ISNUMBER(IF(OR(ISNUMBER($Y92),$Y92="DNA"),$Y92,IF(OR(ISNUMBER($X92),$X92="DNA"),$X92,IF(OR(ISNUMBER($W92),$W92="DNA"),$W92,IF(OR(ISNUMBER($V92),$V92="DNA"),$V92,IF(OR(ISNUMBER($U92),$U92="DNA"),$U92,IF(OR(ISNUMBER($T92),$T92="DNA"),$T92,IF(OR(ISNUMBER($S92),$S92="DNA"),$S92,IF(OR(ISNUMBER($P92),$P92="DNA"),$P92,IF(OR(ISNUMBER($O92),$O92="DNA"),$O92,IF(OR(ISNUMBER($N92),$N92="DNA"),$N92,""))))))))))),IF(OR(ISNUMBER($Y92),$Y92="DNA"),$Y92,IF(OR(ISNUMBER($X92),$X92="DNA"),$X92,IF(OR(ISNUMBER($W92),$W92="DNA"),$W92,IF(OR(ISNUMBER($V92),$V92="DNA"),$V92,IF(OR(ISNUMBER($U92),$U92="DNA"),$U92,IF(OR(ISNUMBER($T92),$T92="DNA"),$T92,IF(OR(ISNUMBER($S92),$S92="DNA"),$S92,IF(OR(ISNUMBER($P92),$P92="DNA"),$P92,IF(OR(ISNUMBER($O92),$O92="DNA"),$O92,IF(OR(ISNUMBER($N92),$N92="DNA"),$N92,""))))))))))&lt;TODAY())),1,0)+ISNUMBER($Q92)*($Q92&lt;TODAY())+ISNUMBER($R92)*($R92&lt;TODAY())+ISNUMBER($AA92)*($AA92&lt;TODAY())+ISNUMBER($AB92)*($AB92&lt;TODAY()))</f>
        <v/>
      </c>
    </row>
    <row r="93">
      <c r="A93" s="25" t="n"/>
      <c r="B93" s="26" t="n"/>
      <c r="C93" s="27" t="n"/>
      <c r="D93" s="25" t="n"/>
      <c r="E93" s="25" t="n"/>
      <c r="F93" s="25" t="n"/>
      <c r="G93" s="25" t="n"/>
      <c r="H93" s="27" t="n"/>
      <c r="I93" s="25" t="n"/>
      <c r="J93" s="28">
        <f>IF(OR(NOT(AND($A93&lt;&gt;"",OR($I93="",$I93="Active"))),$H93=""),"",INT((TODAY()-$H93+280)/7)&amp;"+"&amp;MOD(TODAY()-$H93+280,7))</f>
        <v/>
      </c>
      <c r="K93" s="28">
        <f>IF(NOT(AND($A93&lt;&gt;"",OR($I93="",$I93="Active"))),"",ISNUMBER($N93)*($N93&gt;=TODAY())*($N93&lt;=TODAY()+7)+ISNUMBER($O93)*($O93&gt;=TODAY())*($O93&lt;=TODAY()+7)+ISNUMBER($P93)*($P93&gt;=TODAY())*($P93&lt;=TODAY()+7)+ISNUMBER($S93)*($S93&gt;=TODAY())*($S93&lt;=TODAY()+7)+ISNUMBER($T93)*($T93&gt;=TODAY())*($T93&lt;=TODAY()+7)+ISNUMBER($U93)*($U93&gt;=TODAY())*($U93&lt;=TODAY()+7)+ISNUMBER($V93)*($V93&gt;=TODAY())*($V93&lt;=TODAY()+7)+ISNUMBER($W93)*($W93&gt;=TODAY())*($W93&lt;=TODAY()+7)+ISNUMBER($X93)*($X93&gt;=TODAY())*($X93&lt;=TODAY()+7)+ISNUMBER($Y93)*($Y93&gt;=TODAY())*($Y93&lt;=TODAY()+7)+ISNUMBER($Q93)*($Q93&gt;=TODAY())*($Q93&lt;=TODAY()+7)+ISNUMBER($R93)*($R93&gt;=TODAY())*($R93&lt;=TODAY()+7)+ISNUMBER($AA93)*($AA93&gt;=TODAY())*($AA93&lt;=TODAY()+7)+ISNUMBER($AB93)*($AB93&gt;=TODAY())*($AB93&lt;=TODAY()+7))</f>
        <v/>
      </c>
      <c r="L93" s="28">
        <f>IF(NOT(AND($A93&lt;&gt;"",OR($I93="",$I93="Active"))),"",IF($M93&lt;&gt;"",IF($N93=$M93,"Booking",IF($O93=$M93,"16/40",IF($P93=$M93,"25/40",IF($S93=$M93,"28/40",IF($T93=$M93,"31/40",IF($U93=$M93,"34/40",IF($V93=$M93,"36/40",IF($W93=$M93,"38/40",IF($X93=$M93,"40/40",IF($Y93=$M93,"41/40","")))))))))),IF(IF(OR(ISNUMBER($Y93),$Y93="DNA"),$Y93,IF(OR(ISNUMBER($X93),$X93="DNA"),$X93,IF(OR(ISNUMBER($W93),$W93="DNA"),$W93,IF(OR(ISNUMBER($V93),$V93="DNA"),$V93,IF(OR(ISNUMBER($U93),$U93="DNA"),$U93,IF(OR(ISNUMBER($T93),$T93="DNA"),$T93,IF(OR(ISNUMBER($S93),$S93="DNA"),$S93,IF(OR(ISNUMBER($P93),$P93="DNA"),$P93,IF(OR(ISNUMBER($O93),$O93="DNA"),$O93,IF(OR(ISNUMBER($N93),$N93="DNA"),$N93,""))))))))))="DNA","Rebook DNA",IF(ISNUMBER(IF(OR(ISNUMBER($Y93),$Y93="DNA"),$Y93,IF(OR(ISNUMBER($X93),$X93="DNA"),$X93,IF(OR(ISNUMBER($W93),$W93="DNA"),$W93,IF(OR(ISNUMBER($V93),$V93="DNA"),$V93,IF(OR(ISNUMBER($U93),$U93="DNA"),$U93,IF(OR(ISNUMBER($T93),$T93="DNA"),$T93,IF(OR(ISNUMBER($S93),$S93="DNA"),$S93,IF(OR(ISNUMBER($P93),$P93="DNA"),$P93,IF(OR(ISNUMBER($O93),$O93="DNA"),$O93,IF(OR(ISNUMBER($N93),$N93="DNA"),$N93,""))))))))))),IF(ISNUMBER($Y93),"Update status","Missed/not booked?"),""))))</f>
        <v/>
      </c>
      <c r="M93" s="29">
        <f>IF(NOT(AND($A93&lt;&gt;"",OR($I93="",$I93="Active"))),"",IF(MIN(IF(AND(ISNUMBER($N93),$N93&gt;=TODAY()),$N93,99999),IF(AND(ISNUMBER($O93),$O93&gt;=TODAY()),$O93,99999),IF(AND(ISNUMBER($P93),$P93&gt;=TODAY()),$P93,99999),IF(AND(ISNUMBER($S93),$S93&gt;=TODAY()),$S93,99999),IF(AND(ISNUMBER($T93),$T93&gt;=TODAY()),$T93,99999),IF(AND(ISNUMBER($U93),$U93&gt;=TODAY()),$U93,99999),IF(AND(ISNUMBER($V93),$V93&gt;=TODAY()),$V93,99999),IF(AND(ISNUMBER($W93),$W93&gt;=TODAY()),$W93,99999),IF(AND(ISNUMBER($X93),$X93&gt;=TODAY()),$X93,99999),IF(AND(ISNUMBER($Y93),$Y93&gt;=TODAY()),$Y93,99999))=99999,"",MIN(IF(AND(ISNUMBER($N93),$N93&gt;=TODAY()),$N93,99999),IF(AND(ISNUMBER($O93),$O93&gt;=TODAY()),$O93,99999),IF(AND(ISNUMBER($P93),$P93&gt;=TODAY()),$P93,99999),IF(AND(ISNUMBER($S93),$S93&gt;=TODAY()),$S93,99999),IF(AND(ISNUMBER($T93),$T93&gt;=TODAY()),$T93,99999),IF(AND(ISNUMBER($U93),$U93&gt;=TODAY()),$U93,99999),IF(AND(ISNUMBER($V93),$V93&gt;=TODAY()),$V93,99999),IF(AND(ISNUMBER($W93),$W93&gt;=TODAY()),$W93,99999),IF(AND(ISNUMBER($X93),$X93&gt;=TODAY()),$X93,99999),IF(AND(ISNUMBER($Y93),$Y93&gt;=TODAY()),$Y93,99999))))</f>
        <v/>
      </c>
      <c r="N93" s="27" t="n"/>
      <c r="O93" s="27" t="n"/>
      <c r="P93" s="27" t="n"/>
      <c r="Q93" s="27" t="n"/>
      <c r="R93" s="27" t="n"/>
      <c r="S93" s="27" t="n"/>
      <c r="T93" s="27" t="n"/>
      <c r="U93" s="27" t="n"/>
      <c r="V93" s="27" t="n"/>
      <c r="W93" s="27" t="n"/>
      <c r="X93" s="27" t="n"/>
      <c r="Y93" s="27" t="n"/>
      <c r="Z93" s="27" t="n"/>
      <c r="AA93" s="27" t="n"/>
      <c r="AB93" s="27" t="n"/>
      <c r="AC93" s="30" t="n"/>
      <c r="AD93" s="25" t="n"/>
      <c r="AE93" s="28">
        <f>IF(NOT(AND($A93&lt;&gt;"",OR($I93="",$I93="Active"))),"",IF(OR(IF(OR(ISNUMBER($Y93),$Y93="DNA"),$Y93,IF(OR(ISNUMBER($X93),$X93="DNA"),$X93,IF(OR(ISNUMBER($W93),$W93="DNA"),$W93,IF(OR(ISNUMBER($V93),$V93="DNA"),$V93,IF(OR(ISNUMBER($U93),$U93="DNA"),$U93,IF(OR(ISNUMBER($T93),$T93="DNA"),$T93,IF(OR(ISNUMBER($S93),$S93="DNA"),$S93,IF(OR(ISNUMBER($P93),$P93="DNA"),$P93,IF(OR(ISNUMBER($O93),$O93="DNA"),$O93,IF(OR(ISNUMBER($N93),$N93="DNA"),$N93,""))))))))))="DNA",AND(ISNUMBER(IF(OR(ISNUMBER($Y93),$Y93="DNA"),$Y93,IF(OR(ISNUMBER($X93),$X93="DNA"),$X93,IF(OR(ISNUMBER($W93),$W93="DNA"),$W93,IF(OR(ISNUMBER($V93),$V93="DNA"),$V93,IF(OR(ISNUMBER($U93),$U93="DNA"),$U93,IF(OR(ISNUMBER($T93),$T93="DNA"),$T93,IF(OR(ISNUMBER($S93),$S93="DNA"),$S93,IF(OR(ISNUMBER($P93),$P93="DNA"),$P93,IF(OR(ISNUMBER($O93),$O93="DNA"),$O93,IF(OR(ISNUMBER($N93),$N93="DNA"),$N93,""))))))))))),IF(OR(ISNUMBER($Y93),$Y93="DNA"),$Y93,IF(OR(ISNUMBER($X93),$X93="DNA"),$X93,IF(OR(ISNUMBER($W93),$W93="DNA"),$W93,IF(OR(ISNUMBER($V93),$V93="DNA"),$V93,IF(OR(ISNUMBER($U93),$U93="DNA"),$U93,IF(OR(ISNUMBER($T93),$T93="DNA"),$T93,IF(OR(ISNUMBER($S93),$S93="DNA"),$S93,IF(OR(ISNUMBER($P93),$P93="DNA"),$P93,IF(OR(ISNUMBER($O93),$O93="DNA"),$O93,IF(OR(ISNUMBER($N93),$N93="DNA"),$N93,""))))))))))&lt;TODAY())),1,0)+ISNUMBER($Q93)*($Q93&lt;TODAY())+ISNUMBER($R93)*($R93&lt;TODAY())+ISNUMBER($AA93)*($AA93&lt;TODAY())+ISNUMBER($AB93)*($AB93&lt;TODAY()))</f>
        <v/>
      </c>
    </row>
    <row r="94">
      <c r="A94" s="25" t="n"/>
      <c r="B94" s="26" t="n"/>
      <c r="C94" s="27" t="n"/>
      <c r="D94" s="25" t="n"/>
      <c r="E94" s="25" t="n"/>
      <c r="F94" s="25" t="n"/>
      <c r="G94" s="25" t="n"/>
      <c r="H94" s="27" t="n"/>
      <c r="I94" s="25" t="n"/>
      <c r="J94" s="28">
        <f>IF(OR(NOT(AND($A94&lt;&gt;"",OR($I94="",$I94="Active"))),$H94=""),"",INT((TODAY()-$H94+280)/7)&amp;"+"&amp;MOD(TODAY()-$H94+280,7))</f>
        <v/>
      </c>
      <c r="K94" s="28">
        <f>IF(NOT(AND($A94&lt;&gt;"",OR($I94="",$I94="Active"))),"",ISNUMBER($N94)*($N94&gt;=TODAY())*($N94&lt;=TODAY()+7)+ISNUMBER($O94)*($O94&gt;=TODAY())*($O94&lt;=TODAY()+7)+ISNUMBER($P94)*($P94&gt;=TODAY())*($P94&lt;=TODAY()+7)+ISNUMBER($S94)*($S94&gt;=TODAY())*($S94&lt;=TODAY()+7)+ISNUMBER($T94)*($T94&gt;=TODAY())*($T94&lt;=TODAY()+7)+ISNUMBER($U94)*($U94&gt;=TODAY())*($U94&lt;=TODAY()+7)+ISNUMBER($V94)*($V94&gt;=TODAY())*($V94&lt;=TODAY()+7)+ISNUMBER($W94)*($W94&gt;=TODAY())*($W94&lt;=TODAY()+7)+ISNUMBER($X94)*($X94&gt;=TODAY())*($X94&lt;=TODAY()+7)+ISNUMBER($Y94)*($Y94&gt;=TODAY())*($Y94&lt;=TODAY()+7)+ISNUMBER($Q94)*($Q94&gt;=TODAY())*($Q94&lt;=TODAY()+7)+ISNUMBER($R94)*($R94&gt;=TODAY())*($R94&lt;=TODAY()+7)+ISNUMBER($AA94)*($AA94&gt;=TODAY())*($AA94&lt;=TODAY()+7)+ISNUMBER($AB94)*($AB94&gt;=TODAY())*($AB94&lt;=TODAY()+7))</f>
        <v/>
      </c>
      <c r="L94" s="28">
        <f>IF(NOT(AND($A94&lt;&gt;"",OR($I94="",$I94="Active"))),"",IF($M94&lt;&gt;"",IF($N94=$M94,"Booking",IF($O94=$M94,"16/40",IF($P94=$M94,"25/40",IF($S94=$M94,"28/40",IF($T94=$M94,"31/40",IF($U94=$M94,"34/40",IF($V94=$M94,"36/40",IF($W94=$M94,"38/40",IF($X94=$M94,"40/40",IF($Y94=$M94,"41/40","")))))))))),IF(IF(OR(ISNUMBER($Y94),$Y94="DNA"),$Y94,IF(OR(ISNUMBER($X94),$X94="DNA"),$X94,IF(OR(ISNUMBER($W94),$W94="DNA"),$W94,IF(OR(ISNUMBER($V94),$V94="DNA"),$V94,IF(OR(ISNUMBER($U94),$U94="DNA"),$U94,IF(OR(ISNUMBER($T94),$T94="DNA"),$T94,IF(OR(ISNUMBER($S94),$S94="DNA"),$S94,IF(OR(ISNUMBER($P94),$P94="DNA"),$P94,IF(OR(ISNUMBER($O94),$O94="DNA"),$O94,IF(OR(ISNUMBER($N94),$N94="DNA"),$N94,""))))))))))="DNA","Rebook DNA",IF(ISNUMBER(IF(OR(ISNUMBER($Y94),$Y94="DNA"),$Y94,IF(OR(ISNUMBER($X94),$X94="DNA"),$X94,IF(OR(ISNUMBER($W94),$W94="DNA"),$W94,IF(OR(ISNUMBER($V94),$V94="DNA"),$V94,IF(OR(ISNUMBER($U94),$U94="DNA"),$U94,IF(OR(ISNUMBER($T94),$T94="DNA"),$T94,IF(OR(ISNUMBER($S94),$S94="DNA"),$S94,IF(OR(ISNUMBER($P94),$P94="DNA"),$P94,IF(OR(ISNUMBER($O94),$O94="DNA"),$O94,IF(OR(ISNUMBER($N94),$N94="DNA"),$N94,""))))))))))),IF(ISNUMBER($Y94),"Update status","Missed/not booked?"),""))))</f>
        <v/>
      </c>
      <c r="M94" s="29">
        <f>IF(NOT(AND($A94&lt;&gt;"",OR($I94="",$I94="Active"))),"",IF(MIN(IF(AND(ISNUMBER($N94),$N94&gt;=TODAY()),$N94,99999),IF(AND(ISNUMBER($O94),$O94&gt;=TODAY()),$O94,99999),IF(AND(ISNUMBER($P94),$P94&gt;=TODAY()),$P94,99999),IF(AND(ISNUMBER($S94),$S94&gt;=TODAY()),$S94,99999),IF(AND(ISNUMBER($T94),$T94&gt;=TODAY()),$T94,99999),IF(AND(ISNUMBER($U94),$U94&gt;=TODAY()),$U94,99999),IF(AND(ISNUMBER($V94),$V94&gt;=TODAY()),$V94,99999),IF(AND(ISNUMBER($W94),$W94&gt;=TODAY()),$W94,99999),IF(AND(ISNUMBER($X94),$X94&gt;=TODAY()),$X94,99999),IF(AND(ISNUMBER($Y94),$Y94&gt;=TODAY()),$Y94,99999))=99999,"",MIN(IF(AND(ISNUMBER($N94),$N94&gt;=TODAY()),$N94,99999),IF(AND(ISNUMBER($O94),$O94&gt;=TODAY()),$O94,99999),IF(AND(ISNUMBER($P94),$P94&gt;=TODAY()),$P94,99999),IF(AND(ISNUMBER($S94),$S94&gt;=TODAY()),$S94,99999),IF(AND(ISNUMBER($T94),$T94&gt;=TODAY()),$T94,99999),IF(AND(ISNUMBER($U94),$U94&gt;=TODAY()),$U94,99999),IF(AND(ISNUMBER($V94),$V94&gt;=TODAY()),$V94,99999),IF(AND(ISNUMBER($W94),$W94&gt;=TODAY()),$W94,99999),IF(AND(ISNUMBER($X94),$X94&gt;=TODAY()),$X94,99999),IF(AND(ISNUMBER($Y94),$Y94&gt;=TODAY()),$Y94,99999))))</f>
        <v/>
      </c>
      <c r="N94" s="27" t="n"/>
      <c r="O94" s="27" t="n"/>
      <c r="P94" s="27" t="n"/>
      <c r="Q94" s="27" t="n"/>
      <c r="R94" s="27" t="n"/>
      <c r="S94" s="27" t="n"/>
      <c r="T94" s="27" t="n"/>
      <c r="U94" s="27" t="n"/>
      <c r="V94" s="27" t="n"/>
      <c r="W94" s="27" t="n"/>
      <c r="X94" s="27" t="n"/>
      <c r="Y94" s="27" t="n"/>
      <c r="Z94" s="27" t="n"/>
      <c r="AA94" s="27" t="n"/>
      <c r="AB94" s="27" t="n"/>
      <c r="AC94" s="30" t="n"/>
      <c r="AD94" s="25" t="n"/>
      <c r="AE94" s="28">
        <f>IF(NOT(AND($A94&lt;&gt;"",OR($I94="",$I94="Active"))),"",IF(OR(IF(OR(ISNUMBER($Y94),$Y94="DNA"),$Y94,IF(OR(ISNUMBER($X94),$X94="DNA"),$X94,IF(OR(ISNUMBER($W94),$W94="DNA"),$W94,IF(OR(ISNUMBER($V94),$V94="DNA"),$V94,IF(OR(ISNUMBER($U94),$U94="DNA"),$U94,IF(OR(ISNUMBER($T94),$T94="DNA"),$T94,IF(OR(ISNUMBER($S94),$S94="DNA"),$S94,IF(OR(ISNUMBER($P94),$P94="DNA"),$P94,IF(OR(ISNUMBER($O94),$O94="DNA"),$O94,IF(OR(ISNUMBER($N94),$N94="DNA"),$N94,""))))))))))="DNA",AND(ISNUMBER(IF(OR(ISNUMBER($Y94),$Y94="DNA"),$Y94,IF(OR(ISNUMBER($X94),$X94="DNA"),$X94,IF(OR(ISNUMBER($W94),$W94="DNA"),$W94,IF(OR(ISNUMBER($V94),$V94="DNA"),$V94,IF(OR(ISNUMBER($U94),$U94="DNA"),$U94,IF(OR(ISNUMBER($T94),$T94="DNA"),$T94,IF(OR(ISNUMBER($S94),$S94="DNA"),$S94,IF(OR(ISNUMBER($P94),$P94="DNA"),$P94,IF(OR(ISNUMBER($O94),$O94="DNA"),$O94,IF(OR(ISNUMBER($N94),$N94="DNA"),$N94,""))))))))))),IF(OR(ISNUMBER($Y94),$Y94="DNA"),$Y94,IF(OR(ISNUMBER($X94),$X94="DNA"),$X94,IF(OR(ISNUMBER($W94),$W94="DNA"),$W94,IF(OR(ISNUMBER($V94),$V94="DNA"),$V94,IF(OR(ISNUMBER($U94),$U94="DNA"),$U94,IF(OR(ISNUMBER($T94),$T94="DNA"),$T94,IF(OR(ISNUMBER($S94),$S94="DNA"),$S94,IF(OR(ISNUMBER($P94),$P94="DNA"),$P94,IF(OR(ISNUMBER($O94),$O94="DNA"),$O94,IF(OR(ISNUMBER($N94),$N94="DNA"),$N94,""))))))))))&lt;TODAY())),1,0)+ISNUMBER($Q94)*($Q94&lt;TODAY())+ISNUMBER($R94)*($R94&lt;TODAY())+ISNUMBER($AA94)*($AA94&lt;TODAY())+ISNUMBER($AB94)*($AB94&lt;TODAY()))</f>
        <v/>
      </c>
    </row>
    <row r="95">
      <c r="A95" s="25" t="n"/>
      <c r="B95" s="26" t="n"/>
      <c r="C95" s="27" t="n"/>
      <c r="D95" s="25" t="n"/>
      <c r="E95" s="25" t="n"/>
      <c r="F95" s="25" t="n"/>
      <c r="G95" s="25" t="n"/>
      <c r="H95" s="27" t="n"/>
      <c r="I95" s="25" t="n"/>
      <c r="J95" s="28">
        <f>IF(OR(NOT(AND($A95&lt;&gt;"",OR($I95="",$I95="Active"))),$H95=""),"",INT((TODAY()-$H95+280)/7)&amp;"+"&amp;MOD(TODAY()-$H95+280,7))</f>
        <v/>
      </c>
      <c r="K95" s="28">
        <f>IF(NOT(AND($A95&lt;&gt;"",OR($I95="",$I95="Active"))),"",ISNUMBER($N95)*($N95&gt;=TODAY())*($N95&lt;=TODAY()+7)+ISNUMBER($O95)*($O95&gt;=TODAY())*($O95&lt;=TODAY()+7)+ISNUMBER($P95)*($P95&gt;=TODAY())*($P95&lt;=TODAY()+7)+ISNUMBER($S95)*($S95&gt;=TODAY())*($S95&lt;=TODAY()+7)+ISNUMBER($T95)*($T95&gt;=TODAY())*($T95&lt;=TODAY()+7)+ISNUMBER($U95)*($U95&gt;=TODAY())*($U95&lt;=TODAY()+7)+ISNUMBER($V95)*($V95&gt;=TODAY())*($V95&lt;=TODAY()+7)+ISNUMBER($W95)*($W95&gt;=TODAY())*($W95&lt;=TODAY()+7)+ISNUMBER($X95)*($X95&gt;=TODAY())*($X95&lt;=TODAY()+7)+ISNUMBER($Y95)*($Y95&gt;=TODAY())*($Y95&lt;=TODAY()+7)+ISNUMBER($Q95)*($Q95&gt;=TODAY())*($Q95&lt;=TODAY()+7)+ISNUMBER($R95)*($R95&gt;=TODAY())*($R95&lt;=TODAY()+7)+ISNUMBER($AA95)*($AA95&gt;=TODAY())*($AA95&lt;=TODAY()+7)+ISNUMBER($AB95)*($AB95&gt;=TODAY())*($AB95&lt;=TODAY()+7))</f>
        <v/>
      </c>
      <c r="L95" s="28">
        <f>IF(NOT(AND($A95&lt;&gt;"",OR($I95="",$I95="Active"))),"",IF($M95&lt;&gt;"",IF($N95=$M95,"Booking",IF($O95=$M95,"16/40",IF($P95=$M95,"25/40",IF($S95=$M95,"28/40",IF($T95=$M95,"31/40",IF($U95=$M95,"34/40",IF($V95=$M95,"36/40",IF($W95=$M95,"38/40",IF($X95=$M95,"40/40",IF($Y95=$M95,"41/40","")))))))))),IF(IF(OR(ISNUMBER($Y95),$Y95="DNA"),$Y95,IF(OR(ISNUMBER($X95),$X95="DNA"),$X95,IF(OR(ISNUMBER($W95),$W95="DNA"),$W95,IF(OR(ISNUMBER($V95),$V95="DNA"),$V95,IF(OR(ISNUMBER($U95),$U95="DNA"),$U95,IF(OR(ISNUMBER($T95),$T95="DNA"),$T95,IF(OR(ISNUMBER($S95),$S95="DNA"),$S95,IF(OR(ISNUMBER($P95),$P95="DNA"),$P95,IF(OR(ISNUMBER($O95),$O95="DNA"),$O95,IF(OR(ISNUMBER($N95),$N95="DNA"),$N95,""))))))))))="DNA","Rebook DNA",IF(ISNUMBER(IF(OR(ISNUMBER($Y95),$Y95="DNA"),$Y95,IF(OR(ISNUMBER($X95),$X95="DNA"),$X95,IF(OR(ISNUMBER($W95),$W95="DNA"),$W95,IF(OR(ISNUMBER($V95),$V95="DNA"),$V95,IF(OR(ISNUMBER($U95),$U95="DNA"),$U95,IF(OR(ISNUMBER($T95),$T95="DNA"),$T95,IF(OR(ISNUMBER($S95),$S95="DNA"),$S95,IF(OR(ISNUMBER($P95),$P95="DNA"),$P95,IF(OR(ISNUMBER($O95),$O95="DNA"),$O95,IF(OR(ISNUMBER($N95),$N95="DNA"),$N95,""))))))))))),IF(ISNUMBER($Y95),"Update status","Missed/not booked?"),""))))</f>
        <v/>
      </c>
      <c r="M95" s="29">
        <f>IF(NOT(AND($A95&lt;&gt;"",OR($I95="",$I95="Active"))),"",IF(MIN(IF(AND(ISNUMBER($N95),$N95&gt;=TODAY()),$N95,99999),IF(AND(ISNUMBER($O95),$O95&gt;=TODAY()),$O95,99999),IF(AND(ISNUMBER($P95),$P95&gt;=TODAY()),$P95,99999),IF(AND(ISNUMBER($S95),$S95&gt;=TODAY()),$S95,99999),IF(AND(ISNUMBER($T95),$T95&gt;=TODAY()),$T95,99999),IF(AND(ISNUMBER($U95),$U95&gt;=TODAY()),$U95,99999),IF(AND(ISNUMBER($V95),$V95&gt;=TODAY()),$V95,99999),IF(AND(ISNUMBER($W95),$W95&gt;=TODAY()),$W95,99999),IF(AND(ISNUMBER($X95),$X95&gt;=TODAY()),$X95,99999),IF(AND(ISNUMBER($Y95),$Y95&gt;=TODAY()),$Y95,99999))=99999,"",MIN(IF(AND(ISNUMBER($N95),$N95&gt;=TODAY()),$N95,99999),IF(AND(ISNUMBER($O95),$O95&gt;=TODAY()),$O95,99999),IF(AND(ISNUMBER($P95),$P95&gt;=TODAY()),$P95,99999),IF(AND(ISNUMBER($S95),$S95&gt;=TODAY()),$S95,99999),IF(AND(ISNUMBER($T95),$T95&gt;=TODAY()),$T95,99999),IF(AND(ISNUMBER($U95),$U95&gt;=TODAY()),$U95,99999),IF(AND(ISNUMBER($V95),$V95&gt;=TODAY()),$V95,99999),IF(AND(ISNUMBER($W95),$W95&gt;=TODAY()),$W95,99999),IF(AND(ISNUMBER($X95),$X95&gt;=TODAY()),$X95,99999),IF(AND(ISNUMBER($Y95),$Y95&gt;=TODAY()),$Y95,99999))))</f>
        <v/>
      </c>
      <c r="N95" s="27" t="n"/>
      <c r="O95" s="27" t="n"/>
      <c r="P95" s="27" t="n"/>
      <c r="Q95" s="27" t="n"/>
      <c r="R95" s="27" t="n"/>
      <c r="S95" s="27" t="n"/>
      <c r="T95" s="27" t="n"/>
      <c r="U95" s="27" t="n"/>
      <c r="V95" s="27" t="n"/>
      <c r="W95" s="27" t="n"/>
      <c r="X95" s="27" t="n"/>
      <c r="Y95" s="27" t="n"/>
      <c r="Z95" s="27" t="n"/>
      <c r="AA95" s="27" t="n"/>
      <c r="AB95" s="27" t="n"/>
      <c r="AC95" s="30" t="n"/>
      <c r="AD95" s="25" t="n"/>
      <c r="AE95" s="28">
        <f>IF(NOT(AND($A95&lt;&gt;"",OR($I95="",$I95="Active"))),"",IF(OR(IF(OR(ISNUMBER($Y95),$Y95="DNA"),$Y95,IF(OR(ISNUMBER($X95),$X95="DNA"),$X95,IF(OR(ISNUMBER($W95),$W95="DNA"),$W95,IF(OR(ISNUMBER($V95),$V95="DNA"),$V95,IF(OR(ISNUMBER($U95),$U95="DNA"),$U95,IF(OR(ISNUMBER($T95),$T95="DNA"),$T95,IF(OR(ISNUMBER($S95),$S95="DNA"),$S95,IF(OR(ISNUMBER($P95),$P95="DNA"),$P95,IF(OR(ISNUMBER($O95),$O95="DNA"),$O95,IF(OR(ISNUMBER($N95),$N95="DNA"),$N95,""))))))))))="DNA",AND(ISNUMBER(IF(OR(ISNUMBER($Y95),$Y95="DNA"),$Y95,IF(OR(ISNUMBER($X95),$X95="DNA"),$X95,IF(OR(ISNUMBER($W95),$W95="DNA"),$W95,IF(OR(ISNUMBER($V95),$V95="DNA"),$V95,IF(OR(ISNUMBER($U95),$U95="DNA"),$U95,IF(OR(ISNUMBER($T95),$T95="DNA"),$T95,IF(OR(ISNUMBER($S95),$S95="DNA"),$S95,IF(OR(ISNUMBER($P95),$P95="DNA"),$P95,IF(OR(ISNUMBER($O95),$O95="DNA"),$O95,IF(OR(ISNUMBER($N95),$N95="DNA"),$N95,""))))))))))),IF(OR(ISNUMBER($Y95),$Y95="DNA"),$Y95,IF(OR(ISNUMBER($X95),$X95="DNA"),$X95,IF(OR(ISNUMBER($W95),$W95="DNA"),$W95,IF(OR(ISNUMBER($V95),$V95="DNA"),$V95,IF(OR(ISNUMBER($U95),$U95="DNA"),$U95,IF(OR(ISNUMBER($T95),$T95="DNA"),$T95,IF(OR(ISNUMBER($S95),$S95="DNA"),$S95,IF(OR(ISNUMBER($P95),$P95="DNA"),$P95,IF(OR(ISNUMBER($O95),$O95="DNA"),$O95,IF(OR(ISNUMBER($N95),$N95="DNA"),$N95,""))))))))))&lt;TODAY())),1,0)+ISNUMBER($Q95)*($Q95&lt;TODAY())+ISNUMBER($R95)*($R95&lt;TODAY())+ISNUMBER($AA95)*($AA95&lt;TODAY())+ISNUMBER($AB95)*($AB95&lt;TODAY()))</f>
        <v/>
      </c>
    </row>
    <row r="96">
      <c r="A96" s="25" t="n"/>
      <c r="B96" s="26" t="n"/>
      <c r="C96" s="27" t="n"/>
      <c r="D96" s="25" t="n"/>
      <c r="E96" s="25" t="n"/>
      <c r="F96" s="25" t="n"/>
      <c r="G96" s="25" t="n"/>
      <c r="H96" s="27" t="n"/>
      <c r="I96" s="25" t="n"/>
      <c r="J96" s="28">
        <f>IF(OR(NOT(AND($A96&lt;&gt;"",OR($I96="",$I96="Active"))),$H96=""),"",INT((TODAY()-$H96+280)/7)&amp;"+"&amp;MOD(TODAY()-$H96+280,7))</f>
        <v/>
      </c>
      <c r="K96" s="28">
        <f>IF(NOT(AND($A96&lt;&gt;"",OR($I96="",$I96="Active"))),"",ISNUMBER($N96)*($N96&gt;=TODAY())*($N96&lt;=TODAY()+7)+ISNUMBER($O96)*($O96&gt;=TODAY())*($O96&lt;=TODAY()+7)+ISNUMBER($P96)*($P96&gt;=TODAY())*($P96&lt;=TODAY()+7)+ISNUMBER($S96)*($S96&gt;=TODAY())*($S96&lt;=TODAY()+7)+ISNUMBER($T96)*($T96&gt;=TODAY())*($T96&lt;=TODAY()+7)+ISNUMBER($U96)*($U96&gt;=TODAY())*($U96&lt;=TODAY()+7)+ISNUMBER($V96)*($V96&gt;=TODAY())*($V96&lt;=TODAY()+7)+ISNUMBER($W96)*($W96&gt;=TODAY())*($W96&lt;=TODAY()+7)+ISNUMBER($X96)*($X96&gt;=TODAY())*($X96&lt;=TODAY()+7)+ISNUMBER($Y96)*($Y96&gt;=TODAY())*($Y96&lt;=TODAY()+7)+ISNUMBER($Q96)*($Q96&gt;=TODAY())*($Q96&lt;=TODAY()+7)+ISNUMBER($R96)*($R96&gt;=TODAY())*($R96&lt;=TODAY()+7)+ISNUMBER($AA96)*($AA96&gt;=TODAY())*($AA96&lt;=TODAY()+7)+ISNUMBER($AB96)*($AB96&gt;=TODAY())*($AB96&lt;=TODAY()+7))</f>
        <v/>
      </c>
      <c r="L96" s="28">
        <f>IF(NOT(AND($A96&lt;&gt;"",OR($I96="",$I96="Active"))),"",IF($M96&lt;&gt;"",IF($N96=$M96,"Booking",IF($O96=$M96,"16/40",IF($P96=$M96,"25/40",IF($S96=$M96,"28/40",IF($T96=$M96,"31/40",IF($U96=$M96,"34/40",IF($V96=$M96,"36/40",IF($W96=$M96,"38/40",IF($X96=$M96,"40/40",IF($Y96=$M96,"41/40","")))))))))),IF(IF(OR(ISNUMBER($Y96),$Y96="DNA"),$Y96,IF(OR(ISNUMBER($X96),$X96="DNA"),$X96,IF(OR(ISNUMBER($W96),$W96="DNA"),$W96,IF(OR(ISNUMBER($V96),$V96="DNA"),$V96,IF(OR(ISNUMBER($U96),$U96="DNA"),$U96,IF(OR(ISNUMBER($T96),$T96="DNA"),$T96,IF(OR(ISNUMBER($S96),$S96="DNA"),$S96,IF(OR(ISNUMBER($P96),$P96="DNA"),$P96,IF(OR(ISNUMBER($O96),$O96="DNA"),$O96,IF(OR(ISNUMBER($N96),$N96="DNA"),$N96,""))))))))))="DNA","Rebook DNA",IF(ISNUMBER(IF(OR(ISNUMBER($Y96),$Y96="DNA"),$Y96,IF(OR(ISNUMBER($X96),$X96="DNA"),$X96,IF(OR(ISNUMBER($W96),$W96="DNA"),$W96,IF(OR(ISNUMBER($V96),$V96="DNA"),$V96,IF(OR(ISNUMBER($U96),$U96="DNA"),$U96,IF(OR(ISNUMBER($T96),$T96="DNA"),$T96,IF(OR(ISNUMBER($S96),$S96="DNA"),$S96,IF(OR(ISNUMBER($P96),$P96="DNA"),$P96,IF(OR(ISNUMBER($O96),$O96="DNA"),$O96,IF(OR(ISNUMBER($N96),$N96="DNA"),$N96,""))))))))))),IF(ISNUMBER($Y96),"Update status","Missed/not booked?"),""))))</f>
        <v/>
      </c>
      <c r="M96" s="29">
        <f>IF(NOT(AND($A96&lt;&gt;"",OR($I96="",$I96="Active"))),"",IF(MIN(IF(AND(ISNUMBER($N96),$N96&gt;=TODAY()),$N96,99999),IF(AND(ISNUMBER($O96),$O96&gt;=TODAY()),$O96,99999),IF(AND(ISNUMBER($P96),$P96&gt;=TODAY()),$P96,99999),IF(AND(ISNUMBER($S96),$S96&gt;=TODAY()),$S96,99999),IF(AND(ISNUMBER($T96),$T96&gt;=TODAY()),$T96,99999),IF(AND(ISNUMBER($U96),$U96&gt;=TODAY()),$U96,99999),IF(AND(ISNUMBER($V96),$V96&gt;=TODAY()),$V96,99999),IF(AND(ISNUMBER($W96),$W96&gt;=TODAY()),$W96,99999),IF(AND(ISNUMBER($X96),$X96&gt;=TODAY()),$X96,99999),IF(AND(ISNUMBER($Y96),$Y96&gt;=TODAY()),$Y96,99999))=99999,"",MIN(IF(AND(ISNUMBER($N96),$N96&gt;=TODAY()),$N96,99999),IF(AND(ISNUMBER($O96),$O96&gt;=TODAY()),$O96,99999),IF(AND(ISNUMBER($P96),$P96&gt;=TODAY()),$P96,99999),IF(AND(ISNUMBER($S96),$S96&gt;=TODAY()),$S96,99999),IF(AND(ISNUMBER($T96),$T96&gt;=TODAY()),$T96,99999),IF(AND(ISNUMBER($U96),$U96&gt;=TODAY()),$U96,99999),IF(AND(ISNUMBER($V96),$V96&gt;=TODAY()),$V96,99999),IF(AND(ISNUMBER($W96),$W96&gt;=TODAY()),$W96,99999),IF(AND(ISNUMBER($X96),$X96&gt;=TODAY()),$X96,99999),IF(AND(ISNUMBER($Y96),$Y96&gt;=TODAY()),$Y96,99999))))</f>
        <v/>
      </c>
      <c r="N96" s="27" t="n"/>
      <c r="O96" s="27" t="n"/>
      <c r="P96" s="27" t="n"/>
      <c r="Q96" s="27" t="n"/>
      <c r="R96" s="27" t="n"/>
      <c r="S96" s="27" t="n"/>
      <c r="T96" s="27" t="n"/>
      <c r="U96" s="27" t="n"/>
      <c r="V96" s="27" t="n"/>
      <c r="W96" s="27" t="n"/>
      <c r="X96" s="27" t="n"/>
      <c r="Y96" s="27" t="n"/>
      <c r="Z96" s="27" t="n"/>
      <c r="AA96" s="27" t="n"/>
      <c r="AB96" s="27" t="n"/>
      <c r="AC96" s="30" t="n"/>
      <c r="AD96" s="25" t="n"/>
      <c r="AE96" s="28">
        <f>IF(NOT(AND($A96&lt;&gt;"",OR($I96="",$I96="Active"))),"",IF(OR(IF(OR(ISNUMBER($Y96),$Y96="DNA"),$Y96,IF(OR(ISNUMBER($X96),$X96="DNA"),$X96,IF(OR(ISNUMBER($W96),$W96="DNA"),$W96,IF(OR(ISNUMBER($V96),$V96="DNA"),$V96,IF(OR(ISNUMBER($U96),$U96="DNA"),$U96,IF(OR(ISNUMBER($T96),$T96="DNA"),$T96,IF(OR(ISNUMBER($S96),$S96="DNA"),$S96,IF(OR(ISNUMBER($P96),$P96="DNA"),$P96,IF(OR(ISNUMBER($O96),$O96="DNA"),$O96,IF(OR(ISNUMBER($N96),$N96="DNA"),$N96,""))))))))))="DNA",AND(ISNUMBER(IF(OR(ISNUMBER($Y96),$Y96="DNA"),$Y96,IF(OR(ISNUMBER($X96),$X96="DNA"),$X96,IF(OR(ISNUMBER($W96),$W96="DNA"),$W96,IF(OR(ISNUMBER($V96),$V96="DNA"),$V96,IF(OR(ISNUMBER($U96),$U96="DNA"),$U96,IF(OR(ISNUMBER($T96),$T96="DNA"),$T96,IF(OR(ISNUMBER($S96),$S96="DNA"),$S96,IF(OR(ISNUMBER($P96),$P96="DNA"),$P96,IF(OR(ISNUMBER($O96),$O96="DNA"),$O96,IF(OR(ISNUMBER($N96),$N96="DNA"),$N96,""))))))))))),IF(OR(ISNUMBER($Y96),$Y96="DNA"),$Y96,IF(OR(ISNUMBER($X96),$X96="DNA"),$X96,IF(OR(ISNUMBER($W96),$W96="DNA"),$W96,IF(OR(ISNUMBER($V96),$V96="DNA"),$V96,IF(OR(ISNUMBER($U96),$U96="DNA"),$U96,IF(OR(ISNUMBER($T96),$T96="DNA"),$T96,IF(OR(ISNUMBER($S96),$S96="DNA"),$S96,IF(OR(ISNUMBER($P96),$P96="DNA"),$P96,IF(OR(ISNUMBER($O96),$O96="DNA"),$O96,IF(OR(ISNUMBER($N96),$N96="DNA"),$N96,""))))))))))&lt;TODAY())),1,0)+ISNUMBER($Q96)*($Q96&lt;TODAY())+ISNUMBER($R96)*($R96&lt;TODAY())+ISNUMBER($AA96)*($AA96&lt;TODAY())+ISNUMBER($AB96)*($AB96&lt;TODAY()))</f>
        <v/>
      </c>
    </row>
    <row r="97">
      <c r="A97" s="25" t="n"/>
      <c r="B97" s="26" t="n"/>
      <c r="C97" s="27" t="n"/>
      <c r="D97" s="25" t="n"/>
      <c r="E97" s="25" t="n"/>
      <c r="F97" s="25" t="n"/>
      <c r="G97" s="25" t="n"/>
      <c r="H97" s="27" t="n"/>
      <c r="I97" s="25" t="n"/>
      <c r="J97" s="28">
        <f>IF(OR(NOT(AND($A97&lt;&gt;"",OR($I97="",$I97="Active"))),$H97=""),"",INT((TODAY()-$H97+280)/7)&amp;"+"&amp;MOD(TODAY()-$H97+280,7))</f>
        <v/>
      </c>
      <c r="K97" s="28">
        <f>IF(NOT(AND($A97&lt;&gt;"",OR($I97="",$I97="Active"))),"",ISNUMBER($N97)*($N97&gt;=TODAY())*($N97&lt;=TODAY()+7)+ISNUMBER($O97)*($O97&gt;=TODAY())*($O97&lt;=TODAY()+7)+ISNUMBER($P97)*($P97&gt;=TODAY())*($P97&lt;=TODAY()+7)+ISNUMBER($S97)*($S97&gt;=TODAY())*($S97&lt;=TODAY()+7)+ISNUMBER($T97)*($T97&gt;=TODAY())*($T97&lt;=TODAY()+7)+ISNUMBER($U97)*($U97&gt;=TODAY())*($U97&lt;=TODAY()+7)+ISNUMBER($V97)*($V97&gt;=TODAY())*($V97&lt;=TODAY()+7)+ISNUMBER($W97)*($W97&gt;=TODAY())*($W97&lt;=TODAY()+7)+ISNUMBER($X97)*($X97&gt;=TODAY())*($X97&lt;=TODAY()+7)+ISNUMBER($Y97)*($Y97&gt;=TODAY())*($Y97&lt;=TODAY()+7)+ISNUMBER($Q97)*($Q97&gt;=TODAY())*($Q97&lt;=TODAY()+7)+ISNUMBER($R97)*($R97&gt;=TODAY())*($R97&lt;=TODAY()+7)+ISNUMBER($AA97)*($AA97&gt;=TODAY())*($AA97&lt;=TODAY()+7)+ISNUMBER($AB97)*($AB97&gt;=TODAY())*($AB97&lt;=TODAY()+7))</f>
        <v/>
      </c>
      <c r="L97" s="28">
        <f>IF(NOT(AND($A97&lt;&gt;"",OR($I97="",$I97="Active"))),"",IF($M97&lt;&gt;"",IF($N97=$M97,"Booking",IF($O97=$M97,"16/40",IF($P97=$M97,"25/40",IF($S97=$M97,"28/40",IF($T97=$M97,"31/40",IF($U97=$M97,"34/40",IF($V97=$M97,"36/40",IF($W97=$M97,"38/40",IF($X97=$M97,"40/40",IF($Y97=$M97,"41/40","")))))))))),IF(IF(OR(ISNUMBER($Y97),$Y97="DNA"),$Y97,IF(OR(ISNUMBER($X97),$X97="DNA"),$X97,IF(OR(ISNUMBER($W97),$W97="DNA"),$W97,IF(OR(ISNUMBER($V97),$V97="DNA"),$V97,IF(OR(ISNUMBER($U97),$U97="DNA"),$U97,IF(OR(ISNUMBER($T97),$T97="DNA"),$T97,IF(OR(ISNUMBER($S97),$S97="DNA"),$S97,IF(OR(ISNUMBER($P97),$P97="DNA"),$P97,IF(OR(ISNUMBER($O97),$O97="DNA"),$O97,IF(OR(ISNUMBER($N97),$N97="DNA"),$N97,""))))))))))="DNA","Rebook DNA",IF(ISNUMBER(IF(OR(ISNUMBER($Y97),$Y97="DNA"),$Y97,IF(OR(ISNUMBER($X97),$X97="DNA"),$X97,IF(OR(ISNUMBER($W97),$W97="DNA"),$W97,IF(OR(ISNUMBER($V97),$V97="DNA"),$V97,IF(OR(ISNUMBER($U97),$U97="DNA"),$U97,IF(OR(ISNUMBER($T97),$T97="DNA"),$T97,IF(OR(ISNUMBER($S97),$S97="DNA"),$S97,IF(OR(ISNUMBER($P97),$P97="DNA"),$P97,IF(OR(ISNUMBER($O97),$O97="DNA"),$O97,IF(OR(ISNUMBER($N97),$N97="DNA"),$N97,""))))))))))),IF(ISNUMBER($Y97),"Update status","Missed/not booked?"),""))))</f>
        <v/>
      </c>
      <c r="M97" s="29">
        <f>IF(NOT(AND($A97&lt;&gt;"",OR($I97="",$I97="Active"))),"",IF(MIN(IF(AND(ISNUMBER($N97),$N97&gt;=TODAY()),$N97,99999),IF(AND(ISNUMBER($O97),$O97&gt;=TODAY()),$O97,99999),IF(AND(ISNUMBER($P97),$P97&gt;=TODAY()),$P97,99999),IF(AND(ISNUMBER($S97),$S97&gt;=TODAY()),$S97,99999),IF(AND(ISNUMBER($T97),$T97&gt;=TODAY()),$T97,99999),IF(AND(ISNUMBER($U97),$U97&gt;=TODAY()),$U97,99999),IF(AND(ISNUMBER($V97),$V97&gt;=TODAY()),$V97,99999),IF(AND(ISNUMBER($W97),$W97&gt;=TODAY()),$W97,99999),IF(AND(ISNUMBER($X97),$X97&gt;=TODAY()),$X97,99999),IF(AND(ISNUMBER($Y97),$Y97&gt;=TODAY()),$Y97,99999))=99999,"",MIN(IF(AND(ISNUMBER($N97),$N97&gt;=TODAY()),$N97,99999),IF(AND(ISNUMBER($O97),$O97&gt;=TODAY()),$O97,99999),IF(AND(ISNUMBER($P97),$P97&gt;=TODAY()),$P97,99999),IF(AND(ISNUMBER($S97),$S97&gt;=TODAY()),$S97,99999),IF(AND(ISNUMBER($T97),$T97&gt;=TODAY()),$T97,99999),IF(AND(ISNUMBER($U97),$U97&gt;=TODAY()),$U97,99999),IF(AND(ISNUMBER($V97),$V97&gt;=TODAY()),$V97,99999),IF(AND(ISNUMBER($W97),$W97&gt;=TODAY()),$W97,99999),IF(AND(ISNUMBER($X97),$X97&gt;=TODAY()),$X97,99999),IF(AND(ISNUMBER($Y97),$Y97&gt;=TODAY()),$Y97,99999))))</f>
        <v/>
      </c>
      <c r="N97" s="27" t="n"/>
      <c r="O97" s="27" t="n"/>
      <c r="P97" s="27" t="n"/>
      <c r="Q97" s="27" t="n"/>
      <c r="R97" s="27" t="n"/>
      <c r="S97" s="27" t="n"/>
      <c r="T97" s="27" t="n"/>
      <c r="U97" s="27" t="n"/>
      <c r="V97" s="27" t="n"/>
      <c r="W97" s="27" t="n"/>
      <c r="X97" s="27" t="n"/>
      <c r="Y97" s="27" t="n"/>
      <c r="Z97" s="27" t="n"/>
      <c r="AA97" s="27" t="n"/>
      <c r="AB97" s="27" t="n"/>
      <c r="AC97" s="30" t="n"/>
      <c r="AD97" s="25" t="n"/>
      <c r="AE97" s="28">
        <f>IF(NOT(AND($A97&lt;&gt;"",OR($I97="",$I97="Active"))),"",IF(OR(IF(OR(ISNUMBER($Y97),$Y97="DNA"),$Y97,IF(OR(ISNUMBER($X97),$X97="DNA"),$X97,IF(OR(ISNUMBER($W97),$W97="DNA"),$W97,IF(OR(ISNUMBER($V97),$V97="DNA"),$V97,IF(OR(ISNUMBER($U97),$U97="DNA"),$U97,IF(OR(ISNUMBER($T97),$T97="DNA"),$T97,IF(OR(ISNUMBER($S97),$S97="DNA"),$S97,IF(OR(ISNUMBER($P97),$P97="DNA"),$P97,IF(OR(ISNUMBER($O97),$O97="DNA"),$O97,IF(OR(ISNUMBER($N97),$N97="DNA"),$N97,""))))))))))="DNA",AND(ISNUMBER(IF(OR(ISNUMBER($Y97),$Y97="DNA"),$Y97,IF(OR(ISNUMBER($X97),$X97="DNA"),$X97,IF(OR(ISNUMBER($W97),$W97="DNA"),$W97,IF(OR(ISNUMBER($V97),$V97="DNA"),$V97,IF(OR(ISNUMBER($U97),$U97="DNA"),$U97,IF(OR(ISNUMBER($T97),$T97="DNA"),$T97,IF(OR(ISNUMBER($S97),$S97="DNA"),$S97,IF(OR(ISNUMBER($P97),$P97="DNA"),$P97,IF(OR(ISNUMBER($O97),$O97="DNA"),$O97,IF(OR(ISNUMBER($N97),$N97="DNA"),$N97,""))))))))))),IF(OR(ISNUMBER($Y97),$Y97="DNA"),$Y97,IF(OR(ISNUMBER($X97),$X97="DNA"),$X97,IF(OR(ISNUMBER($W97),$W97="DNA"),$W97,IF(OR(ISNUMBER($V97),$V97="DNA"),$V97,IF(OR(ISNUMBER($U97),$U97="DNA"),$U97,IF(OR(ISNUMBER($T97),$T97="DNA"),$T97,IF(OR(ISNUMBER($S97),$S97="DNA"),$S97,IF(OR(ISNUMBER($P97),$P97="DNA"),$P97,IF(OR(ISNUMBER($O97),$O97="DNA"),$O97,IF(OR(ISNUMBER($N97),$N97="DNA"),$N97,""))))))))))&lt;TODAY())),1,0)+ISNUMBER($Q97)*($Q97&lt;TODAY())+ISNUMBER($R97)*($R97&lt;TODAY())+ISNUMBER($AA97)*($AA97&lt;TODAY())+ISNUMBER($AB97)*($AB97&lt;TODAY()))</f>
        <v/>
      </c>
    </row>
    <row r="98">
      <c r="A98" s="25" t="n"/>
      <c r="B98" s="26" t="n"/>
      <c r="C98" s="27" t="n"/>
      <c r="D98" s="25" t="n"/>
      <c r="E98" s="25" t="n"/>
      <c r="F98" s="25" t="n"/>
      <c r="G98" s="25" t="n"/>
      <c r="H98" s="27" t="n"/>
      <c r="I98" s="25" t="n"/>
      <c r="J98" s="28">
        <f>IF(OR(NOT(AND($A98&lt;&gt;"",OR($I98="",$I98="Active"))),$H98=""),"",INT((TODAY()-$H98+280)/7)&amp;"+"&amp;MOD(TODAY()-$H98+280,7))</f>
        <v/>
      </c>
      <c r="K98" s="28">
        <f>IF(NOT(AND($A98&lt;&gt;"",OR($I98="",$I98="Active"))),"",ISNUMBER($N98)*($N98&gt;=TODAY())*($N98&lt;=TODAY()+7)+ISNUMBER($O98)*($O98&gt;=TODAY())*($O98&lt;=TODAY()+7)+ISNUMBER($P98)*($P98&gt;=TODAY())*($P98&lt;=TODAY()+7)+ISNUMBER($S98)*($S98&gt;=TODAY())*($S98&lt;=TODAY()+7)+ISNUMBER($T98)*($T98&gt;=TODAY())*($T98&lt;=TODAY()+7)+ISNUMBER($U98)*($U98&gt;=TODAY())*($U98&lt;=TODAY()+7)+ISNUMBER($V98)*($V98&gt;=TODAY())*($V98&lt;=TODAY()+7)+ISNUMBER($W98)*($W98&gt;=TODAY())*($W98&lt;=TODAY()+7)+ISNUMBER($X98)*($X98&gt;=TODAY())*($X98&lt;=TODAY()+7)+ISNUMBER($Y98)*($Y98&gt;=TODAY())*($Y98&lt;=TODAY()+7)+ISNUMBER($Q98)*($Q98&gt;=TODAY())*($Q98&lt;=TODAY()+7)+ISNUMBER($R98)*($R98&gt;=TODAY())*($R98&lt;=TODAY()+7)+ISNUMBER($AA98)*($AA98&gt;=TODAY())*($AA98&lt;=TODAY()+7)+ISNUMBER($AB98)*($AB98&gt;=TODAY())*($AB98&lt;=TODAY()+7))</f>
        <v/>
      </c>
      <c r="L98" s="28">
        <f>IF(NOT(AND($A98&lt;&gt;"",OR($I98="",$I98="Active"))),"",IF($M98&lt;&gt;"",IF($N98=$M98,"Booking",IF($O98=$M98,"16/40",IF($P98=$M98,"25/40",IF($S98=$M98,"28/40",IF($T98=$M98,"31/40",IF($U98=$M98,"34/40",IF($V98=$M98,"36/40",IF($W98=$M98,"38/40",IF($X98=$M98,"40/40",IF($Y98=$M98,"41/40","")))))))))),IF(IF(OR(ISNUMBER($Y98),$Y98="DNA"),$Y98,IF(OR(ISNUMBER($X98),$X98="DNA"),$X98,IF(OR(ISNUMBER($W98),$W98="DNA"),$W98,IF(OR(ISNUMBER($V98),$V98="DNA"),$V98,IF(OR(ISNUMBER($U98),$U98="DNA"),$U98,IF(OR(ISNUMBER($T98),$T98="DNA"),$T98,IF(OR(ISNUMBER($S98),$S98="DNA"),$S98,IF(OR(ISNUMBER($P98),$P98="DNA"),$P98,IF(OR(ISNUMBER($O98),$O98="DNA"),$O98,IF(OR(ISNUMBER($N98),$N98="DNA"),$N98,""))))))))))="DNA","Rebook DNA",IF(ISNUMBER(IF(OR(ISNUMBER($Y98),$Y98="DNA"),$Y98,IF(OR(ISNUMBER($X98),$X98="DNA"),$X98,IF(OR(ISNUMBER($W98),$W98="DNA"),$W98,IF(OR(ISNUMBER($V98),$V98="DNA"),$V98,IF(OR(ISNUMBER($U98),$U98="DNA"),$U98,IF(OR(ISNUMBER($T98),$T98="DNA"),$T98,IF(OR(ISNUMBER($S98),$S98="DNA"),$S98,IF(OR(ISNUMBER($P98),$P98="DNA"),$P98,IF(OR(ISNUMBER($O98),$O98="DNA"),$O98,IF(OR(ISNUMBER($N98),$N98="DNA"),$N98,""))))))))))),IF(ISNUMBER($Y98),"Update status","Missed/not booked?"),""))))</f>
        <v/>
      </c>
      <c r="M98" s="29">
        <f>IF(NOT(AND($A98&lt;&gt;"",OR($I98="",$I98="Active"))),"",IF(MIN(IF(AND(ISNUMBER($N98),$N98&gt;=TODAY()),$N98,99999),IF(AND(ISNUMBER($O98),$O98&gt;=TODAY()),$O98,99999),IF(AND(ISNUMBER($P98),$P98&gt;=TODAY()),$P98,99999),IF(AND(ISNUMBER($S98),$S98&gt;=TODAY()),$S98,99999),IF(AND(ISNUMBER($T98),$T98&gt;=TODAY()),$T98,99999),IF(AND(ISNUMBER($U98),$U98&gt;=TODAY()),$U98,99999),IF(AND(ISNUMBER($V98),$V98&gt;=TODAY()),$V98,99999),IF(AND(ISNUMBER($W98),$W98&gt;=TODAY()),$W98,99999),IF(AND(ISNUMBER($X98),$X98&gt;=TODAY()),$X98,99999),IF(AND(ISNUMBER($Y98),$Y98&gt;=TODAY()),$Y98,99999))=99999,"",MIN(IF(AND(ISNUMBER($N98),$N98&gt;=TODAY()),$N98,99999),IF(AND(ISNUMBER($O98),$O98&gt;=TODAY()),$O98,99999),IF(AND(ISNUMBER($P98),$P98&gt;=TODAY()),$P98,99999),IF(AND(ISNUMBER($S98),$S98&gt;=TODAY()),$S98,99999),IF(AND(ISNUMBER($T98),$T98&gt;=TODAY()),$T98,99999),IF(AND(ISNUMBER($U98),$U98&gt;=TODAY()),$U98,99999),IF(AND(ISNUMBER($V98),$V98&gt;=TODAY()),$V98,99999),IF(AND(ISNUMBER($W98),$W98&gt;=TODAY()),$W98,99999),IF(AND(ISNUMBER($X98),$X98&gt;=TODAY()),$X98,99999),IF(AND(ISNUMBER($Y98),$Y98&gt;=TODAY()),$Y98,99999))))</f>
        <v/>
      </c>
      <c r="N98" s="27" t="n"/>
      <c r="O98" s="27" t="n"/>
      <c r="P98" s="27" t="n"/>
      <c r="Q98" s="27" t="n"/>
      <c r="R98" s="27" t="n"/>
      <c r="S98" s="27" t="n"/>
      <c r="T98" s="27" t="n"/>
      <c r="U98" s="27" t="n"/>
      <c r="V98" s="27" t="n"/>
      <c r="W98" s="27" t="n"/>
      <c r="X98" s="27" t="n"/>
      <c r="Y98" s="27" t="n"/>
      <c r="Z98" s="27" t="n"/>
      <c r="AA98" s="27" t="n"/>
      <c r="AB98" s="27" t="n"/>
      <c r="AC98" s="30" t="n"/>
      <c r="AD98" s="25" t="n"/>
      <c r="AE98" s="28">
        <f>IF(NOT(AND($A98&lt;&gt;"",OR($I98="",$I98="Active"))),"",IF(OR(IF(OR(ISNUMBER($Y98),$Y98="DNA"),$Y98,IF(OR(ISNUMBER($X98),$X98="DNA"),$X98,IF(OR(ISNUMBER($W98),$W98="DNA"),$W98,IF(OR(ISNUMBER($V98),$V98="DNA"),$V98,IF(OR(ISNUMBER($U98),$U98="DNA"),$U98,IF(OR(ISNUMBER($T98),$T98="DNA"),$T98,IF(OR(ISNUMBER($S98),$S98="DNA"),$S98,IF(OR(ISNUMBER($P98),$P98="DNA"),$P98,IF(OR(ISNUMBER($O98),$O98="DNA"),$O98,IF(OR(ISNUMBER($N98),$N98="DNA"),$N98,""))))))))))="DNA",AND(ISNUMBER(IF(OR(ISNUMBER($Y98),$Y98="DNA"),$Y98,IF(OR(ISNUMBER($X98),$X98="DNA"),$X98,IF(OR(ISNUMBER($W98),$W98="DNA"),$W98,IF(OR(ISNUMBER($V98),$V98="DNA"),$V98,IF(OR(ISNUMBER($U98),$U98="DNA"),$U98,IF(OR(ISNUMBER($T98),$T98="DNA"),$T98,IF(OR(ISNUMBER($S98),$S98="DNA"),$S98,IF(OR(ISNUMBER($P98),$P98="DNA"),$P98,IF(OR(ISNUMBER($O98),$O98="DNA"),$O98,IF(OR(ISNUMBER($N98),$N98="DNA"),$N98,""))))))))))),IF(OR(ISNUMBER($Y98),$Y98="DNA"),$Y98,IF(OR(ISNUMBER($X98),$X98="DNA"),$X98,IF(OR(ISNUMBER($W98),$W98="DNA"),$W98,IF(OR(ISNUMBER($V98),$V98="DNA"),$V98,IF(OR(ISNUMBER($U98),$U98="DNA"),$U98,IF(OR(ISNUMBER($T98),$T98="DNA"),$T98,IF(OR(ISNUMBER($S98),$S98="DNA"),$S98,IF(OR(ISNUMBER($P98),$P98="DNA"),$P98,IF(OR(ISNUMBER($O98),$O98="DNA"),$O98,IF(OR(ISNUMBER($N98),$N98="DNA"),$N98,""))))))))))&lt;TODAY())),1,0)+ISNUMBER($Q98)*($Q98&lt;TODAY())+ISNUMBER($R98)*($R98&lt;TODAY())+ISNUMBER($AA98)*($AA98&lt;TODAY())+ISNUMBER($AB98)*($AB98&lt;TODAY()))</f>
        <v/>
      </c>
    </row>
    <row r="99">
      <c r="A99" s="25" t="n"/>
      <c r="B99" s="26" t="n"/>
      <c r="C99" s="27" t="n"/>
      <c r="D99" s="25" t="n"/>
      <c r="E99" s="25" t="n"/>
      <c r="F99" s="25" t="n"/>
      <c r="G99" s="25" t="n"/>
      <c r="H99" s="27" t="n"/>
      <c r="I99" s="25" t="n"/>
      <c r="J99" s="28">
        <f>IF(OR(NOT(AND($A99&lt;&gt;"",OR($I99="",$I99="Active"))),$H99=""),"",INT((TODAY()-$H99+280)/7)&amp;"+"&amp;MOD(TODAY()-$H99+280,7))</f>
        <v/>
      </c>
      <c r="K99" s="28">
        <f>IF(NOT(AND($A99&lt;&gt;"",OR($I99="",$I99="Active"))),"",ISNUMBER($N99)*($N99&gt;=TODAY())*($N99&lt;=TODAY()+7)+ISNUMBER($O99)*($O99&gt;=TODAY())*($O99&lt;=TODAY()+7)+ISNUMBER($P99)*($P99&gt;=TODAY())*($P99&lt;=TODAY()+7)+ISNUMBER($S99)*($S99&gt;=TODAY())*($S99&lt;=TODAY()+7)+ISNUMBER($T99)*($T99&gt;=TODAY())*($T99&lt;=TODAY()+7)+ISNUMBER($U99)*($U99&gt;=TODAY())*($U99&lt;=TODAY()+7)+ISNUMBER($V99)*($V99&gt;=TODAY())*($V99&lt;=TODAY()+7)+ISNUMBER($W99)*($W99&gt;=TODAY())*($W99&lt;=TODAY()+7)+ISNUMBER($X99)*($X99&gt;=TODAY())*($X99&lt;=TODAY()+7)+ISNUMBER($Y99)*($Y99&gt;=TODAY())*($Y99&lt;=TODAY()+7)+ISNUMBER($Q99)*($Q99&gt;=TODAY())*($Q99&lt;=TODAY()+7)+ISNUMBER($R99)*($R99&gt;=TODAY())*($R99&lt;=TODAY()+7)+ISNUMBER($AA99)*($AA99&gt;=TODAY())*($AA99&lt;=TODAY()+7)+ISNUMBER($AB99)*($AB99&gt;=TODAY())*($AB99&lt;=TODAY()+7))</f>
        <v/>
      </c>
      <c r="L99" s="28">
        <f>IF(NOT(AND($A99&lt;&gt;"",OR($I99="",$I99="Active"))),"",IF($M99&lt;&gt;"",IF($N99=$M99,"Booking",IF($O99=$M99,"16/40",IF($P99=$M99,"25/40",IF($S99=$M99,"28/40",IF($T99=$M99,"31/40",IF($U99=$M99,"34/40",IF($V99=$M99,"36/40",IF($W99=$M99,"38/40",IF($X99=$M99,"40/40",IF($Y99=$M99,"41/40","")))))))))),IF(IF(OR(ISNUMBER($Y99),$Y99="DNA"),$Y99,IF(OR(ISNUMBER($X99),$X99="DNA"),$X99,IF(OR(ISNUMBER($W99),$W99="DNA"),$W99,IF(OR(ISNUMBER($V99),$V99="DNA"),$V99,IF(OR(ISNUMBER($U99),$U99="DNA"),$U99,IF(OR(ISNUMBER($T99),$T99="DNA"),$T99,IF(OR(ISNUMBER($S99),$S99="DNA"),$S99,IF(OR(ISNUMBER($P99),$P99="DNA"),$P99,IF(OR(ISNUMBER($O99),$O99="DNA"),$O99,IF(OR(ISNUMBER($N99),$N99="DNA"),$N99,""))))))))))="DNA","Rebook DNA",IF(ISNUMBER(IF(OR(ISNUMBER($Y99),$Y99="DNA"),$Y99,IF(OR(ISNUMBER($X99),$X99="DNA"),$X99,IF(OR(ISNUMBER($W99),$W99="DNA"),$W99,IF(OR(ISNUMBER($V99),$V99="DNA"),$V99,IF(OR(ISNUMBER($U99),$U99="DNA"),$U99,IF(OR(ISNUMBER($T99),$T99="DNA"),$T99,IF(OR(ISNUMBER($S99),$S99="DNA"),$S99,IF(OR(ISNUMBER($P99),$P99="DNA"),$P99,IF(OR(ISNUMBER($O99),$O99="DNA"),$O99,IF(OR(ISNUMBER($N99),$N99="DNA"),$N99,""))))))))))),IF(ISNUMBER($Y99),"Update status","Missed/not booked?"),""))))</f>
        <v/>
      </c>
      <c r="M99" s="29">
        <f>IF(NOT(AND($A99&lt;&gt;"",OR($I99="",$I99="Active"))),"",IF(MIN(IF(AND(ISNUMBER($N99),$N99&gt;=TODAY()),$N99,99999),IF(AND(ISNUMBER($O99),$O99&gt;=TODAY()),$O99,99999),IF(AND(ISNUMBER($P99),$P99&gt;=TODAY()),$P99,99999),IF(AND(ISNUMBER($S99),$S99&gt;=TODAY()),$S99,99999),IF(AND(ISNUMBER($T99),$T99&gt;=TODAY()),$T99,99999),IF(AND(ISNUMBER($U99),$U99&gt;=TODAY()),$U99,99999),IF(AND(ISNUMBER($V99),$V99&gt;=TODAY()),$V99,99999),IF(AND(ISNUMBER($W99),$W99&gt;=TODAY()),$W99,99999),IF(AND(ISNUMBER($X99),$X99&gt;=TODAY()),$X99,99999),IF(AND(ISNUMBER($Y99),$Y99&gt;=TODAY()),$Y99,99999))=99999,"",MIN(IF(AND(ISNUMBER($N99),$N99&gt;=TODAY()),$N99,99999),IF(AND(ISNUMBER($O99),$O99&gt;=TODAY()),$O99,99999),IF(AND(ISNUMBER($P99),$P99&gt;=TODAY()),$P99,99999),IF(AND(ISNUMBER($S99),$S99&gt;=TODAY()),$S99,99999),IF(AND(ISNUMBER($T99),$T99&gt;=TODAY()),$T99,99999),IF(AND(ISNUMBER($U99),$U99&gt;=TODAY()),$U99,99999),IF(AND(ISNUMBER($V99),$V99&gt;=TODAY()),$V99,99999),IF(AND(ISNUMBER($W99),$W99&gt;=TODAY()),$W99,99999),IF(AND(ISNUMBER($X99),$X99&gt;=TODAY()),$X99,99999),IF(AND(ISNUMBER($Y99),$Y99&gt;=TODAY()),$Y99,99999))))</f>
        <v/>
      </c>
      <c r="N99" s="27" t="n"/>
      <c r="O99" s="27" t="n"/>
      <c r="P99" s="27" t="n"/>
      <c r="Q99" s="27" t="n"/>
      <c r="R99" s="27" t="n"/>
      <c r="S99" s="27" t="n"/>
      <c r="T99" s="27" t="n"/>
      <c r="U99" s="27" t="n"/>
      <c r="V99" s="27" t="n"/>
      <c r="W99" s="27" t="n"/>
      <c r="X99" s="27" t="n"/>
      <c r="Y99" s="27" t="n"/>
      <c r="Z99" s="27" t="n"/>
      <c r="AA99" s="27" t="n"/>
      <c r="AB99" s="27" t="n"/>
      <c r="AC99" s="30" t="n"/>
      <c r="AD99" s="25" t="n"/>
      <c r="AE99" s="28">
        <f>IF(NOT(AND($A99&lt;&gt;"",OR($I99="",$I99="Active"))),"",IF(OR(IF(OR(ISNUMBER($Y99),$Y99="DNA"),$Y99,IF(OR(ISNUMBER($X99),$X99="DNA"),$X99,IF(OR(ISNUMBER($W99),$W99="DNA"),$W99,IF(OR(ISNUMBER($V99),$V99="DNA"),$V99,IF(OR(ISNUMBER($U99),$U99="DNA"),$U99,IF(OR(ISNUMBER($T99),$T99="DNA"),$T99,IF(OR(ISNUMBER($S99),$S99="DNA"),$S99,IF(OR(ISNUMBER($P99),$P99="DNA"),$P99,IF(OR(ISNUMBER($O99),$O99="DNA"),$O99,IF(OR(ISNUMBER($N99),$N99="DNA"),$N99,""))))))))))="DNA",AND(ISNUMBER(IF(OR(ISNUMBER($Y99),$Y99="DNA"),$Y99,IF(OR(ISNUMBER($X99),$X99="DNA"),$X99,IF(OR(ISNUMBER($W99),$W99="DNA"),$W99,IF(OR(ISNUMBER($V99),$V99="DNA"),$V99,IF(OR(ISNUMBER($U99),$U99="DNA"),$U99,IF(OR(ISNUMBER($T99),$T99="DNA"),$T99,IF(OR(ISNUMBER($S99),$S99="DNA"),$S99,IF(OR(ISNUMBER($P99),$P99="DNA"),$P99,IF(OR(ISNUMBER($O99),$O99="DNA"),$O99,IF(OR(ISNUMBER($N99),$N99="DNA"),$N99,""))))))))))),IF(OR(ISNUMBER($Y99),$Y99="DNA"),$Y99,IF(OR(ISNUMBER($X99),$X99="DNA"),$X99,IF(OR(ISNUMBER($W99),$W99="DNA"),$W99,IF(OR(ISNUMBER($V99),$V99="DNA"),$V99,IF(OR(ISNUMBER($U99),$U99="DNA"),$U99,IF(OR(ISNUMBER($T99),$T99="DNA"),$T99,IF(OR(ISNUMBER($S99),$S99="DNA"),$S99,IF(OR(ISNUMBER($P99),$P99="DNA"),$P99,IF(OR(ISNUMBER($O99),$O99="DNA"),$O99,IF(OR(ISNUMBER($N99),$N99="DNA"),$N99,""))))))))))&lt;TODAY())),1,0)+ISNUMBER($Q99)*($Q99&lt;TODAY())+ISNUMBER($R99)*($R99&lt;TODAY())+ISNUMBER($AA99)*($AA99&lt;TODAY())+ISNUMBER($AB99)*($AB99&lt;TODAY()))</f>
        <v/>
      </c>
    </row>
    <row r="100">
      <c r="A100" s="25" t="n"/>
      <c r="B100" s="26" t="n"/>
      <c r="C100" s="27" t="n"/>
      <c r="D100" s="25" t="n"/>
      <c r="E100" s="25" t="n"/>
      <c r="F100" s="25" t="n"/>
      <c r="G100" s="25" t="n"/>
      <c r="H100" s="27" t="n"/>
      <c r="I100" s="25" t="n"/>
      <c r="J100" s="28">
        <f>IF(OR(NOT(AND($A100&lt;&gt;"",OR($I100="",$I100="Active"))),$H100=""),"",INT((TODAY()-$H100+280)/7)&amp;"+"&amp;MOD(TODAY()-$H100+280,7))</f>
        <v/>
      </c>
      <c r="K100" s="28">
        <f>IF(NOT(AND($A100&lt;&gt;"",OR($I100="",$I100="Active"))),"",ISNUMBER($N100)*($N100&gt;=TODAY())*($N100&lt;=TODAY()+7)+ISNUMBER($O100)*($O100&gt;=TODAY())*($O100&lt;=TODAY()+7)+ISNUMBER($P100)*($P100&gt;=TODAY())*($P100&lt;=TODAY()+7)+ISNUMBER($S100)*($S100&gt;=TODAY())*($S100&lt;=TODAY()+7)+ISNUMBER($T100)*($T100&gt;=TODAY())*($T100&lt;=TODAY()+7)+ISNUMBER($U100)*($U100&gt;=TODAY())*($U100&lt;=TODAY()+7)+ISNUMBER($V100)*($V100&gt;=TODAY())*($V100&lt;=TODAY()+7)+ISNUMBER($W100)*($W100&gt;=TODAY())*($W100&lt;=TODAY()+7)+ISNUMBER($X100)*($X100&gt;=TODAY())*($X100&lt;=TODAY()+7)+ISNUMBER($Y100)*($Y100&gt;=TODAY())*($Y100&lt;=TODAY()+7)+ISNUMBER($Q100)*($Q100&gt;=TODAY())*($Q100&lt;=TODAY()+7)+ISNUMBER($R100)*($R100&gt;=TODAY())*($R100&lt;=TODAY()+7)+ISNUMBER($AA100)*($AA100&gt;=TODAY())*($AA100&lt;=TODAY()+7)+ISNUMBER($AB100)*($AB100&gt;=TODAY())*($AB100&lt;=TODAY()+7))</f>
        <v/>
      </c>
      <c r="L100" s="28">
        <f>IF(NOT(AND($A100&lt;&gt;"",OR($I100="",$I100="Active"))),"",IF($M100&lt;&gt;"",IF($N100=$M100,"Booking",IF($O100=$M100,"16/40",IF($P100=$M100,"25/40",IF($S100=$M100,"28/40",IF($T100=$M100,"31/40",IF($U100=$M100,"34/40",IF($V100=$M100,"36/40",IF($W100=$M100,"38/40",IF($X100=$M100,"40/40",IF($Y100=$M100,"41/40","")))))))))),IF(IF(OR(ISNUMBER($Y100),$Y100="DNA"),$Y100,IF(OR(ISNUMBER($X100),$X100="DNA"),$X100,IF(OR(ISNUMBER($W100),$W100="DNA"),$W100,IF(OR(ISNUMBER($V100),$V100="DNA"),$V100,IF(OR(ISNUMBER($U100),$U100="DNA"),$U100,IF(OR(ISNUMBER($T100),$T100="DNA"),$T100,IF(OR(ISNUMBER($S100),$S100="DNA"),$S100,IF(OR(ISNUMBER($P100),$P100="DNA"),$P100,IF(OR(ISNUMBER($O100),$O100="DNA"),$O100,IF(OR(ISNUMBER($N100),$N100="DNA"),$N100,""))))))))))="DNA","Rebook DNA",IF(ISNUMBER(IF(OR(ISNUMBER($Y100),$Y100="DNA"),$Y100,IF(OR(ISNUMBER($X100),$X100="DNA"),$X100,IF(OR(ISNUMBER($W100),$W100="DNA"),$W100,IF(OR(ISNUMBER($V100),$V100="DNA"),$V100,IF(OR(ISNUMBER($U100),$U100="DNA"),$U100,IF(OR(ISNUMBER($T100),$T100="DNA"),$T100,IF(OR(ISNUMBER($S100),$S100="DNA"),$S100,IF(OR(ISNUMBER($P100),$P100="DNA"),$P100,IF(OR(ISNUMBER($O100),$O100="DNA"),$O100,IF(OR(ISNUMBER($N100),$N100="DNA"),$N100,""))))))))))),IF(ISNUMBER($Y100),"Update status","Missed/not booked?"),""))))</f>
        <v/>
      </c>
      <c r="M100" s="29">
        <f>IF(NOT(AND($A100&lt;&gt;"",OR($I100="",$I100="Active"))),"",IF(MIN(IF(AND(ISNUMBER($N100),$N100&gt;=TODAY()),$N100,99999),IF(AND(ISNUMBER($O100),$O100&gt;=TODAY()),$O100,99999),IF(AND(ISNUMBER($P100),$P100&gt;=TODAY()),$P100,99999),IF(AND(ISNUMBER($S100),$S100&gt;=TODAY()),$S100,99999),IF(AND(ISNUMBER($T100),$T100&gt;=TODAY()),$T100,99999),IF(AND(ISNUMBER($U100),$U100&gt;=TODAY()),$U100,99999),IF(AND(ISNUMBER($V100),$V100&gt;=TODAY()),$V100,99999),IF(AND(ISNUMBER($W100),$W100&gt;=TODAY()),$W100,99999),IF(AND(ISNUMBER($X100),$X100&gt;=TODAY()),$X100,99999),IF(AND(ISNUMBER($Y100),$Y100&gt;=TODAY()),$Y100,99999))=99999,"",MIN(IF(AND(ISNUMBER($N100),$N100&gt;=TODAY()),$N100,99999),IF(AND(ISNUMBER($O100),$O100&gt;=TODAY()),$O100,99999),IF(AND(ISNUMBER($P100),$P100&gt;=TODAY()),$P100,99999),IF(AND(ISNUMBER($S100),$S100&gt;=TODAY()),$S100,99999),IF(AND(ISNUMBER($T100),$T100&gt;=TODAY()),$T100,99999),IF(AND(ISNUMBER($U100),$U100&gt;=TODAY()),$U100,99999),IF(AND(ISNUMBER($V100),$V100&gt;=TODAY()),$V100,99999),IF(AND(ISNUMBER($W100),$W100&gt;=TODAY()),$W100,99999),IF(AND(ISNUMBER($X100),$X100&gt;=TODAY()),$X100,99999),IF(AND(ISNUMBER($Y100),$Y100&gt;=TODAY()),$Y100,99999))))</f>
        <v/>
      </c>
      <c r="N100" s="27" t="n"/>
      <c r="O100" s="27" t="n"/>
      <c r="P100" s="27" t="n"/>
      <c r="Q100" s="27" t="n"/>
      <c r="R100" s="27" t="n"/>
      <c r="S100" s="27" t="n"/>
      <c r="T100" s="27" t="n"/>
      <c r="U100" s="27" t="n"/>
      <c r="V100" s="27" t="n"/>
      <c r="W100" s="27" t="n"/>
      <c r="X100" s="27" t="n"/>
      <c r="Y100" s="27" t="n"/>
      <c r="Z100" s="27" t="n"/>
      <c r="AA100" s="27" t="n"/>
      <c r="AB100" s="27" t="n"/>
      <c r="AC100" s="30" t="n"/>
      <c r="AD100" s="25" t="n"/>
      <c r="AE100" s="28">
        <f>IF(NOT(AND($A100&lt;&gt;"",OR($I100="",$I100="Active"))),"",IF(OR(IF(OR(ISNUMBER($Y100),$Y100="DNA"),$Y100,IF(OR(ISNUMBER($X100),$X100="DNA"),$X100,IF(OR(ISNUMBER($W100),$W100="DNA"),$W100,IF(OR(ISNUMBER($V100),$V100="DNA"),$V100,IF(OR(ISNUMBER($U100),$U100="DNA"),$U100,IF(OR(ISNUMBER($T100),$T100="DNA"),$T100,IF(OR(ISNUMBER($S100),$S100="DNA"),$S100,IF(OR(ISNUMBER($P100),$P100="DNA"),$P100,IF(OR(ISNUMBER($O100),$O100="DNA"),$O100,IF(OR(ISNUMBER($N100),$N100="DNA"),$N100,""))))))))))="DNA",AND(ISNUMBER(IF(OR(ISNUMBER($Y100),$Y100="DNA"),$Y100,IF(OR(ISNUMBER($X100),$X100="DNA"),$X100,IF(OR(ISNUMBER($W100),$W100="DNA"),$W100,IF(OR(ISNUMBER($V100),$V100="DNA"),$V100,IF(OR(ISNUMBER($U100),$U100="DNA"),$U100,IF(OR(ISNUMBER($T100),$T100="DNA"),$T100,IF(OR(ISNUMBER($S100),$S100="DNA"),$S100,IF(OR(ISNUMBER($P100),$P100="DNA"),$P100,IF(OR(ISNUMBER($O100),$O100="DNA"),$O100,IF(OR(ISNUMBER($N100),$N100="DNA"),$N100,""))))))))))),IF(OR(ISNUMBER($Y100),$Y100="DNA"),$Y100,IF(OR(ISNUMBER($X100),$X100="DNA"),$X100,IF(OR(ISNUMBER($W100),$W100="DNA"),$W100,IF(OR(ISNUMBER($V100),$V100="DNA"),$V100,IF(OR(ISNUMBER($U100),$U100="DNA"),$U100,IF(OR(ISNUMBER($T100),$T100="DNA"),$T100,IF(OR(ISNUMBER($S100),$S100="DNA"),$S100,IF(OR(ISNUMBER($P100),$P100="DNA"),$P100,IF(OR(ISNUMBER($O100),$O100="DNA"),$O100,IF(OR(ISNUMBER($N100),$N100="DNA"),$N100,""))))))))))&lt;TODAY())),1,0)+ISNUMBER($Q100)*($Q100&lt;TODAY())+ISNUMBER($R100)*($R100&lt;TODAY())+ISNUMBER($AA100)*($AA100&lt;TODAY())+ISNUMBER($AB100)*($AB100&lt;TODAY()))</f>
        <v/>
      </c>
    </row>
    <row r="101">
      <c r="A101" s="25" t="n"/>
      <c r="B101" s="26" t="n"/>
      <c r="C101" s="27" t="n"/>
      <c r="D101" s="25" t="n"/>
      <c r="E101" s="25" t="n"/>
      <c r="F101" s="25" t="n"/>
      <c r="G101" s="25" t="n"/>
      <c r="H101" s="27" t="n"/>
      <c r="I101" s="25" t="n"/>
      <c r="J101" s="28">
        <f>IF(OR(NOT(AND($A101&lt;&gt;"",OR($I101="",$I101="Active"))),$H101=""),"",INT((TODAY()-$H101+280)/7)&amp;"+"&amp;MOD(TODAY()-$H101+280,7))</f>
        <v/>
      </c>
      <c r="K101" s="28">
        <f>IF(NOT(AND($A101&lt;&gt;"",OR($I101="",$I101="Active"))),"",ISNUMBER($N101)*($N101&gt;=TODAY())*($N101&lt;=TODAY()+7)+ISNUMBER($O101)*($O101&gt;=TODAY())*($O101&lt;=TODAY()+7)+ISNUMBER($P101)*($P101&gt;=TODAY())*($P101&lt;=TODAY()+7)+ISNUMBER($S101)*($S101&gt;=TODAY())*($S101&lt;=TODAY()+7)+ISNUMBER($T101)*($T101&gt;=TODAY())*($T101&lt;=TODAY()+7)+ISNUMBER($U101)*($U101&gt;=TODAY())*($U101&lt;=TODAY()+7)+ISNUMBER($V101)*($V101&gt;=TODAY())*($V101&lt;=TODAY()+7)+ISNUMBER($W101)*($W101&gt;=TODAY())*($W101&lt;=TODAY()+7)+ISNUMBER($X101)*($X101&gt;=TODAY())*($X101&lt;=TODAY()+7)+ISNUMBER($Y101)*($Y101&gt;=TODAY())*($Y101&lt;=TODAY()+7)+ISNUMBER($Q101)*($Q101&gt;=TODAY())*($Q101&lt;=TODAY()+7)+ISNUMBER($R101)*($R101&gt;=TODAY())*($R101&lt;=TODAY()+7)+ISNUMBER($AA101)*($AA101&gt;=TODAY())*($AA101&lt;=TODAY()+7)+ISNUMBER($AB101)*($AB101&gt;=TODAY())*($AB101&lt;=TODAY()+7))</f>
        <v/>
      </c>
      <c r="L101" s="28">
        <f>IF(NOT(AND($A101&lt;&gt;"",OR($I101="",$I101="Active"))),"",IF($M101&lt;&gt;"",IF($N101=$M101,"Booking",IF($O101=$M101,"16/40",IF($P101=$M101,"25/40",IF($S101=$M101,"28/40",IF($T101=$M101,"31/40",IF($U101=$M101,"34/40",IF($V101=$M101,"36/40",IF($W101=$M101,"38/40",IF($X101=$M101,"40/40",IF($Y101=$M101,"41/40","")))))))))),IF(IF(OR(ISNUMBER($Y101),$Y101="DNA"),$Y101,IF(OR(ISNUMBER($X101),$X101="DNA"),$X101,IF(OR(ISNUMBER($W101),$W101="DNA"),$W101,IF(OR(ISNUMBER($V101),$V101="DNA"),$V101,IF(OR(ISNUMBER($U101),$U101="DNA"),$U101,IF(OR(ISNUMBER($T101),$T101="DNA"),$T101,IF(OR(ISNUMBER($S101),$S101="DNA"),$S101,IF(OR(ISNUMBER($P101),$P101="DNA"),$P101,IF(OR(ISNUMBER($O101),$O101="DNA"),$O101,IF(OR(ISNUMBER($N101),$N101="DNA"),$N101,""))))))))))="DNA","Rebook DNA",IF(ISNUMBER(IF(OR(ISNUMBER($Y101),$Y101="DNA"),$Y101,IF(OR(ISNUMBER($X101),$X101="DNA"),$X101,IF(OR(ISNUMBER($W101),$W101="DNA"),$W101,IF(OR(ISNUMBER($V101),$V101="DNA"),$V101,IF(OR(ISNUMBER($U101),$U101="DNA"),$U101,IF(OR(ISNUMBER($T101),$T101="DNA"),$T101,IF(OR(ISNUMBER($S101),$S101="DNA"),$S101,IF(OR(ISNUMBER($P101),$P101="DNA"),$P101,IF(OR(ISNUMBER($O101),$O101="DNA"),$O101,IF(OR(ISNUMBER($N101),$N101="DNA"),$N101,""))))))))))),IF(ISNUMBER($Y101),"Update status","Missed/not booked?"),""))))</f>
        <v/>
      </c>
      <c r="M101" s="29">
        <f>IF(NOT(AND($A101&lt;&gt;"",OR($I101="",$I101="Active"))),"",IF(MIN(IF(AND(ISNUMBER($N101),$N101&gt;=TODAY()),$N101,99999),IF(AND(ISNUMBER($O101),$O101&gt;=TODAY()),$O101,99999),IF(AND(ISNUMBER($P101),$P101&gt;=TODAY()),$P101,99999),IF(AND(ISNUMBER($S101),$S101&gt;=TODAY()),$S101,99999),IF(AND(ISNUMBER($T101),$T101&gt;=TODAY()),$T101,99999),IF(AND(ISNUMBER($U101),$U101&gt;=TODAY()),$U101,99999),IF(AND(ISNUMBER($V101),$V101&gt;=TODAY()),$V101,99999),IF(AND(ISNUMBER($W101),$W101&gt;=TODAY()),$W101,99999),IF(AND(ISNUMBER($X101),$X101&gt;=TODAY()),$X101,99999),IF(AND(ISNUMBER($Y101),$Y101&gt;=TODAY()),$Y101,99999))=99999,"",MIN(IF(AND(ISNUMBER($N101),$N101&gt;=TODAY()),$N101,99999),IF(AND(ISNUMBER($O101),$O101&gt;=TODAY()),$O101,99999),IF(AND(ISNUMBER($P101),$P101&gt;=TODAY()),$P101,99999),IF(AND(ISNUMBER($S101),$S101&gt;=TODAY()),$S101,99999),IF(AND(ISNUMBER($T101),$T101&gt;=TODAY()),$T101,99999),IF(AND(ISNUMBER($U101),$U101&gt;=TODAY()),$U101,99999),IF(AND(ISNUMBER($V101),$V101&gt;=TODAY()),$V101,99999),IF(AND(ISNUMBER($W101),$W101&gt;=TODAY()),$W101,99999),IF(AND(ISNUMBER($X101),$X101&gt;=TODAY()),$X101,99999),IF(AND(ISNUMBER($Y101),$Y101&gt;=TODAY()),$Y101,99999))))</f>
        <v/>
      </c>
      <c r="N101" s="27" t="n"/>
      <c r="O101" s="27" t="n"/>
      <c r="P101" s="27" t="n"/>
      <c r="Q101" s="27" t="n"/>
      <c r="R101" s="27" t="n"/>
      <c r="S101" s="27" t="n"/>
      <c r="T101" s="27" t="n"/>
      <c r="U101" s="27" t="n"/>
      <c r="V101" s="27" t="n"/>
      <c r="W101" s="27" t="n"/>
      <c r="X101" s="27" t="n"/>
      <c r="Y101" s="27" t="n"/>
      <c r="Z101" s="27" t="n"/>
      <c r="AA101" s="27" t="n"/>
      <c r="AB101" s="27" t="n"/>
      <c r="AC101" s="30" t="n"/>
      <c r="AD101" s="25" t="n"/>
      <c r="AE101" s="28">
        <f>IF(NOT(AND($A101&lt;&gt;"",OR($I101="",$I101="Active"))),"",IF(OR(IF(OR(ISNUMBER($Y101),$Y101="DNA"),$Y101,IF(OR(ISNUMBER($X101),$X101="DNA"),$X101,IF(OR(ISNUMBER($W101),$W101="DNA"),$W101,IF(OR(ISNUMBER($V101),$V101="DNA"),$V101,IF(OR(ISNUMBER($U101),$U101="DNA"),$U101,IF(OR(ISNUMBER($T101),$T101="DNA"),$T101,IF(OR(ISNUMBER($S101),$S101="DNA"),$S101,IF(OR(ISNUMBER($P101),$P101="DNA"),$P101,IF(OR(ISNUMBER($O101),$O101="DNA"),$O101,IF(OR(ISNUMBER($N101),$N101="DNA"),$N101,""))))))))))="DNA",AND(ISNUMBER(IF(OR(ISNUMBER($Y101),$Y101="DNA"),$Y101,IF(OR(ISNUMBER($X101),$X101="DNA"),$X101,IF(OR(ISNUMBER($W101),$W101="DNA"),$W101,IF(OR(ISNUMBER($V101),$V101="DNA"),$V101,IF(OR(ISNUMBER($U101),$U101="DNA"),$U101,IF(OR(ISNUMBER($T101),$T101="DNA"),$T101,IF(OR(ISNUMBER($S101),$S101="DNA"),$S101,IF(OR(ISNUMBER($P101),$P101="DNA"),$P101,IF(OR(ISNUMBER($O101),$O101="DNA"),$O101,IF(OR(ISNUMBER($N101),$N101="DNA"),$N101,""))))))))))),IF(OR(ISNUMBER($Y101),$Y101="DNA"),$Y101,IF(OR(ISNUMBER($X101),$X101="DNA"),$X101,IF(OR(ISNUMBER($W101),$W101="DNA"),$W101,IF(OR(ISNUMBER($V101),$V101="DNA"),$V101,IF(OR(ISNUMBER($U101),$U101="DNA"),$U101,IF(OR(ISNUMBER($T101),$T101="DNA"),$T101,IF(OR(ISNUMBER($S101),$S101="DNA"),$S101,IF(OR(ISNUMBER($P101),$P101="DNA"),$P101,IF(OR(ISNUMBER($O101),$O101="DNA"),$O101,IF(OR(ISNUMBER($N101),$N101="DNA"),$N101,""))))))))))&lt;TODAY())),1,0)+ISNUMBER($Q101)*($Q101&lt;TODAY())+ISNUMBER($R101)*($R101&lt;TODAY())+ISNUMBER($AA101)*($AA101&lt;TODAY())+ISNUMBER($AB101)*($AB101&lt;TODAY()))</f>
        <v/>
      </c>
    </row>
    <row r="102">
      <c r="A102" s="25" t="n"/>
      <c r="B102" s="26" t="n"/>
      <c r="C102" s="27" t="n"/>
      <c r="D102" s="25" t="n"/>
      <c r="E102" s="25" t="n"/>
      <c r="F102" s="25" t="n"/>
      <c r="G102" s="25" t="n"/>
      <c r="H102" s="27" t="n"/>
      <c r="I102" s="25" t="n"/>
      <c r="J102" s="28">
        <f>IF(OR(NOT(AND($A102&lt;&gt;"",OR($I102="",$I102="Active"))),$H102=""),"",INT((TODAY()-$H102+280)/7)&amp;"+"&amp;MOD(TODAY()-$H102+280,7))</f>
        <v/>
      </c>
      <c r="K102" s="28">
        <f>IF(NOT(AND($A102&lt;&gt;"",OR($I102="",$I102="Active"))),"",ISNUMBER($N102)*($N102&gt;=TODAY())*($N102&lt;=TODAY()+7)+ISNUMBER($O102)*($O102&gt;=TODAY())*($O102&lt;=TODAY()+7)+ISNUMBER($P102)*($P102&gt;=TODAY())*($P102&lt;=TODAY()+7)+ISNUMBER($S102)*($S102&gt;=TODAY())*($S102&lt;=TODAY()+7)+ISNUMBER($T102)*($T102&gt;=TODAY())*($T102&lt;=TODAY()+7)+ISNUMBER($U102)*($U102&gt;=TODAY())*($U102&lt;=TODAY()+7)+ISNUMBER($V102)*($V102&gt;=TODAY())*($V102&lt;=TODAY()+7)+ISNUMBER($W102)*($W102&gt;=TODAY())*($W102&lt;=TODAY()+7)+ISNUMBER($X102)*($X102&gt;=TODAY())*($X102&lt;=TODAY()+7)+ISNUMBER($Y102)*($Y102&gt;=TODAY())*($Y102&lt;=TODAY()+7)+ISNUMBER($Q102)*($Q102&gt;=TODAY())*($Q102&lt;=TODAY()+7)+ISNUMBER($R102)*($R102&gt;=TODAY())*($R102&lt;=TODAY()+7)+ISNUMBER($AA102)*($AA102&gt;=TODAY())*($AA102&lt;=TODAY()+7)+ISNUMBER($AB102)*($AB102&gt;=TODAY())*($AB102&lt;=TODAY()+7))</f>
        <v/>
      </c>
      <c r="L102" s="28">
        <f>IF(NOT(AND($A102&lt;&gt;"",OR($I102="",$I102="Active"))),"",IF($M102&lt;&gt;"",IF($N102=$M102,"Booking",IF($O102=$M102,"16/40",IF($P102=$M102,"25/40",IF($S102=$M102,"28/40",IF($T102=$M102,"31/40",IF($U102=$M102,"34/40",IF($V102=$M102,"36/40",IF($W102=$M102,"38/40",IF($X102=$M102,"40/40",IF($Y102=$M102,"41/40","")))))))))),IF(IF(OR(ISNUMBER($Y102),$Y102="DNA"),$Y102,IF(OR(ISNUMBER($X102),$X102="DNA"),$X102,IF(OR(ISNUMBER($W102),$W102="DNA"),$W102,IF(OR(ISNUMBER($V102),$V102="DNA"),$V102,IF(OR(ISNUMBER($U102),$U102="DNA"),$U102,IF(OR(ISNUMBER($T102),$T102="DNA"),$T102,IF(OR(ISNUMBER($S102),$S102="DNA"),$S102,IF(OR(ISNUMBER($P102),$P102="DNA"),$P102,IF(OR(ISNUMBER($O102),$O102="DNA"),$O102,IF(OR(ISNUMBER($N102),$N102="DNA"),$N102,""))))))))))="DNA","Rebook DNA",IF(ISNUMBER(IF(OR(ISNUMBER($Y102),$Y102="DNA"),$Y102,IF(OR(ISNUMBER($X102),$X102="DNA"),$X102,IF(OR(ISNUMBER($W102),$W102="DNA"),$W102,IF(OR(ISNUMBER($V102),$V102="DNA"),$V102,IF(OR(ISNUMBER($U102),$U102="DNA"),$U102,IF(OR(ISNUMBER($T102),$T102="DNA"),$T102,IF(OR(ISNUMBER($S102),$S102="DNA"),$S102,IF(OR(ISNUMBER($P102),$P102="DNA"),$P102,IF(OR(ISNUMBER($O102),$O102="DNA"),$O102,IF(OR(ISNUMBER($N102),$N102="DNA"),$N102,""))))))))))),IF(ISNUMBER($Y102),"Update status","Missed/not booked?"),""))))</f>
        <v/>
      </c>
      <c r="M102" s="29">
        <f>IF(NOT(AND($A102&lt;&gt;"",OR($I102="",$I102="Active"))),"",IF(MIN(IF(AND(ISNUMBER($N102),$N102&gt;=TODAY()),$N102,99999),IF(AND(ISNUMBER($O102),$O102&gt;=TODAY()),$O102,99999),IF(AND(ISNUMBER($P102),$P102&gt;=TODAY()),$P102,99999),IF(AND(ISNUMBER($S102),$S102&gt;=TODAY()),$S102,99999),IF(AND(ISNUMBER($T102),$T102&gt;=TODAY()),$T102,99999),IF(AND(ISNUMBER($U102),$U102&gt;=TODAY()),$U102,99999),IF(AND(ISNUMBER($V102),$V102&gt;=TODAY()),$V102,99999),IF(AND(ISNUMBER($W102),$W102&gt;=TODAY()),$W102,99999),IF(AND(ISNUMBER($X102),$X102&gt;=TODAY()),$X102,99999),IF(AND(ISNUMBER($Y102),$Y102&gt;=TODAY()),$Y102,99999))=99999,"",MIN(IF(AND(ISNUMBER($N102),$N102&gt;=TODAY()),$N102,99999),IF(AND(ISNUMBER($O102),$O102&gt;=TODAY()),$O102,99999),IF(AND(ISNUMBER($P102),$P102&gt;=TODAY()),$P102,99999),IF(AND(ISNUMBER($S102),$S102&gt;=TODAY()),$S102,99999),IF(AND(ISNUMBER($T102),$T102&gt;=TODAY()),$T102,99999),IF(AND(ISNUMBER($U102),$U102&gt;=TODAY()),$U102,99999),IF(AND(ISNUMBER($V102),$V102&gt;=TODAY()),$V102,99999),IF(AND(ISNUMBER($W102),$W102&gt;=TODAY()),$W102,99999),IF(AND(ISNUMBER($X102),$X102&gt;=TODAY()),$X102,99999),IF(AND(ISNUMBER($Y102),$Y102&gt;=TODAY()),$Y102,99999))))</f>
        <v/>
      </c>
      <c r="N102" s="27" t="n"/>
      <c r="O102" s="27" t="n"/>
      <c r="P102" s="27" t="n"/>
      <c r="Q102" s="27" t="n"/>
      <c r="R102" s="27" t="n"/>
      <c r="S102" s="27" t="n"/>
      <c r="T102" s="27" t="n"/>
      <c r="U102" s="27" t="n"/>
      <c r="V102" s="27" t="n"/>
      <c r="W102" s="27" t="n"/>
      <c r="X102" s="27" t="n"/>
      <c r="Y102" s="27" t="n"/>
      <c r="Z102" s="27" t="n"/>
      <c r="AA102" s="27" t="n"/>
      <c r="AB102" s="27" t="n"/>
      <c r="AC102" s="30" t="n"/>
      <c r="AD102" s="25" t="n"/>
      <c r="AE102" s="28">
        <f>IF(NOT(AND($A102&lt;&gt;"",OR($I102="",$I102="Active"))),"",IF(OR(IF(OR(ISNUMBER($Y102),$Y102="DNA"),$Y102,IF(OR(ISNUMBER($X102),$X102="DNA"),$X102,IF(OR(ISNUMBER($W102),$W102="DNA"),$W102,IF(OR(ISNUMBER($V102),$V102="DNA"),$V102,IF(OR(ISNUMBER($U102),$U102="DNA"),$U102,IF(OR(ISNUMBER($T102),$T102="DNA"),$T102,IF(OR(ISNUMBER($S102),$S102="DNA"),$S102,IF(OR(ISNUMBER($P102),$P102="DNA"),$P102,IF(OR(ISNUMBER($O102),$O102="DNA"),$O102,IF(OR(ISNUMBER($N102),$N102="DNA"),$N102,""))))))))))="DNA",AND(ISNUMBER(IF(OR(ISNUMBER($Y102),$Y102="DNA"),$Y102,IF(OR(ISNUMBER($X102),$X102="DNA"),$X102,IF(OR(ISNUMBER($W102),$W102="DNA"),$W102,IF(OR(ISNUMBER($V102),$V102="DNA"),$V102,IF(OR(ISNUMBER($U102),$U102="DNA"),$U102,IF(OR(ISNUMBER($T102),$T102="DNA"),$T102,IF(OR(ISNUMBER($S102),$S102="DNA"),$S102,IF(OR(ISNUMBER($P102),$P102="DNA"),$P102,IF(OR(ISNUMBER($O102),$O102="DNA"),$O102,IF(OR(ISNUMBER($N102),$N102="DNA"),$N102,""))))))))))),IF(OR(ISNUMBER($Y102),$Y102="DNA"),$Y102,IF(OR(ISNUMBER($X102),$X102="DNA"),$X102,IF(OR(ISNUMBER($W102),$W102="DNA"),$W102,IF(OR(ISNUMBER($V102),$V102="DNA"),$V102,IF(OR(ISNUMBER($U102),$U102="DNA"),$U102,IF(OR(ISNUMBER($T102),$T102="DNA"),$T102,IF(OR(ISNUMBER($S102),$S102="DNA"),$S102,IF(OR(ISNUMBER($P102),$P102="DNA"),$P102,IF(OR(ISNUMBER($O102),$O102="DNA"),$O102,IF(OR(ISNUMBER($N102),$N102="DNA"),$N102,""))))))))))&lt;TODAY())),1,0)+ISNUMBER($Q102)*($Q102&lt;TODAY())+ISNUMBER($R102)*($R102&lt;TODAY())+ISNUMBER($AA102)*($AA102&lt;TODAY())+ISNUMBER($AB102)*($AB102&lt;TODAY()))</f>
        <v/>
      </c>
    </row>
    <row r="103">
      <c r="A103" s="25" t="n"/>
      <c r="B103" s="26" t="n"/>
      <c r="C103" s="27" t="n"/>
      <c r="D103" s="25" t="n"/>
      <c r="E103" s="25" t="n"/>
      <c r="F103" s="25" t="n"/>
      <c r="G103" s="25" t="n"/>
      <c r="H103" s="27" t="n"/>
      <c r="I103" s="25" t="n"/>
      <c r="J103" s="28">
        <f>IF(OR(NOT(AND($A103&lt;&gt;"",OR($I103="",$I103="Active"))),$H103=""),"",INT((TODAY()-$H103+280)/7)&amp;"+"&amp;MOD(TODAY()-$H103+280,7))</f>
        <v/>
      </c>
      <c r="K103" s="28">
        <f>IF(NOT(AND($A103&lt;&gt;"",OR($I103="",$I103="Active"))),"",ISNUMBER($N103)*($N103&gt;=TODAY())*($N103&lt;=TODAY()+7)+ISNUMBER($O103)*($O103&gt;=TODAY())*($O103&lt;=TODAY()+7)+ISNUMBER($P103)*($P103&gt;=TODAY())*($P103&lt;=TODAY()+7)+ISNUMBER($S103)*($S103&gt;=TODAY())*($S103&lt;=TODAY()+7)+ISNUMBER($T103)*($T103&gt;=TODAY())*($T103&lt;=TODAY()+7)+ISNUMBER($U103)*($U103&gt;=TODAY())*($U103&lt;=TODAY()+7)+ISNUMBER($V103)*($V103&gt;=TODAY())*($V103&lt;=TODAY()+7)+ISNUMBER($W103)*($W103&gt;=TODAY())*($W103&lt;=TODAY()+7)+ISNUMBER($X103)*($X103&gt;=TODAY())*($X103&lt;=TODAY()+7)+ISNUMBER($Y103)*($Y103&gt;=TODAY())*($Y103&lt;=TODAY()+7)+ISNUMBER($Q103)*($Q103&gt;=TODAY())*($Q103&lt;=TODAY()+7)+ISNUMBER($R103)*($R103&gt;=TODAY())*($R103&lt;=TODAY()+7)+ISNUMBER($AA103)*($AA103&gt;=TODAY())*($AA103&lt;=TODAY()+7)+ISNUMBER($AB103)*($AB103&gt;=TODAY())*($AB103&lt;=TODAY()+7))</f>
        <v/>
      </c>
      <c r="L103" s="28">
        <f>IF(NOT(AND($A103&lt;&gt;"",OR($I103="",$I103="Active"))),"",IF($M103&lt;&gt;"",IF($N103=$M103,"Booking",IF($O103=$M103,"16/40",IF($P103=$M103,"25/40",IF($S103=$M103,"28/40",IF($T103=$M103,"31/40",IF($U103=$M103,"34/40",IF($V103=$M103,"36/40",IF($W103=$M103,"38/40",IF($X103=$M103,"40/40",IF($Y103=$M103,"41/40","")))))))))),IF(IF(OR(ISNUMBER($Y103),$Y103="DNA"),$Y103,IF(OR(ISNUMBER($X103),$X103="DNA"),$X103,IF(OR(ISNUMBER($W103),$W103="DNA"),$W103,IF(OR(ISNUMBER($V103),$V103="DNA"),$V103,IF(OR(ISNUMBER($U103),$U103="DNA"),$U103,IF(OR(ISNUMBER($T103),$T103="DNA"),$T103,IF(OR(ISNUMBER($S103),$S103="DNA"),$S103,IF(OR(ISNUMBER($P103),$P103="DNA"),$P103,IF(OR(ISNUMBER($O103),$O103="DNA"),$O103,IF(OR(ISNUMBER($N103),$N103="DNA"),$N103,""))))))))))="DNA","Rebook DNA",IF(ISNUMBER(IF(OR(ISNUMBER($Y103),$Y103="DNA"),$Y103,IF(OR(ISNUMBER($X103),$X103="DNA"),$X103,IF(OR(ISNUMBER($W103),$W103="DNA"),$W103,IF(OR(ISNUMBER($V103),$V103="DNA"),$V103,IF(OR(ISNUMBER($U103),$U103="DNA"),$U103,IF(OR(ISNUMBER($T103),$T103="DNA"),$T103,IF(OR(ISNUMBER($S103),$S103="DNA"),$S103,IF(OR(ISNUMBER($P103),$P103="DNA"),$P103,IF(OR(ISNUMBER($O103),$O103="DNA"),$O103,IF(OR(ISNUMBER($N103),$N103="DNA"),$N103,""))))))))))),IF(ISNUMBER($Y103),"Update status","Missed/not booked?"),""))))</f>
        <v/>
      </c>
      <c r="M103" s="29">
        <f>IF(NOT(AND($A103&lt;&gt;"",OR($I103="",$I103="Active"))),"",IF(MIN(IF(AND(ISNUMBER($N103),$N103&gt;=TODAY()),$N103,99999),IF(AND(ISNUMBER($O103),$O103&gt;=TODAY()),$O103,99999),IF(AND(ISNUMBER($P103),$P103&gt;=TODAY()),$P103,99999),IF(AND(ISNUMBER($S103),$S103&gt;=TODAY()),$S103,99999),IF(AND(ISNUMBER($T103),$T103&gt;=TODAY()),$T103,99999),IF(AND(ISNUMBER($U103),$U103&gt;=TODAY()),$U103,99999),IF(AND(ISNUMBER($V103),$V103&gt;=TODAY()),$V103,99999),IF(AND(ISNUMBER($W103),$W103&gt;=TODAY()),$W103,99999),IF(AND(ISNUMBER($X103),$X103&gt;=TODAY()),$X103,99999),IF(AND(ISNUMBER($Y103),$Y103&gt;=TODAY()),$Y103,99999))=99999,"",MIN(IF(AND(ISNUMBER($N103),$N103&gt;=TODAY()),$N103,99999),IF(AND(ISNUMBER($O103),$O103&gt;=TODAY()),$O103,99999),IF(AND(ISNUMBER($P103),$P103&gt;=TODAY()),$P103,99999),IF(AND(ISNUMBER($S103),$S103&gt;=TODAY()),$S103,99999),IF(AND(ISNUMBER($T103),$T103&gt;=TODAY()),$T103,99999),IF(AND(ISNUMBER($U103),$U103&gt;=TODAY()),$U103,99999),IF(AND(ISNUMBER($V103),$V103&gt;=TODAY()),$V103,99999),IF(AND(ISNUMBER($W103),$W103&gt;=TODAY()),$W103,99999),IF(AND(ISNUMBER($X103),$X103&gt;=TODAY()),$X103,99999),IF(AND(ISNUMBER($Y103),$Y103&gt;=TODAY()),$Y103,99999))))</f>
        <v/>
      </c>
      <c r="N103" s="27" t="n"/>
      <c r="O103" s="27" t="n"/>
      <c r="P103" s="27" t="n"/>
      <c r="Q103" s="27" t="n"/>
      <c r="R103" s="27" t="n"/>
      <c r="S103" s="27" t="n"/>
      <c r="T103" s="27" t="n"/>
      <c r="U103" s="27" t="n"/>
      <c r="V103" s="27" t="n"/>
      <c r="W103" s="27" t="n"/>
      <c r="X103" s="27" t="n"/>
      <c r="Y103" s="27" t="n"/>
      <c r="Z103" s="27" t="n"/>
      <c r="AA103" s="27" t="n"/>
      <c r="AB103" s="27" t="n"/>
      <c r="AC103" s="30" t="n"/>
      <c r="AD103" s="25" t="n"/>
      <c r="AE103" s="28">
        <f>IF(NOT(AND($A103&lt;&gt;"",OR($I103="",$I103="Active"))),"",IF(OR(IF(OR(ISNUMBER($Y103),$Y103="DNA"),$Y103,IF(OR(ISNUMBER($X103),$X103="DNA"),$X103,IF(OR(ISNUMBER($W103),$W103="DNA"),$W103,IF(OR(ISNUMBER($V103),$V103="DNA"),$V103,IF(OR(ISNUMBER($U103),$U103="DNA"),$U103,IF(OR(ISNUMBER($T103),$T103="DNA"),$T103,IF(OR(ISNUMBER($S103),$S103="DNA"),$S103,IF(OR(ISNUMBER($P103),$P103="DNA"),$P103,IF(OR(ISNUMBER($O103),$O103="DNA"),$O103,IF(OR(ISNUMBER($N103),$N103="DNA"),$N103,""))))))))))="DNA",AND(ISNUMBER(IF(OR(ISNUMBER($Y103),$Y103="DNA"),$Y103,IF(OR(ISNUMBER($X103),$X103="DNA"),$X103,IF(OR(ISNUMBER($W103),$W103="DNA"),$W103,IF(OR(ISNUMBER($V103),$V103="DNA"),$V103,IF(OR(ISNUMBER($U103),$U103="DNA"),$U103,IF(OR(ISNUMBER($T103),$T103="DNA"),$T103,IF(OR(ISNUMBER($S103),$S103="DNA"),$S103,IF(OR(ISNUMBER($P103),$P103="DNA"),$P103,IF(OR(ISNUMBER($O103),$O103="DNA"),$O103,IF(OR(ISNUMBER($N103),$N103="DNA"),$N103,""))))))))))),IF(OR(ISNUMBER($Y103),$Y103="DNA"),$Y103,IF(OR(ISNUMBER($X103),$X103="DNA"),$X103,IF(OR(ISNUMBER($W103),$W103="DNA"),$W103,IF(OR(ISNUMBER($V103),$V103="DNA"),$V103,IF(OR(ISNUMBER($U103),$U103="DNA"),$U103,IF(OR(ISNUMBER($T103),$T103="DNA"),$T103,IF(OR(ISNUMBER($S103),$S103="DNA"),$S103,IF(OR(ISNUMBER($P103),$P103="DNA"),$P103,IF(OR(ISNUMBER($O103),$O103="DNA"),$O103,IF(OR(ISNUMBER($N103),$N103="DNA"),$N103,""))))))))))&lt;TODAY())),1,0)+ISNUMBER($Q103)*($Q103&lt;TODAY())+ISNUMBER($R103)*($R103&lt;TODAY())+ISNUMBER($AA103)*($AA103&lt;TODAY())+ISNUMBER($AB103)*($AB103&lt;TODAY()))</f>
        <v/>
      </c>
    </row>
    <row r="104">
      <c r="A104" s="25" t="n"/>
      <c r="B104" s="26" t="n"/>
      <c r="C104" s="27" t="n"/>
      <c r="D104" s="25" t="n"/>
      <c r="E104" s="25" t="n"/>
      <c r="F104" s="25" t="n"/>
      <c r="G104" s="25" t="n"/>
      <c r="H104" s="27" t="n"/>
      <c r="I104" s="25" t="n"/>
      <c r="J104" s="28">
        <f>IF(OR(NOT(AND($A104&lt;&gt;"",OR($I104="",$I104="Active"))),$H104=""),"",INT((TODAY()-$H104+280)/7)&amp;"+"&amp;MOD(TODAY()-$H104+280,7))</f>
        <v/>
      </c>
      <c r="K104" s="28">
        <f>IF(NOT(AND($A104&lt;&gt;"",OR($I104="",$I104="Active"))),"",ISNUMBER($N104)*($N104&gt;=TODAY())*($N104&lt;=TODAY()+7)+ISNUMBER($O104)*($O104&gt;=TODAY())*($O104&lt;=TODAY()+7)+ISNUMBER($P104)*($P104&gt;=TODAY())*($P104&lt;=TODAY()+7)+ISNUMBER($S104)*($S104&gt;=TODAY())*($S104&lt;=TODAY()+7)+ISNUMBER($T104)*($T104&gt;=TODAY())*($T104&lt;=TODAY()+7)+ISNUMBER($U104)*($U104&gt;=TODAY())*($U104&lt;=TODAY()+7)+ISNUMBER($V104)*($V104&gt;=TODAY())*($V104&lt;=TODAY()+7)+ISNUMBER($W104)*($W104&gt;=TODAY())*($W104&lt;=TODAY()+7)+ISNUMBER($X104)*($X104&gt;=TODAY())*($X104&lt;=TODAY()+7)+ISNUMBER($Y104)*($Y104&gt;=TODAY())*($Y104&lt;=TODAY()+7)+ISNUMBER($Q104)*($Q104&gt;=TODAY())*($Q104&lt;=TODAY()+7)+ISNUMBER($R104)*($R104&gt;=TODAY())*($R104&lt;=TODAY()+7)+ISNUMBER($AA104)*($AA104&gt;=TODAY())*($AA104&lt;=TODAY()+7)+ISNUMBER($AB104)*($AB104&gt;=TODAY())*($AB104&lt;=TODAY()+7))</f>
        <v/>
      </c>
      <c r="L104" s="28">
        <f>IF(NOT(AND($A104&lt;&gt;"",OR($I104="",$I104="Active"))),"",IF($M104&lt;&gt;"",IF($N104=$M104,"Booking",IF($O104=$M104,"16/40",IF($P104=$M104,"25/40",IF($S104=$M104,"28/40",IF($T104=$M104,"31/40",IF($U104=$M104,"34/40",IF($V104=$M104,"36/40",IF($W104=$M104,"38/40",IF($X104=$M104,"40/40",IF($Y104=$M104,"41/40","")))))))))),IF(IF(OR(ISNUMBER($Y104),$Y104="DNA"),$Y104,IF(OR(ISNUMBER($X104),$X104="DNA"),$X104,IF(OR(ISNUMBER($W104),$W104="DNA"),$W104,IF(OR(ISNUMBER($V104),$V104="DNA"),$V104,IF(OR(ISNUMBER($U104),$U104="DNA"),$U104,IF(OR(ISNUMBER($T104),$T104="DNA"),$T104,IF(OR(ISNUMBER($S104),$S104="DNA"),$S104,IF(OR(ISNUMBER($P104),$P104="DNA"),$P104,IF(OR(ISNUMBER($O104),$O104="DNA"),$O104,IF(OR(ISNUMBER($N104),$N104="DNA"),$N104,""))))))))))="DNA","Rebook DNA",IF(ISNUMBER(IF(OR(ISNUMBER($Y104),$Y104="DNA"),$Y104,IF(OR(ISNUMBER($X104),$X104="DNA"),$X104,IF(OR(ISNUMBER($W104),$W104="DNA"),$W104,IF(OR(ISNUMBER($V104),$V104="DNA"),$V104,IF(OR(ISNUMBER($U104),$U104="DNA"),$U104,IF(OR(ISNUMBER($T104),$T104="DNA"),$T104,IF(OR(ISNUMBER($S104),$S104="DNA"),$S104,IF(OR(ISNUMBER($P104),$P104="DNA"),$P104,IF(OR(ISNUMBER($O104),$O104="DNA"),$O104,IF(OR(ISNUMBER($N104),$N104="DNA"),$N104,""))))))))))),IF(ISNUMBER($Y104),"Update status","Missed/not booked?"),""))))</f>
        <v/>
      </c>
      <c r="M104" s="29">
        <f>IF(NOT(AND($A104&lt;&gt;"",OR($I104="",$I104="Active"))),"",IF(MIN(IF(AND(ISNUMBER($N104),$N104&gt;=TODAY()),$N104,99999),IF(AND(ISNUMBER($O104),$O104&gt;=TODAY()),$O104,99999),IF(AND(ISNUMBER($P104),$P104&gt;=TODAY()),$P104,99999),IF(AND(ISNUMBER($S104),$S104&gt;=TODAY()),$S104,99999),IF(AND(ISNUMBER($T104),$T104&gt;=TODAY()),$T104,99999),IF(AND(ISNUMBER($U104),$U104&gt;=TODAY()),$U104,99999),IF(AND(ISNUMBER($V104),$V104&gt;=TODAY()),$V104,99999),IF(AND(ISNUMBER($W104),$W104&gt;=TODAY()),$W104,99999),IF(AND(ISNUMBER($X104),$X104&gt;=TODAY()),$X104,99999),IF(AND(ISNUMBER($Y104),$Y104&gt;=TODAY()),$Y104,99999))=99999,"",MIN(IF(AND(ISNUMBER($N104),$N104&gt;=TODAY()),$N104,99999),IF(AND(ISNUMBER($O104),$O104&gt;=TODAY()),$O104,99999),IF(AND(ISNUMBER($P104),$P104&gt;=TODAY()),$P104,99999),IF(AND(ISNUMBER($S104),$S104&gt;=TODAY()),$S104,99999),IF(AND(ISNUMBER($T104),$T104&gt;=TODAY()),$T104,99999),IF(AND(ISNUMBER($U104),$U104&gt;=TODAY()),$U104,99999),IF(AND(ISNUMBER($V104),$V104&gt;=TODAY()),$V104,99999),IF(AND(ISNUMBER($W104),$W104&gt;=TODAY()),$W104,99999),IF(AND(ISNUMBER($X104),$X104&gt;=TODAY()),$X104,99999),IF(AND(ISNUMBER($Y104),$Y104&gt;=TODAY()),$Y104,99999))))</f>
        <v/>
      </c>
      <c r="N104" s="27" t="n"/>
      <c r="O104" s="27" t="n"/>
      <c r="P104" s="27" t="n"/>
      <c r="Q104" s="27" t="n"/>
      <c r="R104" s="27" t="n"/>
      <c r="S104" s="27" t="n"/>
      <c r="T104" s="27" t="n"/>
      <c r="U104" s="27" t="n"/>
      <c r="V104" s="27" t="n"/>
      <c r="W104" s="27" t="n"/>
      <c r="X104" s="27" t="n"/>
      <c r="Y104" s="27" t="n"/>
      <c r="Z104" s="27" t="n"/>
      <c r="AA104" s="27" t="n"/>
      <c r="AB104" s="27" t="n"/>
      <c r="AC104" s="30" t="n"/>
      <c r="AD104" s="25" t="n"/>
      <c r="AE104" s="28">
        <f>IF(NOT(AND($A104&lt;&gt;"",OR($I104="",$I104="Active"))),"",IF(OR(IF(OR(ISNUMBER($Y104),$Y104="DNA"),$Y104,IF(OR(ISNUMBER($X104),$X104="DNA"),$X104,IF(OR(ISNUMBER($W104),$W104="DNA"),$W104,IF(OR(ISNUMBER($V104),$V104="DNA"),$V104,IF(OR(ISNUMBER($U104),$U104="DNA"),$U104,IF(OR(ISNUMBER($T104),$T104="DNA"),$T104,IF(OR(ISNUMBER($S104),$S104="DNA"),$S104,IF(OR(ISNUMBER($P104),$P104="DNA"),$P104,IF(OR(ISNUMBER($O104),$O104="DNA"),$O104,IF(OR(ISNUMBER($N104),$N104="DNA"),$N104,""))))))))))="DNA",AND(ISNUMBER(IF(OR(ISNUMBER($Y104),$Y104="DNA"),$Y104,IF(OR(ISNUMBER($X104),$X104="DNA"),$X104,IF(OR(ISNUMBER($W104),$W104="DNA"),$W104,IF(OR(ISNUMBER($V104),$V104="DNA"),$V104,IF(OR(ISNUMBER($U104),$U104="DNA"),$U104,IF(OR(ISNUMBER($T104),$T104="DNA"),$T104,IF(OR(ISNUMBER($S104),$S104="DNA"),$S104,IF(OR(ISNUMBER($P104),$P104="DNA"),$P104,IF(OR(ISNUMBER($O104),$O104="DNA"),$O104,IF(OR(ISNUMBER($N104),$N104="DNA"),$N104,""))))))))))),IF(OR(ISNUMBER($Y104),$Y104="DNA"),$Y104,IF(OR(ISNUMBER($X104),$X104="DNA"),$X104,IF(OR(ISNUMBER($W104),$W104="DNA"),$W104,IF(OR(ISNUMBER($V104),$V104="DNA"),$V104,IF(OR(ISNUMBER($U104),$U104="DNA"),$U104,IF(OR(ISNUMBER($T104),$T104="DNA"),$T104,IF(OR(ISNUMBER($S104),$S104="DNA"),$S104,IF(OR(ISNUMBER($P104),$P104="DNA"),$P104,IF(OR(ISNUMBER($O104),$O104="DNA"),$O104,IF(OR(ISNUMBER($N104),$N104="DNA"),$N104,""))))))))))&lt;TODAY())),1,0)+ISNUMBER($Q104)*($Q104&lt;TODAY())+ISNUMBER($R104)*($R104&lt;TODAY())+ISNUMBER($AA104)*($AA104&lt;TODAY())+ISNUMBER($AB104)*($AB104&lt;TODAY()))</f>
        <v/>
      </c>
    </row>
    <row r="105">
      <c r="A105" s="25" t="n"/>
      <c r="B105" s="26" t="n"/>
      <c r="C105" s="27" t="n"/>
      <c r="D105" s="25" t="n"/>
      <c r="E105" s="25" t="n"/>
      <c r="F105" s="25" t="n"/>
      <c r="G105" s="25" t="n"/>
      <c r="H105" s="27" t="n"/>
      <c r="I105" s="25" t="n"/>
      <c r="J105" s="28">
        <f>IF(OR(NOT(AND($A105&lt;&gt;"",OR($I105="",$I105="Active"))),$H105=""),"",INT((TODAY()-$H105+280)/7)&amp;"+"&amp;MOD(TODAY()-$H105+280,7))</f>
        <v/>
      </c>
      <c r="K105" s="28">
        <f>IF(NOT(AND($A105&lt;&gt;"",OR($I105="",$I105="Active"))),"",ISNUMBER($N105)*($N105&gt;=TODAY())*($N105&lt;=TODAY()+7)+ISNUMBER($O105)*($O105&gt;=TODAY())*($O105&lt;=TODAY()+7)+ISNUMBER($P105)*($P105&gt;=TODAY())*($P105&lt;=TODAY()+7)+ISNUMBER($S105)*($S105&gt;=TODAY())*($S105&lt;=TODAY()+7)+ISNUMBER($T105)*($T105&gt;=TODAY())*($T105&lt;=TODAY()+7)+ISNUMBER($U105)*($U105&gt;=TODAY())*($U105&lt;=TODAY()+7)+ISNUMBER($V105)*($V105&gt;=TODAY())*($V105&lt;=TODAY()+7)+ISNUMBER($W105)*($W105&gt;=TODAY())*($W105&lt;=TODAY()+7)+ISNUMBER($X105)*($X105&gt;=TODAY())*($X105&lt;=TODAY()+7)+ISNUMBER($Y105)*($Y105&gt;=TODAY())*($Y105&lt;=TODAY()+7)+ISNUMBER($Q105)*($Q105&gt;=TODAY())*($Q105&lt;=TODAY()+7)+ISNUMBER($R105)*($R105&gt;=TODAY())*($R105&lt;=TODAY()+7)+ISNUMBER($AA105)*($AA105&gt;=TODAY())*($AA105&lt;=TODAY()+7)+ISNUMBER($AB105)*($AB105&gt;=TODAY())*($AB105&lt;=TODAY()+7))</f>
        <v/>
      </c>
      <c r="L105" s="28">
        <f>IF(NOT(AND($A105&lt;&gt;"",OR($I105="",$I105="Active"))),"",IF($M105&lt;&gt;"",IF($N105=$M105,"Booking",IF($O105=$M105,"16/40",IF($P105=$M105,"25/40",IF($S105=$M105,"28/40",IF($T105=$M105,"31/40",IF($U105=$M105,"34/40",IF($V105=$M105,"36/40",IF($W105=$M105,"38/40",IF($X105=$M105,"40/40",IF($Y105=$M105,"41/40","")))))))))),IF(IF(OR(ISNUMBER($Y105),$Y105="DNA"),$Y105,IF(OR(ISNUMBER($X105),$X105="DNA"),$X105,IF(OR(ISNUMBER($W105),$W105="DNA"),$W105,IF(OR(ISNUMBER($V105),$V105="DNA"),$V105,IF(OR(ISNUMBER($U105),$U105="DNA"),$U105,IF(OR(ISNUMBER($T105),$T105="DNA"),$T105,IF(OR(ISNUMBER($S105),$S105="DNA"),$S105,IF(OR(ISNUMBER($P105),$P105="DNA"),$P105,IF(OR(ISNUMBER($O105),$O105="DNA"),$O105,IF(OR(ISNUMBER($N105),$N105="DNA"),$N105,""))))))))))="DNA","Rebook DNA",IF(ISNUMBER(IF(OR(ISNUMBER($Y105),$Y105="DNA"),$Y105,IF(OR(ISNUMBER($X105),$X105="DNA"),$X105,IF(OR(ISNUMBER($W105),$W105="DNA"),$W105,IF(OR(ISNUMBER($V105),$V105="DNA"),$V105,IF(OR(ISNUMBER($U105),$U105="DNA"),$U105,IF(OR(ISNUMBER($T105),$T105="DNA"),$T105,IF(OR(ISNUMBER($S105),$S105="DNA"),$S105,IF(OR(ISNUMBER($P105),$P105="DNA"),$P105,IF(OR(ISNUMBER($O105),$O105="DNA"),$O105,IF(OR(ISNUMBER($N105),$N105="DNA"),$N105,""))))))))))),IF(ISNUMBER($Y105),"Update status","Missed/not booked?"),""))))</f>
        <v/>
      </c>
      <c r="M105" s="29">
        <f>IF(NOT(AND($A105&lt;&gt;"",OR($I105="",$I105="Active"))),"",IF(MIN(IF(AND(ISNUMBER($N105),$N105&gt;=TODAY()),$N105,99999),IF(AND(ISNUMBER($O105),$O105&gt;=TODAY()),$O105,99999),IF(AND(ISNUMBER($P105),$P105&gt;=TODAY()),$P105,99999),IF(AND(ISNUMBER($S105),$S105&gt;=TODAY()),$S105,99999),IF(AND(ISNUMBER($T105),$T105&gt;=TODAY()),$T105,99999),IF(AND(ISNUMBER($U105),$U105&gt;=TODAY()),$U105,99999),IF(AND(ISNUMBER($V105),$V105&gt;=TODAY()),$V105,99999),IF(AND(ISNUMBER($W105),$W105&gt;=TODAY()),$W105,99999),IF(AND(ISNUMBER($X105),$X105&gt;=TODAY()),$X105,99999),IF(AND(ISNUMBER($Y105),$Y105&gt;=TODAY()),$Y105,99999))=99999,"",MIN(IF(AND(ISNUMBER($N105),$N105&gt;=TODAY()),$N105,99999),IF(AND(ISNUMBER($O105),$O105&gt;=TODAY()),$O105,99999),IF(AND(ISNUMBER($P105),$P105&gt;=TODAY()),$P105,99999),IF(AND(ISNUMBER($S105),$S105&gt;=TODAY()),$S105,99999),IF(AND(ISNUMBER($T105),$T105&gt;=TODAY()),$T105,99999),IF(AND(ISNUMBER($U105),$U105&gt;=TODAY()),$U105,99999),IF(AND(ISNUMBER($V105),$V105&gt;=TODAY()),$V105,99999),IF(AND(ISNUMBER($W105),$W105&gt;=TODAY()),$W105,99999),IF(AND(ISNUMBER($X105),$X105&gt;=TODAY()),$X105,99999),IF(AND(ISNUMBER($Y105),$Y105&gt;=TODAY()),$Y105,99999))))</f>
        <v/>
      </c>
      <c r="N105" s="27" t="n"/>
      <c r="O105" s="27" t="n"/>
      <c r="P105" s="27" t="n"/>
      <c r="Q105" s="27" t="n"/>
      <c r="R105" s="27" t="n"/>
      <c r="S105" s="27" t="n"/>
      <c r="T105" s="27" t="n"/>
      <c r="U105" s="27" t="n"/>
      <c r="V105" s="27" t="n"/>
      <c r="W105" s="27" t="n"/>
      <c r="X105" s="27" t="n"/>
      <c r="Y105" s="27" t="n"/>
      <c r="Z105" s="27" t="n"/>
      <c r="AA105" s="27" t="n"/>
      <c r="AB105" s="27" t="n"/>
      <c r="AC105" s="30" t="n"/>
      <c r="AD105" s="25" t="n"/>
      <c r="AE105" s="28">
        <f>IF(NOT(AND($A105&lt;&gt;"",OR($I105="",$I105="Active"))),"",IF(OR(IF(OR(ISNUMBER($Y105),$Y105="DNA"),$Y105,IF(OR(ISNUMBER($X105),$X105="DNA"),$X105,IF(OR(ISNUMBER($W105),$W105="DNA"),$W105,IF(OR(ISNUMBER($V105),$V105="DNA"),$V105,IF(OR(ISNUMBER($U105),$U105="DNA"),$U105,IF(OR(ISNUMBER($T105),$T105="DNA"),$T105,IF(OR(ISNUMBER($S105),$S105="DNA"),$S105,IF(OR(ISNUMBER($P105),$P105="DNA"),$P105,IF(OR(ISNUMBER($O105),$O105="DNA"),$O105,IF(OR(ISNUMBER($N105),$N105="DNA"),$N105,""))))))))))="DNA",AND(ISNUMBER(IF(OR(ISNUMBER($Y105),$Y105="DNA"),$Y105,IF(OR(ISNUMBER($X105),$X105="DNA"),$X105,IF(OR(ISNUMBER($W105),$W105="DNA"),$W105,IF(OR(ISNUMBER($V105),$V105="DNA"),$V105,IF(OR(ISNUMBER($U105),$U105="DNA"),$U105,IF(OR(ISNUMBER($T105),$T105="DNA"),$T105,IF(OR(ISNUMBER($S105),$S105="DNA"),$S105,IF(OR(ISNUMBER($P105),$P105="DNA"),$P105,IF(OR(ISNUMBER($O105),$O105="DNA"),$O105,IF(OR(ISNUMBER($N105),$N105="DNA"),$N105,""))))))))))),IF(OR(ISNUMBER($Y105),$Y105="DNA"),$Y105,IF(OR(ISNUMBER($X105),$X105="DNA"),$X105,IF(OR(ISNUMBER($W105),$W105="DNA"),$W105,IF(OR(ISNUMBER($V105),$V105="DNA"),$V105,IF(OR(ISNUMBER($U105),$U105="DNA"),$U105,IF(OR(ISNUMBER($T105),$T105="DNA"),$T105,IF(OR(ISNUMBER($S105),$S105="DNA"),$S105,IF(OR(ISNUMBER($P105),$P105="DNA"),$P105,IF(OR(ISNUMBER($O105),$O105="DNA"),$O105,IF(OR(ISNUMBER($N105),$N105="DNA"),$N105,""))))))))))&lt;TODAY())),1,0)+ISNUMBER($Q105)*($Q105&lt;TODAY())+ISNUMBER($R105)*($R105&lt;TODAY())+ISNUMBER($AA105)*($AA105&lt;TODAY())+ISNUMBER($AB105)*($AB105&lt;TODAY()))</f>
        <v/>
      </c>
    </row>
    <row r="106">
      <c r="A106" s="25" t="n"/>
      <c r="B106" s="26" t="n"/>
      <c r="C106" s="27" t="n"/>
      <c r="D106" s="25" t="n"/>
      <c r="E106" s="25" t="n"/>
      <c r="F106" s="25" t="n"/>
      <c r="G106" s="25" t="n"/>
      <c r="H106" s="27" t="n"/>
      <c r="I106" s="25" t="n"/>
      <c r="J106" s="28">
        <f>IF(OR(NOT(AND($A106&lt;&gt;"",OR($I106="",$I106="Active"))),$H106=""),"",INT((TODAY()-$H106+280)/7)&amp;"+"&amp;MOD(TODAY()-$H106+280,7))</f>
        <v/>
      </c>
      <c r="K106" s="28">
        <f>IF(NOT(AND($A106&lt;&gt;"",OR($I106="",$I106="Active"))),"",ISNUMBER($N106)*($N106&gt;=TODAY())*($N106&lt;=TODAY()+7)+ISNUMBER($O106)*($O106&gt;=TODAY())*($O106&lt;=TODAY()+7)+ISNUMBER($P106)*($P106&gt;=TODAY())*($P106&lt;=TODAY()+7)+ISNUMBER($S106)*($S106&gt;=TODAY())*($S106&lt;=TODAY()+7)+ISNUMBER($T106)*($T106&gt;=TODAY())*($T106&lt;=TODAY()+7)+ISNUMBER($U106)*($U106&gt;=TODAY())*($U106&lt;=TODAY()+7)+ISNUMBER($V106)*($V106&gt;=TODAY())*($V106&lt;=TODAY()+7)+ISNUMBER($W106)*($W106&gt;=TODAY())*($W106&lt;=TODAY()+7)+ISNUMBER($X106)*($X106&gt;=TODAY())*($X106&lt;=TODAY()+7)+ISNUMBER($Y106)*($Y106&gt;=TODAY())*($Y106&lt;=TODAY()+7)+ISNUMBER($Q106)*($Q106&gt;=TODAY())*($Q106&lt;=TODAY()+7)+ISNUMBER($R106)*($R106&gt;=TODAY())*($R106&lt;=TODAY()+7)+ISNUMBER($AA106)*($AA106&gt;=TODAY())*($AA106&lt;=TODAY()+7)+ISNUMBER($AB106)*($AB106&gt;=TODAY())*($AB106&lt;=TODAY()+7))</f>
        <v/>
      </c>
      <c r="L106" s="28">
        <f>IF(NOT(AND($A106&lt;&gt;"",OR($I106="",$I106="Active"))),"",IF($M106&lt;&gt;"",IF($N106=$M106,"Booking",IF($O106=$M106,"16/40",IF($P106=$M106,"25/40",IF($S106=$M106,"28/40",IF($T106=$M106,"31/40",IF($U106=$M106,"34/40",IF($V106=$M106,"36/40",IF($W106=$M106,"38/40",IF($X106=$M106,"40/40",IF($Y106=$M106,"41/40","")))))))))),IF(IF(OR(ISNUMBER($Y106),$Y106="DNA"),$Y106,IF(OR(ISNUMBER($X106),$X106="DNA"),$X106,IF(OR(ISNUMBER($W106),$W106="DNA"),$W106,IF(OR(ISNUMBER($V106),$V106="DNA"),$V106,IF(OR(ISNUMBER($U106),$U106="DNA"),$U106,IF(OR(ISNUMBER($T106),$T106="DNA"),$T106,IF(OR(ISNUMBER($S106),$S106="DNA"),$S106,IF(OR(ISNUMBER($P106),$P106="DNA"),$P106,IF(OR(ISNUMBER($O106),$O106="DNA"),$O106,IF(OR(ISNUMBER($N106),$N106="DNA"),$N106,""))))))))))="DNA","Rebook DNA",IF(ISNUMBER(IF(OR(ISNUMBER($Y106),$Y106="DNA"),$Y106,IF(OR(ISNUMBER($X106),$X106="DNA"),$X106,IF(OR(ISNUMBER($W106),$W106="DNA"),$W106,IF(OR(ISNUMBER($V106),$V106="DNA"),$V106,IF(OR(ISNUMBER($U106),$U106="DNA"),$U106,IF(OR(ISNUMBER($T106),$T106="DNA"),$T106,IF(OR(ISNUMBER($S106),$S106="DNA"),$S106,IF(OR(ISNUMBER($P106),$P106="DNA"),$P106,IF(OR(ISNUMBER($O106),$O106="DNA"),$O106,IF(OR(ISNUMBER($N106),$N106="DNA"),$N106,""))))))))))),IF(ISNUMBER($Y106),"Update status","Missed/not booked?"),""))))</f>
        <v/>
      </c>
      <c r="M106" s="29">
        <f>IF(NOT(AND($A106&lt;&gt;"",OR($I106="",$I106="Active"))),"",IF(MIN(IF(AND(ISNUMBER($N106),$N106&gt;=TODAY()),$N106,99999),IF(AND(ISNUMBER($O106),$O106&gt;=TODAY()),$O106,99999),IF(AND(ISNUMBER($P106),$P106&gt;=TODAY()),$P106,99999),IF(AND(ISNUMBER($S106),$S106&gt;=TODAY()),$S106,99999),IF(AND(ISNUMBER($T106),$T106&gt;=TODAY()),$T106,99999),IF(AND(ISNUMBER($U106),$U106&gt;=TODAY()),$U106,99999),IF(AND(ISNUMBER($V106),$V106&gt;=TODAY()),$V106,99999),IF(AND(ISNUMBER($W106),$W106&gt;=TODAY()),$W106,99999),IF(AND(ISNUMBER($X106),$X106&gt;=TODAY()),$X106,99999),IF(AND(ISNUMBER($Y106),$Y106&gt;=TODAY()),$Y106,99999))=99999,"",MIN(IF(AND(ISNUMBER($N106),$N106&gt;=TODAY()),$N106,99999),IF(AND(ISNUMBER($O106),$O106&gt;=TODAY()),$O106,99999),IF(AND(ISNUMBER($P106),$P106&gt;=TODAY()),$P106,99999),IF(AND(ISNUMBER($S106),$S106&gt;=TODAY()),$S106,99999),IF(AND(ISNUMBER($T106),$T106&gt;=TODAY()),$T106,99999),IF(AND(ISNUMBER($U106),$U106&gt;=TODAY()),$U106,99999),IF(AND(ISNUMBER($V106),$V106&gt;=TODAY()),$V106,99999),IF(AND(ISNUMBER($W106),$W106&gt;=TODAY()),$W106,99999),IF(AND(ISNUMBER($X106),$X106&gt;=TODAY()),$X106,99999),IF(AND(ISNUMBER($Y106),$Y106&gt;=TODAY()),$Y106,99999))))</f>
        <v/>
      </c>
      <c r="N106" s="27" t="n"/>
      <c r="O106" s="27" t="n"/>
      <c r="P106" s="27" t="n"/>
      <c r="Q106" s="27" t="n"/>
      <c r="R106" s="27" t="n"/>
      <c r="S106" s="27" t="n"/>
      <c r="T106" s="27" t="n"/>
      <c r="U106" s="27" t="n"/>
      <c r="V106" s="27" t="n"/>
      <c r="W106" s="27" t="n"/>
      <c r="X106" s="27" t="n"/>
      <c r="Y106" s="27" t="n"/>
      <c r="Z106" s="27" t="n"/>
      <c r="AA106" s="27" t="n"/>
      <c r="AB106" s="27" t="n"/>
      <c r="AC106" s="30" t="n"/>
      <c r="AD106" s="25" t="n"/>
      <c r="AE106" s="28">
        <f>IF(NOT(AND($A106&lt;&gt;"",OR($I106="",$I106="Active"))),"",IF(OR(IF(OR(ISNUMBER($Y106),$Y106="DNA"),$Y106,IF(OR(ISNUMBER($X106),$X106="DNA"),$X106,IF(OR(ISNUMBER($W106),$W106="DNA"),$W106,IF(OR(ISNUMBER($V106),$V106="DNA"),$V106,IF(OR(ISNUMBER($U106),$U106="DNA"),$U106,IF(OR(ISNUMBER($T106),$T106="DNA"),$T106,IF(OR(ISNUMBER($S106),$S106="DNA"),$S106,IF(OR(ISNUMBER($P106),$P106="DNA"),$P106,IF(OR(ISNUMBER($O106),$O106="DNA"),$O106,IF(OR(ISNUMBER($N106),$N106="DNA"),$N106,""))))))))))="DNA",AND(ISNUMBER(IF(OR(ISNUMBER($Y106),$Y106="DNA"),$Y106,IF(OR(ISNUMBER($X106),$X106="DNA"),$X106,IF(OR(ISNUMBER($W106),$W106="DNA"),$W106,IF(OR(ISNUMBER($V106),$V106="DNA"),$V106,IF(OR(ISNUMBER($U106),$U106="DNA"),$U106,IF(OR(ISNUMBER($T106),$T106="DNA"),$T106,IF(OR(ISNUMBER($S106),$S106="DNA"),$S106,IF(OR(ISNUMBER($P106),$P106="DNA"),$P106,IF(OR(ISNUMBER($O106),$O106="DNA"),$O106,IF(OR(ISNUMBER($N106),$N106="DNA"),$N106,""))))))))))),IF(OR(ISNUMBER($Y106),$Y106="DNA"),$Y106,IF(OR(ISNUMBER($X106),$X106="DNA"),$X106,IF(OR(ISNUMBER($W106),$W106="DNA"),$W106,IF(OR(ISNUMBER($V106),$V106="DNA"),$V106,IF(OR(ISNUMBER($U106),$U106="DNA"),$U106,IF(OR(ISNUMBER($T106),$T106="DNA"),$T106,IF(OR(ISNUMBER($S106),$S106="DNA"),$S106,IF(OR(ISNUMBER($P106),$P106="DNA"),$P106,IF(OR(ISNUMBER($O106),$O106="DNA"),$O106,IF(OR(ISNUMBER($N106),$N106="DNA"),$N106,""))))))))))&lt;TODAY())),1,0)+ISNUMBER($Q106)*($Q106&lt;TODAY())+ISNUMBER($R106)*($R106&lt;TODAY())+ISNUMBER($AA106)*($AA106&lt;TODAY())+ISNUMBER($AB106)*($AB106&lt;TODAY()))</f>
        <v/>
      </c>
    </row>
    <row r="107">
      <c r="A107" s="25" t="n"/>
      <c r="B107" s="26" t="n"/>
      <c r="C107" s="27" t="n"/>
      <c r="D107" s="25" t="n"/>
      <c r="E107" s="25" t="n"/>
      <c r="F107" s="25" t="n"/>
      <c r="G107" s="25" t="n"/>
      <c r="H107" s="27" t="n"/>
      <c r="I107" s="25" t="n"/>
      <c r="J107" s="28">
        <f>IF(OR(NOT(AND($A107&lt;&gt;"",OR($I107="",$I107="Active"))),$H107=""),"",INT((TODAY()-$H107+280)/7)&amp;"+"&amp;MOD(TODAY()-$H107+280,7))</f>
        <v/>
      </c>
      <c r="K107" s="28">
        <f>IF(NOT(AND($A107&lt;&gt;"",OR($I107="",$I107="Active"))),"",ISNUMBER($N107)*($N107&gt;=TODAY())*($N107&lt;=TODAY()+7)+ISNUMBER($O107)*($O107&gt;=TODAY())*($O107&lt;=TODAY()+7)+ISNUMBER($P107)*($P107&gt;=TODAY())*($P107&lt;=TODAY()+7)+ISNUMBER($S107)*($S107&gt;=TODAY())*($S107&lt;=TODAY()+7)+ISNUMBER($T107)*($T107&gt;=TODAY())*($T107&lt;=TODAY()+7)+ISNUMBER($U107)*($U107&gt;=TODAY())*($U107&lt;=TODAY()+7)+ISNUMBER($V107)*($V107&gt;=TODAY())*($V107&lt;=TODAY()+7)+ISNUMBER($W107)*($W107&gt;=TODAY())*($W107&lt;=TODAY()+7)+ISNUMBER($X107)*($X107&gt;=TODAY())*($X107&lt;=TODAY()+7)+ISNUMBER($Y107)*($Y107&gt;=TODAY())*($Y107&lt;=TODAY()+7)+ISNUMBER($Q107)*($Q107&gt;=TODAY())*($Q107&lt;=TODAY()+7)+ISNUMBER($R107)*($R107&gt;=TODAY())*($R107&lt;=TODAY()+7)+ISNUMBER($AA107)*($AA107&gt;=TODAY())*($AA107&lt;=TODAY()+7)+ISNUMBER($AB107)*($AB107&gt;=TODAY())*($AB107&lt;=TODAY()+7))</f>
        <v/>
      </c>
      <c r="L107" s="28">
        <f>IF(NOT(AND($A107&lt;&gt;"",OR($I107="",$I107="Active"))),"",IF($M107&lt;&gt;"",IF($N107=$M107,"Booking",IF($O107=$M107,"16/40",IF($P107=$M107,"25/40",IF($S107=$M107,"28/40",IF($T107=$M107,"31/40",IF($U107=$M107,"34/40",IF($V107=$M107,"36/40",IF($W107=$M107,"38/40",IF($X107=$M107,"40/40",IF($Y107=$M107,"41/40","")))))))))),IF(IF(OR(ISNUMBER($Y107),$Y107="DNA"),$Y107,IF(OR(ISNUMBER($X107),$X107="DNA"),$X107,IF(OR(ISNUMBER($W107),$W107="DNA"),$W107,IF(OR(ISNUMBER($V107),$V107="DNA"),$V107,IF(OR(ISNUMBER($U107),$U107="DNA"),$U107,IF(OR(ISNUMBER($T107),$T107="DNA"),$T107,IF(OR(ISNUMBER($S107),$S107="DNA"),$S107,IF(OR(ISNUMBER($P107),$P107="DNA"),$P107,IF(OR(ISNUMBER($O107),$O107="DNA"),$O107,IF(OR(ISNUMBER($N107),$N107="DNA"),$N107,""))))))))))="DNA","Rebook DNA",IF(ISNUMBER(IF(OR(ISNUMBER($Y107),$Y107="DNA"),$Y107,IF(OR(ISNUMBER($X107),$X107="DNA"),$X107,IF(OR(ISNUMBER($W107),$W107="DNA"),$W107,IF(OR(ISNUMBER($V107),$V107="DNA"),$V107,IF(OR(ISNUMBER($U107),$U107="DNA"),$U107,IF(OR(ISNUMBER($T107),$T107="DNA"),$T107,IF(OR(ISNUMBER($S107),$S107="DNA"),$S107,IF(OR(ISNUMBER($P107),$P107="DNA"),$P107,IF(OR(ISNUMBER($O107),$O107="DNA"),$O107,IF(OR(ISNUMBER($N107),$N107="DNA"),$N107,""))))))))))),IF(ISNUMBER($Y107),"Update status","Missed/not booked?"),""))))</f>
        <v/>
      </c>
      <c r="M107" s="29">
        <f>IF(NOT(AND($A107&lt;&gt;"",OR($I107="",$I107="Active"))),"",IF(MIN(IF(AND(ISNUMBER($N107),$N107&gt;=TODAY()),$N107,99999),IF(AND(ISNUMBER($O107),$O107&gt;=TODAY()),$O107,99999),IF(AND(ISNUMBER($P107),$P107&gt;=TODAY()),$P107,99999),IF(AND(ISNUMBER($S107),$S107&gt;=TODAY()),$S107,99999),IF(AND(ISNUMBER($T107),$T107&gt;=TODAY()),$T107,99999),IF(AND(ISNUMBER($U107),$U107&gt;=TODAY()),$U107,99999),IF(AND(ISNUMBER($V107),$V107&gt;=TODAY()),$V107,99999),IF(AND(ISNUMBER($W107),$W107&gt;=TODAY()),$W107,99999),IF(AND(ISNUMBER($X107),$X107&gt;=TODAY()),$X107,99999),IF(AND(ISNUMBER($Y107),$Y107&gt;=TODAY()),$Y107,99999))=99999,"",MIN(IF(AND(ISNUMBER($N107),$N107&gt;=TODAY()),$N107,99999),IF(AND(ISNUMBER($O107),$O107&gt;=TODAY()),$O107,99999),IF(AND(ISNUMBER($P107),$P107&gt;=TODAY()),$P107,99999),IF(AND(ISNUMBER($S107),$S107&gt;=TODAY()),$S107,99999),IF(AND(ISNUMBER($T107),$T107&gt;=TODAY()),$T107,99999),IF(AND(ISNUMBER($U107),$U107&gt;=TODAY()),$U107,99999),IF(AND(ISNUMBER($V107),$V107&gt;=TODAY()),$V107,99999),IF(AND(ISNUMBER($W107),$W107&gt;=TODAY()),$W107,99999),IF(AND(ISNUMBER($X107),$X107&gt;=TODAY()),$X107,99999),IF(AND(ISNUMBER($Y107),$Y107&gt;=TODAY()),$Y107,99999))))</f>
        <v/>
      </c>
      <c r="N107" s="27" t="n"/>
      <c r="O107" s="27" t="n"/>
      <c r="P107" s="27" t="n"/>
      <c r="Q107" s="27" t="n"/>
      <c r="R107" s="27" t="n"/>
      <c r="S107" s="27" t="n"/>
      <c r="T107" s="27" t="n"/>
      <c r="U107" s="27" t="n"/>
      <c r="V107" s="27" t="n"/>
      <c r="W107" s="27" t="n"/>
      <c r="X107" s="27" t="n"/>
      <c r="Y107" s="27" t="n"/>
      <c r="Z107" s="27" t="n"/>
      <c r="AA107" s="27" t="n"/>
      <c r="AB107" s="27" t="n"/>
      <c r="AC107" s="30" t="n"/>
      <c r="AD107" s="25" t="n"/>
      <c r="AE107" s="28">
        <f>IF(NOT(AND($A107&lt;&gt;"",OR($I107="",$I107="Active"))),"",IF(OR(IF(OR(ISNUMBER($Y107),$Y107="DNA"),$Y107,IF(OR(ISNUMBER($X107),$X107="DNA"),$X107,IF(OR(ISNUMBER($W107),$W107="DNA"),$W107,IF(OR(ISNUMBER($V107),$V107="DNA"),$V107,IF(OR(ISNUMBER($U107),$U107="DNA"),$U107,IF(OR(ISNUMBER($T107),$T107="DNA"),$T107,IF(OR(ISNUMBER($S107),$S107="DNA"),$S107,IF(OR(ISNUMBER($P107),$P107="DNA"),$P107,IF(OR(ISNUMBER($O107),$O107="DNA"),$O107,IF(OR(ISNUMBER($N107),$N107="DNA"),$N107,""))))))))))="DNA",AND(ISNUMBER(IF(OR(ISNUMBER($Y107),$Y107="DNA"),$Y107,IF(OR(ISNUMBER($X107),$X107="DNA"),$X107,IF(OR(ISNUMBER($W107),$W107="DNA"),$W107,IF(OR(ISNUMBER($V107),$V107="DNA"),$V107,IF(OR(ISNUMBER($U107),$U107="DNA"),$U107,IF(OR(ISNUMBER($T107),$T107="DNA"),$T107,IF(OR(ISNUMBER($S107),$S107="DNA"),$S107,IF(OR(ISNUMBER($P107),$P107="DNA"),$P107,IF(OR(ISNUMBER($O107),$O107="DNA"),$O107,IF(OR(ISNUMBER($N107),$N107="DNA"),$N107,""))))))))))),IF(OR(ISNUMBER($Y107),$Y107="DNA"),$Y107,IF(OR(ISNUMBER($X107),$X107="DNA"),$X107,IF(OR(ISNUMBER($W107),$W107="DNA"),$W107,IF(OR(ISNUMBER($V107),$V107="DNA"),$V107,IF(OR(ISNUMBER($U107),$U107="DNA"),$U107,IF(OR(ISNUMBER($T107),$T107="DNA"),$T107,IF(OR(ISNUMBER($S107),$S107="DNA"),$S107,IF(OR(ISNUMBER($P107),$P107="DNA"),$P107,IF(OR(ISNUMBER($O107),$O107="DNA"),$O107,IF(OR(ISNUMBER($N107),$N107="DNA"),$N107,""))))))))))&lt;TODAY())),1,0)+ISNUMBER($Q107)*($Q107&lt;TODAY())+ISNUMBER($R107)*($R107&lt;TODAY())+ISNUMBER($AA107)*($AA107&lt;TODAY())+ISNUMBER($AB107)*($AB107&lt;TODAY()))</f>
        <v/>
      </c>
    </row>
    <row r="108">
      <c r="A108" s="25" t="n"/>
      <c r="B108" s="26" t="n"/>
      <c r="C108" s="27" t="n"/>
      <c r="D108" s="25" t="n"/>
      <c r="E108" s="25" t="n"/>
      <c r="F108" s="25" t="n"/>
      <c r="G108" s="25" t="n"/>
      <c r="H108" s="27" t="n"/>
      <c r="I108" s="25" t="n"/>
      <c r="J108" s="28">
        <f>IF(OR(NOT(AND($A108&lt;&gt;"",OR($I108="",$I108="Active"))),$H108=""),"",INT((TODAY()-$H108+280)/7)&amp;"+"&amp;MOD(TODAY()-$H108+280,7))</f>
        <v/>
      </c>
      <c r="K108" s="28">
        <f>IF(NOT(AND($A108&lt;&gt;"",OR($I108="",$I108="Active"))),"",ISNUMBER($N108)*($N108&gt;=TODAY())*($N108&lt;=TODAY()+7)+ISNUMBER($O108)*($O108&gt;=TODAY())*($O108&lt;=TODAY()+7)+ISNUMBER($P108)*($P108&gt;=TODAY())*($P108&lt;=TODAY()+7)+ISNUMBER($S108)*($S108&gt;=TODAY())*($S108&lt;=TODAY()+7)+ISNUMBER($T108)*($T108&gt;=TODAY())*($T108&lt;=TODAY()+7)+ISNUMBER($U108)*($U108&gt;=TODAY())*($U108&lt;=TODAY()+7)+ISNUMBER($V108)*($V108&gt;=TODAY())*($V108&lt;=TODAY()+7)+ISNUMBER($W108)*($W108&gt;=TODAY())*($W108&lt;=TODAY()+7)+ISNUMBER($X108)*($X108&gt;=TODAY())*($X108&lt;=TODAY()+7)+ISNUMBER($Y108)*($Y108&gt;=TODAY())*($Y108&lt;=TODAY()+7)+ISNUMBER($Q108)*($Q108&gt;=TODAY())*($Q108&lt;=TODAY()+7)+ISNUMBER($R108)*($R108&gt;=TODAY())*($R108&lt;=TODAY()+7)+ISNUMBER($AA108)*($AA108&gt;=TODAY())*($AA108&lt;=TODAY()+7)+ISNUMBER($AB108)*($AB108&gt;=TODAY())*($AB108&lt;=TODAY()+7))</f>
        <v/>
      </c>
      <c r="L108" s="28">
        <f>IF(NOT(AND($A108&lt;&gt;"",OR($I108="",$I108="Active"))),"",IF($M108&lt;&gt;"",IF($N108=$M108,"Booking",IF($O108=$M108,"16/40",IF($P108=$M108,"25/40",IF($S108=$M108,"28/40",IF($T108=$M108,"31/40",IF($U108=$M108,"34/40",IF($V108=$M108,"36/40",IF($W108=$M108,"38/40",IF($X108=$M108,"40/40",IF($Y108=$M108,"41/40","")))))))))),IF(IF(OR(ISNUMBER($Y108),$Y108="DNA"),$Y108,IF(OR(ISNUMBER($X108),$X108="DNA"),$X108,IF(OR(ISNUMBER($W108),$W108="DNA"),$W108,IF(OR(ISNUMBER($V108),$V108="DNA"),$V108,IF(OR(ISNUMBER($U108),$U108="DNA"),$U108,IF(OR(ISNUMBER($T108),$T108="DNA"),$T108,IF(OR(ISNUMBER($S108),$S108="DNA"),$S108,IF(OR(ISNUMBER($P108),$P108="DNA"),$P108,IF(OR(ISNUMBER($O108),$O108="DNA"),$O108,IF(OR(ISNUMBER($N108),$N108="DNA"),$N108,""))))))))))="DNA","Rebook DNA",IF(ISNUMBER(IF(OR(ISNUMBER($Y108),$Y108="DNA"),$Y108,IF(OR(ISNUMBER($X108),$X108="DNA"),$X108,IF(OR(ISNUMBER($W108),$W108="DNA"),$W108,IF(OR(ISNUMBER($V108),$V108="DNA"),$V108,IF(OR(ISNUMBER($U108),$U108="DNA"),$U108,IF(OR(ISNUMBER($T108),$T108="DNA"),$T108,IF(OR(ISNUMBER($S108),$S108="DNA"),$S108,IF(OR(ISNUMBER($P108),$P108="DNA"),$P108,IF(OR(ISNUMBER($O108),$O108="DNA"),$O108,IF(OR(ISNUMBER($N108),$N108="DNA"),$N108,""))))))))))),IF(ISNUMBER($Y108),"Update status","Missed/not booked?"),""))))</f>
        <v/>
      </c>
      <c r="M108" s="29">
        <f>IF(NOT(AND($A108&lt;&gt;"",OR($I108="",$I108="Active"))),"",IF(MIN(IF(AND(ISNUMBER($N108),$N108&gt;=TODAY()),$N108,99999),IF(AND(ISNUMBER($O108),$O108&gt;=TODAY()),$O108,99999),IF(AND(ISNUMBER($P108),$P108&gt;=TODAY()),$P108,99999),IF(AND(ISNUMBER($S108),$S108&gt;=TODAY()),$S108,99999),IF(AND(ISNUMBER($T108),$T108&gt;=TODAY()),$T108,99999),IF(AND(ISNUMBER($U108),$U108&gt;=TODAY()),$U108,99999),IF(AND(ISNUMBER($V108),$V108&gt;=TODAY()),$V108,99999),IF(AND(ISNUMBER($W108),$W108&gt;=TODAY()),$W108,99999),IF(AND(ISNUMBER($X108),$X108&gt;=TODAY()),$X108,99999),IF(AND(ISNUMBER($Y108),$Y108&gt;=TODAY()),$Y108,99999))=99999,"",MIN(IF(AND(ISNUMBER($N108),$N108&gt;=TODAY()),$N108,99999),IF(AND(ISNUMBER($O108),$O108&gt;=TODAY()),$O108,99999),IF(AND(ISNUMBER($P108),$P108&gt;=TODAY()),$P108,99999),IF(AND(ISNUMBER($S108),$S108&gt;=TODAY()),$S108,99999),IF(AND(ISNUMBER($T108),$T108&gt;=TODAY()),$T108,99999),IF(AND(ISNUMBER($U108),$U108&gt;=TODAY()),$U108,99999),IF(AND(ISNUMBER($V108),$V108&gt;=TODAY()),$V108,99999),IF(AND(ISNUMBER($W108),$W108&gt;=TODAY()),$W108,99999),IF(AND(ISNUMBER($X108),$X108&gt;=TODAY()),$X108,99999),IF(AND(ISNUMBER($Y108),$Y108&gt;=TODAY()),$Y108,99999))))</f>
        <v/>
      </c>
      <c r="N108" s="27" t="n"/>
      <c r="O108" s="27" t="n"/>
      <c r="P108" s="27" t="n"/>
      <c r="Q108" s="27" t="n"/>
      <c r="R108" s="27" t="n"/>
      <c r="S108" s="27" t="n"/>
      <c r="T108" s="27" t="n"/>
      <c r="U108" s="27" t="n"/>
      <c r="V108" s="27" t="n"/>
      <c r="W108" s="27" t="n"/>
      <c r="X108" s="27" t="n"/>
      <c r="Y108" s="27" t="n"/>
      <c r="Z108" s="27" t="n"/>
      <c r="AA108" s="27" t="n"/>
      <c r="AB108" s="27" t="n"/>
      <c r="AC108" s="30" t="n"/>
      <c r="AD108" s="25" t="n"/>
      <c r="AE108" s="28">
        <f>IF(NOT(AND($A108&lt;&gt;"",OR($I108="",$I108="Active"))),"",IF(OR(IF(OR(ISNUMBER($Y108),$Y108="DNA"),$Y108,IF(OR(ISNUMBER($X108),$X108="DNA"),$X108,IF(OR(ISNUMBER($W108),$W108="DNA"),$W108,IF(OR(ISNUMBER($V108),$V108="DNA"),$V108,IF(OR(ISNUMBER($U108),$U108="DNA"),$U108,IF(OR(ISNUMBER($T108),$T108="DNA"),$T108,IF(OR(ISNUMBER($S108),$S108="DNA"),$S108,IF(OR(ISNUMBER($P108),$P108="DNA"),$P108,IF(OR(ISNUMBER($O108),$O108="DNA"),$O108,IF(OR(ISNUMBER($N108),$N108="DNA"),$N108,""))))))))))="DNA",AND(ISNUMBER(IF(OR(ISNUMBER($Y108),$Y108="DNA"),$Y108,IF(OR(ISNUMBER($X108),$X108="DNA"),$X108,IF(OR(ISNUMBER($W108),$W108="DNA"),$W108,IF(OR(ISNUMBER($V108),$V108="DNA"),$V108,IF(OR(ISNUMBER($U108),$U108="DNA"),$U108,IF(OR(ISNUMBER($T108),$T108="DNA"),$T108,IF(OR(ISNUMBER($S108),$S108="DNA"),$S108,IF(OR(ISNUMBER($P108),$P108="DNA"),$P108,IF(OR(ISNUMBER($O108),$O108="DNA"),$O108,IF(OR(ISNUMBER($N108),$N108="DNA"),$N108,""))))))))))),IF(OR(ISNUMBER($Y108),$Y108="DNA"),$Y108,IF(OR(ISNUMBER($X108),$X108="DNA"),$X108,IF(OR(ISNUMBER($W108),$W108="DNA"),$W108,IF(OR(ISNUMBER($V108),$V108="DNA"),$V108,IF(OR(ISNUMBER($U108),$U108="DNA"),$U108,IF(OR(ISNUMBER($T108),$T108="DNA"),$T108,IF(OR(ISNUMBER($S108),$S108="DNA"),$S108,IF(OR(ISNUMBER($P108),$P108="DNA"),$P108,IF(OR(ISNUMBER($O108),$O108="DNA"),$O108,IF(OR(ISNUMBER($N108),$N108="DNA"),$N108,""))))))))))&lt;TODAY())),1,0)+ISNUMBER($Q108)*($Q108&lt;TODAY())+ISNUMBER($R108)*($R108&lt;TODAY())+ISNUMBER($AA108)*($AA108&lt;TODAY())+ISNUMBER($AB108)*($AB108&lt;TODAY()))</f>
        <v/>
      </c>
    </row>
    <row r="109">
      <c r="A109" s="25" t="n"/>
      <c r="B109" s="26" t="n"/>
      <c r="C109" s="27" t="n"/>
      <c r="D109" s="25" t="n"/>
      <c r="E109" s="25" t="n"/>
      <c r="F109" s="25" t="n"/>
      <c r="G109" s="25" t="n"/>
      <c r="H109" s="27" t="n"/>
      <c r="I109" s="25" t="n"/>
      <c r="J109" s="28">
        <f>IF(OR(NOT(AND($A109&lt;&gt;"",OR($I109="",$I109="Active"))),$H109=""),"",INT((TODAY()-$H109+280)/7)&amp;"+"&amp;MOD(TODAY()-$H109+280,7))</f>
        <v/>
      </c>
      <c r="K109" s="28">
        <f>IF(NOT(AND($A109&lt;&gt;"",OR($I109="",$I109="Active"))),"",ISNUMBER($N109)*($N109&gt;=TODAY())*($N109&lt;=TODAY()+7)+ISNUMBER($O109)*($O109&gt;=TODAY())*($O109&lt;=TODAY()+7)+ISNUMBER($P109)*($P109&gt;=TODAY())*($P109&lt;=TODAY()+7)+ISNUMBER($S109)*($S109&gt;=TODAY())*($S109&lt;=TODAY()+7)+ISNUMBER($T109)*($T109&gt;=TODAY())*($T109&lt;=TODAY()+7)+ISNUMBER($U109)*($U109&gt;=TODAY())*($U109&lt;=TODAY()+7)+ISNUMBER($V109)*($V109&gt;=TODAY())*($V109&lt;=TODAY()+7)+ISNUMBER($W109)*($W109&gt;=TODAY())*($W109&lt;=TODAY()+7)+ISNUMBER($X109)*($X109&gt;=TODAY())*($X109&lt;=TODAY()+7)+ISNUMBER($Y109)*($Y109&gt;=TODAY())*($Y109&lt;=TODAY()+7)+ISNUMBER($Q109)*($Q109&gt;=TODAY())*($Q109&lt;=TODAY()+7)+ISNUMBER($R109)*($R109&gt;=TODAY())*($R109&lt;=TODAY()+7)+ISNUMBER($AA109)*($AA109&gt;=TODAY())*($AA109&lt;=TODAY()+7)+ISNUMBER($AB109)*($AB109&gt;=TODAY())*($AB109&lt;=TODAY()+7))</f>
        <v/>
      </c>
      <c r="L109" s="28">
        <f>IF(NOT(AND($A109&lt;&gt;"",OR($I109="",$I109="Active"))),"",IF($M109&lt;&gt;"",IF($N109=$M109,"Booking",IF($O109=$M109,"16/40",IF($P109=$M109,"25/40",IF($S109=$M109,"28/40",IF($T109=$M109,"31/40",IF($U109=$M109,"34/40",IF($V109=$M109,"36/40",IF($W109=$M109,"38/40",IF($X109=$M109,"40/40",IF($Y109=$M109,"41/40","")))))))))),IF(IF(OR(ISNUMBER($Y109),$Y109="DNA"),$Y109,IF(OR(ISNUMBER($X109),$X109="DNA"),$X109,IF(OR(ISNUMBER($W109),$W109="DNA"),$W109,IF(OR(ISNUMBER($V109),$V109="DNA"),$V109,IF(OR(ISNUMBER($U109),$U109="DNA"),$U109,IF(OR(ISNUMBER($T109),$T109="DNA"),$T109,IF(OR(ISNUMBER($S109),$S109="DNA"),$S109,IF(OR(ISNUMBER($P109),$P109="DNA"),$P109,IF(OR(ISNUMBER($O109),$O109="DNA"),$O109,IF(OR(ISNUMBER($N109),$N109="DNA"),$N109,""))))))))))="DNA","Rebook DNA",IF(ISNUMBER(IF(OR(ISNUMBER($Y109),$Y109="DNA"),$Y109,IF(OR(ISNUMBER($X109),$X109="DNA"),$X109,IF(OR(ISNUMBER($W109),$W109="DNA"),$W109,IF(OR(ISNUMBER($V109),$V109="DNA"),$V109,IF(OR(ISNUMBER($U109),$U109="DNA"),$U109,IF(OR(ISNUMBER($T109),$T109="DNA"),$T109,IF(OR(ISNUMBER($S109),$S109="DNA"),$S109,IF(OR(ISNUMBER($P109),$P109="DNA"),$P109,IF(OR(ISNUMBER($O109),$O109="DNA"),$O109,IF(OR(ISNUMBER($N109),$N109="DNA"),$N109,""))))))))))),IF(ISNUMBER($Y109),"Update status","Missed/not booked?"),""))))</f>
        <v/>
      </c>
      <c r="M109" s="29">
        <f>IF(NOT(AND($A109&lt;&gt;"",OR($I109="",$I109="Active"))),"",IF(MIN(IF(AND(ISNUMBER($N109),$N109&gt;=TODAY()),$N109,99999),IF(AND(ISNUMBER($O109),$O109&gt;=TODAY()),$O109,99999),IF(AND(ISNUMBER($P109),$P109&gt;=TODAY()),$P109,99999),IF(AND(ISNUMBER($S109),$S109&gt;=TODAY()),$S109,99999),IF(AND(ISNUMBER($T109),$T109&gt;=TODAY()),$T109,99999),IF(AND(ISNUMBER($U109),$U109&gt;=TODAY()),$U109,99999),IF(AND(ISNUMBER($V109),$V109&gt;=TODAY()),$V109,99999),IF(AND(ISNUMBER($W109),$W109&gt;=TODAY()),$W109,99999),IF(AND(ISNUMBER($X109),$X109&gt;=TODAY()),$X109,99999),IF(AND(ISNUMBER($Y109),$Y109&gt;=TODAY()),$Y109,99999))=99999,"",MIN(IF(AND(ISNUMBER($N109),$N109&gt;=TODAY()),$N109,99999),IF(AND(ISNUMBER($O109),$O109&gt;=TODAY()),$O109,99999),IF(AND(ISNUMBER($P109),$P109&gt;=TODAY()),$P109,99999),IF(AND(ISNUMBER($S109),$S109&gt;=TODAY()),$S109,99999),IF(AND(ISNUMBER($T109),$T109&gt;=TODAY()),$T109,99999),IF(AND(ISNUMBER($U109),$U109&gt;=TODAY()),$U109,99999),IF(AND(ISNUMBER($V109),$V109&gt;=TODAY()),$V109,99999),IF(AND(ISNUMBER($W109),$W109&gt;=TODAY()),$W109,99999),IF(AND(ISNUMBER($X109),$X109&gt;=TODAY()),$X109,99999),IF(AND(ISNUMBER($Y109),$Y109&gt;=TODAY()),$Y109,99999))))</f>
        <v/>
      </c>
      <c r="N109" s="27" t="n"/>
      <c r="O109" s="27" t="n"/>
      <c r="P109" s="27" t="n"/>
      <c r="Q109" s="27" t="n"/>
      <c r="R109" s="27" t="n"/>
      <c r="S109" s="27" t="n"/>
      <c r="T109" s="27" t="n"/>
      <c r="U109" s="27" t="n"/>
      <c r="V109" s="27" t="n"/>
      <c r="W109" s="27" t="n"/>
      <c r="X109" s="27" t="n"/>
      <c r="Y109" s="27" t="n"/>
      <c r="Z109" s="27" t="n"/>
      <c r="AA109" s="27" t="n"/>
      <c r="AB109" s="27" t="n"/>
      <c r="AC109" s="30" t="n"/>
      <c r="AD109" s="25" t="n"/>
      <c r="AE109" s="28">
        <f>IF(NOT(AND($A109&lt;&gt;"",OR($I109="",$I109="Active"))),"",IF(OR(IF(OR(ISNUMBER($Y109),$Y109="DNA"),$Y109,IF(OR(ISNUMBER($X109),$X109="DNA"),$X109,IF(OR(ISNUMBER($W109),$W109="DNA"),$W109,IF(OR(ISNUMBER($V109),$V109="DNA"),$V109,IF(OR(ISNUMBER($U109),$U109="DNA"),$U109,IF(OR(ISNUMBER($T109),$T109="DNA"),$T109,IF(OR(ISNUMBER($S109),$S109="DNA"),$S109,IF(OR(ISNUMBER($P109),$P109="DNA"),$P109,IF(OR(ISNUMBER($O109),$O109="DNA"),$O109,IF(OR(ISNUMBER($N109),$N109="DNA"),$N109,""))))))))))="DNA",AND(ISNUMBER(IF(OR(ISNUMBER($Y109),$Y109="DNA"),$Y109,IF(OR(ISNUMBER($X109),$X109="DNA"),$X109,IF(OR(ISNUMBER($W109),$W109="DNA"),$W109,IF(OR(ISNUMBER($V109),$V109="DNA"),$V109,IF(OR(ISNUMBER($U109),$U109="DNA"),$U109,IF(OR(ISNUMBER($T109),$T109="DNA"),$T109,IF(OR(ISNUMBER($S109),$S109="DNA"),$S109,IF(OR(ISNUMBER($P109),$P109="DNA"),$P109,IF(OR(ISNUMBER($O109),$O109="DNA"),$O109,IF(OR(ISNUMBER($N109),$N109="DNA"),$N109,""))))))))))),IF(OR(ISNUMBER($Y109),$Y109="DNA"),$Y109,IF(OR(ISNUMBER($X109),$X109="DNA"),$X109,IF(OR(ISNUMBER($W109),$W109="DNA"),$W109,IF(OR(ISNUMBER($V109),$V109="DNA"),$V109,IF(OR(ISNUMBER($U109),$U109="DNA"),$U109,IF(OR(ISNUMBER($T109),$T109="DNA"),$T109,IF(OR(ISNUMBER($S109),$S109="DNA"),$S109,IF(OR(ISNUMBER($P109),$P109="DNA"),$P109,IF(OR(ISNUMBER($O109),$O109="DNA"),$O109,IF(OR(ISNUMBER($N109),$N109="DNA"),$N109,""))))))))))&lt;TODAY())),1,0)+ISNUMBER($Q109)*($Q109&lt;TODAY())+ISNUMBER($R109)*($R109&lt;TODAY())+ISNUMBER($AA109)*($AA109&lt;TODAY())+ISNUMBER($AB109)*($AB109&lt;TODAY()))</f>
        <v/>
      </c>
    </row>
    <row r="110">
      <c r="A110" s="25" t="n"/>
      <c r="B110" s="26" t="n"/>
      <c r="C110" s="27" t="n"/>
      <c r="D110" s="25" t="n"/>
      <c r="E110" s="25" t="n"/>
      <c r="F110" s="25" t="n"/>
      <c r="G110" s="25" t="n"/>
      <c r="H110" s="27" t="n"/>
      <c r="I110" s="25" t="n"/>
      <c r="J110" s="28">
        <f>IF(OR(NOT(AND($A110&lt;&gt;"",OR($I110="",$I110="Active"))),$H110=""),"",INT((TODAY()-$H110+280)/7)&amp;"+"&amp;MOD(TODAY()-$H110+280,7))</f>
        <v/>
      </c>
      <c r="K110" s="28">
        <f>IF(NOT(AND($A110&lt;&gt;"",OR($I110="",$I110="Active"))),"",ISNUMBER($N110)*($N110&gt;=TODAY())*($N110&lt;=TODAY()+7)+ISNUMBER($O110)*($O110&gt;=TODAY())*($O110&lt;=TODAY()+7)+ISNUMBER($P110)*($P110&gt;=TODAY())*($P110&lt;=TODAY()+7)+ISNUMBER($S110)*($S110&gt;=TODAY())*($S110&lt;=TODAY()+7)+ISNUMBER($T110)*($T110&gt;=TODAY())*($T110&lt;=TODAY()+7)+ISNUMBER($U110)*($U110&gt;=TODAY())*($U110&lt;=TODAY()+7)+ISNUMBER($V110)*($V110&gt;=TODAY())*($V110&lt;=TODAY()+7)+ISNUMBER($W110)*($W110&gt;=TODAY())*($W110&lt;=TODAY()+7)+ISNUMBER($X110)*($X110&gt;=TODAY())*($X110&lt;=TODAY()+7)+ISNUMBER($Y110)*($Y110&gt;=TODAY())*($Y110&lt;=TODAY()+7)+ISNUMBER($Q110)*($Q110&gt;=TODAY())*($Q110&lt;=TODAY()+7)+ISNUMBER($R110)*($R110&gt;=TODAY())*($R110&lt;=TODAY()+7)+ISNUMBER($AA110)*($AA110&gt;=TODAY())*($AA110&lt;=TODAY()+7)+ISNUMBER($AB110)*($AB110&gt;=TODAY())*($AB110&lt;=TODAY()+7))</f>
        <v/>
      </c>
      <c r="L110" s="28">
        <f>IF(NOT(AND($A110&lt;&gt;"",OR($I110="",$I110="Active"))),"",IF($M110&lt;&gt;"",IF($N110=$M110,"Booking",IF($O110=$M110,"16/40",IF($P110=$M110,"25/40",IF($S110=$M110,"28/40",IF($T110=$M110,"31/40",IF($U110=$M110,"34/40",IF($V110=$M110,"36/40",IF($W110=$M110,"38/40",IF($X110=$M110,"40/40",IF($Y110=$M110,"41/40","")))))))))),IF(IF(OR(ISNUMBER($Y110),$Y110="DNA"),$Y110,IF(OR(ISNUMBER($X110),$X110="DNA"),$X110,IF(OR(ISNUMBER($W110),$W110="DNA"),$W110,IF(OR(ISNUMBER($V110),$V110="DNA"),$V110,IF(OR(ISNUMBER($U110),$U110="DNA"),$U110,IF(OR(ISNUMBER($T110),$T110="DNA"),$T110,IF(OR(ISNUMBER($S110),$S110="DNA"),$S110,IF(OR(ISNUMBER($P110),$P110="DNA"),$P110,IF(OR(ISNUMBER($O110),$O110="DNA"),$O110,IF(OR(ISNUMBER($N110),$N110="DNA"),$N110,""))))))))))="DNA","Rebook DNA",IF(ISNUMBER(IF(OR(ISNUMBER($Y110),$Y110="DNA"),$Y110,IF(OR(ISNUMBER($X110),$X110="DNA"),$X110,IF(OR(ISNUMBER($W110),$W110="DNA"),$W110,IF(OR(ISNUMBER($V110),$V110="DNA"),$V110,IF(OR(ISNUMBER($U110),$U110="DNA"),$U110,IF(OR(ISNUMBER($T110),$T110="DNA"),$T110,IF(OR(ISNUMBER($S110),$S110="DNA"),$S110,IF(OR(ISNUMBER($P110),$P110="DNA"),$P110,IF(OR(ISNUMBER($O110),$O110="DNA"),$O110,IF(OR(ISNUMBER($N110),$N110="DNA"),$N110,""))))))))))),IF(ISNUMBER($Y110),"Update status","Missed/not booked?"),""))))</f>
        <v/>
      </c>
      <c r="M110" s="29">
        <f>IF(NOT(AND($A110&lt;&gt;"",OR($I110="",$I110="Active"))),"",IF(MIN(IF(AND(ISNUMBER($N110),$N110&gt;=TODAY()),$N110,99999),IF(AND(ISNUMBER($O110),$O110&gt;=TODAY()),$O110,99999),IF(AND(ISNUMBER($P110),$P110&gt;=TODAY()),$P110,99999),IF(AND(ISNUMBER($S110),$S110&gt;=TODAY()),$S110,99999),IF(AND(ISNUMBER($T110),$T110&gt;=TODAY()),$T110,99999),IF(AND(ISNUMBER($U110),$U110&gt;=TODAY()),$U110,99999),IF(AND(ISNUMBER($V110),$V110&gt;=TODAY()),$V110,99999),IF(AND(ISNUMBER($W110),$W110&gt;=TODAY()),$W110,99999),IF(AND(ISNUMBER($X110),$X110&gt;=TODAY()),$X110,99999),IF(AND(ISNUMBER($Y110),$Y110&gt;=TODAY()),$Y110,99999))=99999,"",MIN(IF(AND(ISNUMBER($N110),$N110&gt;=TODAY()),$N110,99999),IF(AND(ISNUMBER($O110),$O110&gt;=TODAY()),$O110,99999),IF(AND(ISNUMBER($P110),$P110&gt;=TODAY()),$P110,99999),IF(AND(ISNUMBER($S110),$S110&gt;=TODAY()),$S110,99999),IF(AND(ISNUMBER($T110),$T110&gt;=TODAY()),$T110,99999),IF(AND(ISNUMBER($U110),$U110&gt;=TODAY()),$U110,99999),IF(AND(ISNUMBER($V110),$V110&gt;=TODAY()),$V110,99999),IF(AND(ISNUMBER($W110),$W110&gt;=TODAY()),$W110,99999),IF(AND(ISNUMBER($X110),$X110&gt;=TODAY()),$X110,99999),IF(AND(ISNUMBER($Y110),$Y110&gt;=TODAY()),$Y110,99999))))</f>
        <v/>
      </c>
      <c r="N110" s="27" t="n"/>
      <c r="O110" s="27" t="n"/>
      <c r="P110" s="27" t="n"/>
      <c r="Q110" s="27" t="n"/>
      <c r="R110" s="27" t="n"/>
      <c r="S110" s="27" t="n"/>
      <c r="T110" s="27" t="n"/>
      <c r="U110" s="27" t="n"/>
      <c r="V110" s="27" t="n"/>
      <c r="W110" s="27" t="n"/>
      <c r="X110" s="27" t="n"/>
      <c r="Y110" s="27" t="n"/>
      <c r="Z110" s="27" t="n"/>
      <c r="AA110" s="27" t="n"/>
      <c r="AB110" s="27" t="n"/>
      <c r="AC110" s="30" t="n"/>
      <c r="AD110" s="25" t="n"/>
      <c r="AE110" s="28">
        <f>IF(NOT(AND($A110&lt;&gt;"",OR($I110="",$I110="Active"))),"",IF(OR(IF(OR(ISNUMBER($Y110),$Y110="DNA"),$Y110,IF(OR(ISNUMBER($X110),$X110="DNA"),$X110,IF(OR(ISNUMBER($W110),$W110="DNA"),$W110,IF(OR(ISNUMBER($V110),$V110="DNA"),$V110,IF(OR(ISNUMBER($U110),$U110="DNA"),$U110,IF(OR(ISNUMBER($T110),$T110="DNA"),$T110,IF(OR(ISNUMBER($S110),$S110="DNA"),$S110,IF(OR(ISNUMBER($P110),$P110="DNA"),$P110,IF(OR(ISNUMBER($O110),$O110="DNA"),$O110,IF(OR(ISNUMBER($N110),$N110="DNA"),$N110,""))))))))))="DNA",AND(ISNUMBER(IF(OR(ISNUMBER($Y110),$Y110="DNA"),$Y110,IF(OR(ISNUMBER($X110),$X110="DNA"),$X110,IF(OR(ISNUMBER($W110),$W110="DNA"),$W110,IF(OR(ISNUMBER($V110),$V110="DNA"),$V110,IF(OR(ISNUMBER($U110),$U110="DNA"),$U110,IF(OR(ISNUMBER($T110),$T110="DNA"),$T110,IF(OR(ISNUMBER($S110),$S110="DNA"),$S110,IF(OR(ISNUMBER($P110),$P110="DNA"),$P110,IF(OR(ISNUMBER($O110),$O110="DNA"),$O110,IF(OR(ISNUMBER($N110),$N110="DNA"),$N110,""))))))))))),IF(OR(ISNUMBER($Y110),$Y110="DNA"),$Y110,IF(OR(ISNUMBER($X110),$X110="DNA"),$X110,IF(OR(ISNUMBER($W110),$W110="DNA"),$W110,IF(OR(ISNUMBER($V110),$V110="DNA"),$V110,IF(OR(ISNUMBER($U110),$U110="DNA"),$U110,IF(OR(ISNUMBER($T110),$T110="DNA"),$T110,IF(OR(ISNUMBER($S110),$S110="DNA"),$S110,IF(OR(ISNUMBER($P110),$P110="DNA"),$P110,IF(OR(ISNUMBER($O110),$O110="DNA"),$O110,IF(OR(ISNUMBER($N110),$N110="DNA"),$N110,""))))))))))&lt;TODAY())),1,0)+ISNUMBER($Q110)*($Q110&lt;TODAY())+ISNUMBER($R110)*($R110&lt;TODAY())+ISNUMBER($AA110)*($AA110&lt;TODAY())+ISNUMBER($AB110)*($AB110&lt;TODAY()))</f>
        <v/>
      </c>
    </row>
    <row r="111">
      <c r="A111" s="25" t="n"/>
      <c r="B111" s="26" t="n"/>
      <c r="C111" s="27" t="n"/>
      <c r="D111" s="25" t="n"/>
      <c r="E111" s="25" t="n"/>
      <c r="F111" s="25" t="n"/>
      <c r="G111" s="25" t="n"/>
      <c r="H111" s="27" t="n"/>
      <c r="I111" s="25" t="n"/>
      <c r="J111" s="28">
        <f>IF(OR(NOT(AND($A111&lt;&gt;"",OR($I111="",$I111="Active"))),$H111=""),"",INT((TODAY()-$H111+280)/7)&amp;"+"&amp;MOD(TODAY()-$H111+280,7))</f>
        <v/>
      </c>
      <c r="K111" s="28">
        <f>IF(NOT(AND($A111&lt;&gt;"",OR($I111="",$I111="Active"))),"",ISNUMBER($N111)*($N111&gt;=TODAY())*($N111&lt;=TODAY()+7)+ISNUMBER($O111)*($O111&gt;=TODAY())*($O111&lt;=TODAY()+7)+ISNUMBER($P111)*($P111&gt;=TODAY())*($P111&lt;=TODAY()+7)+ISNUMBER($S111)*($S111&gt;=TODAY())*($S111&lt;=TODAY()+7)+ISNUMBER($T111)*($T111&gt;=TODAY())*($T111&lt;=TODAY()+7)+ISNUMBER($U111)*($U111&gt;=TODAY())*($U111&lt;=TODAY()+7)+ISNUMBER($V111)*($V111&gt;=TODAY())*($V111&lt;=TODAY()+7)+ISNUMBER($W111)*($W111&gt;=TODAY())*($W111&lt;=TODAY()+7)+ISNUMBER($X111)*($X111&gt;=TODAY())*($X111&lt;=TODAY()+7)+ISNUMBER($Y111)*($Y111&gt;=TODAY())*($Y111&lt;=TODAY()+7)+ISNUMBER($Q111)*($Q111&gt;=TODAY())*($Q111&lt;=TODAY()+7)+ISNUMBER($R111)*($R111&gt;=TODAY())*($R111&lt;=TODAY()+7)+ISNUMBER($AA111)*($AA111&gt;=TODAY())*($AA111&lt;=TODAY()+7)+ISNUMBER($AB111)*($AB111&gt;=TODAY())*($AB111&lt;=TODAY()+7))</f>
        <v/>
      </c>
      <c r="L111" s="28">
        <f>IF(NOT(AND($A111&lt;&gt;"",OR($I111="",$I111="Active"))),"",IF($M111&lt;&gt;"",IF($N111=$M111,"Booking",IF($O111=$M111,"16/40",IF($P111=$M111,"25/40",IF($S111=$M111,"28/40",IF($T111=$M111,"31/40",IF($U111=$M111,"34/40",IF($V111=$M111,"36/40",IF($W111=$M111,"38/40",IF($X111=$M111,"40/40",IF($Y111=$M111,"41/40","")))))))))),IF(IF(OR(ISNUMBER($Y111),$Y111="DNA"),$Y111,IF(OR(ISNUMBER($X111),$X111="DNA"),$X111,IF(OR(ISNUMBER($W111),$W111="DNA"),$W111,IF(OR(ISNUMBER($V111),$V111="DNA"),$V111,IF(OR(ISNUMBER($U111),$U111="DNA"),$U111,IF(OR(ISNUMBER($T111),$T111="DNA"),$T111,IF(OR(ISNUMBER($S111),$S111="DNA"),$S111,IF(OR(ISNUMBER($P111),$P111="DNA"),$P111,IF(OR(ISNUMBER($O111),$O111="DNA"),$O111,IF(OR(ISNUMBER($N111),$N111="DNA"),$N111,""))))))))))="DNA","Rebook DNA",IF(ISNUMBER(IF(OR(ISNUMBER($Y111),$Y111="DNA"),$Y111,IF(OR(ISNUMBER($X111),$X111="DNA"),$X111,IF(OR(ISNUMBER($W111),$W111="DNA"),$W111,IF(OR(ISNUMBER($V111),$V111="DNA"),$V111,IF(OR(ISNUMBER($U111),$U111="DNA"),$U111,IF(OR(ISNUMBER($T111),$T111="DNA"),$T111,IF(OR(ISNUMBER($S111),$S111="DNA"),$S111,IF(OR(ISNUMBER($P111),$P111="DNA"),$P111,IF(OR(ISNUMBER($O111),$O111="DNA"),$O111,IF(OR(ISNUMBER($N111),$N111="DNA"),$N111,""))))))))))),IF(ISNUMBER($Y111),"Update status","Missed/not booked?"),""))))</f>
        <v/>
      </c>
      <c r="M111" s="29">
        <f>IF(NOT(AND($A111&lt;&gt;"",OR($I111="",$I111="Active"))),"",IF(MIN(IF(AND(ISNUMBER($N111),$N111&gt;=TODAY()),$N111,99999),IF(AND(ISNUMBER($O111),$O111&gt;=TODAY()),$O111,99999),IF(AND(ISNUMBER($P111),$P111&gt;=TODAY()),$P111,99999),IF(AND(ISNUMBER($S111),$S111&gt;=TODAY()),$S111,99999),IF(AND(ISNUMBER($T111),$T111&gt;=TODAY()),$T111,99999),IF(AND(ISNUMBER($U111),$U111&gt;=TODAY()),$U111,99999),IF(AND(ISNUMBER($V111),$V111&gt;=TODAY()),$V111,99999),IF(AND(ISNUMBER($W111),$W111&gt;=TODAY()),$W111,99999),IF(AND(ISNUMBER($X111),$X111&gt;=TODAY()),$X111,99999),IF(AND(ISNUMBER($Y111),$Y111&gt;=TODAY()),$Y111,99999))=99999,"",MIN(IF(AND(ISNUMBER($N111),$N111&gt;=TODAY()),$N111,99999),IF(AND(ISNUMBER($O111),$O111&gt;=TODAY()),$O111,99999),IF(AND(ISNUMBER($P111),$P111&gt;=TODAY()),$P111,99999),IF(AND(ISNUMBER($S111),$S111&gt;=TODAY()),$S111,99999),IF(AND(ISNUMBER($T111),$T111&gt;=TODAY()),$T111,99999),IF(AND(ISNUMBER($U111),$U111&gt;=TODAY()),$U111,99999),IF(AND(ISNUMBER($V111),$V111&gt;=TODAY()),$V111,99999),IF(AND(ISNUMBER($W111),$W111&gt;=TODAY()),$W111,99999),IF(AND(ISNUMBER($X111),$X111&gt;=TODAY()),$X111,99999),IF(AND(ISNUMBER($Y111),$Y111&gt;=TODAY()),$Y111,99999))))</f>
        <v/>
      </c>
      <c r="N111" s="27" t="n"/>
      <c r="O111" s="27" t="n"/>
      <c r="P111" s="27" t="n"/>
      <c r="Q111" s="27" t="n"/>
      <c r="R111" s="27" t="n"/>
      <c r="S111" s="27" t="n"/>
      <c r="T111" s="27" t="n"/>
      <c r="U111" s="27" t="n"/>
      <c r="V111" s="27" t="n"/>
      <c r="W111" s="27" t="n"/>
      <c r="X111" s="27" t="n"/>
      <c r="Y111" s="27" t="n"/>
      <c r="Z111" s="27" t="n"/>
      <c r="AA111" s="27" t="n"/>
      <c r="AB111" s="27" t="n"/>
      <c r="AC111" s="30" t="n"/>
      <c r="AD111" s="25" t="n"/>
      <c r="AE111" s="28">
        <f>IF(NOT(AND($A111&lt;&gt;"",OR($I111="",$I111="Active"))),"",IF(OR(IF(OR(ISNUMBER($Y111),$Y111="DNA"),$Y111,IF(OR(ISNUMBER($X111),$X111="DNA"),$X111,IF(OR(ISNUMBER($W111),$W111="DNA"),$W111,IF(OR(ISNUMBER($V111),$V111="DNA"),$V111,IF(OR(ISNUMBER($U111),$U111="DNA"),$U111,IF(OR(ISNUMBER($T111),$T111="DNA"),$T111,IF(OR(ISNUMBER($S111),$S111="DNA"),$S111,IF(OR(ISNUMBER($P111),$P111="DNA"),$P111,IF(OR(ISNUMBER($O111),$O111="DNA"),$O111,IF(OR(ISNUMBER($N111),$N111="DNA"),$N111,""))))))))))="DNA",AND(ISNUMBER(IF(OR(ISNUMBER($Y111),$Y111="DNA"),$Y111,IF(OR(ISNUMBER($X111),$X111="DNA"),$X111,IF(OR(ISNUMBER($W111),$W111="DNA"),$W111,IF(OR(ISNUMBER($V111),$V111="DNA"),$V111,IF(OR(ISNUMBER($U111),$U111="DNA"),$U111,IF(OR(ISNUMBER($T111),$T111="DNA"),$T111,IF(OR(ISNUMBER($S111),$S111="DNA"),$S111,IF(OR(ISNUMBER($P111),$P111="DNA"),$P111,IF(OR(ISNUMBER($O111),$O111="DNA"),$O111,IF(OR(ISNUMBER($N111),$N111="DNA"),$N111,""))))))))))),IF(OR(ISNUMBER($Y111),$Y111="DNA"),$Y111,IF(OR(ISNUMBER($X111),$X111="DNA"),$X111,IF(OR(ISNUMBER($W111),$W111="DNA"),$W111,IF(OR(ISNUMBER($V111),$V111="DNA"),$V111,IF(OR(ISNUMBER($U111),$U111="DNA"),$U111,IF(OR(ISNUMBER($T111),$T111="DNA"),$T111,IF(OR(ISNUMBER($S111),$S111="DNA"),$S111,IF(OR(ISNUMBER($P111),$P111="DNA"),$P111,IF(OR(ISNUMBER($O111),$O111="DNA"),$O111,IF(OR(ISNUMBER($N111),$N111="DNA"),$N111,""))))))))))&lt;TODAY())),1,0)+ISNUMBER($Q111)*($Q111&lt;TODAY())+ISNUMBER($R111)*($R111&lt;TODAY())+ISNUMBER($AA111)*($AA111&lt;TODAY())+ISNUMBER($AB111)*($AB111&lt;TODAY()))</f>
        <v/>
      </c>
    </row>
    <row r="112">
      <c r="A112" s="25" t="n"/>
      <c r="B112" s="26" t="n"/>
      <c r="C112" s="27" t="n"/>
      <c r="D112" s="25" t="n"/>
      <c r="E112" s="25" t="n"/>
      <c r="F112" s="25" t="n"/>
      <c r="G112" s="25" t="n"/>
      <c r="H112" s="27" t="n"/>
      <c r="I112" s="25" t="n"/>
      <c r="J112" s="28">
        <f>IF(OR(NOT(AND($A112&lt;&gt;"",OR($I112="",$I112="Active"))),$H112=""),"",INT((TODAY()-$H112+280)/7)&amp;"+"&amp;MOD(TODAY()-$H112+280,7))</f>
        <v/>
      </c>
      <c r="K112" s="28">
        <f>IF(NOT(AND($A112&lt;&gt;"",OR($I112="",$I112="Active"))),"",ISNUMBER($N112)*($N112&gt;=TODAY())*($N112&lt;=TODAY()+7)+ISNUMBER($O112)*($O112&gt;=TODAY())*($O112&lt;=TODAY()+7)+ISNUMBER($P112)*($P112&gt;=TODAY())*($P112&lt;=TODAY()+7)+ISNUMBER($S112)*($S112&gt;=TODAY())*($S112&lt;=TODAY()+7)+ISNUMBER($T112)*($T112&gt;=TODAY())*($T112&lt;=TODAY()+7)+ISNUMBER($U112)*($U112&gt;=TODAY())*($U112&lt;=TODAY()+7)+ISNUMBER($V112)*($V112&gt;=TODAY())*($V112&lt;=TODAY()+7)+ISNUMBER($W112)*($W112&gt;=TODAY())*($W112&lt;=TODAY()+7)+ISNUMBER($X112)*($X112&gt;=TODAY())*($X112&lt;=TODAY()+7)+ISNUMBER($Y112)*($Y112&gt;=TODAY())*($Y112&lt;=TODAY()+7)+ISNUMBER($Q112)*($Q112&gt;=TODAY())*($Q112&lt;=TODAY()+7)+ISNUMBER($R112)*($R112&gt;=TODAY())*($R112&lt;=TODAY()+7)+ISNUMBER($AA112)*($AA112&gt;=TODAY())*($AA112&lt;=TODAY()+7)+ISNUMBER($AB112)*($AB112&gt;=TODAY())*($AB112&lt;=TODAY()+7))</f>
        <v/>
      </c>
      <c r="L112" s="28">
        <f>IF(NOT(AND($A112&lt;&gt;"",OR($I112="",$I112="Active"))),"",IF($M112&lt;&gt;"",IF($N112=$M112,"Booking",IF($O112=$M112,"16/40",IF($P112=$M112,"25/40",IF($S112=$M112,"28/40",IF($T112=$M112,"31/40",IF($U112=$M112,"34/40",IF($V112=$M112,"36/40",IF($W112=$M112,"38/40",IF($X112=$M112,"40/40",IF($Y112=$M112,"41/40","")))))))))),IF(IF(OR(ISNUMBER($Y112),$Y112="DNA"),$Y112,IF(OR(ISNUMBER($X112),$X112="DNA"),$X112,IF(OR(ISNUMBER($W112),$W112="DNA"),$W112,IF(OR(ISNUMBER($V112),$V112="DNA"),$V112,IF(OR(ISNUMBER($U112),$U112="DNA"),$U112,IF(OR(ISNUMBER($T112),$T112="DNA"),$T112,IF(OR(ISNUMBER($S112),$S112="DNA"),$S112,IF(OR(ISNUMBER($P112),$P112="DNA"),$P112,IF(OR(ISNUMBER($O112),$O112="DNA"),$O112,IF(OR(ISNUMBER($N112),$N112="DNA"),$N112,""))))))))))="DNA","Rebook DNA",IF(ISNUMBER(IF(OR(ISNUMBER($Y112),$Y112="DNA"),$Y112,IF(OR(ISNUMBER($X112),$X112="DNA"),$X112,IF(OR(ISNUMBER($W112),$W112="DNA"),$W112,IF(OR(ISNUMBER($V112),$V112="DNA"),$V112,IF(OR(ISNUMBER($U112),$U112="DNA"),$U112,IF(OR(ISNUMBER($T112),$T112="DNA"),$T112,IF(OR(ISNUMBER($S112),$S112="DNA"),$S112,IF(OR(ISNUMBER($P112),$P112="DNA"),$P112,IF(OR(ISNUMBER($O112),$O112="DNA"),$O112,IF(OR(ISNUMBER($N112),$N112="DNA"),$N112,""))))))))))),IF(ISNUMBER($Y112),"Update status","Missed/not booked?"),""))))</f>
        <v/>
      </c>
      <c r="M112" s="29">
        <f>IF(NOT(AND($A112&lt;&gt;"",OR($I112="",$I112="Active"))),"",IF(MIN(IF(AND(ISNUMBER($N112),$N112&gt;=TODAY()),$N112,99999),IF(AND(ISNUMBER($O112),$O112&gt;=TODAY()),$O112,99999),IF(AND(ISNUMBER($P112),$P112&gt;=TODAY()),$P112,99999),IF(AND(ISNUMBER($S112),$S112&gt;=TODAY()),$S112,99999),IF(AND(ISNUMBER($T112),$T112&gt;=TODAY()),$T112,99999),IF(AND(ISNUMBER($U112),$U112&gt;=TODAY()),$U112,99999),IF(AND(ISNUMBER($V112),$V112&gt;=TODAY()),$V112,99999),IF(AND(ISNUMBER($W112),$W112&gt;=TODAY()),$W112,99999),IF(AND(ISNUMBER($X112),$X112&gt;=TODAY()),$X112,99999),IF(AND(ISNUMBER($Y112),$Y112&gt;=TODAY()),$Y112,99999))=99999,"",MIN(IF(AND(ISNUMBER($N112),$N112&gt;=TODAY()),$N112,99999),IF(AND(ISNUMBER($O112),$O112&gt;=TODAY()),$O112,99999),IF(AND(ISNUMBER($P112),$P112&gt;=TODAY()),$P112,99999),IF(AND(ISNUMBER($S112),$S112&gt;=TODAY()),$S112,99999),IF(AND(ISNUMBER($T112),$T112&gt;=TODAY()),$T112,99999),IF(AND(ISNUMBER($U112),$U112&gt;=TODAY()),$U112,99999),IF(AND(ISNUMBER($V112),$V112&gt;=TODAY()),$V112,99999),IF(AND(ISNUMBER($W112),$W112&gt;=TODAY()),$W112,99999),IF(AND(ISNUMBER($X112),$X112&gt;=TODAY()),$X112,99999),IF(AND(ISNUMBER($Y112),$Y112&gt;=TODAY()),$Y112,99999))))</f>
        <v/>
      </c>
      <c r="N112" s="27" t="n"/>
      <c r="O112" s="27" t="n"/>
      <c r="P112" s="27" t="n"/>
      <c r="Q112" s="27" t="n"/>
      <c r="R112" s="27" t="n"/>
      <c r="S112" s="27" t="n"/>
      <c r="T112" s="27" t="n"/>
      <c r="U112" s="27" t="n"/>
      <c r="V112" s="27" t="n"/>
      <c r="W112" s="27" t="n"/>
      <c r="X112" s="27" t="n"/>
      <c r="Y112" s="27" t="n"/>
      <c r="Z112" s="27" t="n"/>
      <c r="AA112" s="27" t="n"/>
      <c r="AB112" s="27" t="n"/>
      <c r="AC112" s="30" t="n"/>
      <c r="AD112" s="25" t="n"/>
      <c r="AE112" s="28">
        <f>IF(NOT(AND($A112&lt;&gt;"",OR($I112="",$I112="Active"))),"",IF(OR(IF(OR(ISNUMBER($Y112),$Y112="DNA"),$Y112,IF(OR(ISNUMBER($X112),$X112="DNA"),$X112,IF(OR(ISNUMBER($W112),$W112="DNA"),$W112,IF(OR(ISNUMBER($V112),$V112="DNA"),$V112,IF(OR(ISNUMBER($U112),$U112="DNA"),$U112,IF(OR(ISNUMBER($T112),$T112="DNA"),$T112,IF(OR(ISNUMBER($S112),$S112="DNA"),$S112,IF(OR(ISNUMBER($P112),$P112="DNA"),$P112,IF(OR(ISNUMBER($O112),$O112="DNA"),$O112,IF(OR(ISNUMBER($N112),$N112="DNA"),$N112,""))))))))))="DNA",AND(ISNUMBER(IF(OR(ISNUMBER($Y112),$Y112="DNA"),$Y112,IF(OR(ISNUMBER($X112),$X112="DNA"),$X112,IF(OR(ISNUMBER($W112),$W112="DNA"),$W112,IF(OR(ISNUMBER($V112),$V112="DNA"),$V112,IF(OR(ISNUMBER($U112),$U112="DNA"),$U112,IF(OR(ISNUMBER($T112),$T112="DNA"),$T112,IF(OR(ISNUMBER($S112),$S112="DNA"),$S112,IF(OR(ISNUMBER($P112),$P112="DNA"),$P112,IF(OR(ISNUMBER($O112),$O112="DNA"),$O112,IF(OR(ISNUMBER($N112),$N112="DNA"),$N112,""))))))))))),IF(OR(ISNUMBER($Y112),$Y112="DNA"),$Y112,IF(OR(ISNUMBER($X112),$X112="DNA"),$X112,IF(OR(ISNUMBER($W112),$W112="DNA"),$W112,IF(OR(ISNUMBER($V112),$V112="DNA"),$V112,IF(OR(ISNUMBER($U112),$U112="DNA"),$U112,IF(OR(ISNUMBER($T112),$T112="DNA"),$T112,IF(OR(ISNUMBER($S112),$S112="DNA"),$S112,IF(OR(ISNUMBER($P112),$P112="DNA"),$P112,IF(OR(ISNUMBER($O112),$O112="DNA"),$O112,IF(OR(ISNUMBER($N112),$N112="DNA"),$N112,""))))))))))&lt;TODAY())),1,0)+ISNUMBER($Q112)*($Q112&lt;TODAY())+ISNUMBER($R112)*($R112&lt;TODAY())+ISNUMBER($AA112)*($AA112&lt;TODAY())+ISNUMBER($AB112)*($AB112&lt;TODAY()))</f>
        <v/>
      </c>
    </row>
    <row r="113">
      <c r="A113" s="25" t="n"/>
      <c r="B113" s="26" t="n"/>
      <c r="C113" s="27" t="n"/>
      <c r="D113" s="25" t="n"/>
      <c r="E113" s="25" t="n"/>
      <c r="F113" s="25" t="n"/>
      <c r="G113" s="25" t="n"/>
      <c r="H113" s="27" t="n"/>
      <c r="I113" s="25" t="n"/>
      <c r="J113" s="28">
        <f>IF(OR(NOT(AND($A113&lt;&gt;"",OR($I113="",$I113="Active"))),$H113=""),"",INT((TODAY()-$H113+280)/7)&amp;"+"&amp;MOD(TODAY()-$H113+280,7))</f>
        <v/>
      </c>
      <c r="K113" s="28">
        <f>IF(NOT(AND($A113&lt;&gt;"",OR($I113="",$I113="Active"))),"",ISNUMBER($N113)*($N113&gt;=TODAY())*($N113&lt;=TODAY()+7)+ISNUMBER($O113)*($O113&gt;=TODAY())*($O113&lt;=TODAY()+7)+ISNUMBER($P113)*($P113&gt;=TODAY())*($P113&lt;=TODAY()+7)+ISNUMBER($S113)*($S113&gt;=TODAY())*($S113&lt;=TODAY()+7)+ISNUMBER($T113)*($T113&gt;=TODAY())*($T113&lt;=TODAY()+7)+ISNUMBER($U113)*($U113&gt;=TODAY())*($U113&lt;=TODAY()+7)+ISNUMBER($V113)*($V113&gt;=TODAY())*($V113&lt;=TODAY()+7)+ISNUMBER($W113)*($W113&gt;=TODAY())*($W113&lt;=TODAY()+7)+ISNUMBER($X113)*($X113&gt;=TODAY())*($X113&lt;=TODAY()+7)+ISNUMBER($Y113)*($Y113&gt;=TODAY())*($Y113&lt;=TODAY()+7)+ISNUMBER($Q113)*($Q113&gt;=TODAY())*($Q113&lt;=TODAY()+7)+ISNUMBER($R113)*($R113&gt;=TODAY())*($R113&lt;=TODAY()+7)+ISNUMBER($AA113)*($AA113&gt;=TODAY())*($AA113&lt;=TODAY()+7)+ISNUMBER($AB113)*($AB113&gt;=TODAY())*($AB113&lt;=TODAY()+7))</f>
        <v/>
      </c>
      <c r="L113" s="28">
        <f>IF(NOT(AND($A113&lt;&gt;"",OR($I113="",$I113="Active"))),"",IF($M113&lt;&gt;"",IF($N113=$M113,"Booking",IF($O113=$M113,"16/40",IF($P113=$M113,"25/40",IF($S113=$M113,"28/40",IF($T113=$M113,"31/40",IF($U113=$M113,"34/40",IF($V113=$M113,"36/40",IF($W113=$M113,"38/40",IF($X113=$M113,"40/40",IF($Y113=$M113,"41/40","")))))))))),IF(IF(OR(ISNUMBER($Y113),$Y113="DNA"),$Y113,IF(OR(ISNUMBER($X113),$X113="DNA"),$X113,IF(OR(ISNUMBER($W113),$W113="DNA"),$W113,IF(OR(ISNUMBER($V113),$V113="DNA"),$V113,IF(OR(ISNUMBER($U113),$U113="DNA"),$U113,IF(OR(ISNUMBER($T113),$T113="DNA"),$T113,IF(OR(ISNUMBER($S113),$S113="DNA"),$S113,IF(OR(ISNUMBER($P113),$P113="DNA"),$P113,IF(OR(ISNUMBER($O113),$O113="DNA"),$O113,IF(OR(ISNUMBER($N113),$N113="DNA"),$N113,""))))))))))="DNA","Rebook DNA",IF(ISNUMBER(IF(OR(ISNUMBER($Y113),$Y113="DNA"),$Y113,IF(OR(ISNUMBER($X113),$X113="DNA"),$X113,IF(OR(ISNUMBER($W113),$W113="DNA"),$W113,IF(OR(ISNUMBER($V113),$V113="DNA"),$V113,IF(OR(ISNUMBER($U113),$U113="DNA"),$U113,IF(OR(ISNUMBER($T113),$T113="DNA"),$T113,IF(OR(ISNUMBER($S113),$S113="DNA"),$S113,IF(OR(ISNUMBER($P113),$P113="DNA"),$P113,IF(OR(ISNUMBER($O113),$O113="DNA"),$O113,IF(OR(ISNUMBER($N113),$N113="DNA"),$N113,""))))))))))),IF(ISNUMBER($Y113),"Update status","Missed/not booked?"),""))))</f>
        <v/>
      </c>
      <c r="M113" s="29">
        <f>IF(NOT(AND($A113&lt;&gt;"",OR($I113="",$I113="Active"))),"",IF(MIN(IF(AND(ISNUMBER($N113),$N113&gt;=TODAY()),$N113,99999),IF(AND(ISNUMBER($O113),$O113&gt;=TODAY()),$O113,99999),IF(AND(ISNUMBER($P113),$P113&gt;=TODAY()),$P113,99999),IF(AND(ISNUMBER($S113),$S113&gt;=TODAY()),$S113,99999),IF(AND(ISNUMBER($T113),$T113&gt;=TODAY()),$T113,99999),IF(AND(ISNUMBER($U113),$U113&gt;=TODAY()),$U113,99999),IF(AND(ISNUMBER($V113),$V113&gt;=TODAY()),$V113,99999),IF(AND(ISNUMBER($W113),$W113&gt;=TODAY()),$W113,99999),IF(AND(ISNUMBER($X113),$X113&gt;=TODAY()),$X113,99999),IF(AND(ISNUMBER($Y113),$Y113&gt;=TODAY()),$Y113,99999))=99999,"",MIN(IF(AND(ISNUMBER($N113),$N113&gt;=TODAY()),$N113,99999),IF(AND(ISNUMBER($O113),$O113&gt;=TODAY()),$O113,99999),IF(AND(ISNUMBER($P113),$P113&gt;=TODAY()),$P113,99999),IF(AND(ISNUMBER($S113),$S113&gt;=TODAY()),$S113,99999),IF(AND(ISNUMBER($T113),$T113&gt;=TODAY()),$T113,99999),IF(AND(ISNUMBER($U113),$U113&gt;=TODAY()),$U113,99999),IF(AND(ISNUMBER($V113),$V113&gt;=TODAY()),$V113,99999),IF(AND(ISNUMBER($W113),$W113&gt;=TODAY()),$W113,99999),IF(AND(ISNUMBER($X113),$X113&gt;=TODAY()),$X113,99999),IF(AND(ISNUMBER($Y113),$Y113&gt;=TODAY()),$Y113,99999))))</f>
        <v/>
      </c>
      <c r="N113" s="27" t="n"/>
      <c r="O113" s="27" t="n"/>
      <c r="P113" s="27" t="n"/>
      <c r="Q113" s="27" t="n"/>
      <c r="R113" s="27" t="n"/>
      <c r="S113" s="27" t="n"/>
      <c r="T113" s="27" t="n"/>
      <c r="U113" s="27" t="n"/>
      <c r="V113" s="27" t="n"/>
      <c r="W113" s="27" t="n"/>
      <c r="X113" s="27" t="n"/>
      <c r="Y113" s="27" t="n"/>
      <c r="Z113" s="27" t="n"/>
      <c r="AA113" s="27" t="n"/>
      <c r="AB113" s="27" t="n"/>
      <c r="AC113" s="30" t="n"/>
      <c r="AD113" s="25" t="n"/>
      <c r="AE113" s="28">
        <f>IF(NOT(AND($A113&lt;&gt;"",OR($I113="",$I113="Active"))),"",IF(OR(IF(OR(ISNUMBER($Y113),$Y113="DNA"),$Y113,IF(OR(ISNUMBER($X113),$X113="DNA"),$X113,IF(OR(ISNUMBER($W113),$W113="DNA"),$W113,IF(OR(ISNUMBER($V113),$V113="DNA"),$V113,IF(OR(ISNUMBER($U113),$U113="DNA"),$U113,IF(OR(ISNUMBER($T113),$T113="DNA"),$T113,IF(OR(ISNUMBER($S113),$S113="DNA"),$S113,IF(OR(ISNUMBER($P113),$P113="DNA"),$P113,IF(OR(ISNUMBER($O113),$O113="DNA"),$O113,IF(OR(ISNUMBER($N113),$N113="DNA"),$N113,""))))))))))="DNA",AND(ISNUMBER(IF(OR(ISNUMBER($Y113),$Y113="DNA"),$Y113,IF(OR(ISNUMBER($X113),$X113="DNA"),$X113,IF(OR(ISNUMBER($W113),$W113="DNA"),$W113,IF(OR(ISNUMBER($V113),$V113="DNA"),$V113,IF(OR(ISNUMBER($U113),$U113="DNA"),$U113,IF(OR(ISNUMBER($T113),$T113="DNA"),$T113,IF(OR(ISNUMBER($S113),$S113="DNA"),$S113,IF(OR(ISNUMBER($P113),$P113="DNA"),$P113,IF(OR(ISNUMBER($O113),$O113="DNA"),$O113,IF(OR(ISNUMBER($N113),$N113="DNA"),$N113,""))))))))))),IF(OR(ISNUMBER($Y113),$Y113="DNA"),$Y113,IF(OR(ISNUMBER($X113),$X113="DNA"),$X113,IF(OR(ISNUMBER($W113),$W113="DNA"),$W113,IF(OR(ISNUMBER($V113),$V113="DNA"),$V113,IF(OR(ISNUMBER($U113),$U113="DNA"),$U113,IF(OR(ISNUMBER($T113),$T113="DNA"),$T113,IF(OR(ISNUMBER($S113),$S113="DNA"),$S113,IF(OR(ISNUMBER($P113),$P113="DNA"),$P113,IF(OR(ISNUMBER($O113),$O113="DNA"),$O113,IF(OR(ISNUMBER($N113),$N113="DNA"),$N113,""))))))))))&lt;TODAY())),1,0)+ISNUMBER($Q113)*($Q113&lt;TODAY())+ISNUMBER($R113)*($R113&lt;TODAY())+ISNUMBER($AA113)*($AA113&lt;TODAY())+ISNUMBER($AB113)*($AB113&lt;TODAY()))</f>
        <v/>
      </c>
    </row>
    <row r="114">
      <c r="A114" s="25" t="n"/>
      <c r="B114" s="26" t="n"/>
      <c r="C114" s="27" t="n"/>
      <c r="D114" s="25" t="n"/>
      <c r="E114" s="25" t="n"/>
      <c r="F114" s="25" t="n"/>
      <c r="G114" s="25" t="n"/>
      <c r="H114" s="27" t="n"/>
      <c r="I114" s="25" t="n"/>
      <c r="J114" s="28">
        <f>IF(OR(NOT(AND($A114&lt;&gt;"",OR($I114="",$I114="Active"))),$H114=""),"",INT((TODAY()-$H114+280)/7)&amp;"+"&amp;MOD(TODAY()-$H114+280,7))</f>
        <v/>
      </c>
      <c r="K114" s="28">
        <f>IF(NOT(AND($A114&lt;&gt;"",OR($I114="",$I114="Active"))),"",ISNUMBER($N114)*($N114&gt;=TODAY())*($N114&lt;=TODAY()+7)+ISNUMBER($O114)*($O114&gt;=TODAY())*($O114&lt;=TODAY()+7)+ISNUMBER($P114)*($P114&gt;=TODAY())*($P114&lt;=TODAY()+7)+ISNUMBER($S114)*($S114&gt;=TODAY())*($S114&lt;=TODAY()+7)+ISNUMBER($T114)*($T114&gt;=TODAY())*($T114&lt;=TODAY()+7)+ISNUMBER($U114)*($U114&gt;=TODAY())*($U114&lt;=TODAY()+7)+ISNUMBER($V114)*($V114&gt;=TODAY())*($V114&lt;=TODAY()+7)+ISNUMBER($W114)*($W114&gt;=TODAY())*($W114&lt;=TODAY()+7)+ISNUMBER($X114)*($X114&gt;=TODAY())*($X114&lt;=TODAY()+7)+ISNUMBER($Y114)*($Y114&gt;=TODAY())*($Y114&lt;=TODAY()+7)+ISNUMBER($Q114)*($Q114&gt;=TODAY())*($Q114&lt;=TODAY()+7)+ISNUMBER($R114)*($R114&gt;=TODAY())*($R114&lt;=TODAY()+7)+ISNUMBER($AA114)*($AA114&gt;=TODAY())*($AA114&lt;=TODAY()+7)+ISNUMBER($AB114)*($AB114&gt;=TODAY())*($AB114&lt;=TODAY()+7))</f>
        <v/>
      </c>
      <c r="L114" s="28">
        <f>IF(NOT(AND($A114&lt;&gt;"",OR($I114="",$I114="Active"))),"",IF($M114&lt;&gt;"",IF($N114=$M114,"Booking",IF($O114=$M114,"16/40",IF($P114=$M114,"25/40",IF($S114=$M114,"28/40",IF($T114=$M114,"31/40",IF($U114=$M114,"34/40",IF($V114=$M114,"36/40",IF($W114=$M114,"38/40",IF($X114=$M114,"40/40",IF($Y114=$M114,"41/40","")))))))))),IF(IF(OR(ISNUMBER($Y114),$Y114="DNA"),$Y114,IF(OR(ISNUMBER($X114),$X114="DNA"),$X114,IF(OR(ISNUMBER($W114),$W114="DNA"),$W114,IF(OR(ISNUMBER($V114),$V114="DNA"),$V114,IF(OR(ISNUMBER($U114),$U114="DNA"),$U114,IF(OR(ISNUMBER($T114),$T114="DNA"),$T114,IF(OR(ISNUMBER($S114),$S114="DNA"),$S114,IF(OR(ISNUMBER($P114),$P114="DNA"),$P114,IF(OR(ISNUMBER($O114),$O114="DNA"),$O114,IF(OR(ISNUMBER($N114),$N114="DNA"),$N114,""))))))))))="DNA","Rebook DNA",IF(ISNUMBER(IF(OR(ISNUMBER($Y114),$Y114="DNA"),$Y114,IF(OR(ISNUMBER($X114),$X114="DNA"),$X114,IF(OR(ISNUMBER($W114),$W114="DNA"),$W114,IF(OR(ISNUMBER($V114),$V114="DNA"),$V114,IF(OR(ISNUMBER($U114),$U114="DNA"),$U114,IF(OR(ISNUMBER($T114),$T114="DNA"),$T114,IF(OR(ISNUMBER($S114),$S114="DNA"),$S114,IF(OR(ISNUMBER($P114),$P114="DNA"),$P114,IF(OR(ISNUMBER($O114),$O114="DNA"),$O114,IF(OR(ISNUMBER($N114),$N114="DNA"),$N114,""))))))))))),IF(ISNUMBER($Y114),"Update status","Missed/not booked?"),""))))</f>
        <v/>
      </c>
      <c r="M114" s="29">
        <f>IF(NOT(AND($A114&lt;&gt;"",OR($I114="",$I114="Active"))),"",IF(MIN(IF(AND(ISNUMBER($N114),$N114&gt;=TODAY()),$N114,99999),IF(AND(ISNUMBER($O114),$O114&gt;=TODAY()),$O114,99999),IF(AND(ISNUMBER($P114),$P114&gt;=TODAY()),$P114,99999),IF(AND(ISNUMBER($S114),$S114&gt;=TODAY()),$S114,99999),IF(AND(ISNUMBER($T114),$T114&gt;=TODAY()),$T114,99999),IF(AND(ISNUMBER($U114),$U114&gt;=TODAY()),$U114,99999),IF(AND(ISNUMBER($V114),$V114&gt;=TODAY()),$V114,99999),IF(AND(ISNUMBER($W114),$W114&gt;=TODAY()),$W114,99999),IF(AND(ISNUMBER($X114),$X114&gt;=TODAY()),$X114,99999),IF(AND(ISNUMBER($Y114),$Y114&gt;=TODAY()),$Y114,99999))=99999,"",MIN(IF(AND(ISNUMBER($N114),$N114&gt;=TODAY()),$N114,99999),IF(AND(ISNUMBER($O114),$O114&gt;=TODAY()),$O114,99999),IF(AND(ISNUMBER($P114),$P114&gt;=TODAY()),$P114,99999),IF(AND(ISNUMBER($S114),$S114&gt;=TODAY()),$S114,99999),IF(AND(ISNUMBER($T114),$T114&gt;=TODAY()),$T114,99999),IF(AND(ISNUMBER($U114),$U114&gt;=TODAY()),$U114,99999),IF(AND(ISNUMBER($V114),$V114&gt;=TODAY()),$V114,99999),IF(AND(ISNUMBER($W114),$W114&gt;=TODAY()),$W114,99999),IF(AND(ISNUMBER($X114),$X114&gt;=TODAY()),$X114,99999),IF(AND(ISNUMBER($Y114),$Y114&gt;=TODAY()),$Y114,99999))))</f>
        <v/>
      </c>
      <c r="N114" s="27" t="n"/>
      <c r="O114" s="27" t="n"/>
      <c r="P114" s="27" t="n"/>
      <c r="Q114" s="27" t="n"/>
      <c r="R114" s="27" t="n"/>
      <c r="S114" s="27" t="n"/>
      <c r="T114" s="27" t="n"/>
      <c r="U114" s="27" t="n"/>
      <c r="V114" s="27" t="n"/>
      <c r="W114" s="27" t="n"/>
      <c r="X114" s="27" t="n"/>
      <c r="Y114" s="27" t="n"/>
      <c r="Z114" s="27" t="n"/>
      <c r="AA114" s="27" t="n"/>
      <c r="AB114" s="27" t="n"/>
      <c r="AC114" s="30" t="n"/>
      <c r="AD114" s="25" t="n"/>
      <c r="AE114" s="28">
        <f>IF(NOT(AND($A114&lt;&gt;"",OR($I114="",$I114="Active"))),"",IF(OR(IF(OR(ISNUMBER($Y114),$Y114="DNA"),$Y114,IF(OR(ISNUMBER($X114),$X114="DNA"),$X114,IF(OR(ISNUMBER($W114),$W114="DNA"),$W114,IF(OR(ISNUMBER($V114),$V114="DNA"),$V114,IF(OR(ISNUMBER($U114),$U114="DNA"),$U114,IF(OR(ISNUMBER($T114),$T114="DNA"),$T114,IF(OR(ISNUMBER($S114),$S114="DNA"),$S114,IF(OR(ISNUMBER($P114),$P114="DNA"),$P114,IF(OR(ISNUMBER($O114),$O114="DNA"),$O114,IF(OR(ISNUMBER($N114),$N114="DNA"),$N114,""))))))))))="DNA",AND(ISNUMBER(IF(OR(ISNUMBER($Y114),$Y114="DNA"),$Y114,IF(OR(ISNUMBER($X114),$X114="DNA"),$X114,IF(OR(ISNUMBER($W114),$W114="DNA"),$W114,IF(OR(ISNUMBER($V114),$V114="DNA"),$V114,IF(OR(ISNUMBER($U114),$U114="DNA"),$U114,IF(OR(ISNUMBER($T114),$T114="DNA"),$T114,IF(OR(ISNUMBER($S114),$S114="DNA"),$S114,IF(OR(ISNUMBER($P114),$P114="DNA"),$P114,IF(OR(ISNUMBER($O114),$O114="DNA"),$O114,IF(OR(ISNUMBER($N114),$N114="DNA"),$N114,""))))))))))),IF(OR(ISNUMBER($Y114),$Y114="DNA"),$Y114,IF(OR(ISNUMBER($X114),$X114="DNA"),$X114,IF(OR(ISNUMBER($W114),$W114="DNA"),$W114,IF(OR(ISNUMBER($V114),$V114="DNA"),$V114,IF(OR(ISNUMBER($U114),$U114="DNA"),$U114,IF(OR(ISNUMBER($T114),$T114="DNA"),$T114,IF(OR(ISNUMBER($S114),$S114="DNA"),$S114,IF(OR(ISNUMBER($P114),$P114="DNA"),$P114,IF(OR(ISNUMBER($O114),$O114="DNA"),$O114,IF(OR(ISNUMBER($N114),$N114="DNA"),$N114,""))))))))))&lt;TODAY())),1,0)+ISNUMBER($Q114)*($Q114&lt;TODAY())+ISNUMBER($R114)*($R114&lt;TODAY())+ISNUMBER($AA114)*($AA114&lt;TODAY())+ISNUMBER($AB114)*($AB114&lt;TODAY()))</f>
        <v/>
      </c>
    </row>
    <row r="115">
      <c r="A115" s="25" t="n"/>
      <c r="B115" s="26" t="n"/>
      <c r="C115" s="27" t="n"/>
      <c r="D115" s="25" t="n"/>
      <c r="E115" s="25" t="n"/>
      <c r="F115" s="25" t="n"/>
      <c r="G115" s="25" t="n"/>
      <c r="H115" s="27" t="n"/>
      <c r="I115" s="25" t="n"/>
      <c r="J115" s="28">
        <f>IF(OR(NOT(AND($A115&lt;&gt;"",OR($I115="",$I115="Active"))),$H115=""),"",INT((TODAY()-$H115+280)/7)&amp;"+"&amp;MOD(TODAY()-$H115+280,7))</f>
        <v/>
      </c>
      <c r="K115" s="28">
        <f>IF(NOT(AND($A115&lt;&gt;"",OR($I115="",$I115="Active"))),"",ISNUMBER($N115)*($N115&gt;=TODAY())*($N115&lt;=TODAY()+7)+ISNUMBER($O115)*($O115&gt;=TODAY())*($O115&lt;=TODAY()+7)+ISNUMBER($P115)*($P115&gt;=TODAY())*($P115&lt;=TODAY()+7)+ISNUMBER($S115)*($S115&gt;=TODAY())*($S115&lt;=TODAY()+7)+ISNUMBER($T115)*($T115&gt;=TODAY())*($T115&lt;=TODAY()+7)+ISNUMBER($U115)*($U115&gt;=TODAY())*($U115&lt;=TODAY()+7)+ISNUMBER($V115)*($V115&gt;=TODAY())*($V115&lt;=TODAY()+7)+ISNUMBER($W115)*($W115&gt;=TODAY())*($W115&lt;=TODAY()+7)+ISNUMBER($X115)*($X115&gt;=TODAY())*($X115&lt;=TODAY()+7)+ISNUMBER($Y115)*($Y115&gt;=TODAY())*($Y115&lt;=TODAY()+7)+ISNUMBER($Q115)*($Q115&gt;=TODAY())*($Q115&lt;=TODAY()+7)+ISNUMBER($R115)*($R115&gt;=TODAY())*($R115&lt;=TODAY()+7)+ISNUMBER($AA115)*($AA115&gt;=TODAY())*($AA115&lt;=TODAY()+7)+ISNUMBER($AB115)*($AB115&gt;=TODAY())*($AB115&lt;=TODAY()+7))</f>
        <v/>
      </c>
      <c r="L115" s="28">
        <f>IF(NOT(AND($A115&lt;&gt;"",OR($I115="",$I115="Active"))),"",IF($M115&lt;&gt;"",IF($N115=$M115,"Booking",IF($O115=$M115,"16/40",IF($P115=$M115,"25/40",IF($S115=$M115,"28/40",IF($T115=$M115,"31/40",IF($U115=$M115,"34/40",IF($V115=$M115,"36/40",IF($W115=$M115,"38/40",IF($X115=$M115,"40/40",IF($Y115=$M115,"41/40","")))))))))),IF(IF(OR(ISNUMBER($Y115),$Y115="DNA"),$Y115,IF(OR(ISNUMBER($X115),$X115="DNA"),$X115,IF(OR(ISNUMBER($W115),$W115="DNA"),$W115,IF(OR(ISNUMBER($V115),$V115="DNA"),$V115,IF(OR(ISNUMBER($U115),$U115="DNA"),$U115,IF(OR(ISNUMBER($T115),$T115="DNA"),$T115,IF(OR(ISNUMBER($S115),$S115="DNA"),$S115,IF(OR(ISNUMBER($P115),$P115="DNA"),$P115,IF(OR(ISNUMBER($O115),$O115="DNA"),$O115,IF(OR(ISNUMBER($N115),$N115="DNA"),$N115,""))))))))))="DNA","Rebook DNA",IF(ISNUMBER(IF(OR(ISNUMBER($Y115),$Y115="DNA"),$Y115,IF(OR(ISNUMBER($X115),$X115="DNA"),$X115,IF(OR(ISNUMBER($W115),$W115="DNA"),$W115,IF(OR(ISNUMBER($V115),$V115="DNA"),$V115,IF(OR(ISNUMBER($U115),$U115="DNA"),$U115,IF(OR(ISNUMBER($T115),$T115="DNA"),$T115,IF(OR(ISNUMBER($S115),$S115="DNA"),$S115,IF(OR(ISNUMBER($P115),$P115="DNA"),$P115,IF(OR(ISNUMBER($O115),$O115="DNA"),$O115,IF(OR(ISNUMBER($N115),$N115="DNA"),$N115,""))))))))))),IF(ISNUMBER($Y115),"Update status","Missed/not booked?"),""))))</f>
        <v/>
      </c>
      <c r="M115" s="29">
        <f>IF(NOT(AND($A115&lt;&gt;"",OR($I115="",$I115="Active"))),"",IF(MIN(IF(AND(ISNUMBER($N115),$N115&gt;=TODAY()),$N115,99999),IF(AND(ISNUMBER($O115),$O115&gt;=TODAY()),$O115,99999),IF(AND(ISNUMBER($P115),$P115&gt;=TODAY()),$P115,99999),IF(AND(ISNUMBER($S115),$S115&gt;=TODAY()),$S115,99999),IF(AND(ISNUMBER($T115),$T115&gt;=TODAY()),$T115,99999),IF(AND(ISNUMBER($U115),$U115&gt;=TODAY()),$U115,99999),IF(AND(ISNUMBER($V115),$V115&gt;=TODAY()),$V115,99999),IF(AND(ISNUMBER($W115),$W115&gt;=TODAY()),$W115,99999),IF(AND(ISNUMBER($X115),$X115&gt;=TODAY()),$X115,99999),IF(AND(ISNUMBER($Y115),$Y115&gt;=TODAY()),$Y115,99999))=99999,"",MIN(IF(AND(ISNUMBER($N115),$N115&gt;=TODAY()),$N115,99999),IF(AND(ISNUMBER($O115),$O115&gt;=TODAY()),$O115,99999),IF(AND(ISNUMBER($P115),$P115&gt;=TODAY()),$P115,99999),IF(AND(ISNUMBER($S115),$S115&gt;=TODAY()),$S115,99999),IF(AND(ISNUMBER($T115),$T115&gt;=TODAY()),$T115,99999),IF(AND(ISNUMBER($U115),$U115&gt;=TODAY()),$U115,99999),IF(AND(ISNUMBER($V115),$V115&gt;=TODAY()),$V115,99999),IF(AND(ISNUMBER($W115),$W115&gt;=TODAY()),$W115,99999),IF(AND(ISNUMBER($X115),$X115&gt;=TODAY()),$X115,99999),IF(AND(ISNUMBER($Y115),$Y115&gt;=TODAY()),$Y115,99999))))</f>
        <v/>
      </c>
      <c r="N115" s="27" t="n"/>
      <c r="O115" s="27" t="n"/>
      <c r="P115" s="27" t="n"/>
      <c r="Q115" s="27" t="n"/>
      <c r="R115" s="27" t="n"/>
      <c r="S115" s="27" t="n"/>
      <c r="T115" s="27" t="n"/>
      <c r="U115" s="27" t="n"/>
      <c r="V115" s="27" t="n"/>
      <c r="W115" s="27" t="n"/>
      <c r="X115" s="27" t="n"/>
      <c r="Y115" s="27" t="n"/>
      <c r="Z115" s="27" t="n"/>
      <c r="AA115" s="27" t="n"/>
      <c r="AB115" s="27" t="n"/>
      <c r="AC115" s="30" t="n"/>
      <c r="AD115" s="25" t="n"/>
      <c r="AE115" s="28">
        <f>IF(NOT(AND($A115&lt;&gt;"",OR($I115="",$I115="Active"))),"",IF(OR(IF(OR(ISNUMBER($Y115),$Y115="DNA"),$Y115,IF(OR(ISNUMBER($X115),$X115="DNA"),$X115,IF(OR(ISNUMBER($W115),$W115="DNA"),$W115,IF(OR(ISNUMBER($V115),$V115="DNA"),$V115,IF(OR(ISNUMBER($U115),$U115="DNA"),$U115,IF(OR(ISNUMBER($T115),$T115="DNA"),$T115,IF(OR(ISNUMBER($S115),$S115="DNA"),$S115,IF(OR(ISNUMBER($P115),$P115="DNA"),$P115,IF(OR(ISNUMBER($O115),$O115="DNA"),$O115,IF(OR(ISNUMBER($N115),$N115="DNA"),$N115,""))))))))))="DNA",AND(ISNUMBER(IF(OR(ISNUMBER($Y115),$Y115="DNA"),$Y115,IF(OR(ISNUMBER($X115),$X115="DNA"),$X115,IF(OR(ISNUMBER($W115),$W115="DNA"),$W115,IF(OR(ISNUMBER($V115),$V115="DNA"),$V115,IF(OR(ISNUMBER($U115),$U115="DNA"),$U115,IF(OR(ISNUMBER($T115),$T115="DNA"),$T115,IF(OR(ISNUMBER($S115),$S115="DNA"),$S115,IF(OR(ISNUMBER($P115),$P115="DNA"),$P115,IF(OR(ISNUMBER($O115),$O115="DNA"),$O115,IF(OR(ISNUMBER($N115),$N115="DNA"),$N115,""))))))))))),IF(OR(ISNUMBER($Y115),$Y115="DNA"),$Y115,IF(OR(ISNUMBER($X115),$X115="DNA"),$X115,IF(OR(ISNUMBER($W115),$W115="DNA"),$W115,IF(OR(ISNUMBER($V115),$V115="DNA"),$V115,IF(OR(ISNUMBER($U115),$U115="DNA"),$U115,IF(OR(ISNUMBER($T115),$T115="DNA"),$T115,IF(OR(ISNUMBER($S115),$S115="DNA"),$S115,IF(OR(ISNUMBER($P115),$P115="DNA"),$P115,IF(OR(ISNUMBER($O115),$O115="DNA"),$O115,IF(OR(ISNUMBER($N115),$N115="DNA"),$N115,""))))))))))&lt;TODAY())),1,0)+ISNUMBER($Q115)*($Q115&lt;TODAY())+ISNUMBER($R115)*($R115&lt;TODAY())+ISNUMBER($AA115)*($AA115&lt;TODAY())+ISNUMBER($AB115)*($AB115&lt;TODAY()))</f>
        <v/>
      </c>
    </row>
    <row r="116">
      <c r="A116" s="25" t="n"/>
      <c r="B116" s="26" t="n"/>
      <c r="C116" s="27" t="n"/>
      <c r="D116" s="25" t="n"/>
      <c r="E116" s="25" t="n"/>
      <c r="F116" s="25" t="n"/>
      <c r="G116" s="25" t="n"/>
      <c r="H116" s="27" t="n"/>
      <c r="I116" s="25" t="n"/>
      <c r="J116" s="28">
        <f>IF(OR(NOT(AND($A116&lt;&gt;"",OR($I116="",$I116="Active"))),$H116=""),"",INT((TODAY()-$H116+280)/7)&amp;"+"&amp;MOD(TODAY()-$H116+280,7))</f>
        <v/>
      </c>
      <c r="K116" s="28">
        <f>IF(NOT(AND($A116&lt;&gt;"",OR($I116="",$I116="Active"))),"",ISNUMBER($N116)*($N116&gt;=TODAY())*($N116&lt;=TODAY()+7)+ISNUMBER($O116)*($O116&gt;=TODAY())*($O116&lt;=TODAY()+7)+ISNUMBER($P116)*($P116&gt;=TODAY())*($P116&lt;=TODAY()+7)+ISNUMBER($S116)*($S116&gt;=TODAY())*($S116&lt;=TODAY()+7)+ISNUMBER($T116)*($T116&gt;=TODAY())*($T116&lt;=TODAY()+7)+ISNUMBER($U116)*($U116&gt;=TODAY())*($U116&lt;=TODAY()+7)+ISNUMBER($V116)*($V116&gt;=TODAY())*($V116&lt;=TODAY()+7)+ISNUMBER($W116)*($W116&gt;=TODAY())*($W116&lt;=TODAY()+7)+ISNUMBER($X116)*($X116&gt;=TODAY())*($X116&lt;=TODAY()+7)+ISNUMBER($Y116)*($Y116&gt;=TODAY())*($Y116&lt;=TODAY()+7)+ISNUMBER($Q116)*($Q116&gt;=TODAY())*($Q116&lt;=TODAY()+7)+ISNUMBER($R116)*($R116&gt;=TODAY())*($R116&lt;=TODAY()+7)+ISNUMBER($AA116)*($AA116&gt;=TODAY())*($AA116&lt;=TODAY()+7)+ISNUMBER($AB116)*($AB116&gt;=TODAY())*($AB116&lt;=TODAY()+7))</f>
        <v/>
      </c>
      <c r="L116" s="28">
        <f>IF(NOT(AND($A116&lt;&gt;"",OR($I116="",$I116="Active"))),"",IF($M116&lt;&gt;"",IF($N116=$M116,"Booking",IF($O116=$M116,"16/40",IF($P116=$M116,"25/40",IF($S116=$M116,"28/40",IF($T116=$M116,"31/40",IF($U116=$M116,"34/40",IF($V116=$M116,"36/40",IF($W116=$M116,"38/40",IF($X116=$M116,"40/40",IF($Y116=$M116,"41/40","")))))))))),IF(IF(OR(ISNUMBER($Y116),$Y116="DNA"),$Y116,IF(OR(ISNUMBER($X116),$X116="DNA"),$X116,IF(OR(ISNUMBER($W116),$W116="DNA"),$W116,IF(OR(ISNUMBER($V116),$V116="DNA"),$V116,IF(OR(ISNUMBER($U116),$U116="DNA"),$U116,IF(OR(ISNUMBER($T116),$T116="DNA"),$T116,IF(OR(ISNUMBER($S116),$S116="DNA"),$S116,IF(OR(ISNUMBER($P116),$P116="DNA"),$P116,IF(OR(ISNUMBER($O116),$O116="DNA"),$O116,IF(OR(ISNUMBER($N116),$N116="DNA"),$N116,""))))))))))="DNA","Rebook DNA",IF(ISNUMBER(IF(OR(ISNUMBER($Y116),$Y116="DNA"),$Y116,IF(OR(ISNUMBER($X116),$X116="DNA"),$X116,IF(OR(ISNUMBER($W116),$W116="DNA"),$W116,IF(OR(ISNUMBER($V116),$V116="DNA"),$V116,IF(OR(ISNUMBER($U116),$U116="DNA"),$U116,IF(OR(ISNUMBER($T116),$T116="DNA"),$T116,IF(OR(ISNUMBER($S116),$S116="DNA"),$S116,IF(OR(ISNUMBER($P116),$P116="DNA"),$P116,IF(OR(ISNUMBER($O116),$O116="DNA"),$O116,IF(OR(ISNUMBER($N116),$N116="DNA"),$N116,""))))))))))),IF(ISNUMBER($Y116),"Update status","Missed/not booked?"),""))))</f>
        <v/>
      </c>
      <c r="M116" s="29">
        <f>IF(NOT(AND($A116&lt;&gt;"",OR($I116="",$I116="Active"))),"",IF(MIN(IF(AND(ISNUMBER($N116),$N116&gt;=TODAY()),$N116,99999),IF(AND(ISNUMBER($O116),$O116&gt;=TODAY()),$O116,99999),IF(AND(ISNUMBER($P116),$P116&gt;=TODAY()),$P116,99999),IF(AND(ISNUMBER($S116),$S116&gt;=TODAY()),$S116,99999),IF(AND(ISNUMBER($T116),$T116&gt;=TODAY()),$T116,99999),IF(AND(ISNUMBER($U116),$U116&gt;=TODAY()),$U116,99999),IF(AND(ISNUMBER($V116),$V116&gt;=TODAY()),$V116,99999),IF(AND(ISNUMBER($W116),$W116&gt;=TODAY()),$W116,99999),IF(AND(ISNUMBER($X116),$X116&gt;=TODAY()),$X116,99999),IF(AND(ISNUMBER($Y116),$Y116&gt;=TODAY()),$Y116,99999))=99999,"",MIN(IF(AND(ISNUMBER($N116),$N116&gt;=TODAY()),$N116,99999),IF(AND(ISNUMBER($O116),$O116&gt;=TODAY()),$O116,99999),IF(AND(ISNUMBER($P116),$P116&gt;=TODAY()),$P116,99999),IF(AND(ISNUMBER($S116),$S116&gt;=TODAY()),$S116,99999),IF(AND(ISNUMBER($T116),$T116&gt;=TODAY()),$T116,99999),IF(AND(ISNUMBER($U116),$U116&gt;=TODAY()),$U116,99999),IF(AND(ISNUMBER($V116),$V116&gt;=TODAY()),$V116,99999),IF(AND(ISNUMBER($W116),$W116&gt;=TODAY()),$W116,99999),IF(AND(ISNUMBER($X116),$X116&gt;=TODAY()),$X116,99999),IF(AND(ISNUMBER($Y116),$Y116&gt;=TODAY()),$Y116,99999))))</f>
        <v/>
      </c>
      <c r="N116" s="27" t="n"/>
      <c r="O116" s="27" t="n"/>
      <c r="P116" s="27" t="n"/>
      <c r="Q116" s="27" t="n"/>
      <c r="R116" s="27" t="n"/>
      <c r="S116" s="27" t="n"/>
      <c r="T116" s="27" t="n"/>
      <c r="U116" s="27" t="n"/>
      <c r="V116" s="27" t="n"/>
      <c r="W116" s="27" t="n"/>
      <c r="X116" s="27" t="n"/>
      <c r="Y116" s="27" t="n"/>
      <c r="Z116" s="27" t="n"/>
      <c r="AA116" s="27" t="n"/>
      <c r="AB116" s="27" t="n"/>
      <c r="AC116" s="30" t="n"/>
      <c r="AD116" s="25" t="n"/>
      <c r="AE116" s="28">
        <f>IF(NOT(AND($A116&lt;&gt;"",OR($I116="",$I116="Active"))),"",IF(OR(IF(OR(ISNUMBER($Y116),$Y116="DNA"),$Y116,IF(OR(ISNUMBER($X116),$X116="DNA"),$X116,IF(OR(ISNUMBER($W116),$W116="DNA"),$W116,IF(OR(ISNUMBER($V116),$V116="DNA"),$V116,IF(OR(ISNUMBER($U116),$U116="DNA"),$U116,IF(OR(ISNUMBER($T116),$T116="DNA"),$T116,IF(OR(ISNUMBER($S116),$S116="DNA"),$S116,IF(OR(ISNUMBER($P116),$P116="DNA"),$P116,IF(OR(ISNUMBER($O116),$O116="DNA"),$O116,IF(OR(ISNUMBER($N116),$N116="DNA"),$N116,""))))))))))="DNA",AND(ISNUMBER(IF(OR(ISNUMBER($Y116),$Y116="DNA"),$Y116,IF(OR(ISNUMBER($X116),$X116="DNA"),$X116,IF(OR(ISNUMBER($W116),$W116="DNA"),$W116,IF(OR(ISNUMBER($V116),$V116="DNA"),$V116,IF(OR(ISNUMBER($U116),$U116="DNA"),$U116,IF(OR(ISNUMBER($T116),$T116="DNA"),$T116,IF(OR(ISNUMBER($S116),$S116="DNA"),$S116,IF(OR(ISNUMBER($P116),$P116="DNA"),$P116,IF(OR(ISNUMBER($O116),$O116="DNA"),$O116,IF(OR(ISNUMBER($N116),$N116="DNA"),$N116,""))))))))))),IF(OR(ISNUMBER($Y116),$Y116="DNA"),$Y116,IF(OR(ISNUMBER($X116),$X116="DNA"),$X116,IF(OR(ISNUMBER($W116),$W116="DNA"),$W116,IF(OR(ISNUMBER($V116),$V116="DNA"),$V116,IF(OR(ISNUMBER($U116),$U116="DNA"),$U116,IF(OR(ISNUMBER($T116),$T116="DNA"),$T116,IF(OR(ISNUMBER($S116),$S116="DNA"),$S116,IF(OR(ISNUMBER($P116),$P116="DNA"),$P116,IF(OR(ISNUMBER($O116),$O116="DNA"),$O116,IF(OR(ISNUMBER($N116),$N116="DNA"),$N116,""))))))))))&lt;TODAY())),1,0)+ISNUMBER($Q116)*($Q116&lt;TODAY())+ISNUMBER($R116)*($R116&lt;TODAY())+ISNUMBER($AA116)*($AA116&lt;TODAY())+ISNUMBER($AB116)*($AB116&lt;TODAY()))</f>
        <v/>
      </c>
    </row>
    <row r="117">
      <c r="A117" s="25" t="n"/>
      <c r="B117" s="26" t="n"/>
      <c r="C117" s="27" t="n"/>
      <c r="D117" s="25" t="n"/>
      <c r="E117" s="25" t="n"/>
      <c r="F117" s="25" t="n"/>
      <c r="G117" s="25" t="n"/>
      <c r="H117" s="27" t="n"/>
      <c r="I117" s="25" t="n"/>
      <c r="J117" s="28">
        <f>IF(OR(NOT(AND($A117&lt;&gt;"",OR($I117="",$I117="Active"))),$H117=""),"",INT((TODAY()-$H117+280)/7)&amp;"+"&amp;MOD(TODAY()-$H117+280,7))</f>
        <v/>
      </c>
      <c r="K117" s="28">
        <f>IF(NOT(AND($A117&lt;&gt;"",OR($I117="",$I117="Active"))),"",ISNUMBER($N117)*($N117&gt;=TODAY())*($N117&lt;=TODAY()+7)+ISNUMBER($O117)*($O117&gt;=TODAY())*($O117&lt;=TODAY()+7)+ISNUMBER($P117)*($P117&gt;=TODAY())*($P117&lt;=TODAY()+7)+ISNUMBER($S117)*($S117&gt;=TODAY())*($S117&lt;=TODAY()+7)+ISNUMBER($T117)*($T117&gt;=TODAY())*($T117&lt;=TODAY()+7)+ISNUMBER($U117)*($U117&gt;=TODAY())*($U117&lt;=TODAY()+7)+ISNUMBER($V117)*($V117&gt;=TODAY())*($V117&lt;=TODAY()+7)+ISNUMBER($W117)*($W117&gt;=TODAY())*($W117&lt;=TODAY()+7)+ISNUMBER($X117)*($X117&gt;=TODAY())*($X117&lt;=TODAY()+7)+ISNUMBER($Y117)*($Y117&gt;=TODAY())*($Y117&lt;=TODAY()+7)+ISNUMBER($Q117)*($Q117&gt;=TODAY())*($Q117&lt;=TODAY()+7)+ISNUMBER($R117)*($R117&gt;=TODAY())*($R117&lt;=TODAY()+7)+ISNUMBER($AA117)*($AA117&gt;=TODAY())*($AA117&lt;=TODAY()+7)+ISNUMBER($AB117)*($AB117&gt;=TODAY())*($AB117&lt;=TODAY()+7))</f>
        <v/>
      </c>
      <c r="L117" s="28">
        <f>IF(NOT(AND($A117&lt;&gt;"",OR($I117="",$I117="Active"))),"",IF($M117&lt;&gt;"",IF($N117=$M117,"Booking",IF($O117=$M117,"16/40",IF($P117=$M117,"25/40",IF($S117=$M117,"28/40",IF($T117=$M117,"31/40",IF($U117=$M117,"34/40",IF($V117=$M117,"36/40",IF($W117=$M117,"38/40",IF($X117=$M117,"40/40",IF($Y117=$M117,"41/40","")))))))))),IF(IF(OR(ISNUMBER($Y117),$Y117="DNA"),$Y117,IF(OR(ISNUMBER($X117),$X117="DNA"),$X117,IF(OR(ISNUMBER($W117),$W117="DNA"),$W117,IF(OR(ISNUMBER($V117),$V117="DNA"),$V117,IF(OR(ISNUMBER($U117),$U117="DNA"),$U117,IF(OR(ISNUMBER($T117),$T117="DNA"),$T117,IF(OR(ISNUMBER($S117),$S117="DNA"),$S117,IF(OR(ISNUMBER($P117),$P117="DNA"),$P117,IF(OR(ISNUMBER($O117),$O117="DNA"),$O117,IF(OR(ISNUMBER($N117),$N117="DNA"),$N117,""))))))))))="DNA","Rebook DNA",IF(ISNUMBER(IF(OR(ISNUMBER($Y117),$Y117="DNA"),$Y117,IF(OR(ISNUMBER($X117),$X117="DNA"),$X117,IF(OR(ISNUMBER($W117),$W117="DNA"),$W117,IF(OR(ISNUMBER($V117),$V117="DNA"),$V117,IF(OR(ISNUMBER($U117),$U117="DNA"),$U117,IF(OR(ISNUMBER($T117),$T117="DNA"),$T117,IF(OR(ISNUMBER($S117),$S117="DNA"),$S117,IF(OR(ISNUMBER($P117),$P117="DNA"),$P117,IF(OR(ISNUMBER($O117),$O117="DNA"),$O117,IF(OR(ISNUMBER($N117),$N117="DNA"),$N117,""))))))))))),IF(ISNUMBER($Y117),"Update status","Missed/not booked?"),""))))</f>
        <v/>
      </c>
      <c r="M117" s="29">
        <f>IF(NOT(AND($A117&lt;&gt;"",OR($I117="",$I117="Active"))),"",IF(MIN(IF(AND(ISNUMBER($N117),$N117&gt;=TODAY()),$N117,99999),IF(AND(ISNUMBER($O117),$O117&gt;=TODAY()),$O117,99999),IF(AND(ISNUMBER($P117),$P117&gt;=TODAY()),$P117,99999),IF(AND(ISNUMBER($S117),$S117&gt;=TODAY()),$S117,99999),IF(AND(ISNUMBER($T117),$T117&gt;=TODAY()),$T117,99999),IF(AND(ISNUMBER($U117),$U117&gt;=TODAY()),$U117,99999),IF(AND(ISNUMBER($V117),$V117&gt;=TODAY()),$V117,99999),IF(AND(ISNUMBER($W117),$W117&gt;=TODAY()),$W117,99999),IF(AND(ISNUMBER($X117),$X117&gt;=TODAY()),$X117,99999),IF(AND(ISNUMBER($Y117),$Y117&gt;=TODAY()),$Y117,99999))=99999,"",MIN(IF(AND(ISNUMBER($N117),$N117&gt;=TODAY()),$N117,99999),IF(AND(ISNUMBER($O117),$O117&gt;=TODAY()),$O117,99999),IF(AND(ISNUMBER($P117),$P117&gt;=TODAY()),$P117,99999),IF(AND(ISNUMBER($S117),$S117&gt;=TODAY()),$S117,99999),IF(AND(ISNUMBER($T117),$T117&gt;=TODAY()),$T117,99999),IF(AND(ISNUMBER($U117),$U117&gt;=TODAY()),$U117,99999),IF(AND(ISNUMBER($V117),$V117&gt;=TODAY()),$V117,99999),IF(AND(ISNUMBER($W117),$W117&gt;=TODAY()),$W117,99999),IF(AND(ISNUMBER($X117),$X117&gt;=TODAY()),$X117,99999),IF(AND(ISNUMBER($Y117),$Y117&gt;=TODAY()),$Y117,99999))))</f>
        <v/>
      </c>
      <c r="N117" s="27" t="n"/>
      <c r="O117" s="27" t="n"/>
      <c r="P117" s="27" t="n"/>
      <c r="Q117" s="27" t="n"/>
      <c r="R117" s="27" t="n"/>
      <c r="S117" s="27" t="n"/>
      <c r="T117" s="27" t="n"/>
      <c r="U117" s="27" t="n"/>
      <c r="V117" s="27" t="n"/>
      <c r="W117" s="27" t="n"/>
      <c r="X117" s="27" t="n"/>
      <c r="Y117" s="27" t="n"/>
      <c r="Z117" s="27" t="n"/>
      <c r="AA117" s="27" t="n"/>
      <c r="AB117" s="27" t="n"/>
      <c r="AC117" s="30" t="n"/>
      <c r="AD117" s="25" t="n"/>
      <c r="AE117" s="28">
        <f>IF(NOT(AND($A117&lt;&gt;"",OR($I117="",$I117="Active"))),"",IF(OR(IF(OR(ISNUMBER($Y117),$Y117="DNA"),$Y117,IF(OR(ISNUMBER($X117),$X117="DNA"),$X117,IF(OR(ISNUMBER($W117),$W117="DNA"),$W117,IF(OR(ISNUMBER($V117),$V117="DNA"),$V117,IF(OR(ISNUMBER($U117),$U117="DNA"),$U117,IF(OR(ISNUMBER($T117),$T117="DNA"),$T117,IF(OR(ISNUMBER($S117),$S117="DNA"),$S117,IF(OR(ISNUMBER($P117),$P117="DNA"),$P117,IF(OR(ISNUMBER($O117),$O117="DNA"),$O117,IF(OR(ISNUMBER($N117),$N117="DNA"),$N117,""))))))))))="DNA",AND(ISNUMBER(IF(OR(ISNUMBER($Y117),$Y117="DNA"),$Y117,IF(OR(ISNUMBER($X117),$X117="DNA"),$X117,IF(OR(ISNUMBER($W117),$W117="DNA"),$W117,IF(OR(ISNUMBER($V117),$V117="DNA"),$V117,IF(OR(ISNUMBER($U117),$U117="DNA"),$U117,IF(OR(ISNUMBER($T117),$T117="DNA"),$T117,IF(OR(ISNUMBER($S117),$S117="DNA"),$S117,IF(OR(ISNUMBER($P117),$P117="DNA"),$P117,IF(OR(ISNUMBER($O117),$O117="DNA"),$O117,IF(OR(ISNUMBER($N117),$N117="DNA"),$N117,""))))))))))),IF(OR(ISNUMBER($Y117),$Y117="DNA"),$Y117,IF(OR(ISNUMBER($X117),$X117="DNA"),$X117,IF(OR(ISNUMBER($W117),$W117="DNA"),$W117,IF(OR(ISNUMBER($V117),$V117="DNA"),$V117,IF(OR(ISNUMBER($U117),$U117="DNA"),$U117,IF(OR(ISNUMBER($T117),$T117="DNA"),$T117,IF(OR(ISNUMBER($S117),$S117="DNA"),$S117,IF(OR(ISNUMBER($P117),$P117="DNA"),$P117,IF(OR(ISNUMBER($O117),$O117="DNA"),$O117,IF(OR(ISNUMBER($N117),$N117="DNA"),$N117,""))))))))))&lt;TODAY())),1,0)+ISNUMBER($Q117)*($Q117&lt;TODAY())+ISNUMBER($R117)*($R117&lt;TODAY())+ISNUMBER($AA117)*($AA117&lt;TODAY())+ISNUMBER($AB117)*($AB117&lt;TODAY()))</f>
        <v/>
      </c>
    </row>
    <row r="118">
      <c r="A118" s="25" t="n"/>
      <c r="B118" s="26" t="n"/>
      <c r="C118" s="27" t="n"/>
      <c r="D118" s="25" t="n"/>
      <c r="E118" s="25" t="n"/>
      <c r="F118" s="25" t="n"/>
      <c r="G118" s="25" t="n"/>
      <c r="H118" s="27" t="n"/>
      <c r="I118" s="25" t="n"/>
      <c r="J118" s="28">
        <f>IF(OR(NOT(AND($A118&lt;&gt;"",OR($I118="",$I118="Active"))),$H118=""),"",INT((TODAY()-$H118+280)/7)&amp;"+"&amp;MOD(TODAY()-$H118+280,7))</f>
        <v/>
      </c>
      <c r="K118" s="28">
        <f>IF(NOT(AND($A118&lt;&gt;"",OR($I118="",$I118="Active"))),"",ISNUMBER($N118)*($N118&gt;=TODAY())*($N118&lt;=TODAY()+7)+ISNUMBER($O118)*($O118&gt;=TODAY())*($O118&lt;=TODAY()+7)+ISNUMBER($P118)*($P118&gt;=TODAY())*($P118&lt;=TODAY()+7)+ISNUMBER($S118)*($S118&gt;=TODAY())*($S118&lt;=TODAY()+7)+ISNUMBER($T118)*($T118&gt;=TODAY())*($T118&lt;=TODAY()+7)+ISNUMBER($U118)*($U118&gt;=TODAY())*($U118&lt;=TODAY()+7)+ISNUMBER($V118)*($V118&gt;=TODAY())*($V118&lt;=TODAY()+7)+ISNUMBER($W118)*($W118&gt;=TODAY())*($W118&lt;=TODAY()+7)+ISNUMBER($X118)*($X118&gt;=TODAY())*($X118&lt;=TODAY()+7)+ISNUMBER($Y118)*($Y118&gt;=TODAY())*($Y118&lt;=TODAY()+7)+ISNUMBER($Q118)*($Q118&gt;=TODAY())*($Q118&lt;=TODAY()+7)+ISNUMBER($R118)*($R118&gt;=TODAY())*($R118&lt;=TODAY()+7)+ISNUMBER($AA118)*($AA118&gt;=TODAY())*($AA118&lt;=TODAY()+7)+ISNUMBER($AB118)*($AB118&gt;=TODAY())*($AB118&lt;=TODAY()+7))</f>
        <v/>
      </c>
      <c r="L118" s="28">
        <f>IF(NOT(AND($A118&lt;&gt;"",OR($I118="",$I118="Active"))),"",IF($M118&lt;&gt;"",IF($N118=$M118,"Booking",IF($O118=$M118,"16/40",IF($P118=$M118,"25/40",IF($S118=$M118,"28/40",IF($T118=$M118,"31/40",IF($U118=$M118,"34/40",IF($V118=$M118,"36/40",IF($W118=$M118,"38/40",IF($X118=$M118,"40/40",IF($Y118=$M118,"41/40","")))))))))),IF(IF(OR(ISNUMBER($Y118),$Y118="DNA"),$Y118,IF(OR(ISNUMBER($X118),$X118="DNA"),$X118,IF(OR(ISNUMBER($W118),$W118="DNA"),$W118,IF(OR(ISNUMBER($V118),$V118="DNA"),$V118,IF(OR(ISNUMBER($U118),$U118="DNA"),$U118,IF(OR(ISNUMBER($T118),$T118="DNA"),$T118,IF(OR(ISNUMBER($S118),$S118="DNA"),$S118,IF(OR(ISNUMBER($P118),$P118="DNA"),$P118,IF(OR(ISNUMBER($O118),$O118="DNA"),$O118,IF(OR(ISNUMBER($N118),$N118="DNA"),$N118,""))))))))))="DNA","Rebook DNA",IF(ISNUMBER(IF(OR(ISNUMBER($Y118),$Y118="DNA"),$Y118,IF(OR(ISNUMBER($X118),$X118="DNA"),$X118,IF(OR(ISNUMBER($W118),$W118="DNA"),$W118,IF(OR(ISNUMBER($V118),$V118="DNA"),$V118,IF(OR(ISNUMBER($U118),$U118="DNA"),$U118,IF(OR(ISNUMBER($T118),$T118="DNA"),$T118,IF(OR(ISNUMBER($S118),$S118="DNA"),$S118,IF(OR(ISNUMBER($P118),$P118="DNA"),$P118,IF(OR(ISNUMBER($O118),$O118="DNA"),$O118,IF(OR(ISNUMBER($N118),$N118="DNA"),$N118,""))))))))))),IF(ISNUMBER($Y118),"Update status","Missed/not booked?"),""))))</f>
        <v/>
      </c>
      <c r="M118" s="29">
        <f>IF(NOT(AND($A118&lt;&gt;"",OR($I118="",$I118="Active"))),"",IF(MIN(IF(AND(ISNUMBER($N118),$N118&gt;=TODAY()),$N118,99999),IF(AND(ISNUMBER($O118),$O118&gt;=TODAY()),$O118,99999),IF(AND(ISNUMBER($P118),$P118&gt;=TODAY()),$P118,99999),IF(AND(ISNUMBER($S118),$S118&gt;=TODAY()),$S118,99999),IF(AND(ISNUMBER($T118),$T118&gt;=TODAY()),$T118,99999),IF(AND(ISNUMBER($U118),$U118&gt;=TODAY()),$U118,99999),IF(AND(ISNUMBER($V118),$V118&gt;=TODAY()),$V118,99999),IF(AND(ISNUMBER($W118),$W118&gt;=TODAY()),$W118,99999),IF(AND(ISNUMBER($X118),$X118&gt;=TODAY()),$X118,99999),IF(AND(ISNUMBER($Y118),$Y118&gt;=TODAY()),$Y118,99999))=99999,"",MIN(IF(AND(ISNUMBER($N118),$N118&gt;=TODAY()),$N118,99999),IF(AND(ISNUMBER($O118),$O118&gt;=TODAY()),$O118,99999),IF(AND(ISNUMBER($P118),$P118&gt;=TODAY()),$P118,99999),IF(AND(ISNUMBER($S118),$S118&gt;=TODAY()),$S118,99999),IF(AND(ISNUMBER($T118),$T118&gt;=TODAY()),$T118,99999),IF(AND(ISNUMBER($U118),$U118&gt;=TODAY()),$U118,99999),IF(AND(ISNUMBER($V118),$V118&gt;=TODAY()),$V118,99999),IF(AND(ISNUMBER($W118),$W118&gt;=TODAY()),$W118,99999),IF(AND(ISNUMBER($X118),$X118&gt;=TODAY()),$X118,99999),IF(AND(ISNUMBER($Y118),$Y118&gt;=TODAY()),$Y118,99999))))</f>
        <v/>
      </c>
      <c r="N118" s="27" t="n"/>
      <c r="O118" s="27" t="n"/>
      <c r="P118" s="27" t="n"/>
      <c r="Q118" s="27" t="n"/>
      <c r="R118" s="27" t="n"/>
      <c r="S118" s="27" t="n"/>
      <c r="T118" s="27" t="n"/>
      <c r="U118" s="27" t="n"/>
      <c r="V118" s="27" t="n"/>
      <c r="W118" s="27" t="n"/>
      <c r="X118" s="27" t="n"/>
      <c r="Y118" s="27" t="n"/>
      <c r="Z118" s="27" t="n"/>
      <c r="AA118" s="27" t="n"/>
      <c r="AB118" s="27" t="n"/>
      <c r="AC118" s="30" t="n"/>
      <c r="AD118" s="25" t="n"/>
      <c r="AE118" s="28">
        <f>IF(NOT(AND($A118&lt;&gt;"",OR($I118="",$I118="Active"))),"",IF(OR(IF(OR(ISNUMBER($Y118),$Y118="DNA"),$Y118,IF(OR(ISNUMBER($X118),$X118="DNA"),$X118,IF(OR(ISNUMBER($W118),$W118="DNA"),$W118,IF(OR(ISNUMBER($V118),$V118="DNA"),$V118,IF(OR(ISNUMBER($U118),$U118="DNA"),$U118,IF(OR(ISNUMBER($T118),$T118="DNA"),$T118,IF(OR(ISNUMBER($S118),$S118="DNA"),$S118,IF(OR(ISNUMBER($P118),$P118="DNA"),$P118,IF(OR(ISNUMBER($O118),$O118="DNA"),$O118,IF(OR(ISNUMBER($N118),$N118="DNA"),$N118,""))))))))))="DNA",AND(ISNUMBER(IF(OR(ISNUMBER($Y118),$Y118="DNA"),$Y118,IF(OR(ISNUMBER($X118),$X118="DNA"),$X118,IF(OR(ISNUMBER($W118),$W118="DNA"),$W118,IF(OR(ISNUMBER($V118),$V118="DNA"),$V118,IF(OR(ISNUMBER($U118),$U118="DNA"),$U118,IF(OR(ISNUMBER($T118),$T118="DNA"),$T118,IF(OR(ISNUMBER($S118),$S118="DNA"),$S118,IF(OR(ISNUMBER($P118),$P118="DNA"),$P118,IF(OR(ISNUMBER($O118),$O118="DNA"),$O118,IF(OR(ISNUMBER($N118),$N118="DNA"),$N118,""))))))))))),IF(OR(ISNUMBER($Y118),$Y118="DNA"),$Y118,IF(OR(ISNUMBER($X118),$X118="DNA"),$X118,IF(OR(ISNUMBER($W118),$W118="DNA"),$W118,IF(OR(ISNUMBER($V118),$V118="DNA"),$V118,IF(OR(ISNUMBER($U118),$U118="DNA"),$U118,IF(OR(ISNUMBER($T118),$T118="DNA"),$T118,IF(OR(ISNUMBER($S118),$S118="DNA"),$S118,IF(OR(ISNUMBER($P118),$P118="DNA"),$P118,IF(OR(ISNUMBER($O118),$O118="DNA"),$O118,IF(OR(ISNUMBER($N118),$N118="DNA"),$N118,""))))))))))&lt;TODAY())),1,0)+ISNUMBER($Q118)*($Q118&lt;TODAY())+ISNUMBER($R118)*($R118&lt;TODAY())+ISNUMBER($AA118)*($AA118&lt;TODAY())+ISNUMBER($AB118)*($AB118&lt;TODAY()))</f>
        <v/>
      </c>
    </row>
    <row r="119">
      <c r="A119" s="25" t="n"/>
      <c r="B119" s="26" t="n"/>
      <c r="C119" s="27" t="n"/>
      <c r="D119" s="25" t="n"/>
      <c r="E119" s="25" t="n"/>
      <c r="F119" s="25" t="n"/>
      <c r="G119" s="25" t="n"/>
      <c r="H119" s="27" t="n"/>
      <c r="I119" s="25" t="n"/>
      <c r="J119" s="28">
        <f>IF(OR(NOT(AND($A119&lt;&gt;"",OR($I119="",$I119="Active"))),$H119=""),"",INT((TODAY()-$H119+280)/7)&amp;"+"&amp;MOD(TODAY()-$H119+280,7))</f>
        <v/>
      </c>
      <c r="K119" s="28">
        <f>IF(NOT(AND($A119&lt;&gt;"",OR($I119="",$I119="Active"))),"",ISNUMBER($N119)*($N119&gt;=TODAY())*($N119&lt;=TODAY()+7)+ISNUMBER($O119)*($O119&gt;=TODAY())*($O119&lt;=TODAY()+7)+ISNUMBER($P119)*($P119&gt;=TODAY())*($P119&lt;=TODAY()+7)+ISNUMBER($S119)*($S119&gt;=TODAY())*($S119&lt;=TODAY()+7)+ISNUMBER($T119)*($T119&gt;=TODAY())*($T119&lt;=TODAY()+7)+ISNUMBER($U119)*($U119&gt;=TODAY())*($U119&lt;=TODAY()+7)+ISNUMBER($V119)*($V119&gt;=TODAY())*($V119&lt;=TODAY()+7)+ISNUMBER($W119)*($W119&gt;=TODAY())*($W119&lt;=TODAY()+7)+ISNUMBER($X119)*($X119&gt;=TODAY())*($X119&lt;=TODAY()+7)+ISNUMBER($Y119)*($Y119&gt;=TODAY())*($Y119&lt;=TODAY()+7)+ISNUMBER($Q119)*($Q119&gt;=TODAY())*($Q119&lt;=TODAY()+7)+ISNUMBER($R119)*($R119&gt;=TODAY())*($R119&lt;=TODAY()+7)+ISNUMBER($AA119)*($AA119&gt;=TODAY())*($AA119&lt;=TODAY()+7)+ISNUMBER($AB119)*($AB119&gt;=TODAY())*($AB119&lt;=TODAY()+7))</f>
        <v/>
      </c>
      <c r="L119" s="28">
        <f>IF(NOT(AND($A119&lt;&gt;"",OR($I119="",$I119="Active"))),"",IF($M119&lt;&gt;"",IF($N119=$M119,"Booking",IF($O119=$M119,"16/40",IF($P119=$M119,"25/40",IF($S119=$M119,"28/40",IF($T119=$M119,"31/40",IF($U119=$M119,"34/40",IF($V119=$M119,"36/40",IF($W119=$M119,"38/40",IF($X119=$M119,"40/40",IF($Y119=$M119,"41/40","")))))))))),IF(IF(OR(ISNUMBER($Y119),$Y119="DNA"),$Y119,IF(OR(ISNUMBER($X119),$X119="DNA"),$X119,IF(OR(ISNUMBER($W119),$W119="DNA"),$W119,IF(OR(ISNUMBER($V119),$V119="DNA"),$V119,IF(OR(ISNUMBER($U119),$U119="DNA"),$U119,IF(OR(ISNUMBER($T119),$T119="DNA"),$T119,IF(OR(ISNUMBER($S119),$S119="DNA"),$S119,IF(OR(ISNUMBER($P119),$P119="DNA"),$P119,IF(OR(ISNUMBER($O119),$O119="DNA"),$O119,IF(OR(ISNUMBER($N119),$N119="DNA"),$N119,""))))))))))="DNA","Rebook DNA",IF(ISNUMBER(IF(OR(ISNUMBER($Y119),$Y119="DNA"),$Y119,IF(OR(ISNUMBER($X119),$X119="DNA"),$X119,IF(OR(ISNUMBER($W119),$W119="DNA"),$W119,IF(OR(ISNUMBER($V119),$V119="DNA"),$V119,IF(OR(ISNUMBER($U119),$U119="DNA"),$U119,IF(OR(ISNUMBER($T119),$T119="DNA"),$T119,IF(OR(ISNUMBER($S119),$S119="DNA"),$S119,IF(OR(ISNUMBER($P119),$P119="DNA"),$P119,IF(OR(ISNUMBER($O119),$O119="DNA"),$O119,IF(OR(ISNUMBER($N119),$N119="DNA"),$N119,""))))))))))),IF(ISNUMBER($Y119),"Update status","Missed/not booked?"),""))))</f>
        <v/>
      </c>
      <c r="M119" s="29">
        <f>IF(NOT(AND($A119&lt;&gt;"",OR($I119="",$I119="Active"))),"",IF(MIN(IF(AND(ISNUMBER($N119),$N119&gt;=TODAY()),$N119,99999),IF(AND(ISNUMBER($O119),$O119&gt;=TODAY()),$O119,99999),IF(AND(ISNUMBER($P119),$P119&gt;=TODAY()),$P119,99999),IF(AND(ISNUMBER($S119),$S119&gt;=TODAY()),$S119,99999),IF(AND(ISNUMBER($T119),$T119&gt;=TODAY()),$T119,99999),IF(AND(ISNUMBER($U119),$U119&gt;=TODAY()),$U119,99999),IF(AND(ISNUMBER($V119),$V119&gt;=TODAY()),$V119,99999),IF(AND(ISNUMBER($W119),$W119&gt;=TODAY()),$W119,99999),IF(AND(ISNUMBER($X119),$X119&gt;=TODAY()),$X119,99999),IF(AND(ISNUMBER($Y119),$Y119&gt;=TODAY()),$Y119,99999))=99999,"",MIN(IF(AND(ISNUMBER($N119),$N119&gt;=TODAY()),$N119,99999),IF(AND(ISNUMBER($O119),$O119&gt;=TODAY()),$O119,99999),IF(AND(ISNUMBER($P119),$P119&gt;=TODAY()),$P119,99999),IF(AND(ISNUMBER($S119),$S119&gt;=TODAY()),$S119,99999),IF(AND(ISNUMBER($T119),$T119&gt;=TODAY()),$T119,99999),IF(AND(ISNUMBER($U119),$U119&gt;=TODAY()),$U119,99999),IF(AND(ISNUMBER($V119),$V119&gt;=TODAY()),$V119,99999),IF(AND(ISNUMBER($W119),$W119&gt;=TODAY()),$W119,99999),IF(AND(ISNUMBER($X119),$X119&gt;=TODAY()),$X119,99999),IF(AND(ISNUMBER($Y119),$Y119&gt;=TODAY()),$Y119,99999))))</f>
        <v/>
      </c>
      <c r="N119" s="27" t="n"/>
      <c r="O119" s="27" t="n"/>
      <c r="P119" s="27" t="n"/>
      <c r="Q119" s="27" t="n"/>
      <c r="R119" s="27" t="n"/>
      <c r="S119" s="27" t="n"/>
      <c r="T119" s="27" t="n"/>
      <c r="U119" s="27" t="n"/>
      <c r="V119" s="27" t="n"/>
      <c r="W119" s="27" t="n"/>
      <c r="X119" s="27" t="n"/>
      <c r="Y119" s="27" t="n"/>
      <c r="Z119" s="27" t="n"/>
      <c r="AA119" s="27" t="n"/>
      <c r="AB119" s="27" t="n"/>
      <c r="AC119" s="30" t="n"/>
      <c r="AD119" s="25" t="n"/>
      <c r="AE119" s="28">
        <f>IF(NOT(AND($A119&lt;&gt;"",OR($I119="",$I119="Active"))),"",IF(OR(IF(OR(ISNUMBER($Y119),$Y119="DNA"),$Y119,IF(OR(ISNUMBER($X119),$X119="DNA"),$X119,IF(OR(ISNUMBER($W119),$W119="DNA"),$W119,IF(OR(ISNUMBER($V119),$V119="DNA"),$V119,IF(OR(ISNUMBER($U119),$U119="DNA"),$U119,IF(OR(ISNUMBER($T119),$T119="DNA"),$T119,IF(OR(ISNUMBER($S119),$S119="DNA"),$S119,IF(OR(ISNUMBER($P119),$P119="DNA"),$P119,IF(OR(ISNUMBER($O119),$O119="DNA"),$O119,IF(OR(ISNUMBER($N119),$N119="DNA"),$N119,""))))))))))="DNA",AND(ISNUMBER(IF(OR(ISNUMBER($Y119),$Y119="DNA"),$Y119,IF(OR(ISNUMBER($X119),$X119="DNA"),$X119,IF(OR(ISNUMBER($W119),$W119="DNA"),$W119,IF(OR(ISNUMBER($V119),$V119="DNA"),$V119,IF(OR(ISNUMBER($U119),$U119="DNA"),$U119,IF(OR(ISNUMBER($T119),$T119="DNA"),$T119,IF(OR(ISNUMBER($S119),$S119="DNA"),$S119,IF(OR(ISNUMBER($P119),$P119="DNA"),$P119,IF(OR(ISNUMBER($O119),$O119="DNA"),$O119,IF(OR(ISNUMBER($N119),$N119="DNA"),$N119,""))))))))))),IF(OR(ISNUMBER($Y119),$Y119="DNA"),$Y119,IF(OR(ISNUMBER($X119),$X119="DNA"),$X119,IF(OR(ISNUMBER($W119),$W119="DNA"),$W119,IF(OR(ISNUMBER($V119),$V119="DNA"),$V119,IF(OR(ISNUMBER($U119),$U119="DNA"),$U119,IF(OR(ISNUMBER($T119),$T119="DNA"),$T119,IF(OR(ISNUMBER($S119),$S119="DNA"),$S119,IF(OR(ISNUMBER($P119),$P119="DNA"),$P119,IF(OR(ISNUMBER($O119),$O119="DNA"),$O119,IF(OR(ISNUMBER($N119),$N119="DNA"),$N119,""))))))))))&lt;TODAY())),1,0)+ISNUMBER($Q119)*($Q119&lt;TODAY())+ISNUMBER($R119)*($R119&lt;TODAY())+ISNUMBER($AA119)*($AA119&lt;TODAY())+ISNUMBER($AB119)*($AB119&lt;TODAY()))</f>
        <v/>
      </c>
    </row>
    <row r="120">
      <c r="A120" s="25" t="n"/>
      <c r="B120" s="26" t="n"/>
      <c r="C120" s="27" t="n"/>
      <c r="D120" s="25" t="n"/>
      <c r="E120" s="25" t="n"/>
      <c r="F120" s="25" t="n"/>
      <c r="G120" s="25" t="n"/>
      <c r="H120" s="27" t="n"/>
      <c r="I120" s="25" t="n"/>
      <c r="J120" s="28">
        <f>IF(OR(NOT(AND($A120&lt;&gt;"",OR($I120="",$I120="Active"))),$H120=""),"",INT((TODAY()-$H120+280)/7)&amp;"+"&amp;MOD(TODAY()-$H120+280,7))</f>
        <v/>
      </c>
      <c r="K120" s="28">
        <f>IF(NOT(AND($A120&lt;&gt;"",OR($I120="",$I120="Active"))),"",ISNUMBER($N120)*($N120&gt;=TODAY())*($N120&lt;=TODAY()+7)+ISNUMBER($O120)*($O120&gt;=TODAY())*($O120&lt;=TODAY()+7)+ISNUMBER($P120)*($P120&gt;=TODAY())*($P120&lt;=TODAY()+7)+ISNUMBER($S120)*($S120&gt;=TODAY())*($S120&lt;=TODAY()+7)+ISNUMBER($T120)*($T120&gt;=TODAY())*($T120&lt;=TODAY()+7)+ISNUMBER($U120)*($U120&gt;=TODAY())*($U120&lt;=TODAY()+7)+ISNUMBER($V120)*($V120&gt;=TODAY())*($V120&lt;=TODAY()+7)+ISNUMBER($W120)*($W120&gt;=TODAY())*($W120&lt;=TODAY()+7)+ISNUMBER($X120)*($X120&gt;=TODAY())*($X120&lt;=TODAY()+7)+ISNUMBER($Y120)*($Y120&gt;=TODAY())*($Y120&lt;=TODAY()+7)+ISNUMBER($Q120)*($Q120&gt;=TODAY())*($Q120&lt;=TODAY()+7)+ISNUMBER($R120)*($R120&gt;=TODAY())*($R120&lt;=TODAY()+7)+ISNUMBER($AA120)*($AA120&gt;=TODAY())*($AA120&lt;=TODAY()+7)+ISNUMBER($AB120)*($AB120&gt;=TODAY())*($AB120&lt;=TODAY()+7))</f>
        <v/>
      </c>
      <c r="L120" s="28">
        <f>IF(NOT(AND($A120&lt;&gt;"",OR($I120="",$I120="Active"))),"",IF($M120&lt;&gt;"",IF($N120=$M120,"Booking",IF($O120=$M120,"16/40",IF($P120=$M120,"25/40",IF($S120=$M120,"28/40",IF($T120=$M120,"31/40",IF($U120=$M120,"34/40",IF($V120=$M120,"36/40",IF($W120=$M120,"38/40",IF($X120=$M120,"40/40",IF($Y120=$M120,"41/40","")))))))))),IF(IF(OR(ISNUMBER($Y120),$Y120="DNA"),$Y120,IF(OR(ISNUMBER($X120),$X120="DNA"),$X120,IF(OR(ISNUMBER($W120),$W120="DNA"),$W120,IF(OR(ISNUMBER($V120),$V120="DNA"),$V120,IF(OR(ISNUMBER($U120),$U120="DNA"),$U120,IF(OR(ISNUMBER($T120),$T120="DNA"),$T120,IF(OR(ISNUMBER($S120),$S120="DNA"),$S120,IF(OR(ISNUMBER($P120),$P120="DNA"),$P120,IF(OR(ISNUMBER($O120),$O120="DNA"),$O120,IF(OR(ISNUMBER($N120),$N120="DNA"),$N120,""))))))))))="DNA","Rebook DNA",IF(ISNUMBER(IF(OR(ISNUMBER($Y120),$Y120="DNA"),$Y120,IF(OR(ISNUMBER($X120),$X120="DNA"),$X120,IF(OR(ISNUMBER($W120),$W120="DNA"),$W120,IF(OR(ISNUMBER($V120),$V120="DNA"),$V120,IF(OR(ISNUMBER($U120),$U120="DNA"),$U120,IF(OR(ISNUMBER($T120),$T120="DNA"),$T120,IF(OR(ISNUMBER($S120),$S120="DNA"),$S120,IF(OR(ISNUMBER($P120),$P120="DNA"),$P120,IF(OR(ISNUMBER($O120),$O120="DNA"),$O120,IF(OR(ISNUMBER($N120),$N120="DNA"),$N120,""))))))))))),IF(ISNUMBER($Y120),"Update status","Missed/not booked?"),""))))</f>
        <v/>
      </c>
      <c r="M120" s="29">
        <f>IF(NOT(AND($A120&lt;&gt;"",OR($I120="",$I120="Active"))),"",IF(MIN(IF(AND(ISNUMBER($N120),$N120&gt;=TODAY()),$N120,99999),IF(AND(ISNUMBER($O120),$O120&gt;=TODAY()),$O120,99999),IF(AND(ISNUMBER($P120),$P120&gt;=TODAY()),$P120,99999),IF(AND(ISNUMBER($S120),$S120&gt;=TODAY()),$S120,99999),IF(AND(ISNUMBER($T120),$T120&gt;=TODAY()),$T120,99999),IF(AND(ISNUMBER($U120),$U120&gt;=TODAY()),$U120,99999),IF(AND(ISNUMBER($V120),$V120&gt;=TODAY()),$V120,99999),IF(AND(ISNUMBER($W120),$W120&gt;=TODAY()),$W120,99999),IF(AND(ISNUMBER($X120),$X120&gt;=TODAY()),$X120,99999),IF(AND(ISNUMBER($Y120),$Y120&gt;=TODAY()),$Y120,99999))=99999,"",MIN(IF(AND(ISNUMBER($N120),$N120&gt;=TODAY()),$N120,99999),IF(AND(ISNUMBER($O120),$O120&gt;=TODAY()),$O120,99999),IF(AND(ISNUMBER($P120),$P120&gt;=TODAY()),$P120,99999),IF(AND(ISNUMBER($S120),$S120&gt;=TODAY()),$S120,99999),IF(AND(ISNUMBER($T120),$T120&gt;=TODAY()),$T120,99999),IF(AND(ISNUMBER($U120),$U120&gt;=TODAY()),$U120,99999),IF(AND(ISNUMBER($V120),$V120&gt;=TODAY()),$V120,99999),IF(AND(ISNUMBER($W120),$W120&gt;=TODAY()),$W120,99999),IF(AND(ISNUMBER($X120),$X120&gt;=TODAY()),$X120,99999),IF(AND(ISNUMBER($Y120),$Y120&gt;=TODAY()),$Y120,99999))))</f>
        <v/>
      </c>
      <c r="N120" s="27" t="n"/>
      <c r="O120" s="27" t="n"/>
      <c r="P120" s="27" t="n"/>
      <c r="Q120" s="27" t="n"/>
      <c r="R120" s="27" t="n"/>
      <c r="S120" s="27" t="n"/>
      <c r="T120" s="27" t="n"/>
      <c r="U120" s="27" t="n"/>
      <c r="V120" s="27" t="n"/>
      <c r="W120" s="27" t="n"/>
      <c r="X120" s="27" t="n"/>
      <c r="Y120" s="27" t="n"/>
      <c r="Z120" s="27" t="n"/>
      <c r="AA120" s="27" t="n"/>
      <c r="AB120" s="27" t="n"/>
      <c r="AC120" s="30" t="n"/>
      <c r="AD120" s="25" t="n"/>
      <c r="AE120" s="28">
        <f>IF(NOT(AND($A120&lt;&gt;"",OR($I120="",$I120="Active"))),"",IF(OR(IF(OR(ISNUMBER($Y120),$Y120="DNA"),$Y120,IF(OR(ISNUMBER($X120),$X120="DNA"),$X120,IF(OR(ISNUMBER($W120),$W120="DNA"),$W120,IF(OR(ISNUMBER($V120),$V120="DNA"),$V120,IF(OR(ISNUMBER($U120),$U120="DNA"),$U120,IF(OR(ISNUMBER($T120),$T120="DNA"),$T120,IF(OR(ISNUMBER($S120),$S120="DNA"),$S120,IF(OR(ISNUMBER($P120),$P120="DNA"),$P120,IF(OR(ISNUMBER($O120),$O120="DNA"),$O120,IF(OR(ISNUMBER($N120),$N120="DNA"),$N120,""))))))))))="DNA",AND(ISNUMBER(IF(OR(ISNUMBER($Y120),$Y120="DNA"),$Y120,IF(OR(ISNUMBER($X120),$X120="DNA"),$X120,IF(OR(ISNUMBER($W120),$W120="DNA"),$W120,IF(OR(ISNUMBER($V120),$V120="DNA"),$V120,IF(OR(ISNUMBER($U120),$U120="DNA"),$U120,IF(OR(ISNUMBER($T120),$T120="DNA"),$T120,IF(OR(ISNUMBER($S120),$S120="DNA"),$S120,IF(OR(ISNUMBER($P120),$P120="DNA"),$P120,IF(OR(ISNUMBER($O120),$O120="DNA"),$O120,IF(OR(ISNUMBER($N120),$N120="DNA"),$N120,""))))))))))),IF(OR(ISNUMBER($Y120),$Y120="DNA"),$Y120,IF(OR(ISNUMBER($X120),$X120="DNA"),$X120,IF(OR(ISNUMBER($W120),$W120="DNA"),$W120,IF(OR(ISNUMBER($V120),$V120="DNA"),$V120,IF(OR(ISNUMBER($U120),$U120="DNA"),$U120,IF(OR(ISNUMBER($T120),$T120="DNA"),$T120,IF(OR(ISNUMBER($S120),$S120="DNA"),$S120,IF(OR(ISNUMBER($P120),$P120="DNA"),$P120,IF(OR(ISNUMBER($O120),$O120="DNA"),$O120,IF(OR(ISNUMBER($N120),$N120="DNA"),$N120,""))))))))))&lt;TODAY())),1,0)+ISNUMBER($Q120)*($Q120&lt;TODAY())+ISNUMBER($R120)*($R120&lt;TODAY())+ISNUMBER($AA120)*($AA120&lt;TODAY())+ISNUMBER($AB120)*($AB120&lt;TODAY()))</f>
        <v/>
      </c>
    </row>
    <row r="121">
      <c r="A121" s="25" t="n"/>
      <c r="B121" s="26" t="n"/>
      <c r="C121" s="27" t="n"/>
      <c r="D121" s="25" t="n"/>
      <c r="E121" s="25" t="n"/>
      <c r="F121" s="25" t="n"/>
      <c r="G121" s="25" t="n"/>
      <c r="H121" s="27" t="n"/>
      <c r="I121" s="25" t="n"/>
      <c r="J121" s="28">
        <f>IF(OR(NOT(AND($A121&lt;&gt;"",OR($I121="",$I121="Active"))),$H121=""),"",INT((TODAY()-$H121+280)/7)&amp;"+"&amp;MOD(TODAY()-$H121+280,7))</f>
        <v/>
      </c>
      <c r="K121" s="28">
        <f>IF(NOT(AND($A121&lt;&gt;"",OR($I121="",$I121="Active"))),"",ISNUMBER($N121)*($N121&gt;=TODAY())*($N121&lt;=TODAY()+7)+ISNUMBER($O121)*($O121&gt;=TODAY())*($O121&lt;=TODAY()+7)+ISNUMBER($P121)*($P121&gt;=TODAY())*($P121&lt;=TODAY()+7)+ISNUMBER($S121)*($S121&gt;=TODAY())*($S121&lt;=TODAY()+7)+ISNUMBER($T121)*($T121&gt;=TODAY())*($T121&lt;=TODAY()+7)+ISNUMBER($U121)*($U121&gt;=TODAY())*($U121&lt;=TODAY()+7)+ISNUMBER($V121)*($V121&gt;=TODAY())*($V121&lt;=TODAY()+7)+ISNUMBER($W121)*($W121&gt;=TODAY())*($W121&lt;=TODAY()+7)+ISNUMBER($X121)*($X121&gt;=TODAY())*($X121&lt;=TODAY()+7)+ISNUMBER($Y121)*($Y121&gt;=TODAY())*($Y121&lt;=TODAY()+7)+ISNUMBER($Q121)*($Q121&gt;=TODAY())*($Q121&lt;=TODAY()+7)+ISNUMBER($R121)*($R121&gt;=TODAY())*($R121&lt;=TODAY()+7)+ISNUMBER($AA121)*($AA121&gt;=TODAY())*($AA121&lt;=TODAY()+7)+ISNUMBER($AB121)*($AB121&gt;=TODAY())*($AB121&lt;=TODAY()+7))</f>
        <v/>
      </c>
      <c r="L121" s="28">
        <f>IF(NOT(AND($A121&lt;&gt;"",OR($I121="",$I121="Active"))),"",IF($M121&lt;&gt;"",IF($N121=$M121,"Booking",IF($O121=$M121,"16/40",IF($P121=$M121,"25/40",IF($S121=$M121,"28/40",IF($T121=$M121,"31/40",IF($U121=$M121,"34/40",IF($V121=$M121,"36/40",IF($W121=$M121,"38/40",IF($X121=$M121,"40/40",IF($Y121=$M121,"41/40","")))))))))),IF(IF(OR(ISNUMBER($Y121),$Y121="DNA"),$Y121,IF(OR(ISNUMBER($X121),$X121="DNA"),$X121,IF(OR(ISNUMBER($W121),$W121="DNA"),$W121,IF(OR(ISNUMBER($V121),$V121="DNA"),$V121,IF(OR(ISNUMBER($U121),$U121="DNA"),$U121,IF(OR(ISNUMBER($T121),$T121="DNA"),$T121,IF(OR(ISNUMBER($S121),$S121="DNA"),$S121,IF(OR(ISNUMBER($P121),$P121="DNA"),$P121,IF(OR(ISNUMBER($O121),$O121="DNA"),$O121,IF(OR(ISNUMBER($N121),$N121="DNA"),$N121,""))))))))))="DNA","Rebook DNA",IF(ISNUMBER(IF(OR(ISNUMBER($Y121),$Y121="DNA"),$Y121,IF(OR(ISNUMBER($X121),$X121="DNA"),$X121,IF(OR(ISNUMBER($W121),$W121="DNA"),$W121,IF(OR(ISNUMBER($V121),$V121="DNA"),$V121,IF(OR(ISNUMBER($U121),$U121="DNA"),$U121,IF(OR(ISNUMBER($T121),$T121="DNA"),$T121,IF(OR(ISNUMBER($S121),$S121="DNA"),$S121,IF(OR(ISNUMBER($P121),$P121="DNA"),$P121,IF(OR(ISNUMBER($O121),$O121="DNA"),$O121,IF(OR(ISNUMBER($N121),$N121="DNA"),$N121,""))))))))))),IF(ISNUMBER($Y121),"Update status","Missed/not booked?"),""))))</f>
        <v/>
      </c>
      <c r="M121" s="29">
        <f>IF(NOT(AND($A121&lt;&gt;"",OR($I121="",$I121="Active"))),"",IF(MIN(IF(AND(ISNUMBER($N121),$N121&gt;=TODAY()),$N121,99999),IF(AND(ISNUMBER($O121),$O121&gt;=TODAY()),$O121,99999),IF(AND(ISNUMBER($P121),$P121&gt;=TODAY()),$P121,99999),IF(AND(ISNUMBER($S121),$S121&gt;=TODAY()),$S121,99999),IF(AND(ISNUMBER($T121),$T121&gt;=TODAY()),$T121,99999),IF(AND(ISNUMBER($U121),$U121&gt;=TODAY()),$U121,99999),IF(AND(ISNUMBER($V121),$V121&gt;=TODAY()),$V121,99999),IF(AND(ISNUMBER($W121),$W121&gt;=TODAY()),$W121,99999),IF(AND(ISNUMBER($X121),$X121&gt;=TODAY()),$X121,99999),IF(AND(ISNUMBER($Y121),$Y121&gt;=TODAY()),$Y121,99999))=99999,"",MIN(IF(AND(ISNUMBER($N121),$N121&gt;=TODAY()),$N121,99999),IF(AND(ISNUMBER($O121),$O121&gt;=TODAY()),$O121,99999),IF(AND(ISNUMBER($P121),$P121&gt;=TODAY()),$P121,99999),IF(AND(ISNUMBER($S121),$S121&gt;=TODAY()),$S121,99999),IF(AND(ISNUMBER($T121),$T121&gt;=TODAY()),$T121,99999),IF(AND(ISNUMBER($U121),$U121&gt;=TODAY()),$U121,99999),IF(AND(ISNUMBER($V121),$V121&gt;=TODAY()),$V121,99999),IF(AND(ISNUMBER($W121),$W121&gt;=TODAY()),$W121,99999),IF(AND(ISNUMBER($X121),$X121&gt;=TODAY()),$X121,99999),IF(AND(ISNUMBER($Y121),$Y121&gt;=TODAY()),$Y121,99999))))</f>
        <v/>
      </c>
      <c r="N121" s="27" t="n"/>
      <c r="O121" s="27" t="n"/>
      <c r="P121" s="27" t="n"/>
      <c r="Q121" s="27" t="n"/>
      <c r="R121" s="27" t="n"/>
      <c r="S121" s="27" t="n"/>
      <c r="T121" s="27" t="n"/>
      <c r="U121" s="27" t="n"/>
      <c r="V121" s="27" t="n"/>
      <c r="W121" s="27" t="n"/>
      <c r="X121" s="27" t="n"/>
      <c r="Y121" s="27" t="n"/>
      <c r="Z121" s="27" t="n"/>
      <c r="AA121" s="27" t="n"/>
      <c r="AB121" s="27" t="n"/>
      <c r="AC121" s="30" t="n"/>
      <c r="AD121" s="25" t="n"/>
      <c r="AE121" s="28">
        <f>IF(NOT(AND($A121&lt;&gt;"",OR($I121="",$I121="Active"))),"",IF(OR(IF(OR(ISNUMBER($Y121),$Y121="DNA"),$Y121,IF(OR(ISNUMBER($X121),$X121="DNA"),$X121,IF(OR(ISNUMBER($W121),$W121="DNA"),$W121,IF(OR(ISNUMBER($V121),$V121="DNA"),$V121,IF(OR(ISNUMBER($U121),$U121="DNA"),$U121,IF(OR(ISNUMBER($T121),$T121="DNA"),$T121,IF(OR(ISNUMBER($S121),$S121="DNA"),$S121,IF(OR(ISNUMBER($P121),$P121="DNA"),$P121,IF(OR(ISNUMBER($O121),$O121="DNA"),$O121,IF(OR(ISNUMBER($N121),$N121="DNA"),$N121,""))))))))))="DNA",AND(ISNUMBER(IF(OR(ISNUMBER($Y121),$Y121="DNA"),$Y121,IF(OR(ISNUMBER($X121),$X121="DNA"),$X121,IF(OR(ISNUMBER($W121),$W121="DNA"),$W121,IF(OR(ISNUMBER($V121),$V121="DNA"),$V121,IF(OR(ISNUMBER($U121),$U121="DNA"),$U121,IF(OR(ISNUMBER($T121),$T121="DNA"),$T121,IF(OR(ISNUMBER($S121),$S121="DNA"),$S121,IF(OR(ISNUMBER($P121),$P121="DNA"),$P121,IF(OR(ISNUMBER($O121),$O121="DNA"),$O121,IF(OR(ISNUMBER($N121),$N121="DNA"),$N121,""))))))))))),IF(OR(ISNUMBER($Y121),$Y121="DNA"),$Y121,IF(OR(ISNUMBER($X121),$X121="DNA"),$X121,IF(OR(ISNUMBER($W121),$W121="DNA"),$W121,IF(OR(ISNUMBER($V121),$V121="DNA"),$V121,IF(OR(ISNUMBER($U121),$U121="DNA"),$U121,IF(OR(ISNUMBER($T121),$T121="DNA"),$T121,IF(OR(ISNUMBER($S121),$S121="DNA"),$S121,IF(OR(ISNUMBER($P121),$P121="DNA"),$P121,IF(OR(ISNUMBER($O121),$O121="DNA"),$O121,IF(OR(ISNUMBER($N121),$N121="DNA"),$N121,""))))))))))&lt;TODAY())),1,0)+ISNUMBER($Q121)*($Q121&lt;TODAY())+ISNUMBER($R121)*($R121&lt;TODAY())+ISNUMBER($AA121)*($AA121&lt;TODAY())+ISNUMBER($AB121)*($AB121&lt;TODAY()))</f>
        <v/>
      </c>
    </row>
    <row r="122">
      <c r="A122" s="25" t="n"/>
      <c r="B122" s="26" t="n"/>
      <c r="C122" s="27" t="n"/>
      <c r="D122" s="25" t="n"/>
      <c r="E122" s="25" t="n"/>
      <c r="F122" s="25" t="n"/>
      <c r="G122" s="25" t="n"/>
      <c r="H122" s="27" t="n"/>
      <c r="I122" s="25" t="n"/>
      <c r="J122" s="28">
        <f>IF(OR(NOT(AND($A122&lt;&gt;"",OR($I122="",$I122="Active"))),$H122=""),"",INT((TODAY()-$H122+280)/7)&amp;"+"&amp;MOD(TODAY()-$H122+280,7))</f>
        <v/>
      </c>
      <c r="K122" s="28">
        <f>IF(NOT(AND($A122&lt;&gt;"",OR($I122="",$I122="Active"))),"",ISNUMBER($N122)*($N122&gt;=TODAY())*($N122&lt;=TODAY()+7)+ISNUMBER($O122)*($O122&gt;=TODAY())*($O122&lt;=TODAY()+7)+ISNUMBER($P122)*($P122&gt;=TODAY())*($P122&lt;=TODAY()+7)+ISNUMBER($S122)*($S122&gt;=TODAY())*($S122&lt;=TODAY()+7)+ISNUMBER($T122)*($T122&gt;=TODAY())*($T122&lt;=TODAY()+7)+ISNUMBER($U122)*($U122&gt;=TODAY())*($U122&lt;=TODAY()+7)+ISNUMBER($V122)*($V122&gt;=TODAY())*($V122&lt;=TODAY()+7)+ISNUMBER($W122)*($W122&gt;=TODAY())*($W122&lt;=TODAY()+7)+ISNUMBER($X122)*($X122&gt;=TODAY())*($X122&lt;=TODAY()+7)+ISNUMBER($Y122)*($Y122&gt;=TODAY())*($Y122&lt;=TODAY()+7)+ISNUMBER($Q122)*($Q122&gt;=TODAY())*($Q122&lt;=TODAY()+7)+ISNUMBER($R122)*($R122&gt;=TODAY())*($R122&lt;=TODAY()+7)+ISNUMBER($AA122)*($AA122&gt;=TODAY())*($AA122&lt;=TODAY()+7)+ISNUMBER($AB122)*($AB122&gt;=TODAY())*($AB122&lt;=TODAY()+7))</f>
        <v/>
      </c>
      <c r="L122" s="28">
        <f>IF(NOT(AND($A122&lt;&gt;"",OR($I122="",$I122="Active"))),"",IF($M122&lt;&gt;"",IF($N122=$M122,"Booking",IF($O122=$M122,"16/40",IF($P122=$M122,"25/40",IF($S122=$M122,"28/40",IF($T122=$M122,"31/40",IF($U122=$M122,"34/40",IF($V122=$M122,"36/40",IF($W122=$M122,"38/40",IF($X122=$M122,"40/40",IF($Y122=$M122,"41/40","")))))))))),IF(IF(OR(ISNUMBER($Y122),$Y122="DNA"),$Y122,IF(OR(ISNUMBER($X122),$X122="DNA"),$X122,IF(OR(ISNUMBER($W122),$W122="DNA"),$W122,IF(OR(ISNUMBER($V122),$V122="DNA"),$V122,IF(OR(ISNUMBER($U122),$U122="DNA"),$U122,IF(OR(ISNUMBER($T122),$T122="DNA"),$T122,IF(OR(ISNUMBER($S122),$S122="DNA"),$S122,IF(OR(ISNUMBER($P122),$P122="DNA"),$P122,IF(OR(ISNUMBER($O122),$O122="DNA"),$O122,IF(OR(ISNUMBER($N122),$N122="DNA"),$N122,""))))))))))="DNA","Rebook DNA",IF(ISNUMBER(IF(OR(ISNUMBER($Y122),$Y122="DNA"),$Y122,IF(OR(ISNUMBER($X122),$X122="DNA"),$X122,IF(OR(ISNUMBER($W122),$W122="DNA"),$W122,IF(OR(ISNUMBER($V122),$V122="DNA"),$V122,IF(OR(ISNUMBER($U122),$U122="DNA"),$U122,IF(OR(ISNUMBER($T122),$T122="DNA"),$T122,IF(OR(ISNUMBER($S122),$S122="DNA"),$S122,IF(OR(ISNUMBER($P122),$P122="DNA"),$P122,IF(OR(ISNUMBER($O122),$O122="DNA"),$O122,IF(OR(ISNUMBER($N122),$N122="DNA"),$N122,""))))))))))),IF(ISNUMBER($Y122),"Update status","Missed/not booked?"),""))))</f>
        <v/>
      </c>
      <c r="M122" s="29">
        <f>IF(NOT(AND($A122&lt;&gt;"",OR($I122="",$I122="Active"))),"",IF(MIN(IF(AND(ISNUMBER($N122),$N122&gt;=TODAY()),$N122,99999),IF(AND(ISNUMBER($O122),$O122&gt;=TODAY()),$O122,99999),IF(AND(ISNUMBER($P122),$P122&gt;=TODAY()),$P122,99999),IF(AND(ISNUMBER($S122),$S122&gt;=TODAY()),$S122,99999),IF(AND(ISNUMBER($T122),$T122&gt;=TODAY()),$T122,99999),IF(AND(ISNUMBER($U122),$U122&gt;=TODAY()),$U122,99999),IF(AND(ISNUMBER($V122),$V122&gt;=TODAY()),$V122,99999),IF(AND(ISNUMBER($W122),$W122&gt;=TODAY()),$W122,99999),IF(AND(ISNUMBER($X122),$X122&gt;=TODAY()),$X122,99999),IF(AND(ISNUMBER($Y122),$Y122&gt;=TODAY()),$Y122,99999))=99999,"",MIN(IF(AND(ISNUMBER($N122),$N122&gt;=TODAY()),$N122,99999),IF(AND(ISNUMBER($O122),$O122&gt;=TODAY()),$O122,99999),IF(AND(ISNUMBER($P122),$P122&gt;=TODAY()),$P122,99999),IF(AND(ISNUMBER($S122),$S122&gt;=TODAY()),$S122,99999),IF(AND(ISNUMBER($T122),$T122&gt;=TODAY()),$T122,99999),IF(AND(ISNUMBER($U122),$U122&gt;=TODAY()),$U122,99999),IF(AND(ISNUMBER($V122),$V122&gt;=TODAY()),$V122,99999),IF(AND(ISNUMBER($W122),$W122&gt;=TODAY()),$W122,99999),IF(AND(ISNUMBER($X122),$X122&gt;=TODAY()),$X122,99999),IF(AND(ISNUMBER($Y122),$Y122&gt;=TODAY()),$Y122,99999))))</f>
        <v/>
      </c>
      <c r="N122" s="27" t="n"/>
      <c r="O122" s="27" t="n"/>
      <c r="P122" s="27" t="n"/>
      <c r="Q122" s="27" t="n"/>
      <c r="R122" s="27" t="n"/>
      <c r="S122" s="27" t="n"/>
      <c r="T122" s="27" t="n"/>
      <c r="U122" s="27" t="n"/>
      <c r="V122" s="27" t="n"/>
      <c r="W122" s="27" t="n"/>
      <c r="X122" s="27" t="n"/>
      <c r="Y122" s="27" t="n"/>
      <c r="Z122" s="27" t="n"/>
      <c r="AA122" s="27" t="n"/>
      <c r="AB122" s="27" t="n"/>
      <c r="AC122" s="30" t="n"/>
      <c r="AD122" s="25" t="n"/>
      <c r="AE122" s="28">
        <f>IF(NOT(AND($A122&lt;&gt;"",OR($I122="",$I122="Active"))),"",IF(OR(IF(OR(ISNUMBER($Y122),$Y122="DNA"),$Y122,IF(OR(ISNUMBER($X122),$X122="DNA"),$X122,IF(OR(ISNUMBER($W122),$W122="DNA"),$W122,IF(OR(ISNUMBER($V122),$V122="DNA"),$V122,IF(OR(ISNUMBER($U122),$U122="DNA"),$U122,IF(OR(ISNUMBER($T122),$T122="DNA"),$T122,IF(OR(ISNUMBER($S122),$S122="DNA"),$S122,IF(OR(ISNUMBER($P122),$P122="DNA"),$P122,IF(OR(ISNUMBER($O122),$O122="DNA"),$O122,IF(OR(ISNUMBER($N122),$N122="DNA"),$N122,""))))))))))="DNA",AND(ISNUMBER(IF(OR(ISNUMBER($Y122),$Y122="DNA"),$Y122,IF(OR(ISNUMBER($X122),$X122="DNA"),$X122,IF(OR(ISNUMBER($W122),$W122="DNA"),$W122,IF(OR(ISNUMBER($V122),$V122="DNA"),$V122,IF(OR(ISNUMBER($U122),$U122="DNA"),$U122,IF(OR(ISNUMBER($T122),$T122="DNA"),$T122,IF(OR(ISNUMBER($S122),$S122="DNA"),$S122,IF(OR(ISNUMBER($P122),$P122="DNA"),$P122,IF(OR(ISNUMBER($O122),$O122="DNA"),$O122,IF(OR(ISNUMBER($N122),$N122="DNA"),$N122,""))))))))))),IF(OR(ISNUMBER($Y122),$Y122="DNA"),$Y122,IF(OR(ISNUMBER($X122),$X122="DNA"),$X122,IF(OR(ISNUMBER($W122),$W122="DNA"),$W122,IF(OR(ISNUMBER($V122),$V122="DNA"),$V122,IF(OR(ISNUMBER($U122),$U122="DNA"),$U122,IF(OR(ISNUMBER($T122),$T122="DNA"),$T122,IF(OR(ISNUMBER($S122),$S122="DNA"),$S122,IF(OR(ISNUMBER($P122),$P122="DNA"),$P122,IF(OR(ISNUMBER($O122),$O122="DNA"),$O122,IF(OR(ISNUMBER($N122),$N122="DNA"),$N122,""))))))))))&lt;TODAY())),1,0)+ISNUMBER($Q122)*($Q122&lt;TODAY())+ISNUMBER($R122)*($R122&lt;TODAY())+ISNUMBER($AA122)*($AA122&lt;TODAY())+ISNUMBER($AB122)*($AB122&lt;TODAY()))</f>
        <v/>
      </c>
    </row>
    <row r="123">
      <c r="A123" s="25" t="n"/>
      <c r="B123" s="26" t="n"/>
      <c r="C123" s="27" t="n"/>
      <c r="D123" s="25" t="n"/>
      <c r="E123" s="25" t="n"/>
      <c r="F123" s="25" t="n"/>
      <c r="G123" s="25" t="n"/>
      <c r="H123" s="27" t="n"/>
      <c r="I123" s="25" t="n"/>
      <c r="J123" s="28">
        <f>IF(OR(NOT(AND($A123&lt;&gt;"",OR($I123="",$I123="Active"))),$H123=""),"",INT((TODAY()-$H123+280)/7)&amp;"+"&amp;MOD(TODAY()-$H123+280,7))</f>
        <v/>
      </c>
      <c r="K123" s="28">
        <f>IF(NOT(AND($A123&lt;&gt;"",OR($I123="",$I123="Active"))),"",ISNUMBER($N123)*($N123&gt;=TODAY())*($N123&lt;=TODAY()+7)+ISNUMBER($O123)*($O123&gt;=TODAY())*($O123&lt;=TODAY()+7)+ISNUMBER($P123)*($P123&gt;=TODAY())*($P123&lt;=TODAY()+7)+ISNUMBER($S123)*($S123&gt;=TODAY())*($S123&lt;=TODAY()+7)+ISNUMBER($T123)*($T123&gt;=TODAY())*($T123&lt;=TODAY()+7)+ISNUMBER($U123)*($U123&gt;=TODAY())*($U123&lt;=TODAY()+7)+ISNUMBER($V123)*($V123&gt;=TODAY())*($V123&lt;=TODAY()+7)+ISNUMBER($W123)*($W123&gt;=TODAY())*($W123&lt;=TODAY()+7)+ISNUMBER($X123)*($X123&gt;=TODAY())*($X123&lt;=TODAY()+7)+ISNUMBER($Y123)*($Y123&gt;=TODAY())*($Y123&lt;=TODAY()+7)+ISNUMBER($Q123)*($Q123&gt;=TODAY())*($Q123&lt;=TODAY()+7)+ISNUMBER($R123)*($R123&gt;=TODAY())*($R123&lt;=TODAY()+7)+ISNUMBER($AA123)*($AA123&gt;=TODAY())*($AA123&lt;=TODAY()+7)+ISNUMBER($AB123)*($AB123&gt;=TODAY())*($AB123&lt;=TODAY()+7))</f>
        <v/>
      </c>
      <c r="L123" s="28">
        <f>IF(NOT(AND($A123&lt;&gt;"",OR($I123="",$I123="Active"))),"",IF($M123&lt;&gt;"",IF($N123=$M123,"Booking",IF($O123=$M123,"16/40",IF($P123=$M123,"25/40",IF($S123=$M123,"28/40",IF($T123=$M123,"31/40",IF($U123=$M123,"34/40",IF($V123=$M123,"36/40",IF($W123=$M123,"38/40",IF($X123=$M123,"40/40",IF($Y123=$M123,"41/40","")))))))))),IF(IF(OR(ISNUMBER($Y123),$Y123="DNA"),$Y123,IF(OR(ISNUMBER($X123),$X123="DNA"),$X123,IF(OR(ISNUMBER($W123),$W123="DNA"),$W123,IF(OR(ISNUMBER($V123),$V123="DNA"),$V123,IF(OR(ISNUMBER($U123),$U123="DNA"),$U123,IF(OR(ISNUMBER($T123),$T123="DNA"),$T123,IF(OR(ISNUMBER($S123),$S123="DNA"),$S123,IF(OR(ISNUMBER($P123),$P123="DNA"),$P123,IF(OR(ISNUMBER($O123),$O123="DNA"),$O123,IF(OR(ISNUMBER($N123),$N123="DNA"),$N123,""))))))))))="DNA","Rebook DNA",IF(ISNUMBER(IF(OR(ISNUMBER($Y123),$Y123="DNA"),$Y123,IF(OR(ISNUMBER($X123),$X123="DNA"),$X123,IF(OR(ISNUMBER($W123),$W123="DNA"),$W123,IF(OR(ISNUMBER($V123),$V123="DNA"),$V123,IF(OR(ISNUMBER($U123),$U123="DNA"),$U123,IF(OR(ISNUMBER($T123),$T123="DNA"),$T123,IF(OR(ISNUMBER($S123),$S123="DNA"),$S123,IF(OR(ISNUMBER($P123),$P123="DNA"),$P123,IF(OR(ISNUMBER($O123),$O123="DNA"),$O123,IF(OR(ISNUMBER($N123),$N123="DNA"),$N123,""))))))))))),IF(ISNUMBER($Y123),"Update status","Missed/not booked?"),""))))</f>
        <v/>
      </c>
      <c r="M123" s="29">
        <f>IF(NOT(AND($A123&lt;&gt;"",OR($I123="",$I123="Active"))),"",IF(MIN(IF(AND(ISNUMBER($N123),$N123&gt;=TODAY()),$N123,99999),IF(AND(ISNUMBER($O123),$O123&gt;=TODAY()),$O123,99999),IF(AND(ISNUMBER($P123),$P123&gt;=TODAY()),$P123,99999),IF(AND(ISNUMBER($S123),$S123&gt;=TODAY()),$S123,99999),IF(AND(ISNUMBER($T123),$T123&gt;=TODAY()),$T123,99999),IF(AND(ISNUMBER($U123),$U123&gt;=TODAY()),$U123,99999),IF(AND(ISNUMBER($V123),$V123&gt;=TODAY()),$V123,99999),IF(AND(ISNUMBER($W123),$W123&gt;=TODAY()),$W123,99999),IF(AND(ISNUMBER($X123),$X123&gt;=TODAY()),$X123,99999),IF(AND(ISNUMBER($Y123),$Y123&gt;=TODAY()),$Y123,99999))=99999,"",MIN(IF(AND(ISNUMBER($N123),$N123&gt;=TODAY()),$N123,99999),IF(AND(ISNUMBER($O123),$O123&gt;=TODAY()),$O123,99999),IF(AND(ISNUMBER($P123),$P123&gt;=TODAY()),$P123,99999),IF(AND(ISNUMBER($S123),$S123&gt;=TODAY()),$S123,99999),IF(AND(ISNUMBER($T123),$T123&gt;=TODAY()),$T123,99999),IF(AND(ISNUMBER($U123),$U123&gt;=TODAY()),$U123,99999),IF(AND(ISNUMBER($V123),$V123&gt;=TODAY()),$V123,99999),IF(AND(ISNUMBER($W123),$W123&gt;=TODAY()),$W123,99999),IF(AND(ISNUMBER($X123),$X123&gt;=TODAY()),$X123,99999),IF(AND(ISNUMBER($Y123),$Y123&gt;=TODAY()),$Y123,99999))))</f>
        <v/>
      </c>
      <c r="N123" s="27" t="n"/>
      <c r="O123" s="27" t="n"/>
      <c r="P123" s="27" t="n"/>
      <c r="Q123" s="27" t="n"/>
      <c r="R123" s="27" t="n"/>
      <c r="S123" s="27" t="n"/>
      <c r="T123" s="27" t="n"/>
      <c r="U123" s="27" t="n"/>
      <c r="V123" s="27" t="n"/>
      <c r="W123" s="27" t="n"/>
      <c r="X123" s="27" t="n"/>
      <c r="Y123" s="27" t="n"/>
      <c r="Z123" s="27" t="n"/>
      <c r="AA123" s="27" t="n"/>
      <c r="AB123" s="27" t="n"/>
      <c r="AC123" s="30" t="n"/>
      <c r="AD123" s="25" t="n"/>
      <c r="AE123" s="28">
        <f>IF(NOT(AND($A123&lt;&gt;"",OR($I123="",$I123="Active"))),"",IF(OR(IF(OR(ISNUMBER($Y123),$Y123="DNA"),$Y123,IF(OR(ISNUMBER($X123),$X123="DNA"),$X123,IF(OR(ISNUMBER($W123),$W123="DNA"),$W123,IF(OR(ISNUMBER($V123),$V123="DNA"),$V123,IF(OR(ISNUMBER($U123),$U123="DNA"),$U123,IF(OR(ISNUMBER($T123),$T123="DNA"),$T123,IF(OR(ISNUMBER($S123),$S123="DNA"),$S123,IF(OR(ISNUMBER($P123),$P123="DNA"),$P123,IF(OR(ISNUMBER($O123),$O123="DNA"),$O123,IF(OR(ISNUMBER($N123),$N123="DNA"),$N123,""))))))))))="DNA",AND(ISNUMBER(IF(OR(ISNUMBER($Y123),$Y123="DNA"),$Y123,IF(OR(ISNUMBER($X123),$X123="DNA"),$X123,IF(OR(ISNUMBER($W123),$W123="DNA"),$W123,IF(OR(ISNUMBER($V123),$V123="DNA"),$V123,IF(OR(ISNUMBER($U123),$U123="DNA"),$U123,IF(OR(ISNUMBER($T123),$T123="DNA"),$T123,IF(OR(ISNUMBER($S123),$S123="DNA"),$S123,IF(OR(ISNUMBER($P123),$P123="DNA"),$P123,IF(OR(ISNUMBER($O123),$O123="DNA"),$O123,IF(OR(ISNUMBER($N123),$N123="DNA"),$N123,""))))))))))),IF(OR(ISNUMBER($Y123),$Y123="DNA"),$Y123,IF(OR(ISNUMBER($X123),$X123="DNA"),$X123,IF(OR(ISNUMBER($W123),$W123="DNA"),$W123,IF(OR(ISNUMBER($V123),$V123="DNA"),$V123,IF(OR(ISNUMBER($U123),$U123="DNA"),$U123,IF(OR(ISNUMBER($T123),$T123="DNA"),$T123,IF(OR(ISNUMBER($S123),$S123="DNA"),$S123,IF(OR(ISNUMBER($P123),$P123="DNA"),$P123,IF(OR(ISNUMBER($O123),$O123="DNA"),$O123,IF(OR(ISNUMBER($N123),$N123="DNA"),$N123,""))))))))))&lt;TODAY())),1,0)+ISNUMBER($Q123)*($Q123&lt;TODAY())+ISNUMBER($R123)*($R123&lt;TODAY())+ISNUMBER($AA123)*($AA123&lt;TODAY())+ISNUMBER($AB123)*($AB123&lt;TODAY()))</f>
        <v/>
      </c>
    </row>
    <row r="124">
      <c r="A124" s="25" t="n"/>
      <c r="B124" s="26" t="n"/>
      <c r="C124" s="27" t="n"/>
      <c r="D124" s="25" t="n"/>
      <c r="E124" s="25" t="n"/>
      <c r="F124" s="25" t="n"/>
      <c r="G124" s="25" t="n"/>
      <c r="H124" s="27" t="n"/>
      <c r="I124" s="25" t="n"/>
      <c r="J124" s="28">
        <f>IF(OR(NOT(AND($A124&lt;&gt;"",OR($I124="",$I124="Active"))),$H124=""),"",INT((TODAY()-$H124+280)/7)&amp;"+"&amp;MOD(TODAY()-$H124+280,7))</f>
        <v/>
      </c>
      <c r="K124" s="28">
        <f>IF(NOT(AND($A124&lt;&gt;"",OR($I124="",$I124="Active"))),"",ISNUMBER($N124)*($N124&gt;=TODAY())*($N124&lt;=TODAY()+7)+ISNUMBER($O124)*($O124&gt;=TODAY())*($O124&lt;=TODAY()+7)+ISNUMBER($P124)*($P124&gt;=TODAY())*($P124&lt;=TODAY()+7)+ISNUMBER($S124)*($S124&gt;=TODAY())*($S124&lt;=TODAY()+7)+ISNUMBER($T124)*($T124&gt;=TODAY())*($T124&lt;=TODAY()+7)+ISNUMBER($U124)*($U124&gt;=TODAY())*($U124&lt;=TODAY()+7)+ISNUMBER($V124)*($V124&gt;=TODAY())*($V124&lt;=TODAY()+7)+ISNUMBER($W124)*($W124&gt;=TODAY())*($W124&lt;=TODAY()+7)+ISNUMBER($X124)*($X124&gt;=TODAY())*($X124&lt;=TODAY()+7)+ISNUMBER($Y124)*($Y124&gt;=TODAY())*($Y124&lt;=TODAY()+7)+ISNUMBER($Q124)*($Q124&gt;=TODAY())*($Q124&lt;=TODAY()+7)+ISNUMBER($R124)*($R124&gt;=TODAY())*($R124&lt;=TODAY()+7)+ISNUMBER($AA124)*($AA124&gt;=TODAY())*($AA124&lt;=TODAY()+7)+ISNUMBER($AB124)*($AB124&gt;=TODAY())*($AB124&lt;=TODAY()+7))</f>
        <v/>
      </c>
      <c r="L124" s="28">
        <f>IF(NOT(AND($A124&lt;&gt;"",OR($I124="",$I124="Active"))),"",IF($M124&lt;&gt;"",IF($N124=$M124,"Booking",IF($O124=$M124,"16/40",IF($P124=$M124,"25/40",IF($S124=$M124,"28/40",IF($T124=$M124,"31/40",IF($U124=$M124,"34/40",IF($V124=$M124,"36/40",IF($W124=$M124,"38/40",IF($X124=$M124,"40/40",IF($Y124=$M124,"41/40","")))))))))),IF(IF(OR(ISNUMBER($Y124),$Y124="DNA"),$Y124,IF(OR(ISNUMBER($X124),$X124="DNA"),$X124,IF(OR(ISNUMBER($W124),$W124="DNA"),$W124,IF(OR(ISNUMBER($V124),$V124="DNA"),$V124,IF(OR(ISNUMBER($U124),$U124="DNA"),$U124,IF(OR(ISNUMBER($T124),$T124="DNA"),$T124,IF(OR(ISNUMBER($S124),$S124="DNA"),$S124,IF(OR(ISNUMBER($P124),$P124="DNA"),$P124,IF(OR(ISNUMBER($O124),$O124="DNA"),$O124,IF(OR(ISNUMBER($N124),$N124="DNA"),$N124,""))))))))))="DNA","Rebook DNA",IF(ISNUMBER(IF(OR(ISNUMBER($Y124),$Y124="DNA"),$Y124,IF(OR(ISNUMBER($X124),$X124="DNA"),$X124,IF(OR(ISNUMBER($W124),$W124="DNA"),$W124,IF(OR(ISNUMBER($V124),$V124="DNA"),$V124,IF(OR(ISNUMBER($U124),$U124="DNA"),$U124,IF(OR(ISNUMBER($T124),$T124="DNA"),$T124,IF(OR(ISNUMBER($S124),$S124="DNA"),$S124,IF(OR(ISNUMBER($P124),$P124="DNA"),$P124,IF(OR(ISNUMBER($O124),$O124="DNA"),$O124,IF(OR(ISNUMBER($N124),$N124="DNA"),$N124,""))))))))))),IF(ISNUMBER($Y124),"Update status","Missed/not booked?"),""))))</f>
        <v/>
      </c>
      <c r="M124" s="29">
        <f>IF(NOT(AND($A124&lt;&gt;"",OR($I124="",$I124="Active"))),"",IF(MIN(IF(AND(ISNUMBER($N124),$N124&gt;=TODAY()),$N124,99999),IF(AND(ISNUMBER($O124),$O124&gt;=TODAY()),$O124,99999),IF(AND(ISNUMBER($P124),$P124&gt;=TODAY()),$P124,99999),IF(AND(ISNUMBER($S124),$S124&gt;=TODAY()),$S124,99999),IF(AND(ISNUMBER($T124),$T124&gt;=TODAY()),$T124,99999),IF(AND(ISNUMBER($U124),$U124&gt;=TODAY()),$U124,99999),IF(AND(ISNUMBER($V124),$V124&gt;=TODAY()),$V124,99999),IF(AND(ISNUMBER($W124),$W124&gt;=TODAY()),$W124,99999),IF(AND(ISNUMBER($X124),$X124&gt;=TODAY()),$X124,99999),IF(AND(ISNUMBER($Y124),$Y124&gt;=TODAY()),$Y124,99999))=99999,"",MIN(IF(AND(ISNUMBER($N124),$N124&gt;=TODAY()),$N124,99999),IF(AND(ISNUMBER($O124),$O124&gt;=TODAY()),$O124,99999),IF(AND(ISNUMBER($P124),$P124&gt;=TODAY()),$P124,99999),IF(AND(ISNUMBER($S124),$S124&gt;=TODAY()),$S124,99999),IF(AND(ISNUMBER($T124),$T124&gt;=TODAY()),$T124,99999),IF(AND(ISNUMBER($U124),$U124&gt;=TODAY()),$U124,99999),IF(AND(ISNUMBER($V124),$V124&gt;=TODAY()),$V124,99999),IF(AND(ISNUMBER($W124),$W124&gt;=TODAY()),$W124,99999),IF(AND(ISNUMBER($X124),$X124&gt;=TODAY()),$X124,99999),IF(AND(ISNUMBER($Y124),$Y124&gt;=TODAY()),$Y124,99999))))</f>
        <v/>
      </c>
      <c r="N124" s="27" t="n"/>
      <c r="O124" s="27" t="n"/>
      <c r="P124" s="27" t="n"/>
      <c r="Q124" s="27" t="n"/>
      <c r="R124" s="27" t="n"/>
      <c r="S124" s="27" t="n"/>
      <c r="T124" s="27" t="n"/>
      <c r="U124" s="27" t="n"/>
      <c r="V124" s="27" t="n"/>
      <c r="W124" s="27" t="n"/>
      <c r="X124" s="27" t="n"/>
      <c r="Y124" s="27" t="n"/>
      <c r="Z124" s="27" t="n"/>
      <c r="AA124" s="27" t="n"/>
      <c r="AB124" s="27" t="n"/>
      <c r="AC124" s="30" t="n"/>
      <c r="AD124" s="25" t="n"/>
      <c r="AE124" s="28">
        <f>IF(NOT(AND($A124&lt;&gt;"",OR($I124="",$I124="Active"))),"",IF(OR(IF(OR(ISNUMBER($Y124),$Y124="DNA"),$Y124,IF(OR(ISNUMBER($X124),$X124="DNA"),$X124,IF(OR(ISNUMBER($W124),$W124="DNA"),$W124,IF(OR(ISNUMBER($V124),$V124="DNA"),$V124,IF(OR(ISNUMBER($U124),$U124="DNA"),$U124,IF(OR(ISNUMBER($T124),$T124="DNA"),$T124,IF(OR(ISNUMBER($S124),$S124="DNA"),$S124,IF(OR(ISNUMBER($P124),$P124="DNA"),$P124,IF(OR(ISNUMBER($O124),$O124="DNA"),$O124,IF(OR(ISNUMBER($N124),$N124="DNA"),$N124,""))))))))))="DNA",AND(ISNUMBER(IF(OR(ISNUMBER($Y124),$Y124="DNA"),$Y124,IF(OR(ISNUMBER($X124),$X124="DNA"),$X124,IF(OR(ISNUMBER($W124),$W124="DNA"),$W124,IF(OR(ISNUMBER($V124),$V124="DNA"),$V124,IF(OR(ISNUMBER($U124),$U124="DNA"),$U124,IF(OR(ISNUMBER($T124),$T124="DNA"),$T124,IF(OR(ISNUMBER($S124),$S124="DNA"),$S124,IF(OR(ISNUMBER($P124),$P124="DNA"),$P124,IF(OR(ISNUMBER($O124),$O124="DNA"),$O124,IF(OR(ISNUMBER($N124),$N124="DNA"),$N124,""))))))))))),IF(OR(ISNUMBER($Y124),$Y124="DNA"),$Y124,IF(OR(ISNUMBER($X124),$X124="DNA"),$X124,IF(OR(ISNUMBER($W124),$W124="DNA"),$W124,IF(OR(ISNUMBER($V124),$V124="DNA"),$V124,IF(OR(ISNUMBER($U124),$U124="DNA"),$U124,IF(OR(ISNUMBER($T124),$T124="DNA"),$T124,IF(OR(ISNUMBER($S124),$S124="DNA"),$S124,IF(OR(ISNUMBER($P124),$P124="DNA"),$P124,IF(OR(ISNUMBER($O124),$O124="DNA"),$O124,IF(OR(ISNUMBER($N124),$N124="DNA"),$N124,""))))))))))&lt;TODAY())),1,0)+ISNUMBER($Q124)*($Q124&lt;TODAY())+ISNUMBER($R124)*($R124&lt;TODAY())+ISNUMBER($AA124)*($AA124&lt;TODAY())+ISNUMBER($AB124)*($AB124&lt;TODAY()))</f>
        <v/>
      </c>
    </row>
    <row r="125">
      <c r="A125" s="25" t="n"/>
      <c r="B125" s="26" t="n"/>
      <c r="C125" s="27" t="n"/>
      <c r="D125" s="25" t="n"/>
      <c r="E125" s="25" t="n"/>
      <c r="F125" s="25" t="n"/>
      <c r="G125" s="25" t="n"/>
      <c r="H125" s="27" t="n"/>
      <c r="I125" s="25" t="n"/>
      <c r="J125" s="28">
        <f>IF(OR(NOT(AND($A125&lt;&gt;"",OR($I125="",$I125="Active"))),$H125=""),"",INT((TODAY()-$H125+280)/7)&amp;"+"&amp;MOD(TODAY()-$H125+280,7))</f>
        <v/>
      </c>
      <c r="K125" s="28">
        <f>IF(NOT(AND($A125&lt;&gt;"",OR($I125="",$I125="Active"))),"",ISNUMBER($N125)*($N125&gt;=TODAY())*($N125&lt;=TODAY()+7)+ISNUMBER($O125)*($O125&gt;=TODAY())*($O125&lt;=TODAY()+7)+ISNUMBER($P125)*($P125&gt;=TODAY())*($P125&lt;=TODAY()+7)+ISNUMBER($S125)*($S125&gt;=TODAY())*($S125&lt;=TODAY()+7)+ISNUMBER($T125)*($T125&gt;=TODAY())*($T125&lt;=TODAY()+7)+ISNUMBER($U125)*($U125&gt;=TODAY())*($U125&lt;=TODAY()+7)+ISNUMBER($V125)*($V125&gt;=TODAY())*($V125&lt;=TODAY()+7)+ISNUMBER($W125)*($W125&gt;=TODAY())*($W125&lt;=TODAY()+7)+ISNUMBER($X125)*($X125&gt;=TODAY())*($X125&lt;=TODAY()+7)+ISNUMBER($Y125)*($Y125&gt;=TODAY())*($Y125&lt;=TODAY()+7)+ISNUMBER($Q125)*($Q125&gt;=TODAY())*($Q125&lt;=TODAY()+7)+ISNUMBER($R125)*($R125&gt;=TODAY())*($R125&lt;=TODAY()+7)+ISNUMBER($AA125)*($AA125&gt;=TODAY())*($AA125&lt;=TODAY()+7)+ISNUMBER($AB125)*($AB125&gt;=TODAY())*($AB125&lt;=TODAY()+7))</f>
        <v/>
      </c>
      <c r="L125" s="28">
        <f>IF(NOT(AND($A125&lt;&gt;"",OR($I125="",$I125="Active"))),"",IF($M125&lt;&gt;"",IF($N125=$M125,"Booking",IF($O125=$M125,"16/40",IF($P125=$M125,"25/40",IF($S125=$M125,"28/40",IF($T125=$M125,"31/40",IF($U125=$M125,"34/40",IF($V125=$M125,"36/40",IF($W125=$M125,"38/40",IF($X125=$M125,"40/40",IF($Y125=$M125,"41/40","")))))))))),IF(IF(OR(ISNUMBER($Y125),$Y125="DNA"),$Y125,IF(OR(ISNUMBER($X125),$X125="DNA"),$X125,IF(OR(ISNUMBER($W125),$W125="DNA"),$W125,IF(OR(ISNUMBER($V125),$V125="DNA"),$V125,IF(OR(ISNUMBER($U125),$U125="DNA"),$U125,IF(OR(ISNUMBER($T125),$T125="DNA"),$T125,IF(OR(ISNUMBER($S125),$S125="DNA"),$S125,IF(OR(ISNUMBER($P125),$P125="DNA"),$P125,IF(OR(ISNUMBER($O125),$O125="DNA"),$O125,IF(OR(ISNUMBER($N125),$N125="DNA"),$N125,""))))))))))="DNA","Rebook DNA",IF(ISNUMBER(IF(OR(ISNUMBER($Y125),$Y125="DNA"),$Y125,IF(OR(ISNUMBER($X125),$X125="DNA"),$X125,IF(OR(ISNUMBER($W125),$W125="DNA"),$W125,IF(OR(ISNUMBER($V125),$V125="DNA"),$V125,IF(OR(ISNUMBER($U125),$U125="DNA"),$U125,IF(OR(ISNUMBER($T125),$T125="DNA"),$T125,IF(OR(ISNUMBER($S125),$S125="DNA"),$S125,IF(OR(ISNUMBER($P125),$P125="DNA"),$P125,IF(OR(ISNUMBER($O125),$O125="DNA"),$O125,IF(OR(ISNUMBER($N125),$N125="DNA"),$N125,""))))))))))),IF(ISNUMBER($Y125),"Update status","Missed/not booked?"),""))))</f>
        <v/>
      </c>
      <c r="M125" s="29">
        <f>IF(NOT(AND($A125&lt;&gt;"",OR($I125="",$I125="Active"))),"",IF(MIN(IF(AND(ISNUMBER($N125),$N125&gt;=TODAY()),$N125,99999),IF(AND(ISNUMBER($O125),$O125&gt;=TODAY()),$O125,99999),IF(AND(ISNUMBER($P125),$P125&gt;=TODAY()),$P125,99999),IF(AND(ISNUMBER($S125),$S125&gt;=TODAY()),$S125,99999),IF(AND(ISNUMBER($T125),$T125&gt;=TODAY()),$T125,99999),IF(AND(ISNUMBER($U125),$U125&gt;=TODAY()),$U125,99999),IF(AND(ISNUMBER($V125),$V125&gt;=TODAY()),$V125,99999),IF(AND(ISNUMBER($W125),$W125&gt;=TODAY()),$W125,99999),IF(AND(ISNUMBER($X125),$X125&gt;=TODAY()),$X125,99999),IF(AND(ISNUMBER($Y125),$Y125&gt;=TODAY()),$Y125,99999))=99999,"",MIN(IF(AND(ISNUMBER($N125),$N125&gt;=TODAY()),$N125,99999),IF(AND(ISNUMBER($O125),$O125&gt;=TODAY()),$O125,99999),IF(AND(ISNUMBER($P125),$P125&gt;=TODAY()),$P125,99999),IF(AND(ISNUMBER($S125),$S125&gt;=TODAY()),$S125,99999),IF(AND(ISNUMBER($T125),$T125&gt;=TODAY()),$T125,99999),IF(AND(ISNUMBER($U125),$U125&gt;=TODAY()),$U125,99999),IF(AND(ISNUMBER($V125),$V125&gt;=TODAY()),$V125,99999),IF(AND(ISNUMBER($W125),$W125&gt;=TODAY()),$W125,99999),IF(AND(ISNUMBER($X125),$X125&gt;=TODAY()),$X125,99999),IF(AND(ISNUMBER($Y125),$Y125&gt;=TODAY()),$Y125,99999))))</f>
        <v/>
      </c>
      <c r="N125" s="27" t="n"/>
      <c r="O125" s="27" t="n"/>
      <c r="P125" s="27" t="n"/>
      <c r="Q125" s="27" t="n"/>
      <c r="R125" s="27" t="n"/>
      <c r="S125" s="27" t="n"/>
      <c r="T125" s="27" t="n"/>
      <c r="U125" s="27" t="n"/>
      <c r="V125" s="27" t="n"/>
      <c r="W125" s="27" t="n"/>
      <c r="X125" s="27" t="n"/>
      <c r="Y125" s="27" t="n"/>
      <c r="Z125" s="27" t="n"/>
      <c r="AA125" s="27" t="n"/>
      <c r="AB125" s="27" t="n"/>
      <c r="AC125" s="30" t="n"/>
      <c r="AD125" s="25" t="n"/>
      <c r="AE125" s="28">
        <f>IF(NOT(AND($A125&lt;&gt;"",OR($I125="",$I125="Active"))),"",IF(OR(IF(OR(ISNUMBER($Y125),$Y125="DNA"),$Y125,IF(OR(ISNUMBER($X125),$X125="DNA"),$X125,IF(OR(ISNUMBER($W125),$W125="DNA"),$W125,IF(OR(ISNUMBER($V125),$V125="DNA"),$V125,IF(OR(ISNUMBER($U125),$U125="DNA"),$U125,IF(OR(ISNUMBER($T125),$T125="DNA"),$T125,IF(OR(ISNUMBER($S125),$S125="DNA"),$S125,IF(OR(ISNUMBER($P125),$P125="DNA"),$P125,IF(OR(ISNUMBER($O125),$O125="DNA"),$O125,IF(OR(ISNUMBER($N125),$N125="DNA"),$N125,""))))))))))="DNA",AND(ISNUMBER(IF(OR(ISNUMBER($Y125),$Y125="DNA"),$Y125,IF(OR(ISNUMBER($X125),$X125="DNA"),$X125,IF(OR(ISNUMBER($W125),$W125="DNA"),$W125,IF(OR(ISNUMBER($V125),$V125="DNA"),$V125,IF(OR(ISNUMBER($U125),$U125="DNA"),$U125,IF(OR(ISNUMBER($T125),$T125="DNA"),$T125,IF(OR(ISNUMBER($S125),$S125="DNA"),$S125,IF(OR(ISNUMBER($P125),$P125="DNA"),$P125,IF(OR(ISNUMBER($O125),$O125="DNA"),$O125,IF(OR(ISNUMBER($N125),$N125="DNA"),$N125,""))))))))))),IF(OR(ISNUMBER($Y125),$Y125="DNA"),$Y125,IF(OR(ISNUMBER($X125),$X125="DNA"),$X125,IF(OR(ISNUMBER($W125),$W125="DNA"),$W125,IF(OR(ISNUMBER($V125),$V125="DNA"),$V125,IF(OR(ISNUMBER($U125),$U125="DNA"),$U125,IF(OR(ISNUMBER($T125),$T125="DNA"),$T125,IF(OR(ISNUMBER($S125),$S125="DNA"),$S125,IF(OR(ISNUMBER($P125),$P125="DNA"),$P125,IF(OR(ISNUMBER($O125),$O125="DNA"),$O125,IF(OR(ISNUMBER($N125),$N125="DNA"),$N125,""))))))))))&lt;TODAY())),1,0)+ISNUMBER($Q125)*($Q125&lt;TODAY())+ISNUMBER($R125)*($R125&lt;TODAY())+ISNUMBER($AA125)*($AA125&lt;TODAY())+ISNUMBER($AB125)*($AB125&lt;TODAY()))</f>
        <v/>
      </c>
    </row>
    <row r="126">
      <c r="A126" s="25" t="n"/>
      <c r="B126" s="26" t="n"/>
      <c r="C126" s="27" t="n"/>
      <c r="D126" s="25" t="n"/>
      <c r="E126" s="25" t="n"/>
      <c r="F126" s="25" t="n"/>
      <c r="G126" s="25" t="n"/>
      <c r="H126" s="27" t="n"/>
      <c r="I126" s="25" t="n"/>
      <c r="J126" s="28">
        <f>IF(OR(NOT(AND($A126&lt;&gt;"",OR($I126="",$I126="Active"))),$H126=""),"",INT((TODAY()-$H126+280)/7)&amp;"+"&amp;MOD(TODAY()-$H126+280,7))</f>
        <v/>
      </c>
      <c r="K126" s="28">
        <f>IF(NOT(AND($A126&lt;&gt;"",OR($I126="",$I126="Active"))),"",ISNUMBER($N126)*($N126&gt;=TODAY())*($N126&lt;=TODAY()+7)+ISNUMBER($O126)*($O126&gt;=TODAY())*($O126&lt;=TODAY()+7)+ISNUMBER($P126)*($P126&gt;=TODAY())*($P126&lt;=TODAY()+7)+ISNUMBER($S126)*($S126&gt;=TODAY())*($S126&lt;=TODAY()+7)+ISNUMBER($T126)*($T126&gt;=TODAY())*($T126&lt;=TODAY()+7)+ISNUMBER($U126)*($U126&gt;=TODAY())*($U126&lt;=TODAY()+7)+ISNUMBER($V126)*($V126&gt;=TODAY())*($V126&lt;=TODAY()+7)+ISNUMBER($W126)*($W126&gt;=TODAY())*($W126&lt;=TODAY()+7)+ISNUMBER($X126)*($X126&gt;=TODAY())*($X126&lt;=TODAY()+7)+ISNUMBER($Y126)*($Y126&gt;=TODAY())*($Y126&lt;=TODAY()+7)+ISNUMBER($Q126)*($Q126&gt;=TODAY())*($Q126&lt;=TODAY()+7)+ISNUMBER($R126)*($R126&gt;=TODAY())*($R126&lt;=TODAY()+7)+ISNUMBER($AA126)*($AA126&gt;=TODAY())*($AA126&lt;=TODAY()+7)+ISNUMBER($AB126)*($AB126&gt;=TODAY())*($AB126&lt;=TODAY()+7))</f>
        <v/>
      </c>
      <c r="L126" s="28">
        <f>IF(NOT(AND($A126&lt;&gt;"",OR($I126="",$I126="Active"))),"",IF($M126&lt;&gt;"",IF($N126=$M126,"Booking",IF($O126=$M126,"16/40",IF($P126=$M126,"25/40",IF($S126=$M126,"28/40",IF($T126=$M126,"31/40",IF($U126=$M126,"34/40",IF($V126=$M126,"36/40",IF($W126=$M126,"38/40",IF($X126=$M126,"40/40",IF($Y126=$M126,"41/40","")))))))))),IF(IF(OR(ISNUMBER($Y126),$Y126="DNA"),$Y126,IF(OR(ISNUMBER($X126),$X126="DNA"),$X126,IF(OR(ISNUMBER($W126),$W126="DNA"),$W126,IF(OR(ISNUMBER($V126),$V126="DNA"),$V126,IF(OR(ISNUMBER($U126),$U126="DNA"),$U126,IF(OR(ISNUMBER($T126),$T126="DNA"),$T126,IF(OR(ISNUMBER($S126),$S126="DNA"),$S126,IF(OR(ISNUMBER($P126),$P126="DNA"),$P126,IF(OR(ISNUMBER($O126),$O126="DNA"),$O126,IF(OR(ISNUMBER($N126),$N126="DNA"),$N126,""))))))))))="DNA","Rebook DNA",IF(ISNUMBER(IF(OR(ISNUMBER($Y126),$Y126="DNA"),$Y126,IF(OR(ISNUMBER($X126),$X126="DNA"),$X126,IF(OR(ISNUMBER($W126),$W126="DNA"),$W126,IF(OR(ISNUMBER($V126),$V126="DNA"),$V126,IF(OR(ISNUMBER($U126),$U126="DNA"),$U126,IF(OR(ISNUMBER($T126),$T126="DNA"),$T126,IF(OR(ISNUMBER($S126),$S126="DNA"),$S126,IF(OR(ISNUMBER($P126),$P126="DNA"),$P126,IF(OR(ISNUMBER($O126),$O126="DNA"),$O126,IF(OR(ISNUMBER($N126),$N126="DNA"),$N126,""))))))))))),IF(ISNUMBER($Y126),"Update status","Missed/not booked?"),""))))</f>
        <v/>
      </c>
      <c r="M126" s="29">
        <f>IF(NOT(AND($A126&lt;&gt;"",OR($I126="",$I126="Active"))),"",IF(MIN(IF(AND(ISNUMBER($N126),$N126&gt;=TODAY()),$N126,99999),IF(AND(ISNUMBER($O126),$O126&gt;=TODAY()),$O126,99999),IF(AND(ISNUMBER($P126),$P126&gt;=TODAY()),$P126,99999),IF(AND(ISNUMBER($S126),$S126&gt;=TODAY()),$S126,99999),IF(AND(ISNUMBER($T126),$T126&gt;=TODAY()),$T126,99999),IF(AND(ISNUMBER($U126),$U126&gt;=TODAY()),$U126,99999),IF(AND(ISNUMBER($V126),$V126&gt;=TODAY()),$V126,99999),IF(AND(ISNUMBER($W126),$W126&gt;=TODAY()),$W126,99999),IF(AND(ISNUMBER($X126),$X126&gt;=TODAY()),$X126,99999),IF(AND(ISNUMBER($Y126),$Y126&gt;=TODAY()),$Y126,99999))=99999,"",MIN(IF(AND(ISNUMBER($N126),$N126&gt;=TODAY()),$N126,99999),IF(AND(ISNUMBER($O126),$O126&gt;=TODAY()),$O126,99999),IF(AND(ISNUMBER($P126),$P126&gt;=TODAY()),$P126,99999),IF(AND(ISNUMBER($S126),$S126&gt;=TODAY()),$S126,99999),IF(AND(ISNUMBER($T126),$T126&gt;=TODAY()),$T126,99999),IF(AND(ISNUMBER($U126),$U126&gt;=TODAY()),$U126,99999),IF(AND(ISNUMBER($V126),$V126&gt;=TODAY()),$V126,99999),IF(AND(ISNUMBER($W126),$W126&gt;=TODAY()),$W126,99999),IF(AND(ISNUMBER($X126),$X126&gt;=TODAY()),$X126,99999),IF(AND(ISNUMBER($Y126),$Y126&gt;=TODAY()),$Y126,99999))))</f>
        <v/>
      </c>
      <c r="N126" s="27" t="n"/>
      <c r="O126" s="27" t="n"/>
      <c r="P126" s="27" t="n"/>
      <c r="Q126" s="27" t="n"/>
      <c r="R126" s="27" t="n"/>
      <c r="S126" s="27" t="n"/>
      <c r="T126" s="27" t="n"/>
      <c r="U126" s="27" t="n"/>
      <c r="V126" s="27" t="n"/>
      <c r="W126" s="27" t="n"/>
      <c r="X126" s="27" t="n"/>
      <c r="Y126" s="27" t="n"/>
      <c r="Z126" s="27" t="n"/>
      <c r="AA126" s="27" t="n"/>
      <c r="AB126" s="27" t="n"/>
      <c r="AC126" s="30" t="n"/>
      <c r="AD126" s="25" t="n"/>
      <c r="AE126" s="28">
        <f>IF(NOT(AND($A126&lt;&gt;"",OR($I126="",$I126="Active"))),"",IF(OR(IF(OR(ISNUMBER($Y126),$Y126="DNA"),$Y126,IF(OR(ISNUMBER($X126),$X126="DNA"),$X126,IF(OR(ISNUMBER($W126),$W126="DNA"),$W126,IF(OR(ISNUMBER($V126),$V126="DNA"),$V126,IF(OR(ISNUMBER($U126),$U126="DNA"),$U126,IF(OR(ISNUMBER($T126),$T126="DNA"),$T126,IF(OR(ISNUMBER($S126),$S126="DNA"),$S126,IF(OR(ISNUMBER($P126),$P126="DNA"),$P126,IF(OR(ISNUMBER($O126),$O126="DNA"),$O126,IF(OR(ISNUMBER($N126),$N126="DNA"),$N126,""))))))))))="DNA",AND(ISNUMBER(IF(OR(ISNUMBER($Y126),$Y126="DNA"),$Y126,IF(OR(ISNUMBER($X126),$X126="DNA"),$X126,IF(OR(ISNUMBER($W126),$W126="DNA"),$W126,IF(OR(ISNUMBER($V126),$V126="DNA"),$V126,IF(OR(ISNUMBER($U126),$U126="DNA"),$U126,IF(OR(ISNUMBER($T126),$T126="DNA"),$T126,IF(OR(ISNUMBER($S126),$S126="DNA"),$S126,IF(OR(ISNUMBER($P126),$P126="DNA"),$P126,IF(OR(ISNUMBER($O126),$O126="DNA"),$O126,IF(OR(ISNUMBER($N126),$N126="DNA"),$N126,""))))))))))),IF(OR(ISNUMBER($Y126),$Y126="DNA"),$Y126,IF(OR(ISNUMBER($X126),$X126="DNA"),$X126,IF(OR(ISNUMBER($W126),$W126="DNA"),$W126,IF(OR(ISNUMBER($V126),$V126="DNA"),$V126,IF(OR(ISNUMBER($U126),$U126="DNA"),$U126,IF(OR(ISNUMBER($T126),$T126="DNA"),$T126,IF(OR(ISNUMBER($S126),$S126="DNA"),$S126,IF(OR(ISNUMBER($P126),$P126="DNA"),$P126,IF(OR(ISNUMBER($O126),$O126="DNA"),$O126,IF(OR(ISNUMBER($N126),$N126="DNA"),$N126,""))))))))))&lt;TODAY())),1,0)+ISNUMBER($Q126)*($Q126&lt;TODAY())+ISNUMBER($R126)*($R126&lt;TODAY())+ISNUMBER($AA126)*($AA126&lt;TODAY())+ISNUMBER($AB126)*($AB126&lt;TODAY()))</f>
        <v/>
      </c>
    </row>
    <row r="127">
      <c r="A127" s="25" t="n"/>
      <c r="B127" s="26" t="n"/>
      <c r="C127" s="27" t="n"/>
      <c r="D127" s="25" t="n"/>
      <c r="E127" s="25" t="n"/>
      <c r="F127" s="25" t="n"/>
      <c r="G127" s="25" t="n"/>
      <c r="H127" s="27" t="n"/>
      <c r="I127" s="25" t="n"/>
      <c r="J127" s="28">
        <f>IF(OR(NOT(AND($A127&lt;&gt;"",OR($I127="",$I127="Active"))),$H127=""),"",INT((TODAY()-$H127+280)/7)&amp;"+"&amp;MOD(TODAY()-$H127+280,7))</f>
        <v/>
      </c>
      <c r="K127" s="28">
        <f>IF(NOT(AND($A127&lt;&gt;"",OR($I127="",$I127="Active"))),"",ISNUMBER($N127)*($N127&gt;=TODAY())*($N127&lt;=TODAY()+7)+ISNUMBER($O127)*($O127&gt;=TODAY())*($O127&lt;=TODAY()+7)+ISNUMBER($P127)*($P127&gt;=TODAY())*($P127&lt;=TODAY()+7)+ISNUMBER($S127)*($S127&gt;=TODAY())*($S127&lt;=TODAY()+7)+ISNUMBER($T127)*($T127&gt;=TODAY())*($T127&lt;=TODAY()+7)+ISNUMBER($U127)*($U127&gt;=TODAY())*($U127&lt;=TODAY()+7)+ISNUMBER($V127)*($V127&gt;=TODAY())*($V127&lt;=TODAY()+7)+ISNUMBER($W127)*($W127&gt;=TODAY())*($W127&lt;=TODAY()+7)+ISNUMBER($X127)*($X127&gt;=TODAY())*($X127&lt;=TODAY()+7)+ISNUMBER($Y127)*($Y127&gt;=TODAY())*($Y127&lt;=TODAY()+7)+ISNUMBER($Q127)*($Q127&gt;=TODAY())*($Q127&lt;=TODAY()+7)+ISNUMBER($R127)*($R127&gt;=TODAY())*($R127&lt;=TODAY()+7)+ISNUMBER($AA127)*($AA127&gt;=TODAY())*($AA127&lt;=TODAY()+7)+ISNUMBER($AB127)*($AB127&gt;=TODAY())*($AB127&lt;=TODAY()+7))</f>
        <v/>
      </c>
      <c r="L127" s="28">
        <f>IF(NOT(AND($A127&lt;&gt;"",OR($I127="",$I127="Active"))),"",IF($M127&lt;&gt;"",IF($N127=$M127,"Booking",IF($O127=$M127,"16/40",IF($P127=$M127,"25/40",IF($S127=$M127,"28/40",IF($T127=$M127,"31/40",IF($U127=$M127,"34/40",IF($V127=$M127,"36/40",IF($W127=$M127,"38/40",IF($X127=$M127,"40/40",IF($Y127=$M127,"41/40","")))))))))),IF(IF(OR(ISNUMBER($Y127),$Y127="DNA"),$Y127,IF(OR(ISNUMBER($X127),$X127="DNA"),$X127,IF(OR(ISNUMBER($W127),$W127="DNA"),$W127,IF(OR(ISNUMBER($V127),$V127="DNA"),$V127,IF(OR(ISNUMBER($U127),$U127="DNA"),$U127,IF(OR(ISNUMBER($T127),$T127="DNA"),$T127,IF(OR(ISNUMBER($S127),$S127="DNA"),$S127,IF(OR(ISNUMBER($P127),$P127="DNA"),$P127,IF(OR(ISNUMBER($O127),$O127="DNA"),$O127,IF(OR(ISNUMBER($N127),$N127="DNA"),$N127,""))))))))))="DNA","Rebook DNA",IF(ISNUMBER(IF(OR(ISNUMBER($Y127),$Y127="DNA"),$Y127,IF(OR(ISNUMBER($X127),$X127="DNA"),$X127,IF(OR(ISNUMBER($W127),$W127="DNA"),$W127,IF(OR(ISNUMBER($V127),$V127="DNA"),$V127,IF(OR(ISNUMBER($U127),$U127="DNA"),$U127,IF(OR(ISNUMBER($T127),$T127="DNA"),$T127,IF(OR(ISNUMBER($S127),$S127="DNA"),$S127,IF(OR(ISNUMBER($P127),$P127="DNA"),$P127,IF(OR(ISNUMBER($O127),$O127="DNA"),$O127,IF(OR(ISNUMBER($N127),$N127="DNA"),$N127,""))))))))))),IF(ISNUMBER($Y127),"Update status","Missed/not booked?"),""))))</f>
        <v/>
      </c>
      <c r="M127" s="29">
        <f>IF(NOT(AND($A127&lt;&gt;"",OR($I127="",$I127="Active"))),"",IF(MIN(IF(AND(ISNUMBER($N127),$N127&gt;=TODAY()),$N127,99999),IF(AND(ISNUMBER($O127),$O127&gt;=TODAY()),$O127,99999),IF(AND(ISNUMBER($P127),$P127&gt;=TODAY()),$P127,99999),IF(AND(ISNUMBER($S127),$S127&gt;=TODAY()),$S127,99999),IF(AND(ISNUMBER($T127),$T127&gt;=TODAY()),$T127,99999),IF(AND(ISNUMBER($U127),$U127&gt;=TODAY()),$U127,99999),IF(AND(ISNUMBER($V127),$V127&gt;=TODAY()),$V127,99999),IF(AND(ISNUMBER($W127),$W127&gt;=TODAY()),$W127,99999),IF(AND(ISNUMBER($X127),$X127&gt;=TODAY()),$X127,99999),IF(AND(ISNUMBER($Y127),$Y127&gt;=TODAY()),$Y127,99999))=99999,"",MIN(IF(AND(ISNUMBER($N127),$N127&gt;=TODAY()),$N127,99999),IF(AND(ISNUMBER($O127),$O127&gt;=TODAY()),$O127,99999),IF(AND(ISNUMBER($P127),$P127&gt;=TODAY()),$P127,99999),IF(AND(ISNUMBER($S127),$S127&gt;=TODAY()),$S127,99999),IF(AND(ISNUMBER($T127),$T127&gt;=TODAY()),$T127,99999),IF(AND(ISNUMBER($U127),$U127&gt;=TODAY()),$U127,99999),IF(AND(ISNUMBER($V127),$V127&gt;=TODAY()),$V127,99999),IF(AND(ISNUMBER($W127),$W127&gt;=TODAY()),$W127,99999),IF(AND(ISNUMBER($X127),$X127&gt;=TODAY()),$X127,99999),IF(AND(ISNUMBER($Y127),$Y127&gt;=TODAY()),$Y127,99999))))</f>
        <v/>
      </c>
      <c r="N127" s="27" t="n"/>
      <c r="O127" s="27" t="n"/>
      <c r="P127" s="27" t="n"/>
      <c r="Q127" s="27" t="n"/>
      <c r="R127" s="27" t="n"/>
      <c r="S127" s="27" t="n"/>
      <c r="T127" s="27" t="n"/>
      <c r="U127" s="27" t="n"/>
      <c r="V127" s="27" t="n"/>
      <c r="W127" s="27" t="n"/>
      <c r="X127" s="27" t="n"/>
      <c r="Y127" s="27" t="n"/>
      <c r="Z127" s="27" t="n"/>
      <c r="AA127" s="27" t="n"/>
      <c r="AB127" s="27" t="n"/>
      <c r="AC127" s="30" t="n"/>
      <c r="AD127" s="25" t="n"/>
      <c r="AE127" s="28">
        <f>IF(NOT(AND($A127&lt;&gt;"",OR($I127="",$I127="Active"))),"",IF(OR(IF(OR(ISNUMBER($Y127),$Y127="DNA"),$Y127,IF(OR(ISNUMBER($X127),$X127="DNA"),$X127,IF(OR(ISNUMBER($W127),$W127="DNA"),$W127,IF(OR(ISNUMBER($V127),$V127="DNA"),$V127,IF(OR(ISNUMBER($U127),$U127="DNA"),$U127,IF(OR(ISNUMBER($T127),$T127="DNA"),$T127,IF(OR(ISNUMBER($S127),$S127="DNA"),$S127,IF(OR(ISNUMBER($P127),$P127="DNA"),$P127,IF(OR(ISNUMBER($O127),$O127="DNA"),$O127,IF(OR(ISNUMBER($N127),$N127="DNA"),$N127,""))))))))))="DNA",AND(ISNUMBER(IF(OR(ISNUMBER($Y127),$Y127="DNA"),$Y127,IF(OR(ISNUMBER($X127),$X127="DNA"),$X127,IF(OR(ISNUMBER($W127),$W127="DNA"),$W127,IF(OR(ISNUMBER($V127),$V127="DNA"),$V127,IF(OR(ISNUMBER($U127),$U127="DNA"),$U127,IF(OR(ISNUMBER($T127),$T127="DNA"),$T127,IF(OR(ISNUMBER($S127),$S127="DNA"),$S127,IF(OR(ISNUMBER($P127),$P127="DNA"),$P127,IF(OR(ISNUMBER($O127),$O127="DNA"),$O127,IF(OR(ISNUMBER($N127),$N127="DNA"),$N127,""))))))))))),IF(OR(ISNUMBER($Y127),$Y127="DNA"),$Y127,IF(OR(ISNUMBER($X127),$X127="DNA"),$X127,IF(OR(ISNUMBER($W127),$W127="DNA"),$W127,IF(OR(ISNUMBER($V127),$V127="DNA"),$V127,IF(OR(ISNUMBER($U127),$U127="DNA"),$U127,IF(OR(ISNUMBER($T127),$T127="DNA"),$T127,IF(OR(ISNUMBER($S127),$S127="DNA"),$S127,IF(OR(ISNUMBER($P127),$P127="DNA"),$P127,IF(OR(ISNUMBER($O127),$O127="DNA"),$O127,IF(OR(ISNUMBER($N127),$N127="DNA"),$N127,""))))))))))&lt;TODAY())),1,0)+ISNUMBER($Q127)*($Q127&lt;TODAY())+ISNUMBER($R127)*($R127&lt;TODAY())+ISNUMBER($AA127)*($AA127&lt;TODAY())+ISNUMBER($AB127)*($AB127&lt;TODAY()))</f>
        <v/>
      </c>
    </row>
    <row r="128">
      <c r="A128" s="25" t="n"/>
      <c r="B128" s="26" t="n"/>
      <c r="C128" s="27" t="n"/>
      <c r="D128" s="25" t="n"/>
      <c r="E128" s="25" t="n"/>
      <c r="F128" s="25" t="n"/>
      <c r="G128" s="25" t="n"/>
      <c r="H128" s="27" t="n"/>
      <c r="I128" s="25" t="n"/>
      <c r="J128" s="28">
        <f>IF(OR(NOT(AND($A128&lt;&gt;"",OR($I128="",$I128="Active"))),$H128=""),"",INT((TODAY()-$H128+280)/7)&amp;"+"&amp;MOD(TODAY()-$H128+280,7))</f>
        <v/>
      </c>
      <c r="K128" s="28">
        <f>IF(NOT(AND($A128&lt;&gt;"",OR($I128="",$I128="Active"))),"",ISNUMBER($N128)*($N128&gt;=TODAY())*($N128&lt;=TODAY()+7)+ISNUMBER($O128)*($O128&gt;=TODAY())*($O128&lt;=TODAY()+7)+ISNUMBER($P128)*($P128&gt;=TODAY())*($P128&lt;=TODAY()+7)+ISNUMBER($S128)*($S128&gt;=TODAY())*($S128&lt;=TODAY()+7)+ISNUMBER($T128)*($T128&gt;=TODAY())*($T128&lt;=TODAY()+7)+ISNUMBER($U128)*($U128&gt;=TODAY())*($U128&lt;=TODAY()+7)+ISNUMBER($V128)*($V128&gt;=TODAY())*($V128&lt;=TODAY()+7)+ISNUMBER($W128)*($W128&gt;=TODAY())*($W128&lt;=TODAY()+7)+ISNUMBER($X128)*($X128&gt;=TODAY())*($X128&lt;=TODAY()+7)+ISNUMBER($Y128)*($Y128&gt;=TODAY())*($Y128&lt;=TODAY()+7)+ISNUMBER($Q128)*($Q128&gt;=TODAY())*($Q128&lt;=TODAY()+7)+ISNUMBER($R128)*($R128&gt;=TODAY())*($R128&lt;=TODAY()+7)+ISNUMBER($AA128)*($AA128&gt;=TODAY())*($AA128&lt;=TODAY()+7)+ISNUMBER($AB128)*($AB128&gt;=TODAY())*($AB128&lt;=TODAY()+7))</f>
        <v/>
      </c>
      <c r="L128" s="28">
        <f>IF(NOT(AND($A128&lt;&gt;"",OR($I128="",$I128="Active"))),"",IF($M128&lt;&gt;"",IF($N128=$M128,"Booking",IF($O128=$M128,"16/40",IF($P128=$M128,"25/40",IF($S128=$M128,"28/40",IF($T128=$M128,"31/40",IF($U128=$M128,"34/40",IF($V128=$M128,"36/40",IF($W128=$M128,"38/40",IF($X128=$M128,"40/40",IF($Y128=$M128,"41/40","")))))))))),IF(IF(OR(ISNUMBER($Y128),$Y128="DNA"),$Y128,IF(OR(ISNUMBER($X128),$X128="DNA"),$X128,IF(OR(ISNUMBER($W128),$W128="DNA"),$W128,IF(OR(ISNUMBER($V128),$V128="DNA"),$V128,IF(OR(ISNUMBER($U128),$U128="DNA"),$U128,IF(OR(ISNUMBER($T128),$T128="DNA"),$T128,IF(OR(ISNUMBER($S128),$S128="DNA"),$S128,IF(OR(ISNUMBER($P128),$P128="DNA"),$P128,IF(OR(ISNUMBER($O128),$O128="DNA"),$O128,IF(OR(ISNUMBER($N128),$N128="DNA"),$N128,""))))))))))="DNA","Rebook DNA",IF(ISNUMBER(IF(OR(ISNUMBER($Y128),$Y128="DNA"),$Y128,IF(OR(ISNUMBER($X128),$X128="DNA"),$X128,IF(OR(ISNUMBER($W128),$W128="DNA"),$W128,IF(OR(ISNUMBER($V128),$V128="DNA"),$V128,IF(OR(ISNUMBER($U128),$U128="DNA"),$U128,IF(OR(ISNUMBER($T128),$T128="DNA"),$T128,IF(OR(ISNUMBER($S128),$S128="DNA"),$S128,IF(OR(ISNUMBER($P128),$P128="DNA"),$P128,IF(OR(ISNUMBER($O128),$O128="DNA"),$O128,IF(OR(ISNUMBER($N128),$N128="DNA"),$N128,""))))))))))),IF(ISNUMBER($Y128),"Update status","Missed/not booked?"),""))))</f>
        <v/>
      </c>
      <c r="M128" s="29">
        <f>IF(NOT(AND($A128&lt;&gt;"",OR($I128="",$I128="Active"))),"",IF(MIN(IF(AND(ISNUMBER($N128),$N128&gt;=TODAY()),$N128,99999),IF(AND(ISNUMBER($O128),$O128&gt;=TODAY()),$O128,99999),IF(AND(ISNUMBER($P128),$P128&gt;=TODAY()),$P128,99999),IF(AND(ISNUMBER($S128),$S128&gt;=TODAY()),$S128,99999),IF(AND(ISNUMBER($T128),$T128&gt;=TODAY()),$T128,99999),IF(AND(ISNUMBER($U128),$U128&gt;=TODAY()),$U128,99999),IF(AND(ISNUMBER($V128),$V128&gt;=TODAY()),$V128,99999),IF(AND(ISNUMBER($W128),$W128&gt;=TODAY()),$W128,99999),IF(AND(ISNUMBER($X128),$X128&gt;=TODAY()),$X128,99999),IF(AND(ISNUMBER($Y128),$Y128&gt;=TODAY()),$Y128,99999))=99999,"",MIN(IF(AND(ISNUMBER($N128),$N128&gt;=TODAY()),$N128,99999),IF(AND(ISNUMBER($O128),$O128&gt;=TODAY()),$O128,99999),IF(AND(ISNUMBER($P128),$P128&gt;=TODAY()),$P128,99999),IF(AND(ISNUMBER($S128),$S128&gt;=TODAY()),$S128,99999),IF(AND(ISNUMBER($T128),$T128&gt;=TODAY()),$T128,99999),IF(AND(ISNUMBER($U128),$U128&gt;=TODAY()),$U128,99999),IF(AND(ISNUMBER($V128),$V128&gt;=TODAY()),$V128,99999),IF(AND(ISNUMBER($W128),$W128&gt;=TODAY()),$W128,99999),IF(AND(ISNUMBER($X128),$X128&gt;=TODAY()),$X128,99999),IF(AND(ISNUMBER($Y128),$Y128&gt;=TODAY()),$Y128,99999))))</f>
        <v/>
      </c>
      <c r="N128" s="27" t="n"/>
      <c r="O128" s="27" t="n"/>
      <c r="P128" s="27" t="n"/>
      <c r="Q128" s="27" t="n"/>
      <c r="R128" s="27" t="n"/>
      <c r="S128" s="27" t="n"/>
      <c r="T128" s="27" t="n"/>
      <c r="U128" s="27" t="n"/>
      <c r="V128" s="27" t="n"/>
      <c r="W128" s="27" t="n"/>
      <c r="X128" s="27" t="n"/>
      <c r="Y128" s="27" t="n"/>
      <c r="Z128" s="27" t="n"/>
      <c r="AA128" s="27" t="n"/>
      <c r="AB128" s="27" t="n"/>
      <c r="AC128" s="30" t="n"/>
      <c r="AD128" s="25" t="n"/>
      <c r="AE128" s="28">
        <f>IF(NOT(AND($A128&lt;&gt;"",OR($I128="",$I128="Active"))),"",IF(OR(IF(OR(ISNUMBER($Y128),$Y128="DNA"),$Y128,IF(OR(ISNUMBER($X128),$X128="DNA"),$X128,IF(OR(ISNUMBER($W128),$W128="DNA"),$W128,IF(OR(ISNUMBER($V128),$V128="DNA"),$V128,IF(OR(ISNUMBER($U128),$U128="DNA"),$U128,IF(OR(ISNUMBER($T128),$T128="DNA"),$T128,IF(OR(ISNUMBER($S128),$S128="DNA"),$S128,IF(OR(ISNUMBER($P128),$P128="DNA"),$P128,IF(OR(ISNUMBER($O128),$O128="DNA"),$O128,IF(OR(ISNUMBER($N128),$N128="DNA"),$N128,""))))))))))="DNA",AND(ISNUMBER(IF(OR(ISNUMBER($Y128),$Y128="DNA"),$Y128,IF(OR(ISNUMBER($X128),$X128="DNA"),$X128,IF(OR(ISNUMBER($W128),$W128="DNA"),$W128,IF(OR(ISNUMBER($V128),$V128="DNA"),$V128,IF(OR(ISNUMBER($U128),$U128="DNA"),$U128,IF(OR(ISNUMBER($T128),$T128="DNA"),$T128,IF(OR(ISNUMBER($S128),$S128="DNA"),$S128,IF(OR(ISNUMBER($P128),$P128="DNA"),$P128,IF(OR(ISNUMBER($O128),$O128="DNA"),$O128,IF(OR(ISNUMBER($N128),$N128="DNA"),$N128,""))))))))))),IF(OR(ISNUMBER($Y128),$Y128="DNA"),$Y128,IF(OR(ISNUMBER($X128),$X128="DNA"),$X128,IF(OR(ISNUMBER($W128),$W128="DNA"),$W128,IF(OR(ISNUMBER($V128),$V128="DNA"),$V128,IF(OR(ISNUMBER($U128),$U128="DNA"),$U128,IF(OR(ISNUMBER($T128),$T128="DNA"),$T128,IF(OR(ISNUMBER($S128),$S128="DNA"),$S128,IF(OR(ISNUMBER($P128),$P128="DNA"),$P128,IF(OR(ISNUMBER($O128),$O128="DNA"),$O128,IF(OR(ISNUMBER($N128),$N128="DNA"),$N128,""))))))))))&lt;TODAY())),1,0)+ISNUMBER($Q128)*($Q128&lt;TODAY())+ISNUMBER($R128)*($R128&lt;TODAY())+ISNUMBER($AA128)*($AA128&lt;TODAY())+ISNUMBER($AB128)*($AB128&lt;TODAY()))</f>
        <v/>
      </c>
    </row>
    <row r="129">
      <c r="A129" s="25" t="n"/>
      <c r="B129" s="26" t="n"/>
      <c r="C129" s="27" t="n"/>
      <c r="D129" s="25" t="n"/>
      <c r="E129" s="25" t="n"/>
      <c r="F129" s="25" t="n"/>
      <c r="G129" s="25" t="n"/>
      <c r="H129" s="27" t="n"/>
      <c r="I129" s="25" t="n"/>
      <c r="J129" s="28">
        <f>IF(OR(NOT(AND($A129&lt;&gt;"",OR($I129="",$I129="Active"))),$H129=""),"",INT((TODAY()-$H129+280)/7)&amp;"+"&amp;MOD(TODAY()-$H129+280,7))</f>
        <v/>
      </c>
      <c r="K129" s="28">
        <f>IF(NOT(AND($A129&lt;&gt;"",OR($I129="",$I129="Active"))),"",ISNUMBER($N129)*($N129&gt;=TODAY())*($N129&lt;=TODAY()+7)+ISNUMBER($O129)*($O129&gt;=TODAY())*($O129&lt;=TODAY()+7)+ISNUMBER($P129)*($P129&gt;=TODAY())*($P129&lt;=TODAY()+7)+ISNUMBER($S129)*($S129&gt;=TODAY())*($S129&lt;=TODAY()+7)+ISNUMBER($T129)*($T129&gt;=TODAY())*($T129&lt;=TODAY()+7)+ISNUMBER($U129)*($U129&gt;=TODAY())*($U129&lt;=TODAY()+7)+ISNUMBER($V129)*($V129&gt;=TODAY())*($V129&lt;=TODAY()+7)+ISNUMBER($W129)*($W129&gt;=TODAY())*($W129&lt;=TODAY()+7)+ISNUMBER($X129)*($X129&gt;=TODAY())*($X129&lt;=TODAY()+7)+ISNUMBER($Y129)*($Y129&gt;=TODAY())*($Y129&lt;=TODAY()+7)+ISNUMBER($Q129)*($Q129&gt;=TODAY())*($Q129&lt;=TODAY()+7)+ISNUMBER($R129)*($R129&gt;=TODAY())*($R129&lt;=TODAY()+7)+ISNUMBER($AA129)*($AA129&gt;=TODAY())*($AA129&lt;=TODAY()+7)+ISNUMBER($AB129)*($AB129&gt;=TODAY())*($AB129&lt;=TODAY()+7))</f>
        <v/>
      </c>
      <c r="L129" s="28">
        <f>IF(NOT(AND($A129&lt;&gt;"",OR($I129="",$I129="Active"))),"",IF($M129&lt;&gt;"",IF($N129=$M129,"Booking",IF($O129=$M129,"16/40",IF($P129=$M129,"25/40",IF($S129=$M129,"28/40",IF($T129=$M129,"31/40",IF($U129=$M129,"34/40",IF($V129=$M129,"36/40",IF($W129=$M129,"38/40",IF($X129=$M129,"40/40",IF($Y129=$M129,"41/40","")))))))))),IF(IF(OR(ISNUMBER($Y129),$Y129="DNA"),$Y129,IF(OR(ISNUMBER($X129),$X129="DNA"),$X129,IF(OR(ISNUMBER($W129),$W129="DNA"),$W129,IF(OR(ISNUMBER($V129),$V129="DNA"),$V129,IF(OR(ISNUMBER($U129),$U129="DNA"),$U129,IF(OR(ISNUMBER($T129),$T129="DNA"),$T129,IF(OR(ISNUMBER($S129),$S129="DNA"),$S129,IF(OR(ISNUMBER($P129),$P129="DNA"),$P129,IF(OR(ISNUMBER($O129),$O129="DNA"),$O129,IF(OR(ISNUMBER($N129),$N129="DNA"),$N129,""))))))))))="DNA","Rebook DNA",IF(ISNUMBER(IF(OR(ISNUMBER($Y129),$Y129="DNA"),$Y129,IF(OR(ISNUMBER($X129),$X129="DNA"),$X129,IF(OR(ISNUMBER($W129),$W129="DNA"),$W129,IF(OR(ISNUMBER($V129),$V129="DNA"),$V129,IF(OR(ISNUMBER($U129),$U129="DNA"),$U129,IF(OR(ISNUMBER($T129),$T129="DNA"),$T129,IF(OR(ISNUMBER($S129),$S129="DNA"),$S129,IF(OR(ISNUMBER($P129),$P129="DNA"),$P129,IF(OR(ISNUMBER($O129),$O129="DNA"),$O129,IF(OR(ISNUMBER($N129),$N129="DNA"),$N129,""))))))))))),IF(ISNUMBER($Y129),"Update status","Missed/not booked?"),""))))</f>
        <v/>
      </c>
      <c r="M129" s="29">
        <f>IF(NOT(AND($A129&lt;&gt;"",OR($I129="",$I129="Active"))),"",IF(MIN(IF(AND(ISNUMBER($N129),$N129&gt;=TODAY()),$N129,99999),IF(AND(ISNUMBER($O129),$O129&gt;=TODAY()),$O129,99999),IF(AND(ISNUMBER($P129),$P129&gt;=TODAY()),$P129,99999),IF(AND(ISNUMBER($S129),$S129&gt;=TODAY()),$S129,99999),IF(AND(ISNUMBER($T129),$T129&gt;=TODAY()),$T129,99999),IF(AND(ISNUMBER($U129),$U129&gt;=TODAY()),$U129,99999),IF(AND(ISNUMBER($V129),$V129&gt;=TODAY()),$V129,99999),IF(AND(ISNUMBER($W129),$W129&gt;=TODAY()),$W129,99999),IF(AND(ISNUMBER($X129),$X129&gt;=TODAY()),$X129,99999),IF(AND(ISNUMBER($Y129),$Y129&gt;=TODAY()),$Y129,99999))=99999,"",MIN(IF(AND(ISNUMBER($N129),$N129&gt;=TODAY()),$N129,99999),IF(AND(ISNUMBER($O129),$O129&gt;=TODAY()),$O129,99999),IF(AND(ISNUMBER($P129),$P129&gt;=TODAY()),$P129,99999),IF(AND(ISNUMBER($S129),$S129&gt;=TODAY()),$S129,99999),IF(AND(ISNUMBER($T129),$T129&gt;=TODAY()),$T129,99999),IF(AND(ISNUMBER($U129),$U129&gt;=TODAY()),$U129,99999),IF(AND(ISNUMBER($V129),$V129&gt;=TODAY()),$V129,99999),IF(AND(ISNUMBER($W129),$W129&gt;=TODAY()),$W129,99999),IF(AND(ISNUMBER($X129),$X129&gt;=TODAY()),$X129,99999),IF(AND(ISNUMBER($Y129),$Y129&gt;=TODAY()),$Y129,99999))))</f>
        <v/>
      </c>
      <c r="N129" s="27" t="n"/>
      <c r="O129" s="27" t="n"/>
      <c r="P129" s="27" t="n"/>
      <c r="Q129" s="27" t="n"/>
      <c r="R129" s="27" t="n"/>
      <c r="S129" s="27" t="n"/>
      <c r="T129" s="27" t="n"/>
      <c r="U129" s="27" t="n"/>
      <c r="V129" s="27" t="n"/>
      <c r="W129" s="27" t="n"/>
      <c r="X129" s="27" t="n"/>
      <c r="Y129" s="27" t="n"/>
      <c r="Z129" s="27" t="n"/>
      <c r="AA129" s="27" t="n"/>
      <c r="AB129" s="27" t="n"/>
      <c r="AC129" s="30" t="n"/>
      <c r="AD129" s="25" t="n"/>
      <c r="AE129" s="28">
        <f>IF(NOT(AND($A129&lt;&gt;"",OR($I129="",$I129="Active"))),"",IF(OR(IF(OR(ISNUMBER($Y129),$Y129="DNA"),$Y129,IF(OR(ISNUMBER($X129),$X129="DNA"),$X129,IF(OR(ISNUMBER($W129),$W129="DNA"),$W129,IF(OR(ISNUMBER($V129),$V129="DNA"),$V129,IF(OR(ISNUMBER($U129),$U129="DNA"),$U129,IF(OR(ISNUMBER($T129),$T129="DNA"),$T129,IF(OR(ISNUMBER($S129),$S129="DNA"),$S129,IF(OR(ISNUMBER($P129),$P129="DNA"),$P129,IF(OR(ISNUMBER($O129),$O129="DNA"),$O129,IF(OR(ISNUMBER($N129),$N129="DNA"),$N129,""))))))))))="DNA",AND(ISNUMBER(IF(OR(ISNUMBER($Y129),$Y129="DNA"),$Y129,IF(OR(ISNUMBER($X129),$X129="DNA"),$X129,IF(OR(ISNUMBER($W129),$W129="DNA"),$W129,IF(OR(ISNUMBER($V129),$V129="DNA"),$V129,IF(OR(ISNUMBER($U129),$U129="DNA"),$U129,IF(OR(ISNUMBER($T129),$T129="DNA"),$T129,IF(OR(ISNUMBER($S129),$S129="DNA"),$S129,IF(OR(ISNUMBER($P129),$P129="DNA"),$P129,IF(OR(ISNUMBER($O129),$O129="DNA"),$O129,IF(OR(ISNUMBER($N129),$N129="DNA"),$N129,""))))))))))),IF(OR(ISNUMBER($Y129),$Y129="DNA"),$Y129,IF(OR(ISNUMBER($X129),$X129="DNA"),$X129,IF(OR(ISNUMBER($W129),$W129="DNA"),$W129,IF(OR(ISNUMBER($V129),$V129="DNA"),$V129,IF(OR(ISNUMBER($U129),$U129="DNA"),$U129,IF(OR(ISNUMBER($T129),$T129="DNA"),$T129,IF(OR(ISNUMBER($S129),$S129="DNA"),$S129,IF(OR(ISNUMBER($P129),$P129="DNA"),$P129,IF(OR(ISNUMBER($O129),$O129="DNA"),$O129,IF(OR(ISNUMBER($N129),$N129="DNA"),$N129,""))))))))))&lt;TODAY())),1,0)+ISNUMBER($Q129)*($Q129&lt;TODAY())+ISNUMBER($R129)*($R129&lt;TODAY())+ISNUMBER($AA129)*($AA129&lt;TODAY())+ISNUMBER($AB129)*($AB129&lt;TODAY()))</f>
        <v/>
      </c>
    </row>
    <row r="130">
      <c r="A130" s="25" t="n"/>
      <c r="B130" s="26" t="n"/>
      <c r="C130" s="27" t="n"/>
      <c r="D130" s="25" t="n"/>
      <c r="E130" s="25" t="n"/>
      <c r="F130" s="25" t="n"/>
      <c r="G130" s="25" t="n"/>
      <c r="H130" s="27" t="n"/>
      <c r="I130" s="25" t="n"/>
      <c r="J130" s="28">
        <f>IF(OR(NOT(AND($A130&lt;&gt;"",OR($I130="",$I130="Active"))),$H130=""),"",INT((TODAY()-$H130+280)/7)&amp;"+"&amp;MOD(TODAY()-$H130+280,7))</f>
        <v/>
      </c>
      <c r="K130" s="28">
        <f>IF(NOT(AND($A130&lt;&gt;"",OR($I130="",$I130="Active"))),"",ISNUMBER($N130)*($N130&gt;=TODAY())*($N130&lt;=TODAY()+7)+ISNUMBER($O130)*($O130&gt;=TODAY())*($O130&lt;=TODAY()+7)+ISNUMBER($P130)*($P130&gt;=TODAY())*($P130&lt;=TODAY()+7)+ISNUMBER($S130)*($S130&gt;=TODAY())*($S130&lt;=TODAY()+7)+ISNUMBER($T130)*($T130&gt;=TODAY())*($T130&lt;=TODAY()+7)+ISNUMBER($U130)*($U130&gt;=TODAY())*($U130&lt;=TODAY()+7)+ISNUMBER($V130)*($V130&gt;=TODAY())*($V130&lt;=TODAY()+7)+ISNUMBER($W130)*($W130&gt;=TODAY())*($W130&lt;=TODAY()+7)+ISNUMBER($X130)*($X130&gt;=TODAY())*($X130&lt;=TODAY()+7)+ISNUMBER($Y130)*($Y130&gt;=TODAY())*($Y130&lt;=TODAY()+7)+ISNUMBER($Q130)*($Q130&gt;=TODAY())*($Q130&lt;=TODAY()+7)+ISNUMBER($R130)*($R130&gt;=TODAY())*($R130&lt;=TODAY()+7)+ISNUMBER($AA130)*($AA130&gt;=TODAY())*($AA130&lt;=TODAY()+7)+ISNUMBER($AB130)*($AB130&gt;=TODAY())*($AB130&lt;=TODAY()+7))</f>
        <v/>
      </c>
      <c r="L130" s="28">
        <f>IF(NOT(AND($A130&lt;&gt;"",OR($I130="",$I130="Active"))),"",IF($M130&lt;&gt;"",IF($N130=$M130,"Booking",IF($O130=$M130,"16/40",IF($P130=$M130,"25/40",IF($S130=$M130,"28/40",IF($T130=$M130,"31/40",IF($U130=$M130,"34/40",IF($V130=$M130,"36/40",IF($W130=$M130,"38/40",IF($X130=$M130,"40/40",IF($Y130=$M130,"41/40","")))))))))),IF(IF(OR(ISNUMBER($Y130),$Y130="DNA"),$Y130,IF(OR(ISNUMBER($X130),$X130="DNA"),$X130,IF(OR(ISNUMBER($W130),$W130="DNA"),$W130,IF(OR(ISNUMBER($V130),$V130="DNA"),$V130,IF(OR(ISNUMBER($U130),$U130="DNA"),$U130,IF(OR(ISNUMBER($T130),$T130="DNA"),$T130,IF(OR(ISNUMBER($S130),$S130="DNA"),$S130,IF(OR(ISNUMBER($P130),$P130="DNA"),$P130,IF(OR(ISNUMBER($O130),$O130="DNA"),$O130,IF(OR(ISNUMBER($N130),$N130="DNA"),$N130,""))))))))))="DNA","Rebook DNA",IF(ISNUMBER(IF(OR(ISNUMBER($Y130),$Y130="DNA"),$Y130,IF(OR(ISNUMBER($X130),$X130="DNA"),$X130,IF(OR(ISNUMBER($W130),$W130="DNA"),$W130,IF(OR(ISNUMBER($V130),$V130="DNA"),$V130,IF(OR(ISNUMBER($U130),$U130="DNA"),$U130,IF(OR(ISNUMBER($T130),$T130="DNA"),$T130,IF(OR(ISNUMBER($S130),$S130="DNA"),$S130,IF(OR(ISNUMBER($P130),$P130="DNA"),$P130,IF(OR(ISNUMBER($O130),$O130="DNA"),$O130,IF(OR(ISNUMBER($N130),$N130="DNA"),$N130,""))))))))))),IF(ISNUMBER($Y130),"Update status","Missed/not booked?"),""))))</f>
        <v/>
      </c>
      <c r="M130" s="29">
        <f>IF(NOT(AND($A130&lt;&gt;"",OR($I130="",$I130="Active"))),"",IF(MIN(IF(AND(ISNUMBER($N130),$N130&gt;=TODAY()),$N130,99999),IF(AND(ISNUMBER($O130),$O130&gt;=TODAY()),$O130,99999),IF(AND(ISNUMBER($P130),$P130&gt;=TODAY()),$P130,99999),IF(AND(ISNUMBER($S130),$S130&gt;=TODAY()),$S130,99999),IF(AND(ISNUMBER($T130),$T130&gt;=TODAY()),$T130,99999),IF(AND(ISNUMBER($U130),$U130&gt;=TODAY()),$U130,99999),IF(AND(ISNUMBER($V130),$V130&gt;=TODAY()),$V130,99999),IF(AND(ISNUMBER($W130),$W130&gt;=TODAY()),$W130,99999),IF(AND(ISNUMBER($X130),$X130&gt;=TODAY()),$X130,99999),IF(AND(ISNUMBER($Y130),$Y130&gt;=TODAY()),$Y130,99999))=99999,"",MIN(IF(AND(ISNUMBER($N130),$N130&gt;=TODAY()),$N130,99999),IF(AND(ISNUMBER($O130),$O130&gt;=TODAY()),$O130,99999),IF(AND(ISNUMBER($P130),$P130&gt;=TODAY()),$P130,99999),IF(AND(ISNUMBER($S130),$S130&gt;=TODAY()),$S130,99999),IF(AND(ISNUMBER($T130),$T130&gt;=TODAY()),$T130,99999),IF(AND(ISNUMBER($U130),$U130&gt;=TODAY()),$U130,99999),IF(AND(ISNUMBER($V130),$V130&gt;=TODAY()),$V130,99999),IF(AND(ISNUMBER($W130),$W130&gt;=TODAY()),$W130,99999),IF(AND(ISNUMBER($X130),$X130&gt;=TODAY()),$X130,99999),IF(AND(ISNUMBER($Y130),$Y130&gt;=TODAY()),$Y130,99999))))</f>
        <v/>
      </c>
      <c r="N130" s="27" t="n"/>
      <c r="O130" s="27" t="n"/>
      <c r="P130" s="27" t="n"/>
      <c r="Q130" s="27" t="n"/>
      <c r="R130" s="27" t="n"/>
      <c r="S130" s="27" t="n"/>
      <c r="T130" s="27" t="n"/>
      <c r="U130" s="27" t="n"/>
      <c r="V130" s="27" t="n"/>
      <c r="W130" s="27" t="n"/>
      <c r="X130" s="27" t="n"/>
      <c r="Y130" s="27" t="n"/>
      <c r="Z130" s="27" t="n"/>
      <c r="AA130" s="27" t="n"/>
      <c r="AB130" s="27" t="n"/>
      <c r="AC130" s="30" t="n"/>
      <c r="AD130" s="25" t="n"/>
      <c r="AE130" s="28">
        <f>IF(NOT(AND($A130&lt;&gt;"",OR($I130="",$I130="Active"))),"",IF(OR(IF(OR(ISNUMBER($Y130),$Y130="DNA"),$Y130,IF(OR(ISNUMBER($X130),$X130="DNA"),$X130,IF(OR(ISNUMBER($W130),$W130="DNA"),$W130,IF(OR(ISNUMBER($V130),$V130="DNA"),$V130,IF(OR(ISNUMBER($U130),$U130="DNA"),$U130,IF(OR(ISNUMBER($T130),$T130="DNA"),$T130,IF(OR(ISNUMBER($S130),$S130="DNA"),$S130,IF(OR(ISNUMBER($P130),$P130="DNA"),$P130,IF(OR(ISNUMBER($O130),$O130="DNA"),$O130,IF(OR(ISNUMBER($N130),$N130="DNA"),$N130,""))))))))))="DNA",AND(ISNUMBER(IF(OR(ISNUMBER($Y130),$Y130="DNA"),$Y130,IF(OR(ISNUMBER($X130),$X130="DNA"),$X130,IF(OR(ISNUMBER($W130),$W130="DNA"),$W130,IF(OR(ISNUMBER($V130),$V130="DNA"),$V130,IF(OR(ISNUMBER($U130),$U130="DNA"),$U130,IF(OR(ISNUMBER($T130),$T130="DNA"),$T130,IF(OR(ISNUMBER($S130),$S130="DNA"),$S130,IF(OR(ISNUMBER($P130),$P130="DNA"),$P130,IF(OR(ISNUMBER($O130),$O130="DNA"),$O130,IF(OR(ISNUMBER($N130),$N130="DNA"),$N130,""))))))))))),IF(OR(ISNUMBER($Y130),$Y130="DNA"),$Y130,IF(OR(ISNUMBER($X130),$X130="DNA"),$X130,IF(OR(ISNUMBER($W130),$W130="DNA"),$W130,IF(OR(ISNUMBER($V130),$V130="DNA"),$V130,IF(OR(ISNUMBER($U130),$U130="DNA"),$U130,IF(OR(ISNUMBER($T130),$T130="DNA"),$T130,IF(OR(ISNUMBER($S130),$S130="DNA"),$S130,IF(OR(ISNUMBER($P130),$P130="DNA"),$P130,IF(OR(ISNUMBER($O130),$O130="DNA"),$O130,IF(OR(ISNUMBER($N130),$N130="DNA"),$N130,""))))))))))&lt;TODAY())),1,0)+ISNUMBER($Q130)*($Q130&lt;TODAY())+ISNUMBER($R130)*($R130&lt;TODAY())+ISNUMBER($AA130)*($AA130&lt;TODAY())+ISNUMBER($AB130)*($AB130&lt;TODAY()))</f>
        <v/>
      </c>
    </row>
    <row r="131">
      <c r="A131" s="25" t="n"/>
      <c r="B131" s="26" t="n"/>
      <c r="C131" s="27" t="n"/>
      <c r="D131" s="25" t="n"/>
      <c r="E131" s="25" t="n"/>
      <c r="F131" s="25" t="n"/>
      <c r="G131" s="25" t="n"/>
      <c r="H131" s="27" t="n"/>
      <c r="I131" s="25" t="n"/>
      <c r="J131" s="28">
        <f>IF(OR(NOT(AND($A131&lt;&gt;"",OR($I131="",$I131="Active"))),$H131=""),"",INT((TODAY()-$H131+280)/7)&amp;"+"&amp;MOD(TODAY()-$H131+280,7))</f>
        <v/>
      </c>
      <c r="K131" s="28">
        <f>IF(NOT(AND($A131&lt;&gt;"",OR($I131="",$I131="Active"))),"",ISNUMBER($N131)*($N131&gt;=TODAY())*($N131&lt;=TODAY()+7)+ISNUMBER($O131)*($O131&gt;=TODAY())*($O131&lt;=TODAY()+7)+ISNUMBER($P131)*($P131&gt;=TODAY())*($P131&lt;=TODAY()+7)+ISNUMBER($S131)*($S131&gt;=TODAY())*($S131&lt;=TODAY()+7)+ISNUMBER($T131)*($T131&gt;=TODAY())*($T131&lt;=TODAY()+7)+ISNUMBER($U131)*($U131&gt;=TODAY())*($U131&lt;=TODAY()+7)+ISNUMBER($V131)*($V131&gt;=TODAY())*($V131&lt;=TODAY()+7)+ISNUMBER($W131)*($W131&gt;=TODAY())*($W131&lt;=TODAY()+7)+ISNUMBER($X131)*($X131&gt;=TODAY())*($X131&lt;=TODAY()+7)+ISNUMBER($Y131)*($Y131&gt;=TODAY())*($Y131&lt;=TODAY()+7)+ISNUMBER($Q131)*($Q131&gt;=TODAY())*($Q131&lt;=TODAY()+7)+ISNUMBER($R131)*($R131&gt;=TODAY())*($R131&lt;=TODAY()+7)+ISNUMBER($AA131)*($AA131&gt;=TODAY())*($AA131&lt;=TODAY()+7)+ISNUMBER($AB131)*($AB131&gt;=TODAY())*($AB131&lt;=TODAY()+7))</f>
        <v/>
      </c>
      <c r="L131" s="28">
        <f>IF(NOT(AND($A131&lt;&gt;"",OR($I131="",$I131="Active"))),"",IF($M131&lt;&gt;"",IF($N131=$M131,"Booking",IF($O131=$M131,"16/40",IF($P131=$M131,"25/40",IF($S131=$M131,"28/40",IF($T131=$M131,"31/40",IF($U131=$M131,"34/40",IF($V131=$M131,"36/40",IF($W131=$M131,"38/40",IF($X131=$M131,"40/40",IF($Y131=$M131,"41/40","")))))))))),IF(IF(OR(ISNUMBER($Y131),$Y131="DNA"),$Y131,IF(OR(ISNUMBER($X131),$X131="DNA"),$X131,IF(OR(ISNUMBER($W131),$W131="DNA"),$W131,IF(OR(ISNUMBER($V131),$V131="DNA"),$V131,IF(OR(ISNUMBER($U131),$U131="DNA"),$U131,IF(OR(ISNUMBER($T131),$T131="DNA"),$T131,IF(OR(ISNUMBER($S131),$S131="DNA"),$S131,IF(OR(ISNUMBER($P131),$P131="DNA"),$P131,IF(OR(ISNUMBER($O131),$O131="DNA"),$O131,IF(OR(ISNUMBER($N131),$N131="DNA"),$N131,""))))))))))="DNA","Rebook DNA",IF(ISNUMBER(IF(OR(ISNUMBER($Y131),$Y131="DNA"),$Y131,IF(OR(ISNUMBER($X131),$X131="DNA"),$X131,IF(OR(ISNUMBER($W131),$W131="DNA"),$W131,IF(OR(ISNUMBER($V131),$V131="DNA"),$V131,IF(OR(ISNUMBER($U131),$U131="DNA"),$U131,IF(OR(ISNUMBER($T131),$T131="DNA"),$T131,IF(OR(ISNUMBER($S131),$S131="DNA"),$S131,IF(OR(ISNUMBER($P131),$P131="DNA"),$P131,IF(OR(ISNUMBER($O131),$O131="DNA"),$O131,IF(OR(ISNUMBER($N131),$N131="DNA"),$N131,""))))))))))),IF(ISNUMBER($Y131),"Update status","Missed/not booked?"),""))))</f>
        <v/>
      </c>
      <c r="M131" s="29">
        <f>IF(NOT(AND($A131&lt;&gt;"",OR($I131="",$I131="Active"))),"",IF(MIN(IF(AND(ISNUMBER($N131),$N131&gt;=TODAY()),$N131,99999),IF(AND(ISNUMBER($O131),$O131&gt;=TODAY()),$O131,99999),IF(AND(ISNUMBER($P131),$P131&gt;=TODAY()),$P131,99999),IF(AND(ISNUMBER($S131),$S131&gt;=TODAY()),$S131,99999),IF(AND(ISNUMBER($T131),$T131&gt;=TODAY()),$T131,99999),IF(AND(ISNUMBER($U131),$U131&gt;=TODAY()),$U131,99999),IF(AND(ISNUMBER($V131),$V131&gt;=TODAY()),$V131,99999),IF(AND(ISNUMBER($W131),$W131&gt;=TODAY()),$W131,99999),IF(AND(ISNUMBER($X131),$X131&gt;=TODAY()),$X131,99999),IF(AND(ISNUMBER($Y131),$Y131&gt;=TODAY()),$Y131,99999))=99999,"",MIN(IF(AND(ISNUMBER($N131),$N131&gt;=TODAY()),$N131,99999),IF(AND(ISNUMBER($O131),$O131&gt;=TODAY()),$O131,99999),IF(AND(ISNUMBER($P131),$P131&gt;=TODAY()),$P131,99999),IF(AND(ISNUMBER($S131),$S131&gt;=TODAY()),$S131,99999),IF(AND(ISNUMBER($T131),$T131&gt;=TODAY()),$T131,99999),IF(AND(ISNUMBER($U131),$U131&gt;=TODAY()),$U131,99999),IF(AND(ISNUMBER($V131),$V131&gt;=TODAY()),$V131,99999),IF(AND(ISNUMBER($W131),$W131&gt;=TODAY()),$W131,99999),IF(AND(ISNUMBER($X131),$X131&gt;=TODAY()),$X131,99999),IF(AND(ISNUMBER($Y131),$Y131&gt;=TODAY()),$Y131,99999))))</f>
        <v/>
      </c>
      <c r="N131" s="27" t="n"/>
      <c r="O131" s="27" t="n"/>
      <c r="P131" s="27" t="n"/>
      <c r="Q131" s="27" t="n"/>
      <c r="R131" s="27" t="n"/>
      <c r="S131" s="27" t="n"/>
      <c r="T131" s="27" t="n"/>
      <c r="U131" s="27" t="n"/>
      <c r="V131" s="27" t="n"/>
      <c r="W131" s="27" t="n"/>
      <c r="X131" s="27" t="n"/>
      <c r="Y131" s="27" t="n"/>
      <c r="Z131" s="27" t="n"/>
      <c r="AA131" s="27" t="n"/>
      <c r="AB131" s="27" t="n"/>
      <c r="AC131" s="30" t="n"/>
      <c r="AD131" s="25" t="n"/>
      <c r="AE131" s="28">
        <f>IF(NOT(AND($A131&lt;&gt;"",OR($I131="",$I131="Active"))),"",IF(OR(IF(OR(ISNUMBER($Y131),$Y131="DNA"),$Y131,IF(OR(ISNUMBER($X131),$X131="DNA"),$X131,IF(OR(ISNUMBER($W131),$W131="DNA"),$W131,IF(OR(ISNUMBER($V131),$V131="DNA"),$V131,IF(OR(ISNUMBER($U131),$U131="DNA"),$U131,IF(OR(ISNUMBER($T131),$T131="DNA"),$T131,IF(OR(ISNUMBER($S131),$S131="DNA"),$S131,IF(OR(ISNUMBER($P131),$P131="DNA"),$P131,IF(OR(ISNUMBER($O131),$O131="DNA"),$O131,IF(OR(ISNUMBER($N131),$N131="DNA"),$N131,""))))))))))="DNA",AND(ISNUMBER(IF(OR(ISNUMBER($Y131),$Y131="DNA"),$Y131,IF(OR(ISNUMBER($X131),$X131="DNA"),$X131,IF(OR(ISNUMBER($W131),$W131="DNA"),$W131,IF(OR(ISNUMBER($V131),$V131="DNA"),$V131,IF(OR(ISNUMBER($U131),$U131="DNA"),$U131,IF(OR(ISNUMBER($T131),$T131="DNA"),$T131,IF(OR(ISNUMBER($S131),$S131="DNA"),$S131,IF(OR(ISNUMBER($P131),$P131="DNA"),$P131,IF(OR(ISNUMBER($O131),$O131="DNA"),$O131,IF(OR(ISNUMBER($N131),$N131="DNA"),$N131,""))))))))))),IF(OR(ISNUMBER($Y131),$Y131="DNA"),$Y131,IF(OR(ISNUMBER($X131),$X131="DNA"),$X131,IF(OR(ISNUMBER($W131),$W131="DNA"),$W131,IF(OR(ISNUMBER($V131),$V131="DNA"),$V131,IF(OR(ISNUMBER($U131),$U131="DNA"),$U131,IF(OR(ISNUMBER($T131),$T131="DNA"),$T131,IF(OR(ISNUMBER($S131),$S131="DNA"),$S131,IF(OR(ISNUMBER($P131),$P131="DNA"),$P131,IF(OR(ISNUMBER($O131),$O131="DNA"),$O131,IF(OR(ISNUMBER($N131),$N131="DNA"),$N131,""))))))))))&lt;TODAY())),1,0)+ISNUMBER($Q131)*($Q131&lt;TODAY())+ISNUMBER($R131)*($R131&lt;TODAY())+ISNUMBER($AA131)*($AA131&lt;TODAY())+ISNUMBER($AB131)*($AB131&lt;TODAY()))</f>
        <v/>
      </c>
    </row>
    <row r="132">
      <c r="A132" s="25" t="n"/>
      <c r="B132" s="26" t="n"/>
      <c r="C132" s="27" t="n"/>
      <c r="D132" s="25" t="n"/>
      <c r="E132" s="25" t="n"/>
      <c r="F132" s="25" t="n"/>
      <c r="G132" s="25" t="n"/>
      <c r="H132" s="27" t="n"/>
      <c r="I132" s="25" t="n"/>
      <c r="J132" s="28">
        <f>IF(OR(NOT(AND($A132&lt;&gt;"",OR($I132="",$I132="Active"))),$H132=""),"",INT((TODAY()-$H132+280)/7)&amp;"+"&amp;MOD(TODAY()-$H132+280,7))</f>
        <v/>
      </c>
      <c r="K132" s="28">
        <f>IF(NOT(AND($A132&lt;&gt;"",OR($I132="",$I132="Active"))),"",ISNUMBER($N132)*($N132&gt;=TODAY())*($N132&lt;=TODAY()+7)+ISNUMBER($O132)*($O132&gt;=TODAY())*($O132&lt;=TODAY()+7)+ISNUMBER($P132)*($P132&gt;=TODAY())*($P132&lt;=TODAY()+7)+ISNUMBER($S132)*($S132&gt;=TODAY())*($S132&lt;=TODAY()+7)+ISNUMBER($T132)*($T132&gt;=TODAY())*($T132&lt;=TODAY()+7)+ISNUMBER($U132)*($U132&gt;=TODAY())*($U132&lt;=TODAY()+7)+ISNUMBER($V132)*($V132&gt;=TODAY())*($V132&lt;=TODAY()+7)+ISNUMBER($W132)*($W132&gt;=TODAY())*($W132&lt;=TODAY()+7)+ISNUMBER($X132)*($X132&gt;=TODAY())*($X132&lt;=TODAY()+7)+ISNUMBER($Y132)*($Y132&gt;=TODAY())*($Y132&lt;=TODAY()+7)+ISNUMBER($Q132)*($Q132&gt;=TODAY())*($Q132&lt;=TODAY()+7)+ISNUMBER($R132)*($R132&gt;=TODAY())*($R132&lt;=TODAY()+7)+ISNUMBER($AA132)*($AA132&gt;=TODAY())*($AA132&lt;=TODAY()+7)+ISNUMBER($AB132)*($AB132&gt;=TODAY())*($AB132&lt;=TODAY()+7))</f>
        <v/>
      </c>
      <c r="L132" s="28">
        <f>IF(NOT(AND($A132&lt;&gt;"",OR($I132="",$I132="Active"))),"",IF($M132&lt;&gt;"",IF($N132=$M132,"Booking",IF($O132=$M132,"16/40",IF($P132=$M132,"25/40",IF($S132=$M132,"28/40",IF($T132=$M132,"31/40",IF($U132=$M132,"34/40",IF($V132=$M132,"36/40",IF($W132=$M132,"38/40",IF($X132=$M132,"40/40",IF($Y132=$M132,"41/40","")))))))))),IF(IF(OR(ISNUMBER($Y132),$Y132="DNA"),$Y132,IF(OR(ISNUMBER($X132),$X132="DNA"),$X132,IF(OR(ISNUMBER($W132),$W132="DNA"),$W132,IF(OR(ISNUMBER($V132),$V132="DNA"),$V132,IF(OR(ISNUMBER($U132),$U132="DNA"),$U132,IF(OR(ISNUMBER($T132),$T132="DNA"),$T132,IF(OR(ISNUMBER($S132),$S132="DNA"),$S132,IF(OR(ISNUMBER($P132),$P132="DNA"),$P132,IF(OR(ISNUMBER($O132),$O132="DNA"),$O132,IF(OR(ISNUMBER($N132),$N132="DNA"),$N132,""))))))))))="DNA","Rebook DNA",IF(ISNUMBER(IF(OR(ISNUMBER($Y132),$Y132="DNA"),$Y132,IF(OR(ISNUMBER($X132),$X132="DNA"),$X132,IF(OR(ISNUMBER($W132),$W132="DNA"),$W132,IF(OR(ISNUMBER($V132),$V132="DNA"),$V132,IF(OR(ISNUMBER($U132),$U132="DNA"),$U132,IF(OR(ISNUMBER($T132),$T132="DNA"),$T132,IF(OR(ISNUMBER($S132),$S132="DNA"),$S132,IF(OR(ISNUMBER($P132),$P132="DNA"),$P132,IF(OR(ISNUMBER($O132),$O132="DNA"),$O132,IF(OR(ISNUMBER($N132),$N132="DNA"),$N132,""))))))))))),IF(ISNUMBER($Y132),"Update status","Missed/not booked?"),""))))</f>
        <v/>
      </c>
      <c r="M132" s="29">
        <f>IF(NOT(AND($A132&lt;&gt;"",OR($I132="",$I132="Active"))),"",IF(MIN(IF(AND(ISNUMBER($N132),$N132&gt;=TODAY()),$N132,99999),IF(AND(ISNUMBER($O132),$O132&gt;=TODAY()),$O132,99999),IF(AND(ISNUMBER($P132),$P132&gt;=TODAY()),$P132,99999),IF(AND(ISNUMBER($S132),$S132&gt;=TODAY()),$S132,99999),IF(AND(ISNUMBER($T132),$T132&gt;=TODAY()),$T132,99999),IF(AND(ISNUMBER($U132),$U132&gt;=TODAY()),$U132,99999),IF(AND(ISNUMBER($V132),$V132&gt;=TODAY()),$V132,99999),IF(AND(ISNUMBER($W132),$W132&gt;=TODAY()),$W132,99999),IF(AND(ISNUMBER($X132),$X132&gt;=TODAY()),$X132,99999),IF(AND(ISNUMBER($Y132),$Y132&gt;=TODAY()),$Y132,99999))=99999,"",MIN(IF(AND(ISNUMBER($N132),$N132&gt;=TODAY()),$N132,99999),IF(AND(ISNUMBER($O132),$O132&gt;=TODAY()),$O132,99999),IF(AND(ISNUMBER($P132),$P132&gt;=TODAY()),$P132,99999),IF(AND(ISNUMBER($S132),$S132&gt;=TODAY()),$S132,99999),IF(AND(ISNUMBER($T132),$T132&gt;=TODAY()),$T132,99999),IF(AND(ISNUMBER($U132),$U132&gt;=TODAY()),$U132,99999),IF(AND(ISNUMBER($V132),$V132&gt;=TODAY()),$V132,99999),IF(AND(ISNUMBER($W132),$W132&gt;=TODAY()),$W132,99999),IF(AND(ISNUMBER($X132),$X132&gt;=TODAY()),$X132,99999),IF(AND(ISNUMBER($Y132),$Y132&gt;=TODAY()),$Y132,99999))))</f>
        <v/>
      </c>
      <c r="N132" s="27" t="n"/>
      <c r="O132" s="27" t="n"/>
      <c r="P132" s="27" t="n"/>
      <c r="Q132" s="27" t="n"/>
      <c r="R132" s="27" t="n"/>
      <c r="S132" s="27" t="n"/>
      <c r="T132" s="27" t="n"/>
      <c r="U132" s="27" t="n"/>
      <c r="V132" s="27" t="n"/>
      <c r="W132" s="27" t="n"/>
      <c r="X132" s="27" t="n"/>
      <c r="Y132" s="27" t="n"/>
      <c r="Z132" s="27" t="n"/>
      <c r="AA132" s="27" t="n"/>
      <c r="AB132" s="27" t="n"/>
      <c r="AC132" s="30" t="n"/>
      <c r="AD132" s="25" t="n"/>
      <c r="AE132" s="28">
        <f>IF(NOT(AND($A132&lt;&gt;"",OR($I132="",$I132="Active"))),"",IF(OR(IF(OR(ISNUMBER($Y132),$Y132="DNA"),$Y132,IF(OR(ISNUMBER($X132),$X132="DNA"),$X132,IF(OR(ISNUMBER($W132),$W132="DNA"),$W132,IF(OR(ISNUMBER($V132),$V132="DNA"),$V132,IF(OR(ISNUMBER($U132),$U132="DNA"),$U132,IF(OR(ISNUMBER($T132),$T132="DNA"),$T132,IF(OR(ISNUMBER($S132),$S132="DNA"),$S132,IF(OR(ISNUMBER($P132),$P132="DNA"),$P132,IF(OR(ISNUMBER($O132),$O132="DNA"),$O132,IF(OR(ISNUMBER($N132),$N132="DNA"),$N132,""))))))))))="DNA",AND(ISNUMBER(IF(OR(ISNUMBER($Y132),$Y132="DNA"),$Y132,IF(OR(ISNUMBER($X132),$X132="DNA"),$X132,IF(OR(ISNUMBER($W132),$W132="DNA"),$W132,IF(OR(ISNUMBER($V132),$V132="DNA"),$V132,IF(OR(ISNUMBER($U132),$U132="DNA"),$U132,IF(OR(ISNUMBER($T132),$T132="DNA"),$T132,IF(OR(ISNUMBER($S132),$S132="DNA"),$S132,IF(OR(ISNUMBER($P132),$P132="DNA"),$P132,IF(OR(ISNUMBER($O132),$O132="DNA"),$O132,IF(OR(ISNUMBER($N132),$N132="DNA"),$N132,""))))))))))),IF(OR(ISNUMBER($Y132),$Y132="DNA"),$Y132,IF(OR(ISNUMBER($X132),$X132="DNA"),$X132,IF(OR(ISNUMBER($W132),$W132="DNA"),$W132,IF(OR(ISNUMBER($V132),$V132="DNA"),$V132,IF(OR(ISNUMBER($U132),$U132="DNA"),$U132,IF(OR(ISNUMBER($T132),$T132="DNA"),$T132,IF(OR(ISNUMBER($S132),$S132="DNA"),$S132,IF(OR(ISNUMBER($P132),$P132="DNA"),$P132,IF(OR(ISNUMBER($O132),$O132="DNA"),$O132,IF(OR(ISNUMBER($N132),$N132="DNA"),$N132,""))))))))))&lt;TODAY())),1,0)+ISNUMBER($Q132)*($Q132&lt;TODAY())+ISNUMBER($R132)*($R132&lt;TODAY())+ISNUMBER($AA132)*($AA132&lt;TODAY())+ISNUMBER($AB132)*($AB132&lt;TODAY()))</f>
        <v/>
      </c>
    </row>
    <row r="133">
      <c r="A133" s="25" t="n"/>
      <c r="B133" s="26" t="n"/>
      <c r="C133" s="27" t="n"/>
      <c r="D133" s="25" t="n"/>
      <c r="E133" s="25" t="n"/>
      <c r="F133" s="25" t="n"/>
      <c r="G133" s="25" t="n"/>
      <c r="H133" s="27" t="n"/>
      <c r="I133" s="25" t="n"/>
      <c r="J133" s="28">
        <f>IF(OR(NOT(AND($A133&lt;&gt;"",OR($I133="",$I133="Active"))),$H133=""),"",INT((TODAY()-$H133+280)/7)&amp;"+"&amp;MOD(TODAY()-$H133+280,7))</f>
        <v/>
      </c>
      <c r="K133" s="28">
        <f>IF(NOT(AND($A133&lt;&gt;"",OR($I133="",$I133="Active"))),"",ISNUMBER($N133)*($N133&gt;=TODAY())*($N133&lt;=TODAY()+7)+ISNUMBER($O133)*($O133&gt;=TODAY())*($O133&lt;=TODAY()+7)+ISNUMBER($P133)*($P133&gt;=TODAY())*($P133&lt;=TODAY()+7)+ISNUMBER($S133)*($S133&gt;=TODAY())*($S133&lt;=TODAY()+7)+ISNUMBER($T133)*($T133&gt;=TODAY())*($T133&lt;=TODAY()+7)+ISNUMBER($U133)*($U133&gt;=TODAY())*($U133&lt;=TODAY()+7)+ISNUMBER($V133)*($V133&gt;=TODAY())*($V133&lt;=TODAY()+7)+ISNUMBER($W133)*($W133&gt;=TODAY())*($W133&lt;=TODAY()+7)+ISNUMBER($X133)*($X133&gt;=TODAY())*($X133&lt;=TODAY()+7)+ISNUMBER($Y133)*($Y133&gt;=TODAY())*($Y133&lt;=TODAY()+7)+ISNUMBER($Q133)*($Q133&gt;=TODAY())*($Q133&lt;=TODAY()+7)+ISNUMBER($R133)*($R133&gt;=TODAY())*($R133&lt;=TODAY()+7)+ISNUMBER($AA133)*($AA133&gt;=TODAY())*($AA133&lt;=TODAY()+7)+ISNUMBER($AB133)*($AB133&gt;=TODAY())*($AB133&lt;=TODAY()+7))</f>
        <v/>
      </c>
      <c r="L133" s="28">
        <f>IF(NOT(AND($A133&lt;&gt;"",OR($I133="",$I133="Active"))),"",IF($M133&lt;&gt;"",IF($N133=$M133,"Booking",IF($O133=$M133,"16/40",IF($P133=$M133,"25/40",IF($S133=$M133,"28/40",IF($T133=$M133,"31/40",IF($U133=$M133,"34/40",IF($V133=$M133,"36/40",IF($W133=$M133,"38/40",IF($X133=$M133,"40/40",IF($Y133=$M133,"41/40","")))))))))),IF(IF(OR(ISNUMBER($Y133),$Y133="DNA"),$Y133,IF(OR(ISNUMBER($X133),$X133="DNA"),$X133,IF(OR(ISNUMBER($W133),$W133="DNA"),$W133,IF(OR(ISNUMBER($V133),$V133="DNA"),$V133,IF(OR(ISNUMBER($U133),$U133="DNA"),$U133,IF(OR(ISNUMBER($T133),$T133="DNA"),$T133,IF(OR(ISNUMBER($S133),$S133="DNA"),$S133,IF(OR(ISNUMBER($P133),$P133="DNA"),$P133,IF(OR(ISNUMBER($O133),$O133="DNA"),$O133,IF(OR(ISNUMBER($N133),$N133="DNA"),$N133,""))))))))))="DNA","Rebook DNA",IF(ISNUMBER(IF(OR(ISNUMBER($Y133),$Y133="DNA"),$Y133,IF(OR(ISNUMBER($X133),$X133="DNA"),$X133,IF(OR(ISNUMBER($W133),$W133="DNA"),$W133,IF(OR(ISNUMBER($V133),$V133="DNA"),$V133,IF(OR(ISNUMBER($U133),$U133="DNA"),$U133,IF(OR(ISNUMBER($T133),$T133="DNA"),$T133,IF(OR(ISNUMBER($S133),$S133="DNA"),$S133,IF(OR(ISNUMBER($P133),$P133="DNA"),$P133,IF(OR(ISNUMBER($O133),$O133="DNA"),$O133,IF(OR(ISNUMBER($N133),$N133="DNA"),$N133,""))))))))))),IF(ISNUMBER($Y133),"Update status","Missed/not booked?"),""))))</f>
        <v/>
      </c>
      <c r="M133" s="29">
        <f>IF(NOT(AND($A133&lt;&gt;"",OR($I133="",$I133="Active"))),"",IF(MIN(IF(AND(ISNUMBER($N133),$N133&gt;=TODAY()),$N133,99999),IF(AND(ISNUMBER($O133),$O133&gt;=TODAY()),$O133,99999),IF(AND(ISNUMBER($P133),$P133&gt;=TODAY()),$P133,99999),IF(AND(ISNUMBER($S133),$S133&gt;=TODAY()),$S133,99999),IF(AND(ISNUMBER($T133),$T133&gt;=TODAY()),$T133,99999),IF(AND(ISNUMBER($U133),$U133&gt;=TODAY()),$U133,99999),IF(AND(ISNUMBER($V133),$V133&gt;=TODAY()),$V133,99999),IF(AND(ISNUMBER($W133),$W133&gt;=TODAY()),$W133,99999),IF(AND(ISNUMBER($X133),$X133&gt;=TODAY()),$X133,99999),IF(AND(ISNUMBER($Y133),$Y133&gt;=TODAY()),$Y133,99999))=99999,"",MIN(IF(AND(ISNUMBER($N133),$N133&gt;=TODAY()),$N133,99999),IF(AND(ISNUMBER($O133),$O133&gt;=TODAY()),$O133,99999),IF(AND(ISNUMBER($P133),$P133&gt;=TODAY()),$P133,99999),IF(AND(ISNUMBER($S133),$S133&gt;=TODAY()),$S133,99999),IF(AND(ISNUMBER($T133),$T133&gt;=TODAY()),$T133,99999),IF(AND(ISNUMBER($U133),$U133&gt;=TODAY()),$U133,99999),IF(AND(ISNUMBER($V133),$V133&gt;=TODAY()),$V133,99999),IF(AND(ISNUMBER($W133),$W133&gt;=TODAY()),$W133,99999),IF(AND(ISNUMBER($X133),$X133&gt;=TODAY()),$X133,99999),IF(AND(ISNUMBER($Y133),$Y133&gt;=TODAY()),$Y133,99999))))</f>
        <v/>
      </c>
      <c r="N133" s="27" t="n"/>
      <c r="O133" s="27" t="n"/>
      <c r="P133" s="27" t="n"/>
      <c r="Q133" s="27" t="n"/>
      <c r="R133" s="27" t="n"/>
      <c r="S133" s="27" t="n"/>
      <c r="T133" s="27" t="n"/>
      <c r="U133" s="27" t="n"/>
      <c r="V133" s="27" t="n"/>
      <c r="W133" s="27" t="n"/>
      <c r="X133" s="27" t="n"/>
      <c r="Y133" s="27" t="n"/>
      <c r="Z133" s="27" t="n"/>
      <c r="AA133" s="27" t="n"/>
      <c r="AB133" s="27" t="n"/>
      <c r="AC133" s="30" t="n"/>
      <c r="AD133" s="25" t="n"/>
      <c r="AE133" s="28">
        <f>IF(NOT(AND($A133&lt;&gt;"",OR($I133="",$I133="Active"))),"",IF(OR(IF(OR(ISNUMBER($Y133),$Y133="DNA"),$Y133,IF(OR(ISNUMBER($X133),$X133="DNA"),$X133,IF(OR(ISNUMBER($W133),$W133="DNA"),$W133,IF(OR(ISNUMBER($V133),$V133="DNA"),$V133,IF(OR(ISNUMBER($U133),$U133="DNA"),$U133,IF(OR(ISNUMBER($T133),$T133="DNA"),$T133,IF(OR(ISNUMBER($S133),$S133="DNA"),$S133,IF(OR(ISNUMBER($P133),$P133="DNA"),$P133,IF(OR(ISNUMBER($O133),$O133="DNA"),$O133,IF(OR(ISNUMBER($N133),$N133="DNA"),$N133,""))))))))))="DNA",AND(ISNUMBER(IF(OR(ISNUMBER($Y133),$Y133="DNA"),$Y133,IF(OR(ISNUMBER($X133),$X133="DNA"),$X133,IF(OR(ISNUMBER($W133),$W133="DNA"),$W133,IF(OR(ISNUMBER($V133),$V133="DNA"),$V133,IF(OR(ISNUMBER($U133),$U133="DNA"),$U133,IF(OR(ISNUMBER($T133),$T133="DNA"),$T133,IF(OR(ISNUMBER($S133),$S133="DNA"),$S133,IF(OR(ISNUMBER($P133),$P133="DNA"),$P133,IF(OR(ISNUMBER($O133),$O133="DNA"),$O133,IF(OR(ISNUMBER($N133),$N133="DNA"),$N133,""))))))))))),IF(OR(ISNUMBER($Y133),$Y133="DNA"),$Y133,IF(OR(ISNUMBER($X133),$X133="DNA"),$X133,IF(OR(ISNUMBER($W133),$W133="DNA"),$W133,IF(OR(ISNUMBER($V133),$V133="DNA"),$V133,IF(OR(ISNUMBER($U133),$U133="DNA"),$U133,IF(OR(ISNUMBER($T133),$T133="DNA"),$T133,IF(OR(ISNUMBER($S133),$S133="DNA"),$S133,IF(OR(ISNUMBER($P133),$P133="DNA"),$P133,IF(OR(ISNUMBER($O133),$O133="DNA"),$O133,IF(OR(ISNUMBER($N133),$N133="DNA"),$N133,""))))))))))&lt;TODAY())),1,0)+ISNUMBER($Q133)*($Q133&lt;TODAY())+ISNUMBER($R133)*($R133&lt;TODAY())+ISNUMBER($AA133)*($AA133&lt;TODAY())+ISNUMBER($AB133)*($AB133&lt;TODAY()))</f>
        <v/>
      </c>
    </row>
    <row r="134">
      <c r="A134" s="25" t="n"/>
      <c r="B134" s="26" t="n"/>
      <c r="C134" s="27" t="n"/>
      <c r="D134" s="25" t="n"/>
      <c r="E134" s="25" t="n"/>
      <c r="F134" s="25" t="n"/>
      <c r="G134" s="25" t="n"/>
      <c r="H134" s="27" t="n"/>
      <c r="I134" s="25" t="n"/>
      <c r="J134" s="28">
        <f>IF(OR(NOT(AND($A134&lt;&gt;"",OR($I134="",$I134="Active"))),$H134=""),"",INT((TODAY()-$H134+280)/7)&amp;"+"&amp;MOD(TODAY()-$H134+280,7))</f>
        <v/>
      </c>
      <c r="K134" s="28">
        <f>IF(NOT(AND($A134&lt;&gt;"",OR($I134="",$I134="Active"))),"",ISNUMBER($N134)*($N134&gt;=TODAY())*($N134&lt;=TODAY()+7)+ISNUMBER($O134)*($O134&gt;=TODAY())*($O134&lt;=TODAY()+7)+ISNUMBER($P134)*($P134&gt;=TODAY())*($P134&lt;=TODAY()+7)+ISNUMBER($S134)*($S134&gt;=TODAY())*($S134&lt;=TODAY()+7)+ISNUMBER($T134)*($T134&gt;=TODAY())*($T134&lt;=TODAY()+7)+ISNUMBER($U134)*($U134&gt;=TODAY())*($U134&lt;=TODAY()+7)+ISNUMBER($V134)*($V134&gt;=TODAY())*($V134&lt;=TODAY()+7)+ISNUMBER($W134)*($W134&gt;=TODAY())*($W134&lt;=TODAY()+7)+ISNUMBER($X134)*($X134&gt;=TODAY())*($X134&lt;=TODAY()+7)+ISNUMBER($Y134)*($Y134&gt;=TODAY())*($Y134&lt;=TODAY()+7)+ISNUMBER($Q134)*($Q134&gt;=TODAY())*($Q134&lt;=TODAY()+7)+ISNUMBER($R134)*($R134&gt;=TODAY())*($R134&lt;=TODAY()+7)+ISNUMBER($AA134)*($AA134&gt;=TODAY())*($AA134&lt;=TODAY()+7)+ISNUMBER($AB134)*($AB134&gt;=TODAY())*($AB134&lt;=TODAY()+7))</f>
        <v/>
      </c>
      <c r="L134" s="28">
        <f>IF(NOT(AND($A134&lt;&gt;"",OR($I134="",$I134="Active"))),"",IF($M134&lt;&gt;"",IF($N134=$M134,"Booking",IF($O134=$M134,"16/40",IF($P134=$M134,"25/40",IF($S134=$M134,"28/40",IF($T134=$M134,"31/40",IF($U134=$M134,"34/40",IF($V134=$M134,"36/40",IF($W134=$M134,"38/40",IF($X134=$M134,"40/40",IF($Y134=$M134,"41/40","")))))))))),IF(IF(OR(ISNUMBER($Y134),$Y134="DNA"),$Y134,IF(OR(ISNUMBER($X134),$X134="DNA"),$X134,IF(OR(ISNUMBER($W134),$W134="DNA"),$W134,IF(OR(ISNUMBER($V134),$V134="DNA"),$V134,IF(OR(ISNUMBER($U134),$U134="DNA"),$U134,IF(OR(ISNUMBER($T134),$T134="DNA"),$T134,IF(OR(ISNUMBER($S134),$S134="DNA"),$S134,IF(OR(ISNUMBER($P134),$P134="DNA"),$P134,IF(OR(ISNUMBER($O134),$O134="DNA"),$O134,IF(OR(ISNUMBER($N134),$N134="DNA"),$N134,""))))))))))="DNA","Rebook DNA",IF(ISNUMBER(IF(OR(ISNUMBER($Y134),$Y134="DNA"),$Y134,IF(OR(ISNUMBER($X134),$X134="DNA"),$X134,IF(OR(ISNUMBER($W134),$W134="DNA"),$W134,IF(OR(ISNUMBER($V134),$V134="DNA"),$V134,IF(OR(ISNUMBER($U134),$U134="DNA"),$U134,IF(OR(ISNUMBER($T134),$T134="DNA"),$T134,IF(OR(ISNUMBER($S134),$S134="DNA"),$S134,IF(OR(ISNUMBER($P134),$P134="DNA"),$P134,IF(OR(ISNUMBER($O134),$O134="DNA"),$O134,IF(OR(ISNUMBER($N134),$N134="DNA"),$N134,""))))))))))),IF(ISNUMBER($Y134),"Update status","Missed/not booked?"),""))))</f>
        <v/>
      </c>
      <c r="M134" s="29">
        <f>IF(NOT(AND($A134&lt;&gt;"",OR($I134="",$I134="Active"))),"",IF(MIN(IF(AND(ISNUMBER($N134),$N134&gt;=TODAY()),$N134,99999),IF(AND(ISNUMBER($O134),$O134&gt;=TODAY()),$O134,99999),IF(AND(ISNUMBER($P134),$P134&gt;=TODAY()),$P134,99999),IF(AND(ISNUMBER($S134),$S134&gt;=TODAY()),$S134,99999),IF(AND(ISNUMBER($T134),$T134&gt;=TODAY()),$T134,99999),IF(AND(ISNUMBER($U134),$U134&gt;=TODAY()),$U134,99999),IF(AND(ISNUMBER($V134),$V134&gt;=TODAY()),$V134,99999),IF(AND(ISNUMBER($W134),$W134&gt;=TODAY()),$W134,99999),IF(AND(ISNUMBER($X134),$X134&gt;=TODAY()),$X134,99999),IF(AND(ISNUMBER($Y134),$Y134&gt;=TODAY()),$Y134,99999))=99999,"",MIN(IF(AND(ISNUMBER($N134),$N134&gt;=TODAY()),$N134,99999),IF(AND(ISNUMBER($O134),$O134&gt;=TODAY()),$O134,99999),IF(AND(ISNUMBER($P134),$P134&gt;=TODAY()),$P134,99999),IF(AND(ISNUMBER($S134),$S134&gt;=TODAY()),$S134,99999),IF(AND(ISNUMBER($T134),$T134&gt;=TODAY()),$T134,99999),IF(AND(ISNUMBER($U134),$U134&gt;=TODAY()),$U134,99999),IF(AND(ISNUMBER($V134),$V134&gt;=TODAY()),$V134,99999),IF(AND(ISNUMBER($W134),$W134&gt;=TODAY()),$W134,99999),IF(AND(ISNUMBER($X134),$X134&gt;=TODAY()),$X134,99999),IF(AND(ISNUMBER($Y134),$Y134&gt;=TODAY()),$Y134,99999))))</f>
        <v/>
      </c>
      <c r="N134" s="27" t="n"/>
      <c r="O134" s="27" t="n"/>
      <c r="P134" s="27" t="n"/>
      <c r="Q134" s="27" t="n"/>
      <c r="R134" s="27" t="n"/>
      <c r="S134" s="27" t="n"/>
      <c r="T134" s="27" t="n"/>
      <c r="U134" s="27" t="n"/>
      <c r="V134" s="27" t="n"/>
      <c r="W134" s="27" t="n"/>
      <c r="X134" s="27" t="n"/>
      <c r="Y134" s="27" t="n"/>
      <c r="Z134" s="27" t="n"/>
      <c r="AA134" s="27" t="n"/>
      <c r="AB134" s="27" t="n"/>
      <c r="AC134" s="30" t="n"/>
      <c r="AD134" s="25" t="n"/>
      <c r="AE134" s="28">
        <f>IF(NOT(AND($A134&lt;&gt;"",OR($I134="",$I134="Active"))),"",IF(OR(IF(OR(ISNUMBER($Y134),$Y134="DNA"),$Y134,IF(OR(ISNUMBER($X134),$X134="DNA"),$X134,IF(OR(ISNUMBER($W134),$W134="DNA"),$W134,IF(OR(ISNUMBER($V134),$V134="DNA"),$V134,IF(OR(ISNUMBER($U134),$U134="DNA"),$U134,IF(OR(ISNUMBER($T134),$T134="DNA"),$T134,IF(OR(ISNUMBER($S134),$S134="DNA"),$S134,IF(OR(ISNUMBER($P134),$P134="DNA"),$P134,IF(OR(ISNUMBER($O134),$O134="DNA"),$O134,IF(OR(ISNUMBER($N134),$N134="DNA"),$N134,""))))))))))="DNA",AND(ISNUMBER(IF(OR(ISNUMBER($Y134),$Y134="DNA"),$Y134,IF(OR(ISNUMBER($X134),$X134="DNA"),$X134,IF(OR(ISNUMBER($W134),$W134="DNA"),$W134,IF(OR(ISNUMBER($V134),$V134="DNA"),$V134,IF(OR(ISNUMBER($U134),$U134="DNA"),$U134,IF(OR(ISNUMBER($T134),$T134="DNA"),$T134,IF(OR(ISNUMBER($S134),$S134="DNA"),$S134,IF(OR(ISNUMBER($P134),$P134="DNA"),$P134,IF(OR(ISNUMBER($O134),$O134="DNA"),$O134,IF(OR(ISNUMBER($N134),$N134="DNA"),$N134,""))))))))))),IF(OR(ISNUMBER($Y134),$Y134="DNA"),$Y134,IF(OR(ISNUMBER($X134),$X134="DNA"),$X134,IF(OR(ISNUMBER($W134),$W134="DNA"),$W134,IF(OR(ISNUMBER($V134),$V134="DNA"),$V134,IF(OR(ISNUMBER($U134),$U134="DNA"),$U134,IF(OR(ISNUMBER($T134),$T134="DNA"),$T134,IF(OR(ISNUMBER($S134),$S134="DNA"),$S134,IF(OR(ISNUMBER($P134),$P134="DNA"),$P134,IF(OR(ISNUMBER($O134),$O134="DNA"),$O134,IF(OR(ISNUMBER($N134),$N134="DNA"),$N134,""))))))))))&lt;TODAY())),1,0)+ISNUMBER($Q134)*($Q134&lt;TODAY())+ISNUMBER($R134)*($R134&lt;TODAY())+ISNUMBER($AA134)*($AA134&lt;TODAY())+ISNUMBER($AB134)*($AB134&lt;TODAY()))</f>
        <v/>
      </c>
    </row>
    <row r="135">
      <c r="A135" s="25" t="n"/>
      <c r="B135" s="26" t="n"/>
      <c r="C135" s="27" t="n"/>
      <c r="D135" s="25" t="n"/>
      <c r="E135" s="25" t="n"/>
      <c r="F135" s="25" t="n"/>
      <c r="G135" s="25" t="n"/>
      <c r="H135" s="27" t="n"/>
      <c r="I135" s="25" t="n"/>
      <c r="J135" s="28">
        <f>IF(OR(NOT(AND($A135&lt;&gt;"",OR($I135="",$I135="Active"))),$H135=""),"",INT((TODAY()-$H135+280)/7)&amp;"+"&amp;MOD(TODAY()-$H135+280,7))</f>
        <v/>
      </c>
      <c r="K135" s="28">
        <f>IF(NOT(AND($A135&lt;&gt;"",OR($I135="",$I135="Active"))),"",ISNUMBER($N135)*($N135&gt;=TODAY())*($N135&lt;=TODAY()+7)+ISNUMBER($O135)*($O135&gt;=TODAY())*($O135&lt;=TODAY()+7)+ISNUMBER($P135)*($P135&gt;=TODAY())*($P135&lt;=TODAY()+7)+ISNUMBER($S135)*($S135&gt;=TODAY())*($S135&lt;=TODAY()+7)+ISNUMBER($T135)*($T135&gt;=TODAY())*($T135&lt;=TODAY()+7)+ISNUMBER($U135)*($U135&gt;=TODAY())*($U135&lt;=TODAY()+7)+ISNUMBER($V135)*($V135&gt;=TODAY())*($V135&lt;=TODAY()+7)+ISNUMBER($W135)*($W135&gt;=TODAY())*($W135&lt;=TODAY()+7)+ISNUMBER($X135)*($X135&gt;=TODAY())*($X135&lt;=TODAY()+7)+ISNUMBER($Y135)*($Y135&gt;=TODAY())*($Y135&lt;=TODAY()+7)+ISNUMBER($Q135)*($Q135&gt;=TODAY())*($Q135&lt;=TODAY()+7)+ISNUMBER($R135)*($R135&gt;=TODAY())*($R135&lt;=TODAY()+7)+ISNUMBER($AA135)*($AA135&gt;=TODAY())*($AA135&lt;=TODAY()+7)+ISNUMBER($AB135)*($AB135&gt;=TODAY())*($AB135&lt;=TODAY()+7))</f>
        <v/>
      </c>
      <c r="L135" s="28">
        <f>IF(NOT(AND($A135&lt;&gt;"",OR($I135="",$I135="Active"))),"",IF($M135&lt;&gt;"",IF($N135=$M135,"Booking",IF($O135=$M135,"16/40",IF($P135=$M135,"25/40",IF($S135=$M135,"28/40",IF($T135=$M135,"31/40",IF($U135=$M135,"34/40",IF($V135=$M135,"36/40",IF($W135=$M135,"38/40",IF($X135=$M135,"40/40",IF($Y135=$M135,"41/40","")))))))))),IF(IF(OR(ISNUMBER($Y135),$Y135="DNA"),$Y135,IF(OR(ISNUMBER($X135),$X135="DNA"),$X135,IF(OR(ISNUMBER($W135),$W135="DNA"),$W135,IF(OR(ISNUMBER($V135),$V135="DNA"),$V135,IF(OR(ISNUMBER($U135),$U135="DNA"),$U135,IF(OR(ISNUMBER($T135),$T135="DNA"),$T135,IF(OR(ISNUMBER($S135),$S135="DNA"),$S135,IF(OR(ISNUMBER($P135),$P135="DNA"),$P135,IF(OR(ISNUMBER($O135),$O135="DNA"),$O135,IF(OR(ISNUMBER($N135),$N135="DNA"),$N135,""))))))))))="DNA","Rebook DNA",IF(ISNUMBER(IF(OR(ISNUMBER($Y135),$Y135="DNA"),$Y135,IF(OR(ISNUMBER($X135),$X135="DNA"),$X135,IF(OR(ISNUMBER($W135),$W135="DNA"),$W135,IF(OR(ISNUMBER($V135),$V135="DNA"),$V135,IF(OR(ISNUMBER($U135),$U135="DNA"),$U135,IF(OR(ISNUMBER($T135),$T135="DNA"),$T135,IF(OR(ISNUMBER($S135),$S135="DNA"),$S135,IF(OR(ISNUMBER($P135),$P135="DNA"),$P135,IF(OR(ISNUMBER($O135),$O135="DNA"),$O135,IF(OR(ISNUMBER($N135),$N135="DNA"),$N135,""))))))))))),IF(ISNUMBER($Y135),"Update status","Missed/not booked?"),""))))</f>
        <v/>
      </c>
      <c r="M135" s="29">
        <f>IF(NOT(AND($A135&lt;&gt;"",OR($I135="",$I135="Active"))),"",IF(MIN(IF(AND(ISNUMBER($N135),$N135&gt;=TODAY()),$N135,99999),IF(AND(ISNUMBER($O135),$O135&gt;=TODAY()),$O135,99999),IF(AND(ISNUMBER($P135),$P135&gt;=TODAY()),$P135,99999),IF(AND(ISNUMBER($S135),$S135&gt;=TODAY()),$S135,99999),IF(AND(ISNUMBER($T135),$T135&gt;=TODAY()),$T135,99999),IF(AND(ISNUMBER($U135),$U135&gt;=TODAY()),$U135,99999),IF(AND(ISNUMBER($V135),$V135&gt;=TODAY()),$V135,99999),IF(AND(ISNUMBER($W135),$W135&gt;=TODAY()),$W135,99999),IF(AND(ISNUMBER($X135),$X135&gt;=TODAY()),$X135,99999),IF(AND(ISNUMBER($Y135),$Y135&gt;=TODAY()),$Y135,99999))=99999,"",MIN(IF(AND(ISNUMBER($N135),$N135&gt;=TODAY()),$N135,99999),IF(AND(ISNUMBER($O135),$O135&gt;=TODAY()),$O135,99999),IF(AND(ISNUMBER($P135),$P135&gt;=TODAY()),$P135,99999),IF(AND(ISNUMBER($S135),$S135&gt;=TODAY()),$S135,99999),IF(AND(ISNUMBER($T135),$T135&gt;=TODAY()),$T135,99999),IF(AND(ISNUMBER($U135),$U135&gt;=TODAY()),$U135,99999),IF(AND(ISNUMBER($V135),$V135&gt;=TODAY()),$V135,99999),IF(AND(ISNUMBER($W135),$W135&gt;=TODAY()),$W135,99999),IF(AND(ISNUMBER($X135),$X135&gt;=TODAY()),$X135,99999),IF(AND(ISNUMBER($Y135),$Y135&gt;=TODAY()),$Y135,99999))))</f>
        <v/>
      </c>
      <c r="N135" s="27" t="n"/>
      <c r="O135" s="27" t="n"/>
      <c r="P135" s="27" t="n"/>
      <c r="Q135" s="27" t="n"/>
      <c r="R135" s="27" t="n"/>
      <c r="S135" s="27" t="n"/>
      <c r="T135" s="27" t="n"/>
      <c r="U135" s="27" t="n"/>
      <c r="V135" s="27" t="n"/>
      <c r="W135" s="27" t="n"/>
      <c r="X135" s="27" t="n"/>
      <c r="Y135" s="27" t="n"/>
      <c r="Z135" s="27" t="n"/>
      <c r="AA135" s="27" t="n"/>
      <c r="AB135" s="27" t="n"/>
      <c r="AC135" s="30" t="n"/>
      <c r="AD135" s="25" t="n"/>
      <c r="AE135" s="28">
        <f>IF(NOT(AND($A135&lt;&gt;"",OR($I135="",$I135="Active"))),"",IF(OR(IF(OR(ISNUMBER($Y135),$Y135="DNA"),$Y135,IF(OR(ISNUMBER($X135),$X135="DNA"),$X135,IF(OR(ISNUMBER($W135),$W135="DNA"),$W135,IF(OR(ISNUMBER($V135),$V135="DNA"),$V135,IF(OR(ISNUMBER($U135),$U135="DNA"),$U135,IF(OR(ISNUMBER($T135),$T135="DNA"),$T135,IF(OR(ISNUMBER($S135),$S135="DNA"),$S135,IF(OR(ISNUMBER($P135),$P135="DNA"),$P135,IF(OR(ISNUMBER($O135),$O135="DNA"),$O135,IF(OR(ISNUMBER($N135),$N135="DNA"),$N135,""))))))))))="DNA",AND(ISNUMBER(IF(OR(ISNUMBER($Y135),$Y135="DNA"),$Y135,IF(OR(ISNUMBER($X135),$X135="DNA"),$X135,IF(OR(ISNUMBER($W135),$W135="DNA"),$W135,IF(OR(ISNUMBER($V135),$V135="DNA"),$V135,IF(OR(ISNUMBER($U135),$U135="DNA"),$U135,IF(OR(ISNUMBER($T135),$T135="DNA"),$T135,IF(OR(ISNUMBER($S135),$S135="DNA"),$S135,IF(OR(ISNUMBER($P135),$P135="DNA"),$P135,IF(OR(ISNUMBER($O135),$O135="DNA"),$O135,IF(OR(ISNUMBER($N135),$N135="DNA"),$N135,""))))))))))),IF(OR(ISNUMBER($Y135),$Y135="DNA"),$Y135,IF(OR(ISNUMBER($X135),$X135="DNA"),$X135,IF(OR(ISNUMBER($W135),$W135="DNA"),$W135,IF(OR(ISNUMBER($V135),$V135="DNA"),$V135,IF(OR(ISNUMBER($U135),$U135="DNA"),$U135,IF(OR(ISNUMBER($T135),$T135="DNA"),$T135,IF(OR(ISNUMBER($S135),$S135="DNA"),$S135,IF(OR(ISNUMBER($P135),$P135="DNA"),$P135,IF(OR(ISNUMBER($O135),$O135="DNA"),$O135,IF(OR(ISNUMBER($N135),$N135="DNA"),$N135,""))))))))))&lt;TODAY())),1,0)+ISNUMBER($Q135)*($Q135&lt;TODAY())+ISNUMBER($R135)*($R135&lt;TODAY())+ISNUMBER($AA135)*($AA135&lt;TODAY())+ISNUMBER($AB135)*($AB135&lt;TODAY()))</f>
        <v/>
      </c>
    </row>
    <row r="136">
      <c r="A136" s="25" t="n"/>
      <c r="B136" s="26" t="n"/>
      <c r="C136" s="27" t="n"/>
      <c r="D136" s="25" t="n"/>
      <c r="E136" s="25" t="n"/>
      <c r="F136" s="25" t="n"/>
      <c r="G136" s="25" t="n"/>
      <c r="H136" s="27" t="n"/>
      <c r="I136" s="25" t="n"/>
      <c r="J136" s="28">
        <f>IF(OR(NOT(AND($A136&lt;&gt;"",OR($I136="",$I136="Active"))),$H136=""),"",INT((TODAY()-$H136+280)/7)&amp;"+"&amp;MOD(TODAY()-$H136+280,7))</f>
        <v/>
      </c>
      <c r="K136" s="28">
        <f>IF(NOT(AND($A136&lt;&gt;"",OR($I136="",$I136="Active"))),"",ISNUMBER($N136)*($N136&gt;=TODAY())*($N136&lt;=TODAY()+7)+ISNUMBER($O136)*($O136&gt;=TODAY())*($O136&lt;=TODAY()+7)+ISNUMBER($P136)*($P136&gt;=TODAY())*($P136&lt;=TODAY()+7)+ISNUMBER($S136)*($S136&gt;=TODAY())*($S136&lt;=TODAY()+7)+ISNUMBER($T136)*($T136&gt;=TODAY())*($T136&lt;=TODAY()+7)+ISNUMBER($U136)*($U136&gt;=TODAY())*($U136&lt;=TODAY()+7)+ISNUMBER($V136)*($V136&gt;=TODAY())*($V136&lt;=TODAY()+7)+ISNUMBER($W136)*($W136&gt;=TODAY())*($W136&lt;=TODAY()+7)+ISNUMBER($X136)*($X136&gt;=TODAY())*($X136&lt;=TODAY()+7)+ISNUMBER($Y136)*($Y136&gt;=TODAY())*($Y136&lt;=TODAY()+7)+ISNUMBER($Q136)*($Q136&gt;=TODAY())*($Q136&lt;=TODAY()+7)+ISNUMBER($R136)*($R136&gt;=TODAY())*($R136&lt;=TODAY()+7)+ISNUMBER($AA136)*($AA136&gt;=TODAY())*($AA136&lt;=TODAY()+7)+ISNUMBER($AB136)*($AB136&gt;=TODAY())*($AB136&lt;=TODAY()+7))</f>
        <v/>
      </c>
      <c r="L136" s="28">
        <f>IF(NOT(AND($A136&lt;&gt;"",OR($I136="",$I136="Active"))),"",IF($M136&lt;&gt;"",IF($N136=$M136,"Booking",IF($O136=$M136,"16/40",IF($P136=$M136,"25/40",IF($S136=$M136,"28/40",IF($T136=$M136,"31/40",IF($U136=$M136,"34/40",IF($V136=$M136,"36/40",IF($W136=$M136,"38/40",IF($X136=$M136,"40/40",IF($Y136=$M136,"41/40","")))))))))),IF(IF(OR(ISNUMBER($Y136),$Y136="DNA"),$Y136,IF(OR(ISNUMBER($X136),$X136="DNA"),$X136,IF(OR(ISNUMBER($W136),$W136="DNA"),$W136,IF(OR(ISNUMBER($V136),$V136="DNA"),$V136,IF(OR(ISNUMBER($U136),$U136="DNA"),$U136,IF(OR(ISNUMBER($T136),$T136="DNA"),$T136,IF(OR(ISNUMBER($S136),$S136="DNA"),$S136,IF(OR(ISNUMBER($P136),$P136="DNA"),$P136,IF(OR(ISNUMBER($O136),$O136="DNA"),$O136,IF(OR(ISNUMBER($N136),$N136="DNA"),$N136,""))))))))))="DNA","Rebook DNA",IF(ISNUMBER(IF(OR(ISNUMBER($Y136),$Y136="DNA"),$Y136,IF(OR(ISNUMBER($X136),$X136="DNA"),$X136,IF(OR(ISNUMBER($W136),$W136="DNA"),$W136,IF(OR(ISNUMBER($V136),$V136="DNA"),$V136,IF(OR(ISNUMBER($U136),$U136="DNA"),$U136,IF(OR(ISNUMBER($T136),$T136="DNA"),$T136,IF(OR(ISNUMBER($S136),$S136="DNA"),$S136,IF(OR(ISNUMBER($P136),$P136="DNA"),$P136,IF(OR(ISNUMBER($O136),$O136="DNA"),$O136,IF(OR(ISNUMBER($N136),$N136="DNA"),$N136,""))))))))))),IF(ISNUMBER($Y136),"Update status","Missed/not booked?"),""))))</f>
        <v/>
      </c>
      <c r="M136" s="29">
        <f>IF(NOT(AND($A136&lt;&gt;"",OR($I136="",$I136="Active"))),"",IF(MIN(IF(AND(ISNUMBER($N136),$N136&gt;=TODAY()),$N136,99999),IF(AND(ISNUMBER($O136),$O136&gt;=TODAY()),$O136,99999),IF(AND(ISNUMBER($P136),$P136&gt;=TODAY()),$P136,99999),IF(AND(ISNUMBER($S136),$S136&gt;=TODAY()),$S136,99999),IF(AND(ISNUMBER($T136),$T136&gt;=TODAY()),$T136,99999),IF(AND(ISNUMBER($U136),$U136&gt;=TODAY()),$U136,99999),IF(AND(ISNUMBER($V136),$V136&gt;=TODAY()),$V136,99999),IF(AND(ISNUMBER($W136),$W136&gt;=TODAY()),$W136,99999),IF(AND(ISNUMBER($X136),$X136&gt;=TODAY()),$X136,99999),IF(AND(ISNUMBER($Y136),$Y136&gt;=TODAY()),$Y136,99999))=99999,"",MIN(IF(AND(ISNUMBER($N136),$N136&gt;=TODAY()),$N136,99999),IF(AND(ISNUMBER($O136),$O136&gt;=TODAY()),$O136,99999),IF(AND(ISNUMBER($P136),$P136&gt;=TODAY()),$P136,99999),IF(AND(ISNUMBER($S136),$S136&gt;=TODAY()),$S136,99999),IF(AND(ISNUMBER($T136),$T136&gt;=TODAY()),$T136,99999),IF(AND(ISNUMBER($U136),$U136&gt;=TODAY()),$U136,99999),IF(AND(ISNUMBER($V136),$V136&gt;=TODAY()),$V136,99999),IF(AND(ISNUMBER($W136),$W136&gt;=TODAY()),$W136,99999),IF(AND(ISNUMBER($X136),$X136&gt;=TODAY()),$X136,99999),IF(AND(ISNUMBER($Y136),$Y136&gt;=TODAY()),$Y136,99999))))</f>
        <v/>
      </c>
      <c r="N136" s="27" t="n"/>
      <c r="O136" s="27" t="n"/>
      <c r="P136" s="27" t="n"/>
      <c r="Q136" s="27" t="n"/>
      <c r="R136" s="27" t="n"/>
      <c r="S136" s="27" t="n"/>
      <c r="T136" s="27" t="n"/>
      <c r="U136" s="27" t="n"/>
      <c r="V136" s="27" t="n"/>
      <c r="W136" s="27" t="n"/>
      <c r="X136" s="27" t="n"/>
      <c r="Y136" s="27" t="n"/>
      <c r="Z136" s="27" t="n"/>
      <c r="AA136" s="27" t="n"/>
      <c r="AB136" s="27" t="n"/>
      <c r="AC136" s="30" t="n"/>
      <c r="AD136" s="25" t="n"/>
      <c r="AE136" s="28">
        <f>IF(NOT(AND($A136&lt;&gt;"",OR($I136="",$I136="Active"))),"",IF(OR(IF(OR(ISNUMBER($Y136),$Y136="DNA"),$Y136,IF(OR(ISNUMBER($X136),$X136="DNA"),$X136,IF(OR(ISNUMBER($W136),$W136="DNA"),$W136,IF(OR(ISNUMBER($V136),$V136="DNA"),$V136,IF(OR(ISNUMBER($U136),$U136="DNA"),$U136,IF(OR(ISNUMBER($T136),$T136="DNA"),$T136,IF(OR(ISNUMBER($S136),$S136="DNA"),$S136,IF(OR(ISNUMBER($P136),$P136="DNA"),$P136,IF(OR(ISNUMBER($O136),$O136="DNA"),$O136,IF(OR(ISNUMBER($N136),$N136="DNA"),$N136,""))))))))))="DNA",AND(ISNUMBER(IF(OR(ISNUMBER($Y136),$Y136="DNA"),$Y136,IF(OR(ISNUMBER($X136),$X136="DNA"),$X136,IF(OR(ISNUMBER($W136),$W136="DNA"),$W136,IF(OR(ISNUMBER($V136),$V136="DNA"),$V136,IF(OR(ISNUMBER($U136),$U136="DNA"),$U136,IF(OR(ISNUMBER($T136),$T136="DNA"),$T136,IF(OR(ISNUMBER($S136),$S136="DNA"),$S136,IF(OR(ISNUMBER($P136),$P136="DNA"),$P136,IF(OR(ISNUMBER($O136),$O136="DNA"),$O136,IF(OR(ISNUMBER($N136),$N136="DNA"),$N136,""))))))))))),IF(OR(ISNUMBER($Y136),$Y136="DNA"),$Y136,IF(OR(ISNUMBER($X136),$X136="DNA"),$X136,IF(OR(ISNUMBER($W136),$W136="DNA"),$W136,IF(OR(ISNUMBER($V136),$V136="DNA"),$V136,IF(OR(ISNUMBER($U136),$U136="DNA"),$U136,IF(OR(ISNUMBER($T136),$T136="DNA"),$T136,IF(OR(ISNUMBER($S136),$S136="DNA"),$S136,IF(OR(ISNUMBER($P136),$P136="DNA"),$P136,IF(OR(ISNUMBER($O136),$O136="DNA"),$O136,IF(OR(ISNUMBER($N136),$N136="DNA"),$N136,""))))))))))&lt;TODAY())),1,0)+ISNUMBER($Q136)*($Q136&lt;TODAY())+ISNUMBER($R136)*($R136&lt;TODAY())+ISNUMBER($AA136)*($AA136&lt;TODAY())+ISNUMBER($AB136)*($AB136&lt;TODAY()))</f>
        <v/>
      </c>
    </row>
    <row r="137">
      <c r="A137" s="25" t="n"/>
      <c r="B137" s="26" t="n"/>
      <c r="C137" s="27" t="n"/>
      <c r="D137" s="25" t="n"/>
      <c r="E137" s="25" t="n"/>
      <c r="F137" s="25" t="n"/>
      <c r="G137" s="25" t="n"/>
      <c r="H137" s="27" t="n"/>
      <c r="I137" s="25" t="n"/>
      <c r="J137" s="28">
        <f>IF(OR(NOT(AND($A137&lt;&gt;"",OR($I137="",$I137="Active"))),$H137=""),"",INT((TODAY()-$H137+280)/7)&amp;"+"&amp;MOD(TODAY()-$H137+280,7))</f>
        <v/>
      </c>
      <c r="K137" s="28">
        <f>IF(NOT(AND($A137&lt;&gt;"",OR($I137="",$I137="Active"))),"",ISNUMBER($N137)*($N137&gt;=TODAY())*($N137&lt;=TODAY()+7)+ISNUMBER($O137)*($O137&gt;=TODAY())*($O137&lt;=TODAY()+7)+ISNUMBER($P137)*($P137&gt;=TODAY())*($P137&lt;=TODAY()+7)+ISNUMBER($S137)*($S137&gt;=TODAY())*($S137&lt;=TODAY()+7)+ISNUMBER($T137)*($T137&gt;=TODAY())*($T137&lt;=TODAY()+7)+ISNUMBER($U137)*($U137&gt;=TODAY())*($U137&lt;=TODAY()+7)+ISNUMBER($V137)*($V137&gt;=TODAY())*($V137&lt;=TODAY()+7)+ISNUMBER($W137)*($W137&gt;=TODAY())*($W137&lt;=TODAY()+7)+ISNUMBER($X137)*($X137&gt;=TODAY())*($X137&lt;=TODAY()+7)+ISNUMBER($Y137)*($Y137&gt;=TODAY())*($Y137&lt;=TODAY()+7)+ISNUMBER($Q137)*($Q137&gt;=TODAY())*($Q137&lt;=TODAY()+7)+ISNUMBER($R137)*($R137&gt;=TODAY())*($R137&lt;=TODAY()+7)+ISNUMBER($AA137)*($AA137&gt;=TODAY())*($AA137&lt;=TODAY()+7)+ISNUMBER($AB137)*($AB137&gt;=TODAY())*($AB137&lt;=TODAY()+7))</f>
        <v/>
      </c>
      <c r="L137" s="28">
        <f>IF(NOT(AND($A137&lt;&gt;"",OR($I137="",$I137="Active"))),"",IF($M137&lt;&gt;"",IF($N137=$M137,"Booking",IF($O137=$M137,"16/40",IF($P137=$M137,"25/40",IF($S137=$M137,"28/40",IF($T137=$M137,"31/40",IF($U137=$M137,"34/40",IF($V137=$M137,"36/40",IF($W137=$M137,"38/40",IF($X137=$M137,"40/40",IF($Y137=$M137,"41/40","")))))))))),IF(IF(OR(ISNUMBER($Y137),$Y137="DNA"),$Y137,IF(OR(ISNUMBER($X137),$X137="DNA"),$X137,IF(OR(ISNUMBER($W137),$W137="DNA"),$W137,IF(OR(ISNUMBER($V137),$V137="DNA"),$V137,IF(OR(ISNUMBER($U137),$U137="DNA"),$U137,IF(OR(ISNUMBER($T137),$T137="DNA"),$T137,IF(OR(ISNUMBER($S137),$S137="DNA"),$S137,IF(OR(ISNUMBER($P137),$P137="DNA"),$P137,IF(OR(ISNUMBER($O137),$O137="DNA"),$O137,IF(OR(ISNUMBER($N137),$N137="DNA"),$N137,""))))))))))="DNA","Rebook DNA",IF(ISNUMBER(IF(OR(ISNUMBER($Y137),$Y137="DNA"),$Y137,IF(OR(ISNUMBER($X137),$X137="DNA"),$X137,IF(OR(ISNUMBER($W137),$W137="DNA"),$W137,IF(OR(ISNUMBER($V137),$V137="DNA"),$V137,IF(OR(ISNUMBER($U137),$U137="DNA"),$U137,IF(OR(ISNUMBER($T137),$T137="DNA"),$T137,IF(OR(ISNUMBER($S137),$S137="DNA"),$S137,IF(OR(ISNUMBER($P137),$P137="DNA"),$P137,IF(OR(ISNUMBER($O137),$O137="DNA"),$O137,IF(OR(ISNUMBER($N137),$N137="DNA"),$N137,""))))))))))),IF(ISNUMBER($Y137),"Update status","Missed/not booked?"),""))))</f>
        <v/>
      </c>
      <c r="M137" s="29">
        <f>IF(NOT(AND($A137&lt;&gt;"",OR($I137="",$I137="Active"))),"",IF(MIN(IF(AND(ISNUMBER($N137),$N137&gt;=TODAY()),$N137,99999),IF(AND(ISNUMBER($O137),$O137&gt;=TODAY()),$O137,99999),IF(AND(ISNUMBER($P137),$P137&gt;=TODAY()),$P137,99999),IF(AND(ISNUMBER($S137),$S137&gt;=TODAY()),$S137,99999),IF(AND(ISNUMBER($T137),$T137&gt;=TODAY()),$T137,99999),IF(AND(ISNUMBER($U137),$U137&gt;=TODAY()),$U137,99999),IF(AND(ISNUMBER($V137),$V137&gt;=TODAY()),$V137,99999),IF(AND(ISNUMBER($W137),$W137&gt;=TODAY()),$W137,99999),IF(AND(ISNUMBER($X137),$X137&gt;=TODAY()),$X137,99999),IF(AND(ISNUMBER($Y137),$Y137&gt;=TODAY()),$Y137,99999))=99999,"",MIN(IF(AND(ISNUMBER($N137),$N137&gt;=TODAY()),$N137,99999),IF(AND(ISNUMBER($O137),$O137&gt;=TODAY()),$O137,99999),IF(AND(ISNUMBER($P137),$P137&gt;=TODAY()),$P137,99999),IF(AND(ISNUMBER($S137),$S137&gt;=TODAY()),$S137,99999),IF(AND(ISNUMBER($T137),$T137&gt;=TODAY()),$T137,99999),IF(AND(ISNUMBER($U137),$U137&gt;=TODAY()),$U137,99999),IF(AND(ISNUMBER($V137),$V137&gt;=TODAY()),$V137,99999),IF(AND(ISNUMBER($W137),$W137&gt;=TODAY()),$W137,99999),IF(AND(ISNUMBER($X137),$X137&gt;=TODAY()),$X137,99999),IF(AND(ISNUMBER($Y137),$Y137&gt;=TODAY()),$Y137,99999))))</f>
        <v/>
      </c>
      <c r="N137" s="27" t="n"/>
      <c r="O137" s="27" t="n"/>
      <c r="P137" s="27" t="n"/>
      <c r="Q137" s="27" t="n"/>
      <c r="R137" s="27" t="n"/>
      <c r="S137" s="27" t="n"/>
      <c r="T137" s="27" t="n"/>
      <c r="U137" s="27" t="n"/>
      <c r="V137" s="27" t="n"/>
      <c r="W137" s="27" t="n"/>
      <c r="X137" s="27" t="n"/>
      <c r="Y137" s="27" t="n"/>
      <c r="Z137" s="27" t="n"/>
      <c r="AA137" s="27" t="n"/>
      <c r="AB137" s="27" t="n"/>
      <c r="AC137" s="30" t="n"/>
      <c r="AD137" s="25" t="n"/>
      <c r="AE137" s="28">
        <f>IF(NOT(AND($A137&lt;&gt;"",OR($I137="",$I137="Active"))),"",IF(OR(IF(OR(ISNUMBER($Y137),$Y137="DNA"),$Y137,IF(OR(ISNUMBER($X137),$X137="DNA"),$X137,IF(OR(ISNUMBER($W137),$W137="DNA"),$W137,IF(OR(ISNUMBER($V137),$V137="DNA"),$V137,IF(OR(ISNUMBER($U137),$U137="DNA"),$U137,IF(OR(ISNUMBER($T137),$T137="DNA"),$T137,IF(OR(ISNUMBER($S137),$S137="DNA"),$S137,IF(OR(ISNUMBER($P137),$P137="DNA"),$P137,IF(OR(ISNUMBER($O137),$O137="DNA"),$O137,IF(OR(ISNUMBER($N137),$N137="DNA"),$N137,""))))))))))="DNA",AND(ISNUMBER(IF(OR(ISNUMBER($Y137),$Y137="DNA"),$Y137,IF(OR(ISNUMBER($X137),$X137="DNA"),$X137,IF(OR(ISNUMBER($W137),$W137="DNA"),$W137,IF(OR(ISNUMBER($V137),$V137="DNA"),$V137,IF(OR(ISNUMBER($U137),$U137="DNA"),$U137,IF(OR(ISNUMBER($T137),$T137="DNA"),$T137,IF(OR(ISNUMBER($S137),$S137="DNA"),$S137,IF(OR(ISNUMBER($P137),$P137="DNA"),$P137,IF(OR(ISNUMBER($O137),$O137="DNA"),$O137,IF(OR(ISNUMBER($N137),$N137="DNA"),$N137,""))))))))))),IF(OR(ISNUMBER($Y137),$Y137="DNA"),$Y137,IF(OR(ISNUMBER($X137),$X137="DNA"),$X137,IF(OR(ISNUMBER($W137),$W137="DNA"),$W137,IF(OR(ISNUMBER($V137),$V137="DNA"),$V137,IF(OR(ISNUMBER($U137),$U137="DNA"),$U137,IF(OR(ISNUMBER($T137),$T137="DNA"),$T137,IF(OR(ISNUMBER($S137),$S137="DNA"),$S137,IF(OR(ISNUMBER($P137),$P137="DNA"),$P137,IF(OR(ISNUMBER($O137),$O137="DNA"),$O137,IF(OR(ISNUMBER($N137),$N137="DNA"),$N137,""))))))))))&lt;TODAY())),1,0)+ISNUMBER($Q137)*($Q137&lt;TODAY())+ISNUMBER($R137)*($R137&lt;TODAY())+ISNUMBER($AA137)*($AA137&lt;TODAY())+ISNUMBER($AB137)*($AB137&lt;TODAY()))</f>
        <v/>
      </c>
    </row>
    <row r="138">
      <c r="A138" s="25" t="n"/>
      <c r="B138" s="26" t="n"/>
      <c r="C138" s="27" t="n"/>
      <c r="D138" s="25" t="n"/>
      <c r="E138" s="25" t="n"/>
      <c r="F138" s="25" t="n"/>
      <c r="G138" s="25" t="n"/>
      <c r="H138" s="27" t="n"/>
      <c r="I138" s="25" t="n"/>
      <c r="J138" s="28">
        <f>IF(OR(NOT(AND($A138&lt;&gt;"",OR($I138="",$I138="Active"))),$H138=""),"",INT((TODAY()-$H138+280)/7)&amp;"+"&amp;MOD(TODAY()-$H138+280,7))</f>
        <v/>
      </c>
      <c r="K138" s="28">
        <f>IF(NOT(AND($A138&lt;&gt;"",OR($I138="",$I138="Active"))),"",ISNUMBER($N138)*($N138&gt;=TODAY())*($N138&lt;=TODAY()+7)+ISNUMBER($O138)*($O138&gt;=TODAY())*($O138&lt;=TODAY()+7)+ISNUMBER($P138)*($P138&gt;=TODAY())*($P138&lt;=TODAY()+7)+ISNUMBER($S138)*($S138&gt;=TODAY())*($S138&lt;=TODAY()+7)+ISNUMBER($T138)*($T138&gt;=TODAY())*($T138&lt;=TODAY()+7)+ISNUMBER($U138)*($U138&gt;=TODAY())*($U138&lt;=TODAY()+7)+ISNUMBER($V138)*($V138&gt;=TODAY())*($V138&lt;=TODAY()+7)+ISNUMBER($W138)*($W138&gt;=TODAY())*($W138&lt;=TODAY()+7)+ISNUMBER($X138)*($X138&gt;=TODAY())*($X138&lt;=TODAY()+7)+ISNUMBER($Y138)*($Y138&gt;=TODAY())*($Y138&lt;=TODAY()+7)+ISNUMBER($Q138)*($Q138&gt;=TODAY())*($Q138&lt;=TODAY()+7)+ISNUMBER($R138)*($R138&gt;=TODAY())*($R138&lt;=TODAY()+7)+ISNUMBER($AA138)*($AA138&gt;=TODAY())*($AA138&lt;=TODAY()+7)+ISNUMBER($AB138)*($AB138&gt;=TODAY())*($AB138&lt;=TODAY()+7))</f>
        <v/>
      </c>
      <c r="L138" s="28">
        <f>IF(NOT(AND($A138&lt;&gt;"",OR($I138="",$I138="Active"))),"",IF($M138&lt;&gt;"",IF($N138=$M138,"Booking",IF($O138=$M138,"16/40",IF($P138=$M138,"25/40",IF($S138=$M138,"28/40",IF($T138=$M138,"31/40",IF($U138=$M138,"34/40",IF($V138=$M138,"36/40",IF($W138=$M138,"38/40",IF($X138=$M138,"40/40",IF($Y138=$M138,"41/40","")))))))))),IF(IF(OR(ISNUMBER($Y138),$Y138="DNA"),$Y138,IF(OR(ISNUMBER($X138),$X138="DNA"),$X138,IF(OR(ISNUMBER($W138),$W138="DNA"),$W138,IF(OR(ISNUMBER($V138),$V138="DNA"),$V138,IF(OR(ISNUMBER($U138),$U138="DNA"),$U138,IF(OR(ISNUMBER($T138),$T138="DNA"),$T138,IF(OR(ISNUMBER($S138),$S138="DNA"),$S138,IF(OR(ISNUMBER($P138),$P138="DNA"),$P138,IF(OR(ISNUMBER($O138),$O138="DNA"),$O138,IF(OR(ISNUMBER($N138),$N138="DNA"),$N138,""))))))))))="DNA","Rebook DNA",IF(ISNUMBER(IF(OR(ISNUMBER($Y138),$Y138="DNA"),$Y138,IF(OR(ISNUMBER($X138),$X138="DNA"),$X138,IF(OR(ISNUMBER($W138),$W138="DNA"),$W138,IF(OR(ISNUMBER($V138),$V138="DNA"),$V138,IF(OR(ISNUMBER($U138),$U138="DNA"),$U138,IF(OR(ISNUMBER($T138),$T138="DNA"),$T138,IF(OR(ISNUMBER($S138),$S138="DNA"),$S138,IF(OR(ISNUMBER($P138),$P138="DNA"),$P138,IF(OR(ISNUMBER($O138),$O138="DNA"),$O138,IF(OR(ISNUMBER($N138),$N138="DNA"),$N138,""))))))))))),IF(ISNUMBER($Y138),"Update status","Missed/not booked?"),""))))</f>
        <v/>
      </c>
      <c r="M138" s="29">
        <f>IF(NOT(AND($A138&lt;&gt;"",OR($I138="",$I138="Active"))),"",IF(MIN(IF(AND(ISNUMBER($N138),$N138&gt;=TODAY()),$N138,99999),IF(AND(ISNUMBER($O138),$O138&gt;=TODAY()),$O138,99999),IF(AND(ISNUMBER($P138),$P138&gt;=TODAY()),$P138,99999),IF(AND(ISNUMBER($S138),$S138&gt;=TODAY()),$S138,99999),IF(AND(ISNUMBER($T138),$T138&gt;=TODAY()),$T138,99999),IF(AND(ISNUMBER($U138),$U138&gt;=TODAY()),$U138,99999),IF(AND(ISNUMBER($V138),$V138&gt;=TODAY()),$V138,99999),IF(AND(ISNUMBER($W138),$W138&gt;=TODAY()),$W138,99999),IF(AND(ISNUMBER($X138),$X138&gt;=TODAY()),$X138,99999),IF(AND(ISNUMBER($Y138),$Y138&gt;=TODAY()),$Y138,99999))=99999,"",MIN(IF(AND(ISNUMBER($N138),$N138&gt;=TODAY()),$N138,99999),IF(AND(ISNUMBER($O138),$O138&gt;=TODAY()),$O138,99999),IF(AND(ISNUMBER($P138),$P138&gt;=TODAY()),$P138,99999),IF(AND(ISNUMBER($S138),$S138&gt;=TODAY()),$S138,99999),IF(AND(ISNUMBER($T138),$T138&gt;=TODAY()),$T138,99999),IF(AND(ISNUMBER($U138),$U138&gt;=TODAY()),$U138,99999),IF(AND(ISNUMBER($V138),$V138&gt;=TODAY()),$V138,99999),IF(AND(ISNUMBER($W138),$W138&gt;=TODAY()),$W138,99999),IF(AND(ISNUMBER($X138),$X138&gt;=TODAY()),$X138,99999),IF(AND(ISNUMBER($Y138),$Y138&gt;=TODAY()),$Y138,99999))))</f>
        <v/>
      </c>
      <c r="N138" s="27" t="n"/>
      <c r="O138" s="27" t="n"/>
      <c r="P138" s="27" t="n"/>
      <c r="Q138" s="27" t="n"/>
      <c r="R138" s="27" t="n"/>
      <c r="S138" s="27" t="n"/>
      <c r="T138" s="27" t="n"/>
      <c r="U138" s="27" t="n"/>
      <c r="V138" s="27" t="n"/>
      <c r="W138" s="27" t="n"/>
      <c r="X138" s="27" t="n"/>
      <c r="Y138" s="27" t="n"/>
      <c r="Z138" s="27" t="n"/>
      <c r="AA138" s="27" t="n"/>
      <c r="AB138" s="27" t="n"/>
      <c r="AC138" s="30" t="n"/>
      <c r="AD138" s="25" t="n"/>
      <c r="AE138" s="28">
        <f>IF(NOT(AND($A138&lt;&gt;"",OR($I138="",$I138="Active"))),"",IF(OR(IF(OR(ISNUMBER($Y138),$Y138="DNA"),$Y138,IF(OR(ISNUMBER($X138),$X138="DNA"),$X138,IF(OR(ISNUMBER($W138),$W138="DNA"),$W138,IF(OR(ISNUMBER($V138),$V138="DNA"),$V138,IF(OR(ISNUMBER($U138),$U138="DNA"),$U138,IF(OR(ISNUMBER($T138),$T138="DNA"),$T138,IF(OR(ISNUMBER($S138),$S138="DNA"),$S138,IF(OR(ISNUMBER($P138),$P138="DNA"),$P138,IF(OR(ISNUMBER($O138),$O138="DNA"),$O138,IF(OR(ISNUMBER($N138),$N138="DNA"),$N138,""))))))))))="DNA",AND(ISNUMBER(IF(OR(ISNUMBER($Y138),$Y138="DNA"),$Y138,IF(OR(ISNUMBER($X138),$X138="DNA"),$X138,IF(OR(ISNUMBER($W138),$W138="DNA"),$W138,IF(OR(ISNUMBER($V138),$V138="DNA"),$V138,IF(OR(ISNUMBER($U138),$U138="DNA"),$U138,IF(OR(ISNUMBER($T138),$T138="DNA"),$T138,IF(OR(ISNUMBER($S138),$S138="DNA"),$S138,IF(OR(ISNUMBER($P138),$P138="DNA"),$P138,IF(OR(ISNUMBER($O138),$O138="DNA"),$O138,IF(OR(ISNUMBER($N138),$N138="DNA"),$N138,""))))))))))),IF(OR(ISNUMBER($Y138),$Y138="DNA"),$Y138,IF(OR(ISNUMBER($X138),$X138="DNA"),$X138,IF(OR(ISNUMBER($W138),$W138="DNA"),$W138,IF(OR(ISNUMBER($V138),$V138="DNA"),$V138,IF(OR(ISNUMBER($U138),$U138="DNA"),$U138,IF(OR(ISNUMBER($T138),$T138="DNA"),$T138,IF(OR(ISNUMBER($S138),$S138="DNA"),$S138,IF(OR(ISNUMBER($P138),$P138="DNA"),$P138,IF(OR(ISNUMBER($O138),$O138="DNA"),$O138,IF(OR(ISNUMBER($N138),$N138="DNA"),$N138,""))))))))))&lt;TODAY())),1,0)+ISNUMBER($Q138)*($Q138&lt;TODAY())+ISNUMBER($R138)*($R138&lt;TODAY())+ISNUMBER($AA138)*($AA138&lt;TODAY())+ISNUMBER($AB138)*($AB138&lt;TODAY()))</f>
        <v/>
      </c>
    </row>
    <row r="139">
      <c r="A139" s="25" t="n"/>
      <c r="B139" s="26" t="n"/>
      <c r="C139" s="27" t="n"/>
      <c r="D139" s="25" t="n"/>
      <c r="E139" s="25" t="n"/>
      <c r="F139" s="25" t="n"/>
      <c r="G139" s="25" t="n"/>
      <c r="H139" s="27" t="n"/>
      <c r="I139" s="25" t="n"/>
      <c r="J139" s="28">
        <f>IF(OR(NOT(AND($A139&lt;&gt;"",OR($I139="",$I139="Active"))),$H139=""),"",INT((TODAY()-$H139+280)/7)&amp;"+"&amp;MOD(TODAY()-$H139+280,7))</f>
        <v/>
      </c>
      <c r="K139" s="28">
        <f>IF(NOT(AND($A139&lt;&gt;"",OR($I139="",$I139="Active"))),"",ISNUMBER($N139)*($N139&gt;=TODAY())*($N139&lt;=TODAY()+7)+ISNUMBER($O139)*($O139&gt;=TODAY())*($O139&lt;=TODAY()+7)+ISNUMBER($P139)*($P139&gt;=TODAY())*($P139&lt;=TODAY()+7)+ISNUMBER($S139)*($S139&gt;=TODAY())*($S139&lt;=TODAY()+7)+ISNUMBER($T139)*($T139&gt;=TODAY())*($T139&lt;=TODAY()+7)+ISNUMBER($U139)*($U139&gt;=TODAY())*($U139&lt;=TODAY()+7)+ISNUMBER($V139)*($V139&gt;=TODAY())*($V139&lt;=TODAY()+7)+ISNUMBER($W139)*($W139&gt;=TODAY())*($W139&lt;=TODAY()+7)+ISNUMBER($X139)*($X139&gt;=TODAY())*($X139&lt;=TODAY()+7)+ISNUMBER($Y139)*($Y139&gt;=TODAY())*($Y139&lt;=TODAY()+7)+ISNUMBER($Q139)*($Q139&gt;=TODAY())*($Q139&lt;=TODAY()+7)+ISNUMBER($R139)*($R139&gt;=TODAY())*($R139&lt;=TODAY()+7)+ISNUMBER($AA139)*($AA139&gt;=TODAY())*($AA139&lt;=TODAY()+7)+ISNUMBER($AB139)*($AB139&gt;=TODAY())*($AB139&lt;=TODAY()+7))</f>
        <v/>
      </c>
      <c r="L139" s="28">
        <f>IF(NOT(AND($A139&lt;&gt;"",OR($I139="",$I139="Active"))),"",IF($M139&lt;&gt;"",IF($N139=$M139,"Booking",IF($O139=$M139,"16/40",IF($P139=$M139,"25/40",IF($S139=$M139,"28/40",IF($T139=$M139,"31/40",IF($U139=$M139,"34/40",IF($V139=$M139,"36/40",IF($W139=$M139,"38/40",IF($X139=$M139,"40/40",IF($Y139=$M139,"41/40","")))))))))),IF(IF(OR(ISNUMBER($Y139),$Y139="DNA"),$Y139,IF(OR(ISNUMBER($X139),$X139="DNA"),$X139,IF(OR(ISNUMBER($W139),$W139="DNA"),$W139,IF(OR(ISNUMBER($V139),$V139="DNA"),$V139,IF(OR(ISNUMBER($U139),$U139="DNA"),$U139,IF(OR(ISNUMBER($T139),$T139="DNA"),$T139,IF(OR(ISNUMBER($S139),$S139="DNA"),$S139,IF(OR(ISNUMBER($P139),$P139="DNA"),$P139,IF(OR(ISNUMBER($O139),$O139="DNA"),$O139,IF(OR(ISNUMBER($N139),$N139="DNA"),$N139,""))))))))))="DNA","Rebook DNA",IF(ISNUMBER(IF(OR(ISNUMBER($Y139),$Y139="DNA"),$Y139,IF(OR(ISNUMBER($X139),$X139="DNA"),$X139,IF(OR(ISNUMBER($W139),$W139="DNA"),$W139,IF(OR(ISNUMBER($V139),$V139="DNA"),$V139,IF(OR(ISNUMBER($U139),$U139="DNA"),$U139,IF(OR(ISNUMBER($T139),$T139="DNA"),$T139,IF(OR(ISNUMBER($S139),$S139="DNA"),$S139,IF(OR(ISNUMBER($P139),$P139="DNA"),$P139,IF(OR(ISNUMBER($O139),$O139="DNA"),$O139,IF(OR(ISNUMBER($N139),$N139="DNA"),$N139,""))))))))))),IF(ISNUMBER($Y139),"Update status","Missed/not booked?"),""))))</f>
        <v/>
      </c>
      <c r="M139" s="29">
        <f>IF(NOT(AND($A139&lt;&gt;"",OR($I139="",$I139="Active"))),"",IF(MIN(IF(AND(ISNUMBER($N139),$N139&gt;=TODAY()),$N139,99999),IF(AND(ISNUMBER($O139),$O139&gt;=TODAY()),$O139,99999),IF(AND(ISNUMBER($P139),$P139&gt;=TODAY()),$P139,99999),IF(AND(ISNUMBER($S139),$S139&gt;=TODAY()),$S139,99999),IF(AND(ISNUMBER($T139),$T139&gt;=TODAY()),$T139,99999),IF(AND(ISNUMBER($U139),$U139&gt;=TODAY()),$U139,99999),IF(AND(ISNUMBER($V139),$V139&gt;=TODAY()),$V139,99999),IF(AND(ISNUMBER($W139),$W139&gt;=TODAY()),$W139,99999),IF(AND(ISNUMBER($X139),$X139&gt;=TODAY()),$X139,99999),IF(AND(ISNUMBER($Y139),$Y139&gt;=TODAY()),$Y139,99999))=99999,"",MIN(IF(AND(ISNUMBER($N139),$N139&gt;=TODAY()),$N139,99999),IF(AND(ISNUMBER($O139),$O139&gt;=TODAY()),$O139,99999),IF(AND(ISNUMBER($P139),$P139&gt;=TODAY()),$P139,99999),IF(AND(ISNUMBER($S139),$S139&gt;=TODAY()),$S139,99999),IF(AND(ISNUMBER($T139),$T139&gt;=TODAY()),$T139,99999),IF(AND(ISNUMBER($U139),$U139&gt;=TODAY()),$U139,99999),IF(AND(ISNUMBER($V139),$V139&gt;=TODAY()),$V139,99999),IF(AND(ISNUMBER($W139),$W139&gt;=TODAY()),$W139,99999),IF(AND(ISNUMBER($X139),$X139&gt;=TODAY()),$X139,99999),IF(AND(ISNUMBER($Y139),$Y139&gt;=TODAY()),$Y139,99999))))</f>
        <v/>
      </c>
      <c r="N139" s="27" t="n"/>
      <c r="O139" s="27" t="n"/>
      <c r="P139" s="27" t="n"/>
      <c r="Q139" s="27" t="n"/>
      <c r="R139" s="27" t="n"/>
      <c r="S139" s="27" t="n"/>
      <c r="T139" s="27" t="n"/>
      <c r="U139" s="27" t="n"/>
      <c r="V139" s="27" t="n"/>
      <c r="W139" s="27" t="n"/>
      <c r="X139" s="27" t="n"/>
      <c r="Y139" s="27" t="n"/>
      <c r="Z139" s="27" t="n"/>
      <c r="AA139" s="27" t="n"/>
      <c r="AB139" s="27" t="n"/>
      <c r="AC139" s="30" t="n"/>
      <c r="AD139" s="25" t="n"/>
      <c r="AE139" s="28">
        <f>IF(NOT(AND($A139&lt;&gt;"",OR($I139="",$I139="Active"))),"",IF(OR(IF(OR(ISNUMBER($Y139),$Y139="DNA"),$Y139,IF(OR(ISNUMBER($X139),$X139="DNA"),$X139,IF(OR(ISNUMBER($W139),$W139="DNA"),$W139,IF(OR(ISNUMBER($V139),$V139="DNA"),$V139,IF(OR(ISNUMBER($U139),$U139="DNA"),$U139,IF(OR(ISNUMBER($T139),$T139="DNA"),$T139,IF(OR(ISNUMBER($S139),$S139="DNA"),$S139,IF(OR(ISNUMBER($P139),$P139="DNA"),$P139,IF(OR(ISNUMBER($O139),$O139="DNA"),$O139,IF(OR(ISNUMBER($N139),$N139="DNA"),$N139,""))))))))))="DNA",AND(ISNUMBER(IF(OR(ISNUMBER($Y139),$Y139="DNA"),$Y139,IF(OR(ISNUMBER($X139),$X139="DNA"),$X139,IF(OR(ISNUMBER($W139),$W139="DNA"),$W139,IF(OR(ISNUMBER($V139),$V139="DNA"),$V139,IF(OR(ISNUMBER($U139),$U139="DNA"),$U139,IF(OR(ISNUMBER($T139),$T139="DNA"),$T139,IF(OR(ISNUMBER($S139),$S139="DNA"),$S139,IF(OR(ISNUMBER($P139),$P139="DNA"),$P139,IF(OR(ISNUMBER($O139),$O139="DNA"),$O139,IF(OR(ISNUMBER($N139),$N139="DNA"),$N139,""))))))))))),IF(OR(ISNUMBER($Y139),$Y139="DNA"),$Y139,IF(OR(ISNUMBER($X139),$X139="DNA"),$X139,IF(OR(ISNUMBER($W139),$W139="DNA"),$W139,IF(OR(ISNUMBER($V139),$V139="DNA"),$V139,IF(OR(ISNUMBER($U139),$U139="DNA"),$U139,IF(OR(ISNUMBER($T139),$T139="DNA"),$T139,IF(OR(ISNUMBER($S139),$S139="DNA"),$S139,IF(OR(ISNUMBER($P139),$P139="DNA"),$P139,IF(OR(ISNUMBER($O139),$O139="DNA"),$O139,IF(OR(ISNUMBER($N139),$N139="DNA"),$N139,""))))))))))&lt;TODAY())),1,0)+ISNUMBER($Q139)*($Q139&lt;TODAY())+ISNUMBER($R139)*($R139&lt;TODAY())+ISNUMBER($AA139)*($AA139&lt;TODAY())+ISNUMBER($AB139)*($AB139&lt;TODAY()))</f>
        <v/>
      </c>
    </row>
    <row r="140">
      <c r="A140" s="25" t="n"/>
      <c r="B140" s="26" t="n"/>
      <c r="C140" s="27" t="n"/>
      <c r="D140" s="25" t="n"/>
      <c r="E140" s="25" t="n"/>
      <c r="F140" s="25" t="n"/>
      <c r="G140" s="25" t="n"/>
      <c r="H140" s="27" t="n"/>
      <c r="I140" s="25" t="n"/>
      <c r="J140" s="28">
        <f>IF(OR(NOT(AND($A140&lt;&gt;"",OR($I140="",$I140="Active"))),$H140=""),"",INT((TODAY()-$H140+280)/7)&amp;"+"&amp;MOD(TODAY()-$H140+280,7))</f>
        <v/>
      </c>
      <c r="K140" s="28">
        <f>IF(NOT(AND($A140&lt;&gt;"",OR($I140="",$I140="Active"))),"",ISNUMBER($N140)*($N140&gt;=TODAY())*($N140&lt;=TODAY()+7)+ISNUMBER($O140)*($O140&gt;=TODAY())*($O140&lt;=TODAY()+7)+ISNUMBER($P140)*($P140&gt;=TODAY())*($P140&lt;=TODAY()+7)+ISNUMBER($S140)*($S140&gt;=TODAY())*($S140&lt;=TODAY()+7)+ISNUMBER($T140)*($T140&gt;=TODAY())*($T140&lt;=TODAY()+7)+ISNUMBER($U140)*($U140&gt;=TODAY())*($U140&lt;=TODAY()+7)+ISNUMBER($V140)*($V140&gt;=TODAY())*($V140&lt;=TODAY()+7)+ISNUMBER($W140)*($W140&gt;=TODAY())*($W140&lt;=TODAY()+7)+ISNUMBER($X140)*($X140&gt;=TODAY())*($X140&lt;=TODAY()+7)+ISNUMBER($Y140)*($Y140&gt;=TODAY())*($Y140&lt;=TODAY()+7)+ISNUMBER($Q140)*($Q140&gt;=TODAY())*($Q140&lt;=TODAY()+7)+ISNUMBER($R140)*($R140&gt;=TODAY())*($R140&lt;=TODAY()+7)+ISNUMBER($AA140)*($AA140&gt;=TODAY())*($AA140&lt;=TODAY()+7)+ISNUMBER($AB140)*($AB140&gt;=TODAY())*($AB140&lt;=TODAY()+7))</f>
        <v/>
      </c>
      <c r="L140" s="28">
        <f>IF(NOT(AND($A140&lt;&gt;"",OR($I140="",$I140="Active"))),"",IF($M140&lt;&gt;"",IF($N140=$M140,"Booking",IF($O140=$M140,"16/40",IF($P140=$M140,"25/40",IF($S140=$M140,"28/40",IF($T140=$M140,"31/40",IF($U140=$M140,"34/40",IF($V140=$M140,"36/40",IF($W140=$M140,"38/40",IF($X140=$M140,"40/40",IF($Y140=$M140,"41/40","")))))))))),IF(IF(OR(ISNUMBER($Y140),$Y140="DNA"),$Y140,IF(OR(ISNUMBER($X140),$X140="DNA"),$X140,IF(OR(ISNUMBER($W140),$W140="DNA"),$W140,IF(OR(ISNUMBER($V140),$V140="DNA"),$V140,IF(OR(ISNUMBER($U140),$U140="DNA"),$U140,IF(OR(ISNUMBER($T140),$T140="DNA"),$T140,IF(OR(ISNUMBER($S140),$S140="DNA"),$S140,IF(OR(ISNUMBER($P140),$P140="DNA"),$P140,IF(OR(ISNUMBER($O140),$O140="DNA"),$O140,IF(OR(ISNUMBER($N140),$N140="DNA"),$N140,""))))))))))="DNA","Rebook DNA",IF(ISNUMBER(IF(OR(ISNUMBER($Y140),$Y140="DNA"),$Y140,IF(OR(ISNUMBER($X140),$X140="DNA"),$X140,IF(OR(ISNUMBER($W140),$W140="DNA"),$W140,IF(OR(ISNUMBER($V140),$V140="DNA"),$V140,IF(OR(ISNUMBER($U140),$U140="DNA"),$U140,IF(OR(ISNUMBER($T140),$T140="DNA"),$T140,IF(OR(ISNUMBER($S140),$S140="DNA"),$S140,IF(OR(ISNUMBER($P140),$P140="DNA"),$P140,IF(OR(ISNUMBER($O140),$O140="DNA"),$O140,IF(OR(ISNUMBER($N140),$N140="DNA"),$N140,""))))))))))),IF(ISNUMBER($Y140),"Update status","Missed/not booked?"),""))))</f>
        <v/>
      </c>
      <c r="M140" s="29">
        <f>IF(NOT(AND($A140&lt;&gt;"",OR($I140="",$I140="Active"))),"",IF(MIN(IF(AND(ISNUMBER($N140),$N140&gt;=TODAY()),$N140,99999),IF(AND(ISNUMBER($O140),$O140&gt;=TODAY()),$O140,99999),IF(AND(ISNUMBER($P140),$P140&gt;=TODAY()),$P140,99999),IF(AND(ISNUMBER($S140),$S140&gt;=TODAY()),$S140,99999),IF(AND(ISNUMBER($T140),$T140&gt;=TODAY()),$T140,99999),IF(AND(ISNUMBER($U140),$U140&gt;=TODAY()),$U140,99999),IF(AND(ISNUMBER($V140),$V140&gt;=TODAY()),$V140,99999),IF(AND(ISNUMBER($W140),$W140&gt;=TODAY()),$W140,99999),IF(AND(ISNUMBER($X140),$X140&gt;=TODAY()),$X140,99999),IF(AND(ISNUMBER($Y140),$Y140&gt;=TODAY()),$Y140,99999))=99999,"",MIN(IF(AND(ISNUMBER($N140),$N140&gt;=TODAY()),$N140,99999),IF(AND(ISNUMBER($O140),$O140&gt;=TODAY()),$O140,99999),IF(AND(ISNUMBER($P140),$P140&gt;=TODAY()),$P140,99999),IF(AND(ISNUMBER($S140),$S140&gt;=TODAY()),$S140,99999),IF(AND(ISNUMBER($T140),$T140&gt;=TODAY()),$T140,99999),IF(AND(ISNUMBER($U140),$U140&gt;=TODAY()),$U140,99999),IF(AND(ISNUMBER($V140),$V140&gt;=TODAY()),$V140,99999),IF(AND(ISNUMBER($W140),$W140&gt;=TODAY()),$W140,99999),IF(AND(ISNUMBER($X140),$X140&gt;=TODAY()),$X140,99999),IF(AND(ISNUMBER($Y140),$Y140&gt;=TODAY()),$Y140,99999))))</f>
        <v/>
      </c>
      <c r="N140" s="27" t="n"/>
      <c r="O140" s="27" t="n"/>
      <c r="P140" s="27" t="n"/>
      <c r="Q140" s="27" t="n"/>
      <c r="R140" s="27" t="n"/>
      <c r="S140" s="27" t="n"/>
      <c r="T140" s="27" t="n"/>
      <c r="U140" s="27" t="n"/>
      <c r="V140" s="27" t="n"/>
      <c r="W140" s="27" t="n"/>
      <c r="X140" s="27" t="n"/>
      <c r="Y140" s="27" t="n"/>
      <c r="Z140" s="27" t="n"/>
      <c r="AA140" s="27" t="n"/>
      <c r="AB140" s="27" t="n"/>
      <c r="AC140" s="30" t="n"/>
      <c r="AD140" s="25" t="n"/>
      <c r="AE140" s="28">
        <f>IF(NOT(AND($A140&lt;&gt;"",OR($I140="",$I140="Active"))),"",IF(OR(IF(OR(ISNUMBER($Y140),$Y140="DNA"),$Y140,IF(OR(ISNUMBER($X140),$X140="DNA"),$X140,IF(OR(ISNUMBER($W140),$W140="DNA"),$W140,IF(OR(ISNUMBER($V140),$V140="DNA"),$V140,IF(OR(ISNUMBER($U140),$U140="DNA"),$U140,IF(OR(ISNUMBER($T140),$T140="DNA"),$T140,IF(OR(ISNUMBER($S140),$S140="DNA"),$S140,IF(OR(ISNUMBER($P140),$P140="DNA"),$P140,IF(OR(ISNUMBER($O140),$O140="DNA"),$O140,IF(OR(ISNUMBER($N140),$N140="DNA"),$N140,""))))))))))="DNA",AND(ISNUMBER(IF(OR(ISNUMBER($Y140),$Y140="DNA"),$Y140,IF(OR(ISNUMBER($X140),$X140="DNA"),$X140,IF(OR(ISNUMBER($W140),$W140="DNA"),$W140,IF(OR(ISNUMBER($V140),$V140="DNA"),$V140,IF(OR(ISNUMBER($U140),$U140="DNA"),$U140,IF(OR(ISNUMBER($T140),$T140="DNA"),$T140,IF(OR(ISNUMBER($S140),$S140="DNA"),$S140,IF(OR(ISNUMBER($P140),$P140="DNA"),$P140,IF(OR(ISNUMBER($O140),$O140="DNA"),$O140,IF(OR(ISNUMBER($N140),$N140="DNA"),$N140,""))))))))))),IF(OR(ISNUMBER($Y140),$Y140="DNA"),$Y140,IF(OR(ISNUMBER($X140),$X140="DNA"),$X140,IF(OR(ISNUMBER($W140),$W140="DNA"),$W140,IF(OR(ISNUMBER($V140),$V140="DNA"),$V140,IF(OR(ISNUMBER($U140),$U140="DNA"),$U140,IF(OR(ISNUMBER($T140),$T140="DNA"),$T140,IF(OR(ISNUMBER($S140),$S140="DNA"),$S140,IF(OR(ISNUMBER($P140),$P140="DNA"),$P140,IF(OR(ISNUMBER($O140),$O140="DNA"),$O140,IF(OR(ISNUMBER($N140),$N140="DNA"),$N140,""))))))))))&lt;TODAY())),1,0)+ISNUMBER($Q140)*($Q140&lt;TODAY())+ISNUMBER($R140)*($R140&lt;TODAY())+ISNUMBER($AA140)*($AA140&lt;TODAY())+ISNUMBER($AB140)*($AB140&lt;TODAY()))</f>
        <v/>
      </c>
    </row>
    <row r="141">
      <c r="A141" s="25" t="n"/>
      <c r="B141" s="26" t="n"/>
      <c r="C141" s="27" t="n"/>
      <c r="D141" s="25" t="n"/>
      <c r="E141" s="25" t="n"/>
      <c r="F141" s="25" t="n"/>
      <c r="G141" s="25" t="n"/>
      <c r="H141" s="27" t="n"/>
      <c r="I141" s="25" t="n"/>
      <c r="J141" s="28">
        <f>IF(OR(NOT(AND($A141&lt;&gt;"",OR($I141="",$I141="Active"))),$H141=""),"",INT((TODAY()-$H141+280)/7)&amp;"+"&amp;MOD(TODAY()-$H141+280,7))</f>
        <v/>
      </c>
      <c r="K141" s="28">
        <f>IF(NOT(AND($A141&lt;&gt;"",OR($I141="",$I141="Active"))),"",ISNUMBER($N141)*($N141&gt;=TODAY())*($N141&lt;=TODAY()+7)+ISNUMBER($O141)*($O141&gt;=TODAY())*($O141&lt;=TODAY()+7)+ISNUMBER($P141)*($P141&gt;=TODAY())*($P141&lt;=TODAY()+7)+ISNUMBER($S141)*($S141&gt;=TODAY())*($S141&lt;=TODAY()+7)+ISNUMBER($T141)*($T141&gt;=TODAY())*($T141&lt;=TODAY()+7)+ISNUMBER($U141)*($U141&gt;=TODAY())*($U141&lt;=TODAY()+7)+ISNUMBER($V141)*($V141&gt;=TODAY())*($V141&lt;=TODAY()+7)+ISNUMBER($W141)*($W141&gt;=TODAY())*($W141&lt;=TODAY()+7)+ISNUMBER($X141)*($X141&gt;=TODAY())*($X141&lt;=TODAY()+7)+ISNUMBER($Y141)*($Y141&gt;=TODAY())*($Y141&lt;=TODAY()+7)+ISNUMBER($Q141)*($Q141&gt;=TODAY())*($Q141&lt;=TODAY()+7)+ISNUMBER($R141)*($R141&gt;=TODAY())*($R141&lt;=TODAY()+7)+ISNUMBER($AA141)*($AA141&gt;=TODAY())*($AA141&lt;=TODAY()+7)+ISNUMBER($AB141)*($AB141&gt;=TODAY())*($AB141&lt;=TODAY()+7))</f>
        <v/>
      </c>
      <c r="L141" s="28">
        <f>IF(NOT(AND($A141&lt;&gt;"",OR($I141="",$I141="Active"))),"",IF($M141&lt;&gt;"",IF($N141=$M141,"Booking",IF($O141=$M141,"16/40",IF($P141=$M141,"25/40",IF($S141=$M141,"28/40",IF($T141=$M141,"31/40",IF($U141=$M141,"34/40",IF($V141=$M141,"36/40",IF($W141=$M141,"38/40",IF($X141=$M141,"40/40",IF($Y141=$M141,"41/40","")))))))))),IF(IF(OR(ISNUMBER($Y141),$Y141="DNA"),$Y141,IF(OR(ISNUMBER($X141),$X141="DNA"),$X141,IF(OR(ISNUMBER($W141),$W141="DNA"),$W141,IF(OR(ISNUMBER($V141),$V141="DNA"),$V141,IF(OR(ISNUMBER($U141),$U141="DNA"),$U141,IF(OR(ISNUMBER($T141),$T141="DNA"),$T141,IF(OR(ISNUMBER($S141),$S141="DNA"),$S141,IF(OR(ISNUMBER($P141),$P141="DNA"),$P141,IF(OR(ISNUMBER($O141),$O141="DNA"),$O141,IF(OR(ISNUMBER($N141),$N141="DNA"),$N141,""))))))))))="DNA","Rebook DNA",IF(ISNUMBER(IF(OR(ISNUMBER($Y141),$Y141="DNA"),$Y141,IF(OR(ISNUMBER($X141),$X141="DNA"),$X141,IF(OR(ISNUMBER($W141),$W141="DNA"),$W141,IF(OR(ISNUMBER($V141),$V141="DNA"),$V141,IF(OR(ISNUMBER($U141),$U141="DNA"),$U141,IF(OR(ISNUMBER($T141),$T141="DNA"),$T141,IF(OR(ISNUMBER($S141),$S141="DNA"),$S141,IF(OR(ISNUMBER($P141),$P141="DNA"),$P141,IF(OR(ISNUMBER($O141),$O141="DNA"),$O141,IF(OR(ISNUMBER($N141),$N141="DNA"),$N141,""))))))))))),IF(ISNUMBER($Y141),"Update status","Missed/not booked?"),""))))</f>
        <v/>
      </c>
      <c r="M141" s="29">
        <f>IF(NOT(AND($A141&lt;&gt;"",OR($I141="",$I141="Active"))),"",IF(MIN(IF(AND(ISNUMBER($N141),$N141&gt;=TODAY()),$N141,99999),IF(AND(ISNUMBER($O141),$O141&gt;=TODAY()),$O141,99999),IF(AND(ISNUMBER($P141),$P141&gt;=TODAY()),$P141,99999),IF(AND(ISNUMBER($S141),$S141&gt;=TODAY()),$S141,99999),IF(AND(ISNUMBER($T141),$T141&gt;=TODAY()),$T141,99999),IF(AND(ISNUMBER($U141),$U141&gt;=TODAY()),$U141,99999),IF(AND(ISNUMBER($V141),$V141&gt;=TODAY()),$V141,99999),IF(AND(ISNUMBER($W141),$W141&gt;=TODAY()),$W141,99999),IF(AND(ISNUMBER($X141),$X141&gt;=TODAY()),$X141,99999),IF(AND(ISNUMBER($Y141),$Y141&gt;=TODAY()),$Y141,99999))=99999,"",MIN(IF(AND(ISNUMBER($N141),$N141&gt;=TODAY()),$N141,99999),IF(AND(ISNUMBER($O141),$O141&gt;=TODAY()),$O141,99999),IF(AND(ISNUMBER($P141),$P141&gt;=TODAY()),$P141,99999),IF(AND(ISNUMBER($S141),$S141&gt;=TODAY()),$S141,99999),IF(AND(ISNUMBER($T141),$T141&gt;=TODAY()),$T141,99999),IF(AND(ISNUMBER($U141),$U141&gt;=TODAY()),$U141,99999),IF(AND(ISNUMBER($V141),$V141&gt;=TODAY()),$V141,99999),IF(AND(ISNUMBER($W141),$W141&gt;=TODAY()),$W141,99999),IF(AND(ISNUMBER($X141),$X141&gt;=TODAY()),$X141,99999),IF(AND(ISNUMBER($Y141),$Y141&gt;=TODAY()),$Y141,99999))))</f>
        <v/>
      </c>
      <c r="N141" s="27" t="n"/>
      <c r="O141" s="27" t="n"/>
      <c r="P141" s="27" t="n"/>
      <c r="Q141" s="27" t="n"/>
      <c r="R141" s="27" t="n"/>
      <c r="S141" s="27" t="n"/>
      <c r="T141" s="27" t="n"/>
      <c r="U141" s="27" t="n"/>
      <c r="V141" s="27" t="n"/>
      <c r="W141" s="27" t="n"/>
      <c r="X141" s="27" t="n"/>
      <c r="Y141" s="27" t="n"/>
      <c r="Z141" s="27" t="n"/>
      <c r="AA141" s="27" t="n"/>
      <c r="AB141" s="27" t="n"/>
      <c r="AC141" s="30" t="n"/>
      <c r="AD141" s="25" t="n"/>
      <c r="AE141" s="28">
        <f>IF(NOT(AND($A141&lt;&gt;"",OR($I141="",$I141="Active"))),"",IF(OR(IF(OR(ISNUMBER($Y141),$Y141="DNA"),$Y141,IF(OR(ISNUMBER($X141),$X141="DNA"),$X141,IF(OR(ISNUMBER($W141),$W141="DNA"),$W141,IF(OR(ISNUMBER($V141),$V141="DNA"),$V141,IF(OR(ISNUMBER($U141),$U141="DNA"),$U141,IF(OR(ISNUMBER($T141),$T141="DNA"),$T141,IF(OR(ISNUMBER($S141),$S141="DNA"),$S141,IF(OR(ISNUMBER($P141),$P141="DNA"),$P141,IF(OR(ISNUMBER($O141),$O141="DNA"),$O141,IF(OR(ISNUMBER($N141),$N141="DNA"),$N141,""))))))))))="DNA",AND(ISNUMBER(IF(OR(ISNUMBER($Y141),$Y141="DNA"),$Y141,IF(OR(ISNUMBER($X141),$X141="DNA"),$X141,IF(OR(ISNUMBER($W141),$W141="DNA"),$W141,IF(OR(ISNUMBER($V141),$V141="DNA"),$V141,IF(OR(ISNUMBER($U141),$U141="DNA"),$U141,IF(OR(ISNUMBER($T141),$T141="DNA"),$T141,IF(OR(ISNUMBER($S141),$S141="DNA"),$S141,IF(OR(ISNUMBER($P141),$P141="DNA"),$P141,IF(OR(ISNUMBER($O141),$O141="DNA"),$O141,IF(OR(ISNUMBER($N141),$N141="DNA"),$N141,""))))))))))),IF(OR(ISNUMBER($Y141),$Y141="DNA"),$Y141,IF(OR(ISNUMBER($X141),$X141="DNA"),$X141,IF(OR(ISNUMBER($W141),$W141="DNA"),$W141,IF(OR(ISNUMBER($V141),$V141="DNA"),$V141,IF(OR(ISNUMBER($U141),$U141="DNA"),$U141,IF(OR(ISNUMBER($T141),$T141="DNA"),$T141,IF(OR(ISNUMBER($S141),$S141="DNA"),$S141,IF(OR(ISNUMBER($P141),$P141="DNA"),$P141,IF(OR(ISNUMBER($O141),$O141="DNA"),$O141,IF(OR(ISNUMBER($N141),$N141="DNA"),$N141,""))))))))))&lt;TODAY())),1,0)+ISNUMBER($Q141)*($Q141&lt;TODAY())+ISNUMBER($R141)*($R141&lt;TODAY())+ISNUMBER($AA141)*($AA141&lt;TODAY())+ISNUMBER($AB141)*($AB141&lt;TODAY()))</f>
        <v/>
      </c>
    </row>
    <row r="142">
      <c r="A142" s="25" t="n"/>
      <c r="B142" s="26" t="n"/>
      <c r="C142" s="27" t="n"/>
      <c r="D142" s="25" t="n"/>
      <c r="E142" s="25" t="n"/>
      <c r="F142" s="25" t="n"/>
      <c r="G142" s="25" t="n"/>
      <c r="H142" s="27" t="n"/>
      <c r="I142" s="25" t="n"/>
      <c r="J142" s="28">
        <f>IF(OR(NOT(AND($A142&lt;&gt;"",OR($I142="",$I142="Active"))),$H142=""),"",INT((TODAY()-$H142+280)/7)&amp;"+"&amp;MOD(TODAY()-$H142+280,7))</f>
        <v/>
      </c>
      <c r="K142" s="28">
        <f>IF(NOT(AND($A142&lt;&gt;"",OR($I142="",$I142="Active"))),"",ISNUMBER($N142)*($N142&gt;=TODAY())*($N142&lt;=TODAY()+7)+ISNUMBER($O142)*($O142&gt;=TODAY())*($O142&lt;=TODAY()+7)+ISNUMBER($P142)*($P142&gt;=TODAY())*($P142&lt;=TODAY()+7)+ISNUMBER($S142)*($S142&gt;=TODAY())*($S142&lt;=TODAY()+7)+ISNUMBER($T142)*($T142&gt;=TODAY())*($T142&lt;=TODAY()+7)+ISNUMBER($U142)*($U142&gt;=TODAY())*($U142&lt;=TODAY()+7)+ISNUMBER($V142)*($V142&gt;=TODAY())*($V142&lt;=TODAY()+7)+ISNUMBER($W142)*($W142&gt;=TODAY())*($W142&lt;=TODAY()+7)+ISNUMBER($X142)*($X142&gt;=TODAY())*($X142&lt;=TODAY()+7)+ISNUMBER($Y142)*($Y142&gt;=TODAY())*($Y142&lt;=TODAY()+7)+ISNUMBER($Q142)*($Q142&gt;=TODAY())*($Q142&lt;=TODAY()+7)+ISNUMBER($R142)*($R142&gt;=TODAY())*($R142&lt;=TODAY()+7)+ISNUMBER($AA142)*($AA142&gt;=TODAY())*($AA142&lt;=TODAY()+7)+ISNUMBER($AB142)*($AB142&gt;=TODAY())*($AB142&lt;=TODAY()+7))</f>
        <v/>
      </c>
      <c r="L142" s="28">
        <f>IF(NOT(AND($A142&lt;&gt;"",OR($I142="",$I142="Active"))),"",IF($M142&lt;&gt;"",IF($N142=$M142,"Booking",IF($O142=$M142,"16/40",IF($P142=$M142,"25/40",IF($S142=$M142,"28/40",IF($T142=$M142,"31/40",IF($U142=$M142,"34/40",IF($V142=$M142,"36/40",IF($W142=$M142,"38/40",IF($X142=$M142,"40/40",IF($Y142=$M142,"41/40","")))))))))),IF(IF(OR(ISNUMBER($Y142),$Y142="DNA"),$Y142,IF(OR(ISNUMBER($X142),$X142="DNA"),$X142,IF(OR(ISNUMBER($W142),$W142="DNA"),$W142,IF(OR(ISNUMBER($V142),$V142="DNA"),$V142,IF(OR(ISNUMBER($U142),$U142="DNA"),$U142,IF(OR(ISNUMBER($T142),$T142="DNA"),$T142,IF(OR(ISNUMBER($S142),$S142="DNA"),$S142,IF(OR(ISNUMBER($P142),$P142="DNA"),$P142,IF(OR(ISNUMBER($O142),$O142="DNA"),$O142,IF(OR(ISNUMBER($N142),$N142="DNA"),$N142,""))))))))))="DNA","Rebook DNA",IF(ISNUMBER(IF(OR(ISNUMBER($Y142),$Y142="DNA"),$Y142,IF(OR(ISNUMBER($X142),$X142="DNA"),$X142,IF(OR(ISNUMBER($W142),$W142="DNA"),$W142,IF(OR(ISNUMBER($V142),$V142="DNA"),$V142,IF(OR(ISNUMBER($U142),$U142="DNA"),$U142,IF(OR(ISNUMBER($T142),$T142="DNA"),$T142,IF(OR(ISNUMBER($S142),$S142="DNA"),$S142,IF(OR(ISNUMBER($P142),$P142="DNA"),$P142,IF(OR(ISNUMBER($O142),$O142="DNA"),$O142,IF(OR(ISNUMBER($N142),$N142="DNA"),$N142,""))))))))))),IF(ISNUMBER($Y142),"Update status","Missed/not booked?"),""))))</f>
        <v/>
      </c>
      <c r="M142" s="29">
        <f>IF(NOT(AND($A142&lt;&gt;"",OR($I142="",$I142="Active"))),"",IF(MIN(IF(AND(ISNUMBER($N142),$N142&gt;=TODAY()),$N142,99999),IF(AND(ISNUMBER($O142),$O142&gt;=TODAY()),$O142,99999),IF(AND(ISNUMBER($P142),$P142&gt;=TODAY()),$P142,99999),IF(AND(ISNUMBER($S142),$S142&gt;=TODAY()),$S142,99999),IF(AND(ISNUMBER($T142),$T142&gt;=TODAY()),$T142,99999),IF(AND(ISNUMBER($U142),$U142&gt;=TODAY()),$U142,99999),IF(AND(ISNUMBER($V142),$V142&gt;=TODAY()),$V142,99999),IF(AND(ISNUMBER($W142),$W142&gt;=TODAY()),$W142,99999),IF(AND(ISNUMBER($X142),$X142&gt;=TODAY()),$X142,99999),IF(AND(ISNUMBER($Y142),$Y142&gt;=TODAY()),$Y142,99999))=99999,"",MIN(IF(AND(ISNUMBER($N142),$N142&gt;=TODAY()),$N142,99999),IF(AND(ISNUMBER($O142),$O142&gt;=TODAY()),$O142,99999),IF(AND(ISNUMBER($P142),$P142&gt;=TODAY()),$P142,99999),IF(AND(ISNUMBER($S142),$S142&gt;=TODAY()),$S142,99999),IF(AND(ISNUMBER($T142),$T142&gt;=TODAY()),$T142,99999),IF(AND(ISNUMBER($U142),$U142&gt;=TODAY()),$U142,99999),IF(AND(ISNUMBER($V142),$V142&gt;=TODAY()),$V142,99999),IF(AND(ISNUMBER($W142),$W142&gt;=TODAY()),$W142,99999),IF(AND(ISNUMBER($X142),$X142&gt;=TODAY()),$X142,99999),IF(AND(ISNUMBER($Y142),$Y142&gt;=TODAY()),$Y142,99999))))</f>
        <v/>
      </c>
      <c r="N142" s="27" t="n"/>
      <c r="O142" s="27" t="n"/>
      <c r="P142" s="27" t="n"/>
      <c r="Q142" s="27" t="n"/>
      <c r="R142" s="27" t="n"/>
      <c r="S142" s="27" t="n"/>
      <c r="T142" s="27" t="n"/>
      <c r="U142" s="27" t="n"/>
      <c r="V142" s="27" t="n"/>
      <c r="W142" s="27" t="n"/>
      <c r="X142" s="27" t="n"/>
      <c r="Y142" s="27" t="n"/>
      <c r="Z142" s="27" t="n"/>
      <c r="AA142" s="27" t="n"/>
      <c r="AB142" s="27" t="n"/>
      <c r="AC142" s="30" t="n"/>
      <c r="AD142" s="25" t="n"/>
      <c r="AE142" s="28">
        <f>IF(NOT(AND($A142&lt;&gt;"",OR($I142="",$I142="Active"))),"",IF(OR(IF(OR(ISNUMBER($Y142),$Y142="DNA"),$Y142,IF(OR(ISNUMBER($X142),$X142="DNA"),$X142,IF(OR(ISNUMBER($W142),$W142="DNA"),$W142,IF(OR(ISNUMBER($V142),$V142="DNA"),$V142,IF(OR(ISNUMBER($U142),$U142="DNA"),$U142,IF(OR(ISNUMBER($T142),$T142="DNA"),$T142,IF(OR(ISNUMBER($S142),$S142="DNA"),$S142,IF(OR(ISNUMBER($P142),$P142="DNA"),$P142,IF(OR(ISNUMBER($O142),$O142="DNA"),$O142,IF(OR(ISNUMBER($N142),$N142="DNA"),$N142,""))))))))))="DNA",AND(ISNUMBER(IF(OR(ISNUMBER($Y142),$Y142="DNA"),$Y142,IF(OR(ISNUMBER($X142),$X142="DNA"),$X142,IF(OR(ISNUMBER($W142),$W142="DNA"),$W142,IF(OR(ISNUMBER($V142),$V142="DNA"),$V142,IF(OR(ISNUMBER($U142),$U142="DNA"),$U142,IF(OR(ISNUMBER($T142),$T142="DNA"),$T142,IF(OR(ISNUMBER($S142),$S142="DNA"),$S142,IF(OR(ISNUMBER($P142),$P142="DNA"),$P142,IF(OR(ISNUMBER($O142),$O142="DNA"),$O142,IF(OR(ISNUMBER($N142),$N142="DNA"),$N142,""))))))))))),IF(OR(ISNUMBER($Y142),$Y142="DNA"),$Y142,IF(OR(ISNUMBER($X142),$X142="DNA"),$X142,IF(OR(ISNUMBER($W142),$W142="DNA"),$W142,IF(OR(ISNUMBER($V142),$V142="DNA"),$V142,IF(OR(ISNUMBER($U142),$U142="DNA"),$U142,IF(OR(ISNUMBER($T142),$T142="DNA"),$T142,IF(OR(ISNUMBER($S142),$S142="DNA"),$S142,IF(OR(ISNUMBER($P142),$P142="DNA"),$P142,IF(OR(ISNUMBER($O142),$O142="DNA"),$O142,IF(OR(ISNUMBER($N142),$N142="DNA"),$N142,""))))))))))&lt;TODAY())),1,0)+ISNUMBER($Q142)*($Q142&lt;TODAY())+ISNUMBER($R142)*($R142&lt;TODAY())+ISNUMBER($AA142)*($AA142&lt;TODAY())+ISNUMBER($AB142)*($AB142&lt;TODAY()))</f>
        <v/>
      </c>
    </row>
    <row r="143">
      <c r="A143" s="25" t="n"/>
      <c r="B143" s="26" t="n"/>
      <c r="C143" s="27" t="n"/>
      <c r="D143" s="25" t="n"/>
      <c r="E143" s="25" t="n"/>
      <c r="F143" s="25" t="n"/>
      <c r="G143" s="25" t="n"/>
      <c r="H143" s="27" t="n"/>
      <c r="I143" s="25" t="n"/>
      <c r="J143" s="28">
        <f>IF(OR(NOT(AND($A143&lt;&gt;"",OR($I143="",$I143="Active"))),$H143=""),"",INT((TODAY()-$H143+280)/7)&amp;"+"&amp;MOD(TODAY()-$H143+280,7))</f>
        <v/>
      </c>
      <c r="K143" s="28">
        <f>IF(NOT(AND($A143&lt;&gt;"",OR($I143="",$I143="Active"))),"",ISNUMBER($N143)*($N143&gt;=TODAY())*($N143&lt;=TODAY()+7)+ISNUMBER($O143)*($O143&gt;=TODAY())*($O143&lt;=TODAY()+7)+ISNUMBER($P143)*($P143&gt;=TODAY())*($P143&lt;=TODAY()+7)+ISNUMBER($S143)*($S143&gt;=TODAY())*($S143&lt;=TODAY()+7)+ISNUMBER($T143)*($T143&gt;=TODAY())*($T143&lt;=TODAY()+7)+ISNUMBER($U143)*($U143&gt;=TODAY())*($U143&lt;=TODAY()+7)+ISNUMBER($V143)*($V143&gt;=TODAY())*($V143&lt;=TODAY()+7)+ISNUMBER($W143)*($W143&gt;=TODAY())*($W143&lt;=TODAY()+7)+ISNUMBER($X143)*($X143&gt;=TODAY())*($X143&lt;=TODAY()+7)+ISNUMBER($Y143)*($Y143&gt;=TODAY())*($Y143&lt;=TODAY()+7)+ISNUMBER($Q143)*($Q143&gt;=TODAY())*($Q143&lt;=TODAY()+7)+ISNUMBER($R143)*($R143&gt;=TODAY())*($R143&lt;=TODAY()+7)+ISNUMBER($AA143)*($AA143&gt;=TODAY())*($AA143&lt;=TODAY()+7)+ISNUMBER($AB143)*($AB143&gt;=TODAY())*($AB143&lt;=TODAY()+7))</f>
        <v/>
      </c>
      <c r="L143" s="28">
        <f>IF(NOT(AND($A143&lt;&gt;"",OR($I143="",$I143="Active"))),"",IF($M143&lt;&gt;"",IF($N143=$M143,"Booking",IF($O143=$M143,"16/40",IF($P143=$M143,"25/40",IF($S143=$M143,"28/40",IF($T143=$M143,"31/40",IF($U143=$M143,"34/40",IF($V143=$M143,"36/40",IF($W143=$M143,"38/40",IF($X143=$M143,"40/40",IF($Y143=$M143,"41/40","")))))))))),IF(IF(OR(ISNUMBER($Y143),$Y143="DNA"),$Y143,IF(OR(ISNUMBER($X143),$X143="DNA"),$X143,IF(OR(ISNUMBER($W143),$W143="DNA"),$W143,IF(OR(ISNUMBER($V143),$V143="DNA"),$V143,IF(OR(ISNUMBER($U143),$U143="DNA"),$U143,IF(OR(ISNUMBER($T143),$T143="DNA"),$T143,IF(OR(ISNUMBER($S143),$S143="DNA"),$S143,IF(OR(ISNUMBER($P143),$P143="DNA"),$P143,IF(OR(ISNUMBER($O143),$O143="DNA"),$O143,IF(OR(ISNUMBER($N143),$N143="DNA"),$N143,""))))))))))="DNA","Rebook DNA",IF(ISNUMBER(IF(OR(ISNUMBER($Y143),$Y143="DNA"),$Y143,IF(OR(ISNUMBER($X143),$X143="DNA"),$X143,IF(OR(ISNUMBER($W143),$W143="DNA"),$W143,IF(OR(ISNUMBER($V143),$V143="DNA"),$V143,IF(OR(ISNUMBER($U143),$U143="DNA"),$U143,IF(OR(ISNUMBER($T143),$T143="DNA"),$T143,IF(OR(ISNUMBER($S143),$S143="DNA"),$S143,IF(OR(ISNUMBER($P143),$P143="DNA"),$P143,IF(OR(ISNUMBER($O143),$O143="DNA"),$O143,IF(OR(ISNUMBER($N143),$N143="DNA"),$N143,""))))))))))),IF(ISNUMBER($Y143),"Update status","Missed/not booked?"),""))))</f>
        <v/>
      </c>
      <c r="M143" s="29">
        <f>IF(NOT(AND($A143&lt;&gt;"",OR($I143="",$I143="Active"))),"",IF(MIN(IF(AND(ISNUMBER($N143),$N143&gt;=TODAY()),$N143,99999),IF(AND(ISNUMBER($O143),$O143&gt;=TODAY()),$O143,99999),IF(AND(ISNUMBER($P143),$P143&gt;=TODAY()),$P143,99999),IF(AND(ISNUMBER($S143),$S143&gt;=TODAY()),$S143,99999),IF(AND(ISNUMBER($T143),$T143&gt;=TODAY()),$T143,99999),IF(AND(ISNUMBER($U143),$U143&gt;=TODAY()),$U143,99999),IF(AND(ISNUMBER($V143),$V143&gt;=TODAY()),$V143,99999),IF(AND(ISNUMBER($W143),$W143&gt;=TODAY()),$W143,99999),IF(AND(ISNUMBER($X143),$X143&gt;=TODAY()),$X143,99999),IF(AND(ISNUMBER($Y143),$Y143&gt;=TODAY()),$Y143,99999))=99999,"",MIN(IF(AND(ISNUMBER($N143),$N143&gt;=TODAY()),$N143,99999),IF(AND(ISNUMBER($O143),$O143&gt;=TODAY()),$O143,99999),IF(AND(ISNUMBER($P143),$P143&gt;=TODAY()),$P143,99999),IF(AND(ISNUMBER($S143),$S143&gt;=TODAY()),$S143,99999),IF(AND(ISNUMBER($T143),$T143&gt;=TODAY()),$T143,99999),IF(AND(ISNUMBER($U143),$U143&gt;=TODAY()),$U143,99999),IF(AND(ISNUMBER($V143),$V143&gt;=TODAY()),$V143,99999),IF(AND(ISNUMBER($W143),$W143&gt;=TODAY()),$W143,99999),IF(AND(ISNUMBER($X143),$X143&gt;=TODAY()),$X143,99999),IF(AND(ISNUMBER($Y143),$Y143&gt;=TODAY()),$Y143,99999))))</f>
        <v/>
      </c>
      <c r="N143" s="27" t="n"/>
      <c r="O143" s="27" t="n"/>
      <c r="P143" s="27" t="n"/>
      <c r="Q143" s="27" t="n"/>
      <c r="R143" s="27" t="n"/>
      <c r="S143" s="27" t="n"/>
      <c r="T143" s="27" t="n"/>
      <c r="U143" s="27" t="n"/>
      <c r="V143" s="27" t="n"/>
      <c r="W143" s="27" t="n"/>
      <c r="X143" s="27" t="n"/>
      <c r="Y143" s="27" t="n"/>
      <c r="Z143" s="27" t="n"/>
      <c r="AA143" s="27" t="n"/>
      <c r="AB143" s="27" t="n"/>
      <c r="AC143" s="30" t="n"/>
      <c r="AD143" s="25" t="n"/>
      <c r="AE143" s="28">
        <f>IF(NOT(AND($A143&lt;&gt;"",OR($I143="",$I143="Active"))),"",IF(OR(IF(OR(ISNUMBER($Y143),$Y143="DNA"),$Y143,IF(OR(ISNUMBER($X143),$X143="DNA"),$X143,IF(OR(ISNUMBER($W143),$W143="DNA"),$W143,IF(OR(ISNUMBER($V143),$V143="DNA"),$V143,IF(OR(ISNUMBER($U143),$U143="DNA"),$U143,IF(OR(ISNUMBER($T143),$T143="DNA"),$T143,IF(OR(ISNUMBER($S143),$S143="DNA"),$S143,IF(OR(ISNUMBER($P143),$P143="DNA"),$P143,IF(OR(ISNUMBER($O143),$O143="DNA"),$O143,IF(OR(ISNUMBER($N143),$N143="DNA"),$N143,""))))))))))="DNA",AND(ISNUMBER(IF(OR(ISNUMBER($Y143),$Y143="DNA"),$Y143,IF(OR(ISNUMBER($X143),$X143="DNA"),$X143,IF(OR(ISNUMBER($W143),$W143="DNA"),$W143,IF(OR(ISNUMBER($V143),$V143="DNA"),$V143,IF(OR(ISNUMBER($U143),$U143="DNA"),$U143,IF(OR(ISNUMBER($T143),$T143="DNA"),$T143,IF(OR(ISNUMBER($S143),$S143="DNA"),$S143,IF(OR(ISNUMBER($P143),$P143="DNA"),$P143,IF(OR(ISNUMBER($O143),$O143="DNA"),$O143,IF(OR(ISNUMBER($N143),$N143="DNA"),$N143,""))))))))))),IF(OR(ISNUMBER($Y143),$Y143="DNA"),$Y143,IF(OR(ISNUMBER($X143),$X143="DNA"),$X143,IF(OR(ISNUMBER($W143),$W143="DNA"),$W143,IF(OR(ISNUMBER($V143),$V143="DNA"),$V143,IF(OR(ISNUMBER($U143),$U143="DNA"),$U143,IF(OR(ISNUMBER($T143),$T143="DNA"),$T143,IF(OR(ISNUMBER($S143),$S143="DNA"),$S143,IF(OR(ISNUMBER($P143),$P143="DNA"),$P143,IF(OR(ISNUMBER($O143),$O143="DNA"),$O143,IF(OR(ISNUMBER($N143),$N143="DNA"),$N143,""))))))))))&lt;TODAY())),1,0)+ISNUMBER($Q143)*($Q143&lt;TODAY())+ISNUMBER($R143)*($R143&lt;TODAY())+ISNUMBER($AA143)*($AA143&lt;TODAY())+ISNUMBER($AB143)*($AB143&lt;TODAY()))</f>
        <v/>
      </c>
    </row>
    <row r="144">
      <c r="A144" s="25" t="n"/>
      <c r="B144" s="26" t="n"/>
      <c r="C144" s="27" t="n"/>
      <c r="D144" s="25" t="n"/>
      <c r="E144" s="25" t="n"/>
      <c r="F144" s="25" t="n"/>
      <c r="G144" s="25" t="n"/>
      <c r="H144" s="27" t="n"/>
      <c r="I144" s="25" t="n"/>
      <c r="J144" s="28">
        <f>IF(OR(NOT(AND($A144&lt;&gt;"",OR($I144="",$I144="Active"))),$H144=""),"",INT((TODAY()-$H144+280)/7)&amp;"+"&amp;MOD(TODAY()-$H144+280,7))</f>
        <v/>
      </c>
      <c r="K144" s="28">
        <f>IF(NOT(AND($A144&lt;&gt;"",OR($I144="",$I144="Active"))),"",ISNUMBER($N144)*($N144&gt;=TODAY())*($N144&lt;=TODAY()+7)+ISNUMBER($O144)*($O144&gt;=TODAY())*($O144&lt;=TODAY()+7)+ISNUMBER($P144)*($P144&gt;=TODAY())*($P144&lt;=TODAY()+7)+ISNUMBER($S144)*($S144&gt;=TODAY())*($S144&lt;=TODAY()+7)+ISNUMBER($T144)*($T144&gt;=TODAY())*($T144&lt;=TODAY()+7)+ISNUMBER($U144)*($U144&gt;=TODAY())*($U144&lt;=TODAY()+7)+ISNUMBER($V144)*($V144&gt;=TODAY())*($V144&lt;=TODAY()+7)+ISNUMBER($W144)*($W144&gt;=TODAY())*($W144&lt;=TODAY()+7)+ISNUMBER($X144)*($X144&gt;=TODAY())*($X144&lt;=TODAY()+7)+ISNUMBER($Y144)*($Y144&gt;=TODAY())*($Y144&lt;=TODAY()+7)+ISNUMBER($Q144)*($Q144&gt;=TODAY())*($Q144&lt;=TODAY()+7)+ISNUMBER($R144)*($R144&gt;=TODAY())*($R144&lt;=TODAY()+7)+ISNUMBER($AA144)*($AA144&gt;=TODAY())*($AA144&lt;=TODAY()+7)+ISNUMBER($AB144)*($AB144&gt;=TODAY())*($AB144&lt;=TODAY()+7))</f>
        <v/>
      </c>
      <c r="L144" s="28">
        <f>IF(NOT(AND($A144&lt;&gt;"",OR($I144="",$I144="Active"))),"",IF($M144&lt;&gt;"",IF($N144=$M144,"Booking",IF($O144=$M144,"16/40",IF($P144=$M144,"25/40",IF($S144=$M144,"28/40",IF($T144=$M144,"31/40",IF($U144=$M144,"34/40",IF($V144=$M144,"36/40",IF($W144=$M144,"38/40",IF($X144=$M144,"40/40",IF($Y144=$M144,"41/40","")))))))))),IF(IF(OR(ISNUMBER($Y144),$Y144="DNA"),$Y144,IF(OR(ISNUMBER($X144),$X144="DNA"),$X144,IF(OR(ISNUMBER($W144),$W144="DNA"),$W144,IF(OR(ISNUMBER($V144),$V144="DNA"),$V144,IF(OR(ISNUMBER($U144),$U144="DNA"),$U144,IF(OR(ISNUMBER($T144),$T144="DNA"),$T144,IF(OR(ISNUMBER($S144),$S144="DNA"),$S144,IF(OR(ISNUMBER($P144),$P144="DNA"),$P144,IF(OR(ISNUMBER($O144),$O144="DNA"),$O144,IF(OR(ISNUMBER($N144),$N144="DNA"),$N144,""))))))))))="DNA","Rebook DNA",IF(ISNUMBER(IF(OR(ISNUMBER($Y144),$Y144="DNA"),$Y144,IF(OR(ISNUMBER($X144),$X144="DNA"),$X144,IF(OR(ISNUMBER($W144),$W144="DNA"),$W144,IF(OR(ISNUMBER($V144),$V144="DNA"),$V144,IF(OR(ISNUMBER($U144),$U144="DNA"),$U144,IF(OR(ISNUMBER($T144),$T144="DNA"),$T144,IF(OR(ISNUMBER($S144),$S144="DNA"),$S144,IF(OR(ISNUMBER($P144),$P144="DNA"),$P144,IF(OR(ISNUMBER($O144),$O144="DNA"),$O144,IF(OR(ISNUMBER($N144),$N144="DNA"),$N144,""))))))))))),IF(ISNUMBER($Y144),"Update status","Missed/not booked?"),""))))</f>
        <v/>
      </c>
      <c r="M144" s="29">
        <f>IF(NOT(AND($A144&lt;&gt;"",OR($I144="",$I144="Active"))),"",IF(MIN(IF(AND(ISNUMBER($N144),$N144&gt;=TODAY()),$N144,99999),IF(AND(ISNUMBER($O144),$O144&gt;=TODAY()),$O144,99999),IF(AND(ISNUMBER($P144),$P144&gt;=TODAY()),$P144,99999),IF(AND(ISNUMBER($S144),$S144&gt;=TODAY()),$S144,99999),IF(AND(ISNUMBER($T144),$T144&gt;=TODAY()),$T144,99999),IF(AND(ISNUMBER($U144),$U144&gt;=TODAY()),$U144,99999),IF(AND(ISNUMBER($V144),$V144&gt;=TODAY()),$V144,99999),IF(AND(ISNUMBER($W144),$W144&gt;=TODAY()),$W144,99999),IF(AND(ISNUMBER($X144),$X144&gt;=TODAY()),$X144,99999),IF(AND(ISNUMBER($Y144),$Y144&gt;=TODAY()),$Y144,99999))=99999,"",MIN(IF(AND(ISNUMBER($N144),$N144&gt;=TODAY()),$N144,99999),IF(AND(ISNUMBER($O144),$O144&gt;=TODAY()),$O144,99999),IF(AND(ISNUMBER($P144),$P144&gt;=TODAY()),$P144,99999),IF(AND(ISNUMBER($S144),$S144&gt;=TODAY()),$S144,99999),IF(AND(ISNUMBER($T144),$T144&gt;=TODAY()),$T144,99999),IF(AND(ISNUMBER($U144),$U144&gt;=TODAY()),$U144,99999),IF(AND(ISNUMBER($V144),$V144&gt;=TODAY()),$V144,99999),IF(AND(ISNUMBER($W144),$W144&gt;=TODAY()),$W144,99999),IF(AND(ISNUMBER($X144),$X144&gt;=TODAY()),$X144,99999),IF(AND(ISNUMBER($Y144),$Y144&gt;=TODAY()),$Y144,99999))))</f>
        <v/>
      </c>
      <c r="N144" s="27" t="n"/>
      <c r="O144" s="27" t="n"/>
      <c r="P144" s="27" t="n"/>
      <c r="Q144" s="27" t="n"/>
      <c r="R144" s="27" t="n"/>
      <c r="S144" s="27" t="n"/>
      <c r="T144" s="27" t="n"/>
      <c r="U144" s="27" t="n"/>
      <c r="V144" s="27" t="n"/>
      <c r="W144" s="27" t="n"/>
      <c r="X144" s="27" t="n"/>
      <c r="Y144" s="27" t="n"/>
      <c r="Z144" s="27" t="n"/>
      <c r="AA144" s="27" t="n"/>
      <c r="AB144" s="27" t="n"/>
      <c r="AC144" s="30" t="n"/>
      <c r="AD144" s="25" t="n"/>
      <c r="AE144" s="28">
        <f>IF(NOT(AND($A144&lt;&gt;"",OR($I144="",$I144="Active"))),"",IF(OR(IF(OR(ISNUMBER($Y144),$Y144="DNA"),$Y144,IF(OR(ISNUMBER($X144),$X144="DNA"),$X144,IF(OR(ISNUMBER($W144),$W144="DNA"),$W144,IF(OR(ISNUMBER($V144),$V144="DNA"),$V144,IF(OR(ISNUMBER($U144),$U144="DNA"),$U144,IF(OR(ISNUMBER($T144),$T144="DNA"),$T144,IF(OR(ISNUMBER($S144),$S144="DNA"),$S144,IF(OR(ISNUMBER($P144),$P144="DNA"),$P144,IF(OR(ISNUMBER($O144),$O144="DNA"),$O144,IF(OR(ISNUMBER($N144),$N144="DNA"),$N144,""))))))))))="DNA",AND(ISNUMBER(IF(OR(ISNUMBER($Y144),$Y144="DNA"),$Y144,IF(OR(ISNUMBER($X144),$X144="DNA"),$X144,IF(OR(ISNUMBER($W144),$W144="DNA"),$W144,IF(OR(ISNUMBER($V144),$V144="DNA"),$V144,IF(OR(ISNUMBER($U144),$U144="DNA"),$U144,IF(OR(ISNUMBER($T144),$T144="DNA"),$T144,IF(OR(ISNUMBER($S144),$S144="DNA"),$S144,IF(OR(ISNUMBER($P144),$P144="DNA"),$P144,IF(OR(ISNUMBER($O144),$O144="DNA"),$O144,IF(OR(ISNUMBER($N144),$N144="DNA"),$N144,""))))))))))),IF(OR(ISNUMBER($Y144),$Y144="DNA"),$Y144,IF(OR(ISNUMBER($X144),$X144="DNA"),$X144,IF(OR(ISNUMBER($W144),$W144="DNA"),$W144,IF(OR(ISNUMBER($V144),$V144="DNA"),$V144,IF(OR(ISNUMBER($U144),$U144="DNA"),$U144,IF(OR(ISNUMBER($T144),$T144="DNA"),$T144,IF(OR(ISNUMBER($S144),$S144="DNA"),$S144,IF(OR(ISNUMBER($P144),$P144="DNA"),$P144,IF(OR(ISNUMBER($O144),$O144="DNA"),$O144,IF(OR(ISNUMBER($N144),$N144="DNA"),$N144,""))))))))))&lt;TODAY())),1,0)+ISNUMBER($Q144)*($Q144&lt;TODAY())+ISNUMBER($R144)*($R144&lt;TODAY())+ISNUMBER($AA144)*($AA144&lt;TODAY())+ISNUMBER($AB144)*($AB144&lt;TODAY()))</f>
        <v/>
      </c>
    </row>
    <row r="145">
      <c r="A145" s="25" t="n"/>
      <c r="B145" s="26" t="n"/>
      <c r="C145" s="27" t="n"/>
      <c r="D145" s="25" t="n"/>
      <c r="E145" s="25" t="n"/>
      <c r="F145" s="25" t="n"/>
      <c r="G145" s="25" t="n"/>
      <c r="H145" s="27" t="n"/>
      <c r="I145" s="25" t="n"/>
      <c r="J145" s="28">
        <f>IF(OR(NOT(AND($A145&lt;&gt;"",OR($I145="",$I145="Active"))),$H145=""),"",INT((TODAY()-$H145+280)/7)&amp;"+"&amp;MOD(TODAY()-$H145+280,7))</f>
        <v/>
      </c>
      <c r="K145" s="28">
        <f>IF(NOT(AND($A145&lt;&gt;"",OR($I145="",$I145="Active"))),"",ISNUMBER($N145)*($N145&gt;=TODAY())*($N145&lt;=TODAY()+7)+ISNUMBER($O145)*($O145&gt;=TODAY())*($O145&lt;=TODAY()+7)+ISNUMBER($P145)*($P145&gt;=TODAY())*($P145&lt;=TODAY()+7)+ISNUMBER($S145)*($S145&gt;=TODAY())*($S145&lt;=TODAY()+7)+ISNUMBER($T145)*($T145&gt;=TODAY())*($T145&lt;=TODAY()+7)+ISNUMBER($U145)*($U145&gt;=TODAY())*($U145&lt;=TODAY()+7)+ISNUMBER($V145)*($V145&gt;=TODAY())*($V145&lt;=TODAY()+7)+ISNUMBER($W145)*($W145&gt;=TODAY())*($W145&lt;=TODAY()+7)+ISNUMBER($X145)*($X145&gt;=TODAY())*($X145&lt;=TODAY()+7)+ISNUMBER($Y145)*($Y145&gt;=TODAY())*($Y145&lt;=TODAY()+7)+ISNUMBER($Q145)*($Q145&gt;=TODAY())*($Q145&lt;=TODAY()+7)+ISNUMBER($R145)*($R145&gt;=TODAY())*($R145&lt;=TODAY()+7)+ISNUMBER($AA145)*($AA145&gt;=TODAY())*($AA145&lt;=TODAY()+7)+ISNUMBER($AB145)*($AB145&gt;=TODAY())*($AB145&lt;=TODAY()+7))</f>
        <v/>
      </c>
      <c r="L145" s="28">
        <f>IF(NOT(AND($A145&lt;&gt;"",OR($I145="",$I145="Active"))),"",IF($M145&lt;&gt;"",IF($N145=$M145,"Booking",IF($O145=$M145,"16/40",IF($P145=$M145,"25/40",IF($S145=$M145,"28/40",IF($T145=$M145,"31/40",IF($U145=$M145,"34/40",IF($V145=$M145,"36/40",IF($W145=$M145,"38/40",IF($X145=$M145,"40/40",IF($Y145=$M145,"41/40","")))))))))),IF(IF(OR(ISNUMBER($Y145),$Y145="DNA"),$Y145,IF(OR(ISNUMBER($X145),$X145="DNA"),$X145,IF(OR(ISNUMBER($W145),$W145="DNA"),$W145,IF(OR(ISNUMBER($V145),$V145="DNA"),$V145,IF(OR(ISNUMBER($U145),$U145="DNA"),$U145,IF(OR(ISNUMBER($T145),$T145="DNA"),$T145,IF(OR(ISNUMBER($S145),$S145="DNA"),$S145,IF(OR(ISNUMBER($P145),$P145="DNA"),$P145,IF(OR(ISNUMBER($O145),$O145="DNA"),$O145,IF(OR(ISNUMBER($N145),$N145="DNA"),$N145,""))))))))))="DNA","Rebook DNA",IF(ISNUMBER(IF(OR(ISNUMBER($Y145),$Y145="DNA"),$Y145,IF(OR(ISNUMBER($X145),$X145="DNA"),$X145,IF(OR(ISNUMBER($W145),$W145="DNA"),$W145,IF(OR(ISNUMBER($V145),$V145="DNA"),$V145,IF(OR(ISNUMBER($U145),$U145="DNA"),$U145,IF(OR(ISNUMBER($T145),$T145="DNA"),$T145,IF(OR(ISNUMBER($S145),$S145="DNA"),$S145,IF(OR(ISNUMBER($P145),$P145="DNA"),$P145,IF(OR(ISNUMBER($O145),$O145="DNA"),$O145,IF(OR(ISNUMBER($N145),$N145="DNA"),$N145,""))))))))))),IF(ISNUMBER($Y145),"Update status","Missed/not booked?"),""))))</f>
        <v/>
      </c>
      <c r="M145" s="29">
        <f>IF(NOT(AND($A145&lt;&gt;"",OR($I145="",$I145="Active"))),"",IF(MIN(IF(AND(ISNUMBER($N145),$N145&gt;=TODAY()),$N145,99999),IF(AND(ISNUMBER($O145),$O145&gt;=TODAY()),$O145,99999),IF(AND(ISNUMBER($P145),$P145&gt;=TODAY()),$P145,99999),IF(AND(ISNUMBER($S145),$S145&gt;=TODAY()),$S145,99999),IF(AND(ISNUMBER($T145),$T145&gt;=TODAY()),$T145,99999),IF(AND(ISNUMBER($U145),$U145&gt;=TODAY()),$U145,99999),IF(AND(ISNUMBER($V145),$V145&gt;=TODAY()),$V145,99999),IF(AND(ISNUMBER($W145),$W145&gt;=TODAY()),$W145,99999),IF(AND(ISNUMBER($X145),$X145&gt;=TODAY()),$X145,99999),IF(AND(ISNUMBER($Y145),$Y145&gt;=TODAY()),$Y145,99999))=99999,"",MIN(IF(AND(ISNUMBER($N145),$N145&gt;=TODAY()),$N145,99999),IF(AND(ISNUMBER($O145),$O145&gt;=TODAY()),$O145,99999),IF(AND(ISNUMBER($P145),$P145&gt;=TODAY()),$P145,99999),IF(AND(ISNUMBER($S145),$S145&gt;=TODAY()),$S145,99999),IF(AND(ISNUMBER($T145),$T145&gt;=TODAY()),$T145,99999),IF(AND(ISNUMBER($U145),$U145&gt;=TODAY()),$U145,99999),IF(AND(ISNUMBER($V145),$V145&gt;=TODAY()),$V145,99999),IF(AND(ISNUMBER($W145),$W145&gt;=TODAY()),$W145,99999),IF(AND(ISNUMBER($X145),$X145&gt;=TODAY()),$X145,99999),IF(AND(ISNUMBER($Y145),$Y145&gt;=TODAY()),$Y145,99999))))</f>
        <v/>
      </c>
      <c r="N145" s="27" t="n"/>
      <c r="O145" s="27" t="n"/>
      <c r="P145" s="27" t="n"/>
      <c r="Q145" s="27" t="n"/>
      <c r="R145" s="27" t="n"/>
      <c r="S145" s="27" t="n"/>
      <c r="T145" s="27" t="n"/>
      <c r="U145" s="27" t="n"/>
      <c r="V145" s="27" t="n"/>
      <c r="W145" s="27" t="n"/>
      <c r="X145" s="27" t="n"/>
      <c r="Y145" s="27" t="n"/>
      <c r="Z145" s="27" t="n"/>
      <c r="AA145" s="27" t="n"/>
      <c r="AB145" s="27" t="n"/>
      <c r="AC145" s="30" t="n"/>
      <c r="AD145" s="25" t="n"/>
      <c r="AE145" s="28">
        <f>IF(NOT(AND($A145&lt;&gt;"",OR($I145="",$I145="Active"))),"",IF(OR(IF(OR(ISNUMBER($Y145),$Y145="DNA"),$Y145,IF(OR(ISNUMBER($X145),$X145="DNA"),$X145,IF(OR(ISNUMBER($W145),$W145="DNA"),$W145,IF(OR(ISNUMBER($V145),$V145="DNA"),$V145,IF(OR(ISNUMBER($U145),$U145="DNA"),$U145,IF(OR(ISNUMBER($T145),$T145="DNA"),$T145,IF(OR(ISNUMBER($S145),$S145="DNA"),$S145,IF(OR(ISNUMBER($P145),$P145="DNA"),$P145,IF(OR(ISNUMBER($O145),$O145="DNA"),$O145,IF(OR(ISNUMBER($N145),$N145="DNA"),$N145,""))))))))))="DNA",AND(ISNUMBER(IF(OR(ISNUMBER($Y145),$Y145="DNA"),$Y145,IF(OR(ISNUMBER($X145),$X145="DNA"),$X145,IF(OR(ISNUMBER($W145),$W145="DNA"),$W145,IF(OR(ISNUMBER($V145),$V145="DNA"),$V145,IF(OR(ISNUMBER($U145),$U145="DNA"),$U145,IF(OR(ISNUMBER($T145),$T145="DNA"),$T145,IF(OR(ISNUMBER($S145),$S145="DNA"),$S145,IF(OR(ISNUMBER($P145),$P145="DNA"),$P145,IF(OR(ISNUMBER($O145),$O145="DNA"),$O145,IF(OR(ISNUMBER($N145),$N145="DNA"),$N145,""))))))))))),IF(OR(ISNUMBER($Y145),$Y145="DNA"),$Y145,IF(OR(ISNUMBER($X145),$X145="DNA"),$X145,IF(OR(ISNUMBER($W145),$W145="DNA"),$W145,IF(OR(ISNUMBER($V145),$V145="DNA"),$V145,IF(OR(ISNUMBER($U145),$U145="DNA"),$U145,IF(OR(ISNUMBER($T145),$T145="DNA"),$T145,IF(OR(ISNUMBER($S145),$S145="DNA"),$S145,IF(OR(ISNUMBER($P145),$P145="DNA"),$P145,IF(OR(ISNUMBER($O145),$O145="DNA"),$O145,IF(OR(ISNUMBER($N145),$N145="DNA"),$N145,""))))))))))&lt;TODAY())),1,0)+ISNUMBER($Q145)*($Q145&lt;TODAY())+ISNUMBER($R145)*($R145&lt;TODAY())+ISNUMBER($AA145)*($AA145&lt;TODAY())+ISNUMBER($AB145)*($AB145&lt;TODAY()))</f>
        <v/>
      </c>
    </row>
    <row r="146">
      <c r="A146" s="25" t="n"/>
      <c r="B146" s="26" t="n"/>
      <c r="C146" s="27" t="n"/>
      <c r="D146" s="25" t="n"/>
      <c r="E146" s="25" t="n"/>
      <c r="F146" s="25" t="n"/>
      <c r="G146" s="25" t="n"/>
      <c r="H146" s="27" t="n"/>
      <c r="I146" s="25" t="n"/>
      <c r="J146" s="28">
        <f>IF(OR(NOT(AND($A146&lt;&gt;"",OR($I146="",$I146="Active"))),$H146=""),"",INT((TODAY()-$H146+280)/7)&amp;"+"&amp;MOD(TODAY()-$H146+280,7))</f>
        <v/>
      </c>
      <c r="K146" s="28">
        <f>IF(NOT(AND($A146&lt;&gt;"",OR($I146="",$I146="Active"))),"",ISNUMBER($N146)*($N146&gt;=TODAY())*($N146&lt;=TODAY()+7)+ISNUMBER($O146)*($O146&gt;=TODAY())*($O146&lt;=TODAY()+7)+ISNUMBER($P146)*($P146&gt;=TODAY())*($P146&lt;=TODAY()+7)+ISNUMBER($S146)*($S146&gt;=TODAY())*($S146&lt;=TODAY()+7)+ISNUMBER($T146)*($T146&gt;=TODAY())*($T146&lt;=TODAY()+7)+ISNUMBER($U146)*($U146&gt;=TODAY())*($U146&lt;=TODAY()+7)+ISNUMBER($V146)*($V146&gt;=TODAY())*($V146&lt;=TODAY()+7)+ISNUMBER($W146)*($W146&gt;=TODAY())*($W146&lt;=TODAY()+7)+ISNUMBER($X146)*($X146&gt;=TODAY())*($X146&lt;=TODAY()+7)+ISNUMBER($Y146)*($Y146&gt;=TODAY())*($Y146&lt;=TODAY()+7)+ISNUMBER($Q146)*($Q146&gt;=TODAY())*($Q146&lt;=TODAY()+7)+ISNUMBER($R146)*($R146&gt;=TODAY())*($R146&lt;=TODAY()+7)+ISNUMBER($AA146)*($AA146&gt;=TODAY())*($AA146&lt;=TODAY()+7)+ISNUMBER($AB146)*($AB146&gt;=TODAY())*($AB146&lt;=TODAY()+7))</f>
        <v/>
      </c>
      <c r="L146" s="28">
        <f>IF(NOT(AND($A146&lt;&gt;"",OR($I146="",$I146="Active"))),"",IF($M146&lt;&gt;"",IF($N146=$M146,"Booking",IF($O146=$M146,"16/40",IF($P146=$M146,"25/40",IF($S146=$M146,"28/40",IF($T146=$M146,"31/40",IF($U146=$M146,"34/40",IF($V146=$M146,"36/40",IF($W146=$M146,"38/40",IF($X146=$M146,"40/40",IF($Y146=$M146,"41/40","")))))))))),IF(IF(OR(ISNUMBER($Y146),$Y146="DNA"),$Y146,IF(OR(ISNUMBER($X146),$X146="DNA"),$X146,IF(OR(ISNUMBER($W146),$W146="DNA"),$W146,IF(OR(ISNUMBER($V146),$V146="DNA"),$V146,IF(OR(ISNUMBER($U146),$U146="DNA"),$U146,IF(OR(ISNUMBER($T146),$T146="DNA"),$T146,IF(OR(ISNUMBER($S146),$S146="DNA"),$S146,IF(OR(ISNUMBER($P146),$P146="DNA"),$P146,IF(OR(ISNUMBER($O146),$O146="DNA"),$O146,IF(OR(ISNUMBER($N146),$N146="DNA"),$N146,""))))))))))="DNA","Rebook DNA",IF(ISNUMBER(IF(OR(ISNUMBER($Y146),$Y146="DNA"),$Y146,IF(OR(ISNUMBER($X146),$X146="DNA"),$X146,IF(OR(ISNUMBER($W146),$W146="DNA"),$W146,IF(OR(ISNUMBER($V146),$V146="DNA"),$V146,IF(OR(ISNUMBER($U146),$U146="DNA"),$U146,IF(OR(ISNUMBER($T146),$T146="DNA"),$T146,IF(OR(ISNUMBER($S146),$S146="DNA"),$S146,IF(OR(ISNUMBER($P146),$P146="DNA"),$P146,IF(OR(ISNUMBER($O146),$O146="DNA"),$O146,IF(OR(ISNUMBER($N146),$N146="DNA"),$N146,""))))))))))),IF(ISNUMBER($Y146),"Update status","Missed/not booked?"),""))))</f>
        <v/>
      </c>
      <c r="M146" s="29">
        <f>IF(NOT(AND($A146&lt;&gt;"",OR($I146="",$I146="Active"))),"",IF(MIN(IF(AND(ISNUMBER($N146),$N146&gt;=TODAY()),$N146,99999),IF(AND(ISNUMBER($O146),$O146&gt;=TODAY()),$O146,99999),IF(AND(ISNUMBER($P146),$P146&gt;=TODAY()),$P146,99999),IF(AND(ISNUMBER($S146),$S146&gt;=TODAY()),$S146,99999),IF(AND(ISNUMBER($T146),$T146&gt;=TODAY()),$T146,99999),IF(AND(ISNUMBER($U146),$U146&gt;=TODAY()),$U146,99999),IF(AND(ISNUMBER($V146),$V146&gt;=TODAY()),$V146,99999),IF(AND(ISNUMBER($W146),$W146&gt;=TODAY()),$W146,99999),IF(AND(ISNUMBER($X146),$X146&gt;=TODAY()),$X146,99999),IF(AND(ISNUMBER($Y146),$Y146&gt;=TODAY()),$Y146,99999))=99999,"",MIN(IF(AND(ISNUMBER($N146),$N146&gt;=TODAY()),$N146,99999),IF(AND(ISNUMBER($O146),$O146&gt;=TODAY()),$O146,99999),IF(AND(ISNUMBER($P146),$P146&gt;=TODAY()),$P146,99999),IF(AND(ISNUMBER($S146),$S146&gt;=TODAY()),$S146,99999),IF(AND(ISNUMBER($T146),$T146&gt;=TODAY()),$T146,99999),IF(AND(ISNUMBER($U146),$U146&gt;=TODAY()),$U146,99999),IF(AND(ISNUMBER($V146),$V146&gt;=TODAY()),$V146,99999),IF(AND(ISNUMBER($W146),$W146&gt;=TODAY()),$W146,99999),IF(AND(ISNUMBER($X146),$X146&gt;=TODAY()),$X146,99999),IF(AND(ISNUMBER($Y146),$Y146&gt;=TODAY()),$Y146,99999))))</f>
        <v/>
      </c>
      <c r="N146" s="27" t="n"/>
      <c r="O146" s="27" t="n"/>
      <c r="P146" s="27" t="n"/>
      <c r="Q146" s="27" t="n"/>
      <c r="R146" s="27" t="n"/>
      <c r="S146" s="27" t="n"/>
      <c r="T146" s="27" t="n"/>
      <c r="U146" s="27" t="n"/>
      <c r="V146" s="27" t="n"/>
      <c r="W146" s="27" t="n"/>
      <c r="X146" s="27" t="n"/>
      <c r="Y146" s="27" t="n"/>
      <c r="Z146" s="27" t="n"/>
      <c r="AA146" s="27" t="n"/>
      <c r="AB146" s="27" t="n"/>
      <c r="AC146" s="30" t="n"/>
      <c r="AD146" s="25" t="n"/>
      <c r="AE146" s="28">
        <f>IF(NOT(AND($A146&lt;&gt;"",OR($I146="",$I146="Active"))),"",IF(OR(IF(OR(ISNUMBER($Y146),$Y146="DNA"),$Y146,IF(OR(ISNUMBER($X146),$X146="DNA"),$X146,IF(OR(ISNUMBER($W146),$W146="DNA"),$W146,IF(OR(ISNUMBER($V146),$V146="DNA"),$V146,IF(OR(ISNUMBER($U146),$U146="DNA"),$U146,IF(OR(ISNUMBER($T146),$T146="DNA"),$T146,IF(OR(ISNUMBER($S146),$S146="DNA"),$S146,IF(OR(ISNUMBER($P146),$P146="DNA"),$P146,IF(OR(ISNUMBER($O146),$O146="DNA"),$O146,IF(OR(ISNUMBER($N146),$N146="DNA"),$N146,""))))))))))="DNA",AND(ISNUMBER(IF(OR(ISNUMBER($Y146),$Y146="DNA"),$Y146,IF(OR(ISNUMBER($X146),$X146="DNA"),$X146,IF(OR(ISNUMBER($W146),$W146="DNA"),$W146,IF(OR(ISNUMBER($V146),$V146="DNA"),$V146,IF(OR(ISNUMBER($U146),$U146="DNA"),$U146,IF(OR(ISNUMBER($T146),$T146="DNA"),$T146,IF(OR(ISNUMBER($S146),$S146="DNA"),$S146,IF(OR(ISNUMBER($P146),$P146="DNA"),$P146,IF(OR(ISNUMBER($O146),$O146="DNA"),$O146,IF(OR(ISNUMBER($N146),$N146="DNA"),$N146,""))))))))))),IF(OR(ISNUMBER($Y146),$Y146="DNA"),$Y146,IF(OR(ISNUMBER($X146),$X146="DNA"),$X146,IF(OR(ISNUMBER($W146),$W146="DNA"),$W146,IF(OR(ISNUMBER($V146),$V146="DNA"),$V146,IF(OR(ISNUMBER($U146),$U146="DNA"),$U146,IF(OR(ISNUMBER($T146),$T146="DNA"),$T146,IF(OR(ISNUMBER($S146),$S146="DNA"),$S146,IF(OR(ISNUMBER($P146),$P146="DNA"),$P146,IF(OR(ISNUMBER($O146),$O146="DNA"),$O146,IF(OR(ISNUMBER($N146),$N146="DNA"),$N146,""))))))))))&lt;TODAY())),1,0)+ISNUMBER($Q146)*($Q146&lt;TODAY())+ISNUMBER($R146)*($R146&lt;TODAY())+ISNUMBER($AA146)*($AA146&lt;TODAY())+ISNUMBER($AB146)*($AB146&lt;TODAY()))</f>
        <v/>
      </c>
    </row>
    <row r="147">
      <c r="A147" s="25" t="n"/>
      <c r="B147" s="26" t="n"/>
      <c r="C147" s="27" t="n"/>
      <c r="D147" s="25" t="n"/>
      <c r="E147" s="25" t="n"/>
      <c r="F147" s="25" t="n"/>
      <c r="G147" s="25" t="n"/>
      <c r="H147" s="27" t="n"/>
      <c r="I147" s="25" t="n"/>
      <c r="J147" s="28">
        <f>IF(OR(NOT(AND($A147&lt;&gt;"",OR($I147="",$I147="Active"))),$H147=""),"",INT((TODAY()-$H147+280)/7)&amp;"+"&amp;MOD(TODAY()-$H147+280,7))</f>
        <v/>
      </c>
      <c r="K147" s="28">
        <f>IF(NOT(AND($A147&lt;&gt;"",OR($I147="",$I147="Active"))),"",ISNUMBER($N147)*($N147&gt;=TODAY())*($N147&lt;=TODAY()+7)+ISNUMBER($O147)*($O147&gt;=TODAY())*($O147&lt;=TODAY()+7)+ISNUMBER($P147)*($P147&gt;=TODAY())*($P147&lt;=TODAY()+7)+ISNUMBER($S147)*($S147&gt;=TODAY())*($S147&lt;=TODAY()+7)+ISNUMBER($T147)*($T147&gt;=TODAY())*($T147&lt;=TODAY()+7)+ISNUMBER($U147)*($U147&gt;=TODAY())*($U147&lt;=TODAY()+7)+ISNUMBER($V147)*($V147&gt;=TODAY())*($V147&lt;=TODAY()+7)+ISNUMBER($W147)*($W147&gt;=TODAY())*($W147&lt;=TODAY()+7)+ISNUMBER($X147)*($X147&gt;=TODAY())*($X147&lt;=TODAY()+7)+ISNUMBER($Y147)*($Y147&gt;=TODAY())*($Y147&lt;=TODAY()+7)+ISNUMBER($Q147)*($Q147&gt;=TODAY())*($Q147&lt;=TODAY()+7)+ISNUMBER($R147)*($R147&gt;=TODAY())*($R147&lt;=TODAY()+7)+ISNUMBER($AA147)*($AA147&gt;=TODAY())*($AA147&lt;=TODAY()+7)+ISNUMBER($AB147)*($AB147&gt;=TODAY())*($AB147&lt;=TODAY()+7))</f>
        <v/>
      </c>
      <c r="L147" s="28">
        <f>IF(NOT(AND($A147&lt;&gt;"",OR($I147="",$I147="Active"))),"",IF($M147&lt;&gt;"",IF($N147=$M147,"Booking",IF($O147=$M147,"16/40",IF($P147=$M147,"25/40",IF($S147=$M147,"28/40",IF($T147=$M147,"31/40",IF($U147=$M147,"34/40",IF($V147=$M147,"36/40",IF($W147=$M147,"38/40",IF($X147=$M147,"40/40",IF($Y147=$M147,"41/40","")))))))))),IF(IF(OR(ISNUMBER($Y147),$Y147="DNA"),$Y147,IF(OR(ISNUMBER($X147),$X147="DNA"),$X147,IF(OR(ISNUMBER($W147),$W147="DNA"),$W147,IF(OR(ISNUMBER($V147),$V147="DNA"),$V147,IF(OR(ISNUMBER($U147),$U147="DNA"),$U147,IF(OR(ISNUMBER($T147),$T147="DNA"),$T147,IF(OR(ISNUMBER($S147),$S147="DNA"),$S147,IF(OR(ISNUMBER($P147),$P147="DNA"),$P147,IF(OR(ISNUMBER($O147),$O147="DNA"),$O147,IF(OR(ISNUMBER($N147),$N147="DNA"),$N147,""))))))))))="DNA","Rebook DNA",IF(ISNUMBER(IF(OR(ISNUMBER($Y147),$Y147="DNA"),$Y147,IF(OR(ISNUMBER($X147),$X147="DNA"),$X147,IF(OR(ISNUMBER($W147),$W147="DNA"),$W147,IF(OR(ISNUMBER($V147),$V147="DNA"),$V147,IF(OR(ISNUMBER($U147),$U147="DNA"),$U147,IF(OR(ISNUMBER($T147),$T147="DNA"),$T147,IF(OR(ISNUMBER($S147),$S147="DNA"),$S147,IF(OR(ISNUMBER($P147),$P147="DNA"),$P147,IF(OR(ISNUMBER($O147),$O147="DNA"),$O147,IF(OR(ISNUMBER($N147),$N147="DNA"),$N147,""))))))))))),IF(ISNUMBER($Y147),"Update status","Missed/not booked?"),""))))</f>
        <v/>
      </c>
      <c r="M147" s="29">
        <f>IF(NOT(AND($A147&lt;&gt;"",OR($I147="",$I147="Active"))),"",IF(MIN(IF(AND(ISNUMBER($N147),$N147&gt;=TODAY()),$N147,99999),IF(AND(ISNUMBER($O147),$O147&gt;=TODAY()),$O147,99999),IF(AND(ISNUMBER($P147),$P147&gt;=TODAY()),$P147,99999),IF(AND(ISNUMBER($S147),$S147&gt;=TODAY()),$S147,99999),IF(AND(ISNUMBER($T147),$T147&gt;=TODAY()),$T147,99999),IF(AND(ISNUMBER($U147),$U147&gt;=TODAY()),$U147,99999),IF(AND(ISNUMBER($V147),$V147&gt;=TODAY()),$V147,99999),IF(AND(ISNUMBER($W147),$W147&gt;=TODAY()),$W147,99999),IF(AND(ISNUMBER($X147),$X147&gt;=TODAY()),$X147,99999),IF(AND(ISNUMBER($Y147),$Y147&gt;=TODAY()),$Y147,99999))=99999,"",MIN(IF(AND(ISNUMBER($N147),$N147&gt;=TODAY()),$N147,99999),IF(AND(ISNUMBER($O147),$O147&gt;=TODAY()),$O147,99999),IF(AND(ISNUMBER($P147),$P147&gt;=TODAY()),$P147,99999),IF(AND(ISNUMBER($S147),$S147&gt;=TODAY()),$S147,99999),IF(AND(ISNUMBER($T147),$T147&gt;=TODAY()),$T147,99999),IF(AND(ISNUMBER($U147),$U147&gt;=TODAY()),$U147,99999),IF(AND(ISNUMBER($V147),$V147&gt;=TODAY()),$V147,99999),IF(AND(ISNUMBER($W147),$W147&gt;=TODAY()),$W147,99999),IF(AND(ISNUMBER($X147),$X147&gt;=TODAY()),$X147,99999),IF(AND(ISNUMBER($Y147),$Y147&gt;=TODAY()),$Y147,99999))))</f>
        <v/>
      </c>
      <c r="N147" s="27" t="n"/>
      <c r="O147" s="27" t="n"/>
      <c r="P147" s="27" t="n"/>
      <c r="Q147" s="27" t="n"/>
      <c r="R147" s="27" t="n"/>
      <c r="S147" s="27" t="n"/>
      <c r="T147" s="27" t="n"/>
      <c r="U147" s="27" t="n"/>
      <c r="V147" s="27" t="n"/>
      <c r="W147" s="27" t="n"/>
      <c r="X147" s="27" t="n"/>
      <c r="Y147" s="27" t="n"/>
      <c r="Z147" s="27" t="n"/>
      <c r="AA147" s="27" t="n"/>
      <c r="AB147" s="27" t="n"/>
      <c r="AC147" s="30" t="n"/>
      <c r="AD147" s="25" t="n"/>
      <c r="AE147" s="28">
        <f>IF(NOT(AND($A147&lt;&gt;"",OR($I147="",$I147="Active"))),"",IF(OR(IF(OR(ISNUMBER($Y147),$Y147="DNA"),$Y147,IF(OR(ISNUMBER($X147),$X147="DNA"),$X147,IF(OR(ISNUMBER($W147),$W147="DNA"),$W147,IF(OR(ISNUMBER($V147),$V147="DNA"),$V147,IF(OR(ISNUMBER($U147),$U147="DNA"),$U147,IF(OR(ISNUMBER($T147),$T147="DNA"),$T147,IF(OR(ISNUMBER($S147),$S147="DNA"),$S147,IF(OR(ISNUMBER($P147),$P147="DNA"),$P147,IF(OR(ISNUMBER($O147),$O147="DNA"),$O147,IF(OR(ISNUMBER($N147),$N147="DNA"),$N147,""))))))))))="DNA",AND(ISNUMBER(IF(OR(ISNUMBER($Y147),$Y147="DNA"),$Y147,IF(OR(ISNUMBER($X147),$X147="DNA"),$X147,IF(OR(ISNUMBER($W147),$W147="DNA"),$W147,IF(OR(ISNUMBER($V147),$V147="DNA"),$V147,IF(OR(ISNUMBER($U147),$U147="DNA"),$U147,IF(OR(ISNUMBER($T147),$T147="DNA"),$T147,IF(OR(ISNUMBER($S147),$S147="DNA"),$S147,IF(OR(ISNUMBER($P147),$P147="DNA"),$P147,IF(OR(ISNUMBER($O147),$O147="DNA"),$O147,IF(OR(ISNUMBER($N147),$N147="DNA"),$N147,""))))))))))),IF(OR(ISNUMBER($Y147),$Y147="DNA"),$Y147,IF(OR(ISNUMBER($X147),$X147="DNA"),$X147,IF(OR(ISNUMBER($W147),$W147="DNA"),$W147,IF(OR(ISNUMBER($V147),$V147="DNA"),$V147,IF(OR(ISNUMBER($U147),$U147="DNA"),$U147,IF(OR(ISNUMBER($T147),$T147="DNA"),$T147,IF(OR(ISNUMBER($S147),$S147="DNA"),$S147,IF(OR(ISNUMBER($P147),$P147="DNA"),$P147,IF(OR(ISNUMBER($O147),$O147="DNA"),$O147,IF(OR(ISNUMBER($N147),$N147="DNA"),$N147,""))))))))))&lt;TODAY())),1,0)+ISNUMBER($Q147)*($Q147&lt;TODAY())+ISNUMBER($R147)*($R147&lt;TODAY())+ISNUMBER($AA147)*($AA147&lt;TODAY())+ISNUMBER($AB147)*($AB147&lt;TODAY()))</f>
        <v/>
      </c>
    </row>
    <row r="148">
      <c r="A148" s="25" t="n"/>
      <c r="B148" s="26" t="n"/>
      <c r="C148" s="27" t="n"/>
      <c r="D148" s="25" t="n"/>
      <c r="E148" s="25" t="n"/>
      <c r="F148" s="25" t="n"/>
      <c r="G148" s="25" t="n"/>
      <c r="H148" s="27" t="n"/>
      <c r="I148" s="25" t="n"/>
      <c r="J148" s="28">
        <f>IF(OR(NOT(AND($A148&lt;&gt;"",OR($I148="",$I148="Active"))),$H148=""),"",INT((TODAY()-$H148+280)/7)&amp;"+"&amp;MOD(TODAY()-$H148+280,7))</f>
        <v/>
      </c>
      <c r="K148" s="28">
        <f>IF(NOT(AND($A148&lt;&gt;"",OR($I148="",$I148="Active"))),"",ISNUMBER($N148)*($N148&gt;=TODAY())*($N148&lt;=TODAY()+7)+ISNUMBER($O148)*($O148&gt;=TODAY())*($O148&lt;=TODAY()+7)+ISNUMBER($P148)*($P148&gt;=TODAY())*($P148&lt;=TODAY()+7)+ISNUMBER($S148)*($S148&gt;=TODAY())*($S148&lt;=TODAY()+7)+ISNUMBER($T148)*($T148&gt;=TODAY())*($T148&lt;=TODAY()+7)+ISNUMBER($U148)*($U148&gt;=TODAY())*($U148&lt;=TODAY()+7)+ISNUMBER($V148)*($V148&gt;=TODAY())*($V148&lt;=TODAY()+7)+ISNUMBER($W148)*($W148&gt;=TODAY())*($W148&lt;=TODAY()+7)+ISNUMBER($X148)*($X148&gt;=TODAY())*($X148&lt;=TODAY()+7)+ISNUMBER($Y148)*($Y148&gt;=TODAY())*($Y148&lt;=TODAY()+7)+ISNUMBER($Q148)*($Q148&gt;=TODAY())*($Q148&lt;=TODAY()+7)+ISNUMBER($R148)*($R148&gt;=TODAY())*($R148&lt;=TODAY()+7)+ISNUMBER($AA148)*($AA148&gt;=TODAY())*($AA148&lt;=TODAY()+7)+ISNUMBER($AB148)*($AB148&gt;=TODAY())*($AB148&lt;=TODAY()+7))</f>
        <v/>
      </c>
      <c r="L148" s="28">
        <f>IF(NOT(AND($A148&lt;&gt;"",OR($I148="",$I148="Active"))),"",IF($M148&lt;&gt;"",IF($N148=$M148,"Booking",IF($O148=$M148,"16/40",IF($P148=$M148,"25/40",IF($S148=$M148,"28/40",IF($T148=$M148,"31/40",IF($U148=$M148,"34/40",IF($V148=$M148,"36/40",IF($W148=$M148,"38/40",IF($X148=$M148,"40/40",IF($Y148=$M148,"41/40","")))))))))),IF(IF(OR(ISNUMBER($Y148),$Y148="DNA"),$Y148,IF(OR(ISNUMBER($X148),$X148="DNA"),$X148,IF(OR(ISNUMBER($W148),$W148="DNA"),$W148,IF(OR(ISNUMBER($V148),$V148="DNA"),$V148,IF(OR(ISNUMBER($U148),$U148="DNA"),$U148,IF(OR(ISNUMBER($T148),$T148="DNA"),$T148,IF(OR(ISNUMBER($S148),$S148="DNA"),$S148,IF(OR(ISNUMBER($P148),$P148="DNA"),$P148,IF(OR(ISNUMBER($O148),$O148="DNA"),$O148,IF(OR(ISNUMBER($N148),$N148="DNA"),$N148,""))))))))))="DNA","Rebook DNA",IF(ISNUMBER(IF(OR(ISNUMBER($Y148),$Y148="DNA"),$Y148,IF(OR(ISNUMBER($X148),$X148="DNA"),$X148,IF(OR(ISNUMBER($W148),$W148="DNA"),$W148,IF(OR(ISNUMBER($V148),$V148="DNA"),$V148,IF(OR(ISNUMBER($U148),$U148="DNA"),$U148,IF(OR(ISNUMBER($T148),$T148="DNA"),$T148,IF(OR(ISNUMBER($S148),$S148="DNA"),$S148,IF(OR(ISNUMBER($P148),$P148="DNA"),$P148,IF(OR(ISNUMBER($O148),$O148="DNA"),$O148,IF(OR(ISNUMBER($N148),$N148="DNA"),$N148,""))))))))))),IF(ISNUMBER($Y148),"Update status","Missed/not booked?"),""))))</f>
        <v/>
      </c>
      <c r="M148" s="29">
        <f>IF(NOT(AND($A148&lt;&gt;"",OR($I148="",$I148="Active"))),"",IF(MIN(IF(AND(ISNUMBER($N148),$N148&gt;=TODAY()),$N148,99999),IF(AND(ISNUMBER($O148),$O148&gt;=TODAY()),$O148,99999),IF(AND(ISNUMBER($P148),$P148&gt;=TODAY()),$P148,99999),IF(AND(ISNUMBER($S148),$S148&gt;=TODAY()),$S148,99999),IF(AND(ISNUMBER($T148),$T148&gt;=TODAY()),$T148,99999),IF(AND(ISNUMBER($U148),$U148&gt;=TODAY()),$U148,99999),IF(AND(ISNUMBER($V148),$V148&gt;=TODAY()),$V148,99999),IF(AND(ISNUMBER($W148),$W148&gt;=TODAY()),$W148,99999),IF(AND(ISNUMBER($X148),$X148&gt;=TODAY()),$X148,99999),IF(AND(ISNUMBER($Y148),$Y148&gt;=TODAY()),$Y148,99999))=99999,"",MIN(IF(AND(ISNUMBER($N148),$N148&gt;=TODAY()),$N148,99999),IF(AND(ISNUMBER($O148),$O148&gt;=TODAY()),$O148,99999),IF(AND(ISNUMBER($P148),$P148&gt;=TODAY()),$P148,99999),IF(AND(ISNUMBER($S148),$S148&gt;=TODAY()),$S148,99999),IF(AND(ISNUMBER($T148),$T148&gt;=TODAY()),$T148,99999),IF(AND(ISNUMBER($U148),$U148&gt;=TODAY()),$U148,99999),IF(AND(ISNUMBER($V148),$V148&gt;=TODAY()),$V148,99999),IF(AND(ISNUMBER($W148),$W148&gt;=TODAY()),$W148,99999),IF(AND(ISNUMBER($X148),$X148&gt;=TODAY()),$X148,99999),IF(AND(ISNUMBER($Y148),$Y148&gt;=TODAY()),$Y148,99999))))</f>
        <v/>
      </c>
      <c r="N148" s="27" t="n"/>
      <c r="O148" s="27" t="n"/>
      <c r="P148" s="27" t="n"/>
      <c r="Q148" s="27" t="n"/>
      <c r="R148" s="27" t="n"/>
      <c r="S148" s="27" t="n"/>
      <c r="T148" s="27" t="n"/>
      <c r="U148" s="27" t="n"/>
      <c r="V148" s="27" t="n"/>
      <c r="W148" s="27" t="n"/>
      <c r="X148" s="27" t="n"/>
      <c r="Y148" s="27" t="n"/>
      <c r="Z148" s="27" t="n"/>
      <c r="AA148" s="27" t="n"/>
      <c r="AB148" s="27" t="n"/>
      <c r="AC148" s="30" t="n"/>
      <c r="AD148" s="25" t="n"/>
      <c r="AE148" s="28">
        <f>IF(NOT(AND($A148&lt;&gt;"",OR($I148="",$I148="Active"))),"",IF(OR(IF(OR(ISNUMBER($Y148),$Y148="DNA"),$Y148,IF(OR(ISNUMBER($X148),$X148="DNA"),$X148,IF(OR(ISNUMBER($W148),$W148="DNA"),$W148,IF(OR(ISNUMBER($V148),$V148="DNA"),$V148,IF(OR(ISNUMBER($U148),$U148="DNA"),$U148,IF(OR(ISNUMBER($T148),$T148="DNA"),$T148,IF(OR(ISNUMBER($S148),$S148="DNA"),$S148,IF(OR(ISNUMBER($P148),$P148="DNA"),$P148,IF(OR(ISNUMBER($O148),$O148="DNA"),$O148,IF(OR(ISNUMBER($N148),$N148="DNA"),$N148,""))))))))))="DNA",AND(ISNUMBER(IF(OR(ISNUMBER($Y148),$Y148="DNA"),$Y148,IF(OR(ISNUMBER($X148),$X148="DNA"),$X148,IF(OR(ISNUMBER($W148),$W148="DNA"),$W148,IF(OR(ISNUMBER($V148),$V148="DNA"),$V148,IF(OR(ISNUMBER($U148),$U148="DNA"),$U148,IF(OR(ISNUMBER($T148),$T148="DNA"),$T148,IF(OR(ISNUMBER($S148),$S148="DNA"),$S148,IF(OR(ISNUMBER($P148),$P148="DNA"),$P148,IF(OR(ISNUMBER($O148),$O148="DNA"),$O148,IF(OR(ISNUMBER($N148),$N148="DNA"),$N148,""))))))))))),IF(OR(ISNUMBER($Y148),$Y148="DNA"),$Y148,IF(OR(ISNUMBER($X148),$X148="DNA"),$X148,IF(OR(ISNUMBER($W148),$W148="DNA"),$W148,IF(OR(ISNUMBER($V148),$V148="DNA"),$V148,IF(OR(ISNUMBER($U148),$U148="DNA"),$U148,IF(OR(ISNUMBER($T148),$T148="DNA"),$T148,IF(OR(ISNUMBER($S148),$S148="DNA"),$S148,IF(OR(ISNUMBER($P148),$P148="DNA"),$P148,IF(OR(ISNUMBER($O148),$O148="DNA"),$O148,IF(OR(ISNUMBER($N148),$N148="DNA"),$N148,""))))))))))&lt;TODAY())),1,0)+ISNUMBER($Q148)*($Q148&lt;TODAY())+ISNUMBER($R148)*($R148&lt;TODAY())+ISNUMBER($AA148)*($AA148&lt;TODAY())+ISNUMBER($AB148)*($AB148&lt;TODAY()))</f>
        <v/>
      </c>
    </row>
    <row r="149">
      <c r="A149" s="25" t="n"/>
      <c r="B149" s="26" t="n"/>
      <c r="C149" s="27" t="n"/>
      <c r="D149" s="25" t="n"/>
      <c r="E149" s="25" t="n"/>
      <c r="F149" s="25" t="n"/>
      <c r="G149" s="25" t="n"/>
      <c r="H149" s="27" t="n"/>
      <c r="I149" s="25" t="n"/>
      <c r="J149" s="28">
        <f>IF(OR(NOT(AND($A149&lt;&gt;"",OR($I149="",$I149="Active"))),$H149=""),"",INT((TODAY()-$H149+280)/7)&amp;"+"&amp;MOD(TODAY()-$H149+280,7))</f>
        <v/>
      </c>
      <c r="K149" s="28">
        <f>IF(NOT(AND($A149&lt;&gt;"",OR($I149="",$I149="Active"))),"",ISNUMBER($N149)*($N149&gt;=TODAY())*($N149&lt;=TODAY()+7)+ISNUMBER($O149)*($O149&gt;=TODAY())*($O149&lt;=TODAY()+7)+ISNUMBER($P149)*($P149&gt;=TODAY())*($P149&lt;=TODAY()+7)+ISNUMBER($S149)*($S149&gt;=TODAY())*($S149&lt;=TODAY()+7)+ISNUMBER($T149)*($T149&gt;=TODAY())*($T149&lt;=TODAY()+7)+ISNUMBER($U149)*($U149&gt;=TODAY())*($U149&lt;=TODAY()+7)+ISNUMBER($V149)*($V149&gt;=TODAY())*($V149&lt;=TODAY()+7)+ISNUMBER($W149)*($W149&gt;=TODAY())*($W149&lt;=TODAY()+7)+ISNUMBER($X149)*($X149&gt;=TODAY())*($X149&lt;=TODAY()+7)+ISNUMBER($Y149)*($Y149&gt;=TODAY())*($Y149&lt;=TODAY()+7)+ISNUMBER($Q149)*($Q149&gt;=TODAY())*($Q149&lt;=TODAY()+7)+ISNUMBER($R149)*($R149&gt;=TODAY())*($R149&lt;=TODAY()+7)+ISNUMBER($AA149)*($AA149&gt;=TODAY())*($AA149&lt;=TODAY()+7)+ISNUMBER($AB149)*($AB149&gt;=TODAY())*($AB149&lt;=TODAY()+7))</f>
        <v/>
      </c>
      <c r="L149" s="28">
        <f>IF(NOT(AND($A149&lt;&gt;"",OR($I149="",$I149="Active"))),"",IF($M149&lt;&gt;"",IF($N149=$M149,"Booking",IF($O149=$M149,"16/40",IF($P149=$M149,"25/40",IF($S149=$M149,"28/40",IF($T149=$M149,"31/40",IF($U149=$M149,"34/40",IF($V149=$M149,"36/40",IF($W149=$M149,"38/40",IF($X149=$M149,"40/40",IF($Y149=$M149,"41/40","")))))))))),IF(IF(OR(ISNUMBER($Y149),$Y149="DNA"),$Y149,IF(OR(ISNUMBER($X149),$X149="DNA"),$X149,IF(OR(ISNUMBER($W149),$W149="DNA"),$W149,IF(OR(ISNUMBER($V149),$V149="DNA"),$V149,IF(OR(ISNUMBER($U149),$U149="DNA"),$U149,IF(OR(ISNUMBER($T149),$T149="DNA"),$T149,IF(OR(ISNUMBER($S149),$S149="DNA"),$S149,IF(OR(ISNUMBER($P149),$P149="DNA"),$P149,IF(OR(ISNUMBER($O149),$O149="DNA"),$O149,IF(OR(ISNUMBER($N149),$N149="DNA"),$N149,""))))))))))="DNA","Rebook DNA",IF(ISNUMBER(IF(OR(ISNUMBER($Y149),$Y149="DNA"),$Y149,IF(OR(ISNUMBER($X149),$X149="DNA"),$X149,IF(OR(ISNUMBER($W149),$W149="DNA"),$W149,IF(OR(ISNUMBER($V149),$V149="DNA"),$V149,IF(OR(ISNUMBER($U149),$U149="DNA"),$U149,IF(OR(ISNUMBER($T149),$T149="DNA"),$T149,IF(OR(ISNUMBER($S149),$S149="DNA"),$S149,IF(OR(ISNUMBER($P149),$P149="DNA"),$P149,IF(OR(ISNUMBER($O149),$O149="DNA"),$O149,IF(OR(ISNUMBER($N149),$N149="DNA"),$N149,""))))))))))),IF(ISNUMBER($Y149),"Update status","Missed/not booked?"),""))))</f>
        <v/>
      </c>
      <c r="M149" s="29">
        <f>IF(NOT(AND($A149&lt;&gt;"",OR($I149="",$I149="Active"))),"",IF(MIN(IF(AND(ISNUMBER($N149),$N149&gt;=TODAY()),$N149,99999),IF(AND(ISNUMBER($O149),$O149&gt;=TODAY()),$O149,99999),IF(AND(ISNUMBER($P149),$P149&gt;=TODAY()),$P149,99999),IF(AND(ISNUMBER($S149),$S149&gt;=TODAY()),$S149,99999),IF(AND(ISNUMBER($T149),$T149&gt;=TODAY()),$T149,99999),IF(AND(ISNUMBER($U149),$U149&gt;=TODAY()),$U149,99999),IF(AND(ISNUMBER($V149),$V149&gt;=TODAY()),$V149,99999),IF(AND(ISNUMBER($W149),$W149&gt;=TODAY()),$W149,99999),IF(AND(ISNUMBER($X149),$X149&gt;=TODAY()),$X149,99999),IF(AND(ISNUMBER($Y149),$Y149&gt;=TODAY()),$Y149,99999))=99999,"",MIN(IF(AND(ISNUMBER($N149),$N149&gt;=TODAY()),$N149,99999),IF(AND(ISNUMBER($O149),$O149&gt;=TODAY()),$O149,99999),IF(AND(ISNUMBER($P149),$P149&gt;=TODAY()),$P149,99999),IF(AND(ISNUMBER($S149),$S149&gt;=TODAY()),$S149,99999),IF(AND(ISNUMBER($T149),$T149&gt;=TODAY()),$T149,99999),IF(AND(ISNUMBER($U149),$U149&gt;=TODAY()),$U149,99999),IF(AND(ISNUMBER($V149),$V149&gt;=TODAY()),$V149,99999),IF(AND(ISNUMBER($W149),$W149&gt;=TODAY()),$W149,99999),IF(AND(ISNUMBER($X149),$X149&gt;=TODAY()),$X149,99999),IF(AND(ISNUMBER($Y149),$Y149&gt;=TODAY()),$Y149,99999))))</f>
        <v/>
      </c>
      <c r="N149" s="27" t="n"/>
      <c r="O149" s="27" t="n"/>
      <c r="P149" s="27" t="n"/>
      <c r="Q149" s="27" t="n"/>
      <c r="R149" s="27" t="n"/>
      <c r="S149" s="27" t="n"/>
      <c r="T149" s="27" t="n"/>
      <c r="U149" s="27" t="n"/>
      <c r="V149" s="27" t="n"/>
      <c r="W149" s="27" t="n"/>
      <c r="X149" s="27" t="n"/>
      <c r="Y149" s="27" t="n"/>
      <c r="Z149" s="27" t="n"/>
      <c r="AA149" s="27" t="n"/>
      <c r="AB149" s="27" t="n"/>
      <c r="AC149" s="30" t="n"/>
      <c r="AD149" s="25" t="n"/>
      <c r="AE149" s="28">
        <f>IF(NOT(AND($A149&lt;&gt;"",OR($I149="",$I149="Active"))),"",IF(OR(IF(OR(ISNUMBER($Y149),$Y149="DNA"),$Y149,IF(OR(ISNUMBER($X149),$X149="DNA"),$X149,IF(OR(ISNUMBER($W149),$W149="DNA"),$W149,IF(OR(ISNUMBER($V149),$V149="DNA"),$V149,IF(OR(ISNUMBER($U149),$U149="DNA"),$U149,IF(OR(ISNUMBER($T149),$T149="DNA"),$T149,IF(OR(ISNUMBER($S149),$S149="DNA"),$S149,IF(OR(ISNUMBER($P149),$P149="DNA"),$P149,IF(OR(ISNUMBER($O149),$O149="DNA"),$O149,IF(OR(ISNUMBER($N149),$N149="DNA"),$N149,""))))))))))="DNA",AND(ISNUMBER(IF(OR(ISNUMBER($Y149),$Y149="DNA"),$Y149,IF(OR(ISNUMBER($X149),$X149="DNA"),$X149,IF(OR(ISNUMBER($W149),$W149="DNA"),$W149,IF(OR(ISNUMBER($V149),$V149="DNA"),$V149,IF(OR(ISNUMBER($U149),$U149="DNA"),$U149,IF(OR(ISNUMBER($T149),$T149="DNA"),$T149,IF(OR(ISNUMBER($S149),$S149="DNA"),$S149,IF(OR(ISNUMBER($P149),$P149="DNA"),$P149,IF(OR(ISNUMBER($O149),$O149="DNA"),$O149,IF(OR(ISNUMBER($N149),$N149="DNA"),$N149,""))))))))))),IF(OR(ISNUMBER($Y149),$Y149="DNA"),$Y149,IF(OR(ISNUMBER($X149),$X149="DNA"),$X149,IF(OR(ISNUMBER($W149),$W149="DNA"),$W149,IF(OR(ISNUMBER($V149),$V149="DNA"),$V149,IF(OR(ISNUMBER($U149),$U149="DNA"),$U149,IF(OR(ISNUMBER($T149),$T149="DNA"),$T149,IF(OR(ISNUMBER($S149),$S149="DNA"),$S149,IF(OR(ISNUMBER($P149),$P149="DNA"),$P149,IF(OR(ISNUMBER($O149),$O149="DNA"),$O149,IF(OR(ISNUMBER($N149),$N149="DNA"),$N149,""))))))))))&lt;TODAY())),1,0)+ISNUMBER($Q149)*($Q149&lt;TODAY())+ISNUMBER($R149)*($R149&lt;TODAY())+ISNUMBER($AA149)*($AA149&lt;TODAY())+ISNUMBER($AB149)*($AB149&lt;TODAY()))</f>
        <v/>
      </c>
    </row>
    <row r="150">
      <c r="A150" s="25" t="n"/>
      <c r="B150" s="26" t="n"/>
      <c r="C150" s="27" t="n"/>
      <c r="D150" s="25" t="n"/>
      <c r="E150" s="25" t="n"/>
      <c r="F150" s="25" t="n"/>
      <c r="G150" s="25" t="n"/>
      <c r="H150" s="27" t="n"/>
      <c r="I150" s="25" t="n"/>
      <c r="J150" s="28">
        <f>IF(OR(NOT(AND($A150&lt;&gt;"",OR($I150="",$I150="Active"))),$H150=""),"",INT((TODAY()-$H150+280)/7)&amp;"+"&amp;MOD(TODAY()-$H150+280,7))</f>
        <v/>
      </c>
      <c r="K150" s="28">
        <f>IF(NOT(AND($A150&lt;&gt;"",OR($I150="",$I150="Active"))),"",ISNUMBER($N150)*($N150&gt;=TODAY())*($N150&lt;=TODAY()+7)+ISNUMBER($O150)*($O150&gt;=TODAY())*($O150&lt;=TODAY()+7)+ISNUMBER($P150)*($P150&gt;=TODAY())*($P150&lt;=TODAY()+7)+ISNUMBER($S150)*($S150&gt;=TODAY())*($S150&lt;=TODAY()+7)+ISNUMBER($T150)*($T150&gt;=TODAY())*($T150&lt;=TODAY()+7)+ISNUMBER($U150)*($U150&gt;=TODAY())*($U150&lt;=TODAY()+7)+ISNUMBER($V150)*($V150&gt;=TODAY())*($V150&lt;=TODAY()+7)+ISNUMBER($W150)*($W150&gt;=TODAY())*($W150&lt;=TODAY()+7)+ISNUMBER($X150)*($X150&gt;=TODAY())*($X150&lt;=TODAY()+7)+ISNUMBER($Y150)*($Y150&gt;=TODAY())*($Y150&lt;=TODAY()+7)+ISNUMBER($Q150)*($Q150&gt;=TODAY())*($Q150&lt;=TODAY()+7)+ISNUMBER($R150)*($R150&gt;=TODAY())*($R150&lt;=TODAY()+7)+ISNUMBER($AA150)*($AA150&gt;=TODAY())*($AA150&lt;=TODAY()+7)+ISNUMBER($AB150)*($AB150&gt;=TODAY())*($AB150&lt;=TODAY()+7))</f>
        <v/>
      </c>
      <c r="L150" s="28">
        <f>IF(NOT(AND($A150&lt;&gt;"",OR($I150="",$I150="Active"))),"",IF($M150&lt;&gt;"",IF($N150=$M150,"Booking",IF($O150=$M150,"16/40",IF($P150=$M150,"25/40",IF($S150=$M150,"28/40",IF($T150=$M150,"31/40",IF($U150=$M150,"34/40",IF($V150=$M150,"36/40",IF($W150=$M150,"38/40",IF($X150=$M150,"40/40",IF($Y150=$M150,"41/40","")))))))))),IF(IF(OR(ISNUMBER($Y150),$Y150="DNA"),$Y150,IF(OR(ISNUMBER($X150),$X150="DNA"),$X150,IF(OR(ISNUMBER($W150),$W150="DNA"),$W150,IF(OR(ISNUMBER($V150),$V150="DNA"),$V150,IF(OR(ISNUMBER($U150),$U150="DNA"),$U150,IF(OR(ISNUMBER($T150),$T150="DNA"),$T150,IF(OR(ISNUMBER($S150),$S150="DNA"),$S150,IF(OR(ISNUMBER($P150),$P150="DNA"),$P150,IF(OR(ISNUMBER($O150),$O150="DNA"),$O150,IF(OR(ISNUMBER($N150),$N150="DNA"),$N150,""))))))))))="DNA","Rebook DNA",IF(ISNUMBER(IF(OR(ISNUMBER($Y150),$Y150="DNA"),$Y150,IF(OR(ISNUMBER($X150),$X150="DNA"),$X150,IF(OR(ISNUMBER($W150),$W150="DNA"),$W150,IF(OR(ISNUMBER($V150),$V150="DNA"),$V150,IF(OR(ISNUMBER($U150),$U150="DNA"),$U150,IF(OR(ISNUMBER($T150),$T150="DNA"),$T150,IF(OR(ISNUMBER($S150),$S150="DNA"),$S150,IF(OR(ISNUMBER($P150),$P150="DNA"),$P150,IF(OR(ISNUMBER($O150),$O150="DNA"),$O150,IF(OR(ISNUMBER($N150),$N150="DNA"),$N150,""))))))))))),IF(ISNUMBER($Y150),"Update status","Missed/not booked?"),""))))</f>
        <v/>
      </c>
      <c r="M150" s="29">
        <f>IF(NOT(AND($A150&lt;&gt;"",OR($I150="",$I150="Active"))),"",IF(MIN(IF(AND(ISNUMBER($N150),$N150&gt;=TODAY()),$N150,99999),IF(AND(ISNUMBER($O150),$O150&gt;=TODAY()),$O150,99999),IF(AND(ISNUMBER($P150),$P150&gt;=TODAY()),$P150,99999),IF(AND(ISNUMBER($S150),$S150&gt;=TODAY()),$S150,99999),IF(AND(ISNUMBER($T150),$T150&gt;=TODAY()),$T150,99999),IF(AND(ISNUMBER($U150),$U150&gt;=TODAY()),$U150,99999),IF(AND(ISNUMBER($V150),$V150&gt;=TODAY()),$V150,99999),IF(AND(ISNUMBER($W150),$W150&gt;=TODAY()),$W150,99999),IF(AND(ISNUMBER($X150),$X150&gt;=TODAY()),$X150,99999),IF(AND(ISNUMBER($Y150),$Y150&gt;=TODAY()),$Y150,99999))=99999,"",MIN(IF(AND(ISNUMBER($N150),$N150&gt;=TODAY()),$N150,99999),IF(AND(ISNUMBER($O150),$O150&gt;=TODAY()),$O150,99999),IF(AND(ISNUMBER($P150),$P150&gt;=TODAY()),$P150,99999),IF(AND(ISNUMBER($S150),$S150&gt;=TODAY()),$S150,99999),IF(AND(ISNUMBER($T150),$T150&gt;=TODAY()),$T150,99999),IF(AND(ISNUMBER($U150),$U150&gt;=TODAY()),$U150,99999),IF(AND(ISNUMBER($V150),$V150&gt;=TODAY()),$V150,99999),IF(AND(ISNUMBER($W150),$W150&gt;=TODAY()),$W150,99999),IF(AND(ISNUMBER($X150),$X150&gt;=TODAY()),$X150,99999),IF(AND(ISNUMBER($Y150),$Y150&gt;=TODAY()),$Y150,99999))))</f>
        <v/>
      </c>
      <c r="N150" s="27" t="n"/>
      <c r="O150" s="27" t="n"/>
      <c r="P150" s="27" t="n"/>
      <c r="Q150" s="27" t="n"/>
      <c r="R150" s="27" t="n"/>
      <c r="S150" s="27" t="n"/>
      <c r="T150" s="27" t="n"/>
      <c r="U150" s="27" t="n"/>
      <c r="V150" s="27" t="n"/>
      <c r="W150" s="27" t="n"/>
      <c r="X150" s="27" t="n"/>
      <c r="Y150" s="27" t="n"/>
      <c r="Z150" s="27" t="n"/>
      <c r="AA150" s="27" t="n"/>
      <c r="AB150" s="27" t="n"/>
      <c r="AC150" s="30" t="n"/>
      <c r="AD150" s="25" t="n"/>
      <c r="AE150" s="28">
        <f>IF(NOT(AND($A150&lt;&gt;"",OR($I150="",$I150="Active"))),"",IF(OR(IF(OR(ISNUMBER($Y150),$Y150="DNA"),$Y150,IF(OR(ISNUMBER($X150),$X150="DNA"),$X150,IF(OR(ISNUMBER($W150),$W150="DNA"),$W150,IF(OR(ISNUMBER($V150),$V150="DNA"),$V150,IF(OR(ISNUMBER($U150),$U150="DNA"),$U150,IF(OR(ISNUMBER($T150),$T150="DNA"),$T150,IF(OR(ISNUMBER($S150),$S150="DNA"),$S150,IF(OR(ISNUMBER($P150),$P150="DNA"),$P150,IF(OR(ISNUMBER($O150),$O150="DNA"),$O150,IF(OR(ISNUMBER($N150),$N150="DNA"),$N150,""))))))))))="DNA",AND(ISNUMBER(IF(OR(ISNUMBER($Y150),$Y150="DNA"),$Y150,IF(OR(ISNUMBER($X150),$X150="DNA"),$X150,IF(OR(ISNUMBER($W150),$W150="DNA"),$W150,IF(OR(ISNUMBER($V150),$V150="DNA"),$V150,IF(OR(ISNUMBER($U150),$U150="DNA"),$U150,IF(OR(ISNUMBER($T150),$T150="DNA"),$T150,IF(OR(ISNUMBER($S150),$S150="DNA"),$S150,IF(OR(ISNUMBER($P150),$P150="DNA"),$P150,IF(OR(ISNUMBER($O150),$O150="DNA"),$O150,IF(OR(ISNUMBER($N150),$N150="DNA"),$N150,""))))))))))),IF(OR(ISNUMBER($Y150),$Y150="DNA"),$Y150,IF(OR(ISNUMBER($X150),$X150="DNA"),$X150,IF(OR(ISNUMBER($W150),$W150="DNA"),$W150,IF(OR(ISNUMBER($V150),$V150="DNA"),$V150,IF(OR(ISNUMBER($U150),$U150="DNA"),$U150,IF(OR(ISNUMBER($T150),$T150="DNA"),$T150,IF(OR(ISNUMBER($S150),$S150="DNA"),$S150,IF(OR(ISNUMBER($P150),$P150="DNA"),$P150,IF(OR(ISNUMBER($O150),$O150="DNA"),$O150,IF(OR(ISNUMBER($N150),$N150="DNA"),$N150,""))))))))))&lt;TODAY())),1,0)+ISNUMBER($Q150)*($Q150&lt;TODAY())+ISNUMBER($R150)*($R150&lt;TODAY())+ISNUMBER($AA150)*($AA150&lt;TODAY())+ISNUMBER($AB150)*($AB150&lt;TODAY()))</f>
        <v/>
      </c>
    </row>
    <row r="151">
      <c r="A151" s="25" t="n"/>
      <c r="B151" s="26" t="n"/>
      <c r="C151" s="27" t="n"/>
      <c r="D151" s="25" t="n"/>
      <c r="E151" s="25" t="n"/>
      <c r="F151" s="25" t="n"/>
      <c r="G151" s="25" t="n"/>
      <c r="H151" s="27" t="n"/>
      <c r="I151" s="25" t="n"/>
      <c r="J151" s="28">
        <f>IF(OR(NOT(AND($A151&lt;&gt;"",OR($I151="",$I151="Active"))),$H151=""),"",INT((TODAY()-$H151+280)/7)&amp;"+"&amp;MOD(TODAY()-$H151+280,7))</f>
        <v/>
      </c>
      <c r="K151" s="28">
        <f>IF(NOT(AND($A151&lt;&gt;"",OR($I151="",$I151="Active"))),"",ISNUMBER($N151)*($N151&gt;=TODAY())*($N151&lt;=TODAY()+7)+ISNUMBER($O151)*($O151&gt;=TODAY())*($O151&lt;=TODAY()+7)+ISNUMBER($P151)*($P151&gt;=TODAY())*($P151&lt;=TODAY()+7)+ISNUMBER($S151)*($S151&gt;=TODAY())*($S151&lt;=TODAY()+7)+ISNUMBER($T151)*($T151&gt;=TODAY())*($T151&lt;=TODAY()+7)+ISNUMBER($U151)*($U151&gt;=TODAY())*($U151&lt;=TODAY()+7)+ISNUMBER($V151)*($V151&gt;=TODAY())*($V151&lt;=TODAY()+7)+ISNUMBER($W151)*($W151&gt;=TODAY())*($W151&lt;=TODAY()+7)+ISNUMBER($X151)*($X151&gt;=TODAY())*($X151&lt;=TODAY()+7)+ISNUMBER($Y151)*($Y151&gt;=TODAY())*($Y151&lt;=TODAY()+7)+ISNUMBER($Q151)*($Q151&gt;=TODAY())*($Q151&lt;=TODAY()+7)+ISNUMBER($R151)*($R151&gt;=TODAY())*($R151&lt;=TODAY()+7)+ISNUMBER($AA151)*($AA151&gt;=TODAY())*($AA151&lt;=TODAY()+7)+ISNUMBER($AB151)*($AB151&gt;=TODAY())*($AB151&lt;=TODAY()+7))</f>
        <v/>
      </c>
      <c r="L151" s="28">
        <f>IF(NOT(AND($A151&lt;&gt;"",OR($I151="",$I151="Active"))),"",IF($M151&lt;&gt;"",IF($N151=$M151,"Booking",IF($O151=$M151,"16/40",IF($P151=$M151,"25/40",IF($S151=$M151,"28/40",IF($T151=$M151,"31/40",IF($U151=$M151,"34/40",IF($V151=$M151,"36/40",IF($W151=$M151,"38/40",IF($X151=$M151,"40/40",IF($Y151=$M151,"41/40","")))))))))),IF(IF(OR(ISNUMBER($Y151),$Y151="DNA"),$Y151,IF(OR(ISNUMBER($X151),$X151="DNA"),$X151,IF(OR(ISNUMBER($W151),$W151="DNA"),$W151,IF(OR(ISNUMBER($V151),$V151="DNA"),$V151,IF(OR(ISNUMBER($U151),$U151="DNA"),$U151,IF(OR(ISNUMBER($T151),$T151="DNA"),$T151,IF(OR(ISNUMBER($S151),$S151="DNA"),$S151,IF(OR(ISNUMBER($P151),$P151="DNA"),$P151,IF(OR(ISNUMBER($O151),$O151="DNA"),$O151,IF(OR(ISNUMBER($N151),$N151="DNA"),$N151,""))))))))))="DNA","Rebook DNA",IF(ISNUMBER(IF(OR(ISNUMBER($Y151),$Y151="DNA"),$Y151,IF(OR(ISNUMBER($X151),$X151="DNA"),$X151,IF(OR(ISNUMBER($W151),$W151="DNA"),$W151,IF(OR(ISNUMBER($V151),$V151="DNA"),$V151,IF(OR(ISNUMBER($U151),$U151="DNA"),$U151,IF(OR(ISNUMBER($T151),$T151="DNA"),$T151,IF(OR(ISNUMBER($S151),$S151="DNA"),$S151,IF(OR(ISNUMBER($P151),$P151="DNA"),$P151,IF(OR(ISNUMBER($O151),$O151="DNA"),$O151,IF(OR(ISNUMBER($N151),$N151="DNA"),$N151,""))))))))))),IF(ISNUMBER($Y151),"Update status","Missed/not booked?"),""))))</f>
        <v/>
      </c>
      <c r="M151" s="29">
        <f>IF(NOT(AND($A151&lt;&gt;"",OR($I151="",$I151="Active"))),"",IF(MIN(IF(AND(ISNUMBER($N151),$N151&gt;=TODAY()),$N151,99999),IF(AND(ISNUMBER($O151),$O151&gt;=TODAY()),$O151,99999),IF(AND(ISNUMBER($P151),$P151&gt;=TODAY()),$P151,99999),IF(AND(ISNUMBER($S151),$S151&gt;=TODAY()),$S151,99999),IF(AND(ISNUMBER($T151),$T151&gt;=TODAY()),$T151,99999),IF(AND(ISNUMBER($U151),$U151&gt;=TODAY()),$U151,99999),IF(AND(ISNUMBER($V151),$V151&gt;=TODAY()),$V151,99999),IF(AND(ISNUMBER($W151),$W151&gt;=TODAY()),$W151,99999),IF(AND(ISNUMBER($X151),$X151&gt;=TODAY()),$X151,99999),IF(AND(ISNUMBER($Y151),$Y151&gt;=TODAY()),$Y151,99999))=99999,"",MIN(IF(AND(ISNUMBER($N151),$N151&gt;=TODAY()),$N151,99999),IF(AND(ISNUMBER($O151),$O151&gt;=TODAY()),$O151,99999),IF(AND(ISNUMBER($P151),$P151&gt;=TODAY()),$P151,99999),IF(AND(ISNUMBER($S151),$S151&gt;=TODAY()),$S151,99999),IF(AND(ISNUMBER($T151),$T151&gt;=TODAY()),$T151,99999),IF(AND(ISNUMBER($U151),$U151&gt;=TODAY()),$U151,99999),IF(AND(ISNUMBER($V151),$V151&gt;=TODAY()),$V151,99999),IF(AND(ISNUMBER($W151),$W151&gt;=TODAY()),$W151,99999),IF(AND(ISNUMBER($X151),$X151&gt;=TODAY()),$X151,99999),IF(AND(ISNUMBER($Y151),$Y151&gt;=TODAY()),$Y151,99999))))</f>
        <v/>
      </c>
      <c r="N151" s="27" t="n"/>
      <c r="O151" s="27" t="n"/>
      <c r="P151" s="27" t="n"/>
      <c r="Q151" s="27" t="n"/>
      <c r="R151" s="27" t="n"/>
      <c r="S151" s="27" t="n"/>
      <c r="T151" s="27" t="n"/>
      <c r="U151" s="27" t="n"/>
      <c r="V151" s="27" t="n"/>
      <c r="W151" s="27" t="n"/>
      <c r="X151" s="27" t="n"/>
      <c r="Y151" s="27" t="n"/>
      <c r="Z151" s="27" t="n"/>
      <c r="AA151" s="27" t="n"/>
      <c r="AB151" s="27" t="n"/>
      <c r="AC151" s="30" t="n"/>
      <c r="AD151" s="25" t="n"/>
      <c r="AE151" s="28">
        <f>IF(NOT(AND($A151&lt;&gt;"",OR($I151="",$I151="Active"))),"",IF(OR(IF(OR(ISNUMBER($Y151),$Y151="DNA"),$Y151,IF(OR(ISNUMBER($X151),$X151="DNA"),$X151,IF(OR(ISNUMBER($W151),$W151="DNA"),$W151,IF(OR(ISNUMBER($V151),$V151="DNA"),$V151,IF(OR(ISNUMBER($U151),$U151="DNA"),$U151,IF(OR(ISNUMBER($T151),$T151="DNA"),$T151,IF(OR(ISNUMBER($S151),$S151="DNA"),$S151,IF(OR(ISNUMBER($P151),$P151="DNA"),$P151,IF(OR(ISNUMBER($O151),$O151="DNA"),$O151,IF(OR(ISNUMBER($N151),$N151="DNA"),$N151,""))))))))))="DNA",AND(ISNUMBER(IF(OR(ISNUMBER($Y151),$Y151="DNA"),$Y151,IF(OR(ISNUMBER($X151),$X151="DNA"),$X151,IF(OR(ISNUMBER($W151),$W151="DNA"),$W151,IF(OR(ISNUMBER($V151),$V151="DNA"),$V151,IF(OR(ISNUMBER($U151),$U151="DNA"),$U151,IF(OR(ISNUMBER($T151),$T151="DNA"),$T151,IF(OR(ISNUMBER($S151),$S151="DNA"),$S151,IF(OR(ISNUMBER($P151),$P151="DNA"),$P151,IF(OR(ISNUMBER($O151),$O151="DNA"),$O151,IF(OR(ISNUMBER($N151),$N151="DNA"),$N151,""))))))))))),IF(OR(ISNUMBER($Y151),$Y151="DNA"),$Y151,IF(OR(ISNUMBER($X151),$X151="DNA"),$X151,IF(OR(ISNUMBER($W151),$W151="DNA"),$W151,IF(OR(ISNUMBER($V151),$V151="DNA"),$V151,IF(OR(ISNUMBER($U151),$U151="DNA"),$U151,IF(OR(ISNUMBER($T151),$T151="DNA"),$T151,IF(OR(ISNUMBER($S151),$S151="DNA"),$S151,IF(OR(ISNUMBER($P151),$P151="DNA"),$P151,IF(OR(ISNUMBER($O151),$O151="DNA"),$O151,IF(OR(ISNUMBER($N151),$N151="DNA"),$N151,""))))))))))&lt;TODAY())),1,0)+ISNUMBER($Q151)*($Q151&lt;TODAY())+ISNUMBER($R151)*($R151&lt;TODAY())+ISNUMBER($AA151)*($AA151&lt;TODAY())+ISNUMBER($AB151)*($AB151&lt;TODAY()))</f>
        <v/>
      </c>
    </row>
    <row r="152">
      <c r="A152" s="25" t="n"/>
      <c r="B152" s="26" t="n"/>
      <c r="C152" s="27" t="n"/>
      <c r="D152" s="25" t="n"/>
      <c r="E152" s="25" t="n"/>
      <c r="F152" s="25" t="n"/>
      <c r="G152" s="25" t="n"/>
      <c r="H152" s="27" t="n"/>
      <c r="I152" s="25" t="n"/>
      <c r="J152" s="28">
        <f>IF(OR(NOT(AND($A152&lt;&gt;"",OR($I152="",$I152="Active"))),$H152=""),"",INT((TODAY()-$H152+280)/7)&amp;"+"&amp;MOD(TODAY()-$H152+280,7))</f>
        <v/>
      </c>
      <c r="K152" s="28">
        <f>IF(NOT(AND($A152&lt;&gt;"",OR($I152="",$I152="Active"))),"",ISNUMBER($N152)*($N152&gt;=TODAY())*($N152&lt;=TODAY()+7)+ISNUMBER($O152)*($O152&gt;=TODAY())*($O152&lt;=TODAY()+7)+ISNUMBER($P152)*($P152&gt;=TODAY())*($P152&lt;=TODAY()+7)+ISNUMBER($S152)*($S152&gt;=TODAY())*($S152&lt;=TODAY()+7)+ISNUMBER($T152)*($T152&gt;=TODAY())*($T152&lt;=TODAY()+7)+ISNUMBER($U152)*($U152&gt;=TODAY())*($U152&lt;=TODAY()+7)+ISNUMBER($V152)*($V152&gt;=TODAY())*($V152&lt;=TODAY()+7)+ISNUMBER($W152)*($W152&gt;=TODAY())*($W152&lt;=TODAY()+7)+ISNUMBER($X152)*($X152&gt;=TODAY())*($X152&lt;=TODAY()+7)+ISNUMBER($Y152)*($Y152&gt;=TODAY())*($Y152&lt;=TODAY()+7)+ISNUMBER($Q152)*($Q152&gt;=TODAY())*($Q152&lt;=TODAY()+7)+ISNUMBER($R152)*($R152&gt;=TODAY())*($R152&lt;=TODAY()+7)+ISNUMBER($AA152)*($AA152&gt;=TODAY())*($AA152&lt;=TODAY()+7)+ISNUMBER($AB152)*($AB152&gt;=TODAY())*($AB152&lt;=TODAY()+7))</f>
        <v/>
      </c>
      <c r="L152" s="28">
        <f>IF(NOT(AND($A152&lt;&gt;"",OR($I152="",$I152="Active"))),"",IF($M152&lt;&gt;"",IF($N152=$M152,"Booking",IF($O152=$M152,"16/40",IF($P152=$M152,"25/40",IF($S152=$M152,"28/40",IF($T152=$M152,"31/40",IF($U152=$M152,"34/40",IF($V152=$M152,"36/40",IF($W152=$M152,"38/40",IF($X152=$M152,"40/40",IF($Y152=$M152,"41/40","")))))))))),IF(IF(OR(ISNUMBER($Y152),$Y152="DNA"),$Y152,IF(OR(ISNUMBER($X152),$X152="DNA"),$X152,IF(OR(ISNUMBER($W152),$W152="DNA"),$W152,IF(OR(ISNUMBER($V152),$V152="DNA"),$V152,IF(OR(ISNUMBER($U152),$U152="DNA"),$U152,IF(OR(ISNUMBER($T152),$T152="DNA"),$T152,IF(OR(ISNUMBER($S152),$S152="DNA"),$S152,IF(OR(ISNUMBER($P152),$P152="DNA"),$P152,IF(OR(ISNUMBER($O152),$O152="DNA"),$O152,IF(OR(ISNUMBER($N152),$N152="DNA"),$N152,""))))))))))="DNA","Rebook DNA",IF(ISNUMBER(IF(OR(ISNUMBER($Y152),$Y152="DNA"),$Y152,IF(OR(ISNUMBER($X152),$X152="DNA"),$X152,IF(OR(ISNUMBER($W152),$W152="DNA"),$W152,IF(OR(ISNUMBER($V152),$V152="DNA"),$V152,IF(OR(ISNUMBER($U152),$U152="DNA"),$U152,IF(OR(ISNUMBER($T152),$T152="DNA"),$T152,IF(OR(ISNUMBER($S152),$S152="DNA"),$S152,IF(OR(ISNUMBER($P152),$P152="DNA"),$P152,IF(OR(ISNUMBER($O152),$O152="DNA"),$O152,IF(OR(ISNUMBER($N152),$N152="DNA"),$N152,""))))))))))),IF(ISNUMBER($Y152),"Update status","Missed/not booked?"),""))))</f>
        <v/>
      </c>
      <c r="M152" s="29">
        <f>IF(NOT(AND($A152&lt;&gt;"",OR($I152="",$I152="Active"))),"",IF(MIN(IF(AND(ISNUMBER($N152),$N152&gt;=TODAY()),$N152,99999),IF(AND(ISNUMBER($O152),$O152&gt;=TODAY()),$O152,99999),IF(AND(ISNUMBER($P152),$P152&gt;=TODAY()),$P152,99999),IF(AND(ISNUMBER($S152),$S152&gt;=TODAY()),$S152,99999),IF(AND(ISNUMBER($T152),$T152&gt;=TODAY()),$T152,99999),IF(AND(ISNUMBER($U152),$U152&gt;=TODAY()),$U152,99999),IF(AND(ISNUMBER($V152),$V152&gt;=TODAY()),$V152,99999),IF(AND(ISNUMBER($W152),$W152&gt;=TODAY()),$W152,99999),IF(AND(ISNUMBER($X152),$X152&gt;=TODAY()),$X152,99999),IF(AND(ISNUMBER($Y152),$Y152&gt;=TODAY()),$Y152,99999))=99999,"",MIN(IF(AND(ISNUMBER($N152),$N152&gt;=TODAY()),$N152,99999),IF(AND(ISNUMBER($O152),$O152&gt;=TODAY()),$O152,99999),IF(AND(ISNUMBER($P152),$P152&gt;=TODAY()),$P152,99999),IF(AND(ISNUMBER($S152),$S152&gt;=TODAY()),$S152,99999),IF(AND(ISNUMBER($T152),$T152&gt;=TODAY()),$T152,99999),IF(AND(ISNUMBER($U152),$U152&gt;=TODAY()),$U152,99999),IF(AND(ISNUMBER($V152),$V152&gt;=TODAY()),$V152,99999),IF(AND(ISNUMBER($W152),$W152&gt;=TODAY()),$W152,99999),IF(AND(ISNUMBER($X152),$X152&gt;=TODAY()),$X152,99999),IF(AND(ISNUMBER($Y152),$Y152&gt;=TODAY()),$Y152,99999))))</f>
        <v/>
      </c>
      <c r="N152" s="27" t="n"/>
      <c r="O152" s="27" t="n"/>
      <c r="P152" s="27" t="n"/>
      <c r="Q152" s="27" t="n"/>
      <c r="R152" s="27" t="n"/>
      <c r="S152" s="27" t="n"/>
      <c r="T152" s="27" t="n"/>
      <c r="U152" s="27" t="n"/>
      <c r="V152" s="27" t="n"/>
      <c r="W152" s="27" t="n"/>
      <c r="X152" s="27" t="n"/>
      <c r="Y152" s="27" t="n"/>
      <c r="Z152" s="27" t="n"/>
      <c r="AA152" s="27" t="n"/>
      <c r="AB152" s="27" t="n"/>
      <c r="AC152" s="30" t="n"/>
      <c r="AD152" s="25" t="n"/>
      <c r="AE152" s="28">
        <f>IF(NOT(AND($A152&lt;&gt;"",OR($I152="",$I152="Active"))),"",IF(OR(IF(OR(ISNUMBER($Y152),$Y152="DNA"),$Y152,IF(OR(ISNUMBER($X152),$X152="DNA"),$X152,IF(OR(ISNUMBER($W152),$W152="DNA"),$W152,IF(OR(ISNUMBER($V152),$V152="DNA"),$V152,IF(OR(ISNUMBER($U152),$U152="DNA"),$U152,IF(OR(ISNUMBER($T152),$T152="DNA"),$T152,IF(OR(ISNUMBER($S152),$S152="DNA"),$S152,IF(OR(ISNUMBER($P152),$P152="DNA"),$P152,IF(OR(ISNUMBER($O152),$O152="DNA"),$O152,IF(OR(ISNUMBER($N152),$N152="DNA"),$N152,""))))))))))="DNA",AND(ISNUMBER(IF(OR(ISNUMBER($Y152),$Y152="DNA"),$Y152,IF(OR(ISNUMBER($X152),$X152="DNA"),$X152,IF(OR(ISNUMBER($W152),$W152="DNA"),$W152,IF(OR(ISNUMBER($V152),$V152="DNA"),$V152,IF(OR(ISNUMBER($U152),$U152="DNA"),$U152,IF(OR(ISNUMBER($T152),$T152="DNA"),$T152,IF(OR(ISNUMBER($S152),$S152="DNA"),$S152,IF(OR(ISNUMBER($P152),$P152="DNA"),$P152,IF(OR(ISNUMBER($O152),$O152="DNA"),$O152,IF(OR(ISNUMBER($N152),$N152="DNA"),$N152,""))))))))))),IF(OR(ISNUMBER($Y152),$Y152="DNA"),$Y152,IF(OR(ISNUMBER($X152),$X152="DNA"),$X152,IF(OR(ISNUMBER($W152),$W152="DNA"),$W152,IF(OR(ISNUMBER($V152),$V152="DNA"),$V152,IF(OR(ISNUMBER($U152),$U152="DNA"),$U152,IF(OR(ISNUMBER($T152),$T152="DNA"),$T152,IF(OR(ISNUMBER($S152),$S152="DNA"),$S152,IF(OR(ISNUMBER($P152),$P152="DNA"),$P152,IF(OR(ISNUMBER($O152),$O152="DNA"),$O152,IF(OR(ISNUMBER($N152),$N152="DNA"),$N152,""))))))))))&lt;TODAY())),1,0)+ISNUMBER($Q152)*($Q152&lt;TODAY())+ISNUMBER($R152)*($R152&lt;TODAY())+ISNUMBER($AA152)*($AA152&lt;TODAY())+ISNUMBER($AB152)*($AB152&lt;TODAY()))</f>
        <v/>
      </c>
    </row>
    <row r="153">
      <c r="A153" s="25" t="n"/>
      <c r="B153" s="26" t="n"/>
      <c r="C153" s="27" t="n"/>
      <c r="D153" s="25" t="n"/>
      <c r="E153" s="25" t="n"/>
      <c r="F153" s="25" t="n"/>
      <c r="G153" s="25" t="n"/>
      <c r="H153" s="27" t="n"/>
      <c r="I153" s="25" t="n"/>
      <c r="J153" s="28">
        <f>IF(OR(NOT(AND($A153&lt;&gt;"",OR($I153="",$I153="Active"))),$H153=""),"",INT((TODAY()-$H153+280)/7)&amp;"+"&amp;MOD(TODAY()-$H153+280,7))</f>
        <v/>
      </c>
      <c r="K153" s="28">
        <f>IF(NOT(AND($A153&lt;&gt;"",OR($I153="",$I153="Active"))),"",ISNUMBER($N153)*($N153&gt;=TODAY())*($N153&lt;=TODAY()+7)+ISNUMBER($O153)*($O153&gt;=TODAY())*($O153&lt;=TODAY()+7)+ISNUMBER($P153)*($P153&gt;=TODAY())*($P153&lt;=TODAY()+7)+ISNUMBER($S153)*($S153&gt;=TODAY())*($S153&lt;=TODAY()+7)+ISNUMBER($T153)*($T153&gt;=TODAY())*($T153&lt;=TODAY()+7)+ISNUMBER($U153)*($U153&gt;=TODAY())*($U153&lt;=TODAY()+7)+ISNUMBER($V153)*($V153&gt;=TODAY())*($V153&lt;=TODAY()+7)+ISNUMBER($W153)*($W153&gt;=TODAY())*($W153&lt;=TODAY()+7)+ISNUMBER($X153)*($X153&gt;=TODAY())*($X153&lt;=TODAY()+7)+ISNUMBER($Y153)*($Y153&gt;=TODAY())*($Y153&lt;=TODAY()+7)+ISNUMBER($Q153)*($Q153&gt;=TODAY())*($Q153&lt;=TODAY()+7)+ISNUMBER($R153)*($R153&gt;=TODAY())*($R153&lt;=TODAY()+7)+ISNUMBER($AA153)*($AA153&gt;=TODAY())*($AA153&lt;=TODAY()+7)+ISNUMBER($AB153)*($AB153&gt;=TODAY())*($AB153&lt;=TODAY()+7))</f>
        <v/>
      </c>
      <c r="L153" s="28">
        <f>IF(NOT(AND($A153&lt;&gt;"",OR($I153="",$I153="Active"))),"",IF($M153&lt;&gt;"",IF($N153=$M153,"Booking",IF($O153=$M153,"16/40",IF($P153=$M153,"25/40",IF($S153=$M153,"28/40",IF($T153=$M153,"31/40",IF($U153=$M153,"34/40",IF($V153=$M153,"36/40",IF($W153=$M153,"38/40",IF($X153=$M153,"40/40",IF($Y153=$M153,"41/40","")))))))))),IF(IF(OR(ISNUMBER($Y153),$Y153="DNA"),$Y153,IF(OR(ISNUMBER($X153),$X153="DNA"),$X153,IF(OR(ISNUMBER($W153),$W153="DNA"),$W153,IF(OR(ISNUMBER($V153),$V153="DNA"),$V153,IF(OR(ISNUMBER($U153),$U153="DNA"),$U153,IF(OR(ISNUMBER($T153),$T153="DNA"),$T153,IF(OR(ISNUMBER($S153),$S153="DNA"),$S153,IF(OR(ISNUMBER($P153),$P153="DNA"),$P153,IF(OR(ISNUMBER($O153),$O153="DNA"),$O153,IF(OR(ISNUMBER($N153),$N153="DNA"),$N153,""))))))))))="DNA","Rebook DNA",IF(ISNUMBER(IF(OR(ISNUMBER($Y153),$Y153="DNA"),$Y153,IF(OR(ISNUMBER($X153),$X153="DNA"),$X153,IF(OR(ISNUMBER($W153),$W153="DNA"),$W153,IF(OR(ISNUMBER($V153),$V153="DNA"),$V153,IF(OR(ISNUMBER($U153),$U153="DNA"),$U153,IF(OR(ISNUMBER($T153),$T153="DNA"),$T153,IF(OR(ISNUMBER($S153),$S153="DNA"),$S153,IF(OR(ISNUMBER($P153),$P153="DNA"),$P153,IF(OR(ISNUMBER($O153),$O153="DNA"),$O153,IF(OR(ISNUMBER($N153),$N153="DNA"),$N153,""))))))))))),IF(ISNUMBER($Y153),"Update status","Missed/not booked?"),""))))</f>
        <v/>
      </c>
      <c r="M153" s="29">
        <f>IF(NOT(AND($A153&lt;&gt;"",OR($I153="",$I153="Active"))),"",IF(MIN(IF(AND(ISNUMBER($N153),$N153&gt;=TODAY()),$N153,99999),IF(AND(ISNUMBER($O153),$O153&gt;=TODAY()),$O153,99999),IF(AND(ISNUMBER($P153),$P153&gt;=TODAY()),$P153,99999),IF(AND(ISNUMBER($S153),$S153&gt;=TODAY()),$S153,99999),IF(AND(ISNUMBER($T153),$T153&gt;=TODAY()),$T153,99999),IF(AND(ISNUMBER($U153),$U153&gt;=TODAY()),$U153,99999),IF(AND(ISNUMBER($V153),$V153&gt;=TODAY()),$V153,99999),IF(AND(ISNUMBER($W153),$W153&gt;=TODAY()),$W153,99999),IF(AND(ISNUMBER($X153),$X153&gt;=TODAY()),$X153,99999),IF(AND(ISNUMBER($Y153),$Y153&gt;=TODAY()),$Y153,99999))=99999,"",MIN(IF(AND(ISNUMBER($N153),$N153&gt;=TODAY()),$N153,99999),IF(AND(ISNUMBER($O153),$O153&gt;=TODAY()),$O153,99999),IF(AND(ISNUMBER($P153),$P153&gt;=TODAY()),$P153,99999),IF(AND(ISNUMBER($S153),$S153&gt;=TODAY()),$S153,99999),IF(AND(ISNUMBER($T153),$T153&gt;=TODAY()),$T153,99999),IF(AND(ISNUMBER($U153),$U153&gt;=TODAY()),$U153,99999),IF(AND(ISNUMBER($V153),$V153&gt;=TODAY()),$V153,99999),IF(AND(ISNUMBER($W153),$W153&gt;=TODAY()),$W153,99999),IF(AND(ISNUMBER($X153),$X153&gt;=TODAY()),$X153,99999),IF(AND(ISNUMBER($Y153),$Y153&gt;=TODAY()),$Y153,99999))))</f>
        <v/>
      </c>
      <c r="N153" s="27" t="n"/>
      <c r="O153" s="27" t="n"/>
      <c r="P153" s="27" t="n"/>
      <c r="Q153" s="27" t="n"/>
      <c r="R153" s="27" t="n"/>
      <c r="S153" s="27" t="n"/>
      <c r="T153" s="27" t="n"/>
      <c r="U153" s="27" t="n"/>
      <c r="V153" s="27" t="n"/>
      <c r="W153" s="27" t="n"/>
      <c r="X153" s="27" t="n"/>
      <c r="Y153" s="27" t="n"/>
      <c r="Z153" s="27" t="n"/>
      <c r="AA153" s="27" t="n"/>
      <c r="AB153" s="27" t="n"/>
      <c r="AC153" s="30" t="n"/>
      <c r="AD153" s="25" t="n"/>
      <c r="AE153" s="28">
        <f>IF(NOT(AND($A153&lt;&gt;"",OR($I153="",$I153="Active"))),"",IF(OR(IF(OR(ISNUMBER($Y153),$Y153="DNA"),$Y153,IF(OR(ISNUMBER($X153),$X153="DNA"),$X153,IF(OR(ISNUMBER($W153),$W153="DNA"),$W153,IF(OR(ISNUMBER($V153),$V153="DNA"),$V153,IF(OR(ISNUMBER($U153),$U153="DNA"),$U153,IF(OR(ISNUMBER($T153),$T153="DNA"),$T153,IF(OR(ISNUMBER($S153),$S153="DNA"),$S153,IF(OR(ISNUMBER($P153),$P153="DNA"),$P153,IF(OR(ISNUMBER($O153),$O153="DNA"),$O153,IF(OR(ISNUMBER($N153),$N153="DNA"),$N153,""))))))))))="DNA",AND(ISNUMBER(IF(OR(ISNUMBER($Y153),$Y153="DNA"),$Y153,IF(OR(ISNUMBER($X153),$X153="DNA"),$X153,IF(OR(ISNUMBER($W153),$W153="DNA"),$W153,IF(OR(ISNUMBER($V153),$V153="DNA"),$V153,IF(OR(ISNUMBER($U153),$U153="DNA"),$U153,IF(OR(ISNUMBER($T153),$T153="DNA"),$T153,IF(OR(ISNUMBER($S153),$S153="DNA"),$S153,IF(OR(ISNUMBER($P153),$P153="DNA"),$P153,IF(OR(ISNUMBER($O153),$O153="DNA"),$O153,IF(OR(ISNUMBER($N153),$N153="DNA"),$N153,""))))))))))),IF(OR(ISNUMBER($Y153),$Y153="DNA"),$Y153,IF(OR(ISNUMBER($X153),$X153="DNA"),$X153,IF(OR(ISNUMBER($W153),$W153="DNA"),$W153,IF(OR(ISNUMBER($V153),$V153="DNA"),$V153,IF(OR(ISNUMBER($U153),$U153="DNA"),$U153,IF(OR(ISNUMBER($T153),$T153="DNA"),$T153,IF(OR(ISNUMBER($S153),$S153="DNA"),$S153,IF(OR(ISNUMBER($P153),$P153="DNA"),$P153,IF(OR(ISNUMBER($O153),$O153="DNA"),$O153,IF(OR(ISNUMBER($N153),$N153="DNA"),$N153,""))))))))))&lt;TODAY())),1,0)+ISNUMBER($Q153)*($Q153&lt;TODAY())+ISNUMBER($R153)*($R153&lt;TODAY())+ISNUMBER($AA153)*($AA153&lt;TODAY())+ISNUMBER($AB153)*($AB153&lt;TODAY()))</f>
        <v/>
      </c>
    </row>
    <row r="154">
      <c r="A154" s="25" t="n"/>
      <c r="B154" s="26" t="n"/>
      <c r="C154" s="27" t="n"/>
      <c r="D154" s="25" t="n"/>
      <c r="E154" s="25" t="n"/>
      <c r="F154" s="25" t="n"/>
      <c r="G154" s="25" t="n"/>
      <c r="H154" s="27" t="n"/>
      <c r="I154" s="25" t="n"/>
      <c r="J154" s="28">
        <f>IF(OR(NOT(AND($A154&lt;&gt;"",OR($I154="",$I154="Active"))),$H154=""),"",INT((TODAY()-$H154+280)/7)&amp;"+"&amp;MOD(TODAY()-$H154+280,7))</f>
        <v/>
      </c>
      <c r="K154" s="28">
        <f>IF(NOT(AND($A154&lt;&gt;"",OR($I154="",$I154="Active"))),"",ISNUMBER($N154)*($N154&gt;=TODAY())*($N154&lt;=TODAY()+7)+ISNUMBER($O154)*($O154&gt;=TODAY())*($O154&lt;=TODAY()+7)+ISNUMBER($P154)*($P154&gt;=TODAY())*($P154&lt;=TODAY()+7)+ISNUMBER($S154)*($S154&gt;=TODAY())*($S154&lt;=TODAY()+7)+ISNUMBER($T154)*($T154&gt;=TODAY())*($T154&lt;=TODAY()+7)+ISNUMBER($U154)*($U154&gt;=TODAY())*($U154&lt;=TODAY()+7)+ISNUMBER($V154)*($V154&gt;=TODAY())*($V154&lt;=TODAY()+7)+ISNUMBER($W154)*($W154&gt;=TODAY())*($W154&lt;=TODAY()+7)+ISNUMBER($X154)*($X154&gt;=TODAY())*($X154&lt;=TODAY()+7)+ISNUMBER($Y154)*($Y154&gt;=TODAY())*($Y154&lt;=TODAY()+7)+ISNUMBER($Q154)*($Q154&gt;=TODAY())*($Q154&lt;=TODAY()+7)+ISNUMBER($R154)*($R154&gt;=TODAY())*($R154&lt;=TODAY()+7)+ISNUMBER($AA154)*($AA154&gt;=TODAY())*($AA154&lt;=TODAY()+7)+ISNUMBER($AB154)*($AB154&gt;=TODAY())*($AB154&lt;=TODAY()+7))</f>
        <v/>
      </c>
      <c r="L154" s="28">
        <f>IF(NOT(AND($A154&lt;&gt;"",OR($I154="",$I154="Active"))),"",IF($M154&lt;&gt;"",IF($N154=$M154,"Booking",IF($O154=$M154,"16/40",IF($P154=$M154,"25/40",IF($S154=$M154,"28/40",IF($T154=$M154,"31/40",IF($U154=$M154,"34/40",IF($V154=$M154,"36/40",IF($W154=$M154,"38/40",IF($X154=$M154,"40/40",IF($Y154=$M154,"41/40","")))))))))),IF(IF(OR(ISNUMBER($Y154),$Y154="DNA"),$Y154,IF(OR(ISNUMBER($X154),$X154="DNA"),$X154,IF(OR(ISNUMBER($W154),$W154="DNA"),$W154,IF(OR(ISNUMBER($V154),$V154="DNA"),$V154,IF(OR(ISNUMBER($U154),$U154="DNA"),$U154,IF(OR(ISNUMBER($T154),$T154="DNA"),$T154,IF(OR(ISNUMBER($S154),$S154="DNA"),$S154,IF(OR(ISNUMBER($P154),$P154="DNA"),$P154,IF(OR(ISNUMBER($O154),$O154="DNA"),$O154,IF(OR(ISNUMBER($N154),$N154="DNA"),$N154,""))))))))))="DNA","Rebook DNA",IF(ISNUMBER(IF(OR(ISNUMBER($Y154),$Y154="DNA"),$Y154,IF(OR(ISNUMBER($X154),$X154="DNA"),$X154,IF(OR(ISNUMBER($W154),$W154="DNA"),$W154,IF(OR(ISNUMBER($V154),$V154="DNA"),$V154,IF(OR(ISNUMBER($U154),$U154="DNA"),$U154,IF(OR(ISNUMBER($T154),$T154="DNA"),$T154,IF(OR(ISNUMBER($S154),$S154="DNA"),$S154,IF(OR(ISNUMBER($P154),$P154="DNA"),$P154,IF(OR(ISNUMBER($O154),$O154="DNA"),$O154,IF(OR(ISNUMBER($N154),$N154="DNA"),$N154,""))))))))))),IF(ISNUMBER($Y154),"Update status","Missed/not booked?"),""))))</f>
        <v/>
      </c>
      <c r="M154" s="29">
        <f>IF(NOT(AND($A154&lt;&gt;"",OR($I154="",$I154="Active"))),"",IF(MIN(IF(AND(ISNUMBER($N154),$N154&gt;=TODAY()),$N154,99999),IF(AND(ISNUMBER($O154),$O154&gt;=TODAY()),$O154,99999),IF(AND(ISNUMBER($P154),$P154&gt;=TODAY()),$P154,99999),IF(AND(ISNUMBER($S154),$S154&gt;=TODAY()),$S154,99999),IF(AND(ISNUMBER($T154),$T154&gt;=TODAY()),$T154,99999),IF(AND(ISNUMBER($U154),$U154&gt;=TODAY()),$U154,99999),IF(AND(ISNUMBER($V154),$V154&gt;=TODAY()),$V154,99999),IF(AND(ISNUMBER($W154),$W154&gt;=TODAY()),$W154,99999),IF(AND(ISNUMBER($X154),$X154&gt;=TODAY()),$X154,99999),IF(AND(ISNUMBER($Y154),$Y154&gt;=TODAY()),$Y154,99999))=99999,"",MIN(IF(AND(ISNUMBER($N154),$N154&gt;=TODAY()),$N154,99999),IF(AND(ISNUMBER($O154),$O154&gt;=TODAY()),$O154,99999),IF(AND(ISNUMBER($P154),$P154&gt;=TODAY()),$P154,99999),IF(AND(ISNUMBER($S154),$S154&gt;=TODAY()),$S154,99999),IF(AND(ISNUMBER($T154),$T154&gt;=TODAY()),$T154,99999),IF(AND(ISNUMBER($U154),$U154&gt;=TODAY()),$U154,99999),IF(AND(ISNUMBER($V154),$V154&gt;=TODAY()),$V154,99999),IF(AND(ISNUMBER($W154),$W154&gt;=TODAY()),$W154,99999),IF(AND(ISNUMBER($X154),$X154&gt;=TODAY()),$X154,99999),IF(AND(ISNUMBER($Y154),$Y154&gt;=TODAY()),$Y154,99999))))</f>
        <v/>
      </c>
      <c r="N154" s="27" t="n"/>
      <c r="O154" s="27" t="n"/>
      <c r="P154" s="27" t="n"/>
      <c r="Q154" s="27" t="n"/>
      <c r="R154" s="27" t="n"/>
      <c r="S154" s="27" t="n"/>
      <c r="T154" s="27" t="n"/>
      <c r="U154" s="27" t="n"/>
      <c r="V154" s="27" t="n"/>
      <c r="W154" s="27" t="n"/>
      <c r="X154" s="27" t="n"/>
      <c r="Y154" s="27" t="n"/>
      <c r="Z154" s="27" t="n"/>
      <c r="AA154" s="27" t="n"/>
      <c r="AB154" s="27" t="n"/>
      <c r="AC154" s="30" t="n"/>
      <c r="AD154" s="25" t="n"/>
      <c r="AE154" s="28">
        <f>IF(NOT(AND($A154&lt;&gt;"",OR($I154="",$I154="Active"))),"",IF(OR(IF(OR(ISNUMBER($Y154),$Y154="DNA"),$Y154,IF(OR(ISNUMBER($X154),$X154="DNA"),$X154,IF(OR(ISNUMBER($W154),$W154="DNA"),$W154,IF(OR(ISNUMBER($V154),$V154="DNA"),$V154,IF(OR(ISNUMBER($U154),$U154="DNA"),$U154,IF(OR(ISNUMBER($T154),$T154="DNA"),$T154,IF(OR(ISNUMBER($S154),$S154="DNA"),$S154,IF(OR(ISNUMBER($P154),$P154="DNA"),$P154,IF(OR(ISNUMBER($O154),$O154="DNA"),$O154,IF(OR(ISNUMBER($N154),$N154="DNA"),$N154,""))))))))))="DNA",AND(ISNUMBER(IF(OR(ISNUMBER($Y154),$Y154="DNA"),$Y154,IF(OR(ISNUMBER($X154),$X154="DNA"),$X154,IF(OR(ISNUMBER($W154),$W154="DNA"),$W154,IF(OR(ISNUMBER($V154),$V154="DNA"),$V154,IF(OR(ISNUMBER($U154),$U154="DNA"),$U154,IF(OR(ISNUMBER($T154),$T154="DNA"),$T154,IF(OR(ISNUMBER($S154),$S154="DNA"),$S154,IF(OR(ISNUMBER($P154),$P154="DNA"),$P154,IF(OR(ISNUMBER($O154),$O154="DNA"),$O154,IF(OR(ISNUMBER($N154),$N154="DNA"),$N154,""))))))))))),IF(OR(ISNUMBER($Y154),$Y154="DNA"),$Y154,IF(OR(ISNUMBER($X154),$X154="DNA"),$X154,IF(OR(ISNUMBER($W154),$W154="DNA"),$W154,IF(OR(ISNUMBER($V154),$V154="DNA"),$V154,IF(OR(ISNUMBER($U154),$U154="DNA"),$U154,IF(OR(ISNUMBER($T154),$T154="DNA"),$T154,IF(OR(ISNUMBER($S154),$S154="DNA"),$S154,IF(OR(ISNUMBER($P154),$P154="DNA"),$P154,IF(OR(ISNUMBER($O154),$O154="DNA"),$O154,IF(OR(ISNUMBER($N154),$N154="DNA"),$N154,""))))))))))&lt;TODAY())),1,0)+ISNUMBER($Q154)*($Q154&lt;TODAY())+ISNUMBER($R154)*($R154&lt;TODAY())+ISNUMBER($AA154)*($AA154&lt;TODAY())+ISNUMBER($AB154)*($AB154&lt;TODAY()))</f>
        <v/>
      </c>
    </row>
    <row r="155">
      <c r="A155" s="25" t="n"/>
      <c r="B155" s="26" t="n"/>
      <c r="C155" s="27" t="n"/>
      <c r="D155" s="25" t="n"/>
      <c r="E155" s="25" t="n"/>
      <c r="F155" s="25" t="n"/>
      <c r="G155" s="25" t="n"/>
      <c r="H155" s="27" t="n"/>
      <c r="I155" s="25" t="n"/>
      <c r="J155" s="28">
        <f>IF(OR(NOT(AND($A155&lt;&gt;"",OR($I155="",$I155="Active"))),$H155=""),"",INT((TODAY()-$H155+280)/7)&amp;"+"&amp;MOD(TODAY()-$H155+280,7))</f>
        <v/>
      </c>
      <c r="K155" s="28">
        <f>IF(NOT(AND($A155&lt;&gt;"",OR($I155="",$I155="Active"))),"",ISNUMBER($N155)*($N155&gt;=TODAY())*($N155&lt;=TODAY()+7)+ISNUMBER($O155)*($O155&gt;=TODAY())*($O155&lt;=TODAY()+7)+ISNUMBER($P155)*($P155&gt;=TODAY())*($P155&lt;=TODAY()+7)+ISNUMBER($S155)*($S155&gt;=TODAY())*($S155&lt;=TODAY()+7)+ISNUMBER($T155)*($T155&gt;=TODAY())*($T155&lt;=TODAY()+7)+ISNUMBER($U155)*($U155&gt;=TODAY())*($U155&lt;=TODAY()+7)+ISNUMBER($V155)*($V155&gt;=TODAY())*($V155&lt;=TODAY()+7)+ISNUMBER($W155)*($W155&gt;=TODAY())*($W155&lt;=TODAY()+7)+ISNUMBER($X155)*($X155&gt;=TODAY())*($X155&lt;=TODAY()+7)+ISNUMBER($Y155)*($Y155&gt;=TODAY())*($Y155&lt;=TODAY()+7)+ISNUMBER($Q155)*($Q155&gt;=TODAY())*($Q155&lt;=TODAY()+7)+ISNUMBER($R155)*($R155&gt;=TODAY())*($R155&lt;=TODAY()+7)+ISNUMBER($AA155)*($AA155&gt;=TODAY())*($AA155&lt;=TODAY()+7)+ISNUMBER($AB155)*($AB155&gt;=TODAY())*($AB155&lt;=TODAY()+7))</f>
        <v/>
      </c>
      <c r="L155" s="28">
        <f>IF(NOT(AND($A155&lt;&gt;"",OR($I155="",$I155="Active"))),"",IF($M155&lt;&gt;"",IF($N155=$M155,"Booking",IF($O155=$M155,"16/40",IF($P155=$M155,"25/40",IF($S155=$M155,"28/40",IF($T155=$M155,"31/40",IF($U155=$M155,"34/40",IF($V155=$M155,"36/40",IF($W155=$M155,"38/40",IF($X155=$M155,"40/40",IF($Y155=$M155,"41/40","")))))))))),IF(IF(OR(ISNUMBER($Y155),$Y155="DNA"),$Y155,IF(OR(ISNUMBER($X155),$X155="DNA"),$X155,IF(OR(ISNUMBER($W155),$W155="DNA"),$W155,IF(OR(ISNUMBER($V155),$V155="DNA"),$V155,IF(OR(ISNUMBER($U155),$U155="DNA"),$U155,IF(OR(ISNUMBER($T155),$T155="DNA"),$T155,IF(OR(ISNUMBER($S155),$S155="DNA"),$S155,IF(OR(ISNUMBER($P155),$P155="DNA"),$P155,IF(OR(ISNUMBER($O155),$O155="DNA"),$O155,IF(OR(ISNUMBER($N155),$N155="DNA"),$N155,""))))))))))="DNA","Rebook DNA",IF(ISNUMBER(IF(OR(ISNUMBER($Y155),$Y155="DNA"),$Y155,IF(OR(ISNUMBER($X155),$X155="DNA"),$X155,IF(OR(ISNUMBER($W155),$W155="DNA"),$W155,IF(OR(ISNUMBER($V155),$V155="DNA"),$V155,IF(OR(ISNUMBER($U155),$U155="DNA"),$U155,IF(OR(ISNUMBER($T155),$T155="DNA"),$T155,IF(OR(ISNUMBER($S155),$S155="DNA"),$S155,IF(OR(ISNUMBER($P155),$P155="DNA"),$P155,IF(OR(ISNUMBER($O155),$O155="DNA"),$O155,IF(OR(ISNUMBER($N155),$N155="DNA"),$N155,""))))))))))),IF(ISNUMBER($Y155),"Update status","Missed/not booked?"),""))))</f>
        <v/>
      </c>
      <c r="M155" s="29">
        <f>IF(NOT(AND($A155&lt;&gt;"",OR($I155="",$I155="Active"))),"",IF(MIN(IF(AND(ISNUMBER($N155),$N155&gt;=TODAY()),$N155,99999),IF(AND(ISNUMBER($O155),$O155&gt;=TODAY()),$O155,99999),IF(AND(ISNUMBER($P155),$P155&gt;=TODAY()),$P155,99999),IF(AND(ISNUMBER($S155),$S155&gt;=TODAY()),$S155,99999),IF(AND(ISNUMBER($T155),$T155&gt;=TODAY()),$T155,99999),IF(AND(ISNUMBER($U155),$U155&gt;=TODAY()),$U155,99999),IF(AND(ISNUMBER($V155),$V155&gt;=TODAY()),$V155,99999),IF(AND(ISNUMBER($W155),$W155&gt;=TODAY()),$W155,99999),IF(AND(ISNUMBER($X155),$X155&gt;=TODAY()),$X155,99999),IF(AND(ISNUMBER($Y155),$Y155&gt;=TODAY()),$Y155,99999))=99999,"",MIN(IF(AND(ISNUMBER($N155),$N155&gt;=TODAY()),$N155,99999),IF(AND(ISNUMBER($O155),$O155&gt;=TODAY()),$O155,99999),IF(AND(ISNUMBER($P155),$P155&gt;=TODAY()),$P155,99999),IF(AND(ISNUMBER($S155),$S155&gt;=TODAY()),$S155,99999),IF(AND(ISNUMBER($T155),$T155&gt;=TODAY()),$T155,99999),IF(AND(ISNUMBER($U155),$U155&gt;=TODAY()),$U155,99999),IF(AND(ISNUMBER($V155),$V155&gt;=TODAY()),$V155,99999),IF(AND(ISNUMBER($W155),$W155&gt;=TODAY()),$W155,99999),IF(AND(ISNUMBER($X155),$X155&gt;=TODAY()),$X155,99999),IF(AND(ISNUMBER($Y155),$Y155&gt;=TODAY()),$Y155,99999))))</f>
        <v/>
      </c>
      <c r="N155" s="27" t="n"/>
      <c r="O155" s="27" t="n"/>
      <c r="P155" s="27" t="n"/>
      <c r="Q155" s="27" t="n"/>
      <c r="R155" s="27" t="n"/>
      <c r="S155" s="27" t="n"/>
      <c r="T155" s="27" t="n"/>
      <c r="U155" s="27" t="n"/>
      <c r="V155" s="27" t="n"/>
      <c r="W155" s="27" t="n"/>
      <c r="X155" s="27" t="n"/>
      <c r="Y155" s="27" t="n"/>
      <c r="Z155" s="27" t="n"/>
      <c r="AA155" s="27" t="n"/>
      <c r="AB155" s="27" t="n"/>
      <c r="AC155" s="30" t="n"/>
      <c r="AD155" s="25" t="n"/>
      <c r="AE155" s="28">
        <f>IF(NOT(AND($A155&lt;&gt;"",OR($I155="",$I155="Active"))),"",IF(OR(IF(OR(ISNUMBER($Y155),$Y155="DNA"),$Y155,IF(OR(ISNUMBER($X155),$X155="DNA"),$X155,IF(OR(ISNUMBER($W155),$W155="DNA"),$W155,IF(OR(ISNUMBER($V155),$V155="DNA"),$V155,IF(OR(ISNUMBER($U155),$U155="DNA"),$U155,IF(OR(ISNUMBER($T155),$T155="DNA"),$T155,IF(OR(ISNUMBER($S155),$S155="DNA"),$S155,IF(OR(ISNUMBER($P155),$P155="DNA"),$P155,IF(OR(ISNUMBER($O155),$O155="DNA"),$O155,IF(OR(ISNUMBER($N155),$N155="DNA"),$N155,""))))))))))="DNA",AND(ISNUMBER(IF(OR(ISNUMBER($Y155),$Y155="DNA"),$Y155,IF(OR(ISNUMBER($X155),$X155="DNA"),$X155,IF(OR(ISNUMBER($W155),$W155="DNA"),$W155,IF(OR(ISNUMBER($V155),$V155="DNA"),$V155,IF(OR(ISNUMBER($U155),$U155="DNA"),$U155,IF(OR(ISNUMBER($T155),$T155="DNA"),$T155,IF(OR(ISNUMBER($S155),$S155="DNA"),$S155,IF(OR(ISNUMBER($P155),$P155="DNA"),$P155,IF(OR(ISNUMBER($O155),$O155="DNA"),$O155,IF(OR(ISNUMBER($N155),$N155="DNA"),$N155,""))))))))))),IF(OR(ISNUMBER($Y155),$Y155="DNA"),$Y155,IF(OR(ISNUMBER($X155),$X155="DNA"),$X155,IF(OR(ISNUMBER($W155),$W155="DNA"),$W155,IF(OR(ISNUMBER($V155),$V155="DNA"),$V155,IF(OR(ISNUMBER($U155),$U155="DNA"),$U155,IF(OR(ISNUMBER($T155),$T155="DNA"),$T155,IF(OR(ISNUMBER($S155),$S155="DNA"),$S155,IF(OR(ISNUMBER($P155),$P155="DNA"),$P155,IF(OR(ISNUMBER($O155),$O155="DNA"),$O155,IF(OR(ISNUMBER($N155),$N155="DNA"),$N155,""))))))))))&lt;TODAY())),1,0)+ISNUMBER($Q155)*($Q155&lt;TODAY())+ISNUMBER($R155)*($R155&lt;TODAY())+ISNUMBER($AA155)*($AA155&lt;TODAY())+ISNUMBER($AB155)*($AB155&lt;TODAY()))</f>
        <v/>
      </c>
    </row>
    <row r="156">
      <c r="A156" s="25" t="n"/>
      <c r="B156" s="26" t="n"/>
      <c r="C156" s="27" t="n"/>
      <c r="D156" s="25" t="n"/>
      <c r="E156" s="25" t="n"/>
      <c r="F156" s="25" t="n"/>
      <c r="G156" s="25" t="n"/>
      <c r="H156" s="27" t="n"/>
      <c r="I156" s="25" t="n"/>
      <c r="J156" s="28">
        <f>IF(OR(NOT(AND($A156&lt;&gt;"",OR($I156="",$I156="Active"))),$H156=""),"",INT((TODAY()-$H156+280)/7)&amp;"+"&amp;MOD(TODAY()-$H156+280,7))</f>
        <v/>
      </c>
      <c r="K156" s="28">
        <f>IF(NOT(AND($A156&lt;&gt;"",OR($I156="",$I156="Active"))),"",ISNUMBER($N156)*($N156&gt;=TODAY())*($N156&lt;=TODAY()+7)+ISNUMBER($O156)*($O156&gt;=TODAY())*($O156&lt;=TODAY()+7)+ISNUMBER($P156)*($P156&gt;=TODAY())*($P156&lt;=TODAY()+7)+ISNUMBER($S156)*($S156&gt;=TODAY())*($S156&lt;=TODAY()+7)+ISNUMBER($T156)*($T156&gt;=TODAY())*($T156&lt;=TODAY()+7)+ISNUMBER($U156)*($U156&gt;=TODAY())*($U156&lt;=TODAY()+7)+ISNUMBER($V156)*($V156&gt;=TODAY())*($V156&lt;=TODAY()+7)+ISNUMBER($W156)*($W156&gt;=TODAY())*($W156&lt;=TODAY()+7)+ISNUMBER($X156)*($X156&gt;=TODAY())*($X156&lt;=TODAY()+7)+ISNUMBER($Y156)*($Y156&gt;=TODAY())*($Y156&lt;=TODAY()+7)+ISNUMBER($Q156)*($Q156&gt;=TODAY())*($Q156&lt;=TODAY()+7)+ISNUMBER($R156)*($R156&gt;=TODAY())*($R156&lt;=TODAY()+7)+ISNUMBER($AA156)*($AA156&gt;=TODAY())*($AA156&lt;=TODAY()+7)+ISNUMBER($AB156)*($AB156&gt;=TODAY())*($AB156&lt;=TODAY()+7))</f>
        <v/>
      </c>
      <c r="L156" s="28">
        <f>IF(NOT(AND($A156&lt;&gt;"",OR($I156="",$I156="Active"))),"",IF($M156&lt;&gt;"",IF($N156=$M156,"Booking",IF($O156=$M156,"16/40",IF($P156=$M156,"25/40",IF($S156=$M156,"28/40",IF($T156=$M156,"31/40",IF($U156=$M156,"34/40",IF($V156=$M156,"36/40",IF($W156=$M156,"38/40",IF($X156=$M156,"40/40",IF($Y156=$M156,"41/40","")))))))))),IF(IF(OR(ISNUMBER($Y156),$Y156="DNA"),$Y156,IF(OR(ISNUMBER($X156),$X156="DNA"),$X156,IF(OR(ISNUMBER($W156),$W156="DNA"),$W156,IF(OR(ISNUMBER($V156),$V156="DNA"),$V156,IF(OR(ISNUMBER($U156),$U156="DNA"),$U156,IF(OR(ISNUMBER($T156),$T156="DNA"),$T156,IF(OR(ISNUMBER($S156),$S156="DNA"),$S156,IF(OR(ISNUMBER($P156),$P156="DNA"),$P156,IF(OR(ISNUMBER($O156),$O156="DNA"),$O156,IF(OR(ISNUMBER($N156),$N156="DNA"),$N156,""))))))))))="DNA","Rebook DNA",IF(ISNUMBER(IF(OR(ISNUMBER($Y156),$Y156="DNA"),$Y156,IF(OR(ISNUMBER($X156),$X156="DNA"),$X156,IF(OR(ISNUMBER($W156),$W156="DNA"),$W156,IF(OR(ISNUMBER($V156),$V156="DNA"),$V156,IF(OR(ISNUMBER($U156),$U156="DNA"),$U156,IF(OR(ISNUMBER($T156),$T156="DNA"),$T156,IF(OR(ISNUMBER($S156),$S156="DNA"),$S156,IF(OR(ISNUMBER($P156),$P156="DNA"),$P156,IF(OR(ISNUMBER($O156),$O156="DNA"),$O156,IF(OR(ISNUMBER($N156),$N156="DNA"),$N156,""))))))))))),IF(ISNUMBER($Y156),"Update status","Missed/not booked?"),""))))</f>
        <v/>
      </c>
      <c r="M156" s="29">
        <f>IF(NOT(AND($A156&lt;&gt;"",OR($I156="",$I156="Active"))),"",IF(MIN(IF(AND(ISNUMBER($N156),$N156&gt;=TODAY()),$N156,99999),IF(AND(ISNUMBER($O156),$O156&gt;=TODAY()),$O156,99999),IF(AND(ISNUMBER($P156),$P156&gt;=TODAY()),$P156,99999),IF(AND(ISNUMBER($S156),$S156&gt;=TODAY()),$S156,99999),IF(AND(ISNUMBER($T156),$T156&gt;=TODAY()),$T156,99999),IF(AND(ISNUMBER($U156),$U156&gt;=TODAY()),$U156,99999),IF(AND(ISNUMBER($V156),$V156&gt;=TODAY()),$V156,99999),IF(AND(ISNUMBER($W156),$W156&gt;=TODAY()),$W156,99999),IF(AND(ISNUMBER($X156),$X156&gt;=TODAY()),$X156,99999),IF(AND(ISNUMBER($Y156),$Y156&gt;=TODAY()),$Y156,99999))=99999,"",MIN(IF(AND(ISNUMBER($N156),$N156&gt;=TODAY()),$N156,99999),IF(AND(ISNUMBER($O156),$O156&gt;=TODAY()),$O156,99999),IF(AND(ISNUMBER($P156),$P156&gt;=TODAY()),$P156,99999),IF(AND(ISNUMBER($S156),$S156&gt;=TODAY()),$S156,99999),IF(AND(ISNUMBER($T156),$T156&gt;=TODAY()),$T156,99999),IF(AND(ISNUMBER($U156),$U156&gt;=TODAY()),$U156,99999),IF(AND(ISNUMBER($V156),$V156&gt;=TODAY()),$V156,99999),IF(AND(ISNUMBER($W156),$W156&gt;=TODAY()),$W156,99999),IF(AND(ISNUMBER($X156),$X156&gt;=TODAY()),$X156,99999),IF(AND(ISNUMBER($Y156),$Y156&gt;=TODAY()),$Y156,99999))))</f>
        <v/>
      </c>
      <c r="N156" s="27" t="n"/>
      <c r="O156" s="27" t="n"/>
      <c r="P156" s="27" t="n"/>
      <c r="Q156" s="27" t="n"/>
      <c r="R156" s="27" t="n"/>
      <c r="S156" s="27" t="n"/>
      <c r="T156" s="27" t="n"/>
      <c r="U156" s="27" t="n"/>
      <c r="V156" s="27" t="n"/>
      <c r="W156" s="27" t="n"/>
      <c r="X156" s="27" t="n"/>
      <c r="Y156" s="27" t="n"/>
      <c r="Z156" s="27" t="n"/>
      <c r="AA156" s="27" t="n"/>
      <c r="AB156" s="27" t="n"/>
      <c r="AC156" s="30" t="n"/>
      <c r="AD156" s="25" t="n"/>
      <c r="AE156" s="28">
        <f>IF(NOT(AND($A156&lt;&gt;"",OR($I156="",$I156="Active"))),"",IF(OR(IF(OR(ISNUMBER($Y156),$Y156="DNA"),$Y156,IF(OR(ISNUMBER($X156),$X156="DNA"),$X156,IF(OR(ISNUMBER($W156),$W156="DNA"),$W156,IF(OR(ISNUMBER($V156),$V156="DNA"),$V156,IF(OR(ISNUMBER($U156),$U156="DNA"),$U156,IF(OR(ISNUMBER($T156),$T156="DNA"),$T156,IF(OR(ISNUMBER($S156),$S156="DNA"),$S156,IF(OR(ISNUMBER($P156),$P156="DNA"),$P156,IF(OR(ISNUMBER($O156),$O156="DNA"),$O156,IF(OR(ISNUMBER($N156),$N156="DNA"),$N156,""))))))))))="DNA",AND(ISNUMBER(IF(OR(ISNUMBER($Y156),$Y156="DNA"),$Y156,IF(OR(ISNUMBER($X156),$X156="DNA"),$X156,IF(OR(ISNUMBER($W156),$W156="DNA"),$W156,IF(OR(ISNUMBER($V156),$V156="DNA"),$V156,IF(OR(ISNUMBER($U156),$U156="DNA"),$U156,IF(OR(ISNUMBER($T156),$T156="DNA"),$T156,IF(OR(ISNUMBER($S156),$S156="DNA"),$S156,IF(OR(ISNUMBER($P156),$P156="DNA"),$P156,IF(OR(ISNUMBER($O156),$O156="DNA"),$O156,IF(OR(ISNUMBER($N156),$N156="DNA"),$N156,""))))))))))),IF(OR(ISNUMBER($Y156),$Y156="DNA"),$Y156,IF(OR(ISNUMBER($X156),$X156="DNA"),$X156,IF(OR(ISNUMBER($W156),$W156="DNA"),$W156,IF(OR(ISNUMBER($V156),$V156="DNA"),$V156,IF(OR(ISNUMBER($U156),$U156="DNA"),$U156,IF(OR(ISNUMBER($T156),$T156="DNA"),$T156,IF(OR(ISNUMBER($S156),$S156="DNA"),$S156,IF(OR(ISNUMBER($P156),$P156="DNA"),$P156,IF(OR(ISNUMBER($O156),$O156="DNA"),$O156,IF(OR(ISNUMBER($N156),$N156="DNA"),$N156,""))))))))))&lt;TODAY())),1,0)+ISNUMBER($Q156)*($Q156&lt;TODAY())+ISNUMBER($R156)*($R156&lt;TODAY())+ISNUMBER($AA156)*($AA156&lt;TODAY())+ISNUMBER($AB156)*($AB156&lt;TODAY()))</f>
        <v/>
      </c>
    </row>
    <row r="157">
      <c r="A157" s="25" t="n"/>
      <c r="B157" s="26" t="n"/>
      <c r="C157" s="27" t="n"/>
      <c r="D157" s="25" t="n"/>
      <c r="E157" s="25" t="n"/>
      <c r="F157" s="25" t="n"/>
      <c r="G157" s="25" t="n"/>
      <c r="H157" s="27" t="n"/>
      <c r="I157" s="25" t="n"/>
      <c r="J157" s="28">
        <f>IF(OR(NOT(AND($A157&lt;&gt;"",OR($I157="",$I157="Active"))),$H157=""),"",INT((TODAY()-$H157+280)/7)&amp;"+"&amp;MOD(TODAY()-$H157+280,7))</f>
        <v/>
      </c>
      <c r="K157" s="28">
        <f>IF(NOT(AND($A157&lt;&gt;"",OR($I157="",$I157="Active"))),"",ISNUMBER($N157)*($N157&gt;=TODAY())*($N157&lt;=TODAY()+7)+ISNUMBER($O157)*($O157&gt;=TODAY())*($O157&lt;=TODAY()+7)+ISNUMBER($P157)*($P157&gt;=TODAY())*($P157&lt;=TODAY()+7)+ISNUMBER($S157)*($S157&gt;=TODAY())*($S157&lt;=TODAY()+7)+ISNUMBER($T157)*($T157&gt;=TODAY())*($T157&lt;=TODAY()+7)+ISNUMBER($U157)*($U157&gt;=TODAY())*($U157&lt;=TODAY()+7)+ISNUMBER($V157)*($V157&gt;=TODAY())*($V157&lt;=TODAY()+7)+ISNUMBER($W157)*($W157&gt;=TODAY())*($W157&lt;=TODAY()+7)+ISNUMBER($X157)*($X157&gt;=TODAY())*($X157&lt;=TODAY()+7)+ISNUMBER($Y157)*($Y157&gt;=TODAY())*($Y157&lt;=TODAY()+7)+ISNUMBER($Q157)*($Q157&gt;=TODAY())*($Q157&lt;=TODAY()+7)+ISNUMBER($R157)*($R157&gt;=TODAY())*($R157&lt;=TODAY()+7)+ISNUMBER($AA157)*($AA157&gt;=TODAY())*($AA157&lt;=TODAY()+7)+ISNUMBER($AB157)*($AB157&gt;=TODAY())*($AB157&lt;=TODAY()+7))</f>
        <v/>
      </c>
      <c r="L157" s="28">
        <f>IF(NOT(AND($A157&lt;&gt;"",OR($I157="",$I157="Active"))),"",IF($M157&lt;&gt;"",IF($N157=$M157,"Booking",IF($O157=$M157,"16/40",IF($P157=$M157,"25/40",IF($S157=$M157,"28/40",IF($T157=$M157,"31/40",IF($U157=$M157,"34/40",IF($V157=$M157,"36/40",IF($W157=$M157,"38/40",IF($X157=$M157,"40/40",IF($Y157=$M157,"41/40","")))))))))),IF(IF(OR(ISNUMBER($Y157),$Y157="DNA"),$Y157,IF(OR(ISNUMBER($X157),$X157="DNA"),$X157,IF(OR(ISNUMBER($W157),$W157="DNA"),$W157,IF(OR(ISNUMBER($V157),$V157="DNA"),$V157,IF(OR(ISNUMBER($U157),$U157="DNA"),$U157,IF(OR(ISNUMBER($T157),$T157="DNA"),$T157,IF(OR(ISNUMBER($S157),$S157="DNA"),$S157,IF(OR(ISNUMBER($P157),$P157="DNA"),$P157,IF(OR(ISNUMBER($O157),$O157="DNA"),$O157,IF(OR(ISNUMBER($N157),$N157="DNA"),$N157,""))))))))))="DNA","Rebook DNA",IF(ISNUMBER(IF(OR(ISNUMBER($Y157),$Y157="DNA"),$Y157,IF(OR(ISNUMBER($X157),$X157="DNA"),$X157,IF(OR(ISNUMBER($W157),$W157="DNA"),$W157,IF(OR(ISNUMBER($V157),$V157="DNA"),$V157,IF(OR(ISNUMBER($U157),$U157="DNA"),$U157,IF(OR(ISNUMBER($T157),$T157="DNA"),$T157,IF(OR(ISNUMBER($S157),$S157="DNA"),$S157,IF(OR(ISNUMBER($P157),$P157="DNA"),$P157,IF(OR(ISNUMBER($O157),$O157="DNA"),$O157,IF(OR(ISNUMBER($N157),$N157="DNA"),$N157,""))))))))))),IF(ISNUMBER($Y157),"Update status","Missed/not booked?"),""))))</f>
        <v/>
      </c>
      <c r="M157" s="29">
        <f>IF(NOT(AND($A157&lt;&gt;"",OR($I157="",$I157="Active"))),"",IF(MIN(IF(AND(ISNUMBER($N157),$N157&gt;=TODAY()),$N157,99999),IF(AND(ISNUMBER($O157),$O157&gt;=TODAY()),$O157,99999),IF(AND(ISNUMBER($P157),$P157&gt;=TODAY()),$P157,99999),IF(AND(ISNUMBER($S157),$S157&gt;=TODAY()),$S157,99999),IF(AND(ISNUMBER($T157),$T157&gt;=TODAY()),$T157,99999),IF(AND(ISNUMBER($U157),$U157&gt;=TODAY()),$U157,99999),IF(AND(ISNUMBER($V157),$V157&gt;=TODAY()),$V157,99999),IF(AND(ISNUMBER($W157),$W157&gt;=TODAY()),$W157,99999),IF(AND(ISNUMBER($X157),$X157&gt;=TODAY()),$X157,99999),IF(AND(ISNUMBER($Y157),$Y157&gt;=TODAY()),$Y157,99999))=99999,"",MIN(IF(AND(ISNUMBER($N157),$N157&gt;=TODAY()),$N157,99999),IF(AND(ISNUMBER($O157),$O157&gt;=TODAY()),$O157,99999),IF(AND(ISNUMBER($P157),$P157&gt;=TODAY()),$P157,99999),IF(AND(ISNUMBER($S157),$S157&gt;=TODAY()),$S157,99999),IF(AND(ISNUMBER($T157),$T157&gt;=TODAY()),$T157,99999),IF(AND(ISNUMBER($U157),$U157&gt;=TODAY()),$U157,99999),IF(AND(ISNUMBER($V157),$V157&gt;=TODAY()),$V157,99999),IF(AND(ISNUMBER($W157),$W157&gt;=TODAY()),$W157,99999),IF(AND(ISNUMBER($X157),$X157&gt;=TODAY()),$X157,99999),IF(AND(ISNUMBER($Y157),$Y157&gt;=TODAY()),$Y157,99999))))</f>
        <v/>
      </c>
      <c r="N157" s="27" t="n"/>
      <c r="O157" s="27" t="n"/>
      <c r="P157" s="27" t="n"/>
      <c r="Q157" s="27" t="n"/>
      <c r="R157" s="27" t="n"/>
      <c r="S157" s="27" t="n"/>
      <c r="T157" s="27" t="n"/>
      <c r="U157" s="27" t="n"/>
      <c r="V157" s="27" t="n"/>
      <c r="W157" s="27" t="n"/>
      <c r="X157" s="27" t="n"/>
      <c r="Y157" s="27" t="n"/>
      <c r="Z157" s="27" t="n"/>
      <c r="AA157" s="27" t="n"/>
      <c r="AB157" s="27" t="n"/>
      <c r="AC157" s="30" t="n"/>
      <c r="AD157" s="25" t="n"/>
      <c r="AE157" s="28">
        <f>IF(NOT(AND($A157&lt;&gt;"",OR($I157="",$I157="Active"))),"",IF(OR(IF(OR(ISNUMBER($Y157),$Y157="DNA"),$Y157,IF(OR(ISNUMBER($X157),$X157="DNA"),$X157,IF(OR(ISNUMBER($W157),$W157="DNA"),$W157,IF(OR(ISNUMBER($V157),$V157="DNA"),$V157,IF(OR(ISNUMBER($U157),$U157="DNA"),$U157,IF(OR(ISNUMBER($T157),$T157="DNA"),$T157,IF(OR(ISNUMBER($S157),$S157="DNA"),$S157,IF(OR(ISNUMBER($P157),$P157="DNA"),$P157,IF(OR(ISNUMBER($O157),$O157="DNA"),$O157,IF(OR(ISNUMBER($N157),$N157="DNA"),$N157,""))))))))))="DNA",AND(ISNUMBER(IF(OR(ISNUMBER($Y157),$Y157="DNA"),$Y157,IF(OR(ISNUMBER($X157),$X157="DNA"),$X157,IF(OR(ISNUMBER($W157),$W157="DNA"),$W157,IF(OR(ISNUMBER($V157),$V157="DNA"),$V157,IF(OR(ISNUMBER($U157),$U157="DNA"),$U157,IF(OR(ISNUMBER($T157),$T157="DNA"),$T157,IF(OR(ISNUMBER($S157),$S157="DNA"),$S157,IF(OR(ISNUMBER($P157),$P157="DNA"),$P157,IF(OR(ISNUMBER($O157),$O157="DNA"),$O157,IF(OR(ISNUMBER($N157),$N157="DNA"),$N157,""))))))))))),IF(OR(ISNUMBER($Y157),$Y157="DNA"),$Y157,IF(OR(ISNUMBER($X157),$X157="DNA"),$X157,IF(OR(ISNUMBER($W157),$W157="DNA"),$W157,IF(OR(ISNUMBER($V157),$V157="DNA"),$V157,IF(OR(ISNUMBER($U157),$U157="DNA"),$U157,IF(OR(ISNUMBER($T157),$T157="DNA"),$T157,IF(OR(ISNUMBER($S157),$S157="DNA"),$S157,IF(OR(ISNUMBER($P157),$P157="DNA"),$P157,IF(OR(ISNUMBER($O157),$O157="DNA"),$O157,IF(OR(ISNUMBER($N157),$N157="DNA"),$N157,""))))))))))&lt;TODAY())),1,0)+ISNUMBER($Q157)*($Q157&lt;TODAY())+ISNUMBER($R157)*($R157&lt;TODAY())+ISNUMBER($AA157)*($AA157&lt;TODAY())+ISNUMBER($AB157)*($AB157&lt;TODAY()))</f>
        <v/>
      </c>
    </row>
    <row r="158">
      <c r="A158" s="25" t="n"/>
      <c r="B158" s="26" t="n"/>
      <c r="C158" s="27" t="n"/>
      <c r="D158" s="25" t="n"/>
      <c r="E158" s="25" t="n"/>
      <c r="F158" s="25" t="n"/>
      <c r="G158" s="25" t="n"/>
      <c r="H158" s="27" t="n"/>
      <c r="I158" s="25" t="n"/>
      <c r="J158" s="28">
        <f>IF(OR(NOT(AND($A158&lt;&gt;"",OR($I158="",$I158="Active"))),$H158=""),"",INT((TODAY()-$H158+280)/7)&amp;"+"&amp;MOD(TODAY()-$H158+280,7))</f>
        <v/>
      </c>
      <c r="K158" s="28">
        <f>IF(NOT(AND($A158&lt;&gt;"",OR($I158="",$I158="Active"))),"",ISNUMBER($N158)*($N158&gt;=TODAY())*($N158&lt;=TODAY()+7)+ISNUMBER($O158)*($O158&gt;=TODAY())*($O158&lt;=TODAY()+7)+ISNUMBER($P158)*($P158&gt;=TODAY())*($P158&lt;=TODAY()+7)+ISNUMBER($S158)*($S158&gt;=TODAY())*($S158&lt;=TODAY()+7)+ISNUMBER($T158)*($T158&gt;=TODAY())*($T158&lt;=TODAY()+7)+ISNUMBER($U158)*($U158&gt;=TODAY())*($U158&lt;=TODAY()+7)+ISNUMBER($V158)*($V158&gt;=TODAY())*($V158&lt;=TODAY()+7)+ISNUMBER($W158)*($W158&gt;=TODAY())*($W158&lt;=TODAY()+7)+ISNUMBER($X158)*($X158&gt;=TODAY())*($X158&lt;=TODAY()+7)+ISNUMBER($Y158)*($Y158&gt;=TODAY())*($Y158&lt;=TODAY()+7)+ISNUMBER($Q158)*($Q158&gt;=TODAY())*($Q158&lt;=TODAY()+7)+ISNUMBER($R158)*($R158&gt;=TODAY())*($R158&lt;=TODAY()+7)+ISNUMBER($AA158)*($AA158&gt;=TODAY())*($AA158&lt;=TODAY()+7)+ISNUMBER($AB158)*($AB158&gt;=TODAY())*($AB158&lt;=TODAY()+7))</f>
        <v/>
      </c>
      <c r="L158" s="28">
        <f>IF(NOT(AND($A158&lt;&gt;"",OR($I158="",$I158="Active"))),"",IF($M158&lt;&gt;"",IF($N158=$M158,"Booking",IF($O158=$M158,"16/40",IF($P158=$M158,"25/40",IF($S158=$M158,"28/40",IF($T158=$M158,"31/40",IF($U158=$M158,"34/40",IF($V158=$M158,"36/40",IF($W158=$M158,"38/40",IF($X158=$M158,"40/40",IF($Y158=$M158,"41/40","")))))))))),IF(IF(OR(ISNUMBER($Y158),$Y158="DNA"),$Y158,IF(OR(ISNUMBER($X158),$X158="DNA"),$X158,IF(OR(ISNUMBER($W158),$W158="DNA"),$W158,IF(OR(ISNUMBER($V158),$V158="DNA"),$V158,IF(OR(ISNUMBER($U158),$U158="DNA"),$U158,IF(OR(ISNUMBER($T158),$T158="DNA"),$T158,IF(OR(ISNUMBER($S158),$S158="DNA"),$S158,IF(OR(ISNUMBER($P158),$P158="DNA"),$P158,IF(OR(ISNUMBER($O158),$O158="DNA"),$O158,IF(OR(ISNUMBER($N158),$N158="DNA"),$N158,""))))))))))="DNA","Rebook DNA",IF(ISNUMBER(IF(OR(ISNUMBER($Y158),$Y158="DNA"),$Y158,IF(OR(ISNUMBER($X158),$X158="DNA"),$X158,IF(OR(ISNUMBER($W158),$W158="DNA"),$W158,IF(OR(ISNUMBER($V158),$V158="DNA"),$V158,IF(OR(ISNUMBER($U158),$U158="DNA"),$U158,IF(OR(ISNUMBER($T158),$T158="DNA"),$T158,IF(OR(ISNUMBER($S158),$S158="DNA"),$S158,IF(OR(ISNUMBER($P158),$P158="DNA"),$P158,IF(OR(ISNUMBER($O158),$O158="DNA"),$O158,IF(OR(ISNUMBER($N158),$N158="DNA"),$N158,""))))))))))),IF(ISNUMBER($Y158),"Update status","Missed/not booked?"),""))))</f>
        <v/>
      </c>
      <c r="M158" s="29">
        <f>IF(NOT(AND($A158&lt;&gt;"",OR($I158="",$I158="Active"))),"",IF(MIN(IF(AND(ISNUMBER($N158),$N158&gt;=TODAY()),$N158,99999),IF(AND(ISNUMBER($O158),$O158&gt;=TODAY()),$O158,99999),IF(AND(ISNUMBER($P158),$P158&gt;=TODAY()),$P158,99999),IF(AND(ISNUMBER($S158),$S158&gt;=TODAY()),$S158,99999),IF(AND(ISNUMBER($T158),$T158&gt;=TODAY()),$T158,99999),IF(AND(ISNUMBER($U158),$U158&gt;=TODAY()),$U158,99999),IF(AND(ISNUMBER($V158),$V158&gt;=TODAY()),$V158,99999),IF(AND(ISNUMBER($W158),$W158&gt;=TODAY()),$W158,99999),IF(AND(ISNUMBER($X158),$X158&gt;=TODAY()),$X158,99999),IF(AND(ISNUMBER($Y158),$Y158&gt;=TODAY()),$Y158,99999))=99999,"",MIN(IF(AND(ISNUMBER($N158),$N158&gt;=TODAY()),$N158,99999),IF(AND(ISNUMBER($O158),$O158&gt;=TODAY()),$O158,99999),IF(AND(ISNUMBER($P158),$P158&gt;=TODAY()),$P158,99999),IF(AND(ISNUMBER($S158),$S158&gt;=TODAY()),$S158,99999),IF(AND(ISNUMBER($T158),$T158&gt;=TODAY()),$T158,99999),IF(AND(ISNUMBER($U158),$U158&gt;=TODAY()),$U158,99999),IF(AND(ISNUMBER($V158),$V158&gt;=TODAY()),$V158,99999),IF(AND(ISNUMBER($W158),$W158&gt;=TODAY()),$W158,99999),IF(AND(ISNUMBER($X158),$X158&gt;=TODAY()),$X158,99999),IF(AND(ISNUMBER($Y158),$Y158&gt;=TODAY()),$Y158,99999))))</f>
        <v/>
      </c>
      <c r="N158" s="27" t="n"/>
      <c r="O158" s="27" t="n"/>
      <c r="P158" s="27" t="n"/>
      <c r="Q158" s="27" t="n"/>
      <c r="R158" s="27" t="n"/>
      <c r="S158" s="27" t="n"/>
      <c r="T158" s="27" t="n"/>
      <c r="U158" s="27" t="n"/>
      <c r="V158" s="27" t="n"/>
      <c r="W158" s="27" t="n"/>
      <c r="X158" s="27" t="n"/>
      <c r="Y158" s="27" t="n"/>
      <c r="Z158" s="27" t="n"/>
      <c r="AA158" s="27" t="n"/>
      <c r="AB158" s="27" t="n"/>
      <c r="AC158" s="30" t="n"/>
      <c r="AD158" s="25" t="n"/>
      <c r="AE158" s="28">
        <f>IF(NOT(AND($A158&lt;&gt;"",OR($I158="",$I158="Active"))),"",IF(OR(IF(OR(ISNUMBER($Y158),$Y158="DNA"),$Y158,IF(OR(ISNUMBER($X158),$X158="DNA"),$X158,IF(OR(ISNUMBER($W158),$W158="DNA"),$W158,IF(OR(ISNUMBER($V158),$V158="DNA"),$V158,IF(OR(ISNUMBER($U158),$U158="DNA"),$U158,IF(OR(ISNUMBER($T158),$T158="DNA"),$T158,IF(OR(ISNUMBER($S158),$S158="DNA"),$S158,IF(OR(ISNUMBER($P158),$P158="DNA"),$P158,IF(OR(ISNUMBER($O158),$O158="DNA"),$O158,IF(OR(ISNUMBER($N158),$N158="DNA"),$N158,""))))))))))="DNA",AND(ISNUMBER(IF(OR(ISNUMBER($Y158),$Y158="DNA"),$Y158,IF(OR(ISNUMBER($X158),$X158="DNA"),$X158,IF(OR(ISNUMBER($W158),$W158="DNA"),$W158,IF(OR(ISNUMBER($V158),$V158="DNA"),$V158,IF(OR(ISNUMBER($U158),$U158="DNA"),$U158,IF(OR(ISNUMBER($T158),$T158="DNA"),$T158,IF(OR(ISNUMBER($S158),$S158="DNA"),$S158,IF(OR(ISNUMBER($P158),$P158="DNA"),$P158,IF(OR(ISNUMBER($O158),$O158="DNA"),$O158,IF(OR(ISNUMBER($N158),$N158="DNA"),$N158,""))))))))))),IF(OR(ISNUMBER($Y158),$Y158="DNA"),$Y158,IF(OR(ISNUMBER($X158),$X158="DNA"),$X158,IF(OR(ISNUMBER($W158),$W158="DNA"),$W158,IF(OR(ISNUMBER($V158),$V158="DNA"),$V158,IF(OR(ISNUMBER($U158),$U158="DNA"),$U158,IF(OR(ISNUMBER($T158),$T158="DNA"),$T158,IF(OR(ISNUMBER($S158),$S158="DNA"),$S158,IF(OR(ISNUMBER($P158),$P158="DNA"),$P158,IF(OR(ISNUMBER($O158),$O158="DNA"),$O158,IF(OR(ISNUMBER($N158),$N158="DNA"),$N158,""))))))))))&lt;TODAY())),1,0)+ISNUMBER($Q158)*($Q158&lt;TODAY())+ISNUMBER($R158)*($R158&lt;TODAY())+ISNUMBER($AA158)*($AA158&lt;TODAY())+ISNUMBER($AB158)*($AB158&lt;TODAY()))</f>
        <v/>
      </c>
    </row>
    <row r="159">
      <c r="A159" s="25" t="n"/>
      <c r="B159" s="26" t="n"/>
      <c r="C159" s="27" t="n"/>
      <c r="D159" s="25" t="n"/>
      <c r="E159" s="25" t="n"/>
      <c r="F159" s="25" t="n"/>
      <c r="G159" s="25" t="n"/>
      <c r="H159" s="27" t="n"/>
      <c r="I159" s="25" t="n"/>
      <c r="J159" s="28">
        <f>IF(OR(NOT(AND($A159&lt;&gt;"",OR($I159="",$I159="Active"))),$H159=""),"",INT((TODAY()-$H159+280)/7)&amp;"+"&amp;MOD(TODAY()-$H159+280,7))</f>
        <v/>
      </c>
      <c r="K159" s="28">
        <f>IF(NOT(AND($A159&lt;&gt;"",OR($I159="",$I159="Active"))),"",ISNUMBER($N159)*($N159&gt;=TODAY())*($N159&lt;=TODAY()+7)+ISNUMBER($O159)*($O159&gt;=TODAY())*($O159&lt;=TODAY()+7)+ISNUMBER($P159)*($P159&gt;=TODAY())*($P159&lt;=TODAY()+7)+ISNUMBER($S159)*($S159&gt;=TODAY())*($S159&lt;=TODAY()+7)+ISNUMBER($T159)*($T159&gt;=TODAY())*($T159&lt;=TODAY()+7)+ISNUMBER($U159)*($U159&gt;=TODAY())*($U159&lt;=TODAY()+7)+ISNUMBER($V159)*($V159&gt;=TODAY())*($V159&lt;=TODAY()+7)+ISNUMBER($W159)*($W159&gt;=TODAY())*($W159&lt;=TODAY()+7)+ISNUMBER($X159)*($X159&gt;=TODAY())*($X159&lt;=TODAY()+7)+ISNUMBER($Y159)*($Y159&gt;=TODAY())*($Y159&lt;=TODAY()+7)+ISNUMBER($Q159)*($Q159&gt;=TODAY())*($Q159&lt;=TODAY()+7)+ISNUMBER($R159)*($R159&gt;=TODAY())*($R159&lt;=TODAY()+7)+ISNUMBER($AA159)*($AA159&gt;=TODAY())*($AA159&lt;=TODAY()+7)+ISNUMBER($AB159)*($AB159&gt;=TODAY())*($AB159&lt;=TODAY()+7))</f>
        <v/>
      </c>
      <c r="L159" s="28">
        <f>IF(NOT(AND($A159&lt;&gt;"",OR($I159="",$I159="Active"))),"",IF($M159&lt;&gt;"",IF($N159=$M159,"Booking",IF($O159=$M159,"16/40",IF($P159=$M159,"25/40",IF($S159=$M159,"28/40",IF($T159=$M159,"31/40",IF($U159=$M159,"34/40",IF($V159=$M159,"36/40",IF($W159=$M159,"38/40",IF($X159=$M159,"40/40",IF($Y159=$M159,"41/40","")))))))))),IF(IF(OR(ISNUMBER($Y159),$Y159="DNA"),$Y159,IF(OR(ISNUMBER($X159),$X159="DNA"),$X159,IF(OR(ISNUMBER($W159),$W159="DNA"),$W159,IF(OR(ISNUMBER($V159),$V159="DNA"),$V159,IF(OR(ISNUMBER($U159),$U159="DNA"),$U159,IF(OR(ISNUMBER($T159),$T159="DNA"),$T159,IF(OR(ISNUMBER($S159),$S159="DNA"),$S159,IF(OR(ISNUMBER($P159),$P159="DNA"),$P159,IF(OR(ISNUMBER($O159),$O159="DNA"),$O159,IF(OR(ISNUMBER($N159),$N159="DNA"),$N159,""))))))))))="DNA","Rebook DNA",IF(ISNUMBER(IF(OR(ISNUMBER($Y159),$Y159="DNA"),$Y159,IF(OR(ISNUMBER($X159),$X159="DNA"),$X159,IF(OR(ISNUMBER($W159),$W159="DNA"),$W159,IF(OR(ISNUMBER($V159),$V159="DNA"),$V159,IF(OR(ISNUMBER($U159),$U159="DNA"),$U159,IF(OR(ISNUMBER($T159),$T159="DNA"),$T159,IF(OR(ISNUMBER($S159),$S159="DNA"),$S159,IF(OR(ISNUMBER($P159),$P159="DNA"),$P159,IF(OR(ISNUMBER($O159),$O159="DNA"),$O159,IF(OR(ISNUMBER($N159),$N159="DNA"),$N159,""))))))))))),IF(ISNUMBER($Y159),"Update status","Missed/not booked?"),""))))</f>
        <v/>
      </c>
      <c r="M159" s="29">
        <f>IF(NOT(AND($A159&lt;&gt;"",OR($I159="",$I159="Active"))),"",IF(MIN(IF(AND(ISNUMBER($N159),$N159&gt;=TODAY()),$N159,99999),IF(AND(ISNUMBER($O159),$O159&gt;=TODAY()),$O159,99999),IF(AND(ISNUMBER($P159),$P159&gt;=TODAY()),$P159,99999),IF(AND(ISNUMBER($S159),$S159&gt;=TODAY()),$S159,99999),IF(AND(ISNUMBER($T159),$T159&gt;=TODAY()),$T159,99999),IF(AND(ISNUMBER($U159),$U159&gt;=TODAY()),$U159,99999),IF(AND(ISNUMBER($V159),$V159&gt;=TODAY()),$V159,99999),IF(AND(ISNUMBER($W159),$W159&gt;=TODAY()),$W159,99999),IF(AND(ISNUMBER($X159),$X159&gt;=TODAY()),$X159,99999),IF(AND(ISNUMBER($Y159),$Y159&gt;=TODAY()),$Y159,99999))=99999,"",MIN(IF(AND(ISNUMBER($N159),$N159&gt;=TODAY()),$N159,99999),IF(AND(ISNUMBER($O159),$O159&gt;=TODAY()),$O159,99999),IF(AND(ISNUMBER($P159),$P159&gt;=TODAY()),$P159,99999),IF(AND(ISNUMBER($S159),$S159&gt;=TODAY()),$S159,99999),IF(AND(ISNUMBER($T159),$T159&gt;=TODAY()),$T159,99999),IF(AND(ISNUMBER($U159),$U159&gt;=TODAY()),$U159,99999),IF(AND(ISNUMBER($V159),$V159&gt;=TODAY()),$V159,99999),IF(AND(ISNUMBER($W159),$W159&gt;=TODAY()),$W159,99999),IF(AND(ISNUMBER($X159),$X159&gt;=TODAY()),$X159,99999),IF(AND(ISNUMBER($Y159),$Y159&gt;=TODAY()),$Y159,99999))))</f>
        <v/>
      </c>
      <c r="N159" s="27" t="n"/>
      <c r="O159" s="27" t="n"/>
      <c r="P159" s="27" t="n"/>
      <c r="Q159" s="27" t="n"/>
      <c r="R159" s="27" t="n"/>
      <c r="S159" s="27" t="n"/>
      <c r="T159" s="27" t="n"/>
      <c r="U159" s="27" t="n"/>
      <c r="V159" s="27" t="n"/>
      <c r="W159" s="27" t="n"/>
      <c r="X159" s="27" t="n"/>
      <c r="Y159" s="27" t="n"/>
      <c r="Z159" s="27" t="n"/>
      <c r="AA159" s="27" t="n"/>
      <c r="AB159" s="27" t="n"/>
      <c r="AC159" s="30" t="n"/>
      <c r="AD159" s="25" t="n"/>
      <c r="AE159" s="28">
        <f>IF(NOT(AND($A159&lt;&gt;"",OR($I159="",$I159="Active"))),"",IF(OR(IF(OR(ISNUMBER($Y159),$Y159="DNA"),$Y159,IF(OR(ISNUMBER($X159),$X159="DNA"),$X159,IF(OR(ISNUMBER($W159),$W159="DNA"),$W159,IF(OR(ISNUMBER($V159),$V159="DNA"),$V159,IF(OR(ISNUMBER($U159),$U159="DNA"),$U159,IF(OR(ISNUMBER($T159),$T159="DNA"),$T159,IF(OR(ISNUMBER($S159),$S159="DNA"),$S159,IF(OR(ISNUMBER($P159),$P159="DNA"),$P159,IF(OR(ISNUMBER($O159),$O159="DNA"),$O159,IF(OR(ISNUMBER($N159),$N159="DNA"),$N159,""))))))))))="DNA",AND(ISNUMBER(IF(OR(ISNUMBER($Y159),$Y159="DNA"),$Y159,IF(OR(ISNUMBER($X159),$X159="DNA"),$X159,IF(OR(ISNUMBER($W159),$W159="DNA"),$W159,IF(OR(ISNUMBER($V159),$V159="DNA"),$V159,IF(OR(ISNUMBER($U159),$U159="DNA"),$U159,IF(OR(ISNUMBER($T159),$T159="DNA"),$T159,IF(OR(ISNUMBER($S159),$S159="DNA"),$S159,IF(OR(ISNUMBER($P159),$P159="DNA"),$P159,IF(OR(ISNUMBER($O159),$O159="DNA"),$O159,IF(OR(ISNUMBER($N159),$N159="DNA"),$N159,""))))))))))),IF(OR(ISNUMBER($Y159),$Y159="DNA"),$Y159,IF(OR(ISNUMBER($X159),$X159="DNA"),$X159,IF(OR(ISNUMBER($W159),$W159="DNA"),$W159,IF(OR(ISNUMBER($V159),$V159="DNA"),$V159,IF(OR(ISNUMBER($U159),$U159="DNA"),$U159,IF(OR(ISNUMBER($T159),$T159="DNA"),$T159,IF(OR(ISNUMBER($S159),$S159="DNA"),$S159,IF(OR(ISNUMBER($P159),$P159="DNA"),$P159,IF(OR(ISNUMBER($O159),$O159="DNA"),$O159,IF(OR(ISNUMBER($N159),$N159="DNA"),$N159,""))))))))))&lt;TODAY())),1,0)+ISNUMBER($Q159)*($Q159&lt;TODAY())+ISNUMBER($R159)*($R159&lt;TODAY())+ISNUMBER($AA159)*($AA159&lt;TODAY())+ISNUMBER($AB159)*($AB159&lt;TODAY()))</f>
        <v/>
      </c>
    </row>
    <row r="160">
      <c r="A160" s="25" t="n"/>
      <c r="B160" s="26" t="n"/>
      <c r="C160" s="27" t="n"/>
      <c r="D160" s="25" t="n"/>
      <c r="E160" s="25" t="n"/>
      <c r="F160" s="25" t="n"/>
      <c r="G160" s="25" t="n"/>
      <c r="H160" s="27" t="n"/>
      <c r="I160" s="25" t="n"/>
      <c r="J160" s="28">
        <f>IF(OR(NOT(AND($A160&lt;&gt;"",OR($I160="",$I160="Active"))),$H160=""),"",INT((TODAY()-$H160+280)/7)&amp;"+"&amp;MOD(TODAY()-$H160+280,7))</f>
        <v/>
      </c>
      <c r="K160" s="28">
        <f>IF(NOT(AND($A160&lt;&gt;"",OR($I160="",$I160="Active"))),"",ISNUMBER($N160)*($N160&gt;=TODAY())*($N160&lt;=TODAY()+7)+ISNUMBER($O160)*($O160&gt;=TODAY())*($O160&lt;=TODAY()+7)+ISNUMBER($P160)*($P160&gt;=TODAY())*($P160&lt;=TODAY()+7)+ISNUMBER($S160)*($S160&gt;=TODAY())*($S160&lt;=TODAY()+7)+ISNUMBER($T160)*($T160&gt;=TODAY())*($T160&lt;=TODAY()+7)+ISNUMBER($U160)*($U160&gt;=TODAY())*($U160&lt;=TODAY()+7)+ISNUMBER($V160)*($V160&gt;=TODAY())*($V160&lt;=TODAY()+7)+ISNUMBER($W160)*($W160&gt;=TODAY())*($W160&lt;=TODAY()+7)+ISNUMBER($X160)*($X160&gt;=TODAY())*($X160&lt;=TODAY()+7)+ISNUMBER($Y160)*($Y160&gt;=TODAY())*($Y160&lt;=TODAY()+7)+ISNUMBER($Q160)*($Q160&gt;=TODAY())*($Q160&lt;=TODAY()+7)+ISNUMBER($R160)*($R160&gt;=TODAY())*($R160&lt;=TODAY()+7)+ISNUMBER($AA160)*($AA160&gt;=TODAY())*($AA160&lt;=TODAY()+7)+ISNUMBER($AB160)*($AB160&gt;=TODAY())*($AB160&lt;=TODAY()+7))</f>
        <v/>
      </c>
      <c r="L160" s="28">
        <f>IF(NOT(AND($A160&lt;&gt;"",OR($I160="",$I160="Active"))),"",IF($M160&lt;&gt;"",IF($N160=$M160,"Booking",IF($O160=$M160,"16/40",IF($P160=$M160,"25/40",IF($S160=$M160,"28/40",IF($T160=$M160,"31/40",IF($U160=$M160,"34/40",IF($V160=$M160,"36/40",IF($W160=$M160,"38/40",IF($X160=$M160,"40/40",IF($Y160=$M160,"41/40","")))))))))),IF(IF(OR(ISNUMBER($Y160),$Y160="DNA"),$Y160,IF(OR(ISNUMBER($X160),$X160="DNA"),$X160,IF(OR(ISNUMBER($W160),$W160="DNA"),$W160,IF(OR(ISNUMBER($V160),$V160="DNA"),$V160,IF(OR(ISNUMBER($U160),$U160="DNA"),$U160,IF(OR(ISNUMBER($T160),$T160="DNA"),$T160,IF(OR(ISNUMBER($S160),$S160="DNA"),$S160,IF(OR(ISNUMBER($P160),$P160="DNA"),$P160,IF(OR(ISNUMBER($O160),$O160="DNA"),$O160,IF(OR(ISNUMBER($N160),$N160="DNA"),$N160,""))))))))))="DNA","Rebook DNA",IF(ISNUMBER(IF(OR(ISNUMBER($Y160),$Y160="DNA"),$Y160,IF(OR(ISNUMBER($X160),$X160="DNA"),$X160,IF(OR(ISNUMBER($W160),$W160="DNA"),$W160,IF(OR(ISNUMBER($V160),$V160="DNA"),$V160,IF(OR(ISNUMBER($U160),$U160="DNA"),$U160,IF(OR(ISNUMBER($T160),$T160="DNA"),$T160,IF(OR(ISNUMBER($S160),$S160="DNA"),$S160,IF(OR(ISNUMBER($P160),$P160="DNA"),$P160,IF(OR(ISNUMBER($O160),$O160="DNA"),$O160,IF(OR(ISNUMBER($N160),$N160="DNA"),$N160,""))))))))))),IF(ISNUMBER($Y160),"Update status","Missed/not booked?"),""))))</f>
        <v/>
      </c>
      <c r="M160" s="29">
        <f>IF(NOT(AND($A160&lt;&gt;"",OR($I160="",$I160="Active"))),"",IF(MIN(IF(AND(ISNUMBER($N160),$N160&gt;=TODAY()),$N160,99999),IF(AND(ISNUMBER($O160),$O160&gt;=TODAY()),$O160,99999),IF(AND(ISNUMBER($P160),$P160&gt;=TODAY()),$P160,99999),IF(AND(ISNUMBER($S160),$S160&gt;=TODAY()),$S160,99999),IF(AND(ISNUMBER($T160),$T160&gt;=TODAY()),$T160,99999),IF(AND(ISNUMBER($U160),$U160&gt;=TODAY()),$U160,99999),IF(AND(ISNUMBER($V160),$V160&gt;=TODAY()),$V160,99999),IF(AND(ISNUMBER($W160),$W160&gt;=TODAY()),$W160,99999),IF(AND(ISNUMBER($X160),$X160&gt;=TODAY()),$X160,99999),IF(AND(ISNUMBER($Y160),$Y160&gt;=TODAY()),$Y160,99999))=99999,"",MIN(IF(AND(ISNUMBER($N160),$N160&gt;=TODAY()),$N160,99999),IF(AND(ISNUMBER($O160),$O160&gt;=TODAY()),$O160,99999),IF(AND(ISNUMBER($P160),$P160&gt;=TODAY()),$P160,99999),IF(AND(ISNUMBER($S160),$S160&gt;=TODAY()),$S160,99999),IF(AND(ISNUMBER($T160),$T160&gt;=TODAY()),$T160,99999),IF(AND(ISNUMBER($U160),$U160&gt;=TODAY()),$U160,99999),IF(AND(ISNUMBER($V160),$V160&gt;=TODAY()),$V160,99999),IF(AND(ISNUMBER($W160),$W160&gt;=TODAY()),$W160,99999),IF(AND(ISNUMBER($X160),$X160&gt;=TODAY()),$X160,99999),IF(AND(ISNUMBER($Y160),$Y160&gt;=TODAY()),$Y160,99999))))</f>
        <v/>
      </c>
      <c r="N160" s="27" t="n"/>
      <c r="O160" s="27" t="n"/>
      <c r="P160" s="27" t="n"/>
      <c r="Q160" s="27" t="n"/>
      <c r="R160" s="27" t="n"/>
      <c r="S160" s="27" t="n"/>
      <c r="T160" s="27" t="n"/>
      <c r="U160" s="27" t="n"/>
      <c r="V160" s="27" t="n"/>
      <c r="W160" s="27" t="n"/>
      <c r="X160" s="27" t="n"/>
      <c r="Y160" s="27" t="n"/>
      <c r="Z160" s="27" t="n"/>
      <c r="AA160" s="27" t="n"/>
      <c r="AB160" s="27" t="n"/>
      <c r="AC160" s="30" t="n"/>
      <c r="AD160" s="25" t="n"/>
      <c r="AE160" s="28">
        <f>IF(NOT(AND($A160&lt;&gt;"",OR($I160="",$I160="Active"))),"",IF(OR(IF(OR(ISNUMBER($Y160),$Y160="DNA"),$Y160,IF(OR(ISNUMBER($X160),$X160="DNA"),$X160,IF(OR(ISNUMBER($W160),$W160="DNA"),$W160,IF(OR(ISNUMBER($V160),$V160="DNA"),$V160,IF(OR(ISNUMBER($U160),$U160="DNA"),$U160,IF(OR(ISNUMBER($T160),$T160="DNA"),$T160,IF(OR(ISNUMBER($S160),$S160="DNA"),$S160,IF(OR(ISNUMBER($P160),$P160="DNA"),$P160,IF(OR(ISNUMBER($O160),$O160="DNA"),$O160,IF(OR(ISNUMBER($N160),$N160="DNA"),$N160,""))))))))))="DNA",AND(ISNUMBER(IF(OR(ISNUMBER($Y160),$Y160="DNA"),$Y160,IF(OR(ISNUMBER($X160),$X160="DNA"),$X160,IF(OR(ISNUMBER($W160),$W160="DNA"),$W160,IF(OR(ISNUMBER($V160),$V160="DNA"),$V160,IF(OR(ISNUMBER($U160),$U160="DNA"),$U160,IF(OR(ISNUMBER($T160),$T160="DNA"),$T160,IF(OR(ISNUMBER($S160),$S160="DNA"),$S160,IF(OR(ISNUMBER($P160),$P160="DNA"),$P160,IF(OR(ISNUMBER($O160),$O160="DNA"),$O160,IF(OR(ISNUMBER($N160),$N160="DNA"),$N160,""))))))))))),IF(OR(ISNUMBER($Y160),$Y160="DNA"),$Y160,IF(OR(ISNUMBER($X160),$X160="DNA"),$X160,IF(OR(ISNUMBER($W160),$W160="DNA"),$W160,IF(OR(ISNUMBER($V160),$V160="DNA"),$V160,IF(OR(ISNUMBER($U160),$U160="DNA"),$U160,IF(OR(ISNUMBER($T160),$T160="DNA"),$T160,IF(OR(ISNUMBER($S160),$S160="DNA"),$S160,IF(OR(ISNUMBER($P160),$P160="DNA"),$P160,IF(OR(ISNUMBER($O160),$O160="DNA"),$O160,IF(OR(ISNUMBER($N160),$N160="DNA"),$N160,""))))))))))&lt;TODAY())),1,0)+ISNUMBER($Q160)*($Q160&lt;TODAY())+ISNUMBER($R160)*($R160&lt;TODAY())+ISNUMBER($AA160)*($AA160&lt;TODAY())+ISNUMBER($AB160)*($AB160&lt;TODAY()))</f>
        <v/>
      </c>
    </row>
    <row r="161">
      <c r="A161" s="25" t="n"/>
      <c r="B161" s="26" t="n"/>
      <c r="C161" s="27" t="n"/>
      <c r="D161" s="25" t="n"/>
      <c r="E161" s="25" t="n"/>
      <c r="F161" s="25" t="n"/>
      <c r="G161" s="25" t="n"/>
      <c r="H161" s="27" t="n"/>
      <c r="I161" s="25" t="n"/>
      <c r="J161" s="28">
        <f>IF(OR(NOT(AND($A161&lt;&gt;"",OR($I161="",$I161="Active"))),$H161=""),"",INT((TODAY()-$H161+280)/7)&amp;"+"&amp;MOD(TODAY()-$H161+280,7))</f>
        <v/>
      </c>
      <c r="K161" s="28">
        <f>IF(NOT(AND($A161&lt;&gt;"",OR($I161="",$I161="Active"))),"",ISNUMBER($N161)*($N161&gt;=TODAY())*($N161&lt;=TODAY()+7)+ISNUMBER($O161)*($O161&gt;=TODAY())*($O161&lt;=TODAY()+7)+ISNUMBER($P161)*($P161&gt;=TODAY())*($P161&lt;=TODAY()+7)+ISNUMBER($S161)*($S161&gt;=TODAY())*($S161&lt;=TODAY()+7)+ISNUMBER($T161)*($T161&gt;=TODAY())*($T161&lt;=TODAY()+7)+ISNUMBER($U161)*($U161&gt;=TODAY())*($U161&lt;=TODAY()+7)+ISNUMBER($V161)*($V161&gt;=TODAY())*($V161&lt;=TODAY()+7)+ISNUMBER($W161)*($W161&gt;=TODAY())*($W161&lt;=TODAY()+7)+ISNUMBER($X161)*($X161&gt;=TODAY())*($X161&lt;=TODAY()+7)+ISNUMBER($Y161)*($Y161&gt;=TODAY())*($Y161&lt;=TODAY()+7)+ISNUMBER($Q161)*($Q161&gt;=TODAY())*($Q161&lt;=TODAY()+7)+ISNUMBER($R161)*($R161&gt;=TODAY())*($R161&lt;=TODAY()+7)+ISNUMBER($AA161)*($AA161&gt;=TODAY())*($AA161&lt;=TODAY()+7)+ISNUMBER($AB161)*($AB161&gt;=TODAY())*($AB161&lt;=TODAY()+7))</f>
        <v/>
      </c>
      <c r="L161" s="28">
        <f>IF(NOT(AND($A161&lt;&gt;"",OR($I161="",$I161="Active"))),"",IF($M161&lt;&gt;"",IF($N161=$M161,"Booking",IF($O161=$M161,"16/40",IF($P161=$M161,"25/40",IF($S161=$M161,"28/40",IF($T161=$M161,"31/40",IF($U161=$M161,"34/40",IF($V161=$M161,"36/40",IF($W161=$M161,"38/40",IF($X161=$M161,"40/40",IF($Y161=$M161,"41/40","")))))))))),IF(IF(OR(ISNUMBER($Y161),$Y161="DNA"),$Y161,IF(OR(ISNUMBER($X161),$X161="DNA"),$X161,IF(OR(ISNUMBER($W161),$W161="DNA"),$W161,IF(OR(ISNUMBER($V161),$V161="DNA"),$V161,IF(OR(ISNUMBER($U161),$U161="DNA"),$U161,IF(OR(ISNUMBER($T161),$T161="DNA"),$T161,IF(OR(ISNUMBER($S161),$S161="DNA"),$S161,IF(OR(ISNUMBER($P161),$P161="DNA"),$P161,IF(OR(ISNUMBER($O161),$O161="DNA"),$O161,IF(OR(ISNUMBER($N161),$N161="DNA"),$N161,""))))))))))="DNA","Rebook DNA",IF(ISNUMBER(IF(OR(ISNUMBER($Y161),$Y161="DNA"),$Y161,IF(OR(ISNUMBER($X161),$X161="DNA"),$X161,IF(OR(ISNUMBER($W161),$W161="DNA"),$W161,IF(OR(ISNUMBER($V161),$V161="DNA"),$V161,IF(OR(ISNUMBER($U161),$U161="DNA"),$U161,IF(OR(ISNUMBER($T161),$T161="DNA"),$T161,IF(OR(ISNUMBER($S161),$S161="DNA"),$S161,IF(OR(ISNUMBER($P161),$P161="DNA"),$P161,IF(OR(ISNUMBER($O161),$O161="DNA"),$O161,IF(OR(ISNUMBER($N161),$N161="DNA"),$N161,""))))))))))),IF(ISNUMBER($Y161),"Update status","Missed/not booked?"),""))))</f>
        <v/>
      </c>
      <c r="M161" s="29">
        <f>IF(NOT(AND($A161&lt;&gt;"",OR($I161="",$I161="Active"))),"",IF(MIN(IF(AND(ISNUMBER($N161),$N161&gt;=TODAY()),$N161,99999),IF(AND(ISNUMBER($O161),$O161&gt;=TODAY()),$O161,99999),IF(AND(ISNUMBER($P161),$P161&gt;=TODAY()),$P161,99999),IF(AND(ISNUMBER($S161),$S161&gt;=TODAY()),$S161,99999),IF(AND(ISNUMBER($T161),$T161&gt;=TODAY()),$T161,99999),IF(AND(ISNUMBER($U161),$U161&gt;=TODAY()),$U161,99999),IF(AND(ISNUMBER($V161),$V161&gt;=TODAY()),$V161,99999),IF(AND(ISNUMBER($W161),$W161&gt;=TODAY()),$W161,99999),IF(AND(ISNUMBER($X161),$X161&gt;=TODAY()),$X161,99999),IF(AND(ISNUMBER($Y161),$Y161&gt;=TODAY()),$Y161,99999))=99999,"",MIN(IF(AND(ISNUMBER($N161),$N161&gt;=TODAY()),$N161,99999),IF(AND(ISNUMBER($O161),$O161&gt;=TODAY()),$O161,99999),IF(AND(ISNUMBER($P161),$P161&gt;=TODAY()),$P161,99999),IF(AND(ISNUMBER($S161),$S161&gt;=TODAY()),$S161,99999),IF(AND(ISNUMBER($T161),$T161&gt;=TODAY()),$T161,99999),IF(AND(ISNUMBER($U161),$U161&gt;=TODAY()),$U161,99999),IF(AND(ISNUMBER($V161),$V161&gt;=TODAY()),$V161,99999),IF(AND(ISNUMBER($W161),$W161&gt;=TODAY()),$W161,99999),IF(AND(ISNUMBER($X161),$X161&gt;=TODAY()),$X161,99999),IF(AND(ISNUMBER($Y161),$Y161&gt;=TODAY()),$Y161,99999))))</f>
        <v/>
      </c>
      <c r="N161" s="27" t="n"/>
      <c r="O161" s="27" t="n"/>
      <c r="P161" s="27" t="n"/>
      <c r="Q161" s="27" t="n"/>
      <c r="R161" s="27" t="n"/>
      <c r="S161" s="27" t="n"/>
      <c r="T161" s="27" t="n"/>
      <c r="U161" s="27" t="n"/>
      <c r="V161" s="27" t="n"/>
      <c r="W161" s="27" t="n"/>
      <c r="X161" s="27" t="n"/>
      <c r="Y161" s="27" t="n"/>
      <c r="Z161" s="27" t="n"/>
      <c r="AA161" s="27" t="n"/>
      <c r="AB161" s="27" t="n"/>
      <c r="AC161" s="30" t="n"/>
      <c r="AD161" s="25" t="n"/>
      <c r="AE161" s="28">
        <f>IF(NOT(AND($A161&lt;&gt;"",OR($I161="",$I161="Active"))),"",IF(OR(IF(OR(ISNUMBER($Y161),$Y161="DNA"),$Y161,IF(OR(ISNUMBER($X161),$X161="DNA"),$X161,IF(OR(ISNUMBER($W161),$W161="DNA"),$W161,IF(OR(ISNUMBER($V161),$V161="DNA"),$V161,IF(OR(ISNUMBER($U161),$U161="DNA"),$U161,IF(OR(ISNUMBER($T161),$T161="DNA"),$T161,IF(OR(ISNUMBER($S161),$S161="DNA"),$S161,IF(OR(ISNUMBER($P161),$P161="DNA"),$P161,IF(OR(ISNUMBER($O161),$O161="DNA"),$O161,IF(OR(ISNUMBER($N161),$N161="DNA"),$N161,""))))))))))="DNA",AND(ISNUMBER(IF(OR(ISNUMBER($Y161),$Y161="DNA"),$Y161,IF(OR(ISNUMBER($X161),$X161="DNA"),$X161,IF(OR(ISNUMBER($W161),$W161="DNA"),$W161,IF(OR(ISNUMBER($V161),$V161="DNA"),$V161,IF(OR(ISNUMBER($U161),$U161="DNA"),$U161,IF(OR(ISNUMBER($T161),$T161="DNA"),$T161,IF(OR(ISNUMBER($S161),$S161="DNA"),$S161,IF(OR(ISNUMBER($P161),$P161="DNA"),$P161,IF(OR(ISNUMBER($O161),$O161="DNA"),$O161,IF(OR(ISNUMBER($N161),$N161="DNA"),$N161,""))))))))))),IF(OR(ISNUMBER($Y161),$Y161="DNA"),$Y161,IF(OR(ISNUMBER($X161),$X161="DNA"),$X161,IF(OR(ISNUMBER($W161),$W161="DNA"),$W161,IF(OR(ISNUMBER($V161),$V161="DNA"),$V161,IF(OR(ISNUMBER($U161),$U161="DNA"),$U161,IF(OR(ISNUMBER($T161),$T161="DNA"),$T161,IF(OR(ISNUMBER($S161),$S161="DNA"),$S161,IF(OR(ISNUMBER($P161),$P161="DNA"),$P161,IF(OR(ISNUMBER($O161),$O161="DNA"),$O161,IF(OR(ISNUMBER($N161),$N161="DNA"),$N161,""))))))))))&lt;TODAY())),1,0)+ISNUMBER($Q161)*($Q161&lt;TODAY())+ISNUMBER($R161)*($R161&lt;TODAY())+ISNUMBER($AA161)*($AA161&lt;TODAY())+ISNUMBER($AB161)*($AB161&lt;TODAY()))</f>
        <v/>
      </c>
    </row>
    <row r="162">
      <c r="A162" s="25" t="n"/>
      <c r="B162" s="26" t="n"/>
      <c r="C162" s="27" t="n"/>
      <c r="D162" s="25" t="n"/>
      <c r="E162" s="25" t="n"/>
      <c r="F162" s="25" t="n"/>
      <c r="G162" s="25" t="n"/>
      <c r="H162" s="27" t="n"/>
      <c r="I162" s="25" t="n"/>
      <c r="J162" s="28">
        <f>IF(OR(NOT(AND($A162&lt;&gt;"",OR($I162="",$I162="Active"))),$H162=""),"",INT((TODAY()-$H162+280)/7)&amp;"+"&amp;MOD(TODAY()-$H162+280,7))</f>
        <v/>
      </c>
      <c r="K162" s="28">
        <f>IF(NOT(AND($A162&lt;&gt;"",OR($I162="",$I162="Active"))),"",ISNUMBER($N162)*($N162&gt;=TODAY())*($N162&lt;=TODAY()+7)+ISNUMBER($O162)*($O162&gt;=TODAY())*($O162&lt;=TODAY()+7)+ISNUMBER($P162)*($P162&gt;=TODAY())*($P162&lt;=TODAY()+7)+ISNUMBER($S162)*($S162&gt;=TODAY())*($S162&lt;=TODAY()+7)+ISNUMBER($T162)*($T162&gt;=TODAY())*($T162&lt;=TODAY()+7)+ISNUMBER($U162)*($U162&gt;=TODAY())*($U162&lt;=TODAY()+7)+ISNUMBER($V162)*($V162&gt;=TODAY())*($V162&lt;=TODAY()+7)+ISNUMBER($W162)*($W162&gt;=TODAY())*($W162&lt;=TODAY()+7)+ISNUMBER($X162)*($X162&gt;=TODAY())*($X162&lt;=TODAY()+7)+ISNUMBER($Y162)*($Y162&gt;=TODAY())*($Y162&lt;=TODAY()+7)+ISNUMBER($Q162)*($Q162&gt;=TODAY())*($Q162&lt;=TODAY()+7)+ISNUMBER($R162)*($R162&gt;=TODAY())*($R162&lt;=TODAY()+7)+ISNUMBER($AA162)*($AA162&gt;=TODAY())*($AA162&lt;=TODAY()+7)+ISNUMBER($AB162)*($AB162&gt;=TODAY())*($AB162&lt;=TODAY()+7))</f>
        <v/>
      </c>
      <c r="L162" s="28">
        <f>IF(NOT(AND($A162&lt;&gt;"",OR($I162="",$I162="Active"))),"",IF($M162&lt;&gt;"",IF($N162=$M162,"Booking",IF($O162=$M162,"16/40",IF($P162=$M162,"25/40",IF($S162=$M162,"28/40",IF($T162=$M162,"31/40",IF($U162=$M162,"34/40",IF($V162=$M162,"36/40",IF($W162=$M162,"38/40",IF($X162=$M162,"40/40",IF($Y162=$M162,"41/40","")))))))))),IF(IF(OR(ISNUMBER($Y162),$Y162="DNA"),$Y162,IF(OR(ISNUMBER($X162),$X162="DNA"),$X162,IF(OR(ISNUMBER($W162),$W162="DNA"),$W162,IF(OR(ISNUMBER($V162),$V162="DNA"),$V162,IF(OR(ISNUMBER($U162),$U162="DNA"),$U162,IF(OR(ISNUMBER($T162),$T162="DNA"),$T162,IF(OR(ISNUMBER($S162),$S162="DNA"),$S162,IF(OR(ISNUMBER($P162),$P162="DNA"),$P162,IF(OR(ISNUMBER($O162),$O162="DNA"),$O162,IF(OR(ISNUMBER($N162),$N162="DNA"),$N162,""))))))))))="DNA","Rebook DNA",IF(ISNUMBER(IF(OR(ISNUMBER($Y162),$Y162="DNA"),$Y162,IF(OR(ISNUMBER($X162),$X162="DNA"),$X162,IF(OR(ISNUMBER($W162),$W162="DNA"),$W162,IF(OR(ISNUMBER($V162),$V162="DNA"),$V162,IF(OR(ISNUMBER($U162),$U162="DNA"),$U162,IF(OR(ISNUMBER($T162),$T162="DNA"),$T162,IF(OR(ISNUMBER($S162),$S162="DNA"),$S162,IF(OR(ISNUMBER($P162),$P162="DNA"),$P162,IF(OR(ISNUMBER($O162),$O162="DNA"),$O162,IF(OR(ISNUMBER($N162),$N162="DNA"),$N162,""))))))))))),IF(ISNUMBER($Y162),"Update status","Missed/not booked?"),""))))</f>
        <v/>
      </c>
      <c r="M162" s="29">
        <f>IF(NOT(AND($A162&lt;&gt;"",OR($I162="",$I162="Active"))),"",IF(MIN(IF(AND(ISNUMBER($N162),$N162&gt;=TODAY()),$N162,99999),IF(AND(ISNUMBER($O162),$O162&gt;=TODAY()),$O162,99999),IF(AND(ISNUMBER($P162),$P162&gt;=TODAY()),$P162,99999),IF(AND(ISNUMBER($S162),$S162&gt;=TODAY()),$S162,99999),IF(AND(ISNUMBER($T162),$T162&gt;=TODAY()),$T162,99999),IF(AND(ISNUMBER($U162),$U162&gt;=TODAY()),$U162,99999),IF(AND(ISNUMBER($V162),$V162&gt;=TODAY()),$V162,99999),IF(AND(ISNUMBER($W162),$W162&gt;=TODAY()),$W162,99999),IF(AND(ISNUMBER($X162),$X162&gt;=TODAY()),$X162,99999),IF(AND(ISNUMBER($Y162),$Y162&gt;=TODAY()),$Y162,99999))=99999,"",MIN(IF(AND(ISNUMBER($N162),$N162&gt;=TODAY()),$N162,99999),IF(AND(ISNUMBER($O162),$O162&gt;=TODAY()),$O162,99999),IF(AND(ISNUMBER($P162),$P162&gt;=TODAY()),$P162,99999),IF(AND(ISNUMBER($S162),$S162&gt;=TODAY()),$S162,99999),IF(AND(ISNUMBER($T162),$T162&gt;=TODAY()),$T162,99999),IF(AND(ISNUMBER($U162),$U162&gt;=TODAY()),$U162,99999),IF(AND(ISNUMBER($V162),$V162&gt;=TODAY()),$V162,99999),IF(AND(ISNUMBER($W162),$W162&gt;=TODAY()),$W162,99999),IF(AND(ISNUMBER($X162),$X162&gt;=TODAY()),$X162,99999),IF(AND(ISNUMBER($Y162),$Y162&gt;=TODAY()),$Y162,99999))))</f>
        <v/>
      </c>
      <c r="N162" s="27" t="n"/>
      <c r="O162" s="27" t="n"/>
      <c r="P162" s="27" t="n"/>
      <c r="Q162" s="27" t="n"/>
      <c r="R162" s="27" t="n"/>
      <c r="S162" s="27" t="n"/>
      <c r="T162" s="27" t="n"/>
      <c r="U162" s="27" t="n"/>
      <c r="V162" s="27" t="n"/>
      <c r="W162" s="27" t="n"/>
      <c r="X162" s="27" t="n"/>
      <c r="Y162" s="27" t="n"/>
      <c r="Z162" s="27" t="n"/>
      <c r="AA162" s="27" t="n"/>
      <c r="AB162" s="27" t="n"/>
      <c r="AC162" s="30" t="n"/>
      <c r="AD162" s="25" t="n"/>
      <c r="AE162" s="28">
        <f>IF(NOT(AND($A162&lt;&gt;"",OR($I162="",$I162="Active"))),"",IF(OR(IF(OR(ISNUMBER($Y162),$Y162="DNA"),$Y162,IF(OR(ISNUMBER($X162),$X162="DNA"),$X162,IF(OR(ISNUMBER($W162),$W162="DNA"),$W162,IF(OR(ISNUMBER($V162),$V162="DNA"),$V162,IF(OR(ISNUMBER($U162),$U162="DNA"),$U162,IF(OR(ISNUMBER($T162),$T162="DNA"),$T162,IF(OR(ISNUMBER($S162),$S162="DNA"),$S162,IF(OR(ISNUMBER($P162),$P162="DNA"),$P162,IF(OR(ISNUMBER($O162),$O162="DNA"),$O162,IF(OR(ISNUMBER($N162),$N162="DNA"),$N162,""))))))))))="DNA",AND(ISNUMBER(IF(OR(ISNUMBER($Y162),$Y162="DNA"),$Y162,IF(OR(ISNUMBER($X162),$X162="DNA"),$X162,IF(OR(ISNUMBER($W162),$W162="DNA"),$W162,IF(OR(ISNUMBER($V162),$V162="DNA"),$V162,IF(OR(ISNUMBER($U162),$U162="DNA"),$U162,IF(OR(ISNUMBER($T162),$T162="DNA"),$T162,IF(OR(ISNUMBER($S162),$S162="DNA"),$S162,IF(OR(ISNUMBER($P162),$P162="DNA"),$P162,IF(OR(ISNUMBER($O162),$O162="DNA"),$O162,IF(OR(ISNUMBER($N162),$N162="DNA"),$N162,""))))))))))),IF(OR(ISNUMBER($Y162),$Y162="DNA"),$Y162,IF(OR(ISNUMBER($X162),$X162="DNA"),$X162,IF(OR(ISNUMBER($W162),$W162="DNA"),$W162,IF(OR(ISNUMBER($V162),$V162="DNA"),$V162,IF(OR(ISNUMBER($U162),$U162="DNA"),$U162,IF(OR(ISNUMBER($T162),$T162="DNA"),$T162,IF(OR(ISNUMBER($S162),$S162="DNA"),$S162,IF(OR(ISNUMBER($P162),$P162="DNA"),$P162,IF(OR(ISNUMBER($O162),$O162="DNA"),$O162,IF(OR(ISNUMBER($N162),$N162="DNA"),$N162,""))))))))))&lt;TODAY())),1,0)+ISNUMBER($Q162)*($Q162&lt;TODAY())+ISNUMBER($R162)*($R162&lt;TODAY())+ISNUMBER($AA162)*($AA162&lt;TODAY())+ISNUMBER($AB162)*($AB162&lt;TODAY()))</f>
        <v/>
      </c>
    </row>
    <row r="163">
      <c r="A163" s="25" t="n"/>
      <c r="B163" s="26" t="n"/>
      <c r="C163" s="27" t="n"/>
      <c r="D163" s="25" t="n"/>
      <c r="E163" s="25" t="n"/>
      <c r="F163" s="25" t="n"/>
      <c r="G163" s="25" t="n"/>
      <c r="H163" s="27" t="n"/>
      <c r="I163" s="25" t="n"/>
      <c r="J163" s="28">
        <f>IF(OR(NOT(AND($A163&lt;&gt;"",OR($I163="",$I163="Active"))),$H163=""),"",INT((TODAY()-$H163+280)/7)&amp;"+"&amp;MOD(TODAY()-$H163+280,7))</f>
        <v/>
      </c>
      <c r="K163" s="28">
        <f>IF(NOT(AND($A163&lt;&gt;"",OR($I163="",$I163="Active"))),"",ISNUMBER($N163)*($N163&gt;=TODAY())*($N163&lt;=TODAY()+7)+ISNUMBER($O163)*($O163&gt;=TODAY())*($O163&lt;=TODAY()+7)+ISNUMBER($P163)*($P163&gt;=TODAY())*($P163&lt;=TODAY()+7)+ISNUMBER($S163)*($S163&gt;=TODAY())*($S163&lt;=TODAY()+7)+ISNUMBER($T163)*($T163&gt;=TODAY())*($T163&lt;=TODAY()+7)+ISNUMBER($U163)*($U163&gt;=TODAY())*($U163&lt;=TODAY()+7)+ISNUMBER($V163)*($V163&gt;=TODAY())*($V163&lt;=TODAY()+7)+ISNUMBER($W163)*($W163&gt;=TODAY())*($W163&lt;=TODAY()+7)+ISNUMBER($X163)*($X163&gt;=TODAY())*($X163&lt;=TODAY()+7)+ISNUMBER($Y163)*($Y163&gt;=TODAY())*($Y163&lt;=TODAY()+7)+ISNUMBER($Q163)*($Q163&gt;=TODAY())*($Q163&lt;=TODAY()+7)+ISNUMBER($R163)*($R163&gt;=TODAY())*($R163&lt;=TODAY()+7)+ISNUMBER($AA163)*($AA163&gt;=TODAY())*($AA163&lt;=TODAY()+7)+ISNUMBER($AB163)*($AB163&gt;=TODAY())*($AB163&lt;=TODAY()+7))</f>
        <v/>
      </c>
      <c r="L163" s="28">
        <f>IF(NOT(AND($A163&lt;&gt;"",OR($I163="",$I163="Active"))),"",IF($M163&lt;&gt;"",IF($N163=$M163,"Booking",IF($O163=$M163,"16/40",IF($P163=$M163,"25/40",IF($S163=$M163,"28/40",IF($T163=$M163,"31/40",IF($U163=$M163,"34/40",IF($V163=$M163,"36/40",IF($W163=$M163,"38/40",IF($X163=$M163,"40/40",IF($Y163=$M163,"41/40","")))))))))),IF(IF(OR(ISNUMBER($Y163),$Y163="DNA"),$Y163,IF(OR(ISNUMBER($X163),$X163="DNA"),$X163,IF(OR(ISNUMBER($W163),$W163="DNA"),$W163,IF(OR(ISNUMBER($V163),$V163="DNA"),$V163,IF(OR(ISNUMBER($U163),$U163="DNA"),$U163,IF(OR(ISNUMBER($T163),$T163="DNA"),$T163,IF(OR(ISNUMBER($S163),$S163="DNA"),$S163,IF(OR(ISNUMBER($P163),$P163="DNA"),$P163,IF(OR(ISNUMBER($O163),$O163="DNA"),$O163,IF(OR(ISNUMBER($N163),$N163="DNA"),$N163,""))))))))))="DNA","Rebook DNA",IF(ISNUMBER(IF(OR(ISNUMBER($Y163),$Y163="DNA"),$Y163,IF(OR(ISNUMBER($X163),$X163="DNA"),$X163,IF(OR(ISNUMBER($W163),$W163="DNA"),$W163,IF(OR(ISNUMBER($V163),$V163="DNA"),$V163,IF(OR(ISNUMBER($U163),$U163="DNA"),$U163,IF(OR(ISNUMBER($T163),$T163="DNA"),$T163,IF(OR(ISNUMBER($S163),$S163="DNA"),$S163,IF(OR(ISNUMBER($P163),$P163="DNA"),$P163,IF(OR(ISNUMBER($O163),$O163="DNA"),$O163,IF(OR(ISNUMBER($N163),$N163="DNA"),$N163,""))))))))))),IF(ISNUMBER($Y163),"Update status","Missed/not booked?"),""))))</f>
        <v/>
      </c>
      <c r="M163" s="29">
        <f>IF(NOT(AND($A163&lt;&gt;"",OR($I163="",$I163="Active"))),"",IF(MIN(IF(AND(ISNUMBER($N163),$N163&gt;=TODAY()),$N163,99999),IF(AND(ISNUMBER($O163),$O163&gt;=TODAY()),$O163,99999),IF(AND(ISNUMBER($P163),$P163&gt;=TODAY()),$P163,99999),IF(AND(ISNUMBER($S163),$S163&gt;=TODAY()),$S163,99999),IF(AND(ISNUMBER($T163),$T163&gt;=TODAY()),$T163,99999),IF(AND(ISNUMBER($U163),$U163&gt;=TODAY()),$U163,99999),IF(AND(ISNUMBER($V163),$V163&gt;=TODAY()),$V163,99999),IF(AND(ISNUMBER($W163),$W163&gt;=TODAY()),$W163,99999),IF(AND(ISNUMBER($X163),$X163&gt;=TODAY()),$X163,99999),IF(AND(ISNUMBER($Y163),$Y163&gt;=TODAY()),$Y163,99999))=99999,"",MIN(IF(AND(ISNUMBER($N163),$N163&gt;=TODAY()),$N163,99999),IF(AND(ISNUMBER($O163),$O163&gt;=TODAY()),$O163,99999),IF(AND(ISNUMBER($P163),$P163&gt;=TODAY()),$P163,99999),IF(AND(ISNUMBER($S163),$S163&gt;=TODAY()),$S163,99999),IF(AND(ISNUMBER($T163),$T163&gt;=TODAY()),$T163,99999),IF(AND(ISNUMBER($U163),$U163&gt;=TODAY()),$U163,99999),IF(AND(ISNUMBER($V163),$V163&gt;=TODAY()),$V163,99999),IF(AND(ISNUMBER($W163),$W163&gt;=TODAY()),$W163,99999),IF(AND(ISNUMBER($X163),$X163&gt;=TODAY()),$X163,99999),IF(AND(ISNUMBER($Y163),$Y163&gt;=TODAY()),$Y163,99999))))</f>
        <v/>
      </c>
      <c r="N163" s="27" t="n"/>
      <c r="O163" s="27" t="n"/>
      <c r="P163" s="27" t="n"/>
      <c r="Q163" s="27" t="n"/>
      <c r="R163" s="27" t="n"/>
      <c r="S163" s="27" t="n"/>
      <c r="T163" s="27" t="n"/>
      <c r="U163" s="27" t="n"/>
      <c r="V163" s="27" t="n"/>
      <c r="W163" s="27" t="n"/>
      <c r="X163" s="27" t="n"/>
      <c r="Y163" s="27" t="n"/>
      <c r="Z163" s="27" t="n"/>
      <c r="AA163" s="27" t="n"/>
      <c r="AB163" s="27" t="n"/>
      <c r="AC163" s="30" t="n"/>
      <c r="AD163" s="25" t="n"/>
      <c r="AE163" s="28">
        <f>IF(NOT(AND($A163&lt;&gt;"",OR($I163="",$I163="Active"))),"",IF(OR(IF(OR(ISNUMBER($Y163),$Y163="DNA"),$Y163,IF(OR(ISNUMBER($X163),$X163="DNA"),$X163,IF(OR(ISNUMBER($W163),$W163="DNA"),$W163,IF(OR(ISNUMBER($V163),$V163="DNA"),$V163,IF(OR(ISNUMBER($U163),$U163="DNA"),$U163,IF(OR(ISNUMBER($T163),$T163="DNA"),$T163,IF(OR(ISNUMBER($S163),$S163="DNA"),$S163,IF(OR(ISNUMBER($P163),$P163="DNA"),$P163,IF(OR(ISNUMBER($O163),$O163="DNA"),$O163,IF(OR(ISNUMBER($N163),$N163="DNA"),$N163,""))))))))))="DNA",AND(ISNUMBER(IF(OR(ISNUMBER($Y163),$Y163="DNA"),$Y163,IF(OR(ISNUMBER($X163),$X163="DNA"),$X163,IF(OR(ISNUMBER($W163),$W163="DNA"),$W163,IF(OR(ISNUMBER($V163),$V163="DNA"),$V163,IF(OR(ISNUMBER($U163),$U163="DNA"),$U163,IF(OR(ISNUMBER($T163),$T163="DNA"),$T163,IF(OR(ISNUMBER($S163),$S163="DNA"),$S163,IF(OR(ISNUMBER($P163),$P163="DNA"),$P163,IF(OR(ISNUMBER($O163),$O163="DNA"),$O163,IF(OR(ISNUMBER($N163),$N163="DNA"),$N163,""))))))))))),IF(OR(ISNUMBER($Y163),$Y163="DNA"),$Y163,IF(OR(ISNUMBER($X163),$X163="DNA"),$X163,IF(OR(ISNUMBER($W163),$W163="DNA"),$W163,IF(OR(ISNUMBER($V163),$V163="DNA"),$V163,IF(OR(ISNUMBER($U163),$U163="DNA"),$U163,IF(OR(ISNUMBER($T163),$T163="DNA"),$T163,IF(OR(ISNUMBER($S163),$S163="DNA"),$S163,IF(OR(ISNUMBER($P163),$P163="DNA"),$P163,IF(OR(ISNUMBER($O163),$O163="DNA"),$O163,IF(OR(ISNUMBER($N163),$N163="DNA"),$N163,""))))))))))&lt;TODAY())),1,0)+ISNUMBER($Q163)*($Q163&lt;TODAY())+ISNUMBER($R163)*($R163&lt;TODAY())+ISNUMBER($AA163)*($AA163&lt;TODAY())+ISNUMBER($AB163)*($AB163&lt;TODAY()))</f>
        <v/>
      </c>
    </row>
    <row r="164">
      <c r="A164" s="25" t="n"/>
      <c r="B164" s="26" t="n"/>
      <c r="C164" s="27" t="n"/>
      <c r="D164" s="25" t="n"/>
      <c r="E164" s="25" t="n"/>
      <c r="F164" s="25" t="n"/>
      <c r="G164" s="25" t="n"/>
      <c r="H164" s="27" t="n"/>
      <c r="I164" s="25" t="n"/>
      <c r="J164" s="28">
        <f>IF(OR(NOT(AND($A164&lt;&gt;"",OR($I164="",$I164="Active"))),$H164=""),"",INT((TODAY()-$H164+280)/7)&amp;"+"&amp;MOD(TODAY()-$H164+280,7))</f>
        <v/>
      </c>
      <c r="K164" s="28">
        <f>IF(NOT(AND($A164&lt;&gt;"",OR($I164="",$I164="Active"))),"",ISNUMBER($N164)*($N164&gt;=TODAY())*($N164&lt;=TODAY()+7)+ISNUMBER($O164)*($O164&gt;=TODAY())*($O164&lt;=TODAY()+7)+ISNUMBER($P164)*($P164&gt;=TODAY())*($P164&lt;=TODAY()+7)+ISNUMBER($S164)*($S164&gt;=TODAY())*($S164&lt;=TODAY()+7)+ISNUMBER($T164)*($T164&gt;=TODAY())*($T164&lt;=TODAY()+7)+ISNUMBER($U164)*($U164&gt;=TODAY())*($U164&lt;=TODAY()+7)+ISNUMBER($V164)*($V164&gt;=TODAY())*($V164&lt;=TODAY()+7)+ISNUMBER($W164)*($W164&gt;=TODAY())*($W164&lt;=TODAY()+7)+ISNUMBER($X164)*($X164&gt;=TODAY())*($X164&lt;=TODAY()+7)+ISNUMBER($Y164)*($Y164&gt;=TODAY())*($Y164&lt;=TODAY()+7)+ISNUMBER($Q164)*($Q164&gt;=TODAY())*($Q164&lt;=TODAY()+7)+ISNUMBER($R164)*($R164&gt;=TODAY())*($R164&lt;=TODAY()+7)+ISNUMBER($AA164)*($AA164&gt;=TODAY())*($AA164&lt;=TODAY()+7)+ISNUMBER($AB164)*($AB164&gt;=TODAY())*($AB164&lt;=TODAY()+7))</f>
        <v/>
      </c>
      <c r="L164" s="28">
        <f>IF(NOT(AND($A164&lt;&gt;"",OR($I164="",$I164="Active"))),"",IF($M164&lt;&gt;"",IF($N164=$M164,"Booking",IF($O164=$M164,"16/40",IF($P164=$M164,"25/40",IF($S164=$M164,"28/40",IF($T164=$M164,"31/40",IF($U164=$M164,"34/40",IF($V164=$M164,"36/40",IF($W164=$M164,"38/40",IF($X164=$M164,"40/40",IF($Y164=$M164,"41/40","")))))))))),IF(IF(OR(ISNUMBER($Y164),$Y164="DNA"),$Y164,IF(OR(ISNUMBER($X164),$X164="DNA"),$X164,IF(OR(ISNUMBER($W164),$W164="DNA"),$W164,IF(OR(ISNUMBER($V164),$V164="DNA"),$V164,IF(OR(ISNUMBER($U164),$U164="DNA"),$U164,IF(OR(ISNUMBER($T164),$T164="DNA"),$T164,IF(OR(ISNUMBER($S164),$S164="DNA"),$S164,IF(OR(ISNUMBER($P164),$P164="DNA"),$P164,IF(OR(ISNUMBER($O164),$O164="DNA"),$O164,IF(OR(ISNUMBER($N164),$N164="DNA"),$N164,""))))))))))="DNA","Rebook DNA",IF(ISNUMBER(IF(OR(ISNUMBER($Y164),$Y164="DNA"),$Y164,IF(OR(ISNUMBER($X164),$X164="DNA"),$X164,IF(OR(ISNUMBER($W164),$W164="DNA"),$W164,IF(OR(ISNUMBER($V164),$V164="DNA"),$V164,IF(OR(ISNUMBER($U164),$U164="DNA"),$U164,IF(OR(ISNUMBER($T164),$T164="DNA"),$T164,IF(OR(ISNUMBER($S164),$S164="DNA"),$S164,IF(OR(ISNUMBER($P164),$P164="DNA"),$P164,IF(OR(ISNUMBER($O164),$O164="DNA"),$O164,IF(OR(ISNUMBER($N164),$N164="DNA"),$N164,""))))))))))),IF(ISNUMBER($Y164),"Update status","Missed/not booked?"),""))))</f>
        <v/>
      </c>
      <c r="M164" s="29">
        <f>IF(NOT(AND($A164&lt;&gt;"",OR($I164="",$I164="Active"))),"",IF(MIN(IF(AND(ISNUMBER($N164),$N164&gt;=TODAY()),$N164,99999),IF(AND(ISNUMBER($O164),$O164&gt;=TODAY()),$O164,99999),IF(AND(ISNUMBER($P164),$P164&gt;=TODAY()),$P164,99999),IF(AND(ISNUMBER($S164),$S164&gt;=TODAY()),$S164,99999),IF(AND(ISNUMBER($T164),$T164&gt;=TODAY()),$T164,99999),IF(AND(ISNUMBER($U164),$U164&gt;=TODAY()),$U164,99999),IF(AND(ISNUMBER($V164),$V164&gt;=TODAY()),$V164,99999),IF(AND(ISNUMBER($W164),$W164&gt;=TODAY()),$W164,99999),IF(AND(ISNUMBER($X164),$X164&gt;=TODAY()),$X164,99999),IF(AND(ISNUMBER($Y164),$Y164&gt;=TODAY()),$Y164,99999))=99999,"",MIN(IF(AND(ISNUMBER($N164),$N164&gt;=TODAY()),$N164,99999),IF(AND(ISNUMBER($O164),$O164&gt;=TODAY()),$O164,99999),IF(AND(ISNUMBER($P164),$P164&gt;=TODAY()),$P164,99999),IF(AND(ISNUMBER($S164),$S164&gt;=TODAY()),$S164,99999),IF(AND(ISNUMBER($T164),$T164&gt;=TODAY()),$T164,99999),IF(AND(ISNUMBER($U164),$U164&gt;=TODAY()),$U164,99999),IF(AND(ISNUMBER($V164),$V164&gt;=TODAY()),$V164,99999),IF(AND(ISNUMBER($W164),$W164&gt;=TODAY()),$W164,99999),IF(AND(ISNUMBER($X164),$X164&gt;=TODAY()),$X164,99999),IF(AND(ISNUMBER($Y164),$Y164&gt;=TODAY()),$Y164,99999))))</f>
        <v/>
      </c>
      <c r="N164" s="27" t="n"/>
      <c r="O164" s="27" t="n"/>
      <c r="P164" s="27" t="n"/>
      <c r="Q164" s="27" t="n"/>
      <c r="R164" s="27" t="n"/>
      <c r="S164" s="27" t="n"/>
      <c r="T164" s="27" t="n"/>
      <c r="U164" s="27" t="n"/>
      <c r="V164" s="27" t="n"/>
      <c r="W164" s="27" t="n"/>
      <c r="X164" s="27" t="n"/>
      <c r="Y164" s="27" t="n"/>
      <c r="Z164" s="27" t="n"/>
      <c r="AA164" s="27" t="n"/>
      <c r="AB164" s="27" t="n"/>
      <c r="AC164" s="30" t="n"/>
      <c r="AD164" s="25" t="n"/>
      <c r="AE164" s="28">
        <f>IF(NOT(AND($A164&lt;&gt;"",OR($I164="",$I164="Active"))),"",IF(OR(IF(OR(ISNUMBER($Y164),$Y164="DNA"),$Y164,IF(OR(ISNUMBER($X164),$X164="DNA"),$X164,IF(OR(ISNUMBER($W164),$W164="DNA"),$W164,IF(OR(ISNUMBER($V164),$V164="DNA"),$V164,IF(OR(ISNUMBER($U164),$U164="DNA"),$U164,IF(OR(ISNUMBER($T164),$T164="DNA"),$T164,IF(OR(ISNUMBER($S164),$S164="DNA"),$S164,IF(OR(ISNUMBER($P164),$P164="DNA"),$P164,IF(OR(ISNUMBER($O164),$O164="DNA"),$O164,IF(OR(ISNUMBER($N164),$N164="DNA"),$N164,""))))))))))="DNA",AND(ISNUMBER(IF(OR(ISNUMBER($Y164),$Y164="DNA"),$Y164,IF(OR(ISNUMBER($X164),$X164="DNA"),$X164,IF(OR(ISNUMBER($W164),$W164="DNA"),$W164,IF(OR(ISNUMBER($V164),$V164="DNA"),$V164,IF(OR(ISNUMBER($U164),$U164="DNA"),$U164,IF(OR(ISNUMBER($T164),$T164="DNA"),$T164,IF(OR(ISNUMBER($S164),$S164="DNA"),$S164,IF(OR(ISNUMBER($P164),$P164="DNA"),$P164,IF(OR(ISNUMBER($O164),$O164="DNA"),$O164,IF(OR(ISNUMBER($N164),$N164="DNA"),$N164,""))))))))))),IF(OR(ISNUMBER($Y164),$Y164="DNA"),$Y164,IF(OR(ISNUMBER($X164),$X164="DNA"),$X164,IF(OR(ISNUMBER($W164),$W164="DNA"),$W164,IF(OR(ISNUMBER($V164),$V164="DNA"),$V164,IF(OR(ISNUMBER($U164),$U164="DNA"),$U164,IF(OR(ISNUMBER($T164),$T164="DNA"),$T164,IF(OR(ISNUMBER($S164),$S164="DNA"),$S164,IF(OR(ISNUMBER($P164),$P164="DNA"),$P164,IF(OR(ISNUMBER($O164),$O164="DNA"),$O164,IF(OR(ISNUMBER($N164),$N164="DNA"),$N164,""))))))))))&lt;TODAY())),1,0)+ISNUMBER($Q164)*($Q164&lt;TODAY())+ISNUMBER($R164)*($R164&lt;TODAY())+ISNUMBER($AA164)*($AA164&lt;TODAY())+ISNUMBER($AB164)*($AB164&lt;TODAY()))</f>
        <v/>
      </c>
    </row>
    <row r="165">
      <c r="A165" s="25" t="n"/>
      <c r="B165" s="26" t="n"/>
      <c r="C165" s="27" t="n"/>
      <c r="D165" s="25" t="n"/>
      <c r="E165" s="25" t="n"/>
      <c r="F165" s="25" t="n"/>
      <c r="G165" s="25" t="n"/>
      <c r="H165" s="27" t="n"/>
      <c r="I165" s="25" t="n"/>
      <c r="J165" s="28">
        <f>IF(OR(NOT(AND($A165&lt;&gt;"",OR($I165="",$I165="Active"))),$H165=""),"",INT((TODAY()-$H165+280)/7)&amp;"+"&amp;MOD(TODAY()-$H165+280,7))</f>
        <v/>
      </c>
      <c r="K165" s="28">
        <f>IF(NOT(AND($A165&lt;&gt;"",OR($I165="",$I165="Active"))),"",ISNUMBER($N165)*($N165&gt;=TODAY())*($N165&lt;=TODAY()+7)+ISNUMBER($O165)*($O165&gt;=TODAY())*($O165&lt;=TODAY()+7)+ISNUMBER($P165)*($P165&gt;=TODAY())*($P165&lt;=TODAY()+7)+ISNUMBER($S165)*($S165&gt;=TODAY())*($S165&lt;=TODAY()+7)+ISNUMBER($T165)*($T165&gt;=TODAY())*($T165&lt;=TODAY()+7)+ISNUMBER($U165)*($U165&gt;=TODAY())*($U165&lt;=TODAY()+7)+ISNUMBER($V165)*($V165&gt;=TODAY())*($V165&lt;=TODAY()+7)+ISNUMBER($W165)*($W165&gt;=TODAY())*($W165&lt;=TODAY()+7)+ISNUMBER($X165)*($X165&gt;=TODAY())*($X165&lt;=TODAY()+7)+ISNUMBER($Y165)*($Y165&gt;=TODAY())*($Y165&lt;=TODAY()+7)+ISNUMBER($Q165)*($Q165&gt;=TODAY())*($Q165&lt;=TODAY()+7)+ISNUMBER($R165)*($R165&gt;=TODAY())*($R165&lt;=TODAY()+7)+ISNUMBER($AA165)*($AA165&gt;=TODAY())*($AA165&lt;=TODAY()+7)+ISNUMBER($AB165)*($AB165&gt;=TODAY())*($AB165&lt;=TODAY()+7))</f>
        <v/>
      </c>
      <c r="L165" s="28">
        <f>IF(NOT(AND($A165&lt;&gt;"",OR($I165="",$I165="Active"))),"",IF($M165&lt;&gt;"",IF($N165=$M165,"Booking",IF($O165=$M165,"16/40",IF($P165=$M165,"25/40",IF($S165=$M165,"28/40",IF($T165=$M165,"31/40",IF($U165=$M165,"34/40",IF($V165=$M165,"36/40",IF($W165=$M165,"38/40",IF($X165=$M165,"40/40",IF($Y165=$M165,"41/40","")))))))))),IF(IF(OR(ISNUMBER($Y165),$Y165="DNA"),$Y165,IF(OR(ISNUMBER($X165),$X165="DNA"),$X165,IF(OR(ISNUMBER($W165),$W165="DNA"),$W165,IF(OR(ISNUMBER($V165),$V165="DNA"),$V165,IF(OR(ISNUMBER($U165),$U165="DNA"),$U165,IF(OR(ISNUMBER($T165),$T165="DNA"),$T165,IF(OR(ISNUMBER($S165),$S165="DNA"),$S165,IF(OR(ISNUMBER($P165),$P165="DNA"),$P165,IF(OR(ISNUMBER($O165),$O165="DNA"),$O165,IF(OR(ISNUMBER($N165),$N165="DNA"),$N165,""))))))))))="DNA","Rebook DNA",IF(ISNUMBER(IF(OR(ISNUMBER($Y165),$Y165="DNA"),$Y165,IF(OR(ISNUMBER($X165),$X165="DNA"),$X165,IF(OR(ISNUMBER($W165),$W165="DNA"),$W165,IF(OR(ISNUMBER($V165),$V165="DNA"),$V165,IF(OR(ISNUMBER($U165),$U165="DNA"),$U165,IF(OR(ISNUMBER($T165),$T165="DNA"),$T165,IF(OR(ISNUMBER($S165),$S165="DNA"),$S165,IF(OR(ISNUMBER($P165),$P165="DNA"),$P165,IF(OR(ISNUMBER($O165),$O165="DNA"),$O165,IF(OR(ISNUMBER($N165),$N165="DNA"),$N165,""))))))))))),IF(ISNUMBER($Y165),"Update status","Missed/not booked?"),""))))</f>
        <v/>
      </c>
      <c r="M165" s="29">
        <f>IF(NOT(AND($A165&lt;&gt;"",OR($I165="",$I165="Active"))),"",IF(MIN(IF(AND(ISNUMBER($N165),$N165&gt;=TODAY()),$N165,99999),IF(AND(ISNUMBER($O165),$O165&gt;=TODAY()),$O165,99999),IF(AND(ISNUMBER($P165),$P165&gt;=TODAY()),$P165,99999),IF(AND(ISNUMBER($S165),$S165&gt;=TODAY()),$S165,99999),IF(AND(ISNUMBER($T165),$T165&gt;=TODAY()),$T165,99999),IF(AND(ISNUMBER($U165),$U165&gt;=TODAY()),$U165,99999),IF(AND(ISNUMBER($V165),$V165&gt;=TODAY()),$V165,99999),IF(AND(ISNUMBER($W165),$W165&gt;=TODAY()),$W165,99999),IF(AND(ISNUMBER($X165),$X165&gt;=TODAY()),$X165,99999),IF(AND(ISNUMBER($Y165),$Y165&gt;=TODAY()),$Y165,99999))=99999,"",MIN(IF(AND(ISNUMBER($N165),$N165&gt;=TODAY()),$N165,99999),IF(AND(ISNUMBER($O165),$O165&gt;=TODAY()),$O165,99999),IF(AND(ISNUMBER($P165),$P165&gt;=TODAY()),$P165,99999),IF(AND(ISNUMBER($S165),$S165&gt;=TODAY()),$S165,99999),IF(AND(ISNUMBER($T165),$T165&gt;=TODAY()),$T165,99999),IF(AND(ISNUMBER($U165),$U165&gt;=TODAY()),$U165,99999),IF(AND(ISNUMBER($V165),$V165&gt;=TODAY()),$V165,99999),IF(AND(ISNUMBER($W165),$W165&gt;=TODAY()),$W165,99999),IF(AND(ISNUMBER($X165),$X165&gt;=TODAY()),$X165,99999),IF(AND(ISNUMBER($Y165),$Y165&gt;=TODAY()),$Y165,99999))))</f>
        <v/>
      </c>
      <c r="N165" s="27" t="n"/>
      <c r="O165" s="27" t="n"/>
      <c r="P165" s="27" t="n"/>
      <c r="Q165" s="27" t="n"/>
      <c r="R165" s="27" t="n"/>
      <c r="S165" s="27" t="n"/>
      <c r="T165" s="27" t="n"/>
      <c r="U165" s="27" t="n"/>
      <c r="V165" s="27" t="n"/>
      <c r="W165" s="27" t="n"/>
      <c r="X165" s="27" t="n"/>
      <c r="Y165" s="27" t="n"/>
      <c r="Z165" s="27" t="n"/>
      <c r="AA165" s="27" t="n"/>
      <c r="AB165" s="27" t="n"/>
      <c r="AC165" s="30" t="n"/>
      <c r="AD165" s="25" t="n"/>
      <c r="AE165" s="28">
        <f>IF(NOT(AND($A165&lt;&gt;"",OR($I165="",$I165="Active"))),"",IF(OR(IF(OR(ISNUMBER($Y165),$Y165="DNA"),$Y165,IF(OR(ISNUMBER($X165),$X165="DNA"),$X165,IF(OR(ISNUMBER($W165),$W165="DNA"),$W165,IF(OR(ISNUMBER($V165),$V165="DNA"),$V165,IF(OR(ISNUMBER($U165),$U165="DNA"),$U165,IF(OR(ISNUMBER($T165),$T165="DNA"),$T165,IF(OR(ISNUMBER($S165),$S165="DNA"),$S165,IF(OR(ISNUMBER($P165),$P165="DNA"),$P165,IF(OR(ISNUMBER($O165),$O165="DNA"),$O165,IF(OR(ISNUMBER($N165),$N165="DNA"),$N165,""))))))))))="DNA",AND(ISNUMBER(IF(OR(ISNUMBER($Y165),$Y165="DNA"),$Y165,IF(OR(ISNUMBER($X165),$X165="DNA"),$X165,IF(OR(ISNUMBER($W165),$W165="DNA"),$W165,IF(OR(ISNUMBER($V165),$V165="DNA"),$V165,IF(OR(ISNUMBER($U165),$U165="DNA"),$U165,IF(OR(ISNUMBER($T165),$T165="DNA"),$T165,IF(OR(ISNUMBER($S165),$S165="DNA"),$S165,IF(OR(ISNUMBER($P165),$P165="DNA"),$P165,IF(OR(ISNUMBER($O165),$O165="DNA"),$O165,IF(OR(ISNUMBER($N165),$N165="DNA"),$N165,""))))))))))),IF(OR(ISNUMBER($Y165),$Y165="DNA"),$Y165,IF(OR(ISNUMBER($X165),$X165="DNA"),$X165,IF(OR(ISNUMBER($W165),$W165="DNA"),$W165,IF(OR(ISNUMBER($V165),$V165="DNA"),$V165,IF(OR(ISNUMBER($U165),$U165="DNA"),$U165,IF(OR(ISNUMBER($T165),$T165="DNA"),$T165,IF(OR(ISNUMBER($S165),$S165="DNA"),$S165,IF(OR(ISNUMBER($P165),$P165="DNA"),$P165,IF(OR(ISNUMBER($O165),$O165="DNA"),$O165,IF(OR(ISNUMBER($N165),$N165="DNA"),$N165,""))))))))))&lt;TODAY())),1,0)+ISNUMBER($Q165)*($Q165&lt;TODAY())+ISNUMBER($R165)*($R165&lt;TODAY())+ISNUMBER($AA165)*($AA165&lt;TODAY())+ISNUMBER($AB165)*($AB165&lt;TODAY()))</f>
        <v/>
      </c>
    </row>
    <row r="166">
      <c r="A166" s="25" t="n"/>
      <c r="B166" s="26" t="n"/>
      <c r="C166" s="27" t="n"/>
      <c r="D166" s="25" t="n"/>
      <c r="E166" s="25" t="n"/>
      <c r="F166" s="25" t="n"/>
      <c r="G166" s="25" t="n"/>
      <c r="H166" s="27" t="n"/>
      <c r="I166" s="25" t="n"/>
      <c r="J166" s="28">
        <f>IF(OR(NOT(AND($A166&lt;&gt;"",OR($I166="",$I166="Active"))),$H166=""),"",INT((TODAY()-$H166+280)/7)&amp;"+"&amp;MOD(TODAY()-$H166+280,7))</f>
        <v/>
      </c>
      <c r="K166" s="28">
        <f>IF(NOT(AND($A166&lt;&gt;"",OR($I166="",$I166="Active"))),"",ISNUMBER($N166)*($N166&gt;=TODAY())*($N166&lt;=TODAY()+7)+ISNUMBER($O166)*($O166&gt;=TODAY())*($O166&lt;=TODAY()+7)+ISNUMBER($P166)*($P166&gt;=TODAY())*($P166&lt;=TODAY()+7)+ISNUMBER($S166)*($S166&gt;=TODAY())*($S166&lt;=TODAY()+7)+ISNUMBER($T166)*($T166&gt;=TODAY())*($T166&lt;=TODAY()+7)+ISNUMBER($U166)*($U166&gt;=TODAY())*($U166&lt;=TODAY()+7)+ISNUMBER($V166)*($V166&gt;=TODAY())*($V166&lt;=TODAY()+7)+ISNUMBER($W166)*($W166&gt;=TODAY())*($W166&lt;=TODAY()+7)+ISNUMBER($X166)*($X166&gt;=TODAY())*($X166&lt;=TODAY()+7)+ISNUMBER($Y166)*($Y166&gt;=TODAY())*($Y166&lt;=TODAY()+7)+ISNUMBER($Q166)*($Q166&gt;=TODAY())*($Q166&lt;=TODAY()+7)+ISNUMBER($R166)*($R166&gt;=TODAY())*($R166&lt;=TODAY()+7)+ISNUMBER($AA166)*($AA166&gt;=TODAY())*($AA166&lt;=TODAY()+7)+ISNUMBER($AB166)*($AB166&gt;=TODAY())*($AB166&lt;=TODAY()+7))</f>
        <v/>
      </c>
      <c r="L166" s="28">
        <f>IF(NOT(AND($A166&lt;&gt;"",OR($I166="",$I166="Active"))),"",IF($M166&lt;&gt;"",IF($N166=$M166,"Booking",IF($O166=$M166,"16/40",IF($P166=$M166,"25/40",IF($S166=$M166,"28/40",IF($T166=$M166,"31/40",IF($U166=$M166,"34/40",IF($V166=$M166,"36/40",IF($W166=$M166,"38/40",IF($X166=$M166,"40/40",IF($Y166=$M166,"41/40","")))))))))),IF(IF(OR(ISNUMBER($Y166),$Y166="DNA"),$Y166,IF(OR(ISNUMBER($X166),$X166="DNA"),$X166,IF(OR(ISNUMBER($W166),$W166="DNA"),$W166,IF(OR(ISNUMBER($V166),$V166="DNA"),$V166,IF(OR(ISNUMBER($U166),$U166="DNA"),$U166,IF(OR(ISNUMBER($T166),$T166="DNA"),$T166,IF(OR(ISNUMBER($S166),$S166="DNA"),$S166,IF(OR(ISNUMBER($P166),$P166="DNA"),$P166,IF(OR(ISNUMBER($O166),$O166="DNA"),$O166,IF(OR(ISNUMBER($N166),$N166="DNA"),$N166,""))))))))))="DNA","Rebook DNA",IF(ISNUMBER(IF(OR(ISNUMBER($Y166),$Y166="DNA"),$Y166,IF(OR(ISNUMBER($X166),$X166="DNA"),$X166,IF(OR(ISNUMBER($W166),$W166="DNA"),$W166,IF(OR(ISNUMBER($V166),$V166="DNA"),$V166,IF(OR(ISNUMBER($U166),$U166="DNA"),$U166,IF(OR(ISNUMBER($T166),$T166="DNA"),$T166,IF(OR(ISNUMBER($S166),$S166="DNA"),$S166,IF(OR(ISNUMBER($P166),$P166="DNA"),$P166,IF(OR(ISNUMBER($O166),$O166="DNA"),$O166,IF(OR(ISNUMBER($N166),$N166="DNA"),$N166,""))))))))))),IF(ISNUMBER($Y166),"Update status","Missed/not booked?"),""))))</f>
        <v/>
      </c>
      <c r="M166" s="29">
        <f>IF(NOT(AND($A166&lt;&gt;"",OR($I166="",$I166="Active"))),"",IF(MIN(IF(AND(ISNUMBER($N166),$N166&gt;=TODAY()),$N166,99999),IF(AND(ISNUMBER($O166),$O166&gt;=TODAY()),$O166,99999),IF(AND(ISNUMBER($P166),$P166&gt;=TODAY()),$P166,99999),IF(AND(ISNUMBER($S166),$S166&gt;=TODAY()),$S166,99999),IF(AND(ISNUMBER($T166),$T166&gt;=TODAY()),$T166,99999),IF(AND(ISNUMBER($U166),$U166&gt;=TODAY()),$U166,99999),IF(AND(ISNUMBER($V166),$V166&gt;=TODAY()),$V166,99999),IF(AND(ISNUMBER($W166),$W166&gt;=TODAY()),$W166,99999),IF(AND(ISNUMBER($X166),$X166&gt;=TODAY()),$X166,99999),IF(AND(ISNUMBER($Y166),$Y166&gt;=TODAY()),$Y166,99999))=99999,"",MIN(IF(AND(ISNUMBER($N166),$N166&gt;=TODAY()),$N166,99999),IF(AND(ISNUMBER($O166),$O166&gt;=TODAY()),$O166,99999),IF(AND(ISNUMBER($P166),$P166&gt;=TODAY()),$P166,99999),IF(AND(ISNUMBER($S166),$S166&gt;=TODAY()),$S166,99999),IF(AND(ISNUMBER($T166),$T166&gt;=TODAY()),$T166,99999),IF(AND(ISNUMBER($U166),$U166&gt;=TODAY()),$U166,99999),IF(AND(ISNUMBER($V166),$V166&gt;=TODAY()),$V166,99999),IF(AND(ISNUMBER($W166),$W166&gt;=TODAY()),$W166,99999),IF(AND(ISNUMBER($X166),$X166&gt;=TODAY()),$X166,99999),IF(AND(ISNUMBER($Y166),$Y166&gt;=TODAY()),$Y166,99999))))</f>
        <v/>
      </c>
      <c r="N166" s="27" t="n"/>
      <c r="O166" s="27" t="n"/>
      <c r="P166" s="27" t="n"/>
      <c r="Q166" s="27" t="n"/>
      <c r="R166" s="27" t="n"/>
      <c r="S166" s="27" t="n"/>
      <c r="T166" s="27" t="n"/>
      <c r="U166" s="27" t="n"/>
      <c r="V166" s="27" t="n"/>
      <c r="W166" s="27" t="n"/>
      <c r="X166" s="27" t="n"/>
      <c r="Y166" s="27" t="n"/>
      <c r="Z166" s="27" t="n"/>
      <c r="AA166" s="27" t="n"/>
      <c r="AB166" s="27" t="n"/>
      <c r="AC166" s="30" t="n"/>
      <c r="AD166" s="25" t="n"/>
      <c r="AE166" s="28">
        <f>IF(NOT(AND($A166&lt;&gt;"",OR($I166="",$I166="Active"))),"",IF(OR(IF(OR(ISNUMBER($Y166),$Y166="DNA"),$Y166,IF(OR(ISNUMBER($X166),$X166="DNA"),$X166,IF(OR(ISNUMBER($W166),$W166="DNA"),$W166,IF(OR(ISNUMBER($V166),$V166="DNA"),$V166,IF(OR(ISNUMBER($U166),$U166="DNA"),$U166,IF(OR(ISNUMBER($T166),$T166="DNA"),$T166,IF(OR(ISNUMBER($S166),$S166="DNA"),$S166,IF(OR(ISNUMBER($P166),$P166="DNA"),$P166,IF(OR(ISNUMBER($O166),$O166="DNA"),$O166,IF(OR(ISNUMBER($N166),$N166="DNA"),$N166,""))))))))))="DNA",AND(ISNUMBER(IF(OR(ISNUMBER($Y166),$Y166="DNA"),$Y166,IF(OR(ISNUMBER($X166),$X166="DNA"),$X166,IF(OR(ISNUMBER($W166),$W166="DNA"),$W166,IF(OR(ISNUMBER($V166),$V166="DNA"),$V166,IF(OR(ISNUMBER($U166),$U166="DNA"),$U166,IF(OR(ISNUMBER($T166),$T166="DNA"),$T166,IF(OR(ISNUMBER($S166),$S166="DNA"),$S166,IF(OR(ISNUMBER($P166),$P166="DNA"),$P166,IF(OR(ISNUMBER($O166),$O166="DNA"),$O166,IF(OR(ISNUMBER($N166),$N166="DNA"),$N166,""))))))))))),IF(OR(ISNUMBER($Y166),$Y166="DNA"),$Y166,IF(OR(ISNUMBER($X166),$X166="DNA"),$X166,IF(OR(ISNUMBER($W166),$W166="DNA"),$W166,IF(OR(ISNUMBER($V166),$V166="DNA"),$V166,IF(OR(ISNUMBER($U166),$U166="DNA"),$U166,IF(OR(ISNUMBER($T166),$T166="DNA"),$T166,IF(OR(ISNUMBER($S166),$S166="DNA"),$S166,IF(OR(ISNUMBER($P166),$P166="DNA"),$P166,IF(OR(ISNUMBER($O166),$O166="DNA"),$O166,IF(OR(ISNUMBER($N166),$N166="DNA"),$N166,""))))))))))&lt;TODAY())),1,0)+ISNUMBER($Q166)*($Q166&lt;TODAY())+ISNUMBER($R166)*($R166&lt;TODAY())+ISNUMBER($AA166)*($AA166&lt;TODAY())+ISNUMBER($AB166)*($AB166&lt;TODAY()))</f>
        <v/>
      </c>
    </row>
    <row r="167">
      <c r="A167" s="25" t="n"/>
      <c r="B167" s="26" t="n"/>
      <c r="C167" s="27" t="n"/>
      <c r="D167" s="25" t="n"/>
      <c r="E167" s="25" t="n"/>
      <c r="F167" s="25" t="n"/>
      <c r="G167" s="25" t="n"/>
      <c r="H167" s="27" t="n"/>
      <c r="I167" s="25" t="n"/>
      <c r="J167" s="28">
        <f>IF(OR(NOT(AND($A167&lt;&gt;"",OR($I167="",$I167="Active"))),$H167=""),"",INT((TODAY()-$H167+280)/7)&amp;"+"&amp;MOD(TODAY()-$H167+280,7))</f>
        <v/>
      </c>
      <c r="K167" s="28">
        <f>IF(NOT(AND($A167&lt;&gt;"",OR($I167="",$I167="Active"))),"",ISNUMBER($N167)*($N167&gt;=TODAY())*($N167&lt;=TODAY()+7)+ISNUMBER($O167)*($O167&gt;=TODAY())*($O167&lt;=TODAY()+7)+ISNUMBER($P167)*($P167&gt;=TODAY())*($P167&lt;=TODAY()+7)+ISNUMBER($S167)*($S167&gt;=TODAY())*($S167&lt;=TODAY()+7)+ISNUMBER($T167)*($T167&gt;=TODAY())*($T167&lt;=TODAY()+7)+ISNUMBER($U167)*($U167&gt;=TODAY())*($U167&lt;=TODAY()+7)+ISNUMBER($V167)*($V167&gt;=TODAY())*($V167&lt;=TODAY()+7)+ISNUMBER($W167)*($W167&gt;=TODAY())*($W167&lt;=TODAY()+7)+ISNUMBER($X167)*($X167&gt;=TODAY())*($X167&lt;=TODAY()+7)+ISNUMBER($Y167)*($Y167&gt;=TODAY())*($Y167&lt;=TODAY()+7)+ISNUMBER($Q167)*($Q167&gt;=TODAY())*($Q167&lt;=TODAY()+7)+ISNUMBER($R167)*($R167&gt;=TODAY())*($R167&lt;=TODAY()+7)+ISNUMBER($AA167)*($AA167&gt;=TODAY())*($AA167&lt;=TODAY()+7)+ISNUMBER($AB167)*($AB167&gt;=TODAY())*($AB167&lt;=TODAY()+7))</f>
        <v/>
      </c>
      <c r="L167" s="28">
        <f>IF(NOT(AND($A167&lt;&gt;"",OR($I167="",$I167="Active"))),"",IF($M167&lt;&gt;"",IF($N167=$M167,"Booking",IF($O167=$M167,"16/40",IF($P167=$M167,"25/40",IF($S167=$M167,"28/40",IF($T167=$M167,"31/40",IF($U167=$M167,"34/40",IF($V167=$M167,"36/40",IF($W167=$M167,"38/40",IF($X167=$M167,"40/40",IF($Y167=$M167,"41/40","")))))))))),IF(IF(OR(ISNUMBER($Y167),$Y167="DNA"),$Y167,IF(OR(ISNUMBER($X167),$X167="DNA"),$X167,IF(OR(ISNUMBER($W167),$W167="DNA"),$W167,IF(OR(ISNUMBER($V167),$V167="DNA"),$V167,IF(OR(ISNUMBER($U167),$U167="DNA"),$U167,IF(OR(ISNUMBER($T167),$T167="DNA"),$T167,IF(OR(ISNUMBER($S167),$S167="DNA"),$S167,IF(OR(ISNUMBER($P167),$P167="DNA"),$P167,IF(OR(ISNUMBER($O167),$O167="DNA"),$O167,IF(OR(ISNUMBER($N167),$N167="DNA"),$N167,""))))))))))="DNA","Rebook DNA",IF(ISNUMBER(IF(OR(ISNUMBER($Y167),$Y167="DNA"),$Y167,IF(OR(ISNUMBER($X167),$X167="DNA"),$X167,IF(OR(ISNUMBER($W167),$W167="DNA"),$W167,IF(OR(ISNUMBER($V167),$V167="DNA"),$V167,IF(OR(ISNUMBER($U167),$U167="DNA"),$U167,IF(OR(ISNUMBER($T167),$T167="DNA"),$T167,IF(OR(ISNUMBER($S167),$S167="DNA"),$S167,IF(OR(ISNUMBER($P167),$P167="DNA"),$P167,IF(OR(ISNUMBER($O167),$O167="DNA"),$O167,IF(OR(ISNUMBER($N167),$N167="DNA"),$N167,""))))))))))),IF(ISNUMBER($Y167),"Update status","Missed/not booked?"),""))))</f>
        <v/>
      </c>
      <c r="M167" s="29">
        <f>IF(NOT(AND($A167&lt;&gt;"",OR($I167="",$I167="Active"))),"",IF(MIN(IF(AND(ISNUMBER($N167),$N167&gt;=TODAY()),$N167,99999),IF(AND(ISNUMBER($O167),$O167&gt;=TODAY()),$O167,99999),IF(AND(ISNUMBER($P167),$P167&gt;=TODAY()),$P167,99999),IF(AND(ISNUMBER($S167),$S167&gt;=TODAY()),$S167,99999),IF(AND(ISNUMBER($T167),$T167&gt;=TODAY()),$T167,99999),IF(AND(ISNUMBER($U167),$U167&gt;=TODAY()),$U167,99999),IF(AND(ISNUMBER($V167),$V167&gt;=TODAY()),$V167,99999),IF(AND(ISNUMBER($W167),$W167&gt;=TODAY()),$W167,99999),IF(AND(ISNUMBER($X167),$X167&gt;=TODAY()),$X167,99999),IF(AND(ISNUMBER($Y167),$Y167&gt;=TODAY()),$Y167,99999))=99999,"",MIN(IF(AND(ISNUMBER($N167),$N167&gt;=TODAY()),$N167,99999),IF(AND(ISNUMBER($O167),$O167&gt;=TODAY()),$O167,99999),IF(AND(ISNUMBER($P167),$P167&gt;=TODAY()),$P167,99999),IF(AND(ISNUMBER($S167),$S167&gt;=TODAY()),$S167,99999),IF(AND(ISNUMBER($T167),$T167&gt;=TODAY()),$T167,99999),IF(AND(ISNUMBER($U167),$U167&gt;=TODAY()),$U167,99999),IF(AND(ISNUMBER($V167),$V167&gt;=TODAY()),$V167,99999),IF(AND(ISNUMBER($W167),$W167&gt;=TODAY()),$W167,99999),IF(AND(ISNUMBER($X167),$X167&gt;=TODAY()),$X167,99999),IF(AND(ISNUMBER($Y167),$Y167&gt;=TODAY()),$Y167,99999))))</f>
        <v/>
      </c>
      <c r="N167" s="27" t="n"/>
      <c r="O167" s="27" t="n"/>
      <c r="P167" s="27" t="n"/>
      <c r="Q167" s="27" t="n"/>
      <c r="R167" s="27" t="n"/>
      <c r="S167" s="27" t="n"/>
      <c r="T167" s="27" t="n"/>
      <c r="U167" s="27" t="n"/>
      <c r="V167" s="27" t="n"/>
      <c r="W167" s="27" t="n"/>
      <c r="X167" s="27" t="n"/>
      <c r="Y167" s="27" t="n"/>
      <c r="Z167" s="27" t="n"/>
      <c r="AA167" s="27" t="n"/>
      <c r="AB167" s="27" t="n"/>
      <c r="AC167" s="30" t="n"/>
      <c r="AD167" s="25" t="n"/>
      <c r="AE167" s="28">
        <f>IF(NOT(AND($A167&lt;&gt;"",OR($I167="",$I167="Active"))),"",IF(OR(IF(OR(ISNUMBER($Y167),$Y167="DNA"),$Y167,IF(OR(ISNUMBER($X167),$X167="DNA"),$X167,IF(OR(ISNUMBER($W167),$W167="DNA"),$W167,IF(OR(ISNUMBER($V167),$V167="DNA"),$V167,IF(OR(ISNUMBER($U167),$U167="DNA"),$U167,IF(OR(ISNUMBER($T167),$T167="DNA"),$T167,IF(OR(ISNUMBER($S167),$S167="DNA"),$S167,IF(OR(ISNUMBER($P167),$P167="DNA"),$P167,IF(OR(ISNUMBER($O167),$O167="DNA"),$O167,IF(OR(ISNUMBER($N167),$N167="DNA"),$N167,""))))))))))="DNA",AND(ISNUMBER(IF(OR(ISNUMBER($Y167),$Y167="DNA"),$Y167,IF(OR(ISNUMBER($X167),$X167="DNA"),$X167,IF(OR(ISNUMBER($W167),$W167="DNA"),$W167,IF(OR(ISNUMBER($V167),$V167="DNA"),$V167,IF(OR(ISNUMBER($U167),$U167="DNA"),$U167,IF(OR(ISNUMBER($T167),$T167="DNA"),$T167,IF(OR(ISNUMBER($S167),$S167="DNA"),$S167,IF(OR(ISNUMBER($P167),$P167="DNA"),$P167,IF(OR(ISNUMBER($O167),$O167="DNA"),$O167,IF(OR(ISNUMBER($N167),$N167="DNA"),$N167,""))))))))))),IF(OR(ISNUMBER($Y167),$Y167="DNA"),$Y167,IF(OR(ISNUMBER($X167),$X167="DNA"),$X167,IF(OR(ISNUMBER($W167),$W167="DNA"),$W167,IF(OR(ISNUMBER($V167),$V167="DNA"),$V167,IF(OR(ISNUMBER($U167),$U167="DNA"),$U167,IF(OR(ISNUMBER($T167),$T167="DNA"),$T167,IF(OR(ISNUMBER($S167),$S167="DNA"),$S167,IF(OR(ISNUMBER($P167),$P167="DNA"),$P167,IF(OR(ISNUMBER($O167),$O167="DNA"),$O167,IF(OR(ISNUMBER($N167),$N167="DNA"),$N167,""))))))))))&lt;TODAY())),1,0)+ISNUMBER($Q167)*($Q167&lt;TODAY())+ISNUMBER($R167)*($R167&lt;TODAY())+ISNUMBER($AA167)*($AA167&lt;TODAY())+ISNUMBER($AB167)*($AB167&lt;TODAY()))</f>
        <v/>
      </c>
    </row>
    <row r="168">
      <c r="A168" s="25" t="n"/>
      <c r="B168" s="26" t="n"/>
      <c r="C168" s="27" t="n"/>
      <c r="D168" s="25" t="n"/>
      <c r="E168" s="25" t="n"/>
      <c r="F168" s="25" t="n"/>
      <c r="G168" s="25" t="n"/>
      <c r="H168" s="27" t="n"/>
      <c r="I168" s="25" t="n"/>
      <c r="J168" s="28">
        <f>IF(OR(NOT(AND($A168&lt;&gt;"",OR($I168="",$I168="Active"))),$H168=""),"",INT((TODAY()-$H168+280)/7)&amp;"+"&amp;MOD(TODAY()-$H168+280,7))</f>
        <v/>
      </c>
      <c r="K168" s="28">
        <f>IF(NOT(AND($A168&lt;&gt;"",OR($I168="",$I168="Active"))),"",ISNUMBER($N168)*($N168&gt;=TODAY())*($N168&lt;=TODAY()+7)+ISNUMBER($O168)*($O168&gt;=TODAY())*($O168&lt;=TODAY()+7)+ISNUMBER($P168)*($P168&gt;=TODAY())*($P168&lt;=TODAY()+7)+ISNUMBER($S168)*($S168&gt;=TODAY())*($S168&lt;=TODAY()+7)+ISNUMBER($T168)*($T168&gt;=TODAY())*($T168&lt;=TODAY()+7)+ISNUMBER($U168)*($U168&gt;=TODAY())*($U168&lt;=TODAY()+7)+ISNUMBER($V168)*($V168&gt;=TODAY())*($V168&lt;=TODAY()+7)+ISNUMBER($W168)*($W168&gt;=TODAY())*($W168&lt;=TODAY()+7)+ISNUMBER($X168)*($X168&gt;=TODAY())*($X168&lt;=TODAY()+7)+ISNUMBER($Y168)*($Y168&gt;=TODAY())*($Y168&lt;=TODAY()+7)+ISNUMBER($Q168)*($Q168&gt;=TODAY())*($Q168&lt;=TODAY()+7)+ISNUMBER($R168)*($R168&gt;=TODAY())*($R168&lt;=TODAY()+7)+ISNUMBER($AA168)*($AA168&gt;=TODAY())*($AA168&lt;=TODAY()+7)+ISNUMBER($AB168)*($AB168&gt;=TODAY())*($AB168&lt;=TODAY()+7))</f>
        <v/>
      </c>
      <c r="L168" s="28">
        <f>IF(NOT(AND($A168&lt;&gt;"",OR($I168="",$I168="Active"))),"",IF($M168&lt;&gt;"",IF($N168=$M168,"Booking",IF($O168=$M168,"16/40",IF($P168=$M168,"25/40",IF($S168=$M168,"28/40",IF($T168=$M168,"31/40",IF($U168=$M168,"34/40",IF($V168=$M168,"36/40",IF($W168=$M168,"38/40",IF($X168=$M168,"40/40",IF($Y168=$M168,"41/40","")))))))))),IF(IF(OR(ISNUMBER($Y168),$Y168="DNA"),$Y168,IF(OR(ISNUMBER($X168),$X168="DNA"),$X168,IF(OR(ISNUMBER($W168),$W168="DNA"),$W168,IF(OR(ISNUMBER($V168),$V168="DNA"),$V168,IF(OR(ISNUMBER($U168),$U168="DNA"),$U168,IF(OR(ISNUMBER($T168),$T168="DNA"),$T168,IF(OR(ISNUMBER($S168),$S168="DNA"),$S168,IF(OR(ISNUMBER($P168),$P168="DNA"),$P168,IF(OR(ISNUMBER($O168),$O168="DNA"),$O168,IF(OR(ISNUMBER($N168),$N168="DNA"),$N168,""))))))))))="DNA","Rebook DNA",IF(ISNUMBER(IF(OR(ISNUMBER($Y168),$Y168="DNA"),$Y168,IF(OR(ISNUMBER($X168),$X168="DNA"),$X168,IF(OR(ISNUMBER($W168),$W168="DNA"),$W168,IF(OR(ISNUMBER($V168),$V168="DNA"),$V168,IF(OR(ISNUMBER($U168),$U168="DNA"),$U168,IF(OR(ISNUMBER($T168),$T168="DNA"),$T168,IF(OR(ISNUMBER($S168),$S168="DNA"),$S168,IF(OR(ISNUMBER($P168),$P168="DNA"),$P168,IF(OR(ISNUMBER($O168),$O168="DNA"),$O168,IF(OR(ISNUMBER($N168),$N168="DNA"),$N168,""))))))))))),IF(ISNUMBER($Y168),"Update status","Missed/not booked?"),""))))</f>
        <v/>
      </c>
      <c r="M168" s="29">
        <f>IF(NOT(AND($A168&lt;&gt;"",OR($I168="",$I168="Active"))),"",IF(MIN(IF(AND(ISNUMBER($N168),$N168&gt;=TODAY()),$N168,99999),IF(AND(ISNUMBER($O168),$O168&gt;=TODAY()),$O168,99999),IF(AND(ISNUMBER($P168),$P168&gt;=TODAY()),$P168,99999),IF(AND(ISNUMBER($S168),$S168&gt;=TODAY()),$S168,99999),IF(AND(ISNUMBER($T168),$T168&gt;=TODAY()),$T168,99999),IF(AND(ISNUMBER($U168),$U168&gt;=TODAY()),$U168,99999),IF(AND(ISNUMBER($V168),$V168&gt;=TODAY()),$V168,99999),IF(AND(ISNUMBER($W168),$W168&gt;=TODAY()),$W168,99999),IF(AND(ISNUMBER($X168),$X168&gt;=TODAY()),$X168,99999),IF(AND(ISNUMBER($Y168),$Y168&gt;=TODAY()),$Y168,99999))=99999,"",MIN(IF(AND(ISNUMBER($N168),$N168&gt;=TODAY()),$N168,99999),IF(AND(ISNUMBER($O168),$O168&gt;=TODAY()),$O168,99999),IF(AND(ISNUMBER($P168),$P168&gt;=TODAY()),$P168,99999),IF(AND(ISNUMBER($S168),$S168&gt;=TODAY()),$S168,99999),IF(AND(ISNUMBER($T168),$T168&gt;=TODAY()),$T168,99999),IF(AND(ISNUMBER($U168),$U168&gt;=TODAY()),$U168,99999),IF(AND(ISNUMBER($V168),$V168&gt;=TODAY()),$V168,99999),IF(AND(ISNUMBER($W168),$W168&gt;=TODAY()),$W168,99999),IF(AND(ISNUMBER($X168),$X168&gt;=TODAY()),$X168,99999),IF(AND(ISNUMBER($Y168),$Y168&gt;=TODAY()),$Y168,99999))))</f>
        <v/>
      </c>
      <c r="N168" s="27" t="n"/>
      <c r="O168" s="27" t="n"/>
      <c r="P168" s="27" t="n"/>
      <c r="Q168" s="27" t="n"/>
      <c r="R168" s="27" t="n"/>
      <c r="S168" s="27" t="n"/>
      <c r="T168" s="27" t="n"/>
      <c r="U168" s="27" t="n"/>
      <c r="V168" s="27" t="n"/>
      <c r="W168" s="27" t="n"/>
      <c r="X168" s="27" t="n"/>
      <c r="Y168" s="27" t="n"/>
      <c r="Z168" s="27" t="n"/>
      <c r="AA168" s="27" t="n"/>
      <c r="AB168" s="27" t="n"/>
      <c r="AC168" s="30" t="n"/>
      <c r="AD168" s="25" t="n"/>
      <c r="AE168" s="28">
        <f>IF(NOT(AND($A168&lt;&gt;"",OR($I168="",$I168="Active"))),"",IF(OR(IF(OR(ISNUMBER($Y168),$Y168="DNA"),$Y168,IF(OR(ISNUMBER($X168),$X168="DNA"),$X168,IF(OR(ISNUMBER($W168),$W168="DNA"),$W168,IF(OR(ISNUMBER($V168),$V168="DNA"),$V168,IF(OR(ISNUMBER($U168),$U168="DNA"),$U168,IF(OR(ISNUMBER($T168),$T168="DNA"),$T168,IF(OR(ISNUMBER($S168),$S168="DNA"),$S168,IF(OR(ISNUMBER($P168),$P168="DNA"),$P168,IF(OR(ISNUMBER($O168),$O168="DNA"),$O168,IF(OR(ISNUMBER($N168),$N168="DNA"),$N168,""))))))))))="DNA",AND(ISNUMBER(IF(OR(ISNUMBER($Y168),$Y168="DNA"),$Y168,IF(OR(ISNUMBER($X168),$X168="DNA"),$X168,IF(OR(ISNUMBER($W168),$W168="DNA"),$W168,IF(OR(ISNUMBER($V168),$V168="DNA"),$V168,IF(OR(ISNUMBER($U168),$U168="DNA"),$U168,IF(OR(ISNUMBER($T168),$T168="DNA"),$T168,IF(OR(ISNUMBER($S168),$S168="DNA"),$S168,IF(OR(ISNUMBER($P168),$P168="DNA"),$P168,IF(OR(ISNUMBER($O168),$O168="DNA"),$O168,IF(OR(ISNUMBER($N168),$N168="DNA"),$N168,""))))))))))),IF(OR(ISNUMBER($Y168),$Y168="DNA"),$Y168,IF(OR(ISNUMBER($X168),$X168="DNA"),$X168,IF(OR(ISNUMBER($W168),$W168="DNA"),$W168,IF(OR(ISNUMBER($V168),$V168="DNA"),$V168,IF(OR(ISNUMBER($U168),$U168="DNA"),$U168,IF(OR(ISNUMBER($T168),$T168="DNA"),$T168,IF(OR(ISNUMBER($S168),$S168="DNA"),$S168,IF(OR(ISNUMBER($P168),$P168="DNA"),$P168,IF(OR(ISNUMBER($O168),$O168="DNA"),$O168,IF(OR(ISNUMBER($N168),$N168="DNA"),$N168,""))))))))))&lt;TODAY())),1,0)+ISNUMBER($Q168)*($Q168&lt;TODAY())+ISNUMBER($R168)*($R168&lt;TODAY())+ISNUMBER($AA168)*($AA168&lt;TODAY())+ISNUMBER($AB168)*($AB168&lt;TODAY()))</f>
        <v/>
      </c>
    </row>
    <row r="169">
      <c r="A169" s="25" t="n"/>
      <c r="B169" s="26" t="n"/>
      <c r="C169" s="27" t="n"/>
      <c r="D169" s="25" t="n"/>
      <c r="E169" s="25" t="n"/>
      <c r="F169" s="25" t="n"/>
      <c r="G169" s="25" t="n"/>
      <c r="H169" s="27" t="n"/>
      <c r="I169" s="25" t="n"/>
      <c r="J169" s="28">
        <f>IF(OR(NOT(AND($A169&lt;&gt;"",OR($I169="",$I169="Active"))),$H169=""),"",INT((TODAY()-$H169+280)/7)&amp;"+"&amp;MOD(TODAY()-$H169+280,7))</f>
        <v/>
      </c>
      <c r="K169" s="28">
        <f>IF(NOT(AND($A169&lt;&gt;"",OR($I169="",$I169="Active"))),"",ISNUMBER($N169)*($N169&gt;=TODAY())*($N169&lt;=TODAY()+7)+ISNUMBER($O169)*($O169&gt;=TODAY())*($O169&lt;=TODAY()+7)+ISNUMBER($P169)*($P169&gt;=TODAY())*($P169&lt;=TODAY()+7)+ISNUMBER($S169)*($S169&gt;=TODAY())*($S169&lt;=TODAY()+7)+ISNUMBER($T169)*($T169&gt;=TODAY())*($T169&lt;=TODAY()+7)+ISNUMBER($U169)*($U169&gt;=TODAY())*($U169&lt;=TODAY()+7)+ISNUMBER($V169)*($V169&gt;=TODAY())*($V169&lt;=TODAY()+7)+ISNUMBER($W169)*($W169&gt;=TODAY())*($W169&lt;=TODAY()+7)+ISNUMBER($X169)*($X169&gt;=TODAY())*($X169&lt;=TODAY()+7)+ISNUMBER($Y169)*($Y169&gt;=TODAY())*($Y169&lt;=TODAY()+7)+ISNUMBER($Q169)*($Q169&gt;=TODAY())*($Q169&lt;=TODAY()+7)+ISNUMBER($R169)*($R169&gt;=TODAY())*($R169&lt;=TODAY()+7)+ISNUMBER($AA169)*($AA169&gt;=TODAY())*($AA169&lt;=TODAY()+7)+ISNUMBER($AB169)*($AB169&gt;=TODAY())*($AB169&lt;=TODAY()+7))</f>
        <v/>
      </c>
      <c r="L169" s="28">
        <f>IF(NOT(AND($A169&lt;&gt;"",OR($I169="",$I169="Active"))),"",IF($M169&lt;&gt;"",IF($N169=$M169,"Booking",IF($O169=$M169,"16/40",IF($P169=$M169,"25/40",IF($S169=$M169,"28/40",IF($T169=$M169,"31/40",IF($U169=$M169,"34/40",IF($V169=$M169,"36/40",IF($W169=$M169,"38/40",IF($X169=$M169,"40/40",IF($Y169=$M169,"41/40","")))))))))),IF(IF(OR(ISNUMBER($Y169),$Y169="DNA"),$Y169,IF(OR(ISNUMBER($X169),$X169="DNA"),$X169,IF(OR(ISNUMBER($W169),$W169="DNA"),$W169,IF(OR(ISNUMBER($V169),$V169="DNA"),$V169,IF(OR(ISNUMBER($U169),$U169="DNA"),$U169,IF(OR(ISNUMBER($T169),$T169="DNA"),$T169,IF(OR(ISNUMBER($S169),$S169="DNA"),$S169,IF(OR(ISNUMBER($P169),$P169="DNA"),$P169,IF(OR(ISNUMBER($O169),$O169="DNA"),$O169,IF(OR(ISNUMBER($N169),$N169="DNA"),$N169,""))))))))))="DNA","Rebook DNA",IF(ISNUMBER(IF(OR(ISNUMBER($Y169),$Y169="DNA"),$Y169,IF(OR(ISNUMBER($X169),$X169="DNA"),$X169,IF(OR(ISNUMBER($W169),$W169="DNA"),$W169,IF(OR(ISNUMBER($V169),$V169="DNA"),$V169,IF(OR(ISNUMBER($U169),$U169="DNA"),$U169,IF(OR(ISNUMBER($T169),$T169="DNA"),$T169,IF(OR(ISNUMBER($S169),$S169="DNA"),$S169,IF(OR(ISNUMBER($P169),$P169="DNA"),$P169,IF(OR(ISNUMBER($O169),$O169="DNA"),$O169,IF(OR(ISNUMBER($N169),$N169="DNA"),$N169,""))))))))))),IF(ISNUMBER($Y169),"Update status","Missed/not booked?"),""))))</f>
        <v/>
      </c>
      <c r="M169" s="29">
        <f>IF(NOT(AND($A169&lt;&gt;"",OR($I169="",$I169="Active"))),"",IF(MIN(IF(AND(ISNUMBER($N169),$N169&gt;=TODAY()),$N169,99999),IF(AND(ISNUMBER($O169),$O169&gt;=TODAY()),$O169,99999),IF(AND(ISNUMBER($P169),$P169&gt;=TODAY()),$P169,99999),IF(AND(ISNUMBER($S169),$S169&gt;=TODAY()),$S169,99999),IF(AND(ISNUMBER($T169),$T169&gt;=TODAY()),$T169,99999),IF(AND(ISNUMBER($U169),$U169&gt;=TODAY()),$U169,99999),IF(AND(ISNUMBER($V169),$V169&gt;=TODAY()),$V169,99999),IF(AND(ISNUMBER($W169),$W169&gt;=TODAY()),$W169,99999),IF(AND(ISNUMBER($X169),$X169&gt;=TODAY()),$X169,99999),IF(AND(ISNUMBER($Y169),$Y169&gt;=TODAY()),$Y169,99999))=99999,"",MIN(IF(AND(ISNUMBER($N169),$N169&gt;=TODAY()),$N169,99999),IF(AND(ISNUMBER($O169),$O169&gt;=TODAY()),$O169,99999),IF(AND(ISNUMBER($P169),$P169&gt;=TODAY()),$P169,99999),IF(AND(ISNUMBER($S169),$S169&gt;=TODAY()),$S169,99999),IF(AND(ISNUMBER($T169),$T169&gt;=TODAY()),$T169,99999),IF(AND(ISNUMBER($U169),$U169&gt;=TODAY()),$U169,99999),IF(AND(ISNUMBER($V169),$V169&gt;=TODAY()),$V169,99999),IF(AND(ISNUMBER($W169),$W169&gt;=TODAY()),$W169,99999),IF(AND(ISNUMBER($X169),$X169&gt;=TODAY()),$X169,99999),IF(AND(ISNUMBER($Y169),$Y169&gt;=TODAY()),$Y169,99999))))</f>
        <v/>
      </c>
      <c r="N169" s="27" t="n"/>
      <c r="O169" s="27" t="n"/>
      <c r="P169" s="27" t="n"/>
      <c r="Q169" s="27" t="n"/>
      <c r="R169" s="27" t="n"/>
      <c r="S169" s="27" t="n"/>
      <c r="T169" s="27" t="n"/>
      <c r="U169" s="27" t="n"/>
      <c r="V169" s="27" t="n"/>
      <c r="W169" s="27" t="n"/>
      <c r="X169" s="27" t="n"/>
      <c r="Y169" s="27" t="n"/>
      <c r="Z169" s="27" t="n"/>
      <c r="AA169" s="27" t="n"/>
      <c r="AB169" s="27" t="n"/>
      <c r="AC169" s="30" t="n"/>
      <c r="AD169" s="25" t="n"/>
      <c r="AE169" s="28">
        <f>IF(NOT(AND($A169&lt;&gt;"",OR($I169="",$I169="Active"))),"",IF(OR(IF(OR(ISNUMBER($Y169),$Y169="DNA"),$Y169,IF(OR(ISNUMBER($X169),$X169="DNA"),$X169,IF(OR(ISNUMBER($W169),$W169="DNA"),$W169,IF(OR(ISNUMBER($V169),$V169="DNA"),$V169,IF(OR(ISNUMBER($U169),$U169="DNA"),$U169,IF(OR(ISNUMBER($T169),$T169="DNA"),$T169,IF(OR(ISNUMBER($S169),$S169="DNA"),$S169,IF(OR(ISNUMBER($P169),$P169="DNA"),$P169,IF(OR(ISNUMBER($O169),$O169="DNA"),$O169,IF(OR(ISNUMBER($N169),$N169="DNA"),$N169,""))))))))))="DNA",AND(ISNUMBER(IF(OR(ISNUMBER($Y169),$Y169="DNA"),$Y169,IF(OR(ISNUMBER($X169),$X169="DNA"),$X169,IF(OR(ISNUMBER($W169),$W169="DNA"),$W169,IF(OR(ISNUMBER($V169),$V169="DNA"),$V169,IF(OR(ISNUMBER($U169),$U169="DNA"),$U169,IF(OR(ISNUMBER($T169),$T169="DNA"),$T169,IF(OR(ISNUMBER($S169),$S169="DNA"),$S169,IF(OR(ISNUMBER($P169),$P169="DNA"),$P169,IF(OR(ISNUMBER($O169),$O169="DNA"),$O169,IF(OR(ISNUMBER($N169),$N169="DNA"),$N169,""))))))))))),IF(OR(ISNUMBER($Y169),$Y169="DNA"),$Y169,IF(OR(ISNUMBER($X169),$X169="DNA"),$X169,IF(OR(ISNUMBER($W169),$W169="DNA"),$W169,IF(OR(ISNUMBER($V169),$V169="DNA"),$V169,IF(OR(ISNUMBER($U169),$U169="DNA"),$U169,IF(OR(ISNUMBER($T169),$T169="DNA"),$T169,IF(OR(ISNUMBER($S169),$S169="DNA"),$S169,IF(OR(ISNUMBER($P169),$P169="DNA"),$P169,IF(OR(ISNUMBER($O169),$O169="DNA"),$O169,IF(OR(ISNUMBER($N169),$N169="DNA"),$N169,""))))))))))&lt;TODAY())),1,0)+ISNUMBER($Q169)*($Q169&lt;TODAY())+ISNUMBER($R169)*($R169&lt;TODAY())+ISNUMBER($AA169)*($AA169&lt;TODAY())+ISNUMBER($AB169)*($AB169&lt;TODAY()))</f>
        <v/>
      </c>
    </row>
    <row r="170">
      <c r="A170" s="25" t="n"/>
      <c r="B170" s="26" t="n"/>
      <c r="C170" s="27" t="n"/>
      <c r="D170" s="25" t="n"/>
      <c r="E170" s="25" t="n"/>
      <c r="F170" s="25" t="n"/>
      <c r="G170" s="25" t="n"/>
      <c r="H170" s="27" t="n"/>
      <c r="I170" s="25" t="n"/>
      <c r="J170" s="28">
        <f>IF(OR(NOT(AND($A170&lt;&gt;"",OR($I170="",$I170="Active"))),$H170=""),"",INT((TODAY()-$H170+280)/7)&amp;"+"&amp;MOD(TODAY()-$H170+280,7))</f>
        <v/>
      </c>
      <c r="K170" s="28">
        <f>IF(NOT(AND($A170&lt;&gt;"",OR($I170="",$I170="Active"))),"",ISNUMBER($N170)*($N170&gt;=TODAY())*($N170&lt;=TODAY()+7)+ISNUMBER($O170)*($O170&gt;=TODAY())*($O170&lt;=TODAY()+7)+ISNUMBER($P170)*($P170&gt;=TODAY())*($P170&lt;=TODAY()+7)+ISNUMBER($S170)*($S170&gt;=TODAY())*($S170&lt;=TODAY()+7)+ISNUMBER($T170)*($T170&gt;=TODAY())*($T170&lt;=TODAY()+7)+ISNUMBER($U170)*($U170&gt;=TODAY())*($U170&lt;=TODAY()+7)+ISNUMBER($V170)*($V170&gt;=TODAY())*($V170&lt;=TODAY()+7)+ISNUMBER($W170)*($W170&gt;=TODAY())*($W170&lt;=TODAY()+7)+ISNUMBER($X170)*($X170&gt;=TODAY())*($X170&lt;=TODAY()+7)+ISNUMBER($Y170)*($Y170&gt;=TODAY())*($Y170&lt;=TODAY()+7)+ISNUMBER($Q170)*($Q170&gt;=TODAY())*($Q170&lt;=TODAY()+7)+ISNUMBER($R170)*($R170&gt;=TODAY())*($R170&lt;=TODAY()+7)+ISNUMBER($AA170)*($AA170&gt;=TODAY())*($AA170&lt;=TODAY()+7)+ISNUMBER($AB170)*($AB170&gt;=TODAY())*($AB170&lt;=TODAY()+7))</f>
        <v/>
      </c>
      <c r="L170" s="28">
        <f>IF(NOT(AND($A170&lt;&gt;"",OR($I170="",$I170="Active"))),"",IF($M170&lt;&gt;"",IF($N170=$M170,"Booking",IF($O170=$M170,"16/40",IF($P170=$M170,"25/40",IF($S170=$M170,"28/40",IF($T170=$M170,"31/40",IF($U170=$M170,"34/40",IF($V170=$M170,"36/40",IF($W170=$M170,"38/40",IF($X170=$M170,"40/40",IF($Y170=$M170,"41/40","")))))))))),IF(IF(OR(ISNUMBER($Y170),$Y170="DNA"),$Y170,IF(OR(ISNUMBER($X170),$X170="DNA"),$X170,IF(OR(ISNUMBER($W170),$W170="DNA"),$W170,IF(OR(ISNUMBER($V170),$V170="DNA"),$V170,IF(OR(ISNUMBER($U170),$U170="DNA"),$U170,IF(OR(ISNUMBER($T170),$T170="DNA"),$T170,IF(OR(ISNUMBER($S170),$S170="DNA"),$S170,IF(OR(ISNUMBER($P170),$P170="DNA"),$P170,IF(OR(ISNUMBER($O170),$O170="DNA"),$O170,IF(OR(ISNUMBER($N170),$N170="DNA"),$N170,""))))))))))="DNA","Rebook DNA",IF(ISNUMBER(IF(OR(ISNUMBER($Y170),$Y170="DNA"),$Y170,IF(OR(ISNUMBER($X170),$X170="DNA"),$X170,IF(OR(ISNUMBER($W170),$W170="DNA"),$W170,IF(OR(ISNUMBER($V170),$V170="DNA"),$V170,IF(OR(ISNUMBER($U170),$U170="DNA"),$U170,IF(OR(ISNUMBER($T170),$T170="DNA"),$T170,IF(OR(ISNUMBER($S170),$S170="DNA"),$S170,IF(OR(ISNUMBER($P170),$P170="DNA"),$P170,IF(OR(ISNUMBER($O170),$O170="DNA"),$O170,IF(OR(ISNUMBER($N170),$N170="DNA"),$N170,""))))))))))),IF(ISNUMBER($Y170),"Update status","Missed/not booked?"),""))))</f>
        <v/>
      </c>
      <c r="M170" s="29">
        <f>IF(NOT(AND($A170&lt;&gt;"",OR($I170="",$I170="Active"))),"",IF(MIN(IF(AND(ISNUMBER($N170),$N170&gt;=TODAY()),$N170,99999),IF(AND(ISNUMBER($O170),$O170&gt;=TODAY()),$O170,99999),IF(AND(ISNUMBER($P170),$P170&gt;=TODAY()),$P170,99999),IF(AND(ISNUMBER($S170),$S170&gt;=TODAY()),$S170,99999),IF(AND(ISNUMBER($T170),$T170&gt;=TODAY()),$T170,99999),IF(AND(ISNUMBER($U170),$U170&gt;=TODAY()),$U170,99999),IF(AND(ISNUMBER($V170),$V170&gt;=TODAY()),$V170,99999),IF(AND(ISNUMBER($W170),$W170&gt;=TODAY()),$W170,99999),IF(AND(ISNUMBER($X170),$X170&gt;=TODAY()),$X170,99999),IF(AND(ISNUMBER($Y170),$Y170&gt;=TODAY()),$Y170,99999))=99999,"",MIN(IF(AND(ISNUMBER($N170),$N170&gt;=TODAY()),$N170,99999),IF(AND(ISNUMBER($O170),$O170&gt;=TODAY()),$O170,99999),IF(AND(ISNUMBER($P170),$P170&gt;=TODAY()),$P170,99999),IF(AND(ISNUMBER($S170),$S170&gt;=TODAY()),$S170,99999),IF(AND(ISNUMBER($T170),$T170&gt;=TODAY()),$T170,99999),IF(AND(ISNUMBER($U170),$U170&gt;=TODAY()),$U170,99999),IF(AND(ISNUMBER($V170),$V170&gt;=TODAY()),$V170,99999),IF(AND(ISNUMBER($W170),$W170&gt;=TODAY()),$W170,99999),IF(AND(ISNUMBER($X170),$X170&gt;=TODAY()),$X170,99999),IF(AND(ISNUMBER($Y170),$Y170&gt;=TODAY()),$Y170,99999))))</f>
        <v/>
      </c>
      <c r="N170" s="27" t="n"/>
      <c r="O170" s="27" t="n"/>
      <c r="P170" s="27" t="n"/>
      <c r="Q170" s="27" t="n"/>
      <c r="R170" s="27" t="n"/>
      <c r="S170" s="27" t="n"/>
      <c r="T170" s="27" t="n"/>
      <c r="U170" s="27" t="n"/>
      <c r="V170" s="27" t="n"/>
      <c r="W170" s="27" t="n"/>
      <c r="X170" s="27" t="n"/>
      <c r="Y170" s="27" t="n"/>
      <c r="Z170" s="27" t="n"/>
      <c r="AA170" s="27" t="n"/>
      <c r="AB170" s="27" t="n"/>
      <c r="AC170" s="30" t="n"/>
      <c r="AD170" s="25" t="n"/>
      <c r="AE170" s="28">
        <f>IF(NOT(AND($A170&lt;&gt;"",OR($I170="",$I170="Active"))),"",IF(OR(IF(OR(ISNUMBER($Y170),$Y170="DNA"),$Y170,IF(OR(ISNUMBER($X170),$X170="DNA"),$X170,IF(OR(ISNUMBER($W170),$W170="DNA"),$W170,IF(OR(ISNUMBER($V170),$V170="DNA"),$V170,IF(OR(ISNUMBER($U170),$U170="DNA"),$U170,IF(OR(ISNUMBER($T170),$T170="DNA"),$T170,IF(OR(ISNUMBER($S170),$S170="DNA"),$S170,IF(OR(ISNUMBER($P170),$P170="DNA"),$P170,IF(OR(ISNUMBER($O170),$O170="DNA"),$O170,IF(OR(ISNUMBER($N170),$N170="DNA"),$N170,""))))))))))="DNA",AND(ISNUMBER(IF(OR(ISNUMBER($Y170),$Y170="DNA"),$Y170,IF(OR(ISNUMBER($X170),$X170="DNA"),$X170,IF(OR(ISNUMBER($W170),$W170="DNA"),$W170,IF(OR(ISNUMBER($V170),$V170="DNA"),$V170,IF(OR(ISNUMBER($U170),$U170="DNA"),$U170,IF(OR(ISNUMBER($T170),$T170="DNA"),$T170,IF(OR(ISNUMBER($S170),$S170="DNA"),$S170,IF(OR(ISNUMBER($P170),$P170="DNA"),$P170,IF(OR(ISNUMBER($O170),$O170="DNA"),$O170,IF(OR(ISNUMBER($N170),$N170="DNA"),$N170,""))))))))))),IF(OR(ISNUMBER($Y170),$Y170="DNA"),$Y170,IF(OR(ISNUMBER($X170),$X170="DNA"),$X170,IF(OR(ISNUMBER($W170),$W170="DNA"),$W170,IF(OR(ISNUMBER($V170),$V170="DNA"),$V170,IF(OR(ISNUMBER($U170),$U170="DNA"),$U170,IF(OR(ISNUMBER($T170),$T170="DNA"),$T170,IF(OR(ISNUMBER($S170),$S170="DNA"),$S170,IF(OR(ISNUMBER($P170),$P170="DNA"),$P170,IF(OR(ISNUMBER($O170),$O170="DNA"),$O170,IF(OR(ISNUMBER($N170),$N170="DNA"),$N170,""))))))))))&lt;TODAY())),1,0)+ISNUMBER($Q170)*($Q170&lt;TODAY())+ISNUMBER($R170)*($R170&lt;TODAY())+ISNUMBER($AA170)*($AA170&lt;TODAY())+ISNUMBER($AB170)*($AB170&lt;TODAY()))</f>
        <v/>
      </c>
    </row>
    <row r="171">
      <c r="A171" s="25" t="n"/>
      <c r="B171" s="26" t="n"/>
      <c r="C171" s="27" t="n"/>
      <c r="D171" s="25" t="n"/>
      <c r="E171" s="25" t="n"/>
      <c r="F171" s="25" t="n"/>
      <c r="G171" s="25" t="n"/>
      <c r="H171" s="27" t="n"/>
      <c r="I171" s="25" t="n"/>
      <c r="J171" s="28">
        <f>IF(OR(NOT(AND($A171&lt;&gt;"",OR($I171="",$I171="Active"))),$H171=""),"",INT((TODAY()-$H171+280)/7)&amp;"+"&amp;MOD(TODAY()-$H171+280,7))</f>
        <v/>
      </c>
      <c r="K171" s="28">
        <f>IF(NOT(AND($A171&lt;&gt;"",OR($I171="",$I171="Active"))),"",ISNUMBER($N171)*($N171&gt;=TODAY())*($N171&lt;=TODAY()+7)+ISNUMBER($O171)*($O171&gt;=TODAY())*($O171&lt;=TODAY()+7)+ISNUMBER($P171)*($P171&gt;=TODAY())*($P171&lt;=TODAY()+7)+ISNUMBER($S171)*($S171&gt;=TODAY())*($S171&lt;=TODAY()+7)+ISNUMBER($T171)*($T171&gt;=TODAY())*($T171&lt;=TODAY()+7)+ISNUMBER($U171)*($U171&gt;=TODAY())*($U171&lt;=TODAY()+7)+ISNUMBER($V171)*($V171&gt;=TODAY())*($V171&lt;=TODAY()+7)+ISNUMBER($W171)*($W171&gt;=TODAY())*($W171&lt;=TODAY()+7)+ISNUMBER($X171)*($X171&gt;=TODAY())*($X171&lt;=TODAY()+7)+ISNUMBER($Y171)*($Y171&gt;=TODAY())*($Y171&lt;=TODAY()+7)+ISNUMBER($Q171)*($Q171&gt;=TODAY())*($Q171&lt;=TODAY()+7)+ISNUMBER($R171)*($R171&gt;=TODAY())*($R171&lt;=TODAY()+7)+ISNUMBER($AA171)*($AA171&gt;=TODAY())*($AA171&lt;=TODAY()+7)+ISNUMBER($AB171)*($AB171&gt;=TODAY())*($AB171&lt;=TODAY()+7))</f>
        <v/>
      </c>
      <c r="L171" s="28">
        <f>IF(NOT(AND($A171&lt;&gt;"",OR($I171="",$I171="Active"))),"",IF($M171&lt;&gt;"",IF($N171=$M171,"Booking",IF($O171=$M171,"16/40",IF($P171=$M171,"25/40",IF($S171=$M171,"28/40",IF($T171=$M171,"31/40",IF($U171=$M171,"34/40",IF($V171=$M171,"36/40",IF($W171=$M171,"38/40",IF($X171=$M171,"40/40",IF($Y171=$M171,"41/40","")))))))))),IF(IF(OR(ISNUMBER($Y171),$Y171="DNA"),$Y171,IF(OR(ISNUMBER($X171),$X171="DNA"),$X171,IF(OR(ISNUMBER($W171),$W171="DNA"),$W171,IF(OR(ISNUMBER($V171),$V171="DNA"),$V171,IF(OR(ISNUMBER($U171),$U171="DNA"),$U171,IF(OR(ISNUMBER($T171),$T171="DNA"),$T171,IF(OR(ISNUMBER($S171),$S171="DNA"),$S171,IF(OR(ISNUMBER($P171),$P171="DNA"),$P171,IF(OR(ISNUMBER($O171),$O171="DNA"),$O171,IF(OR(ISNUMBER($N171),$N171="DNA"),$N171,""))))))))))="DNA","Rebook DNA",IF(ISNUMBER(IF(OR(ISNUMBER($Y171),$Y171="DNA"),$Y171,IF(OR(ISNUMBER($X171),$X171="DNA"),$X171,IF(OR(ISNUMBER($W171),$W171="DNA"),$W171,IF(OR(ISNUMBER($V171),$V171="DNA"),$V171,IF(OR(ISNUMBER($U171),$U171="DNA"),$U171,IF(OR(ISNUMBER($T171),$T171="DNA"),$T171,IF(OR(ISNUMBER($S171),$S171="DNA"),$S171,IF(OR(ISNUMBER($P171),$P171="DNA"),$P171,IF(OR(ISNUMBER($O171),$O171="DNA"),$O171,IF(OR(ISNUMBER($N171),$N171="DNA"),$N171,""))))))))))),IF(ISNUMBER($Y171),"Update status","Missed/not booked?"),""))))</f>
        <v/>
      </c>
      <c r="M171" s="29">
        <f>IF(NOT(AND($A171&lt;&gt;"",OR($I171="",$I171="Active"))),"",IF(MIN(IF(AND(ISNUMBER($N171),$N171&gt;=TODAY()),$N171,99999),IF(AND(ISNUMBER($O171),$O171&gt;=TODAY()),$O171,99999),IF(AND(ISNUMBER($P171),$P171&gt;=TODAY()),$P171,99999),IF(AND(ISNUMBER($S171),$S171&gt;=TODAY()),$S171,99999),IF(AND(ISNUMBER($T171),$T171&gt;=TODAY()),$T171,99999),IF(AND(ISNUMBER($U171),$U171&gt;=TODAY()),$U171,99999),IF(AND(ISNUMBER($V171),$V171&gt;=TODAY()),$V171,99999),IF(AND(ISNUMBER($W171),$W171&gt;=TODAY()),$W171,99999),IF(AND(ISNUMBER($X171),$X171&gt;=TODAY()),$X171,99999),IF(AND(ISNUMBER($Y171),$Y171&gt;=TODAY()),$Y171,99999))=99999,"",MIN(IF(AND(ISNUMBER($N171),$N171&gt;=TODAY()),$N171,99999),IF(AND(ISNUMBER($O171),$O171&gt;=TODAY()),$O171,99999),IF(AND(ISNUMBER($P171),$P171&gt;=TODAY()),$P171,99999),IF(AND(ISNUMBER($S171),$S171&gt;=TODAY()),$S171,99999),IF(AND(ISNUMBER($T171),$T171&gt;=TODAY()),$T171,99999),IF(AND(ISNUMBER($U171),$U171&gt;=TODAY()),$U171,99999),IF(AND(ISNUMBER($V171),$V171&gt;=TODAY()),$V171,99999),IF(AND(ISNUMBER($W171),$W171&gt;=TODAY()),$W171,99999),IF(AND(ISNUMBER($X171),$X171&gt;=TODAY()),$X171,99999),IF(AND(ISNUMBER($Y171),$Y171&gt;=TODAY()),$Y171,99999))))</f>
        <v/>
      </c>
      <c r="N171" s="27" t="n"/>
      <c r="O171" s="27" t="n"/>
      <c r="P171" s="27" t="n"/>
      <c r="Q171" s="27" t="n"/>
      <c r="R171" s="27" t="n"/>
      <c r="S171" s="27" t="n"/>
      <c r="T171" s="27" t="n"/>
      <c r="U171" s="27" t="n"/>
      <c r="V171" s="27" t="n"/>
      <c r="W171" s="27" t="n"/>
      <c r="X171" s="27" t="n"/>
      <c r="Y171" s="27" t="n"/>
      <c r="Z171" s="27" t="n"/>
      <c r="AA171" s="27" t="n"/>
      <c r="AB171" s="27" t="n"/>
      <c r="AC171" s="30" t="n"/>
      <c r="AD171" s="25" t="n"/>
      <c r="AE171" s="28">
        <f>IF(NOT(AND($A171&lt;&gt;"",OR($I171="",$I171="Active"))),"",IF(OR(IF(OR(ISNUMBER($Y171),$Y171="DNA"),$Y171,IF(OR(ISNUMBER($X171),$X171="DNA"),$X171,IF(OR(ISNUMBER($W171),$W171="DNA"),$W171,IF(OR(ISNUMBER($V171),$V171="DNA"),$V171,IF(OR(ISNUMBER($U171),$U171="DNA"),$U171,IF(OR(ISNUMBER($T171),$T171="DNA"),$T171,IF(OR(ISNUMBER($S171),$S171="DNA"),$S171,IF(OR(ISNUMBER($P171),$P171="DNA"),$P171,IF(OR(ISNUMBER($O171),$O171="DNA"),$O171,IF(OR(ISNUMBER($N171),$N171="DNA"),$N171,""))))))))))="DNA",AND(ISNUMBER(IF(OR(ISNUMBER($Y171),$Y171="DNA"),$Y171,IF(OR(ISNUMBER($X171),$X171="DNA"),$X171,IF(OR(ISNUMBER($W171),$W171="DNA"),$W171,IF(OR(ISNUMBER($V171),$V171="DNA"),$V171,IF(OR(ISNUMBER($U171),$U171="DNA"),$U171,IF(OR(ISNUMBER($T171),$T171="DNA"),$T171,IF(OR(ISNUMBER($S171),$S171="DNA"),$S171,IF(OR(ISNUMBER($P171),$P171="DNA"),$P171,IF(OR(ISNUMBER($O171),$O171="DNA"),$O171,IF(OR(ISNUMBER($N171),$N171="DNA"),$N171,""))))))))))),IF(OR(ISNUMBER($Y171),$Y171="DNA"),$Y171,IF(OR(ISNUMBER($X171),$X171="DNA"),$X171,IF(OR(ISNUMBER($W171),$W171="DNA"),$W171,IF(OR(ISNUMBER($V171),$V171="DNA"),$V171,IF(OR(ISNUMBER($U171),$U171="DNA"),$U171,IF(OR(ISNUMBER($T171),$T171="DNA"),$T171,IF(OR(ISNUMBER($S171),$S171="DNA"),$S171,IF(OR(ISNUMBER($P171),$P171="DNA"),$P171,IF(OR(ISNUMBER($O171),$O171="DNA"),$O171,IF(OR(ISNUMBER($N171),$N171="DNA"),$N171,""))))))))))&lt;TODAY())),1,0)+ISNUMBER($Q171)*($Q171&lt;TODAY())+ISNUMBER($R171)*($R171&lt;TODAY())+ISNUMBER($AA171)*($AA171&lt;TODAY())+ISNUMBER($AB171)*($AB171&lt;TODAY()))</f>
        <v/>
      </c>
    </row>
    <row r="172">
      <c r="A172" s="25" t="n"/>
      <c r="B172" s="26" t="n"/>
      <c r="C172" s="27" t="n"/>
      <c r="D172" s="25" t="n"/>
      <c r="E172" s="25" t="n"/>
      <c r="F172" s="25" t="n"/>
      <c r="G172" s="25" t="n"/>
      <c r="H172" s="27" t="n"/>
      <c r="I172" s="25" t="n"/>
      <c r="J172" s="28">
        <f>IF(OR(NOT(AND($A172&lt;&gt;"",OR($I172="",$I172="Active"))),$H172=""),"",INT((TODAY()-$H172+280)/7)&amp;"+"&amp;MOD(TODAY()-$H172+280,7))</f>
        <v/>
      </c>
      <c r="K172" s="28">
        <f>IF(NOT(AND($A172&lt;&gt;"",OR($I172="",$I172="Active"))),"",ISNUMBER($N172)*($N172&gt;=TODAY())*($N172&lt;=TODAY()+7)+ISNUMBER($O172)*($O172&gt;=TODAY())*($O172&lt;=TODAY()+7)+ISNUMBER($P172)*($P172&gt;=TODAY())*($P172&lt;=TODAY()+7)+ISNUMBER($S172)*($S172&gt;=TODAY())*($S172&lt;=TODAY()+7)+ISNUMBER($T172)*($T172&gt;=TODAY())*($T172&lt;=TODAY()+7)+ISNUMBER($U172)*($U172&gt;=TODAY())*($U172&lt;=TODAY()+7)+ISNUMBER($V172)*($V172&gt;=TODAY())*($V172&lt;=TODAY()+7)+ISNUMBER($W172)*($W172&gt;=TODAY())*($W172&lt;=TODAY()+7)+ISNUMBER($X172)*($X172&gt;=TODAY())*($X172&lt;=TODAY()+7)+ISNUMBER($Y172)*($Y172&gt;=TODAY())*($Y172&lt;=TODAY()+7)+ISNUMBER($Q172)*($Q172&gt;=TODAY())*($Q172&lt;=TODAY()+7)+ISNUMBER($R172)*($R172&gt;=TODAY())*($R172&lt;=TODAY()+7)+ISNUMBER($AA172)*($AA172&gt;=TODAY())*($AA172&lt;=TODAY()+7)+ISNUMBER($AB172)*($AB172&gt;=TODAY())*($AB172&lt;=TODAY()+7))</f>
        <v/>
      </c>
      <c r="L172" s="28">
        <f>IF(NOT(AND($A172&lt;&gt;"",OR($I172="",$I172="Active"))),"",IF($M172&lt;&gt;"",IF($N172=$M172,"Booking",IF($O172=$M172,"16/40",IF($P172=$M172,"25/40",IF($S172=$M172,"28/40",IF($T172=$M172,"31/40",IF($U172=$M172,"34/40",IF($V172=$M172,"36/40",IF($W172=$M172,"38/40",IF($X172=$M172,"40/40",IF($Y172=$M172,"41/40","")))))))))),IF(IF(OR(ISNUMBER($Y172),$Y172="DNA"),$Y172,IF(OR(ISNUMBER($X172),$X172="DNA"),$X172,IF(OR(ISNUMBER($W172),$W172="DNA"),$W172,IF(OR(ISNUMBER($V172),$V172="DNA"),$V172,IF(OR(ISNUMBER($U172),$U172="DNA"),$U172,IF(OR(ISNUMBER($T172),$T172="DNA"),$T172,IF(OR(ISNUMBER($S172),$S172="DNA"),$S172,IF(OR(ISNUMBER($P172),$P172="DNA"),$P172,IF(OR(ISNUMBER($O172),$O172="DNA"),$O172,IF(OR(ISNUMBER($N172),$N172="DNA"),$N172,""))))))))))="DNA","Rebook DNA",IF(ISNUMBER(IF(OR(ISNUMBER($Y172),$Y172="DNA"),$Y172,IF(OR(ISNUMBER($X172),$X172="DNA"),$X172,IF(OR(ISNUMBER($W172),$W172="DNA"),$W172,IF(OR(ISNUMBER($V172),$V172="DNA"),$V172,IF(OR(ISNUMBER($U172),$U172="DNA"),$U172,IF(OR(ISNUMBER($T172),$T172="DNA"),$T172,IF(OR(ISNUMBER($S172),$S172="DNA"),$S172,IF(OR(ISNUMBER($P172),$P172="DNA"),$P172,IF(OR(ISNUMBER($O172),$O172="DNA"),$O172,IF(OR(ISNUMBER($N172),$N172="DNA"),$N172,""))))))))))),IF(ISNUMBER($Y172),"Update status","Missed/not booked?"),""))))</f>
        <v/>
      </c>
      <c r="M172" s="29">
        <f>IF(NOT(AND($A172&lt;&gt;"",OR($I172="",$I172="Active"))),"",IF(MIN(IF(AND(ISNUMBER($N172),$N172&gt;=TODAY()),$N172,99999),IF(AND(ISNUMBER($O172),$O172&gt;=TODAY()),$O172,99999),IF(AND(ISNUMBER($P172),$P172&gt;=TODAY()),$P172,99999),IF(AND(ISNUMBER($S172),$S172&gt;=TODAY()),$S172,99999),IF(AND(ISNUMBER($T172),$T172&gt;=TODAY()),$T172,99999),IF(AND(ISNUMBER($U172),$U172&gt;=TODAY()),$U172,99999),IF(AND(ISNUMBER($V172),$V172&gt;=TODAY()),$V172,99999),IF(AND(ISNUMBER($W172),$W172&gt;=TODAY()),$W172,99999),IF(AND(ISNUMBER($X172),$X172&gt;=TODAY()),$X172,99999),IF(AND(ISNUMBER($Y172),$Y172&gt;=TODAY()),$Y172,99999))=99999,"",MIN(IF(AND(ISNUMBER($N172),$N172&gt;=TODAY()),$N172,99999),IF(AND(ISNUMBER($O172),$O172&gt;=TODAY()),$O172,99999),IF(AND(ISNUMBER($P172),$P172&gt;=TODAY()),$P172,99999),IF(AND(ISNUMBER($S172),$S172&gt;=TODAY()),$S172,99999),IF(AND(ISNUMBER($T172),$T172&gt;=TODAY()),$T172,99999),IF(AND(ISNUMBER($U172),$U172&gt;=TODAY()),$U172,99999),IF(AND(ISNUMBER($V172),$V172&gt;=TODAY()),$V172,99999),IF(AND(ISNUMBER($W172),$W172&gt;=TODAY()),$W172,99999),IF(AND(ISNUMBER($X172),$X172&gt;=TODAY()),$X172,99999),IF(AND(ISNUMBER($Y172),$Y172&gt;=TODAY()),$Y172,99999))))</f>
        <v/>
      </c>
      <c r="N172" s="27" t="n"/>
      <c r="O172" s="27" t="n"/>
      <c r="P172" s="27" t="n"/>
      <c r="Q172" s="27" t="n"/>
      <c r="R172" s="27" t="n"/>
      <c r="S172" s="27" t="n"/>
      <c r="T172" s="27" t="n"/>
      <c r="U172" s="27" t="n"/>
      <c r="V172" s="27" t="n"/>
      <c r="W172" s="27" t="n"/>
      <c r="X172" s="27" t="n"/>
      <c r="Y172" s="27" t="n"/>
      <c r="Z172" s="27" t="n"/>
      <c r="AA172" s="27" t="n"/>
      <c r="AB172" s="27" t="n"/>
      <c r="AC172" s="30" t="n"/>
      <c r="AD172" s="25" t="n"/>
      <c r="AE172" s="28">
        <f>IF(NOT(AND($A172&lt;&gt;"",OR($I172="",$I172="Active"))),"",IF(OR(IF(OR(ISNUMBER($Y172),$Y172="DNA"),$Y172,IF(OR(ISNUMBER($X172),$X172="DNA"),$X172,IF(OR(ISNUMBER($W172),$W172="DNA"),$W172,IF(OR(ISNUMBER($V172),$V172="DNA"),$V172,IF(OR(ISNUMBER($U172),$U172="DNA"),$U172,IF(OR(ISNUMBER($T172),$T172="DNA"),$T172,IF(OR(ISNUMBER($S172),$S172="DNA"),$S172,IF(OR(ISNUMBER($P172),$P172="DNA"),$P172,IF(OR(ISNUMBER($O172),$O172="DNA"),$O172,IF(OR(ISNUMBER($N172),$N172="DNA"),$N172,""))))))))))="DNA",AND(ISNUMBER(IF(OR(ISNUMBER($Y172),$Y172="DNA"),$Y172,IF(OR(ISNUMBER($X172),$X172="DNA"),$X172,IF(OR(ISNUMBER($W172),$W172="DNA"),$W172,IF(OR(ISNUMBER($V172),$V172="DNA"),$V172,IF(OR(ISNUMBER($U172),$U172="DNA"),$U172,IF(OR(ISNUMBER($T172),$T172="DNA"),$T172,IF(OR(ISNUMBER($S172),$S172="DNA"),$S172,IF(OR(ISNUMBER($P172),$P172="DNA"),$P172,IF(OR(ISNUMBER($O172),$O172="DNA"),$O172,IF(OR(ISNUMBER($N172),$N172="DNA"),$N172,""))))))))))),IF(OR(ISNUMBER($Y172),$Y172="DNA"),$Y172,IF(OR(ISNUMBER($X172),$X172="DNA"),$X172,IF(OR(ISNUMBER($W172),$W172="DNA"),$W172,IF(OR(ISNUMBER($V172),$V172="DNA"),$V172,IF(OR(ISNUMBER($U172),$U172="DNA"),$U172,IF(OR(ISNUMBER($T172),$T172="DNA"),$T172,IF(OR(ISNUMBER($S172),$S172="DNA"),$S172,IF(OR(ISNUMBER($P172),$P172="DNA"),$P172,IF(OR(ISNUMBER($O172),$O172="DNA"),$O172,IF(OR(ISNUMBER($N172),$N172="DNA"),$N172,""))))))))))&lt;TODAY())),1,0)+ISNUMBER($Q172)*($Q172&lt;TODAY())+ISNUMBER($R172)*($R172&lt;TODAY())+ISNUMBER($AA172)*($AA172&lt;TODAY())+ISNUMBER($AB172)*($AB172&lt;TODAY()))</f>
        <v/>
      </c>
    </row>
    <row r="173">
      <c r="A173" s="25" t="n"/>
      <c r="B173" s="26" t="n"/>
      <c r="C173" s="27" t="n"/>
      <c r="D173" s="25" t="n"/>
      <c r="E173" s="25" t="n"/>
      <c r="F173" s="25" t="n"/>
      <c r="G173" s="25" t="n"/>
      <c r="H173" s="27" t="n"/>
      <c r="I173" s="25" t="n"/>
      <c r="J173" s="28">
        <f>IF(OR(NOT(AND($A173&lt;&gt;"",OR($I173="",$I173="Active"))),$H173=""),"",INT((TODAY()-$H173+280)/7)&amp;"+"&amp;MOD(TODAY()-$H173+280,7))</f>
        <v/>
      </c>
      <c r="K173" s="28">
        <f>IF(NOT(AND($A173&lt;&gt;"",OR($I173="",$I173="Active"))),"",ISNUMBER($N173)*($N173&gt;=TODAY())*($N173&lt;=TODAY()+7)+ISNUMBER($O173)*($O173&gt;=TODAY())*($O173&lt;=TODAY()+7)+ISNUMBER($P173)*($P173&gt;=TODAY())*($P173&lt;=TODAY()+7)+ISNUMBER($S173)*($S173&gt;=TODAY())*($S173&lt;=TODAY()+7)+ISNUMBER($T173)*($T173&gt;=TODAY())*($T173&lt;=TODAY()+7)+ISNUMBER($U173)*($U173&gt;=TODAY())*($U173&lt;=TODAY()+7)+ISNUMBER($V173)*($V173&gt;=TODAY())*($V173&lt;=TODAY()+7)+ISNUMBER($W173)*($W173&gt;=TODAY())*($W173&lt;=TODAY()+7)+ISNUMBER($X173)*($X173&gt;=TODAY())*($X173&lt;=TODAY()+7)+ISNUMBER($Y173)*($Y173&gt;=TODAY())*($Y173&lt;=TODAY()+7)+ISNUMBER($Q173)*($Q173&gt;=TODAY())*($Q173&lt;=TODAY()+7)+ISNUMBER($R173)*($R173&gt;=TODAY())*($R173&lt;=TODAY()+7)+ISNUMBER($AA173)*($AA173&gt;=TODAY())*($AA173&lt;=TODAY()+7)+ISNUMBER($AB173)*($AB173&gt;=TODAY())*($AB173&lt;=TODAY()+7))</f>
        <v/>
      </c>
      <c r="L173" s="28">
        <f>IF(NOT(AND($A173&lt;&gt;"",OR($I173="",$I173="Active"))),"",IF($M173&lt;&gt;"",IF($N173=$M173,"Booking",IF($O173=$M173,"16/40",IF($P173=$M173,"25/40",IF($S173=$M173,"28/40",IF($T173=$M173,"31/40",IF($U173=$M173,"34/40",IF($V173=$M173,"36/40",IF($W173=$M173,"38/40",IF($X173=$M173,"40/40",IF($Y173=$M173,"41/40","")))))))))),IF(IF(OR(ISNUMBER($Y173),$Y173="DNA"),$Y173,IF(OR(ISNUMBER($X173),$X173="DNA"),$X173,IF(OR(ISNUMBER($W173),$W173="DNA"),$W173,IF(OR(ISNUMBER($V173),$V173="DNA"),$V173,IF(OR(ISNUMBER($U173),$U173="DNA"),$U173,IF(OR(ISNUMBER($T173),$T173="DNA"),$T173,IF(OR(ISNUMBER($S173),$S173="DNA"),$S173,IF(OR(ISNUMBER($P173),$P173="DNA"),$P173,IF(OR(ISNUMBER($O173),$O173="DNA"),$O173,IF(OR(ISNUMBER($N173),$N173="DNA"),$N173,""))))))))))="DNA","Rebook DNA",IF(ISNUMBER(IF(OR(ISNUMBER($Y173),$Y173="DNA"),$Y173,IF(OR(ISNUMBER($X173),$X173="DNA"),$X173,IF(OR(ISNUMBER($W173),$W173="DNA"),$W173,IF(OR(ISNUMBER($V173),$V173="DNA"),$V173,IF(OR(ISNUMBER($U173),$U173="DNA"),$U173,IF(OR(ISNUMBER($T173),$T173="DNA"),$T173,IF(OR(ISNUMBER($S173),$S173="DNA"),$S173,IF(OR(ISNUMBER($P173),$P173="DNA"),$P173,IF(OR(ISNUMBER($O173),$O173="DNA"),$O173,IF(OR(ISNUMBER($N173),$N173="DNA"),$N173,""))))))))))),IF(ISNUMBER($Y173),"Update status","Missed/not booked?"),""))))</f>
        <v/>
      </c>
      <c r="M173" s="29">
        <f>IF(NOT(AND($A173&lt;&gt;"",OR($I173="",$I173="Active"))),"",IF(MIN(IF(AND(ISNUMBER($N173),$N173&gt;=TODAY()),$N173,99999),IF(AND(ISNUMBER($O173),$O173&gt;=TODAY()),$O173,99999),IF(AND(ISNUMBER($P173),$P173&gt;=TODAY()),$P173,99999),IF(AND(ISNUMBER($S173),$S173&gt;=TODAY()),$S173,99999),IF(AND(ISNUMBER($T173),$T173&gt;=TODAY()),$T173,99999),IF(AND(ISNUMBER($U173),$U173&gt;=TODAY()),$U173,99999),IF(AND(ISNUMBER($V173),$V173&gt;=TODAY()),$V173,99999),IF(AND(ISNUMBER($W173),$W173&gt;=TODAY()),$W173,99999),IF(AND(ISNUMBER($X173),$X173&gt;=TODAY()),$X173,99999),IF(AND(ISNUMBER($Y173),$Y173&gt;=TODAY()),$Y173,99999))=99999,"",MIN(IF(AND(ISNUMBER($N173),$N173&gt;=TODAY()),$N173,99999),IF(AND(ISNUMBER($O173),$O173&gt;=TODAY()),$O173,99999),IF(AND(ISNUMBER($P173),$P173&gt;=TODAY()),$P173,99999),IF(AND(ISNUMBER($S173),$S173&gt;=TODAY()),$S173,99999),IF(AND(ISNUMBER($T173),$T173&gt;=TODAY()),$T173,99999),IF(AND(ISNUMBER($U173),$U173&gt;=TODAY()),$U173,99999),IF(AND(ISNUMBER($V173),$V173&gt;=TODAY()),$V173,99999),IF(AND(ISNUMBER($W173),$W173&gt;=TODAY()),$W173,99999),IF(AND(ISNUMBER($X173),$X173&gt;=TODAY()),$X173,99999),IF(AND(ISNUMBER($Y173),$Y173&gt;=TODAY()),$Y173,99999))))</f>
        <v/>
      </c>
      <c r="N173" s="27" t="n"/>
      <c r="O173" s="27" t="n"/>
      <c r="P173" s="27" t="n"/>
      <c r="Q173" s="27" t="n"/>
      <c r="R173" s="27" t="n"/>
      <c r="S173" s="27" t="n"/>
      <c r="T173" s="27" t="n"/>
      <c r="U173" s="27" t="n"/>
      <c r="V173" s="27" t="n"/>
      <c r="W173" s="27" t="n"/>
      <c r="X173" s="27" t="n"/>
      <c r="Y173" s="27" t="n"/>
      <c r="Z173" s="27" t="n"/>
      <c r="AA173" s="27" t="n"/>
      <c r="AB173" s="27" t="n"/>
      <c r="AC173" s="30" t="n"/>
      <c r="AD173" s="25" t="n"/>
      <c r="AE173" s="28">
        <f>IF(NOT(AND($A173&lt;&gt;"",OR($I173="",$I173="Active"))),"",IF(OR(IF(OR(ISNUMBER($Y173),$Y173="DNA"),$Y173,IF(OR(ISNUMBER($X173),$X173="DNA"),$X173,IF(OR(ISNUMBER($W173),$W173="DNA"),$W173,IF(OR(ISNUMBER($V173),$V173="DNA"),$V173,IF(OR(ISNUMBER($U173),$U173="DNA"),$U173,IF(OR(ISNUMBER($T173),$T173="DNA"),$T173,IF(OR(ISNUMBER($S173),$S173="DNA"),$S173,IF(OR(ISNUMBER($P173),$P173="DNA"),$P173,IF(OR(ISNUMBER($O173),$O173="DNA"),$O173,IF(OR(ISNUMBER($N173),$N173="DNA"),$N173,""))))))))))="DNA",AND(ISNUMBER(IF(OR(ISNUMBER($Y173),$Y173="DNA"),$Y173,IF(OR(ISNUMBER($X173),$X173="DNA"),$X173,IF(OR(ISNUMBER($W173),$W173="DNA"),$W173,IF(OR(ISNUMBER($V173),$V173="DNA"),$V173,IF(OR(ISNUMBER($U173),$U173="DNA"),$U173,IF(OR(ISNUMBER($T173),$T173="DNA"),$T173,IF(OR(ISNUMBER($S173),$S173="DNA"),$S173,IF(OR(ISNUMBER($P173),$P173="DNA"),$P173,IF(OR(ISNUMBER($O173),$O173="DNA"),$O173,IF(OR(ISNUMBER($N173),$N173="DNA"),$N173,""))))))))))),IF(OR(ISNUMBER($Y173),$Y173="DNA"),$Y173,IF(OR(ISNUMBER($X173),$X173="DNA"),$X173,IF(OR(ISNUMBER($W173),$W173="DNA"),$W173,IF(OR(ISNUMBER($V173),$V173="DNA"),$V173,IF(OR(ISNUMBER($U173),$U173="DNA"),$U173,IF(OR(ISNUMBER($T173),$T173="DNA"),$T173,IF(OR(ISNUMBER($S173),$S173="DNA"),$S173,IF(OR(ISNUMBER($P173),$P173="DNA"),$P173,IF(OR(ISNUMBER($O173),$O173="DNA"),$O173,IF(OR(ISNUMBER($N173),$N173="DNA"),$N173,""))))))))))&lt;TODAY())),1,0)+ISNUMBER($Q173)*($Q173&lt;TODAY())+ISNUMBER($R173)*($R173&lt;TODAY())+ISNUMBER($AA173)*($AA173&lt;TODAY())+ISNUMBER($AB173)*($AB173&lt;TODAY()))</f>
        <v/>
      </c>
    </row>
    <row r="174">
      <c r="A174" s="25" t="n"/>
      <c r="B174" s="26" t="n"/>
      <c r="C174" s="27" t="n"/>
      <c r="D174" s="25" t="n"/>
      <c r="E174" s="25" t="n"/>
      <c r="F174" s="25" t="n"/>
      <c r="G174" s="25" t="n"/>
      <c r="H174" s="27" t="n"/>
      <c r="I174" s="25" t="n"/>
      <c r="J174" s="28">
        <f>IF(OR(NOT(AND($A174&lt;&gt;"",OR($I174="",$I174="Active"))),$H174=""),"",INT((TODAY()-$H174+280)/7)&amp;"+"&amp;MOD(TODAY()-$H174+280,7))</f>
        <v/>
      </c>
      <c r="K174" s="28">
        <f>IF(NOT(AND($A174&lt;&gt;"",OR($I174="",$I174="Active"))),"",ISNUMBER($N174)*($N174&gt;=TODAY())*($N174&lt;=TODAY()+7)+ISNUMBER($O174)*($O174&gt;=TODAY())*($O174&lt;=TODAY()+7)+ISNUMBER($P174)*($P174&gt;=TODAY())*($P174&lt;=TODAY()+7)+ISNUMBER($S174)*($S174&gt;=TODAY())*($S174&lt;=TODAY()+7)+ISNUMBER($T174)*($T174&gt;=TODAY())*($T174&lt;=TODAY()+7)+ISNUMBER($U174)*($U174&gt;=TODAY())*($U174&lt;=TODAY()+7)+ISNUMBER($V174)*($V174&gt;=TODAY())*($V174&lt;=TODAY()+7)+ISNUMBER($W174)*($W174&gt;=TODAY())*($W174&lt;=TODAY()+7)+ISNUMBER($X174)*($X174&gt;=TODAY())*($X174&lt;=TODAY()+7)+ISNUMBER($Y174)*($Y174&gt;=TODAY())*($Y174&lt;=TODAY()+7)+ISNUMBER($Q174)*($Q174&gt;=TODAY())*($Q174&lt;=TODAY()+7)+ISNUMBER($R174)*($R174&gt;=TODAY())*($R174&lt;=TODAY()+7)+ISNUMBER($AA174)*($AA174&gt;=TODAY())*($AA174&lt;=TODAY()+7)+ISNUMBER($AB174)*($AB174&gt;=TODAY())*($AB174&lt;=TODAY()+7))</f>
        <v/>
      </c>
      <c r="L174" s="28">
        <f>IF(NOT(AND($A174&lt;&gt;"",OR($I174="",$I174="Active"))),"",IF($M174&lt;&gt;"",IF($N174=$M174,"Booking",IF($O174=$M174,"16/40",IF($P174=$M174,"25/40",IF($S174=$M174,"28/40",IF($T174=$M174,"31/40",IF($U174=$M174,"34/40",IF($V174=$M174,"36/40",IF($W174=$M174,"38/40",IF($X174=$M174,"40/40",IF($Y174=$M174,"41/40","")))))))))),IF(IF(OR(ISNUMBER($Y174),$Y174="DNA"),$Y174,IF(OR(ISNUMBER($X174),$X174="DNA"),$X174,IF(OR(ISNUMBER($W174),$W174="DNA"),$W174,IF(OR(ISNUMBER($V174),$V174="DNA"),$V174,IF(OR(ISNUMBER($U174),$U174="DNA"),$U174,IF(OR(ISNUMBER($T174),$T174="DNA"),$T174,IF(OR(ISNUMBER($S174),$S174="DNA"),$S174,IF(OR(ISNUMBER($P174),$P174="DNA"),$P174,IF(OR(ISNUMBER($O174),$O174="DNA"),$O174,IF(OR(ISNUMBER($N174),$N174="DNA"),$N174,""))))))))))="DNA","Rebook DNA",IF(ISNUMBER(IF(OR(ISNUMBER($Y174),$Y174="DNA"),$Y174,IF(OR(ISNUMBER($X174),$X174="DNA"),$X174,IF(OR(ISNUMBER($W174),$W174="DNA"),$W174,IF(OR(ISNUMBER($V174),$V174="DNA"),$V174,IF(OR(ISNUMBER($U174),$U174="DNA"),$U174,IF(OR(ISNUMBER($T174),$T174="DNA"),$T174,IF(OR(ISNUMBER($S174),$S174="DNA"),$S174,IF(OR(ISNUMBER($P174),$P174="DNA"),$P174,IF(OR(ISNUMBER($O174),$O174="DNA"),$O174,IF(OR(ISNUMBER($N174),$N174="DNA"),$N174,""))))))))))),IF(ISNUMBER($Y174),"Update status","Missed/not booked?"),""))))</f>
        <v/>
      </c>
      <c r="M174" s="29">
        <f>IF(NOT(AND($A174&lt;&gt;"",OR($I174="",$I174="Active"))),"",IF(MIN(IF(AND(ISNUMBER($N174),$N174&gt;=TODAY()),$N174,99999),IF(AND(ISNUMBER($O174),$O174&gt;=TODAY()),$O174,99999),IF(AND(ISNUMBER($P174),$P174&gt;=TODAY()),$P174,99999),IF(AND(ISNUMBER($S174),$S174&gt;=TODAY()),$S174,99999),IF(AND(ISNUMBER($T174),$T174&gt;=TODAY()),$T174,99999),IF(AND(ISNUMBER($U174),$U174&gt;=TODAY()),$U174,99999),IF(AND(ISNUMBER($V174),$V174&gt;=TODAY()),$V174,99999),IF(AND(ISNUMBER($W174),$W174&gt;=TODAY()),$W174,99999),IF(AND(ISNUMBER($X174),$X174&gt;=TODAY()),$X174,99999),IF(AND(ISNUMBER($Y174),$Y174&gt;=TODAY()),$Y174,99999))=99999,"",MIN(IF(AND(ISNUMBER($N174),$N174&gt;=TODAY()),$N174,99999),IF(AND(ISNUMBER($O174),$O174&gt;=TODAY()),$O174,99999),IF(AND(ISNUMBER($P174),$P174&gt;=TODAY()),$P174,99999),IF(AND(ISNUMBER($S174),$S174&gt;=TODAY()),$S174,99999),IF(AND(ISNUMBER($T174),$T174&gt;=TODAY()),$T174,99999),IF(AND(ISNUMBER($U174),$U174&gt;=TODAY()),$U174,99999),IF(AND(ISNUMBER($V174),$V174&gt;=TODAY()),$V174,99999),IF(AND(ISNUMBER($W174),$W174&gt;=TODAY()),$W174,99999),IF(AND(ISNUMBER($X174),$X174&gt;=TODAY()),$X174,99999),IF(AND(ISNUMBER($Y174),$Y174&gt;=TODAY()),$Y174,99999))))</f>
        <v/>
      </c>
      <c r="N174" s="27" t="n"/>
      <c r="O174" s="27" t="n"/>
      <c r="P174" s="27" t="n"/>
      <c r="Q174" s="27" t="n"/>
      <c r="R174" s="27" t="n"/>
      <c r="S174" s="27" t="n"/>
      <c r="T174" s="27" t="n"/>
      <c r="U174" s="27" t="n"/>
      <c r="V174" s="27" t="n"/>
      <c r="W174" s="27" t="n"/>
      <c r="X174" s="27" t="n"/>
      <c r="Y174" s="27" t="n"/>
      <c r="Z174" s="27" t="n"/>
      <c r="AA174" s="27" t="n"/>
      <c r="AB174" s="27" t="n"/>
      <c r="AC174" s="30" t="n"/>
      <c r="AD174" s="25" t="n"/>
      <c r="AE174" s="28">
        <f>IF(NOT(AND($A174&lt;&gt;"",OR($I174="",$I174="Active"))),"",IF(OR(IF(OR(ISNUMBER($Y174),$Y174="DNA"),$Y174,IF(OR(ISNUMBER($X174),$X174="DNA"),$X174,IF(OR(ISNUMBER($W174),$W174="DNA"),$W174,IF(OR(ISNUMBER($V174),$V174="DNA"),$V174,IF(OR(ISNUMBER($U174),$U174="DNA"),$U174,IF(OR(ISNUMBER($T174),$T174="DNA"),$T174,IF(OR(ISNUMBER($S174),$S174="DNA"),$S174,IF(OR(ISNUMBER($P174),$P174="DNA"),$P174,IF(OR(ISNUMBER($O174),$O174="DNA"),$O174,IF(OR(ISNUMBER($N174),$N174="DNA"),$N174,""))))))))))="DNA",AND(ISNUMBER(IF(OR(ISNUMBER($Y174),$Y174="DNA"),$Y174,IF(OR(ISNUMBER($X174),$X174="DNA"),$X174,IF(OR(ISNUMBER($W174),$W174="DNA"),$W174,IF(OR(ISNUMBER($V174),$V174="DNA"),$V174,IF(OR(ISNUMBER($U174),$U174="DNA"),$U174,IF(OR(ISNUMBER($T174),$T174="DNA"),$T174,IF(OR(ISNUMBER($S174),$S174="DNA"),$S174,IF(OR(ISNUMBER($P174),$P174="DNA"),$P174,IF(OR(ISNUMBER($O174),$O174="DNA"),$O174,IF(OR(ISNUMBER($N174),$N174="DNA"),$N174,""))))))))))),IF(OR(ISNUMBER($Y174),$Y174="DNA"),$Y174,IF(OR(ISNUMBER($X174),$X174="DNA"),$X174,IF(OR(ISNUMBER($W174),$W174="DNA"),$W174,IF(OR(ISNUMBER($V174),$V174="DNA"),$V174,IF(OR(ISNUMBER($U174),$U174="DNA"),$U174,IF(OR(ISNUMBER($T174),$T174="DNA"),$T174,IF(OR(ISNUMBER($S174),$S174="DNA"),$S174,IF(OR(ISNUMBER($P174),$P174="DNA"),$P174,IF(OR(ISNUMBER($O174),$O174="DNA"),$O174,IF(OR(ISNUMBER($N174),$N174="DNA"),$N174,""))))))))))&lt;TODAY())),1,0)+ISNUMBER($Q174)*($Q174&lt;TODAY())+ISNUMBER($R174)*($R174&lt;TODAY())+ISNUMBER($AA174)*($AA174&lt;TODAY())+ISNUMBER($AB174)*($AB174&lt;TODAY()))</f>
        <v/>
      </c>
    </row>
    <row r="175">
      <c r="A175" s="25" t="n"/>
      <c r="B175" s="26" t="n"/>
      <c r="C175" s="27" t="n"/>
      <c r="D175" s="25" t="n"/>
      <c r="E175" s="25" t="n"/>
      <c r="F175" s="25" t="n"/>
      <c r="G175" s="25" t="n"/>
      <c r="H175" s="27" t="n"/>
      <c r="I175" s="25" t="n"/>
      <c r="J175" s="28">
        <f>IF(OR(NOT(AND($A175&lt;&gt;"",OR($I175="",$I175="Active"))),$H175=""),"",INT((TODAY()-$H175+280)/7)&amp;"+"&amp;MOD(TODAY()-$H175+280,7))</f>
        <v/>
      </c>
      <c r="K175" s="28">
        <f>IF(NOT(AND($A175&lt;&gt;"",OR($I175="",$I175="Active"))),"",ISNUMBER($N175)*($N175&gt;=TODAY())*($N175&lt;=TODAY()+7)+ISNUMBER($O175)*($O175&gt;=TODAY())*($O175&lt;=TODAY()+7)+ISNUMBER($P175)*($P175&gt;=TODAY())*($P175&lt;=TODAY()+7)+ISNUMBER($S175)*($S175&gt;=TODAY())*($S175&lt;=TODAY()+7)+ISNUMBER($T175)*($T175&gt;=TODAY())*($T175&lt;=TODAY()+7)+ISNUMBER($U175)*($U175&gt;=TODAY())*($U175&lt;=TODAY()+7)+ISNUMBER($V175)*($V175&gt;=TODAY())*($V175&lt;=TODAY()+7)+ISNUMBER($W175)*($W175&gt;=TODAY())*($W175&lt;=TODAY()+7)+ISNUMBER($X175)*($X175&gt;=TODAY())*($X175&lt;=TODAY()+7)+ISNUMBER($Y175)*($Y175&gt;=TODAY())*($Y175&lt;=TODAY()+7)+ISNUMBER($Q175)*($Q175&gt;=TODAY())*($Q175&lt;=TODAY()+7)+ISNUMBER($R175)*($R175&gt;=TODAY())*($R175&lt;=TODAY()+7)+ISNUMBER($AA175)*($AA175&gt;=TODAY())*($AA175&lt;=TODAY()+7)+ISNUMBER($AB175)*($AB175&gt;=TODAY())*($AB175&lt;=TODAY()+7))</f>
        <v/>
      </c>
      <c r="L175" s="28">
        <f>IF(NOT(AND($A175&lt;&gt;"",OR($I175="",$I175="Active"))),"",IF($M175&lt;&gt;"",IF($N175=$M175,"Booking",IF($O175=$M175,"16/40",IF($P175=$M175,"25/40",IF($S175=$M175,"28/40",IF($T175=$M175,"31/40",IF($U175=$M175,"34/40",IF($V175=$M175,"36/40",IF($W175=$M175,"38/40",IF($X175=$M175,"40/40",IF($Y175=$M175,"41/40","")))))))))),IF(IF(OR(ISNUMBER($Y175),$Y175="DNA"),$Y175,IF(OR(ISNUMBER($X175),$X175="DNA"),$X175,IF(OR(ISNUMBER($W175),$W175="DNA"),$W175,IF(OR(ISNUMBER($V175),$V175="DNA"),$V175,IF(OR(ISNUMBER($U175),$U175="DNA"),$U175,IF(OR(ISNUMBER($T175),$T175="DNA"),$T175,IF(OR(ISNUMBER($S175),$S175="DNA"),$S175,IF(OR(ISNUMBER($P175),$P175="DNA"),$P175,IF(OR(ISNUMBER($O175),$O175="DNA"),$O175,IF(OR(ISNUMBER($N175),$N175="DNA"),$N175,""))))))))))="DNA","Rebook DNA",IF(ISNUMBER(IF(OR(ISNUMBER($Y175),$Y175="DNA"),$Y175,IF(OR(ISNUMBER($X175),$X175="DNA"),$X175,IF(OR(ISNUMBER($W175),$W175="DNA"),$W175,IF(OR(ISNUMBER($V175),$V175="DNA"),$V175,IF(OR(ISNUMBER($U175),$U175="DNA"),$U175,IF(OR(ISNUMBER($T175),$T175="DNA"),$T175,IF(OR(ISNUMBER($S175),$S175="DNA"),$S175,IF(OR(ISNUMBER($P175),$P175="DNA"),$P175,IF(OR(ISNUMBER($O175),$O175="DNA"),$O175,IF(OR(ISNUMBER($N175),$N175="DNA"),$N175,""))))))))))),IF(ISNUMBER($Y175),"Update status","Missed/not booked?"),""))))</f>
        <v/>
      </c>
      <c r="M175" s="29">
        <f>IF(NOT(AND($A175&lt;&gt;"",OR($I175="",$I175="Active"))),"",IF(MIN(IF(AND(ISNUMBER($N175),$N175&gt;=TODAY()),$N175,99999),IF(AND(ISNUMBER($O175),$O175&gt;=TODAY()),$O175,99999),IF(AND(ISNUMBER($P175),$P175&gt;=TODAY()),$P175,99999),IF(AND(ISNUMBER($S175),$S175&gt;=TODAY()),$S175,99999),IF(AND(ISNUMBER($T175),$T175&gt;=TODAY()),$T175,99999),IF(AND(ISNUMBER($U175),$U175&gt;=TODAY()),$U175,99999),IF(AND(ISNUMBER($V175),$V175&gt;=TODAY()),$V175,99999),IF(AND(ISNUMBER($W175),$W175&gt;=TODAY()),$W175,99999),IF(AND(ISNUMBER($X175),$X175&gt;=TODAY()),$X175,99999),IF(AND(ISNUMBER($Y175),$Y175&gt;=TODAY()),$Y175,99999))=99999,"",MIN(IF(AND(ISNUMBER($N175),$N175&gt;=TODAY()),$N175,99999),IF(AND(ISNUMBER($O175),$O175&gt;=TODAY()),$O175,99999),IF(AND(ISNUMBER($P175),$P175&gt;=TODAY()),$P175,99999),IF(AND(ISNUMBER($S175),$S175&gt;=TODAY()),$S175,99999),IF(AND(ISNUMBER($T175),$T175&gt;=TODAY()),$T175,99999),IF(AND(ISNUMBER($U175),$U175&gt;=TODAY()),$U175,99999),IF(AND(ISNUMBER($V175),$V175&gt;=TODAY()),$V175,99999),IF(AND(ISNUMBER($W175),$W175&gt;=TODAY()),$W175,99999),IF(AND(ISNUMBER($X175),$X175&gt;=TODAY()),$X175,99999),IF(AND(ISNUMBER($Y175),$Y175&gt;=TODAY()),$Y175,99999))))</f>
        <v/>
      </c>
      <c r="N175" s="27" t="n"/>
      <c r="O175" s="27" t="n"/>
      <c r="P175" s="27" t="n"/>
      <c r="Q175" s="27" t="n"/>
      <c r="R175" s="27" t="n"/>
      <c r="S175" s="27" t="n"/>
      <c r="T175" s="27" t="n"/>
      <c r="U175" s="27" t="n"/>
      <c r="V175" s="27" t="n"/>
      <c r="W175" s="27" t="n"/>
      <c r="X175" s="27" t="n"/>
      <c r="Y175" s="27" t="n"/>
      <c r="Z175" s="27" t="n"/>
      <c r="AA175" s="27" t="n"/>
      <c r="AB175" s="27" t="n"/>
      <c r="AC175" s="30" t="n"/>
      <c r="AD175" s="25" t="n"/>
      <c r="AE175" s="28">
        <f>IF(NOT(AND($A175&lt;&gt;"",OR($I175="",$I175="Active"))),"",IF(OR(IF(OR(ISNUMBER($Y175),$Y175="DNA"),$Y175,IF(OR(ISNUMBER($X175),$X175="DNA"),$X175,IF(OR(ISNUMBER($W175),$W175="DNA"),$W175,IF(OR(ISNUMBER($V175),$V175="DNA"),$V175,IF(OR(ISNUMBER($U175),$U175="DNA"),$U175,IF(OR(ISNUMBER($T175),$T175="DNA"),$T175,IF(OR(ISNUMBER($S175),$S175="DNA"),$S175,IF(OR(ISNUMBER($P175),$P175="DNA"),$P175,IF(OR(ISNUMBER($O175),$O175="DNA"),$O175,IF(OR(ISNUMBER($N175),$N175="DNA"),$N175,""))))))))))="DNA",AND(ISNUMBER(IF(OR(ISNUMBER($Y175),$Y175="DNA"),$Y175,IF(OR(ISNUMBER($X175),$X175="DNA"),$X175,IF(OR(ISNUMBER($W175),$W175="DNA"),$W175,IF(OR(ISNUMBER($V175),$V175="DNA"),$V175,IF(OR(ISNUMBER($U175),$U175="DNA"),$U175,IF(OR(ISNUMBER($T175),$T175="DNA"),$T175,IF(OR(ISNUMBER($S175),$S175="DNA"),$S175,IF(OR(ISNUMBER($P175),$P175="DNA"),$P175,IF(OR(ISNUMBER($O175),$O175="DNA"),$O175,IF(OR(ISNUMBER($N175),$N175="DNA"),$N175,""))))))))))),IF(OR(ISNUMBER($Y175),$Y175="DNA"),$Y175,IF(OR(ISNUMBER($X175),$X175="DNA"),$X175,IF(OR(ISNUMBER($W175),$W175="DNA"),$W175,IF(OR(ISNUMBER($V175),$V175="DNA"),$V175,IF(OR(ISNUMBER($U175),$U175="DNA"),$U175,IF(OR(ISNUMBER($T175),$T175="DNA"),$T175,IF(OR(ISNUMBER($S175),$S175="DNA"),$S175,IF(OR(ISNUMBER($P175),$P175="DNA"),$P175,IF(OR(ISNUMBER($O175),$O175="DNA"),$O175,IF(OR(ISNUMBER($N175),$N175="DNA"),$N175,""))))))))))&lt;TODAY())),1,0)+ISNUMBER($Q175)*($Q175&lt;TODAY())+ISNUMBER($R175)*($R175&lt;TODAY())+ISNUMBER($AA175)*($AA175&lt;TODAY())+ISNUMBER($AB175)*($AB175&lt;TODAY()))</f>
        <v/>
      </c>
    </row>
    <row r="176">
      <c r="A176" s="25" t="n"/>
      <c r="B176" s="26" t="n"/>
      <c r="C176" s="27" t="n"/>
      <c r="D176" s="25" t="n"/>
      <c r="E176" s="25" t="n"/>
      <c r="F176" s="25" t="n"/>
      <c r="G176" s="25" t="n"/>
      <c r="H176" s="27" t="n"/>
      <c r="I176" s="25" t="n"/>
      <c r="J176" s="28">
        <f>IF(OR(NOT(AND($A176&lt;&gt;"",OR($I176="",$I176="Active"))),$H176=""),"",INT((TODAY()-$H176+280)/7)&amp;"+"&amp;MOD(TODAY()-$H176+280,7))</f>
        <v/>
      </c>
      <c r="K176" s="28">
        <f>IF(NOT(AND($A176&lt;&gt;"",OR($I176="",$I176="Active"))),"",ISNUMBER($N176)*($N176&gt;=TODAY())*($N176&lt;=TODAY()+7)+ISNUMBER($O176)*($O176&gt;=TODAY())*($O176&lt;=TODAY()+7)+ISNUMBER($P176)*($P176&gt;=TODAY())*($P176&lt;=TODAY()+7)+ISNUMBER($S176)*($S176&gt;=TODAY())*($S176&lt;=TODAY()+7)+ISNUMBER($T176)*($T176&gt;=TODAY())*($T176&lt;=TODAY()+7)+ISNUMBER($U176)*($U176&gt;=TODAY())*($U176&lt;=TODAY()+7)+ISNUMBER($V176)*($V176&gt;=TODAY())*($V176&lt;=TODAY()+7)+ISNUMBER($W176)*($W176&gt;=TODAY())*($W176&lt;=TODAY()+7)+ISNUMBER($X176)*($X176&gt;=TODAY())*($X176&lt;=TODAY()+7)+ISNUMBER($Y176)*($Y176&gt;=TODAY())*($Y176&lt;=TODAY()+7)+ISNUMBER($Q176)*($Q176&gt;=TODAY())*($Q176&lt;=TODAY()+7)+ISNUMBER($R176)*($R176&gt;=TODAY())*($R176&lt;=TODAY()+7)+ISNUMBER($AA176)*($AA176&gt;=TODAY())*($AA176&lt;=TODAY()+7)+ISNUMBER($AB176)*($AB176&gt;=TODAY())*($AB176&lt;=TODAY()+7))</f>
        <v/>
      </c>
      <c r="L176" s="28">
        <f>IF(NOT(AND($A176&lt;&gt;"",OR($I176="",$I176="Active"))),"",IF($M176&lt;&gt;"",IF($N176=$M176,"Booking",IF($O176=$M176,"16/40",IF($P176=$M176,"25/40",IF($S176=$M176,"28/40",IF($T176=$M176,"31/40",IF($U176=$M176,"34/40",IF($V176=$M176,"36/40",IF($W176=$M176,"38/40",IF($X176=$M176,"40/40",IF($Y176=$M176,"41/40","")))))))))),IF(IF(OR(ISNUMBER($Y176),$Y176="DNA"),$Y176,IF(OR(ISNUMBER($X176),$X176="DNA"),$X176,IF(OR(ISNUMBER($W176),$W176="DNA"),$W176,IF(OR(ISNUMBER($V176),$V176="DNA"),$V176,IF(OR(ISNUMBER($U176),$U176="DNA"),$U176,IF(OR(ISNUMBER($T176),$T176="DNA"),$T176,IF(OR(ISNUMBER($S176),$S176="DNA"),$S176,IF(OR(ISNUMBER($P176),$P176="DNA"),$P176,IF(OR(ISNUMBER($O176),$O176="DNA"),$O176,IF(OR(ISNUMBER($N176),$N176="DNA"),$N176,""))))))))))="DNA","Rebook DNA",IF(ISNUMBER(IF(OR(ISNUMBER($Y176),$Y176="DNA"),$Y176,IF(OR(ISNUMBER($X176),$X176="DNA"),$X176,IF(OR(ISNUMBER($W176),$W176="DNA"),$W176,IF(OR(ISNUMBER($V176),$V176="DNA"),$V176,IF(OR(ISNUMBER($U176),$U176="DNA"),$U176,IF(OR(ISNUMBER($T176),$T176="DNA"),$T176,IF(OR(ISNUMBER($S176),$S176="DNA"),$S176,IF(OR(ISNUMBER($P176),$P176="DNA"),$P176,IF(OR(ISNUMBER($O176),$O176="DNA"),$O176,IF(OR(ISNUMBER($N176),$N176="DNA"),$N176,""))))))))))),IF(ISNUMBER($Y176),"Update status","Missed/not booked?"),""))))</f>
        <v/>
      </c>
      <c r="M176" s="29">
        <f>IF(NOT(AND($A176&lt;&gt;"",OR($I176="",$I176="Active"))),"",IF(MIN(IF(AND(ISNUMBER($N176),$N176&gt;=TODAY()),$N176,99999),IF(AND(ISNUMBER($O176),$O176&gt;=TODAY()),$O176,99999),IF(AND(ISNUMBER($P176),$P176&gt;=TODAY()),$P176,99999),IF(AND(ISNUMBER($S176),$S176&gt;=TODAY()),$S176,99999),IF(AND(ISNUMBER($T176),$T176&gt;=TODAY()),$T176,99999),IF(AND(ISNUMBER($U176),$U176&gt;=TODAY()),$U176,99999),IF(AND(ISNUMBER($V176),$V176&gt;=TODAY()),$V176,99999),IF(AND(ISNUMBER($W176),$W176&gt;=TODAY()),$W176,99999),IF(AND(ISNUMBER($X176),$X176&gt;=TODAY()),$X176,99999),IF(AND(ISNUMBER($Y176),$Y176&gt;=TODAY()),$Y176,99999))=99999,"",MIN(IF(AND(ISNUMBER($N176),$N176&gt;=TODAY()),$N176,99999),IF(AND(ISNUMBER($O176),$O176&gt;=TODAY()),$O176,99999),IF(AND(ISNUMBER($P176),$P176&gt;=TODAY()),$P176,99999),IF(AND(ISNUMBER($S176),$S176&gt;=TODAY()),$S176,99999),IF(AND(ISNUMBER($T176),$T176&gt;=TODAY()),$T176,99999),IF(AND(ISNUMBER($U176),$U176&gt;=TODAY()),$U176,99999),IF(AND(ISNUMBER($V176),$V176&gt;=TODAY()),$V176,99999),IF(AND(ISNUMBER($W176),$W176&gt;=TODAY()),$W176,99999),IF(AND(ISNUMBER($X176),$X176&gt;=TODAY()),$X176,99999),IF(AND(ISNUMBER($Y176),$Y176&gt;=TODAY()),$Y176,99999))))</f>
        <v/>
      </c>
      <c r="N176" s="27" t="n"/>
      <c r="O176" s="27" t="n"/>
      <c r="P176" s="27" t="n"/>
      <c r="Q176" s="27" t="n"/>
      <c r="R176" s="27" t="n"/>
      <c r="S176" s="27" t="n"/>
      <c r="T176" s="27" t="n"/>
      <c r="U176" s="27" t="n"/>
      <c r="V176" s="27" t="n"/>
      <c r="W176" s="27" t="n"/>
      <c r="X176" s="27" t="n"/>
      <c r="Y176" s="27" t="n"/>
      <c r="Z176" s="27" t="n"/>
      <c r="AA176" s="27" t="n"/>
      <c r="AB176" s="27" t="n"/>
      <c r="AC176" s="30" t="n"/>
      <c r="AD176" s="25" t="n"/>
      <c r="AE176" s="28">
        <f>IF(NOT(AND($A176&lt;&gt;"",OR($I176="",$I176="Active"))),"",IF(OR(IF(OR(ISNUMBER($Y176),$Y176="DNA"),$Y176,IF(OR(ISNUMBER($X176),$X176="DNA"),$X176,IF(OR(ISNUMBER($W176),$W176="DNA"),$W176,IF(OR(ISNUMBER($V176),$V176="DNA"),$V176,IF(OR(ISNUMBER($U176),$U176="DNA"),$U176,IF(OR(ISNUMBER($T176),$T176="DNA"),$T176,IF(OR(ISNUMBER($S176),$S176="DNA"),$S176,IF(OR(ISNUMBER($P176),$P176="DNA"),$P176,IF(OR(ISNUMBER($O176),$O176="DNA"),$O176,IF(OR(ISNUMBER($N176),$N176="DNA"),$N176,""))))))))))="DNA",AND(ISNUMBER(IF(OR(ISNUMBER($Y176),$Y176="DNA"),$Y176,IF(OR(ISNUMBER($X176),$X176="DNA"),$X176,IF(OR(ISNUMBER($W176),$W176="DNA"),$W176,IF(OR(ISNUMBER($V176),$V176="DNA"),$V176,IF(OR(ISNUMBER($U176),$U176="DNA"),$U176,IF(OR(ISNUMBER($T176),$T176="DNA"),$T176,IF(OR(ISNUMBER($S176),$S176="DNA"),$S176,IF(OR(ISNUMBER($P176),$P176="DNA"),$P176,IF(OR(ISNUMBER($O176),$O176="DNA"),$O176,IF(OR(ISNUMBER($N176),$N176="DNA"),$N176,""))))))))))),IF(OR(ISNUMBER($Y176),$Y176="DNA"),$Y176,IF(OR(ISNUMBER($X176),$X176="DNA"),$X176,IF(OR(ISNUMBER($W176),$W176="DNA"),$W176,IF(OR(ISNUMBER($V176),$V176="DNA"),$V176,IF(OR(ISNUMBER($U176),$U176="DNA"),$U176,IF(OR(ISNUMBER($T176),$T176="DNA"),$T176,IF(OR(ISNUMBER($S176),$S176="DNA"),$S176,IF(OR(ISNUMBER($P176),$P176="DNA"),$P176,IF(OR(ISNUMBER($O176),$O176="DNA"),$O176,IF(OR(ISNUMBER($N176),$N176="DNA"),$N176,""))))))))))&lt;TODAY())),1,0)+ISNUMBER($Q176)*($Q176&lt;TODAY())+ISNUMBER($R176)*($R176&lt;TODAY())+ISNUMBER($AA176)*($AA176&lt;TODAY())+ISNUMBER($AB176)*($AB176&lt;TODAY()))</f>
        <v/>
      </c>
    </row>
    <row r="177">
      <c r="A177" s="25" t="n"/>
      <c r="B177" s="26" t="n"/>
      <c r="C177" s="27" t="n"/>
      <c r="D177" s="25" t="n"/>
      <c r="E177" s="25" t="n"/>
      <c r="F177" s="25" t="n"/>
      <c r="G177" s="25" t="n"/>
      <c r="H177" s="27" t="n"/>
      <c r="I177" s="25" t="n"/>
      <c r="J177" s="28">
        <f>IF(OR(NOT(AND($A177&lt;&gt;"",OR($I177="",$I177="Active"))),$H177=""),"",INT((TODAY()-$H177+280)/7)&amp;"+"&amp;MOD(TODAY()-$H177+280,7))</f>
        <v/>
      </c>
      <c r="K177" s="28">
        <f>IF(NOT(AND($A177&lt;&gt;"",OR($I177="",$I177="Active"))),"",ISNUMBER($N177)*($N177&gt;=TODAY())*($N177&lt;=TODAY()+7)+ISNUMBER($O177)*($O177&gt;=TODAY())*($O177&lt;=TODAY()+7)+ISNUMBER($P177)*($P177&gt;=TODAY())*($P177&lt;=TODAY()+7)+ISNUMBER($S177)*($S177&gt;=TODAY())*($S177&lt;=TODAY()+7)+ISNUMBER($T177)*($T177&gt;=TODAY())*($T177&lt;=TODAY()+7)+ISNUMBER($U177)*($U177&gt;=TODAY())*($U177&lt;=TODAY()+7)+ISNUMBER($V177)*($V177&gt;=TODAY())*($V177&lt;=TODAY()+7)+ISNUMBER($W177)*($W177&gt;=TODAY())*($W177&lt;=TODAY()+7)+ISNUMBER($X177)*($X177&gt;=TODAY())*($X177&lt;=TODAY()+7)+ISNUMBER($Y177)*($Y177&gt;=TODAY())*($Y177&lt;=TODAY()+7)+ISNUMBER($Q177)*($Q177&gt;=TODAY())*($Q177&lt;=TODAY()+7)+ISNUMBER($R177)*($R177&gt;=TODAY())*($R177&lt;=TODAY()+7)+ISNUMBER($AA177)*($AA177&gt;=TODAY())*($AA177&lt;=TODAY()+7)+ISNUMBER($AB177)*($AB177&gt;=TODAY())*($AB177&lt;=TODAY()+7))</f>
        <v/>
      </c>
      <c r="L177" s="28">
        <f>IF(NOT(AND($A177&lt;&gt;"",OR($I177="",$I177="Active"))),"",IF($M177&lt;&gt;"",IF($N177=$M177,"Booking",IF($O177=$M177,"16/40",IF($P177=$M177,"25/40",IF($S177=$M177,"28/40",IF($T177=$M177,"31/40",IF($U177=$M177,"34/40",IF($V177=$M177,"36/40",IF($W177=$M177,"38/40",IF($X177=$M177,"40/40",IF($Y177=$M177,"41/40","")))))))))),IF(IF(OR(ISNUMBER($Y177),$Y177="DNA"),$Y177,IF(OR(ISNUMBER($X177),$X177="DNA"),$X177,IF(OR(ISNUMBER($W177),$W177="DNA"),$W177,IF(OR(ISNUMBER($V177),$V177="DNA"),$V177,IF(OR(ISNUMBER($U177),$U177="DNA"),$U177,IF(OR(ISNUMBER($T177),$T177="DNA"),$T177,IF(OR(ISNUMBER($S177),$S177="DNA"),$S177,IF(OR(ISNUMBER($P177),$P177="DNA"),$P177,IF(OR(ISNUMBER($O177),$O177="DNA"),$O177,IF(OR(ISNUMBER($N177),$N177="DNA"),$N177,""))))))))))="DNA","Rebook DNA",IF(ISNUMBER(IF(OR(ISNUMBER($Y177),$Y177="DNA"),$Y177,IF(OR(ISNUMBER($X177),$X177="DNA"),$X177,IF(OR(ISNUMBER($W177),$W177="DNA"),$W177,IF(OR(ISNUMBER($V177),$V177="DNA"),$V177,IF(OR(ISNUMBER($U177),$U177="DNA"),$U177,IF(OR(ISNUMBER($T177),$T177="DNA"),$T177,IF(OR(ISNUMBER($S177),$S177="DNA"),$S177,IF(OR(ISNUMBER($P177),$P177="DNA"),$P177,IF(OR(ISNUMBER($O177),$O177="DNA"),$O177,IF(OR(ISNUMBER($N177),$N177="DNA"),$N177,""))))))))))),IF(ISNUMBER($Y177),"Update status","Missed/not booked?"),""))))</f>
        <v/>
      </c>
      <c r="M177" s="29">
        <f>IF(NOT(AND($A177&lt;&gt;"",OR($I177="",$I177="Active"))),"",IF(MIN(IF(AND(ISNUMBER($N177),$N177&gt;=TODAY()),$N177,99999),IF(AND(ISNUMBER($O177),$O177&gt;=TODAY()),$O177,99999),IF(AND(ISNUMBER($P177),$P177&gt;=TODAY()),$P177,99999),IF(AND(ISNUMBER($S177),$S177&gt;=TODAY()),$S177,99999),IF(AND(ISNUMBER($T177),$T177&gt;=TODAY()),$T177,99999),IF(AND(ISNUMBER($U177),$U177&gt;=TODAY()),$U177,99999),IF(AND(ISNUMBER($V177),$V177&gt;=TODAY()),$V177,99999),IF(AND(ISNUMBER($W177),$W177&gt;=TODAY()),$W177,99999),IF(AND(ISNUMBER($X177),$X177&gt;=TODAY()),$X177,99999),IF(AND(ISNUMBER($Y177),$Y177&gt;=TODAY()),$Y177,99999))=99999,"",MIN(IF(AND(ISNUMBER($N177),$N177&gt;=TODAY()),$N177,99999),IF(AND(ISNUMBER($O177),$O177&gt;=TODAY()),$O177,99999),IF(AND(ISNUMBER($P177),$P177&gt;=TODAY()),$P177,99999),IF(AND(ISNUMBER($S177),$S177&gt;=TODAY()),$S177,99999),IF(AND(ISNUMBER($T177),$T177&gt;=TODAY()),$T177,99999),IF(AND(ISNUMBER($U177),$U177&gt;=TODAY()),$U177,99999),IF(AND(ISNUMBER($V177),$V177&gt;=TODAY()),$V177,99999),IF(AND(ISNUMBER($W177),$W177&gt;=TODAY()),$W177,99999),IF(AND(ISNUMBER($X177),$X177&gt;=TODAY()),$X177,99999),IF(AND(ISNUMBER($Y177),$Y177&gt;=TODAY()),$Y177,99999))))</f>
        <v/>
      </c>
      <c r="N177" s="27" t="n"/>
      <c r="O177" s="27" t="n"/>
      <c r="P177" s="27" t="n"/>
      <c r="Q177" s="27" t="n"/>
      <c r="R177" s="27" t="n"/>
      <c r="S177" s="27" t="n"/>
      <c r="T177" s="27" t="n"/>
      <c r="U177" s="27" t="n"/>
      <c r="V177" s="27" t="n"/>
      <c r="W177" s="27" t="n"/>
      <c r="X177" s="27" t="n"/>
      <c r="Y177" s="27" t="n"/>
      <c r="Z177" s="27" t="n"/>
      <c r="AA177" s="27" t="n"/>
      <c r="AB177" s="27" t="n"/>
      <c r="AC177" s="30" t="n"/>
      <c r="AD177" s="25" t="n"/>
      <c r="AE177" s="28">
        <f>IF(NOT(AND($A177&lt;&gt;"",OR($I177="",$I177="Active"))),"",IF(OR(IF(OR(ISNUMBER($Y177),$Y177="DNA"),$Y177,IF(OR(ISNUMBER($X177),$X177="DNA"),$X177,IF(OR(ISNUMBER($W177),$W177="DNA"),$W177,IF(OR(ISNUMBER($V177),$V177="DNA"),$V177,IF(OR(ISNUMBER($U177),$U177="DNA"),$U177,IF(OR(ISNUMBER($T177),$T177="DNA"),$T177,IF(OR(ISNUMBER($S177),$S177="DNA"),$S177,IF(OR(ISNUMBER($P177),$P177="DNA"),$P177,IF(OR(ISNUMBER($O177),$O177="DNA"),$O177,IF(OR(ISNUMBER($N177),$N177="DNA"),$N177,""))))))))))="DNA",AND(ISNUMBER(IF(OR(ISNUMBER($Y177),$Y177="DNA"),$Y177,IF(OR(ISNUMBER($X177),$X177="DNA"),$X177,IF(OR(ISNUMBER($W177),$W177="DNA"),$W177,IF(OR(ISNUMBER($V177),$V177="DNA"),$V177,IF(OR(ISNUMBER($U177),$U177="DNA"),$U177,IF(OR(ISNUMBER($T177),$T177="DNA"),$T177,IF(OR(ISNUMBER($S177),$S177="DNA"),$S177,IF(OR(ISNUMBER($P177),$P177="DNA"),$P177,IF(OR(ISNUMBER($O177),$O177="DNA"),$O177,IF(OR(ISNUMBER($N177),$N177="DNA"),$N177,""))))))))))),IF(OR(ISNUMBER($Y177),$Y177="DNA"),$Y177,IF(OR(ISNUMBER($X177),$X177="DNA"),$X177,IF(OR(ISNUMBER($W177),$W177="DNA"),$W177,IF(OR(ISNUMBER($V177),$V177="DNA"),$V177,IF(OR(ISNUMBER($U177),$U177="DNA"),$U177,IF(OR(ISNUMBER($T177),$T177="DNA"),$T177,IF(OR(ISNUMBER($S177),$S177="DNA"),$S177,IF(OR(ISNUMBER($P177),$P177="DNA"),$P177,IF(OR(ISNUMBER($O177),$O177="DNA"),$O177,IF(OR(ISNUMBER($N177),$N177="DNA"),$N177,""))))))))))&lt;TODAY())),1,0)+ISNUMBER($Q177)*($Q177&lt;TODAY())+ISNUMBER($R177)*($R177&lt;TODAY())+ISNUMBER($AA177)*($AA177&lt;TODAY())+ISNUMBER($AB177)*($AB177&lt;TODAY()))</f>
        <v/>
      </c>
    </row>
    <row r="178">
      <c r="A178" s="25" t="n"/>
      <c r="B178" s="26" t="n"/>
      <c r="C178" s="27" t="n"/>
      <c r="D178" s="25" t="n"/>
      <c r="E178" s="25" t="n"/>
      <c r="F178" s="25" t="n"/>
      <c r="G178" s="25" t="n"/>
      <c r="H178" s="27" t="n"/>
      <c r="I178" s="25" t="n"/>
      <c r="J178" s="28">
        <f>IF(OR(NOT(AND($A178&lt;&gt;"",OR($I178="",$I178="Active"))),$H178=""),"",INT((TODAY()-$H178+280)/7)&amp;"+"&amp;MOD(TODAY()-$H178+280,7))</f>
        <v/>
      </c>
      <c r="K178" s="28">
        <f>IF(NOT(AND($A178&lt;&gt;"",OR($I178="",$I178="Active"))),"",ISNUMBER($N178)*($N178&gt;=TODAY())*($N178&lt;=TODAY()+7)+ISNUMBER($O178)*($O178&gt;=TODAY())*($O178&lt;=TODAY()+7)+ISNUMBER($P178)*($P178&gt;=TODAY())*($P178&lt;=TODAY()+7)+ISNUMBER($S178)*($S178&gt;=TODAY())*($S178&lt;=TODAY()+7)+ISNUMBER($T178)*($T178&gt;=TODAY())*($T178&lt;=TODAY()+7)+ISNUMBER($U178)*($U178&gt;=TODAY())*($U178&lt;=TODAY()+7)+ISNUMBER($V178)*($V178&gt;=TODAY())*($V178&lt;=TODAY()+7)+ISNUMBER($W178)*($W178&gt;=TODAY())*($W178&lt;=TODAY()+7)+ISNUMBER($X178)*($X178&gt;=TODAY())*($X178&lt;=TODAY()+7)+ISNUMBER($Y178)*($Y178&gt;=TODAY())*($Y178&lt;=TODAY()+7)+ISNUMBER($Q178)*($Q178&gt;=TODAY())*($Q178&lt;=TODAY()+7)+ISNUMBER($R178)*($R178&gt;=TODAY())*($R178&lt;=TODAY()+7)+ISNUMBER($AA178)*($AA178&gt;=TODAY())*($AA178&lt;=TODAY()+7)+ISNUMBER($AB178)*($AB178&gt;=TODAY())*($AB178&lt;=TODAY()+7))</f>
        <v/>
      </c>
      <c r="L178" s="28">
        <f>IF(NOT(AND($A178&lt;&gt;"",OR($I178="",$I178="Active"))),"",IF($M178&lt;&gt;"",IF($N178=$M178,"Booking",IF($O178=$M178,"16/40",IF($P178=$M178,"25/40",IF($S178=$M178,"28/40",IF($T178=$M178,"31/40",IF($U178=$M178,"34/40",IF($V178=$M178,"36/40",IF($W178=$M178,"38/40",IF($X178=$M178,"40/40",IF($Y178=$M178,"41/40","")))))))))),IF(IF(OR(ISNUMBER($Y178),$Y178="DNA"),$Y178,IF(OR(ISNUMBER($X178),$X178="DNA"),$X178,IF(OR(ISNUMBER($W178),$W178="DNA"),$W178,IF(OR(ISNUMBER($V178),$V178="DNA"),$V178,IF(OR(ISNUMBER($U178),$U178="DNA"),$U178,IF(OR(ISNUMBER($T178),$T178="DNA"),$T178,IF(OR(ISNUMBER($S178),$S178="DNA"),$S178,IF(OR(ISNUMBER($P178),$P178="DNA"),$P178,IF(OR(ISNUMBER($O178),$O178="DNA"),$O178,IF(OR(ISNUMBER($N178),$N178="DNA"),$N178,""))))))))))="DNA","Rebook DNA",IF(ISNUMBER(IF(OR(ISNUMBER($Y178),$Y178="DNA"),$Y178,IF(OR(ISNUMBER($X178),$X178="DNA"),$X178,IF(OR(ISNUMBER($W178),$W178="DNA"),$W178,IF(OR(ISNUMBER($V178),$V178="DNA"),$V178,IF(OR(ISNUMBER($U178),$U178="DNA"),$U178,IF(OR(ISNUMBER($T178),$T178="DNA"),$T178,IF(OR(ISNUMBER($S178),$S178="DNA"),$S178,IF(OR(ISNUMBER($P178),$P178="DNA"),$P178,IF(OR(ISNUMBER($O178),$O178="DNA"),$O178,IF(OR(ISNUMBER($N178),$N178="DNA"),$N178,""))))))))))),IF(ISNUMBER($Y178),"Update status","Missed/not booked?"),""))))</f>
        <v/>
      </c>
      <c r="M178" s="29">
        <f>IF(NOT(AND($A178&lt;&gt;"",OR($I178="",$I178="Active"))),"",IF(MIN(IF(AND(ISNUMBER($N178),$N178&gt;=TODAY()),$N178,99999),IF(AND(ISNUMBER($O178),$O178&gt;=TODAY()),$O178,99999),IF(AND(ISNUMBER($P178),$P178&gt;=TODAY()),$P178,99999),IF(AND(ISNUMBER($S178),$S178&gt;=TODAY()),$S178,99999),IF(AND(ISNUMBER($T178),$T178&gt;=TODAY()),$T178,99999),IF(AND(ISNUMBER($U178),$U178&gt;=TODAY()),$U178,99999),IF(AND(ISNUMBER($V178),$V178&gt;=TODAY()),$V178,99999),IF(AND(ISNUMBER($W178),$W178&gt;=TODAY()),$W178,99999),IF(AND(ISNUMBER($X178),$X178&gt;=TODAY()),$X178,99999),IF(AND(ISNUMBER($Y178),$Y178&gt;=TODAY()),$Y178,99999))=99999,"",MIN(IF(AND(ISNUMBER($N178),$N178&gt;=TODAY()),$N178,99999),IF(AND(ISNUMBER($O178),$O178&gt;=TODAY()),$O178,99999),IF(AND(ISNUMBER($P178),$P178&gt;=TODAY()),$P178,99999),IF(AND(ISNUMBER($S178),$S178&gt;=TODAY()),$S178,99999),IF(AND(ISNUMBER($T178),$T178&gt;=TODAY()),$T178,99999),IF(AND(ISNUMBER($U178),$U178&gt;=TODAY()),$U178,99999),IF(AND(ISNUMBER($V178),$V178&gt;=TODAY()),$V178,99999),IF(AND(ISNUMBER($W178),$W178&gt;=TODAY()),$W178,99999),IF(AND(ISNUMBER($X178),$X178&gt;=TODAY()),$X178,99999),IF(AND(ISNUMBER($Y178),$Y178&gt;=TODAY()),$Y178,99999))))</f>
        <v/>
      </c>
      <c r="N178" s="27" t="n"/>
      <c r="O178" s="27" t="n"/>
      <c r="P178" s="27" t="n"/>
      <c r="Q178" s="27" t="n"/>
      <c r="R178" s="27" t="n"/>
      <c r="S178" s="27" t="n"/>
      <c r="T178" s="27" t="n"/>
      <c r="U178" s="27" t="n"/>
      <c r="V178" s="27" t="n"/>
      <c r="W178" s="27" t="n"/>
      <c r="X178" s="27" t="n"/>
      <c r="Y178" s="27" t="n"/>
      <c r="Z178" s="27" t="n"/>
      <c r="AA178" s="27" t="n"/>
      <c r="AB178" s="27" t="n"/>
      <c r="AC178" s="30" t="n"/>
      <c r="AD178" s="25" t="n"/>
      <c r="AE178" s="28">
        <f>IF(NOT(AND($A178&lt;&gt;"",OR($I178="",$I178="Active"))),"",IF(OR(IF(OR(ISNUMBER($Y178),$Y178="DNA"),$Y178,IF(OR(ISNUMBER($X178),$X178="DNA"),$X178,IF(OR(ISNUMBER($W178),$W178="DNA"),$W178,IF(OR(ISNUMBER($V178),$V178="DNA"),$V178,IF(OR(ISNUMBER($U178),$U178="DNA"),$U178,IF(OR(ISNUMBER($T178),$T178="DNA"),$T178,IF(OR(ISNUMBER($S178),$S178="DNA"),$S178,IF(OR(ISNUMBER($P178),$P178="DNA"),$P178,IF(OR(ISNUMBER($O178),$O178="DNA"),$O178,IF(OR(ISNUMBER($N178),$N178="DNA"),$N178,""))))))))))="DNA",AND(ISNUMBER(IF(OR(ISNUMBER($Y178),$Y178="DNA"),$Y178,IF(OR(ISNUMBER($X178),$X178="DNA"),$X178,IF(OR(ISNUMBER($W178),$W178="DNA"),$W178,IF(OR(ISNUMBER($V178),$V178="DNA"),$V178,IF(OR(ISNUMBER($U178),$U178="DNA"),$U178,IF(OR(ISNUMBER($T178),$T178="DNA"),$T178,IF(OR(ISNUMBER($S178),$S178="DNA"),$S178,IF(OR(ISNUMBER($P178),$P178="DNA"),$P178,IF(OR(ISNUMBER($O178),$O178="DNA"),$O178,IF(OR(ISNUMBER($N178),$N178="DNA"),$N178,""))))))))))),IF(OR(ISNUMBER($Y178),$Y178="DNA"),$Y178,IF(OR(ISNUMBER($X178),$X178="DNA"),$X178,IF(OR(ISNUMBER($W178),$W178="DNA"),$W178,IF(OR(ISNUMBER($V178),$V178="DNA"),$V178,IF(OR(ISNUMBER($U178),$U178="DNA"),$U178,IF(OR(ISNUMBER($T178),$T178="DNA"),$T178,IF(OR(ISNUMBER($S178),$S178="DNA"),$S178,IF(OR(ISNUMBER($P178),$P178="DNA"),$P178,IF(OR(ISNUMBER($O178),$O178="DNA"),$O178,IF(OR(ISNUMBER($N178),$N178="DNA"),$N178,""))))))))))&lt;TODAY())),1,0)+ISNUMBER($Q178)*($Q178&lt;TODAY())+ISNUMBER($R178)*($R178&lt;TODAY())+ISNUMBER($AA178)*($AA178&lt;TODAY())+ISNUMBER($AB178)*($AB178&lt;TODAY()))</f>
        <v/>
      </c>
    </row>
    <row r="179">
      <c r="A179" s="25" t="n"/>
      <c r="B179" s="26" t="n"/>
      <c r="C179" s="27" t="n"/>
      <c r="D179" s="25" t="n"/>
      <c r="E179" s="25" t="n"/>
      <c r="F179" s="25" t="n"/>
      <c r="G179" s="25" t="n"/>
      <c r="H179" s="27" t="n"/>
      <c r="I179" s="25" t="n"/>
      <c r="J179" s="28">
        <f>IF(OR(NOT(AND($A179&lt;&gt;"",OR($I179="",$I179="Active"))),$H179=""),"",INT((TODAY()-$H179+280)/7)&amp;"+"&amp;MOD(TODAY()-$H179+280,7))</f>
        <v/>
      </c>
      <c r="K179" s="28">
        <f>IF(NOT(AND($A179&lt;&gt;"",OR($I179="",$I179="Active"))),"",ISNUMBER($N179)*($N179&gt;=TODAY())*($N179&lt;=TODAY()+7)+ISNUMBER($O179)*($O179&gt;=TODAY())*($O179&lt;=TODAY()+7)+ISNUMBER($P179)*($P179&gt;=TODAY())*($P179&lt;=TODAY()+7)+ISNUMBER($S179)*($S179&gt;=TODAY())*($S179&lt;=TODAY()+7)+ISNUMBER($T179)*($T179&gt;=TODAY())*($T179&lt;=TODAY()+7)+ISNUMBER($U179)*($U179&gt;=TODAY())*($U179&lt;=TODAY()+7)+ISNUMBER($V179)*($V179&gt;=TODAY())*($V179&lt;=TODAY()+7)+ISNUMBER($W179)*($W179&gt;=TODAY())*($W179&lt;=TODAY()+7)+ISNUMBER($X179)*($X179&gt;=TODAY())*($X179&lt;=TODAY()+7)+ISNUMBER($Y179)*($Y179&gt;=TODAY())*($Y179&lt;=TODAY()+7)+ISNUMBER($Q179)*($Q179&gt;=TODAY())*($Q179&lt;=TODAY()+7)+ISNUMBER($R179)*($R179&gt;=TODAY())*($R179&lt;=TODAY()+7)+ISNUMBER($AA179)*($AA179&gt;=TODAY())*($AA179&lt;=TODAY()+7)+ISNUMBER($AB179)*($AB179&gt;=TODAY())*($AB179&lt;=TODAY()+7))</f>
        <v/>
      </c>
      <c r="L179" s="28">
        <f>IF(NOT(AND($A179&lt;&gt;"",OR($I179="",$I179="Active"))),"",IF($M179&lt;&gt;"",IF($N179=$M179,"Booking",IF($O179=$M179,"16/40",IF($P179=$M179,"25/40",IF($S179=$M179,"28/40",IF($T179=$M179,"31/40",IF($U179=$M179,"34/40",IF($V179=$M179,"36/40",IF($W179=$M179,"38/40",IF($X179=$M179,"40/40",IF($Y179=$M179,"41/40","")))))))))),IF(IF(OR(ISNUMBER($Y179),$Y179="DNA"),$Y179,IF(OR(ISNUMBER($X179),$X179="DNA"),$X179,IF(OR(ISNUMBER($W179),$W179="DNA"),$W179,IF(OR(ISNUMBER($V179),$V179="DNA"),$V179,IF(OR(ISNUMBER($U179),$U179="DNA"),$U179,IF(OR(ISNUMBER($T179),$T179="DNA"),$T179,IF(OR(ISNUMBER($S179),$S179="DNA"),$S179,IF(OR(ISNUMBER($P179),$P179="DNA"),$P179,IF(OR(ISNUMBER($O179),$O179="DNA"),$O179,IF(OR(ISNUMBER($N179),$N179="DNA"),$N179,""))))))))))="DNA","Rebook DNA",IF(ISNUMBER(IF(OR(ISNUMBER($Y179),$Y179="DNA"),$Y179,IF(OR(ISNUMBER($X179),$X179="DNA"),$X179,IF(OR(ISNUMBER($W179),$W179="DNA"),$W179,IF(OR(ISNUMBER($V179),$V179="DNA"),$V179,IF(OR(ISNUMBER($U179),$U179="DNA"),$U179,IF(OR(ISNUMBER($T179),$T179="DNA"),$T179,IF(OR(ISNUMBER($S179),$S179="DNA"),$S179,IF(OR(ISNUMBER($P179),$P179="DNA"),$P179,IF(OR(ISNUMBER($O179),$O179="DNA"),$O179,IF(OR(ISNUMBER($N179),$N179="DNA"),$N179,""))))))))))),IF(ISNUMBER($Y179),"Update status","Missed/not booked?"),""))))</f>
        <v/>
      </c>
      <c r="M179" s="29">
        <f>IF(NOT(AND($A179&lt;&gt;"",OR($I179="",$I179="Active"))),"",IF(MIN(IF(AND(ISNUMBER($N179),$N179&gt;=TODAY()),$N179,99999),IF(AND(ISNUMBER($O179),$O179&gt;=TODAY()),$O179,99999),IF(AND(ISNUMBER($P179),$P179&gt;=TODAY()),$P179,99999),IF(AND(ISNUMBER($S179),$S179&gt;=TODAY()),$S179,99999),IF(AND(ISNUMBER($T179),$T179&gt;=TODAY()),$T179,99999),IF(AND(ISNUMBER($U179),$U179&gt;=TODAY()),$U179,99999),IF(AND(ISNUMBER($V179),$V179&gt;=TODAY()),$V179,99999),IF(AND(ISNUMBER($W179),$W179&gt;=TODAY()),$W179,99999),IF(AND(ISNUMBER($X179),$X179&gt;=TODAY()),$X179,99999),IF(AND(ISNUMBER($Y179),$Y179&gt;=TODAY()),$Y179,99999))=99999,"",MIN(IF(AND(ISNUMBER($N179),$N179&gt;=TODAY()),$N179,99999),IF(AND(ISNUMBER($O179),$O179&gt;=TODAY()),$O179,99999),IF(AND(ISNUMBER($P179),$P179&gt;=TODAY()),$P179,99999),IF(AND(ISNUMBER($S179),$S179&gt;=TODAY()),$S179,99999),IF(AND(ISNUMBER($T179),$T179&gt;=TODAY()),$T179,99999),IF(AND(ISNUMBER($U179),$U179&gt;=TODAY()),$U179,99999),IF(AND(ISNUMBER($V179),$V179&gt;=TODAY()),$V179,99999),IF(AND(ISNUMBER($W179),$W179&gt;=TODAY()),$W179,99999),IF(AND(ISNUMBER($X179),$X179&gt;=TODAY()),$X179,99999),IF(AND(ISNUMBER($Y179),$Y179&gt;=TODAY()),$Y179,99999))))</f>
        <v/>
      </c>
      <c r="N179" s="27" t="n"/>
      <c r="O179" s="27" t="n"/>
      <c r="P179" s="27" t="n"/>
      <c r="Q179" s="27" t="n"/>
      <c r="R179" s="27" t="n"/>
      <c r="S179" s="27" t="n"/>
      <c r="T179" s="27" t="n"/>
      <c r="U179" s="27" t="n"/>
      <c r="V179" s="27" t="n"/>
      <c r="W179" s="27" t="n"/>
      <c r="X179" s="27" t="n"/>
      <c r="Y179" s="27" t="n"/>
      <c r="Z179" s="27" t="n"/>
      <c r="AA179" s="27" t="n"/>
      <c r="AB179" s="27" t="n"/>
      <c r="AC179" s="30" t="n"/>
      <c r="AD179" s="25" t="n"/>
      <c r="AE179" s="28">
        <f>IF(NOT(AND($A179&lt;&gt;"",OR($I179="",$I179="Active"))),"",IF(OR(IF(OR(ISNUMBER($Y179),$Y179="DNA"),$Y179,IF(OR(ISNUMBER($X179),$X179="DNA"),$X179,IF(OR(ISNUMBER($W179),$W179="DNA"),$W179,IF(OR(ISNUMBER($V179),$V179="DNA"),$V179,IF(OR(ISNUMBER($U179),$U179="DNA"),$U179,IF(OR(ISNUMBER($T179),$T179="DNA"),$T179,IF(OR(ISNUMBER($S179),$S179="DNA"),$S179,IF(OR(ISNUMBER($P179),$P179="DNA"),$P179,IF(OR(ISNUMBER($O179),$O179="DNA"),$O179,IF(OR(ISNUMBER($N179),$N179="DNA"),$N179,""))))))))))="DNA",AND(ISNUMBER(IF(OR(ISNUMBER($Y179),$Y179="DNA"),$Y179,IF(OR(ISNUMBER($X179),$X179="DNA"),$X179,IF(OR(ISNUMBER($W179),$W179="DNA"),$W179,IF(OR(ISNUMBER($V179),$V179="DNA"),$V179,IF(OR(ISNUMBER($U179),$U179="DNA"),$U179,IF(OR(ISNUMBER($T179),$T179="DNA"),$T179,IF(OR(ISNUMBER($S179),$S179="DNA"),$S179,IF(OR(ISNUMBER($P179),$P179="DNA"),$P179,IF(OR(ISNUMBER($O179),$O179="DNA"),$O179,IF(OR(ISNUMBER($N179),$N179="DNA"),$N179,""))))))))))),IF(OR(ISNUMBER($Y179),$Y179="DNA"),$Y179,IF(OR(ISNUMBER($X179),$X179="DNA"),$X179,IF(OR(ISNUMBER($W179),$W179="DNA"),$W179,IF(OR(ISNUMBER($V179),$V179="DNA"),$V179,IF(OR(ISNUMBER($U179),$U179="DNA"),$U179,IF(OR(ISNUMBER($T179),$T179="DNA"),$T179,IF(OR(ISNUMBER($S179),$S179="DNA"),$S179,IF(OR(ISNUMBER($P179),$P179="DNA"),$P179,IF(OR(ISNUMBER($O179),$O179="DNA"),$O179,IF(OR(ISNUMBER($N179),$N179="DNA"),$N179,""))))))))))&lt;TODAY())),1,0)+ISNUMBER($Q179)*($Q179&lt;TODAY())+ISNUMBER($R179)*($R179&lt;TODAY())+ISNUMBER($AA179)*($AA179&lt;TODAY())+ISNUMBER($AB179)*($AB179&lt;TODAY()))</f>
        <v/>
      </c>
    </row>
    <row r="180">
      <c r="A180" s="25" t="n"/>
      <c r="B180" s="26" t="n"/>
      <c r="C180" s="27" t="n"/>
      <c r="D180" s="25" t="n"/>
      <c r="E180" s="25" t="n"/>
      <c r="F180" s="25" t="n"/>
      <c r="G180" s="25" t="n"/>
      <c r="H180" s="27" t="n"/>
      <c r="I180" s="25" t="n"/>
      <c r="J180" s="28">
        <f>IF(OR(NOT(AND($A180&lt;&gt;"",OR($I180="",$I180="Active"))),$H180=""),"",INT((TODAY()-$H180+280)/7)&amp;"+"&amp;MOD(TODAY()-$H180+280,7))</f>
        <v/>
      </c>
      <c r="K180" s="28">
        <f>IF(NOT(AND($A180&lt;&gt;"",OR($I180="",$I180="Active"))),"",ISNUMBER($N180)*($N180&gt;=TODAY())*($N180&lt;=TODAY()+7)+ISNUMBER($O180)*($O180&gt;=TODAY())*($O180&lt;=TODAY()+7)+ISNUMBER($P180)*($P180&gt;=TODAY())*($P180&lt;=TODAY()+7)+ISNUMBER($S180)*($S180&gt;=TODAY())*($S180&lt;=TODAY()+7)+ISNUMBER($T180)*($T180&gt;=TODAY())*($T180&lt;=TODAY()+7)+ISNUMBER($U180)*($U180&gt;=TODAY())*($U180&lt;=TODAY()+7)+ISNUMBER($V180)*($V180&gt;=TODAY())*($V180&lt;=TODAY()+7)+ISNUMBER($W180)*($W180&gt;=TODAY())*($W180&lt;=TODAY()+7)+ISNUMBER($X180)*($X180&gt;=TODAY())*($X180&lt;=TODAY()+7)+ISNUMBER($Y180)*($Y180&gt;=TODAY())*($Y180&lt;=TODAY()+7)+ISNUMBER($Q180)*($Q180&gt;=TODAY())*($Q180&lt;=TODAY()+7)+ISNUMBER($R180)*($R180&gt;=TODAY())*($R180&lt;=TODAY()+7)+ISNUMBER($AA180)*($AA180&gt;=TODAY())*($AA180&lt;=TODAY()+7)+ISNUMBER($AB180)*($AB180&gt;=TODAY())*($AB180&lt;=TODAY()+7))</f>
        <v/>
      </c>
      <c r="L180" s="28">
        <f>IF(NOT(AND($A180&lt;&gt;"",OR($I180="",$I180="Active"))),"",IF($M180&lt;&gt;"",IF($N180=$M180,"Booking",IF($O180=$M180,"16/40",IF($P180=$M180,"25/40",IF($S180=$M180,"28/40",IF($T180=$M180,"31/40",IF($U180=$M180,"34/40",IF($V180=$M180,"36/40",IF($W180=$M180,"38/40",IF($X180=$M180,"40/40",IF($Y180=$M180,"41/40","")))))))))),IF(IF(OR(ISNUMBER($Y180),$Y180="DNA"),$Y180,IF(OR(ISNUMBER($X180),$X180="DNA"),$X180,IF(OR(ISNUMBER($W180),$W180="DNA"),$W180,IF(OR(ISNUMBER($V180),$V180="DNA"),$V180,IF(OR(ISNUMBER($U180),$U180="DNA"),$U180,IF(OR(ISNUMBER($T180),$T180="DNA"),$T180,IF(OR(ISNUMBER($S180),$S180="DNA"),$S180,IF(OR(ISNUMBER($P180),$P180="DNA"),$P180,IF(OR(ISNUMBER($O180),$O180="DNA"),$O180,IF(OR(ISNUMBER($N180),$N180="DNA"),$N180,""))))))))))="DNA","Rebook DNA",IF(ISNUMBER(IF(OR(ISNUMBER($Y180),$Y180="DNA"),$Y180,IF(OR(ISNUMBER($X180),$X180="DNA"),$X180,IF(OR(ISNUMBER($W180),$W180="DNA"),$W180,IF(OR(ISNUMBER($V180),$V180="DNA"),$V180,IF(OR(ISNUMBER($U180),$U180="DNA"),$U180,IF(OR(ISNUMBER($T180),$T180="DNA"),$T180,IF(OR(ISNUMBER($S180),$S180="DNA"),$S180,IF(OR(ISNUMBER($P180),$P180="DNA"),$P180,IF(OR(ISNUMBER($O180),$O180="DNA"),$O180,IF(OR(ISNUMBER($N180),$N180="DNA"),$N180,""))))))))))),IF(ISNUMBER($Y180),"Update status","Missed/not booked?"),""))))</f>
        <v/>
      </c>
      <c r="M180" s="29">
        <f>IF(NOT(AND($A180&lt;&gt;"",OR($I180="",$I180="Active"))),"",IF(MIN(IF(AND(ISNUMBER($N180),$N180&gt;=TODAY()),$N180,99999),IF(AND(ISNUMBER($O180),$O180&gt;=TODAY()),$O180,99999),IF(AND(ISNUMBER($P180),$P180&gt;=TODAY()),$P180,99999),IF(AND(ISNUMBER($S180),$S180&gt;=TODAY()),$S180,99999),IF(AND(ISNUMBER($T180),$T180&gt;=TODAY()),$T180,99999),IF(AND(ISNUMBER($U180),$U180&gt;=TODAY()),$U180,99999),IF(AND(ISNUMBER($V180),$V180&gt;=TODAY()),$V180,99999),IF(AND(ISNUMBER($W180),$W180&gt;=TODAY()),$W180,99999),IF(AND(ISNUMBER($X180),$X180&gt;=TODAY()),$X180,99999),IF(AND(ISNUMBER($Y180),$Y180&gt;=TODAY()),$Y180,99999))=99999,"",MIN(IF(AND(ISNUMBER($N180),$N180&gt;=TODAY()),$N180,99999),IF(AND(ISNUMBER($O180),$O180&gt;=TODAY()),$O180,99999),IF(AND(ISNUMBER($P180),$P180&gt;=TODAY()),$P180,99999),IF(AND(ISNUMBER($S180),$S180&gt;=TODAY()),$S180,99999),IF(AND(ISNUMBER($T180),$T180&gt;=TODAY()),$T180,99999),IF(AND(ISNUMBER($U180),$U180&gt;=TODAY()),$U180,99999),IF(AND(ISNUMBER($V180),$V180&gt;=TODAY()),$V180,99999),IF(AND(ISNUMBER($W180),$W180&gt;=TODAY()),$W180,99999),IF(AND(ISNUMBER($X180),$X180&gt;=TODAY()),$X180,99999),IF(AND(ISNUMBER($Y180),$Y180&gt;=TODAY()),$Y180,99999))))</f>
        <v/>
      </c>
      <c r="N180" s="27" t="n"/>
      <c r="O180" s="27" t="n"/>
      <c r="P180" s="27" t="n"/>
      <c r="Q180" s="27" t="n"/>
      <c r="R180" s="27" t="n"/>
      <c r="S180" s="27" t="n"/>
      <c r="T180" s="27" t="n"/>
      <c r="U180" s="27" t="n"/>
      <c r="V180" s="27" t="n"/>
      <c r="W180" s="27" t="n"/>
      <c r="X180" s="27" t="n"/>
      <c r="Y180" s="27" t="n"/>
      <c r="Z180" s="27" t="n"/>
      <c r="AA180" s="27" t="n"/>
      <c r="AB180" s="27" t="n"/>
      <c r="AC180" s="30" t="n"/>
      <c r="AD180" s="25" t="n"/>
      <c r="AE180" s="28">
        <f>IF(NOT(AND($A180&lt;&gt;"",OR($I180="",$I180="Active"))),"",IF(OR(IF(OR(ISNUMBER($Y180),$Y180="DNA"),$Y180,IF(OR(ISNUMBER($X180),$X180="DNA"),$X180,IF(OR(ISNUMBER($W180),$W180="DNA"),$W180,IF(OR(ISNUMBER($V180),$V180="DNA"),$V180,IF(OR(ISNUMBER($U180),$U180="DNA"),$U180,IF(OR(ISNUMBER($T180),$T180="DNA"),$T180,IF(OR(ISNUMBER($S180),$S180="DNA"),$S180,IF(OR(ISNUMBER($P180),$P180="DNA"),$P180,IF(OR(ISNUMBER($O180),$O180="DNA"),$O180,IF(OR(ISNUMBER($N180),$N180="DNA"),$N180,""))))))))))="DNA",AND(ISNUMBER(IF(OR(ISNUMBER($Y180),$Y180="DNA"),$Y180,IF(OR(ISNUMBER($X180),$X180="DNA"),$X180,IF(OR(ISNUMBER($W180),$W180="DNA"),$W180,IF(OR(ISNUMBER($V180),$V180="DNA"),$V180,IF(OR(ISNUMBER($U180),$U180="DNA"),$U180,IF(OR(ISNUMBER($T180),$T180="DNA"),$T180,IF(OR(ISNUMBER($S180),$S180="DNA"),$S180,IF(OR(ISNUMBER($P180),$P180="DNA"),$P180,IF(OR(ISNUMBER($O180),$O180="DNA"),$O180,IF(OR(ISNUMBER($N180),$N180="DNA"),$N180,""))))))))))),IF(OR(ISNUMBER($Y180),$Y180="DNA"),$Y180,IF(OR(ISNUMBER($X180),$X180="DNA"),$X180,IF(OR(ISNUMBER($W180),$W180="DNA"),$W180,IF(OR(ISNUMBER($V180),$V180="DNA"),$V180,IF(OR(ISNUMBER($U180),$U180="DNA"),$U180,IF(OR(ISNUMBER($T180),$T180="DNA"),$T180,IF(OR(ISNUMBER($S180),$S180="DNA"),$S180,IF(OR(ISNUMBER($P180),$P180="DNA"),$P180,IF(OR(ISNUMBER($O180),$O180="DNA"),$O180,IF(OR(ISNUMBER($N180),$N180="DNA"),$N180,""))))))))))&lt;TODAY())),1,0)+ISNUMBER($Q180)*($Q180&lt;TODAY())+ISNUMBER($R180)*($R180&lt;TODAY())+ISNUMBER($AA180)*($AA180&lt;TODAY())+ISNUMBER($AB180)*($AB180&lt;TODAY()))</f>
        <v/>
      </c>
    </row>
    <row r="181">
      <c r="A181" s="25" t="n"/>
      <c r="B181" s="26" t="n"/>
      <c r="C181" s="27" t="n"/>
      <c r="D181" s="25" t="n"/>
      <c r="E181" s="25" t="n"/>
      <c r="F181" s="25" t="n"/>
      <c r="G181" s="25" t="n"/>
      <c r="H181" s="27" t="n"/>
      <c r="I181" s="25" t="n"/>
      <c r="J181" s="28">
        <f>IF(OR(NOT(AND($A181&lt;&gt;"",OR($I181="",$I181="Active"))),$H181=""),"",INT((TODAY()-$H181+280)/7)&amp;"+"&amp;MOD(TODAY()-$H181+280,7))</f>
        <v/>
      </c>
      <c r="K181" s="28">
        <f>IF(NOT(AND($A181&lt;&gt;"",OR($I181="",$I181="Active"))),"",ISNUMBER($N181)*($N181&gt;=TODAY())*($N181&lt;=TODAY()+7)+ISNUMBER($O181)*($O181&gt;=TODAY())*($O181&lt;=TODAY()+7)+ISNUMBER($P181)*($P181&gt;=TODAY())*($P181&lt;=TODAY()+7)+ISNUMBER($S181)*($S181&gt;=TODAY())*($S181&lt;=TODAY()+7)+ISNUMBER($T181)*($T181&gt;=TODAY())*($T181&lt;=TODAY()+7)+ISNUMBER($U181)*($U181&gt;=TODAY())*($U181&lt;=TODAY()+7)+ISNUMBER($V181)*($V181&gt;=TODAY())*($V181&lt;=TODAY()+7)+ISNUMBER($W181)*($W181&gt;=TODAY())*($W181&lt;=TODAY()+7)+ISNUMBER($X181)*($X181&gt;=TODAY())*($X181&lt;=TODAY()+7)+ISNUMBER($Y181)*($Y181&gt;=TODAY())*($Y181&lt;=TODAY()+7)+ISNUMBER($Q181)*($Q181&gt;=TODAY())*($Q181&lt;=TODAY()+7)+ISNUMBER($R181)*($R181&gt;=TODAY())*($R181&lt;=TODAY()+7)+ISNUMBER($AA181)*($AA181&gt;=TODAY())*($AA181&lt;=TODAY()+7)+ISNUMBER($AB181)*($AB181&gt;=TODAY())*($AB181&lt;=TODAY()+7))</f>
        <v/>
      </c>
      <c r="L181" s="28">
        <f>IF(NOT(AND($A181&lt;&gt;"",OR($I181="",$I181="Active"))),"",IF($M181&lt;&gt;"",IF($N181=$M181,"Booking",IF($O181=$M181,"16/40",IF($P181=$M181,"25/40",IF($S181=$M181,"28/40",IF($T181=$M181,"31/40",IF($U181=$M181,"34/40",IF($V181=$M181,"36/40",IF($W181=$M181,"38/40",IF($X181=$M181,"40/40",IF($Y181=$M181,"41/40","")))))))))),IF(IF(OR(ISNUMBER($Y181),$Y181="DNA"),$Y181,IF(OR(ISNUMBER($X181),$X181="DNA"),$X181,IF(OR(ISNUMBER($W181),$W181="DNA"),$W181,IF(OR(ISNUMBER($V181),$V181="DNA"),$V181,IF(OR(ISNUMBER($U181),$U181="DNA"),$U181,IF(OR(ISNUMBER($T181),$T181="DNA"),$T181,IF(OR(ISNUMBER($S181),$S181="DNA"),$S181,IF(OR(ISNUMBER($P181),$P181="DNA"),$P181,IF(OR(ISNUMBER($O181),$O181="DNA"),$O181,IF(OR(ISNUMBER($N181),$N181="DNA"),$N181,""))))))))))="DNA","Rebook DNA",IF(ISNUMBER(IF(OR(ISNUMBER($Y181),$Y181="DNA"),$Y181,IF(OR(ISNUMBER($X181),$X181="DNA"),$X181,IF(OR(ISNUMBER($W181),$W181="DNA"),$W181,IF(OR(ISNUMBER($V181),$V181="DNA"),$V181,IF(OR(ISNUMBER($U181),$U181="DNA"),$U181,IF(OR(ISNUMBER($T181),$T181="DNA"),$T181,IF(OR(ISNUMBER($S181),$S181="DNA"),$S181,IF(OR(ISNUMBER($P181),$P181="DNA"),$P181,IF(OR(ISNUMBER($O181),$O181="DNA"),$O181,IF(OR(ISNUMBER($N181),$N181="DNA"),$N181,""))))))))))),IF(ISNUMBER($Y181),"Update status","Missed/not booked?"),""))))</f>
        <v/>
      </c>
      <c r="M181" s="29">
        <f>IF(NOT(AND($A181&lt;&gt;"",OR($I181="",$I181="Active"))),"",IF(MIN(IF(AND(ISNUMBER($N181),$N181&gt;=TODAY()),$N181,99999),IF(AND(ISNUMBER($O181),$O181&gt;=TODAY()),$O181,99999),IF(AND(ISNUMBER($P181),$P181&gt;=TODAY()),$P181,99999),IF(AND(ISNUMBER($S181),$S181&gt;=TODAY()),$S181,99999),IF(AND(ISNUMBER($T181),$T181&gt;=TODAY()),$T181,99999),IF(AND(ISNUMBER($U181),$U181&gt;=TODAY()),$U181,99999),IF(AND(ISNUMBER($V181),$V181&gt;=TODAY()),$V181,99999),IF(AND(ISNUMBER($W181),$W181&gt;=TODAY()),$W181,99999),IF(AND(ISNUMBER($X181),$X181&gt;=TODAY()),$X181,99999),IF(AND(ISNUMBER($Y181),$Y181&gt;=TODAY()),$Y181,99999))=99999,"",MIN(IF(AND(ISNUMBER($N181),$N181&gt;=TODAY()),$N181,99999),IF(AND(ISNUMBER($O181),$O181&gt;=TODAY()),$O181,99999),IF(AND(ISNUMBER($P181),$P181&gt;=TODAY()),$P181,99999),IF(AND(ISNUMBER($S181),$S181&gt;=TODAY()),$S181,99999),IF(AND(ISNUMBER($T181),$T181&gt;=TODAY()),$T181,99999),IF(AND(ISNUMBER($U181),$U181&gt;=TODAY()),$U181,99999),IF(AND(ISNUMBER($V181),$V181&gt;=TODAY()),$V181,99999),IF(AND(ISNUMBER($W181),$W181&gt;=TODAY()),$W181,99999),IF(AND(ISNUMBER($X181),$X181&gt;=TODAY()),$X181,99999),IF(AND(ISNUMBER($Y181),$Y181&gt;=TODAY()),$Y181,99999))))</f>
        <v/>
      </c>
      <c r="N181" s="27" t="n"/>
      <c r="O181" s="27" t="n"/>
      <c r="P181" s="27" t="n"/>
      <c r="Q181" s="27" t="n"/>
      <c r="R181" s="27" t="n"/>
      <c r="S181" s="27" t="n"/>
      <c r="T181" s="27" t="n"/>
      <c r="U181" s="27" t="n"/>
      <c r="V181" s="27" t="n"/>
      <c r="W181" s="27" t="n"/>
      <c r="X181" s="27" t="n"/>
      <c r="Y181" s="27" t="n"/>
      <c r="Z181" s="27" t="n"/>
      <c r="AA181" s="27" t="n"/>
      <c r="AB181" s="27" t="n"/>
      <c r="AC181" s="30" t="n"/>
      <c r="AD181" s="25" t="n"/>
      <c r="AE181" s="28">
        <f>IF(NOT(AND($A181&lt;&gt;"",OR($I181="",$I181="Active"))),"",IF(OR(IF(OR(ISNUMBER($Y181),$Y181="DNA"),$Y181,IF(OR(ISNUMBER($X181),$X181="DNA"),$X181,IF(OR(ISNUMBER($W181),$W181="DNA"),$W181,IF(OR(ISNUMBER($V181),$V181="DNA"),$V181,IF(OR(ISNUMBER($U181),$U181="DNA"),$U181,IF(OR(ISNUMBER($T181),$T181="DNA"),$T181,IF(OR(ISNUMBER($S181),$S181="DNA"),$S181,IF(OR(ISNUMBER($P181),$P181="DNA"),$P181,IF(OR(ISNUMBER($O181),$O181="DNA"),$O181,IF(OR(ISNUMBER($N181),$N181="DNA"),$N181,""))))))))))="DNA",AND(ISNUMBER(IF(OR(ISNUMBER($Y181),$Y181="DNA"),$Y181,IF(OR(ISNUMBER($X181),$X181="DNA"),$X181,IF(OR(ISNUMBER($W181),$W181="DNA"),$W181,IF(OR(ISNUMBER($V181),$V181="DNA"),$V181,IF(OR(ISNUMBER($U181),$U181="DNA"),$U181,IF(OR(ISNUMBER($T181),$T181="DNA"),$T181,IF(OR(ISNUMBER($S181),$S181="DNA"),$S181,IF(OR(ISNUMBER($P181),$P181="DNA"),$P181,IF(OR(ISNUMBER($O181),$O181="DNA"),$O181,IF(OR(ISNUMBER($N181),$N181="DNA"),$N181,""))))))))))),IF(OR(ISNUMBER($Y181),$Y181="DNA"),$Y181,IF(OR(ISNUMBER($X181),$X181="DNA"),$X181,IF(OR(ISNUMBER($W181),$W181="DNA"),$W181,IF(OR(ISNUMBER($V181),$V181="DNA"),$V181,IF(OR(ISNUMBER($U181),$U181="DNA"),$U181,IF(OR(ISNUMBER($T181),$T181="DNA"),$T181,IF(OR(ISNUMBER($S181),$S181="DNA"),$S181,IF(OR(ISNUMBER($P181),$P181="DNA"),$P181,IF(OR(ISNUMBER($O181),$O181="DNA"),$O181,IF(OR(ISNUMBER($N181),$N181="DNA"),$N181,""))))))))))&lt;TODAY())),1,0)+ISNUMBER($Q181)*($Q181&lt;TODAY())+ISNUMBER($R181)*($R181&lt;TODAY())+ISNUMBER($AA181)*($AA181&lt;TODAY())+ISNUMBER($AB181)*($AB181&lt;TODAY()))</f>
        <v/>
      </c>
    </row>
    <row r="182">
      <c r="A182" s="25" t="n"/>
      <c r="B182" s="26" t="n"/>
      <c r="C182" s="27" t="n"/>
      <c r="D182" s="25" t="n"/>
      <c r="E182" s="25" t="n"/>
      <c r="F182" s="25" t="n"/>
      <c r="G182" s="25" t="n"/>
      <c r="H182" s="27" t="n"/>
      <c r="I182" s="25" t="n"/>
      <c r="J182" s="28">
        <f>IF(OR(NOT(AND($A182&lt;&gt;"",OR($I182="",$I182="Active"))),$H182=""),"",INT((TODAY()-$H182+280)/7)&amp;"+"&amp;MOD(TODAY()-$H182+280,7))</f>
        <v/>
      </c>
      <c r="K182" s="28">
        <f>IF(NOT(AND($A182&lt;&gt;"",OR($I182="",$I182="Active"))),"",ISNUMBER($N182)*($N182&gt;=TODAY())*($N182&lt;=TODAY()+7)+ISNUMBER($O182)*($O182&gt;=TODAY())*($O182&lt;=TODAY()+7)+ISNUMBER($P182)*($P182&gt;=TODAY())*($P182&lt;=TODAY()+7)+ISNUMBER($S182)*($S182&gt;=TODAY())*($S182&lt;=TODAY()+7)+ISNUMBER($T182)*($T182&gt;=TODAY())*($T182&lt;=TODAY()+7)+ISNUMBER($U182)*($U182&gt;=TODAY())*($U182&lt;=TODAY()+7)+ISNUMBER($V182)*($V182&gt;=TODAY())*($V182&lt;=TODAY()+7)+ISNUMBER($W182)*($W182&gt;=TODAY())*($W182&lt;=TODAY()+7)+ISNUMBER($X182)*($X182&gt;=TODAY())*($X182&lt;=TODAY()+7)+ISNUMBER($Y182)*($Y182&gt;=TODAY())*($Y182&lt;=TODAY()+7)+ISNUMBER($Q182)*($Q182&gt;=TODAY())*($Q182&lt;=TODAY()+7)+ISNUMBER($R182)*($R182&gt;=TODAY())*($R182&lt;=TODAY()+7)+ISNUMBER($AA182)*($AA182&gt;=TODAY())*($AA182&lt;=TODAY()+7)+ISNUMBER($AB182)*($AB182&gt;=TODAY())*($AB182&lt;=TODAY()+7))</f>
        <v/>
      </c>
      <c r="L182" s="28">
        <f>IF(NOT(AND($A182&lt;&gt;"",OR($I182="",$I182="Active"))),"",IF($M182&lt;&gt;"",IF($N182=$M182,"Booking",IF($O182=$M182,"16/40",IF($P182=$M182,"25/40",IF($S182=$M182,"28/40",IF($T182=$M182,"31/40",IF($U182=$M182,"34/40",IF($V182=$M182,"36/40",IF($W182=$M182,"38/40",IF($X182=$M182,"40/40",IF($Y182=$M182,"41/40","")))))))))),IF(IF(OR(ISNUMBER($Y182),$Y182="DNA"),$Y182,IF(OR(ISNUMBER($X182),$X182="DNA"),$X182,IF(OR(ISNUMBER($W182),$W182="DNA"),$W182,IF(OR(ISNUMBER($V182),$V182="DNA"),$V182,IF(OR(ISNUMBER($U182),$U182="DNA"),$U182,IF(OR(ISNUMBER($T182),$T182="DNA"),$T182,IF(OR(ISNUMBER($S182),$S182="DNA"),$S182,IF(OR(ISNUMBER($P182),$P182="DNA"),$P182,IF(OR(ISNUMBER($O182),$O182="DNA"),$O182,IF(OR(ISNUMBER($N182),$N182="DNA"),$N182,""))))))))))="DNA","Rebook DNA",IF(ISNUMBER(IF(OR(ISNUMBER($Y182),$Y182="DNA"),$Y182,IF(OR(ISNUMBER($X182),$X182="DNA"),$X182,IF(OR(ISNUMBER($W182),$W182="DNA"),$W182,IF(OR(ISNUMBER($V182),$V182="DNA"),$V182,IF(OR(ISNUMBER($U182),$U182="DNA"),$U182,IF(OR(ISNUMBER($T182),$T182="DNA"),$T182,IF(OR(ISNUMBER($S182),$S182="DNA"),$S182,IF(OR(ISNUMBER($P182),$P182="DNA"),$P182,IF(OR(ISNUMBER($O182),$O182="DNA"),$O182,IF(OR(ISNUMBER($N182),$N182="DNA"),$N182,""))))))))))),IF(ISNUMBER($Y182),"Update status","Missed/not booked?"),""))))</f>
        <v/>
      </c>
      <c r="M182" s="29">
        <f>IF(NOT(AND($A182&lt;&gt;"",OR($I182="",$I182="Active"))),"",IF(MIN(IF(AND(ISNUMBER($N182),$N182&gt;=TODAY()),$N182,99999),IF(AND(ISNUMBER($O182),$O182&gt;=TODAY()),$O182,99999),IF(AND(ISNUMBER($P182),$P182&gt;=TODAY()),$P182,99999),IF(AND(ISNUMBER($S182),$S182&gt;=TODAY()),$S182,99999),IF(AND(ISNUMBER($T182),$T182&gt;=TODAY()),$T182,99999),IF(AND(ISNUMBER($U182),$U182&gt;=TODAY()),$U182,99999),IF(AND(ISNUMBER($V182),$V182&gt;=TODAY()),$V182,99999),IF(AND(ISNUMBER($W182),$W182&gt;=TODAY()),$W182,99999),IF(AND(ISNUMBER($X182),$X182&gt;=TODAY()),$X182,99999),IF(AND(ISNUMBER($Y182),$Y182&gt;=TODAY()),$Y182,99999))=99999,"",MIN(IF(AND(ISNUMBER($N182),$N182&gt;=TODAY()),$N182,99999),IF(AND(ISNUMBER($O182),$O182&gt;=TODAY()),$O182,99999),IF(AND(ISNUMBER($P182),$P182&gt;=TODAY()),$P182,99999),IF(AND(ISNUMBER($S182),$S182&gt;=TODAY()),$S182,99999),IF(AND(ISNUMBER($T182),$T182&gt;=TODAY()),$T182,99999),IF(AND(ISNUMBER($U182),$U182&gt;=TODAY()),$U182,99999),IF(AND(ISNUMBER($V182),$V182&gt;=TODAY()),$V182,99999),IF(AND(ISNUMBER($W182),$W182&gt;=TODAY()),$W182,99999),IF(AND(ISNUMBER($X182),$X182&gt;=TODAY()),$X182,99999),IF(AND(ISNUMBER($Y182),$Y182&gt;=TODAY()),$Y182,99999))))</f>
        <v/>
      </c>
      <c r="N182" s="27" t="n"/>
      <c r="O182" s="27" t="n"/>
      <c r="P182" s="27" t="n"/>
      <c r="Q182" s="27" t="n"/>
      <c r="R182" s="27" t="n"/>
      <c r="S182" s="27" t="n"/>
      <c r="T182" s="27" t="n"/>
      <c r="U182" s="27" t="n"/>
      <c r="V182" s="27" t="n"/>
      <c r="W182" s="27" t="n"/>
      <c r="X182" s="27" t="n"/>
      <c r="Y182" s="27" t="n"/>
      <c r="Z182" s="27" t="n"/>
      <c r="AA182" s="27" t="n"/>
      <c r="AB182" s="27" t="n"/>
      <c r="AC182" s="30" t="n"/>
      <c r="AD182" s="25" t="n"/>
      <c r="AE182" s="28">
        <f>IF(NOT(AND($A182&lt;&gt;"",OR($I182="",$I182="Active"))),"",IF(OR(IF(OR(ISNUMBER($Y182),$Y182="DNA"),$Y182,IF(OR(ISNUMBER($X182),$X182="DNA"),$X182,IF(OR(ISNUMBER($W182),$W182="DNA"),$W182,IF(OR(ISNUMBER($V182),$V182="DNA"),$V182,IF(OR(ISNUMBER($U182),$U182="DNA"),$U182,IF(OR(ISNUMBER($T182),$T182="DNA"),$T182,IF(OR(ISNUMBER($S182),$S182="DNA"),$S182,IF(OR(ISNUMBER($P182),$P182="DNA"),$P182,IF(OR(ISNUMBER($O182),$O182="DNA"),$O182,IF(OR(ISNUMBER($N182),$N182="DNA"),$N182,""))))))))))="DNA",AND(ISNUMBER(IF(OR(ISNUMBER($Y182),$Y182="DNA"),$Y182,IF(OR(ISNUMBER($X182),$X182="DNA"),$X182,IF(OR(ISNUMBER($W182),$W182="DNA"),$W182,IF(OR(ISNUMBER($V182),$V182="DNA"),$V182,IF(OR(ISNUMBER($U182),$U182="DNA"),$U182,IF(OR(ISNUMBER($T182),$T182="DNA"),$T182,IF(OR(ISNUMBER($S182),$S182="DNA"),$S182,IF(OR(ISNUMBER($P182),$P182="DNA"),$P182,IF(OR(ISNUMBER($O182),$O182="DNA"),$O182,IF(OR(ISNUMBER($N182),$N182="DNA"),$N182,""))))))))))),IF(OR(ISNUMBER($Y182),$Y182="DNA"),$Y182,IF(OR(ISNUMBER($X182),$X182="DNA"),$X182,IF(OR(ISNUMBER($W182),$W182="DNA"),$W182,IF(OR(ISNUMBER($V182),$V182="DNA"),$V182,IF(OR(ISNUMBER($U182),$U182="DNA"),$U182,IF(OR(ISNUMBER($T182),$T182="DNA"),$T182,IF(OR(ISNUMBER($S182),$S182="DNA"),$S182,IF(OR(ISNUMBER($P182),$P182="DNA"),$P182,IF(OR(ISNUMBER($O182),$O182="DNA"),$O182,IF(OR(ISNUMBER($N182),$N182="DNA"),$N182,""))))))))))&lt;TODAY())),1,0)+ISNUMBER($Q182)*($Q182&lt;TODAY())+ISNUMBER($R182)*($R182&lt;TODAY())+ISNUMBER($AA182)*($AA182&lt;TODAY())+ISNUMBER($AB182)*($AB182&lt;TODAY()))</f>
        <v/>
      </c>
    </row>
    <row r="183">
      <c r="A183" s="25" t="n"/>
      <c r="B183" s="26" t="n"/>
      <c r="C183" s="27" t="n"/>
      <c r="D183" s="25" t="n"/>
      <c r="E183" s="25" t="n"/>
      <c r="F183" s="25" t="n"/>
      <c r="G183" s="25" t="n"/>
      <c r="H183" s="27" t="n"/>
      <c r="I183" s="25" t="n"/>
      <c r="J183" s="28">
        <f>IF(OR(NOT(AND($A183&lt;&gt;"",OR($I183="",$I183="Active"))),$H183=""),"",INT((TODAY()-$H183+280)/7)&amp;"+"&amp;MOD(TODAY()-$H183+280,7))</f>
        <v/>
      </c>
      <c r="K183" s="28">
        <f>IF(NOT(AND($A183&lt;&gt;"",OR($I183="",$I183="Active"))),"",ISNUMBER($N183)*($N183&gt;=TODAY())*($N183&lt;=TODAY()+7)+ISNUMBER($O183)*($O183&gt;=TODAY())*($O183&lt;=TODAY()+7)+ISNUMBER($P183)*($P183&gt;=TODAY())*($P183&lt;=TODAY()+7)+ISNUMBER($S183)*($S183&gt;=TODAY())*($S183&lt;=TODAY()+7)+ISNUMBER($T183)*($T183&gt;=TODAY())*($T183&lt;=TODAY()+7)+ISNUMBER($U183)*($U183&gt;=TODAY())*($U183&lt;=TODAY()+7)+ISNUMBER($V183)*($V183&gt;=TODAY())*($V183&lt;=TODAY()+7)+ISNUMBER($W183)*($W183&gt;=TODAY())*($W183&lt;=TODAY()+7)+ISNUMBER($X183)*($X183&gt;=TODAY())*($X183&lt;=TODAY()+7)+ISNUMBER($Y183)*($Y183&gt;=TODAY())*($Y183&lt;=TODAY()+7)+ISNUMBER($Q183)*($Q183&gt;=TODAY())*($Q183&lt;=TODAY()+7)+ISNUMBER($R183)*($R183&gt;=TODAY())*($R183&lt;=TODAY()+7)+ISNUMBER($AA183)*($AA183&gt;=TODAY())*($AA183&lt;=TODAY()+7)+ISNUMBER($AB183)*($AB183&gt;=TODAY())*($AB183&lt;=TODAY()+7))</f>
        <v/>
      </c>
      <c r="L183" s="28">
        <f>IF(NOT(AND($A183&lt;&gt;"",OR($I183="",$I183="Active"))),"",IF($M183&lt;&gt;"",IF($N183=$M183,"Booking",IF($O183=$M183,"16/40",IF($P183=$M183,"25/40",IF($S183=$M183,"28/40",IF($T183=$M183,"31/40",IF($U183=$M183,"34/40",IF($V183=$M183,"36/40",IF($W183=$M183,"38/40",IF($X183=$M183,"40/40",IF($Y183=$M183,"41/40","")))))))))),IF(IF(OR(ISNUMBER($Y183),$Y183="DNA"),$Y183,IF(OR(ISNUMBER($X183),$X183="DNA"),$X183,IF(OR(ISNUMBER($W183),$W183="DNA"),$W183,IF(OR(ISNUMBER($V183),$V183="DNA"),$V183,IF(OR(ISNUMBER($U183),$U183="DNA"),$U183,IF(OR(ISNUMBER($T183),$T183="DNA"),$T183,IF(OR(ISNUMBER($S183),$S183="DNA"),$S183,IF(OR(ISNUMBER($P183),$P183="DNA"),$P183,IF(OR(ISNUMBER($O183),$O183="DNA"),$O183,IF(OR(ISNUMBER($N183),$N183="DNA"),$N183,""))))))))))="DNA","Rebook DNA",IF(ISNUMBER(IF(OR(ISNUMBER($Y183),$Y183="DNA"),$Y183,IF(OR(ISNUMBER($X183),$X183="DNA"),$X183,IF(OR(ISNUMBER($W183),$W183="DNA"),$W183,IF(OR(ISNUMBER($V183),$V183="DNA"),$V183,IF(OR(ISNUMBER($U183),$U183="DNA"),$U183,IF(OR(ISNUMBER($T183),$T183="DNA"),$T183,IF(OR(ISNUMBER($S183),$S183="DNA"),$S183,IF(OR(ISNUMBER($P183),$P183="DNA"),$P183,IF(OR(ISNUMBER($O183),$O183="DNA"),$O183,IF(OR(ISNUMBER($N183),$N183="DNA"),$N183,""))))))))))),IF(ISNUMBER($Y183),"Update status","Missed/not booked?"),""))))</f>
        <v/>
      </c>
      <c r="M183" s="29">
        <f>IF(NOT(AND($A183&lt;&gt;"",OR($I183="",$I183="Active"))),"",IF(MIN(IF(AND(ISNUMBER($N183),$N183&gt;=TODAY()),$N183,99999),IF(AND(ISNUMBER($O183),$O183&gt;=TODAY()),$O183,99999),IF(AND(ISNUMBER($P183),$P183&gt;=TODAY()),$P183,99999),IF(AND(ISNUMBER($S183),$S183&gt;=TODAY()),$S183,99999),IF(AND(ISNUMBER($T183),$T183&gt;=TODAY()),$T183,99999),IF(AND(ISNUMBER($U183),$U183&gt;=TODAY()),$U183,99999),IF(AND(ISNUMBER($V183),$V183&gt;=TODAY()),$V183,99999),IF(AND(ISNUMBER($W183),$W183&gt;=TODAY()),$W183,99999),IF(AND(ISNUMBER($X183),$X183&gt;=TODAY()),$X183,99999),IF(AND(ISNUMBER($Y183),$Y183&gt;=TODAY()),$Y183,99999))=99999,"",MIN(IF(AND(ISNUMBER($N183),$N183&gt;=TODAY()),$N183,99999),IF(AND(ISNUMBER($O183),$O183&gt;=TODAY()),$O183,99999),IF(AND(ISNUMBER($P183),$P183&gt;=TODAY()),$P183,99999),IF(AND(ISNUMBER($S183),$S183&gt;=TODAY()),$S183,99999),IF(AND(ISNUMBER($T183),$T183&gt;=TODAY()),$T183,99999),IF(AND(ISNUMBER($U183),$U183&gt;=TODAY()),$U183,99999),IF(AND(ISNUMBER($V183),$V183&gt;=TODAY()),$V183,99999),IF(AND(ISNUMBER($W183),$W183&gt;=TODAY()),$W183,99999),IF(AND(ISNUMBER($X183),$X183&gt;=TODAY()),$X183,99999),IF(AND(ISNUMBER($Y183),$Y183&gt;=TODAY()),$Y183,99999))))</f>
        <v/>
      </c>
      <c r="N183" s="27" t="n"/>
      <c r="O183" s="27" t="n"/>
      <c r="P183" s="27" t="n"/>
      <c r="Q183" s="27" t="n"/>
      <c r="R183" s="27" t="n"/>
      <c r="S183" s="27" t="n"/>
      <c r="T183" s="27" t="n"/>
      <c r="U183" s="27" t="n"/>
      <c r="V183" s="27" t="n"/>
      <c r="W183" s="27" t="n"/>
      <c r="X183" s="27" t="n"/>
      <c r="Y183" s="27" t="n"/>
      <c r="Z183" s="27" t="n"/>
      <c r="AA183" s="27" t="n"/>
      <c r="AB183" s="27" t="n"/>
      <c r="AC183" s="30" t="n"/>
      <c r="AD183" s="25" t="n"/>
      <c r="AE183" s="28">
        <f>IF(NOT(AND($A183&lt;&gt;"",OR($I183="",$I183="Active"))),"",IF(OR(IF(OR(ISNUMBER($Y183),$Y183="DNA"),$Y183,IF(OR(ISNUMBER($X183),$X183="DNA"),$X183,IF(OR(ISNUMBER($W183),$W183="DNA"),$W183,IF(OR(ISNUMBER($V183),$V183="DNA"),$V183,IF(OR(ISNUMBER($U183),$U183="DNA"),$U183,IF(OR(ISNUMBER($T183),$T183="DNA"),$T183,IF(OR(ISNUMBER($S183),$S183="DNA"),$S183,IF(OR(ISNUMBER($P183),$P183="DNA"),$P183,IF(OR(ISNUMBER($O183),$O183="DNA"),$O183,IF(OR(ISNUMBER($N183),$N183="DNA"),$N183,""))))))))))="DNA",AND(ISNUMBER(IF(OR(ISNUMBER($Y183),$Y183="DNA"),$Y183,IF(OR(ISNUMBER($X183),$X183="DNA"),$X183,IF(OR(ISNUMBER($W183),$W183="DNA"),$W183,IF(OR(ISNUMBER($V183),$V183="DNA"),$V183,IF(OR(ISNUMBER($U183),$U183="DNA"),$U183,IF(OR(ISNUMBER($T183),$T183="DNA"),$T183,IF(OR(ISNUMBER($S183),$S183="DNA"),$S183,IF(OR(ISNUMBER($P183),$P183="DNA"),$P183,IF(OR(ISNUMBER($O183),$O183="DNA"),$O183,IF(OR(ISNUMBER($N183),$N183="DNA"),$N183,""))))))))))),IF(OR(ISNUMBER($Y183),$Y183="DNA"),$Y183,IF(OR(ISNUMBER($X183),$X183="DNA"),$X183,IF(OR(ISNUMBER($W183),$W183="DNA"),$W183,IF(OR(ISNUMBER($V183),$V183="DNA"),$V183,IF(OR(ISNUMBER($U183),$U183="DNA"),$U183,IF(OR(ISNUMBER($T183),$T183="DNA"),$T183,IF(OR(ISNUMBER($S183),$S183="DNA"),$S183,IF(OR(ISNUMBER($P183),$P183="DNA"),$P183,IF(OR(ISNUMBER($O183),$O183="DNA"),$O183,IF(OR(ISNUMBER($N183),$N183="DNA"),$N183,""))))))))))&lt;TODAY())),1,0)+ISNUMBER($Q183)*($Q183&lt;TODAY())+ISNUMBER($R183)*($R183&lt;TODAY())+ISNUMBER($AA183)*($AA183&lt;TODAY())+ISNUMBER($AB183)*($AB183&lt;TODAY()))</f>
        <v/>
      </c>
    </row>
    <row r="184">
      <c r="A184" s="25" t="n"/>
      <c r="B184" s="26" t="n"/>
      <c r="C184" s="27" t="n"/>
      <c r="D184" s="25" t="n"/>
      <c r="E184" s="25" t="n"/>
      <c r="F184" s="25" t="n"/>
      <c r="G184" s="25" t="n"/>
      <c r="H184" s="27" t="n"/>
      <c r="I184" s="25" t="n"/>
      <c r="J184" s="28">
        <f>IF(OR(NOT(AND($A184&lt;&gt;"",OR($I184="",$I184="Active"))),$H184=""),"",INT((TODAY()-$H184+280)/7)&amp;"+"&amp;MOD(TODAY()-$H184+280,7))</f>
        <v/>
      </c>
      <c r="K184" s="28">
        <f>IF(NOT(AND($A184&lt;&gt;"",OR($I184="",$I184="Active"))),"",ISNUMBER($N184)*($N184&gt;=TODAY())*($N184&lt;=TODAY()+7)+ISNUMBER($O184)*($O184&gt;=TODAY())*($O184&lt;=TODAY()+7)+ISNUMBER($P184)*($P184&gt;=TODAY())*($P184&lt;=TODAY()+7)+ISNUMBER($S184)*($S184&gt;=TODAY())*($S184&lt;=TODAY()+7)+ISNUMBER($T184)*($T184&gt;=TODAY())*($T184&lt;=TODAY()+7)+ISNUMBER($U184)*($U184&gt;=TODAY())*($U184&lt;=TODAY()+7)+ISNUMBER($V184)*($V184&gt;=TODAY())*($V184&lt;=TODAY()+7)+ISNUMBER($W184)*($W184&gt;=TODAY())*($W184&lt;=TODAY()+7)+ISNUMBER($X184)*($X184&gt;=TODAY())*($X184&lt;=TODAY()+7)+ISNUMBER($Y184)*($Y184&gt;=TODAY())*($Y184&lt;=TODAY()+7)+ISNUMBER($Q184)*($Q184&gt;=TODAY())*($Q184&lt;=TODAY()+7)+ISNUMBER($R184)*($R184&gt;=TODAY())*($R184&lt;=TODAY()+7)+ISNUMBER($AA184)*($AA184&gt;=TODAY())*($AA184&lt;=TODAY()+7)+ISNUMBER($AB184)*($AB184&gt;=TODAY())*($AB184&lt;=TODAY()+7))</f>
        <v/>
      </c>
      <c r="L184" s="28">
        <f>IF(NOT(AND($A184&lt;&gt;"",OR($I184="",$I184="Active"))),"",IF($M184&lt;&gt;"",IF($N184=$M184,"Booking",IF($O184=$M184,"16/40",IF($P184=$M184,"25/40",IF($S184=$M184,"28/40",IF($T184=$M184,"31/40",IF($U184=$M184,"34/40",IF($V184=$M184,"36/40",IF($W184=$M184,"38/40",IF($X184=$M184,"40/40",IF($Y184=$M184,"41/40","")))))))))),IF(IF(OR(ISNUMBER($Y184),$Y184="DNA"),$Y184,IF(OR(ISNUMBER($X184),$X184="DNA"),$X184,IF(OR(ISNUMBER($W184),$W184="DNA"),$W184,IF(OR(ISNUMBER($V184),$V184="DNA"),$V184,IF(OR(ISNUMBER($U184),$U184="DNA"),$U184,IF(OR(ISNUMBER($T184),$T184="DNA"),$T184,IF(OR(ISNUMBER($S184),$S184="DNA"),$S184,IF(OR(ISNUMBER($P184),$P184="DNA"),$P184,IF(OR(ISNUMBER($O184),$O184="DNA"),$O184,IF(OR(ISNUMBER($N184),$N184="DNA"),$N184,""))))))))))="DNA","Rebook DNA",IF(ISNUMBER(IF(OR(ISNUMBER($Y184),$Y184="DNA"),$Y184,IF(OR(ISNUMBER($X184),$X184="DNA"),$X184,IF(OR(ISNUMBER($W184),$W184="DNA"),$W184,IF(OR(ISNUMBER($V184),$V184="DNA"),$V184,IF(OR(ISNUMBER($U184),$U184="DNA"),$U184,IF(OR(ISNUMBER($T184),$T184="DNA"),$T184,IF(OR(ISNUMBER($S184),$S184="DNA"),$S184,IF(OR(ISNUMBER($P184),$P184="DNA"),$P184,IF(OR(ISNUMBER($O184),$O184="DNA"),$O184,IF(OR(ISNUMBER($N184),$N184="DNA"),$N184,""))))))))))),IF(ISNUMBER($Y184),"Update status","Missed/not booked?"),""))))</f>
        <v/>
      </c>
      <c r="M184" s="29">
        <f>IF(NOT(AND($A184&lt;&gt;"",OR($I184="",$I184="Active"))),"",IF(MIN(IF(AND(ISNUMBER($N184),$N184&gt;=TODAY()),$N184,99999),IF(AND(ISNUMBER($O184),$O184&gt;=TODAY()),$O184,99999),IF(AND(ISNUMBER($P184),$P184&gt;=TODAY()),$P184,99999),IF(AND(ISNUMBER($S184),$S184&gt;=TODAY()),$S184,99999),IF(AND(ISNUMBER($T184),$T184&gt;=TODAY()),$T184,99999),IF(AND(ISNUMBER($U184),$U184&gt;=TODAY()),$U184,99999),IF(AND(ISNUMBER($V184),$V184&gt;=TODAY()),$V184,99999),IF(AND(ISNUMBER($W184),$W184&gt;=TODAY()),$W184,99999),IF(AND(ISNUMBER($X184),$X184&gt;=TODAY()),$X184,99999),IF(AND(ISNUMBER($Y184),$Y184&gt;=TODAY()),$Y184,99999))=99999,"",MIN(IF(AND(ISNUMBER($N184),$N184&gt;=TODAY()),$N184,99999),IF(AND(ISNUMBER($O184),$O184&gt;=TODAY()),$O184,99999),IF(AND(ISNUMBER($P184),$P184&gt;=TODAY()),$P184,99999),IF(AND(ISNUMBER($S184),$S184&gt;=TODAY()),$S184,99999),IF(AND(ISNUMBER($T184),$T184&gt;=TODAY()),$T184,99999),IF(AND(ISNUMBER($U184),$U184&gt;=TODAY()),$U184,99999),IF(AND(ISNUMBER($V184),$V184&gt;=TODAY()),$V184,99999),IF(AND(ISNUMBER($W184),$W184&gt;=TODAY()),$W184,99999),IF(AND(ISNUMBER($X184),$X184&gt;=TODAY()),$X184,99999),IF(AND(ISNUMBER($Y184),$Y184&gt;=TODAY()),$Y184,99999))))</f>
        <v/>
      </c>
      <c r="N184" s="27" t="n"/>
      <c r="O184" s="27" t="n"/>
      <c r="P184" s="27" t="n"/>
      <c r="Q184" s="27" t="n"/>
      <c r="R184" s="27" t="n"/>
      <c r="S184" s="27" t="n"/>
      <c r="T184" s="27" t="n"/>
      <c r="U184" s="27" t="n"/>
      <c r="V184" s="27" t="n"/>
      <c r="W184" s="27" t="n"/>
      <c r="X184" s="27" t="n"/>
      <c r="Y184" s="27" t="n"/>
      <c r="Z184" s="27" t="n"/>
      <c r="AA184" s="27" t="n"/>
      <c r="AB184" s="27" t="n"/>
      <c r="AC184" s="30" t="n"/>
      <c r="AD184" s="25" t="n"/>
      <c r="AE184" s="28">
        <f>IF(NOT(AND($A184&lt;&gt;"",OR($I184="",$I184="Active"))),"",IF(OR(IF(OR(ISNUMBER($Y184),$Y184="DNA"),$Y184,IF(OR(ISNUMBER($X184),$X184="DNA"),$X184,IF(OR(ISNUMBER($W184),$W184="DNA"),$W184,IF(OR(ISNUMBER($V184),$V184="DNA"),$V184,IF(OR(ISNUMBER($U184),$U184="DNA"),$U184,IF(OR(ISNUMBER($T184),$T184="DNA"),$T184,IF(OR(ISNUMBER($S184),$S184="DNA"),$S184,IF(OR(ISNUMBER($P184),$P184="DNA"),$P184,IF(OR(ISNUMBER($O184),$O184="DNA"),$O184,IF(OR(ISNUMBER($N184),$N184="DNA"),$N184,""))))))))))="DNA",AND(ISNUMBER(IF(OR(ISNUMBER($Y184),$Y184="DNA"),$Y184,IF(OR(ISNUMBER($X184),$X184="DNA"),$X184,IF(OR(ISNUMBER($W184),$W184="DNA"),$W184,IF(OR(ISNUMBER($V184),$V184="DNA"),$V184,IF(OR(ISNUMBER($U184),$U184="DNA"),$U184,IF(OR(ISNUMBER($T184),$T184="DNA"),$T184,IF(OR(ISNUMBER($S184),$S184="DNA"),$S184,IF(OR(ISNUMBER($P184),$P184="DNA"),$P184,IF(OR(ISNUMBER($O184),$O184="DNA"),$O184,IF(OR(ISNUMBER($N184),$N184="DNA"),$N184,""))))))))))),IF(OR(ISNUMBER($Y184),$Y184="DNA"),$Y184,IF(OR(ISNUMBER($X184),$X184="DNA"),$X184,IF(OR(ISNUMBER($W184),$W184="DNA"),$W184,IF(OR(ISNUMBER($V184),$V184="DNA"),$V184,IF(OR(ISNUMBER($U184),$U184="DNA"),$U184,IF(OR(ISNUMBER($T184),$T184="DNA"),$T184,IF(OR(ISNUMBER($S184),$S184="DNA"),$S184,IF(OR(ISNUMBER($P184),$P184="DNA"),$P184,IF(OR(ISNUMBER($O184),$O184="DNA"),$O184,IF(OR(ISNUMBER($N184),$N184="DNA"),$N184,""))))))))))&lt;TODAY())),1,0)+ISNUMBER($Q184)*($Q184&lt;TODAY())+ISNUMBER($R184)*($R184&lt;TODAY())+ISNUMBER($AA184)*($AA184&lt;TODAY())+ISNUMBER($AB184)*($AB184&lt;TODAY()))</f>
        <v/>
      </c>
    </row>
    <row r="185">
      <c r="A185" s="25" t="n"/>
      <c r="B185" s="26" t="n"/>
      <c r="C185" s="27" t="n"/>
      <c r="D185" s="25" t="n"/>
      <c r="E185" s="25" t="n"/>
      <c r="F185" s="25" t="n"/>
      <c r="G185" s="25" t="n"/>
      <c r="H185" s="27" t="n"/>
      <c r="I185" s="25" t="n"/>
      <c r="J185" s="28">
        <f>IF(OR(NOT(AND($A185&lt;&gt;"",OR($I185="",$I185="Active"))),$H185=""),"",INT((TODAY()-$H185+280)/7)&amp;"+"&amp;MOD(TODAY()-$H185+280,7))</f>
        <v/>
      </c>
      <c r="K185" s="28">
        <f>IF(NOT(AND($A185&lt;&gt;"",OR($I185="",$I185="Active"))),"",ISNUMBER($N185)*($N185&gt;=TODAY())*($N185&lt;=TODAY()+7)+ISNUMBER($O185)*($O185&gt;=TODAY())*($O185&lt;=TODAY()+7)+ISNUMBER($P185)*($P185&gt;=TODAY())*($P185&lt;=TODAY()+7)+ISNUMBER($S185)*($S185&gt;=TODAY())*($S185&lt;=TODAY()+7)+ISNUMBER($T185)*($T185&gt;=TODAY())*($T185&lt;=TODAY()+7)+ISNUMBER($U185)*($U185&gt;=TODAY())*($U185&lt;=TODAY()+7)+ISNUMBER($V185)*($V185&gt;=TODAY())*($V185&lt;=TODAY()+7)+ISNUMBER($W185)*($W185&gt;=TODAY())*($W185&lt;=TODAY()+7)+ISNUMBER($X185)*($X185&gt;=TODAY())*($X185&lt;=TODAY()+7)+ISNUMBER($Y185)*($Y185&gt;=TODAY())*($Y185&lt;=TODAY()+7)+ISNUMBER($Q185)*($Q185&gt;=TODAY())*($Q185&lt;=TODAY()+7)+ISNUMBER($R185)*($R185&gt;=TODAY())*($R185&lt;=TODAY()+7)+ISNUMBER($AA185)*($AA185&gt;=TODAY())*($AA185&lt;=TODAY()+7)+ISNUMBER($AB185)*($AB185&gt;=TODAY())*($AB185&lt;=TODAY()+7))</f>
        <v/>
      </c>
      <c r="L185" s="28">
        <f>IF(NOT(AND($A185&lt;&gt;"",OR($I185="",$I185="Active"))),"",IF($M185&lt;&gt;"",IF($N185=$M185,"Booking",IF($O185=$M185,"16/40",IF($P185=$M185,"25/40",IF($S185=$M185,"28/40",IF($T185=$M185,"31/40",IF($U185=$M185,"34/40",IF($V185=$M185,"36/40",IF($W185=$M185,"38/40",IF($X185=$M185,"40/40",IF($Y185=$M185,"41/40","")))))))))),IF(IF(OR(ISNUMBER($Y185),$Y185="DNA"),$Y185,IF(OR(ISNUMBER($X185),$X185="DNA"),$X185,IF(OR(ISNUMBER($W185),$W185="DNA"),$W185,IF(OR(ISNUMBER($V185),$V185="DNA"),$V185,IF(OR(ISNUMBER($U185),$U185="DNA"),$U185,IF(OR(ISNUMBER($T185),$T185="DNA"),$T185,IF(OR(ISNUMBER($S185),$S185="DNA"),$S185,IF(OR(ISNUMBER($P185),$P185="DNA"),$P185,IF(OR(ISNUMBER($O185),$O185="DNA"),$O185,IF(OR(ISNUMBER($N185),$N185="DNA"),$N185,""))))))))))="DNA","Rebook DNA",IF(ISNUMBER(IF(OR(ISNUMBER($Y185),$Y185="DNA"),$Y185,IF(OR(ISNUMBER($X185),$X185="DNA"),$X185,IF(OR(ISNUMBER($W185),$W185="DNA"),$W185,IF(OR(ISNUMBER($V185),$V185="DNA"),$V185,IF(OR(ISNUMBER($U185),$U185="DNA"),$U185,IF(OR(ISNUMBER($T185),$T185="DNA"),$T185,IF(OR(ISNUMBER($S185),$S185="DNA"),$S185,IF(OR(ISNUMBER($P185),$P185="DNA"),$P185,IF(OR(ISNUMBER($O185),$O185="DNA"),$O185,IF(OR(ISNUMBER($N185),$N185="DNA"),$N185,""))))))))))),IF(ISNUMBER($Y185),"Update status","Missed/not booked?"),""))))</f>
        <v/>
      </c>
      <c r="M185" s="29">
        <f>IF(NOT(AND($A185&lt;&gt;"",OR($I185="",$I185="Active"))),"",IF(MIN(IF(AND(ISNUMBER($N185),$N185&gt;=TODAY()),$N185,99999),IF(AND(ISNUMBER($O185),$O185&gt;=TODAY()),$O185,99999),IF(AND(ISNUMBER($P185),$P185&gt;=TODAY()),$P185,99999),IF(AND(ISNUMBER($S185),$S185&gt;=TODAY()),$S185,99999),IF(AND(ISNUMBER($T185),$T185&gt;=TODAY()),$T185,99999),IF(AND(ISNUMBER($U185),$U185&gt;=TODAY()),$U185,99999),IF(AND(ISNUMBER($V185),$V185&gt;=TODAY()),$V185,99999),IF(AND(ISNUMBER($W185),$W185&gt;=TODAY()),$W185,99999),IF(AND(ISNUMBER($X185),$X185&gt;=TODAY()),$X185,99999),IF(AND(ISNUMBER($Y185),$Y185&gt;=TODAY()),$Y185,99999))=99999,"",MIN(IF(AND(ISNUMBER($N185),$N185&gt;=TODAY()),$N185,99999),IF(AND(ISNUMBER($O185),$O185&gt;=TODAY()),$O185,99999),IF(AND(ISNUMBER($P185),$P185&gt;=TODAY()),$P185,99999),IF(AND(ISNUMBER($S185),$S185&gt;=TODAY()),$S185,99999),IF(AND(ISNUMBER($T185),$T185&gt;=TODAY()),$T185,99999),IF(AND(ISNUMBER($U185),$U185&gt;=TODAY()),$U185,99999),IF(AND(ISNUMBER($V185),$V185&gt;=TODAY()),$V185,99999),IF(AND(ISNUMBER($W185),$W185&gt;=TODAY()),$W185,99999),IF(AND(ISNUMBER($X185),$X185&gt;=TODAY()),$X185,99999),IF(AND(ISNUMBER($Y185),$Y185&gt;=TODAY()),$Y185,99999))))</f>
        <v/>
      </c>
      <c r="N185" s="27" t="n"/>
      <c r="O185" s="27" t="n"/>
      <c r="P185" s="27" t="n"/>
      <c r="Q185" s="27" t="n"/>
      <c r="R185" s="27" t="n"/>
      <c r="S185" s="27" t="n"/>
      <c r="T185" s="27" t="n"/>
      <c r="U185" s="27" t="n"/>
      <c r="V185" s="27" t="n"/>
      <c r="W185" s="27" t="n"/>
      <c r="X185" s="27" t="n"/>
      <c r="Y185" s="27" t="n"/>
      <c r="Z185" s="27" t="n"/>
      <c r="AA185" s="27" t="n"/>
      <c r="AB185" s="27" t="n"/>
      <c r="AC185" s="30" t="n"/>
      <c r="AD185" s="25" t="n"/>
      <c r="AE185" s="28">
        <f>IF(NOT(AND($A185&lt;&gt;"",OR($I185="",$I185="Active"))),"",IF(OR(IF(OR(ISNUMBER($Y185),$Y185="DNA"),$Y185,IF(OR(ISNUMBER($X185),$X185="DNA"),$X185,IF(OR(ISNUMBER($W185),$W185="DNA"),$W185,IF(OR(ISNUMBER($V185),$V185="DNA"),$V185,IF(OR(ISNUMBER($U185),$U185="DNA"),$U185,IF(OR(ISNUMBER($T185),$T185="DNA"),$T185,IF(OR(ISNUMBER($S185),$S185="DNA"),$S185,IF(OR(ISNUMBER($P185),$P185="DNA"),$P185,IF(OR(ISNUMBER($O185),$O185="DNA"),$O185,IF(OR(ISNUMBER($N185),$N185="DNA"),$N185,""))))))))))="DNA",AND(ISNUMBER(IF(OR(ISNUMBER($Y185),$Y185="DNA"),$Y185,IF(OR(ISNUMBER($X185),$X185="DNA"),$X185,IF(OR(ISNUMBER($W185),$W185="DNA"),$W185,IF(OR(ISNUMBER($V185),$V185="DNA"),$V185,IF(OR(ISNUMBER($U185),$U185="DNA"),$U185,IF(OR(ISNUMBER($T185),$T185="DNA"),$T185,IF(OR(ISNUMBER($S185),$S185="DNA"),$S185,IF(OR(ISNUMBER($P185),$P185="DNA"),$P185,IF(OR(ISNUMBER($O185),$O185="DNA"),$O185,IF(OR(ISNUMBER($N185),$N185="DNA"),$N185,""))))))))))),IF(OR(ISNUMBER($Y185),$Y185="DNA"),$Y185,IF(OR(ISNUMBER($X185),$X185="DNA"),$X185,IF(OR(ISNUMBER($W185),$W185="DNA"),$W185,IF(OR(ISNUMBER($V185),$V185="DNA"),$V185,IF(OR(ISNUMBER($U185),$U185="DNA"),$U185,IF(OR(ISNUMBER($T185),$T185="DNA"),$T185,IF(OR(ISNUMBER($S185),$S185="DNA"),$S185,IF(OR(ISNUMBER($P185),$P185="DNA"),$P185,IF(OR(ISNUMBER($O185),$O185="DNA"),$O185,IF(OR(ISNUMBER($N185),$N185="DNA"),$N185,""))))))))))&lt;TODAY())),1,0)+ISNUMBER($Q185)*($Q185&lt;TODAY())+ISNUMBER($R185)*($R185&lt;TODAY())+ISNUMBER($AA185)*($AA185&lt;TODAY())+ISNUMBER($AB185)*($AB185&lt;TODAY()))</f>
        <v/>
      </c>
    </row>
    <row r="186">
      <c r="A186" s="25" t="n"/>
      <c r="B186" s="26" t="n"/>
      <c r="C186" s="27" t="n"/>
      <c r="D186" s="25" t="n"/>
      <c r="E186" s="25" t="n"/>
      <c r="F186" s="25" t="n"/>
      <c r="G186" s="25" t="n"/>
      <c r="H186" s="27" t="n"/>
      <c r="I186" s="25" t="n"/>
      <c r="J186" s="28">
        <f>IF(OR(NOT(AND($A186&lt;&gt;"",OR($I186="",$I186="Active"))),$H186=""),"",INT((TODAY()-$H186+280)/7)&amp;"+"&amp;MOD(TODAY()-$H186+280,7))</f>
        <v/>
      </c>
      <c r="K186" s="28">
        <f>IF(NOT(AND($A186&lt;&gt;"",OR($I186="",$I186="Active"))),"",ISNUMBER($N186)*($N186&gt;=TODAY())*($N186&lt;=TODAY()+7)+ISNUMBER($O186)*($O186&gt;=TODAY())*($O186&lt;=TODAY()+7)+ISNUMBER($P186)*($P186&gt;=TODAY())*($P186&lt;=TODAY()+7)+ISNUMBER($S186)*($S186&gt;=TODAY())*($S186&lt;=TODAY()+7)+ISNUMBER($T186)*($T186&gt;=TODAY())*($T186&lt;=TODAY()+7)+ISNUMBER($U186)*($U186&gt;=TODAY())*($U186&lt;=TODAY()+7)+ISNUMBER($V186)*($V186&gt;=TODAY())*($V186&lt;=TODAY()+7)+ISNUMBER($W186)*($W186&gt;=TODAY())*($W186&lt;=TODAY()+7)+ISNUMBER($X186)*($X186&gt;=TODAY())*($X186&lt;=TODAY()+7)+ISNUMBER($Y186)*($Y186&gt;=TODAY())*($Y186&lt;=TODAY()+7)+ISNUMBER($Q186)*($Q186&gt;=TODAY())*($Q186&lt;=TODAY()+7)+ISNUMBER($R186)*($R186&gt;=TODAY())*($R186&lt;=TODAY()+7)+ISNUMBER($AA186)*($AA186&gt;=TODAY())*($AA186&lt;=TODAY()+7)+ISNUMBER($AB186)*($AB186&gt;=TODAY())*($AB186&lt;=TODAY()+7))</f>
        <v/>
      </c>
      <c r="L186" s="28">
        <f>IF(NOT(AND($A186&lt;&gt;"",OR($I186="",$I186="Active"))),"",IF($M186&lt;&gt;"",IF($N186=$M186,"Booking",IF($O186=$M186,"16/40",IF($P186=$M186,"25/40",IF($S186=$M186,"28/40",IF($T186=$M186,"31/40",IF($U186=$M186,"34/40",IF($V186=$M186,"36/40",IF($W186=$M186,"38/40",IF($X186=$M186,"40/40",IF($Y186=$M186,"41/40","")))))))))),IF(IF(OR(ISNUMBER($Y186),$Y186="DNA"),$Y186,IF(OR(ISNUMBER($X186),$X186="DNA"),$X186,IF(OR(ISNUMBER($W186),$W186="DNA"),$W186,IF(OR(ISNUMBER($V186),$V186="DNA"),$V186,IF(OR(ISNUMBER($U186),$U186="DNA"),$U186,IF(OR(ISNUMBER($T186),$T186="DNA"),$T186,IF(OR(ISNUMBER($S186),$S186="DNA"),$S186,IF(OR(ISNUMBER($P186),$P186="DNA"),$P186,IF(OR(ISNUMBER($O186),$O186="DNA"),$O186,IF(OR(ISNUMBER($N186),$N186="DNA"),$N186,""))))))))))="DNA","Rebook DNA",IF(ISNUMBER(IF(OR(ISNUMBER($Y186),$Y186="DNA"),$Y186,IF(OR(ISNUMBER($X186),$X186="DNA"),$X186,IF(OR(ISNUMBER($W186),$W186="DNA"),$W186,IF(OR(ISNUMBER($V186),$V186="DNA"),$V186,IF(OR(ISNUMBER($U186),$U186="DNA"),$U186,IF(OR(ISNUMBER($T186),$T186="DNA"),$T186,IF(OR(ISNUMBER($S186),$S186="DNA"),$S186,IF(OR(ISNUMBER($P186),$P186="DNA"),$P186,IF(OR(ISNUMBER($O186),$O186="DNA"),$O186,IF(OR(ISNUMBER($N186),$N186="DNA"),$N186,""))))))))))),IF(ISNUMBER($Y186),"Update status","Missed/not booked?"),""))))</f>
        <v/>
      </c>
      <c r="M186" s="29">
        <f>IF(NOT(AND($A186&lt;&gt;"",OR($I186="",$I186="Active"))),"",IF(MIN(IF(AND(ISNUMBER($N186),$N186&gt;=TODAY()),$N186,99999),IF(AND(ISNUMBER($O186),$O186&gt;=TODAY()),$O186,99999),IF(AND(ISNUMBER($P186),$P186&gt;=TODAY()),$P186,99999),IF(AND(ISNUMBER($S186),$S186&gt;=TODAY()),$S186,99999),IF(AND(ISNUMBER($T186),$T186&gt;=TODAY()),$T186,99999),IF(AND(ISNUMBER($U186),$U186&gt;=TODAY()),$U186,99999),IF(AND(ISNUMBER($V186),$V186&gt;=TODAY()),$V186,99999),IF(AND(ISNUMBER($W186),$W186&gt;=TODAY()),$W186,99999),IF(AND(ISNUMBER($X186),$X186&gt;=TODAY()),$X186,99999),IF(AND(ISNUMBER($Y186),$Y186&gt;=TODAY()),$Y186,99999))=99999,"",MIN(IF(AND(ISNUMBER($N186),$N186&gt;=TODAY()),$N186,99999),IF(AND(ISNUMBER($O186),$O186&gt;=TODAY()),$O186,99999),IF(AND(ISNUMBER($P186),$P186&gt;=TODAY()),$P186,99999),IF(AND(ISNUMBER($S186),$S186&gt;=TODAY()),$S186,99999),IF(AND(ISNUMBER($T186),$T186&gt;=TODAY()),$T186,99999),IF(AND(ISNUMBER($U186),$U186&gt;=TODAY()),$U186,99999),IF(AND(ISNUMBER($V186),$V186&gt;=TODAY()),$V186,99999),IF(AND(ISNUMBER($W186),$W186&gt;=TODAY()),$W186,99999),IF(AND(ISNUMBER($X186),$X186&gt;=TODAY()),$X186,99999),IF(AND(ISNUMBER($Y186),$Y186&gt;=TODAY()),$Y186,99999))))</f>
        <v/>
      </c>
      <c r="N186" s="27" t="n"/>
      <c r="O186" s="27" t="n"/>
      <c r="P186" s="27" t="n"/>
      <c r="Q186" s="27" t="n"/>
      <c r="R186" s="27" t="n"/>
      <c r="S186" s="27" t="n"/>
      <c r="T186" s="27" t="n"/>
      <c r="U186" s="27" t="n"/>
      <c r="V186" s="27" t="n"/>
      <c r="W186" s="27" t="n"/>
      <c r="X186" s="27" t="n"/>
      <c r="Y186" s="27" t="n"/>
      <c r="Z186" s="27" t="n"/>
      <c r="AA186" s="27" t="n"/>
      <c r="AB186" s="27" t="n"/>
      <c r="AC186" s="30" t="n"/>
      <c r="AD186" s="25" t="n"/>
      <c r="AE186" s="28">
        <f>IF(NOT(AND($A186&lt;&gt;"",OR($I186="",$I186="Active"))),"",IF(OR(IF(OR(ISNUMBER($Y186),$Y186="DNA"),$Y186,IF(OR(ISNUMBER($X186),$X186="DNA"),$X186,IF(OR(ISNUMBER($W186),$W186="DNA"),$W186,IF(OR(ISNUMBER($V186),$V186="DNA"),$V186,IF(OR(ISNUMBER($U186),$U186="DNA"),$U186,IF(OR(ISNUMBER($T186),$T186="DNA"),$T186,IF(OR(ISNUMBER($S186),$S186="DNA"),$S186,IF(OR(ISNUMBER($P186),$P186="DNA"),$P186,IF(OR(ISNUMBER($O186),$O186="DNA"),$O186,IF(OR(ISNUMBER($N186),$N186="DNA"),$N186,""))))))))))="DNA",AND(ISNUMBER(IF(OR(ISNUMBER($Y186),$Y186="DNA"),$Y186,IF(OR(ISNUMBER($X186),$X186="DNA"),$X186,IF(OR(ISNUMBER($W186),$W186="DNA"),$W186,IF(OR(ISNUMBER($V186),$V186="DNA"),$V186,IF(OR(ISNUMBER($U186),$U186="DNA"),$U186,IF(OR(ISNUMBER($T186),$T186="DNA"),$T186,IF(OR(ISNUMBER($S186),$S186="DNA"),$S186,IF(OR(ISNUMBER($P186),$P186="DNA"),$P186,IF(OR(ISNUMBER($O186),$O186="DNA"),$O186,IF(OR(ISNUMBER($N186),$N186="DNA"),$N186,""))))))))))),IF(OR(ISNUMBER($Y186),$Y186="DNA"),$Y186,IF(OR(ISNUMBER($X186),$X186="DNA"),$X186,IF(OR(ISNUMBER($W186),$W186="DNA"),$W186,IF(OR(ISNUMBER($V186),$V186="DNA"),$V186,IF(OR(ISNUMBER($U186),$U186="DNA"),$U186,IF(OR(ISNUMBER($T186),$T186="DNA"),$T186,IF(OR(ISNUMBER($S186),$S186="DNA"),$S186,IF(OR(ISNUMBER($P186),$P186="DNA"),$P186,IF(OR(ISNUMBER($O186),$O186="DNA"),$O186,IF(OR(ISNUMBER($N186),$N186="DNA"),$N186,""))))))))))&lt;TODAY())),1,0)+ISNUMBER($Q186)*($Q186&lt;TODAY())+ISNUMBER($R186)*($R186&lt;TODAY())+ISNUMBER($AA186)*($AA186&lt;TODAY())+ISNUMBER($AB186)*($AB186&lt;TODAY()))</f>
        <v/>
      </c>
    </row>
    <row r="187">
      <c r="A187" s="25" t="n"/>
      <c r="B187" s="26" t="n"/>
      <c r="C187" s="27" t="n"/>
      <c r="D187" s="25" t="n"/>
      <c r="E187" s="25" t="n"/>
      <c r="F187" s="25" t="n"/>
      <c r="G187" s="25" t="n"/>
      <c r="H187" s="27" t="n"/>
      <c r="I187" s="25" t="n"/>
      <c r="J187" s="28">
        <f>IF(OR(NOT(AND($A187&lt;&gt;"",OR($I187="",$I187="Active"))),$H187=""),"",INT((TODAY()-$H187+280)/7)&amp;"+"&amp;MOD(TODAY()-$H187+280,7))</f>
        <v/>
      </c>
      <c r="K187" s="28">
        <f>IF(NOT(AND($A187&lt;&gt;"",OR($I187="",$I187="Active"))),"",ISNUMBER($N187)*($N187&gt;=TODAY())*($N187&lt;=TODAY()+7)+ISNUMBER($O187)*($O187&gt;=TODAY())*($O187&lt;=TODAY()+7)+ISNUMBER($P187)*($P187&gt;=TODAY())*($P187&lt;=TODAY()+7)+ISNUMBER($S187)*($S187&gt;=TODAY())*($S187&lt;=TODAY()+7)+ISNUMBER($T187)*($T187&gt;=TODAY())*($T187&lt;=TODAY()+7)+ISNUMBER($U187)*($U187&gt;=TODAY())*($U187&lt;=TODAY()+7)+ISNUMBER($V187)*($V187&gt;=TODAY())*($V187&lt;=TODAY()+7)+ISNUMBER($W187)*($W187&gt;=TODAY())*($W187&lt;=TODAY()+7)+ISNUMBER($X187)*($X187&gt;=TODAY())*($X187&lt;=TODAY()+7)+ISNUMBER($Y187)*($Y187&gt;=TODAY())*($Y187&lt;=TODAY()+7)+ISNUMBER($Q187)*($Q187&gt;=TODAY())*($Q187&lt;=TODAY()+7)+ISNUMBER($R187)*($R187&gt;=TODAY())*($R187&lt;=TODAY()+7)+ISNUMBER($AA187)*($AA187&gt;=TODAY())*($AA187&lt;=TODAY()+7)+ISNUMBER($AB187)*($AB187&gt;=TODAY())*($AB187&lt;=TODAY()+7))</f>
        <v/>
      </c>
      <c r="L187" s="28">
        <f>IF(NOT(AND($A187&lt;&gt;"",OR($I187="",$I187="Active"))),"",IF($M187&lt;&gt;"",IF($N187=$M187,"Booking",IF($O187=$M187,"16/40",IF($P187=$M187,"25/40",IF($S187=$M187,"28/40",IF($T187=$M187,"31/40",IF($U187=$M187,"34/40",IF($V187=$M187,"36/40",IF($W187=$M187,"38/40",IF($X187=$M187,"40/40",IF($Y187=$M187,"41/40","")))))))))),IF(IF(OR(ISNUMBER($Y187),$Y187="DNA"),$Y187,IF(OR(ISNUMBER($X187),$X187="DNA"),$X187,IF(OR(ISNUMBER($W187),$W187="DNA"),$W187,IF(OR(ISNUMBER($V187),$V187="DNA"),$V187,IF(OR(ISNUMBER($U187),$U187="DNA"),$U187,IF(OR(ISNUMBER($T187),$T187="DNA"),$T187,IF(OR(ISNUMBER($S187),$S187="DNA"),$S187,IF(OR(ISNUMBER($P187),$P187="DNA"),$P187,IF(OR(ISNUMBER($O187),$O187="DNA"),$O187,IF(OR(ISNUMBER($N187),$N187="DNA"),$N187,""))))))))))="DNA","Rebook DNA",IF(ISNUMBER(IF(OR(ISNUMBER($Y187),$Y187="DNA"),$Y187,IF(OR(ISNUMBER($X187),$X187="DNA"),$X187,IF(OR(ISNUMBER($W187),$W187="DNA"),$W187,IF(OR(ISNUMBER($V187),$V187="DNA"),$V187,IF(OR(ISNUMBER($U187),$U187="DNA"),$U187,IF(OR(ISNUMBER($T187),$T187="DNA"),$T187,IF(OR(ISNUMBER($S187),$S187="DNA"),$S187,IF(OR(ISNUMBER($P187),$P187="DNA"),$P187,IF(OR(ISNUMBER($O187),$O187="DNA"),$O187,IF(OR(ISNUMBER($N187),$N187="DNA"),$N187,""))))))))))),IF(ISNUMBER($Y187),"Update status","Missed/not booked?"),""))))</f>
        <v/>
      </c>
      <c r="M187" s="29">
        <f>IF(NOT(AND($A187&lt;&gt;"",OR($I187="",$I187="Active"))),"",IF(MIN(IF(AND(ISNUMBER($N187),$N187&gt;=TODAY()),$N187,99999),IF(AND(ISNUMBER($O187),$O187&gt;=TODAY()),$O187,99999),IF(AND(ISNUMBER($P187),$P187&gt;=TODAY()),$P187,99999),IF(AND(ISNUMBER($S187),$S187&gt;=TODAY()),$S187,99999),IF(AND(ISNUMBER($T187),$T187&gt;=TODAY()),$T187,99999),IF(AND(ISNUMBER($U187),$U187&gt;=TODAY()),$U187,99999),IF(AND(ISNUMBER($V187),$V187&gt;=TODAY()),$V187,99999),IF(AND(ISNUMBER($W187),$W187&gt;=TODAY()),$W187,99999),IF(AND(ISNUMBER($X187),$X187&gt;=TODAY()),$X187,99999),IF(AND(ISNUMBER($Y187),$Y187&gt;=TODAY()),$Y187,99999))=99999,"",MIN(IF(AND(ISNUMBER($N187),$N187&gt;=TODAY()),$N187,99999),IF(AND(ISNUMBER($O187),$O187&gt;=TODAY()),$O187,99999),IF(AND(ISNUMBER($P187),$P187&gt;=TODAY()),$P187,99999),IF(AND(ISNUMBER($S187),$S187&gt;=TODAY()),$S187,99999),IF(AND(ISNUMBER($T187),$T187&gt;=TODAY()),$T187,99999),IF(AND(ISNUMBER($U187),$U187&gt;=TODAY()),$U187,99999),IF(AND(ISNUMBER($V187),$V187&gt;=TODAY()),$V187,99999),IF(AND(ISNUMBER($W187),$W187&gt;=TODAY()),$W187,99999),IF(AND(ISNUMBER($X187),$X187&gt;=TODAY()),$X187,99999),IF(AND(ISNUMBER($Y187),$Y187&gt;=TODAY()),$Y187,99999))))</f>
        <v/>
      </c>
      <c r="N187" s="27" t="n"/>
      <c r="O187" s="27" t="n"/>
      <c r="P187" s="27" t="n"/>
      <c r="Q187" s="27" t="n"/>
      <c r="R187" s="27" t="n"/>
      <c r="S187" s="27" t="n"/>
      <c r="T187" s="27" t="n"/>
      <c r="U187" s="27" t="n"/>
      <c r="V187" s="27" t="n"/>
      <c r="W187" s="27" t="n"/>
      <c r="X187" s="27" t="n"/>
      <c r="Y187" s="27" t="n"/>
      <c r="Z187" s="27" t="n"/>
      <c r="AA187" s="27" t="n"/>
      <c r="AB187" s="27" t="n"/>
      <c r="AC187" s="30" t="n"/>
      <c r="AD187" s="25" t="n"/>
      <c r="AE187" s="28">
        <f>IF(NOT(AND($A187&lt;&gt;"",OR($I187="",$I187="Active"))),"",IF(OR(IF(OR(ISNUMBER($Y187),$Y187="DNA"),$Y187,IF(OR(ISNUMBER($X187),$X187="DNA"),$X187,IF(OR(ISNUMBER($W187),$W187="DNA"),$W187,IF(OR(ISNUMBER($V187),$V187="DNA"),$V187,IF(OR(ISNUMBER($U187),$U187="DNA"),$U187,IF(OR(ISNUMBER($T187),$T187="DNA"),$T187,IF(OR(ISNUMBER($S187),$S187="DNA"),$S187,IF(OR(ISNUMBER($P187),$P187="DNA"),$P187,IF(OR(ISNUMBER($O187),$O187="DNA"),$O187,IF(OR(ISNUMBER($N187),$N187="DNA"),$N187,""))))))))))="DNA",AND(ISNUMBER(IF(OR(ISNUMBER($Y187),$Y187="DNA"),$Y187,IF(OR(ISNUMBER($X187),$X187="DNA"),$X187,IF(OR(ISNUMBER($W187),$W187="DNA"),$W187,IF(OR(ISNUMBER($V187),$V187="DNA"),$V187,IF(OR(ISNUMBER($U187),$U187="DNA"),$U187,IF(OR(ISNUMBER($T187),$T187="DNA"),$T187,IF(OR(ISNUMBER($S187),$S187="DNA"),$S187,IF(OR(ISNUMBER($P187),$P187="DNA"),$P187,IF(OR(ISNUMBER($O187),$O187="DNA"),$O187,IF(OR(ISNUMBER($N187),$N187="DNA"),$N187,""))))))))))),IF(OR(ISNUMBER($Y187),$Y187="DNA"),$Y187,IF(OR(ISNUMBER($X187),$X187="DNA"),$X187,IF(OR(ISNUMBER($W187),$W187="DNA"),$W187,IF(OR(ISNUMBER($V187),$V187="DNA"),$V187,IF(OR(ISNUMBER($U187),$U187="DNA"),$U187,IF(OR(ISNUMBER($T187),$T187="DNA"),$T187,IF(OR(ISNUMBER($S187),$S187="DNA"),$S187,IF(OR(ISNUMBER($P187),$P187="DNA"),$P187,IF(OR(ISNUMBER($O187),$O187="DNA"),$O187,IF(OR(ISNUMBER($N187),$N187="DNA"),$N187,""))))))))))&lt;TODAY())),1,0)+ISNUMBER($Q187)*($Q187&lt;TODAY())+ISNUMBER($R187)*($R187&lt;TODAY())+ISNUMBER($AA187)*($AA187&lt;TODAY())+ISNUMBER($AB187)*($AB187&lt;TODAY()))</f>
        <v/>
      </c>
    </row>
    <row r="188">
      <c r="A188" s="25" t="n"/>
      <c r="B188" s="26" t="n"/>
      <c r="C188" s="27" t="n"/>
      <c r="D188" s="25" t="n"/>
      <c r="E188" s="25" t="n"/>
      <c r="F188" s="25" t="n"/>
      <c r="G188" s="25" t="n"/>
      <c r="H188" s="27" t="n"/>
      <c r="I188" s="25" t="n"/>
      <c r="J188" s="28">
        <f>IF(OR(NOT(AND($A188&lt;&gt;"",OR($I188="",$I188="Active"))),$H188=""),"",INT((TODAY()-$H188+280)/7)&amp;"+"&amp;MOD(TODAY()-$H188+280,7))</f>
        <v/>
      </c>
      <c r="K188" s="28">
        <f>IF(NOT(AND($A188&lt;&gt;"",OR($I188="",$I188="Active"))),"",ISNUMBER($N188)*($N188&gt;=TODAY())*($N188&lt;=TODAY()+7)+ISNUMBER($O188)*($O188&gt;=TODAY())*($O188&lt;=TODAY()+7)+ISNUMBER($P188)*($P188&gt;=TODAY())*($P188&lt;=TODAY()+7)+ISNUMBER($S188)*($S188&gt;=TODAY())*($S188&lt;=TODAY()+7)+ISNUMBER($T188)*($T188&gt;=TODAY())*($T188&lt;=TODAY()+7)+ISNUMBER($U188)*($U188&gt;=TODAY())*($U188&lt;=TODAY()+7)+ISNUMBER($V188)*($V188&gt;=TODAY())*($V188&lt;=TODAY()+7)+ISNUMBER($W188)*($W188&gt;=TODAY())*($W188&lt;=TODAY()+7)+ISNUMBER($X188)*($X188&gt;=TODAY())*($X188&lt;=TODAY()+7)+ISNUMBER($Y188)*($Y188&gt;=TODAY())*($Y188&lt;=TODAY()+7)+ISNUMBER($Q188)*($Q188&gt;=TODAY())*($Q188&lt;=TODAY()+7)+ISNUMBER($R188)*($R188&gt;=TODAY())*($R188&lt;=TODAY()+7)+ISNUMBER($AA188)*($AA188&gt;=TODAY())*($AA188&lt;=TODAY()+7)+ISNUMBER($AB188)*($AB188&gt;=TODAY())*($AB188&lt;=TODAY()+7))</f>
        <v/>
      </c>
      <c r="L188" s="28">
        <f>IF(NOT(AND($A188&lt;&gt;"",OR($I188="",$I188="Active"))),"",IF($M188&lt;&gt;"",IF($N188=$M188,"Booking",IF($O188=$M188,"16/40",IF($P188=$M188,"25/40",IF($S188=$M188,"28/40",IF($T188=$M188,"31/40",IF($U188=$M188,"34/40",IF($V188=$M188,"36/40",IF($W188=$M188,"38/40",IF($X188=$M188,"40/40",IF($Y188=$M188,"41/40","")))))))))),IF(IF(OR(ISNUMBER($Y188),$Y188="DNA"),$Y188,IF(OR(ISNUMBER($X188),$X188="DNA"),$X188,IF(OR(ISNUMBER($W188),$W188="DNA"),$W188,IF(OR(ISNUMBER($V188),$V188="DNA"),$V188,IF(OR(ISNUMBER($U188),$U188="DNA"),$U188,IF(OR(ISNUMBER($T188),$T188="DNA"),$T188,IF(OR(ISNUMBER($S188),$S188="DNA"),$S188,IF(OR(ISNUMBER($P188),$P188="DNA"),$P188,IF(OR(ISNUMBER($O188),$O188="DNA"),$O188,IF(OR(ISNUMBER($N188),$N188="DNA"),$N188,""))))))))))="DNA","Rebook DNA",IF(ISNUMBER(IF(OR(ISNUMBER($Y188),$Y188="DNA"),$Y188,IF(OR(ISNUMBER($X188),$X188="DNA"),$X188,IF(OR(ISNUMBER($W188),$W188="DNA"),$W188,IF(OR(ISNUMBER($V188),$V188="DNA"),$V188,IF(OR(ISNUMBER($U188),$U188="DNA"),$U188,IF(OR(ISNUMBER($T188),$T188="DNA"),$T188,IF(OR(ISNUMBER($S188),$S188="DNA"),$S188,IF(OR(ISNUMBER($P188),$P188="DNA"),$P188,IF(OR(ISNUMBER($O188),$O188="DNA"),$O188,IF(OR(ISNUMBER($N188),$N188="DNA"),$N188,""))))))))))),IF(ISNUMBER($Y188),"Update status","Missed/not booked?"),""))))</f>
        <v/>
      </c>
      <c r="M188" s="29">
        <f>IF(NOT(AND($A188&lt;&gt;"",OR($I188="",$I188="Active"))),"",IF(MIN(IF(AND(ISNUMBER($N188),$N188&gt;=TODAY()),$N188,99999),IF(AND(ISNUMBER($O188),$O188&gt;=TODAY()),$O188,99999),IF(AND(ISNUMBER($P188),$P188&gt;=TODAY()),$P188,99999),IF(AND(ISNUMBER($S188),$S188&gt;=TODAY()),$S188,99999),IF(AND(ISNUMBER($T188),$T188&gt;=TODAY()),$T188,99999),IF(AND(ISNUMBER($U188),$U188&gt;=TODAY()),$U188,99999),IF(AND(ISNUMBER($V188),$V188&gt;=TODAY()),$V188,99999),IF(AND(ISNUMBER($W188),$W188&gt;=TODAY()),$W188,99999),IF(AND(ISNUMBER($X188),$X188&gt;=TODAY()),$X188,99999),IF(AND(ISNUMBER($Y188),$Y188&gt;=TODAY()),$Y188,99999))=99999,"",MIN(IF(AND(ISNUMBER($N188),$N188&gt;=TODAY()),$N188,99999),IF(AND(ISNUMBER($O188),$O188&gt;=TODAY()),$O188,99999),IF(AND(ISNUMBER($P188),$P188&gt;=TODAY()),$P188,99999),IF(AND(ISNUMBER($S188),$S188&gt;=TODAY()),$S188,99999),IF(AND(ISNUMBER($T188),$T188&gt;=TODAY()),$T188,99999),IF(AND(ISNUMBER($U188),$U188&gt;=TODAY()),$U188,99999),IF(AND(ISNUMBER($V188),$V188&gt;=TODAY()),$V188,99999),IF(AND(ISNUMBER($W188),$W188&gt;=TODAY()),$W188,99999),IF(AND(ISNUMBER($X188),$X188&gt;=TODAY()),$X188,99999),IF(AND(ISNUMBER($Y188),$Y188&gt;=TODAY()),$Y188,99999))))</f>
        <v/>
      </c>
      <c r="N188" s="27" t="n"/>
      <c r="O188" s="27" t="n"/>
      <c r="P188" s="27" t="n"/>
      <c r="Q188" s="27" t="n"/>
      <c r="R188" s="27" t="n"/>
      <c r="S188" s="27" t="n"/>
      <c r="T188" s="27" t="n"/>
      <c r="U188" s="27" t="n"/>
      <c r="V188" s="27" t="n"/>
      <c r="W188" s="27" t="n"/>
      <c r="X188" s="27" t="n"/>
      <c r="Y188" s="27" t="n"/>
      <c r="Z188" s="27" t="n"/>
      <c r="AA188" s="27" t="n"/>
      <c r="AB188" s="27" t="n"/>
      <c r="AC188" s="30" t="n"/>
      <c r="AD188" s="25" t="n"/>
      <c r="AE188" s="28">
        <f>IF(NOT(AND($A188&lt;&gt;"",OR($I188="",$I188="Active"))),"",IF(OR(IF(OR(ISNUMBER($Y188),$Y188="DNA"),$Y188,IF(OR(ISNUMBER($X188),$X188="DNA"),$X188,IF(OR(ISNUMBER($W188),$W188="DNA"),$W188,IF(OR(ISNUMBER($V188),$V188="DNA"),$V188,IF(OR(ISNUMBER($U188),$U188="DNA"),$U188,IF(OR(ISNUMBER($T188),$T188="DNA"),$T188,IF(OR(ISNUMBER($S188),$S188="DNA"),$S188,IF(OR(ISNUMBER($P188),$P188="DNA"),$P188,IF(OR(ISNUMBER($O188),$O188="DNA"),$O188,IF(OR(ISNUMBER($N188),$N188="DNA"),$N188,""))))))))))="DNA",AND(ISNUMBER(IF(OR(ISNUMBER($Y188),$Y188="DNA"),$Y188,IF(OR(ISNUMBER($X188),$X188="DNA"),$X188,IF(OR(ISNUMBER($W188),$W188="DNA"),$W188,IF(OR(ISNUMBER($V188),$V188="DNA"),$V188,IF(OR(ISNUMBER($U188),$U188="DNA"),$U188,IF(OR(ISNUMBER($T188),$T188="DNA"),$T188,IF(OR(ISNUMBER($S188),$S188="DNA"),$S188,IF(OR(ISNUMBER($P188),$P188="DNA"),$P188,IF(OR(ISNUMBER($O188),$O188="DNA"),$O188,IF(OR(ISNUMBER($N188),$N188="DNA"),$N188,""))))))))))),IF(OR(ISNUMBER($Y188),$Y188="DNA"),$Y188,IF(OR(ISNUMBER($X188),$X188="DNA"),$X188,IF(OR(ISNUMBER($W188),$W188="DNA"),$W188,IF(OR(ISNUMBER($V188),$V188="DNA"),$V188,IF(OR(ISNUMBER($U188),$U188="DNA"),$U188,IF(OR(ISNUMBER($T188),$T188="DNA"),$T188,IF(OR(ISNUMBER($S188),$S188="DNA"),$S188,IF(OR(ISNUMBER($P188),$P188="DNA"),$P188,IF(OR(ISNUMBER($O188),$O188="DNA"),$O188,IF(OR(ISNUMBER($N188),$N188="DNA"),$N188,""))))))))))&lt;TODAY())),1,0)+ISNUMBER($Q188)*($Q188&lt;TODAY())+ISNUMBER($R188)*($R188&lt;TODAY())+ISNUMBER($AA188)*($AA188&lt;TODAY())+ISNUMBER($AB188)*($AB188&lt;TODAY()))</f>
        <v/>
      </c>
    </row>
    <row r="189">
      <c r="A189" s="25" t="n"/>
      <c r="B189" s="26" t="n"/>
      <c r="C189" s="27" t="n"/>
      <c r="D189" s="25" t="n"/>
      <c r="E189" s="25" t="n"/>
      <c r="F189" s="25" t="n"/>
      <c r="G189" s="25" t="n"/>
      <c r="H189" s="27" t="n"/>
      <c r="I189" s="25" t="n"/>
      <c r="J189" s="28">
        <f>IF(OR(NOT(AND($A189&lt;&gt;"",OR($I189="",$I189="Active"))),$H189=""),"",INT((TODAY()-$H189+280)/7)&amp;"+"&amp;MOD(TODAY()-$H189+280,7))</f>
        <v/>
      </c>
      <c r="K189" s="28">
        <f>IF(NOT(AND($A189&lt;&gt;"",OR($I189="",$I189="Active"))),"",ISNUMBER($N189)*($N189&gt;=TODAY())*($N189&lt;=TODAY()+7)+ISNUMBER($O189)*($O189&gt;=TODAY())*($O189&lt;=TODAY()+7)+ISNUMBER($P189)*($P189&gt;=TODAY())*($P189&lt;=TODAY()+7)+ISNUMBER($S189)*($S189&gt;=TODAY())*($S189&lt;=TODAY()+7)+ISNUMBER($T189)*($T189&gt;=TODAY())*($T189&lt;=TODAY()+7)+ISNUMBER($U189)*($U189&gt;=TODAY())*($U189&lt;=TODAY()+7)+ISNUMBER($V189)*($V189&gt;=TODAY())*($V189&lt;=TODAY()+7)+ISNUMBER($W189)*($W189&gt;=TODAY())*($W189&lt;=TODAY()+7)+ISNUMBER($X189)*($X189&gt;=TODAY())*($X189&lt;=TODAY()+7)+ISNUMBER($Y189)*($Y189&gt;=TODAY())*($Y189&lt;=TODAY()+7)+ISNUMBER($Q189)*($Q189&gt;=TODAY())*($Q189&lt;=TODAY()+7)+ISNUMBER($R189)*($R189&gt;=TODAY())*($R189&lt;=TODAY()+7)+ISNUMBER($AA189)*($AA189&gt;=TODAY())*($AA189&lt;=TODAY()+7)+ISNUMBER($AB189)*($AB189&gt;=TODAY())*($AB189&lt;=TODAY()+7))</f>
        <v/>
      </c>
      <c r="L189" s="28">
        <f>IF(NOT(AND($A189&lt;&gt;"",OR($I189="",$I189="Active"))),"",IF($M189&lt;&gt;"",IF($N189=$M189,"Booking",IF($O189=$M189,"16/40",IF($P189=$M189,"25/40",IF($S189=$M189,"28/40",IF($T189=$M189,"31/40",IF($U189=$M189,"34/40",IF($V189=$M189,"36/40",IF($W189=$M189,"38/40",IF($X189=$M189,"40/40",IF($Y189=$M189,"41/40","")))))))))),IF(IF(OR(ISNUMBER($Y189),$Y189="DNA"),$Y189,IF(OR(ISNUMBER($X189),$X189="DNA"),$X189,IF(OR(ISNUMBER($W189),$W189="DNA"),$W189,IF(OR(ISNUMBER($V189),$V189="DNA"),$V189,IF(OR(ISNUMBER($U189),$U189="DNA"),$U189,IF(OR(ISNUMBER($T189),$T189="DNA"),$T189,IF(OR(ISNUMBER($S189),$S189="DNA"),$S189,IF(OR(ISNUMBER($P189),$P189="DNA"),$P189,IF(OR(ISNUMBER($O189),$O189="DNA"),$O189,IF(OR(ISNUMBER($N189),$N189="DNA"),$N189,""))))))))))="DNA","Rebook DNA",IF(ISNUMBER(IF(OR(ISNUMBER($Y189),$Y189="DNA"),$Y189,IF(OR(ISNUMBER($X189),$X189="DNA"),$X189,IF(OR(ISNUMBER($W189),$W189="DNA"),$W189,IF(OR(ISNUMBER($V189),$V189="DNA"),$V189,IF(OR(ISNUMBER($U189),$U189="DNA"),$U189,IF(OR(ISNUMBER($T189),$T189="DNA"),$T189,IF(OR(ISNUMBER($S189),$S189="DNA"),$S189,IF(OR(ISNUMBER($P189),$P189="DNA"),$P189,IF(OR(ISNUMBER($O189),$O189="DNA"),$O189,IF(OR(ISNUMBER($N189),$N189="DNA"),$N189,""))))))))))),IF(ISNUMBER($Y189),"Update status","Missed/not booked?"),""))))</f>
        <v/>
      </c>
      <c r="M189" s="29">
        <f>IF(NOT(AND($A189&lt;&gt;"",OR($I189="",$I189="Active"))),"",IF(MIN(IF(AND(ISNUMBER($N189),$N189&gt;=TODAY()),$N189,99999),IF(AND(ISNUMBER($O189),$O189&gt;=TODAY()),$O189,99999),IF(AND(ISNUMBER($P189),$P189&gt;=TODAY()),$P189,99999),IF(AND(ISNUMBER($S189),$S189&gt;=TODAY()),$S189,99999),IF(AND(ISNUMBER($T189),$T189&gt;=TODAY()),$T189,99999),IF(AND(ISNUMBER($U189),$U189&gt;=TODAY()),$U189,99999),IF(AND(ISNUMBER($V189),$V189&gt;=TODAY()),$V189,99999),IF(AND(ISNUMBER($W189),$W189&gt;=TODAY()),$W189,99999),IF(AND(ISNUMBER($X189),$X189&gt;=TODAY()),$X189,99999),IF(AND(ISNUMBER($Y189),$Y189&gt;=TODAY()),$Y189,99999))=99999,"",MIN(IF(AND(ISNUMBER($N189),$N189&gt;=TODAY()),$N189,99999),IF(AND(ISNUMBER($O189),$O189&gt;=TODAY()),$O189,99999),IF(AND(ISNUMBER($P189),$P189&gt;=TODAY()),$P189,99999),IF(AND(ISNUMBER($S189),$S189&gt;=TODAY()),$S189,99999),IF(AND(ISNUMBER($T189),$T189&gt;=TODAY()),$T189,99999),IF(AND(ISNUMBER($U189),$U189&gt;=TODAY()),$U189,99999),IF(AND(ISNUMBER($V189),$V189&gt;=TODAY()),$V189,99999),IF(AND(ISNUMBER($W189),$W189&gt;=TODAY()),$W189,99999),IF(AND(ISNUMBER($X189),$X189&gt;=TODAY()),$X189,99999),IF(AND(ISNUMBER($Y189),$Y189&gt;=TODAY()),$Y189,99999))))</f>
        <v/>
      </c>
      <c r="N189" s="27" t="n"/>
      <c r="O189" s="27" t="n"/>
      <c r="P189" s="27" t="n"/>
      <c r="Q189" s="27" t="n"/>
      <c r="R189" s="27" t="n"/>
      <c r="S189" s="27" t="n"/>
      <c r="T189" s="27" t="n"/>
      <c r="U189" s="27" t="n"/>
      <c r="V189" s="27" t="n"/>
      <c r="W189" s="27" t="n"/>
      <c r="X189" s="27" t="n"/>
      <c r="Y189" s="27" t="n"/>
      <c r="Z189" s="27" t="n"/>
      <c r="AA189" s="27" t="n"/>
      <c r="AB189" s="27" t="n"/>
      <c r="AC189" s="30" t="n"/>
      <c r="AD189" s="25" t="n"/>
      <c r="AE189" s="28">
        <f>IF(NOT(AND($A189&lt;&gt;"",OR($I189="",$I189="Active"))),"",IF(OR(IF(OR(ISNUMBER($Y189),$Y189="DNA"),$Y189,IF(OR(ISNUMBER($X189),$X189="DNA"),$X189,IF(OR(ISNUMBER($W189),$W189="DNA"),$W189,IF(OR(ISNUMBER($V189),$V189="DNA"),$V189,IF(OR(ISNUMBER($U189),$U189="DNA"),$U189,IF(OR(ISNUMBER($T189),$T189="DNA"),$T189,IF(OR(ISNUMBER($S189),$S189="DNA"),$S189,IF(OR(ISNUMBER($P189),$P189="DNA"),$P189,IF(OR(ISNUMBER($O189),$O189="DNA"),$O189,IF(OR(ISNUMBER($N189),$N189="DNA"),$N189,""))))))))))="DNA",AND(ISNUMBER(IF(OR(ISNUMBER($Y189),$Y189="DNA"),$Y189,IF(OR(ISNUMBER($X189),$X189="DNA"),$X189,IF(OR(ISNUMBER($W189),$W189="DNA"),$W189,IF(OR(ISNUMBER($V189),$V189="DNA"),$V189,IF(OR(ISNUMBER($U189),$U189="DNA"),$U189,IF(OR(ISNUMBER($T189),$T189="DNA"),$T189,IF(OR(ISNUMBER($S189),$S189="DNA"),$S189,IF(OR(ISNUMBER($P189),$P189="DNA"),$P189,IF(OR(ISNUMBER($O189),$O189="DNA"),$O189,IF(OR(ISNUMBER($N189),$N189="DNA"),$N189,""))))))))))),IF(OR(ISNUMBER($Y189),$Y189="DNA"),$Y189,IF(OR(ISNUMBER($X189),$X189="DNA"),$X189,IF(OR(ISNUMBER($W189),$W189="DNA"),$W189,IF(OR(ISNUMBER($V189),$V189="DNA"),$V189,IF(OR(ISNUMBER($U189),$U189="DNA"),$U189,IF(OR(ISNUMBER($T189),$T189="DNA"),$T189,IF(OR(ISNUMBER($S189),$S189="DNA"),$S189,IF(OR(ISNUMBER($P189),$P189="DNA"),$P189,IF(OR(ISNUMBER($O189),$O189="DNA"),$O189,IF(OR(ISNUMBER($N189),$N189="DNA"),$N189,""))))))))))&lt;TODAY())),1,0)+ISNUMBER($Q189)*($Q189&lt;TODAY())+ISNUMBER($R189)*($R189&lt;TODAY())+ISNUMBER($AA189)*($AA189&lt;TODAY())+ISNUMBER($AB189)*($AB189&lt;TODAY()))</f>
        <v/>
      </c>
    </row>
    <row r="190">
      <c r="A190" s="25" t="n"/>
      <c r="B190" s="26" t="n"/>
      <c r="C190" s="27" t="n"/>
      <c r="D190" s="25" t="n"/>
      <c r="E190" s="25" t="n"/>
      <c r="F190" s="25" t="n"/>
      <c r="G190" s="25" t="n"/>
      <c r="H190" s="27" t="n"/>
      <c r="I190" s="25" t="n"/>
      <c r="J190" s="28">
        <f>IF(OR(NOT(AND($A190&lt;&gt;"",OR($I190="",$I190="Active"))),$H190=""),"",INT((TODAY()-$H190+280)/7)&amp;"+"&amp;MOD(TODAY()-$H190+280,7))</f>
        <v/>
      </c>
      <c r="K190" s="28">
        <f>IF(NOT(AND($A190&lt;&gt;"",OR($I190="",$I190="Active"))),"",ISNUMBER($N190)*($N190&gt;=TODAY())*($N190&lt;=TODAY()+7)+ISNUMBER($O190)*($O190&gt;=TODAY())*($O190&lt;=TODAY()+7)+ISNUMBER($P190)*($P190&gt;=TODAY())*($P190&lt;=TODAY()+7)+ISNUMBER($S190)*($S190&gt;=TODAY())*($S190&lt;=TODAY()+7)+ISNUMBER($T190)*($T190&gt;=TODAY())*($T190&lt;=TODAY()+7)+ISNUMBER($U190)*($U190&gt;=TODAY())*($U190&lt;=TODAY()+7)+ISNUMBER($V190)*($V190&gt;=TODAY())*($V190&lt;=TODAY()+7)+ISNUMBER($W190)*($W190&gt;=TODAY())*($W190&lt;=TODAY()+7)+ISNUMBER($X190)*($X190&gt;=TODAY())*($X190&lt;=TODAY()+7)+ISNUMBER($Y190)*($Y190&gt;=TODAY())*($Y190&lt;=TODAY()+7)+ISNUMBER($Q190)*($Q190&gt;=TODAY())*($Q190&lt;=TODAY()+7)+ISNUMBER($R190)*($R190&gt;=TODAY())*($R190&lt;=TODAY()+7)+ISNUMBER($AA190)*($AA190&gt;=TODAY())*($AA190&lt;=TODAY()+7)+ISNUMBER($AB190)*($AB190&gt;=TODAY())*($AB190&lt;=TODAY()+7))</f>
        <v/>
      </c>
      <c r="L190" s="28">
        <f>IF(NOT(AND($A190&lt;&gt;"",OR($I190="",$I190="Active"))),"",IF($M190&lt;&gt;"",IF($N190=$M190,"Booking",IF($O190=$M190,"16/40",IF($P190=$M190,"25/40",IF($S190=$M190,"28/40",IF($T190=$M190,"31/40",IF($U190=$M190,"34/40",IF($V190=$M190,"36/40",IF($W190=$M190,"38/40",IF($X190=$M190,"40/40",IF($Y190=$M190,"41/40","")))))))))),IF(IF(OR(ISNUMBER($Y190),$Y190="DNA"),$Y190,IF(OR(ISNUMBER($X190),$X190="DNA"),$X190,IF(OR(ISNUMBER($W190),$W190="DNA"),$W190,IF(OR(ISNUMBER($V190),$V190="DNA"),$V190,IF(OR(ISNUMBER($U190),$U190="DNA"),$U190,IF(OR(ISNUMBER($T190),$T190="DNA"),$T190,IF(OR(ISNUMBER($S190),$S190="DNA"),$S190,IF(OR(ISNUMBER($P190),$P190="DNA"),$P190,IF(OR(ISNUMBER($O190),$O190="DNA"),$O190,IF(OR(ISNUMBER($N190),$N190="DNA"),$N190,""))))))))))="DNA","Rebook DNA",IF(ISNUMBER(IF(OR(ISNUMBER($Y190),$Y190="DNA"),$Y190,IF(OR(ISNUMBER($X190),$X190="DNA"),$X190,IF(OR(ISNUMBER($W190),$W190="DNA"),$W190,IF(OR(ISNUMBER($V190),$V190="DNA"),$V190,IF(OR(ISNUMBER($U190),$U190="DNA"),$U190,IF(OR(ISNUMBER($T190),$T190="DNA"),$T190,IF(OR(ISNUMBER($S190),$S190="DNA"),$S190,IF(OR(ISNUMBER($P190),$P190="DNA"),$P190,IF(OR(ISNUMBER($O190),$O190="DNA"),$O190,IF(OR(ISNUMBER($N190),$N190="DNA"),$N190,""))))))))))),IF(ISNUMBER($Y190),"Update status","Missed/not booked?"),""))))</f>
        <v/>
      </c>
      <c r="M190" s="29">
        <f>IF(NOT(AND($A190&lt;&gt;"",OR($I190="",$I190="Active"))),"",IF(MIN(IF(AND(ISNUMBER($N190),$N190&gt;=TODAY()),$N190,99999),IF(AND(ISNUMBER($O190),$O190&gt;=TODAY()),$O190,99999),IF(AND(ISNUMBER($P190),$P190&gt;=TODAY()),$P190,99999),IF(AND(ISNUMBER($S190),$S190&gt;=TODAY()),$S190,99999),IF(AND(ISNUMBER($T190),$T190&gt;=TODAY()),$T190,99999),IF(AND(ISNUMBER($U190),$U190&gt;=TODAY()),$U190,99999),IF(AND(ISNUMBER($V190),$V190&gt;=TODAY()),$V190,99999),IF(AND(ISNUMBER($W190),$W190&gt;=TODAY()),$W190,99999),IF(AND(ISNUMBER($X190),$X190&gt;=TODAY()),$X190,99999),IF(AND(ISNUMBER($Y190),$Y190&gt;=TODAY()),$Y190,99999))=99999,"",MIN(IF(AND(ISNUMBER($N190),$N190&gt;=TODAY()),$N190,99999),IF(AND(ISNUMBER($O190),$O190&gt;=TODAY()),$O190,99999),IF(AND(ISNUMBER($P190),$P190&gt;=TODAY()),$P190,99999),IF(AND(ISNUMBER($S190),$S190&gt;=TODAY()),$S190,99999),IF(AND(ISNUMBER($T190),$T190&gt;=TODAY()),$T190,99999),IF(AND(ISNUMBER($U190),$U190&gt;=TODAY()),$U190,99999),IF(AND(ISNUMBER($V190),$V190&gt;=TODAY()),$V190,99999),IF(AND(ISNUMBER($W190),$W190&gt;=TODAY()),$W190,99999),IF(AND(ISNUMBER($X190),$X190&gt;=TODAY()),$X190,99999),IF(AND(ISNUMBER($Y190),$Y190&gt;=TODAY()),$Y190,99999))))</f>
        <v/>
      </c>
      <c r="N190" s="27" t="n"/>
      <c r="O190" s="27" t="n"/>
      <c r="P190" s="27" t="n"/>
      <c r="Q190" s="27" t="n"/>
      <c r="R190" s="27" t="n"/>
      <c r="S190" s="27" t="n"/>
      <c r="T190" s="27" t="n"/>
      <c r="U190" s="27" t="n"/>
      <c r="V190" s="27" t="n"/>
      <c r="W190" s="27" t="n"/>
      <c r="X190" s="27" t="n"/>
      <c r="Y190" s="27" t="n"/>
      <c r="Z190" s="27" t="n"/>
      <c r="AA190" s="27" t="n"/>
      <c r="AB190" s="27" t="n"/>
      <c r="AC190" s="30" t="n"/>
      <c r="AD190" s="25" t="n"/>
      <c r="AE190" s="28">
        <f>IF(NOT(AND($A190&lt;&gt;"",OR($I190="",$I190="Active"))),"",IF(OR(IF(OR(ISNUMBER($Y190),$Y190="DNA"),$Y190,IF(OR(ISNUMBER($X190),$X190="DNA"),$X190,IF(OR(ISNUMBER($W190),$W190="DNA"),$W190,IF(OR(ISNUMBER($V190),$V190="DNA"),$V190,IF(OR(ISNUMBER($U190),$U190="DNA"),$U190,IF(OR(ISNUMBER($T190),$T190="DNA"),$T190,IF(OR(ISNUMBER($S190),$S190="DNA"),$S190,IF(OR(ISNUMBER($P190),$P190="DNA"),$P190,IF(OR(ISNUMBER($O190),$O190="DNA"),$O190,IF(OR(ISNUMBER($N190),$N190="DNA"),$N190,""))))))))))="DNA",AND(ISNUMBER(IF(OR(ISNUMBER($Y190),$Y190="DNA"),$Y190,IF(OR(ISNUMBER($X190),$X190="DNA"),$X190,IF(OR(ISNUMBER($W190),$W190="DNA"),$W190,IF(OR(ISNUMBER($V190),$V190="DNA"),$V190,IF(OR(ISNUMBER($U190),$U190="DNA"),$U190,IF(OR(ISNUMBER($T190),$T190="DNA"),$T190,IF(OR(ISNUMBER($S190),$S190="DNA"),$S190,IF(OR(ISNUMBER($P190),$P190="DNA"),$P190,IF(OR(ISNUMBER($O190),$O190="DNA"),$O190,IF(OR(ISNUMBER($N190),$N190="DNA"),$N190,""))))))))))),IF(OR(ISNUMBER($Y190),$Y190="DNA"),$Y190,IF(OR(ISNUMBER($X190),$X190="DNA"),$X190,IF(OR(ISNUMBER($W190),$W190="DNA"),$W190,IF(OR(ISNUMBER($V190),$V190="DNA"),$V190,IF(OR(ISNUMBER($U190),$U190="DNA"),$U190,IF(OR(ISNUMBER($T190),$T190="DNA"),$T190,IF(OR(ISNUMBER($S190),$S190="DNA"),$S190,IF(OR(ISNUMBER($P190),$P190="DNA"),$P190,IF(OR(ISNUMBER($O190),$O190="DNA"),$O190,IF(OR(ISNUMBER($N190),$N190="DNA"),$N190,""))))))))))&lt;TODAY())),1,0)+ISNUMBER($Q190)*($Q190&lt;TODAY())+ISNUMBER($R190)*($R190&lt;TODAY())+ISNUMBER($AA190)*($AA190&lt;TODAY())+ISNUMBER($AB190)*($AB190&lt;TODAY()))</f>
        <v/>
      </c>
    </row>
    <row r="191">
      <c r="A191" s="25" t="n"/>
      <c r="B191" s="26" t="n"/>
      <c r="C191" s="27" t="n"/>
      <c r="D191" s="25" t="n"/>
      <c r="E191" s="25" t="n"/>
      <c r="F191" s="25" t="n"/>
      <c r="G191" s="25" t="n"/>
      <c r="H191" s="27" t="n"/>
      <c r="I191" s="25" t="n"/>
      <c r="J191" s="28">
        <f>IF(OR(NOT(AND($A191&lt;&gt;"",OR($I191="",$I191="Active"))),$H191=""),"",INT((TODAY()-$H191+280)/7)&amp;"+"&amp;MOD(TODAY()-$H191+280,7))</f>
        <v/>
      </c>
      <c r="K191" s="28">
        <f>IF(NOT(AND($A191&lt;&gt;"",OR($I191="",$I191="Active"))),"",ISNUMBER($N191)*($N191&gt;=TODAY())*($N191&lt;=TODAY()+7)+ISNUMBER($O191)*($O191&gt;=TODAY())*($O191&lt;=TODAY()+7)+ISNUMBER($P191)*($P191&gt;=TODAY())*($P191&lt;=TODAY()+7)+ISNUMBER($S191)*($S191&gt;=TODAY())*($S191&lt;=TODAY()+7)+ISNUMBER($T191)*($T191&gt;=TODAY())*($T191&lt;=TODAY()+7)+ISNUMBER($U191)*($U191&gt;=TODAY())*($U191&lt;=TODAY()+7)+ISNUMBER($V191)*($V191&gt;=TODAY())*($V191&lt;=TODAY()+7)+ISNUMBER($W191)*($W191&gt;=TODAY())*($W191&lt;=TODAY()+7)+ISNUMBER($X191)*($X191&gt;=TODAY())*($X191&lt;=TODAY()+7)+ISNUMBER($Y191)*($Y191&gt;=TODAY())*($Y191&lt;=TODAY()+7)+ISNUMBER($Q191)*($Q191&gt;=TODAY())*($Q191&lt;=TODAY()+7)+ISNUMBER($R191)*($R191&gt;=TODAY())*($R191&lt;=TODAY()+7)+ISNUMBER($AA191)*($AA191&gt;=TODAY())*($AA191&lt;=TODAY()+7)+ISNUMBER($AB191)*($AB191&gt;=TODAY())*($AB191&lt;=TODAY()+7))</f>
        <v/>
      </c>
      <c r="L191" s="28">
        <f>IF(NOT(AND($A191&lt;&gt;"",OR($I191="",$I191="Active"))),"",IF($M191&lt;&gt;"",IF($N191=$M191,"Booking",IF($O191=$M191,"16/40",IF($P191=$M191,"25/40",IF($S191=$M191,"28/40",IF($T191=$M191,"31/40",IF($U191=$M191,"34/40",IF($V191=$M191,"36/40",IF($W191=$M191,"38/40",IF($X191=$M191,"40/40",IF($Y191=$M191,"41/40","")))))))))),IF(IF(OR(ISNUMBER($Y191),$Y191="DNA"),$Y191,IF(OR(ISNUMBER($X191),$X191="DNA"),$X191,IF(OR(ISNUMBER($W191),$W191="DNA"),$W191,IF(OR(ISNUMBER($V191),$V191="DNA"),$V191,IF(OR(ISNUMBER($U191),$U191="DNA"),$U191,IF(OR(ISNUMBER($T191),$T191="DNA"),$T191,IF(OR(ISNUMBER($S191),$S191="DNA"),$S191,IF(OR(ISNUMBER($P191),$P191="DNA"),$P191,IF(OR(ISNUMBER($O191),$O191="DNA"),$O191,IF(OR(ISNUMBER($N191),$N191="DNA"),$N191,""))))))))))="DNA","Rebook DNA",IF(ISNUMBER(IF(OR(ISNUMBER($Y191),$Y191="DNA"),$Y191,IF(OR(ISNUMBER($X191),$X191="DNA"),$X191,IF(OR(ISNUMBER($W191),$W191="DNA"),$W191,IF(OR(ISNUMBER($V191),$V191="DNA"),$V191,IF(OR(ISNUMBER($U191),$U191="DNA"),$U191,IF(OR(ISNUMBER($T191),$T191="DNA"),$T191,IF(OR(ISNUMBER($S191),$S191="DNA"),$S191,IF(OR(ISNUMBER($P191),$P191="DNA"),$P191,IF(OR(ISNUMBER($O191),$O191="DNA"),$O191,IF(OR(ISNUMBER($N191),$N191="DNA"),$N191,""))))))))))),IF(ISNUMBER($Y191),"Update status","Missed/not booked?"),""))))</f>
        <v/>
      </c>
      <c r="M191" s="29">
        <f>IF(NOT(AND($A191&lt;&gt;"",OR($I191="",$I191="Active"))),"",IF(MIN(IF(AND(ISNUMBER($N191),$N191&gt;=TODAY()),$N191,99999),IF(AND(ISNUMBER($O191),$O191&gt;=TODAY()),$O191,99999),IF(AND(ISNUMBER($P191),$P191&gt;=TODAY()),$P191,99999),IF(AND(ISNUMBER($S191),$S191&gt;=TODAY()),$S191,99999),IF(AND(ISNUMBER($T191),$T191&gt;=TODAY()),$T191,99999),IF(AND(ISNUMBER($U191),$U191&gt;=TODAY()),$U191,99999),IF(AND(ISNUMBER($V191),$V191&gt;=TODAY()),$V191,99999),IF(AND(ISNUMBER($W191),$W191&gt;=TODAY()),$W191,99999),IF(AND(ISNUMBER($X191),$X191&gt;=TODAY()),$X191,99999),IF(AND(ISNUMBER($Y191),$Y191&gt;=TODAY()),$Y191,99999))=99999,"",MIN(IF(AND(ISNUMBER($N191),$N191&gt;=TODAY()),$N191,99999),IF(AND(ISNUMBER($O191),$O191&gt;=TODAY()),$O191,99999),IF(AND(ISNUMBER($P191),$P191&gt;=TODAY()),$P191,99999),IF(AND(ISNUMBER($S191),$S191&gt;=TODAY()),$S191,99999),IF(AND(ISNUMBER($T191),$T191&gt;=TODAY()),$T191,99999),IF(AND(ISNUMBER($U191),$U191&gt;=TODAY()),$U191,99999),IF(AND(ISNUMBER($V191),$V191&gt;=TODAY()),$V191,99999),IF(AND(ISNUMBER($W191),$W191&gt;=TODAY()),$W191,99999),IF(AND(ISNUMBER($X191),$X191&gt;=TODAY()),$X191,99999),IF(AND(ISNUMBER($Y191),$Y191&gt;=TODAY()),$Y191,99999))))</f>
        <v/>
      </c>
      <c r="N191" s="27" t="n"/>
      <c r="O191" s="27" t="n"/>
      <c r="P191" s="27" t="n"/>
      <c r="Q191" s="27" t="n"/>
      <c r="R191" s="27" t="n"/>
      <c r="S191" s="27" t="n"/>
      <c r="T191" s="27" t="n"/>
      <c r="U191" s="27" t="n"/>
      <c r="V191" s="27" t="n"/>
      <c r="W191" s="27" t="n"/>
      <c r="X191" s="27" t="n"/>
      <c r="Y191" s="27" t="n"/>
      <c r="Z191" s="27" t="n"/>
      <c r="AA191" s="27" t="n"/>
      <c r="AB191" s="27" t="n"/>
      <c r="AC191" s="30" t="n"/>
      <c r="AD191" s="25" t="n"/>
      <c r="AE191" s="28">
        <f>IF(NOT(AND($A191&lt;&gt;"",OR($I191="",$I191="Active"))),"",IF(OR(IF(OR(ISNUMBER($Y191),$Y191="DNA"),$Y191,IF(OR(ISNUMBER($X191),$X191="DNA"),$X191,IF(OR(ISNUMBER($W191),$W191="DNA"),$W191,IF(OR(ISNUMBER($V191),$V191="DNA"),$V191,IF(OR(ISNUMBER($U191),$U191="DNA"),$U191,IF(OR(ISNUMBER($T191),$T191="DNA"),$T191,IF(OR(ISNUMBER($S191),$S191="DNA"),$S191,IF(OR(ISNUMBER($P191),$P191="DNA"),$P191,IF(OR(ISNUMBER($O191),$O191="DNA"),$O191,IF(OR(ISNUMBER($N191),$N191="DNA"),$N191,""))))))))))="DNA",AND(ISNUMBER(IF(OR(ISNUMBER($Y191),$Y191="DNA"),$Y191,IF(OR(ISNUMBER($X191),$X191="DNA"),$X191,IF(OR(ISNUMBER($W191),$W191="DNA"),$W191,IF(OR(ISNUMBER($V191),$V191="DNA"),$V191,IF(OR(ISNUMBER($U191),$U191="DNA"),$U191,IF(OR(ISNUMBER($T191),$T191="DNA"),$T191,IF(OR(ISNUMBER($S191),$S191="DNA"),$S191,IF(OR(ISNUMBER($P191),$P191="DNA"),$P191,IF(OR(ISNUMBER($O191),$O191="DNA"),$O191,IF(OR(ISNUMBER($N191),$N191="DNA"),$N191,""))))))))))),IF(OR(ISNUMBER($Y191),$Y191="DNA"),$Y191,IF(OR(ISNUMBER($X191),$X191="DNA"),$X191,IF(OR(ISNUMBER($W191),$W191="DNA"),$W191,IF(OR(ISNUMBER($V191),$V191="DNA"),$V191,IF(OR(ISNUMBER($U191),$U191="DNA"),$U191,IF(OR(ISNUMBER($T191),$T191="DNA"),$T191,IF(OR(ISNUMBER($S191),$S191="DNA"),$S191,IF(OR(ISNUMBER($P191),$P191="DNA"),$P191,IF(OR(ISNUMBER($O191),$O191="DNA"),$O191,IF(OR(ISNUMBER($N191),$N191="DNA"),$N191,""))))))))))&lt;TODAY())),1,0)+ISNUMBER($Q191)*($Q191&lt;TODAY())+ISNUMBER($R191)*($R191&lt;TODAY())+ISNUMBER($AA191)*($AA191&lt;TODAY())+ISNUMBER($AB191)*($AB191&lt;TODAY()))</f>
        <v/>
      </c>
    </row>
    <row r="192">
      <c r="A192" s="25" t="n"/>
      <c r="B192" s="26" t="n"/>
      <c r="C192" s="27" t="n"/>
      <c r="D192" s="25" t="n"/>
      <c r="E192" s="25" t="n"/>
      <c r="F192" s="25" t="n"/>
      <c r="G192" s="25" t="n"/>
      <c r="H192" s="27" t="n"/>
      <c r="I192" s="25" t="n"/>
      <c r="J192" s="28">
        <f>IF(OR(NOT(AND($A192&lt;&gt;"",OR($I192="",$I192="Active"))),$H192=""),"",INT((TODAY()-$H192+280)/7)&amp;"+"&amp;MOD(TODAY()-$H192+280,7))</f>
        <v/>
      </c>
      <c r="K192" s="28">
        <f>IF(NOT(AND($A192&lt;&gt;"",OR($I192="",$I192="Active"))),"",ISNUMBER($N192)*($N192&gt;=TODAY())*($N192&lt;=TODAY()+7)+ISNUMBER($O192)*($O192&gt;=TODAY())*($O192&lt;=TODAY()+7)+ISNUMBER($P192)*($P192&gt;=TODAY())*($P192&lt;=TODAY()+7)+ISNUMBER($S192)*($S192&gt;=TODAY())*($S192&lt;=TODAY()+7)+ISNUMBER($T192)*($T192&gt;=TODAY())*($T192&lt;=TODAY()+7)+ISNUMBER($U192)*($U192&gt;=TODAY())*($U192&lt;=TODAY()+7)+ISNUMBER($V192)*($V192&gt;=TODAY())*($V192&lt;=TODAY()+7)+ISNUMBER($W192)*($W192&gt;=TODAY())*($W192&lt;=TODAY()+7)+ISNUMBER($X192)*($X192&gt;=TODAY())*($X192&lt;=TODAY()+7)+ISNUMBER($Y192)*($Y192&gt;=TODAY())*($Y192&lt;=TODAY()+7)+ISNUMBER($Q192)*($Q192&gt;=TODAY())*($Q192&lt;=TODAY()+7)+ISNUMBER($R192)*($R192&gt;=TODAY())*($R192&lt;=TODAY()+7)+ISNUMBER($AA192)*($AA192&gt;=TODAY())*($AA192&lt;=TODAY()+7)+ISNUMBER($AB192)*($AB192&gt;=TODAY())*($AB192&lt;=TODAY()+7))</f>
        <v/>
      </c>
      <c r="L192" s="28">
        <f>IF(NOT(AND($A192&lt;&gt;"",OR($I192="",$I192="Active"))),"",IF($M192&lt;&gt;"",IF($N192=$M192,"Booking",IF($O192=$M192,"16/40",IF($P192=$M192,"25/40",IF($S192=$M192,"28/40",IF($T192=$M192,"31/40",IF($U192=$M192,"34/40",IF($V192=$M192,"36/40",IF($W192=$M192,"38/40",IF($X192=$M192,"40/40",IF($Y192=$M192,"41/40","")))))))))),IF(IF(OR(ISNUMBER($Y192),$Y192="DNA"),$Y192,IF(OR(ISNUMBER($X192),$X192="DNA"),$X192,IF(OR(ISNUMBER($W192),$W192="DNA"),$W192,IF(OR(ISNUMBER($V192),$V192="DNA"),$V192,IF(OR(ISNUMBER($U192),$U192="DNA"),$U192,IF(OR(ISNUMBER($T192),$T192="DNA"),$T192,IF(OR(ISNUMBER($S192),$S192="DNA"),$S192,IF(OR(ISNUMBER($P192),$P192="DNA"),$P192,IF(OR(ISNUMBER($O192),$O192="DNA"),$O192,IF(OR(ISNUMBER($N192),$N192="DNA"),$N192,""))))))))))="DNA","Rebook DNA",IF(ISNUMBER(IF(OR(ISNUMBER($Y192),$Y192="DNA"),$Y192,IF(OR(ISNUMBER($X192),$X192="DNA"),$X192,IF(OR(ISNUMBER($W192),$W192="DNA"),$W192,IF(OR(ISNUMBER($V192),$V192="DNA"),$V192,IF(OR(ISNUMBER($U192),$U192="DNA"),$U192,IF(OR(ISNUMBER($T192),$T192="DNA"),$T192,IF(OR(ISNUMBER($S192),$S192="DNA"),$S192,IF(OR(ISNUMBER($P192),$P192="DNA"),$P192,IF(OR(ISNUMBER($O192),$O192="DNA"),$O192,IF(OR(ISNUMBER($N192),$N192="DNA"),$N192,""))))))))))),IF(ISNUMBER($Y192),"Update status","Missed/not booked?"),""))))</f>
        <v/>
      </c>
      <c r="M192" s="29">
        <f>IF(NOT(AND($A192&lt;&gt;"",OR($I192="",$I192="Active"))),"",IF(MIN(IF(AND(ISNUMBER($N192),$N192&gt;=TODAY()),$N192,99999),IF(AND(ISNUMBER($O192),$O192&gt;=TODAY()),$O192,99999),IF(AND(ISNUMBER($P192),$P192&gt;=TODAY()),$P192,99999),IF(AND(ISNUMBER($S192),$S192&gt;=TODAY()),$S192,99999),IF(AND(ISNUMBER($T192),$T192&gt;=TODAY()),$T192,99999),IF(AND(ISNUMBER($U192),$U192&gt;=TODAY()),$U192,99999),IF(AND(ISNUMBER($V192),$V192&gt;=TODAY()),$V192,99999),IF(AND(ISNUMBER($W192),$W192&gt;=TODAY()),$W192,99999),IF(AND(ISNUMBER($X192),$X192&gt;=TODAY()),$X192,99999),IF(AND(ISNUMBER($Y192),$Y192&gt;=TODAY()),$Y192,99999))=99999,"",MIN(IF(AND(ISNUMBER($N192),$N192&gt;=TODAY()),$N192,99999),IF(AND(ISNUMBER($O192),$O192&gt;=TODAY()),$O192,99999),IF(AND(ISNUMBER($P192),$P192&gt;=TODAY()),$P192,99999),IF(AND(ISNUMBER($S192),$S192&gt;=TODAY()),$S192,99999),IF(AND(ISNUMBER($T192),$T192&gt;=TODAY()),$T192,99999),IF(AND(ISNUMBER($U192),$U192&gt;=TODAY()),$U192,99999),IF(AND(ISNUMBER($V192),$V192&gt;=TODAY()),$V192,99999),IF(AND(ISNUMBER($W192),$W192&gt;=TODAY()),$W192,99999),IF(AND(ISNUMBER($X192),$X192&gt;=TODAY()),$X192,99999),IF(AND(ISNUMBER($Y192),$Y192&gt;=TODAY()),$Y192,99999))))</f>
        <v/>
      </c>
      <c r="N192" s="27" t="n"/>
      <c r="O192" s="27" t="n"/>
      <c r="P192" s="27" t="n"/>
      <c r="Q192" s="27" t="n"/>
      <c r="R192" s="27" t="n"/>
      <c r="S192" s="27" t="n"/>
      <c r="T192" s="27" t="n"/>
      <c r="U192" s="27" t="n"/>
      <c r="V192" s="27" t="n"/>
      <c r="W192" s="27" t="n"/>
      <c r="X192" s="27" t="n"/>
      <c r="Y192" s="27" t="n"/>
      <c r="Z192" s="27" t="n"/>
      <c r="AA192" s="27" t="n"/>
      <c r="AB192" s="27" t="n"/>
      <c r="AC192" s="30" t="n"/>
      <c r="AD192" s="25" t="n"/>
      <c r="AE192" s="28">
        <f>IF(NOT(AND($A192&lt;&gt;"",OR($I192="",$I192="Active"))),"",IF(OR(IF(OR(ISNUMBER($Y192),$Y192="DNA"),$Y192,IF(OR(ISNUMBER($X192),$X192="DNA"),$X192,IF(OR(ISNUMBER($W192),$W192="DNA"),$W192,IF(OR(ISNUMBER($V192),$V192="DNA"),$V192,IF(OR(ISNUMBER($U192),$U192="DNA"),$U192,IF(OR(ISNUMBER($T192),$T192="DNA"),$T192,IF(OR(ISNUMBER($S192),$S192="DNA"),$S192,IF(OR(ISNUMBER($P192),$P192="DNA"),$P192,IF(OR(ISNUMBER($O192),$O192="DNA"),$O192,IF(OR(ISNUMBER($N192),$N192="DNA"),$N192,""))))))))))="DNA",AND(ISNUMBER(IF(OR(ISNUMBER($Y192),$Y192="DNA"),$Y192,IF(OR(ISNUMBER($X192),$X192="DNA"),$X192,IF(OR(ISNUMBER($W192),$W192="DNA"),$W192,IF(OR(ISNUMBER($V192),$V192="DNA"),$V192,IF(OR(ISNUMBER($U192),$U192="DNA"),$U192,IF(OR(ISNUMBER($T192),$T192="DNA"),$T192,IF(OR(ISNUMBER($S192),$S192="DNA"),$S192,IF(OR(ISNUMBER($P192),$P192="DNA"),$P192,IF(OR(ISNUMBER($O192),$O192="DNA"),$O192,IF(OR(ISNUMBER($N192),$N192="DNA"),$N192,""))))))))))),IF(OR(ISNUMBER($Y192),$Y192="DNA"),$Y192,IF(OR(ISNUMBER($X192),$X192="DNA"),$X192,IF(OR(ISNUMBER($W192),$W192="DNA"),$W192,IF(OR(ISNUMBER($V192),$V192="DNA"),$V192,IF(OR(ISNUMBER($U192),$U192="DNA"),$U192,IF(OR(ISNUMBER($T192),$T192="DNA"),$T192,IF(OR(ISNUMBER($S192),$S192="DNA"),$S192,IF(OR(ISNUMBER($P192),$P192="DNA"),$P192,IF(OR(ISNUMBER($O192),$O192="DNA"),$O192,IF(OR(ISNUMBER($N192),$N192="DNA"),$N192,""))))))))))&lt;TODAY())),1,0)+ISNUMBER($Q192)*($Q192&lt;TODAY())+ISNUMBER($R192)*($R192&lt;TODAY())+ISNUMBER($AA192)*($AA192&lt;TODAY())+ISNUMBER($AB192)*($AB192&lt;TODAY()))</f>
        <v/>
      </c>
    </row>
    <row r="193">
      <c r="A193" s="25" t="n"/>
      <c r="B193" s="26" t="n"/>
      <c r="C193" s="27" t="n"/>
      <c r="D193" s="25" t="n"/>
      <c r="E193" s="25" t="n"/>
      <c r="F193" s="25" t="n"/>
      <c r="G193" s="25" t="n"/>
      <c r="H193" s="27" t="n"/>
      <c r="I193" s="25" t="n"/>
      <c r="J193" s="28">
        <f>IF(OR(NOT(AND($A193&lt;&gt;"",OR($I193="",$I193="Active"))),$H193=""),"",INT((TODAY()-$H193+280)/7)&amp;"+"&amp;MOD(TODAY()-$H193+280,7))</f>
        <v/>
      </c>
      <c r="K193" s="28">
        <f>IF(NOT(AND($A193&lt;&gt;"",OR($I193="",$I193="Active"))),"",ISNUMBER($N193)*($N193&gt;=TODAY())*($N193&lt;=TODAY()+7)+ISNUMBER($O193)*($O193&gt;=TODAY())*($O193&lt;=TODAY()+7)+ISNUMBER($P193)*($P193&gt;=TODAY())*($P193&lt;=TODAY()+7)+ISNUMBER($S193)*($S193&gt;=TODAY())*($S193&lt;=TODAY()+7)+ISNUMBER($T193)*($T193&gt;=TODAY())*($T193&lt;=TODAY()+7)+ISNUMBER($U193)*($U193&gt;=TODAY())*($U193&lt;=TODAY()+7)+ISNUMBER($V193)*($V193&gt;=TODAY())*($V193&lt;=TODAY()+7)+ISNUMBER($W193)*($W193&gt;=TODAY())*($W193&lt;=TODAY()+7)+ISNUMBER($X193)*($X193&gt;=TODAY())*($X193&lt;=TODAY()+7)+ISNUMBER($Y193)*($Y193&gt;=TODAY())*($Y193&lt;=TODAY()+7)+ISNUMBER($Q193)*($Q193&gt;=TODAY())*($Q193&lt;=TODAY()+7)+ISNUMBER($R193)*($R193&gt;=TODAY())*($R193&lt;=TODAY()+7)+ISNUMBER($AA193)*($AA193&gt;=TODAY())*($AA193&lt;=TODAY()+7)+ISNUMBER($AB193)*($AB193&gt;=TODAY())*($AB193&lt;=TODAY()+7))</f>
        <v/>
      </c>
      <c r="L193" s="28">
        <f>IF(NOT(AND($A193&lt;&gt;"",OR($I193="",$I193="Active"))),"",IF($M193&lt;&gt;"",IF($N193=$M193,"Booking",IF($O193=$M193,"16/40",IF($P193=$M193,"25/40",IF($S193=$M193,"28/40",IF($T193=$M193,"31/40",IF($U193=$M193,"34/40",IF($V193=$M193,"36/40",IF($W193=$M193,"38/40",IF($X193=$M193,"40/40",IF($Y193=$M193,"41/40","")))))))))),IF(IF(OR(ISNUMBER($Y193),$Y193="DNA"),$Y193,IF(OR(ISNUMBER($X193),$X193="DNA"),$X193,IF(OR(ISNUMBER($W193),$W193="DNA"),$W193,IF(OR(ISNUMBER($V193),$V193="DNA"),$V193,IF(OR(ISNUMBER($U193),$U193="DNA"),$U193,IF(OR(ISNUMBER($T193),$T193="DNA"),$T193,IF(OR(ISNUMBER($S193),$S193="DNA"),$S193,IF(OR(ISNUMBER($P193),$P193="DNA"),$P193,IF(OR(ISNUMBER($O193),$O193="DNA"),$O193,IF(OR(ISNUMBER($N193),$N193="DNA"),$N193,""))))))))))="DNA","Rebook DNA",IF(ISNUMBER(IF(OR(ISNUMBER($Y193),$Y193="DNA"),$Y193,IF(OR(ISNUMBER($X193),$X193="DNA"),$X193,IF(OR(ISNUMBER($W193),$W193="DNA"),$W193,IF(OR(ISNUMBER($V193),$V193="DNA"),$V193,IF(OR(ISNUMBER($U193),$U193="DNA"),$U193,IF(OR(ISNUMBER($T193),$T193="DNA"),$T193,IF(OR(ISNUMBER($S193),$S193="DNA"),$S193,IF(OR(ISNUMBER($P193),$P193="DNA"),$P193,IF(OR(ISNUMBER($O193),$O193="DNA"),$O193,IF(OR(ISNUMBER($N193),$N193="DNA"),$N193,""))))))))))),IF(ISNUMBER($Y193),"Update status","Missed/not booked?"),""))))</f>
        <v/>
      </c>
      <c r="M193" s="29">
        <f>IF(NOT(AND($A193&lt;&gt;"",OR($I193="",$I193="Active"))),"",IF(MIN(IF(AND(ISNUMBER($N193),$N193&gt;=TODAY()),$N193,99999),IF(AND(ISNUMBER($O193),$O193&gt;=TODAY()),$O193,99999),IF(AND(ISNUMBER($P193),$P193&gt;=TODAY()),$P193,99999),IF(AND(ISNUMBER($S193),$S193&gt;=TODAY()),$S193,99999),IF(AND(ISNUMBER($T193),$T193&gt;=TODAY()),$T193,99999),IF(AND(ISNUMBER($U193),$U193&gt;=TODAY()),$U193,99999),IF(AND(ISNUMBER($V193),$V193&gt;=TODAY()),$V193,99999),IF(AND(ISNUMBER($W193),$W193&gt;=TODAY()),$W193,99999),IF(AND(ISNUMBER($X193),$X193&gt;=TODAY()),$X193,99999),IF(AND(ISNUMBER($Y193),$Y193&gt;=TODAY()),$Y193,99999))=99999,"",MIN(IF(AND(ISNUMBER($N193),$N193&gt;=TODAY()),$N193,99999),IF(AND(ISNUMBER($O193),$O193&gt;=TODAY()),$O193,99999),IF(AND(ISNUMBER($P193),$P193&gt;=TODAY()),$P193,99999),IF(AND(ISNUMBER($S193),$S193&gt;=TODAY()),$S193,99999),IF(AND(ISNUMBER($T193),$T193&gt;=TODAY()),$T193,99999),IF(AND(ISNUMBER($U193),$U193&gt;=TODAY()),$U193,99999),IF(AND(ISNUMBER($V193),$V193&gt;=TODAY()),$V193,99999),IF(AND(ISNUMBER($W193),$W193&gt;=TODAY()),$W193,99999),IF(AND(ISNUMBER($X193),$X193&gt;=TODAY()),$X193,99999),IF(AND(ISNUMBER($Y193),$Y193&gt;=TODAY()),$Y193,99999))))</f>
        <v/>
      </c>
      <c r="N193" s="27" t="n"/>
      <c r="O193" s="27" t="n"/>
      <c r="P193" s="27" t="n"/>
      <c r="Q193" s="27" t="n"/>
      <c r="R193" s="27" t="n"/>
      <c r="S193" s="27" t="n"/>
      <c r="T193" s="27" t="n"/>
      <c r="U193" s="27" t="n"/>
      <c r="V193" s="27" t="n"/>
      <c r="W193" s="27" t="n"/>
      <c r="X193" s="27" t="n"/>
      <c r="Y193" s="27" t="n"/>
      <c r="Z193" s="27" t="n"/>
      <c r="AA193" s="27" t="n"/>
      <c r="AB193" s="27" t="n"/>
      <c r="AC193" s="30" t="n"/>
      <c r="AD193" s="25" t="n"/>
      <c r="AE193" s="28">
        <f>IF(NOT(AND($A193&lt;&gt;"",OR($I193="",$I193="Active"))),"",IF(OR(IF(OR(ISNUMBER($Y193),$Y193="DNA"),$Y193,IF(OR(ISNUMBER($X193),$X193="DNA"),$X193,IF(OR(ISNUMBER($W193),$W193="DNA"),$W193,IF(OR(ISNUMBER($V193),$V193="DNA"),$V193,IF(OR(ISNUMBER($U193),$U193="DNA"),$U193,IF(OR(ISNUMBER($T193),$T193="DNA"),$T193,IF(OR(ISNUMBER($S193),$S193="DNA"),$S193,IF(OR(ISNUMBER($P193),$P193="DNA"),$P193,IF(OR(ISNUMBER($O193),$O193="DNA"),$O193,IF(OR(ISNUMBER($N193),$N193="DNA"),$N193,""))))))))))="DNA",AND(ISNUMBER(IF(OR(ISNUMBER($Y193),$Y193="DNA"),$Y193,IF(OR(ISNUMBER($X193),$X193="DNA"),$X193,IF(OR(ISNUMBER($W193),$W193="DNA"),$W193,IF(OR(ISNUMBER($V193),$V193="DNA"),$V193,IF(OR(ISNUMBER($U193),$U193="DNA"),$U193,IF(OR(ISNUMBER($T193),$T193="DNA"),$T193,IF(OR(ISNUMBER($S193),$S193="DNA"),$S193,IF(OR(ISNUMBER($P193),$P193="DNA"),$P193,IF(OR(ISNUMBER($O193),$O193="DNA"),$O193,IF(OR(ISNUMBER($N193),$N193="DNA"),$N193,""))))))))))),IF(OR(ISNUMBER($Y193),$Y193="DNA"),$Y193,IF(OR(ISNUMBER($X193),$X193="DNA"),$X193,IF(OR(ISNUMBER($W193),$W193="DNA"),$W193,IF(OR(ISNUMBER($V193),$V193="DNA"),$V193,IF(OR(ISNUMBER($U193),$U193="DNA"),$U193,IF(OR(ISNUMBER($T193),$T193="DNA"),$T193,IF(OR(ISNUMBER($S193),$S193="DNA"),$S193,IF(OR(ISNUMBER($P193),$P193="DNA"),$P193,IF(OR(ISNUMBER($O193),$O193="DNA"),$O193,IF(OR(ISNUMBER($N193),$N193="DNA"),$N193,""))))))))))&lt;TODAY())),1,0)+ISNUMBER($Q193)*($Q193&lt;TODAY())+ISNUMBER($R193)*($R193&lt;TODAY())+ISNUMBER($AA193)*($AA193&lt;TODAY())+ISNUMBER($AB193)*($AB193&lt;TODAY()))</f>
        <v/>
      </c>
    </row>
    <row r="194">
      <c r="A194" s="25" t="n"/>
      <c r="B194" s="26" t="n"/>
      <c r="C194" s="27" t="n"/>
      <c r="D194" s="25" t="n"/>
      <c r="E194" s="25" t="n"/>
      <c r="F194" s="25" t="n"/>
      <c r="G194" s="25" t="n"/>
      <c r="H194" s="27" t="n"/>
      <c r="I194" s="25" t="n"/>
      <c r="J194" s="28">
        <f>IF(OR(NOT(AND($A194&lt;&gt;"",OR($I194="",$I194="Active"))),$H194=""),"",INT((TODAY()-$H194+280)/7)&amp;"+"&amp;MOD(TODAY()-$H194+280,7))</f>
        <v/>
      </c>
      <c r="K194" s="28">
        <f>IF(NOT(AND($A194&lt;&gt;"",OR($I194="",$I194="Active"))),"",ISNUMBER($N194)*($N194&gt;=TODAY())*($N194&lt;=TODAY()+7)+ISNUMBER($O194)*($O194&gt;=TODAY())*($O194&lt;=TODAY()+7)+ISNUMBER($P194)*($P194&gt;=TODAY())*($P194&lt;=TODAY()+7)+ISNUMBER($S194)*($S194&gt;=TODAY())*($S194&lt;=TODAY()+7)+ISNUMBER($T194)*($T194&gt;=TODAY())*($T194&lt;=TODAY()+7)+ISNUMBER($U194)*($U194&gt;=TODAY())*($U194&lt;=TODAY()+7)+ISNUMBER($V194)*($V194&gt;=TODAY())*($V194&lt;=TODAY()+7)+ISNUMBER($W194)*($W194&gt;=TODAY())*($W194&lt;=TODAY()+7)+ISNUMBER($X194)*($X194&gt;=TODAY())*($X194&lt;=TODAY()+7)+ISNUMBER($Y194)*($Y194&gt;=TODAY())*($Y194&lt;=TODAY()+7)+ISNUMBER($Q194)*($Q194&gt;=TODAY())*($Q194&lt;=TODAY()+7)+ISNUMBER($R194)*($R194&gt;=TODAY())*($R194&lt;=TODAY()+7)+ISNUMBER($AA194)*($AA194&gt;=TODAY())*($AA194&lt;=TODAY()+7)+ISNUMBER($AB194)*($AB194&gt;=TODAY())*($AB194&lt;=TODAY()+7))</f>
        <v/>
      </c>
      <c r="L194" s="28">
        <f>IF(NOT(AND($A194&lt;&gt;"",OR($I194="",$I194="Active"))),"",IF($M194&lt;&gt;"",IF($N194=$M194,"Booking",IF($O194=$M194,"16/40",IF($P194=$M194,"25/40",IF($S194=$M194,"28/40",IF($T194=$M194,"31/40",IF($U194=$M194,"34/40",IF($V194=$M194,"36/40",IF($W194=$M194,"38/40",IF($X194=$M194,"40/40",IF($Y194=$M194,"41/40","")))))))))),IF(IF(OR(ISNUMBER($Y194),$Y194="DNA"),$Y194,IF(OR(ISNUMBER($X194),$X194="DNA"),$X194,IF(OR(ISNUMBER($W194),$W194="DNA"),$W194,IF(OR(ISNUMBER($V194),$V194="DNA"),$V194,IF(OR(ISNUMBER($U194),$U194="DNA"),$U194,IF(OR(ISNUMBER($T194),$T194="DNA"),$T194,IF(OR(ISNUMBER($S194),$S194="DNA"),$S194,IF(OR(ISNUMBER($P194),$P194="DNA"),$P194,IF(OR(ISNUMBER($O194),$O194="DNA"),$O194,IF(OR(ISNUMBER($N194),$N194="DNA"),$N194,""))))))))))="DNA","Rebook DNA",IF(ISNUMBER(IF(OR(ISNUMBER($Y194),$Y194="DNA"),$Y194,IF(OR(ISNUMBER($X194),$X194="DNA"),$X194,IF(OR(ISNUMBER($W194),$W194="DNA"),$W194,IF(OR(ISNUMBER($V194),$V194="DNA"),$V194,IF(OR(ISNUMBER($U194),$U194="DNA"),$U194,IF(OR(ISNUMBER($T194),$T194="DNA"),$T194,IF(OR(ISNUMBER($S194),$S194="DNA"),$S194,IF(OR(ISNUMBER($P194),$P194="DNA"),$P194,IF(OR(ISNUMBER($O194),$O194="DNA"),$O194,IF(OR(ISNUMBER($N194),$N194="DNA"),$N194,""))))))))))),IF(ISNUMBER($Y194),"Update status","Missed/not booked?"),""))))</f>
        <v/>
      </c>
      <c r="M194" s="29">
        <f>IF(NOT(AND($A194&lt;&gt;"",OR($I194="",$I194="Active"))),"",IF(MIN(IF(AND(ISNUMBER($N194),$N194&gt;=TODAY()),$N194,99999),IF(AND(ISNUMBER($O194),$O194&gt;=TODAY()),$O194,99999),IF(AND(ISNUMBER($P194),$P194&gt;=TODAY()),$P194,99999),IF(AND(ISNUMBER($S194),$S194&gt;=TODAY()),$S194,99999),IF(AND(ISNUMBER($T194),$T194&gt;=TODAY()),$T194,99999),IF(AND(ISNUMBER($U194),$U194&gt;=TODAY()),$U194,99999),IF(AND(ISNUMBER($V194),$V194&gt;=TODAY()),$V194,99999),IF(AND(ISNUMBER($W194),$W194&gt;=TODAY()),$W194,99999),IF(AND(ISNUMBER($X194),$X194&gt;=TODAY()),$X194,99999),IF(AND(ISNUMBER($Y194),$Y194&gt;=TODAY()),$Y194,99999))=99999,"",MIN(IF(AND(ISNUMBER($N194),$N194&gt;=TODAY()),$N194,99999),IF(AND(ISNUMBER($O194),$O194&gt;=TODAY()),$O194,99999),IF(AND(ISNUMBER($P194),$P194&gt;=TODAY()),$P194,99999),IF(AND(ISNUMBER($S194),$S194&gt;=TODAY()),$S194,99999),IF(AND(ISNUMBER($T194),$T194&gt;=TODAY()),$T194,99999),IF(AND(ISNUMBER($U194),$U194&gt;=TODAY()),$U194,99999),IF(AND(ISNUMBER($V194),$V194&gt;=TODAY()),$V194,99999),IF(AND(ISNUMBER($W194),$W194&gt;=TODAY()),$W194,99999),IF(AND(ISNUMBER($X194),$X194&gt;=TODAY()),$X194,99999),IF(AND(ISNUMBER($Y194),$Y194&gt;=TODAY()),$Y194,99999))))</f>
        <v/>
      </c>
      <c r="N194" s="27" t="n"/>
      <c r="O194" s="27" t="n"/>
      <c r="P194" s="27" t="n"/>
      <c r="Q194" s="27" t="n"/>
      <c r="R194" s="27" t="n"/>
      <c r="S194" s="27" t="n"/>
      <c r="T194" s="27" t="n"/>
      <c r="U194" s="27" t="n"/>
      <c r="V194" s="27" t="n"/>
      <c r="W194" s="27" t="n"/>
      <c r="X194" s="27" t="n"/>
      <c r="Y194" s="27" t="n"/>
      <c r="Z194" s="27" t="n"/>
      <c r="AA194" s="27" t="n"/>
      <c r="AB194" s="27" t="n"/>
      <c r="AC194" s="30" t="n"/>
      <c r="AD194" s="25" t="n"/>
      <c r="AE194" s="28">
        <f>IF(NOT(AND($A194&lt;&gt;"",OR($I194="",$I194="Active"))),"",IF(OR(IF(OR(ISNUMBER($Y194),$Y194="DNA"),$Y194,IF(OR(ISNUMBER($X194),$X194="DNA"),$X194,IF(OR(ISNUMBER($W194),$W194="DNA"),$W194,IF(OR(ISNUMBER($V194),$V194="DNA"),$V194,IF(OR(ISNUMBER($U194),$U194="DNA"),$U194,IF(OR(ISNUMBER($T194),$T194="DNA"),$T194,IF(OR(ISNUMBER($S194),$S194="DNA"),$S194,IF(OR(ISNUMBER($P194),$P194="DNA"),$P194,IF(OR(ISNUMBER($O194),$O194="DNA"),$O194,IF(OR(ISNUMBER($N194),$N194="DNA"),$N194,""))))))))))="DNA",AND(ISNUMBER(IF(OR(ISNUMBER($Y194),$Y194="DNA"),$Y194,IF(OR(ISNUMBER($X194),$X194="DNA"),$X194,IF(OR(ISNUMBER($W194),$W194="DNA"),$W194,IF(OR(ISNUMBER($V194),$V194="DNA"),$V194,IF(OR(ISNUMBER($U194),$U194="DNA"),$U194,IF(OR(ISNUMBER($T194),$T194="DNA"),$T194,IF(OR(ISNUMBER($S194),$S194="DNA"),$S194,IF(OR(ISNUMBER($P194),$P194="DNA"),$P194,IF(OR(ISNUMBER($O194),$O194="DNA"),$O194,IF(OR(ISNUMBER($N194),$N194="DNA"),$N194,""))))))))))),IF(OR(ISNUMBER($Y194),$Y194="DNA"),$Y194,IF(OR(ISNUMBER($X194),$X194="DNA"),$X194,IF(OR(ISNUMBER($W194),$W194="DNA"),$W194,IF(OR(ISNUMBER($V194),$V194="DNA"),$V194,IF(OR(ISNUMBER($U194),$U194="DNA"),$U194,IF(OR(ISNUMBER($T194),$T194="DNA"),$T194,IF(OR(ISNUMBER($S194),$S194="DNA"),$S194,IF(OR(ISNUMBER($P194),$P194="DNA"),$P194,IF(OR(ISNUMBER($O194),$O194="DNA"),$O194,IF(OR(ISNUMBER($N194),$N194="DNA"),$N194,""))))))))))&lt;TODAY())),1,0)+ISNUMBER($Q194)*($Q194&lt;TODAY())+ISNUMBER($R194)*($R194&lt;TODAY())+ISNUMBER($AA194)*($AA194&lt;TODAY())+ISNUMBER($AB194)*($AB194&lt;TODAY()))</f>
        <v/>
      </c>
    </row>
    <row r="195">
      <c r="A195" s="25" t="n"/>
      <c r="B195" s="26" t="n"/>
      <c r="C195" s="27" t="n"/>
      <c r="D195" s="25" t="n"/>
      <c r="E195" s="25" t="n"/>
      <c r="F195" s="25" t="n"/>
      <c r="G195" s="25" t="n"/>
      <c r="H195" s="27" t="n"/>
      <c r="I195" s="25" t="n"/>
      <c r="J195" s="28">
        <f>IF(OR(NOT(AND($A195&lt;&gt;"",OR($I195="",$I195="Active"))),$H195=""),"",INT((TODAY()-$H195+280)/7)&amp;"+"&amp;MOD(TODAY()-$H195+280,7))</f>
        <v/>
      </c>
      <c r="K195" s="28">
        <f>IF(NOT(AND($A195&lt;&gt;"",OR($I195="",$I195="Active"))),"",ISNUMBER($N195)*($N195&gt;=TODAY())*($N195&lt;=TODAY()+7)+ISNUMBER($O195)*($O195&gt;=TODAY())*($O195&lt;=TODAY()+7)+ISNUMBER($P195)*($P195&gt;=TODAY())*($P195&lt;=TODAY()+7)+ISNUMBER($S195)*($S195&gt;=TODAY())*($S195&lt;=TODAY()+7)+ISNUMBER($T195)*($T195&gt;=TODAY())*($T195&lt;=TODAY()+7)+ISNUMBER($U195)*($U195&gt;=TODAY())*($U195&lt;=TODAY()+7)+ISNUMBER($V195)*($V195&gt;=TODAY())*($V195&lt;=TODAY()+7)+ISNUMBER($W195)*($W195&gt;=TODAY())*($W195&lt;=TODAY()+7)+ISNUMBER($X195)*($X195&gt;=TODAY())*($X195&lt;=TODAY()+7)+ISNUMBER($Y195)*($Y195&gt;=TODAY())*($Y195&lt;=TODAY()+7)+ISNUMBER($Q195)*($Q195&gt;=TODAY())*($Q195&lt;=TODAY()+7)+ISNUMBER($R195)*($R195&gt;=TODAY())*($R195&lt;=TODAY()+7)+ISNUMBER($AA195)*($AA195&gt;=TODAY())*($AA195&lt;=TODAY()+7)+ISNUMBER($AB195)*($AB195&gt;=TODAY())*($AB195&lt;=TODAY()+7))</f>
        <v/>
      </c>
      <c r="L195" s="28">
        <f>IF(NOT(AND($A195&lt;&gt;"",OR($I195="",$I195="Active"))),"",IF($M195&lt;&gt;"",IF($N195=$M195,"Booking",IF($O195=$M195,"16/40",IF($P195=$M195,"25/40",IF($S195=$M195,"28/40",IF($T195=$M195,"31/40",IF($U195=$M195,"34/40",IF($V195=$M195,"36/40",IF($W195=$M195,"38/40",IF($X195=$M195,"40/40",IF($Y195=$M195,"41/40","")))))))))),IF(IF(OR(ISNUMBER($Y195),$Y195="DNA"),$Y195,IF(OR(ISNUMBER($X195),$X195="DNA"),$X195,IF(OR(ISNUMBER($W195),$W195="DNA"),$W195,IF(OR(ISNUMBER($V195),$V195="DNA"),$V195,IF(OR(ISNUMBER($U195),$U195="DNA"),$U195,IF(OR(ISNUMBER($T195),$T195="DNA"),$T195,IF(OR(ISNUMBER($S195),$S195="DNA"),$S195,IF(OR(ISNUMBER($P195),$P195="DNA"),$P195,IF(OR(ISNUMBER($O195),$O195="DNA"),$O195,IF(OR(ISNUMBER($N195),$N195="DNA"),$N195,""))))))))))="DNA","Rebook DNA",IF(ISNUMBER(IF(OR(ISNUMBER($Y195),$Y195="DNA"),$Y195,IF(OR(ISNUMBER($X195),$X195="DNA"),$X195,IF(OR(ISNUMBER($W195),$W195="DNA"),$W195,IF(OR(ISNUMBER($V195),$V195="DNA"),$V195,IF(OR(ISNUMBER($U195),$U195="DNA"),$U195,IF(OR(ISNUMBER($T195),$T195="DNA"),$T195,IF(OR(ISNUMBER($S195),$S195="DNA"),$S195,IF(OR(ISNUMBER($P195),$P195="DNA"),$P195,IF(OR(ISNUMBER($O195),$O195="DNA"),$O195,IF(OR(ISNUMBER($N195),$N195="DNA"),$N195,""))))))))))),IF(ISNUMBER($Y195),"Update status","Missed/not booked?"),""))))</f>
        <v/>
      </c>
      <c r="M195" s="29">
        <f>IF(NOT(AND($A195&lt;&gt;"",OR($I195="",$I195="Active"))),"",IF(MIN(IF(AND(ISNUMBER($N195),$N195&gt;=TODAY()),$N195,99999),IF(AND(ISNUMBER($O195),$O195&gt;=TODAY()),$O195,99999),IF(AND(ISNUMBER($P195),$P195&gt;=TODAY()),$P195,99999),IF(AND(ISNUMBER($S195),$S195&gt;=TODAY()),$S195,99999),IF(AND(ISNUMBER($T195),$T195&gt;=TODAY()),$T195,99999),IF(AND(ISNUMBER($U195),$U195&gt;=TODAY()),$U195,99999),IF(AND(ISNUMBER($V195),$V195&gt;=TODAY()),$V195,99999),IF(AND(ISNUMBER($W195),$W195&gt;=TODAY()),$W195,99999),IF(AND(ISNUMBER($X195),$X195&gt;=TODAY()),$X195,99999),IF(AND(ISNUMBER($Y195),$Y195&gt;=TODAY()),$Y195,99999))=99999,"",MIN(IF(AND(ISNUMBER($N195),$N195&gt;=TODAY()),$N195,99999),IF(AND(ISNUMBER($O195),$O195&gt;=TODAY()),$O195,99999),IF(AND(ISNUMBER($P195),$P195&gt;=TODAY()),$P195,99999),IF(AND(ISNUMBER($S195),$S195&gt;=TODAY()),$S195,99999),IF(AND(ISNUMBER($T195),$T195&gt;=TODAY()),$T195,99999),IF(AND(ISNUMBER($U195),$U195&gt;=TODAY()),$U195,99999),IF(AND(ISNUMBER($V195),$V195&gt;=TODAY()),$V195,99999),IF(AND(ISNUMBER($W195),$W195&gt;=TODAY()),$W195,99999),IF(AND(ISNUMBER($X195),$X195&gt;=TODAY()),$X195,99999),IF(AND(ISNUMBER($Y195),$Y195&gt;=TODAY()),$Y195,99999))))</f>
        <v/>
      </c>
      <c r="N195" s="27" t="n"/>
      <c r="O195" s="27" t="n"/>
      <c r="P195" s="27" t="n"/>
      <c r="Q195" s="27" t="n"/>
      <c r="R195" s="27" t="n"/>
      <c r="S195" s="27" t="n"/>
      <c r="T195" s="27" t="n"/>
      <c r="U195" s="27" t="n"/>
      <c r="V195" s="27" t="n"/>
      <c r="W195" s="27" t="n"/>
      <c r="X195" s="27" t="n"/>
      <c r="Y195" s="27" t="n"/>
      <c r="Z195" s="27" t="n"/>
      <c r="AA195" s="27" t="n"/>
      <c r="AB195" s="27" t="n"/>
      <c r="AC195" s="30" t="n"/>
      <c r="AD195" s="25" t="n"/>
      <c r="AE195" s="28">
        <f>IF(NOT(AND($A195&lt;&gt;"",OR($I195="",$I195="Active"))),"",IF(OR(IF(OR(ISNUMBER($Y195),$Y195="DNA"),$Y195,IF(OR(ISNUMBER($X195),$X195="DNA"),$X195,IF(OR(ISNUMBER($W195),$W195="DNA"),$W195,IF(OR(ISNUMBER($V195),$V195="DNA"),$V195,IF(OR(ISNUMBER($U195),$U195="DNA"),$U195,IF(OR(ISNUMBER($T195),$T195="DNA"),$T195,IF(OR(ISNUMBER($S195),$S195="DNA"),$S195,IF(OR(ISNUMBER($P195),$P195="DNA"),$P195,IF(OR(ISNUMBER($O195),$O195="DNA"),$O195,IF(OR(ISNUMBER($N195),$N195="DNA"),$N195,""))))))))))="DNA",AND(ISNUMBER(IF(OR(ISNUMBER($Y195),$Y195="DNA"),$Y195,IF(OR(ISNUMBER($X195),$X195="DNA"),$X195,IF(OR(ISNUMBER($W195),$W195="DNA"),$W195,IF(OR(ISNUMBER($V195),$V195="DNA"),$V195,IF(OR(ISNUMBER($U195),$U195="DNA"),$U195,IF(OR(ISNUMBER($T195),$T195="DNA"),$T195,IF(OR(ISNUMBER($S195),$S195="DNA"),$S195,IF(OR(ISNUMBER($P195),$P195="DNA"),$P195,IF(OR(ISNUMBER($O195),$O195="DNA"),$O195,IF(OR(ISNUMBER($N195),$N195="DNA"),$N195,""))))))))))),IF(OR(ISNUMBER($Y195),$Y195="DNA"),$Y195,IF(OR(ISNUMBER($X195),$X195="DNA"),$X195,IF(OR(ISNUMBER($W195),$W195="DNA"),$W195,IF(OR(ISNUMBER($V195),$V195="DNA"),$V195,IF(OR(ISNUMBER($U195),$U195="DNA"),$U195,IF(OR(ISNUMBER($T195),$T195="DNA"),$T195,IF(OR(ISNUMBER($S195),$S195="DNA"),$S195,IF(OR(ISNUMBER($P195),$P195="DNA"),$P195,IF(OR(ISNUMBER($O195),$O195="DNA"),$O195,IF(OR(ISNUMBER($N195),$N195="DNA"),$N195,""))))))))))&lt;TODAY())),1,0)+ISNUMBER($Q195)*($Q195&lt;TODAY())+ISNUMBER($R195)*($R195&lt;TODAY())+ISNUMBER($AA195)*($AA195&lt;TODAY())+ISNUMBER($AB195)*($AB195&lt;TODAY()))</f>
        <v/>
      </c>
    </row>
    <row r="196">
      <c r="A196" s="25" t="n"/>
      <c r="B196" s="26" t="n"/>
      <c r="C196" s="27" t="n"/>
      <c r="D196" s="25" t="n"/>
      <c r="E196" s="25" t="n"/>
      <c r="F196" s="25" t="n"/>
      <c r="G196" s="25" t="n"/>
      <c r="H196" s="27" t="n"/>
      <c r="I196" s="25" t="n"/>
      <c r="J196" s="28">
        <f>IF(OR(NOT(AND($A196&lt;&gt;"",OR($I196="",$I196="Active"))),$H196=""),"",INT((TODAY()-$H196+280)/7)&amp;"+"&amp;MOD(TODAY()-$H196+280,7))</f>
        <v/>
      </c>
      <c r="K196" s="28">
        <f>IF(NOT(AND($A196&lt;&gt;"",OR($I196="",$I196="Active"))),"",ISNUMBER($N196)*($N196&gt;=TODAY())*($N196&lt;=TODAY()+7)+ISNUMBER($O196)*($O196&gt;=TODAY())*($O196&lt;=TODAY()+7)+ISNUMBER($P196)*($P196&gt;=TODAY())*($P196&lt;=TODAY()+7)+ISNUMBER($S196)*($S196&gt;=TODAY())*($S196&lt;=TODAY()+7)+ISNUMBER($T196)*($T196&gt;=TODAY())*($T196&lt;=TODAY()+7)+ISNUMBER($U196)*($U196&gt;=TODAY())*($U196&lt;=TODAY()+7)+ISNUMBER($V196)*($V196&gt;=TODAY())*($V196&lt;=TODAY()+7)+ISNUMBER($W196)*($W196&gt;=TODAY())*($W196&lt;=TODAY()+7)+ISNUMBER($X196)*($X196&gt;=TODAY())*($X196&lt;=TODAY()+7)+ISNUMBER($Y196)*($Y196&gt;=TODAY())*($Y196&lt;=TODAY()+7)+ISNUMBER($Q196)*($Q196&gt;=TODAY())*($Q196&lt;=TODAY()+7)+ISNUMBER($R196)*($R196&gt;=TODAY())*($R196&lt;=TODAY()+7)+ISNUMBER($AA196)*($AA196&gt;=TODAY())*($AA196&lt;=TODAY()+7)+ISNUMBER($AB196)*($AB196&gt;=TODAY())*($AB196&lt;=TODAY()+7))</f>
        <v/>
      </c>
      <c r="L196" s="28">
        <f>IF(NOT(AND($A196&lt;&gt;"",OR($I196="",$I196="Active"))),"",IF($M196&lt;&gt;"",IF($N196=$M196,"Booking",IF($O196=$M196,"16/40",IF($P196=$M196,"25/40",IF($S196=$M196,"28/40",IF($T196=$M196,"31/40",IF($U196=$M196,"34/40",IF($V196=$M196,"36/40",IF($W196=$M196,"38/40",IF($X196=$M196,"40/40",IF($Y196=$M196,"41/40","")))))))))),IF(IF(OR(ISNUMBER($Y196),$Y196="DNA"),$Y196,IF(OR(ISNUMBER($X196),$X196="DNA"),$X196,IF(OR(ISNUMBER($W196),$W196="DNA"),$W196,IF(OR(ISNUMBER($V196),$V196="DNA"),$V196,IF(OR(ISNUMBER($U196),$U196="DNA"),$U196,IF(OR(ISNUMBER($T196),$T196="DNA"),$T196,IF(OR(ISNUMBER($S196),$S196="DNA"),$S196,IF(OR(ISNUMBER($P196),$P196="DNA"),$P196,IF(OR(ISNUMBER($O196),$O196="DNA"),$O196,IF(OR(ISNUMBER($N196),$N196="DNA"),$N196,""))))))))))="DNA","Rebook DNA",IF(ISNUMBER(IF(OR(ISNUMBER($Y196),$Y196="DNA"),$Y196,IF(OR(ISNUMBER($X196),$X196="DNA"),$X196,IF(OR(ISNUMBER($W196),$W196="DNA"),$W196,IF(OR(ISNUMBER($V196),$V196="DNA"),$V196,IF(OR(ISNUMBER($U196),$U196="DNA"),$U196,IF(OR(ISNUMBER($T196),$T196="DNA"),$T196,IF(OR(ISNUMBER($S196),$S196="DNA"),$S196,IF(OR(ISNUMBER($P196),$P196="DNA"),$P196,IF(OR(ISNUMBER($O196),$O196="DNA"),$O196,IF(OR(ISNUMBER($N196),$N196="DNA"),$N196,""))))))))))),IF(ISNUMBER($Y196),"Update status","Missed/not booked?"),""))))</f>
        <v/>
      </c>
      <c r="M196" s="29">
        <f>IF(NOT(AND($A196&lt;&gt;"",OR($I196="",$I196="Active"))),"",IF(MIN(IF(AND(ISNUMBER($N196),$N196&gt;=TODAY()),$N196,99999),IF(AND(ISNUMBER($O196),$O196&gt;=TODAY()),$O196,99999),IF(AND(ISNUMBER($P196),$P196&gt;=TODAY()),$P196,99999),IF(AND(ISNUMBER($S196),$S196&gt;=TODAY()),$S196,99999),IF(AND(ISNUMBER($T196),$T196&gt;=TODAY()),$T196,99999),IF(AND(ISNUMBER($U196),$U196&gt;=TODAY()),$U196,99999),IF(AND(ISNUMBER($V196),$V196&gt;=TODAY()),$V196,99999),IF(AND(ISNUMBER($W196),$W196&gt;=TODAY()),$W196,99999),IF(AND(ISNUMBER($X196),$X196&gt;=TODAY()),$X196,99999),IF(AND(ISNUMBER($Y196),$Y196&gt;=TODAY()),$Y196,99999))=99999,"",MIN(IF(AND(ISNUMBER($N196),$N196&gt;=TODAY()),$N196,99999),IF(AND(ISNUMBER($O196),$O196&gt;=TODAY()),$O196,99999),IF(AND(ISNUMBER($P196),$P196&gt;=TODAY()),$P196,99999),IF(AND(ISNUMBER($S196),$S196&gt;=TODAY()),$S196,99999),IF(AND(ISNUMBER($T196),$T196&gt;=TODAY()),$T196,99999),IF(AND(ISNUMBER($U196),$U196&gt;=TODAY()),$U196,99999),IF(AND(ISNUMBER($V196),$V196&gt;=TODAY()),$V196,99999),IF(AND(ISNUMBER($W196),$W196&gt;=TODAY()),$W196,99999),IF(AND(ISNUMBER($X196),$X196&gt;=TODAY()),$X196,99999),IF(AND(ISNUMBER($Y196),$Y196&gt;=TODAY()),$Y196,99999))))</f>
        <v/>
      </c>
      <c r="N196" s="27" t="n"/>
      <c r="O196" s="27" t="n"/>
      <c r="P196" s="27" t="n"/>
      <c r="Q196" s="27" t="n"/>
      <c r="R196" s="27" t="n"/>
      <c r="S196" s="27" t="n"/>
      <c r="T196" s="27" t="n"/>
      <c r="U196" s="27" t="n"/>
      <c r="V196" s="27" t="n"/>
      <c r="W196" s="27" t="n"/>
      <c r="X196" s="27" t="n"/>
      <c r="Y196" s="27" t="n"/>
      <c r="Z196" s="27" t="n"/>
      <c r="AA196" s="27" t="n"/>
      <c r="AB196" s="27" t="n"/>
      <c r="AC196" s="30" t="n"/>
      <c r="AD196" s="25" t="n"/>
      <c r="AE196" s="28">
        <f>IF(NOT(AND($A196&lt;&gt;"",OR($I196="",$I196="Active"))),"",IF(OR(IF(OR(ISNUMBER($Y196),$Y196="DNA"),$Y196,IF(OR(ISNUMBER($X196),$X196="DNA"),$X196,IF(OR(ISNUMBER($W196),$W196="DNA"),$W196,IF(OR(ISNUMBER($V196),$V196="DNA"),$V196,IF(OR(ISNUMBER($U196),$U196="DNA"),$U196,IF(OR(ISNUMBER($T196),$T196="DNA"),$T196,IF(OR(ISNUMBER($S196),$S196="DNA"),$S196,IF(OR(ISNUMBER($P196),$P196="DNA"),$P196,IF(OR(ISNUMBER($O196),$O196="DNA"),$O196,IF(OR(ISNUMBER($N196),$N196="DNA"),$N196,""))))))))))="DNA",AND(ISNUMBER(IF(OR(ISNUMBER($Y196),$Y196="DNA"),$Y196,IF(OR(ISNUMBER($X196),$X196="DNA"),$X196,IF(OR(ISNUMBER($W196),$W196="DNA"),$W196,IF(OR(ISNUMBER($V196),$V196="DNA"),$V196,IF(OR(ISNUMBER($U196),$U196="DNA"),$U196,IF(OR(ISNUMBER($T196),$T196="DNA"),$T196,IF(OR(ISNUMBER($S196),$S196="DNA"),$S196,IF(OR(ISNUMBER($P196),$P196="DNA"),$P196,IF(OR(ISNUMBER($O196),$O196="DNA"),$O196,IF(OR(ISNUMBER($N196),$N196="DNA"),$N196,""))))))))))),IF(OR(ISNUMBER($Y196),$Y196="DNA"),$Y196,IF(OR(ISNUMBER($X196),$X196="DNA"),$X196,IF(OR(ISNUMBER($W196),$W196="DNA"),$W196,IF(OR(ISNUMBER($V196),$V196="DNA"),$V196,IF(OR(ISNUMBER($U196),$U196="DNA"),$U196,IF(OR(ISNUMBER($T196),$T196="DNA"),$T196,IF(OR(ISNUMBER($S196),$S196="DNA"),$S196,IF(OR(ISNUMBER($P196),$P196="DNA"),$P196,IF(OR(ISNUMBER($O196),$O196="DNA"),$O196,IF(OR(ISNUMBER($N196),$N196="DNA"),$N196,""))))))))))&lt;TODAY())),1,0)+ISNUMBER($Q196)*($Q196&lt;TODAY())+ISNUMBER($R196)*($R196&lt;TODAY())+ISNUMBER($AA196)*($AA196&lt;TODAY())+ISNUMBER($AB196)*($AB196&lt;TODAY()))</f>
        <v/>
      </c>
    </row>
    <row r="197">
      <c r="A197" s="25" t="n"/>
      <c r="B197" s="26" t="n"/>
      <c r="C197" s="27" t="n"/>
      <c r="D197" s="25" t="n"/>
      <c r="E197" s="25" t="n"/>
      <c r="F197" s="25" t="n"/>
      <c r="G197" s="25" t="n"/>
      <c r="H197" s="27" t="n"/>
      <c r="I197" s="25" t="n"/>
      <c r="J197" s="28">
        <f>IF(OR(NOT(AND($A197&lt;&gt;"",OR($I197="",$I197="Active"))),$H197=""),"",INT((TODAY()-$H197+280)/7)&amp;"+"&amp;MOD(TODAY()-$H197+280,7))</f>
        <v/>
      </c>
      <c r="K197" s="28">
        <f>IF(NOT(AND($A197&lt;&gt;"",OR($I197="",$I197="Active"))),"",ISNUMBER($N197)*($N197&gt;=TODAY())*($N197&lt;=TODAY()+7)+ISNUMBER($O197)*($O197&gt;=TODAY())*($O197&lt;=TODAY()+7)+ISNUMBER($P197)*($P197&gt;=TODAY())*($P197&lt;=TODAY()+7)+ISNUMBER($S197)*($S197&gt;=TODAY())*($S197&lt;=TODAY()+7)+ISNUMBER($T197)*($T197&gt;=TODAY())*($T197&lt;=TODAY()+7)+ISNUMBER($U197)*($U197&gt;=TODAY())*($U197&lt;=TODAY()+7)+ISNUMBER($V197)*($V197&gt;=TODAY())*($V197&lt;=TODAY()+7)+ISNUMBER($W197)*($W197&gt;=TODAY())*($W197&lt;=TODAY()+7)+ISNUMBER($X197)*($X197&gt;=TODAY())*($X197&lt;=TODAY()+7)+ISNUMBER($Y197)*($Y197&gt;=TODAY())*($Y197&lt;=TODAY()+7)+ISNUMBER($Q197)*($Q197&gt;=TODAY())*($Q197&lt;=TODAY()+7)+ISNUMBER($R197)*($R197&gt;=TODAY())*($R197&lt;=TODAY()+7)+ISNUMBER($AA197)*($AA197&gt;=TODAY())*($AA197&lt;=TODAY()+7)+ISNUMBER($AB197)*($AB197&gt;=TODAY())*($AB197&lt;=TODAY()+7))</f>
        <v/>
      </c>
      <c r="L197" s="28">
        <f>IF(NOT(AND($A197&lt;&gt;"",OR($I197="",$I197="Active"))),"",IF($M197&lt;&gt;"",IF($N197=$M197,"Booking",IF($O197=$M197,"16/40",IF($P197=$M197,"25/40",IF($S197=$M197,"28/40",IF($T197=$M197,"31/40",IF($U197=$M197,"34/40",IF($V197=$M197,"36/40",IF($W197=$M197,"38/40",IF($X197=$M197,"40/40",IF($Y197=$M197,"41/40","")))))))))),IF(IF(OR(ISNUMBER($Y197),$Y197="DNA"),$Y197,IF(OR(ISNUMBER($X197),$X197="DNA"),$X197,IF(OR(ISNUMBER($W197),$W197="DNA"),$W197,IF(OR(ISNUMBER($V197),$V197="DNA"),$V197,IF(OR(ISNUMBER($U197),$U197="DNA"),$U197,IF(OR(ISNUMBER($T197),$T197="DNA"),$T197,IF(OR(ISNUMBER($S197),$S197="DNA"),$S197,IF(OR(ISNUMBER($P197),$P197="DNA"),$P197,IF(OR(ISNUMBER($O197),$O197="DNA"),$O197,IF(OR(ISNUMBER($N197),$N197="DNA"),$N197,""))))))))))="DNA","Rebook DNA",IF(ISNUMBER(IF(OR(ISNUMBER($Y197),$Y197="DNA"),$Y197,IF(OR(ISNUMBER($X197),$X197="DNA"),$X197,IF(OR(ISNUMBER($W197),$W197="DNA"),$W197,IF(OR(ISNUMBER($V197),$V197="DNA"),$V197,IF(OR(ISNUMBER($U197),$U197="DNA"),$U197,IF(OR(ISNUMBER($T197),$T197="DNA"),$T197,IF(OR(ISNUMBER($S197),$S197="DNA"),$S197,IF(OR(ISNUMBER($P197),$P197="DNA"),$P197,IF(OR(ISNUMBER($O197),$O197="DNA"),$O197,IF(OR(ISNUMBER($N197),$N197="DNA"),$N197,""))))))))))),IF(ISNUMBER($Y197),"Update status","Missed/not booked?"),""))))</f>
        <v/>
      </c>
      <c r="M197" s="29">
        <f>IF(NOT(AND($A197&lt;&gt;"",OR($I197="",$I197="Active"))),"",IF(MIN(IF(AND(ISNUMBER($N197),$N197&gt;=TODAY()),$N197,99999),IF(AND(ISNUMBER($O197),$O197&gt;=TODAY()),$O197,99999),IF(AND(ISNUMBER($P197),$P197&gt;=TODAY()),$P197,99999),IF(AND(ISNUMBER($S197),$S197&gt;=TODAY()),$S197,99999),IF(AND(ISNUMBER($T197),$T197&gt;=TODAY()),$T197,99999),IF(AND(ISNUMBER($U197),$U197&gt;=TODAY()),$U197,99999),IF(AND(ISNUMBER($V197),$V197&gt;=TODAY()),$V197,99999),IF(AND(ISNUMBER($W197),$W197&gt;=TODAY()),$W197,99999),IF(AND(ISNUMBER($X197),$X197&gt;=TODAY()),$X197,99999),IF(AND(ISNUMBER($Y197),$Y197&gt;=TODAY()),$Y197,99999))=99999,"",MIN(IF(AND(ISNUMBER($N197),$N197&gt;=TODAY()),$N197,99999),IF(AND(ISNUMBER($O197),$O197&gt;=TODAY()),$O197,99999),IF(AND(ISNUMBER($P197),$P197&gt;=TODAY()),$P197,99999),IF(AND(ISNUMBER($S197),$S197&gt;=TODAY()),$S197,99999),IF(AND(ISNUMBER($T197),$T197&gt;=TODAY()),$T197,99999),IF(AND(ISNUMBER($U197),$U197&gt;=TODAY()),$U197,99999),IF(AND(ISNUMBER($V197),$V197&gt;=TODAY()),$V197,99999),IF(AND(ISNUMBER($W197),$W197&gt;=TODAY()),$W197,99999),IF(AND(ISNUMBER($X197),$X197&gt;=TODAY()),$X197,99999),IF(AND(ISNUMBER($Y197),$Y197&gt;=TODAY()),$Y197,99999))))</f>
        <v/>
      </c>
      <c r="N197" s="27" t="n"/>
      <c r="O197" s="27" t="n"/>
      <c r="P197" s="27" t="n"/>
      <c r="Q197" s="27" t="n"/>
      <c r="R197" s="27" t="n"/>
      <c r="S197" s="27" t="n"/>
      <c r="T197" s="27" t="n"/>
      <c r="U197" s="27" t="n"/>
      <c r="V197" s="27" t="n"/>
      <c r="W197" s="27" t="n"/>
      <c r="X197" s="27" t="n"/>
      <c r="Y197" s="27" t="n"/>
      <c r="Z197" s="27" t="n"/>
      <c r="AA197" s="27" t="n"/>
      <c r="AB197" s="27" t="n"/>
      <c r="AC197" s="30" t="n"/>
      <c r="AD197" s="25" t="n"/>
      <c r="AE197" s="28">
        <f>IF(NOT(AND($A197&lt;&gt;"",OR($I197="",$I197="Active"))),"",IF(OR(IF(OR(ISNUMBER($Y197),$Y197="DNA"),$Y197,IF(OR(ISNUMBER($X197),$X197="DNA"),$X197,IF(OR(ISNUMBER($W197),$W197="DNA"),$W197,IF(OR(ISNUMBER($V197),$V197="DNA"),$V197,IF(OR(ISNUMBER($U197),$U197="DNA"),$U197,IF(OR(ISNUMBER($T197),$T197="DNA"),$T197,IF(OR(ISNUMBER($S197),$S197="DNA"),$S197,IF(OR(ISNUMBER($P197),$P197="DNA"),$P197,IF(OR(ISNUMBER($O197),$O197="DNA"),$O197,IF(OR(ISNUMBER($N197),$N197="DNA"),$N197,""))))))))))="DNA",AND(ISNUMBER(IF(OR(ISNUMBER($Y197),$Y197="DNA"),$Y197,IF(OR(ISNUMBER($X197),$X197="DNA"),$X197,IF(OR(ISNUMBER($W197),$W197="DNA"),$W197,IF(OR(ISNUMBER($V197),$V197="DNA"),$V197,IF(OR(ISNUMBER($U197),$U197="DNA"),$U197,IF(OR(ISNUMBER($T197),$T197="DNA"),$T197,IF(OR(ISNUMBER($S197),$S197="DNA"),$S197,IF(OR(ISNUMBER($P197),$P197="DNA"),$P197,IF(OR(ISNUMBER($O197),$O197="DNA"),$O197,IF(OR(ISNUMBER($N197),$N197="DNA"),$N197,""))))))))))),IF(OR(ISNUMBER($Y197),$Y197="DNA"),$Y197,IF(OR(ISNUMBER($X197),$X197="DNA"),$X197,IF(OR(ISNUMBER($W197),$W197="DNA"),$W197,IF(OR(ISNUMBER($V197),$V197="DNA"),$V197,IF(OR(ISNUMBER($U197),$U197="DNA"),$U197,IF(OR(ISNUMBER($T197),$T197="DNA"),$T197,IF(OR(ISNUMBER($S197),$S197="DNA"),$S197,IF(OR(ISNUMBER($P197),$P197="DNA"),$P197,IF(OR(ISNUMBER($O197),$O197="DNA"),$O197,IF(OR(ISNUMBER($N197),$N197="DNA"),$N197,""))))))))))&lt;TODAY())),1,0)+ISNUMBER($Q197)*($Q197&lt;TODAY())+ISNUMBER($R197)*($R197&lt;TODAY())+ISNUMBER($AA197)*($AA197&lt;TODAY())+ISNUMBER($AB197)*($AB197&lt;TODAY()))</f>
        <v/>
      </c>
    </row>
    <row r="198">
      <c r="A198" s="25" t="n"/>
      <c r="B198" s="26" t="n"/>
      <c r="C198" s="27" t="n"/>
      <c r="D198" s="25" t="n"/>
      <c r="E198" s="25" t="n"/>
      <c r="F198" s="25" t="n"/>
      <c r="G198" s="25" t="n"/>
      <c r="H198" s="27" t="n"/>
      <c r="I198" s="25" t="n"/>
      <c r="J198" s="28">
        <f>IF(OR(NOT(AND($A198&lt;&gt;"",OR($I198="",$I198="Active"))),$H198=""),"",INT((TODAY()-$H198+280)/7)&amp;"+"&amp;MOD(TODAY()-$H198+280,7))</f>
        <v/>
      </c>
      <c r="K198" s="28">
        <f>IF(NOT(AND($A198&lt;&gt;"",OR($I198="",$I198="Active"))),"",ISNUMBER($N198)*($N198&gt;=TODAY())*($N198&lt;=TODAY()+7)+ISNUMBER($O198)*($O198&gt;=TODAY())*($O198&lt;=TODAY()+7)+ISNUMBER($P198)*($P198&gt;=TODAY())*($P198&lt;=TODAY()+7)+ISNUMBER($S198)*($S198&gt;=TODAY())*($S198&lt;=TODAY()+7)+ISNUMBER($T198)*($T198&gt;=TODAY())*($T198&lt;=TODAY()+7)+ISNUMBER($U198)*($U198&gt;=TODAY())*($U198&lt;=TODAY()+7)+ISNUMBER($V198)*($V198&gt;=TODAY())*($V198&lt;=TODAY()+7)+ISNUMBER($W198)*($W198&gt;=TODAY())*($W198&lt;=TODAY()+7)+ISNUMBER($X198)*($X198&gt;=TODAY())*($X198&lt;=TODAY()+7)+ISNUMBER($Y198)*($Y198&gt;=TODAY())*($Y198&lt;=TODAY()+7)+ISNUMBER($Q198)*($Q198&gt;=TODAY())*($Q198&lt;=TODAY()+7)+ISNUMBER($R198)*($R198&gt;=TODAY())*($R198&lt;=TODAY()+7)+ISNUMBER($AA198)*($AA198&gt;=TODAY())*($AA198&lt;=TODAY()+7)+ISNUMBER($AB198)*($AB198&gt;=TODAY())*($AB198&lt;=TODAY()+7))</f>
        <v/>
      </c>
      <c r="L198" s="28">
        <f>IF(NOT(AND($A198&lt;&gt;"",OR($I198="",$I198="Active"))),"",IF($M198&lt;&gt;"",IF($N198=$M198,"Booking",IF($O198=$M198,"16/40",IF($P198=$M198,"25/40",IF($S198=$M198,"28/40",IF($T198=$M198,"31/40",IF($U198=$M198,"34/40",IF($V198=$M198,"36/40",IF($W198=$M198,"38/40",IF($X198=$M198,"40/40",IF($Y198=$M198,"41/40","")))))))))),IF(IF(OR(ISNUMBER($Y198),$Y198="DNA"),$Y198,IF(OR(ISNUMBER($X198),$X198="DNA"),$X198,IF(OR(ISNUMBER($W198),$W198="DNA"),$W198,IF(OR(ISNUMBER($V198),$V198="DNA"),$V198,IF(OR(ISNUMBER($U198),$U198="DNA"),$U198,IF(OR(ISNUMBER($T198),$T198="DNA"),$T198,IF(OR(ISNUMBER($S198),$S198="DNA"),$S198,IF(OR(ISNUMBER($P198),$P198="DNA"),$P198,IF(OR(ISNUMBER($O198),$O198="DNA"),$O198,IF(OR(ISNUMBER($N198),$N198="DNA"),$N198,""))))))))))="DNA","Rebook DNA",IF(ISNUMBER(IF(OR(ISNUMBER($Y198),$Y198="DNA"),$Y198,IF(OR(ISNUMBER($X198),$X198="DNA"),$X198,IF(OR(ISNUMBER($W198),$W198="DNA"),$W198,IF(OR(ISNUMBER($V198),$V198="DNA"),$V198,IF(OR(ISNUMBER($U198),$U198="DNA"),$U198,IF(OR(ISNUMBER($T198),$T198="DNA"),$T198,IF(OR(ISNUMBER($S198),$S198="DNA"),$S198,IF(OR(ISNUMBER($P198),$P198="DNA"),$P198,IF(OR(ISNUMBER($O198),$O198="DNA"),$O198,IF(OR(ISNUMBER($N198),$N198="DNA"),$N198,""))))))))))),IF(ISNUMBER($Y198),"Update status","Missed/not booked?"),""))))</f>
        <v/>
      </c>
      <c r="M198" s="29">
        <f>IF(NOT(AND($A198&lt;&gt;"",OR($I198="",$I198="Active"))),"",IF(MIN(IF(AND(ISNUMBER($N198),$N198&gt;=TODAY()),$N198,99999),IF(AND(ISNUMBER($O198),$O198&gt;=TODAY()),$O198,99999),IF(AND(ISNUMBER($P198),$P198&gt;=TODAY()),$P198,99999),IF(AND(ISNUMBER($S198),$S198&gt;=TODAY()),$S198,99999),IF(AND(ISNUMBER($T198),$T198&gt;=TODAY()),$T198,99999),IF(AND(ISNUMBER($U198),$U198&gt;=TODAY()),$U198,99999),IF(AND(ISNUMBER($V198),$V198&gt;=TODAY()),$V198,99999),IF(AND(ISNUMBER($W198),$W198&gt;=TODAY()),$W198,99999),IF(AND(ISNUMBER($X198),$X198&gt;=TODAY()),$X198,99999),IF(AND(ISNUMBER($Y198),$Y198&gt;=TODAY()),$Y198,99999))=99999,"",MIN(IF(AND(ISNUMBER($N198),$N198&gt;=TODAY()),$N198,99999),IF(AND(ISNUMBER($O198),$O198&gt;=TODAY()),$O198,99999),IF(AND(ISNUMBER($P198),$P198&gt;=TODAY()),$P198,99999),IF(AND(ISNUMBER($S198),$S198&gt;=TODAY()),$S198,99999),IF(AND(ISNUMBER($T198),$T198&gt;=TODAY()),$T198,99999),IF(AND(ISNUMBER($U198),$U198&gt;=TODAY()),$U198,99999),IF(AND(ISNUMBER($V198),$V198&gt;=TODAY()),$V198,99999),IF(AND(ISNUMBER($W198),$W198&gt;=TODAY()),$W198,99999),IF(AND(ISNUMBER($X198),$X198&gt;=TODAY()),$X198,99999),IF(AND(ISNUMBER($Y198),$Y198&gt;=TODAY()),$Y198,99999))))</f>
        <v/>
      </c>
      <c r="N198" s="27" t="n"/>
      <c r="O198" s="27" t="n"/>
      <c r="P198" s="27" t="n"/>
      <c r="Q198" s="27" t="n"/>
      <c r="R198" s="27" t="n"/>
      <c r="S198" s="27" t="n"/>
      <c r="T198" s="27" t="n"/>
      <c r="U198" s="27" t="n"/>
      <c r="V198" s="27" t="n"/>
      <c r="W198" s="27" t="n"/>
      <c r="X198" s="27" t="n"/>
      <c r="Y198" s="27" t="n"/>
      <c r="Z198" s="27" t="n"/>
      <c r="AA198" s="27" t="n"/>
      <c r="AB198" s="27" t="n"/>
      <c r="AC198" s="30" t="n"/>
      <c r="AD198" s="25" t="n"/>
      <c r="AE198" s="28">
        <f>IF(NOT(AND($A198&lt;&gt;"",OR($I198="",$I198="Active"))),"",IF(OR(IF(OR(ISNUMBER($Y198),$Y198="DNA"),$Y198,IF(OR(ISNUMBER($X198),$X198="DNA"),$X198,IF(OR(ISNUMBER($W198),$W198="DNA"),$W198,IF(OR(ISNUMBER($V198),$V198="DNA"),$V198,IF(OR(ISNUMBER($U198),$U198="DNA"),$U198,IF(OR(ISNUMBER($T198),$T198="DNA"),$T198,IF(OR(ISNUMBER($S198),$S198="DNA"),$S198,IF(OR(ISNUMBER($P198),$P198="DNA"),$P198,IF(OR(ISNUMBER($O198),$O198="DNA"),$O198,IF(OR(ISNUMBER($N198),$N198="DNA"),$N198,""))))))))))="DNA",AND(ISNUMBER(IF(OR(ISNUMBER($Y198),$Y198="DNA"),$Y198,IF(OR(ISNUMBER($X198),$X198="DNA"),$X198,IF(OR(ISNUMBER($W198),$W198="DNA"),$W198,IF(OR(ISNUMBER($V198),$V198="DNA"),$V198,IF(OR(ISNUMBER($U198),$U198="DNA"),$U198,IF(OR(ISNUMBER($T198),$T198="DNA"),$T198,IF(OR(ISNUMBER($S198),$S198="DNA"),$S198,IF(OR(ISNUMBER($P198),$P198="DNA"),$P198,IF(OR(ISNUMBER($O198),$O198="DNA"),$O198,IF(OR(ISNUMBER($N198),$N198="DNA"),$N198,""))))))))))),IF(OR(ISNUMBER($Y198),$Y198="DNA"),$Y198,IF(OR(ISNUMBER($X198),$X198="DNA"),$X198,IF(OR(ISNUMBER($W198),$W198="DNA"),$W198,IF(OR(ISNUMBER($V198),$V198="DNA"),$V198,IF(OR(ISNUMBER($U198),$U198="DNA"),$U198,IF(OR(ISNUMBER($T198),$T198="DNA"),$T198,IF(OR(ISNUMBER($S198),$S198="DNA"),$S198,IF(OR(ISNUMBER($P198),$P198="DNA"),$P198,IF(OR(ISNUMBER($O198),$O198="DNA"),$O198,IF(OR(ISNUMBER($N198),$N198="DNA"),$N198,""))))))))))&lt;TODAY())),1,0)+ISNUMBER($Q198)*($Q198&lt;TODAY())+ISNUMBER($R198)*($R198&lt;TODAY())+ISNUMBER($AA198)*($AA198&lt;TODAY())+ISNUMBER($AB198)*($AB198&lt;TODAY()))</f>
        <v/>
      </c>
    </row>
    <row r="199">
      <c r="A199" s="25" t="n"/>
      <c r="B199" s="26" t="n"/>
      <c r="C199" s="27" t="n"/>
      <c r="D199" s="25" t="n"/>
      <c r="E199" s="25" t="n"/>
      <c r="F199" s="25" t="n"/>
      <c r="G199" s="25" t="n"/>
      <c r="H199" s="27" t="n"/>
      <c r="I199" s="25" t="n"/>
      <c r="J199" s="28">
        <f>IF(OR(NOT(AND($A199&lt;&gt;"",OR($I199="",$I199="Active"))),$H199=""),"",INT((TODAY()-$H199+280)/7)&amp;"+"&amp;MOD(TODAY()-$H199+280,7))</f>
        <v/>
      </c>
      <c r="K199" s="28">
        <f>IF(NOT(AND($A199&lt;&gt;"",OR($I199="",$I199="Active"))),"",ISNUMBER($N199)*($N199&gt;=TODAY())*($N199&lt;=TODAY()+7)+ISNUMBER($O199)*($O199&gt;=TODAY())*($O199&lt;=TODAY()+7)+ISNUMBER($P199)*($P199&gt;=TODAY())*($P199&lt;=TODAY()+7)+ISNUMBER($S199)*($S199&gt;=TODAY())*($S199&lt;=TODAY()+7)+ISNUMBER($T199)*($T199&gt;=TODAY())*($T199&lt;=TODAY()+7)+ISNUMBER($U199)*($U199&gt;=TODAY())*($U199&lt;=TODAY()+7)+ISNUMBER($V199)*($V199&gt;=TODAY())*($V199&lt;=TODAY()+7)+ISNUMBER($W199)*($W199&gt;=TODAY())*($W199&lt;=TODAY()+7)+ISNUMBER($X199)*($X199&gt;=TODAY())*($X199&lt;=TODAY()+7)+ISNUMBER($Y199)*($Y199&gt;=TODAY())*($Y199&lt;=TODAY()+7)+ISNUMBER($Q199)*($Q199&gt;=TODAY())*($Q199&lt;=TODAY()+7)+ISNUMBER($R199)*($R199&gt;=TODAY())*($R199&lt;=TODAY()+7)+ISNUMBER($AA199)*($AA199&gt;=TODAY())*($AA199&lt;=TODAY()+7)+ISNUMBER($AB199)*($AB199&gt;=TODAY())*($AB199&lt;=TODAY()+7))</f>
        <v/>
      </c>
      <c r="L199" s="28">
        <f>IF(NOT(AND($A199&lt;&gt;"",OR($I199="",$I199="Active"))),"",IF($M199&lt;&gt;"",IF($N199=$M199,"Booking",IF($O199=$M199,"16/40",IF($P199=$M199,"25/40",IF($S199=$M199,"28/40",IF($T199=$M199,"31/40",IF($U199=$M199,"34/40",IF($V199=$M199,"36/40",IF($W199=$M199,"38/40",IF($X199=$M199,"40/40",IF($Y199=$M199,"41/40","")))))))))),IF(IF(OR(ISNUMBER($Y199),$Y199="DNA"),$Y199,IF(OR(ISNUMBER($X199),$X199="DNA"),$X199,IF(OR(ISNUMBER($W199),$W199="DNA"),$W199,IF(OR(ISNUMBER($V199),$V199="DNA"),$V199,IF(OR(ISNUMBER($U199),$U199="DNA"),$U199,IF(OR(ISNUMBER($T199),$T199="DNA"),$T199,IF(OR(ISNUMBER($S199),$S199="DNA"),$S199,IF(OR(ISNUMBER($P199),$P199="DNA"),$P199,IF(OR(ISNUMBER($O199),$O199="DNA"),$O199,IF(OR(ISNUMBER($N199),$N199="DNA"),$N199,""))))))))))="DNA","Rebook DNA",IF(ISNUMBER(IF(OR(ISNUMBER($Y199),$Y199="DNA"),$Y199,IF(OR(ISNUMBER($X199),$X199="DNA"),$X199,IF(OR(ISNUMBER($W199),$W199="DNA"),$W199,IF(OR(ISNUMBER($V199),$V199="DNA"),$V199,IF(OR(ISNUMBER($U199),$U199="DNA"),$U199,IF(OR(ISNUMBER($T199),$T199="DNA"),$T199,IF(OR(ISNUMBER($S199),$S199="DNA"),$S199,IF(OR(ISNUMBER($P199),$P199="DNA"),$P199,IF(OR(ISNUMBER($O199),$O199="DNA"),$O199,IF(OR(ISNUMBER($N199),$N199="DNA"),$N199,""))))))))))),IF(ISNUMBER($Y199),"Update status","Missed/not booked?"),""))))</f>
        <v/>
      </c>
      <c r="M199" s="29">
        <f>IF(NOT(AND($A199&lt;&gt;"",OR($I199="",$I199="Active"))),"",IF(MIN(IF(AND(ISNUMBER($N199),$N199&gt;=TODAY()),$N199,99999),IF(AND(ISNUMBER($O199),$O199&gt;=TODAY()),$O199,99999),IF(AND(ISNUMBER($P199),$P199&gt;=TODAY()),$P199,99999),IF(AND(ISNUMBER($S199),$S199&gt;=TODAY()),$S199,99999),IF(AND(ISNUMBER($T199),$T199&gt;=TODAY()),$T199,99999),IF(AND(ISNUMBER($U199),$U199&gt;=TODAY()),$U199,99999),IF(AND(ISNUMBER($V199),$V199&gt;=TODAY()),$V199,99999),IF(AND(ISNUMBER($W199),$W199&gt;=TODAY()),$W199,99999),IF(AND(ISNUMBER($X199),$X199&gt;=TODAY()),$X199,99999),IF(AND(ISNUMBER($Y199),$Y199&gt;=TODAY()),$Y199,99999))=99999,"",MIN(IF(AND(ISNUMBER($N199),$N199&gt;=TODAY()),$N199,99999),IF(AND(ISNUMBER($O199),$O199&gt;=TODAY()),$O199,99999),IF(AND(ISNUMBER($P199),$P199&gt;=TODAY()),$P199,99999),IF(AND(ISNUMBER($S199),$S199&gt;=TODAY()),$S199,99999),IF(AND(ISNUMBER($T199),$T199&gt;=TODAY()),$T199,99999),IF(AND(ISNUMBER($U199),$U199&gt;=TODAY()),$U199,99999),IF(AND(ISNUMBER($V199),$V199&gt;=TODAY()),$V199,99999),IF(AND(ISNUMBER($W199),$W199&gt;=TODAY()),$W199,99999),IF(AND(ISNUMBER($X199),$X199&gt;=TODAY()),$X199,99999),IF(AND(ISNUMBER($Y199),$Y199&gt;=TODAY()),$Y199,99999))))</f>
        <v/>
      </c>
      <c r="N199" s="27" t="n"/>
      <c r="O199" s="27" t="n"/>
      <c r="P199" s="27" t="n"/>
      <c r="Q199" s="27" t="n"/>
      <c r="R199" s="27" t="n"/>
      <c r="S199" s="27" t="n"/>
      <c r="T199" s="27" t="n"/>
      <c r="U199" s="27" t="n"/>
      <c r="V199" s="27" t="n"/>
      <c r="W199" s="27" t="n"/>
      <c r="X199" s="27" t="n"/>
      <c r="Y199" s="27" t="n"/>
      <c r="Z199" s="27" t="n"/>
      <c r="AA199" s="27" t="n"/>
      <c r="AB199" s="27" t="n"/>
      <c r="AC199" s="30" t="n"/>
      <c r="AD199" s="25" t="n"/>
      <c r="AE199" s="28">
        <f>IF(NOT(AND($A199&lt;&gt;"",OR($I199="",$I199="Active"))),"",IF(OR(IF(OR(ISNUMBER($Y199),$Y199="DNA"),$Y199,IF(OR(ISNUMBER($X199),$X199="DNA"),$X199,IF(OR(ISNUMBER($W199),$W199="DNA"),$W199,IF(OR(ISNUMBER($V199),$V199="DNA"),$V199,IF(OR(ISNUMBER($U199),$U199="DNA"),$U199,IF(OR(ISNUMBER($T199),$T199="DNA"),$T199,IF(OR(ISNUMBER($S199),$S199="DNA"),$S199,IF(OR(ISNUMBER($P199),$P199="DNA"),$P199,IF(OR(ISNUMBER($O199),$O199="DNA"),$O199,IF(OR(ISNUMBER($N199),$N199="DNA"),$N199,""))))))))))="DNA",AND(ISNUMBER(IF(OR(ISNUMBER($Y199),$Y199="DNA"),$Y199,IF(OR(ISNUMBER($X199),$X199="DNA"),$X199,IF(OR(ISNUMBER($W199),$W199="DNA"),$W199,IF(OR(ISNUMBER($V199),$V199="DNA"),$V199,IF(OR(ISNUMBER($U199),$U199="DNA"),$U199,IF(OR(ISNUMBER($T199),$T199="DNA"),$T199,IF(OR(ISNUMBER($S199),$S199="DNA"),$S199,IF(OR(ISNUMBER($P199),$P199="DNA"),$P199,IF(OR(ISNUMBER($O199),$O199="DNA"),$O199,IF(OR(ISNUMBER($N199),$N199="DNA"),$N199,""))))))))))),IF(OR(ISNUMBER($Y199),$Y199="DNA"),$Y199,IF(OR(ISNUMBER($X199),$X199="DNA"),$X199,IF(OR(ISNUMBER($W199),$W199="DNA"),$W199,IF(OR(ISNUMBER($V199),$V199="DNA"),$V199,IF(OR(ISNUMBER($U199),$U199="DNA"),$U199,IF(OR(ISNUMBER($T199),$T199="DNA"),$T199,IF(OR(ISNUMBER($S199),$S199="DNA"),$S199,IF(OR(ISNUMBER($P199),$P199="DNA"),$P199,IF(OR(ISNUMBER($O199),$O199="DNA"),$O199,IF(OR(ISNUMBER($N199),$N199="DNA"),$N199,""))))))))))&lt;TODAY())),1,0)+ISNUMBER($Q199)*($Q199&lt;TODAY())+ISNUMBER($R199)*($R199&lt;TODAY())+ISNUMBER($AA199)*($AA199&lt;TODAY())+ISNUMBER($AB199)*($AB199&lt;TODAY()))</f>
        <v/>
      </c>
    </row>
    <row r="200">
      <c r="A200" s="25" t="n"/>
      <c r="B200" s="26" t="n"/>
      <c r="C200" s="27" t="n"/>
      <c r="D200" s="25" t="n"/>
      <c r="E200" s="25" t="n"/>
      <c r="F200" s="25" t="n"/>
      <c r="G200" s="25" t="n"/>
      <c r="H200" s="27" t="n"/>
      <c r="I200" s="25" t="n"/>
      <c r="J200" s="28">
        <f>IF(OR(NOT(AND($A200&lt;&gt;"",OR($I200="",$I200="Active"))),$H200=""),"",INT((TODAY()-$H200+280)/7)&amp;"+"&amp;MOD(TODAY()-$H200+280,7))</f>
        <v/>
      </c>
      <c r="K200" s="28">
        <f>IF(NOT(AND($A200&lt;&gt;"",OR($I200="",$I200="Active"))),"",ISNUMBER($N200)*($N200&gt;=TODAY())*($N200&lt;=TODAY()+7)+ISNUMBER($O200)*($O200&gt;=TODAY())*($O200&lt;=TODAY()+7)+ISNUMBER($P200)*($P200&gt;=TODAY())*($P200&lt;=TODAY()+7)+ISNUMBER($S200)*($S200&gt;=TODAY())*($S200&lt;=TODAY()+7)+ISNUMBER($T200)*($T200&gt;=TODAY())*($T200&lt;=TODAY()+7)+ISNUMBER($U200)*($U200&gt;=TODAY())*($U200&lt;=TODAY()+7)+ISNUMBER($V200)*($V200&gt;=TODAY())*($V200&lt;=TODAY()+7)+ISNUMBER($W200)*($W200&gt;=TODAY())*($W200&lt;=TODAY()+7)+ISNUMBER($X200)*($X200&gt;=TODAY())*($X200&lt;=TODAY()+7)+ISNUMBER($Y200)*($Y200&gt;=TODAY())*($Y200&lt;=TODAY()+7)+ISNUMBER($Q200)*($Q200&gt;=TODAY())*($Q200&lt;=TODAY()+7)+ISNUMBER($R200)*($R200&gt;=TODAY())*($R200&lt;=TODAY()+7)+ISNUMBER($AA200)*($AA200&gt;=TODAY())*($AA200&lt;=TODAY()+7)+ISNUMBER($AB200)*($AB200&gt;=TODAY())*($AB200&lt;=TODAY()+7))</f>
        <v/>
      </c>
      <c r="L200" s="28">
        <f>IF(NOT(AND($A200&lt;&gt;"",OR($I200="",$I200="Active"))),"",IF($M200&lt;&gt;"",IF($N200=$M200,"Booking",IF($O200=$M200,"16/40",IF($P200=$M200,"25/40",IF($S200=$M200,"28/40",IF($T200=$M200,"31/40",IF($U200=$M200,"34/40",IF($V200=$M200,"36/40",IF($W200=$M200,"38/40",IF($X200=$M200,"40/40",IF($Y200=$M200,"41/40","")))))))))),IF(IF(OR(ISNUMBER($Y200),$Y200="DNA"),$Y200,IF(OR(ISNUMBER($X200),$X200="DNA"),$X200,IF(OR(ISNUMBER($W200),$W200="DNA"),$W200,IF(OR(ISNUMBER($V200),$V200="DNA"),$V200,IF(OR(ISNUMBER($U200),$U200="DNA"),$U200,IF(OR(ISNUMBER($T200),$T200="DNA"),$T200,IF(OR(ISNUMBER($S200),$S200="DNA"),$S200,IF(OR(ISNUMBER($P200),$P200="DNA"),$P200,IF(OR(ISNUMBER($O200),$O200="DNA"),$O200,IF(OR(ISNUMBER($N200),$N200="DNA"),$N200,""))))))))))="DNA","Rebook DNA",IF(ISNUMBER(IF(OR(ISNUMBER($Y200),$Y200="DNA"),$Y200,IF(OR(ISNUMBER($X200),$X200="DNA"),$X200,IF(OR(ISNUMBER($W200),$W200="DNA"),$W200,IF(OR(ISNUMBER($V200),$V200="DNA"),$V200,IF(OR(ISNUMBER($U200),$U200="DNA"),$U200,IF(OR(ISNUMBER($T200),$T200="DNA"),$T200,IF(OR(ISNUMBER($S200),$S200="DNA"),$S200,IF(OR(ISNUMBER($P200),$P200="DNA"),$P200,IF(OR(ISNUMBER($O200),$O200="DNA"),$O200,IF(OR(ISNUMBER($N200),$N200="DNA"),$N200,""))))))))))),IF(ISNUMBER($Y200),"Update status","Missed/not booked?"),""))))</f>
        <v/>
      </c>
      <c r="M200" s="29">
        <f>IF(NOT(AND($A200&lt;&gt;"",OR($I200="",$I200="Active"))),"",IF(MIN(IF(AND(ISNUMBER($N200),$N200&gt;=TODAY()),$N200,99999),IF(AND(ISNUMBER($O200),$O200&gt;=TODAY()),$O200,99999),IF(AND(ISNUMBER($P200),$P200&gt;=TODAY()),$P200,99999),IF(AND(ISNUMBER($S200),$S200&gt;=TODAY()),$S200,99999),IF(AND(ISNUMBER($T200),$T200&gt;=TODAY()),$T200,99999),IF(AND(ISNUMBER($U200),$U200&gt;=TODAY()),$U200,99999),IF(AND(ISNUMBER($V200),$V200&gt;=TODAY()),$V200,99999),IF(AND(ISNUMBER($W200),$W200&gt;=TODAY()),$W200,99999),IF(AND(ISNUMBER($X200),$X200&gt;=TODAY()),$X200,99999),IF(AND(ISNUMBER($Y200),$Y200&gt;=TODAY()),$Y200,99999))=99999,"",MIN(IF(AND(ISNUMBER($N200),$N200&gt;=TODAY()),$N200,99999),IF(AND(ISNUMBER($O200),$O200&gt;=TODAY()),$O200,99999),IF(AND(ISNUMBER($P200),$P200&gt;=TODAY()),$P200,99999),IF(AND(ISNUMBER($S200),$S200&gt;=TODAY()),$S200,99999),IF(AND(ISNUMBER($T200),$T200&gt;=TODAY()),$T200,99999),IF(AND(ISNUMBER($U200),$U200&gt;=TODAY()),$U200,99999),IF(AND(ISNUMBER($V200),$V200&gt;=TODAY()),$V200,99999),IF(AND(ISNUMBER($W200),$W200&gt;=TODAY()),$W200,99999),IF(AND(ISNUMBER($X200),$X200&gt;=TODAY()),$X200,99999),IF(AND(ISNUMBER($Y200),$Y200&gt;=TODAY()),$Y200,99999))))</f>
        <v/>
      </c>
      <c r="N200" s="27" t="n"/>
      <c r="O200" s="27" t="n"/>
      <c r="P200" s="27" t="n"/>
      <c r="Q200" s="27" t="n"/>
      <c r="R200" s="27" t="n"/>
      <c r="S200" s="27" t="n"/>
      <c r="T200" s="27" t="n"/>
      <c r="U200" s="27" t="n"/>
      <c r="V200" s="27" t="n"/>
      <c r="W200" s="27" t="n"/>
      <c r="X200" s="27" t="n"/>
      <c r="Y200" s="27" t="n"/>
      <c r="Z200" s="27" t="n"/>
      <c r="AA200" s="27" t="n"/>
      <c r="AB200" s="27" t="n"/>
      <c r="AC200" s="30" t="n"/>
      <c r="AD200" s="25" t="n"/>
      <c r="AE200" s="28">
        <f>IF(NOT(AND($A200&lt;&gt;"",OR($I200="",$I200="Active"))),"",IF(OR(IF(OR(ISNUMBER($Y200),$Y200="DNA"),$Y200,IF(OR(ISNUMBER($X200),$X200="DNA"),$X200,IF(OR(ISNUMBER($W200),$W200="DNA"),$W200,IF(OR(ISNUMBER($V200),$V200="DNA"),$V200,IF(OR(ISNUMBER($U200),$U200="DNA"),$U200,IF(OR(ISNUMBER($T200),$T200="DNA"),$T200,IF(OR(ISNUMBER($S200),$S200="DNA"),$S200,IF(OR(ISNUMBER($P200),$P200="DNA"),$P200,IF(OR(ISNUMBER($O200),$O200="DNA"),$O200,IF(OR(ISNUMBER($N200),$N200="DNA"),$N200,""))))))))))="DNA",AND(ISNUMBER(IF(OR(ISNUMBER($Y200),$Y200="DNA"),$Y200,IF(OR(ISNUMBER($X200),$X200="DNA"),$X200,IF(OR(ISNUMBER($W200),$W200="DNA"),$W200,IF(OR(ISNUMBER($V200),$V200="DNA"),$V200,IF(OR(ISNUMBER($U200),$U200="DNA"),$U200,IF(OR(ISNUMBER($T200),$T200="DNA"),$T200,IF(OR(ISNUMBER($S200),$S200="DNA"),$S200,IF(OR(ISNUMBER($P200),$P200="DNA"),$P200,IF(OR(ISNUMBER($O200),$O200="DNA"),$O200,IF(OR(ISNUMBER($N200),$N200="DNA"),$N200,""))))))))))),IF(OR(ISNUMBER($Y200),$Y200="DNA"),$Y200,IF(OR(ISNUMBER($X200),$X200="DNA"),$X200,IF(OR(ISNUMBER($W200),$W200="DNA"),$W200,IF(OR(ISNUMBER($V200),$V200="DNA"),$V200,IF(OR(ISNUMBER($U200),$U200="DNA"),$U200,IF(OR(ISNUMBER($T200),$T200="DNA"),$T200,IF(OR(ISNUMBER($S200),$S200="DNA"),$S200,IF(OR(ISNUMBER($P200),$P200="DNA"),$P200,IF(OR(ISNUMBER($O200),$O200="DNA"),$O200,IF(OR(ISNUMBER($N200),$N200="DNA"),$N200,""))))))))))&lt;TODAY())),1,0)+ISNUMBER($Q200)*($Q200&lt;TODAY())+ISNUMBER($R200)*($R200&lt;TODAY())+ISNUMBER($AA200)*($AA200&lt;TODAY())+ISNUMBER($AB200)*($AB200&lt;TODAY()))</f>
        <v/>
      </c>
    </row>
    <row r="201">
      <c r="A201" s="25" t="n"/>
      <c r="B201" s="26" t="n"/>
      <c r="C201" s="27" t="n"/>
      <c r="D201" s="25" t="n"/>
      <c r="E201" s="25" t="n"/>
      <c r="F201" s="25" t="n"/>
      <c r="G201" s="25" t="n"/>
      <c r="H201" s="27" t="n"/>
      <c r="I201" s="25" t="n"/>
      <c r="J201" s="28">
        <f>IF(OR(NOT(AND($A201&lt;&gt;"",OR($I201="",$I201="Active"))),$H201=""),"",INT((TODAY()-$H201+280)/7)&amp;"+"&amp;MOD(TODAY()-$H201+280,7))</f>
        <v/>
      </c>
      <c r="K201" s="28">
        <f>IF(NOT(AND($A201&lt;&gt;"",OR($I201="",$I201="Active"))),"",ISNUMBER($N201)*($N201&gt;=TODAY())*($N201&lt;=TODAY()+7)+ISNUMBER($O201)*($O201&gt;=TODAY())*($O201&lt;=TODAY()+7)+ISNUMBER($P201)*($P201&gt;=TODAY())*($P201&lt;=TODAY()+7)+ISNUMBER($S201)*($S201&gt;=TODAY())*($S201&lt;=TODAY()+7)+ISNUMBER($T201)*($T201&gt;=TODAY())*($T201&lt;=TODAY()+7)+ISNUMBER($U201)*($U201&gt;=TODAY())*($U201&lt;=TODAY()+7)+ISNUMBER($V201)*($V201&gt;=TODAY())*($V201&lt;=TODAY()+7)+ISNUMBER($W201)*($W201&gt;=TODAY())*($W201&lt;=TODAY()+7)+ISNUMBER($X201)*($X201&gt;=TODAY())*($X201&lt;=TODAY()+7)+ISNUMBER($Y201)*($Y201&gt;=TODAY())*($Y201&lt;=TODAY()+7)+ISNUMBER($Q201)*($Q201&gt;=TODAY())*($Q201&lt;=TODAY()+7)+ISNUMBER($R201)*($R201&gt;=TODAY())*($R201&lt;=TODAY()+7)+ISNUMBER($AA201)*($AA201&gt;=TODAY())*($AA201&lt;=TODAY()+7)+ISNUMBER($AB201)*($AB201&gt;=TODAY())*($AB201&lt;=TODAY()+7))</f>
        <v/>
      </c>
      <c r="L201" s="28">
        <f>IF(NOT(AND($A201&lt;&gt;"",OR($I201="",$I201="Active"))),"",IF($M201&lt;&gt;"",IF($N201=$M201,"Booking",IF($O201=$M201,"16/40",IF($P201=$M201,"25/40",IF($S201=$M201,"28/40",IF($T201=$M201,"31/40",IF($U201=$M201,"34/40",IF($V201=$M201,"36/40",IF($W201=$M201,"38/40",IF($X201=$M201,"40/40",IF($Y201=$M201,"41/40","")))))))))),IF(IF(OR(ISNUMBER($Y201),$Y201="DNA"),$Y201,IF(OR(ISNUMBER($X201),$X201="DNA"),$X201,IF(OR(ISNUMBER($W201),$W201="DNA"),$W201,IF(OR(ISNUMBER($V201),$V201="DNA"),$V201,IF(OR(ISNUMBER($U201),$U201="DNA"),$U201,IF(OR(ISNUMBER($T201),$T201="DNA"),$T201,IF(OR(ISNUMBER($S201),$S201="DNA"),$S201,IF(OR(ISNUMBER($P201),$P201="DNA"),$P201,IF(OR(ISNUMBER($O201),$O201="DNA"),$O201,IF(OR(ISNUMBER($N201),$N201="DNA"),$N201,""))))))))))="DNA","Rebook DNA",IF(ISNUMBER(IF(OR(ISNUMBER($Y201),$Y201="DNA"),$Y201,IF(OR(ISNUMBER($X201),$X201="DNA"),$X201,IF(OR(ISNUMBER($W201),$W201="DNA"),$W201,IF(OR(ISNUMBER($V201),$V201="DNA"),$V201,IF(OR(ISNUMBER($U201),$U201="DNA"),$U201,IF(OR(ISNUMBER($T201),$T201="DNA"),$T201,IF(OR(ISNUMBER($S201),$S201="DNA"),$S201,IF(OR(ISNUMBER($P201),$P201="DNA"),$P201,IF(OR(ISNUMBER($O201),$O201="DNA"),$O201,IF(OR(ISNUMBER($N201),$N201="DNA"),$N201,""))))))))))),IF(ISNUMBER($Y201),"Update status","Missed/not booked?"),""))))</f>
        <v/>
      </c>
      <c r="M201" s="29">
        <f>IF(NOT(AND($A201&lt;&gt;"",OR($I201="",$I201="Active"))),"",IF(MIN(IF(AND(ISNUMBER($N201),$N201&gt;=TODAY()),$N201,99999),IF(AND(ISNUMBER($O201),$O201&gt;=TODAY()),$O201,99999),IF(AND(ISNUMBER($P201),$P201&gt;=TODAY()),$P201,99999),IF(AND(ISNUMBER($S201),$S201&gt;=TODAY()),$S201,99999),IF(AND(ISNUMBER($T201),$T201&gt;=TODAY()),$T201,99999),IF(AND(ISNUMBER($U201),$U201&gt;=TODAY()),$U201,99999),IF(AND(ISNUMBER($V201),$V201&gt;=TODAY()),$V201,99999),IF(AND(ISNUMBER($W201),$W201&gt;=TODAY()),$W201,99999),IF(AND(ISNUMBER($X201),$X201&gt;=TODAY()),$X201,99999),IF(AND(ISNUMBER($Y201),$Y201&gt;=TODAY()),$Y201,99999))=99999,"",MIN(IF(AND(ISNUMBER($N201),$N201&gt;=TODAY()),$N201,99999),IF(AND(ISNUMBER($O201),$O201&gt;=TODAY()),$O201,99999),IF(AND(ISNUMBER($P201),$P201&gt;=TODAY()),$P201,99999),IF(AND(ISNUMBER($S201),$S201&gt;=TODAY()),$S201,99999),IF(AND(ISNUMBER($T201),$T201&gt;=TODAY()),$T201,99999),IF(AND(ISNUMBER($U201),$U201&gt;=TODAY()),$U201,99999),IF(AND(ISNUMBER($V201),$V201&gt;=TODAY()),$V201,99999),IF(AND(ISNUMBER($W201),$W201&gt;=TODAY()),$W201,99999),IF(AND(ISNUMBER($X201),$X201&gt;=TODAY()),$X201,99999),IF(AND(ISNUMBER($Y201),$Y201&gt;=TODAY()),$Y201,99999))))</f>
        <v/>
      </c>
      <c r="N201" s="27" t="n"/>
      <c r="O201" s="27" t="n"/>
      <c r="P201" s="27" t="n"/>
      <c r="Q201" s="27" t="n"/>
      <c r="R201" s="27" t="n"/>
      <c r="S201" s="27" t="n"/>
      <c r="T201" s="27" t="n"/>
      <c r="U201" s="27" t="n"/>
      <c r="V201" s="27" t="n"/>
      <c r="W201" s="27" t="n"/>
      <c r="X201" s="27" t="n"/>
      <c r="Y201" s="27" t="n"/>
      <c r="Z201" s="27" t="n"/>
      <c r="AA201" s="27" t="n"/>
      <c r="AB201" s="27" t="n"/>
      <c r="AC201" s="30" t="n"/>
      <c r="AD201" s="25" t="n"/>
      <c r="AE201" s="28">
        <f>IF(NOT(AND($A201&lt;&gt;"",OR($I201="",$I201="Active"))),"",IF(OR(IF(OR(ISNUMBER($Y201),$Y201="DNA"),$Y201,IF(OR(ISNUMBER($X201),$X201="DNA"),$X201,IF(OR(ISNUMBER($W201),$W201="DNA"),$W201,IF(OR(ISNUMBER($V201),$V201="DNA"),$V201,IF(OR(ISNUMBER($U201),$U201="DNA"),$U201,IF(OR(ISNUMBER($T201),$T201="DNA"),$T201,IF(OR(ISNUMBER($S201),$S201="DNA"),$S201,IF(OR(ISNUMBER($P201),$P201="DNA"),$P201,IF(OR(ISNUMBER($O201),$O201="DNA"),$O201,IF(OR(ISNUMBER($N201),$N201="DNA"),$N201,""))))))))))="DNA",AND(ISNUMBER(IF(OR(ISNUMBER($Y201),$Y201="DNA"),$Y201,IF(OR(ISNUMBER($X201),$X201="DNA"),$X201,IF(OR(ISNUMBER($W201),$W201="DNA"),$W201,IF(OR(ISNUMBER($V201),$V201="DNA"),$V201,IF(OR(ISNUMBER($U201),$U201="DNA"),$U201,IF(OR(ISNUMBER($T201),$T201="DNA"),$T201,IF(OR(ISNUMBER($S201),$S201="DNA"),$S201,IF(OR(ISNUMBER($P201),$P201="DNA"),$P201,IF(OR(ISNUMBER($O201),$O201="DNA"),$O201,IF(OR(ISNUMBER($N201),$N201="DNA"),$N201,""))))))))))),IF(OR(ISNUMBER($Y201),$Y201="DNA"),$Y201,IF(OR(ISNUMBER($X201),$X201="DNA"),$X201,IF(OR(ISNUMBER($W201),$W201="DNA"),$W201,IF(OR(ISNUMBER($V201),$V201="DNA"),$V201,IF(OR(ISNUMBER($U201),$U201="DNA"),$U201,IF(OR(ISNUMBER($T201),$T201="DNA"),$T201,IF(OR(ISNUMBER($S201),$S201="DNA"),$S201,IF(OR(ISNUMBER($P201),$P201="DNA"),$P201,IF(OR(ISNUMBER($O201),$O201="DNA"),$O201,IF(OR(ISNUMBER($N201),$N201="DNA"),$N201,""))))))))))&lt;TODAY())),1,0)+ISNUMBER($Q201)*($Q201&lt;TODAY())+ISNUMBER($R201)*($R201&lt;TODAY())+ISNUMBER($AA201)*($AA201&lt;TODAY())+ISNUMBER($AB201)*($AB201&lt;TODAY()))</f>
        <v/>
      </c>
    </row>
    <row r="202">
      <c r="A202" s="25" t="n"/>
      <c r="B202" s="26" t="n"/>
      <c r="C202" s="27" t="n"/>
      <c r="D202" s="25" t="n"/>
      <c r="E202" s="25" t="n"/>
      <c r="F202" s="25" t="n"/>
      <c r="G202" s="25" t="n"/>
      <c r="H202" s="27" t="n"/>
      <c r="I202" s="25" t="n"/>
      <c r="J202" s="28">
        <f>IF(OR(NOT(AND($A202&lt;&gt;"",OR($I202="",$I202="Active"))),$H202=""),"",INT((TODAY()-$H202+280)/7)&amp;"+"&amp;MOD(TODAY()-$H202+280,7))</f>
        <v/>
      </c>
      <c r="K202" s="28">
        <f>IF(NOT(AND($A202&lt;&gt;"",OR($I202="",$I202="Active"))),"",ISNUMBER($N202)*($N202&gt;=TODAY())*($N202&lt;=TODAY()+7)+ISNUMBER($O202)*($O202&gt;=TODAY())*($O202&lt;=TODAY()+7)+ISNUMBER($P202)*($P202&gt;=TODAY())*($P202&lt;=TODAY()+7)+ISNUMBER($S202)*($S202&gt;=TODAY())*($S202&lt;=TODAY()+7)+ISNUMBER($T202)*($T202&gt;=TODAY())*($T202&lt;=TODAY()+7)+ISNUMBER($U202)*($U202&gt;=TODAY())*($U202&lt;=TODAY()+7)+ISNUMBER($V202)*($V202&gt;=TODAY())*($V202&lt;=TODAY()+7)+ISNUMBER($W202)*($W202&gt;=TODAY())*($W202&lt;=TODAY()+7)+ISNUMBER($X202)*($X202&gt;=TODAY())*($X202&lt;=TODAY()+7)+ISNUMBER($Y202)*($Y202&gt;=TODAY())*($Y202&lt;=TODAY()+7)+ISNUMBER($Q202)*($Q202&gt;=TODAY())*($Q202&lt;=TODAY()+7)+ISNUMBER($R202)*($R202&gt;=TODAY())*($R202&lt;=TODAY()+7)+ISNUMBER($AA202)*($AA202&gt;=TODAY())*($AA202&lt;=TODAY()+7)+ISNUMBER($AB202)*($AB202&gt;=TODAY())*($AB202&lt;=TODAY()+7))</f>
        <v/>
      </c>
      <c r="L202" s="28">
        <f>IF(NOT(AND($A202&lt;&gt;"",OR($I202="",$I202="Active"))),"",IF($M202&lt;&gt;"",IF($N202=$M202,"Booking",IF($O202=$M202,"16/40",IF($P202=$M202,"25/40",IF($S202=$M202,"28/40",IF($T202=$M202,"31/40",IF($U202=$M202,"34/40",IF($V202=$M202,"36/40",IF($W202=$M202,"38/40",IF($X202=$M202,"40/40",IF($Y202=$M202,"41/40","")))))))))),IF(IF(OR(ISNUMBER($Y202),$Y202="DNA"),$Y202,IF(OR(ISNUMBER($X202),$X202="DNA"),$X202,IF(OR(ISNUMBER($W202),$W202="DNA"),$W202,IF(OR(ISNUMBER($V202),$V202="DNA"),$V202,IF(OR(ISNUMBER($U202),$U202="DNA"),$U202,IF(OR(ISNUMBER($T202),$T202="DNA"),$T202,IF(OR(ISNUMBER($S202),$S202="DNA"),$S202,IF(OR(ISNUMBER($P202),$P202="DNA"),$P202,IF(OR(ISNUMBER($O202),$O202="DNA"),$O202,IF(OR(ISNUMBER($N202),$N202="DNA"),$N202,""))))))))))="DNA","Rebook DNA",IF(ISNUMBER(IF(OR(ISNUMBER($Y202),$Y202="DNA"),$Y202,IF(OR(ISNUMBER($X202),$X202="DNA"),$X202,IF(OR(ISNUMBER($W202),$W202="DNA"),$W202,IF(OR(ISNUMBER($V202),$V202="DNA"),$V202,IF(OR(ISNUMBER($U202),$U202="DNA"),$U202,IF(OR(ISNUMBER($T202),$T202="DNA"),$T202,IF(OR(ISNUMBER($S202),$S202="DNA"),$S202,IF(OR(ISNUMBER($P202),$P202="DNA"),$P202,IF(OR(ISNUMBER($O202),$O202="DNA"),$O202,IF(OR(ISNUMBER($N202),$N202="DNA"),$N202,""))))))))))),IF(ISNUMBER($Y202),"Update status","Missed/not booked?"),""))))</f>
        <v/>
      </c>
      <c r="M202" s="29">
        <f>IF(NOT(AND($A202&lt;&gt;"",OR($I202="",$I202="Active"))),"",IF(MIN(IF(AND(ISNUMBER($N202),$N202&gt;=TODAY()),$N202,99999),IF(AND(ISNUMBER($O202),$O202&gt;=TODAY()),$O202,99999),IF(AND(ISNUMBER($P202),$P202&gt;=TODAY()),$P202,99999),IF(AND(ISNUMBER($S202),$S202&gt;=TODAY()),$S202,99999),IF(AND(ISNUMBER($T202),$T202&gt;=TODAY()),$T202,99999),IF(AND(ISNUMBER($U202),$U202&gt;=TODAY()),$U202,99999),IF(AND(ISNUMBER($V202),$V202&gt;=TODAY()),$V202,99999),IF(AND(ISNUMBER($W202),$W202&gt;=TODAY()),$W202,99999),IF(AND(ISNUMBER($X202),$X202&gt;=TODAY()),$X202,99999),IF(AND(ISNUMBER($Y202),$Y202&gt;=TODAY()),$Y202,99999))=99999,"",MIN(IF(AND(ISNUMBER($N202),$N202&gt;=TODAY()),$N202,99999),IF(AND(ISNUMBER($O202),$O202&gt;=TODAY()),$O202,99999),IF(AND(ISNUMBER($P202),$P202&gt;=TODAY()),$P202,99999),IF(AND(ISNUMBER($S202),$S202&gt;=TODAY()),$S202,99999),IF(AND(ISNUMBER($T202),$T202&gt;=TODAY()),$T202,99999),IF(AND(ISNUMBER($U202),$U202&gt;=TODAY()),$U202,99999),IF(AND(ISNUMBER($V202),$V202&gt;=TODAY()),$V202,99999),IF(AND(ISNUMBER($W202),$W202&gt;=TODAY()),$W202,99999),IF(AND(ISNUMBER($X202),$X202&gt;=TODAY()),$X202,99999),IF(AND(ISNUMBER($Y202),$Y202&gt;=TODAY()),$Y202,99999))))</f>
        <v/>
      </c>
      <c r="N202" s="27" t="n"/>
      <c r="O202" s="27" t="n"/>
      <c r="P202" s="27" t="n"/>
      <c r="Q202" s="27" t="n"/>
      <c r="R202" s="27" t="n"/>
      <c r="S202" s="27" t="n"/>
      <c r="T202" s="27" t="n"/>
      <c r="U202" s="27" t="n"/>
      <c r="V202" s="27" t="n"/>
      <c r="W202" s="27" t="n"/>
      <c r="X202" s="27" t="n"/>
      <c r="Y202" s="27" t="n"/>
      <c r="Z202" s="27" t="n"/>
      <c r="AA202" s="27" t="n"/>
      <c r="AB202" s="27" t="n"/>
      <c r="AC202" s="30" t="n"/>
      <c r="AD202" s="25" t="n"/>
      <c r="AE202" s="28">
        <f>IF(NOT(AND($A202&lt;&gt;"",OR($I202="",$I202="Active"))),"",IF(OR(IF(OR(ISNUMBER($Y202),$Y202="DNA"),$Y202,IF(OR(ISNUMBER($X202),$X202="DNA"),$X202,IF(OR(ISNUMBER($W202),$W202="DNA"),$W202,IF(OR(ISNUMBER($V202),$V202="DNA"),$V202,IF(OR(ISNUMBER($U202),$U202="DNA"),$U202,IF(OR(ISNUMBER($T202),$T202="DNA"),$T202,IF(OR(ISNUMBER($S202),$S202="DNA"),$S202,IF(OR(ISNUMBER($P202),$P202="DNA"),$P202,IF(OR(ISNUMBER($O202),$O202="DNA"),$O202,IF(OR(ISNUMBER($N202),$N202="DNA"),$N202,""))))))))))="DNA",AND(ISNUMBER(IF(OR(ISNUMBER($Y202),$Y202="DNA"),$Y202,IF(OR(ISNUMBER($X202),$X202="DNA"),$X202,IF(OR(ISNUMBER($W202),$W202="DNA"),$W202,IF(OR(ISNUMBER($V202),$V202="DNA"),$V202,IF(OR(ISNUMBER($U202),$U202="DNA"),$U202,IF(OR(ISNUMBER($T202),$T202="DNA"),$T202,IF(OR(ISNUMBER($S202),$S202="DNA"),$S202,IF(OR(ISNUMBER($P202),$P202="DNA"),$P202,IF(OR(ISNUMBER($O202),$O202="DNA"),$O202,IF(OR(ISNUMBER($N202),$N202="DNA"),$N202,""))))))))))),IF(OR(ISNUMBER($Y202),$Y202="DNA"),$Y202,IF(OR(ISNUMBER($X202),$X202="DNA"),$X202,IF(OR(ISNUMBER($W202),$W202="DNA"),$W202,IF(OR(ISNUMBER($V202),$V202="DNA"),$V202,IF(OR(ISNUMBER($U202),$U202="DNA"),$U202,IF(OR(ISNUMBER($T202),$T202="DNA"),$T202,IF(OR(ISNUMBER($S202),$S202="DNA"),$S202,IF(OR(ISNUMBER($P202),$P202="DNA"),$P202,IF(OR(ISNUMBER($O202),$O202="DNA"),$O202,IF(OR(ISNUMBER($N202),$N202="DNA"),$N202,""))))))))))&lt;TODAY())),1,0)+ISNUMBER($Q202)*($Q202&lt;TODAY())+ISNUMBER($R202)*($R202&lt;TODAY())+ISNUMBER($AA202)*($AA202&lt;TODAY())+ISNUMBER($AB202)*($AB202&lt;TODAY()))</f>
        <v/>
      </c>
    </row>
    <row r="203">
      <c r="A203" s="25" t="n"/>
      <c r="B203" s="26" t="n"/>
      <c r="C203" s="27" t="n"/>
      <c r="D203" s="25" t="n"/>
      <c r="E203" s="25" t="n"/>
      <c r="F203" s="25" t="n"/>
      <c r="G203" s="25" t="n"/>
      <c r="H203" s="27" t="n"/>
      <c r="I203" s="25" t="n"/>
      <c r="J203" s="28">
        <f>IF(OR(NOT(AND($A203&lt;&gt;"",OR($I203="",$I203="Active"))),$H203=""),"",INT((TODAY()-$H203+280)/7)&amp;"+"&amp;MOD(TODAY()-$H203+280,7))</f>
        <v/>
      </c>
      <c r="K203" s="28">
        <f>IF(NOT(AND($A203&lt;&gt;"",OR($I203="",$I203="Active"))),"",ISNUMBER($N203)*($N203&gt;=TODAY())*($N203&lt;=TODAY()+7)+ISNUMBER($O203)*($O203&gt;=TODAY())*($O203&lt;=TODAY()+7)+ISNUMBER($P203)*($P203&gt;=TODAY())*($P203&lt;=TODAY()+7)+ISNUMBER($S203)*($S203&gt;=TODAY())*($S203&lt;=TODAY()+7)+ISNUMBER($T203)*($T203&gt;=TODAY())*($T203&lt;=TODAY()+7)+ISNUMBER($U203)*($U203&gt;=TODAY())*($U203&lt;=TODAY()+7)+ISNUMBER($V203)*($V203&gt;=TODAY())*($V203&lt;=TODAY()+7)+ISNUMBER($W203)*($W203&gt;=TODAY())*($W203&lt;=TODAY()+7)+ISNUMBER($X203)*($X203&gt;=TODAY())*($X203&lt;=TODAY()+7)+ISNUMBER($Y203)*($Y203&gt;=TODAY())*($Y203&lt;=TODAY()+7)+ISNUMBER($Q203)*($Q203&gt;=TODAY())*($Q203&lt;=TODAY()+7)+ISNUMBER($R203)*($R203&gt;=TODAY())*($R203&lt;=TODAY()+7)+ISNUMBER($AA203)*($AA203&gt;=TODAY())*($AA203&lt;=TODAY()+7)+ISNUMBER($AB203)*($AB203&gt;=TODAY())*($AB203&lt;=TODAY()+7))</f>
        <v/>
      </c>
      <c r="L203" s="28">
        <f>IF(NOT(AND($A203&lt;&gt;"",OR($I203="",$I203="Active"))),"",IF($M203&lt;&gt;"",IF($N203=$M203,"Booking",IF($O203=$M203,"16/40",IF($P203=$M203,"25/40",IF($S203=$M203,"28/40",IF($T203=$M203,"31/40",IF($U203=$M203,"34/40",IF($V203=$M203,"36/40",IF($W203=$M203,"38/40",IF($X203=$M203,"40/40",IF($Y203=$M203,"41/40","")))))))))),IF(IF(OR(ISNUMBER($Y203),$Y203="DNA"),$Y203,IF(OR(ISNUMBER($X203),$X203="DNA"),$X203,IF(OR(ISNUMBER($W203),$W203="DNA"),$W203,IF(OR(ISNUMBER($V203),$V203="DNA"),$V203,IF(OR(ISNUMBER($U203),$U203="DNA"),$U203,IF(OR(ISNUMBER($T203),$T203="DNA"),$T203,IF(OR(ISNUMBER($S203),$S203="DNA"),$S203,IF(OR(ISNUMBER($P203),$P203="DNA"),$P203,IF(OR(ISNUMBER($O203),$O203="DNA"),$O203,IF(OR(ISNUMBER($N203),$N203="DNA"),$N203,""))))))))))="DNA","Rebook DNA",IF(ISNUMBER(IF(OR(ISNUMBER($Y203),$Y203="DNA"),$Y203,IF(OR(ISNUMBER($X203),$X203="DNA"),$X203,IF(OR(ISNUMBER($W203),$W203="DNA"),$W203,IF(OR(ISNUMBER($V203),$V203="DNA"),$V203,IF(OR(ISNUMBER($U203),$U203="DNA"),$U203,IF(OR(ISNUMBER($T203),$T203="DNA"),$T203,IF(OR(ISNUMBER($S203),$S203="DNA"),$S203,IF(OR(ISNUMBER($P203),$P203="DNA"),$P203,IF(OR(ISNUMBER($O203),$O203="DNA"),$O203,IF(OR(ISNUMBER($N203),$N203="DNA"),$N203,""))))))))))),IF(ISNUMBER($Y203),"Update status","Missed/not booked?"),""))))</f>
        <v/>
      </c>
      <c r="M203" s="29">
        <f>IF(NOT(AND($A203&lt;&gt;"",OR($I203="",$I203="Active"))),"",IF(MIN(IF(AND(ISNUMBER($N203),$N203&gt;=TODAY()),$N203,99999),IF(AND(ISNUMBER($O203),$O203&gt;=TODAY()),$O203,99999),IF(AND(ISNUMBER($P203),$P203&gt;=TODAY()),$P203,99999),IF(AND(ISNUMBER($S203),$S203&gt;=TODAY()),$S203,99999),IF(AND(ISNUMBER($T203),$T203&gt;=TODAY()),$T203,99999),IF(AND(ISNUMBER($U203),$U203&gt;=TODAY()),$U203,99999),IF(AND(ISNUMBER($V203),$V203&gt;=TODAY()),$V203,99999),IF(AND(ISNUMBER($W203),$W203&gt;=TODAY()),$W203,99999),IF(AND(ISNUMBER($X203),$X203&gt;=TODAY()),$X203,99999),IF(AND(ISNUMBER($Y203),$Y203&gt;=TODAY()),$Y203,99999))=99999,"",MIN(IF(AND(ISNUMBER($N203),$N203&gt;=TODAY()),$N203,99999),IF(AND(ISNUMBER($O203),$O203&gt;=TODAY()),$O203,99999),IF(AND(ISNUMBER($P203),$P203&gt;=TODAY()),$P203,99999),IF(AND(ISNUMBER($S203),$S203&gt;=TODAY()),$S203,99999),IF(AND(ISNUMBER($T203),$T203&gt;=TODAY()),$T203,99999),IF(AND(ISNUMBER($U203),$U203&gt;=TODAY()),$U203,99999),IF(AND(ISNUMBER($V203),$V203&gt;=TODAY()),$V203,99999),IF(AND(ISNUMBER($W203),$W203&gt;=TODAY()),$W203,99999),IF(AND(ISNUMBER($X203),$X203&gt;=TODAY()),$X203,99999),IF(AND(ISNUMBER($Y203),$Y203&gt;=TODAY()),$Y203,99999))))</f>
        <v/>
      </c>
      <c r="N203" s="27" t="n"/>
      <c r="O203" s="27" t="n"/>
      <c r="P203" s="27" t="n"/>
      <c r="Q203" s="27" t="n"/>
      <c r="R203" s="27" t="n"/>
      <c r="S203" s="27" t="n"/>
      <c r="T203" s="27" t="n"/>
      <c r="U203" s="27" t="n"/>
      <c r="V203" s="27" t="n"/>
      <c r="W203" s="27" t="n"/>
      <c r="X203" s="27" t="n"/>
      <c r="Y203" s="27" t="n"/>
      <c r="Z203" s="27" t="n"/>
      <c r="AA203" s="27" t="n"/>
      <c r="AB203" s="27" t="n"/>
      <c r="AC203" s="30" t="n"/>
      <c r="AD203" s="25" t="n"/>
      <c r="AE203" s="28">
        <f>IF(NOT(AND($A203&lt;&gt;"",OR($I203="",$I203="Active"))),"",IF(OR(IF(OR(ISNUMBER($Y203),$Y203="DNA"),$Y203,IF(OR(ISNUMBER($X203),$X203="DNA"),$X203,IF(OR(ISNUMBER($W203),$W203="DNA"),$W203,IF(OR(ISNUMBER($V203),$V203="DNA"),$V203,IF(OR(ISNUMBER($U203),$U203="DNA"),$U203,IF(OR(ISNUMBER($T203),$T203="DNA"),$T203,IF(OR(ISNUMBER($S203),$S203="DNA"),$S203,IF(OR(ISNUMBER($P203),$P203="DNA"),$P203,IF(OR(ISNUMBER($O203),$O203="DNA"),$O203,IF(OR(ISNUMBER($N203),$N203="DNA"),$N203,""))))))))))="DNA",AND(ISNUMBER(IF(OR(ISNUMBER($Y203),$Y203="DNA"),$Y203,IF(OR(ISNUMBER($X203),$X203="DNA"),$X203,IF(OR(ISNUMBER($W203),$W203="DNA"),$W203,IF(OR(ISNUMBER($V203),$V203="DNA"),$V203,IF(OR(ISNUMBER($U203),$U203="DNA"),$U203,IF(OR(ISNUMBER($T203),$T203="DNA"),$T203,IF(OR(ISNUMBER($S203),$S203="DNA"),$S203,IF(OR(ISNUMBER($P203),$P203="DNA"),$P203,IF(OR(ISNUMBER($O203),$O203="DNA"),$O203,IF(OR(ISNUMBER($N203),$N203="DNA"),$N203,""))))))))))),IF(OR(ISNUMBER($Y203),$Y203="DNA"),$Y203,IF(OR(ISNUMBER($X203),$X203="DNA"),$X203,IF(OR(ISNUMBER($W203),$W203="DNA"),$W203,IF(OR(ISNUMBER($V203),$V203="DNA"),$V203,IF(OR(ISNUMBER($U203),$U203="DNA"),$U203,IF(OR(ISNUMBER($T203),$T203="DNA"),$T203,IF(OR(ISNUMBER($S203),$S203="DNA"),$S203,IF(OR(ISNUMBER($P203),$P203="DNA"),$P203,IF(OR(ISNUMBER($O203),$O203="DNA"),$O203,IF(OR(ISNUMBER($N203),$N203="DNA"),$N203,""))))))))))&lt;TODAY())),1,0)+ISNUMBER($Q203)*($Q203&lt;TODAY())+ISNUMBER($R203)*($R203&lt;TODAY())+ISNUMBER($AA203)*($AA203&lt;TODAY())+ISNUMBER($AB203)*($AB203&lt;TODAY()))</f>
        <v/>
      </c>
    </row>
    <row r="204">
      <c r="A204" s="25" t="n"/>
      <c r="B204" s="26" t="n"/>
      <c r="C204" s="27" t="n"/>
      <c r="D204" s="25" t="n"/>
      <c r="E204" s="25" t="n"/>
      <c r="F204" s="25" t="n"/>
      <c r="G204" s="25" t="n"/>
      <c r="H204" s="27" t="n"/>
      <c r="I204" s="25" t="n"/>
      <c r="J204" s="28">
        <f>IF(OR(NOT(AND($A204&lt;&gt;"",OR($I204="",$I204="Active"))),$H204=""),"",INT((TODAY()-$H204+280)/7)&amp;"+"&amp;MOD(TODAY()-$H204+280,7))</f>
        <v/>
      </c>
      <c r="K204" s="28">
        <f>IF(NOT(AND($A204&lt;&gt;"",OR($I204="",$I204="Active"))),"",ISNUMBER($N204)*($N204&gt;=TODAY())*($N204&lt;=TODAY()+7)+ISNUMBER($O204)*($O204&gt;=TODAY())*($O204&lt;=TODAY()+7)+ISNUMBER($P204)*($P204&gt;=TODAY())*($P204&lt;=TODAY()+7)+ISNUMBER($S204)*($S204&gt;=TODAY())*($S204&lt;=TODAY()+7)+ISNUMBER($T204)*($T204&gt;=TODAY())*($T204&lt;=TODAY()+7)+ISNUMBER($U204)*($U204&gt;=TODAY())*($U204&lt;=TODAY()+7)+ISNUMBER($V204)*($V204&gt;=TODAY())*($V204&lt;=TODAY()+7)+ISNUMBER($W204)*($W204&gt;=TODAY())*($W204&lt;=TODAY()+7)+ISNUMBER($X204)*($X204&gt;=TODAY())*($X204&lt;=TODAY()+7)+ISNUMBER($Y204)*($Y204&gt;=TODAY())*($Y204&lt;=TODAY()+7)+ISNUMBER($Q204)*($Q204&gt;=TODAY())*($Q204&lt;=TODAY()+7)+ISNUMBER($R204)*($R204&gt;=TODAY())*($R204&lt;=TODAY()+7)+ISNUMBER($AA204)*($AA204&gt;=TODAY())*($AA204&lt;=TODAY()+7)+ISNUMBER($AB204)*($AB204&gt;=TODAY())*($AB204&lt;=TODAY()+7))</f>
        <v/>
      </c>
      <c r="L204" s="28">
        <f>IF(NOT(AND($A204&lt;&gt;"",OR($I204="",$I204="Active"))),"",IF($M204&lt;&gt;"",IF($N204=$M204,"Booking",IF($O204=$M204,"16/40",IF($P204=$M204,"25/40",IF($S204=$M204,"28/40",IF($T204=$M204,"31/40",IF($U204=$M204,"34/40",IF($V204=$M204,"36/40",IF($W204=$M204,"38/40",IF($X204=$M204,"40/40",IF($Y204=$M204,"41/40","")))))))))),IF(IF(OR(ISNUMBER($Y204),$Y204="DNA"),$Y204,IF(OR(ISNUMBER($X204),$X204="DNA"),$X204,IF(OR(ISNUMBER($W204),$W204="DNA"),$W204,IF(OR(ISNUMBER($V204),$V204="DNA"),$V204,IF(OR(ISNUMBER($U204),$U204="DNA"),$U204,IF(OR(ISNUMBER($T204),$T204="DNA"),$T204,IF(OR(ISNUMBER($S204),$S204="DNA"),$S204,IF(OR(ISNUMBER($P204),$P204="DNA"),$P204,IF(OR(ISNUMBER($O204),$O204="DNA"),$O204,IF(OR(ISNUMBER($N204),$N204="DNA"),$N204,""))))))))))="DNA","Rebook DNA",IF(ISNUMBER(IF(OR(ISNUMBER($Y204),$Y204="DNA"),$Y204,IF(OR(ISNUMBER($X204),$X204="DNA"),$X204,IF(OR(ISNUMBER($W204),$W204="DNA"),$W204,IF(OR(ISNUMBER($V204),$V204="DNA"),$V204,IF(OR(ISNUMBER($U204),$U204="DNA"),$U204,IF(OR(ISNUMBER($T204),$T204="DNA"),$T204,IF(OR(ISNUMBER($S204),$S204="DNA"),$S204,IF(OR(ISNUMBER($P204),$P204="DNA"),$P204,IF(OR(ISNUMBER($O204),$O204="DNA"),$O204,IF(OR(ISNUMBER($N204),$N204="DNA"),$N204,""))))))))))),IF(ISNUMBER($Y204),"Update status","Missed/not booked?"),""))))</f>
        <v/>
      </c>
      <c r="M204" s="29">
        <f>IF(NOT(AND($A204&lt;&gt;"",OR($I204="",$I204="Active"))),"",IF(MIN(IF(AND(ISNUMBER($N204),$N204&gt;=TODAY()),$N204,99999),IF(AND(ISNUMBER($O204),$O204&gt;=TODAY()),$O204,99999),IF(AND(ISNUMBER($P204),$P204&gt;=TODAY()),$P204,99999),IF(AND(ISNUMBER($S204),$S204&gt;=TODAY()),$S204,99999),IF(AND(ISNUMBER($T204),$T204&gt;=TODAY()),$T204,99999),IF(AND(ISNUMBER($U204),$U204&gt;=TODAY()),$U204,99999),IF(AND(ISNUMBER($V204),$V204&gt;=TODAY()),$V204,99999),IF(AND(ISNUMBER($W204),$W204&gt;=TODAY()),$W204,99999),IF(AND(ISNUMBER($X204),$X204&gt;=TODAY()),$X204,99999),IF(AND(ISNUMBER($Y204),$Y204&gt;=TODAY()),$Y204,99999))=99999,"",MIN(IF(AND(ISNUMBER($N204),$N204&gt;=TODAY()),$N204,99999),IF(AND(ISNUMBER($O204),$O204&gt;=TODAY()),$O204,99999),IF(AND(ISNUMBER($P204),$P204&gt;=TODAY()),$P204,99999),IF(AND(ISNUMBER($S204),$S204&gt;=TODAY()),$S204,99999),IF(AND(ISNUMBER($T204),$T204&gt;=TODAY()),$T204,99999),IF(AND(ISNUMBER($U204),$U204&gt;=TODAY()),$U204,99999),IF(AND(ISNUMBER($V204),$V204&gt;=TODAY()),$V204,99999),IF(AND(ISNUMBER($W204),$W204&gt;=TODAY()),$W204,99999),IF(AND(ISNUMBER($X204),$X204&gt;=TODAY()),$X204,99999),IF(AND(ISNUMBER($Y204),$Y204&gt;=TODAY()),$Y204,99999))))</f>
        <v/>
      </c>
      <c r="N204" s="27" t="n"/>
      <c r="O204" s="27" t="n"/>
      <c r="P204" s="27" t="n"/>
      <c r="Q204" s="27" t="n"/>
      <c r="R204" s="27" t="n"/>
      <c r="S204" s="27" t="n"/>
      <c r="T204" s="27" t="n"/>
      <c r="U204" s="27" t="n"/>
      <c r="V204" s="27" t="n"/>
      <c r="W204" s="27" t="n"/>
      <c r="X204" s="27" t="n"/>
      <c r="Y204" s="27" t="n"/>
      <c r="Z204" s="27" t="n"/>
      <c r="AA204" s="27" t="n"/>
      <c r="AB204" s="27" t="n"/>
      <c r="AC204" s="30" t="n"/>
      <c r="AD204" s="25" t="n"/>
      <c r="AE204" s="28">
        <f>IF(NOT(AND($A204&lt;&gt;"",OR($I204="",$I204="Active"))),"",IF(OR(IF(OR(ISNUMBER($Y204),$Y204="DNA"),$Y204,IF(OR(ISNUMBER($X204),$X204="DNA"),$X204,IF(OR(ISNUMBER($W204),$W204="DNA"),$W204,IF(OR(ISNUMBER($V204),$V204="DNA"),$V204,IF(OR(ISNUMBER($U204),$U204="DNA"),$U204,IF(OR(ISNUMBER($T204),$T204="DNA"),$T204,IF(OR(ISNUMBER($S204),$S204="DNA"),$S204,IF(OR(ISNUMBER($P204),$P204="DNA"),$P204,IF(OR(ISNUMBER($O204),$O204="DNA"),$O204,IF(OR(ISNUMBER($N204),$N204="DNA"),$N204,""))))))))))="DNA",AND(ISNUMBER(IF(OR(ISNUMBER($Y204),$Y204="DNA"),$Y204,IF(OR(ISNUMBER($X204),$X204="DNA"),$X204,IF(OR(ISNUMBER($W204),$W204="DNA"),$W204,IF(OR(ISNUMBER($V204),$V204="DNA"),$V204,IF(OR(ISNUMBER($U204),$U204="DNA"),$U204,IF(OR(ISNUMBER($T204),$T204="DNA"),$T204,IF(OR(ISNUMBER($S204),$S204="DNA"),$S204,IF(OR(ISNUMBER($P204),$P204="DNA"),$P204,IF(OR(ISNUMBER($O204),$O204="DNA"),$O204,IF(OR(ISNUMBER($N204),$N204="DNA"),$N204,""))))))))))),IF(OR(ISNUMBER($Y204),$Y204="DNA"),$Y204,IF(OR(ISNUMBER($X204),$X204="DNA"),$X204,IF(OR(ISNUMBER($W204),$W204="DNA"),$W204,IF(OR(ISNUMBER($V204),$V204="DNA"),$V204,IF(OR(ISNUMBER($U204),$U204="DNA"),$U204,IF(OR(ISNUMBER($T204),$T204="DNA"),$T204,IF(OR(ISNUMBER($S204),$S204="DNA"),$S204,IF(OR(ISNUMBER($P204),$P204="DNA"),$P204,IF(OR(ISNUMBER($O204),$O204="DNA"),$O204,IF(OR(ISNUMBER($N204),$N204="DNA"),$N204,""))))))))))&lt;TODAY())),1,0)+ISNUMBER($Q204)*($Q204&lt;TODAY())+ISNUMBER($R204)*($R204&lt;TODAY())+ISNUMBER($AA204)*($AA204&lt;TODAY())+ISNUMBER($AB204)*($AB204&lt;TODAY()))</f>
        <v/>
      </c>
    </row>
    <row r="205">
      <c r="A205" s="25" t="n"/>
      <c r="B205" s="26" t="n"/>
      <c r="C205" s="27" t="n"/>
      <c r="D205" s="25" t="n"/>
      <c r="E205" s="25" t="n"/>
      <c r="F205" s="25" t="n"/>
      <c r="G205" s="25" t="n"/>
      <c r="H205" s="27" t="n"/>
      <c r="I205" s="25" t="n"/>
      <c r="J205" s="28">
        <f>IF(OR(NOT(AND($A205&lt;&gt;"",OR($I205="",$I205="Active"))),$H205=""),"",INT((TODAY()-$H205+280)/7)&amp;"+"&amp;MOD(TODAY()-$H205+280,7))</f>
        <v/>
      </c>
      <c r="K205" s="28">
        <f>IF(NOT(AND($A205&lt;&gt;"",OR($I205="",$I205="Active"))),"",ISNUMBER($N205)*($N205&gt;=TODAY())*($N205&lt;=TODAY()+7)+ISNUMBER($O205)*($O205&gt;=TODAY())*($O205&lt;=TODAY()+7)+ISNUMBER($P205)*($P205&gt;=TODAY())*($P205&lt;=TODAY()+7)+ISNUMBER($S205)*($S205&gt;=TODAY())*($S205&lt;=TODAY()+7)+ISNUMBER($T205)*($T205&gt;=TODAY())*($T205&lt;=TODAY()+7)+ISNUMBER($U205)*($U205&gt;=TODAY())*($U205&lt;=TODAY()+7)+ISNUMBER($V205)*($V205&gt;=TODAY())*($V205&lt;=TODAY()+7)+ISNUMBER($W205)*($W205&gt;=TODAY())*($W205&lt;=TODAY()+7)+ISNUMBER($X205)*($X205&gt;=TODAY())*($X205&lt;=TODAY()+7)+ISNUMBER($Y205)*($Y205&gt;=TODAY())*($Y205&lt;=TODAY()+7)+ISNUMBER($Q205)*($Q205&gt;=TODAY())*($Q205&lt;=TODAY()+7)+ISNUMBER($R205)*($R205&gt;=TODAY())*($R205&lt;=TODAY()+7)+ISNUMBER($AA205)*($AA205&gt;=TODAY())*($AA205&lt;=TODAY()+7)+ISNUMBER($AB205)*($AB205&gt;=TODAY())*($AB205&lt;=TODAY()+7))</f>
        <v/>
      </c>
      <c r="L205" s="28">
        <f>IF(NOT(AND($A205&lt;&gt;"",OR($I205="",$I205="Active"))),"",IF($M205&lt;&gt;"",IF($N205=$M205,"Booking",IF($O205=$M205,"16/40",IF($P205=$M205,"25/40",IF($S205=$M205,"28/40",IF($T205=$M205,"31/40",IF($U205=$M205,"34/40",IF($V205=$M205,"36/40",IF($W205=$M205,"38/40",IF($X205=$M205,"40/40",IF($Y205=$M205,"41/40","")))))))))),IF(IF(OR(ISNUMBER($Y205),$Y205="DNA"),$Y205,IF(OR(ISNUMBER($X205),$X205="DNA"),$X205,IF(OR(ISNUMBER($W205),$W205="DNA"),$W205,IF(OR(ISNUMBER($V205),$V205="DNA"),$V205,IF(OR(ISNUMBER($U205),$U205="DNA"),$U205,IF(OR(ISNUMBER($T205),$T205="DNA"),$T205,IF(OR(ISNUMBER($S205),$S205="DNA"),$S205,IF(OR(ISNUMBER($P205),$P205="DNA"),$P205,IF(OR(ISNUMBER($O205),$O205="DNA"),$O205,IF(OR(ISNUMBER($N205),$N205="DNA"),$N205,""))))))))))="DNA","Rebook DNA",IF(ISNUMBER(IF(OR(ISNUMBER($Y205),$Y205="DNA"),$Y205,IF(OR(ISNUMBER($X205),$X205="DNA"),$X205,IF(OR(ISNUMBER($W205),$W205="DNA"),$W205,IF(OR(ISNUMBER($V205),$V205="DNA"),$V205,IF(OR(ISNUMBER($U205),$U205="DNA"),$U205,IF(OR(ISNUMBER($T205),$T205="DNA"),$T205,IF(OR(ISNUMBER($S205),$S205="DNA"),$S205,IF(OR(ISNUMBER($P205),$P205="DNA"),$P205,IF(OR(ISNUMBER($O205),$O205="DNA"),$O205,IF(OR(ISNUMBER($N205),$N205="DNA"),$N205,""))))))))))),IF(ISNUMBER($Y205),"Update status","Missed/not booked?"),""))))</f>
        <v/>
      </c>
      <c r="M205" s="29">
        <f>IF(NOT(AND($A205&lt;&gt;"",OR($I205="",$I205="Active"))),"",IF(MIN(IF(AND(ISNUMBER($N205),$N205&gt;=TODAY()),$N205,99999),IF(AND(ISNUMBER($O205),$O205&gt;=TODAY()),$O205,99999),IF(AND(ISNUMBER($P205),$P205&gt;=TODAY()),$P205,99999),IF(AND(ISNUMBER($S205),$S205&gt;=TODAY()),$S205,99999),IF(AND(ISNUMBER($T205),$T205&gt;=TODAY()),$T205,99999),IF(AND(ISNUMBER($U205),$U205&gt;=TODAY()),$U205,99999),IF(AND(ISNUMBER($V205),$V205&gt;=TODAY()),$V205,99999),IF(AND(ISNUMBER($W205),$W205&gt;=TODAY()),$W205,99999),IF(AND(ISNUMBER($X205),$X205&gt;=TODAY()),$X205,99999),IF(AND(ISNUMBER($Y205),$Y205&gt;=TODAY()),$Y205,99999))=99999,"",MIN(IF(AND(ISNUMBER($N205),$N205&gt;=TODAY()),$N205,99999),IF(AND(ISNUMBER($O205),$O205&gt;=TODAY()),$O205,99999),IF(AND(ISNUMBER($P205),$P205&gt;=TODAY()),$P205,99999),IF(AND(ISNUMBER($S205),$S205&gt;=TODAY()),$S205,99999),IF(AND(ISNUMBER($T205),$T205&gt;=TODAY()),$T205,99999),IF(AND(ISNUMBER($U205),$U205&gt;=TODAY()),$U205,99999),IF(AND(ISNUMBER($V205),$V205&gt;=TODAY()),$V205,99999),IF(AND(ISNUMBER($W205),$W205&gt;=TODAY()),$W205,99999),IF(AND(ISNUMBER($X205),$X205&gt;=TODAY()),$X205,99999),IF(AND(ISNUMBER($Y205),$Y205&gt;=TODAY()),$Y205,99999))))</f>
        <v/>
      </c>
      <c r="N205" s="27" t="n"/>
      <c r="O205" s="27" t="n"/>
      <c r="P205" s="27" t="n"/>
      <c r="Q205" s="27" t="n"/>
      <c r="R205" s="27" t="n"/>
      <c r="S205" s="27" t="n"/>
      <c r="T205" s="27" t="n"/>
      <c r="U205" s="27" t="n"/>
      <c r="V205" s="27" t="n"/>
      <c r="W205" s="27" t="n"/>
      <c r="X205" s="27" t="n"/>
      <c r="Y205" s="27" t="n"/>
      <c r="Z205" s="27" t="n"/>
      <c r="AA205" s="27" t="n"/>
      <c r="AB205" s="27" t="n"/>
      <c r="AC205" s="30" t="n"/>
      <c r="AD205" s="25" t="n"/>
      <c r="AE205" s="28">
        <f>IF(NOT(AND($A205&lt;&gt;"",OR($I205="",$I205="Active"))),"",IF(OR(IF(OR(ISNUMBER($Y205),$Y205="DNA"),$Y205,IF(OR(ISNUMBER($X205),$X205="DNA"),$X205,IF(OR(ISNUMBER($W205),$W205="DNA"),$W205,IF(OR(ISNUMBER($V205),$V205="DNA"),$V205,IF(OR(ISNUMBER($U205),$U205="DNA"),$U205,IF(OR(ISNUMBER($T205),$T205="DNA"),$T205,IF(OR(ISNUMBER($S205),$S205="DNA"),$S205,IF(OR(ISNUMBER($P205),$P205="DNA"),$P205,IF(OR(ISNUMBER($O205),$O205="DNA"),$O205,IF(OR(ISNUMBER($N205),$N205="DNA"),$N205,""))))))))))="DNA",AND(ISNUMBER(IF(OR(ISNUMBER($Y205),$Y205="DNA"),$Y205,IF(OR(ISNUMBER($X205),$X205="DNA"),$X205,IF(OR(ISNUMBER($W205),$W205="DNA"),$W205,IF(OR(ISNUMBER($V205),$V205="DNA"),$V205,IF(OR(ISNUMBER($U205),$U205="DNA"),$U205,IF(OR(ISNUMBER($T205),$T205="DNA"),$T205,IF(OR(ISNUMBER($S205),$S205="DNA"),$S205,IF(OR(ISNUMBER($P205),$P205="DNA"),$P205,IF(OR(ISNUMBER($O205),$O205="DNA"),$O205,IF(OR(ISNUMBER($N205),$N205="DNA"),$N205,""))))))))))),IF(OR(ISNUMBER($Y205),$Y205="DNA"),$Y205,IF(OR(ISNUMBER($X205),$X205="DNA"),$X205,IF(OR(ISNUMBER($W205),$W205="DNA"),$W205,IF(OR(ISNUMBER($V205),$V205="DNA"),$V205,IF(OR(ISNUMBER($U205),$U205="DNA"),$U205,IF(OR(ISNUMBER($T205),$T205="DNA"),$T205,IF(OR(ISNUMBER($S205),$S205="DNA"),$S205,IF(OR(ISNUMBER($P205),$P205="DNA"),$P205,IF(OR(ISNUMBER($O205),$O205="DNA"),$O205,IF(OR(ISNUMBER($N205),$N205="DNA"),$N205,""))))))))))&lt;TODAY())),1,0)+ISNUMBER($Q205)*($Q205&lt;TODAY())+ISNUMBER($R205)*($R205&lt;TODAY())+ISNUMBER($AA205)*($AA205&lt;TODAY())+ISNUMBER($AB205)*($AB205&lt;TODAY()))</f>
        <v/>
      </c>
    </row>
    <row r="206">
      <c r="A206" s="25" t="n"/>
      <c r="B206" s="26" t="n"/>
      <c r="C206" s="27" t="n"/>
      <c r="D206" s="25" t="n"/>
      <c r="E206" s="25" t="n"/>
      <c r="F206" s="25" t="n"/>
      <c r="G206" s="25" t="n"/>
      <c r="H206" s="27" t="n"/>
      <c r="I206" s="25" t="n"/>
      <c r="J206" s="28">
        <f>IF(OR(NOT(AND($A206&lt;&gt;"",OR($I206="",$I206="Active"))),$H206=""),"",INT((TODAY()-$H206+280)/7)&amp;"+"&amp;MOD(TODAY()-$H206+280,7))</f>
        <v/>
      </c>
      <c r="K206" s="28">
        <f>IF(NOT(AND($A206&lt;&gt;"",OR($I206="",$I206="Active"))),"",ISNUMBER($N206)*($N206&gt;=TODAY())*($N206&lt;=TODAY()+7)+ISNUMBER($O206)*($O206&gt;=TODAY())*($O206&lt;=TODAY()+7)+ISNUMBER($P206)*($P206&gt;=TODAY())*($P206&lt;=TODAY()+7)+ISNUMBER($S206)*($S206&gt;=TODAY())*($S206&lt;=TODAY()+7)+ISNUMBER($T206)*($T206&gt;=TODAY())*($T206&lt;=TODAY()+7)+ISNUMBER($U206)*($U206&gt;=TODAY())*($U206&lt;=TODAY()+7)+ISNUMBER($V206)*($V206&gt;=TODAY())*($V206&lt;=TODAY()+7)+ISNUMBER($W206)*($W206&gt;=TODAY())*($W206&lt;=TODAY()+7)+ISNUMBER($X206)*($X206&gt;=TODAY())*($X206&lt;=TODAY()+7)+ISNUMBER($Y206)*($Y206&gt;=TODAY())*($Y206&lt;=TODAY()+7)+ISNUMBER($Q206)*($Q206&gt;=TODAY())*($Q206&lt;=TODAY()+7)+ISNUMBER($R206)*($R206&gt;=TODAY())*($R206&lt;=TODAY()+7)+ISNUMBER($AA206)*($AA206&gt;=TODAY())*($AA206&lt;=TODAY()+7)+ISNUMBER($AB206)*($AB206&gt;=TODAY())*($AB206&lt;=TODAY()+7))</f>
        <v/>
      </c>
      <c r="L206" s="28">
        <f>IF(NOT(AND($A206&lt;&gt;"",OR($I206="",$I206="Active"))),"",IF($M206&lt;&gt;"",IF($N206=$M206,"Booking",IF($O206=$M206,"16/40",IF($P206=$M206,"25/40",IF($S206=$M206,"28/40",IF($T206=$M206,"31/40",IF($U206=$M206,"34/40",IF($V206=$M206,"36/40",IF($W206=$M206,"38/40",IF($X206=$M206,"40/40",IF($Y206=$M206,"41/40","")))))))))),IF(IF(OR(ISNUMBER($Y206),$Y206="DNA"),$Y206,IF(OR(ISNUMBER($X206),$X206="DNA"),$X206,IF(OR(ISNUMBER($W206),$W206="DNA"),$W206,IF(OR(ISNUMBER($V206),$V206="DNA"),$V206,IF(OR(ISNUMBER($U206),$U206="DNA"),$U206,IF(OR(ISNUMBER($T206),$T206="DNA"),$T206,IF(OR(ISNUMBER($S206),$S206="DNA"),$S206,IF(OR(ISNUMBER($P206),$P206="DNA"),$P206,IF(OR(ISNUMBER($O206),$O206="DNA"),$O206,IF(OR(ISNUMBER($N206),$N206="DNA"),$N206,""))))))))))="DNA","Rebook DNA",IF(ISNUMBER(IF(OR(ISNUMBER($Y206),$Y206="DNA"),$Y206,IF(OR(ISNUMBER($X206),$X206="DNA"),$X206,IF(OR(ISNUMBER($W206),$W206="DNA"),$W206,IF(OR(ISNUMBER($V206),$V206="DNA"),$V206,IF(OR(ISNUMBER($U206),$U206="DNA"),$U206,IF(OR(ISNUMBER($T206),$T206="DNA"),$T206,IF(OR(ISNUMBER($S206),$S206="DNA"),$S206,IF(OR(ISNUMBER($P206),$P206="DNA"),$P206,IF(OR(ISNUMBER($O206),$O206="DNA"),$O206,IF(OR(ISNUMBER($N206),$N206="DNA"),$N206,""))))))))))),IF(ISNUMBER($Y206),"Update status","Missed/not booked?"),""))))</f>
        <v/>
      </c>
      <c r="M206" s="29">
        <f>IF(NOT(AND($A206&lt;&gt;"",OR($I206="",$I206="Active"))),"",IF(MIN(IF(AND(ISNUMBER($N206),$N206&gt;=TODAY()),$N206,99999),IF(AND(ISNUMBER($O206),$O206&gt;=TODAY()),$O206,99999),IF(AND(ISNUMBER($P206),$P206&gt;=TODAY()),$P206,99999),IF(AND(ISNUMBER($S206),$S206&gt;=TODAY()),$S206,99999),IF(AND(ISNUMBER($T206),$T206&gt;=TODAY()),$T206,99999),IF(AND(ISNUMBER($U206),$U206&gt;=TODAY()),$U206,99999),IF(AND(ISNUMBER($V206),$V206&gt;=TODAY()),$V206,99999),IF(AND(ISNUMBER($W206),$W206&gt;=TODAY()),$W206,99999),IF(AND(ISNUMBER($X206),$X206&gt;=TODAY()),$X206,99999),IF(AND(ISNUMBER($Y206),$Y206&gt;=TODAY()),$Y206,99999))=99999,"",MIN(IF(AND(ISNUMBER($N206),$N206&gt;=TODAY()),$N206,99999),IF(AND(ISNUMBER($O206),$O206&gt;=TODAY()),$O206,99999),IF(AND(ISNUMBER($P206),$P206&gt;=TODAY()),$P206,99999),IF(AND(ISNUMBER($S206),$S206&gt;=TODAY()),$S206,99999),IF(AND(ISNUMBER($T206),$T206&gt;=TODAY()),$T206,99999),IF(AND(ISNUMBER($U206),$U206&gt;=TODAY()),$U206,99999),IF(AND(ISNUMBER($V206),$V206&gt;=TODAY()),$V206,99999),IF(AND(ISNUMBER($W206),$W206&gt;=TODAY()),$W206,99999),IF(AND(ISNUMBER($X206),$X206&gt;=TODAY()),$X206,99999),IF(AND(ISNUMBER($Y206),$Y206&gt;=TODAY()),$Y206,99999))))</f>
        <v/>
      </c>
      <c r="N206" s="27" t="n"/>
      <c r="O206" s="27" t="n"/>
      <c r="P206" s="27" t="n"/>
      <c r="Q206" s="27" t="n"/>
      <c r="R206" s="27" t="n"/>
      <c r="S206" s="27" t="n"/>
      <c r="T206" s="27" t="n"/>
      <c r="U206" s="27" t="n"/>
      <c r="V206" s="27" t="n"/>
      <c r="W206" s="27" t="n"/>
      <c r="X206" s="27" t="n"/>
      <c r="Y206" s="27" t="n"/>
      <c r="Z206" s="27" t="n"/>
      <c r="AA206" s="27" t="n"/>
      <c r="AB206" s="27" t="n"/>
      <c r="AC206" s="30" t="n"/>
      <c r="AD206" s="25" t="n"/>
      <c r="AE206" s="28">
        <f>IF(NOT(AND($A206&lt;&gt;"",OR($I206="",$I206="Active"))),"",IF(OR(IF(OR(ISNUMBER($Y206),$Y206="DNA"),$Y206,IF(OR(ISNUMBER($X206),$X206="DNA"),$X206,IF(OR(ISNUMBER($W206),$W206="DNA"),$W206,IF(OR(ISNUMBER($V206),$V206="DNA"),$V206,IF(OR(ISNUMBER($U206),$U206="DNA"),$U206,IF(OR(ISNUMBER($T206),$T206="DNA"),$T206,IF(OR(ISNUMBER($S206),$S206="DNA"),$S206,IF(OR(ISNUMBER($P206),$P206="DNA"),$P206,IF(OR(ISNUMBER($O206),$O206="DNA"),$O206,IF(OR(ISNUMBER($N206),$N206="DNA"),$N206,""))))))))))="DNA",AND(ISNUMBER(IF(OR(ISNUMBER($Y206),$Y206="DNA"),$Y206,IF(OR(ISNUMBER($X206),$X206="DNA"),$X206,IF(OR(ISNUMBER($W206),$W206="DNA"),$W206,IF(OR(ISNUMBER($V206),$V206="DNA"),$V206,IF(OR(ISNUMBER($U206),$U206="DNA"),$U206,IF(OR(ISNUMBER($T206),$T206="DNA"),$T206,IF(OR(ISNUMBER($S206),$S206="DNA"),$S206,IF(OR(ISNUMBER($P206),$P206="DNA"),$P206,IF(OR(ISNUMBER($O206),$O206="DNA"),$O206,IF(OR(ISNUMBER($N206),$N206="DNA"),$N206,""))))))))))),IF(OR(ISNUMBER($Y206),$Y206="DNA"),$Y206,IF(OR(ISNUMBER($X206),$X206="DNA"),$X206,IF(OR(ISNUMBER($W206),$W206="DNA"),$W206,IF(OR(ISNUMBER($V206),$V206="DNA"),$V206,IF(OR(ISNUMBER($U206),$U206="DNA"),$U206,IF(OR(ISNUMBER($T206),$T206="DNA"),$T206,IF(OR(ISNUMBER($S206),$S206="DNA"),$S206,IF(OR(ISNUMBER($P206),$P206="DNA"),$P206,IF(OR(ISNUMBER($O206),$O206="DNA"),$O206,IF(OR(ISNUMBER($N206),$N206="DNA"),$N206,""))))))))))&lt;TODAY())),1,0)+ISNUMBER($Q206)*($Q206&lt;TODAY())+ISNUMBER($R206)*($R206&lt;TODAY())+ISNUMBER($AA206)*($AA206&lt;TODAY())+ISNUMBER($AB206)*($AB206&lt;TODAY()))</f>
        <v/>
      </c>
    </row>
    <row r="207">
      <c r="A207" s="25" t="n"/>
      <c r="B207" s="26" t="n"/>
      <c r="C207" s="27" t="n"/>
      <c r="D207" s="25" t="n"/>
      <c r="E207" s="25" t="n"/>
      <c r="F207" s="25" t="n"/>
      <c r="G207" s="25" t="n"/>
      <c r="H207" s="27" t="n"/>
      <c r="I207" s="25" t="n"/>
      <c r="J207" s="28">
        <f>IF(OR(NOT(AND($A207&lt;&gt;"",OR($I207="",$I207="Active"))),$H207=""),"",INT((TODAY()-$H207+280)/7)&amp;"+"&amp;MOD(TODAY()-$H207+280,7))</f>
        <v/>
      </c>
      <c r="K207" s="28">
        <f>IF(NOT(AND($A207&lt;&gt;"",OR($I207="",$I207="Active"))),"",ISNUMBER($N207)*($N207&gt;=TODAY())*($N207&lt;=TODAY()+7)+ISNUMBER($O207)*($O207&gt;=TODAY())*($O207&lt;=TODAY()+7)+ISNUMBER($P207)*($P207&gt;=TODAY())*($P207&lt;=TODAY()+7)+ISNUMBER($S207)*($S207&gt;=TODAY())*($S207&lt;=TODAY()+7)+ISNUMBER($T207)*($T207&gt;=TODAY())*($T207&lt;=TODAY()+7)+ISNUMBER($U207)*($U207&gt;=TODAY())*($U207&lt;=TODAY()+7)+ISNUMBER($V207)*($V207&gt;=TODAY())*($V207&lt;=TODAY()+7)+ISNUMBER($W207)*($W207&gt;=TODAY())*($W207&lt;=TODAY()+7)+ISNUMBER($X207)*($X207&gt;=TODAY())*($X207&lt;=TODAY()+7)+ISNUMBER($Y207)*($Y207&gt;=TODAY())*($Y207&lt;=TODAY()+7)+ISNUMBER($Q207)*($Q207&gt;=TODAY())*($Q207&lt;=TODAY()+7)+ISNUMBER($R207)*($R207&gt;=TODAY())*($R207&lt;=TODAY()+7)+ISNUMBER($AA207)*($AA207&gt;=TODAY())*($AA207&lt;=TODAY()+7)+ISNUMBER($AB207)*($AB207&gt;=TODAY())*($AB207&lt;=TODAY()+7))</f>
        <v/>
      </c>
      <c r="L207" s="28">
        <f>IF(NOT(AND($A207&lt;&gt;"",OR($I207="",$I207="Active"))),"",IF($M207&lt;&gt;"",IF($N207=$M207,"Booking",IF($O207=$M207,"16/40",IF($P207=$M207,"25/40",IF($S207=$M207,"28/40",IF($T207=$M207,"31/40",IF($U207=$M207,"34/40",IF($V207=$M207,"36/40",IF($W207=$M207,"38/40",IF($X207=$M207,"40/40",IF($Y207=$M207,"41/40","")))))))))),IF(IF(OR(ISNUMBER($Y207),$Y207="DNA"),$Y207,IF(OR(ISNUMBER($X207),$X207="DNA"),$X207,IF(OR(ISNUMBER($W207),$W207="DNA"),$W207,IF(OR(ISNUMBER($V207),$V207="DNA"),$V207,IF(OR(ISNUMBER($U207),$U207="DNA"),$U207,IF(OR(ISNUMBER($T207),$T207="DNA"),$T207,IF(OR(ISNUMBER($S207),$S207="DNA"),$S207,IF(OR(ISNUMBER($P207),$P207="DNA"),$P207,IF(OR(ISNUMBER($O207),$O207="DNA"),$O207,IF(OR(ISNUMBER($N207),$N207="DNA"),$N207,""))))))))))="DNA","Rebook DNA",IF(ISNUMBER(IF(OR(ISNUMBER($Y207),$Y207="DNA"),$Y207,IF(OR(ISNUMBER($X207),$X207="DNA"),$X207,IF(OR(ISNUMBER($W207),$W207="DNA"),$W207,IF(OR(ISNUMBER($V207),$V207="DNA"),$V207,IF(OR(ISNUMBER($U207),$U207="DNA"),$U207,IF(OR(ISNUMBER($T207),$T207="DNA"),$T207,IF(OR(ISNUMBER($S207),$S207="DNA"),$S207,IF(OR(ISNUMBER($P207),$P207="DNA"),$P207,IF(OR(ISNUMBER($O207),$O207="DNA"),$O207,IF(OR(ISNUMBER($N207),$N207="DNA"),$N207,""))))))))))),IF(ISNUMBER($Y207),"Update status","Missed/not booked?"),""))))</f>
        <v/>
      </c>
      <c r="M207" s="29">
        <f>IF(NOT(AND($A207&lt;&gt;"",OR($I207="",$I207="Active"))),"",IF(MIN(IF(AND(ISNUMBER($N207),$N207&gt;=TODAY()),$N207,99999),IF(AND(ISNUMBER($O207),$O207&gt;=TODAY()),$O207,99999),IF(AND(ISNUMBER($P207),$P207&gt;=TODAY()),$P207,99999),IF(AND(ISNUMBER($S207),$S207&gt;=TODAY()),$S207,99999),IF(AND(ISNUMBER($T207),$T207&gt;=TODAY()),$T207,99999),IF(AND(ISNUMBER($U207),$U207&gt;=TODAY()),$U207,99999),IF(AND(ISNUMBER($V207),$V207&gt;=TODAY()),$V207,99999),IF(AND(ISNUMBER($W207),$W207&gt;=TODAY()),$W207,99999),IF(AND(ISNUMBER($X207),$X207&gt;=TODAY()),$X207,99999),IF(AND(ISNUMBER($Y207),$Y207&gt;=TODAY()),$Y207,99999))=99999,"",MIN(IF(AND(ISNUMBER($N207),$N207&gt;=TODAY()),$N207,99999),IF(AND(ISNUMBER($O207),$O207&gt;=TODAY()),$O207,99999),IF(AND(ISNUMBER($P207),$P207&gt;=TODAY()),$P207,99999),IF(AND(ISNUMBER($S207),$S207&gt;=TODAY()),$S207,99999),IF(AND(ISNUMBER($T207),$T207&gt;=TODAY()),$T207,99999),IF(AND(ISNUMBER($U207),$U207&gt;=TODAY()),$U207,99999),IF(AND(ISNUMBER($V207),$V207&gt;=TODAY()),$V207,99999),IF(AND(ISNUMBER($W207),$W207&gt;=TODAY()),$W207,99999),IF(AND(ISNUMBER($X207),$X207&gt;=TODAY()),$X207,99999),IF(AND(ISNUMBER($Y207),$Y207&gt;=TODAY()),$Y207,99999))))</f>
        <v/>
      </c>
      <c r="N207" s="27" t="n"/>
      <c r="O207" s="27" t="n"/>
      <c r="P207" s="27" t="n"/>
      <c r="Q207" s="27" t="n"/>
      <c r="R207" s="27" t="n"/>
      <c r="S207" s="27" t="n"/>
      <c r="T207" s="27" t="n"/>
      <c r="U207" s="27" t="n"/>
      <c r="V207" s="27" t="n"/>
      <c r="W207" s="27" t="n"/>
      <c r="X207" s="27" t="n"/>
      <c r="Y207" s="27" t="n"/>
      <c r="Z207" s="27" t="n"/>
      <c r="AA207" s="27" t="n"/>
      <c r="AB207" s="27" t="n"/>
      <c r="AC207" s="30" t="n"/>
      <c r="AD207" s="25" t="n"/>
      <c r="AE207" s="28">
        <f>IF(NOT(AND($A207&lt;&gt;"",OR($I207="",$I207="Active"))),"",IF(OR(IF(OR(ISNUMBER($Y207),$Y207="DNA"),$Y207,IF(OR(ISNUMBER($X207),$X207="DNA"),$X207,IF(OR(ISNUMBER($W207),$W207="DNA"),$W207,IF(OR(ISNUMBER($V207),$V207="DNA"),$V207,IF(OR(ISNUMBER($U207),$U207="DNA"),$U207,IF(OR(ISNUMBER($T207),$T207="DNA"),$T207,IF(OR(ISNUMBER($S207),$S207="DNA"),$S207,IF(OR(ISNUMBER($P207),$P207="DNA"),$P207,IF(OR(ISNUMBER($O207),$O207="DNA"),$O207,IF(OR(ISNUMBER($N207),$N207="DNA"),$N207,""))))))))))="DNA",AND(ISNUMBER(IF(OR(ISNUMBER($Y207),$Y207="DNA"),$Y207,IF(OR(ISNUMBER($X207),$X207="DNA"),$X207,IF(OR(ISNUMBER($W207),$W207="DNA"),$W207,IF(OR(ISNUMBER($V207),$V207="DNA"),$V207,IF(OR(ISNUMBER($U207),$U207="DNA"),$U207,IF(OR(ISNUMBER($T207),$T207="DNA"),$T207,IF(OR(ISNUMBER($S207),$S207="DNA"),$S207,IF(OR(ISNUMBER($P207),$P207="DNA"),$P207,IF(OR(ISNUMBER($O207),$O207="DNA"),$O207,IF(OR(ISNUMBER($N207),$N207="DNA"),$N207,""))))))))))),IF(OR(ISNUMBER($Y207),$Y207="DNA"),$Y207,IF(OR(ISNUMBER($X207),$X207="DNA"),$X207,IF(OR(ISNUMBER($W207),$W207="DNA"),$W207,IF(OR(ISNUMBER($V207),$V207="DNA"),$V207,IF(OR(ISNUMBER($U207),$U207="DNA"),$U207,IF(OR(ISNUMBER($T207),$T207="DNA"),$T207,IF(OR(ISNUMBER($S207),$S207="DNA"),$S207,IF(OR(ISNUMBER($P207),$P207="DNA"),$P207,IF(OR(ISNUMBER($O207),$O207="DNA"),$O207,IF(OR(ISNUMBER($N207),$N207="DNA"),$N207,""))))))))))&lt;TODAY())),1,0)+ISNUMBER($Q207)*($Q207&lt;TODAY())+ISNUMBER($R207)*($R207&lt;TODAY())+ISNUMBER($AA207)*($AA207&lt;TODAY())+ISNUMBER($AB207)*($AB207&lt;TODAY()))</f>
        <v/>
      </c>
    </row>
    <row r="208">
      <c r="A208" s="25" t="n"/>
      <c r="B208" s="26" t="n"/>
      <c r="C208" s="27" t="n"/>
      <c r="D208" s="25" t="n"/>
      <c r="E208" s="25" t="n"/>
      <c r="F208" s="25" t="n"/>
      <c r="G208" s="25" t="n"/>
      <c r="H208" s="27" t="n"/>
      <c r="I208" s="25" t="n"/>
      <c r="J208" s="28">
        <f>IF(OR(NOT(AND($A208&lt;&gt;"",OR($I208="",$I208="Active"))),$H208=""),"",INT((TODAY()-$H208+280)/7)&amp;"+"&amp;MOD(TODAY()-$H208+280,7))</f>
        <v/>
      </c>
      <c r="K208" s="28">
        <f>IF(NOT(AND($A208&lt;&gt;"",OR($I208="",$I208="Active"))),"",ISNUMBER($N208)*($N208&gt;=TODAY())*($N208&lt;=TODAY()+7)+ISNUMBER($O208)*($O208&gt;=TODAY())*($O208&lt;=TODAY()+7)+ISNUMBER($P208)*($P208&gt;=TODAY())*($P208&lt;=TODAY()+7)+ISNUMBER($S208)*($S208&gt;=TODAY())*($S208&lt;=TODAY()+7)+ISNUMBER($T208)*($T208&gt;=TODAY())*($T208&lt;=TODAY()+7)+ISNUMBER($U208)*($U208&gt;=TODAY())*($U208&lt;=TODAY()+7)+ISNUMBER($V208)*($V208&gt;=TODAY())*($V208&lt;=TODAY()+7)+ISNUMBER($W208)*($W208&gt;=TODAY())*($W208&lt;=TODAY()+7)+ISNUMBER($X208)*($X208&gt;=TODAY())*($X208&lt;=TODAY()+7)+ISNUMBER($Y208)*($Y208&gt;=TODAY())*($Y208&lt;=TODAY()+7)+ISNUMBER($Q208)*($Q208&gt;=TODAY())*($Q208&lt;=TODAY()+7)+ISNUMBER($R208)*($R208&gt;=TODAY())*($R208&lt;=TODAY()+7)+ISNUMBER($AA208)*($AA208&gt;=TODAY())*($AA208&lt;=TODAY()+7)+ISNUMBER($AB208)*($AB208&gt;=TODAY())*($AB208&lt;=TODAY()+7))</f>
        <v/>
      </c>
      <c r="L208" s="28">
        <f>IF(NOT(AND($A208&lt;&gt;"",OR($I208="",$I208="Active"))),"",IF($M208&lt;&gt;"",IF($N208=$M208,"Booking",IF($O208=$M208,"16/40",IF($P208=$M208,"25/40",IF($S208=$M208,"28/40",IF($T208=$M208,"31/40",IF($U208=$M208,"34/40",IF($V208=$M208,"36/40",IF($W208=$M208,"38/40",IF($X208=$M208,"40/40",IF($Y208=$M208,"41/40","")))))))))),IF(IF(OR(ISNUMBER($Y208),$Y208="DNA"),$Y208,IF(OR(ISNUMBER($X208),$X208="DNA"),$X208,IF(OR(ISNUMBER($W208),$W208="DNA"),$W208,IF(OR(ISNUMBER($V208),$V208="DNA"),$V208,IF(OR(ISNUMBER($U208),$U208="DNA"),$U208,IF(OR(ISNUMBER($T208),$T208="DNA"),$T208,IF(OR(ISNUMBER($S208),$S208="DNA"),$S208,IF(OR(ISNUMBER($P208),$P208="DNA"),$P208,IF(OR(ISNUMBER($O208),$O208="DNA"),$O208,IF(OR(ISNUMBER($N208),$N208="DNA"),$N208,""))))))))))="DNA","Rebook DNA",IF(ISNUMBER(IF(OR(ISNUMBER($Y208),$Y208="DNA"),$Y208,IF(OR(ISNUMBER($X208),$X208="DNA"),$X208,IF(OR(ISNUMBER($W208),$W208="DNA"),$W208,IF(OR(ISNUMBER($V208),$V208="DNA"),$V208,IF(OR(ISNUMBER($U208),$U208="DNA"),$U208,IF(OR(ISNUMBER($T208),$T208="DNA"),$T208,IF(OR(ISNUMBER($S208),$S208="DNA"),$S208,IF(OR(ISNUMBER($P208),$P208="DNA"),$P208,IF(OR(ISNUMBER($O208),$O208="DNA"),$O208,IF(OR(ISNUMBER($N208),$N208="DNA"),$N208,""))))))))))),IF(ISNUMBER($Y208),"Update status","Missed/not booked?"),""))))</f>
        <v/>
      </c>
      <c r="M208" s="29">
        <f>IF(NOT(AND($A208&lt;&gt;"",OR($I208="",$I208="Active"))),"",IF(MIN(IF(AND(ISNUMBER($N208),$N208&gt;=TODAY()),$N208,99999),IF(AND(ISNUMBER($O208),$O208&gt;=TODAY()),$O208,99999),IF(AND(ISNUMBER($P208),$P208&gt;=TODAY()),$P208,99999),IF(AND(ISNUMBER($S208),$S208&gt;=TODAY()),$S208,99999),IF(AND(ISNUMBER($T208),$T208&gt;=TODAY()),$T208,99999),IF(AND(ISNUMBER($U208),$U208&gt;=TODAY()),$U208,99999),IF(AND(ISNUMBER($V208),$V208&gt;=TODAY()),$V208,99999),IF(AND(ISNUMBER($W208),$W208&gt;=TODAY()),$W208,99999),IF(AND(ISNUMBER($X208),$X208&gt;=TODAY()),$X208,99999),IF(AND(ISNUMBER($Y208),$Y208&gt;=TODAY()),$Y208,99999))=99999,"",MIN(IF(AND(ISNUMBER($N208),$N208&gt;=TODAY()),$N208,99999),IF(AND(ISNUMBER($O208),$O208&gt;=TODAY()),$O208,99999),IF(AND(ISNUMBER($P208),$P208&gt;=TODAY()),$P208,99999),IF(AND(ISNUMBER($S208),$S208&gt;=TODAY()),$S208,99999),IF(AND(ISNUMBER($T208),$T208&gt;=TODAY()),$T208,99999),IF(AND(ISNUMBER($U208),$U208&gt;=TODAY()),$U208,99999),IF(AND(ISNUMBER($V208),$V208&gt;=TODAY()),$V208,99999),IF(AND(ISNUMBER($W208),$W208&gt;=TODAY()),$W208,99999),IF(AND(ISNUMBER($X208),$X208&gt;=TODAY()),$X208,99999),IF(AND(ISNUMBER($Y208),$Y208&gt;=TODAY()),$Y208,99999))))</f>
        <v/>
      </c>
      <c r="N208" s="27" t="n"/>
      <c r="O208" s="27" t="n"/>
      <c r="P208" s="27" t="n"/>
      <c r="Q208" s="27" t="n"/>
      <c r="R208" s="27" t="n"/>
      <c r="S208" s="27" t="n"/>
      <c r="T208" s="27" t="n"/>
      <c r="U208" s="27" t="n"/>
      <c r="V208" s="27" t="n"/>
      <c r="W208" s="27" t="n"/>
      <c r="X208" s="27" t="n"/>
      <c r="Y208" s="27" t="n"/>
      <c r="Z208" s="27" t="n"/>
      <c r="AA208" s="27" t="n"/>
      <c r="AB208" s="27" t="n"/>
      <c r="AC208" s="30" t="n"/>
      <c r="AD208" s="25" t="n"/>
      <c r="AE208" s="28">
        <f>IF(NOT(AND($A208&lt;&gt;"",OR($I208="",$I208="Active"))),"",IF(OR(IF(OR(ISNUMBER($Y208),$Y208="DNA"),$Y208,IF(OR(ISNUMBER($X208),$X208="DNA"),$X208,IF(OR(ISNUMBER($W208),$W208="DNA"),$W208,IF(OR(ISNUMBER($V208),$V208="DNA"),$V208,IF(OR(ISNUMBER($U208),$U208="DNA"),$U208,IF(OR(ISNUMBER($T208),$T208="DNA"),$T208,IF(OR(ISNUMBER($S208),$S208="DNA"),$S208,IF(OR(ISNUMBER($P208),$P208="DNA"),$P208,IF(OR(ISNUMBER($O208),$O208="DNA"),$O208,IF(OR(ISNUMBER($N208),$N208="DNA"),$N208,""))))))))))="DNA",AND(ISNUMBER(IF(OR(ISNUMBER($Y208),$Y208="DNA"),$Y208,IF(OR(ISNUMBER($X208),$X208="DNA"),$X208,IF(OR(ISNUMBER($W208),$W208="DNA"),$W208,IF(OR(ISNUMBER($V208),$V208="DNA"),$V208,IF(OR(ISNUMBER($U208),$U208="DNA"),$U208,IF(OR(ISNUMBER($T208),$T208="DNA"),$T208,IF(OR(ISNUMBER($S208),$S208="DNA"),$S208,IF(OR(ISNUMBER($P208),$P208="DNA"),$P208,IF(OR(ISNUMBER($O208),$O208="DNA"),$O208,IF(OR(ISNUMBER($N208),$N208="DNA"),$N208,""))))))))))),IF(OR(ISNUMBER($Y208),$Y208="DNA"),$Y208,IF(OR(ISNUMBER($X208),$X208="DNA"),$X208,IF(OR(ISNUMBER($W208),$W208="DNA"),$W208,IF(OR(ISNUMBER($V208),$V208="DNA"),$V208,IF(OR(ISNUMBER($U208),$U208="DNA"),$U208,IF(OR(ISNUMBER($T208),$T208="DNA"),$T208,IF(OR(ISNUMBER($S208),$S208="DNA"),$S208,IF(OR(ISNUMBER($P208),$P208="DNA"),$P208,IF(OR(ISNUMBER($O208),$O208="DNA"),$O208,IF(OR(ISNUMBER($N208),$N208="DNA"),$N208,""))))))))))&lt;TODAY())),1,0)+ISNUMBER($Q208)*($Q208&lt;TODAY())+ISNUMBER($R208)*($R208&lt;TODAY())+ISNUMBER($AA208)*($AA208&lt;TODAY())+ISNUMBER($AB208)*($AB208&lt;TODAY()))</f>
        <v/>
      </c>
    </row>
    <row r="209">
      <c r="A209" s="25" t="n"/>
      <c r="B209" s="26" t="n"/>
      <c r="C209" s="27" t="n"/>
      <c r="D209" s="25" t="n"/>
      <c r="E209" s="25" t="n"/>
      <c r="F209" s="25" t="n"/>
      <c r="G209" s="25" t="n"/>
      <c r="H209" s="27" t="n"/>
      <c r="I209" s="25" t="n"/>
      <c r="J209" s="28">
        <f>IF(OR(NOT(AND($A209&lt;&gt;"",OR($I209="",$I209="Active"))),$H209=""),"",INT((TODAY()-$H209+280)/7)&amp;"+"&amp;MOD(TODAY()-$H209+280,7))</f>
        <v/>
      </c>
      <c r="K209" s="28">
        <f>IF(NOT(AND($A209&lt;&gt;"",OR($I209="",$I209="Active"))),"",ISNUMBER($N209)*($N209&gt;=TODAY())*($N209&lt;=TODAY()+7)+ISNUMBER($O209)*($O209&gt;=TODAY())*($O209&lt;=TODAY()+7)+ISNUMBER($P209)*($P209&gt;=TODAY())*($P209&lt;=TODAY()+7)+ISNUMBER($S209)*($S209&gt;=TODAY())*($S209&lt;=TODAY()+7)+ISNUMBER($T209)*($T209&gt;=TODAY())*($T209&lt;=TODAY()+7)+ISNUMBER($U209)*($U209&gt;=TODAY())*($U209&lt;=TODAY()+7)+ISNUMBER($V209)*($V209&gt;=TODAY())*($V209&lt;=TODAY()+7)+ISNUMBER($W209)*($W209&gt;=TODAY())*($W209&lt;=TODAY()+7)+ISNUMBER($X209)*($X209&gt;=TODAY())*($X209&lt;=TODAY()+7)+ISNUMBER($Y209)*($Y209&gt;=TODAY())*($Y209&lt;=TODAY()+7)+ISNUMBER($Q209)*($Q209&gt;=TODAY())*($Q209&lt;=TODAY()+7)+ISNUMBER($R209)*($R209&gt;=TODAY())*($R209&lt;=TODAY()+7)+ISNUMBER($AA209)*($AA209&gt;=TODAY())*($AA209&lt;=TODAY()+7)+ISNUMBER($AB209)*($AB209&gt;=TODAY())*($AB209&lt;=TODAY()+7))</f>
        <v/>
      </c>
      <c r="L209" s="28">
        <f>IF(NOT(AND($A209&lt;&gt;"",OR($I209="",$I209="Active"))),"",IF($M209&lt;&gt;"",IF($N209=$M209,"Booking",IF($O209=$M209,"16/40",IF($P209=$M209,"25/40",IF($S209=$M209,"28/40",IF($T209=$M209,"31/40",IF($U209=$M209,"34/40",IF($V209=$M209,"36/40",IF($W209=$M209,"38/40",IF($X209=$M209,"40/40",IF($Y209=$M209,"41/40","")))))))))),IF(IF(OR(ISNUMBER($Y209),$Y209="DNA"),$Y209,IF(OR(ISNUMBER($X209),$X209="DNA"),$X209,IF(OR(ISNUMBER($W209),$W209="DNA"),$W209,IF(OR(ISNUMBER($V209),$V209="DNA"),$V209,IF(OR(ISNUMBER($U209),$U209="DNA"),$U209,IF(OR(ISNUMBER($T209),$T209="DNA"),$T209,IF(OR(ISNUMBER($S209),$S209="DNA"),$S209,IF(OR(ISNUMBER($P209),$P209="DNA"),$P209,IF(OR(ISNUMBER($O209),$O209="DNA"),$O209,IF(OR(ISNUMBER($N209),$N209="DNA"),$N209,""))))))))))="DNA","Rebook DNA",IF(ISNUMBER(IF(OR(ISNUMBER($Y209),$Y209="DNA"),$Y209,IF(OR(ISNUMBER($X209),$X209="DNA"),$X209,IF(OR(ISNUMBER($W209),$W209="DNA"),$W209,IF(OR(ISNUMBER($V209),$V209="DNA"),$V209,IF(OR(ISNUMBER($U209),$U209="DNA"),$U209,IF(OR(ISNUMBER($T209),$T209="DNA"),$T209,IF(OR(ISNUMBER($S209),$S209="DNA"),$S209,IF(OR(ISNUMBER($P209),$P209="DNA"),$P209,IF(OR(ISNUMBER($O209),$O209="DNA"),$O209,IF(OR(ISNUMBER($N209),$N209="DNA"),$N209,""))))))))))),IF(ISNUMBER($Y209),"Update status","Missed/not booked?"),""))))</f>
        <v/>
      </c>
      <c r="M209" s="29">
        <f>IF(NOT(AND($A209&lt;&gt;"",OR($I209="",$I209="Active"))),"",IF(MIN(IF(AND(ISNUMBER($N209),$N209&gt;=TODAY()),$N209,99999),IF(AND(ISNUMBER($O209),$O209&gt;=TODAY()),$O209,99999),IF(AND(ISNUMBER($P209),$P209&gt;=TODAY()),$P209,99999),IF(AND(ISNUMBER($S209),$S209&gt;=TODAY()),$S209,99999),IF(AND(ISNUMBER($T209),$T209&gt;=TODAY()),$T209,99999),IF(AND(ISNUMBER($U209),$U209&gt;=TODAY()),$U209,99999),IF(AND(ISNUMBER($V209),$V209&gt;=TODAY()),$V209,99999),IF(AND(ISNUMBER($W209),$W209&gt;=TODAY()),$W209,99999),IF(AND(ISNUMBER($X209),$X209&gt;=TODAY()),$X209,99999),IF(AND(ISNUMBER($Y209),$Y209&gt;=TODAY()),$Y209,99999))=99999,"",MIN(IF(AND(ISNUMBER($N209),$N209&gt;=TODAY()),$N209,99999),IF(AND(ISNUMBER($O209),$O209&gt;=TODAY()),$O209,99999),IF(AND(ISNUMBER($P209),$P209&gt;=TODAY()),$P209,99999),IF(AND(ISNUMBER($S209),$S209&gt;=TODAY()),$S209,99999),IF(AND(ISNUMBER($T209),$T209&gt;=TODAY()),$T209,99999),IF(AND(ISNUMBER($U209),$U209&gt;=TODAY()),$U209,99999),IF(AND(ISNUMBER($V209),$V209&gt;=TODAY()),$V209,99999),IF(AND(ISNUMBER($W209),$W209&gt;=TODAY()),$W209,99999),IF(AND(ISNUMBER($X209),$X209&gt;=TODAY()),$X209,99999),IF(AND(ISNUMBER($Y209),$Y209&gt;=TODAY()),$Y209,99999))))</f>
        <v/>
      </c>
      <c r="N209" s="27" t="n"/>
      <c r="O209" s="27" t="n"/>
      <c r="P209" s="27" t="n"/>
      <c r="Q209" s="27" t="n"/>
      <c r="R209" s="27" t="n"/>
      <c r="S209" s="27" t="n"/>
      <c r="T209" s="27" t="n"/>
      <c r="U209" s="27" t="n"/>
      <c r="V209" s="27" t="n"/>
      <c r="W209" s="27" t="n"/>
      <c r="X209" s="27" t="n"/>
      <c r="Y209" s="27" t="n"/>
      <c r="Z209" s="27" t="n"/>
      <c r="AA209" s="27" t="n"/>
      <c r="AB209" s="27" t="n"/>
      <c r="AC209" s="30" t="n"/>
      <c r="AD209" s="25" t="n"/>
      <c r="AE209" s="28">
        <f>IF(NOT(AND($A209&lt;&gt;"",OR($I209="",$I209="Active"))),"",IF(OR(IF(OR(ISNUMBER($Y209),$Y209="DNA"),$Y209,IF(OR(ISNUMBER($X209),$X209="DNA"),$X209,IF(OR(ISNUMBER($W209),$W209="DNA"),$W209,IF(OR(ISNUMBER($V209),$V209="DNA"),$V209,IF(OR(ISNUMBER($U209),$U209="DNA"),$U209,IF(OR(ISNUMBER($T209),$T209="DNA"),$T209,IF(OR(ISNUMBER($S209),$S209="DNA"),$S209,IF(OR(ISNUMBER($P209),$P209="DNA"),$P209,IF(OR(ISNUMBER($O209),$O209="DNA"),$O209,IF(OR(ISNUMBER($N209),$N209="DNA"),$N209,""))))))))))="DNA",AND(ISNUMBER(IF(OR(ISNUMBER($Y209),$Y209="DNA"),$Y209,IF(OR(ISNUMBER($X209),$X209="DNA"),$X209,IF(OR(ISNUMBER($W209),$W209="DNA"),$W209,IF(OR(ISNUMBER($V209),$V209="DNA"),$V209,IF(OR(ISNUMBER($U209),$U209="DNA"),$U209,IF(OR(ISNUMBER($T209),$T209="DNA"),$T209,IF(OR(ISNUMBER($S209),$S209="DNA"),$S209,IF(OR(ISNUMBER($P209),$P209="DNA"),$P209,IF(OR(ISNUMBER($O209),$O209="DNA"),$O209,IF(OR(ISNUMBER($N209),$N209="DNA"),$N209,""))))))))))),IF(OR(ISNUMBER($Y209),$Y209="DNA"),$Y209,IF(OR(ISNUMBER($X209),$X209="DNA"),$X209,IF(OR(ISNUMBER($W209),$W209="DNA"),$W209,IF(OR(ISNUMBER($V209),$V209="DNA"),$V209,IF(OR(ISNUMBER($U209),$U209="DNA"),$U209,IF(OR(ISNUMBER($T209),$T209="DNA"),$T209,IF(OR(ISNUMBER($S209),$S209="DNA"),$S209,IF(OR(ISNUMBER($P209),$P209="DNA"),$P209,IF(OR(ISNUMBER($O209),$O209="DNA"),$O209,IF(OR(ISNUMBER($N209),$N209="DNA"),$N209,""))))))))))&lt;TODAY())),1,0)+ISNUMBER($Q209)*($Q209&lt;TODAY())+ISNUMBER($R209)*($R209&lt;TODAY())+ISNUMBER($AA209)*($AA209&lt;TODAY())+ISNUMBER($AB209)*($AB209&lt;TODAY()))</f>
        <v/>
      </c>
    </row>
    <row r="210">
      <c r="A210" s="25" t="n"/>
      <c r="B210" s="26" t="n"/>
      <c r="C210" s="27" t="n"/>
      <c r="D210" s="25" t="n"/>
      <c r="E210" s="25" t="n"/>
      <c r="F210" s="25" t="n"/>
      <c r="G210" s="25" t="n"/>
      <c r="H210" s="27" t="n"/>
      <c r="I210" s="25" t="n"/>
      <c r="J210" s="28">
        <f>IF(OR(NOT(AND($A210&lt;&gt;"",OR($I210="",$I210="Active"))),$H210=""),"",INT((TODAY()-$H210+280)/7)&amp;"+"&amp;MOD(TODAY()-$H210+280,7))</f>
        <v/>
      </c>
      <c r="K210" s="28">
        <f>IF(NOT(AND($A210&lt;&gt;"",OR($I210="",$I210="Active"))),"",ISNUMBER($N210)*($N210&gt;=TODAY())*($N210&lt;=TODAY()+7)+ISNUMBER($O210)*($O210&gt;=TODAY())*($O210&lt;=TODAY()+7)+ISNUMBER($P210)*($P210&gt;=TODAY())*($P210&lt;=TODAY()+7)+ISNUMBER($S210)*($S210&gt;=TODAY())*($S210&lt;=TODAY()+7)+ISNUMBER($T210)*($T210&gt;=TODAY())*($T210&lt;=TODAY()+7)+ISNUMBER($U210)*($U210&gt;=TODAY())*($U210&lt;=TODAY()+7)+ISNUMBER($V210)*($V210&gt;=TODAY())*($V210&lt;=TODAY()+7)+ISNUMBER($W210)*($W210&gt;=TODAY())*($W210&lt;=TODAY()+7)+ISNUMBER($X210)*($X210&gt;=TODAY())*($X210&lt;=TODAY()+7)+ISNUMBER($Y210)*($Y210&gt;=TODAY())*($Y210&lt;=TODAY()+7)+ISNUMBER($Q210)*($Q210&gt;=TODAY())*($Q210&lt;=TODAY()+7)+ISNUMBER($R210)*($R210&gt;=TODAY())*($R210&lt;=TODAY()+7)+ISNUMBER($AA210)*($AA210&gt;=TODAY())*($AA210&lt;=TODAY()+7)+ISNUMBER($AB210)*($AB210&gt;=TODAY())*($AB210&lt;=TODAY()+7))</f>
        <v/>
      </c>
      <c r="L210" s="28">
        <f>IF(NOT(AND($A210&lt;&gt;"",OR($I210="",$I210="Active"))),"",IF($M210&lt;&gt;"",IF($N210=$M210,"Booking",IF($O210=$M210,"16/40",IF($P210=$M210,"25/40",IF($S210=$M210,"28/40",IF($T210=$M210,"31/40",IF($U210=$M210,"34/40",IF($V210=$M210,"36/40",IF($W210=$M210,"38/40",IF($X210=$M210,"40/40",IF($Y210=$M210,"41/40","")))))))))),IF(IF(OR(ISNUMBER($Y210),$Y210="DNA"),$Y210,IF(OR(ISNUMBER($X210),$X210="DNA"),$X210,IF(OR(ISNUMBER($W210),$W210="DNA"),$W210,IF(OR(ISNUMBER($V210),$V210="DNA"),$V210,IF(OR(ISNUMBER($U210),$U210="DNA"),$U210,IF(OR(ISNUMBER($T210),$T210="DNA"),$T210,IF(OR(ISNUMBER($S210),$S210="DNA"),$S210,IF(OR(ISNUMBER($P210),$P210="DNA"),$P210,IF(OR(ISNUMBER($O210),$O210="DNA"),$O210,IF(OR(ISNUMBER($N210),$N210="DNA"),$N210,""))))))))))="DNA","Rebook DNA",IF(ISNUMBER(IF(OR(ISNUMBER($Y210),$Y210="DNA"),$Y210,IF(OR(ISNUMBER($X210),$X210="DNA"),$X210,IF(OR(ISNUMBER($W210),$W210="DNA"),$W210,IF(OR(ISNUMBER($V210),$V210="DNA"),$V210,IF(OR(ISNUMBER($U210),$U210="DNA"),$U210,IF(OR(ISNUMBER($T210),$T210="DNA"),$T210,IF(OR(ISNUMBER($S210),$S210="DNA"),$S210,IF(OR(ISNUMBER($P210),$P210="DNA"),$P210,IF(OR(ISNUMBER($O210),$O210="DNA"),$O210,IF(OR(ISNUMBER($N210),$N210="DNA"),$N210,""))))))))))),IF(ISNUMBER($Y210),"Update status","Missed/not booked?"),""))))</f>
        <v/>
      </c>
      <c r="M210" s="29">
        <f>IF(NOT(AND($A210&lt;&gt;"",OR($I210="",$I210="Active"))),"",IF(MIN(IF(AND(ISNUMBER($N210),$N210&gt;=TODAY()),$N210,99999),IF(AND(ISNUMBER($O210),$O210&gt;=TODAY()),$O210,99999),IF(AND(ISNUMBER($P210),$P210&gt;=TODAY()),$P210,99999),IF(AND(ISNUMBER($S210),$S210&gt;=TODAY()),$S210,99999),IF(AND(ISNUMBER($T210),$T210&gt;=TODAY()),$T210,99999),IF(AND(ISNUMBER($U210),$U210&gt;=TODAY()),$U210,99999),IF(AND(ISNUMBER($V210),$V210&gt;=TODAY()),$V210,99999),IF(AND(ISNUMBER($W210),$W210&gt;=TODAY()),$W210,99999),IF(AND(ISNUMBER($X210),$X210&gt;=TODAY()),$X210,99999),IF(AND(ISNUMBER($Y210),$Y210&gt;=TODAY()),$Y210,99999))=99999,"",MIN(IF(AND(ISNUMBER($N210),$N210&gt;=TODAY()),$N210,99999),IF(AND(ISNUMBER($O210),$O210&gt;=TODAY()),$O210,99999),IF(AND(ISNUMBER($P210),$P210&gt;=TODAY()),$P210,99999),IF(AND(ISNUMBER($S210),$S210&gt;=TODAY()),$S210,99999),IF(AND(ISNUMBER($T210),$T210&gt;=TODAY()),$T210,99999),IF(AND(ISNUMBER($U210),$U210&gt;=TODAY()),$U210,99999),IF(AND(ISNUMBER($V210),$V210&gt;=TODAY()),$V210,99999),IF(AND(ISNUMBER($W210),$W210&gt;=TODAY()),$W210,99999),IF(AND(ISNUMBER($X210),$X210&gt;=TODAY()),$X210,99999),IF(AND(ISNUMBER($Y210),$Y210&gt;=TODAY()),$Y210,99999))))</f>
        <v/>
      </c>
      <c r="N210" s="27" t="n"/>
      <c r="O210" s="27" t="n"/>
      <c r="P210" s="27" t="n"/>
      <c r="Q210" s="27" t="n"/>
      <c r="R210" s="27" t="n"/>
      <c r="S210" s="27" t="n"/>
      <c r="T210" s="27" t="n"/>
      <c r="U210" s="27" t="n"/>
      <c r="V210" s="27" t="n"/>
      <c r="W210" s="27" t="n"/>
      <c r="X210" s="27" t="n"/>
      <c r="Y210" s="27" t="n"/>
      <c r="Z210" s="27" t="n"/>
      <c r="AA210" s="27" t="n"/>
      <c r="AB210" s="27" t="n"/>
      <c r="AC210" s="30" t="n"/>
      <c r="AD210" s="25" t="n"/>
      <c r="AE210" s="28">
        <f>IF(NOT(AND($A210&lt;&gt;"",OR($I210="",$I210="Active"))),"",IF(OR(IF(OR(ISNUMBER($Y210),$Y210="DNA"),$Y210,IF(OR(ISNUMBER($X210),$X210="DNA"),$X210,IF(OR(ISNUMBER($W210),$W210="DNA"),$W210,IF(OR(ISNUMBER($V210),$V210="DNA"),$V210,IF(OR(ISNUMBER($U210),$U210="DNA"),$U210,IF(OR(ISNUMBER($T210),$T210="DNA"),$T210,IF(OR(ISNUMBER($S210),$S210="DNA"),$S210,IF(OR(ISNUMBER($P210),$P210="DNA"),$P210,IF(OR(ISNUMBER($O210),$O210="DNA"),$O210,IF(OR(ISNUMBER($N210),$N210="DNA"),$N210,""))))))))))="DNA",AND(ISNUMBER(IF(OR(ISNUMBER($Y210),$Y210="DNA"),$Y210,IF(OR(ISNUMBER($X210),$X210="DNA"),$X210,IF(OR(ISNUMBER($W210),$W210="DNA"),$W210,IF(OR(ISNUMBER($V210),$V210="DNA"),$V210,IF(OR(ISNUMBER($U210),$U210="DNA"),$U210,IF(OR(ISNUMBER($T210),$T210="DNA"),$T210,IF(OR(ISNUMBER($S210),$S210="DNA"),$S210,IF(OR(ISNUMBER($P210),$P210="DNA"),$P210,IF(OR(ISNUMBER($O210),$O210="DNA"),$O210,IF(OR(ISNUMBER($N210),$N210="DNA"),$N210,""))))))))))),IF(OR(ISNUMBER($Y210),$Y210="DNA"),$Y210,IF(OR(ISNUMBER($X210),$X210="DNA"),$X210,IF(OR(ISNUMBER($W210),$W210="DNA"),$W210,IF(OR(ISNUMBER($V210),$V210="DNA"),$V210,IF(OR(ISNUMBER($U210),$U210="DNA"),$U210,IF(OR(ISNUMBER($T210),$T210="DNA"),$T210,IF(OR(ISNUMBER($S210),$S210="DNA"),$S210,IF(OR(ISNUMBER($P210),$P210="DNA"),$P210,IF(OR(ISNUMBER($O210),$O210="DNA"),$O210,IF(OR(ISNUMBER($N210),$N210="DNA"),$N210,""))))))))))&lt;TODAY())),1,0)+ISNUMBER($Q210)*($Q210&lt;TODAY())+ISNUMBER($R210)*($R210&lt;TODAY())+ISNUMBER($AA210)*($AA210&lt;TODAY())+ISNUMBER($AB210)*($AB210&lt;TODAY()))</f>
        <v/>
      </c>
    </row>
    <row r="211">
      <c r="A211" s="25" t="n"/>
      <c r="B211" s="26" t="n"/>
      <c r="C211" s="27" t="n"/>
      <c r="D211" s="25" t="n"/>
      <c r="E211" s="25" t="n"/>
      <c r="F211" s="25" t="n"/>
      <c r="G211" s="25" t="n"/>
      <c r="H211" s="27" t="n"/>
      <c r="I211" s="25" t="n"/>
      <c r="J211" s="28">
        <f>IF(OR(NOT(AND($A211&lt;&gt;"",OR($I211="",$I211="Active"))),$H211=""),"",INT((TODAY()-$H211+280)/7)&amp;"+"&amp;MOD(TODAY()-$H211+280,7))</f>
        <v/>
      </c>
      <c r="K211" s="28">
        <f>IF(NOT(AND($A211&lt;&gt;"",OR($I211="",$I211="Active"))),"",ISNUMBER($N211)*($N211&gt;=TODAY())*($N211&lt;=TODAY()+7)+ISNUMBER($O211)*($O211&gt;=TODAY())*($O211&lt;=TODAY()+7)+ISNUMBER($P211)*($P211&gt;=TODAY())*($P211&lt;=TODAY()+7)+ISNUMBER($S211)*($S211&gt;=TODAY())*($S211&lt;=TODAY()+7)+ISNUMBER($T211)*($T211&gt;=TODAY())*($T211&lt;=TODAY()+7)+ISNUMBER($U211)*($U211&gt;=TODAY())*($U211&lt;=TODAY()+7)+ISNUMBER($V211)*($V211&gt;=TODAY())*($V211&lt;=TODAY()+7)+ISNUMBER($W211)*($W211&gt;=TODAY())*($W211&lt;=TODAY()+7)+ISNUMBER($X211)*($X211&gt;=TODAY())*($X211&lt;=TODAY()+7)+ISNUMBER($Y211)*($Y211&gt;=TODAY())*($Y211&lt;=TODAY()+7)+ISNUMBER($Q211)*($Q211&gt;=TODAY())*($Q211&lt;=TODAY()+7)+ISNUMBER($R211)*($R211&gt;=TODAY())*($R211&lt;=TODAY()+7)+ISNUMBER($AA211)*($AA211&gt;=TODAY())*($AA211&lt;=TODAY()+7)+ISNUMBER($AB211)*($AB211&gt;=TODAY())*($AB211&lt;=TODAY()+7))</f>
        <v/>
      </c>
      <c r="L211" s="28">
        <f>IF(NOT(AND($A211&lt;&gt;"",OR($I211="",$I211="Active"))),"",IF($M211&lt;&gt;"",IF($N211=$M211,"Booking",IF($O211=$M211,"16/40",IF($P211=$M211,"25/40",IF($S211=$M211,"28/40",IF($T211=$M211,"31/40",IF($U211=$M211,"34/40",IF($V211=$M211,"36/40",IF($W211=$M211,"38/40",IF($X211=$M211,"40/40",IF($Y211=$M211,"41/40","")))))))))),IF(IF(OR(ISNUMBER($Y211),$Y211="DNA"),$Y211,IF(OR(ISNUMBER($X211),$X211="DNA"),$X211,IF(OR(ISNUMBER($W211),$W211="DNA"),$W211,IF(OR(ISNUMBER($V211),$V211="DNA"),$V211,IF(OR(ISNUMBER($U211),$U211="DNA"),$U211,IF(OR(ISNUMBER($T211),$T211="DNA"),$T211,IF(OR(ISNUMBER($S211),$S211="DNA"),$S211,IF(OR(ISNUMBER($P211),$P211="DNA"),$P211,IF(OR(ISNUMBER($O211),$O211="DNA"),$O211,IF(OR(ISNUMBER($N211),$N211="DNA"),$N211,""))))))))))="DNA","Rebook DNA",IF(ISNUMBER(IF(OR(ISNUMBER($Y211),$Y211="DNA"),$Y211,IF(OR(ISNUMBER($X211),$X211="DNA"),$X211,IF(OR(ISNUMBER($W211),$W211="DNA"),$W211,IF(OR(ISNUMBER($V211),$V211="DNA"),$V211,IF(OR(ISNUMBER($U211),$U211="DNA"),$U211,IF(OR(ISNUMBER($T211),$T211="DNA"),$T211,IF(OR(ISNUMBER($S211),$S211="DNA"),$S211,IF(OR(ISNUMBER($P211),$P211="DNA"),$P211,IF(OR(ISNUMBER($O211),$O211="DNA"),$O211,IF(OR(ISNUMBER($N211),$N211="DNA"),$N211,""))))))))))),IF(ISNUMBER($Y211),"Update status","Missed/not booked?"),""))))</f>
        <v/>
      </c>
      <c r="M211" s="29">
        <f>IF(NOT(AND($A211&lt;&gt;"",OR($I211="",$I211="Active"))),"",IF(MIN(IF(AND(ISNUMBER($N211),$N211&gt;=TODAY()),$N211,99999),IF(AND(ISNUMBER($O211),$O211&gt;=TODAY()),$O211,99999),IF(AND(ISNUMBER($P211),$P211&gt;=TODAY()),$P211,99999),IF(AND(ISNUMBER($S211),$S211&gt;=TODAY()),$S211,99999),IF(AND(ISNUMBER($T211),$T211&gt;=TODAY()),$T211,99999),IF(AND(ISNUMBER($U211),$U211&gt;=TODAY()),$U211,99999),IF(AND(ISNUMBER($V211),$V211&gt;=TODAY()),$V211,99999),IF(AND(ISNUMBER($W211),$W211&gt;=TODAY()),$W211,99999),IF(AND(ISNUMBER($X211),$X211&gt;=TODAY()),$X211,99999),IF(AND(ISNUMBER($Y211),$Y211&gt;=TODAY()),$Y211,99999))=99999,"",MIN(IF(AND(ISNUMBER($N211),$N211&gt;=TODAY()),$N211,99999),IF(AND(ISNUMBER($O211),$O211&gt;=TODAY()),$O211,99999),IF(AND(ISNUMBER($P211),$P211&gt;=TODAY()),$P211,99999),IF(AND(ISNUMBER($S211),$S211&gt;=TODAY()),$S211,99999),IF(AND(ISNUMBER($T211),$T211&gt;=TODAY()),$T211,99999),IF(AND(ISNUMBER($U211),$U211&gt;=TODAY()),$U211,99999),IF(AND(ISNUMBER($V211),$V211&gt;=TODAY()),$V211,99999),IF(AND(ISNUMBER($W211),$W211&gt;=TODAY()),$W211,99999),IF(AND(ISNUMBER($X211),$X211&gt;=TODAY()),$X211,99999),IF(AND(ISNUMBER($Y211),$Y211&gt;=TODAY()),$Y211,99999))))</f>
        <v/>
      </c>
      <c r="N211" s="27" t="n"/>
      <c r="O211" s="27" t="n"/>
      <c r="P211" s="27" t="n"/>
      <c r="Q211" s="27" t="n"/>
      <c r="R211" s="27" t="n"/>
      <c r="S211" s="27" t="n"/>
      <c r="T211" s="27" t="n"/>
      <c r="U211" s="27" t="n"/>
      <c r="V211" s="27" t="n"/>
      <c r="W211" s="27" t="n"/>
      <c r="X211" s="27" t="n"/>
      <c r="Y211" s="27" t="n"/>
      <c r="Z211" s="27" t="n"/>
      <c r="AA211" s="27" t="n"/>
      <c r="AB211" s="27" t="n"/>
      <c r="AC211" s="30" t="n"/>
      <c r="AD211" s="25" t="n"/>
      <c r="AE211" s="28">
        <f>IF(NOT(AND($A211&lt;&gt;"",OR($I211="",$I211="Active"))),"",IF(OR(IF(OR(ISNUMBER($Y211),$Y211="DNA"),$Y211,IF(OR(ISNUMBER($X211),$X211="DNA"),$X211,IF(OR(ISNUMBER($W211),$W211="DNA"),$W211,IF(OR(ISNUMBER($V211),$V211="DNA"),$V211,IF(OR(ISNUMBER($U211),$U211="DNA"),$U211,IF(OR(ISNUMBER($T211),$T211="DNA"),$T211,IF(OR(ISNUMBER($S211),$S211="DNA"),$S211,IF(OR(ISNUMBER($P211),$P211="DNA"),$P211,IF(OR(ISNUMBER($O211),$O211="DNA"),$O211,IF(OR(ISNUMBER($N211),$N211="DNA"),$N211,""))))))))))="DNA",AND(ISNUMBER(IF(OR(ISNUMBER($Y211),$Y211="DNA"),$Y211,IF(OR(ISNUMBER($X211),$X211="DNA"),$X211,IF(OR(ISNUMBER($W211),$W211="DNA"),$W211,IF(OR(ISNUMBER($V211),$V211="DNA"),$V211,IF(OR(ISNUMBER($U211),$U211="DNA"),$U211,IF(OR(ISNUMBER($T211),$T211="DNA"),$T211,IF(OR(ISNUMBER($S211),$S211="DNA"),$S211,IF(OR(ISNUMBER($P211),$P211="DNA"),$P211,IF(OR(ISNUMBER($O211),$O211="DNA"),$O211,IF(OR(ISNUMBER($N211),$N211="DNA"),$N211,""))))))))))),IF(OR(ISNUMBER($Y211),$Y211="DNA"),$Y211,IF(OR(ISNUMBER($X211),$X211="DNA"),$X211,IF(OR(ISNUMBER($W211),$W211="DNA"),$W211,IF(OR(ISNUMBER($V211),$V211="DNA"),$V211,IF(OR(ISNUMBER($U211),$U211="DNA"),$U211,IF(OR(ISNUMBER($T211),$T211="DNA"),$T211,IF(OR(ISNUMBER($S211),$S211="DNA"),$S211,IF(OR(ISNUMBER($P211),$P211="DNA"),$P211,IF(OR(ISNUMBER($O211),$O211="DNA"),$O211,IF(OR(ISNUMBER($N211),$N211="DNA"),$N211,""))))))))))&lt;TODAY())),1,0)+ISNUMBER($Q211)*($Q211&lt;TODAY())+ISNUMBER($R211)*($R211&lt;TODAY())+ISNUMBER($AA211)*($AA211&lt;TODAY())+ISNUMBER($AB211)*($AB211&lt;TODAY()))</f>
        <v/>
      </c>
    </row>
    <row r="212">
      <c r="A212" s="25" t="n"/>
      <c r="B212" s="26" t="n"/>
      <c r="C212" s="27" t="n"/>
      <c r="D212" s="25" t="n"/>
      <c r="E212" s="25" t="n"/>
      <c r="F212" s="25" t="n"/>
      <c r="G212" s="25" t="n"/>
      <c r="H212" s="27" t="n"/>
      <c r="I212" s="25" t="n"/>
      <c r="J212" s="28">
        <f>IF(OR(NOT(AND($A212&lt;&gt;"",OR($I212="",$I212="Active"))),$H212=""),"",INT((TODAY()-$H212+280)/7)&amp;"+"&amp;MOD(TODAY()-$H212+280,7))</f>
        <v/>
      </c>
      <c r="K212" s="28">
        <f>IF(NOT(AND($A212&lt;&gt;"",OR($I212="",$I212="Active"))),"",ISNUMBER($N212)*($N212&gt;=TODAY())*($N212&lt;=TODAY()+7)+ISNUMBER($O212)*($O212&gt;=TODAY())*($O212&lt;=TODAY()+7)+ISNUMBER($P212)*($P212&gt;=TODAY())*($P212&lt;=TODAY()+7)+ISNUMBER($S212)*($S212&gt;=TODAY())*($S212&lt;=TODAY()+7)+ISNUMBER($T212)*($T212&gt;=TODAY())*($T212&lt;=TODAY()+7)+ISNUMBER($U212)*($U212&gt;=TODAY())*($U212&lt;=TODAY()+7)+ISNUMBER($V212)*($V212&gt;=TODAY())*($V212&lt;=TODAY()+7)+ISNUMBER($W212)*($W212&gt;=TODAY())*($W212&lt;=TODAY()+7)+ISNUMBER($X212)*($X212&gt;=TODAY())*($X212&lt;=TODAY()+7)+ISNUMBER($Y212)*($Y212&gt;=TODAY())*($Y212&lt;=TODAY()+7)+ISNUMBER($Q212)*($Q212&gt;=TODAY())*($Q212&lt;=TODAY()+7)+ISNUMBER($R212)*($R212&gt;=TODAY())*($R212&lt;=TODAY()+7)+ISNUMBER($AA212)*($AA212&gt;=TODAY())*($AA212&lt;=TODAY()+7)+ISNUMBER($AB212)*($AB212&gt;=TODAY())*($AB212&lt;=TODAY()+7))</f>
        <v/>
      </c>
      <c r="L212" s="28">
        <f>IF(NOT(AND($A212&lt;&gt;"",OR($I212="",$I212="Active"))),"",IF($M212&lt;&gt;"",IF($N212=$M212,"Booking",IF($O212=$M212,"16/40",IF($P212=$M212,"25/40",IF($S212=$M212,"28/40",IF($T212=$M212,"31/40",IF($U212=$M212,"34/40",IF($V212=$M212,"36/40",IF($W212=$M212,"38/40",IF($X212=$M212,"40/40",IF($Y212=$M212,"41/40","")))))))))),IF(IF(OR(ISNUMBER($Y212),$Y212="DNA"),$Y212,IF(OR(ISNUMBER($X212),$X212="DNA"),$X212,IF(OR(ISNUMBER($W212),$W212="DNA"),$W212,IF(OR(ISNUMBER($V212),$V212="DNA"),$V212,IF(OR(ISNUMBER($U212),$U212="DNA"),$U212,IF(OR(ISNUMBER($T212),$T212="DNA"),$T212,IF(OR(ISNUMBER($S212),$S212="DNA"),$S212,IF(OR(ISNUMBER($P212),$P212="DNA"),$P212,IF(OR(ISNUMBER($O212),$O212="DNA"),$O212,IF(OR(ISNUMBER($N212),$N212="DNA"),$N212,""))))))))))="DNA","Rebook DNA",IF(ISNUMBER(IF(OR(ISNUMBER($Y212),$Y212="DNA"),$Y212,IF(OR(ISNUMBER($X212),$X212="DNA"),$X212,IF(OR(ISNUMBER($W212),$W212="DNA"),$W212,IF(OR(ISNUMBER($V212),$V212="DNA"),$V212,IF(OR(ISNUMBER($U212),$U212="DNA"),$U212,IF(OR(ISNUMBER($T212),$T212="DNA"),$T212,IF(OR(ISNUMBER($S212),$S212="DNA"),$S212,IF(OR(ISNUMBER($P212),$P212="DNA"),$P212,IF(OR(ISNUMBER($O212),$O212="DNA"),$O212,IF(OR(ISNUMBER($N212),$N212="DNA"),$N212,""))))))))))),IF(ISNUMBER($Y212),"Update status","Missed/not booked?"),""))))</f>
        <v/>
      </c>
      <c r="M212" s="29">
        <f>IF(NOT(AND($A212&lt;&gt;"",OR($I212="",$I212="Active"))),"",IF(MIN(IF(AND(ISNUMBER($N212),$N212&gt;=TODAY()),$N212,99999),IF(AND(ISNUMBER($O212),$O212&gt;=TODAY()),$O212,99999),IF(AND(ISNUMBER($P212),$P212&gt;=TODAY()),$P212,99999),IF(AND(ISNUMBER($S212),$S212&gt;=TODAY()),$S212,99999),IF(AND(ISNUMBER($T212),$T212&gt;=TODAY()),$T212,99999),IF(AND(ISNUMBER($U212),$U212&gt;=TODAY()),$U212,99999),IF(AND(ISNUMBER($V212),$V212&gt;=TODAY()),$V212,99999),IF(AND(ISNUMBER($W212),$W212&gt;=TODAY()),$W212,99999),IF(AND(ISNUMBER($X212),$X212&gt;=TODAY()),$X212,99999),IF(AND(ISNUMBER($Y212),$Y212&gt;=TODAY()),$Y212,99999))=99999,"",MIN(IF(AND(ISNUMBER($N212),$N212&gt;=TODAY()),$N212,99999),IF(AND(ISNUMBER($O212),$O212&gt;=TODAY()),$O212,99999),IF(AND(ISNUMBER($P212),$P212&gt;=TODAY()),$P212,99999),IF(AND(ISNUMBER($S212),$S212&gt;=TODAY()),$S212,99999),IF(AND(ISNUMBER($T212),$T212&gt;=TODAY()),$T212,99999),IF(AND(ISNUMBER($U212),$U212&gt;=TODAY()),$U212,99999),IF(AND(ISNUMBER($V212),$V212&gt;=TODAY()),$V212,99999),IF(AND(ISNUMBER($W212),$W212&gt;=TODAY()),$W212,99999),IF(AND(ISNUMBER($X212),$X212&gt;=TODAY()),$X212,99999),IF(AND(ISNUMBER($Y212),$Y212&gt;=TODAY()),$Y212,99999))))</f>
        <v/>
      </c>
      <c r="N212" s="27" t="n"/>
      <c r="O212" s="27" t="n"/>
      <c r="P212" s="27" t="n"/>
      <c r="Q212" s="27" t="n"/>
      <c r="R212" s="27" t="n"/>
      <c r="S212" s="27" t="n"/>
      <c r="T212" s="27" t="n"/>
      <c r="U212" s="27" t="n"/>
      <c r="V212" s="27" t="n"/>
      <c r="W212" s="27" t="n"/>
      <c r="X212" s="27" t="n"/>
      <c r="Y212" s="27" t="n"/>
      <c r="Z212" s="27" t="n"/>
      <c r="AA212" s="27" t="n"/>
      <c r="AB212" s="27" t="n"/>
      <c r="AC212" s="30" t="n"/>
      <c r="AD212" s="25" t="n"/>
      <c r="AE212" s="28">
        <f>IF(NOT(AND($A212&lt;&gt;"",OR($I212="",$I212="Active"))),"",IF(OR(IF(OR(ISNUMBER($Y212),$Y212="DNA"),$Y212,IF(OR(ISNUMBER($X212),$X212="DNA"),$X212,IF(OR(ISNUMBER($W212),$W212="DNA"),$W212,IF(OR(ISNUMBER($V212),$V212="DNA"),$V212,IF(OR(ISNUMBER($U212),$U212="DNA"),$U212,IF(OR(ISNUMBER($T212),$T212="DNA"),$T212,IF(OR(ISNUMBER($S212),$S212="DNA"),$S212,IF(OR(ISNUMBER($P212),$P212="DNA"),$P212,IF(OR(ISNUMBER($O212),$O212="DNA"),$O212,IF(OR(ISNUMBER($N212),$N212="DNA"),$N212,""))))))))))="DNA",AND(ISNUMBER(IF(OR(ISNUMBER($Y212),$Y212="DNA"),$Y212,IF(OR(ISNUMBER($X212),$X212="DNA"),$X212,IF(OR(ISNUMBER($W212),$W212="DNA"),$W212,IF(OR(ISNUMBER($V212),$V212="DNA"),$V212,IF(OR(ISNUMBER($U212),$U212="DNA"),$U212,IF(OR(ISNUMBER($T212),$T212="DNA"),$T212,IF(OR(ISNUMBER($S212),$S212="DNA"),$S212,IF(OR(ISNUMBER($P212),$P212="DNA"),$P212,IF(OR(ISNUMBER($O212),$O212="DNA"),$O212,IF(OR(ISNUMBER($N212),$N212="DNA"),$N212,""))))))))))),IF(OR(ISNUMBER($Y212),$Y212="DNA"),$Y212,IF(OR(ISNUMBER($X212),$X212="DNA"),$X212,IF(OR(ISNUMBER($W212),$W212="DNA"),$W212,IF(OR(ISNUMBER($V212),$V212="DNA"),$V212,IF(OR(ISNUMBER($U212),$U212="DNA"),$U212,IF(OR(ISNUMBER($T212),$T212="DNA"),$T212,IF(OR(ISNUMBER($S212),$S212="DNA"),$S212,IF(OR(ISNUMBER($P212),$P212="DNA"),$P212,IF(OR(ISNUMBER($O212),$O212="DNA"),$O212,IF(OR(ISNUMBER($N212),$N212="DNA"),$N212,""))))))))))&lt;TODAY())),1,0)+ISNUMBER($Q212)*($Q212&lt;TODAY())+ISNUMBER($R212)*($R212&lt;TODAY())+ISNUMBER($AA212)*($AA212&lt;TODAY())+ISNUMBER($AB212)*($AB212&lt;TODAY()))</f>
        <v/>
      </c>
    </row>
    <row r="213">
      <c r="A213" s="25" t="n"/>
      <c r="B213" s="26" t="n"/>
      <c r="C213" s="27" t="n"/>
      <c r="D213" s="25" t="n"/>
      <c r="E213" s="25" t="n"/>
      <c r="F213" s="25" t="n"/>
      <c r="G213" s="25" t="n"/>
      <c r="H213" s="27" t="n"/>
      <c r="I213" s="25" t="n"/>
      <c r="J213" s="28">
        <f>IF(OR(NOT(AND($A213&lt;&gt;"",OR($I213="",$I213="Active"))),$H213=""),"",INT((TODAY()-$H213+280)/7)&amp;"+"&amp;MOD(TODAY()-$H213+280,7))</f>
        <v/>
      </c>
      <c r="K213" s="28">
        <f>IF(NOT(AND($A213&lt;&gt;"",OR($I213="",$I213="Active"))),"",ISNUMBER($N213)*($N213&gt;=TODAY())*($N213&lt;=TODAY()+7)+ISNUMBER($O213)*($O213&gt;=TODAY())*($O213&lt;=TODAY()+7)+ISNUMBER($P213)*($P213&gt;=TODAY())*($P213&lt;=TODAY()+7)+ISNUMBER($S213)*($S213&gt;=TODAY())*($S213&lt;=TODAY()+7)+ISNUMBER($T213)*($T213&gt;=TODAY())*($T213&lt;=TODAY()+7)+ISNUMBER($U213)*($U213&gt;=TODAY())*($U213&lt;=TODAY()+7)+ISNUMBER($V213)*($V213&gt;=TODAY())*($V213&lt;=TODAY()+7)+ISNUMBER($W213)*($W213&gt;=TODAY())*($W213&lt;=TODAY()+7)+ISNUMBER($X213)*($X213&gt;=TODAY())*($X213&lt;=TODAY()+7)+ISNUMBER($Y213)*($Y213&gt;=TODAY())*($Y213&lt;=TODAY()+7)+ISNUMBER($Q213)*($Q213&gt;=TODAY())*($Q213&lt;=TODAY()+7)+ISNUMBER($R213)*($R213&gt;=TODAY())*($R213&lt;=TODAY()+7)+ISNUMBER($AA213)*($AA213&gt;=TODAY())*($AA213&lt;=TODAY()+7)+ISNUMBER($AB213)*($AB213&gt;=TODAY())*($AB213&lt;=TODAY()+7))</f>
        <v/>
      </c>
      <c r="L213" s="28">
        <f>IF(NOT(AND($A213&lt;&gt;"",OR($I213="",$I213="Active"))),"",IF($M213&lt;&gt;"",IF($N213=$M213,"Booking",IF($O213=$M213,"16/40",IF($P213=$M213,"25/40",IF($S213=$M213,"28/40",IF($T213=$M213,"31/40",IF($U213=$M213,"34/40",IF($V213=$M213,"36/40",IF($W213=$M213,"38/40",IF($X213=$M213,"40/40",IF($Y213=$M213,"41/40","")))))))))),IF(IF(OR(ISNUMBER($Y213),$Y213="DNA"),$Y213,IF(OR(ISNUMBER($X213),$X213="DNA"),$X213,IF(OR(ISNUMBER($W213),$W213="DNA"),$W213,IF(OR(ISNUMBER($V213),$V213="DNA"),$V213,IF(OR(ISNUMBER($U213),$U213="DNA"),$U213,IF(OR(ISNUMBER($T213),$T213="DNA"),$T213,IF(OR(ISNUMBER($S213),$S213="DNA"),$S213,IF(OR(ISNUMBER($P213),$P213="DNA"),$P213,IF(OR(ISNUMBER($O213),$O213="DNA"),$O213,IF(OR(ISNUMBER($N213),$N213="DNA"),$N213,""))))))))))="DNA","Rebook DNA",IF(ISNUMBER(IF(OR(ISNUMBER($Y213),$Y213="DNA"),$Y213,IF(OR(ISNUMBER($X213),$X213="DNA"),$X213,IF(OR(ISNUMBER($W213),$W213="DNA"),$W213,IF(OR(ISNUMBER($V213),$V213="DNA"),$V213,IF(OR(ISNUMBER($U213),$U213="DNA"),$U213,IF(OR(ISNUMBER($T213),$T213="DNA"),$T213,IF(OR(ISNUMBER($S213),$S213="DNA"),$S213,IF(OR(ISNUMBER($P213),$P213="DNA"),$P213,IF(OR(ISNUMBER($O213),$O213="DNA"),$O213,IF(OR(ISNUMBER($N213),$N213="DNA"),$N213,""))))))))))),IF(ISNUMBER($Y213),"Update status","Missed/not booked?"),""))))</f>
        <v/>
      </c>
      <c r="M213" s="29">
        <f>IF(NOT(AND($A213&lt;&gt;"",OR($I213="",$I213="Active"))),"",IF(MIN(IF(AND(ISNUMBER($N213),$N213&gt;=TODAY()),$N213,99999),IF(AND(ISNUMBER($O213),$O213&gt;=TODAY()),$O213,99999),IF(AND(ISNUMBER($P213),$P213&gt;=TODAY()),$P213,99999),IF(AND(ISNUMBER($S213),$S213&gt;=TODAY()),$S213,99999),IF(AND(ISNUMBER($T213),$T213&gt;=TODAY()),$T213,99999),IF(AND(ISNUMBER($U213),$U213&gt;=TODAY()),$U213,99999),IF(AND(ISNUMBER($V213),$V213&gt;=TODAY()),$V213,99999),IF(AND(ISNUMBER($W213),$W213&gt;=TODAY()),$W213,99999),IF(AND(ISNUMBER($X213),$X213&gt;=TODAY()),$X213,99999),IF(AND(ISNUMBER($Y213),$Y213&gt;=TODAY()),$Y213,99999))=99999,"",MIN(IF(AND(ISNUMBER($N213),$N213&gt;=TODAY()),$N213,99999),IF(AND(ISNUMBER($O213),$O213&gt;=TODAY()),$O213,99999),IF(AND(ISNUMBER($P213),$P213&gt;=TODAY()),$P213,99999),IF(AND(ISNUMBER($S213),$S213&gt;=TODAY()),$S213,99999),IF(AND(ISNUMBER($T213),$T213&gt;=TODAY()),$T213,99999),IF(AND(ISNUMBER($U213),$U213&gt;=TODAY()),$U213,99999),IF(AND(ISNUMBER($V213),$V213&gt;=TODAY()),$V213,99999),IF(AND(ISNUMBER($W213),$W213&gt;=TODAY()),$W213,99999),IF(AND(ISNUMBER($X213),$X213&gt;=TODAY()),$X213,99999),IF(AND(ISNUMBER($Y213),$Y213&gt;=TODAY()),$Y213,99999))))</f>
        <v/>
      </c>
      <c r="N213" s="27" t="n"/>
      <c r="O213" s="27" t="n"/>
      <c r="P213" s="27" t="n"/>
      <c r="Q213" s="27" t="n"/>
      <c r="R213" s="27" t="n"/>
      <c r="S213" s="27" t="n"/>
      <c r="T213" s="27" t="n"/>
      <c r="U213" s="27" t="n"/>
      <c r="V213" s="27" t="n"/>
      <c r="W213" s="27" t="n"/>
      <c r="X213" s="27" t="n"/>
      <c r="Y213" s="27" t="n"/>
      <c r="Z213" s="27" t="n"/>
      <c r="AA213" s="27" t="n"/>
      <c r="AB213" s="27" t="n"/>
      <c r="AC213" s="30" t="n"/>
      <c r="AD213" s="25" t="n"/>
      <c r="AE213" s="28">
        <f>IF(NOT(AND($A213&lt;&gt;"",OR($I213="",$I213="Active"))),"",IF(OR(IF(OR(ISNUMBER($Y213),$Y213="DNA"),$Y213,IF(OR(ISNUMBER($X213),$X213="DNA"),$X213,IF(OR(ISNUMBER($W213),$W213="DNA"),$W213,IF(OR(ISNUMBER($V213),$V213="DNA"),$V213,IF(OR(ISNUMBER($U213),$U213="DNA"),$U213,IF(OR(ISNUMBER($T213),$T213="DNA"),$T213,IF(OR(ISNUMBER($S213),$S213="DNA"),$S213,IF(OR(ISNUMBER($P213),$P213="DNA"),$P213,IF(OR(ISNUMBER($O213),$O213="DNA"),$O213,IF(OR(ISNUMBER($N213),$N213="DNA"),$N213,""))))))))))="DNA",AND(ISNUMBER(IF(OR(ISNUMBER($Y213),$Y213="DNA"),$Y213,IF(OR(ISNUMBER($X213),$X213="DNA"),$X213,IF(OR(ISNUMBER($W213),$W213="DNA"),$W213,IF(OR(ISNUMBER($V213),$V213="DNA"),$V213,IF(OR(ISNUMBER($U213),$U213="DNA"),$U213,IF(OR(ISNUMBER($T213),$T213="DNA"),$T213,IF(OR(ISNUMBER($S213),$S213="DNA"),$S213,IF(OR(ISNUMBER($P213),$P213="DNA"),$P213,IF(OR(ISNUMBER($O213),$O213="DNA"),$O213,IF(OR(ISNUMBER($N213),$N213="DNA"),$N213,""))))))))))),IF(OR(ISNUMBER($Y213),$Y213="DNA"),$Y213,IF(OR(ISNUMBER($X213),$X213="DNA"),$X213,IF(OR(ISNUMBER($W213),$W213="DNA"),$W213,IF(OR(ISNUMBER($V213),$V213="DNA"),$V213,IF(OR(ISNUMBER($U213),$U213="DNA"),$U213,IF(OR(ISNUMBER($T213),$T213="DNA"),$T213,IF(OR(ISNUMBER($S213),$S213="DNA"),$S213,IF(OR(ISNUMBER($P213),$P213="DNA"),$P213,IF(OR(ISNUMBER($O213),$O213="DNA"),$O213,IF(OR(ISNUMBER($N213),$N213="DNA"),$N213,""))))))))))&lt;TODAY())),1,0)+ISNUMBER($Q213)*($Q213&lt;TODAY())+ISNUMBER($R213)*($R213&lt;TODAY())+ISNUMBER($AA213)*($AA213&lt;TODAY())+ISNUMBER($AB213)*($AB213&lt;TODAY()))</f>
        <v/>
      </c>
    </row>
    <row r="214">
      <c r="A214" s="25" t="n"/>
      <c r="B214" s="26" t="n"/>
      <c r="C214" s="27" t="n"/>
      <c r="D214" s="25" t="n"/>
      <c r="E214" s="25" t="n"/>
      <c r="F214" s="25" t="n"/>
      <c r="G214" s="25" t="n"/>
      <c r="H214" s="27" t="n"/>
      <c r="I214" s="25" t="n"/>
      <c r="J214" s="28">
        <f>IF(OR(NOT(AND($A214&lt;&gt;"",OR($I214="",$I214="Active"))),$H214=""),"",INT((TODAY()-$H214+280)/7)&amp;"+"&amp;MOD(TODAY()-$H214+280,7))</f>
        <v/>
      </c>
      <c r="K214" s="28">
        <f>IF(NOT(AND($A214&lt;&gt;"",OR($I214="",$I214="Active"))),"",ISNUMBER($N214)*($N214&gt;=TODAY())*($N214&lt;=TODAY()+7)+ISNUMBER($O214)*($O214&gt;=TODAY())*($O214&lt;=TODAY()+7)+ISNUMBER($P214)*($P214&gt;=TODAY())*($P214&lt;=TODAY()+7)+ISNUMBER($S214)*($S214&gt;=TODAY())*($S214&lt;=TODAY()+7)+ISNUMBER($T214)*($T214&gt;=TODAY())*($T214&lt;=TODAY()+7)+ISNUMBER($U214)*($U214&gt;=TODAY())*($U214&lt;=TODAY()+7)+ISNUMBER($V214)*($V214&gt;=TODAY())*($V214&lt;=TODAY()+7)+ISNUMBER($W214)*($W214&gt;=TODAY())*($W214&lt;=TODAY()+7)+ISNUMBER($X214)*($X214&gt;=TODAY())*($X214&lt;=TODAY()+7)+ISNUMBER($Y214)*($Y214&gt;=TODAY())*($Y214&lt;=TODAY()+7)+ISNUMBER($Q214)*($Q214&gt;=TODAY())*($Q214&lt;=TODAY()+7)+ISNUMBER($R214)*($R214&gt;=TODAY())*($R214&lt;=TODAY()+7)+ISNUMBER($AA214)*($AA214&gt;=TODAY())*($AA214&lt;=TODAY()+7)+ISNUMBER($AB214)*($AB214&gt;=TODAY())*($AB214&lt;=TODAY()+7))</f>
        <v/>
      </c>
      <c r="L214" s="28">
        <f>IF(NOT(AND($A214&lt;&gt;"",OR($I214="",$I214="Active"))),"",IF($M214&lt;&gt;"",IF($N214=$M214,"Booking",IF($O214=$M214,"16/40",IF($P214=$M214,"25/40",IF($S214=$M214,"28/40",IF($T214=$M214,"31/40",IF($U214=$M214,"34/40",IF($V214=$M214,"36/40",IF($W214=$M214,"38/40",IF($X214=$M214,"40/40",IF($Y214=$M214,"41/40","")))))))))),IF(IF(OR(ISNUMBER($Y214),$Y214="DNA"),$Y214,IF(OR(ISNUMBER($X214),$X214="DNA"),$X214,IF(OR(ISNUMBER($W214),$W214="DNA"),$W214,IF(OR(ISNUMBER($V214),$V214="DNA"),$V214,IF(OR(ISNUMBER($U214),$U214="DNA"),$U214,IF(OR(ISNUMBER($T214),$T214="DNA"),$T214,IF(OR(ISNUMBER($S214),$S214="DNA"),$S214,IF(OR(ISNUMBER($P214),$P214="DNA"),$P214,IF(OR(ISNUMBER($O214),$O214="DNA"),$O214,IF(OR(ISNUMBER($N214),$N214="DNA"),$N214,""))))))))))="DNA","Rebook DNA",IF(ISNUMBER(IF(OR(ISNUMBER($Y214),$Y214="DNA"),$Y214,IF(OR(ISNUMBER($X214),$X214="DNA"),$X214,IF(OR(ISNUMBER($W214),$W214="DNA"),$W214,IF(OR(ISNUMBER($V214),$V214="DNA"),$V214,IF(OR(ISNUMBER($U214),$U214="DNA"),$U214,IF(OR(ISNUMBER($T214),$T214="DNA"),$T214,IF(OR(ISNUMBER($S214),$S214="DNA"),$S214,IF(OR(ISNUMBER($P214),$P214="DNA"),$P214,IF(OR(ISNUMBER($O214),$O214="DNA"),$O214,IF(OR(ISNUMBER($N214),$N214="DNA"),$N214,""))))))))))),IF(ISNUMBER($Y214),"Update status","Missed/not booked?"),""))))</f>
        <v/>
      </c>
      <c r="M214" s="29">
        <f>IF(NOT(AND($A214&lt;&gt;"",OR($I214="",$I214="Active"))),"",IF(MIN(IF(AND(ISNUMBER($N214),$N214&gt;=TODAY()),$N214,99999),IF(AND(ISNUMBER($O214),$O214&gt;=TODAY()),$O214,99999),IF(AND(ISNUMBER($P214),$P214&gt;=TODAY()),$P214,99999),IF(AND(ISNUMBER($S214),$S214&gt;=TODAY()),$S214,99999),IF(AND(ISNUMBER($T214),$T214&gt;=TODAY()),$T214,99999),IF(AND(ISNUMBER($U214),$U214&gt;=TODAY()),$U214,99999),IF(AND(ISNUMBER($V214),$V214&gt;=TODAY()),$V214,99999),IF(AND(ISNUMBER($W214),$W214&gt;=TODAY()),$W214,99999),IF(AND(ISNUMBER($X214),$X214&gt;=TODAY()),$X214,99999),IF(AND(ISNUMBER($Y214),$Y214&gt;=TODAY()),$Y214,99999))=99999,"",MIN(IF(AND(ISNUMBER($N214),$N214&gt;=TODAY()),$N214,99999),IF(AND(ISNUMBER($O214),$O214&gt;=TODAY()),$O214,99999),IF(AND(ISNUMBER($P214),$P214&gt;=TODAY()),$P214,99999),IF(AND(ISNUMBER($S214),$S214&gt;=TODAY()),$S214,99999),IF(AND(ISNUMBER($T214),$T214&gt;=TODAY()),$T214,99999),IF(AND(ISNUMBER($U214),$U214&gt;=TODAY()),$U214,99999),IF(AND(ISNUMBER($V214),$V214&gt;=TODAY()),$V214,99999),IF(AND(ISNUMBER($W214),$W214&gt;=TODAY()),$W214,99999),IF(AND(ISNUMBER($X214),$X214&gt;=TODAY()),$X214,99999),IF(AND(ISNUMBER($Y214),$Y214&gt;=TODAY()),$Y214,99999))))</f>
        <v/>
      </c>
      <c r="N214" s="27" t="n"/>
      <c r="O214" s="27" t="n"/>
      <c r="P214" s="27" t="n"/>
      <c r="Q214" s="27" t="n"/>
      <c r="R214" s="27" t="n"/>
      <c r="S214" s="27" t="n"/>
      <c r="T214" s="27" t="n"/>
      <c r="U214" s="27" t="n"/>
      <c r="V214" s="27" t="n"/>
      <c r="W214" s="27" t="n"/>
      <c r="X214" s="27" t="n"/>
      <c r="Y214" s="27" t="n"/>
      <c r="Z214" s="27" t="n"/>
      <c r="AA214" s="27" t="n"/>
      <c r="AB214" s="27" t="n"/>
      <c r="AC214" s="30" t="n"/>
      <c r="AD214" s="25" t="n"/>
      <c r="AE214" s="28">
        <f>IF(NOT(AND($A214&lt;&gt;"",OR($I214="",$I214="Active"))),"",IF(OR(IF(OR(ISNUMBER($Y214),$Y214="DNA"),$Y214,IF(OR(ISNUMBER($X214),$X214="DNA"),$X214,IF(OR(ISNUMBER($W214),$W214="DNA"),$W214,IF(OR(ISNUMBER($V214),$V214="DNA"),$V214,IF(OR(ISNUMBER($U214),$U214="DNA"),$U214,IF(OR(ISNUMBER($T214),$T214="DNA"),$T214,IF(OR(ISNUMBER($S214),$S214="DNA"),$S214,IF(OR(ISNUMBER($P214),$P214="DNA"),$P214,IF(OR(ISNUMBER($O214),$O214="DNA"),$O214,IF(OR(ISNUMBER($N214),$N214="DNA"),$N214,""))))))))))="DNA",AND(ISNUMBER(IF(OR(ISNUMBER($Y214),$Y214="DNA"),$Y214,IF(OR(ISNUMBER($X214),$X214="DNA"),$X214,IF(OR(ISNUMBER($W214),$W214="DNA"),$W214,IF(OR(ISNUMBER($V214),$V214="DNA"),$V214,IF(OR(ISNUMBER($U214),$U214="DNA"),$U214,IF(OR(ISNUMBER($T214),$T214="DNA"),$T214,IF(OR(ISNUMBER($S214),$S214="DNA"),$S214,IF(OR(ISNUMBER($P214),$P214="DNA"),$P214,IF(OR(ISNUMBER($O214),$O214="DNA"),$O214,IF(OR(ISNUMBER($N214),$N214="DNA"),$N214,""))))))))))),IF(OR(ISNUMBER($Y214),$Y214="DNA"),$Y214,IF(OR(ISNUMBER($X214),$X214="DNA"),$X214,IF(OR(ISNUMBER($W214),$W214="DNA"),$W214,IF(OR(ISNUMBER($V214),$V214="DNA"),$V214,IF(OR(ISNUMBER($U214),$U214="DNA"),$U214,IF(OR(ISNUMBER($T214),$T214="DNA"),$T214,IF(OR(ISNUMBER($S214),$S214="DNA"),$S214,IF(OR(ISNUMBER($P214),$P214="DNA"),$P214,IF(OR(ISNUMBER($O214),$O214="DNA"),$O214,IF(OR(ISNUMBER($N214),$N214="DNA"),$N214,""))))))))))&lt;TODAY())),1,0)+ISNUMBER($Q214)*($Q214&lt;TODAY())+ISNUMBER($R214)*($R214&lt;TODAY())+ISNUMBER($AA214)*($AA214&lt;TODAY())+ISNUMBER($AB214)*($AB214&lt;TODAY()))</f>
        <v/>
      </c>
    </row>
    <row r="215">
      <c r="A215" s="25" t="n"/>
      <c r="B215" s="26" t="n"/>
      <c r="C215" s="27" t="n"/>
      <c r="D215" s="25" t="n"/>
      <c r="E215" s="25" t="n"/>
      <c r="F215" s="25" t="n"/>
      <c r="G215" s="25" t="n"/>
      <c r="H215" s="27" t="n"/>
      <c r="I215" s="25" t="n"/>
      <c r="J215" s="28">
        <f>IF(OR(NOT(AND($A215&lt;&gt;"",OR($I215="",$I215="Active"))),$H215=""),"",INT((TODAY()-$H215+280)/7)&amp;"+"&amp;MOD(TODAY()-$H215+280,7))</f>
        <v/>
      </c>
      <c r="K215" s="28">
        <f>IF(NOT(AND($A215&lt;&gt;"",OR($I215="",$I215="Active"))),"",ISNUMBER($N215)*($N215&gt;=TODAY())*($N215&lt;=TODAY()+7)+ISNUMBER($O215)*($O215&gt;=TODAY())*($O215&lt;=TODAY()+7)+ISNUMBER($P215)*($P215&gt;=TODAY())*($P215&lt;=TODAY()+7)+ISNUMBER($S215)*($S215&gt;=TODAY())*($S215&lt;=TODAY()+7)+ISNUMBER($T215)*($T215&gt;=TODAY())*($T215&lt;=TODAY()+7)+ISNUMBER($U215)*($U215&gt;=TODAY())*($U215&lt;=TODAY()+7)+ISNUMBER($V215)*($V215&gt;=TODAY())*($V215&lt;=TODAY()+7)+ISNUMBER($W215)*($W215&gt;=TODAY())*($W215&lt;=TODAY()+7)+ISNUMBER($X215)*($X215&gt;=TODAY())*($X215&lt;=TODAY()+7)+ISNUMBER($Y215)*($Y215&gt;=TODAY())*($Y215&lt;=TODAY()+7)+ISNUMBER($Q215)*($Q215&gt;=TODAY())*($Q215&lt;=TODAY()+7)+ISNUMBER($R215)*($R215&gt;=TODAY())*($R215&lt;=TODAY()+7)+ISNUMBER($AA215)*($AA215&gt;=TODAY())*($AA215&lt;=TODAY()+7)+ISNUMBER($AB215)*($AB215&gt;=TODAY())*($AB215&lt;=TODAY()+7))</f>
        <v/>
      </c>
      <c r="L215" s="28">
        <f>IF(NOT(AND($A215&lt;&gt;"",OR($I215="",$I215="Active"))),"",IF($M215&lt;&gt;"",IF($N215=$M215,"Booking",IF($O215=$M215,"16/40",IF($P215=$M215,"25/40",IF($S215=$M215,"28/40",IF($T215=$M215,"31/40",IF($U215=$M215,"34/40",IF($V215=$M215,"36/40",IF($W215=$M215,"38/40",IF($X215=$M215,"40/40",IF($Y215=$M215,"41/40","")))))))))),IF(IF(OR(ISNUMBER($Y215),$Y215="DNA"),$Y215,IF(OR(ISNUMBER($X215),$X215="DNA"),$X215,IF(OR(ISNUMBER($W215),$W215="DNA"),$W215,IF(OR(ISNUMBER($V215),$V215="DNA"),$V215,IF(OR(ISNUMBER($U215),$U215="DNA"),$U215,IF(OR(ISNUMBER($T215),$T215="DNA"),$T215,IF(OR(ISNUMBER($S215),$S215="DNA"),$S215,IF(OR(ISNUMBER($P215),$P215="DNA"),$P215,IF(OR(ISNUMBER($O215),$O215="DNA"),$O215,IF(OR(ISNUMBER($N215),$N215="DNA"),$N215,""))))))))))="DNA","Rebook DNA",IF(ISNUMBER(IF(OR(ISNUMBER($Y215),$Y215="DNA"),$Y215,IF(OR(ISNUMBER($X215),$X215="DNA"),$X215,IF(OR(ISNUMBER($W215),$W215="DNA"),$W215,IF(OR(ISNUMBER($V215),$V215="DNA"),$V215,IF(OR(ISNUMBER($U215),$U215="DNA"),$U215,IF(OR(ISNUMBER($T215),$T215="DNA"),$T215,IF(OR(ISNUMBER($S215),$S215="DNA"),$S215,IF(OR(ISNUMBER($P215),$P215="DNA"),$P215,IF(OR(ISNUMBER($O215),$O215="DNA"),$O215,IF(OR(ISNUMBER($N215),$N215="DNA"),$N215,""))))))))))),IF(ISNUMBER($Y215),"Update status","Missed/not booked?"),""))))</f>
        <v/>
      </c>
      <c r="M215" s="29">
        <f>IF(NOT(AND($A215&lt;&gt;"",OR($I215="",$I215="Active"))),"",IF(MIN(IF(AND(ISNUMBER($N215),$N215&gt;=TODAY()),$N215,99999),IF(AND(ISNUMBER($O215),$O215&gt;=TODAY()),$O215,99999),IF(AND(ISNUMBER($P215),$P215&gt;=TODAY()),$P215,99999),IF(AND(ISNUMBER($S215),$S215&gt;=TODAY()),$S215,99999),IF(AND(ISNUMBER($T215),$T215&gt;=TODAY()),$T215,99999),IF(AND(ISNUMBER($U215),$U215&gt;=TODAY()),$U215,99999),IF(AND(ISNUMBER($V215),$V215&gt;=TODAY()),$V215,99999),IF(AND(ISNUMBER($W215),$W215&gt;=TODAY()),$W215,99999),IF(AND(ISNUMBER($X215),$X215&gt;=TODAY()),$X215,99999),IF(AND(ISNUMBER($Y215),$Y215&gt;=TODAY()),$Y215,99999))=99999,"",MIN(IF(AND(ISNUMBER($N215),$N215&gt;=TODAY()),$N215,99999),IF(AND(ISNUMBER($O215),$O215&gt;=TODAY()),$O215,99999),IF(AND(ISNUMBER($P215),$P215&gt;=TODAY()),$P215,99999),IF(AND(ISNUMBER($S215),$S215&gt;=TODAY()),$S215,99999),IF(AND(ISNUMBER($T215),$T215&gt;=TODAY()),$T215,99999),IF(AND(ISNUMBER($U215),$U215&gt;=TODAY()),$U215,99999),IF(AND(ISNUMBER($V215),$V215&gt;=TODAY()),$V215,99999),IF(AND(ISNUMBER($W215),$W215&gt;=TODAY()),$W215,99999),IF(AND(ISNUMBER($X215),$X215&gt;=TODAY()),$X215,99999),IF(AND(ISNUMBER($Y215),$Y215&gt;=TODAY()),$Y215,99999))))</f>
        <v/>
      </c>
      <c r="N215" s="27" t="n"/>
      <c r="O215" s="27" t="n"/>
      <c r="P215" s="27" t="n"/>
      <c r="Q215" s="27" t="n"/>
      <c r="R215" s="27" t="n"/>
      <c r="S215" s="27" t="n"/>
      <c r="T215" s="27" t="n"/>
      <c r="U215" s="27" t="n"/>
      <c r="V215" s="27" t="n"/>
      <c r="W215" s="27" t="n"/>
      <c r="X215" s="27" t="n"/>
      <c r="Y215" s="27" t="n"/>
      <c r="Z215" s="27" t="n"/>
      <c r="AA215" s="27" t="n"/>
      <c r="AB215" s="27" t="n"/>
      <c r="AC215" s="30" t="n"/>
      <c r="AD215" s="25" t="n"/>
      <c r="AE215" s="28">
        <f>IF(NOT(AND($A215&lt;&gt;"",OR($I215="",$I215="Active"))),"",IF(OR(IF(OR(ISNUMBER($Y215),$Y215="DNA"),$Y215,IF(OR(ISNUMBER($X215),$X215="DNA"),$X215,IF(OR(ISNUMBER($W215),$W215="DNA"),$W215,IF(OR(ISNUMBER($V215),$V215="DNA"),$V215,IF(OR(ISNUMBER($U215),$U215="DNA"),$U215,IF(OR(ISNUMBER($T215),$T215="DNA"),$T215,IF(OR(ISNUMBER($S215),$S215="DNA"),$S215,IF(OR(ISNUMBER($P215),$P215="DNA"),$P215,IF(OR(ISNUMBER($O215),$O215="DNA"),$O215,IF(OR(ISNUMBER($N215),$N215="DNA"),$N215,""))))))))))="DNA",AND(ISNUMBER(IF(OR(ISNUMBER($Y215),$Y215="DNA"),$Y215,IF(OR(ISNUMBER($X215),$X215="DNA"),$X215,IF(OR(ISNUMBER($W215),$W215="DNA"),$W215,IF(OR(ISNUMBER($V215),$V215="DNA"),$V215,IF(OR(ISNUMBER($U215),$U215="DNA"),$U215,IF(OR(ISNUMBER($T215),$T215="DNA"),$T215,IF(OR(ISNUMBER($S215),$S215="DNA"),$S215,IF(OR(ISNUMBER($P215),$P215="DNA"),$P215,IF(OR(ISNUMBER($O215),$O215="DNA"),$O215,IF(OR(ISNUMBER($N215),$N215="DNA"),$N215,""))))))))))),IF(OR(ISNUMBER($Y215),$Y215="DNA"),$Y215,IF(OR(ISNUMBER($X215),$X215="DNA"),$X215,IF(OR(ISNUMBER($W215),$W215="DNA"),$W215,IF(OR(ISNUMBER($V215),$V215="DNA"),$V215,IF(OR(ISNUMBER($U215),$U215="DNA"),$U215,IF(OR(ISNUMBER($T215),$T215="DNA"),$T215,IF(OR(ISNUMBER($S215),$S215="DNA"),$S215,IF(OR(ISNUMBER($P215),$P215="DNA"),$P215,IF(OR(ISNUMBER($O215),$O215="DNA"),$O215,IF(OR(ISNUMBER($N215),$N215="DNA"),$N215,""))))))))))&lt;TODAY())),1,0)+ISNUMBER($Q215)*($Q215&lt;TODAY())+ISNUMBER($R215)*($R215&lt;TODAY())+ISNUMBER($AA215)*($AA215&lt;TODAY())+ISNUMBER($AB215)*($AB215&lt;TODAY()))</f>
        <v/>
      </c>
    </row>
    <row r="216">
      <c r="A216" s="25" t="n"/>
      <c r="B216" s="26" t="n"/>
      <c r="C216" s="27" t="n"/>
      <c r="D216" s="25" t="n"/>
      <c r="E216" s="25" t="n"/>
      <c r="F216" s="25" t="n"/>
      <c r="G216" s="25" t="n"/>
      <c r="H216" s="27" t="n"/>
      <c r="I216" s="25" t="n"/>
      <c r="J216" s="28">
        <f>IF(OR(NOT(AND($A216&lt;&gt;"",OR($I216="",$I216="Active"))),$H216=""),"",INT((TODAY()-$H216+280)/7)&amp;"+"&amp;MOD(TODAY()-$H216+280,7))</f>
        <v/>
      </c>
      <c r="K216" s="28">
        <f>IF(NOT(AND($A216&lt;&gt;"",OR($I216="",$I216="Active"))),"",ISNUMBER($N216)*($N216&gt;=TODAY())*($N216&lt;=TODAY()+7)+ISNUMBER($O216)*($O216&gt;=TODAY())*($O216&lt;=TODAY()+7)+ISNUMBER($P216)*($P216&gt;=TODAY())*($P216&lt;=TODAY()+7)+ISNUMBER($S216)*($S216&gt;=TODAY())*($S216&lt;=TODAY()+7)+ISNUMBER($T216)*($T216&gt;=TODAY())*($T216&lt;=TODAY()+7)+ISNUMBER($U216)*($U216&gt;=TODAY())*($U216&lt;=TODAY()+7)+ISNUMBER($V216)*($V216&gt;=TODAY())*($V216&lt;=TODAY()+7)+ISNUMBER($W216)*($W216&gt;=TODAY())*($W216&lt;=TODAY()+7)+ISNUMBER($X216)*($X216&gt;=TODAY())*($X216&lt;=TODAY()+7)+ISNUMBER($Y216)*($Y216&gt;=TODAY())*($Y216&lt;=TODAY()+7)+ISNUMBER($Q216)*($Q216&gt;=TODAY())*($Q216&lt;=TODAY()+7)+ISNUMBER($R216)*($R216&gt;=TODAY())*($R216&lt;=TODAY()+7)+ISNUMBER($AA216)*($AA216&gt;=TODAY())*($AA216&lt;=TODAY()+7)+ISNUMBER($AB216)*($AB216&gt;=TODAY())*($AB216&lt;=TODAY()+7))</f>
        <v/>
      </c>
      <c r="L216" s="28">
        <f>IF(NOT(AND($A216&lt;&gt;"",OR($I216="",$I216="Active"))),"",IF($M216&lt;&gt;"",IF($N216=$M216,"Booking",IF($O216=$M216,"16/40",IF($P216=$M216,"25/40",IF($S216=$M216,"28/40",IF($T216=$M216,"31/40",IF($U216=$M216,"34/40",IF($V216=$M216,"36/40",IF($W216=$M216,"38/40",IF($X216=$M216,"40/40",IF($Y216=$M216,"41/40","")))))))))),IF(IF(OR(ISNUMBER($Y216),$Y216="DNA"),$Y216,IF(OR(ISNUMBER($X216),$X216="DNA"),$X216,IF(OR(ISNUMBER($W216),$W216="DNA"),$W216,IF(OR(ISNUMBER($V216),$V216="DNA"),$V216,IF(OR(ISNUMBER($U216),$U216="DNA"),$U216,IF(OR(ISNUMBER($T216),$T216="DNA"),$T216,IF(OR(ISNUMBER($S216),$S216="DNA"),$S216,IF(OR(ISNUMBER($P216),$P216="DNA"),$P216,IF(OR(ISNUMBER($O216),$O216="DNA"),$O216,IF(OR(ISNUMBER($N216),$N216="DNA"),$N216,""))))))))))="DNA","Rebook DNA",IF(ISNUMBER(IF(OR(ISNUMBER($Y216),$Y216="DNA"),$Y216,IF(OR(ISNUMBER($X216),$X216="DNA"),$X216,IF(OR(ISNUMBER($W216),$W216="DNA"),$W216,IF(OR(ISNUMBER($V216),$V216="DNA"),$V216,IF(OR(ISNUMBER($U216),$U216="DNA"),$U216,IF(OR(ISNUMBER($T216),$T216="DNA"),$T216,IF(OR(ISNUMBER($S216),$S216="DNA"),$S216,IF(OR(ISNUMBER($P216),$P216="DNA"),$P216,IF(OR(ISNUMBER($O216),$O216="DNA"),$O216,IF(OR(ISNUMBER($N216),$N216="DNA"),$N216,""))))))))))),IF(ISNUMBER($Y216),"Update status","Missed/not booked?"),""))))</f>
        <v/>
      </c>
      <c r="M216" s="29">
        <f>IF(NOT(AND($A216&lt;&gt;"",OR($I216="",$I216="Active"))),"",IF(MIN(IF(AND(ISNUMBER($N216),$N216&gt;=TODAY()),$N216,99999),IF(AND(ISNUMBER($O216),$O216&gt;=TODAY()),$O216,99999),IF(AND(ISNUMBER($P216),$P216&gt;=TODAY()),$P216,99999),IF(AND(ISNUMBER($S216),$S216&gt;=TODAY()),$S216,99999),IF(AND(ISNUMBER($T216),$T216&gt;=TODAY()),$T216,99999),IF(AND(ISNUMBER($U216),$U216&gt;=TODAY()),$U216,99999),IF(AND(ISNUMBER($V216),$V216&gt;=TODAY()),$V216,99999),IF(AND(ISNUMBER($W216),$W216&gt;=TODAY()),$W216,99999),IF(AND(ISNUMBER($X216),$X216&gt;=TODAY()),$X216,99999),IF(AND(ISNUMBER($Y216),$Y216&gt;=TODAY()),$Y216,99999))=99999,"",MIN(IF(AND(ISNUMBER($N216),$N216&gt;=TODAY()),$N216,99999),IF(AND(ISNUMBER($O216),$O216&gt;=TODAY()),$O216,99999),IF(AND(ISNUMBER($P216),$P216&gt;=TODAY()),$P216,99999),IF(AND(ISNUMBER($S216),$S216&gt;=TODAY()),$S216,99999),IF(AND(ISNUMBER($T216),$T216&gt;=TODAY()),$T216,99999),IF(AND(ISNUMBER($U216),$U216&gt;=TODAY()),$U216,99999),IF(AND(ISNUMBER($V216),$V216&gt;=TODAY()),$V216,99999),IF(AND(ISNUMBER($W216),$W216&gt;=TODAY()),$W216,99999),IF(AND(ISNUMBER($X216),$X216&gt;=TODAY()),$X216,99999),IF(AND(ISNUMBER($Y216),$Y216&gt;=TODAY()),$Y216,99999))))</f>
        <v/>
      </c>
      <c r="N216" s="27" t="n"/>
      <c r="O216" s="27" t="n"/>
      <c r="P216" s="27" t="n"/>
      <c r="Q216" s="27" t="n"/>
      <c r="R216" s="27" t="n"/>
      <c r="S216" s="27" t="n"/>
      <c r="T216" s="27" t="n"/>
      <c r="U216" s="27" t="n"/>
      <c r="V216" s="27" t="n"/>
      <c r="W216" s="27" t="n"/>
      <c r="X216" s="27" t="n"/>
      <c r="Y216" s="27" t="n"/>
      <c r="Z216" s="27" t="n"/>
      <c r="AA216" s="27" t="n"/>
      <c r="AB216" s="27" t="n"/>
      <c r="AC216" s="30" t="n"/>
      <c r="AD216" s="25" t="n"/>
      <c r="AE216" s="28">
        <f>IF(NOT(AND($A216&lt;&gt;"",OR($I216="",$I216="Active"))),"",IF(OR(IF(OR(ISNUMBER($Y216),$Y216="DNA"),$Y216,IF(OR(ISNUMBER($X216),$X216="DNA"),$X216,IF(OR(ISNUMBER($W216),$W216="DNA"),$W216,IF(OR(ISNUMBER($V216),$V216="DNA"),$V216,IF(OR(ISNUMBER($U216),$U216="DNA"),$U216,IF(OR(ISNUMBER($T216),$T216="DNA"),$T216,IF(OR(ISNUMBER($S216),$S216="DNA"),$S216,IF(OR(ISNUMBER($P216),$P216="DNA"),$P216,IF(OR(ISNUMBER($O216),$O216="DNA"),$O216,IF(OR(ISNUMBER($N216),$N216="DNA"),$N216,""))))))))))="DNA",AND(ISNUMBER(IF(OR(ISNUMBER($Y216),$Y216="DNA"),$Y216,IF(OR(ISNUMBER($X216),$X216="DNA"),$X216,IF(OR(ISNUMBER($W216),$W216="DNA"),$W216,IF(OR(ISNUMBER($V216),$V216="DNA"),$V216,IF(OR(ISNUMBER($U216),$U216="DNA"),$U216,IF(OR(ISNUMBER($T216),$T216="DNA"),$T216,IF(OR(ISNUMBER($S216),$S216="DNA"),$S216,IF(OR(ISNUMBER($P216),$P216="DNA"),$P216,IF(OR(ISNUMBER($O216),$O216="DNA"),$O216,IF(OR(ISNUMBER($N216),$N216="DNA"),$N216,""))))))))))),IF(OR(ISNUMBER($Y216),$Y216="DNA"),$Y216,IF(OR(ISNUMBER($X216),$X216="DNA"),$X216,IF(OR(ISNUMBER($W216),$W216="DNA"),$W216,IF(OR(ISNUMBER($V216),$V216="DNA"),$V216,IF(OR(ISNUMBER($U216),$U216="DNA"),$U216,IF(OR(ISNUMBER($T216),$T216="DNA"),$T216,IF(OR(ISNUMBER($S216),$S216="DNA"),$S216,IF(OR(ISNUMBER($P216),$P216="DNA"),$P216,IF(OR(ISNUMBER($O216),$O216="DNA"),$O216,IF(OR(ISNUMBER($N216),$N216="DNA"),$N216,""))))))))))&lt;TODAY())),1,0)+ISNUMBER($Q216)*($Q216&lt;TODAY())+ISNUMBER($R216)*($R216&lt;TODAY())+ISNUMBER($AA216)*($AA216&lt;TODAY())+ISNUMBER($AB216)*($AB216&lt;TODAY()))</f>
        <v/>
      </c>
    </row>
    <row r="217">
      <c r="A217" s="25" t="n"/>
      <c r="B217" s="26" t="n"/>
      <c r="C217" s="27" t="n"/>
      <c r="D217" s="25" t="n"/>
      <c r="E217" s="25" t="n"/>
      <c r="F217" s="25" t="n"/>
      <c r="G217" s="25" t="n"/>
      <c r="H217" s="27" t="n"/>
      <c r="I217" s="25" t="n"/>
      <c r="J217" s="28">
        <f>IF(OR(NOT(AND($A217&lt;&gt;"",OR($I217="",$I217="Active"))),$H217=""),"",INT((TODAY()-$H217+280)/7)&amp;"+"&amp;MOD(TODAY()-$H217+280,7))</f>
        <v/>
      </c>
      <c r="K217" s="28">
        <f>IF(NOT(AND($A217&lt;&gt;"",OR($I217="",$I217="Active"))),"",ISNUMBER($N217)*($N217&gt;=TODAY())*($N217&lt;=TODAY()+7)+ISNUMBER($O217)*($O217&gt;=TODAY())*($O217&lt;=TODAY()+7)+ISNUMBER($P217)*($P217&gt;=TODAY())*($P217&lt;=TODAY()+7)+ISNUMBER($S217)*($S217&gt;=TODAY())*($S217&lt;=TODAY()+7)+ISNUMBER($T217)*($T217&gt;=TODAY())*($T217&lt;=TODAY()+7)+ISNUMBER($U217)*($U217&gt;=TODAY())*($U217&lt;=TODAY()+7)+ISNUMBER($V217)*($V217&gt;=TODAY())*($V217&lt;=TODAY()+7)+ISNUMBER($W217)*($W217&gt;=TODAY())*($W217&lt;=TODAY()+7)+ISNUMBER($X217)*($X217&gt;=TODAY())*($X217&lt;=TODAY()+7)+ISNUMBER($Y217)*($Y217&gt;=TODAY())*($Y217&lt;=TODAY()+7)+ISNUMBER($Q217)*($Q217&gt;=TODAY())*($Q217&lt;=TODAY()+7)+ISNUMBER($R217)*($R217&gt;=TODAY())*($R217&lt;=TODAY()+7)+ISNUMBER($AA217)*($AA217&gt;=TODAY())*($AA217&lt;=TODAY()+7)+ISNUMBER($AB217)*($AB217&gt;=TODAY())*($AB217&lt;=TODAY()+7))</f>
        <v/>
      </c>
      <c r="L217" s="28">
        <f>IF(NOT(AND($A217&lt;&gt;"",OR($I217="",$I217="Active"))),"",IF($M217&lt;&gt;"",IF($N217=$M217,"Booking",IF($O217=$M217,"16/40",IF($P217=$M217,"25/40",IF($S217=$M217,"28/40",IF($T217=$M217,"31/40",IF($U217=$M217,"34/40",IF($V217=$M217,"36/40",IF($W217=$M217,"38/40",IF($X217=$M217,"40/40",IF($Y217=$M217,"41/40","")))))))))),IF(IF(OR(ISNUMBER($Y217),$Y217="DNA"),$Y217,IF(OR(ISNUMBER($X217),$X217="DNA"),$X217,IF(OR(ISNUMBER($W217),$W217="DNA"),$W217,IF(OR(ISNUMBER($V217),$V217="DNA"),$V217,IF(OR(ISNUMBER($U217),$U217="DNA"),$U217,IF(OR(ISNUMBER($T217),$T217="DNA"),$T217,IF(OR(ISNUMBER($S217),$S217="DNA"),$S217,IF(OR(ISNUMBER($P217),$P217="DNA"),$P217,IF(OR(ISNUMBER($O217),$O217="DNA"),$O217,IF(OR(ISNUMBER($N217),$N217="DNA"),$N217,""))))))))))="DNA","Rebook DNA",IF(ISNUMBER(IF(OR(ISNUMBER($Y217),$Y217="DNA"),$Y217,IF(OR(ISNUMBER($X217),$X217="DNA"),$X217,IF(OR(ISNUMBER($W217),$W217="DNA"),$W217,IF(OR(ISNUMBER($V217),$V217="DNA"),$V217,IF(OR(ISNUMBER($U217),$U217="DNA"),$U217,IF(OR(ISNUMBER($T217),$T217="DNA"),$T217,IF(OR(ISNUMBER($S217),$S217="DNA"),$S217,IF(OR(ISNUMBER($P217),$P217="DNA"),$P217,IF(OR(ISNUMBER($O217),$O217="DNA"),$O217,IF(OR(ISNUMBER($N217),$N217="DNA"),$N217,""))))))))))),IF(ISNUMBER($Y217),"Update status","Missed/not booked?"),""))))</f>
        <v/>
      </c>
      <c r="M217" s="29">
        <f>IF(NOT(AND($A217&lt;&gt;"",OR($I217="",$I217="Active"))),"",IF(MIN(IF(AND(ISNUMBER($N217),$N217&gt;=TODAY()),$N217,99999),IF(AND(ISNUMBER($O217),$O217&gt;=TODAY()),$O217,99999),IF(AND(ISNUMBER($P217),$P217&gt;=TODAY()),$P217,99999),IF(AND(ISNUMBER($S217),$S217&gt;=TODAY()),$S217,99999),IF(AND(ISNUMBER($T217),$T217&gt;=TODAY()),$T217,99999),IF(AND(ISNUMBER($U217),$U217&gt;=TODAY()),$U217,99999),IF(AND(ISNUMBER($V217),$V217&gt;=TODAY()),$V217,99999),IF(AND(ISNUMBER($W217),$W217&gt;=TODAY()),$W217,99999),IF(AND(ISNUMBER($X217),$X217&gt;=TODAY()),$X217,99999),IF(AND(ISNUMBER($Y217),$Y217&gt;=TODAY()),$Y217,99999))=99999,"",MIN(IF(AND(ISNUMBER($N217),$N217&gt;=TODAY()),$N217,99999),IF(AND(ISNUMBER($O217),$O217&gt;=TODAY()),$O217,99999),IF(AND(ISNUMBER($P217),$P217&gt;=TODAY()),$P217,99999),IF(AND(ISNUMBER($S217),$S217&gt;=TODAY()),$S217,99999),IF(AND(ISNUMBER($T217),$T217&gt;=TODAY()),$T217,99999),IF(AND(ISNUMBER($U217),$U217&gt;=TODAY()),$U217,99999),IF(AND(ISNUMBER($V217),$V217&gt;=TODAY()),$V217,99999),IF(AND(ISNUMBER($W217),$W217&gt;=TODAY()),$W217,99999),IF(AND(ISNUMBER($X217),$X217&gt;=TODAY()),$X217,99999),IF(AND(ISNUMBER($Y217),$Y217&gt;=TODAY()),$Y217,99999))))</f>
        <v/>
      </c>
      <c r="N217" s="27" t="n"/>
      <c r="O217" s="27" t="n"/>
      <c r="P217" s="27" t="n"/>
      <c r="Q217" s="27" t="n"/>
      <c r="R217" s="27" t="n"/>
      <c r="S217" s="27" t="n"/>
      <c r="T217" s="27" t="n"/>
      <c r="U217" s="27" t="n"/>
      <c r="V217" s="27" t="n"/>
      <c r="W217" s="27" t="n"/>
      <c r="X217" s="27" t="n"/>
      <c r="Y217" s="27" t="n"/>
      <c r="Z217" s="27" t="n"/>
      <c r="AA217" s="27" t="n"/>
      <c r="AB217" s="27" t="n"/>
      <c r="AC217" s="30" t="n"/>
      <c r="AD217" s="25" t="n"/>
      <c r="AE217" s="28">
        <f>IF(NOT(AND($A217&lt;&gt;"",OR($I217="",$I217="Active"))),"",IF(OR(IF(OR(ISNUMBER($Y217),$Y217="DNA"),$Y217,IF(OR(ISNUMBER($X217),$X217="DNA"),$X217,IF(OR(ISNUMBER($W217),$W217="DNA"),$W217,IF(OR(ISNUMBER($V217),$V217="DNA"),$V217,IF(OR(ISNUMBER($U217),$U217="DNA"),$U217,IF(OR(ISNUMBER($T217),$T217="DNA"),$T217,IF(OR(ISNUMBER($S217),$S217="DNA"),$S217,IF(OR(ISNUMBER($P217),$P217="DNA"),$P217,IF(OR(ISNUMBER($O217),$O217="DNA"),$O217,IF(OR(ISNUMBER($N217),$N217="DNA"),$N217,""))))))))))="DNA",AND(ISNUMBER(IF(OR(ISNUMBER($Y217),$Y217="DNA"),$Y217,IF(OR(ISNUMBER($X217),$X217="DNA"),$X217,IF(OR(ISNUMBER($W217),$W217="DNA"),$W217,IF(OR(ISNUMBER($V217),$V217="DNA"),$V217,IF(OR(ISNUMBER($U217),$U217="DNA"),$U217,IF(OR(ISNUMBER($T217),$T217="DNA"),$T217,IF(OR(ISNUMBER($S217),$S217="DNA"),$S217,IF(OR(ISNUMBER($P217),$P217="DNA"),$P217,IF(OR(ISNUMBER($O217),$O217="DNA"),$O217,IF(OR(ISNUMBER($N217),$N217="DNA"),$N217,""))))))))))),IF(OR(ISNUMBER($Y217),$Y217="DNA"),$Y217,IF(OR(ISNUMBER($X217),$X217="DNA"),$X217,IF(OR(ISNUMBER($W217),$W217="DNA"),$W217,IF(OR(ISNUMBER($V217),$V217="DNA"),$V217,IF(OR(ISNUMBER($U217),$U217="DNA"),$U217,IF(OR(ISNUMBER($T217),$T217="DNA"),$T217,IF(OR(ISNUMBER($S217),$S217="DNA"),$S217,IF(OR(ISNUMBER($P217),$P217="DNA"),$P217,IF(OR(ISNUMBER($O217),$O217="DNA"),$O217,IF(OR(ISNUMBER($N217),$N217="DNA"),$N217,""))))))))))&lt;TODAY())),1,0)+ISNUMBER($Q217)*($Q217&lt;TODAY())+ISNUMBER($R217)*($R217&lt;TODAY())+ISNUMBER($AA217)*($AA217&lt;TODAY())+ISNUMBER($AB217)*($AB217&lt;TODAY()))</f>
        <v/>
      </c>
    </row>
    <row r="218">
      <c r="A218" s="25" t="n"/>
      <c r="B218" s="26" t="n"/>
      <c r="C218" s="27" t="n"/>
      <c r="D218" s="25" t="n"/>
      <c r="E218" s="25" t="n"/>
      <c r="F218" s="25" t="n"/>
      <c r="G218" s="25" t="n"/>
      <c r="H218" s="27" t="n"/>
      <c r="I218" s="25" t="n"/>
      <c r="J218" s="28">
        <f>IF(OR(NOT(AND($A218&lt;&gt;"",OR($I218="",$I218="Active"))),$H218=""),"",INT((TODAY()-$H218+280)/7)&amp;"+"&amp;MOD(TODAY()-$H218+280,7))</f>
        <v/>
      </c>
      <c r="K218" s="28">
        <f>IF(NOT(AND($A218&lt;&gt;"",OR($I218="",$I218="Active"))),"",ISNUMBER($N218)*($N218&gt;=TODAY())*($N218&lt;=TODAY()+7)+ISNUMBER($O218)*($O218&gt;=TODAY())*($O218&lt;=TODAY()+7)+ISNUMBER($P218)*($P218&gt;=TODAY())*($P218&lt;=TODAY()+7)+ISNUMBER($S218)*($S218&gt;=TODAY())*($S218&lt;=TODAY()+7)+ISNUMBER($T218)*($T218&gt;=TODAY())*($T218&lt;=TODAY()+7)+ISNUMBER($U218)*($U218&gt;=TODAY())*($U218&lt;=TODAY()+7)+ISNUMBER($V218)*($V218&gt;=TODAY())*($V218&lt;=TODAY()+7)+ISNUMBER($W218)*($W218&gt;=TODAY())*($W218&lt;=TODAY()+7)+ISNUMBER($X218)*($X218&gt;=TODAY())*($X218&lt;=TODAY()+7)+ISNUMBER($Y218)*($Y218&gt;=TODAY())*($Y218&lt;=TODAY()+7)+ISNUMBER($Q218)*($Q218&gt;=TODAY())*($Q218&lt;=TODAY()+7)+ISNUMBER($R218)*($R218&gt;=TODAY())*($R218&lt;=TODAY()+7)+ISNUMBER($AA218)*($AA218&gt;=TODAY())*($AA218&lt;=TODAY()+7)+ISNUMBER($AB218)*($AB218&gt;=TODAY())*($AB218&lt;=TODAY()+7))</f>
        <v/>
      </c>
      <c r="L218" s="28">
        <f>IF(NOT(AND($A218&lt;&gt;"",OR($I218="",$I218="Active"))),"",IF($M218&lt;&gt;"",IF($N218=$M218,"Booking",IF($O218=$M218,"16/40",IF($P218=$M218,"25/40",IF($S218=$M218,"28/40",IF($T218=$M218,"31/40",IF($U218=$M218,"34/40",IF($V218=$M218,"36/40",IF($W218=$M218,"38/40",IF($X218=$M218,"40/40",IF($Y218=$M218,"41/40","")))))))))),IF(IF(OR(ISNUMBER($Y218),$Y218="DNA"),$Y218,IF(OR(ISNUMBER($X218),$X218="DNA"),$X218,IF(OR(ISNUMBER($W218),$W218="DNA"),$W218,IF(OR(ISNUMBER($V218),$V218="DNA"),$V218,IF(OR(ISNUMBER($U218),$U218="DNA"),$U218,IF(OR(ISNUMBER($T218),$T218="DNA"),$T218,IF(OR(ISNUMBER($S218),$S218="DNA"),$S218,IF(OR(ISNUMBER($P218),$P218="DNA"),$P218,IF(OR(ISNUMBER($O218),$O218="DNA"),$O218,IF(OR(ISNUMBER($N218),$N218="DNA"),$N218,""))))))))))="DNA","Rebook DNA",IF(ISNUMBER(IF(OR(ISNUMBER($Y218),$Y218="DNA"),$Y218,IF(OR(ISNUMBER($X218),$X218="DNA"),$X218,IF(OR(ISNUMBER($W218),$W218="DNA"),$W218,IF(OR(ISNUMBER($V218),$V218="DNA"),$V218,IF(OR(ISNUMBER($U218),$U218="DNA"),$U218,IF(OR(ISNUMBER($T218),$T218="DNA"),$T218,IF(OR(ISNUMBER($S218),$S218="DNA"),$S218,IF(OR(ISNUMBER($P218),$P218="DNA"),$P218,IF(OR(ISNUMBER($O218),$O218="DNA"),$O218,IF(OR(ISNUMBER($N218),$N218="DNA"),$N218,""))))))))))),IF(ISNUMBER($Y218),"Update status","Missed/not booked?"),""))))</f>
        <v/>
      </c>
      <c r="M218" s="29">
        <f>IF(NOT(AND($A218&lt;&gt;"",OR($I218="",$I218="Active"))),"",IF(MIN(IF(AND(ISNUMBER($N218),$N218&gt;=TODAY()),$N218,99999),IF(AND(ISNUMBER($O218),$O218&gt;=TODAY()),$O218,99999),IF(AND(ISNUMBER($P218),$P218&gt;=TODAY()),$P218,99999),IF(AND(ISNUMBER($S218),$S218&gt;=TODAY()),$S218,99999),IF(AND(ISNUMBER($T218),$T218&gt;=TODAY()),$T218,99999),IF(AND(ISNUMBER($U218),$U218&gt;=TODAY()),$U218,99999),IF(AND(ISNUMBER($V218),$V218&gt;=TODAY()),$V218,99999),IF(AND(ISNUMBER($W218),$W218&gt;=TODAY()),$W218,99999),IF(AND(ISNUMBER($X218),$X218&gt;=TODAY()),$X218,99999),IF(AND(ISNUMBER($Y218),$Y218&gt;=TODAY()),$Y218,99999))=99999,"",MIN(IF(AND(ISNUMBER($N218),$N218&gt;=TODAY()),$N218,99999),IF(AND(ISNUMBER($O218),$O218&gt;=TODAY()),$O218,99999),IF(AND(ISNUMBER($P218),$P218&gt;=TODAY()),$P218,99999),IF(AND(ISNUMBER($S218),$S218&gt;=TODAY()),$S218,99999),IF(AND(ISNUMBER($T218),$T218&gt;=TODAY()),$T218,99999),IF(AND(ISNUMBER($U218),$U218&gt;=TODAY()),$U218,99999),IF(AND(ISNUMBER($V218),$V218&gt;=TODAY()),$V218,99999),IF(AND(ISNUMBER($W218),$W218&gt;=TODAY()),$W218,99999),IF(AND(ISNUMBER($X218),$X218&gt;=TODAY()),$X218,99999),IF(AND(ISNUMBER($Y218),$Y218&gt;=TODAY()),$Y218,99999))))</f>
        <v/>
      </c>
      <c r="N218" s="27" t="n"/>
      <c r="O218" s="27" t="n"/>
      <c r="P218" s="27" t="n"/>
      <c r="Q218" s="27" t="n"/>
      <c r="R218" s="27" t="n"/>
      <c r="S218" s="27" t="n"/>
      <c r="T218" s="27" t="n"/>
      <c r="U218" s="27" t="n"/>
      <c r="V218" s="27" t="n"/>
      <c r="W218" s="27" t="n"/>
      <c r="X218" s="27" t="n"/>
      <c r="Y218" s="27" t="n"/>
      <c r="Z218" s="27" t="n"/>
      <c r="AA218" s="27" t="n"/>
      <c r="AB218" s="27" t="n"/>
      <c r="AC218" s="30" t="n"/>
      <c r="AD218" s="25" t="n"/>
      <c r="AE218" s="28">
        <f>IF(NOT(AND($A218&lt;&gt;"",OR($I218="",$I218="Active"))),"",IF(OR(IF(OR(ISNUMBER($Y218),$Y218="DNA"),$Y218,IF(OR(ISNUMBER($X218),$X218="DNA"),$X218,IF(OR(ISNUMBER($W218),$W218="DNA"),$W218,IF(OR(ISNUMBER($V218),$V218="DNA"),$V218,IF(OR(ISNUMBER($U218),$U218="DNA"),$U218,IF(OR(ISNUMBER($T218),$T218="DNA"),$T218,IF(OR(ISNUMBER($S218),$S218="DNA"),$S218,IF(OR(ISNUMBER($P218),$P218="DNA"),$P218,IF(OR(ISNUMBER($O218),$O218="DNA"),$O218,IF(OR(ISNUMBER($N218),$N218="DNA"),$N218,""))))))))))="DNA",AND(ISNUMBER(IF(OR(ISNUMBER($Y218),$Y218="DNA"),$Y218,IF(OR(ISNUMBER($X218),$X218="DNA"),$X218,IF(OR(ISNUMBER($W218),$W218="DNA"),$W218,IF(OR(ISNUMBER($V218),$V218="DNA"),$V218,IF(OR(ISNUMBER($U218),$U218="DNA"),$U218,IF(OR(ISNUMBER($T218),$T218="DNA"),$T218,IF(OR(ISNUMBER($S218),$S218="DNA"),$S218,IF(OR(ISNUMBER($P218),$P218="DNA"),$P218,IF(OR(ISNUMBER($O218),$O218="DNA"),$O218,IF(OR(ISNUMBER($N218),$N218="DNA"),$N218,""))))))))))),IF(OR(ISNUMBER($Y218),$Y218="DNA"),$Y218,IF(OR(ISNUMBER($X218),$X218="DNA"),$X218,IF(OR(ISNUMBER($W218),$W218="DNA"),$W218,IF(OR(ISNUMBER($V218),$V218="DNA"),$V218,IF(OR(ISNUMBER($U218),$U218="DNA"),$U218,IF(OR(ISNUMBER($T218),$T218="DNA"),$T218,IF(OR(ISNUMBER($S218),$S218="DNA"),$S218,IF(OR(ISNUMBER($P218),$P218="DNA"),$P218,IF(OR(ISNUMBER($O218),$O218="DNA"),$O218,IF(OR(ISNUMBER($N218),$N218="DNA"),$N218,""))))))))))&lt;TODAY())),1,0)+ISNUMBER($Q218)*($Q218&lt;TODAY())+ISNUMBER($R218)*($R218&lt;TODAY())+ISNUMBER($AA218)*($AA218&lt;TODAY())+ISNUMBER($AB218)*($AB218&lt;TODAY()))</f>
        <v/>
      </c>
    </row>
    <row r="219">
      <c r="A219" s="25" t="n"/>
      <c r="B219" s="26" t="n"/>
      <c r="C219" s="27" t="n"/>
      <c r="D219" s="25" t="n"/>
      <c r="E219" s="25" t="n"/>
      <c r="F219" s="25" t="n"/>
      <c r="G219" s="25" t="n"/>
      <c r="H219" s="27" t="n"/>
      <c r="I219" s="25" t="n"/>
      <c r="J219" s="28">
        <f>IF(OR(NOT(AND($A219&lt;&gt;"",OR($I219="",$I219="Active"))),$H219=""),"",INT((TODAY()-$H219+280)/7)&amp;"+"&amp;MOD(TODAY()-$H219+280,7))</f>
        <v/>
      </c>
      <c r="K219" s="28">
        <f>IF(NOT(AND($A219&lt;&gt;"",OR($I219="",$I219="Active"))),"",ISNUMBER($N219)*($N219&gt;=TODAY())*($N219&lt;=TODAY()+7)+ISNUMBER($O219)*($O219&gt;=TODAY())*($O219&lt;=TODAY()+7)+ISNUMBER($P219)*($P219&gt;=TODAY())*($P219&lt;=TODAY()+7)+ISNUMBER($S219)*($S219&gt;=TODAY())*($S219&lt;=TODAY()+7)+ISNUMBER($T219)*($T219&gt;=TODAY())*($T219&lt;=TODAY()+7)+ISNUMBER($U219)*($U219&gt;=TODAY())*($U219&lt;=TODAY()+7)+ISNUMBER($V219)*($V219&gt;=TODAY())*($V219&lt;=TODAY()+7)+ISNUMBER($W219)*($W219&gt;=TODAY())*($W219&lt;=TODAY()+7)+ISNUMBER($X219)*($X219&gt;=TODAY())*($X219&lt;=TODAY()+7)+ISNUMBER($Y219)*($Y219&gt;=TODAY())*($Y219&lt;=TODAY()+7)+ISNUMBER($Q219)*($Q219&gt;=TODAY())*($Q219&lt;=TODAY()+7)+ISNUMBER($R219)*($R219&gt;=TODAY())*($R219&lt;=TODAY()+7)+ISNUMBER($AA219)*($AA219&gt;=TODAY())*($AA219&lt;=TODAY()+7)+ISNUMBER($AB219)*($AB219&gt;=TODAY())*($AB219&lt;=TODAY()+7))</f>
        <v/>
      </c>
      <c r="L219" s="28">
        <f>IF(NOT(AND($A219&lt;&gt;"",OR($I219="",$I219="Active"))),"",IF($M219&lt;&gt;"",IF($N219=$M219,"Booking",IF($O219=$M219,"16/40",IF($P219=$M219,"25/40",IF($S219=$M219,"28/40",IF($T219=$M219,"31/40",IF($U219=$M219,"34/40",IF($V219=$M219,"36/40",IF($W219=$M219,"38/40",IF($X219=$M219,"40/40",IF($Y219=$M219,"41/40","")))))))))),IF(IF(OR(ISNUMBER($Y219),$Y219="DNA"),$Y219,IF(OR(ISNUMBER($X219),$X219="DNA"),$X219,IF(OR(ISNUMBER($W219),$W219="DNA"),$W219,IF(OR(ISNUMBER($V219),$V219="DNA"),$V219,IF(OR(ISNUMBER($U219),$U219="DNA"),$U219,IF(OR(ISNUMBER($T219),$T219="DNA"),$T219,IF(OR(ISNUMBER($S219),$S219="DNA"),$S219,IF(OR(ISNUMBER($P219),$P219="DNA"),$P219,IF(OR(ISNUMBER($O219),$O219="DNA"),$O219,IF(OR(ISNUMBER($N219),$N219="DNA"),$N219,""))))))))))="DNA","Rebook DNA",IF(ISNUMBER(IF(OR(ISNUMBER($Y219),$Y219="DNA"),$Y219,IF(OR(ISNUMBER($X219),$X219="DNA"),$X219,IF(OR(ISNUMBER($W219),$W219="DNA"),$W219,IF(OR(ISNUMBER($V219),$V219="DNA"),$V219,IF(OR(ISNUMBER($U219),$U219="DNA"),$U219,IF(OR(ISNUMBER($T219),$T219="DNA"),$T219,IF(OR(ISNUMBER($S219),$S219="DNA"),$S219,IF(OR(ISNUMBER($P219),$P219="DNA"),$P219,IF(OR(ISNUMBER($O219),$O219="DNA"),$O219,IF(OR(ISNUMBER($N219),$N219="DNA"),$N219,""))))))))))),IF(ISNUMBER($Y219),"Update status","Missed/not booked?"),""))))</f>
        <v/>
      </c>
      <c r="M219" s="29">
        <f>IF(NOT(AND($A219&lt;&gt;"",OR($I219="",$I219="Active"))),"",IF(MIN(IF(AND(ISNUMBER($N219),$N219&gt;=TODAY()),$N219,99999),IF(AND(ISNUMBER($O219),$O219&gt;=TODAY()),$O219,99999),IF(AND(ISNUMBER($P219),$P219&gt;=TODAY()),$P219,99999),IF(AND(ISNUMBER($S219),$S219&gt;=TODAY()),$S219,99999),IF(AND(ISNUMBER($T219),$T219&gt;=TODAY()),$T219,99999),IF(AND(ISNUMBER($U219),$U219&gt;=TODAY()),$U219,99999),IF(AND(ISNUMBER($V219),$V219&gt;=TODAY()),$V219,99999),IF(AND(ISNUMBER($W219),$W219&gt;=TODAY()),$W219,99999),IF(AND(ISNUMBER($X219),$X219&gt;=TODAY()),$X219,99999),IF(AND(ISNUMBER($Y219),$Y219&gt;=TODAY()),$Y219,99999))=99999,"",MIN(IF(AND(ISNUMBER($N219),$N219&gt;=TODAY()),$N219,99999),IF(AND(ISNUMBER($O219),$O219&gt;=TODAY()),$O219,99999),IF(AND(ISNUMBER($P219),$P219&gt;=TODAY()),$P219,99999),IF(AND(ISNUMBER($S219),$S219&gt;=TODAY()),$S219,99999),IF(AND(ISNUMBER($T219),$T219&gt;=TODAY()),$T219,99999),IF(AND(ISNUMBER($U219),$U219&gt;=TODAY()),$U219,99999),IF(AND(ISNUMBER($V219),$V219&gt;=TODAY()),$V219,99999),IF(AND(ISNUMBER($W219),$W219&gt;=TODAY()),$W219,99999),IF(AND(ISNUMBER($X219),$X219&gt;=TODAY()),$X219,99999),IF(AND(ISNUMBER($Y219),$Y219&gt;=TODAY()),$Y219,99999))))</f>
        <v/>
      </c>
      <c r="N219" s="27" t="n"/>
      <c r="O219" s="27" t="n"/>
      <c r="P219" s="27" t="n"/>
      <c r="Q219" s="27" t="n"/>
      <c r="R219" s="27" t="n"/>
      <c r="S219" s="27" t="n"/>
      <c r="T219" s="27" t="n"/>
      <c r="U219" s="27" t="n"/>
      <c r="V219" s="27" t="n"/>
      <c r="W219" s="27" t="n"/>
      <c r="X219" s="27" t="n"/>
      <c r="Y219" s="27" t="n"/>
      <c r="Z219" s="27" t="n"/>
      <c r="AA219" s="27" t="n"/>
      <c r="AB219" s="27" t="n"/>
      <c r="AC219" s="30" t="n"/>
      <c r="AD219" s="25" t="n"/>
      <c r="AE219" s="28">
        <f>IF(NOT(AND($A219&lt;&gt;"",OR($I219="",$I219="Active"))),"",IF(OR(IF(OR(ISNUMBER($Y219),$Y219="DNA"),$Y219,IF(OR(ISNUMBER($X219),$X219="DNA"),$X219,IF(OR(ISNUMBER($W219),$W219="DNA"),$W219,IF(OR(ISNUMBER($V219),$V219="DNA"),$V219,IF(OR(ISNUMBER($U219),$U219="DNA"),$U219,IF(OR(ISNUMBER($T219),$T219="DNA"),$T219,IF(OR(ISNUMBER($S219),$S219="DNA"),$S219,IF(OR(ISNUMBER($P219),$P219="DNA"),$P219,IF(OR(ISNUMBER($O219),$O219="DNA"),$O219,IF(OR(ISNUMBER($N219),$N219="DNA"),$N219,""))))))))))="DNA",AND(ISNUMBER(IF(OR(ISNUMBER($Y219),$Y219="DNA"),$Y219,IF(OR(ISNUMBER($X219),$X219="DNA"),$X219,IF(OR(ISNUMBER($W219),$W219="DNA"),$W219,IF(OR(ISNUMBER($V219),$V219="DNA"),$V219,IF(OR(ISNUMBER($U219),$U219="DNA"),$U219,IF(OR(ISNUMBER($T219),$T219="DNA"),$T219,IF(OR(ISNUMBER($S219),$S219="DNA"),$S219,IF(OR(ISNUMBER($P219),$P219="DNA"),$P219,IF(OR(ISNUMBER($O219),$O219="DNA"),$O219,IF(OR(ISNUMBER($N219),$N219="DNA"),$N219,""))))))))))),IF(OR(ISNUMBER($Y219),$Y219="DNA"),$Y219,IF(OR(ISNUMBER($X219),$X219="DNA"),$X219,IF(OR(ISNUMBER($W219),$W219="DNA"),$W219,IF(OR(ISNUMBER($V219),$V219="DNA"),$V219,IF(OR(ISNUMBER($U219),$U219="DNA"),$U219,IF(OR(ISNUMBER($T219),$T219="DNA"),$T219,IF(OR(ISNUMBER($S219),$S219="DNA"),$S219,IF(OR(ISNUMBER($P219),$P219="DNA"),$P219,IF(OR(ISNUMBER($O219),$O219="DNA"),$O219,IF(OR(ISNUMBER($N219),$N219="DNA"),$N219,""))))))))))&lt;TODAY())),1,0)+ISNUMBER($Q219)*($Q219&lt;TODAY())+ISNUMBER($R219)*($R219&lt;TODAY())+ISNUMBER($AA219)*($AA219&lt;TODAY())+ISNUMBER($AB219)*($AB219&lt;TODAY()))</f>
        <v/>
      </c>
    </row>
    <row r="220">
      <c r="A220" s="25" t="n"/>
      <c r="B220" s="26" t="n"/>
      <c r="C220" s="27" t="n"/>
      <c r="D220" s="25" t="n"/>
      <c r="E220" s="25" t="n"/>
      <c r="F220" s="25" t="n"/>
      <c r="G220" s="25" t="n"/>
      <c r="H220" s="27" t="n"/>
      <c r="I220" s="25" t="n"/>
      <c r="J220" s="28">
        <f>IF(OR(NOT(AND($A220&lt;&gt;"",OR($I220="",$I220="Active"))),$H220=""),"",INT((TODAY()-$H220+280)/7)&amp;"+"&amp;MOD(TODAY()-$H220+280,7))</f>
        <v/>
      </c>
      <c r="K220" s="28">
        <f>IF(NOT(AND($A220&lt;&gt;"",OR($I220="",$I220="Active"))),"",ISNUMBER($N220)*($N220&gt;=TODAY())*($N220&lt;=TODAY()+7)+ISNUMBER($O220)*($O220&gt;=TODAY())*($O220&lt;=TODAY()+7)+ISNUMBER($P220)*($P220&gt;=TODAY())*($P220&lt;=TODAY()+7)+ISNUMBER($S220)*($S220&gt;=TODAY())*($S220&lt;=TODAY()+7)+ISNUMBER($T220)*($T220&gt;=TODAY())*($T220&lt;=TODAY()+7)+ISNUMBER($U220)*($U220&gt;=TODAY())*($U220&lt;=TODAY()+7)+ISNUMBER($V220)*($V220&gt;=TODAY())*($V220&lt;=TODAY()+7)+ISNUMBER($W220)*($W220&gt;=TODAY())*($W220&lt;=TODAY()+7)+ISNUMBER($X220)*($X220&gt;=TODAY())*($X220&lt;=TODAY()+7)+ISNUMBER($Y220)*($Y220&gt;=TODAY())*($Y220&lt;=TODAY()+7)+ISNUMBER($Q220)*($Q220&gt;=TODAY())*($Q220&lt;=TODAY()+7)+ISNUMBER($R220)*($R220&gt;=TODAY())*($R220&lt;=TODAY()+7)+ISNUMBER($AA220)*($AA220&gt;=TODAY())*($AA220&lt;=TODAY()+7)+ISNUMBER($AB220)*($AB220&gt;=TODAY())*($AB220&lt;=TODAY()+7))</f>
        <v/>
      </c>
      <c r="L220" s="28">
        <f>IF(NOT(AND($A220&lt;&gt;"",OR($I220="",$I220="Active"))),"",IF($M220&lt;&gt;"",IF($N220=$M220,"Booking",IF($O220=$M220,"16/40",IF($P220=$M220,"25/40",IF($S220=$M220,"28/40",IF($T220=$M220,"31/40",IF($U220=$M220,"34/40",IF($V220=$M220,"36/40",IF($W220=$M220,"38/40",IF($X220=$M220,"40/40",IF($Y220=$M220,"41/40","")))))))))),IF(IF(OR(ISNUMBER($Y220),$Y220="DNA"),$Y220,IF(OR(ISNUMBER($X220),$X220="DNA"),$X220,IF(OR(ISNUMBER($W220),$W220="DNA"),$W220,IF(OR(ISNUMBER($V220),$V220="DNA"),$V220,IF(OR(ISNUMBER($U220),$U220="DNA"),$U220,IF(OR(ISNUMBER($T220),$T220="DNA"),$T220,IF(OR(ISNUMBER($S220),$S220="DNA"),$S220,IF(OR(ISNUMBER($P220),$P220="DNA"),$P220,IF(OR(ISNUMBER($O220),$O220="DNA"),$O220,IF(OR(ISNUMBER($N220),$N220="DNA"),$N220,""))))))))))="DNA","Rebook DNA",IF(ISNUMBER(IF(OR(ISNUMBER($Y220),$Y220="DNA"),$Y220,IF(OR(ISNUMBER($X220),$X220="DNA"),$X220,IF(OR(ISNUMBER($W220),$W220="DNA"),$W220,IF(OR(ISNUMBER($V220),$V220="DNA"),$V220,IF(OR(ISNUMBER($U220),$U220="DNA"),$U220,IF(OR(ISNUMBER($T220),$T220="DNA"),$T220,IF(OR(ISNUMBER($S220),$S220="DNA"),$S220,IF(OR(ISNUMBER($P220),$P220="DNA"),$P220,IF(OR(ISNUMBER($O220),$O220="DNA"),$O220,IF(OR(ISNUMBER($N220),$N220="DNA"),$N220,""))))))))))),IF(ISNUMBER($Y220),"Update status","Missed/not booked?"),""))))</f>
        <v/>
      </c>
      <c r="M220" s="29">
        <f>IF(NOT(AND($A220&lt;&gt;"",OR($I220="",$I220="Active"))),"",IF(MIN(IF(AND(ISNUMBER($N220),$N220&gt;=TODAY()),$N220,99999),IF(AND(ISNUMBER($O220),$O220&gt;=TODAY()),$O220,99999),IF(AND(ISNUMBER($P220),$P220&gt;=TODAY()),$P220,99999),IF(AND(ISNUMBER($S220),$S220&gt;=TODAY()),$S220,99999),IF(AND(ISNUMBER($T220),$T220&gt;=TODAY()),$T220,99999),IF(AND(ISNUMBER($U220),$U220&gt;=TODAY()),$U220,99999),IF(AND(ISNUMBER($V220),$V220&gt;=TODAY()),$V220,99999),IF(AND(ISNUMBER($W220),$W220&gt;=TODAY()),$W220,99999),IF(AND(ISNUMBER($X220),$X220&gt;=TODAY()),$X220,99999),IF(AND(ISNUMBER($Y220),$Y220&gt;=TODAY()),$Y220,99999))=99999,"",MIN(IF(AND(ISNUMBER($N220),$N220&gt;=TODAY()),$N220,99999),IF(AND(ISNUMBER($O220),$O220&gt;=TODAY()),$O220,99999),IF(AND(ISNUMBER($P220),$P220&gt;=TODAY()),$P220,99999),IF(AND(ISNUMBER($S220),$S220&gt;=TODAY()),$S220,99999),IF(AND(ISNUMBER($T220),$T220&gt;=TODAY()),$T220,99999),IF(AND(ISNUMBER($U220),$U220&gt;=TODAY()),$U220,99999),IF(AND(ISNUMBER($V220),$V220&gt;=TODAY()),$V220,99999),IF(AND(ISNUMBER($W220),$W220&gt;=TODAY()),$W220,99999),IF(AND(ISNUMBER($X220),$X220&gt;=TODAY()),$X220,99999),IF(AND(ISNUMBER($Y220),$Y220&gt;=TODAY()),$Y220,99999))))</f>
        <v/>
      </c>
      <c r="N220" s="27" t="n"/>
      <c r="O220" s="27" t="n"/>
      <c r="P220" s="27" t="n"/>
      <c r="Q220" s="27" t="n"/>
      <c r="R220" s="27" t="n"/>
      <c r="S220" s="27" t="n"/>
      <c r="T220" s="27" t="n"/>
      <c r="U220" s="27" t="n"/>
      <c r="V220" s="27" t="n"/>
      <c r="W220" s="27" t="n"/>
      <c r="X220" s="27" t="n"/>
      <c r="Y220" s="27" t="n"/>
      <c r="Z220" s="27" t="n"/>
      <c r="AA220" s="27" t="n"/>
      <c r="AB220" s="27" t="n"/>
      <c r="AC220" s="30" t="n"/>
      <c r="AD220" s="25" t="n"/>
      <c r="AE220" s="28">
        <f>IF(NOT(AND($A220&lt;&gt;"",OR($I220="",$I220="Active"))),"",IF(OR(IF(OR(ISNUMBER($Y220),$Y220="DNA"),$Y220,IF(OR(ISNUMBER($X220),$X220="DNA"),$X220,IF(OR(ISNUMBER($W220),$W220="DNA"),$W220,IF(OR(ISNUMBER($V220),$V220="DNA"),$V220,IF(OR(ISNUMBER($U220),$U220="DNA"),$U220,IF(OR(ISNUMBER($T220),$T220="DNA"),$T220,IF(OR(ISNUMBER($S220),$S220="DNA"),$S220,IF(OR(ISNUMBER($P220),$P220="DNA"),$P220,IF(OR(ISNUMBER($O220),$O220="DNA"),$O220,IF(OR(ISNUMBER($N220),$N220="DNA"),$N220,""))))))))))="DNA",AND(ISNUMBER(IF(OR(ISNUMBER($Y220),$Y220="DNA"),$Y220,IF(OR(ISNUMBER($X220),$X220="DNA"),$X220,IF(OR(ISNUMBER($W220),$W220="DNA"),$W220,IF(OR(ISNUMBER($V220),$V220="DNA"),$V220,IF(OR(ISNUMBER($U220),$U220="DNA"),$U220,IF(OR(ISNUMBER($T220),$T220="DNA"),$T220,IF(OR(ISNUMBER($S220),$S220="DNA"),$S220,IF(OR(ISNUMBER($P220),$P220="DNA"),$P220,IF(OR(ISNUMBER($O220),$O220="DNA"),$O220,IF(OR(ISNUMBER($N220),$N220="DNA"),$N220,""))))))))))),IF(OR(ISNUMBER($Y220),$Y220="DNA"),$Y220,IF(OR(ISNUMBER($X220),$X220="DNA"),$X220,IF(OR(ISNUMBER($W220),$W220="DNA"),$W220,IF(OR(ISNUMBER($V220),$V220="DNA"),$V220,IF(OR(ISNUMBER($U220),$U220="DNA"),$U220,IF(OR(ISNUMBER($T220),$T220="DNA"),$T220,IF(OR(ISNUMBER($S220),$S220="DNA"),$S220,IF(OR(ISNUMBER($P220),$P220="DNA"),$P220,IF(OR(ISNUMBER($O220),$O220="DNA"),$O220,IF(OR(ISNUMBER($N220),$N220="DNA"),$N220,""))))))))))&lt;TODAY())),1,0)+ISNUMBER($Q220)*($Q220&lt;TODAY())+ISNUMBER($R220)*($R220&lt;TODAY())+ISNUMBER($AA220)*($AA220&lt;TODAY())+ISNUMBER($AB220)*($AB220&lt;TODAY()))</f>
        <v/>
      </c>
    </row>
    <row r="221">
      <c r="A221" s="25" t="n"/>
      <c r="B221" s="26" t="n"/>
      <c r="C221" s="27" t="n"/>
      <c r="D221" s="25" t="n"/>
      <c r="E221" s="25" t="n"/>
      <c r="F221" s="25" t="n"/>
      <c r="G221" s="25" t="n"/>
      <c r="H221" s="27" t="n"/>
      <c r="I221" s="25" t="n"/>
      <c r="J221" s="28">
        <f>IF(OR(NOT(AND($A221&lt;&gt;"",OR($I221="",$I221="Active"))),$H221=""),"",INT((TODAY()-$H221+280)/7)&amp;"+"&amp;MOD(TODAY()-$H221+280,7))</f>
        <v/>
      </c>
      <c r="K221" s="28">
        <f>IF(NOT(AND($A221&lt;&gt;"",OR($I221="",$I221="Active"))),"",ISNUMBER($N221)*($N221&gt;=TODAY())*($N221&lt;=TODAY()+7)+ISNUMBER($O221)*($O221&gt;=TODAY())*($O221&lt;=TODAY()+7)+ISNUMBER($P221)*($P221&gt;=TODAY())*($P221&lt;=TODAY()+7)+ISNUMBER($S221)*($S221&gt;=TODAY())*($S221&lt;=TODAY()+7)+ISNUMBER($T221)*($T221&gt;=TODAY())*($T221&lt;=TODAY()+7)+ISNUMBER($U221)*($U221&gt;=TODAY())*($U221&lt;=TODAY()+7)+ISNUMBER($V221)*($V221&gt;=TODAY())*($V221&lt;=TODAY()+7)+ISNUMBER($W221)*($W221&gt;=TODAY())*($W221&lt;=TODAY()+7)+ISNUMBER($X221)*($X221&gt;=TODAY())*($X221&lt;=TODAY()+7)+ISNUMBER($Y221)*($Y221&gt;=TODAY())*($Y221&lt;=TODAY()+7)+ISNUMBER($Q221)*($Q221&gt;=TODAY())*($Q221&lt;=TODAY()+7)+ISNUMBER($R221)*($R221&gt;=TODAY())*($R221&lt;=TODAY()+7)+ISNUMBER($AA221)*($AA221&gt;=TODAY())*($AA221&lt;=TODAY()+7)+ISNUMBER($AB221)*($AB221&gt;=TODAY())*($AB221&lt;=TODAY()+7))</f>
        <v/>
      </c>
      <c r="L221" s="28">
        <f>IF(NOT(AND($A221&lt;&gt;"",OR($I221="",$I221="Active"))),"",IF($M221&lt;&gt;"",IF($N221=$M221,"Booking",IF($O221=$M221,"16/40",IF($P221=$M221,"25/40",IF($S221=$M221,"28/40",IF($T221=$M221,"31/40",IF($U221=$M221,"34/40",IF($V221=$M221,"36/40",IF($W221=$M221,"38/40",IF($X221=$M221,"40/40",IF($Y221=$M221,"41/40","")))))))))),IF(IF(OR(ISNUMBER($Y221),$Y221="DNA"),$Y221,IF(OR(ISNUMBER($X221),$X221="DNA"),$X221,IF(OR(ISNUMBER($W221),$W221="DNA"),$W221,IF(OR(ISNUMBER($V221),$V221="DNA"),$V221,IF(OR(ISNUMBER($U221),$U221="DNA"),$U221,IF(OR(ISNUMBER($T221),$T221="DNA"),$T221,IF(OR(ISNUMBER($S221),$S221="DNA"),$S221,IF(OR(ISNUMBER($P221),$P221="DNA"),$P221,IF(OR(ISNUMBER($O221),$O221="DNA"),$O221,IF(OR(ISNUMBER($N221),$N221="DNA"),$N221,""))))))))))="DNA","Rebook DNA",IF(ISNUMBER(IF(OR(ISNUMBER($Y221),$Y221="DNA"),$Y221,IF(OR(ISNUMBER($X221),$X221="DNA"),$X221,IF(OR(ISNUMBER($W221),$W221="DNA"),$W221,IF(OR(ISNUMBER($V221),$V221="DNA"),$V221,IF(OR(ISNUMBER($U221),$U221="DNA"),$U221,IF(OR(ISNUMBER($T221),$T221="DNA"),$T221,IF(OR(ISNUMBER($S221),$S221="DNA"),$S221,IF(OR(ISNUMBER($P221),$P221="DNA"),$P221,IF(OR(ISNUMBER($O221),$O221="DNA"),$O221,IF(OR(ISNUMBER($N221),$N221="DNA"),$N221,""))))))))))),IF(ISNUMBER($Y221),"Update status","Missed/not booked?"),""))))</f>
        <v/>
      </c>
      <c r="M221" s="29">
        <f>IF(NOT(AND($A221&lt;&gt;"",OR($I221="",$I221="Active"))),"",IF(MIN(IF(AND(ISNUMBER($N221),$N221&gt;=TODAY()),$N221,99999),IF(AND(ISNUMBER($O221),$O221&gt;=TODAY()),$O221,99999),IF(AND(ISNUMBER($P221),$P221&gt;=TODAY()),$P221,99999),IF(AND(ISNUMBER($S221),$S221&gt;=TODAY()),$S221,99999),IF(AND(ISNUMBER($T221),$T221&gt;=TODAY()),$T221,99999),IF(AND(ISNUMBER($U221),$U221&gt;=TODAY()),$U221,99999),IF(AND(ISNUMBER($V221),$V221&gt;=TODAY()),$V221,99999),IF(AND(ISNUMBER($W221),$W221&gt;=TODAY()),$W221,99999),IF(AND(ISNUMBER($X221),$X221&gt;=TODAY()),$X221,99999),IF(AND(ISNUMBER($Y221),$Y221&gt;=TODAY()),$Y221,99999))=99999,"",MIN(IF(AND(ISNUMBER($N221),$N221&gt;=TODAY()),$N221,99999),IF(AND(ISNUMBER($O221),$O221&gt;=TODAY()),$O221,99999),IF(AND(ISNUMBER($P221),$P221&gt;=TODAY()),$P221,99999),IF(AND(ISNUMBER($S221),$S221&gt;=TODAY()),$S221,99999),IF(AND(ISNUMBER($T221),$T221&gt;=TODAY()),$T221,99999),IF(AND(ISNUMBER($U221),$U221&gt;=TODAY()),$U221,99999),IF(AND(ISNUMBER($V221),$V221&gt;=TODAY()),$V221,99999),IF(AND(ISNUMBER($W221),$W221&gt;=TODAY()),$W221,99999),IF(AND(ISNUMBER($X221),$X221&gt;=TODAY()),$X221,99999),IF(AND(ISNUMBER($Y221),$Y221&gt;=TODAY()),$Y221,99999))))</f>
        <v/>
      </c>
      <c r="N221" s="27" t="n"/>
      <c r="O221" s="27" t="n"/>
      <c r="P221" s="27" t="n"/>
      <c r="Q221" s="27" t="n"/>
      <c r="R221" s="27" t="n"/>
      <c r="S221" s="27" t="n"/>
      <c r="T221" s="27" t="n"/>
      <c r="U221" s="27" t="n"/>
      <c r="V221" s="27" t="n"/>
      <c r="W221" s="27" t="n"/>
      <c r="X221" s="27" t="n"/>
      <c r="Y221" s="27" t="n"/>
      <c r="Z221" s="27" t="n"/>
      <c r="AA221" s="27" t="n"/>
      <c r="AB221" s="27" t="n"/>
      <c r="AC221" s="30" t="n"/>
      <c r="AD221" s="25" t="n"/>
      <c r="AE221" s="28">
        <f>IF(NOT(AND($A221&lt;&gt;"",OR($I221="",$I221="Active"))),"",IF(OR(IF(OR(ISNUMBER($Y221),$Y221="DNA"),$Y221,IF(OR(ISNUMBER($X221),$X221="DNA"),$X221,IF(OR(ISNUMBER($W221),$W221="DNA"),$W221,IF(OR(ISNUMBER($V221),$V221="DNA"),$V221,IF(OR(ISNUMBER($U221),$U221="DNA"),$U221,IF(OR(ISNUMBER($T221),$T221="DNA"),$T221,IF(OR(ISNUMBER($S221),$S221="DNA"),$S221,IF(OR(ISNUMBER($P221),$P221="DNA"),$P221,IF(OR(ISNUMBER($O221),$O221="DNA"),$O221,IF(OR(ISNUMBER($N221),$N221="DNA"),$N221,""))))))))))="DNA",AND(ISNUMBER(IF(OR(ISNUMBER($Y221),$Y221="DNA"),$Y221,IF(OR(ISNUMBER($X221),$X221="DNA"),$X221,IF(OR(ISNUMBER($W221),$W221="DNA"),$W221,IF(OR(ISNUMBER($V221),$V221="DNA"),$V221,IF(OR(ISNUMBER($U221),$U221="DNA"),$U221,IF(OR(ISNUMBER($T221),$T221="DNA"),$T221,IF(OR(ISNUMBER($S221),$S221="DNA"),$S221,IF(OR(ISNUMBER($P221),$P221="DNA"),$P221,IF(OR(ISNUMBER($O221),$O221="DNA"),$O221,IF(OR(ISNUMBER($N221),$N221="DNA"),$N221,""))))))))))),IF(OR(ISNUMBER($Y221),$Y221="DNA"),$Y221,IF(OR(ISNUMBER($X221),$X221="DNA"),$X221,IF(OR(ISNUMBER($W221),$W221="DNA"),$W221,IF(OR(ISNUMBER($V221),$V221="DNA"),$V221,IF(OR(ISNUMBER($U221),$U221="DNA"),$U221,IF(OR(ISNUMBER($T221),$T221="DNA"),$T221,IF(OR(ISNUMBER($S221),$S221="DNA"),$S221,IF(OR(ISNUMBER($P221),$P221="DNA"),$P221,IF(OR(ISNUMBER($O221),$O221="DNA"),$O221,IF(OR(ISNUMBER($N221),$N221="DNA"),$N221,""))))))))))&lt;TODAY())),1,0)+ISNUMBER($Q221)*($Q221&lt;TODAY())+ISNUMBER($R221)*($R221&lt;TODAY())+ISNUMBER($AA221)*($AA221&lt;TODAY())+ISNUMBER($AB221)*($AB221&lt;TODAY()))</f>
        <v/>
      </c>
    </row>
    <row r="222">
      <c r="A222" s="25" t="n"/>
      <c r="B222" s="26" t="n"/>
      <c r="C222" s="27" t="n"/>
      <c r="D222" s="25" t="n"/>
      <c r="E222" s="25" t="n"/>
      <c r="F222" s="25" t="n"/>
      <c r="G222" s="25" t="n"/>
      <c r="H222" s="27" t="n"/>
      <c r="I222" s="25" t="n"/>
      <c r="J222" s="28">
        <f>IF(OR(NOT(AND($A222&lt;&gt;"",OR($I222="",$I222="Active"))),$H222=""),"",INT((TODAY()-$H222+280)/7)&amp;"+"&amp;MOD(TODAY()-$H222+280,7))</f>
        <v/>
      </c>
      <c r="K222" s="28">
        <f>IF(NOT(AND($A222&lt;&gt;"",OR($I222="",$I222="Active"))),"",ISNUMBER($N222)*($N222&gt;=TODAY())*($N222&lt;=TODAY()+7)+ISNUMBER($O222)*($O222&gt;=TODAY())*($O222&lt;=TODAY()+7)+ISNUMBER($P222)*($P222&gt;=TODAY())*($P222&lt;=TODAY()+7)+ISNUMBER($S222)*($S222&gt;=TODAY())*($S222&lt;=TODAY()+7)+ISNUMBER($T222)*($T222&gt;=TODAY())*($T222&lt;=TODAY()+7)+ISNUMBER($U222)*($U222&gt;=TODAY())*($U222&lt;=TODAY()+7)+ISNUMBER($V222)*($V222&gt;=TODAY())*($V222&lt;=TODAY()+7)+ISNUMBER($W222)*($W222&gt;=TODAY())*($W222&lt;=TODAY()+7)+ISNUMBER($X222)*($X222&gt;=TODAY())*($X222&lt;=TODAY()+7)+ISNUMBER($Y222)*($Y222&gt;=TODAY())*($Y222&lt;=TODAY()+7)+ISNUMBER($Q222)*($Q222&gt;=TODAY())*($Q222&lt;=TODAY()+7)+ISNUMBER($R222)*($R222&gt;=TODAY())*($R222&lt;=TODAY()+7)+ISNUMBER($AA222)*($AA222&gt;=TODAY())*($AA222&lt;=TODAY()+7)+ISNUMBER($AB222)*($AB222&gt;=TODAY())*($AB222&lt;=TODAY()+7))</f>
        <v/>
      </c>
      <c r="L222" s="28">
        <f>IF(NOT(AND($A222&lt;&gt;"",OR($I222="",$I222="Active"))),"",IF($M222&lt;&gt;"",IF($N222=$M222,"Booking",IF($O222=$M222,"16/40",IF($P222=$M222,"25/40",IF($S222=$M222,"28/40",IF($T222=$M222,"31/40",IF($U222=$M222,"34/40",IF($V222=$M222,"36/40",IF($W222=$M222,"38/40",IF($X222=$M222,"40/40",IF($Y222=$M222,"41/40","")))))))))),IF(IF(OR(ISNUMBER($Y222),$Y222="DNA"),$Y222,IF(OR(ISNUMBER($X222),$X222="DNA"),$X222,IF(OR(ISNUMBER($W222),$W222="DNA"),$W222,IF(OR(ISNUMBER($V222),$V222="DNA"),$V222,IF(OR(ISNUMBER($U222),$U222="DNA"),$U222,IF(OR(ISNUMBER($T222),$T222="DNA"),$T222,IF(OR(ISNUMBER($S222),$S222="DNA"),$S222,IF(OR(ISNUMBER($P222),$P222="DNA"),$P222,IF(OR(ISNUMBER($O222),$O222="DNA"),$O222,IF(OR(ISNUMBER($N222),$N222="DNA"),$N222,""))))))))))="DNA","Rebook DNA",IF(ISNUMBER(IF(OR(ISNUMBER($Y222),$Y222="DNA"),$Y222,IF(OR(ISNUMBER($X222),$X222="DNA"),$X222,IF(OR(ISNUMBER($W222),$W222="DNA"),$W222,IF(OR(ISNUMBER($V222),$V222="DNA"),$V222,IF(OR(ISNUMBER($U222),$U222="DNA"),$U222,IF(OR(ISNUMBER($T222),$T222="DNA"),$T222,IF(OR(ISNUMBER($S222),$S222="DNA"),$S222,IF(OR(ISNUMBER($P222),$P222="DNA"),$P222,IF(OR(ISNUMBER($O222),$O222="DNA"),$O222,IF(OR(ISNUMBER($N222),$N222="DNA"),$N222,""))))))))))),IF(ISNUMBER($Y222),"Update status","Missed/not booked?"),""))))</f>
        <v/>
      </c>
      <c r="M222" s="29">
        <f>IF(NOT(AND($A222&lt;&gt;"",OR($I222="",$I222="Active"))),"",IF(MIN(IF(AND(ISNUMBER($N222),$N222&gt;=TODAY()),$N222,99999),IF(AND(ISNUMBER($O222),$O222&gt;=TODAY()),$O222,99999),IF(AND(ISNUMBER($P222),$P222&gt;=TODAY()),$P222,99999),IF(AND(ISNUMBER($S222),$S222&gt;=TODAY()),$S222,99999),IF(AND(ISNUMBER($T222),$T222&gt;=TODAY()),$T222,99999),IF(AND(ISNUMBER($U222),$U222&gt;=TODAY()),$U222,99999),IF(AND(ISNUMBER($V222),$V222&gt;=TODAY()),$V222,99999),IF(AND(ISNUMBER($W222),$W222&gt;=TODAY()),$W222,99999),IF(AND(ISNUMBER($X222),$X222&gt;=TODAY()),$X222,99999),IF(AND(ISNUMBER($Y222),$Y222&gt;=TODAY()),$Y222,99999))=99999,"",MIN(IF(AND(ISNUMBER($N222),$N222&gt;=TODAY()),$N222,99999),IF(AND(ISNUMBER($O222),$O222&gt;=TODAY()),$O222,99999),IF(AND(ISNUMBER($P222),$P222&gt;=TODAY()),$P222,99999),IF(AND(ISNUMBER($S222),$S222&gt;=TODAY()),$S222,99999),IF(AND(ISNUMBER($T222),$T222&gt;=TODAY()),$T222,99999),IF(AND(ISNUMBER($U222),$U222&gt;=TODAY()),$U222,99999),IF(AND(ISNUMBER($V222),$V222&gt;=TODAY()),$V222,99999),IF(AND(ISNUMBER($W222),$W222&gt;=TODAY()),$W222,99999),IF(AND(ISNUMBER($X222),$X222&gt;=TODAY()),$X222,99999),IF(AND(ISNUMBER($Y222),$Y222&gt;=TODAY()),$Y222,99999))))</f>
        <v/>
      </c>
      <c r="N222" s="27" t="n"/>
      <c r="O222" s="27" t="n"/>
      <c r="P222" s="27" t="n"/>
      <c r="Q222" s="27" t="n"/>
      <c r="R222" s="27" t="n"/>
      <c r="S222" s="27" t="n"/>
      <c r="T222" s="27" t="n"/>
      <c r="U222" s="27" t="n"/>
      <c r="V222" s="27" t="n"/>
      <c r="W222" s="27" t="n"/>
      <c r="X222" s="27" t="n"/>
      <c r="Y222" s="27" t="n"/>
      <c r="Z222" s="27" t="n"/>
      <c r="AA222" s="27" t="n"/>
      <c r="AB222" s="27" t="n"/>
      <c r="AC222" s="30" t="n"/>
      <c r="AD222" s="25" t="n"/>
      <c r="AE222" s="28">
        <f>IF(NOT(AND($A222&lt;&gt;"",OR($I222="",$I222="Active"))),"",IF(OR(IF(OR(ISNUMBER($Y222),$Y222="DNA"),$Y222,IF(OR(ISNUMBER($X222),$X222="DNA"),$X222,IF(OR(ISNUMBER($W222),$W222="DNA"),$W222,IF(OR(ISNUMBER($V222),$V222="DNA"),$V222,IF(OR(ISNUMBER($U222),$U222="DNA"),$U222,IF(OR(ISNUMBER($T222),$T222="DNA"),$T222,IF(OR(ISNUMBER($S222),$S222="DNA"),$S222,IF(OR(ISNUMBER($P222),$P222="DNA"),$P222,IF(OR(ISNUMBER($O222),$O222="DNA"),$O222,IF(OR(ISNUMBER($N222),$N222="DNA"),$N222,""))))))))))="DNA",AND(ISNUMBER(IF(OR(ISNUMBER($Y222),$Y222="DNA"),$Y222,IF(OR(ISNUMBER($X222),$X222="DNA"),$X222,IF(OR(ISNUMBER($W222),$W222="DNA"),$W222,IF(OR(ISNUMBER($V222),$V222="DNA"),$V222,IF(OR(ISNUMBER($U222),$U222="DNA"),$U222,IF(OR(ISNUMBER($T222),$T222="DNA"),$T222,IF(OR(ISNUMBER($S222),$S222="DNA"),$S222,IF(OR(ISNUMBER($P222),$P222="DNA"),$P222,IF(OR(ISNUMBER($O222),$O222="DNA"),$O222,IF(OR(ISNUMBER($N222),$N222="DNA"),$N222,""))))))))))),IF(OR(ISNUMBER($Y222),$Y222="DNA"),$Y222,IF(OR(ISNUMBER($X222),$X222="DNA"),$X222,IF(OR(ISNUMBER($W222),$W222="DNA"),$W222,IF(OR(ISNUMBER($V222),$V222="DNA"),$V222,IF(OR(ISNUMBER($U222),$U222="DNA"),$U222,IF(OR(ISNUMBER($T222),$T222="DNA"),$T222,IF(OR(ISNUMBER($S222),$S222="DNA"),$S222,IF(OR(ISNUMBER($P222),$P222="DNA"),$P222,IF(OR(ISNUMBER($O222),$O222="DNA"),$O222,IF(OR(ISNUMBER($N222),$N222="DNA"),$N222,""))))))))))&lt;TODAY())),1,0)+ISNUMBER($Q222)*($Q222&lt;TODAY())+ISNUMBER($R222)*($R222&lt;TODAY())+ISNUMBER($AA222)*($AA222&lt;TODAY())+ISNUMBER($AB222)*($AB222&lt;TODAY()))</f>
        <v/>
      </c>
    </row>
    <row r="223">
      <c r="A223" s="25" t="n"/>
      <c r="B223" s="26" t="n"/>
      <c r="C223" s="27" t="n"/>
      <c r="D223" s="25" t="n"/>
      <c r="E223" s="25" t="n"/>
      <c r="F223" s="25" t="n"/>
      <c r="G223" s="25" t="n"/>
      <c r="H223" s="27" t="n"/>
      <c r="I223" s="25" t="n"/>
      <c r="J223" s="28">
        <f>IF(OR(NOT(AND($A223&lt;&gt;"",OR($I223="",$I223="Active"))),$H223=""),"",INT((TODAY()-$H223+280)/7)&amp;"+"&amp;MOD(TODAY()-$H223+280,7))</f>
        <v/>
      </c>
      <c r="K223" s="28">
        <f>IF(NOT(AND($A223&lt;&gt;"",OR($I223="",$I223="Active"))),"",ISNUMBER($N223)*($N223&gt;=TODAY())*($N223&lt;=TODAY()+7)+ISNUMBER($O223)*($O223&gt;=TODAY())*($O223&lt;=TODAY()+7)+ISNUMBER($P223)*($P223&gt;=TODAY())*($P223&lt;=TODAY()+7)+ISNUMBER($S223)*($S223&gt;=TODAY())*($S223&lt;=TODAY()+7)+ISNUMBER($T223)*($T223&gt;=TODAY())*($T223&lt;=TODAY()+7)+ISNUMBER($U223)*($U223&gt;=TODAY())*($U223&lt;=TODAY()+7)+ISNUMBER($V223)*($V223&gt;=TODAY())*($V223&lt;=TODAY()+7)+ISNUMBER($W223)*($W223&gt;=TODAY())*($W223&lt;=TODAY()+7)+ISNUMBER($X223)*($X223&gt;=TODAY())*($X223&lt;=TODAY()+7)+ISNUMBER($Y223)*($Y223&gt;=TODAY())*($Y223&lt;=TODAY()+7)+ISNUMBER($Q223)*($Q223&gt;=TODAY())*($Q223&lt;=TODAY()+7)+ISNUMBER($R223)*($R223&gt;=TODAY())*($R223&lt;=TODAY()+7)+ISNUMBER($AA223)*($AA223&gt;=TODAY())*($AA223&lt;=TODAY()+7)+ISNUMBER($AB223)*($AB223&gt;=TODAY())*($AB223&lt;=TODAY()+7))</f>
        <v/>
      </c>
      <c r="L223" s="28">
        <f>IF(NOT(AND($A223&lt;&gt;"",OR($I223="",$I223="Active"))),"",IF($M223&lt;&gt;"",IF($N223=$M223,"Booking",IF($O223=$M223,"16/40",IF($P223=$M223,"25/40",IF($S223=$M223,"28/40",IF($T223=$M223,"31/40",IF($U223=$M223,"34/40",IF($V223=$M223,"36/40",IF($W223=$M223,"38/40",IF($X223=$M223,"40/40",IF($Y223=$M223,"41/40","")))))))))),IF(IF(OR(ISNUMBER($Y223),$Y223="DNA"),$Y223,IF(OR(ISNUMBER($X223),$X223="DNA"),$X223,IF(OR(ISNUMBER($W223),$W223="DNA"),$W223,IF(OR(ISNUMBER($V223),$V223="DNA"),$V223,IF(OR(ISNUMBER($U223),$U223="DNA"),$U223,IF(OR(ISNUMBER($T223),$T223="DNA"),$T223,IF(OR(ISNUMBER($S223),$S223="DNA"),$S223,IF(OR(ISNUMBER($P223),$P223="DNA"),$P223,IF(OR(ISNUMBER($O223),$O223="DNA"),$O223,IF(OR(ISNUMBER($N223),$N223="DNA"),$N223,""))))))))))="DNA","Rebook DNA",IF(ISNUMBER(IF(OR(ISNUMBER($Y223),$Y223="DNA"),$Y223,IF(OR(ISNUMBER($X223),$X223="DNA"),$X223,IF(OR(ISNUMBER($W223),$W223="DNA"),$W223,IF(OR(ISNUMBER($V223),$V223="DNA"),$V223,IF(OR(ISNUMBER($U223),$U223="DNA"),$U223,IF(OR(ISNUMBER($T223),$T223="DNA"),$T223,IF(OR(ISNUMBER($S223),$S223="DNA"),$S223,IF(OR(ISNUMBER($P223),$P223="DNA"),$P223,IF(OR(ISNUMBER($O223),$O223="DNA"),$O223,IF(OR(ISNUMBER($N223),$N223="DNA"),$N223,""))))))))))),IF(ISNUMBER($Y223),"Update status","Missed/not booked?"),""))))</f>
        <v/>
      </c>
      <c r="M223" s="29">
        <f>IF(NOT(AND($A223&lt;&gt;"",OR($I223="",$I223="Active"))),"",IF(MIN(IF(AND(ISNUMBER($N223),$N223&gt;=TODAY()),$N223,99999),IF(AND(ISNUMBER($O223),$O223&gt;=TODAY()),$O223,99999),IF(AND(ISNUMBER($P223),$P223&gt;=TODAY()),$P223,99999),IF(AND(ISNUMBER($S223),$S223&gt;=TODAY()),$S223,99999),IF(AND(ISNUMBER($T223),$T223&gt;=TODAY()),$T223,99999),IF(AND(ISNUMBER($U223),$U223&gt;=TODAY()),$U223,99999),IF(AND(ISNUMBER($V223),$V223&gt;=TODAY()),$V223,99999),IF(AND(ISNUMBER($W223),$W223&gt;=TODAY()),$W223,99999),IF(AND(ISNUMBER($X223),$X223&gt;=TODAY()),$X223,99999),IF(AND(ISNUMBER($Y223),$Y223&gt;=TODAY()),$Y223,99999))=99999,"",MIN(IF(AND(ISNUMBER($N223),$N223&gt;=TODAY()),$N223,99999),IF(AND(ISNUMBER($O223),$O223&gt;=TODAY()),$O223,99999),IF(AND(ISNUMBER($P223),$P223&gt;=TODAY()),$P223,99999),IF(AND(ISNUMBER($S223),$S223&gt;=TODAY()),$S223,99999),IF(AND(ISNUMBER($T223),$T223&gt;=TODAY()),$T223,99999),IF(AND(ISNUMBER($U223),$U223&gt;=TODAY()),$U223,99999),IF(AND(ISNUMBER($V223),$V223&gt;=TODAY()),$V223,99999),IF(AND(ISNUMBER($W223),$W223&gt;=TODAY()),$W223,99999),IF(AND(ISNUMBER($X223),$X223&gt;=TODAY()),$X223,99999),IF(AND(ISNUMBER($Y223),$Y223&gt;=TODAY()),$Y223,99999))))</f>
        <v/>
      </c>
      <c r="N223" s="27" t="n"/>
      <c r="O223" s="27" t="n"/>
      <c r="P223" s="27" t="n"/>
      <c r="Q223" s="27" t="n"/>
      <c r="R223" s="27" t="n"/>
      <c r="S223" s="27" t="n"/>
      <c r="T223" s="27" t="n"/>
      <c r="U223" s="27" t="n"/>
      <c r="V223" s="27" t="n"/>
      <c r="W223" s="27" t="n"/>
      <c r="X223" s="27" t="n"/>
      <c r="Y223" s="27" t="n"/>
      <c r="Z223" s="27" t="n"/>
      <c r="AA223" s="27" t="n"/>
      <c r="AB223" s="27" t="n"/>
      <c r="AC223" s="30" t="n"/>
      <c r="AD223" s="25" t="n"/>
      <c r="AE223" s="28">
        <f>IF(NOT(AND($A223&lt;&gt;"",OR($I223="",$I223="Active"))),"",IF(OR(IF(OR(ISNUMBER($Y223),$Y223="DNA"),$Y223,IF(OR(ISNUMBER($X223),$X223="DNA"),$X223,IF(OR(ISNUMBER($W223),$W223="DNA"),$W223,IF(OR(ISNUMBER($V223),$V223="DNA"),$V223,IF(OR(ISNUMBER($U223),$U223="DNA"),$U223,IF(OR(ISNUMBER($T223),$T223="DNA"),$T223,IF(OR(ISNUMBER($S223),$S223="DNA"),$S223,IF(OR(ISNUMBER($P223),$P223="DNA"),$P223,IF(OR(ISNUMBER($O223),$O223="DNA"),$O223,IF(OR(ISNUMBER($N223),$N223="DNA"),$N223,""))))))))))="DNA",AND(ISNUMBER(IF(OR(ISNUMBER($Y223),$Y223="DNA"),$Y223,IF(OR(ISNUMBER($X223),$X223="DNA"),$X223,IF(OR(ISNUMBER($W223),$W223="DNA"),$W223,IF(OR(ISNUMBER($V223),$V223="DNA"),$V223,IF(OR(ISNUMBER($U223),$U223="DNA"),$U223,IF(OR(ISNUMBER($T223),$T223="DNA"),$T223,IF(OR(ISNUMBER($S223),$S223="DNA"),$S223,IF(OR(ISNUMBER($P223),$P223="DNA"),$P223,IF(OR(ISNUMBER($O223),$O223="DNA"),$O223,IF(OR(ISNUMBER($N223),$N223="DNA"),$N223,""))))))))))),IF(OR(ISNUMBER($Y223),$Y223="DNA"),$Y223,IF(OR(ISNUMBER($X223),$X223="DNA"),$X223,IF(OR(ISNUMBER($W223),$W223="DNA"),$W223,IF(OR(ISNUMBER($V223),$V223="DNA"),$V223,IF(OR(ISNUMBER($U223),$U223="DNA"),$U223,IF(OR(ISNUMBER($T223),$T223="DNA"),$T223,IF(OR(ISNUMBER($S223),$S223="DNA"),$S223,IF(OR(ISNUMBER($P223),$P223="DNA"),$P223,IF(OR(ISNUMBER($O223),$O223="DNA"),$O223,IF(OR(ISNUMBER($N223),$N223="DNA"),$N223,""))))))))))&lt;TODAY())),1,0)+ISNUMBER($Q223)*($Q223&lt;TODAY())+ISNUMBER($R223)*($R223&lt;TODAY())+ISNUMBER($AA223)*($AA223&lt;TODAY())+ISNUMBER($AB223)*($AB223&lt;TODAY()))</f>
        <v/>
      </c>
    </row>
    <row r="224">
      <c r="A224" s="25" t="n"/>
      <c r="B224" s="26" t="n"/>
      <c r="C224" s="27" t="n"/>
      <c r="D224" s="25" t="n"/>
      <c r="E224" s="25" t="n"/>
      <c r="F224" s="25" t="n"/>
      <c r="G224" s="25" t="n"/>
      <c r="H224" s="27" t="n"/>
      <c r="I224" s="25" t="n"/>
      <c r="J224" s="28">
        <f>IF(OR(NOT(AND($A224&lt;&gt;"",OR($I224="",$I224="Active"))),$H224=""),"",INT((TODAY()-$H224+280)/7)&amp;"+"&amp;MOD(TODAY()-$H224+280,7))</f>
        <v/>
      </c>
      <c r="K224" s="28">
        <f>IF(NOT(AND($A224&lt;&gt;"",OR($I224="",$I224="Active"))),"",ISNUMBER($N224)*($N224&gt;=TODAY())*($N224&lt;=TODAY()+7)+ISNUMBER($O224)*($O224&gt;=TODAY())*($O224&lt;=TODAY()+7)+ISNUMBER($P224)*($P224&gt;=TODAY())*($P224&lt;=TODAY()+7)+ISNUMBER($S224)*($S224&gt;=TODAY())*($S224&lt;=TODAY()+7)+ISNUMBER($T224)*($T224&gt;=TODAY())*($T224&lt;=TODAY()+7)+ISNUMBER($U224)*($U224&gt;=TODAY())*($U224&lt;=TODAY()+7)+ISNUMBER($V224)*($V224&gt;=TODAY())*($V224&lt;=TODAY()+7)+ISNUMBER($W224)*($W224&gt;=TODAY())*($W224&lt;=TODAY()+7)+ISNUMBER($X224)*($X224&gt;=TODAY())*($X224&lt;=TODAY()+7)+ISNUMBER($Y224)*($Y224&gt;=TODAY())*($Y224&lt;=TODAY()+7)+ISNUMBER($Q224)*($Q224&gt;=TODAY())*($Q224&lt;=TODAY()+7)+ISNUMBER($R224)*($R224&gt;=TODAY())*($R224&lt;=TODAY()+7)+ISNUMBER($AA224)*($AA224&gt;=TODAY())*($AA224&lt;=TODAY()+7)+ISNUMBER($AB224)*($AB224&gt;=TODAY())*($AB224&lt;=TODAY()+7))</f>
        <v/>
      </c>
      <c r="L224" s="28">
        <f>IF(NOT(AND($A224&lt;&gt;"",OR($I224="",$I224="Active"))),"",IF($M224&lt;&gt;"",IF($N224=$M224,"Booking",IF($O224=$M224,"16/40",IF($P224=$M224,"25/40",IF($S224=$M224,"28/40",IF($T224=$M224,"31/40",IF($U224=$M224,"34/40",IF($V224=$M224,"36/40",IF($W224=$M224,"38/40",IF($X224=$M224,"40/40",IF($Y224=$M224,"41/40","")))))))))),IF(IF(OR(ISNUMBER($Y224),$Y224="DNA"),$Y224,IF(OR(ISNUMBER($X224),$X224="DNA"),$X224,IF(OR(ISNUMBER($W224),$W224="DNA"),$W224,IF(OR(ISNUMBER($V224),$V224="DNA"),$V224,IF(OR(ISNUMBER($U224),$U224="DNA"),$U224,IF(OR(ISNUMBER($T224),$T224="DNA"),$T224,IF(OR(ISNUMBER($S224),$S224="DNA"),$S224,IF(OR(ISNUMBER($P224),$P224="DNA"),$P224,IF(OR(ISNUMBER($O224),$O224="DNA"),$O224,IF(OR(ISNUMBER($N224),$N224="DNA"),$N224,""))))))))))="DNA","Rebook DNA",IF(ISNUMBER(IF(OR(ISNUMBER($Y224),$Y224="DNA"),$Y224,IF(OR(ISNUMBER($X224),$X224="DNA"),$X224,IF(OR(ISNUMBER($W224),$W224="DNA"),$W224,IF(OR(ISNUMBER($V224),$V224="DNA"),$V224,IF(OR(ISNUMBER($U224),$U224="DNA"),$U224,IF(OR(ISNUMBER($T224),$T224="DNA"),$T224,IF(OR(ISNUMBER($S224),$S224="DNA"),$S224,IF(OR(ISNUMBER($P224),$P224="DNA"),$P224,IF(OR(ISNUMBER($O224),$O224="DNA"),$O224,IF(OR(ISNUMBER($N224),$N224="DNA"),$N224,""))))))))))),IF(ISNUMBER($Y224),"Update status","Missed/not booked?"),""))))</f>
        <v/>
      </c>
      <c r="M224" s="29">
        <f>IF(NOT(AND($A224&lt;&gt;"",OR($I224="",$I224="Active"))),"",IF(MIN(IF(AND(ISNUMBER($N224),$N224&gt;=TODAY()),$N224,99999),IF(AND(ISNUMBER($O224),$O224&gt;=TODAY()),$O224,99999),IF(AND(ISNUMBER($P224),$P224&gt;=TODAY()),$P224,99999),IF(AND(ISNUMBER($S224),$S224&gt;=TODAY()),$S224,99999),IF(AND(ISNUMBER($T224),$T224&gt;=TODAY()),$T224,99999),IF(AND(ISNUMBER($U224),$U224&gt;=TODAY()),$U224,99999),IF(AND(ISNUMBER($V224),$V224&gt;=TODAY()),$V224,99999),IF(AND(ISNUMBER($W224),$W224&gt;=TODAY()),$W224,99999),IF(AND(ISNUMBER($X224),$X224&gt;=TODAY()),$X224,99999),IF(AND(ISNUMBER($Y224),$Y224&gt;=TODAY()),$Y224,99999))=99999,"",MIN(IF(AND(ISNUMBER($N224),$N224&gt;=TODAY()),$N224,99999),IF(AND(ISNUMBER($O224),$O224&gt;=TODAY()),$O224,99999),IF(AND(ISNUMBER($P224),$P224&gt;=TODAY()),$P224,99999),IF(AND(ISNUMBER($S224),$S224&gt;=TODAY()),$S224,99999),IF(AND(ISNUMBER($T224),$T224&gt;=TODAY()),$T224,99999),IF(AND(ISNUMBER($U224),$U224&gt;=TODAY()),$U224,99999),IF(AND(ISNUMBER($V224),$V224&gt;=TODAY()),$V224,99999),IF(AND(ISNUMBER($W224),$W224&gt;=TODAY()),$W224,99999),IF(AND(ISNUMBER($X224),$X224&gt;=TODAY()),$X224,99999),IF(AND(ISNUMBER($Y224),$Y224&gt;=TODAY()),$Y224,99999))))</f>
        <v/>
      </c>
      <c r="N224" s="27" t="n"/>
      <c r="O224" s="27" t="n"/>
      <c r="P224" s="27" t="n"/>
      <c r="Q224" s="27" t="n"/>
      <c r="R224" s="27" t="n"/>
      <c r="S224" s="27" t="n"/>
      <c r="T224" s="27" t="n"/>
      <c r="U224" s="27" t="n"/>
      <c r="V224" s="27" t="n"/>
      <c r="W224" s="27" t="n"/>
      <c r="X224" s="27" t="n"/>
      <c r="Y224" s="27" t="n"/>
      <c r="Z224" s="27" t="n"/>
      <c r="AA224" s="27" t="n"/>
      <c r="AB224" s="27" t="n"/>
      <c r="AC224" s="30" t="n"/>
      <c r="AD224" s="25" t="n"/>
      <c r="AE224" s="28">
        <f>IF(NOT(AND($A224&lt;&gt;"",OR($I224="",$I224="Active"))),"",IF(OR(IF(OR(ISNUMBER($Y224),$Y224="DNA"),$Y224,IF(OR(ISNUMBER($X224),$X224="DNA"),$X224,IF(OR(ISNUMBER($W224),$W224="DNA"),$W224,IF(OR(ISNUMBER($V224),$V224="DNA"),$V224,IF(OR(ISNUMBER($U224),$U224="DNA"),$U224,IF(OR(ISNUMBER($T224),$T224="DNA"),$T224,IF(OR(ISNUMBER($S224),$S224="DNA"),$S224,IF(OR(ISNUMBER($P224),$P224="DNA"),$P224,IF(OR(ISNUMBER($O224),$O224="DNA"),$O224,IF(OR(ISNUMBER($N224),$N224="DNA"),$N224,""))))))))))="DNA",AND(ISNUMBER(IF(OR(ISNUMBER($Y224),$Y224="DNA"),$Y224,IF(OR(ISNUMBER($X224),$X224="DNA"),$X224,IF(OR(ISNUMBER($W224),$W224="DNA"),$W224,IF(OR(ISNUMBER($V224),$V224="DNA"),$V224,IF(OR(ISNUMBER($U224),$U224="DNA"),$U224,IF(OR(ISNUMBER($T224),$T224="DNA"),$T224,IF(OR(ISNUMBER($S224),$S224="DNA"),$S224,IF(OR(ISNUMBER($P224),$P224="DNA"),$P224,IF(OR(ISNUMBER($O224),$O224="DNA"),$O224,IF(OR(ISNUMBER($N224),$N224="DNA"),$N224,""))))))))))),IF(OR(ISNUMBER($Y224),$Y224="DNA"),$Y224,IF(OR(ISNUMBER($X224),$X224="DNA"),$X224,IF(OR(ISNUMBER($W224),$W224="DNA"),$W224,IF(OR(ISNUMBER($V224),$V224="DNA"),$V224,IF(OR(ISNUMBER($U224),$U224="DNA"),$U224,IF(OR(ISNUMBER($T224),$T224="DNA"),$T224,IF(OR(ISNUMBER($S224),$S224="DNA"),$S224,IF(OR(ISNUMBER($P224),$P224="DNA"),$P224,IF(OR(ISNUMBER($O224),$O224="DNA"),$O224,IF(OR(ISNUMBER($N224),$N224="DNA"),$N224,""))))))))))&lt;TODAY())),1,0)+ISNUMBER($Q224)*($Q224&lt;TODAY())+ISNUMBER($R224)*($R224&lt;TODAY())+ISNUMBER($AA224)*($AA224&lt;TODAY())+ISNUMBER($AB224)*($AB224&lt;TODAY()))</f>
        <v/>
      </c>
    </row>
    <row r="225">
      <c r="A225" s="25" t="n"/>
      <c r="B225" s="26" t="n"/>
      <c r="C225" s="27" t="n"/>
      <c r="D225" s="25" t="n"/>
      <c r="E225" s="25" t="n"/>
      <c r="F225" s="25" t="n"/>
      <c r="G225" s="25" t="n"/>
      <c r="H225" s="27" t="n"/>
      <c r="I225" s="25" t="n"/>
      <c r="J225" s="28">
        <f>IF(OR(NOT(AND($A225&lt;&gt;"",OR($I225="",$I225="Active"))),$H225=""),"",INT((TODAY()-$H225+280)/7)&amp;"+"&amp;MOD(TODAY()-$H225+280,7))</f>
        <v/>
      </c>
      <c r="K225" s="28">
        <f>IF(NOT(AND($A225&lt;&gt;"",OR($I225="",$I225="Active"))),"",ISNUMBER($N225)*($N225&gt;=TODAY())*($N225&lt;=TODAY()+7)+ISNUMBER($O225)*($O225&gt;=TODAY())*($O225&lt;=TODAY()+7)+ISNUMBER($P225)*($P225&gt;=TODAY())*($P225&lt;=TODAY()+7)+ISNUMBER($S225)*($S225&gt;=TODAY())*($S225&lt;=TODAY()+7)+ISNUMBER($T225)*($T225&gt;=TODAY())*($T225&lt;=TODAY()+7)+ISNUMBER($U225)*($U225&gt;=TODAY())*($U225&lt;=TODAY()+7)+ISNUMBER($V225)*($V225&gt;=TODAY())*($V225&lt;=TODAY()+7)+ISNUMBER($W225)*($W225&gt;=TODAY())*($W225&lt;=TODAY()+7)+ISNUMBER($X225)*($X225&gt;=TODAY())*($X225&lt;=TODAY()+7)+ISNUMBER($Y225)*($Y225&gt;=TODAY())*($Y225&lt;=TODAY()+7)+ISNUMBER($Q225)*($Q225&gt;=TODAY())*($Q225&lt;=TODAY()+7)+ISNUMBER($R225)*($R225&gt;=TODAY())*($R225&lt;=TODAY()+7)+ISNUMBER($AA225)*($AA225&gt;=TODAY())*($AA225&lt;=TODAY()+7)+ISNUMBER($AB225)*($AB225&gt;=TODAY())*($AB225&lt;=TODAY()+7))</f>
        <v/>
      </c>
      <c r="L225" s="28">
        <f>IF(NOT(AND($A225&lt;&gt;"",OR($I225="",$I225="Active"))),"",IF($M225&lt;&gt;"",IF($N225=$M225,"Booking",IF($O225=$M225,"16/40",IF($P225=$M225,"25/40",IF($S225=$M225,"28/40",IF($T225=$M225,"31/40",IF($U225=$M225,"34/40",IF($V225=$M225,"36/40",IF($W225=$M225,"38/40",IF($X225=$M225,"40/40",IF($Y225=$M225,"41/40","")))))))))),IF(IF(OR(ISNUMBER($Y225),$Y225="DNA"),$Y225,IF(OR(ISNUMBER($X225),$X225="DNA"),$X225,IF(OR(ISNUMBER($W225),$W225="DNA"),$W225,IF(OR(ISNUMBER($V225),$V225="DNA"),$V225,IF(OR(ISNUMBER($U225),$U225="DNA"),$U225,IF(OR(ISNUMBER($T225),$T225="DNA"),$T225,IF(OR(ISNUMBER($S225),$S225="DNA"),$S225,IF(OR(ISNUMBER($P225),$P225="DNA"),$P225,IF(OR(ISNUMBER($O225),$O225="DNA"),$O225,IF(OR(ISNUMBER($N225),$N225="DNA"),$N225,""))))))))))="DNA","Rebook DNA",IF(ISNUMBER(IF(OR(ISNUMBER($Y225),$Y225="DNA"),$Y225,IF(OR(ISNUMBER($X225),$X225="DNA"),$X225,IF(OR(ISNUMBER($W225),$W225="DNA"),$W225,IF(OR(ISNUMBER($V225),$V225="DNA"),$V225,IF(OR(ISNUMBER($U225),$U225="DNA"),$U225,IF(OR(ISNUMBER($T225),$T225="DNA"),$T225,IF(OR(ISNUMBER($S225),$S225="DNA"),$S225,IF(OR(ISNUMBER($P225),$P225="DNA"),$P225,IF(OR(ISNUMBER($O225),$O225="DNA"),$O225,IF(OR(ISNUMBER($N225),$N225="DNA"),$N225,""))))))))))),IF(ISNUMBER($Y225),"Update status","Missed/not booked?"),""))))</f>
        <v/>
      </c>
      <c r="M225" s="29">
        <f>IF(NOT(AND($A225&lt;&gt;"",OR($I225="",$I225="Active"))),"",IF(MIN(IF(AND(ISNUMBER($N225),$N225&gt;=TODAY()),$N225,99999),IF(AND(ISNUMBER($O225),$O225&gt;=TODAY()),$O225,99999),IF(AND(ISNUMBER($P225),$P225&gt;=TODAY()),$P225,99999),IF(AND(ISNUMBER($S225),$S225&gt;=TODAY()),$S225,99999),IF(AND(ISNUMBER($T225),$T225&gt;=TODAY()),$T225,99999),IF(AND(ISNUMBER($U225),$U225&gt;=TODAY()),$U225,99999),IF(AND(ISNUMBER($V225),$V225&gt;=TODAY()),$V225,99999),IF(AND(ISNUMBER($W225),$W225&gt;=TODAY()),$W225,99999),IF(AND(ISNUMBER($X225),$X225&gt;=TODAY()),$X225,99999),IF(AND(ISNUMBER($Y225),$Y225&gt;=TODAY()),$Y225,99999))=99999,"",MIN(IF(AND(ISNUMBER($N225),$N225&gt;=TODAY()),$N225,99999),IF(AND(ISNUMBER($O225),$O225&gt;=TODAY()),$O225,99999),IF(AND(ISNUMBER($P225),$P225&gt;=TODAY()),$P225,99999),IF(AND(ISNUMBER($S225),$S225&gt;=TODAY()),$S225,99999),IF(AND(ISNUMBER($T225),$T225&gt;=TODAY()),$T225,99999),IF(AND(ISNUMBER($U225),$U225&gt;=TODAY()),$U225,99999),IF(AND(ISNUMBER($V225),$V225&gt;=TODAY()),$V225,99999),IF(AND(ISNUMBER($W225),$W225&gt;=TODAY()),$W225,99999),IF(AND(ISNUMBER($X225),$X225&gt;=TODAY()),$X225,99999),IF(AND(ISNUMBER($Y225),$Y225&gt;=TODAY()),$Y225,99999))))</f>
        <v/>
      </c>
      <c r="N225" s="27" t="n"/>
      <c r="O225" s="27" t="n"/>
      <c r="P225" s="27" t="n"/>
      <c r="Q225" s="27" t="n"/>
      <c r="R225" s="27" t="n"/>
      <c r="S225" s="27" t="n"/>
      <c r="T225" s="27" t="n"/>
      <c r="U225" s="27" t="n"/>
      <c r="V225" s="27" t="n"/>
      <c r="W225" s="27" t="n"/>
      <c r="X225" s="27" t="n"/>
      <c r="Y225" s="27" t="n"/>
      <c r="Z225" s="27" t="n"/>
      <c r="AA225" s="27" t="n"/>
      <c r="AB225" s="27" t="n"/>
      <c r="AC225" s="30" t="n"/>
      <c r="AD225" s="25" t="n"/>
      <c r="AE225" s="28">
        <f>IF(NOT(AND($A225&lt;&gt;"",OR($I225="",$I225="Active"))),"",IF(OR(IF(OR(ISNUMBER($Y225),$Y225="DNA"),$Y225,IF(OR(ISNUMBER($X225),$X225="DNA"),$X225,IF(OR(ISNUMBER($W225),$W225="DNA"),$W225,IF(OR(ISNUMBER($V225),$V225="DNA"),$V225,IF(OR(ISNUMBER($U225),$U225="DNA"),$U225,IF(OR(ISNUMBER($T225),$T225="DNA"),$T225,IF(OR(ISNUMBER($S225),$S225="DNA"),$S225,IF(OR(ISNUMBER($P225),$P225="DNA"),$P225,IF(OR(ISNUMBER($O225),$O225="DNA"),$O225,IF(OR(ISNUMBER($N225),$N225="DNA"),$N225,""))))))))))="DNA",AND(ISNUMBER(IF(OR(ISNUMBER($Y225),$Y225="DNA"),$Y225,IF(OR(ISNUMBER($X225),$X225="DNA"),$X225,IF(OR(ISNUMBER($W225),$W225="DNA"),$W225,IF(OR(ISNUMBER($V225),$V225="DNA"),$V225,IF(OR(ISNUMBER($U225),$U225="DNA"),$U225,IF(OR(ISNUMBER($T225),$T225="DNA"),$T225,IF(OR(ISNUMBER($S225),$S225="DNA"),$S225,IF(OR(ISNUMBER($P225),$P225="DNA"),$P225,IF(OR(ISNUMBER($O225),$O225="DNA"),$O225,IF(OR(ISNUMBER($N225),$N225="DNA"),$N225,""))))))))))),IF(OR(ISNUMBER($Y225),$Y225="DNA"),$Y225,IF(OR(ISNUMBER($X225),$X225="DNA"),$X225,IF(OR(ISNUMBER($W225),$W225="DNA"),$W225,IF(OR(ISNUMBER($V225),$V225="DNA"),$V225,IF(OR(ISNUMBER($U225),$U225="DNA"),$U225,IF(OR(ISNUMBER($T225),$T225="DNA"),$T225,IF(OR(ISNUMBER($S225),$S225="DNA"),$S225,IF(OR(ISNUMBER($P225),$P225="DNA"),$P225,IF(OR(ISNUMBER($O225),$O225="DNA"),$O225,IF(OR(ISNUMBER($N225),$N225="DNA"),$N225,""))))))))))&lt;TODAY())),1,0)+ISNUMBER($Q225)*($Q225&lt;TODAY())+ISNUMBER($R225)*($R225&lt;TODAY())+ISNUMBER($AA225)*($AA225&lt;TODAY())+ISNUMBER($AB225)*($AB225&lt;TODAY()))</f>
        <v/>
      </c>
    </row>
    <row r="226">
      <c r="A226" s="25" t="n"/>
      <c r="B226" s="26" t="n"/>
      <c r="C226" s="27" t="n"/>
      <c r="D226" s="25" t="n"/>
      <c r="E226" s="25" t="n"/>
      <c r="F226" s="25" t="n"/>
      <c r="G226" s="25" t="n"/>
      <c r="H226" s="27" t="n"/>
      <c r="I226" s="25" t="n"/>
      <c r="J226" s="28">
        <f>IF(OR(NOT(AND($A226&lt;&gt;"",OR($I226="",$I226="Active"))),$H226=""),"",INT((TODAY()-$H226+280)/7)&amp;"+"&amp;MOD(TODAY()-$H226+280,7))</f>
        <v/>
      </c>
      <c r="K226" s="28">
        <f>IF(NOT(AND($A226&lt;&gt;"",OR($I226="",$I226="Active"))),"",ISNUMBER($N226)*($N226&gt;=TODAY())*($N226&lt;=TODAY()+7)+ISNUMBER($O226)*($O226&gt;=TODAY())*($O226&lt;=TODAY()+7)+ISNUMBER($P226)*($P226&gt;=TODAY())*($P226&lt;=TODAY()+7)+ISNUMBER($S226)*($S226&gt;=TODAY())*($S226&lt;=TODAY()+7)+ISNUMBER($T226)*($T226&gt;=TODAY())*($T226&lt;=TODAY()+7)+ISNUMBER($U226)*($U226&gt;=TODAY())*($U226&lt;=TODAY()+7)+ISNUMBER($V226)*($V226&gt;=TODAY())*($V226&lt;=TODAY()+7)+ISNUMBER($W226)*($W226&gt;=TODAY())*($W226&lt;=TODAY()+7)+ISNUMBER($X226)*($X226&gt;=TODAY())*($X226&lt;=TODAY()+7)+ISNUMBER($Y226)*($Y226&gt;=TODAY())*($Y226&lt;=TODAY()+7)+ISNUMBER($Q226)*($Q226&gt;=TODAY())*($Q226&lt;=TODAY()+7)+ISNUMBER($R226)*($R226&gt;=TODAY())*($R226&lt;=TODAY()+7)+ISNUMBER($AA226)*($AA226&gt;=TODAY())*($AA226&lt;=TODAY()+7)+ISNUMBER($AB226)*($AB226&gt;=TODAY())*($AB226&lt;=TODAY()+7))</f>
        <v/>
      </c>
      <c r="L226" s="28">
        <f>IF(NOT(AND($A226&lt;&gt;"",OR($I226="",$I226="Active"))),"",IF($M226&lt;&gt;"",IF($N226=$M226,"Booking",IF($O226=$M226,"16/40",IF($P226=$M226,"25/40",IF($S226=$M226,"28/40",IF($T226=$M226,"31/40",IF($U226=$M226,"34/40",IF($V226=$M226,"36/40",IF($W226=$M226,"38/40",IF($X226=$M226,"40/40",IF($Y226=$M226,"41/40","")))))))))),IF(IF(OR(ISNUMBER($Y226),$Y226="DNA"),$Y226,IF(OR(ISNUMBER($X226),$X226="DNA"),$X226,IF(OR(ISNUMBER($W226),$W226="DNA"),$W226,IF(OR(ISNUMBER($V226),$V226="DNA"),$V226,IF(OR(ISNUMBER($U226),$U226="DNA"),$U226,IF(OR(ISNUMBER($T226),$T226="DNA"),$T226,IF(OR(ISNUMBER($S226),$S226="DNA"),$S226,IF(OR(ISNUMBER($P226),$P226="DNA"),$P226,IF(OR(ISNUMBER($O226),$O226="DNA"),$O226,IF(OR(ISNUMBER($N226),$N226="DNA"),$N226,""))))))))))="DNA","Rebook DNA",IF(ISNUMBER(IF(OR(ISNUMBER($Y226),$Y226="DNA"),$Y226,IF(OR(ISNUMBER($X226),$X226="DNA"),$X226,IF(OR(ISNUMBER($W226),$W226="DNA"),$W226,IF(OR(ISNUMBER($V226),$V226="DNA"),$V226,IF(OR(ISNUMBER($U226),$U226="DNA"),$U226,IF(OR(ISNUMBER($T226),$T226="DNA"),$T226,IF(OR(ISNUMBER($S226),$S226="DNA"),$S226,IF(OR(ISNUMBER($P226),$P226="DNA"),$P226,IF(OR(ISNUMBER($O226),$O226="DNA"),$O226,IF(OR(ISNUMBER($N226),$N226="DNA"),$N226,""))))))))))),IF(ISNUMBER($Y226),"Update status","Missed/not booked?"),""))))</f>
        <v/>
      </c>
      <c r="M226" s="29">
        <f>IF(NOT(AND($A226&lt;&gt;"",OR($I226="",$I226="Active"))),"",IF(MIN(IF(AND(ISNUMBER($N226),$N226&gt;=TODAY()),$N226,99999),IF(AND(ISNUMBER($O226),$O226&gt;=TODAY()),$O226,99999),IF(AND(ISNUMBER($P226),$P226&gt;=TODAY()),$P226,99999),IF(AND(ISNUMBER($S226),$S226&gt;=TODAY()),$S226,99999),IF(AND(ISNUMBER($T226),$T226&gt;=TODAY()),$T226,99999),IF(AND(ISNUMBER($U226),$U226&gt;=TODAY()),$U226,99999),IF(AND(ISNUMBER($V226),$V226&gt;=TODAY()),$V226,99999),IF(AND(ISNUMBER($W226),$W226&gt;=TODAY()),$W226,99999),IF(AND(ISNUMBER($X226),$X226&gt;=TODAY()),$X226,99999),IF(AND(ISNUMBER($Y226),$Y226&gt;=TODAY()),$Y226,99999))=99999,"",MIN(IF(AND(ISNUMBER($N226),$N226&gt;=TODAY()),$N226,99999),IF(AND(ISNUMBER($O226),$O226&gt;=TODAY()),$O226,99999),IF(AND(ISNUMBER($P226),$P226&gt;=TODAY()),$P226,99999),IF(AND(ISNUMBER($S226),$S226&gt;=TODAY()),$S226,99999),IF(AND(ISNUMBER($T226),$T226&gt;=TODAY()),$T226,99999),IF(AND(ISNUMBER($U226),$U226&gt;=TODAY()),$U226,99999),IF(AND(ISNUMBER($V226),$V226&gt;=TODAY()),$V226,99999),IF(AND(ISNUMBER($W226),$W226&gt;=TODAY()),$W226,99999),IF(AND(ISNUMBER($X226),$X226&gt;=TODAY()),$X226,99999),IF(AND(ISNUMBER($Y226),$Y226&gt;=TODAY()),$Y226,99999))))</f>
        <v/>
      </c>
      <c r="N226" s="27" t="n"/>
      <c r="O226" s="27" t="n"/>
      <c r="P226" s="27" t="n"/>
      <c r="Q226" s="27" t="n"/>
      <c r="R226" s="27" t="n"/>
      <c r="S226" s="27" t="n"/>
      <c r="T226" s="27" t="n"/>
      <c r="U226" s="27" t="n"/>
      <c r="V226" s="27" t="n"/>
      <c r="W226" s="27" t="n"/>
      <c r="X226" s="27" t="n"/>
      <c r="Y226" s="27" t="n"/>
      <c r="Z226" s="27" t="n"/>
      <c r="AA226" s="27" t="n"/>
      <c r="AB226" s="27" t="n"/>
      <c r="AC226" s="30" t="n"/>
      <c r="AD226" s="25" t="n"/>
      <c r="AE226" s="28">
        <f>IF(NOT(AND($A226&lt;&gt;"",OR($I226="",$I226="Active"))),"",IF(OR(IF(OR(ISNUMBER($Y226),$Y226="DNA"),$Y226,IF(OR(ISNUMBER($X226),$X226="DNA"),$X226,IF(OR(ISNUMBER($W226),$W226="DNA"),$W226,IF(OR(ISNUMBER($V226),$V226="DNA"),$V226,IF(OR(ISNUMBER($U226),$U226="DNA"),$U226,IF(OR(ISNUMBER($T226),$T226="DNA"),$T226,IF(OR(ISNUMBER($S226),$S226="DNA"),$S226,IF(OR(ISNUMBER($P226),$P226="DNA"),$P226,IF(OR(ISNUMBER($O226),$O226="DNA"),$O226,IF(OR(ISNUMBER($N226),$N226="DNA"),$N226,""))))))))))="DNA",AND(ISNUMBER(IF(OR(ISNUMBER($Y226),$Y226="DNA"),$Y226,IF(OR(ISNUMBER($X226),$X226="DNA"),$X226,IF(OR(ISNUMBER($W226),$W226="DNA"),$W226,IF(OR(ISNUMBER($V226),$V226="DNA"),$V226,IF(OR(ISNUMBER($U226),$U226="DNA"),$U226,IF(OR(ISNUMBER($T226),$T226="DNA"),$T226,IF(OR(ISNUMBER($S226),$S226="DNA"),$S226,IF(OR(ISNUMBER($P226),$P226="DNA"),$P226,IF(OR(ISNUMBER($O226),$O226="DNA"),$O226,IF(OR(ISNUMBER($N226),$N226="DNA"),$N226,""))))))))))),IF(OR(ISNUMBER($Y226),$Y226="DNA"),$Y226,IF(OR(ISNUMBER($X226),$X226="DNA"),$X226,IF(OR(ISNUMBER($W226),$W226="DNA"),$W226,IF(OR(ISNUMBER($V226),$V226="DNA"),$V226,IF(OR(ISNUMBER($U226),$U226="DNA"),$U226,IF(OR(ISNUMBER($T226),$T226="DNA"),$T226,IF(OR(ISNUMBER($S226),$S226="DNA"),$S226,IF(OR(ISNUMBER($P226),$P226="DNA"),$P226,IF(OR(ISNUMBER($O226),$O226="DNA"),$O226,IF(OR(ISNUMBER($N226),$N226="DNA"),$N226,""))))))))))&lt;TODAY())),1,0)+ISNUMBER($Q226)*($Q226&lt;TODAY())+ISNUMBER($R226)*($R226&lt;TODAY())+ISNUMBER($AA226)*($AA226&lt;TODAY())+ISNUMBER($AB226)*($AB226&lt;TODAY()))</f>
        <v/>
      </c>
    </row>
    <row r="227">
      <c r="A227" s="25" t="n"/>
      <c r="B227" s="26" t="n"/>
      <c r="C227" s="27" t="n"/>
      <c r="D227" s="25" t="n"/>
      <c r="E227" s="25" t="n"/>
      <c r="F227" s="25" t="n"/>
      <c r="G227" s="25" t="n"/>
      <c r="H227" s="27" t="n"/>
      <c r="I227" s="25" t="n"/>
      <c r="J227" s="28">
        <f>IF(OR(NOT(AND($A227&lt;&gt;"",OR($I227="",$I227="Active"))),$H227=""),"",INT((TODAY()-$H227+280)/7)&amp;"+"&amp;MOD(TODAY()-$H227+280,7))</f>
        <v/>
      </c>
      <c r="K227" s="28">
        <f>IF(NOT(AND($A227&lt;&gt;"",OR($I227="",$I227="Active"))),"",ISNUMBER($N227)*($N227&gt;=TODAY())*($N227&lt;=TODAY()+7)+ISNUMBER($O227)*($O227&gt;=TODAY())*($O227&lt;=TODAY()+7)+ISNUMBER($P227)*($P227&gt;=TODAY())*($P227&lt;=TODAY()+7)+ISNUMBER($S227)*($S227&gt;=TODAY())*($S227&lt;=TODAY()+7)+ISNUMBER($T227)*($T227&gt;=TODAY())*($T227&lt;=TODAY()+7)+ISNUMBER($U227)*($U227&gt;=TODAY())*($U227&lt;=TODAY()+7)+ISNUMBER($V227)*($V227&gt;=TODAY())*($V227&lt;=TODAY()+7)+ISNUMBER($W227)*($W227&gt;=TODAY())*($W227&lt;=TODAY()+7)+ISNUMBER($X227)*($X227&gt;=TODAY())*($X227&lt;=TODAY()+7)+ISNUMBER($Y227)*($Y227&gt;=TODAY())*($Y227&lt;=TODAY()+7)+ISNUMBER($Q227)*($Q227&gt;=TODAY())*($Q227&lt;=TODAY()+7)+ISNUMBER($R227)*($R227&gt;=TODAY())*($R227&lt;=TODAY()+7)+ISNUMBER($AA227)*($AA227&gt;=TODAY())*($AA227&lt;=TODAY()+7)+ISNUMBER($AB227)*($AB227&gt;=TODAY())*($AB227&lt;=TODAY()+7))</f>
        <v/>
      </c>
      <c r="L227" s="28">
        <f>IF(NOT(AND($A227&lt;&gt;"",OR($I227="",$I227="Active"))),"",IF($M227&lt;&gt;"",IF($N227=$M227,"Booking",IF($O227=$M227,"16/40",IF($P227=$M227,"25/40",IF($S227=$M227,"28/40",IF($T227=$M227,"31/40",IF($U227=$M227,"34/40",IF($V227=$M227,"36/40",IF($W227=$M227,"38/40",IF($X227=$M227,"40/40",IF($Y227=$M227,"41/40","")))))))))),IF(IF(OR(ISNUMBER($Y227),$Y227="DNA"),$Y227,IF(OR(ISNUMBER($X227),$X227="DNA"),$X227,IF(OR(ISNUMBER($W227),$W227="DNA"),$W227,IF(OR(ISNUMBER($V227),$V227="DNA"),$V227,IF(OR(ISNUMBER($U227),$U227="DNA"),$U227,IF(OR(ISNUMBER($T227),$T227="DNA"),$T227,IF(OR(ISNUMBER($S227),$S227="DNA"),$S227,IF(OR(ISNUMBER($P227),$P227="DNA"),$P227,IF(OR(ISNUMBER($O227),$O227="DNA"),$O227,IF(OR(ISNUMBER($N227),$N227="DNA"),$N227,""))))))))))="DNA","Rebook DNA",IF(ISNUMBER(IF(OR(ISNUMBER($Y227),$Y227="DNA"),$Y227,IF(OR(ISNUMBER($X227),$X227="DNA"),$X227,IF(OR(ISNUMBER($W227),$W227="DNA"),$W227,IF(OR(ISNUMBER($V227),$V227="DNA"),$V227,IF(OR(ISNUMBER($U227),$U227="DNA"),$U227,IF(OR(ISNUMBER($T227),$T227="DNA"),$T227,IF(OR(ISNUMBER($S227),$S227="DNA"),$S227,IF(OR(ISNUMBER($P227),$P227="DNA"),$P227,IF(OR(ISNUMBER($O227),$O227="DNA"),$O227,IF(OR(ISNUMBER($N227),$N227="DNA"),$N227,""))))))))))),IF(ISNUMBER($Y227),"Update status","Missed/not booked?"),""))))</f>
        <v/>
      </c>
      <c r="M227" s="29">
        <f>IF(NOT(AND($A227&lt;&gt;"",OR($I227="",$I227="Active"))),"",IF(MIN(IF(AND(ISNUMBER($N227),$N227&gt;=TODAY()),$N227,99999),IF(AND(ISNUMBER($O227),$O227&gt;=TODAY()),$O227,99999),IF(AND(ISNUMBER($P227),$P227&gt;=TODAY()),$P227,99999),IF(AND(ISNUMBER($S227),$S227&gt;=TODAY()),$S227,99999),IF(AND(ISNUMBER($T227),$T227&gt;=TODAY()),$T227,99999),IF(AND(ISNUMBER($U227),$U227&gt;=TODAY()),$U227,99999),IF(AND(ISNUMBER($V227),$V227&gt;=TODAY()),$V227,99999),IF(AND(ISNUMBER($W227),$W227&gt;=TODAY()),$W227,99999),IF(AND(ISNUMBER($X227),$X227&gt;=TODAY()),$X227,99999),IF(AND(ISNUMBER($Y227),$Y227&gt;=TODAY()),$Y227,99999))=99999,"",MIN(IF(AND(ISNUMBER($N227),$N227&gt;=TODAY()),$N227,99999),IF(AND(ISNUMBER($O227),$O227&gt;=TODAY()),$O227,99999),IF(AND(ISNUMBER($P227),$P227&gt;=TODAY()),$P227,99999),IF(AND(ISNUMBER($S227),$S227&gt;=TODAY()),$S227,99999),IF(AND(ISNUMBER($T227),$T227&gt;=TODAY()),$T227,99999),IF(AND(ISNUMBER($U227),$U227&gt;=TODAY()),$U227,99999),IF(AND(ISNUMBER($V227),$V227&gt;=TODAY()),$V227,99999),IF(AND(ISNUMBER($W227),$W227&gt;=TODAY()),$W227,99999),IF(AND(ISNUMBER($X227),$X227&gt;=TODAY()),$X227,99999),IF(AND(ISNUMBER($Y227),$Y227&gt;=TODAY()),$Y227,99999))))</f>
        <v/>
      </c>
      <c r="N227" s="27" t="n"/>
      <c r="O227" s="27" t="n"/>
      <c r="P227" s="27" t="n"/>
      <c r="Q227" s="27" t="n"/>
      <c r="R227" s="27" t="n"/>
      <c r="S227" s="27" t="n"/>
      <c r="T227" s="27" t="n"/>
      <c r="U227" s="27" t="n"/>
      <c r="V227" s="27" t="n"/>
      <c r="W227" s="27" t="n"/>
      <c r="X227" s="27" t="n"/>
      <c r="Y227" s="27" t="n"/>
      <c r="Z227" s="27" t="n"/>
      <c r="AA227" s="27" t="n"/>
      <c r="AB227" s="27" t="n"/>
      <c r="AC227" s="30" t="n"/>
      <c r="AD227" s="25" t="n"/>
      <c r="AE227" s="28">
        <f>IF(NOT(AND($A227&lt;&gt;"",OR($I227="",$I227="Active"))),"",IF(OR(IF(OR(ISNUMBER($Y227),$Y227="DNA"),$Y227,IF(OR(ISNUMBER($X227),$X227="DNA"),$X227,IF(OR(ISNUMBER($W227),$W227="DNA"),$W227,IF(OR(ISNUMBER($V227),$V227="DNA"),$V227,IF(OR(ISNUMBER($U227),$U227="DNA"),$U227,IF(OR(ISNUMBER($T227),$T227="DNA"),$T227,IF(OR(ISNUMBER($S227),$S227="DNA"),$S227,IF(OR(ISNUMBER($P227),$P227="DNA"),$P227,IF(OR(ISNUMBER($O227),$O227="DNA"),$O227,IF(OR(ISNUMBER($N227),$N227="DNA"),$N227,""))))))))))="DNA",AND(ISNUMBER(IF(OR(ISNUMBER($Y227),$Y227="DNA"),$Y227,IF(OR(ISNUMBER($X227),$X227="DNA"),$X227,IF(OR(ISNUMBER($W227),$W227="DNA"),$W227,IF(OR(ISNUMBER($V227),$V227="DNA"),$V227,IF(OR(ISNUMBER($U227),$U227="DNA"),$U227,IF(OR(ISNUMBER($T227),$T227="DNA"),$T227,IF(OR(ISNUMBER($S227),$S227="DNA"),$S227,IF(OR(ISNUMBER($P227),$P227="DNA"),$P227,IF(OR(ISNUMBER($O227),$O227="DNA"),$O227,IF(OR(ISNUMBER($N227),$N227="DNA"),$N227,""))))))))))),IF(OR(ISNUMBER($Y227),$Y227="DNA"),$Y227,IF(OR(ISNUMBER($X227),$X227="DNA"),$X227,IF(OR(ISNUMBER($W227),$W227="DNA"),$W227,IF(OR(ISNUMBER($V227),$V227="DNA"),$V227,IF(OR(ISNUMBER($U227),$U227="DNA"),$U227,IF(OR(ISNUMBER($T227),$T227="DNA"),$T227,IF(OR(ISNUMBER($S227),$S227="DNA"),$S227,IF(OR(ISNUMBER($P227),$P227="DNA"),$P227,IF(OR(ISNUMBER($O227),$O227="DNA"),$O227,IF(OR(ISNUMBER($N227),$N227="DNA"),$N227,""))))))))))&lt;TODAY())),1,0)+ISNUMBER($Q227)*($Q227&lt;TODAY())+ISNUMBER($R227)*($R227&lt;TODAY())+ISNUMBER($AA227)*($AA227&lt;TODAY())+ISNUMBER($AB227)*($AB227&lt;TODAY()))</f>
        <v/>
      </c>
    </row>
    <row r="228">
      <c r="A228" s="25" t="n"/>
      <c r="B228" s="26" t="n"/>
      <c r="C228" s="27" t="n"/>
      <c r="D228" s="25" t="n"/>
      <c r="E228" s="25" t="n"/>
      <c r="F228" s="25" t="n"/>
      <c r="G228" s="25" t="n"/>
      <c r="H228" s="27" t="n"/>
      <c r="I228" s="25" t="n"/>
      <c r="J228" s="28">
        <f>IF(OR(NOT(AND($A228&lt;&gt;"",OR($I228="",$I228="Active"))),$H228=""),"",INT((TODAY()-$H228+280)/7)&amp;"+"&amp;MOD(TODAY()-$H228+280,7))</f>
        <v/>
      </c>
      <c r="K228" s="28">
        <f>IF(NOT(AND($A228&lt;&gt;"",OR($I228="",$I228="Active"))),"",ISNUMBER($N228)*($N228&gt;=TODAY())*($N228&lt;=TODAY()+7)+ISNUMBER($O228)*($O228&gt;=TODAY())*($O228&lt;=TODAY()+7)+ISNUMBER($P228)*($P228&gt;=TODAY())*($P228&lt;=TODAY()+7)+ISNUMBER($S228)*($S228&gt;=TODAY())*($S228&lt;=TODAY()+7)+ISNUMBER($T228)*($T228&gt;=TODAY())*($T228&lt;=TODAY()+7)+ISNUMBER($U228)*($U228&gt;=TODAY())*($U228&lt;=TODAY()+7)+ISNUMBER($V228)*($V228&gt;=TODAY())*($V228&lt;=TODAY()+7)+ISNUMBER($W228)*($W228&gt;=TODAY())*($W228&lt;=TODAY()+7)+ISNUMBER($X228)*($X228&gt;=TODAY())*($X228&lt;=TODAY()+7)+ISNUMBER($Y228)*($Y228&gt;=TODAY())*($Y228&lt;=TODAY()+7)+ISNUMBER($Q228)*($Q228&gt;=TODAY())*($Q228&lt;=TODAY()+7)+ISNUMBER($R228)*($R228&gt;=TODAY())*($R228&lt;=TODAY()+7)+ISNUMBER($AA228)*($AA228&gt;=TODAY())*($AA228&lt;=TODAY()+7)+ISNUMBER($AB228)*($AB228&gt;=TODAY())*($AB228&lt;=TODAY()+7))</f>
        <v/>
      </c>
      <c r="L228" s="28">
        <f>IF(NOT(AND($A228&lt;&gt;"",OR($I228="",$I228="Active"))),"",IF($M228&lt;&gt;"",IF($N228=$M228,"Booking",IF($O228=$M228,"16/40",IF($P228=$M228,"25/40",IF($S228=$M228,"28/40",IF($T228=$M228,"31/40",IF($U228=$M228,"34/40",IF($V228=$M228,"36/40",IF($W228=$M228,"38/40",IF($X228=$M228,"40/40",IF($Y228=$M228,"41/40","")))))))))),IF(IF(OR(ISNUMBER($Y228),$Y228="DNA"),$Y228,IF(OR(ISNUMBER($X228),$X228="DNA"),$X228,IF(OR(ISNUMBER($W228),$W228="DNA"),$W228,IF(OR(ISNUMBER($V228),$V228="DNA"),$V228,IF(OR(ISNUMBER($U228),$U228="DNA"),$U228,IF(OR(ISNUMBER($T228),$T228="DNA"),$T228,IF(OR(ISNUMBER($S228),$S228="DNA"),$S228,IF(OR(ISNUMBER($P228),$P228="DNA"),$P228,IF(OR(ISNUMBER($O228),$O228="DNA"),$O228,IF(OR(ISNUMBER($N228),$N228="DNA"),$N228,""))))))))))="DNA","Rebook DNA",IF(ISNUMBER(IF(OR(ISNUMBER($Y228),$Y228="DNA"),$Y228,IF(OR(ISNUMBER($X228),$X228="DNA"),$X228,IF(OR(ISNUMBER($W228),$W228="DNA"),$W228,IF(OR(ISNUMBER($V228),$V228="DNA"),$V228,IF(OR(ISNUMBER($U228),$U228="DNA"),$U228,IF(OR(ISNUMBER($T228),$T228="DNA"),$T228,IF(OR(ISNUMBER($S228),$S228="DNA"),$S228,IF(OR(ISNUMBER($P228),$P228="DNA"),$P228,IF(OR(ISNUMBER($O228),$O228="DNA"),$O228,IF(OR(ISNUMBER($N228),$N228="DNA"),$N228,""))))))))))),IF(ISNUMBER($Y228),"Update status","Missed/not booked?"),""))))</f>
        <v/>
      </c>
      <c r="M228" s="29">
        <f>IF(NOT(AND($A228&lt;&gt;"",OR($I228="",$I228="Active"))),"",IF(MIN(IF(AND(ISNUMBER($N228),$N228&gt;=TODAY()),$N228,99999),IF(AND(ISNUMBER($O228),$O228&gt;=TODAY()),$O228,99999),IF(AND(ISNUMBER($P228),$P228&gt;=TODAY()),$P228,99999),IF(AND(ISNUMBER($S228),$S228&gt;=TODAY()),$S228,99999),IF(AND(ISNUMBER($T228),$T228&gt;=TODAY()),$T228,99999),IF(AND(ISNUMBER($U228),$U228&gt;=TODAY()),$U228,99999),IF(AND(ISNUMBER($V228),$V228&gt;=TODAY()),$V228,99999),IF(AND(ISNUMBER($W228),$W228&gt;=TODAY()),$W228,99999),IF(AND(ISNUMBER($X228),$X228&gt;=TODAY()),$X228,99999),IF(AND(ISNUMBER($Y228),$Y228&gt;=TODAY()),$Y228,99999))=99999,"",MIN(IF(AND(ISNUMBER($N228),$N228&gt;=TODAY()),$N228,99999),IF(AND(ISNUMBER($O228),$O228&gt;=TODAY()),$O228,99999),IF(AND(ISNUMBER($P228),$P228&gt;=TODAY()),$P228,99999),IF(AND(ISNUMBER($S228),$S228&gt;=TODAY()),$S228,99999),IF(AND(ISNUMBER($T228),$T228&gt;=TODAY()),$T228,99999),IF(AND(ISNUMBER($U228),$U228&gt;=TODAY()),$U228,99999),IF(AND(ISNUMBER($V228),$V228&gt;=TODAY()),$V228,99999),IF(AND(ISNUMBER($W228),$W228&gt;=TODAY()),$W228,99999),IF(AND(ISNUMBER($X228),$X228&gt;=TODAY()),$X228,99999),IF(AND(ISNUMBER($Y228),$Y228&gt;=TODAY()),$Y228,99999))))</f>
        <v/>
      </c>
      <c r="N228" s="27" t="n"/>
      <c r="O228" s="27" t="n"/>
      <c r="P228" s="27" t="n"/>
      <c r="Q228" s="27" t="n"/>
      <c r="R228" s="27" t="n"/>
      <c r="S228" s="27" t="n"/>
      <c r="T228" s="27" t="n"/>
      <c r="U228" s="27" t="n"/>
      <c r="V228" s="27" t="n"/>
      <c r="W228" s="27" t="n"/>
      <c r="X228" s="27" t="n"/>
      <c r="Y228" s="27" t="n"/>
      <c r="Z228" s="27" t="n"/>
      <c r="AA228" s="27" t="n"/>
      <c r="AB228" s="27" t="n"/>
      <c r="AC228" s="30" t="n"/>
      <c r="AD228" s="25" t="n"/>
      <c r="AE228" s="28">
        <f>IF(NOT(AND($A228&lt;&gt;"",OR($I228="",$I228="Active"))),"",IF(OR(IF(OR(ISNUMBER($Y228),$Y228="DNA"),$Y228,IF(OR(ISNUMBER($X228),$X228="DNA"),$X228,IF(OR(ISNUMBER($W228),$W228="DNA"),$W228,IF(OR(ISNUMBER($V228),$V228="DNA"),$V228,IF(OR(ISNUMBER($U228),$U228="DNA"),$U228,IF(OR(ISNUMBER($T228),$T228="DNA"),$T228,IF(OR(ISNUMBER($S228),$S228="DNA"),$S228,IF(OR(ISNUMBER($P228),$P228="DNA"),$P228,IF(OR(ISNUMBER($O228),$O228="DNA"),$O228,IF(OR(ISNUMBER($N228),$N228="DNA"),$N228,""))))))))))="DNA",AND(ISNUMBER(IF(OR(ISNUMBER($Y228),$Y228="DNA"),$Y228,IF(OR(ISNUMBER($X228),$X228="DNA"),$X228,IF(OR(ISNUMBER($W228),$W228="DNA"),$W228,IF(OR(ISNUMBER($V228),$V228="DNA"),$V228,IF(OR(ISNUMBER($U228),$U228="DNA"),$U228,IF(OR(ISNUMBER($T228),$T228="DNA"),$T228,IF(OR(ISNUMBER($S228),$S228="DNA"),$S228,IF(OR(ISNUMBER($P228),$P228="DNA"),$P228,IF(OR(ISNUMBER($O228),$O228="DNA"),$O228,IF(OR(ISNUMBER($N228),$N228="DNA"),$N228,""))))))))))),IF(OR(ISNUMBER($Y228),$Y228="DNA"),$Y228,IF(OR(ISNUMBER($X228),$X228="DNA"),$X228,IF(OR(ISNUMBER($W228),$W228="DNA"),$W228,IF(OR(ISNUMBER($V228),$V228="DNA"),$V228,IF(OR(ISNUMBER($U228),$U228="DNA"),$U228,IF(OR(ISNUMBER($T228),$T228="DNA"),$T228,IF(OR(ISNUMBER($S228),$S228="DNA"),$S228,IF(OR(ISNUMBER($P228),$P228="DNA"),$P228,IF(OR(ISNUMBER($O228),$O228="DNA"),$O228,IF(OR(ISNUMBER($N228),$N228="DNA"),$N228,""))))))))))&lt;TODAY())),1,0)+ISNUMBER($Q228)*($Q228&lt;TODAY())+ISNUMBER($R228)*($R228&lt;TODAY())+ISNUMBER($AA228)*($AA228&lt;TODAY())+ISNUMBER($AB228)*($AB228&lt;TODAY()))</f>
        <v/>
      </c>
    </row>
    <row r="229">
      <c r="A229" s="25" t="n"/>
      <c r="B229" s="26" t="n"/>
      <c r="C229" s="27" t="n"/>
      <c r="D229" s="25" t="n"/>
      <c r="E229" s="25" t="n"/>
      <c r="F229" s="25" t="n"/>
      <c r="G229" s="25" t="n"/>
      <c r="H229" s="27" t="n"/>
      <c r="I229" s="25" t="n"/>
      <c r="J229" s="28">
        <f>IF(OR(NOT(AND($A229&lt;&gt;"",OR($I229="",$I229="Active"))),$H229=""),"",INT((TODAY()-$H229+280)/7)&amp;"+"&amp;MOD(TODAY()-$H229+280,7))</f>
        <v/>
      </c>
      <c r="K229" s="28">
        <f>IF(NOT(AND($A229&lt;&gt;"",OR($I229="",$I229="Active"))),"",ISNUMBER($N229)*($N229&gt;=TODAY())*($N229&lt;=TODAY()+7)+ISNUMBER($O229)*($O229&gt;=TODAY())*($O229&lt;=TODAY()+7)+ISNUMBER($P229)*($P229&gt;=TODAY())*($P229&lt;=TODAY()+7)+ISNUMBER($S229)*($S229&gt;=TODAY())*($S229&lt;=TODAY()+7)+ISNUMBER($T229)*($T229&gt;=TODAY())*($T229&lt;=TODAY()+7)+ISNUMBER($U229)*($U229&gt;=TODAY())*($U229&lt;=TODAY()+7)+ISNUMBER($V229)*($V229&gt;=TODAY())*($V229&lt;=TODAY()+7)+ISNUMBER($W229)*($W229&gt;=TODAY())*($W229&lt;=TODAY()+7)+ISNUMBER($X229)*($X229&gt;=TODAY())*($X229&lt;=TODAY()+7)+ISNUMBER($Y229)*($Y229&gt;=TODAY())*($Y229&lt;=TODAY()+7)+ISNUMBER($Q229)*($Q229&gt;=TODAY())*($Q229&lt;=TODAY()+7)+ISNUMBER($R229)*($R229&gt;=TODAY())*($R229&lt;=TODAY()+7)+ISNUMBER($AA229)*($AA229&gt;=TODAY())*($AA229&lt;=TODAY()+7)+ISNUMBER($AB229)*($AB229&gt;=TODAY())*($AB229&lt;=TODAY()+7))</f>
        <v/>
      </c>
      <c r="L229" s="28">
        <f>IF(NOT(AND($A229&lt;&gt;"",OR($I229="",$I229="Active"))),"",IF($M229&lt;&gt;"",IF($N229=$M229,"Booking",IF($O229=$M229,"16/40",IF($P229=$M229,"25/40",IF($S229=$M229,"28/40",IF($T229=$M229,"31/40",IF($U229=$M229,"34/40",IF($V229=$M229,"36/40",IF($W229=$M229,"38/40",IF($X229=$M229,"40/40",IF($Y229=$M229,"41/40","")))))))))),IF(IF(OR(ISNUMBER($Y229),$Y229="DNA"),$Y229,IF(OR(ISNUMBER($X229),$X229="DNA"),$X229,IF(OR(ISNUMBER($W229),$W229="DNA"),$W229,IF(OR(ISNUMBER($V229),$V229="DNA"),$V229,IF(OR(ISNUMBER($U229),$U229="DNA"),$U229,IF(OR(ISNUMBER($T229),$T229="DNA"),$T229,IF(OR(ISNUMBER($S229),$S229="DNA"),$S229,IF(OR(ISNUMBER($P229),$P229="DNA"),$P229,IF(OR(ISNUMBER($O229),$O229="DNA"),$O229,IF(OR(ISNUMBER($N229),$N229="DNA"),$N229,""))))))))))="DNA","Rebook DNA",IF(ISNUMBER(IF(OR(ISNUMBER($Y229),$Y229="DNA"),$Y229,IF(OR(ISNUMBER($X229),$X229="DNA"),$X229,IF(OR(ISNUMBER($W229),$W229="DNA"),$W229,IF(OR(ISNUMBER($V229),$V229="DNA"),$V229,IF(OR(ISNUMBER($U229),$U229="DNA"),$U229,IF(OR(ISNUMBER($T229),$T229="DNA"),$T229,IF(OR(ISNUMBER($S229),$S229="DNA"),$S229,IF(OR(ISNUMBER($P229),$P229="DNA"),$P229,IF(OR(ISNUMBER($O229),$O229="DNA"),$O229,IF(OR(ISNUMBER($N229),$N229="DNA"),$N229,""))))))))))),IF(ISNUMBER($Y229),"Update status","Missed/not booked?"),""))))</f>
        <v/>
      </c>
      <c r="M229" s="29">
        <f>IF(NOT(AND($A229&lt;&gt;"",OR($I229="",$I229="Active"))),"",IF(MIN(IF(AND(ISNUMBER($N229),$N229&gt;=TODAY()),$N229,99999),IF(AND(ISNUMBER($O229),$O229&gt;=TODAY()),$O229,99999),IF(AND(ISNUMBER($P229),$P229&gt;=TODAY()),$P229,99999),IF(AND(ISNUMBER($S229),$S229&gt;=TODAY()),$S229,99999),IF(AND(ISNUMBER($T229),$T229&gt;=TODAY()),$T229,99999),IF(AND(ISNUMBER($U229),$U229&gt;=TODAY()),$U229,99999),IF(AND(ISNUMBER($V229),$V229&gt;=TODAY()),$V229,99999),IF(AND(ISNUMBER($W229),$W229&gt;=TODAY()),$W229,99999),IF(AND(ISNUMBER($X229),$X229&gt;=TODAY()),$X229,99999),IF(AND(ISNUMBER($Y229),$Y229&gt;=TODAY()),$Y229,99999))=99999,"",MIN(IF(AND(ISNUMBER($N229),$N229&gt;=TODAY()),$N229,99999),IF(AND(ISNUMBER($O229),$O229&gt;=TODAY()),$O229,99999),IF(AND(ISNUMBER($P229),$P229&gt;=TODAY()),$P229,99999),IF(AND(ISNUMBER($S229),$S229&gt;=TODAY()),$S229,99999),IF(AND(ISNUMBER($T229),$T229&gt;=TODAY()),$T229,99999),IF(AND(ISNUMBER($U229),$U229&gt;=TODAY()),$U229,99999),IF(AND(ISNUMBER($V229),$V229&gt;=TODAY()),$V229,99999),IF(AND(ISNUMBER($W229),$W229&gt;=TODAY()),$W229,99999),IF(AND(ISNUMBER($X229),$X229&gt;=TODAY()),$X229,99999),IF(AND(ISNUMBER($Y229),$Y229&gt;=TODAY()),$Y229,99999))))</f>
        <v/>
      </c>
      <c r="N229" s="27" t="n"/>
      <c r="O229" s="27" t="n"/>
      <c r="P229" s="27" t="n"/>
      <c r="Q229" s="27" t="n"/>
      <c r="R229" s="27" t="n"/>
      <c r="S229" s="27" t="n"/>
      <c r="T229" s="27" t="n"/>
      <c r="U229" s="27" t="n"/>
      <c r="V229" s="27" t="n"/>
      <c r="W229" s="27" t="n"/>
      <c r="X229" s="27" t="n"/>
      <c r="Y229" s="27" t="n"/>
      <c r="Z229" s="27" t="n"/>
      <c r="AA229" s="27" t="n"/>
      <c r="AB229" s="27" t="n"/>
      <c r="AC229" s="30" t="n"/>
      <c r="AD229" s="25" t="n"/>
      <c r="AE229" s="28">
        <f>IF(NOT(AND($A229&lt;&gt;"",OR($I229="",$I229="Active"))),"",IF(OR(IF(OR(ISNUMBER($Y229),$Y229="DNA"),$Y229,IF(OR(ISNUMBER($X229),$X229="DNA"),$X229,IF(OR(ISNUMBER($W229),$W229="DNA"),$W229,IF(OR(ISNUMBER($V229),$V229="DNA"),$V229,IF(OR(ISNUMBER($U229),$U229="DNA"),$U229,IF(OR(ISNUMBER($T229),$T229="DNA"),$T229,IF(OR(ISNUMBER($S229),$S229="DNA"),$S229,IF(OR(ISNUMBER($P229),$P229="DNA"),$P229,IF(OR(ISNUMBER($O229),$O229="DNA"),$O229,IF(OR(ISNUMBER($N229),$N229="DNA"),$N229,""))))))))))="DNA",AND(ISNUMBER(IF(OR(ISNUMBER($Y229),$Y229="DNA"),$Y229,IF(OR(ISNUMBER($X229),$X229="DNA"),$X229,IF(OR(ISNUMBER($W229),$W229="DNA"),$W229,IF(OR(ISNUMBER($V229),$V229="DNA"),$V229,IF(OR(ISNUMBER($U229),$U229="DNA"),$U229,IF(OR(ISNUMBER($T229),$T229="DNA"),$T229,IF(OR(ISNUMBER($S229),$S229="DNA"),$S229,IF(OR(ISNUMBER($P229),$P229="DNA"),$P229,IF(OR(ISNUMBER($O229),$O229="DNA"),$O229,IF(OR(ISNUMBER($N229),$N229="DNA"),$N229,""))))))))))),IF(OR(ISNUMBER($Y229),$Y229="DNA"),$Y229,IF(OR(ISNUMBER($X229),$X229="DNA"),$X229,IF(OR(ISNUMBER($W229),$W229="DNA"),$W229,IF(OR(ISNUMBER($V229),$V229="DNA"),$V229,IF(OR(ISNUMBER($U229),$U229="DNA"),$U229,IF(OR(ISNUMBER($T229),$T229="DNA"),$T229,IF(OR(ISNUMBER($S229),$S229="DNA"),$S229,IF(OR(ISNUMBER($P229),$P229="DNA"),$P229,IF(OR(ISNUMBER($O229),$O229="DNA"),$O229,IF(OR(ISNUMBER($N229),$N229="DNA"),$N229,""))))))))))&lt;TODAY())),1,0)+ISNUMBER($Q229)*($Q229&lt;TODAY())+ISNUMBER($R229)*($R229&lt;TODAY())+ISNUMBER($AA229)*($AA229&lt;TODAY())+ISNUMBER($AB229)*($AB229&lt;TODAY()))</f>
        <v/>
      </c>
    </row>
    <row r="230">
      <c r="A230" s="25" t="n"/>
      <c r="B230" s="26" t="n"/>
      <c r="C230" s="27" t="n"/>
      <c r="D230" s="25" t="n"/>
      <c r="E230" s="25" t="n"/>
      <c r="F230" s="25" t="n"/>
      <c r="G230" s="25" t="n"/>
      <c r="H230" s="27" t="n"/>
      <c r="I230" s="25" t="n"/>
      <c r="J230" s="28">
        <f>IF(OR(NOT(AND($A230&lt;&gt;"",OR($I230="",$I230="Active"))),$H230=""),"",INT((TODAY()-$H230+280)/7)&amp;"+"&amp;MOD(TODAY()-$H230+280,7))</f>
        <v/>
      </c>
      <c r="K230" s="28">
        <f>IF(NOT(AND($A230&lt;&gt;"",OR($I230="",$I230="Active"))),"",ISNUMBER($N230)*($N230&gt;=TODAY())*($N230&lt;=TODAY()+7)+ISNUMBER($O230)*($O230&gt;=TODAY())*($O230&lt;=TODAY()+7)+ISNUMBER($P230)*($P230&gt;=TODAY())*($P230&lt;=TODAY()+7)+ISNUMBER($S230)*($S230&gt;=TODAY())*($S230&lt;=TODAY()+7)+ISNUMBER($T230)*($T230&gt;=TODAY())*($T230&lt;=TODAY()+7)+ISNUMBER($U230)*($U230&gt;=TODAY())*($U230&lt;=TODAY()+7)+ISNUMBER($V230)*($V230&gt;=TODAY())*($V230&lt;=TODAY()+7)+ISNUMBER($W230)*($W230&gt;=TODAY())*($W230&lt;=TODAY()+7)+ISNUMBER($X230)*($X230&gt;=TODAY())*($X230&lt;=TODAY()+7)+ISNUMBER($Y230)*($Y230&gt;=TODAY())*($Y230&lt;=TODAY()+7)+ISNUMBER($Q230)*($Q230&gt;=TODAY())*($Q230&lt;=TODAY()+7)+ISNUMBER($R230)*($R230&gt;=TODAY())*($R230&lt;=TODAY()+7)+ISNUMBER($AA230)*($AA230&gt;=TODAY())*($AA230&lt;=TODAY()+7)+ISNUMBER($AB230)*($AB230&gt;=TODAY())*($AB230&lt;=TODAY()+7))</f>
        <v/>
      </c>
      <c r="L230" s="28">
        <f>IF(NOT(AND($A230&lt;&gt;"",OR($I230="",$I230="Active"))),"",IF($M230&lt;&gt;"",IF($N230=$M230,"Booking",IF($O230=$M230,"16/40",IF($P230=$M230,"25/40",IF($S230=$M230,"28/40",IF($T230=$M230,"31/40",IF($U230=$M230,"34/40",IF($V230=$M230,"36/40",IF($W230=$M230,"38/40",IF($X230=$M230,"40/40",IF($Y230=$M230,"41/40","")))))))))),IF(IF(OR(ISNUMBER($Y230),$Y230="DNA"),$Y230,IF(OR(ISNUMBER($X230),$X230="DNA"),$X230,IF(OR(ISNUMBER($W230),$W230="DNA"),$W230,IF(OR(ISNUMBER($V230),$V230="DNA"),$V230,IF(OR(ISNUMBER($U230),$U230="DNA"),$U230,IF(OR(ISNUMBER($T230),$T230="DNA"),$T230,IF(OR(ISNUMBER($S230),$S230="DNA"),$S230,IF(OR(ISNUMBER($P230),$P230="DNA"),$P230,IF(OR(ISNUMBER($O230),$O230="DNA"),$O230,IF(OR(ISNUMBER($N230),$N230="DNA"),$N230,""))))))))))="DNA","Rebook DNA",IF(ISNUMBER(IF(OR(ISNUMBER($Y230),$Y230="DNA"),$Y230,IF(OR(ISNUMBER($X230),$X230="DNA"),$X230,IF(OR(ISNUMBER($W230),$W230="DNA"),$W230,IF(OR(ISNUMBER($V230),$V230="DNA"),$V230,IF(OR(ISNUMBER($U230),$U230="DNA"),$U230,IF(OR(ISNUMBER($T230),$T230="DNA"),$T230,IF(OR(ISNUMBER($S230),$S230="DNA"),$S230,IF(OR(ISNUMBER($P230),$P230="DNA"),$P230,IF(OR(ISNUMBER($O230),$O230="DNA"),$O230,IF(OR(ISNUMBER($N230),$N230="DNA"),$N230,""))))))))))),IF(ISNUMBER($Y230),"Update status","Missed/not booked?"),""))))</f>
        <v/>
      </c>
      <c r="M230" s="29">
        <f>IF(NOT(AND($A230&lt;&gt;"",OR($I230="",$I230="Active"))),"",IF(MIN(IF(AND(ISNUMBER($N230),$N230&gt;=TODAY()),$N230,99999),IF(AND(ISNUMBER($O230),$O230&gt;=TODAY()),$O230,99999),IF(AND(ISNUMBER($P230),$P230&gt;=TODAY()),$P230,99999),IF(AND(ISNUMBER($S230),$S230&gt;=TODAY()),$S230,99999),IF(AND(ISNUMBER($T230),$T230&gt;=TODAY()),$T230,99999),IF(AND(ISNUMBER($U230),$U230&gt;=TODAY()),$U230,99999),IF(AND(ISNUMBER($V230),$V230&gt;=TODAY()),$V230,99999),IF(AND(ISNUMBER($W230),$W230&gt;=TODAY()),$W230,99999),IF(AND(ISNUMBER($X230),$X230&gt;=TODAY()),$X230,99999),IF(AND(ISNUMBER($Y230),$Y230&gt;=TODAY()),$Y230,99999))=99999,"",MIN(IF(AND(ISNUMBER($N230),$N230&gt;=TODAY()),$N230,99999),IF(AND(ISNUMBER($O230),$O230&gt;=TODAY()),$O230,99999),IF(AND(ISNUMBER($P230),$P230&gt;=TODAY()),$P230,99999),IF(AND(ISNUMBER($S230),$S230&gt;=TODAY()),$S230,99999),IF(AND(ISNUMBER($T230),$T230&gt;=TODAY()),$T230,99999),IF(AND(ISNUMBER($U230),$U230&gt;=TODAY()),$U230,99999),IF(AND(ISNUMBER($V230),$V230&gt;=TODAY()),$V230,99999),IF(AND(ISNUMBER($W230),$W230&gt;=TODAY()),$W230,99999),IF(AND(ISNUMBER($X230),$X230&gt;=TODAY()),$X230,99999),IF(AND(ISNUMBER($Y230),$Y230&gt;=TODAY()),$Y230,99999))))</f>
        <v/>
      </c>
      <c r="N230" s="27" t="n"/>
      <c r="O230" s="27" t="n"/>
      <c r="P230" s="27" t="n"/>
      <c r="Q230" s="27" t="n"/>
      <c r="R230" s="27" t="n"/>
      <c r="S230" s="27" t="n"/>
      <c r="T230" s="27" t="n"/>
      <c r="U230" s="27" t="n"/>
      <c r="V230" s="27" t="n"/>
      <c r="W230" s="27" t="n"/>
      <c r="X230" s="27" t="n"/>
      <c r="Y230" s="27" t="n"/>
      <c r="Z230" s="27" t="n"/>
      <c r="AA230" s="27" t="n"/>
      <c r="AB230" s="27" t="n"/>
      <c r="AC230" s="30" t="n"/>
      <c r="AD230" s="25" t="n"/>
      <c r="AE230" s="28">
        <f>IF(NOT(AND($A230&lt;&gt;"",OR($I230="",$I230="Active"))),"",IF(OR(IF(OR(ISNUMBER($Y230),$Y230="DNA"),$Y230,IF(OR(ISNUMBER($X230),$X230="DNA"),$X230,IF(OR(ISNUMBER($W230),$W230="DNA"),$W230,IF(OR(ISNUMBER($V230),$V230="DNA"),$V230,IF(OR(ISNUMBER($U230),$U230="DNA"),$U230,IF(OR(ISNUMBER($T230),$T230="DNA"),$T230,IF(OR(ISNUMBER($S230),$S230="DNA"),$S230,IF(OR(ISNUMBER($P230),$P230="DNA"),$P230,IF(OR(ISNUMBER($O230),$O230="DNA"),$O230,IF(OR(ISNUMBER($N230),$N230="DNA"),$N230,""))))))))))="DNA",AND(ISNUMBER(IF(OR(ISNUMBER($Y230),$Y230="DNA"),$Y230,IF(OR(ISNUMBER($X230),$X230="DNA"),$X230,IF(OR(ISNUMBER($W230),$W230="DNA"),$W230,IF(OR(ISNUMBER($V230),$V230="DNA"),$V230,IF(OR(ISNUMBER($U230),$U230="DNA"),$U230,IF(OR(ISNUMBER($T230),$T230="DNA"),$T230,IF(OR(ISNUMBER($S230),$S230="DNA"),$S230,IF(OR(ISNUMBER($P230),$P230="DNA"),$P230,IF(OR(ISNUMBER($O230),$O230="DNA"),$O230,IF(OR(ISNUMBER($N230),$N230="DNA"),$N230,""))))))))))),IF(OR(ISNUMBER($Y230),$Y230="DNA"),$Y230,IF(OR(ISNUMBER($X230),$X230="DNA"),$X230,IF(OR(ISNUMBER($W230),$W230="DNA"),$W230,IF(OR(ISNUMBER($V230),$V230="DNA"),$V230,IF(OR(ISNUMBER($U230),$U230="DNA"),$U230,IF(OR(ISNUMBER($T230),$T230="DNA"),$T230,IF(OR(ISNUMBER($S230),$S230="DNA"),$S230,IF(OR(ISNUMBER($P230),$P230="DNA"),$P230,IF(OR(ISNUMBER($O230),$O230="DNA"),$O230,IF(OR(ISNUMBER($N230),$N230="DNA"),$N230,""))))))))))&lt;TODAY())),1,0)+ISNUMBER($Q230)*($Q230&lt;TODAY())+ISNUMBER($R230)*($R230&lt;TODAY())+ISNUMBER($AA230)*($AA230&lt;TODAY())+ISNUMBER($AB230)*($AB230&lt;TODAY()))</f>
        <v/>
      </c>
    </row>
    <row r="231">
      <c r="A231" s="25" t="n"/>
      <c r="B231" s="26" t="n"/>
      <c r="C231" s="27" t="n"/>
      <c r="D231" s="25" t="n"/>
      <c r="E231" s="25" t="n"/>
      <c r="F231" s="25" t="n"/>
      <c r="G231" s="25" t="n"/>
      <c r="H231" s="27" t="n"/>
      <c r="I231" s="25" t="n"/>
      <c r="J231" s="28">
        <f>IF(OR(NOT(AND($A231&lt;&gt;"",OR($I231="",$I231="Active"))),$H231=""),"",INT((TODAY()-$H231+280)/7)&amp;"+"&amp;MOD(TODAY()-$H231+280,7))</f>
        <v/>
      </c>
      <c r="K231" s="28">
        <f>IF(NOT(AND($A231&lt;&gt;"",OR($I231="",$I231="Active"))),"",ISNUMBER($N231)*($N231&gt;=TODAY())*($N231&lt;=TODAY()+7)+ISNUMBER($O231)*($O231&gt;=TODAY())*($O231&lt;=TODAY()+7)+ISNUMBER($P231)*($P231&gt;=TODAY())*($P231&lt;=TODAY()+7)+ISNUMBER($S231)*($S231&gt;=TODAY())*($S231&lt;=TODAY()+7)+ISNUMBER($T231)*($T231&gt;=TODAY())*($T231&lt;=TODAY()+7)+ISNUMBER($U231)*($U231&gt;=TODAY())*($U231&lt;=TODAY()+7)+ISNUMBER($V231)*($V231&gt;=TODAY())*($V231&lt;=TODAY()+7)+ISNUMBER($W231)*($W231&gt;=TODAY())*($W231&lt;=TODAY()+7)+ISNUMBER($X231)*($X231&gt;=TODAY())*($X231&lt;=TODAY()+7)+ISNUMBER($Y231)*($Y231&gt;=TODAY())*($Y231&lt;=TODAY()+7)+ISNUMBER($Q231)*($Q231&gt;=TODAY())*($Q231&lt;=TODAY()+7)+ISNUMBER($R231)*($R231&gt;=TODAY())*($R231&lt;=TODAY()+7)+ISNUMBER($AA231)*($AA231&gt;=TODAY())*($AA231&lt;=TODAY()+7)+ISNUMBER($AB231)*($AB231&gt;=TODAY())*($AB231&lt;=TODAY()+7))</f>
        <v/>
      </c>
      <c r="L231" s="28">
        <f>IF(NOT(AND($A231&lt;&gt;"",OR($I231="",$I231="Active"))),"",IF($M231&lt;&gt;"",IF($N231=$M231,"Booking",IF($O231=$M231,"16/40",IF($P231=$M231,"25/40",IF($S231=$M231,"28/40",IF($T231=$M231,"31/40",IF($U231=$M231,"34/40",IF($V231=$M231,"36/40",IF($W231=$M231,"38/40",IF($X231=$M231,"40/40",IF($Y231=$M231,"41/40","")))))))))),IF(IF(OR(ISNUMBER($Y231),$Y231="DNA"),$Y231,IF(OR(ISNUMBER($X231),$X231="DNA"),$X231,IF(OR(ISNUMBER($W231),$W231="DNA"),$W231,IF(OR(ISNUMBER($V231),$V231="DNA"),$V231,IF(OR(ISNUMBER($U231),$U231="DNA"),$U231,IF(OR(ISNUMBER($T231),$T231="DNA"),$T231,IF(OR(ISNUMBER($S231),$S231="DNA"),$S231,IF(OR(ISNUMBER($P231),$P231="DNA"),$P231,IF(OR(ISNUMBER($O231),$O231="DNA"),$O231,IF(OR(ISNUMBER($N231),$N231="DNA"),$N231,""))))))))))="DNA","Rebook DNA",IF(ISNUMBER(IF(OR(ISNUMBER($Y231),$Y231="DNA"),$Y231,IF(OR(ISNUMBER($X231),$X231="DNA"),$X231,IF(OR(ISNUMBER($W231),$W231="DNA"),$W231,IF(OR(ISNUMBER($V231),$V231="DNA"),$V231,IF(OR(ISNUMBER($U231),$U231="DNA"),$U231,IF(OR(ISNUMBER($T231),$T231="DNA"),$T231,IF(OR(ISNUMBER($S231),$S231="DNA"),$S231,IF(OR(ISNUMBER($P231),$P231="DNA"),$P231,IF(OR(ISNUMBER($O231),$O231="DNA"),$O231,IF(OR(ISNUMBER($N231),$N231="DNA"),$N231,""))))))))))),IF(ISNUMBER($Y231),"Update status","Missed/not booked?"),""))))</f>
        <v/>
      </c>
      <c r="M231" s="29">
        <f>IF(NOT(AND($A231&lt;&gt;"",OR($I231="",$I231="Active"))),"",IF(MIN(IF(AND(ISNUMBER($N231),$N231&gt;=TODAY()),$N231,99999),IF(AND(ISNUMBER($O231),$O231&gt;=TODAY()),$O231,99999),IF(AND(ISNUMBER($P231),$P231&gt;=TODAY()),$P231,99999),IF(AND(ISNUMBER($S231),$S231&gt;=TODAY()),$S231,99999),IF(AND(ISNUMBER($T231),$T231&gt;=TODAY()),$T231,99999),IF(AND(ISNUMBER($U231),$U231&gt;=TODAY()),$U231,99999),IF(AND(ISNUMBER($V231),$V231&gt;=TODAY()),$V231,99999),IF(AND(ISNUMBER($W231),$W231&gt;=TODAY()),$W231,99999),IF(AND(ISNUMBER($X231),$X231&gt;=TODAY()),$X231,99999),IF(AND(ISNUMBER($Y231),$Y231&gt;=TODAY()),$Y231,99999))=99999,"",MIN(IF(AND(ISNUMBER($N231),$N231&gt;=TODAY()),$N231,99999),IF(AND(ISNUMBER($O231),$O231&gt;=TODAY()),$O231,99999),IF(AND(ISNUMBER($P231),$P231&gt;=TODAY()),$P231,99999),IF(AND(ISNUMBER($S231),$S231&gt;=TODAY()),$S231,99999),IF(AND(ISNUMBER($T231),$T231&gt;=TODAY()),$T231,99999),IF(AND(ISNUMBER($U231),$U231&gt;=TODAY()),$U231,99999),IF(AND(ISNUMBER($V231),$V231&gt;=TODAY()),$V231,99999),IF(AND(ISNUMBER($W231),$W231&gt;=TODAY()),$W231,99999),IF(AND(ISNUMBER($X231),$X231&gt;=TODAY()),$X231,99999),IF(AND(ISNUMBER($Y231),$Y231&gt;=TODAY()),$Y231,99999))))</f>
        <v/>
      </c>
      <c r="N231" s="27" t="n"/>
      <c r="O231" s="27" t="n"/>
      <c r="P231" s="27" t="n"/>
      <c r="Q231" s="27" t="n"/>
      <c r="R231" s="27" t="n"/>
      <c r="S231" s="27" t="n"/>
      <c r="T231" s="27" t="n"/>
      <c r="U231" s="27" t="n"/>
      <c r="V231" s="27" t="n"/>
      <c r="W231" s="27" t="n"/>
      <c r="X231" s="27" t="n"/>
      <c r="Y231" s="27" t="n"/>
      <c r="Z231" s="27" t="n"/>
      <c r="AA231" s="27" t="n"/>
      <c r="AB231" s="27" t="n"/>
      <c r="AC231" s="30" t="n"/>
      <c r="AD231" s="25" t="n"/>
      <c r="AE231" s="28">
        <f>IF(NOT(AND($A231&lt;&gt;"",OR($I231="",$I231="Active"))),"",IF(OR(IF(OR(ISNUMBER($Y231),$Y231="DNA"),$Y231,IF(OR(ISNUMBER($X231),$X231="DNA"),$X231,IF(OR(ISNUMBER($W231),$W231="DNA"),$W231,IF(OR(ISNUMBER($V231),$V231="DNA"),$V231,IF(OR(ISNUMBER($U231),$U231="DNA"),$U231,IF(OR(ISNUMBER($T231),$T231="DNA"),$T231,IF(OR(ISNUMBER($S231),$S231="DNA"),$S231,IF(OR(ISNUMBER($P231),$P231="DNA"),$P231,IF(OR(ISNUMBER($O231),$O231="DNA"),$O231,IF(OR(ISNUMBER($N231),$N231="DNA"),$N231,""))))))))))="DNA",AND(ISNUMBER(IF(OR(ISNUMBER($Y231),$Y231="DNA"),$Y231,IF(OR(ISNUMBER($X231),$X231="DNA"),$X231,IF(OR(ISNUMBER($W231),$W231="DNA"),$W231,IF(OR(ISNUMBER($V231),$V231="DNA"),$V231,IF(OR(ISNUMBER($U231),$U231="DNA"),$U231,IF(OR(ISNUMBER($T231),$T231="DNA"),$T231,IF(OR(ISNUMBER($S231),$S231="DNA"),$S231,IF(OR(ISNUMBER($P231),$P231="DNA"),$P231,IF(OR(ISNUMBER($O231),$O231="DNA"),$O231,IF(OR(ISNUMBER($N231),$N231="DNA"),$N231,""))))))))))),IF(OR(ISNUMBER($Y231),$Y231="DNA"),$Y231,IF(OR(ISNUMBER($X231),$X231="DNA"),$X231,IF(OR(ISNUMBER($W231),$W231="DNA"),$W231,IF(OR(ISNUMBER($V231),$V231="DNA"),$V231,IF(OR(ISNUMBER($U231),$U231="DNA"),$U231,IF(OR(ISNUMBER($T231),$T231="DNA"),$T231,IF(OR(ISNUMBER($S231),$S231="DNA"),$S231,IF(OR(ISNUMBER($P231),$P231="DNA"),$P231,IF(OR(ISNUMBER($O231),$O231="DNA"),$O231,IF(OR(ISNUMBER($N231),$N231="DNA"),$N231,""))))))))))&lt;TODAY())),1,0)+ISNUMBER($Q231)*($Q231&lt;TODAY())+ISNUMBER($R231)*($R231&lt;TODAY())+ISNUMBER($AA231)*($AA231&lt;TODAY())+ISNUMBER($AB231)*($AB231&lt;TODAY()))</f>
        <v/>
      </c>
    </row>
    <row r="232">
      <c r="A232" s="25" t="n"/>
      <c r="B232" s="26" t="n"/>
      <c r="C232" s="27" t="n"/>
      <c r="D232" s="25" t="n"/>
      <c r="E232" s="25" t="n"/>
      <c r="F232" s="25" t="n"/>
      <c r="G232" s="25" t="n"/>
      <c r="H232" s="27" t="n"/>
      <c r="I232" s="25" t="n"/>
      <c r="J232" s="28">
        <f>IF(OR(NOT(AND($A232&lt;&gt;"",OR($I232="",$I232="Active"))),$H232=""),"",INT((TODAY()-$H232+280)/7)&amp;"+"&amp;MOD(TODAY()-$H232+280,7))</f>
        <v/>
      </c>
      <c r="K232" s="28">
        <f>IF(NOT(AND($A232&lt;&gt;"",OR($I232="",$I232="Active"))),"",ISNUMBER($N232)*($N232&gt;=TODAY())*($N232&lt;=TODAY()+7)+ISNUMBER($O232)*($O232&gt;=TODAY())*($O232&lt;=TODAY()+7)+ISNUMBER($P232)*($P232&gt;=TODAY())*($P232&lt;=TODAY()+7)+ISNUMBER($S232)*($S232&gt;=TODAY())*($S232&lt;=TODAY()+7)+ISNUMBER($T232)*($T232&gt;=TODAY())*($T232&lt;=TODAY()+7)+ISNUMBER($U232)*($U232&gt;=TODAY())*($U232&lt;=TODAY()+7)+ISNUMBER($V232)*($V232&gt;=TODAY())*($V232&lt;=TODAY()+7)+ISNUMBER($W232)*($W232&gt;=TODAY())*($W232&lt;=TODAY()+7)+ISNUMBER($X232)*($X232&gt;=TODAY())*($X232&lt;=TODAY()+7)+ISNUMBER($Y232)*($Y232&gt;=TODAY())*($Y232&lt;=TODAY()+7)+ISNUMBER($Q232)*($Q232&gt;=TODAY())*($Q232&lt;=TODAY()+7)+ISNUMBER($R232)*($R232&gt;=TODAY())*($R232&lt;=TODAY()+7)+ISNUMBER($AA232)*($AA232&gt;=TODAY())*($AA232&lt;=TODAY()+7)+ISNUMBER($AB232)*($AB232&gt;=TODAY())*($AB232&lt;=TODAY()+7))</f>
        <v/>
      </c>
      <c r="L232" s="28">
        <f>IF(NOT(AND($A232&lt;&gt;"",OR($I232="",$I232="Active"))),"",IF($M232&lt;&gt;"",IF($N232=$M232,"Booking",IF($O232=$M232,"16/40",IF($P232=$M232,"25/40",IF($S232=$M232,"28/40",IF($T232=$M232,"31/40",IF($U232=$M232,"34/40",IF($V232=$M232,"36/40",IF($W232=$M232,"38/40",IF($X232=$M232,"40/40",IF($Y232=$M232,"41/40","")))))))))),IF(IF(OR(ISNUMBER($Y232),$Y232="DNA"),$Y232,IF(OR(ISNUMBER($X232),$X232="DNA"),$X232,IF(OR(ISNUMBER($W232),$W232="DNA"),$W232,IF(OR(ISNUMBER($V232),$V232="DNA"),$V232,IF(OR(ISNUMBER($U232),$U232="DNA"),$U232,IF(OR(ISNUMBER($T232),$T232="DNA"),$T232,IF(OR(ISNUMBER($S232),$S232="DNA"),$S232,IF(OR(ISNUMBER($P232),$P232="DNA"),$P232,IF(OR(ISNUMBER($O232),$O232="DNA"),$O232,IF(OR(ISNUMBER($N232),$N232="DNA"),$N232,""))))))))))="DNA","Rebook DNA",IF(ISNUMBER(IF(OR(ISNUMBER($Y232),$Y232="DNA"),$Y232,IF(OR(ISNUMBER($X232),$X232="DNA"),$X232,IF(OR(ISNUMBER($W232),$W232="DNA"),$W232,IF(OR(ISNUMBER($V232),$V232="DNA"),$V232,IF(OR(ISNUMBER($U232),$U232="DNA"),$U232,IF(OR(ISNUMBER($T232),$T232="DNA"),$T232,IF(OR(ISNUMBER($S232),$S232="DNA"),$S232,IF(OR(ISNUMBER($P232),$P232="DNA"),$P232,IF(OR(ISNUMBER($O232),$O232="DNA"),$O232,IF(OR(ISNUMBER($N232),$N232="DNA"),$N232,""))))))))))),IF(ISNUMBER($Y232),"Update status","Missed/not booked?"),""))))</f>
        <v/>
      </c>
      <c r="M232" s="29">
        <f>IF(NOT(AND($A232&lt;&gt;"",OR($I232="",$I232="Active"))),"",IF(MIN(IF(AND(ISNUMBER($N232),$N232&gt;=TODAY()),$N232,99999),IF(AND(ISNUMBER($O232),$O232&gt;=TODAY()),$O232,99999),IF(AND(ISNUMBER($P232),$P232&gt;=TODAY()),$P232,99999),IF(AND(ISNUMBER($S232),$S232&gt;=TODAY()),$S232,99999),IF(AND(ISNUMBER($T232),$T232&gt;=TODAY()),$T232,99999),IF(AND(ISNUMBER($U232),$U232&gt;=TODAY()),$U232,99999),IF(AND(ISNUMBER($V232),$V232&gt;=TODAY()),$V232,99999),IF(AND(ISNUMBER($W232),$W232&gt;=TODAY()),$W232,99999),IF(AND(ISNUMBER($X232),$X232&gt;=TODAY()),$X232,99999),IF(AND(ISNUMBER($Y232),$Y232&gt;=TODAY()),$Y232,99999))=99999,"",MIN(IF(AND(ISNUMBER($N232),$N232&gt;=TODAY()),$N232,99999),IF(AND(ISNUMBER($O232),$O232&gt;=TODAY()),$O232,99999),IF(AND(ISNUMBER($P232),$P232&gt;=TODAY()),$P232,99999),IF(AND(ISNUMBER($S232),$S232&gt;=TODAY()),$S232,99999),IF(AND(ISNUMBER($T232),$T232&gt;=TODAY()),$T232,99999),IF(AND(ISNUMBER($U232),$U232&gt;=TODAY()),$U232,99999),IF(AND(ISNUMBER($V232),$V232&gt;=TODAY()),$V232,99999),IF(AND(ISNUMBER($W232),$W232&gt;=TODAY()),$W232,99999),IF(AND(ISNUMBER($X232),$X232&gt;=TODAY()),$X232,99999),IF(AND(ISNUMBER($Y232),$Y232&gt;=TODAY()),$Y232,99999))))</f>
        <v/>
      </c>
      <c r="N232" s="27" t="n"/>
      <c r="O232" s="27" t="n"/>
      <c r="P232" s="27" t="n"/>
      <c r="Q232" s="27" t="n"/>
      <c r="R232" s="27" t="n"/>
      <c r="S232" s="27" t="n"/>
      <c r="T232" s="27" t="n"/>
      <c r="U232" s="27" t="n"/>
      <c r="V232" s="27" t="n"/>
      <c r="W232" s="27" t="n"/>
      <c r="X232" s="27" t="n"/>
      <c r="Y232" s="27" t="n"/>
      <c r="Z232" s="27" t="n"/>
      <c r="AA232" s="27" t="n"/>
      <c r="AB232" s="27" t="n"/>
      <c r="AC232" s="30" t="n"/>
      <c r="AD232" s="25" t="n"/>
      <c r="AE232" s="28">
        <f>IF(NOT(AND($A232&lt;&gt;"",OR($I232="",$I232="Active"))),"",IF(OR(IF(OR(ISNUMBER($Y232),$Y232="DNA"),$Y232,IF(OR(ISNUMBER($X232),$X232="DNA"),$X232,IF(OR(ISNUMBER($W232),$W232="DNA"),$W232,IF(OR(ISNUMBER($V232),$V232="DNA"),$V232,IF(OR(ISNUMBER($U232),$U232="DNA"),$U232,IF(OR(ISNUMBER($T232),$T232="DNA"),$T232,IF(OR(ISNUMBER($S232),$S232="DNA"),$S232,IF(OR(ISNUMBER($P232),$P232="DNA"),$P232,IF(OR(ISNUMBER($O232),$O232="DNA"),$O232,IF(OR(ISNUMBER($N232),$N232="DNA"),$N232,""))))))))))="DNA",AND(ISNUMBER(IF(OR(ISNUMBER($Y232),$Y232="DNA"),$Y232,IF(OR(ISNUMBER($X232),$X232="DNA"),$X232,IF(OR(ISNUMBER($W232),$W232="DNA"),$W232,IF(OR(ISNUMBER($V232),$V232="DNA"),$V232,IF(OR(ISNUMBER($U232),$U232="DNA"),$U232,IF(OR(ISNUMBER($T232),$T232="DNA"),$T232,IF(OR(ISNUMBER($S232),$S232="DNA"),$S232,IF(OR(ISNUMBER($P232),$P232="DNA"),$P232,IF(OR(ISNUMBER($O232),$O232="DNA"),$O232,IF(OR(ISNUMBER($N232),$N232="DNA"),$N232,""))))))))))),IF(OR(ISNUMBER($Y232),$Y232="DNA"),$Y232,IF(OR(ISNUMBER($X232),$X232="DNA"),$X232,IF(OR(ISNUMBER($W232),$W232="DNA"),$W232,IF(OR(ISNUMBER($V232),$V232="DNA"),$V232,IF(OR(ISNUMBER($U232),$U232="DNA"),$U232,IF(OR(ISNUMBER($T232),$T232="DNA"),$T232,IF(OR(ISNUMBER($S232),$S232="DNA"),$S232,IF(OR(ISNUMBER($P232),$P232="DNA"),$P232,IF(OR(ISNUMBER($O232),$O232="DNA"),$O232,IF(OR(ISNUMBER($N232),$N232="DNA"),$N232,""))))))))))&lt;TODAY())),1,0)+ISNUMBER($Q232)*($Q232&lt;TODAY())+ISNUMBER($R232)*($R232&lt;TODAY())+ISNUMBER($AA232)*($AA232&lt;TODAY())+ISNUMBER($AB232)*($AB232&lt;TODAY()))</f>
        <v/>
      </c>
    </row>
    <row r="233">
      <c r="A233" s="25" t="n"/>
      <c r="B233" s="26" t="n"/>
      <c r="C233" s="27" t="n"/>
      <c r="D233" s="25" t="n"/>
      <c r="E233" s="25" t="n"/>
      <c r="F233" s="25" t="n"/>
      <c r="G233" s="25" t="n"/>
      <c r="H233" s="27" t="n"/>
      <c r="I233" s="25" t="n"/>
      <c r="J233" s="28">
        <f>IF(OR(NOT(AND($A233&lt;&gt;"",OR($I233="",$I233="Active"))),$H233=""),"",INT((TODAY()-$H233+280)/7)&amp;"+"&amp;MOD(TODAY()-$H233+280,7))</f>
        <v/>
      </c>
      <c r="K233" s="28">
        <f>IF(NOT(AND($A233&lt;&gt;"",OR($I233="",$I233="Active"))),"",ISNUMBER($N233)*($N233&gt;=TODAY())*($N233&lt;=TODAY()+7)+ISNUMBER($O233)*($O233&gt;=TODAY())*($O233&lt;=TODAY()+7)+ISNUMBER($P233)*($P233&gt;=TODAY())*($P233&lt;=TODAY()+7)+ISNUMBER($S233)*($S233&gt;=TODAY())*($S233&lt;=TODAY()+7)+ISNUMBER($T233)*($T233&gt;=TODAY())*($T233&lt;=TODAY()+7)+ISNUMBER($U233)*($U233&gt;=TODAY())*($U233&lt;=TODAY()+7)+ISNUMBER($V233)*($V233&gt;=TODAY())*($V233&lt;=TODAY()+7)+ISNUMBER($W233)*($W233&gt;=TODAY())*($W233&lt;=TODAY()+7)+ISNUMBER($X233)*($X233&gt;=TODAY())*($X233&lt;=TODAY()+7)+ISNUMBER($Y233)*($Y233&gt;=TODAY())*($Y233&lt;=TODAY()+7)+ISNUMBER($Q233)*($Q233&gt;=TODAY())*($Q233&lt;=TODAY()+7)+ISNUMBER($R233)*($R233&gt;=TODAY())*($R233&lt;=TODAY()+7)+ISNUMBER($AA233)*($AA233&gt;=TODAY())*($AA233&lt;=TODAY()+7)+ISNUMBER($AB233)*($AB233&gt;=TODAY())*($AB233&lt;=TODAY()+7))</f>
        <v/>
      </c>
      <c r="L233" s="28">
        <f>IF(NOT(AND($A233&lt;&gt;"",OR($I233="",$I233="Active"))),"",IF($M233&lt;&gt;"",IF($N233=$M233,"Booking",IF($O233=$M233,"16/40",IF($P233=$M233,"25/40",IF($S233=$M233,"28/40",IF($T233=$M233,"31/40",IF($U233=$M233,"34/40",IF($V233=$M233,"36/40",IF($W233=$M233,"38/40",IF($X233=$M233,"40/40",IF($Y233=$M233,"41/40","")))))))))),IF(IF(OR(ISNUMBER($Y233),$Y233="DNA"),$Y233,IF(OR(ISNUMBER($X233),$X233="DNA"),$X233,IF(OR(ISNUMBER($W233),$W233="DNA"),$W233,IF(OR(ISNUMBER($V233),$V233="DNA"),$V233,IF(OR(ISNUMBER($U233),$U233="DNA"),$U233,IF(OR(ISNUMBER($T233),$T233="DNA"),$T233,IF(OR(ISNUMBER($S233),$S233="DNA"),$S233,IF(OR(ISNUMBER($P233),$P233="DNA"),$P233,IF(OR(ISNUMBER($O233),$O233="DNA"),$O233,IF(OR(ISNUMBER($N233),$N233="DNA"),$N233,""))))))))))="DNA","Rebook DNA",IF(ISNUMBER(IF(OR(ISNUMBER($Y233),$Y233="DNA"),$Y233,IF(OR(ISNUMBER($X233),$X233="DNA"),$X233,IF(OR(ISNUMBER($W233),$W233="DNA"),$W233,IF(OR(ISNUMBER($V233),$V233="DNA"),$V233,IF(OR(ISNUMBER($U233),$U233="DNA"),$U233,IF(OR(ISNUMBER($T233),$T233="DNA"),$T233,IF(OR(ISNUMBER($S233),$S233="DNA"),$S233,IF(OR(ISNUMBER($P233),$P233="DNA"),$P233,IF(OR(ISNUMBER($O233),$O233="DNA"),$O233,IF(OR(ISNUMBER($N233),$N233="DNA"),$N233,""))))))))))),IF(ISNUMBER($Y233),"Update status","Missed/not booked?"),""))))</f>
        <v/>
      </c>
      <c r="M233" s="29">
        <f>IF(NOT(AND($A233&lt;&gt;"",OR($I233="",$I233="Active"))),"",IF(MIN(IF(AND(ISNUMBER($N233),$N233&gt;=TODAY()),$N233,99999),IF(AND(ISNUMBER($O233),$O233&gt;=TODAY()),$O233,99999),IF(AND(ISNUMBER($P233),$P233&gt;=TODAY()),$P233,99999),IF(AND(ISNUMBER($S233),$S233&gt;=TODAY()),$S233,99999),IF(AND(ISNUMBER($T233),$T233&gt;=TODAY()),$T233,99999),IF(AND(ISNUMBER($U233),$U233&gt;=TODAY()),$U233,99999),IF(AND(ISNUMBER($V233),$V233&gt;=TODAY()),$V233,99999),IF(AND(ISNUMBER($W233),$W233&gt;=TODAY()),$W233,99999),IF(AND(ISNUMBER($X233),$X233&gt;=TODAY()),$X233,99999),IF(AND(ISNUMBER($Y233),$Y233&gt;=TODAY()),$Y233,99999))=99999,"",MIN(IF(AND(ISNUMBER($N233),$N233&gt;=TODAY()),$N233,99999),IF(AND(ISNUMBER($O233),$O233&gt;=TODAY()),$O233,99999),IF(AND(ISNUMBER($P233),$P233&gt;=TODAY()),$P233,99999),IF(AND(ISNUMBER($S233),$S233&gt;=TODAY()),$S233,99999),IF(AND(ISNUMBER($T233),$T233&gt;=TODAY()),$T233,99999),IF(AND(ISNUMBER($U233),$U233&gt;=TODAY()),$U233,99999),IF(AND(ISNUMBER($V233),$V233&gt;=TODAY()),$V233,99999),IF(AND(ISNUMBER($W233),$W233&gt;=TODAY()),$W233,99999),IF(AND(ISNUMBER($X233),$X233&gt;=TODAY()),$X233,99999),IF(AND(ISNUMBER($Y233),$Y233&gt;=TODAY()),$Y233,99999))))</f>
        <v/>
      </c>
      <c r="N233" s="27" t="n"/>
      <c r="O233" s="27" t="n"/>
      <c r="P233" s="27" t="n"/>
      <c r="Q233" s="27" t="n"/>
      <c r="R233" s="27" t="n"/>
      <c r="S233" s="27" t="n"/>
      <c r="T233" s="27" t="n"/>
      <c r="U233" s="27" t="n"/>
      <c r="V233" s="27" t="n"/>
      <c r="W233" s="27" t="n"/>
      <c r="X233" s="27" t="n"/>
      <c r="Y233" s="27" t="n"/>
      <c r="Z233" s="27" t="n"/>
      <c r="AA233" s="27" t="n"/>
      <c r="AB233" s="27" t="n"/>
      <c r="AC233" s="30" t="n"/>
      <c r="AD233" s="25" t="n"/>
      <c r="AE233" s="28">
        <f>IF(NOT(AND($A233&lt;&gt;"",OR($I233="",$I233="Active"))),"",IF(OR(IF(OR(ISNUMBER($Y233),$Y233="DNA"),$Y233,IF(OR(ISNUMBER($X233),$X233="DNA"),$X233,IF(OR(ISNUMBER($W233),$W233="DNA"),$W233,IF(OR(ISNUMBER($V233),$V233="DNA"),$V233,IF(OR(ISNUMBER($U233),$U233="DNA"),$U233,IF(OR(ISNUMBER($T233),$T233="DNA"),$T233,IF(OR(ISNUMBER($S233),$S233="DNA"),$S233,IF(OR(ISNUMBER($P233),$P233="DNA"),$P233,IF(OR(ISNUMBER($O233),$O233="DNA"),$O233,IF(OR(ISNUMBER($N233),$N233="DNA"),$N233,""))))))))))="DNA",AND(ISNUMBER(IF(OR(ISNUMBER($Y233),$Y233="DNA"),$Y233,IF(OR(ISNUMBER($X233),$X233="DNA"),$X233,IF(OR(ISNUMBER($W233),$W233="DNA"),$W233,IF(OR(ISNUMBER($V233),$V233="DNA"),$V233,IF(OR(ISNUMBER($U233),$U233="DNA"),$U233,IF(OR(ISNUMBER($T233),$T233="DNA"),$T233,IF(OR(ISNUMBER($S233),$S233="DNA"),$S233,IF(OR(ISNUMBER($P233),$P233="DNA"),$P233,IF(OR(ISNUMBER($O233),$O233="DNA"),$O233,IF(OR(ISNUMBER($N233),$N233="DNA"),$N233,""))))))))))),IF(OR(ISNUMBER($Y233),$Y233="DNA"),$Y233,IF(OR(ISNUMBER($X233),$X233="DNA"),$X233,IF(OR(ISNUMBER($W233),$W233="DNA"),$W233,IF(OR(ISNUMBER($V233),$V233="DNA"),$V233,IF(OR(ISNUMBER($U233),$U233="DNA"),$U233,IF(OR(ISNUMBER($T233),$T233="DNA"),$T233,IF(OR(ISNUMBER($S233),$S233="DNA"),$S233,IF(OR(ISNUMBER($P233),$P233="DNA"),$P233,IF(OR(ISNUMBER($O233),$O233="DNA"),$O233,IF(OR(ISNUMBER($N233),$N233="DNA"),$N233,""))))))))))&lt;TODAY())),1,0)+ISNUMBER($Q233)*($Q233&lt;TODAY())+ISNUMBER($R233)*($R233&lt;TODAY())+ISNUMBER($AA233)*($AA233&lt;TODAY())+ISNUMBER($AB233)*($AB233&lt;TODAY()))</f>
        <v/>
      </c>
    </row>
    <row r="234">
      <c r="A234" s="25" t="n"/>
      <c r="B234" s="26" t="n"/>
      <c r="C234" s="27" t="n"/>
      <c r="D234" s="25" t="n"/>
      <c r="E234" s="25" t="n"/>
      <c r="F234" s="25" t="n"/>
      <c r="G234" s="25" t="n"/>
      <c r="H234" s="27" t="n"/>
      <c r="I234" s="25" t="n"/>
      <c r="J234" s="28">
        <f>IF(OR(NOT(AND($A234&lt;&gt;"",OR($I234="",$I234="Active"))),$H234=""),"",INT((TODAY()-$H234+280)/7)&amp;"+"&amp;MOD(TODAY()-$H234+280,7))</f>
        <v/>
      </c>
      <c r="K234" s="28">
        <f>IF(NOT(AND($A234&lt;&gt;"",OR($I234="",$I234="Active"))),"",ISNUMBER($N234)*($N234&gt;=TODAY())*($N234&lt;=TODAY()+7)+ISNUMBER($O234)*($O234&gt;=TODAY())*($O234&lt;=TODAY()+7)+ISNUMBER($P234)*($P234&gt;=TODAY())*($P234&lt;=TODAY()+7)+ISNUMBER($S234)*($S234&gt;=TODAY())*($S234&lt;=TODAY()+7)+ISNUMBER($T234)*($T234&gt;=TODAY())*($T234&lt;=TODAY()+7)+ISNUMBER($U234)*($U234&gt;=TODAY())*($U234&lt;=TODAY()+7)+ISNUMBER($V234)*($V234&gt;=TODAY())*($V234&lt;=TODAY()+7)+ISNUMBER($W234)*($W234&gt;=TODAY())*($W234&lt;=TODAY()+7)+ISNUMBER($X234)*($X234&gt;=TODAY())*($X234&lt;=TODAY()+7)+ISNUMBER($Y234)*($Y234&gt;=TODAY())*($Y234&lt;=TODAY()+7)+ISNUMBER($Q234)*($Q234&gt;=TODAY())*($Q234&lt;=TODAY()+7)+ISNUMBER($R234)*($R234&gt;=TODAY())*($R234&lt;=TODAY()+7)+ISNUMBER($AA234)*($AA234&gt;=TODAY())*($AA234&lt;=TODAY()+7)+ISNUMBER($AB234)*($AB234&gt;=TODAY())*($AB234&lt;=TODAY()+7))</f>
        <v/>
      </c>
      <c r="L234" s="28">
        <f>IF(NOT(AND($A234&lt;&gt;"",OR($I234="",$I234="Active"))),"",IF($M234&lt;&gt;"",IF($N234=$M234,"Booking",IF($O234=$M234,"16/40",IF($P234=$M234,"25/40",IF($S234=$M234,"28/40",IF($T234=$M234,"31/40",IF($U234=$M234,"34/40",IF($V234=$M234,"36/40",IF($W234=$M234,"38/40",IF($X234=$M234,"40/40",IF($Y234=$M234,"41/40","")))))))))),IF(IF(OR(ISNUMBER($Y234),$Y234="DNA"),$Y234,IF(OR(ISNUMBER($X234),$X234="DNA"),$X234,IF(OR(ISNUMBER($W234),$W234="DNA"),$W234,IF(OR(ISNUMBER($V234),$V234="DNA"),$V234,IF(OR(ISNUMBER($U234),$U234="DNA"),$U234,IF(OR(ISNUMBER($T234),$T234="DNA"),$T234,IF(OR(ISNUMBER($S234),$S234="DNA"),$S234,IF(OR(ISNUMBER($P234),$P234="DNA"),$P234,IF(OR(ISNUMBER($O234),$O234="DNA"),$O234,IF(OR(ISNUMBER($N234),$N234="DNA"),$N234,""))))))))))="DNA","Rebook DNA",IF(ISNUMBER(IF(OR(ISNUMBER($Y234),$Y234="DNA"),$Y234,IF(OR(ISNUMBER($X234),$X234="DNA"),$X234,IF(OR(ISNUMBER($W234),$W234="DNA"),$W234,IF(OR(ISNUMBER($V234),$V234="DNA"),$V234,IF(OR(ISNUMBER($U234),$U234="DNA"),$U234,IF(OR(ISNUMBER($T234),$T234="DNA"),$T234,IF(OR(ISNUMBER($S234),$S234="DNA"),$S234,IF(OR(ISNUMBER($P234),$P234="DNA"),$P234,IF(OR(ISNUMBER($O234),$O234="DNA"),$O234,IF(OR(ISNUMBER($N234),$N234="DNA"),$N234,""))))))))))),IF(ISNUMBER($Y234),"Update status","Missed/not booked?"),""))))</f>
        <v/>
      </c>
      <c r="M234" s="29">
        <f>IF(NOT(AND($A234&lt;&gt;"",OR($I234="",$I234="Active"))),"",IF(MIN(IF(AND(ISNUMBER($N234),$N234&gt;=TODAY()),$N234,99999),IF(AND(ISNUMBER($O234),$O234&gt;=TODAY()),$O234,99999),IF(AND(ISNUMBER($P234),$P234&gt;=TODAY()),$P234,99999),IF(AND(ISNUMBER($S234),$S234&gt;=TODAY()),$S234,99999),IF(AND(ISNUMBER($T234),$T234&gt;=TODAY()),$T234,99999),IF(AND(ISNUMBER($U234),$U234&gt;=TODAY()),$U234,99999),IF(AND(ISNUMBER($V234),$V234&gt;=TODAY()),$V234,99999),IF(AND(ISNUMBER($W234),$W234&gt;=TODAY()),$W234,99999),IF(AND(ISNUMBER($X234),$X234&gt;=TODAY()),$X234,99999),IF(AND(ISNUMBER($Y234),$Y234&gt;=TODAY()),$Y234,99999))=99999,"",MIN(IF(AND(ISNUMBER($N234),$N234&gt;=TODAY()),$N234,99999),IF(AND(ISNUMBER($O234),$O234&gt;=TODAY()),$O234,99999),IF(AND(ISNUMBER($P234),$P234&gt;=TODAY()),$P234,99999),IF(AND(ISNUMBER($S234),$S234&gt;=TODAY()),$S234,99999),IF(AND(ISNUMBER($T234),$T234&gt;=TODAY()),$T234,99999),IF(AND(ISNUMBER($U234),$U234&gt;=TODAY()),$U234,99999),IF(AND(ISNUMBER($V234),$V234&gt;=TODAY()),$V234,99999),IF(AND(ISNUMBER($W234),$W234&gt;=TODAY()),$W234,99999),IF(AND(ISNUMBER($X234),$X234&gt;=TODAY()),$X234,99999),IF(AND(ISNUMBER($Y234),$Y234&gt;=TODAY()),$Y234,99999))))</f>
        <v/>
      </c>
      <c r="N234" s="27" t="n"/>
      <c r="O234" s="27" t="n"/>
      <c r="P234" s="27" t="n"/>
      <c r="Q234" s="27" t="n"/>
      <c r="R234" s="27" t="n"/>
      <c r="S234" s="27" t="n"/>
      <c r="T234" s="27" t="n"/>
      <c r="U234" s="27" t="n"/>
      <c r="V234" s="27" t="n"/>
      <c r="W234" s="27" t="n"/>
      <c r="X234" s="27" t="n"/>
      <c r="Y234" s="27" t="n"/>
      <c r="Z234" s="27" t="n"/>
      <c r="AA234" s="27" t="n"/>
      <c r="AB234" s="27" t="n"/>
      <c r="AC234" s="30" t="n"/>
      <c r="AD234" s="25" t="n"/>
      <c r="AE234" s="28">
        <f>IF(NOT(AND($A234&lt;&gt;"",OR($I234="",$I234="Active"))),"",IF(OR(IF(OR(ISNUMBER($Y234),$Y234="DNA"),$Y234,IF(OR(ISNUMBER($X234),$X234="DNA"),$X234,IF(OR(ISNUMBER($W234),$W234="DNA"),$W234,IF(OR(ISNUMBER($V234),$V234="DNA"),$V234,IF(OR(ISNUMBER($U234),$U234="DNA"),$U234,IF(OR(ISNUMBER($T234),$T234="DNA"),$T234,IF(OR(ISNUMBER($S234),$S234="DNA"),$S234,IF(OR(ISNUMBER($P234),$P234="DNA"),$P234,IF(OR(ISNUMBER($O234),$O234="DNA"),$O234,IF(OR(ISNUMBER($N234),$N234="DNA"),$N234,""))))))))))="DNA",AND(ISNUMBER(IF(OR(ISNUMBER($Y234),$Y234="DNA"),$Y234,IF(OR(ISNUMBER($X234),$X234="DNA"),$X234,IF(OR(ISNUMBER($W234),$W234="DNA"),$W234,IF(OR(ISNUMBER($V234),$V234="DNA"),$V234,IF(OR(ISNUMBER($U234),$U234="DNA"),$U234,IF(OR(ISNUMBER($T234),$T234="DNA"),$T234,IF(OR(ISNUMBER($S234),$S234="DNA"),$S234,IF(OR(ISNUMBER($P234),$P234="DNA"),$P234,IF(OR(ISNUMBER($O234),$O234="DNA"),$O234,IF(OR(ISNUMBER($N234),$N234="DNA"),$N234,""))))))))))),IF(OR(ISNUMBER($Y234),$Y234="DNA"),$Y234,IF(OR(ISNUMBER($X234),$X234="DNA"),$X234,IF(OR(ISNUMBER($W234),$W234="DNA"),$W234,IF(OR(ISNUMBER($V234),$V234="DNA"),$V234,IF(OR(ISNUMBER($U234),$U234="DNA"),$U234,IF(OR(ISNUMBER($T234),$T234="DNA"),$T234,IF(OR(ISNUMBER($S234),$S234="DNA"),$S234,IF(OR(ISNUMBER($P234),$P234="DNA"),$P234,IF(OR(ISNUMBER($O234),$O234="DNA"),$O234,IF(OR(ISNUMBER($N234),$N234="DNA"),$N234,""))))))))))&lt;TODAY())),1,0)+ISNUMBER($Q234)*($Q234&lt;TODAY())+ISNUMBER($R234)*($R234&lt;TODAY())+ISNUMBER($AA234)*($AA234&lt;TODAY())+ISNUMBER($AB234)*($AB234&lt;TODAY()))</f>
        <v/>
      </c>
    </row>
    <row r="235">
      <c r="A235" s="25" t="n"/>
      <c r="B235" s="26" t="n"/>
      <c r="C235" s="27" t="n"/>
      <c r="D235" s="25" t="n"/>
      <c r="E235" s="25" t="n"/>
      <c r="F235" s="25" t="n"/>
      <c r="G235" s="25" t="n"/>
      <c r="H235" s="27" t="n"/>
      <c r="I235" s="25" t="n"/>
      <c r="J235" s="28">
        <f>IF(OR(NOT(AND($A235&lt;&gt;"",OR($I235="",$I235="Active"))),$H235=""),"",INT((TODAY()-$H235+280)/7)&amp;"+"&amp;MOD(TODAY()-$H235+280,7))</f>
        <v/>
      </c>
      <c r="K235" s="28">
        <f>IF(NOT(AND($A235&lt;&gt;"",OR($I235="",$I235="Active"))),"",ISNUMBER($N235)*($N235&gt;=TODAY())*($N235&lt;=TODAY()+7)+ISNUMBER($O235)*($O235&gt;=TODAY())*($O235&lt;=TODAY()+7)+ISNUMBER($P235)*($P235&gt;=TODAY())*($P235&lt;=TODAY()+7)+ISNUMBER($S235)*($S235&gt;=TODAY())*($S235&lt;=TODAY()+7)+ISNUMBER($T235)*($T235&gt;=TODAY())*($T235&lt;=TODAY()+7)+ISNUMBER($U235)*($U235&gt;=TODAY())*($U235&lt;=TODAY()+7)+ISNUMBER($V235)*($V235&gt;=TODAY())*($V235&lt;=TODAY()+7)+ISNUMBER($W235)*($W235&gt;=TODAY())*($W235&lt;=TODAY()+7)+ISNUMBER($X235)*($X235&gt;=TODAY())*($X235&lt;=TODAY()+7)+ISNUMBER($Y235)*($Y235&gt;=TODAY())*($Y235&lt;=TODAY()+7)+ISNUMBER($Q235)*($Q235&gt;=TODAY())*($Q235&lt;=TODAY()+7)+ISNUMBER($R235)*($R235&gt;=TODAY())*($R235&lt;=TODAY()+7)+ISNUMBER($AA235)*($AA235&gt;=TODAY())*($AA235&lt;=TODAY()+7)+ISNUMBER($AB235)*($AB235&gt;=TODAY())*($AB235&lt;=TODAY()+7))</f>
        <v/>
      </c>
      <c r="L235" s="28">
        <f>IF(NOT(AND($A235&lt;&gt;"",OR($I235="",$I235="Active"))),"",IF($M235&lt;&gt;"",IF($N235=$M235,"Booking",IF($O235=$M235,"16/40",IF($P235=$M235,"25/40",IF($S235=$M235,"28/40",IF($T235=$M235,"31/40",IF($U235=$M235,"34/40",IF($V235=$M235,"36/40",IF($W235=$M235,"38/40",IF($X235=$M235,"40/40",IF($Y235=$M235,"41/40","")))))))))),IF(IF(OR(ISNUMBER($Y235),$Y235="DNA"),$Y235,IF(OR(ISNUMBER($X235),$X235="DNA"),$X235,IF(OR(ISNUMBER($W235),$W235="DNA"),$W235,IF(OR(ISNUMBER($V235),$V235="DNA"),$V235,IF(OR(ISNUMBER($U235),$U235="DNA"),$U235,IF(OR(ISNUMBER($T235),$T235="DNA"),$T235,IF(OR(ISNUMBER($S235),$S235="DNA"),$S235,IF(OR(ISNUMBER($P235),$P235="DNA"),$P235,IF(OR(ISNUMBER($O235),$O235="DNA"),$O235,IF(OR(ISNUMBER($N235),$N235="DNA"),$N235,""))))))))))="DNA","Rebook DNA",IF(ISNUMBER(IF(OR(ISNUMBER($Y235),$Y235="DNA"),$Y235,IF(OR(ISNUMBER($X235),$X235="DNA"),$X235,IF(OR(ISNUMBER($W235),$W235="DNA"),$W235,IF(OR(ISNUMBER($V235),$V235="DNA"),$V235,IF(OR(ISNUMBER($U235),$U235="DNA"),$U235,IF(OR(ISNUMBER($T235),$T235="DNA"),$T235,IF(OR(ISNUMBER($S235),$S235="DNA"),$S235,IF(OR(ISNUMBER($P235),$P235="DNA"),$P235,IF(OR(ISNUMBER($O235),$O235="DNA"),$O235,IF(OR(ISNUMBER($N235),$N235="DNA"),$N235,""))))))))))),IF(ISNUMBER($Y235),"Update status","Missed/not booked?"),""))))</f>
        <v/>
      </c>
      <c r="M235" s="29">
        <f>IF(NOT(AND($A235&lt;&gt;"",OR($I235="",$I235="Active"))),"",IF(MIN(IF(AND(ISNUMBER($N235),$N235&gt;=TODAY()),$N235,99999),IF(AND(ISNUMBER($O235),$O235&gt;=TODAY()),$O235,99999),IF(AND(ISNUMBER($P235),$P235&gt;=TODAY()),$P235,99999),IF(AND(ISNUMBER($S235),$S235&gt;=TODAY()),$S235,99999),IF(AND(ISNUMBER($T235),$T235&gt;=TODAY()),$T235,99999),IF(AND(ISNUMBER($U235),$U235&gt;=TODAY()),$U235,99999),IF(AND(ISNUMBER($V235),$V235&gt;=TODAY()),$V235,99999),IF(AND(ISNUMBER($W235),$W235&gt;=TODAY()),$W235,99999),IF(AND(ISNUMBER($X235),$X235&gt;=TODAY()),$X235,99999),IF(AND(ISNUMBER($Y235),$Y235&gt;=TODAY()),$Y235,99999))=99999,"",MIN(IF(AND(ISNUMBER($N235),$N235&gt;=TODAY()),$N235,99999),IF(AND(ISNUMBER($O235),$O235&gt;=TODAY()),$O235,99999),IF(AND(ISNUMBER($P235),$P235&gt;=TODAY()),$P235,99999),IF(AND(ISNUMBER($S235),$S235&gt;=TODAY()),$S235,99999),IF(AND(ISNUMBER($T235),$T235&gt;=TODAY()),$T235,99999),IF(AND(ISNUMBER($U235),$U235&gt;=TODAY()),$U235,99999),IF(AND(ISNUMBER($V235),$V235&gt;=TODAY()),$V235,99999),IF(AND(ISNUMBER($W235),$W235&gt;=TODAY()),$W235,99999),IF(AND(ISNUMBER($X235),$X235&gt;=TODAY()),$X235,99999),IF(AND(ISNUMBER($Y235),$Y235&gt;=TODAY()),$Y235,99999))))</f>
        <v/>
      </c>
      <c r="N235" s="27" t="n"/>
      <c r="O235" s="27" t="n"/>
      <c r="P235" s="27" t="n"/>
      <c r="Q235" s="27" t="n"/>
      <c r="R235" s="27" t="n"/>
      <c r="S235" s="27" t="n"/>
      <c r="T235" s="27" t="n"/>
      <c r="U235" s="27" t="n"/>
      <c r="V235" s="27" t="n"/>
      <c r="W235" s="27" t="n"/>
      <c r="X235" s="27" t="n"/>
      <c r="Y235" s="27" t="n"/>
      <c r="Z235" s="27" t="n"/>
      <c r="AA235" s="27" t="n"/>
      <c r="AB235" s="27" t="n"/>
      <c r="AC235" s="30" t="n"/>
      <c r="AD235" s="25" t="n"/>
      <c r="AE235" s="28">
        <f>IF(NOT(AND($A235&lt;&gt;"",OR($I235="",$I235="Active"))),"",IF(OR(IF(OR(ISNUMBER($Y235),$Y235="DNA"),$Y235,IF(OR(ISNUMBER($X235),$X235="DNA"),$X235,IF(OR(ISNUMBER($W235),$W235="DNA"),$W235,IF(OR(ISNUMBER($V235),$V235="DNA"),$V235,IF(OR(ISNUMBER($U235),$U235="DNA"),$U235,IF(OR(ISNUMBER($T235),$T235="DNA"),$T235,IF(OR(ISNUMBER($S235),$S235="DNA"),$S235,IF(OR(ISNUMBER($P235),$P235="DNA"),$P235,IF(OR(ISNUMBER($O235),$O235="DNA"),$O235,IF(OR(ISNUMBER($N235),$N235="DNA"),$N235,""))))))))))="DNA",AND(ISNUMBER(IF(OR(ISNUMBER($Y235),$Y235="DNA"),$Y235,IF(OR(ISNUMBER($X235),$X235="DNA"),$X235,IF(OR(ISNUMBER($W235),$W235="DNA"),$W235,IF(OR(ISNUMBER($V235),$V235="DNA"),$V235,IF(OR(ISNUMBER($U235),$U235="DNA"),$U235,IF(OR(ISNUMBER($T235),$T235="DNA"),$T235,IF(OR(ISNUMBER($S235),$S235="DNA"),$S235,IF(OR(ISNUMBER($P235),$P235="DNA"),$P235,IF(OR(ISNUMBER($O235),$O235="DNA"),$O235,IF(OR(ISNUMBER($N235),$N235="DNA"),$N235,""))))))))))),IF(OR(ISNUMBER($Y235),$Y235="DNA"),$Y235,IF(OR(ISNUMBER($X235),$X235="DNA"),$X235,IF(OR(ISNUMBER($W235),$W235="DNA"),$W235,IF(OR(ISNUMBER($V235),$V235="DNA"),$V235,IF(OR(ISNUMBER($U235),$U235="DNA"),$U235,IF(OR(ISNUMBER($T235),$T235="DNA"),$T235,IF(OR(ISNUMBER($S235),$S235="DNA"),$S235,IF(OR(ISNUMBER($P235),$P235="DNA"),$P235,IF(OR(ISNUMBER($O235),$O235="DNA"),$O235,IF(OR(ISNUMBER($N235),$N235="DNA"),$N235,""))))))))))&lt;TODAY())),1,0)+ISNUMBER($Q235)*($Q235&lt;TODAY())+ISNUMBER($R235)*($R235&lt;TODAY())+ISNUMBER($AA235)*($AA235&lt;TODAY())+ISNUMBER($AB235)*($AB235&lt;TODAY()))</f>
        <v/>
      </c>
    </row>
    <row r="236">
      <c r="A236" s="25" t="n"/>
      <c r="B236" s="26" t="n"/>
      <c r="C236" s="27" t="n"/>
      <c r="D236" s="25" t="n"/>
      <c r="E236" s="25" t="n"/>
      <c r="F236" s="25" t="n"/>
      <c r="G236" s="25" t="n"/>
      <c r="H236" s="27" t="n"/>
      <c r="I236" s="25" t="n"/>
      <c r="J236" s="28">
        <f>IF(OR(NOT(AND($A236&lt;&gt;"",OR($I236="",$I236="Active"))),$H236=""),"",INT((TODAY()-$H236+280)/7)&amp;"+"&amp;MOD(TODAY()-$H236+280,7))</f>
        <v/>
      </c>
      <c r="K236" s="28">
        <f>IF(NOT(AND($A236&lt;&gt;"",OR($I236="",$I236="Active"))),"",ISNUMBER($N236)*($N236&gt;=TODAY())*($N236&lt;=TODAY()+7)+ISNUMBER($O236)*($O236&gt;=TODAY())*($O236&lt;=TODAY()+7)+ISNUMBER($P236)*($P236&gt;=TODAY())*($P236&lt;=TODAY()+7)+ISNUMBER($S236)*($S236&gt;=TODAY())*($S236&lt;=TODAY()+7)+ISNUMBER($T236)*($T236&gt;=TODAY())*($T236&lt;=TODAY()+7)+ISNUMBER($U236)*($U236&gt;=TODAY())*($U236&lt;=TODAY()+7)+ISNUMBER($V236)*($V236&gt;=TODAY())*($V236&lt;=TODAY()+7)+ISNUMBER($W236)*($W236&gt;=TODAY())*($W236&lt;=TODAY()+7)+ISNUMBER($X236)*($X236&gt;=TODAY())*($X236&lt;=TODAY()+7)+ISNUMBER($Y236)*($Y236&gt;=TODAY())*($Y236&lt;=TODAY()+7)+ISNUMBER($Q236)*($Q236&gt;=TODAY())*($Q236&lt;=TODAY()+7)+ISNUMBER($R236)*($R236&gt;=TODAY())*($R236&lt;=TODAY()+7)+ISNUMBER($AA236)*($AA236&gt;=TODAY())*($AA236&lt;=TODAY()+7)+ISNUMBER($AB236)*($AB236&gt;=TODAY())*($AB236&lt;=TODAY()+7))</f>
        <v/>
      </c>
      <c r="L236" s="28">
        <f>IF(NOT(AND($A236&lt;&gt;"",OR($I236="",$I236="Active"))),"",IF($M236&lt;&gt;"",IF($N236=$M236,"Booking",IF($O236=$M236,"16/40",IF($P236=$M236,"25/40",IF($S236=$M236,"28/40",IF($T236=$M236,"31/40",IF($U236=$M236,"34/40",IF($V236=$M236,"36/40",IF($W236=$M236,"38/40",IF($X236=$M236,"40/40",IF($Y236=$M236,"41/40","")))))))))),IF(IF(OR(ISNUMBER($Y236),$Y236="DNA"),$Y236,IF(OR(ISNUMBER($X236),$X236="DNA"),$X236,IF(OR(ISNUMBER($W236),$W236="DNA"),$W236,IF(OR(ISNUMBER($V236),$V236="DNA"),$V236,IF(OR(ISNUMBER($U236),$U236="DNA"),$U236,IF(OR(ISNUMBER($T236),$T236="DNA"),$T236,IF(OR(ISNUMBER($S236),$S236="DNA"),$S236,IF(OR(ISNUMBER($P236),$P236="DNA"),$P236,IF(OR(ISNUMBER($O236),$O236="DNA"),$O236,IF(OR(ISNUMBER($N236),$N236="DNA"),$N236,""))))))))))="DNA","Rebook DNA",IF(ISNUMBER(IF(OR(ISNUMBER($Y236),$Y236="DNA"),$Y236,IF(OR(ISNUMBER($X236),$X236="DNA"),$X236,IF(OR(ISNUMBER($W236),$W236="DNA"),$W236,IF(OR(ISNUMBER($V236),$V236="DNA"),$V236,IF(OR(ISNUMBER($U236),$U236="DNA"),$U236,IF(OR(ISNUMBER($T236),$T236="DNA"),$T236,IF(OR(ISNUMBER($S236),$S236="DNA"),$S236,IF(OR(ISNUMBER($P236),$P236="DNA"),$P236,IF(OR(ISNUMBER($O236),$O236="DNA"),$O236,IF(OR(ISNUMBER($N236),$N236="DNA"),$N236,""))))))))))),IF(ISNUMBER($Y236),"Update status","Missed/not booked?"),""))))</f>
        <v/>
      </c>
      <c r="M236" s="29">
        <f>IF(NOT(AND($A236&lt;&gt;"",OR($I236="",$I236="Active"))),"",IF(MIN(IF(AND(ISNUMBER($N236),$N236&gt;=TODAY()),$N236,99999),IF(AND(ISNUMBER($O236),$O236&gt;=TODAY()),$O236,99999),IF(AND(ISNUMBER($P236),$P236&gt;=TODAY()),$P236,99999),IF(AND(ISNUMBER($S236),$S236&gt;=TODAY()),$S236,99999),IF(AND(ISNUMBER($T236),$T236&gt;=TODAY()),$T236,99999),IF(AND(ISNUMBER($U236),$U236&gt;=TODAY()),$U236,99999),IF(AND(ISNUMBER($V236),$V236&gt;=TODAY()),$V236,99999),IF(AND(ISNUMBER($W236),$W236&gt;=TODAY()),$W236,99999),IF(AND(ISNUMBER($X236),$X236&gt;=TODAY()),$X236,99999),IF(AND(ISNUMBER($Y236),$Y236&gt;=TODAY()),$Y236,99999))=99999,"",MIN(IF(AND(ISNUMBER($N236),$N236&gt;=TODAY()),$N236,99999),IF(AND(ISNUMBER($O236),$O236&gt;=TODAY()),$O236,99999),IF(AND(ISNUMBER($P236),$P236&gt;=TODAY()),$P236,99999),IF(AND(ISNUMBER($S236),$S236&gt;=TODAY()),$S236,99999),IF(AND(ISNUMBER($T236),$T236&gt;=TODAY()),$T236,99999),IF(AND(ISNUMBER($U236),$U236&gt;=TODAY()),$U236,99999),IF(AND(ISNUMBER($V236),$V236&gt;=TODAY()),$V236,99999),IF(AND(ISNUMBER($W236),$W236&gt;=TODAY()),$W236,99999),IF(AND(ISNUMBER($X236),$X236&gt;=TODAY()),$X236,99999),IF(AND(ISNUMBER($Y236),$Y236&gt;=TODAY()),$Y236,99999))))</f>
        <v/>
      </c>
      <c r="N236" s="27" t="n"/>
      <c r="O236" s="27" t="n"/>
      <c r="P236" s="27" t="n"/>
      <c r="Q236" s="27" t="n"/>
      <c r="R236" s="27" t="n"/>
      <c r="S236" s="27" t="n"/>
      <c r="T236" s="27" t="n"/>
      <c r="U236" s="27" t="n"/>
      <c r="V236" s="27" t="n"/>
      <c r="W236" s="27" t="n"/>
      <c r="X236" s="27" t="n"/>
      <c r="Y236" s="27" t="n"/>
      <c r="Z236" s="27" t="n"/>
      <c r="AA236" s="27" t="n"/>
      <c r="AB236" s="27" t="n"/>
      <c r="AC236" s="30" t="n"/>
      <c r="AD236" s="25" t="n"/>
      <c r="AE236" s="28">
        <f>IF(NOT(AND($A236&lt;&gt;"",OR($I236="",$I236="Active"))),"",IF(OR(IF(OR(ISNUMBER($Y236),$Y236="DNA"),$Y236,IF(OR(ISNUMBER($X236),$X236="DNA"),$X236,IF(OR(ISNUMBER($W236),$W236="DNA"),$W236,IF(OR(ISNUMBER($V236),$V236="DNA"),$V236,IF(OR(ISNUMBER($U236),$U236="DNA"),$U236,IF(OR(ISNUMBER($T236),$T236="DNA"),$T236,IF(OR(ISNUMBER($S236),$S236="DNA"),$S236,IF(OR(ISNUMBER($P236),$P236="DNA"),$P236,IF(OR(ISNUMBER($O236),$O236="DNA"),$O236,IF(OR(ISNUMBER($N236),$N236="DNA"),$N236,""))))))))))="DNA",AND(ISNUMBER(IF(OR(ISNUMBER($Y236),$Y236="DNA"),$Y236,IF(OR(ISNUMBER($X236),$X236="DNA"),$X236,IF(OR(ISNUMBER($W236),$W236="DNA"),$W236,IF(OR(ISNUMBER($V236),$V236="DNA"),$V236,IF(OR(ISNUMBER($U236),$U236="DNA"),$U236,IF(OR(ISNUMBER($T236),$T236="DNA"),$T236,IF(OR(ISNUMBER($S236),$S236="DNA"),$S236,IF(OR(ISNUMBER($P236),$P236="DNA"),$P236,IF(OR(ISNUMBER($O236),$O236="DNA"),$O236,IF(OR(ISNUMBER($N236),$N236="DNA"),$N236,""))))))))))),IF(OR(ISNUMBER($Y236),$Y236="DNA"),$Y236,IF(OR(ISNUMBER($X236),$X236="DNA"),$X236,IF(OR(ISNUMBER($W236),$W236="DNA"),$W236,IF(OR(ISNUMBER($V236),$V236="DNA"),$V236,IF(OR(ISNUMBER($U236),$U236="DNA"),$U236,IF(OR(ISNUMBER($T236),$T236="DNA"),$T236,IF(OR(ISNUMBER($S236),$S236="DNA"),$S236,IF(OR(ISNUMBER($P236),$P236="DNA"),$P236,IF(OR(ISNUMBER($O236),$O236="DNA"),$O236,IF(OR(ISNUMBER($N236),$N236="DNA"),$N236,""))))))))))&lt;TODAY())),1,0)+ISNUMBER($Q236)*($Q236&lt;TODAY())+ISNUMBER($R236)*($R236&lt;TODAY())+ISNUMBER($AA236)*($AA236&lt;TODAY())+ISNUMBER($AB236)*($AB236&lt;TODAY()))</f>
        <v/>
      </c>
    </row>
    <row r="237">
      <c r="A237" s="25" t="n"/>
      <c r="B237" s="26" t="n"/>
      <c r="C237" s="27" t="n"/>
      <c r="D237" s="25" t="n"/>
      <c r="E237" s="25" t="n"/>
      <c r="F237" s="25" t="n"/>
      <c r="G237" s="25" t="n"/>
      <c r="H237" s="27" t="n"/>
      <c r="I237" s="25" t="n"/>
      <c r="J237" s="28">
        <f>IF(OR(NOT(AND($A237&lt;&gt;"",OR($I237="",$I237="Active"))),$H237=""),"",INT((TODAY()-$H237+280)/7)&amp;"+"&amp;MOD(TODAY()-$H237+280,7))</f>
        <v/>
      </c>
      <c r="K237" s="28">
        <f>IF(NOT(AND($A237&lt;&gt;"",OR($I237="",$I237="Active"))),"",ISNUMBER($N237)*($N237&gt;=TODAY())*($N237&lt;=TODAY()+7)+ISNUMBER($O237)*($O237&gt;=TODAY())*($O237&lt;=TODAY()+7)+ISNUMBER($P237)*($P237&gt;=TODAY())*($P237&lt;=TODAY()+7)+ISNUMBER($S237)*($S237&gt;=TODAY())*($S237&lt;=TODAY()+7)+ISNUMBER($T237)*($T237&gt;=TODAY())*($T237&lt;=TODAY()+7)+ISNUMBER($U237)*($U237&gt;=TODAY())*($U237&lt;=TODAY()+7)+ISNUMBER($V237)*($V237&gt;=TODAY())*($V237&lt;=TODAY()+7)+ISNUMBER($W237)*($W237&gt;=TODAY())*($W237&lt;=TODAY()+7)+ISNUMBER($X237)*($X237&gt;=TODAY())*($X237&lt;=TODAY()+7)+ISNUMBER($Y237)*($Y237&gt;=TODAY())*($Y237&lt;=TODAY()+7)+ISNUMBER($Q237)*($Q237&gt;=TODAY())*($Q237&lt;=TODAY()+7)+ISNUMBER($R237)*($R237&gt;=TODAY())*($R237&lt;=TODAY()+7)+ISNUMBER($AA237)*($AA237&gt;=TODAY())*($AA237&lt;=TODAY()+7)+ISNUMBER($AB237)*($AB237&gt;=TODAY())*($AB237&lt;=TODAY()+7))</f>
        <v/>
      </c>
      <c r="L237" s="28">
        <f>IF(NOT(AND($A237&lt;&gt;"",OR($I237="",$I237="Active"))),"",IF($M237&lt;&gt;"",IF($N237=$M237,"Booking",IF($O237=$M237,"16/40",IF($P237=$M237,"25/40",IF($S237=$M237,"28/40",IF($T237=$M237,"31/40",IF($U237=$M237,"34/40",IF($V237=$M237,"36/40",IF($W237=$M237,"38/40",IF($X237=$M237,"40/40",IF($Y237=$M237,"41/40","")))))))))),IF(IF(OR(ISNUMBER($Y237),$Y237="DNA"),$Y237,IF(OR(ISNUMBER($X237),$X237="DNA"),$X237,IF(OR(ISNUMBER($W237),$W237="DNA"),$W237,IF(OR(ISNUMBER($V237),$V237="DNA"),$V237,IF(OR(ISNUMBER($U237),$U237="DNA"),$U237,IF(OR(ISNUMBER($T237),$T237="DNA"),$T237,IF(OR(ISNUMBER($S237),$S237="DNA"),$S237,IF(OR(ISNUMBER($P237),$P237="DNA"),$P237,IF(OR(ISNUMBER($O237),$O237="DNA"),$O237,IF(OR(ISNUMBER($N237),$N237="DNA"),$N237,""))))))))))="DNA","Rebook DNA",IF(ISNUMBER(IF(OR(ISNUMBER($Y237),$Y237="DNA"),$Y237,IF(OR(ISNUMBER($X237),$X237="DNA"),$X237,IF(OR(ISNUMBER($W237),$W237="DNA"),$W237,IF(OR(ISNUMBER($V237),$V237="DNA"),$V237,IF(OR(ISNUMBER($U237),$U237="DNA"),$U237,IF(OR(ISNUMBER($T237),$T237="DNA"),$T237,IF(OR(ISNUMBER($S237),$S237="DNA"),$S237,IF(OR(ISNUMBER($P237),$P237="DNA"),$P237,IF(OR(ISNUMBER($O237),$O237="DNA"),$O237,IF(OR(ISNUMBER($N237),$N237="DNA"),$N237,""))))))))))),IF(ISNUMBER($Y237),"Update status","Missed/not booked?"),""))))</f>
        <v/>
      </c>
      <c r="M237" s="29">
        <f>IF(NOT(AND($A237&lt;&gt;"",OR($I237="",$I237="Active"))),"",IF(MIN(IF(AND(ISNUMBER($N237),$N237&gt;=TODAY()),$N237,99999),IF(AND(ISNUMBER($O237),$O237&gt;=TODAY()),$O237,99999),IF(AND(ISNUMBER($P237),$P237&gt;=TODAY()),$P237,99999),IF(AND(ISNUMBER($S237),$S237&gt;=TODAY()),$S237,99999),IF(AND(ISNUMBER($T237),$T237&gt;=TODAY()),$T237,99999),IF(AND(ISNUMBER($U237),$U237&gt;=TODAY()),$U237,99999),IF(AND(ISNUMBER($V237),$V237&gt;=TODAY()),$V237,99999),IF(AND(ISNUMBER($W237),$W237&gt;=TODAY()),$W237,99999),IF(AND(ISNUMBER($X237),$X237&gt;=TODAY()),$X237,99999),IF(AND(ISNUMBER($Y237),$Y237&gt;=TODAY()),$Y237,99999))=99999,"",MIN(IF(AND(ISNUMBER($N237),$N237&gt;=TODAY()),$N237,99999),IF(AND(ISNUMBER($O237),$O237&gt;=TODAY()),$O237,99999),IF(AND(ISNUMBER($P237),$P237&gt;=TODAY()),$P237,99999),IF(AND(ISNUMBER($S237),$S237&gt;=TODAY()),$S237,99999),IF(AND(ISNUMBER($T237),$T237&gt;=TODAY()),$T237,99999),IF(AND(ISNUMBER($U237),$U237&gt;=TODAY()),$U237,99999),IF(AND(ISNUMBER($V237),$V237&gt;=TODAY()),$V237,99999),IF(AND(ISNUMBER($W237),$W237&gt;=TODAY()),$W237,99999),IF(AND(ISNUMBER($X237),$X237&gt;=TODAY()),$X237,99999),IF(AND(ISNUMBER($Y237),$Y237&gt;=TODAY()),$Y237,99999))))</f>
        <v/>
      </c>
      <c r="N237" s="27" t="n"/>
      <c r="O237" s="27" t="n"/>
      <c r="P237" s="27" t="n"/>
      <c r="Q237" s="27" t="n"/>
      <c r="R237" s="27" t="n"/>
      <c r="S237" s="27" t="n"/>
      <c r="T237" s="27" t="n"/>
      <c r="U237" s="27" t="n"/>
      <c r="V237" s="27" t="n"/>
      <c r="W237" s="27" t="n"/>
      <c r="X237" s="27" t="n"/>
      <c r="Y237" s="27" t="n"/>
      <c r="Z237" s="27" t="n"/>
      <c r="AA237" s="27" t="n"/>
      <c r="AB237" s="27" t="n"/>
      <c r="AC237" s="30" t="n"/>
      <c r="AD237" s="25" t="n"/>
      <c r="AE237" s="28">
        <f>IF(NOT(AND($A237&lt;&gt;"",OR($I237="",$I237="Active"))),"",IF(OR(IF(OR(ISNUMBER($Y237),$Y237="DNA"),$Y237,IF(OR(ISNUMBER($X237),$X237="DNA"),$X237,IF(OR(ISNUMBER($W237),$W237="DNA"),$W237,IF(OR(ISNUMBER($V237),$V237="DNA"),$V237,IF(OR(ISNUMBER($U237),$U237="DNA"),$U237,IF(OR(ISNUMBER($T237),$T237="DNA"),$T237,IF(OR(ISNUMBER($S237),$S237="DNA"),$S237,IF(OR(ISNUMBER($P237),$P237="DNA"),$P237,IF(OR(ISNUMBER($O237),$O237="DNA"),$O237,IF(OR(ISNUMBER($N237),$N237="DNA"),$N237,""))))))))))="DNA",AND(ISNUMBER(IF(OR(ISNUMBER($Y237),$Y237="DNA"),$Y237,IF(OR(ISNUMBER($X237),$X237="DNA"),$X237,IF(OR(ISNUMBER($W237),$W237="DNA"),$W237,IF(OR(ISNUMBER($V237),$V237="DNA"),$V237,IF(OR(ISNUMBER($U237),$U237="DNA"),$U237,IF(OR(ISNUMBER($T237),$T237="DNA"),$T237,IF(OR(ISNUMBER($S237),$S237="DNA"),$S237,IF(OR(ISNUMBER($P237),$P237="DNA"),$P237,IF(OR(ISNUMBER($O237),$O237="DNA"),$O237,IF(OR(ISNUMBER($N237),$N237="DNA"),$N237,""))))))))))),IF(OR(ISNUMBER($Y237),$Y237="DNA"),$Y237,IF(OR(ISNUMBER($X237),$X237="DNA"),$X237,IF(OR(ISNUMBER($W237),$W237="DNA"),$W237,IF(OR(ISNUMBER($V237),$V237="DNA"),$V237,IF(OR(ISNUMBER($U237),$U237="DNA"),$U237,IF(OR(ISNUMBER($T237),$T237="DNA"),$T237,IF(OR(ISNUMBER($S237),$S237="DNA"),$S237,IF(OR(ISNUMBER($P237),$P237="DNA"),$P237,IF(OR(ISNUMBER($O237),$O237="DNA"),$O237,IF(OR(ISNUMBER($N237),$N237="DNA"),$N237,""))))))))))&lt;TODAY())),1,0)+ISNUMBER($Q237)*($Q237&lt;TODAY())+ISNUMBER($R237)*($R237&lt;TODAY())+ISNUMBER($AA237)*($AA237&lt;TODAY())+ISNUMBER($AB237)*($AB237&lt;TODAY()))</f>
        <v/>
      </c>
    </row>
    <row r="238">
      <c r="A238" s="25" t="n"/>
      <c r="B238" s="26" t="n"/>
      <c r="C238" s="27" t="n"/>
      <c r="D238" s="25" t="n"/>
      <c r="E238" s="25" t="n"/>
      <c r="F238" s="25" t="n"/>
      <c r="G238" s="25" t="n"/>
      <c r="H238" s="27" t="n"/>
      <c r="I238" s="25" t="n"/>
      <c r="J238" s="28">
        <f>IF(OR(NOT(AND($A238&lt;&gt;"",OR($I238="",$I238="Active"))),$H238=""),"",INT((TODAY()-$H238+280)/7)&amp;"+"&amp;MOD(TODAY()-$H238+280,7))</f>
        <v/>
      </c>
      <c r="K238" s="28">
        <f>IF(NOT(AND($A238&lt;&gt;"",OR($I238="",$I238="Active"))),"",ISNUMBER($N238)*($N238&gt;=TODAY())*($N238&lt;=TODAY()+7)+ISNUMBER($O238)*($O238&gt;=TODAY())*($O238&lt;=TODAY()+7)+ISNUMBER($P238)*($P238&gt;=TODAY())*($P238&lt;=TODAY()+7)+ISNUMBER($S238)*($S238&gt;=TODAY())*($S238&lt;=TODAY()+7)+ISNUMBER($T238)*($T238&gt;=TODAY())*($T238&lt;=TODAY()+7)+ISNUMBER($U238)*($U238&gt;=TODAY())*($U238&lt;=TODAY()+7)+ISNUMBER($V238)*($V238&gt;=TODAY())*($V238&lt;=TODAY()+7)+ISNUMBER($W238)*($W238&gt;=TODAY())*($W238&lt;=TODAY()+7)+ISNUMBER($X238)*($X238&gt;=TODAY())*($X238&lt;=TODAY()+7)+ISNUMBER($Y238)*($Y238&gt;=TODAY())*($Y238&lt;=TODAY()+7)+ISNUMBER($Q238)*($Q238&gt;=TODAY())*($Q238&lt;=TODAY()+7)+ISNUMBER($R238)*($R238&gt;=TODAY())*($R238&lt;=TODAY()+7)+ISNUMBER($AA238)*($AA238&gt;=TODAY())*($AA238&lt;=TODAY()+7)+ISNUMBER($AB238)*($AB238&gt;=TODAY())*($AB238&lt;=TODAY()+7))</f>
        <v/>
      </c>
      <c r="L238" s="28">
        <f>IF(NOT(AND($A238&lt;&gt;"",OR($I238="",$I238="Active"))),"",IF($M238&lt;&gt;"",IF($N238=$M238,"Booking",IF($O238=$M238,"16/40",IF($P238=$M238,"25/40",IF($S238=$M238,"28/40",IF($T238=$M238,"31/40",IF($U238=$M238,"34/40",IF($V238=$M238,"36/40",IF($W238=$M238,"38/40",IF($X238=$M238,"40/40",IF($Y238=$M238,"41/40","")))))))))),IF(IF(OR(ISNUMBER($Y238),$Y238="DNA"),$Y238,IF(OR(ISNUMBER($X238),$X238="DNA"),$X238,IF(OR(ISNUMBER($W238),$W238="DNA"),$W238,IF(OR(ISNUMBER($V238),$V238="DNA"),$V238,IF(OR(ISNUMBER($U238),$U238="DNA"),$U238,IF(OR(ISNUMBER($T238),$T238="DNA"),$T238,IF(OR(ISNUMBER($S238),$S238="DNA"),$S238,IF(OR(ISNUMBER($P238),$P238="DNA"),$P238,IF(OR(ISNUMBER($O238),$O238="DNA"),$O238,IF(OR(ISNUMBER($N238),$N238="DNA"),$N238,""))))))))))="DNA","Rebook DNA",IF(ISNUMBER(IF(OR(ISNUMBER($Y238),$Y238="DNA"),$Y238,IF(OR(ISNUMBER($X238),$X238="DNA"),$X238,IF(OR(ISNUMBER($W238),$W238="DNA"),$W238,IF(OR(ISNUMBER($V238),$V238="DNA"),$V238,IF(OR(ISNUMBER($U238),$U238="DNA"),$U238,IF(OR(ISNUMBER($T238),$T238="DNA"),$T238,IF(OR(ISNUMBER($S238),$S238="DNA"),$S238,IF(OR(ISNUMBER($P238),$P238="DNA"),$P238,IF(OR(ISNUMBER($O238),$O238="DNA"),$O238,IF(OR(ISNUMBER($N238),$N238="DNA"),$N238,""))))))))))),IF(ISNUMBER($Y238),"Update status","Missed/not booked?"),""))))</f>
        <v/>
      </c>
      <c r="M238" s="29">
        <f>IF(NOT(AND($A238&lt;&gt;"",OR($I238="",$I238="Active"))),"",IF(MIN(IF(AND(ISNUMBER($N238),$N238&gt;=TODAY()),$N238,99999),IF(AND(ISNUMBER($O238),$O238&gt;=TODAY()),$O238,99999),IF(AND(ISNUMBER($P238),$P238&gt;=TODAY()),$P238,99999),IF(AND(ISNUMBER($S238),$S238&gt;=TODAY()),$S238,99999),IF(AND(ISNUMBER($T238),$T238&gt;=TODAY()),$T238,99999),IF(AND(ISNUMBER($U238),$U238&gt;=TODAY()),$U238,99999),IF(AND(ISNUMBER($V238),$V238&gt;=TODAY()),$V238,99999),IF(AND(ISNUMBER($W238),$W238&gt;=TODAY()),$W238,99999),IF(AND(ISNUMBER($X238),$X238&gt;=TODAY()),$X238,99999),IF(AND(ISNUMBER($Y238),$Y238&gt;=TODAY()),$Y238,99999))=99999,"",MIN(IF(AND(ISNUMBER($N238),$N238&gt;=TODAY()),$N238,99999),IF(AND(ISNUMBER($O238),$O238&gt;=TODAY()),$O238,99999),IF(AND(ISNUMBER($P238),$P238&gt;=TODAY()),$P238,99999),IF(AND(ISNUMBER($S238),$S238&gt;=TODAY()),$S238,99999),IF(AND(ISNUMBER($T238),$T238&gt;=TODAY()),$T238,99999),IF(AND(ISNUMBER($U238),$U238&gt;=TODAY()),$U238,99999),IF(AND(ISNUMBER($V238),$V238&gt;=TODAY()),$V238,99999),IF(AND(ISNUMBER($W238),$W238&gt;=TODAY()),$W238,99999),IF(AND(ISNUMBER($X238),$X238&gt;=TODAY()),$X238,99999),IF(AND(ISNUMBER($Y238),$Y238&gt;=TODAY()),$Y238,99999))))</f>
        <v/>
      </c>
      <c r="N238" s="27" t="n"/>
      <c r="O238" s="27" t="n"/>
      <c r="P238" s="27" t="n"/>
      <c r="Q238" s="27" t="n"/>
      <c r="R238" s="27" t="n"/>
      <c r="S238" s="27" t="n"/>
      <c r="T238" s="27" t="n"/>
      <c r="U238" s="27" t="n"/>
      <c r="V238" s="27" t="n"/>
      <c r="W238" s="27" t="n"/>
      <c r="X238" s="27" t="n"/>
      <c r="Y238" s="27" t="n"/>
      <c r="Z238" s="27" t="n"/>
      <c r="AA238" s="27" t="n"/>
      <c r="AB238" s="27" t="n"/>
      <c r="AC238" s="30" t="n"/>
      <c r="AD238" s="25" t="n"/>
      <c r="AE238" s="28">
        <f>IF(NOT(AND($A238&lt;&gt;"",OR($I238="",$I238="Active"))),"",IF(OR(IF(OR(ISNUMBER($Y238),$Y238="DNA"),$Y238,IF(OR(ISNUMBER($X238),$X238="DNA"),$X238,IF(OR(ISNUMBER($W238),$W238="DNA"),$W238,IF(OR(ISNUMBER($V238),$V238="DNA"),$V238,IF(OR(ISNUMBER($U238),$U238="DNA"),$U238,IF(OR(ISNUMBER($T238),$T238="DNA"),$T238,IF(OR(ISNUMBER($S238),$S238="DNA"),$S238,IF(OR(ISNUMBER($P238),$P238="DNA"),$P238,IF(OR(ISNUMBER($O238),$O238="DNA"),$O238,IF(OR(ISNUMBER($N238),$N238="DNA"),$N238,""))))))))))="DNA",AND(ISNUMBER(IF(OR(ISNUMBER($Y238),$Y238="DNA"),$Y238,IF(OR(ISNUMBER($X238),$X238="DNA"),$X238,IF(OR(ISNUMBER($W238),$W238="DNA"),$W238,IF(OR(ISNUMBER($V238),$V238="DNA"),$V238,IF(OR(ISNUMBER($U238),$U238="DNA"),$U238,IF(OR(ISNUMBER($T238),$T238="DNA"),$T238,IF(OR(ISNUMBER($S238),$S238="DNA"),$S238,IF(OR(ISNUMBER($P238),$P238="DNA"),$P238,IF(OR(ISNUMBER($O238),$O238="DNA"),$O238,IF(OR(ISNUMBER($N238),$N238="DNA"),$N238,""))))))))))),IF(OR(ISNUMBER($Y238),$Y238="DNA"),$Y238,IF(OR(ISNUMBER($X238),$X238="DNA"),$X238,IF(OR(ISNUMBER($W238),$W238="DNA"),$W238,IF(OR(ISNUMBER($V238),$V238="DNA"),$V238,IF(OR(ISNUMBER($U238),$U238="DNA"),$U238,IF(OR(ISNUMBER($T238),$T238="DNA"),$T238,IF(OR(ISNUMBER($S238),$S238="DNA"),$S238,IF(OR(ISNUMBER($P238),$P238="DNA"),$P238,IF(OR(ISNUMBER($O238),$O238="DNA"),$O238,IF(OR(ISNUMBER($N238),$N238="DNA"),$N238,""))))))))))&lt;TODAY())),1,0)+ISNUMBER($Q238)*($Q238&lt;TODAY())+ISNUMBER($R238)*($R238&lt;TODAY())+ISNUMBER($AA238)*($AA238&lt;TODAY())+ISNUMBER($AB238)*($AB238&lt;TODAY()))</f>
        <v/>
      </c>
    </row>
    <row r="239">
      <c r="A239" s="25" t="n"/>
      <c r="B239" s="26" t="n"/>
      <c r="C239" s="27" t="n"/>
      <c r="D239" s="25" t="n"/>
      <c r="E239" s="25" t="n"/>
      <c r="F239" s="25" t="n"/>
      <c r="G239" s="25" t="n"/>
      <c r="H239" s="27" t="n"/>
      <c r="I239" s="25" t="n"/>
      <c r="J239" s="28">
        <f>IF(OR(NOT(AND($A239&lt;&gt;"",OR($I239="",$I239="Active"))),$H239=""),"",INT((TODAY()-$H239+280)/7)&amp;"+"&amp;MOD(TODAY()-$H239+280,7))</f>
        <v/>
      </c>
      <c r="K239" s="28">
        <f>IF(NOT(AND($A239&lt;&gt;"",OR($I239="",$I239="Active"))),"",ISNUMBER($N239)*($N239&gt;=TODAY())*($N239&lt;=TODAY()+7)+ISNUMBER($O239)*($O239&gt;=TODAY())*($O239&lt;=TODAY()+7)+ISNUMBER($P239)*($P239&gt;=TODAY())*($P239&lt;=TODAY()+7)+ISNUMBER($S239)*($S239&gt;=TODAY())*($S239&lt;=TODAY()+7)+ISNUMBER($T239)*($T239&gt;=TODAY())*($T239&lt;=TODAY()+7)+ISNUMBER($U239)*($U239&gt;=TODAY())*($U239&lt;=TODAY()+7)+ISNUMBER($V239)*($V239&gt;=TODAY())*($V239&lt;=TODAY()+7)+ISNUMBER($W239)*($W239&gt;=TODAY())*($W239&lt;=TODAY()+7)+ISNUMBER($X239)*($X239&gt;=TODAY())*($X239&lt;=TODAY()+7)+ISNUMBER($Y239)*($Y239&gt;=TODAY())*($Y239&lt;=TODAY()+7)+ISNUMBER($Q239)*($Q239&gt;=TODAY())*($Q239&lt;=TODAY()+7)+ISNUMBER($R239)*($R239&gt;=TODAY())*($R239&lt;=TODAY()+7)+ISNUMBER($AA239)*($AA239&gt;=TODAY())*($AA239&lt;=TODAY()+7)+ISNUMBER($AB239)*($AB239&gt;=TODAY())*($AB239&lt;=TODAY()+7))</f>
        <v/>
      </c>
      <c r="L239" s="28">
        <f>IF(NOT(AND($A239&lt;&gt;"",OR($I239="",$I239="Active"))),"",IF($M239&lt;&gt;"",IF($N239=$M239,"Booking",IF($O239=$M239,"16/40",IF($P239=$M239,"25/40",IF($S239=$M239,"28/40",IF($T239=$M239,"31/40",IF($U239=$M239,"34/40",IF($V239=$M239,"36/40",IF($W239=$M239,"38/40",IF($X239=$M239,"40/40",IF($Y239=$M239,"41/40","")))))))))),IF(IF(OR(ISNUMBER($Y239),$Y239="DNA"),$Y239,IF(OR(ISNUMBER($X239),$X239="DNA"),$X239,IF(OR(ISNUMBER($W239),$W239="DNA"),$W239,IF(OR(ISNUMBER($V239),$V239="DNA"),$V239,IF(OR(ISNUMBER($U239),$U239="DNA"),$U239,IF(OR(ISNUMBER($T239),$T239="DNA"),$T239,IF(OR(ISNUMBER($S239),$S239="DNA"),$S239,IF(OR(ISNUMBER($P239),$P239="DNA"),$P239,IF(OR(ISNUMBER($O239),$O239="DNA"),$O239,IF(OR(ISNUMBER($N239),$N239="DNA"),$N239,""))))))))))="DNA","Rebook DNA",IF(ISNUMBER(IF(OR(ISNUMBER($Y239),$Y239="DNA"),$Y239,IF(OR(ISNUMBER($X239),$X239="DNA"),$X239,IF(OR(ISNUMBER($W239),$W239="DNA"),$W239,IF(OR(ISNUMBER($V239),$V239="DNA"),$V239,IF(OR(ISNUMBER($U239),$U239="DNA"),$U239,IF(OR(ISNUMBER($T239),$T239="DNA"),$T239,IF(OR(ISNUMBER($S239),$S239="DNA"),$S239,IF(OR(ISNUMBER($P239),$P239="DNA"),$P239,IF(OR(ISNUMBER($O239),$O239="DNA"),$O239,IF(OR(ISNUMBER($N239),$N239="DNA"),$N239,""))))))))))),IF(ISNUMBER($Y239),"Update status","Missed/not booked?"),""))))</f>
        <v/>
      </c>
      <c r="M239" s="29">
        <f>IF(NOT(AND($A239&lt;&gt;"",OR($I239="",$I239="Active"))),"",IF(MIN(IF(AND(ISNUMBER($N239),$N239&gt;=TODAY()),$N239,99999),IF(AND(ISNUMBER($O239),$O239&gt;=TODAY()),$O239,99999),IF(AND(ISNUMBER($P239),$P239&gt;=TODAY()),$P239,99999),IF(AND(ISNUMBER($S239),$S239&gt;=TODAY()),$S239,99999),IF(AND(ISNUMBER($T239),$T239&gt;=TODAY()),$T239,99999),IF(AND(ISNUMBER($U239),$U239&gt;=TODAY()),$U239,99999),IF(AND(ISNUMBER($V239),$V239&gt;=TODAY()),$V239,99999),IF(AND(ISNUMBER($W239),$W239&gt;=TODAY()),$W239,99999),IF(AND(ISNUMBER($X239),$X239&gt;=TODAY()),$X239,99999),IF(AND(ISNUMBER($Y239),$Y239&gt;=TODAY()),$Y239,99999))=99999,"",MIN(IF(AND(ISNUMBER($N239),$N239&gt;=TODAY()),$N239,99999),IF(AND(ISNUMBER($O239),$O239&gt;=TODAY()),$O239,99999),IF(AND(ISNUMBER($P239),$P239&gt;=TODAY()),$P239,99999),IF(AND(ISNUMBER($S239),$S239&gt;=TODAY()),$S239,99999),IF(AND(ISNUMBER($T239),$T239&gt;=TODAY()),$T239,99999),IF(AND(ISNUMBER($U239),$U239&gt;=TODAY()),$U239,99999),IF(AND(ISNUMBER($V239),$V239&gt;=TODAY()),$V239,99999),IF(AND(ISNUMBER($W239),$W239&gt;=TODAY()),$W239,99999),IF(AND(ISNUMBER($X239),$X239&gt;=TODAY()),$X239,99999),IF(AND(ISNUMBER($Y239),$Y239&gt;=TODAY()),$Y239,99999))))</f>
        <v/>
      </c>
      <c r="N239" s="27" t="n"/>
      <c r="O239" s="27" t="n"/>
      <c r="P239" s="27" t="n"/>
      <c r="Q239" s="27" t="n"/>
      <c r="R239" s="27" t="n"/>
      <c r="S239" s="27" t="n"/>
      <c r="T239" s="27" t="n"/>
      <c r="U239" s="27" t="n"/>
      <c r="V239" s="27" t="n"/>
      <c r="W239" s="27" t="n"/>
      <c r="X239" s="27" t="n"/>
      <c r="Y239" s="27" t="n"/>
      <c r="Z239" s="27" t="n"/>
      <c r="AA239" s="27" t="n"/>
      <c r="AB239" s="27" t="n"/>
      <c r="AC239" s="30" t="n"/>
      <c r="AD239" s="25" t="n"/>
      <c r="AE239" s="28">
        <f>IF(NOT(AND($A239&lt;&gt;"",OR($I239="",$I239="Active"))),"",IF(OR(IF(OR(ISNUMBER($Y239),$Y239="DNA"),$Y239,IF(OR(ISNUMBER($X239),$X239="DNA"),$X239,IF(OR(ISNUMBER($W239),$W239="DNA"),$W239,IF(OR(ISNUMBER($V239),$V239="DNA"),$V239,IF(OR(ISNUMBER($U239),$U239="DNA"),$U239,IF(OR(ISNUMBER($T239),$T239="DNA"),$T239,IF(OR(ISNUMBER($S239),$S239="DNA"),$S239,IF(OR(ISNUMBER($P239),$P239="DNA"),$P239,IF(OR(ISNUMBER($O239),$O239="DNA"),$O239,IF(OR(ISNUMBER($N239),$N239="DNA"),$N239,""))))))))))="DNA",AND(ISNUMBER(IF(OR(ISNUMBER($Y239),$Y239="DNA"),$Y239,IF(OR(ISNUMBER($X239),$X239="DNA"),$X239,IF(OR(ISNUMBER($W239),$W239="DNA"),$W239,IF(OR(ISNUMBER($V239),$V239="DNA"),$V239,IF(OR(ISNUMBER($U239),$U239="DNA"),$U239,IF(OR(ISNUMBER($T239),$T239="DNA"),$T239,IF(OR(ISNUMBER($S239),$S239="DNA"),$S239,IF(OR(ISNUMBER($P239),$P239="DNA"),$P239,IF(OR(ISNUMBER($O239),$O239="DNA"),$O239,IF(OR(ISNUMBER($N239),$N239="DNA"),$N239,""))))))))))),IF(OR(ISNUMBER($Y239),$Y239="DNA"),$Y239,IF(OR(ISNUMBER($X239),$X239="DNA"),$X239,IF(OR(ISNUMBER($W239),$W239="DNA"),$W239,IF(OR(ISNUMBER($V239),$V239="DNA"),$V239,IF(OR(ISNUMBER($U239),$U239="DNA"),$U239,IF(OR(ISNUMBER($T239),$T239="DNA"),$T239,IF(OR(ISNUMBER($S239),$S239="DNA"),$S239,IF(OR(ISNUMBER($P239),$P239="DNA"),$P239,IF(OR(ISNUMBER($O239),$O239="DNA"),$O239,IF(OR(ISNUMBER($N239),$N239="DNA"),$N239,""))))))))))&lt;TODAY())),1,0)+ISNUMBER($Q239)*($Q239&lt;TODAY())+ISNUMBER($R239)*($R239&lt;TODAY())+ISNUMBER($AA239)*($AA239&lt;TODAY())+ISNUMBER($AB239)*($AB239&lt;TODAY()))</f>
        <v/>
      </c>
    </row>
    <row r="240">
      <c r="A240" s="25" t="n"/>
      <c r="B240" s="26" t="n"/>
      <c r="C240" s="27" t="n"/>
      <c r="D240" s="25" t="n"/>
      <c r="E240" s="25" t="n"/>
      <c r="F240" s="25" t="n"/>
      <c r="G240" s="25" t="n"/>
      <c r="H240" s="27" t="n"/>
      <c r="I240" s="25" t="n"/>
      <c r="J240" s="28">
        <f>IF(OR(NOT(AND($A240&lt;&gt;"",OR($I240="",$I240="Active"))),$H240=""),"",INT((TODAY()-$H240+280)/7)&amp;"+"&amp;MOD(TODAY()-$H240+280,7))</f>
        <v/>
      </c>
      <c r="K240" s="28">
        <f>IF(NOT(AND($A240&lt;&gt;"",OR($I240="",$I240="Active"))),"",ISNUMBER($N240)*($N240&gt;=TODAY())*($N240&lt;=TODAY()+7)+ISNUMBER($O240)*($O240&gt;=TODAY())*($O240&lt;=TODAY()+7)+ISNUMBER($P240)*($P240&gt;=TODAY())*($P240&lt;=TODAY()+7)+ISNUMBER($S240)*($S240&gt;=TODAY())*($S240&lt;=TODAY()+7)+ISNUMBER($T240)*($T240&gt;=TODAY())*($T240&lt;=TODAY()+7)+ISNUMBER($U240)*($U240&gt;=TODAY())*($U240&lt;=TODAY()+7)+ISNUMBER($V240)*($V240&gt;=TODAY())*($V240&lt;=TODAY()+7)+ISNUMBER($W240)*($W240&gt;=TODAY())*($W240&lt;=TODAY()+7)+ISNUMBER($X240)*($X240&gt;=TODAY())*($X240&lt;=TODAY()+7)+ISNUMBER($Y240)*($Y240&gt;=TODAY())*($Y240&lt;=TODAY()+7)+ISNUMBER($Q240)*($Q240&gt;=TODAY())*($Q240&lt;=TODAY()+7)+ISNUMBER($R240)*($R240&gt;=TODAY())*($R240&lt;=TODAY()+7)+ISNUMBER($AA240)*($AA240&gt;=TODAY())*($AA240&lt;=TODAY()+7)+ISNUMBER($AB240)*($AB240&gt;=TODAY())*($AB240&lt;=TODAY()+7))</f>
        <v/>
      </c>
      <c r="L240" s="28">
        <f>IF(NOT(AND($A240&lt;&gt;"",OR($I240="",$I240="Active"))),"",IF($M240&lt;&gt;"",IF($N240=$M240,"Booking",IF($O240=$M240,"16/40",IF($P240=$M240,"25/40",IF($S240=$M240,"28/40",IF($T240=$M240,"31/40",IF($U240=$M240,"34/40",IF($V240=$M240,"36/40",IF($W240=$M240,"38/40",IF($X240=$M240,"40/40",IF($Y240=$M240,"41/40","")))))))))),IF(IF(OR(ISNUMBER($Y240),$Y240="DNA"),$Y240,IF(OR(ISNUMBER($X240),$X240="DNA"),$X240,IF(OR(ISNUMBER($W240),$W240="DNA"),$W240,IF(OR(ISNUMBER($V240),$V240="DNA"),$V240,IF(OR(ISNUMBER($U240),$U240="DNA"),$U240,IF(OR(ISNUMBER($T240),$T240="DNA"),$T240,IF(OR(ISNUMBER($S240),$S240="DNA"),$S240,IF(OR(ISNUMBER($P240),$P240="DNA"),$P240,IF(OR(ISNUMBER($O240),$O240="DNA"),$O240,IF(OR(ISNUMBER($N240),$N240="DNA"),$N240,""))))))))))="DNA","Rebook DNA",IF(ISNUMBER(IF(OR(ISNUMBER($Y240),$Y240="DNA"),$Y240,IF(OR(ISNUMBER($X240),$X240="DNA"),$X240,IF(OR(ISNUMBER($W240),$W240="DNA"),$W240,IF(OR(ISNUMBER($V240),$V240="DNA"),$V240,IF(OR(ISNUMBER($U240),$U240="DNA"),$U240,IF(OR(ISNUMBER($T240),$T240="DNA"),$T240,IF(OR(ISNUMBER($S240),$S240="DNA"),$S240,IF(OR(ISNUMBER($P240),$P240="DNA"),$P240,IF(OR(ISNUMBER($O240),$O240="DNA"),$O240,IF(OR(ISNUMBER($N240),$N240="DNA"),$N240,""))))))))))),IF(ISNUMBER($Y240),"Update status","Missed/not booked?"),""))))</f>
        <v/>
      </c>
      <c r="M240" s="29">
        <f>IF(NOT(AND($A240&lt;&gt;"",OR($I240="",$I240="Active"))),"",IF(MIN(IF(AND(ISNUMBER($N240),$N240&gt;=TODAY()),$N240,99999),IF(AND(ISNUMBER($O240),$O240&gt;=TODAY()),$O240,99999),IF(AND(ISNUMBER($P240),$P240&gt;=TODAY()),$P240,99999),IF(AND(ISNUMBER($S240),$S240&gt;=TODAY()),$S240,99999),IF(AND(ISNUMBER($T240),$T240&gt;=TODAY()),$T240,99999),IF(AND(ISNUMBER($U240),$U240&gt;=TODAY()),$U240,99999),IF(AND(ISNUMBER($V240),$V240&gt;=TODAY()),$V240,99999),IF(AND(ISNUMBER($W240),$W240&gt;=TODAY()),$W240,99999),IF(AND(ISNUMBER($X240),$X240&gt;=TODAY()),$X240,99999),IF(AND(ISNUMBER($Y240),$Y240&gt;=TODAY()),$Y240,99999))=99999,"",MIN(IF(AND(ISNUMBER($N240),$N240&gt;=TODAY()),$N240,99999),IF(AND(ISNUMBER($O240),$O240&gt;=TODAY()),$O240,99999),IF(AND(ISNUMBER($P240),$P240&gt;=TODAY()),$P240,99999),IF(AND(ISNUMBER($S240),$S240&gt;=TODAY()),$S240,99999),IF(AND(ISNUMBER($T240),$T240&gt;=TODAY()),$T240,99999),IF(AND(ISNUMBER($U240),$U240&gt;=TODAY()),$U240,99999),IF(AND(ISNUMBER($V240),$V240&gt;=TODAY()),$V240,99999),IF(AND(ISNUMBER($W240),$W240&gt;=TODAY()),$W240,99999),IF(AND(ISNUMBER($X240),$X240&gt;=TODAY()),$X240,99999),IF(AND(ISNUMBER($Y240),$Y240&gt;=TODAY()),$Y240,99999))))</f>
        <v/>
      </c>
      <c r="N240" s="27" t="n"/>
      <c r="O240" s="27" t="n"/>
      <c r="P240" s="27" t="n"/>
      <c r="Q240" s="27" t="n"/>
      <c r="R240" s="27" t="n"/>
      <c r="S240" s="27" t="n"/>
      <c r="T240" s="27" t="n"/>
      <c r="U240" s="27" t="n"/>
      <c r="V240" s="27" t="n"/>
      <c r="W240" s="27" t="n"/>
      <c r="X240" s="27" t="n"/>
      <c r="Y240" s="27" t="n"/>
      <c r="Z240" s="27" t="n"/>
      <c r="AA240" s="27" t="n"/>
      <c r="AB240" s="27" t="n"/>
      <c r="AC240" s="30" t="n"/>
      <c r="AD240" s="25" t="n"/>
      <c r="AE240" s="28">
        <f>IF(NOT(AND($A240&lt;&gt;"",OR($I240="",$I240="Active"))),"",IF(OR(IF(OR(ISNUMBER($Y240),$Y240="DNA"),$Y240,IF(OR(ISNUMBER($X240),$X240="DNA"),$X240,IF(OR(ISNUMBER($W240),$W240="DNA"),$W240,IF(OR(ISNUMBER($V240),$V240="DNA"),$V240,IF(OR(ISNUMBER($U240),$U240="DNA"),$U240,IF(OR(ISNUMBER($T240),$T240="DNA"),$T240,IF(OR(ISNUMBER($S240),$S240="DNA"),$S240,IF(OR(ISNUMBER($P240),$P240="DNA"),$P240,IF(OR(ISNUMBER($O240),$O240="DNA"),$O240,IF(OR(ISNUMBER($N240),$N240="DNA"),$N240,""))))))))))="DNA",AND(ISNUMBER(IF(OR(ISNUMBER($Y240),$Y240="DNA"),$Y240,IF(OR(ISNUMBER($X240),$X240="DNA"),$X240,IF(OR(ISNUMBER($W240),$W240="DNA"),$W240,IF(OR(ISNUMBER($V240),$V240="DNA"),$V240,IF(OR(ISNUMBER($U240),$U240="DNA"),$U240,IF(OR(ISNUMBER($T240),$T240="DNA"),$T240,IF(OR(ISNUMBER($S240),$S240="DNA"),$S240,IF(OR(ISNUMBER($P240),$P240="DNA"),$P240,IF(OR(ISNUMBER($O240),$O240="DNA"),$O240,IF(OR(ISNUMBER($N240),$N240="DNA"),$N240,""))))))))))),IF(OR(ISNUMBER($Y240),$Y240="DNA"),$Y240,IF(OR(ISNUMBER($X240),$X240="DNA"),$X240,IF(OR(ISNUMBER($W240),$W240="DNA"),$W240,IF(OR(ISNUMBER($V240),$V240="DNA"),$V240,IF(OR(ISNUMBER($U240),$U240="DNA"),$U240,IF(OR(ISNUMBER($T240),$T240="DNA"),$T240,IF(OR(ISNUMBER($S240),$S240="DNA"),$S240,IF(OR(ISNUMBER($P240),$P240="DNA"),$P240,IF(OR(ISNUMBER($O240),$O240="DNA"),$O240,IF(OR(ISNUMBER($N240),$N240="DNA"),$N240,""))))))))))&lt;TODAY())),1,0)+ISNUMBER($Q240)*($Q240&lt;TODAY())+ISNUMBER($R240)*($R240&lt;TODAY())+ISNUMBER($AA240)*($AA240&lt;TODAY())+ISNUMBER($AB240)*($AB240&lt;TODAY()))</f>
        <v/>
      </c>
    </row>
    <row r="241">
      <c r="A241" s="25" t="n"/>
      <c r="B241" s="26" t="n"/>
      <c r="C241" s="27" t="n"/>
      <c r="D241" s="25" t="n"/>
      <c r="E241" s="25" t="n"/>
      <c r="F241" s="25" t="n"/>
      <c r="G241" s="25" t="n"/>
      <c r="H241" s="27" t="n"/>
      <c r="I241" s="25" t="n"/>
      <c r="J241" s="28">
        <f>IF(OR(NOT(AND($A241&lt;&gt;"",OR($I241="",$I241="Active"))),$H241=""),"",INT((TODAY()-$H241+280)/7)&amp;"+"&amp;MOD(TODAY()-$H241+280,7))</f>
        <v/>
      </c>
      <c r="K241" s="28">
        <f>IF(NOT(AND($A241&lt;&gt;"",OR($I241="",$I241="Active"))),"",ISNUMBER($N241)*($N241&gt;=TODAY())*($N241&lt;=TODAY()+7)+ISNUMBER($O241)*($O241&gt;=TODAY())*($O241&lt;=TODAY()+7)+ISNUMBER($P241)*($P241&gt;=TODAY())*($P241&lt;=TODAY()+7)+ISNUMBER($S241)*($S241&gt;=TODAY())*($S241&lt;=TODAY()+7)+ISNUMBER($T241)*($T241&gt;=TODAY())*($T241&lt;=TODAY()+7)+ISNUMBER($U241)*($U241&gt;=TODAY())*($U241&lt;=TODAY()+7)+ISNUMBER($V241)*($V241&gt;=TODAY())*($V241&lt;=TODAY()+7)+ISNUMBER($W241)*($W241&gt;=TODAY())*($W241&lt;=TODAY()+7)+ISNUMBER($X241)*($X241&gt;=TODAY())*($X241&lt;=TODAY()+7)+ISNUMBER($Y241)*($Y241&gt;=TODAY())*($Y241&lt;=TODAY()+7)+ISNUMBER($Q241)*($Q241&gt;=TODAY())*($Q241&lt;=TODAY()+7)+ISNUMBER($R241)*($R241&gt;=TODAY())*($R241&lt;=TODAY()+7)+ISNUMBER($AA241)*($AA241&gt;=TODAY())*($AA241&lt;=TODAY()+7)+ISNUMBER($AB241)*($AB241&gt;=TODAY())*($AB241&lt;=TODAY()+7))</f>
        <v/>
      </c>
      <c r="L241" s="28">
        <f>IF(NOT(AND($A241&lt;&gt;"",OR($I241="",$I241="Active"))),"",IF($M241&lt;&gt;"",IF($N241=$M241,"Booking",IF($O241=$M241,"16/40",IF($P241=$M241,"25/40",IF($S241=$M241,"28/40",IF($T241=$M241,"31/40",IF($U241=$M241,"34/40",IF($V241=$M241,"36/40",IF($W241=$M241,"38/40",IF($X241=$M241,"40/40",IF($Y241=$M241,"41/40","")))))))))),IF(IF(OR(ISNUMBER($Y241),$Y241="DNA"),$Y241,IF(OR(ISNUMBER($X241),$X241="DNA"),$X241,IF(OR(ISNUMBER($W241),$W241="DNA"),$W241,IF(OR(ISNUMBER($V241),$V241="DNA"),$V241,IF(OR(ISNUMBER($U241),$U241="DNA"),$U241,IF(OR(ISNUMBER($T241),$T241="DNA"),$T241,IF(OR(ISNUMBER($S241),$S241="DNA"),$S241,IF(OR(ISNUMBER($P241),$P241="DNA"),$P241,IF(OR(ISNUMBER($O241),$O241="DNA"),$O241,IF(OR(ISNUMBER($N241),$N241="DNA"),$N241,""))))))))))="DNA","Rebook DNA",IF(ISNUMBER(IF(OR(ISNUMBER($Y241),$Y241="DNA"),$Y241,IF(OR(ISNUMBER($X241),$X241="DNA"),$X241,IF(OR(ISNUMBER($W241),$W241="DNA"),$W241,IF(OR(ISNUMBER($V241),$V241="DNA"),$V241,IF(OR(ISNUMBER($U241),$U241="DNA"),$U241,IF(OR(ISNUMBER($T241),$T241="DNA"),$T241,IF(OR(ISNUMBER($S241),$S241="DNA"),$S241,IF(OR(ISNUMBER($P241),$P241="DNA"),$P241,IF(OR(ISNUMBER($O241),$O241="DNA"),$O241,IF(OR(ISNUMBER($N241),$N241="DNA"),$N241,""))))))))))),IF(ISNUMBER($Y241),"Update status","Missed/not booked?"),""))))</f>
        <v/>
      </c>
      <c r="M241" s="29">
        <f>IF(NOT(AND($A241&lt;&gt;"",OR($I241="",$I241="Active"))),"",IF(MIN(IF(AND(ISNUMBER($N241),$N241&gt;=TODAY()),$N241,99999),IF(AND(ISNUMBER($O241),$O241&gt;=TODAY()),$O241,99999),IF(AND(ISNUMBER($P241),$P241&gt;=TODAY()),$P241,99999),IF(AND(ISNUMBER($S241),$S241&gt;=TODAY()),$S241,99999),IF(AND(ISNUMBER($T241),$T241&gt;=TODAY()),$T241,99999),IF(AND(ISNUMBER($U241),$U241&gt;=TODAY()),$U241,99999),IF(AND(ISNUMBER($V241),$V241&gt;=TODAY()),$V241,99999),IF(AND(ISNUMBER($W241),$W241&gt;=TODAY()),$W241,99999),IF(AND(ISNUMBER($X241),$X241&gt;=TODAY()),$X241,99999),IF(AND(ISNUMBER($Y241),$Y241&gt;=TODAY()),$Y241,99999))=99999,"",MIN(IF(AND(ISNUMBER($N241),$N241&gt;=TODAY()),$N241,99999),IF(AND(ISNUMBER($O241),$O241&gt;=TODAY()),$O241,99999),IF(AND(ISNUMBER($P241),$P241&gt;=TODAY()),$P241,99999),IF(AND(ISNUMBER($S241),$S241&gt;=TODAY()),$S241,99999),IF(AND(ISNUMBER($T241),$T241&gt;=TODAY()),$T241,99999),IF(AND(ISNUMBER($U241),$U241&gt;=TODAY()),$U241,99999),IF(AND(ISNUMBER($V241),$V241&gt;=TODAY()),$V241,99999),IF(AND(ISNUMBER($W241),$W241&gt;=TODAY()),$W241,99999),IF(AND(ISNUMBER($X241),$X241&gt;=TODAY()),$X241,99999),IF(AND(ISNUMBER($Y241),$Y241&gt;=TODAY()),$Y241,99999))))</f>
        <v/>
      </c>
      <c r="N241" s="27" t="n"/>
      <c r="O241" s="27" t="n"/>
      <c r="P241" s="27" t="n"/>
      <c r="Q241" s="27" t="n"/>
      <c r="R241" s="27" t="n"/>
      <c r="S241" s="27" t="n"/>
      <c r="T241" s="27" t="n"/>
      <c r="U241" s="27" t="n"/>
      <c r="V241" s="27" t="n"/>
      <c r="W241" s="27" t="n"/>
      <c r="X241" s="27" t="n"/>
      <c r="Y241" s="27" t="n"/>
      <c r="Z241" s="27" t="n"/>
      <c r="AA241" s="27" t="n"/>
      <c r="AB241" s="27" t="n"/>
      <c r="AC241" s="30" t="n"/>
      <c r="AD241" s="25" t="n"/>
      <c r="AE241" s="28">
        <f>IF(NOT(AND($A241&lt;&gt;"",OR($I241="",$I241="Active"))),"",IF(OR(IF(OR(ISNUMBER($Y241),$Y241="DNA"),$Y241,IF(OR(ISNUMBER($X241),$X241="DNA"),$X241,IF(OR(ISNUMBER($W241),$W241="DNA"),$W241,IF(OR(ISNUMBER($V241),$V241="DNA"),$V241,IF(OR(ISNUMBER($U241),$U241="DNA"),$U241,IF(OR(ISNUMBER($T241),$T241="DNA"),$T241,IF(OR(ISNUMBER($S241),$S241="DNA"),$S241,IF(OR(ISNUMBER($P241),$P241="DNA"),$P241,IF(OR(ISNUMBER($O241),$O241="DNA"),$O241,IF(OR(ISNUMBER($N241),$N241="DNA"),$N241,""))))))))))="DNA",AND(ISNUMBER(IF(OR(ISNUMBER($Y241),$Y241="DNA"),$Y241,IF(OR(ISNUMBER($X241),$X241="DNA"),$X241,IF(OR(ISNUMBER($W241),$W241="DNA"),$W241,IF(OR(ISNUMBER($V241),$V241="DNA"),$V241,IF(OR(ISNUMBER($U241),$U241="DNA"),$U241,IF(OR(ISNUMBER($T241),$T241="DNA"),$T241,IF(OR(ISNUMBER($S241),$S241="DNA"),$S241,IF(OR(ISNUMBER($P241),$P241="DNA"),$P241,IF(OR(ISNUMBER($O241),$O241="DNA"),$O241,IF(OR(ISNUMBER($N241),$N241="DNA"),$N241,""))))))))))),IF(OR(ISNUMBER($Y241),$Y241="DNA"),$Y241,IF(OR(ISNUMBER($X241),$X241="DNA"),$X241,IF(OR(ISNUMBER($W241),$W241="DNA"),$W241,IF(OR(ISNUMBER($V241),$V241="DNA"),$V241,IF(OR(ISNUMBER($U241),$U241="DNA"),$U241,IF(OR(ISNUMBER($T241),$T241="DNA"),$T241,IF(OR(ISNUMBER($S241),$S241="DNA"),$S241,IF(OR(ISNUMBER($P241),$P241="DNA"),$P241,IF(OR(ISNUMBER($O241),$O241="DNA"),$O241,IF(OR(ISNUMBER($N241),$N241="DNA"),$N241,""))))))))))&lt;TODAY())),1,0)+ISNUMBER($Q241)*($Q241&lt;TODAY())+ISNUMBER($R241)*($R241&lt;TODAY())+ISNUMBER($AA241)*($AA241&lt;TODAY())+ISNUMBER($AB241)*($AB241&lt;TODAY()))</f>
        <v/>
      </c>
    </row>
    <row r="242">
      <c r="A242" s="25" t="n"/>
      <c r="B242" s="26" t="n"/>
      <c r="C242" s="27" t="n"/>
      <c r="D242" s="25" t="n"/>
      <c r="E242" s="25" t="n"/>
      <c r="F242" s="25" t="n"/>
      <c r="G242" s="25" t="n"/>
      <c r="H242" s="27" t="n"/>
      <c r="I242" s="25" t="n"/>
      <c r="J242" s="28">
        <f>IF(OR(NOT(AND($A242&lt;&gt;"",OR($I242="",$I242="Active"))),$H242=""),"",INT((TODAY()-$H242+280)/7)&amp;"+"&amp;MOD(TODAY()-$H242+280,7))</f>
        <v/>
      </c>
      <c r="K242" s="28">
        <f>IF(NOT(AND($A242&lt;&gt;"",OR($I242="",$I242="Active"))),"",ISNUMBER($N242)*($N242&gt;=TODAY())*($N242&lt;=TODAY()+7)+ISNUMBER($O242)*($O242&gt;=TODAY())*($O242&lt;=TODAY()+7)+ISNUMBER($P242)*($P242&gt;=TODAY())*($P242&lt;=TODAY()+7)+ISNUMBER($S242)*($S242&gt;=TODAY())*($S242&lt;=TODAY()+7)+ISNUMBER($T242)*($T242&gt;=TODAY())*($T242&lt;=TODAY()+7)+ISNUMBER($U242)*($U242&gt;=TODAY())*($U242&lt;=TODAY()+7)+ISNUMBER($V242)*($V242&gt;=TODAY())*($V242&lt;=TODAY()+7)+ISNUMBER($W242)*($W242&gt;=TODAY())*($W242&lt;=TODAY()+7)+ISNUMBER($X242)*($X242&gt;=TODAY())*($X242&lt;=TODAY()+7)+ISNUMBER($Y242)*($Y242&gt;=TODAY())*($Y242&lt;=TODAY()+7)+ISNUMBER($Q242)*($Q242&gt;=TODAY())*($Q242&lt;=TODAY()+7)+ISNUMBER($R242)*($R242&gt;=TODAY())*($R242&lt;=TODAY()+7)+ISNUMBER($AA242)*($AA242&gt;=TODAY())*($AA242&lt;=TODAY()+7)+ISNUMBER($AB242)*($AB242&gt;=TODAY())*($AB242&lt;=TODAY()+7))</f>
        <v/>
      </c>
      <c r="L242" s="28">
        <f>IF(NOT(AND($A242&lt;&gt;"",OR($I242="",$I242="Active"))),"",IF($M242&lt;&gt;"",IF($N242=$M242,"Booking",IF($O242=$M242,"16/40",IF($P242=$M242,"25/40",IF($S242=$M242,"28/40",IF($T242=$M242,"31/40",IF($U242=$M242,"34/40",IF($V242=$M242,"36/40",IF($W242=$M242,"38/40",IF($X242=$M242,"40/40",IF($Y242=$M242,"41/40","")))))))))),IF(IF(OR(ISNUMBER($Y242),$Y242="DNA"),$Y242,IF(OR(ISNUMBER($X242),$X242="DNA"),$X242,IF(OR(ISNUMBER($W242),$W242="DNA"),$W242,IF(OR(ISNUMBER($V242),$V242="DNA"),$V242,IF(OR(ISNUMBER($U242),$U242="DNA"),$U242,IF(OR(ISNUMBER($T242),$T242="DNA"),$T242,IF(OR(ISNUMBER($S242),$S242="DNA"),$S242,IF(OR(ISNUMBER($P242),$P242="DNA"),$P242,IF(OR(ISNUMBER($O242),$O242="DNA"),$O242,IF(OR(ISNUMBER($N242),$N242="DNA"),$N242,""))))))))))="DNA","Rebook DNA",IF(ISNUMBER(IF(OR(ISNUMBER($Y242),$Y242="DNA"),$Y242,IF(OR(ISNUMBER($X242),$X242="DNA"),$X242,IF(OR(ISNUMBER($W242),$W242="DNA"),$W242,IF(OR(ISNUMBER($V242),$V242="DNA"),$V242,IF(OR(ISNUMBER($U242),$U242="DNA"),$U242,IF(OR(ISNUMBER($T242),$T242="DNA"),$T242,IF(OR(ISNUMBER($S242),$S242="DNA"),$S242,IF(OR(ISNUMBER($P242),$P242="DNA"),$P242,IF(OR(ISNUMBER($O242),$O242="DNA"),$O242,IF(OR(ISNUMBER($N242),$N242="DNA"),$N242,""))))))))))),IF(ISNUMBER($Y242),"Update status","Missed/not booked?"),""))))</f>
        <v/>
      </c>
      <c r="M242" s="29">
        <f>IF(NOT(AND($A242&lt;&gt;"",OR($I242="",$I242="Active"))),"",IF(MIN(IF(AND(ISNUMBER($N242),$N242&gt;=TODAY()),$N242,99999),IF(AND(ISNUMBER($O242),$O242&gt;=TODAY()),$O242,99999),IF(AND(ISNUMBER($P242),$P242&gt;=TODAY()),$P242,99999),IF(AND(ISNUMBER($S242),$S242&gt;=TODAY()),$S242,99999),IF(AND(ISNUMBER($T242),$T242&gt;=TODAY()),$T242,99999),IF(AND(ISNUMBER($U242),$U242&gt;=TODAY()),$U242,99999),IF(AND(ISNUMBER($V242),$V242&gt;=TODAY()),$V242,99999),IF(AND(ISNUMBER($W242),$W242&gt;=TODAY()),$W242,99999),IF(AND(ISNUMBER($X242),$X242&gt;=TODAY()),$X242,99999),IF(AND(ISNUMBER($Y242),$Y242&gt;=TODAY()),$Y242,99999))=99999,"",MIN(IF(AND(ISNUMBER($N242),$N242&gt;=TODAY()),$N242,99999),IF(AND(ISNUMBER($O242),$O242&gt;=TODAY()),$O242,99999),IF(AND(ISNUMBER($P242),$P242&gt;=TODAY()),$P242,99999),IF(AND(ISNUMBER($S242),$S242&gt;=TODAY()),$S242,99999),IF(AND(ISNUMBER($T242),$T242&gt;=TODAY()),$T242,99999),IF(AND(ISNUMBER($U242),$U242&gt;=TODAY()),$U242,99999),IF(AND(ISNUMBER($V242),$V242&gt;=TODAY()),$V242,99999),IF(AND(ISNUMBER($W242),$W242&gt;=TODAY()),$W242,99999),IF(AND(ISNUMBER($X242),$X242&gt;=TODAY()),$X242,99999),IF(AND(ISNUMBER($Y242),$Y242&gt;=TODAY()),$Y242,99999))))</f>
        <v/>
      </c>
      <c r="N242" s="27" t="n"/>
      <c r="O242" s="27" t="n"/>
      <c r="P242" s="27" t="n"/>
      <c r="Q242" s="27" t="n"/>
      <c r="R242" s="27" t="n"/>
      <c r="S242" s="27" t="n"/>
      <c r="T242" s="27" t="n"/>
      <c r="U242" s="27" t="n"/>
      <c r="V242" s="27" t="n"/>
      <c r="W242" s="27" t="n"/>
      <c r="X242" s="27" t="n"/>
      <c r="Y242" s="27" t="n"/>
      <c r="Z242" s="27" t="n"/>
      <c r="AA242" s="27" t="n"/>
      <c r="AB242" s="27" t="n"/>
      <c r="AC242" s="30" t="n"/>
      <c r="AD242" s="25" t="n"/>
      <c r="AE242" s="28">
        <f>IF(NOT(AND($A242&lt;&gt;"",OR($I242="",$I242="Active"))),"",IF(OR(IF(OR(ISNUMBER($Y242),$Y242="DNA"),$Y242,IF(OR(ISNUMBER($X242),$X242="DNA"),$X242,IF(OR(ISNUMBER($W242),$W242="DNA"),$W242,IF(OR(ISNUMBER($V242),$V242="DNA"),$V242,IF(OR(ISNUMBER($U242),$U242="DNA"),$U242,IF(OR(ISNUMBER($T242),$T242="DNA"),$T242,IF(OR(ISNUMBER($S242),$S242="DNA"),$S242,IF(OR(ISNUMBER($P242),$P242="DNA"),$P242,IF(OR(ISNUMBER($O242),$O242="DNA"),$O242,IF(OR(ISNUMBER($N242),$N242="DNA"),$N242,""))))))))))="DNA",AND(ISNUMBER(IF(OR(ISNUMBER($Y242),$Y242="DNA"),$Y242,IF(OR(ISNUMBER($X242),$X242="DNA"),$X242,IF(OR(ISNUMBER($W242),$W242="DNA"),$W242,IF(OR(ISNUMBER($V242),$V242="DNA"),$V242,IF(OR(ISNUMBER($U242),$U242="DNA"),$U242,IF(OR(ISNUMBER($T242),$T242="DNA"),$T242,IF(OR(ISNUMBER($S242),$S242="DNA"),$S242,IF(OR(ISNUMBER($P242),$P242="DNA"),$P242,IF(OR(ISNUMBER($O242),$O242="DNA"),$O242,IF(OR(ISNUMBER($N242),$N242="DNA"),$N242,""))))))))))),IF(OR(ISNUMBER($Y242),$Y242="DNA"),$Y242,IF(OR(ISNUMBER($X242),$X242="DNA"),$X242,IF(OR(ISNUMBER($W242),$W242="DNA"),$W242,IF(OR(ISNUMBER($V242),$V242="DNA"),$V242,IF(OR(ISNUMBER($U242),$U242="DNA"),$U242,IF(OR(ISNUMBER($T242),$T242="DNA"),$T242,IF(OR(ISNUMBER($S242),$S242="DNA"),$S242,IF(OR(ISNUMBER($P242),$P242="DNA"),$P242,IF(OR(ISNUMBER($O242),$O242="DNA"),$O242,IF(OR(ISNUMBER($N242),$N242="DNA"),$N242,""))))))))))&lt;TODAY())),1,0)+ISNUMBER($Q242)*($Q242&lt;TODAY())+ISNUMBER($R242)*($R242&lt;TODAY())+ISNUMBER($AA242)*($AA242&lt;TODAY())+ISNUMBER($AB242)*($AB242&lt;TODAY()))</f>
        <v/>
      </c>
    </row>
    <row r="243">
      <c r="A243" s="25" t="n"/>
      <c r="B243" s="26" t="n"/>
      <c r="C243" s="27" t="n"/>
      <c r="D243" s="25" t="n"/>
      <c r="E243" s="25" t="n"/>
      <c r="F243" s="25" t="n"/>
      <c r="G243" s="25" t="n"/>
      <c r="H243" s="27" t="n"/>
      <c r="I243" s="25" t="n"/>
      <c r="J243" s="28">
        <f>IF(OR(NOT(AND($A243&lt;&gt;"",OR($I243="",$I243="Active"))),$H243=""),"",INT((TODAY()-$H243+280)/7)&amp;"+"&amp;MOD(TODAY()-$H243+280,7))</f>
        <v/>
      </c>
      <c r="K243" s="28">
        <f>IF(NOT(AND($A243&lt;&gt;"",OR($I243="",$I243="Active"))),"",ISNUMBER($N243)*($N243&gt;=TODAY())*($N243&lt;=TODAY()+7)+ISNUMBER($O243)*($O243&gt;=TODAY())*($O243&lt;=TODAY()+7)+ISNUMBER($P243)*($P243&gt;=TODAY())*($P243&lt;=TODAY()+7)+ISNUMBER($S243)*($S243&gt;=TODAY())*($S243&lt;=TODAY()+7)+ISNUMBER($T243)*($T243&gt;=TODAY())*($T243&lt;=TODAY()+7)+ISNUMBER($U243)*($U243&gt;=TODAY())*($U243&lt;=TODAY()+7)+ISNUMBER($V243)*($V243&gt;=TODAY())*($V243&lt;=TODAY()+7)+ISNUMBER($W243)*($W243&gt;=TODAY())*($W243&lt;=TODAY()+7)+ISNUMBER($X243)*($X243&gt;=TODAY())*($X243&lt;=TODAY()+7)+ISNUMBER($Y243)*($Y243&gt;=TODAY())*($Y243&lt;=TODAY()+7)+ISNUMBER($Q243)*($Q243&gt;=TODAY())*($Q243&lt;=TODAY()+7)+ISNUMBER($R243)*($R243&gt;=TODAY())*($R243&lt;=TODAY()+7)+ISNUMBER($AA243)*($AA243&gt;=TODAY())*($AA243&lt;=TODAY()+7)+ISNUMBER($AB243)*($AB243&gt;=TODAY())*($AB243&lt;=TODAY()+7))</f>
        <v/>
      </c>
      <c r="L243" s="28">
        <f>IF(NOT(AND($A243&lt;&gt;"",OR($I243="",$I243="Active"))),"",IF($M243&lt;&gt;"",IF($N243=$M243,"Booking",IF($O243=$M243,"16/40",IF($P243=$M243,"25/40",IF($S243=$M243,"28/40",IF($T243=$M243,"31/40",IF($U243=$M243,"34/40",IF($V243=$M243,"36/40",IF($W243=$M243,"38/40",IF($X243=$M243,"40/40",IF($Y243=$M243,"41/40","")))))))))),IF(IF(OR(ISNUMBER($Y243),$Y243="DNA"),$Y243,IF(OR(ISNUMBER($X243),$X243="DNA"),$X243,IF(OR(ISNUMBER($W243),$W243="DNA"),$W243,IF(OR(ISNUMBER($V243),$V243="DNA"),$V243,IF(OR(ISNUMBER($U243),$U243="DNA"),$U243,IF(OR(ISNUMBER($T243),$T243="DNA"),$T243,IF(OR(ISNUMBER($S243),$S243="DNA"),$S243,IF(OR(ISNUMBER($P243),$P243="DNA"),$P243,IF(OR(ISNUMBER($O243),$O243="DNA"),$O243,IF(OR(ISNUMBER($N243),$N243="DNA"),$N243,""))))))))))="DNA","Rebook DNA",IF(ISNUMBER(IF(OR(ISNUMBER($Y243),$Y243="DNA"),$Y243,IF(OR(ISNUMBER($X243),$X243="DNA"),$X243,IF(OR(ISNUMBER($W243),$W243="DNA"),$W243,IF(OR(ISNUMBER($V243),$V243="DNA"),$V243,IF(OR(ISNUMBER($U243),$U243="DNA"),$U243,IF(OR(ISNUMBER($T243),$T243="DNA"),$T243,IF(OR(ISNUMBER($S243),$S243="DNA"),$S243,IF(OR(ISNUMBER($P243),$P243="DNA"),$P243,IF(OR(ISNUMBER($O243),$O243="DNA"),$O243,IF(OR(ISNUMBER($N243),$N243="DNA"),$N243,""))))))))))),IF(ISNUMBER($Y243),"Update status","Missed/not booked?"),""))))</f>
        <v/>
      </c>
      <c r="M243" s="29">
        <f>IF(NOT(AND($A243&lt;&gt;"",OR($I243="",$I243="Active"))),"",IF(MIN(IF(AND(ISNUMBER($N243),$N243&gt;=TODAY()),$N243,99999),IF(AND(ISNUMBER($O243),$O243&gt;=TODAY()),$O243,99999),IF(AND(ISNUMBER($P243),$P243&gt;=TODAY()),$P243,99999),IF(AND(ISNUMBER($S243),$S243&gt;=TODAY()),$S243,99999),IF(AND(ISNUMBER($T243),$T243&gt;=TODAY()),$T243,99999),IF(AND(ISNUMBER($U243),$U243&gt;=TODAY()),$U243,99999),IF(AND(ISNUMBER($V243),$V243&gt;=TODAY()),$V243,99999),IF(AND(ISNUMBER($W243),$W243&gt;=TODAY()),$W243,99999),IF(AND(ISNUMBER($X243),$X243&gt;=TODAY()),$X243,99999),IF(AND(ISNUMBER($Y243),$Y243&gt;=TODAY()),$Y243,99999))=99999,"",MIN(IF(AND(ISNUMBER($N243),$N243&gt;=TODAY()),$N243,99999),IF(AND(ISNUMBER($O243),$O243&gt;=TODAY()),$O243,99999),IF(AND(ISNUMBER($P243),$P243&gt;=TODAY()),$P243,99999),IF(AND(ISNUMBER($S243),$S243&gt;=TODAY()),$S243,99999),IF(AND(ISNUMBER($T243),$T243&gt;=TODAY()),$T243,99999),IF(AND(ISNUMBER($U243),$U243&gt;=TODAY()),$U243,99999),IF(AND(ISNUMBER($V243),$V243&gt;=TODAY()),$V243,99999),IF(AND(ISNUMBER($W243),$W243&gt;=TODAY()),$W243,99999),IF(AND(ISNUMBER($X243),$X243&gt;=TODAY()),$X243,99999),IF(AND(ISNUMBER($Y243),$Y243&gt;=TODAY()),$Y243,99999))))</f>
        <v/>
      </c>
      <c r="N243" s="27" t="n"/>
      <c r="O243" s="27" t="n"/>
      <c r="P243" s="27" t="n"/>
      <c r="Q243" s="27" t="n"/>
      <c r="R243" s="27" t="n"/>
      <c r="S243" s="27" t="n"/>
      <c r="T243" s="27" t="n"/>
      <c r="U243" s="27" t="n"/>
      <c r="V243" s="27" t="n"/>
      <c r="W243" s="27" t="n"/>
      <c r="X243" s="27" t="n"/>
      <c r="Y243" s="27" t="n"/>
      <c r="Z243" s="27" t="n"/>
      <c r="AA243" s="27" t="n"/>
      <c r="AB243" s="27" t="n"/>
      <c r="AC243" s="30" t="n"/>
      <c r="AD243" s="25" t="n"/>
      <c r="AE243" s="28">
        <f>IF(NOT(AND($A243&lt;&gt;"",OR($I243="",$I243="Active"))),"",IF(OR(IF(OR(ISNUMBER($Y243),$Y243="DNA"),$Y243,IF(OR(ISNUMBER($X243),$X243="DNA"),$X243,IF(OR(ISNUMBER($W243),$W243="DNA"),$W243,IF(OR(ISNUMBER($V243),$V243="DNA"),$V243,IF(OR(ISNUMBER($U243),$U243="DNA"),$U243,IF(OR(ISNUMBER($T243),$T243="DNA"),$T243,IF(OR(ISNUMBER($S243),$S243="DNA"),$S243,IF(OR(ISNUMBER($P243),$P243="DNA"),$P243,IF(OR(ISNUMBER($O243),$O243="DNA"),$O243,IF(OR(ISNUMBER($N243),$N243="DNA"),$N243,""))))))))))="DNA",AND(ISNUMBER(IF(OR(ISNUMBER($Y243),$Y243="DNA"),$Y243,IF(OR(ISNUMBER($X243),$X243="DNA"),$X243,IF(OR(ISNUMBER($W243),$W243="DNA"),$W243,IF(OR(ISNUMBER($V243),$V243="DNA"),$V243,IF(OR(ISNUMBER($U243),$U243="DNA"),$U243,IF(OR(ISNUMBER($T243),$T243="DNA"),$T243,IF(OR(ISNUMBER($S243),$S243="DNA"),$S243,IF(OR(ISNUMBER($P243),$P243="DNA"),$P243,IF(OR(ISNUMBER($O243),$O243="DNA"),$O243,IF(OR(ISNUMBER($N243),$N243="DNA"),$N243,""))))))))))),IF(OR(ISNUMBER($Y243),$Y243="DNA"),$Y243,IF(OR(ISNUMBER($X243),$X243="DNA"),$X243,IF(OR(ISNUMBER($W243),$W243="DNA"),$W243,IF(OR(ISNUMBER($V243),$V243="DNA"),$V243,IF(OR(ISNUMBER($U243),$U243="DNA"),$U243,IF(OR(ISNUMBER($T243),$T243="DNA"),$T243,IF(OR(ISNUMBER($S243),$S243="DNA"),$S243,IF(OR(ISNUMBER($P243),$P243="DNA"),$P243,IF(OR(ISNUMBER($O243),$O243="DNA"),$O243,IF(OR(ISNUMBER($N243),$N243="DNA"),$N243,""))))))))))&lt;TODAY())),1,0)+ISNUMBER($Q243)*($Q243&lt;TODAY())+ISNUMBER($R243)*($R243&lt;TODAY())+ISNUMBER($AA243)*($AA243&lt;TODAY())+ISNUMBER($AB243)*($AB243&lt;TODAY()))</f>
        <v/>
      </c>
    </row>
    <row r="244">
      <c r="A244" s="25" t="n"/>
      <c r="B244" s="26" t="n"/>
      <c r="C244" s="27" t="n"/>
      <c r="D244" s="25" t="n"/>
      <c r="E244" s="25" t="n"/>
      <c r="F244" s="25" t="n"/>
      <c r="G244" s="25" t="n"/>
      <c r="H244" s="27" t="n"/>
      <c r="I244" s="25" t="n"/>
      <c r="J244" s="28">
        <f>IF(OR(NOT(AND($A244&lt;&gt;"",OR($I244="",$I244="Active"))),$H244=""),"",INT((TODAY()-$H244+280)/7)&amp;"+"&amp;MOD(TODAY()-$H244+280,7))</f>
        <v/>
      </c>
      <c r="K244" s="28">
        <f>IF(NOT(AND($A244&lt;&gt;"",OR($I244="",$I244="Active"))),"",ISNUMBER($N244)*($N244&gt;=TODAY())*($N244&lt;=TODAY()+7)+ISNUMBER($O244)*($O244&gt;=TODAY())*($O244&lt;=TODAY()+7)+ISNUMBER($P244)*($P244&gt;=TODAY())*($P244&lt;=TODAY()+7)+ISNUMBER($S244)*($S244&gt;=TODAY())*($S244&lt;=TODAY()+7)+ISNUMBER($T244)*($T244&gt;=TODAY())*($T244&lt;=TODAY()+7)+ISNUMBER($U244)*($U244&gt;=TODAY())*($U244&lt;=TODAY()+7)+ISNUMBER($V244)*($V244&gt;=TODAY())*($V244&lt;=TODAY()+7)+ISNUMBER($W244)*($W244&gt;=TODAY())*($W244&lt;=TODAY()+7)+ISNUMBER($X244)*($X244&gt;=TODAY())*($X244&lt;=TODAY()+7)+ISNUMBER($Y244)*($Y244&gt;=TODAY())*($Y244&lt;=TODAY()+7)+ISNUMBER($Q244)*($Q244&gt;=TODAY())*($Q244&lt;=TODAY()+7)+ISNUMBER($R244)*($R244&gt;=TODAY())*($R244&lt;=TODAY()+7)+ISNUMBER($AA244)*($AA244&gt;=TODAY())*($AA244&lt;=TODAY()+7)+ISNUMBER($AB244)*($AB244&gt;=TODAY())*($AB244&lt;=TODAY()+7))</f>
        <v/>
      </c>
      <c r="L244" s="28">
        <f>IF(NOT(AND($A244&lt;&gt;"",OR($I244="",$I244="Active"))),"",IF($M244&lt;&gt;"",IF($N244=$M244,"Booking",IF($O244=$M244,"16/40",IF($P244=$M244,"25/40",IF($S244=$M244,"28/40",IF($T244=$M244,"31/40",IF($U244=$M244,"34/40",IF($V244=$M244,"36/40",IF($W244=$M244,"38/40",IF($X244=$M244,"40/40",IF($Y244=$M244,"41/40","")))))))))),IF(IF(OR(ISNUMBER($Y244),$Y244="DNA"),$Y244,IF(OR(ISNUMBER($X244),$X244="DNA"),$X244,IF(OR(ISNUMBER($W244),$W244="DNA"),$W244,IF(OR(ISNUMBER($V244),$V244="DNA"),$V244,IF(OR(ISNUMBER($U244),$U244="DNA"),$U244,IF(OR(ISNUMBER($T244),$T244="DNA"),$T244,IF(OR(ISNUMBER($S244),$S244="DNA"),$S244,IF(OR(ISNUMBER($P244),$P244="DNA"),$P244,IF(OR(ISNUMBER($O244),$O244="DNA"),$O244,IF(OR(ISNUMBER($N244),$N244="DNA"),$N244,""))))))))))="DNA","Rebook DNA",IF(ISNUMBER(IF(OR(ISNUMBER($Y244),$Y244="DNA"),$Y244,IF(OR(ISNUMBER($X244),$X244="DNA"),$X244,IF(OR(ISNUMBER($W244),$W244="DNA"),$W244,IF(OR(ISNUMBER($V244),$V244="DNA"),$V244,IF(OR(ISNUMBER($U244),$U244="DNA"),$U244,IF(OR(ISNUMBER($T244),$T244="DNA"),$T244,IF(OR(ISNUMBER($S244),$S244="DNA"),$S244,IF(OR(ISNUMBER($P244),$P244="DNA"),$P244,IF(OR(ISNUMBER($O244),$O244="DNA"),$O244,IF(OR(ISNUMBER($N244),$N244="DNA"),$N244,""))))))))))),IF(ISNUMBER($Y244),"Update status","Missed/not booked?"),""))))</f>
        <v/>
      </c>
      <c r="M244" s="29">
        <f>IF(NOT(AND($A244&lt;&gt;"",OR($I244="",$I244="Active"))),"",IF(MIN(IF(AND(ISNUMBER($N244),$N244&gt;=TODAY()),$N244,99999),IF(AND(ISNUMBER($O244),$O244&gt;=TODAY()),$O244,99999),IF(AND(ISNUMBER($P244),$P244&gt;=TODAY()),$P244,99999),IF(AND(ISNUMBER($S244),$S244&gt;=TODAY()),$S244,99999),IF(AND(ISNUMBER($T244),$T244&gt;=TODAY()),$T244,99999),IF(AND(ISNUMBER($U244),$U244&gt;=TODAY()),$U244,99999),IF(AND(ISNUMBER($V244),$V244&gt;=TODAY()),$V244,99999),IF(AND(ISNUMBER($W244),$W244&gt;=TODAY()),$W244,99999),IF(AND(ISNUMBER($X244),$X244&gt;=TODAY()),$X244,99999),IF(AND(ISNUMBER($Y244),$Y244&gt;=TODAY()),$Y244,99999))=99999,"",MIN(IF(AND(ISNUMBER($N244),$N244&gt;=TODAY()),$N244,99999),IF(AND(ISNUMBER($O244),$O244&gt;=TODAY()),$O244,99999),IF(AND(ISNUMBER($P244),$P244&gt;=TODAY()),$P244,99999),IF(AND(ISNUMBER($S244),$S244&gt;=TODAY()),$S244,99999),IF(AND(ISNUMBER($T244),$T244&gt;=TODAY()),$T244,99999),IF(AND(ISNUMBER($U244),$U244&gt;=TODAY()),$U244,99999),IF(AND(ISNUMBER($V244),$V244&gt;=TODAY()),$V244,99999),IF(AND(ISNUMBER($W244),$W244&gt;=TODAY()),$W244,99999),IF(AND(ISNUMBER($X244),$X244&gt;=TODAY()),$X244,99999),IF(AND(ISNUMBER($Y244),$Y244&gt;=TODAY()),$Y244,99999))))</f>
        <v/>
      </c>
      <c r="N244" s="27" t="n"/>
      <c r="O244" s="27" t="n"/>
      <c r="P244" s="27" t="n"/>
      <c r="Q244" s="27" t="n"/>
      <c r="R244" s="27" t="n"/>
      <c r="S244" s="27" t="n"/>
      <c r="T244" s="27" t="n"/>
      <c r="U244" s="27" t="n"/>
      <c r="V244" s="27" t="n"/>
      <c r="W244" s="27" t="n"/>
      <c r="X244" s="27" t="n"/>
      <c r="Y244" s="27" t="n"/>
      <c r="Z244" s="27" t="n"/>
      <c r="AA244" s="27" t="n"/>
      <c r="AB244" s="27" t="n"/>
      <c r="AC244" s="30" t="n"/>
      <c r="AD244" s="25" t="n"/>
      <c r="AE244" s="28">
        <f>IF(NOT(AND($A244&lt;&gt;"",OR($I244="",$I244="Active"))),"",IF(OR(IF(OR(ISNUMBER($Y244),$Y244="DNA"),$Y244,IF(OR(ISNUMBER($X244),$X244="DNA"),$X244,IF(OR(ISNUMBER($W244),$W244="DNA"),$W244,IF(OR(ISNUMBER($V244),$V244="DNA"),$V244,IF(OR(ISNUMBER($U244),$U244="DNA"),$U244,IF(OR(ISNUMBER($T244),$T244="DNA"),$T244,IF(OR(ISNUMBER($S244),$S244="DNA"),$S244,IF(OR(ISNUMBER($P244),$P244="DNA"),$P244,IF(OR(ISNUMBER($O244),$O244="DNA"),$O244,IF(OR(ISNUMBER($N244),$N244="DNA"),$N244,""))))))))))="DNA",AND(ISNUMBER(IF(OR(ISNUMBER($Y244),$Y244="DNA"),$Y244,IF(OR(ISNUMBER($X244),$X244="DNA"),$X244,IF(OR(ISNUMBER($W244),$W244="DNA"),$W244,IF(OR(ISNUMBER($V244),$V244="DNA"),$V244,IF(OR(ISNUMBER($U244),$U244="DNA"),$U244,IF(OR(ISNUMBER($T244),$T244="DNA"),$T244,IF(OR(ISNUMBER($S244),$S244="DNA"),$S244,IF(OR(ISNUMBER($P244),$P244="DNA"),$P244,IF(OR(ISNUMBER($O244),$O244="DNA"),$O244,IF(OR(ISNUMBER($N244),$N244="DNA"),$N244,""))))))))))),IF(OR(ISNUMBER($Y244),$Y244="DNA"),$Y244,IF(OR(ISNUMBER($X244),$X244="DNA"),$X244,IF(OR(ISNUMBER($W244),$W244="DNA"),$W244,IF(OR(ISNUMBER($V244),$V244="DNA"),$V244,IF(OR(ISNUMBER($U244),$U244="DNA"),$U244,IF(OR(ISNUMBER($T244),$T244="DNA"),$T244,IF(OR(ISNUMBER($S244),$S244="DNA"),$S244,IF(OR(ISNUMBER($P244),$P244="DNA"),$P244,IF(OR(ISNUMBER($O244),$O244="DNA"),$O244,IF(OR(ISNUMBER($N244),$N244="DNA"),$N244,""))))))))))&lt;TODAY())),1,0)+ISNUMBER($Q244)*($Q244&lt;TODAY())+ISNUMBER($R244)*($R244&lt;TODAY())+ISNUMBER($AA244)*($AA244&lt;TODAY())+ISNUMBER($AB244)*($AB244&lt;TODAY()))</f>
        <v/>
      </c>
    </row>
    <row r="245">
      <c r="A245" s="25" t="n"/>
      <c r="B245" s="26" t="n"/>
      <c r="C245" s="27" t="n"/>
      <c r="D245" s="25" t="n"/>
      <c r="E245" s="25" t="n"/>
      <c r="F245" s="25" t="n"/>
      <c r="G245" s="25" t="n"/>
      <c r="H245" s="27" t="n"/>
      <c r="I245" s="25" t="n"/>
      <c r="J245" s="28">
        <f>IF(OR(NOT(AND($A245&lt;&gt;"",OR($I245="",$I245="Active"))),$H245=""),"",INT((TODAY()-$H245+280)/7)&amp;"+"&amp;MOD(TODAY()-$H245+280,7))</f>
        <v/>
      </c>
      <c r="K245" s="28">
        <f>IF(NOT(AND($A245&lt;&gt;"",OR($I245="",$I245="Active"))),"",ISNUMBER($N245)*($N245&gt;=TODAY())*($N245&lt;=TODAY()+7)+ISNUMBER($O245)*($O245&gt;=TODAY())*($O245&lt;=TODAY()+7)+ISNUMBER($P245)*($P245&gt;=TODAY())*($P245&lt;=TODAY()+7)+ISNUMBER($S245)*($S245&gt;=TODAY())*($S245&lt;=TODAY()+7)+ISNUMBER($T245)*($T245&gt;=TODAY())*($T245&lt;=TODAY()+7)+ISNUMBER($U245)*($U245&gt;=TODAY())*($U245&lt;=TODAY()+7)+ISNUMBER($V245)*($V245&gt;=TODAY())*($V245&lt;=TODAY()+7)+ISNUMBER($W245)*($W245&gt;=TODAY())*($W245&lt;=TODAY()+7)+ISNUMBER($X245)*($X245&gt;=TODAY())*($X245&lt;=TODAY()+7)+ISNUMBER($Y245)*($Y245&gt;=TODAY())*($Y245&lt;=TODAY()+7)+ISNUMBER($Q245)*($Q245&gt;=TODAY())*($Q245&lt;=TODAY()+7)+ISNUMBER($R245)*($R245&gt;=TODAY())*($R245&lt;=TODAY()+7)+ISNUMBER($AA245)*($AA245&gt;=TODAY())*($AA245&lt;=TODAY()+7)+ISNUMBER($AB245)*($AB245&gt;=TODAY())*($AB245&lt;=TODAY()+7))</f>
        <v/>
      </c>
      <c r="L245" s="28">
        <f>IF(NOT(AND($A245&lt;&gt;"",OR($I245="",$I245="Active"))),"",IF($M245&lt;&gt;"",IF($N245=$M245,"Booking",IF($O245=$M245,"16/40",IF($P245=$M245,"25/40",IF($S245=$M245,"28/40",IF($T245=$M245,"31/40",IF($U245=$M245,"34/40",IF($V245=$M245,"36/40",IF($W245=$M245,"38/40",IF($X245=$M245,"40/40",IF($Y245=$M245,"41/40","")))))))))),IF(IF(OR(ISNUMBER($Y245),$Y245="DNA"),$Y245,IF(OR(ISNUMBER($X245),$X245="DNA"),$X245,IF(OR(ISNUMBER($W245),$W245="DNA"),$W245,IF(OR(ISNUMBER($V245),$V245="DNA"),$V245,IF(OR(ISNUMBER($U245),$U245="DNA"),$U245,IF(OR(ISNUMBER($T245),$T245="DNA"),$T245,IF(OR(ISNUMBER($S245),$S245="DNA"),$S245,IF(OR(ISNUMBER($P245),$P245="DNA"),$P245,IF(OR(ISNUMBER($O245),$O245="DNA"),$O245,IF(OR(ISNUMBER($N245),$N245="DNA"),$N245,""))))))))))="DNA","Rebook DNA",IF(ISNUMBER(IF(OR(ISNUMBER($Y245),$Y245="DNA"),$Y245,IF(OR(ISNUMBER($X245),$X245="DNA"),$X245,IF(OR(ISNUMBER($W245),$W245="DNA"),$W245,IF(OR(ISNUMBER($V245),$V245="DNA"),$V245,IF(OR(ISNUMBER($U245),$U245="DNA"),$U245,IF(OR(ISNUMBER($T245),$T245="DNA"),$T245,IF(OR(ISNUMBER($S245),$S245="DNA"),$S245,IF(OR(ISNUMBER($P245),$P245="DNA"),$P245,IF(OR(ISNUMBER($O245),$O245="DNA"),$O245,IF(OR(ISNUMBER($N245),$N245="DNA"),$N245,""))))))))))),IF(ISNUMBER($Y245),"Update status","Missed/not booked?"),""))))</f>
        <v/>
      </c>
      <c r="M245" s="29">
        <f>IF(NOT(AND($A245&lt;&gt;"",OR($I245="",$I245="Active"))),"",IF(MIN(IF(AND(ISNUMBER($N245),$N245&gt;=TODAY()),$N245,99999),IF(AND(ISNUMBER($O245),$O245&gt;=TODAY()),$O245,99999),IF(AND(ISNUMBER($P245),$P245&gt;=TODAY()),$P245,99999),IF(AND(ISNUMBER($S245),$S245&gt;=TODAY()),$S245,99999),IF(AND(ISNUMBER($T245),$T245&gt;=TODAY()),$T245,99999),IF(AND(ISNUMBER($U245),$U245&gt;=TODAY()),$U245,99999),IF(AND(ISNUMBER($V245),$V245&gt;=TODAY()),$V245,99999),IF(AND(ISNUMBER($W245),$W245&gt;=TODAY()),$W245,99999),IF(AND(ISNUMBER($X245),$X245&gt;=TODAY()),$X245,99999),IF(AND(ISNUMBER($Y245),$Y245&gt;=TODAY()),$Y245,99999))=99999,"",MIN(IF(AND(ISNUMBER($N245),$N245&gt;=TODAY()),$N245,99999),IF(AND(ISNUMBER($O245),$O245&gt;=TODAY()),$O245,99999),IF(AND(ISNUMBER($P245),$P245&gt;=TODAY()),$P245,99999),IF(AND(ISNUMBER($S245),$S245&gt;=TODAY()),$S245,99999),IF(AND(ISNUMBER($T245),$T245&gt;=TODAY()),$T245,99999),IF(AND(ISNUMBER($U245),$U245&gt;=TODAY()),$U245,99999),IF(AND(ISNUMBER($V245),$V245&gt;=TODAY()),$V245,99999),IF(AND(ISNUMBER($W245),$W245&gt;=TODAY()),$W245,99999),IF(AND(ISNUMBER($X245),$X245&gt;=TODAY()),$X245,99999),IF(AND(ISNUMBER($Y245),$Y245&gt;=TODAY()),$Y245,99999))))</f>
        <v/>
      </c>
      <c r="N245" s="27" t="n"/>
      <c r="O245" s="27" t="n"/>
      <c r="P245" s="27" t="n"/>
      <c r="Q245" s="27" t="n"/>
      <c r="R245" s="27" t="n"/>
      <c r="S245" s="27" t="n"/>
      <c r="T245" s="27" t="n"/>
      <c r="U245" s="27" t="n"/>
      <c r="V245" s="27" t="n"/>
      <c r="W245" s="27" t="n"/>
      <c r="X245" s="27" t="n"/>
      <c r="Y245" s="27" t="n"/>
      <c r="Z245" s="27" t="n"/>
      <c r="AA245" s="27" t="n"/>
      <c r="AB245" s="27" t="n"/>
      <c r="AC245" s="30" t="n"/>
      <c r="AD245" s="25" t="n"/>
      <c r="AE245" s="28">
        <f>IF(NOT(AND($A245&lt;&gt;"",OR($I245="",$I245="Active"))),"",IF(OR(IF(OR(ISNUMBER($Y245),$Y245="DNA"),$Y245,IF(OR(ISNUMBER($X245),$X245="DNA"),$X245,IF(OR(ISNUMBER($W245),$W245="DNA"),$W245,IF(OR(ISNUMBER($V245),$V245="DNA"),$V245,IF(OR(ISNUMBER($U245),$U245="DNA"),$U245,IF(OR(ISNUMBER($T245),$T245="DNA"),$T245,IF(OR(ISNUMBER($S245),$S245="DNA"),$S245,IF(OR(ISNUMBER($P245),$P245="DNA"),$P245,IF(OR(ISNUMBER($O245),$O245="DNA"),$O245,IF(OR(ISNUMBER($N245),$N245="DNA"),$N245,""))))))))))="DNA",AND(ISNUMBER(IF(OR(ISNUMBER($Y245),$Y245="DNA"),$Y245,IF(OR(ISNUMBER($X245),$X245="DNA"),$X245,IF(OR(ISNUMBER($W245),$W245="DNA"),$W245,IF(OR(ISNUMBER($V245),$V245="DNA"),$V245,IF(OR(ISNUMBER($U245),$U245="DNA"),$U245,IF(OR(ISNUMBER($T245),$T245="DNA"),$T245,IF(OR(ISNUMBER($S245),$S245="DNA"),$S245,IF(OR(ISNUMBER($P245),$P245="DNA"),$P245,IF(OR(ISNUMBER($O245),$O245="DNA"),$O245,IF(OR(ISNUMBER($N245),$N245="DNA"),$N245,""))))))))))),IF(OR(ISNUMBER($Y245),$Y245="DNA"),$Y245,IF(OR(ISNUMBER($X245),$X245="DNA"),$X245,IF(OR(ISNUMBER($W245),$W245="DNA"),$W245,IF(OR(ISNUMBER($V245),$V245="DNA"),$V245,IF(OR(ISNUMBER($U245),$U245="DNA"),$U245,IF(OR(ISNUMBER($T245),$T245="DNA"),$T245,IF(OR(ISNUMBER($S245),$S245="DNA"),$S245,IF(OR(ISNUMBER($P245),$P245="DNA"),$P245,IF(OR(ISNUMBER($O245),$O245="DNA"),$O245,IF(OR(ISNUMBER($N245),$N245="DNA"),$N245,""))))))))))&lt;TODAY())),1,0)+ISNUMBER($Q245)*($Q245&lt;TODAY())+ISNUMBER($R245)*($R245&lt;TODAY())+ISNUMBER($AA245)*($AA245&lt;TODAY())+ISNUMBER($AB245)*($AB245&lt;TODAY()))</f>
        <v/>
      </c>
    </row>
    <row r="246">
      <c r="A246" s="25" t="n"/>
      <c r="B246" s="26" t="n"/>
      <c r="C246" s="27" t="n"/>
      <c r="D246" s="25" t="n"/>
      <c r="E246" s="25" t="n"/>
      <c r="F246" s="25" t="n"/>
      <c r="G246" s="25" t="n"/>
      <c r="H246" s="27" t="n"/>
      <c r="I246" s="25" t="n"/>
      <c r="J246" s="28">
        <f>IF(OR(NOT(AND($A246&lt;&gt;"",OR($I246="",$I246="Active"))),$H246=""),"",INT((TODAY()-$H246+280)/7)&amp;"+"&amp;MOD(TODAY()-$H246+280,7))</f>
        <v/>
      </c>
      <c r="K246" s="28">
        <f>IF(NOT(AND($A246&lt;&gt;"",OR($I246="",$I246="Active"))),"",ISNUMBER($N246)*($N246&gt;=TODAY())*($N246&lt;=TODAY()+7)+ISNUMBER($O246)*($O246&gt;=TODAY())*($O246&lt;=TODAY()+7)+ISNUMBER($P246)*($P246&gt;=TODAY())*($P246&lt;=TODAY()+7)+ISNUMBER($S246)*($S246&gt;=TODAY())*($S246&lt;=TODAY()+7)+ISNUMBER($T246)*($T246&gt;=TODAY())*($T246&lt;=TODAY()+7)+ISNUMBER($U246)*($U246&gt;=TODAY())*($U246&lt;=TODAY()+7)+ISNUMBER($V246)*($V246&gt;=TODAY())*($V246&lt;=TODAY()+7)+ISNUMBER($W246)*($W246&gt;=TODAY())*($W246&lt;=TODAY()+7)+ISNUMBER($X246)*($X246&gt;=TODAY())*($X246&lt;=TODAY()+7)+ISNUMBER($Y246)*($Y246&gt;=TODAY())*($Y246&lt;=TODAY()+7)+ISNUMBER($Q246)*($Q246&gt;=TODAY())*($Q246&lt;=TODAY()+7)+ISNUMBER($R246)*($R246&gt;=TODAY())*($R246&lt;=TODAY()+7)+ISNUMBER($AA246)*($AA246&gt;=TODAY())*($AA246&lt;=TODAY()+7)+ISNUMBER($AB246)*($AB246&gt;=TODAY())*($AB246&lt;=TODAY()+7))</f>
        <v/>
      </c>
      <c r="L246" s="28">
        <f>IF(NOT(AND($A246&lt;&gt;"",OR($I246="",$I246="Active"))),"",IF($M246&lt;&gt;"",IF($N246=$M246,"Booking",IF($O246=$M246,"16/40",IF($P246=$M246,"25/40",IF($S246=$M246,"28/40",IF($T246=$M246,"31/40",IF($U246=$M246,"34/40",IF($V246=$M246,"36/40",IF($W246=$M246,"38/40",IF($X246=$M246,"40/40",IF($Y246=$M246,"41/40","")))))))))),IF(IF(OR(ISNUMBER($Y246),$Y246="DNA"),$Y246,IF(OR(ISNUMBER($X246),$X246="DNA"),$X246,IF(OR(ISNUMBER($W246),$W246="DNA"),$W246,IF(OR(ISNUMBER($V246),$V246="DNA"),$V246,IF(OR(ISNUMBER($U246),$U246="DNA"),$U246,IF(OR(ISNUMBER($T246),$T246="DNA"),$T246,IF(OR(ISNUMBER($S246),$S246="DNA"),$S246,IF(OR(ISNUMBER($P246),$P246="DNA"),$P246,IF(OR(ISNUMBER($O246),$O246="DNA"),$O246,IF(OR(ISNUMBER($N246),$N246="DNA"),$N246,""))))))))))="DNA","Rebook DNA",IF(ISNUMBER(IF(OR(ISNUMBER($Y246),$Y246="DNA"),$Y246,IF(OR(ISNUMBER($X246),$X246="DNA"),$X246,IF(OR(ISNUMBER($W246),$W246="DNA"),$W246,IF(OR(ISNUMBER($V246),$V246="DNA"),$V246,IF(OR(ISNUMBER($U246),$U246="DNA"),$U246,IF(OR(ISNUMBER($T246),$T246="DNA"),$T246,IF(OR(ISNUMBER($S246),$S246="DNA"),$S246,IF(OR(ISNUMBER($P246),$P246="DNA"),$P246,IF(OR(ISNUMBER($O246),$O246="DNA"),$O246,IF(OR(ISNUMBER($N246),$N246="DNA"),$N246,""))))))))))),IF(ISNUMBER($Y246),"Update status","Missed/not booked?"),""))))</f>
        <v/>
      </c>
      <c r="M246" s="29">
        <f>IF(NOT(AND($A246&lt;&gt;"",OR($I246="",$I246="Active"))),"",IF(MIN(IF(AND(ISNUMBER($N246),$N246&gt;=TODAY()),$N246,99999),IF(AND(ISNUMBER($O246),$O246&gt;=TODAY()),$O246,99999),IF(AND(ISNUMBER($P246),$P246&gt;=TODAY()),$P246,99999),IF(AND(ISNUMBER($S246),$S246&gt;=TODAY()),$S246,99999),IF(AND(ISNUMBER($T246),$T246&gt;=TODAY()),$T246,99999),IF(AND(ISNUMBER($U246),$U246&gt;=TODAY()),$U246,99999),IF(AND(ISNUMBER($V246),$V246&gt;=TODAY()),$V246,99999),IF(AND(ISNUMBER($W246),$W246&gt;=TODAY()),$W246,99999),IF(AND(ISNUMBER($X246),$X246&gt;=TODAY()),$X246,99999),IF(AND(ISNUMBER($Y246),$Y246&gt;=TODAY()),$Y246,99999))=99999,"",MIN(IF(AND(ISNUMBER($N246),$N246&gt;=TODAY()),$N246,99999),IF(AND(ISNUMBER($O246),$O246&gt;=TODAY()),$O246,99999),IF(AND(ISNUMBER($P246),$P246&gt;=TODAY()),$P246,99999),IF(AND(ISNUMBER($S246),$S246&gt;=TODAY()),$S246,99999),IF(AND(ISNUMBER($T246),$T246&gt;=TODAY()),$T246,99999),IF(AND(ISNUMBER($U246),$U246&gt;=TODAY()),$U246,99999),IF(AND(ISNUMBER($V246),$V246&gt;=TODAY()),$V246,99999),IF(AND(ISNUMBER($W246),$W246&gt;=TODAY()),$W246,99999),IF(AND(ISNUMBER($X246),$X246&gt;=TODAY()),$X246,99999),IF(AND(ISNUMBER($Y246),$Y246&gt;=TODAY()),$Y246,99999))))</f>
        <v/>
      </c>
      <c r="N246" s="27" t="n"/>
      <c r="O246" s="27" t="n"/>
      <c r="P246" s="27" t="n"/>
      <c r="Q246" s="27" t="n"/>
      <c r="R246" s="27" t="n"/>
      <c r="S246" s="27" t="n"/>
      <c r="T246" s="27" t="n"/>
      <c r="U246" s="27" t="n"/>
      <c r="V246" s="27" t="n"/>
      <c r="W246" s="27" t="n"/>
      <c r="X246" s="27" t="n"/>
      <c r="Y246" s="27" t="n"/>
      <c r="Z246" s="27" t="n"/>
      <c r="AA246" s="27" t="n"/>
      <c r="AB246" s="27" t="n"/>
      <c r="AC246" s="30" t="n"/>
      <c r="AD246" s="25" t="n"/>
      <c r="AE246" s="28">
        <f>IF(NOT(AND($A246&lt;&gt;"",OR($I246="",$I246="Active"))),"",IF(OR(IF(OR(ISNUMBER($Y246),$Y246="DNA"),$Y246,IF(OR(ISNUMBER($X246),$X246="DNA"),$X246,IF(OR(ISNUMBER($W246),$W246="DNA"),$W246,IF(OR(ISNUMBER($V246),$V246="DNA"),$V246,IF(OR(ISNUMBER($U246),$U246="DNA"),$U246,IF(OR(ISNUMBER($T246),$T246="DNA"),$T246,IF(OR(ISNUMBER($S246),$S246="DNA"),$S246,IF(OR(ISNUMBER($P246),$P246="DNA"),$P246,IF(OR(ISNUMBER($O246),$O246="DNA"),$O246,IF(OR(ISNUMBER($N246),$N246="DNA"),$N246,""))))))))))="DNA",AND(ISNUMBER(IF(OR(ISNUMBER($Y246),$Y246="DNA"),$Y246,IF(OR(ISNUMBER($X246),$X246="DNA"),$X246,IF(OR(ISNUMBER($W246),$W246="DNA"),$W246,IF(OR(ISNUMBER($V246),$V246="DNA"),$V246,IF(OR(ISNUMBER($U246),$U246="DNA"),$U246,IF(OR(ISNUMBER($T246),$T246="DNA"),$T246,IF(OR(ISNUMBER($S246),$S246="DNA"),$S246,IF(OR(ISNUMBER($P246),$P246="DNA"),$P246,IF(OR(ISNUMBER($O246),$O246="DNA"),$O246,IF(OR(ISNUMBER($N246),$N246="DNA"),$N246,""))))))))))),IF(OR(ISNUMBER($Y246),$Y246="DNA"),$Y246,IF(OR(ISNUMBER($X246),$X246="DNA"),$X246,IF(OR(ISNUMBER($W246),$W246="DNA"),$W246,IF(OR(ISNUMBER($V246),$V246="DNA"),$V246,IF(OR(ISNUMBER($U246),$U246="DNA"),$U246,IF(OR(ISNUMBER($T246),$T246="DNA"),$T246,IF(OR(ISNUMBER($S246),$S246="DNA"),$S246,IF(OR(ISNUMBER($P246),$P246="DNA"),$P246,IF(OR(ISNUMBER($O246),$O246="DNA"),$O246,IF(OR(ISNUMBER($N246),$N246="DNA"),$N246,""))))))))))&lt;TODAY())),1,0)+ISNUMBER($Q246)*($Q246&lt;TODAY())+ISNUMBER($R246)*($R246&lt;TODAY())+ISNUMBER($AA246)*($AA246&lt;TODAY())+ISNUMBER($AB246)*($AB246&lt;TODAY()))</f>
        <v/>
      </c>
    </row>
    <row r="247">
      <c r="A247" s="25" t="n"/>
      <c r="B247" s="26" t="n"/>
      <c r="C247" s="27" t="n"/>
      <c r="D247" s="25" t="n"/>
      <c r="E247" s="25" t="n"/>
      <c r="F247" s="25" t="n"/>
      <c r="G247" s="25" t="n"/>
      <c r="H247" s="27" t="n"/>
      <c r="I247" s="25" t="n"/>
      <c r="J247" s="28">
        <f>IF(OR(NOT(AND($A247&lt;&gt;"",OR($I247="",$I247="Active"))),$H247=""),"",INT((TODAY()-$H247+280)/7)&amp;"+"&amp;MOD(TODAY()-$H247+280,7))</f>
        <v/>
      </c>
      <c r="K247" s="28">
        <f>IF(NOT(AND($A247&lt;&gt;"",OR($I247="",$I247="Active"))),"",ISNUMBER($N247)*($N247&gt;=TODAY())*($N247&lt;=TODAY()+7)+ISNUMBER($O247)*($O247&gt;=TODAY())*($O247&lt;=TODAY()+7)+ISNUMBER($P247)*($P247&gt;=TODAY())*($P247&lt;=TODAY()+7)+ISNUMBER($S247)*($S247&gt;=TODAY())*($S247&lt;=TODAY()+7)+ISNUMBER($T247)*($T247&gt;=TODAY())*($T247&lt;=TODAY()+7)+ISNUMBER($U247)*($U247&gt;=TODAY())*($U247&lt;=TODAY()+7)+ISNUMBER($V247)*($V247&gt;=TODAY())*($V247&lt;=TODAY()+7)+ISNUMBER($W247)*($W247&gt;=TODAY())*($W247&lt;=TODAY()+7)+ISNUMBER($X247)*($X247&gt;=TODAY())*($X247&lt;=TODAY()+7)+ISNUMBER($Y247)*($Y247&gt;=TODAY())*($Y247&lt;=TODAY()+7)+ISNUMBER($Q247)*($Q247&gt;=TODAY())*($Q247&lt;=TODAY()+7)+ISNUMBER($R247)*($R247&gt;=TODAY())*($R247&lt;=TODAY()+7)+ISNUMBER($AA247)*($AA247&gt;=TODAY())*($AA247&lt;=TODAY()+7)+ISNUMBER($AB247)*($AB247&gt;=TODAY())*($AB247&lt;=TODAY()+7))</f>
        <v/>
      </c>
      <c r="L247" s="28">
        <f>IF(NOT(AND($A247&lt;&gt;"",OR($I247="",$I247="Active"))),"",IF($M247&lt;&gt;"",IF($N247=$M247,"Booking",IF($O247=$M247,"16/40",IF($P247=$M247,"25/40",IF($S247=$M247,"28/40",IF($T247=$M247,"31/40",IF($U247=$M247,"34/40",IF($V247=$M247,"36/40",IF($W247=$M247,"38/40",IF($X247=$M247,"40/40",IF($Y247=$M247,"41/40","")))))))))),IF(IF(OR(ISNUMBER($Y247),$Y247="DNA"),$Y247,IF(OR(ISNUMBER($X247),$X247="DNA"),$X247,IF(OR(ISNUMBER($W247),$W247="DNA"),$W247,IF(OR(ISNUMBER($V247),$V247="DNA"),$V247,IF(OR(ISNUMBER($U247),$U247="DNA"),$U247,IF(OR(ISNUMBER($T247),$T247="DNA"),$T247,IF(OR(ISNUMBER($S247),$S247="DNA"),$S247,IF(OR(ISNUMBER($P247),$P247="DNA"),$P247,IF(OR(ISNUMBER($O247),$O247="DNA"),$O247,IF(OR(ISNUMBER($N247),$N247="DNA"),$N247,""))))))))))="DNA","Rebook DNA",IF(ISNUMBER(IF(OR(ISNUMBER($Y247),$Y247="DNA"),$Y247,IF(OR(ISNUMBER($X247),$X247="DNA"),$X247,IF(OR(ISNUMBER($W247),$W247="DNA"),$W247,IF(OR(ISNUMBER($V247),$V247="DNA"),$V247,IF(OR(ISNUMBER($U247),$U247="DNA"),$U247,IF(OR(ISNUMBER($T247),$T247="DNA"),$T247,IF(OR(ISNUMBER($S247),$S247="DNA"),$S247,IF(OR(ISNUMBER($P247),$P247="DNA"),$P247,IF(OR(ISNUMBER($O247),$O247="DNA"),$O247,IF(OR(ISNUMBER($N247),$N247="DNA"),$N247,""))))))))))),IF(ISNUMBER($Y247),"Update status","Missed/not booked?"),""))))</f>
        <v/>
      </c>
      <c r="M247" s="29">
        <f>IF(NOT(AND($A247&lt;&gt;"",OR($I247="",$I247="Active"))),"",IF(MIN(IF(AND(ISNUMBER($N247),$N247&gt;=TODAY()),$N247,99999),IF(AND(ISNUMBER($O247),$O247&gt;=TODAY()),$O247,99999),IF(AND(ISNUMBER($P247),$P247&gt;=TODAY()),$P247,99999),IF(AND(ISNUMBER($S247),$S247&gt;=TODAY()),$S247,99999),IF(AND(ISNUMBER($T247),$T247&gt;=TODAY()),$T247,99999),IF(AND(ISNUMBER($U247),$U247&gt;=TODAY()),$U247,99999),IF(AND(ISNUMBER($V247),$V247&gt;=TODAY()),$V247,99999),IF(AND(ISNUMBER($W247),$W247&gt;=TODAY()),$W247,99999),IF(AND(ISNUMBER($X247),$X247&gt;=TODAY()),$X247,99999),IF(AND(ISNUMBER($Y247),$Y247&gt;=TODAY()),$Y247,99999))=99999,"",MIN(IF(AND(ISNUMBER($N247),$N247&gt;=TODAY()),$N247,99999),IF(AND(ISNUMBER($O247),$O247&gt;=TODAY()),$O247,99999),IF(AND(ISNUMBER($P247),$P247&gt;=TODAY()),$P247,99999),IF(AND(ISNUMBER($S247),$S247&gt;=TODAY()),$S247,99999),IF(AND(ISNUMBER($T247),$T247&gt;=TODAY()),$T247,99999),IF(AND(ISNUMBER($U247),$U247&gt;=TODAY()),$U247,99999),IF(AND(ISNUMBER($V247),$V247&gt;=TODAY()),$V247,99999),IF(AND(ISNUMBER($W247),$W247&gt;=TODAY()),$W247,99999),IF(AND(ISNUMBER($X247),$X247&gt;=TODAY()),$X247,99999),IF(AND(ISNUMBER($Y247),$Y247&gt;=TODAY()),$Y247,99999))))</f>
        <v/>
      </c>
      <c r="N247" s="27" t="n"/>
      <c r="O247" s="27" t="n"/>
      <c r="P247" s="27" t="n"/>
      <c r="Q247" s="27" t="n"/>
      <c r="R247" s="27" t="n"/>
      <c r="S247" s="27" t="n"/>
      <c r="T247" s="27" t="n"/>
      <c r="U247" s="27" t="n"/>
      <c r="V247" s="27" t="n"/>
      <c r="W247" s="27" t="n"/>
      <c r="X247" s="27" t="n"/>
      <c r="Y247" s="27" t="n"/>
      <c r="Z247" s="27" t="n"/>
      <c r="AA247" s="27" t="n"/>
      <c r="AB247" s="27" t="n"/>
      <c r="AC247" s="30" t="n"/>
      <c r="AD247" s="25" t="n"/>
      <c r="AE247" s="28">
        <f>IF(NOT(AND($A247&lt;&gt;"",OR($I247="",$I247="Active"))),"",IF(OR(IF(OR(ISNUMBER($Y247),$Y247="DNA"),$Y247,IF(OR(ISNUMBER($X247),$X247="DNA"),$X247,IF(OR(ISNUMBER($W247),$W247="DNA"),$W247,IF(OR(ISNUMBER($V247),$V247="DNA"),$V247,IF(OR(ISNUMBER($U247),$U247="DNA"),$U247,IF(OR(ISNUMBER($T247),$T247="DNA"),$T247,IF(OR(ISNUMBER($S247),$S247="DNA"),$S247,IF(OR(ISNUMBER($P247),$P247="DNA"),$P247,IF(OR(ISNUMBER($O247),$O247="DNA"),$O247,IF(OR(ISNUMBER($N247),$N247="DNA"),$N247,""))))))))))="DNA",AND(ISNUMBER(IF(OR(ISNUMBER($Y247),$Y247="DNA"),$Y247,IF(OR(ISNUMBER($X247),$X247="DNA"),$X247,IF(OR(ISNUMBER($W247),$W247="DNA"),$W247,IF(OR(ISNUMBER($V247),$V247="DNA"),$V247,IF(OR(ISNUMBER($U247),$U247="DNA"),$U247,IF(OR(ISNUMBER($T247),$T247="DNA"),$T247,IF(OR(ISNUMBER($S247),$S247="DNA"),$S247,IF(OR(ISNUMBER($P247),$P247="DNA"),$P247,IF(OR(ISNUMBER($O247),$O247="DNA"),$O247,IF(OR(ISNUMBER($N247),$N247="DNA"),$N247,""))))))))))),IF(OR(ISNUMBER($Y247),$Y247="DNA"),$Y247,IF(OR(ISNUMBER($X247),$X247="DNA"),$X247,IF(OR(ISNUMBER($W247),$W247="DNA"),$W247,IF(OR(ISNUMBER($V247),$V247="DNA"),$V247,IF(OR(ISNUMBER($U247),$U247="DNA"),$U247,IF(OR(ISNUMBER($T247),$T247="DNA"),$T247,IF(OR(ISNUMBER($S247),$S247="DNA"),$S247,IF(OR(ISNUMBER($P247),$P247="DNA"),$P247,IF(OR(ISNUMBER($O247),$O247="DNA"),$O247,IF(OR(ISNUMBER($N247),$N247="DNA"),$N247,""))))))))))&lt;TODAY())),1,0)+ISNUMBER($Q247)*($Q247&lt;TODAY())+ISNUMBER($R247)*($R247&lt;TODAY())+ISNUMBER($AA247)*($AA247&lt;TODAY())+ISNUMBER($AB247)*($AB247&lt;TODAY()))</f>
        <v/>
      </c>
    </row>
    <row r="248">
      <c r="A248" s="25" t="n"/>
      <c r="B248" s="26" t="n"/>
      <c r="C248" s="27" t="n"/>
      <c r="D248" s="25" t="n"/>
      <c r="E248" s="25" t="n"/>
      <c r="F248" s="25" t="n"/>
      <c r="G248" s="25" t="n"/>
      <c r="H248" s="27" t="n"/>
      <c r="I248" s="25" t="n"/>
      <c r="J248" s="28">
        <f>IF(OR(NOT(AND($A248&lt;&gt;"",OR($I248="",$I248="Active"))),$H248=""),"",INT((TODAY()-$H248+280)/7)&amp;"+"&amp;MOD(TODAY()-$H248+280,7))</f>
        <v/>
      </c>
      <c r="K248" s="28">
        <f>IF(NOT(AND($A248&lt;&gt;"",OR($I248="",$I248="Active"))),"",ISNUMBER($N248)*($N248&gt;=TODAY())*($N248&lt;=TODAY()+7)+ISNUMBER($O248)*($O248&gt;=TODAY())*($O248&lt;=TODAY()+7)+ISNUMBER($P248)*($P248&gt;=TODAY())*($P248&lt;=TODAY()+7)+ISNUMBER($S248)*($S248&gt;=TODAY())*($S248&lt;=TODAY()+7)+ISNUMBER($T248)*($T248&gt;=TODAY())*($T248&lt;=TODAY()+7)+ISNUMBER($U248)*($U248&gt;=TODAY())*($U248&lt;=TODAY()+7)+ISNUMBER($V248)*($V248&gt;=TODAY())*($V248&lt;=TODAY()+7)+ISNUMBER($W248)*($W248&gt;=TODAY())*($W248&lt;=TODAY()+7)+ISNUMBER($X248)*($X248&gt;=TODAY())*($X248&lt;=TODAY()+7)+ISNUMBER($Y248)*($Y248&gt;=TODAY())*($Y248&lt;=TODAY()+7)+ISNUMBER($Q248)*($Q248&gt;=TODAY())*($Q248&lt;=TODAY()+7)+ISNUMBER($R248)*($R248&gt;=TODAY())*($R248&lt;=TODAY()+7)+ISNUMBER($AA248)*($AA248&gt;=TODAY())*($AA248&lt;=TODAY()+7)+ISNUMBER($AB248)*($AB248&gt;=TODAY())*($AB248&lt;=TODAY()+7))</f>
        <v/>
      </c>
      <c r="L248" s="28">
        <f>IF(NOT(AND($A248&lt;&gt;"",OR($I248="",$I248="Active"))),"",IF($M248&lt;&gt;"",IF($N248=$M248,"Booking",IF($O248=$M248,"16/40",IF($P248=$M248,"25/40",IF($S248=$M248,"28/40",IF($T248=$M248,"31/40",IF($U248=$M248,"34/40",IF($V248=$M248,"36/40",IF($W248=$M248,"38/40",IF($X248=$M248,"40/40",IF($Y248=$M248,"41/40","")))))))))),IF(IF(OR(ISNUMBER($Y248),$Y248="DNA"),$Y248,IF(OR(ISNUMBER($X248),$X248="DNA"),$X248,IF(OR(ISNUMBER($W248),$W248="DNA"),$W248,IF(OR(ISNUMBER($V248),$V248="DNA"),$V248,IF(OR(ISNUMBER($U248),$U248="DNA"),$U248,IF(OR(ISNUMBER($T248),$T248="DNA"),$T248,IF(OR(ISNUMBER($S248),$S248="DNA"),$S248,IF(OR(ISNUMBER($P248),$P248="DNA"),$P248,IF(OR(ISNUMBER($O248),$O248="DNA"),$O248,IF(OR(ISNUMBER($N248),$N248="DNA"),$N248,""))))))))))="DNA","Rebook DNA",IF(ISNUMBER(IF(OR(ISNUMBER($Y248),$Y248="DNA"),$Y248,IF(OR(ISNUMBER($X248),$X248="DNA"),$X248,IF(OR(ISNUMBER($W248),$W248="DNA"),$W248,IF(OR(ISNUMBER($V248),$V248="DNA"),$V248,IF(OR(ISNUMBER($U248),$U248="DNA"),$U248,IF(OR(ISNUMBER($T248),$T248="DNA"),$T248,IF(OR(ISNUMBER($S248),$S248="DNA"),$S248,IF(OR(ISNUMBER($P248),$P248="DNA"),$P248,IF(OR(ISNUMBER($O248),$O248="DNA"),$O248,IF(OR(ISNUMBER($N248),$N248="DNA"),$N248,""))))))))))),IF(ISNUMBER($Y248),"Update status","Missed/not booked?"),""))))</f>
        <v/>
      </c>
      <c r="M248" s="29">
        <f>IF(NOT(AND($A248&lt;&gt;"",OR($I248="",$I248="Active"))),"",IF(MIN(IF(AND(ISNUMBER($N248),$N248&gt;=TODAY()),$N248,99999),IF(AND(ISNUMBER($O248),$O248&gt;=TODAY()),$O248,99999),IF(AND(ISNUMBER($P248),$P248&gt;=TODAY()),$P248,99999),IF(AND(ISNUMBER($S248),$S248&gt;=TODAY()),$S248,99999),IF(AND(ISNUMBER($T248),$T248&gt;=TODAY()),$T248,99999),IF(AND(ISNUMBER($U248),$U248&gt;=TODAY()),$U248,99999),IF(AND(ISNUMBER($V248),$V248&gt;=TODAY()),$V248,99999),IF(AND(ISNUMBER($W248),$W248&gt;=TODAY()),$W248,99999),IF(AND(ISNUMBER($X248),$X248&gt;=TODAY()),$X248,99999),IF(AND(ISNUMBER($Y248),$Y248&gt;=TODAY()),$Y248,99999))=99999,"",MIN(IF(AND(ISNUMBER($N248),$N248&gt;=TODAY()),$N248,99999),IF(AND(ISNUMBER($O248),$O248&gt;=TODAY()),$O248,99999),IF(AND(ISNUMBER($P248),$P248&gt;=TODAY()),$P248,99999),IF(AND(ISNUMBER($S248),$S248&gt;=TODAY()),$S248,99999),IF(AND(ISNUMBER($T248),$T248&gt;=TODAY()),$T248,99999),IF(AND(ISNUMBER($U248),$U248&gt;=TODAY()),$U248,99999),IF(AND(ISNUMBER($V248),$V248&gt;=TODAY()),$V248,99999),IF(AND(ISNUMBER($W248),$W248&gt;=TODAY()),$W248,99999),IF(AND(ISNUMBER($X248),$X248&gt;=TODAY()),$X248,99999),IF(AND(ISNUMBER($Y248),$Y248&gt;=TODAY()),$Y248,99999))))</f>
        <v/>
      </c>
      <c r="N248" s="27" t="n"/>
      <c r="O248" s="27" t="n"/>
      <c r="P248" s="27" t="n"/>
      <c r="Q248" s="27" t="n"/>
      <c r="R248" s="27" t="n"/>
      <c r="S248" s="27" t="n"/>
      <c r="T248" s="27" t="n"/>
      <c r="U248" s="27" t="n"/>
      <c r="V248" s="27" t="n"/>
      <c r="W248" s="27" t="n"/>
      <c r="X248" s="27" t="n"/>
      <c r="Y248" s="27" t="n"/>
      <c r="Z248" s="27" t="n"/>
      <c r="AA248" s="27" t="n"/>
      <c r="AB248" s="27" t="n"/>
      <c r="AC248" s="30" t="n"/>
      <c r="AD248" s="25" t="n"/>
      <c r="AE248" s="28">
        <f>IF(NOT(AND($A248&lt;&gt;"",OR($I248="",$I248="Active"))),"",IF(OR(IF(OR(ISNUMBER($Y248),$Y248="DNA"),$Y248,IF(OR(ISNUMBER($X248),$X248="DNA"),$X248,IF(OR(ISNUMBER($W248),$W248="DNA"),$W248,IF(OR(ISNUMBER($V248),$V248="DNA"),$V248,IF(OR(ISNUMBER($U248),$U248="DNA"),$U248,IF(OR(ISNUMBER($T248),$T248="DNA"),$T248,IF(OR(ISNUMBER($S248),$S248="DNA"),$S248,IF(OR(ISNUMBER($P248),$P248="DNA"),$P248,IF(OR(ISNUMBER($O248),$O248="DNA"),$O248,IF(OR(ISNUMBER($N248),$N248="DNA"),$N248,""))))))))))="DNA",AND(ISNUMBER(IF(OR(ISNUMBER($Y248),$Y248="DNA"),$Y248,IF(OR(ISNUMBER($X248),$X248="DNA"),$X248,IF(OR(ISNUMBER($W248),$W248="DNA"),$W248,IF(OR(ISNUMBER($V248),$V248="DNA"),$V248,IF(OR(ISNUMBER($U248),$U248="DNA"),$U248,IF(OR(ISNUMBER($T248),$T248="DNA"),$T248,IF(OR(ISNUMBER($S248),$S248="DNA"),$S248,IF(OR(ISNUMBER($P248),$P248="DNA"),$P248,IF(OR(ISNUMBER($O248),$O248="DNA"),$O248,IF(OR(ISNUMBER($N248),$N248="DNA"),$N248,""))))))))))),IF(OR(ISNUMBER($Y248),$Y248="DNA"),$Y248,IF(OR(ISNUMBER($X248),$X248="DNA"),$X248,IF(OR(ISNUMBER($W248),$W248="DNA"),$W248,IF(OR(ISNUMBER($V248),$V248="DNA"),$V248,IF(OR(ISNUMBER($U248),$U248="DNA"),$U248,IF(OR(ISNUMBER($T248),$T248="DNA"),$T248,IF(OR(ISNUMBER($S248),$S248="DNA"),$S248,IF(OR(ISNUMBER($P248),$P248="DNA"),$P248,IF(OR(ISNUMBER($O248),$O248="DNA"),$O248,IF(OR(ISNUMBER($N248),$N248="DNA"),$N248,""))))))))))&lt;TODAY())),1,0)+ISNUMBER($Q248)*($Q248&lt;TODAY())+ISNUMBER($R248)*($R248&lt;TODAY())+ISNUMBER($AA248)*($AA248&lt;TODAY())+ISNUMBER($AB248)*($AB248&lt;TODAY()))</f>
        <v/>
      </c>
    </row>
    <row r="249">
      <c r="A249" s="25" t="n"/>
      <c r="B249" s="26" t="n"/>
      <c r="C249" s="27" t="n"/>
      <c r="D249" s="25" t="n"/>
      <c r="E249" s="25" t="n"/>
      <c r="F249" s="25" t="n"/>
      <c r="G249" s="25" t="n"/>
      <c r="H249" s="27" t="n"/>
      <c r="I249" s="25" t="n"/>
      <c r="J249" s="28">
        <f>IF(OR(NOT(AND($A249&lt;&gt;"",OR($I249="",$I249="Active"))),$H249=""),"",INT((TODAY()-$H249+280)/7)&amp;"+"&amp;MOD(TODAY()-$H249+280,7))</f>
        <v/>
      </c>
      <c r="K249" s="28">
        <f>IF(NOT(AND($A249&lt;&gt;"",OR($I249="",$I249="Active"))),"",ISNUMBER($N249)*($N249&gt;=TODAY())*($N249&lt;=TODAY()+7)+ISNUMBER($O249)*($O249&gt;=TODAY())*($O249&lt;=TODAY()+7)+ISNUMBER($P249)*($P249&gt;=TODAY())*($P249&lt;=TODAY()+7)+ISNUMBER($S249)*($S249&gt;=TODAY())*($S249&lt;=TODAY()+7)+ISNUMBER($T249)*($T249&gt;=TODAY())*($T249&lt;=TODAY()+7)+ISNUMBER($U249)*($U249&gt;=TODAY())*($U249&lt;=TODAY()+7)+ISNUMBER($V249)*($V249&gt;=TODAY())*($V249&lt;=TODAY()+7)+ISNUMBER($W249)*($W249&gt;=TODAY())*($W249&lt;=TODAY()+7)+ISNUMBER($X249)*($X249&gt;=TODAY())*($X249&lt;=TODAY()+7)+ISNUMBER($Y249)*($Y249&gt;=TODAY())*($Y249&lt;=TODAY()+7)+ISNUMBER($Q249)*($Q249&gt;=TODAY())*($Q249&lt;=TODAY()+7)+ISNUMBER($R249)*($R249&gt;=TODAY())*($R249&lt;=TODAY()+7)+ISNUMBER($AA249)*($AA249&gt;=TODAY())*($AA249&lt;=TODAY()+7)+ISNUMBER($AB249)*($AB249&gt;=TODAY())*($AB249&lt;=TODAY()+7))</f>
        <v/>
      </c>
      <c r="L249" s="28">
        <f>IF(NOT(AND($A249&lt;&gt;"",OR($I249="",$I249="Active"))),"",IF($M249&lt;&gt;"",IF($N249=$M249,"Booking",IF($O249=$M249,"16/40",IF($P249=$M249,"25/40",IF($S249=$M249,"28/40",IF($T249=$M249,"31/40",IF($U249=$M249,"34/40",IF($V249=$M249,"36/40",IF($W249=$M249,"38/40",IF($X249=$M249,"40/40",IF($Y249=$M249,"41/40","")))))))))),IF(IF(OR(ISNUMBER($Y249),$Y249="DNA"),$Y249,IF(OR(ISNUMBER($X249),$X249="DNA"),$X249,IF(OR(ISNUMBER($W249),$W249="DNA"),$W249,IF(OR(ISNUMBER($V249),$V249="DNA"),$V249,IF(OR(ISNUMBER($U249),$U249="DNA"),$U249,IF(OR(ISNUMBER($T249),$T249="DNA"),$T249,IF(OR(ISNUMBER($S249),$S249="DNA"),$S249,IF(OR(ISNUMBER($P249),$P249="DNA"),$P249,IF(OR(ISNUMBER($O249),$O249="DNA"),$O249,IF(OR(ISNUMBER($N249),$N249="DNA"),$N249,""))))))))))="DNA","Rebook DNA",IF(ISNUMBER(IF(OR(ISNUMBER($Y249),$Y249="DNA"),$Y249,IF(OR(ISNUMBER($X249),$X249="DNA"),$X249,IF(OR(ISNUMBER($W249),$W249="DNA"),$W249,IF(OR(ISNUMBER($V249),$V249="DNA"),$V249,IF(OR(ISNUMBER($U249),$U249="DNA"),$U249,IF(OR(ISNUMBER($T249),$T249="DNA"),$T249,IF(OR(ISNUMBER($S249),$S249="DNA"),$S249,IF(OR(ISNUMBER($P249),$P249="DNA"),$P249,IF(OR(ISNUMBER($O249),$O249="DNA"),$O249,IF(OR(ISNUMBER($N249),$N249="DNA"),$N249,""))))))))))),IF(ISNUMBER($Y249),"Update status","Missed/not booked?"),""))))</f>
        <v/>
      </c>
      <c r="M249" s="29">
        <f>IF(NOT(AND($A249&lt;&gt;"",OR($I249="",$I249="Active"))),"",IF(MIN(IF(AND(ISNUMBER($N249),$N249&gt;=TODAY()),$N249,99999),IF(AND(ISNUMBER($O249),$O249&gt;=TODAY()),$O249,99999),IF(AND(ISNUMBER($P249),$P249&gt;=TODAY()),$P249,99999),IF(AND(ISNUMBER($S249),$S249&gt;=TODAY()),$S249,99999),IF(AND(ISNUMBER($T249),$T249&gt;=TODAY()),$T249,99999),IF(AND(ISNUMBER($U249),$U249&gt;=TODAY()),$U249,99999),IF(AND(ISNUMBER($V249),$V249&gt;=TODAY()),$V249,99999),IF(AND(ISNUMBER($W249),$W249&gt;=TODAY()),$W249,99999),IF(AND(ISNUMBER($X249),$X249&gt;=TODAY()),$X249,99999),IF(AND(ISNUMBER($Y249),$Y249&gt;=TODAY()),$Y249,99999))=99999,"",MIN(IF(AND(ISNUMBER($N249),$N249&gt;=TODAY()),$N249,99999),IF(AND(ISNUMBER($O249),$O249&gt;=TODAY()),$O249,99999),IF(AND(ISNUMBER($P249),$P249&gt;=TODAY()),$P249,99999),IF(AND(ISNUMBER($S249),$S249&gt;=TODAY()),$S249,99999),IF(AND(ISNUMBER($T249),$T249&gt;=TODAY()),$T249,99999),IF(AND(ISNUMBER($U249),$U249&gt;=TODAY()),$U249,99999),IF(AND(ISNUMBER($V249),$V249&gt;=TODAY()),$V249,99999),IF(AND(ISNUMBER($W249),$W249&gt;=TODAY()),$W249,99999),IF(AND(ISNUMBER($X249),$X249&gt;=TODAY()),$X249,99999),IF(AND(ISNUMBER($Y249),$Y249&gt;=TODAY()),$Y249,99999))))</f>
        <v/>
      </c>
      <c r="N249" s="27" t="n"/>
      <c r="O249" s="27" t="n"/>
      <c r="P249" s="27" t="n"/>
      <c r="Q249" s="27" t="n"/>
      <c r="R249" s="27" t="n"/>
      <c r="S249" s="27" t="n"/>
      <c r="T249" s="27" t="n"/>
      <c r="U249" s="27" t="n"/>
      <c r="V249" s="27" t="n"/>
      <c r="W249" s="27" t="n"/>
      <c r="X249" s="27" t="n"/>
      <c r="Y249" s="27" t="n"/>
      <c r="Z249" s="27" t="n"/>
      <c r="AA249" s="27" t="n"/>
      <c r="AB249" s="27" t="n"/>
      <c r="AC249" s="30" t="n"/>
      <c r="AD249" s="25" t="n"/>
      <c r="AE249" s="28">
        <f>IF(NOT(AND($A249&lt;&gt;"",OR($I249="",$I249="Active"))),"",IF(OR(IF(OR(ISNUMBER($Y249),$Y249="DNA"),$Y249,IF(OR(ISNUMBER($X249),$X249="DNA"),$X249,IF(OR(ISNUMBER($W249),$W249="DNA"),$W249,IF(OR(ISNUMBER($V249),$V249="DNA"),$V249,IF(OR(ISNUMBER($U249),$U249="DNA"),$U249,IF(OR(ISNUMBER($T249),$T249="DNA"),$T249,IF(OR(ISNUMBER($S249),$S249="DNA"),$S249,IF(OR(ISNUMBER($P249),$P249="DNA"),$P249,IF(OR(ISNUMBER($O249),$O249="DNA"),$O249,IF(OR(ISNUMBER($N249),$N249="DNA"),$N249,""))))))))))="DNA",AND(ISNUMBER(IF(OR(ISNUMBER($Y249),$Y249="DNA"),$Y249,IF(OR(ISNUMBER($X249),$X249="DNA"),$X249,IF(OR(ISNUMBER($W249),$W249="DNA"),$W249,IF(OR(ISNUMBER($V249),$V249="DNA"),$V249,IF(OR(ISNUMBER($U249),$U249="DNA"),$U249,IF(OR(ISNUMBER($T249),$T249="DNA"),$T249,IF(OR(ISNUMBER($S249),$S249="DNA"),$S249,IF(OR(ISNUMBER($P249),$P249="DNA"),$P249,IF(OR(ISNUMBER($O249),$O249="DNA"),$O249,IF(OR(ISNUMBER($N249),$N249="DNA"),$N249,""))))))))))),IF(OR(ISNUMBER($Y249),$Y249="DNA"),$Y249,IF(OR(ISNUMBER($X249),$X249="DNA"),$X249,IF(OR(ISNUMBER($W249),$W249="DNA"),$W249,IF(OR(ISNUMBER($V249),$V249="DNA"),$V249,IF(OR(ISNUMBER($U249),$U249="DNA"),$U249,IF(OR(ISNUMBER($T249),$T249="DNA"),$T249,IF(OR(ISNUMBER($S249),$S249="DNA"),$S249,IF(OR(ISNUMBER($P249),$P249="DNA"),$P249,IF(OR(ISNUMBER($O249),$O249="DNA"),$O249,IF(OR(ISNUMBER($N249),$N249="DNA"),$N249,""))))))))))&lt;TODAY())),1,0)+ISNUMBER($Q249)*($Q249&lt;TODAY())+ISNUMBER($R249)*($R249&lt;TODAY())+ISNUMBER($AA249)*($AA249&lt;TODAY())+ISNUMBER($AB249)*($AB249&lt;TODAY()))</f>
        <v/>
      </c>
    </row>
    <row r="250">
      <c r="A250" s="25" t="n"/>
      <c r="B250" s="26" t="n"/>
      <c r="C250" s="27" t="n"/>
      <c r="D250" s="25" t="n"/>
      <c r="E250" s="25" t="n"/>
      <c r="F250" s="25" t="n"/>
      <c r="G250" s="25" t="n"/>
      <c r="H250" s="27" t="n"/>
      <c r="I250" s="25" t="n"/>
      <c r="J250" s="28">
        <f>IF(OR(NOT(AND($A250&lt;&gt;"",OR($I250="",$I250="Active"))),$H250=""),"",INT((TODAY()-$H250+280)/7)&amp;"+"&amp;MOD(TODAY()-$H250+280,7))</f>
        <v/>
      </c>
      <c r="K250" s="28">
        <f>IF(NOT(AND($A250&lt;&gt;"",OR($I250="",$I250="Active"))),"",ISNUMBER($N250)*($N250&gt;=TODAY())*($N250&lt;=TODAY()+7)+ISNUMBER($O250)*($O250&gt;=TODAY())*($O250&lt;=TODAY()+7)+ISNUMBER($P250)*($P250&gt;=TODAY())*($P250&lt;=TODAY()+7)+ISNUMBER($S250)*($S250&gt;=TODAY())*($S250&lt;=TODAY()+7)+ISNUMBER($T250)*($T250&gt;=TODAY())*($T250&lt;=TODAY()+7)+ISNUMBER($U250)*($U250&gt;=TODAY())*($U250&lt;=TODAY()+7)+ISNUMBER($V250)*($V250&gt;=TODAY())*($V250&lt;=TODAY()+7)+ISNUMBER($W250)*($W250&gt;=TODAY())*($W250&lt;=TODAY()+7)+ISNUMBER($X250)*($X250&gt;=TODAY())*($X250&lt;=TODAY()+7)+ISNUMBER($Y250)*($Y250&gt;=TODAY())*($Y250&lt;=TODAY()+7)+ISNUMBER($Q250)*($Q250&gt;=TODAY())*($Q250&lt;=TODAY()+7)+ISNUMBER($R250)*($R250&gt;=TODAY())*($R250&lt;=TODAY()+7)+ISNUMBER($AA250)*($AA250&gt;=TODAY())*($AA250&lt;=TODAY()+7)+ISNUMBER($AB250)*($AB250&gt;=TODAY())*($AB250&lt;=TODAY()+7))</f>
        <v/>
      </c>
      <c r="L250" s="28">
        <f>IF(NOT(AND($A250&lt;&gt;"",OR($I250="",$I250="Active"))),"",IF($M250&lt;&gt;"",IF($N250=$M250,"Booking",IF($O250=$M250,"16/40",IF($P250=$M250,"25/40",IF($S250=$M250,"28/40",IF($T250=$M250,"31/40",IF($U250=$M250,"34/40",IF($V250=$M250,"36/40",IF($W250=$M250,"38/40",IF($X250=$M250,"40/40",IF($Y250=$M250,"41/40","")))))))))),IF(IF(OR(ISNUMBER($Y250),$Y250="DNA"),$Y250,IF(OR(ISNUMBER($X250),$X250="DNA"),$X250,IF(OR(ISNUMBER($W250),$W250="DNA"),$W250,IF(OR(ISNUMBER($V250),$V250="DNA"),$V250,IF(OR(ISNUMBER($U250),$U250="DNA"),$U250,IF(OR(ISNUMBER($T250),$T250="DNA"),$T250,IF(OR(ISNUMBER($S250),$S250="DNA"),$S250,IF(OR(ISNUMBER($P250),$P250="DNA"),$P250,IF(OR(ISNUMBER($O250),$O250="DNA"),$O250,IF(OR(ISNUMBER($N250),$N250="DNA"),$N250,""))))))))))="DNA","Rebook DNA",IF(ISNUMBER(IF(OR(ISNUMBER($Y250),$Y250="DNA"),$Y250,IF(OR(ISNUMBER($X250),$X250="DNA"),$X250,IF(OR(ISNUMBER($W250),$W250="DNA"),$W250,IF(OR(ISNUMBER($V250),$V250="DNA"),$V250,IF(OR(ISNUMBER($U250),$U250="DNA"),$U250,IF(OR(ISNUMBER($T250),$T250="DNA"),$T250,IF(OR(ISNUMBER($S250),$S250="DNA"),$S250,IF(OR(ISNUMBER($P250),$P250="DNA"),$P250,IF(OR(ISNUMBER($O250),$O250="DNA"),$O250,IF(OR(ISNUMBER($N250),$N250="DNA"),$N250,""))))))))))),IF(ISNUMBER($Y250),"Update status","Missed/not booked?"),""))))</f>
        <v/>
      </c>
      <c r="M250" s="29">
        <f>IF(NOT(AND($A250&lt;&gt;"",OR($I250="",$I250="Active"))),"",IF(MIN(IF(AND(ISNUMBER($N250),$N250&gt;=TODAY()),$N250,99999),IF(AND(ISNUMBER($O250),$O250&gt;=TODAY()),$O250,99999),IF(AND(ISNUMBER($P250),$P250&gt;=TODAY()),$P250,99999),IF(AND(ISNUMBER($S250),$S250&gt;=TODAY()),$S250,99999),IF(AND(ISNUMBER($T250),$T250&gt;=TODAY()),$T250,99999),IF(AND(ISNUMBER($U250),$U250&gt;=TODAY()),$U250,99999),IF(AND(ISNUMBER($V250),$V250&gt;=TODAY()),$V250,99999),IF(AND(ISNUMBER($W250),$W250&gt;=TODAY()),$W250,99999),IF(AND(ISNUMBER($X250),$X250&gt;=TODAY()),$X250,99999),IF(AND(ISNUMBER($Y250),$Y250&gt;=TODAY()),$Y250,99999))=99999,"",MIN(IF(AND(ISNUMBER($N250),$N250&gt;=TODAY()),$N250,99999),IF(AND(ISNUMBER($O250),$O250&gt;=TODAY()),$O250,99999),IF(AND(ISNUMBER($P250),$P250&gt;=TODAY()),$P250,99999),IF(AND(ISNUMBER($S250),$S250&gt;=TODAY()),$S250,99999),IF(AND(ISNUMBER($T250),$T250&gt;=TODAY()),$T250,99999),IF(AND(ISNUMBER($U250),$U250&gt;=TODAY()),$U250,99999),IF(AND(ISNUMBER($V250),$V250&gt;=TODAY()),$V250,99999),IF(AND(ISNUMBER($W250),$W250&gt;=TODAY()),$W250,99999),IF(AND(ISNUMBER($X250),$X250&gt;=TODAY()),$X250,99999),IF(AND(ISNUMBER($Y250),$Y250&gt;=TODAY()),$Y250,99999))))</f>
        <v/>
      </c>
      <c r="N250" s="27" t="n"/>
      <c r="O250" s="27" t="n"/>
      <c r="P250" s="27" t="n"/>
      <c r="Q250" s="27" t="n"/>
      <c r="R250" s="27" t="n"/>
      <c r="S250" s="27" t="n"/>
      <c r="T250" s="27" t="n"/>
      <c r="U250" s="27" t="n"/>
      <c r="V250" s="27" t="n"/>
      <c r="W250" s="27" t="n"/>
      <c r="X250" s="27" t="n"/>
      <c r="Y250" s="27" t="n"/>
      <c r="Z250" s="27" t="n"/>
      <c r="AA250" s="27" t="n"/>
      <c r="AB250" s="27" t="n"/>
      <c r="AC250" s="30" t="n"/>
      <c r="AD250" s="25" t="n"/>
      <c r="AE250" s="28">
        <f>IF(NOT(AND($A250&lt;&gt;"",OR($I250="",$I250="Active"))),"",IF(OR(IF(OR(ISNUMBER($Y250),$Y250="DNA"),$Y250,IF(OR(ISNUMBER($X250),$X250="DNA"),$X250,IF(OR(ISNUMBER($W250),$W250="DNA"),$W250,IF(OR(ISNUMBER($V250),$V250="DNA"),$V250,IF(OR(ISNUMBER($U250),$U250="DNA"),$U250,IF(OR(ISNUMBER($T250),$T250="DNA"),$T250,IF(OR(ISNUMBER($S250),$S250="DNA"),$S250,IF(OR(ISNUMBER($P250),$P250="DNA"),$P250,IF(OR(ISNUMBER($O250),$O250="DNA"),$O250,IF(OR(ISNUMBER($N250),$N250="DNA"),$N250,""))))))))))="DNA",AND(ISNUMBER(IF(OR(ISNUMBER($Y250),$Y250="DNA"),$Y250,IF(OR(ISNUMBER($X250),$X250="DNA"),$X250,IF(OR(ISNUMBER($W250),$W250="DNA"),$W250,IF(OR(ISNUMBER($V250),$V250="DNA"),$V250,IF(OR(ISNUMBER($U250),$U250="DNA"),$U250,IF(OR(ISNUMBER($T250),$T250="DNA"),$T250,IF(OR(ISNUMBER($S250),$S250="DNA"),$S250,IF(OR(ISNUMBER($P250),$P250="DNA"),$P250,IF(OR(ISNUMBER($O250),$O250="DNA"),$O250,IF(OR(ISNUMBER($N250),$N250="DNA"),$N250,""))))))))))),IF(OR(ISNUMBER($Y250),$Y250="DNA"),$Y250,IF(OR(ISNUMBER($X250),$X250="DNA"),$X250,IF(OR(ISNUMBER($W250),$W250="DNA"),$W250,IF(OR(ISNUMBER($V250),$V250="DNA"),$V250,IF(OR(ISNUMBER($U250),$U250="DNA"),$U250,IF(OR(ISNUMBER($T250),$T250="DNA"),$T250,IF(OR(ISNUMBER($S250),$S250="DNA"),$S250,IF(OR(ISNUMBER($P250),$P250="DNA"),$P250,IF(OR(ISNUMBER($O250),$O250="DNA"),$O250,IF(OR(ISNUMBER($N250),$N250="DNA"),$N250,""))))))))))&lt;TODAY())),1,0)+ISNUMBER($Q250)*($Q250&lt;TODAY())+ISNUMBER($R250)*($R250&lt;TODAY())+ISNUMBER($AA250)*($AA250&lt;TODAY())+ISNUMBER($AB250)*($AB250&lt;TODAY()))</f>
        <v/>
      </c>
    </row>
    <row r="251">
      <c r="A251" s="25" t="n"/>
      <c r="B251" s="26" t="n"/>
      <c r="C251" s="27" t="n"/>
      <c r="D251" s="25" t="n"/>
      <c r="E251" s="25" t="n"/>
      <c r="F251" s="25" t="n"/>
      <c r="G251" s="25" t="n"/>
      <c r="H251" s="27" t="n"/>
      <c r="I251" s="25" t="n"/>
      <c r="J251" s="28">
        <f>IF(OR(NOT(AND($A251&lt;&gt;"",OR($I251="",$I251="Active"))),$H251=""),"",INT((TODAY()-$H251+280)/7)&amp;"+"&amp;MOD(TODAY()-$H251+280,7))</f>
        <v/>
      </c>
      <c r="K251" s="28">
        <f>IF(NOT(AND($A251&lt;&gt;"",OR($I251="",$I251="Active"))),"",ISNUMBER($N251)*($N251&gt;=TODAY())*($N251&lt;=TODAY()+7)+ISNUMBER($O251)*($O251&gt;=TODAY())*($O251&lt;=TODAY()+7)+ISNUMBER($P251)*($P251&gt;=TODAY())*($P251&lt;=TODAY()+7)+ISNUMBER($S251)*($S251&gt;=TODAY())*($S251&lt;=TODAY()+7)+ISNUMBER($T251)*($T251&gt;=TODAY())*($T251&lt;=TODAY()+7)+ISNUMBER($U251)*($U251&gt;=TODAY())*($U251&lt;=TODAY()+7)+ISNUMBER($V251)*($V251&gt;=TODAY())*($V251&lt;=TODAY()+7)+ISNUMBER($W251)*($W251&gt;=TODAY())*($W251&lt;=TODAY()+7)+ISNUMBER($X251)*($X251&gt;=TODAY())*($X251&lt;=TODAY()+7)+ISNUMBER($Y251)*($Y251&gt;=TODAY())*($Y251&lt;=TODAY()+7)+ISNUMBER($Q251)*($Q251&gt;=TODAY())*($Q251&lt;=TODAY()+7)+ISNUMBER($R251)*($R251&gt;=TODAY())*($R251&lt;=TODAY()+7)+ISNUMBER($AA251)*($AA251&gt;=TODAY())*($AA251&lt;=TODAY()+7)+ISNUMBER($AB251)*($AB251&gt;=TODAY())*($AB251&lt;=TODAY()+7))</f>
        <v/>
      </c>
      <c r="L251" s="28">
        <f>IF(NOT(AND($A251&lt;&gt;"",OR($I251="",$I251="Active"))),"",IF($M251&lt;&gt;"",IF($N251=$M251,"Booking",IF($O251=$M251,"16/40",IF($P251=$M251,"25/40",IF($S251=$M251,"28/40",IF($T251=$M251,"31/40",IF($U251=$M251,"34/40",IF($V251=$M251,"36/40",IF($W251=$M251,"38/40",IF($X251=$M251,"40/40",IF($Y251=$M251,"41/40","")))))))))),IF(IF(OR(ISNUMBER($Y251),$Y251="DNA"),$Y251,IF(OR(ISNUMBER($X251),$X251="DNA"),$X251,IF(OR(ISNUMBER($W251),$W251="DNA"),$W251,IF(OR(ISNUMBER($V251),$V251="DNA"),$V251,IF(OR(ISNUMBER($U251),$U251="DNA"),$U251,IF(OR(ISNUMBER($T251),$T251="DNA"),$T251,IF(OR(ISNUMBER($S251),$S251="DNA"),$S251,IF(OR(ISNUMBER($P251),$P251="DNA"),$P251,IF(OR(ISNUMBER($O251),$O251="DNA"),$O251,IF(OR(ISNUMBER($N251),$N251="DNA"),$N251,""))))))))))="DNA","Rebook DNA",IF(ISNUMBER(IF(OR(ISNUMBER($Y251),$Y251="DNA"),$Y251,IF(OR(ISNUMBER($X251),$X251="DNA"),$X251,IF(OR(ISNUMBER($W251),$W251="DNA"),$W251,IF(OR(ISNUMBER($V251),$V251="DNA"),$V251,IF(OR(ISNUMBER($U251),$U251="DNA"),$U251,IF(OR(ISNUMBER($T251),$T251="DNA"),$T251,IF(OR(ISNUMBER($S251),$S251="DNA"),$S251,IF(OR(ISNUMBER($P251),$P251="DNA"),$P251,IF(OR(ISNUMBER($O251),$O251="DNA"),$O251,IF(OR(ISNUMBER($N251),$N251="DNA"),$N251,""))))))))))),IF(ISNUMBER($Y251),"Update status","Missed/not booked?"),""))))</f>
        <v/>
      </c>
      <c r="M251" s="29">
        <f>IF(NOT(AND($A251&lt;&gt;"",OR($I251="",$I251="Active"))),"",IF(MIN(IF(AND(ISNUMBER($N251),$N251&gt;=TODAY()),$N251,99999),IF(AND(ISNUMBER($O251),$O251&gt;=TODAY()),$O251,99999),IF(AND(ISNUMBER($P251),$P251&gt;=TODAY()),$P251,99999),IF(AND(ISNUMBER($S251),$S251&gt;=TODAY()),$S251,99999),IF(AND(ISNUMBER($T251),$T251&gt;=TODAY()),$T251,99999),IF(AND(ISNUMBER($U251),$U251&gt;=TODAY()),$U251,99999),IF(AND(ISNUMBER($V251),$V251&gt;=TODAY()),$V251,99999),IF(AND(ISNUMBER($W251),$W251&gt;=TODAY()),$W251,99999),IF(AND(ISNUMBER($X251),$X251&gt;=TODAY()),$X251,99999),IF(AND(ISNUMBER($Y251),$Y251&gt;=TODAY()),$Y251,99999))=99999,"",MIN(IF(AND(ISNUMBER($N251),$N251&gt;=TODAY()),$N251,99999),IF(AND(ISNUMBER($O251),$O251&gt;=TODAY()),$O251,99999),IF(AND(ISNUMBER($P251),$P251&gt;=TODAY()),$P251,99999),IF(AND(ISNUMBER($S251),$S251&gt;=TODAY()),$S251,99999),IF(AND(ISNUMBER($T251),$T251&gt;=TODAY()),$T251,99999),IF(AND(ISNUMBER($U251),$U251&gt;=TODAY()),$U251,99999),IF(AND(ISNUMBER($V251),$V251&gt;=TODAY()),$V251,99999),IF(AND(ISNUMBER($W251),$W251&gt;=TODAY()),$W251,99999),IF(AND(ISNUMBER($X251),$X251&gt;=TODAY()),$X251,99999),IF(AND(ISNUMBER($Y251),$Y251&gt;=TODAY()),$Y251,99999))))</f>
        <v/>
      </c>
      <c r="N251" s="27" t="n"/>
      <c r="O251" s="27" t="n"/>
      <c r="P251" s="27" t="n"/>
      <c r="Q251" s="27" t="n"/>
      <c r="R251" s="27" t="n"/>
      <c r="S251" s="27" t="n"/>
      <c r="T251" s="27" t="n"/>
      <c r="U251" s="27" t="n"/>
      <c r="V251" s="27" t="n"/>
      <c r="W251" s="27" t="n"/>
      <c r="X251" s="27" t="n"/>
      <c r="Y251" s="27" t="n"/>
      <c r="Z251" s="27" t="n"/>
      <c r="AA251" s="27" t="n"/>
      <c r="AB251" s="27" t="n"/>
      <c r="AC251" s="30" t="n"/>
      <c r="AD251" s="25" t="n"/>
      <c r="AE251" s="28">
        <f>IF(NOT(AND($A251&lt;&gt;"",OR($I251="",$I251="Active"))),"",IF(OR(IF(OR(ISNUMBER($Y251),$Y251="DNA"),$Y251,IF(OR(ISNUMBER($X251),$X251="DNA"),$X251,IF(OR(ISNUMBER($W251),$W251="DNA"),$W251,IF(OR(ISNUMBER($V251),$V251="DNA"),$V251,IF(OR(ISNUMBER($U251),$U251="DNA"),$U251,IF(OR(ISNUMBER($T251),$T251="DNA"),$T251,IF(OR(ISNUMBER($S251),$S251="DNA"),$S251,IF(OR(ISNUMBER($P251),$P251="DNA"),$P251,IF(OR(ISNUMBER($O251),$O251="DNA"),$O251,IF(OR(ISNUMBER($N251),$N251="DNA"),$N251,""))))))))))="DNA",AND(ISNUMBER(IF(OR(ISNUMBER($Y251),$Y251="DNA"),$Y251,IF(OR(ISNUMBER($X251),$X251="DNA"),$X251,IF(OR(ISNUMBER($W251),$W251="DNA"),$W251,IF(OR(ISNUMBER($V251),$V251="DNA"),$V251,IF(OR(ISNUMBER($U251),$U251="DNA"),$U251,IF(OR(ISNUMBER($T251),$T251="DNA"),$T251,IF(OR(ISNUMBER($S251),$S251="DNA"),$S251,IF(OR(ISNUMBER($P251),$P251="DNA"),$P251,IF(OR(ISNUMBER($O251),$O251="DNA"),$O251,IF(OR(ISNUMBER($N251),$N251="DNA"),$N251,""))))))))))),IF(OR(ISNUMBER($Y251),$Y251="DNA"),$Y251,IF(OR(ISNUMBER($X251),$X251="DNA"),$X251,IF(OR(ISNUMBER($W251),$W251="DNA"),$W251,IF(OR(ISNUMBER($V251),$V251="DNA"),$V251,IF(OR(ISNUMBER($U251),$U251="DNA"),$U251,IF(OR(ISNUMBER($T251),$T251="DNA"),$T251,IF(OR(ISNUMBER($S251),$S251="DNA"),$S251,IF(OR(ISNUMBER($P251),$P251="DNA"),$P251,IF(OR(ISNUMBER($O251),$O251="DNA"),$O251,IF(OR(ISNUMBER($N251),$N251="DNA"),$N251,""))))))))))&lt;TODAY())),1,0)+ISNUMBER($Q251)*($Q251&lt;TODAY())+ISNUMBER($R251)*($R251&lt;TODAY())+ISNUMBER($AA251)*($AA251&lt;TODAY())+ISNUMBER($AB251)*($AB251&lt;TODAY()))</f>
        <v/>
      </c>
    </row>
    <row r="252">
      <c r="A252" s="25" t="n"/>
      <c r="B252" s="26" t="n"/>
      <c r="C252" s="27" t="n"/>
      <c r="D252" s="25" t="n"/>
      <c r="E252" s="25" t="n"/>
      <c r="F252" s="25" t="n"/>
      <c r="G252" s="25" t="n"/>
      <c r="H252" s="27" t="n"/>
      <c r="I252" s="25" t="n"/>
      <c r="J252" s="28">
        <f>IF(OR(NOT(AND($A252&lt;&gt;"",OR($I252="",$I252="Active"))),$H252=""),"",INT((TODAY()-$H252+280)/7)&amp;"+"&amp;MOD(TODAY()-$H252+280,7))</f>
        <v/>
      </c>
      <c r="K252" s="28">
        <f>IF(NOT(AND($A252&lt;&gt;"",OR($I252="",$I252="Active"))),"",ISNUMBER($N252)*($N252&gt;=TODAY())*($N252&lt;=TODAY()+7)+ISNUMBER($O252)*($O252&gt;=TODAY())*($O252&lt;=TODAY()+7)+ISNUMBER($P252)*($P252&gt;=TODAY())*($P252&lt;=TODAY()+7)+ISNUMBER($S252)*($S252&gt;=TODAY())*($S252&lt;=TODAY()+7)+ISNUMBER($T252)*($T252&gt;=TODAY())*($T252&lt;=TODAY()+7)+ISNUMBER($U252)*($U252&gt;=TODAY())*($U252&lt;=TODAY()+7)+ISNUMBER($V252)*($V252&gt;=TODAY())*($V252&lt;=TODAY()+7)+ISNUMBER($W252)*($W252&gt;=TODAY())*($W252&lt;=TODAY()+7)+ISNUMBER($X252)*($X252&gt;=TODAY())*($X252&lt;=TODAY()+7)+ISNUMBER($Y252)*($Y252&gt;=TODAY())*($Y252&lt;=TODAY()+7)+ISNUMBER($Q252)*($Q252&gt;=TODAY())*($Q252&lt;=TODAY()+7)+ISNUMBER($R252)*($R252&gt;=TODAY())*($R252&lt;=TODAY()+7)+ISNUMBER($AA252)*($AA252&gt;=TODAY())*($AA252&lt;=TODAY()+7)+ISNUMBER($AB252)*($AB252&gt;=TODAY())*($AB252&lt;=TODAY()+7))</f>
        <v/>
      </c>
      <c r="L252" s="28">
        <f>IF(NOT(AND($A252&lt;&gt;"",OR($I252="",$I252="Active"))),"",IF($M252&lt;&gt;"",IF($N252=$M252,"Booking",IF($O252=$M252,"16/40",IF($P252=$M252,"25/40",IF($S252=$M252,"28/40",IF($T252=$M252,"31/40",IF($U252=$M252,"34/40",IF($V252=$M252,"36/40",IF($W252=$M252,"38/40",IF($X252=$M252,"40/40",IF($Y252=$M252,"41/40","")))))))))),IF(IF(OR(ISNUMBER($Y252),$Y252="DNA"),$Y252,IF(OR(ISNUMBER($X252),$X252="DNA"),$X252,IF(OR(ISNUMBER($W252),$W252="DNA"),$W252,IF(OR(ISNUMBER($V252),$V252="DNA"),$V252,IF(OR(ISNUMBER($U252),$U252="DNA"),$U252,IF(OR(ISNUMBER($T252),$T252="DNA"),$T252,IF(OR(ISNUMBER($S252),$S252="DNA"),$S252,IF(OR(ISNUMBER($P252),$P252="DNA"),$P252,IF(OR(ISNUMBER($O252),$O252="DNA"),$O252,IF(OR(ISNUMBER($N252),$N252="DNA"),$N252,""))))))))))="DNA","Rebook DNA",IF(ISNUMBER(IF(OR(ISNUMBER($Y252),$Y252="DNA"),$Y252,IF(OR(ISNUMBER($X252),$X252="DNA"),$X252,IF(OR(ISNUMBER($W252),$W252="DNA"),$W252,IF(OR(ISNUMBER($V252),$V252="DNA"),$V252,IF(OR(ISNUMBER($U252),$U252="DNA"),$U252,IF(OR(ISNUMBER($T252),$T252="DNA"),$T252,IF(OR(ISNUMBER($S252),$S252="DNA"),$S252,IF(OR(ISNUMBER($P252),$P252="DNA"),$P252,IF(OR(ISNUMBER($O252),$O252="DNA"),$O252,IF(OR(ISNUMBER($N252),$N252="DNA"),$N252,""))))))))))),IF(ISNUMBER($Y252),"Update status","Missed/not booked?"),""))))</f>
        <v/>
      </c>
      <c r="M252" s="29">
        <f>IF(NOT(AND($A252&lt;&gt;"",OR($I252="",$I252="Active"))),"",IF(MIN(IF(AND(ISNUMBER($N252),$N252&gt;=TODAY()),$N252,99999),IF(AND(ISNUMBER($O252),$O252&gt;=TODAY()),$O252,99999),IF(AND(ISNUMBER($P252),$P252&gt;=TODAY()),$P252,99999),IF(AND(ISNUMBER($S252),$S252&gt;=TODAY()),$S252,99999),IF(AND(ISNUMBER($T252),$T252&gt;=TODAY()),$T252,99999),IF(AND(ISNUMBER($U252),$U252&gt;=TODAY()),$U252,99999),IF(AND(ISNUMBER($V252),$V252&gt;=TODAY()),$V252,99999),IF(AND(ISNUMBER($W252),$W252&gt;=TODAY()),$W252,99999),IF(AND(ISNUMBER($X252),$X252&gt;=TODAY()),$X252,99999),IF(AND(ISNUMBER($Y252),$Y252&gt;=TODAY()),$Y252,99999))=99999,"",MIN(IF(AND(ISNUMBER($N252),$N252&gt;=TODAY()),$N252,99999),IF(AND(ISNUMBER($O252),$O252&gt;=TODAY()),$O252,99999),IF(AND(ISNUMBER($P252),$P252&gt;=TODAY()),$P252,99999),IF(AND(ISNUMBER($S252),$S252&gt;=TODAY()),$S252,99999),IF(AND(ISNUMBER($T252),$T252&gt;=TODAY()),$T252,99999),IF(AND(ISNUMBER($U252),$U252&gt;=TODAY()),$U252,99999),IF(AND(ISNUMBER($V252),$V252&gt;=TODAY()),$V252,99999),IF(AND(ISNUMBER($W252),$W252&gt;=TODAY()),$W252,99999),IF(AND(ISNUMBER($X252),$X252&gt;=TODAY()),$X252,99999),IF(AND(ISNUMBER($Y252),$Y252&gt;=TODAY()),$Y252,99999))))</f>
        <v/>
      </c>
      <c r="N252" s="27" t="n"/>
      <c r="O252" s="27" t="n"/>
      <c r="P252" s="27" t="n"/>
      <c r="Q252" s="27" t="n"/>
      <c r="R252" s="27" t="n"/>
      <c r="S252" s="27" t="n"/>
      <c r="T252" s="27" t="n"/>
      <c r="U252" s="27" t="n"/>
      <c r="V252" s="27" t="n"/>
      <c r="W252" s="27" t="n"/>
      <c r="X252" s="27" t="n"/>
      <c r="Y252" s="27" t="n"/>
      <c r="Z252" s="27" t="n"/>
      <c r="AA252" s="27" t="n"/>
      <c r="AB252" s="27" t="n"/>
      <c r="AC252" s="30" t="n"/>
      <c r="AD252" s="25" t="n"/>
      <c r="AE252" s="28">
        <f>IF(NOT(AND($A252&lt;&gt;"",OR($I252="",$I252="Active"))),"",IF(OR(IF(OR(ISNUMBER($Y252),$Y252="DNA"),$Y252,IF(OR(ISNUMBER($X252),$X252="DNA"),$X252,IF(OR(ISNUMBER($W252),$W252="DNA"),$W252,IF(OR(ISNUMBER($V252),$V252="DNA"),$V252,IF(OR(ISNUMBER($U252),$U252="DNA"),$U252,IF(OR(ISNUMBER($T252),$T252="DNA"),$T252,IF(OR(ISNUMBER($S252),$S252="DNA"),$S252,IF(OR(ISNUMBER($P252),$P252="DNA"),$P252,IF(OR(ISNUMBER($O252),$O252="DNA"),$O252,IF(OR(ISNUMBER($N252),$N252="DNA"),$N252,""))))))))))="DNA",AND(ISNUMBER(IF(OR(ISNUMBER($Y252),$Y252="DNA"),$Y252,IF(OR(ISNUMBER($X252),$X252="DNA"),$X252,IF(OR(ISNUMBER($W252),$W252="DNA"),$W252,IF(OR(ISNUMBER($V252),$V252="DNA"),$V252,IF(OR(ISNUMBER($U252),$U252="DNA"),$U252,IF(OR(ISNUMBER($T252),$T252="DNA"),$T252,IF(OR(ISNUMBER($S252),$S252="DNA"),$S252,IF(OR(ISNUMBER($P252),$P252="DNA"),$P252,IF(OR(ISNUMBER($O252),$O252="DNA"),$O252,IF(OR(ISNUMBER($N252),$N252="DNA"),$N252,""))))))))))),IF(OR(ISNUMBER($Y252),$Y252="DNA"),$Y252,IF(OR(ISNUMBER($X252),$X252="DNA"),$X252,IF(OR(ISNUMBER($W252),$W252="DNA"),$W252,IF(OR(ISNUMBER($V252),$V252="DNA"),$V252,IF(OR(ISNUMBER($U252),$U252="DNA"),$U252,IF(OR(ISNUMBER($T252),$T252="DNA"),$T252,IF(OR(ISNUMBER($S252),$S252="DNA"),$S252,IF(OR(ISNUMBER($P252),$P252="DNA"),$P252,IF(OR(ISNUMBER($O252),$O252="DNA"),$O252,IF(OR(ISNUMBER($N252),$N252="DNA"),$N252,""))))))))))&lt;TODAY())),1,0)+ISNUMBER($Q252)*($Q252&lt;TODAY())+ISNUMBER($R252)*($R252&lt;TODAY())+ISNUMBER($AA252)*($AA252&lt;TODAY())+ISNUMBER($AB252)*($AB252&lt;TODAY()))</f>
        <v/>
      </c>
    </row>
    <row r="253">
      <c r="A253" s="25" t="n"/>
      <c r="B253" s="26" t="n"/>
      <c r="C253" s="27" t="n"/>
      <c r="D253" s="25" t="n"/>
      <c r="E253" s="25" t="n"/>
      <c r="F253" s="25" t="n"/>
      <c r="G253" s="25" t="n"/>
      <c r="H253" s="27" t="n"/>
      <c r="I253" s="25" t="n"/>
      <c r="J253" s="28">
        <f>IF(OR(NOT(AND($A253&lt;&gt;"",OR($I253="",$I253="Active"))),$H253=""),"",INT((TODAY()-$H253+280)/7)&amp;"+"&amp;MOD(TODAY()-$H253+280,7))</f>
        <v/>
      </c>
      <c r="K253" s="28">
        <f>IF(NOT(AND($A253&lt;&gt;"",OR($I253="",$I253="Active"))),"",ISNUMBER($N253)*($N253&gt;=TODAY())*($N253&lt;=TODAY()+7)+ISNUMBER($O253)*($O253&gt;=TODAY())*($O253&lt;=TODAY()+7)+ISNUMBER($P253)*($P253&gt;=TODAY())*($P253&lt;=TODAY()+7)+ISNUMBER($S253)*($S253&gt;=TODAY())*($S253&lt;=TODAY()+7)+ISNUMBER($T253)*($T253&gt;=TODAY())*($T253&lt;=TODAY()+7)+ISNUMBER($U253)*($U253&gt;=TODAY())*($U253&lt;=TODAY()+7)+ISNUMBER($V253)*($V253&gt;=TODAY())*($V253&lt;=TODAY()+7)+ISNUMBER($W253)*($W253&gt;=TODAY())*($W253&lt;=TODAY()+7)+ISNUMBER($X253)*($X253&gt;=TODAY())*($X253&lt;=TODAY()+7)+ISNUMBER($Y253)*($Y253&gt;=TODAY())*($Y253&lt;=TODAY()+7)+ISNUMBER($Q253)*($Q253&gt;=TODAY())*($Q253&lt;=TODAY()+7)+ISNUMBER($R253)*($R253&gt;=TODAY())*($R253&lt;=TODAY()+7)+ISNUMBER($AA253)*($AA253&gt;=TODAY())*($AA253&lt;=TODAY()+7)+ISNUMBER($AB253)*($AB253&gt;=TODAY())*($AB253&lt;=TODAY()+7))</f>
        <v/>
      </c>
      <c r="L253" s="28">
        <f>IF(NOT(AND($A253&lt;&gt;"",OR($I253="",$I253="Active"))),"",IF($M253&lt;&gt;"",IF($N253=$M253,"Booking",IF($O253=$M253,"16/40",IF($P253=$M253,"25/40",IF($S253=$M253,"28/40",IF($T253=$M253,"31/40",IF($U253=$M253,"34/40",IF($V253=$M253,"36/40",IF($W253=$M253,"38/40",IF($X253=$M253,"40/40",IF($Y253=$M253,"41/40","")))))))))),IF(IF(OR(ISNUMBER($Y253),$Y253="DNA"),$Y253,IF(OR(ISNUMBER($X253),$X253="DNA"),$X253,IF(OR(ISNUMBER($W253),$W253="DNA"),$W253,IF(OR(ISNUMBER($V253),$V253="DNA"),$V253,IF(OR(ISNUMBER($U253),$U253="DNA"),$U253,IF(OR(ISNUMBER($T253),$T253="DNA"),$T253,IF(OR(ISNUMBER($S253),$S253="DNA"),$S253,IF(OR(ISNUMBER($P253),$P253="DNA"),$P253,IF(OR(ISNUMBER($O253),$O253="DNA"),$O253,IF(OR(ISNUMBER($N253),$N253="DNA"),$N253,""))))))))))="DNA","Rebook DNA",IF(ISNUMBER(IF(OR(ISNUMBER($Y253),$Y253="DNA"),$Y253,IF(OR(ISNUMBER($X253),$X253="DNA"),$X253,IF(OR(ISNUMBER($W253),$W253="DNA"),$W253,IF(OR(ISNUMBER($V253),$V253="DNA"),$V253,IF(OR(ISNUMBER($U253),$U253="DNA"),$U253,IF(OR(ISNUMBER($T253),$T253="DNA"),$T253,IF(OR(ISNUMBER($S253),$S253="DNA"),$S253,IF(OR(ISNUMBER($P253),$P253="DNA"),$P253,IF(OR(ISNUMBER($O253),$O253="DNA"),$O253,IF(OR(ISNUMBER($N253),$N253="DNA"),$N253,""))))))))))),IF(ISNUMBER($Y253),"Update status","Missed/not booked?"),""))))</f>
        <v/>
      </c>
      <c r="M253" s="29">
        <f>IF(NOT(AND($A253&lt;&gt;"",OR($I253="",$I253="Active"))),"",IF(MIN(IF(AND(ISNUMBER($N253),$N253&gt;=TODAY()),$N253,99999),IF(AND(ISNUMBER($O253),$O253&gt;=TODAY()),$O253,99999),IF(AND(ISNUMBER($P253),$P253&gt;=TODAY()),$P253,99999),IF(AND(ISNUMBER($S253),$S253&gt;=TODAY()),$S253,99999),IF(AND(ISNUMBER($T253),$T253&gt;=TODAY()),$T253,99999),IF(AND(ISNUMBER($U253),$U253&gt;=TODAY()),$U253,99999),IF(AND(ISNUMBER($V253),$V253&gt;=TODAY()),$V253,99999),IF(AND(ISNUMBER($W253),$W253&gt;=TODAY()),$W253,99999),IF(AND(ISNUMBER($X253),$X253&gt;=TODAY()),$X253,99999),IF(AND(ISNUMBER($Y253),$Y253&gt;=TODAY()),$Y253,99999))=99999,"",MIN(IF(AND(ISNUMBER($N253),$N253&gt;=TODAY()),$N253,99999),IF(AND(ISNUMBER($O253),$O253&gt;=TODAY()),$O253,99999),IF(AND(ISNUMBER($P253),$P253&gt;=TODAY()),$P253,99999),IF(AND(ISNUMBER($S253),$S253&gt;=TODAY()),$S253,99999),IF(AND(ISNUMBER($T253),$T253&gt;=TODAY()),$T253,99999),IF(AND(ISNUMBER($U253),$U253&gt;=TODAY()),$U253,99999),IF(AND(ISNUMBER($V253),$V253&gt;=TODAY()),$V253,99999),IF(AND(ISNUMBER($W253),$W253&gt;=TODAY()),$W253,99999),IF(AND(ISNUMBER($X253),$X253&gt;=TODAY()),$X253,99999),IF(AND(ISNUMBER($Y253),$Y253&gt;=TODAY()),$Y253,99999))))</f>
        <v/>
      </c>
      <c r="N253" s="27" t="n"/>
      <c r="O253" s="27" t="n"/>
      <c r="P253" s="27" t="n"/>
      <c r="Q253" s="27" t="n"/>
      <c r="R253" s="27" t="n"/>
      <c r="S253" s="27" t="n"/>
      <c r="T253" s="27" t="n"/>
      <c r="U253" s="27" t="n"/>
      <c r="V253" s="27" t="n"/>
      <c r="W253" s="27" t="n"/>
      <c r="X253" s="27" t="n"/>
      <c r="Y253" s="27" t="n"/>
      <c r="Z253" s="27" t="n"/>
      <c r="AA253" s="27" t="n"/>
      <c r="AB253" s="27" t="n"/>
      <c r="AC253" s="30" t="n"/>
      <c r="AD253" s="25" t="n"/>
      <c r="AE253" s="28">
        <f>IF(NOT(AND($A253&lt;&gt;"",OR($I253="",$I253="Active"))),"",IF(OR(IF(OR(ISNUMBER($Y253),$Y253="DNA"),$Y253,IF(OR(ISNUMBER($X253),$X253="DNA"),$X253,IF(OR(ISNUMBER($W253),$W253="DNA"),$W253,IF(OR(ISNUMBER($V253),$V253="DNA"),$V253,IF(OR(ISNUMBER($U253),$U253="DNA"),$U253,IF(OR(ISNUMBER($T253),$T253="DNA"),$T253,IF(OR(ISNUMBER($S253),$S253="DNA"),$S253,IF(OR(ISNUMBER($P253),$P253="DNA"),$P253,IF(OR(ISNUMBER($O253),$O253="DNA"),$O253,IF(OR(ISNUMBER($N253),$N253="DNA"),$N253,""))))))))))="DNA",AND(ISNUMBER(IF(OR(ISNUMBER($Y253),$Y253="DNA"),$Y253,IF(OR(ISNUMBER($X253),$X253="DNA"),$X253,IF(OR(ISNUMBER($W253),$W253="DNA"),$W253,IF(OR(ISNUMBER($V253),$V253="DNA"),$V253,IF(OR(ISNUMBER($U253),$U253="DNA"),$U253,IF(OR(ISNUMBER($T253),$T253="DNA"),$T253,IF(OR(ISNUMBER($S253),$S253="DNA"),$S253,IF(OR(ISNUMBER($P253),$P253="DNA"),$P253,IF(OR(ISNUMBER($O253),$O253="DNA"),$O253,IF(OR(ISNUMBER($N253),$N253="DNA"),$N253,""))))))))))),IF(OR(ISNUMBER($Y253),$Y253="DNA"),$Y253,IF(OR(ISNUMBER($X253),$X253="DNA"),$X253,IF(OR(ISNUMBER($W253),$W253="DNA"),$W253,IF(OR(ISNUMBER($V253),$V253="DNA"),$V253,IF(OR(ISNUMBER($U253),$U253="DNA"),$U253,IF(OR(ISNUMBER($T253),$T253="DNA"),$T253,IF(OR(ISNUMBER($S253),$S253="DNA"),$S253,IF(OR(ISNUMBER($P253),$P253="DNA"),$P253,IF(OR(ISNUMBER($O253),$O253="DNA"),$O253,IF(OR(ISNUMBER($N253),$N253="DNA"),$N253,""))))))))))&lt;TODAY())),1,0)+ISNUMBER($Q253)*($Q253&lt;TODAY())+ISNUMBER($R253)*($R253&lt;TODAY())+ISNUMBER($AA253)*($AA253&lt;TODAY())+ISNUMBER($AB253)*($AB253&lt;TODAY()))</f>
        <v/>
      </c>
    </row>
    <row r="254">
      <c r="A254" s="25" t="n"/>
      <c r="B254" s="26" t="n"/>
      <c r="C254" s="27" t="n"/>
      <c r="D254" s="25" t="n"/>
      <c r="E254" s="25" t="n"/>
      <c r="F254" s="25" t="n"/>
      <c r="G254" s="25" t="n"/>
      <c r="H254" s="27" t="n"/>
      <c r="I254" s="25" t="n"/>
      <c r="J254" s="28">
        <f>IF(OR(NOT(AND($A254&lt;&gt;"",OR($I254="",$I254="Active"))),$H254=""),"",INT((TODAY()-$H254+280)/7)&amp;"+"&amp;MOD(TODAY()-$H254+280,7))</f>
        <v/>
      </c>
      <c r="K254" s="28">
        <f>IF(NOT(AND($A254&lt;&gt;"",OR($I254="",$I254="Active"))),"",ISNUMBER($N254)*($N254&gt;=TODAY())*($N254&lt;=TODAY()+7)+ISNUMBER($O254)*($O254&gt;=TODAY())*($O254&lt;=TODAY()+7)+ISNUMBER($P254)*($P254&gt;=TODAY())*($P254&lt;=TODAY()+7)+ISNUMBER($S254)*($S254&gt;=TODAY())*($S254&lt;=TODAY()+7)+ISNUMBER($T254)*($T254&gt;=TODAY())*($T254&lt;=TODAY()+7)+ISNUMBER($U254)*($U254&gt;=TODAY())*($U254&lt;=TODAY()+7)+ISNUMBER($V254)*($V254&gt;=TODAY())*($V254&lt;=TODAY()+7)+ISNUMBER($W254)*($W254&gt;=TODAY())*($W254&lt;=TODAY()+7)+ISNUMBER($X254)*($X254&gt;=TODAY())*($X254&lt;=TODAY()+7)+ISNUMBER($Y254)*($Y254&gt;=TODAY())*($Y254&lt;=TODAY()+7)+ISNUMBER($Q254)*($Q254&gt;=TODAY())*($Q254&lt;=TODAY()+7)+ISNUMBER($R254)*($R254&gt;=TODAY())*($R254&lt;=TODAY()+7)+ISNUMBER($AA254)*($AA254&gt;=TODAY())*($AA254&lt;=TODAY()+7)+ISNUMBER($AB254)*($AB254&gt;=TODAY())*($AB254&lt;=TODAY()+7))</f>
        <v/>
      </c>
      <c r="L254" s="28">
        <f>IF(NOT(AND($A254&lt;&gt;"",OR($I254="",$I254="Active"))),"",IF($M254&lt;&gt;"",IF($N254=$M254,"Booking",IF($O254=$M254,"16/40",IF($P254=$M254,"25/40",IF($S254=$M254,"28/40",IF($T254=$M254,"31/40",IF($U254=$M254,"34/40",IF($V254=$M254,"36/40",IF($W254=$M254,"38/40",IF($X254=$M254,"40/40",IF($Y254=$M254,"41/40","")))))))))),IF(IF(OR(ISNUMBER($Y254),$Y254="DNA"),$Y254,IF(OR(ISNUMBER($X254),$X254="DNA"),$X254,IF(OR(ISNUMBER($W254),$W254="DNA"),$W254,IF(OR(ISNUMBER($V254),$V254="DNA"),$V254,IF(OR(ISNUMBER($U254),$U254="DNA"),$U254,IF(OR(ISNUMBER($T254),$T254="DNA"),$T254,IF(OR(ISNUMBER($S254),$S254="DNA"),$S254,IF(OR(ISNUMBER($P254),$P254="DNA"),$P254,IF(OR(ISNUMBER($O254),$O254="DNA"),$O254,IF(OR(ISNUMBER($N254),$N254="DNA"),$N254,""))))))))))="DNA","Rebook DNA",IF(ISNUMBER(IF(OR(ISNUMBER($Y254),$Y254="DNA"),$Y254,IF(OR(ISNUMBER($X254),$X254="DNA"),$X254,IF(OR(ISNUMBER($W254),$W254="DNA"),$W254,IF(OR(ISNUMBER($V254),$V254="DNA"),$V254,IF(OR(ISNUMBER($U254),$U254="DNA"),$U254,IF(OR(ISNUMBER($T254),$T254="DNA"),$T254,IF(OR(ISNUMBER($S254),$S254="DNA"),$S254,IF(OR(ISNUMBER($P254),$P254="DNA"),$P254,IF(OR(ISNUMBER($O254),$O254="DNA"),$O254,IF(OR(ISNUMBER($N254),$N254="DNA"),$N254,""))))))))))),IF(ISNUMBER($Y254),"Update status","Missed/not booked?"),""))))</f>
        <v/>
      </c>
      <c r="M254" s="29">
        <f>IF(NOT(AND($A254&lt;&gt;"",OR($I254="",$I254="Active"))),"",IF(MIN(IF(AND(ISNUMBER($N254),$N254&gt;=TODAY()),$N254,99999),IF(AND(ISNUMBER($O254),$O254&gt;=TODAY()),$O254,99999),IF(AND(ISNUMBER($P254),$P254&gt;=TODAY()),$P254,99999),IF(AND(ISNUMBER($S254),$S254&gt;=TODAY()),$S254,99999),IF(AND(ISNUMBER($T254),$T254&gt;=TODAY()),$T254,99999),IF(AND(ISNUMBER($U254),$U254&gt;=TODAY()),$U254,99999),IF(AND(ISNUMBER($V254),$V254&gt;=TODAY()),$V254,99999),IF(AND(ISNUMBER($W254),$W254&gt;=TODAY()),$W254,99999),IF(AND(ISNUMBER($X254),$X254&gt;=TODAY()),$X254,99999),IF(AND(ISNUMBER($Y254),$Y254&gt;=TODAY()),$Y254,99999))=99999,"",MIN(IF(AND(ISNUMBER($N254),$N254&gt;=TODAY()),$N254,99999),IF(AND(ISNUMBER($O254),$O254&gt;=TODAY()),$O254,99999),IF(AND(ISNUMBER($P254),$P254&gt;=TODAY()),$P254,99999),IF(AND(ISNUMBER($S254),$S254&gt;=TODAY()),$S254,99999),IF(AND(ISNUMBER($T254),$T254&gt;=TODAY()),$T254,99999),IF(AND(ISNUMBER($U254),$U254&gt;=TODAY()),$U254,99999),IF(AND(ISNUMBER($V254),$V254&gt;=TODAY()),$V254,99999),IF(AND(ISNUMBER($W254),$W254&gt;=TODAY()),$W254,99999),IF(AND(ISNUMBER($X254),$X254&gt;=TODAY()),$X254,99999),IF(AND(ISNUMBER($Y254),$Y254&gt;=TODAY()),$Y254,99999))))</f>
        <v/>
      </c>
      <c r="N254" s="27" t="n"/>
      <c r="O254" s="27" t="n"/>
      <c r="P254" s="27" t="n"/>
      <c r="Q254" s="27" t="n"/>
      <c r="R254" s="27" t="n"/>
      <c r="S254" s="27" t="n"/>
      <c r="T254" s="27" t="n"/>
      <c r="U254" s="27" t="n"/>
      <c r="V254" s="27" t="n"/>
      <c r="W254" s="27" t="n"/>
      <c r="X254" s="27" t="n"/>
      <c r="Y254" s="27" t="n"/>
      <c r="Z254" s="27" t="n"/>
      <c r="AA254" s="27" t="n"/>
      <c r="AB254" s="27" t="n"/>
      <c r="AC254" s="30" t="n"/>
      <c r="AD254" s="25" t="n"/>
      <c r="AE254" s="28">
        <f>IF(NOT(AND($A254&lt;&gt;"",OR($I254="",$I254="Active"))),"",IF(OR(IF(OR(ISNUMBER($Y254),$Y254="DNA"),$Y254,IF(OR(ISNUMBER($X254),$X254="DNA"),$X254,IF(OR(ISNUMBER($W254),$W254="DNA"),$W254,IF(OR(ISNUMBER($V254),$V254="DNA"),$V254,IF(OR(ISNUMBER($U254),$U254="DNA"),$U254,IF(OR(ISNUMBER($T254),$T254="DNA"),$T254,IF(OR(ISNUMBER($S254),$S254="DNA"),$S254,IF(OR(ISNUMBER($P254),$P254="DNA"),$P254,IF(OR(ISNUMBER($O254),$O254="DNA"),$O254,IF(OR(ISNUMBER($N254),$N254="DNA"),$N254,""))))))))))="DNA",AND(ISNUMBER(IF(OR(ISNUMBER($Y254),$Y254="DNA"),$Y254,IF(OR(ISNUMBER($X254),$X254="DNA"),$X254,IF(OR(ISNUMBER($W254),$W254="DNA"),$W254,IF(OR(ISNUMBER($V254),$V254="DNA"),$V254,IF(OR(ISNUMBER($U254),$U254="DNA"),$U254,IF(OR(ISNUMBER($T254),$T254="DNA"),$T254,IF(OR(ISNUMBER($S254),$S254="DNA"),$S254,IF(OR(ISNUMBER($P254),$P254="DNA"),$P254,IF(OR(ISNUMBER($O254),$O254="DNA"),$O254,IF(OR(ISNUMBER($N254),$N254="DNA"),$N254,""))))))))))),IF(OR(ISNUMBER($Y254),$Y254="DNA"),$Y254,IF(OR(ISNUMBER($X254),$X254="DNA"),$X254,IF(OR(ISNUMBER($W254),$W254="DNA"),$W254,IF(OR(ISNUMBER($V254),$V254="DNA"),$V254,IF(OR(ISNUMBER($U254),$U254="DNA"),$U254,IF(OR(ISNUMBER($T254),$T254="DNA"),$T254,IF(OR(ISNUMBER($S254),$S254="DNA"),$S254,IF(OR(ISNUMBER($P254),$P254="DNA"),$P254,IF(OR(ISNUMBER($O254),$O254="DNA"),$O254,IF(OR(ISNUMBER($N254),$N254="DNA"),$N254,""))))))))))&lt;TODAY())),1,0)+ISNUMBER($Q254)*($Q254&lt;TODAY())+ISNUMBER($R254)*($R254&lt;TODAY())+ISNUMBER($AA254)*($AA254&lt;TODAY())+ISNUMBER($AB254)*($AB254&lt;TODAY()))</f>
        <v/>
      </c>
    </row>
    <row r="255">
      <c r="A255" s="25" t="n"/>
      <c r="B255" s="26" t="n"/>
      <c r="C255" s="27" t="n"/>
      <c r="D255" s="25" t="n"/>
      <c r="E255" s="25" t="n"/>
      <c r="F255" s="25" t="n"/>
      <c r="G255" s="25" t="n"/>
      <c r="H255" s="27" t="n"/>
      <c r="I255" s="25" t="n"/>
      <c r="J255" s="28">
        <f>IF(OR(NOT(AND($A255&lt;&gt;"",OR($I255="",$I255="Active"))),$H255=""),"",INT((TODAY()-$H255+280)/7)&amp;"+"&amp;MOD(TODAY()-$H255+280,7))</f>
        <v/>
      </c>
      <c r="K255" s="28">
        <f>IF(NOT(AND($A255&lt;&gt;"",OR($I255="",$I255="Active"))),"",ISNUMBER($N255)*($N255&gt;=TODAY())*($N255&lt;=TODAY()+7)+ISNUMBER($O255)*($O255&gt;=TODAY())*($O255&lt;=TODAY()+7)+ISNUMBER($P255)*($P255&gt;=TODAY())*($P255&lt;=TODAY()+7)+ISNUMBER($S255)*($S255&gt;=TODAY())*($S255&lt;=TODAY()+7)+ISNUMBER($T255)*($T255&gt;=TODAY())*($T255&lt;=TODAY()+7)+ISNUMBER($U255)*($U255&gt;=TODAY())*($U255&lt;=TODAY()+7)+ISNUMBER($V255)*($V255&gt;=TODAY())*($V255&lt;=TODAY()+7)+ISNUMBER($W255)*($W255&gt;=TODAY())*($W255&lt;=TODAY()+7)+ISNUMBER($X255)*($X255&gt;=TODAY())*($X255&lt;=TODAY()+7)+ISNUMBER($Y255)*($Y255&gt;=TODAY())*($Y255&lt;=TODAY()+7)+ISNUMBER($Q255)*($Q255&gt;=TODAY())*($Q255&lt;=TODAY()+7)+ISNUMBER($R255)*($R255&gt;=TODAY())*($R255&lt;=TODAY()+7)+ISNUMBER($AA255)*($AA255&gt;=TODAY())*($AA255&lt;=TODAY()+7)+ISNUMBER($AB255)*($AB255&gt;=TODAY())*($AB255&lt;=TODAY()+7))</f>
        <v/>
      </c>
      <c r="L255" s="28">
        <f>IF(NOT(AND($A255&lt;&gt;"",OR($I255="",$I255="Active"))),"",IF($M255&lt;&gt;"",IF($N255=$M255,"Booking",IF($O255=$M255,"16/40",IF($P255=$M255,"25/40",IF($S255=$M255,"28/40",IF($T255=$M255,"31/40",IF($U255=$M255,"34/40",IF($V255=$M255,"36/40",IF($W255=$M255,"38/40",IF($X255=$M255,"40/40",IF($Y255=$M255,"41/40","")))))))))),IF(IF(OR(ISNUMBER($Y255),$Y255="DNA"),$Y255,IF(OR(ISNUMBER($X255),$X255="DNA"),$X255,IF(OR(ISNUMBER($W255),$W255="DNA"),$W255,IF(OR(ISNUMBER($V255),$V255="DNA"),$V255,IF(OR(ISNUMBER($U255),$U255="DNA"),$U255,IF(OR(ISNUMBER($T255),$T255="DNA"),$T255,IF(OR(ISNUMBER($S255),$S255="DNA"),$S255,IF(OR(ISNUMBER($P255),$P255="DNA"),$P255,IF(OR(ISNUMBER($O255),$O255="DNA"),$O255,IF(OR(ISNUMBER($N255),$N255="DNA"),$N255,""))))))))))="DNA","Rebook DNA",IF(ISNUMBER(IF(OR(ISNUMBER($Y255),$Y255="DNA"),$Y255,IF(OR(ISNUMBER($X255),$X255="DNA"),$X255,IF(OR(ISNUMBER($W255),$W255="DNA"),$W255,IF(OR(ISNUMBER($V255),$V255="DNA"),$V255,IF(OR(ISNUMBER($U255),$U255="DNA"),$U255,IF(OR(ISNUMBER($T255),$T255="DNA"),$T255,IF(OR(ISNUMBER($S255),$S255="DNA"),$S255,IF(OR(ISNUMBER($P255),$P255="DNA"),$P255,IF(OR(ISNUMBER($O255),$O255="DNA"),$O255,IF(OR(ISNUMBER($N255),$N255="DNA"),$N255,""))))))))))),IF(ISNUMBER($Y255),"Update status","Missed/not booked?"),""))))</f>
        <v/>
      </c>
      <c r="M255" s="29">
        <f>IF(NOT(AND($A255&lt;&gt;"",OR($I255="",$I255="Active"))),"",IF(MIN(IF(AND(ISNUMBER($N255),$N255&gt;=TODAY()),$N255,99999),IF(AND(ISNUMBER($O255),$O255&gt;=TODAY()),$O255,99999),IF(AND(ISNUMBER($P255),$P255&gt;=TODAY()),$P255,99999),IF(AND(ISNUMBER($S255),$S255&gt;=TODAY()),$S255,99999),IF(AND(ISNUMBER($T255),$T255&gt;=TODAY()),$T255,99999),IF(AND(ISNUMBER($U255),$U255&gt;=TODAY()),$U255,99999),IF(AND(ISNUMBER($V255),$V255&gt;=TODAY()),$V255,99999),IF(AND(ISNUMBER($W255),$W255&gt;=TODAY()),$W255,99999),IF(AND(ISNUMBER($X255),$X255&gt;=TODAY()),$X255,99999),IF(AND(ISNUMBER($Y255),$Y255&gt;=TODAY()),$Y255,99999))=99999,"",MIN(IF(AND(ISNUMBER($N255),$N255&gt;=TODAY()),$N255,99999),IF(AND(ISNUMBER($O255),$O255&gt;=TODAY()),$O255,99999),IF(AND(ISNUMBER($P255),$P255&gt;=TODAY()),$P255,99999),IF(AND(ISNUMBER($S255),$S255&gt;=TODAY()),$S255,99999),IF(AND(ISNUMBER($T255),$T255&gt;=TODAY()),$T255,99999),IF(AND(ISNUMBER($U255),$U255&gt;=TODAY()),$U255,99999),IF(AND(ISNUMBER($V255),$V255&gt;=TODAY()),$V255,99999),IF(AND(ISNUMBER($W255),$W255&gt;=TODAY()),$W255,99999),IF(AND(ISNUMBER($X255),$X255&gt;=TODAY()),$X255,99999),IF(AND(ISNUMBER($Y255),$Y255&gt;=TODAY()),$Y255,99999))))</f>
        <v/>
      </c>
      <c r="N255" s="27" t="n"/>
      <c r="O255" s="27" t="n"/>
      <c r="P255" s="27" t="n"/>
      <c r="Q255" s="27" t="n"/>
      <c r="R255" s="27" t="n"/>
      <c r="S255" s="27" t="n"/>
      <c r="T255" s="27" t="n"/>
      <c r="U255" s="27" t="n"/>
      <c r="V255" s="27" t="n"/>
      <c r="W255" s="27" t="n"/>
      <c r="X255" s="27" t="n"/>
      <c r="Y255" s="27" t="n"/>
      <c r="Z255" s="27" t="n"/>
      <c r="AA255" s="27" t="n"/>
      <c r="AB255" s="27" t="n"/>
      <c r="AC255" s="30" t="n"/>
      <c r="AD255" s="25" t="n"/>
      <c r="AE255" s="28">
        <f>IF(NOT(AND($A255&lt;&gt;"",OR($I255="",$I255="Active"))),"",IF(OR(IF(OR(ISNUMBER($Y255),$Y255="DNA"),$Y255,IF(OR(ISNUMBER($X255),$X255="DNA"),$X255,IF(OR(ISNUMBER($W255),$W255="DNA"),$W255,IF(OR(ISNUMBER($V255),$V255="DNA"),$V255,IF(OR(ISNUMBER($U255),$U255="DNA"),$U255,IF(OR(ISNUMBER($T255),$T255="DNA"),$T255,IF(OR(ISNUMBER($S255),$S255="DNA"),$S255,IF(OR(ISNUMBER($P255),$P255="DNA"),$P255,IF(OR(ISNUMBER($O255),$O255="DNA"),$O255,IF(OR(ISNUMBER($N255),$N255="DNA"),$N255,""))))))))))="DNA",AND(ISNUMBER(IF(OR(ISNUMBER($Y255),$Y255="DNA"),$Y255,IF(OR(ISNUMBER($X255),$X255="DNA"),$X255,IF(OR(ISNUMBER($W255),$W255="DNA"),$W255,IF(OR(ISNUMBER($V255),$V255="DNA"),$V255,IF(OR(ISNUMBER($U255),$U255="DNA"),$U255,IF(OR(ISNUMBER($T255),$T255="DNA"),$T255,IF(OR(ISNUMBER($S255),$S255="DNA"),$S255,IF(OR(ISNUMBER($P255),$P255="DNA"),$P255,IF(OR(ISNUMBER($O255),$O255="DNA"),$O255,IF(OR(ISNUMBER($N255),$N255="DNA"),$N255,""))))))))))),IF(OR(ISNUMBER($Y255),$Y255="DNA"),$Y255,IF(OR(ISNUMBER($X255),$X255="DNA"),$X255,IF(OR(ISNUMBER($W255),$W255="DNA"),$W255,IF(OR(ISNUMBER($V255),$V255="DNA"),$V255,IF(OR(ISNUMBER($U255),$U255="DNA"),$U255,IF(OR(ISNUMBER($T255),$T255="DNA"),$T255,IF(OR(ISNUMBER($S255),$S255="DNA"),$S255,IF(OR(ISNUMBER($P255),$P255="DNA"),$P255,IF(OR(ISNUMBER($O255),$O255="DNA"),$O255,IF(OR(ISNUMBER($N255),$N255="DNA"),$N255,""))))))))))&lt;TODAY())),1,0)+ISNUMBER($Q255)*($Q255&lt;TODAY())+ISNUMBER($R255)*($R255&lt;TODAY())+ISNUMBER($AA255)*($AA255&lt;TODAY())+ISNUMBER($AB255)*($AB255&lt;TODAY()))</f>
        <v/>
      </c>
    </row>
    <row r="256">
      <c r="A256" s="25" t="n"/>
      <c r="B256" s="26" t="n"/>
      <c r="C256" s="27" t="n"/>
      <c r="D256" s="25" t="n"/>
      <c r="E256" s="25" t="n"/>
      <c r="F256" s="25" t="n"/>
      <c r="G256" s="25" t="n"/>
      <c r="H256" s="27" t="n"/>
      <c r="I256" s="25" t="n"/>
      <c r="J256" s="28">
        <f>IF(OR(NOT(AND($A256&lt;&gt;"",OR($I256="",$I256="Active"))),$H256=""),"",INT((TODAY()-$H256+280)/7)&amp;"+"&amp;MOD(TODAY()-$H256+280,7))</f>
        <v/>
      </c>
      <c r="K256" s="28">
        <f>IF(NOT(AND($A256&lt;&gt;"",OR($I256="",$I256="Active"))),"",ISNUMBER($N256)*($N256&gt;=TODAY())*($N256&lt;=TODAY()+7)+ISNUMBER($O256)*($O256&gt;=TODAY())*($O256&lt;=TODAY()+7)+ISNUMBER($P256)*($P256&gt;=TODAY())*($P256&lt;=TODAY()+7)+ISNUMBER($S256)*($S256&gt;=TODAY())*($S256&lt;=TODAY()+7)+ISNUMBER($T256)*($T256&gt;=TODAY())*($T256&lt;=TODAY()+7)+ISNUMBER($U256)*($U256&gt;=TODAY())*($U256&lt;=TODAY()+7)+ISNUMBER($V256)*($V256&gt;=TODAY())*($V256&lt;=TODAY()+7)+ISNUMBER($W256)*($W256&gt;=TODAY())*($W256&lt;=TODAY()+7)+ISNUMBER($X256)*($X256&gt;=TODAY())*($X256&lt;=TODAY()+7)+ISNUMBER($Y256)*($Y256&gt;=TODAY())*($Y256&lt;=TODAY()+7)+ISNUMBER($Q256)*($Q256&gt;=TODAY())*($Q256&lt;=TODAY()+7)+ISNUMBER($R256)*($R256&gt;=TODAY())*($R256&lt;=TODAY()+7)+ISNUMBER($AA256)*($AA256&gt;=TODAY())*($AA256&lt;=TODAY()+7)+ISNUMBER($AB256)*($AB256&gt;=TODAY())*($AB256&lt;=TODAY()+7))</f>
        <v/>
      </c>
      <c r="L256" s="28">
        <f>IF(NOT(AND($A256&lt;&gt;"",OR($I256="",$I256="Active"))),"",IF($M256&lt;&gt;"",IF($N256=$M256,"Booking",IF($O256=$M256,"16/40",IF($P256=$M256,"25/40",IF($S256=$M256,"28/40",IF($T256=$M256,"31/40",IF($U256=$M256,"34/40",IF($V256=$M256,"36/40",IF($W256=$M256,"38/40",IF($X256=$M256,"40/40",IF($Y256=$M256,"41/40","")))))))))),IF(IF(OR(ISNUMBER($Y256),$Y256="DNA"),$Y256,IF(OR(ISNUMBER($X256),$X256="DNA"),$X256,IF(OR(ISNUMBER($W256),$W256="DNA"),$W256,IF(OR(ISNUMBER($V256),$V256="DNA"),$V256,IF(OR(ISNUMBER($U256),$U256="DNA"),$U256,IF(OR(ISNUMBER($T256),$T256="DNA"),$T256,IF(OR(ISNUMBER($S256),$S256="DNA"),$S256,IF(OR(ISNUMBER($P256),$P256="DNA"),$P256,IF(OR(ISNUMBER($O256),$O256="DNA"),$O256,IF(OR(ISNUMBER($N256),$N256="DNA"),$N256,""))))))))))="DNA","Rebook DNA",IF(ISNUMBER(IF(OR(ISNUMBER($Y256),$Y256="DNA"),$Y256,IF(OR(ISNUMBER($X256),$X256="DNA"),$X256,IF(OR(ISNUMBER($W256),$W256="DNA"),$W256,IF(OR(ISNUMBER($V256),$V256="DNA"),$V256,IF(OR(ISNUMBER($U256),$U256="DNA"),$U256,IF(OR(ISNUMBER($T256),$T256="DNA"),$T256,IF(OR(ISNUMBER($S256),$S256="DNA"),$S256,IF(OR(ISNUMBER($P256),$P256="DNA"),$P256,IF(OR(ISNUMBER($O256),$O256="DNA"),$O256,IF(OR(ISNUMBER($N256),$N256="DNA"),$N256,""))))))))))),IF(ISNUMBER($Y256),"Update status","Missed/not booked?"),""))))</f>
        <v/>
      </c>
      <c r="M256" s="29">
        <f>IF(NOT(AND($A256&lt;&gt;"",OR($I256="",$I256="Active"))),"",IF(MIN(IF(AND(ISNUMBER($N256),$N256&gt;=TODAY()),$N256,99999),IF(AND(ISNUMBER($O256),$O256&gt;=TODAY()),$O256,99999),IF(AND(ISNUMBER($P256),$P256&gt;=TODAY()),$P256,99999),IF(AND(ISNUMBER($S256),$S256&gt;=TODAY()),$S256,99999),IF(AND(ISNUMBER($T256),$T256&gt;=TODAY()),$T256,99999),IF(AND(ISNUMBER($U256),$U256&gt;=TODAY()),$U256,99999),IF(AND(ISNUMBER($V256),$V256&gt;=TODAY()),$V256,99999),IF(AND(ISNUMBER($W256),$W256&gt;=TODAY()),$W256,99999),IF(AND(ISNUMBER($X256),$X256&gt;=TODAY()),$X256,99999),IF(AND(ISNUMBER($Y256),$Y256&gt;=TODAY()),$Y256,99999))=99999,"",MIN(IF(AND(ISNUMBER($N256),$N256&gt;=TODAY()),$N256,99999),IF(AND(ISNUMBER($O256),$O256&gt;=TODAY()),$O256,99999),IF(AND(ISNUMBER($P256),$P256&gt;=TODAY()),$P256,99999),IF(AND(ISNUMBER($S256),$S256&gt;=TODAY()),$S256,99999),IF(AND(ISNUMBER($T256),$T256&gt;=TODAY()),$T256,99999),IF(AND(ISNUMBER($U256),$U256&gt;=TODAY()),$U256,99999),IF(AND(ISNUMBER($V256),$V256&gt;=TODAY()),$V256,99999),IF(AND(ISNUMBER($W256),$W256&gt;=TODAY()),$W256,99999),IF(AND(ISNUMBER($X256),$X256&gt;=TODAY()),$X256,99999),IF(AND(ISNUMBER($Y256),$Y256&gt;=TODAY()),$Y256,99999))))</f>
        <v/>
      </c>
      <c r="N256" s="27" t="n"/>
      <c r="O256" s="27" t="n"/>
      <c r="P256" s="27" t="n"/>
      <c r="Q256" s="27" t="n"/>
      <c r="R256" s="27" t="n"/>
      <c r="S256" s="27" t="n"/>
      <c r="T256" s="27" t="n"/>
      <c r="U256" s="27" t="n"/>
      <c r="V256" s="27" t="n"/>
      <c r="W256" s="27" t="n"/>
      <c r="X256" s="27" t="n"/>
      <c r="Y256" s="27" t="n"/>
      <c r="Z256" s="27" t="n"/>
      <c r="AA256" s="27" t="n"/>
      <c r="AB256" s="27" t="n"/>
      <c r="AC256" s="30" t="n"/>
      <c r="AD256" s="25" t="n"/>
      <c r="AE256" s="28">
        <f>IF(NOT(AND($A256&lt;&gt;"",OR($I256="",$I256="Active"))),"",IF(OR(IF(OR(ISNUMBER($Y256),$Y256="DNA"),$Y256,IF(OR(ISNUMBER($X256),$X256="DNA"),$X256,IF(OR(ISNUMBER($W256),$W256="DNA"),$W256,IF(OR(ISNUMBER($V256),$V256="DNA"),$V256,IF(OR(ISNUMBER($U256),$U256="DNA"),$U256,IF(OR(ISNUMBER($T256),$T256="DNA"),$T256,IF(OR(ISNUMBER($S256),$S256="DNA"),$S256,IF(OR(ISNUMBER($P256),$P256="DNA"),$P256,IF(OR(ISNUMBER($O256),$O256="DNA"),$O256,IF(OR(ISNUMBER($N256),$N256="DNA"),$N256,""))))))))))="DNA",AND(ISNUMBER(IF(OR(ISNUMBER($Y256),$Y256="DNA"),$Y256,IF(OR(ISNUMBER($X256),$X256="DNA"),$X256,IF(OR(ISNUMBER($W256),$W256="DNA"),$W256,IF(OR(ISNUMBER($V256),$V256="DNA"),$V256,IF(OR(ISNUMBER($U256),$U256="DNA"),$U256,IF(OR(ISNUMBER($T256),$T256="DNA"),$T256,IF(OR(ISNUMBER($S256),$S256="DNA"),$S256,IF(OR(ISNUMBER($P256),$P256="DNA"),$P256,IF(OR(ISNUMBER($O256),$O256="DNA"),$O256,IF(OR(ISNUMBER($N256),$N256="DNA"),$N256,""))))))))))),IF(OR(ISNUMBER($Y256),$Y256="DNA"),$Y256,IF(OR(ISNUMBER($X256),$X256="DNA"),$X256,IF(OR(ISNUMBER($W256),$W256="DNA"),$W256,IF(OR(ISNUMBER($V256),$V256="DNA"),$V256,IF(OR(ISNUMBER($U256),$U256="DNA"),$U256,IF(OR(ISNUMBER($T256),$T256="DNA"),$T256,IF(OR(ISNUMBER($S256),$S256="DNA"),$S256,IF(OR(ISNUMBER($P256),$P256="DNA"),$P256,IF(OR(ISNUMBER($O256),$O256="DNA"),$O256,IF(OR(ISNUMBER($N256),$N256="DNA"),$N256,""))))))))))&lt;TODAY())),1,0)+ISNUMBER($Q256)*($Q256&lt;TODAY())+ISNUMBER($R256)*($R256&lt;TODAY())+ISNUMBER($AA256)*($AA256&lt;TODAY())+ISNUMBER($AB256)*($AB256&lt;TODAY()))</f>
        <v/>
      </c>
    </row>
    <row r="257">
      <c r="A257" s="25" t="n"/>
      <c r="B257" s="26" t="n"/>
      <c r="C257" s="27" t="n"/>
      <c r="D257" s="25" t="n"/>
      <c r="E257" s="25" t="n"/>
      <c r="F257" s="25" t="n"/>
      <c r="G257" s="25" t="n"/>
      <c r="H257" s="27" t="n"/>
      <c r="I257" s="25" t="n"/>
      <c r="J257" s="28">
        <f>IF(OR(NOT(AND($A257&lt;&gt;"",OR($I257="",$I257="Active"))),$H257=""),"",INT((TODAY()-$H257+280)/7)&amp;"+"&amp;MOD(TODAY()-$H257+280,7))</f>
        <v/>
      </c>
      <c r="K257" s="28">
        <f>IF(NOT(AND($A257&lt;&gt;"",OR($I257="",$I257="Active"))),"",ISNUMBER($N257)*($N257&gt;=TODAY())*($N257&lt;=TODAY()+7)+ISNUMBER($O257)*($O257&gt;=TODAY())*($O257&lt;=TODAY()+7)+ISNUMBER($P257)*($P257&gt;=TODAY())*($P257&lt;=TODAY()+7)+ISNUMBER($S257)*($S257&gt;=TODAY())*($S257&lt;=TODAY()+7)+ISNUMBER($T257)*($T257&gt;=TODAY())*($T257&lt;=TODAY()+7)+ISNUMBER($U257)*($U257&gt;=TODAY())*($U257&lt;=TODAY()+7)+ISNUMBER($V257)*($V257&gt;=TODAY())*($V257&lt;=TODAY()+7)+ISNUMBER($W257)*($W257&gt;=TODAY())*($W257&lt;=TODAY()+7)+ISNUMBER($X257)*($X257&gt;=TODAY())*($X257&lt;=TODAY()+7)+ISNUMBER($Y257)*($Y257&gt;=TODAY())*($Y257&lt;=TODAY()+7)+ISNUMBER($Q257)*($Q257&gt;=TODAY())*($Q257&lt;=TODAY()+7)+ISNUMBER($R257)*($R257&gt;=TODAY())*($R257&lt;=TODAY()+7)+ISNUMBER($AA257)*($AA257&gt;=TODAY())*($AA257&lt;=TODAY()+7)+ISNUMBER($AB257)*($AB257&gt;=TODAY())*($AB257&lt;=TODAY()+7))</f>
        <v/>
      </c>
      <c r="L257" s="28">
        <f>IF(NOT(AND($A257&lt;&gt;"",OR($I257="",$I257="Active"))),"",IF($M257&lt;&gt;"",IF($N257=$M257,"Booking",IF($O257=$M257,"16/40",IF($P257=$M257,"25/40",IF($S257=$M257,"28/40",IF($T257=$M257,"31/40",IF($U257=$M257,"34/40",IF($V257=$M257,"36/40",IF($W257=$M257,"38/40",IF($X257=$M257,"40/40",IF($Y257=$M257,"41/40","")))))))))),IF(IF(OR(ISNUMBER($Y257),$Y257="DNA"),$Y257,IF(OR(ISNUMBER($X257),$X257="DNA"),$X257,IF(OR(ISNUMBER($W257),$W257="DNA"),$W257,IF(OR(ISNUMBER($V257),$V257="DNA"),$V257,IF(OR(ISNUMBER($U257),$U257="DNA"),$U257,IF(OR(ISNUMBER($T257),$T257="DNA"),$T257,IF(OR(ISNUMBER($S257),$S257="DNA"),$S257,IF(OR(ISNUMBER($P257),$P257="DNA"),$P257,IF(OR(ISNUMBER($O257),$O257="DNA"),$O257,IF(OR(ISNUMBER($N257),$N257="DNA"),$N257,""))))))))))="DNA","Rebook DNA",IF(ISNUMBER(IF(OR(ISNUMBER($Y257),$Y257="DNA"),$Y257,IF(OR(ISNUMBER($X257),$X257="DNA"),$X257,IF(OR(ISNUMBER($W257),$W257="DNA"),$W257,IF(OR(ISNUMBER($V257),$V257="DNA"),$V257,IF(OR(ISNUMBER($U257),$U257="DNA"),$U257,IF(OR(ISNUMBER($T257),$T257="DNA"),$T257,IF(OR(ISNUMBER($S257),$S257="DNA"),$S257,IF(OR(ISNUMBER($P257),$P257="DNA"),$P257,IF(OR(ISNUMBER($O257),$O257="DNA"),$O257,IF(OR(ISNUMBER($N257),$N257="DNA"),$N257,""))))))))))),IF(ISNUMBER($Y257),"Update status","Missed/not booked?"),""))))</f>
        <v/>
      </c>
      <c r="M257" s="29">
        <f>IF(NOT(AND($A257&lt;&gt;"",OR($I257="",$I257="Active"))),"",IF(MIN(IF(AND(ISNUMBER($N257),$N257&gt;=TODAY()),$N257,99999),IF(AND(ISNUMBER($O257),$O257&gt;=TODAY()),$O257,99999),IF(AND(ISNUMBER($P257),$P257&gt;=TODAY()),$P257,99999),IF(AND(ISNUMBER($S257),$S257&gt;=TODAY()),$S257,99999),IF(AND(ISNUMBER($T257),$T257&gt;=TODAY()),$T257,99999),IF(AND(ISNUMBER($U257),$U257&gt;=TODAY()),$U257,99999),IF(AND(ISNUMBER($V257),$V257&gt;=TODAY()),$V257,99999),IF(AND(ISNUMBER($W257),$W257&gt;=TODAY()),$W257,99999),IF(AND(ISNUMBER($X257),$X257&gt;=TODAY()),$X257,99999),IF(AND(ISNUMBER($Y257),$Y257&gt;=TODAY()),$Y257,99999))=99999,"",MIN(IF(AND(ISNUMBER($N257),$N257&gt;=TODAY()),$N257,99999),IF(AND(ISNUMBER($O257),$O257&gt;=TODAY()),$O257,99999),IF(AND(ISNUMBER($P257),$P257&gt;=TODAY()),$P257,99999),IF(AND(ISNUMBER($S257),$S257&gt;=TODAY()),$S257,99999),IF(AND(ISNUMBER($T257),$T257&gt;=TODAY()),$T257,99999),IF(AND(ISNUMBER($U257),$U257&gt;=TODAY()),$U257,99999),IF(AND(ISNUMBER($V257),$V257&gt;=TODAY()),$V257,99999),IF(AND(ISNUMBER($W257),$W257&gt;=TODAY()),$W257,99999),IF(AND(ISNUMBER($X257),$X257&gt;=TODAY()),$X257,99999),IF(AND(ISNUMBER($Y257),$Y257&gt;=TODAY()),$Y257,99999))))</f>
        <v/>
      </c>
      <c r="N257" s="27" t="n"/>
      <c r="O257" s="27" t="n"/>
      <c r="P257" s="27" t="n"/>
      <c r="Q257" s="27" t="n"/>
      <c r="R257" s="27" t="n"/>
      <c r="S257" s="27" t="n"/>
      <c r="T257" s="27" t="n"/>
      <c r="U257" s="27" t="n"/>
      <c r="V257" s="27" t="n"/>
      <c r="W257" s="27" t="n"/>
      <c r="X257" s="27" t="n"/>
      <c r="Y257" s="27" t="n"/>
      <c r="Z257" s="27" t="n"/>
      <c r="AA257" s="27" t="n"/>
      <c r="AB257" s="27" t="n"/>
      <c r="AC257" s="30" t="n"/>
      <c r="AD257" s="25" t="n"/>
      <c r="AE257" s="28">
        <f>IF(NOT(AND($A257&lt;&gt;"",OR($I257="",$I257="Active"))),"",IF(OR(IF(OR(ISNUMBER($Y257),$Y257="DNA"),$Y257,IF(OR(ISNUMBER($X257),$X257="DNA"),$X257,IF(OR(ISNUMBER($W257),$W257="DNA"),$W257,IF(OR(ISNUMBER($V257),$V257="DNA"),$V257,IF(OR(ISNUMBER($U257),$U257="DNA"),$U257,IF(OR(ISNUMBER($T257),$T257="DNA"),$T257,IF(OR(ISNUMBER($S257),$S257="DNA"),$S257,IF(OR(ISNUMBER($P257),$P257="DNA"),$P257,IF(OR(ISNUMBER($O257),$O257="DNA"),$O257,IF(OR(ISNUMBER($N257),$N257="DNA"),$N257,""))))))))))="DNA",AND(ISNUMBER(IF(OR(ISNUMBER($Y257),$Y257="DNA"),$Y257,IF(OR(ISNUMBER($X257),$X257="DNA"),$X257,IF(OR(ISNUMBER($W257),$W257="DNA"),$W257,IF(OR(ISNUMBER($V257),$V257="DNA"),$V257,IF(OR(ISNUMBER($U257),$U257="DNA"),$U257,IF(OR(ISNUMBER($T257),$T257="DNA"),$T257,IF(OR(ISNUMBER($S257),$S257="DNA"),$S257,IF(OR(ISNUMBER($P257),$P257="DNA"),$P257,IF(OR(ISNUMBER($O257),$O257="DNA"),$O257,IF(OR(ISNUMBER($N257),$N257="DNA"),$N257,""))))))))))),IF(OR(ISNUMBER($Y257),$Y257="DNA"),$Y257,IF(OR(ISNUMBER($X257),$X257="DNA"),$X257,IF(OR(ISNUMBER($W257),$W257="DNA"),$W257,IF(OR(ISNUMBER($V257),$V257="DNA"),$V257,IF(OR(ISNUMBER($U257),$U257="DNA"),$U257,IF(OR(ISNUMBER($T257),$T257="DNA"),$T257,IF(OR(ISNUMBER($S257),$S257="DNA"),$S257,IF(OR(ISNUMBER($P257),$P257="DNA"),$P257,IF(OR(ISNUMBER($O257),$O257="DNA"),$O257,IF(OR(ISNUMBER($N257),$N257="DNA"),$N257,""))))))))))&lt;TODAY())),1,0)+ISNUMBER($Q257)*($Q257&lt;TODAY())+ISNUMBER($R257)*($R257&lt;TODAY())+ISNUMBER($AA257)*($AA257&lt;TODAY())+ISNUMBER($AB257)*($AB257&lt;TODAY()))</f>
        <v/>
      </c>
    </row>
    <row r="258">
      <c r="A258" s="25" t="n"/>
      <c r="B258" s="26" t="n"/>
      <c r="C258" s="27" t="n"/>
      <c r="D258" s="25" t="n"/>
      <c r="E258" s="25" t="n"/>
      <c r="F258" s="25" t="n"/>
      <c r="G258" s="25" t="n"/>
      <c r="H258" s="27" t="n"/>
      <c r="I258" s="25" t="n"/>
      <c r="J258" s="28">
        <f>IF(OR(NOT(AND($A258&lt;&gt;"",OR($I258="",$I258="Active"))),$H258=""),"",INT((TODAY()-$H258+280)/7)&amp;"+"&amp;MOD(TODAY()-$H258+280,7))</f>
        <v/>
      </c>
      <c r="K258" s="28">
        <f>IF(NOT(AND($A258&lt;&gt;"",OR($I258="",$I258="Active"))),"",ISNUMBER($N258)*($N258&gt;=TODAY())*($N258&lt;=TODAY()+7)+ISNUMBER($O258)*($O258&gt;=TODAY())*($O258&lt;=TODAY()+7)+ISNUMBER($P258)*($P258&gt;=TODAY())*($P258&lt;=TODAY()+7)+ISNUMBER($S258)*($S258&gt;=TODAY())*($S258&lt;=TODAY()+7)+ISNUMBER($T258)*($T258&gt;=TODAY())*($T258&lt;=TODAY()+7)+ISNUMBER($U258)*($U258&gt;=TODAY())*($U258&lt;=TODAY()+7)+ISNUMBER($V258)*($V258&gt;=TODAY())*($V258&lt;=TODAY()+7)+ISNUMBER($W258)*($W258&gt;=TODAY())*($W258&lt;=TODAY()+7)+ISNUMBER($X258)*($X258&gt;=TODAY())*($X258&lt;=TODAY()+7)+ISNUMBER($Y258)*($Y258&gt;=TODAY())*($Y258&lt;=TODAY()+7)+ISNUMBER($Q258)*($Q258&gt;=TODAY())*($Q258&lt;=TODAY()+7)+ISNUMBER($R258)*($R258&gt;=TODAY())*($R258&lt;=TODAY()+7)+ISNUMBER($AA258)*($AA258&gt;=TODAY())*($AA258&lt;=TODAY()+7)+ISNUMBER($AB258)*($AB258&gt;=TODAY())*($AB258&lt;=TODAY()+7))</f>
        <v/>
      </c>
      <c r="L258" s="28">
        <f>IF(NOT(AND($A258&lt;&gt;"",OR($I258="",$I258="Active"))),"",IF($M258&lt;&gt;"",IF($N258=$M258,"Booking",IF($O258=$M258,"16/40",IF($P258=$M258,"25/40",IF($S258=$M258,"28/40",IF($T258=$M258,"31/40",IF($U258=$M258,"34/40",IF($V258=$M258,"36/40",IF($W258=$M258,"38/40",IF($X258=$M258,"40/40",IF($Y258=$M258,"41/40","")))))))))),IF(IF(OR(ISNUMBER($Y258),$Y258="DNA"),$Y258,IF(OR(ISNUMBER($X258),$X258="DNA"),$X258,IF(OR(ISNUMBER($W258),$W258="DNA"),$W258,IF(OR(ISNUMBER($V258),$V258="DNA"),$V258,IF(OR(ISNUMBER($U258),$U258="DNA"),$U258,IF(OR(ISNUMBER($T258),$T258="DNA"),$T258,IF(OR(ISNUMBER($S258),$S258="DNA"),$S258,IF(OR(ISNUMBER($P258),$P258="DNA"),$P258,IF(OR(ISNUMBER($O258),$O258="DNA"),$O258,IF(OR(ISNUMBER($N258),$N258="DNA"),$N258,""))))))))))="DNA","Rebook DNA",IF(ISNUMBER(IF(OR(ISNUMBER($Y258),$Y258="DNA"),$Y258,IF(OR(ISNUMBER($X258),$X258="DNA"),$X258,IF(OR(ISNUMBER($W258),$W258="DNA"),$W258,IF(OR(ISNUMBER($V258),$V258="DNA"),$V258,IF(OR(ISNUMBER($U258),$U258="DNA"),$U258,IF(OR(ISNUMBER($T258),$T258="DNA"),$T258,IF(OR(ISNUMBER($S258),$S258="DNA"),$S258,IF(OR(ISNUMBER($P258),$P258="DNA"),$P258,IF(OR(ISNUMBER($O258),$O258="DNA"),$O258,IF(OR(ISNUMBER($N258),$N258="DNA"),$N258,""))))))))))),IF(ISNUMBER($Y258),"Update status","Missed/not booked?"),""))))</f>
        <v/>
      </c>
      <c r="M258" s="29">
        <f>IF(NOT(AND($A258&lt;&gt;"",OR($I258="",$I258="Active"))),"",IF(MIN(IF(AND(ISNUMBER($N258),$N258&gt;=TODAY()),$N258,99999),IF(AND(ISNUMBER($O258),$O258&gt;=TODAY()),$O258,99999),IF(AND(ISNUMBER($P258),$P258&gt;=TODAY()),$P258,99999),IF(AND(ISNUMBER($S258),$S258&gt;=TODAY()),$S258,99999),IF(AND(ISNUMBER($T258),$T258&gt;=TODAY()),$T258,99999),IF(AND(ISNUMBER($U258),$U258&gt;=TODAY()),$U258,99999),IF(AND(ISNUMBER($V258),$V258&gt;=TODAY()),$V258,99999),IF(AND(ISNUMBER($W258),$W258&gt;=TODAY()),$W258,99999),IF(AND(ISNUMBER($X258),$X258&gt;=TODAY()),$X258,99999),IF(AND(ISNUMBER($Y258),$Y258&gt;=TODAY()),$Y258,99999))=99999,"",MIN(IF(AND(ISNUMBER($N258),$N258&gt;=TODAY()),$N258,99999),IF(AND(ISNUMBER($O258),$O258&gt;=TODAY()),$O258,99999),IF(AND(ISNUMBER($P258),$P258&gt;=TODAY()),$P258,99999),IF(AND(ISNUMBER($S258),$S258&gt;=TODAY()),$S258,99999),IF(AND(ISNUMBER($T258),$T258&gt;=TODAY()),$T258,99999),IF(AND(ISNUMBER($U258),$U258&gt;=TODAY()),$U258,99999),IF(AND(ISNUMBER($V258),$V258&gt;=TODAY()),$V258,99999),IF(AND(ISNUMBER($W258),$W258&gt;=TODAY()),$W258,99999),IF(AND(ISNUMBER($X258),$X258&gt;=TODAY()),$X258,99999),IF(AND(ISNUMBER($Y258),$Y258&gt;=TODAY()),$Y258,99999))))</f>
        <v/>
      </c>
      <c r="N258" s="27" t="n"/>
      <c r="O258" s="27" t="n"/>
      <c r="P258" s="27" t="n"/>
      <c r="Q258" s="27" t="n"/>
      <c r="R258" s="27" t="n"/>
      <c r="S258" s="27" t="n"/>
      <c r="T258" s="27" t="n"/>
      <c r="U258" s="27" t="n"/>
      <c r="V258" s="27" t="n"/>
      <c r="W258" s="27" t="n"/>
      <c r="X258" s="27" t="n"/>
      <c r="Y258" s="27" t="n"/>
      <c r="Z258" s="27" t="n"/>
      <c r="AA258" s="27" t="n"/>
      <c r="AB258" s="27" t="n"/>
      <c r="AC258" s="30" t="n"/>
      <c r="AD258" s="25" t="n"/>
      <c r="AE258" s="28">
        <f>IF(NOT(AND($A258&lt;&gt;"",OR($I258="",$I258="Active"))),"",IF(OR(IF(OR(ISNUMBER($Y258),$Y258="DNA"),$Y258,IF(OR(ISNUMBER($X258),$X258="DNA"),$X258,IF(OR(ISNUMBER($W258),$W258="DNA"),$W258,IF(OR(ISNUMBER($V258),$V258="DNA"),$V258,IF(OR(ISNUMBER($U258),$U258="DNA"),$U258,IF(OR(ISNUMBER($T258),$T258="DNA"),$T258,IF(OR(ISNUMBER($S258),$S258="DNA"),$S258,IF(OR(ISNUMBER($P258),$P258="DNA"),$P258,IF(OR(ISNUMBER($O258),$O258="DNA"),$O258,IF(OR(ISNUMBER($N258),$N258="DNA"),$N258,""))))))))))="DNA",AND(ISNUMBER(IF(OR(ISNUMBER($Y258),$Y258="DNA"),$Y258,IF(OR(ISNUMBER($X258),$X258="DNA"),$X258,IF(OR(ISNUMBER($W258),$W258="DNA"),$W258,IF(OR(ISNUMBER($V258),$V258="DNA"),$V258,IF(OR(ISNUMBER($U258),$U258="DNA"),$U258,IF(OR(ISNUMBER($T258),$T258="DNA"),$T258,IF(OR(ISNUMBER($S258),$S258="DNA"),$S258,IF(OR(ISNUMBER($P258),$P258="DNA"),$P258,IF(OR(ISNUMBER($O258),$O258="DNA"),$O258,IF(OR(ISNUMBER($N258),$N258="DNA"),$N258,""))))))))))),IF(OR(ISNUMBER($Y258),$Y258="DNA"),$Y258,IF(OR(ISNUMBER($X258),$X258="DNA"),$X258,IF(OR(ISNUMBER($W258),$W258="DNA"),$W258,IF(OR(ISNUMBER($V258),$V258="DNA"),$V258,IF(OR(ISNUMBER($U258),$U258="DNA"),$U258,IF(OR(ISNUMBER($T258),$T258="DNA"),$T258,IF(OR(ISNUMBER($S258),$S258="DNA"),$S258,IF(OR(ISNUMBER($P258),$P258="DNA"),$P258,IF(OR(ISNUMBER($O258),$O258="DNA"),$O258,IF(OR(ISNUMBER($N258),$N258="DNA"),$N258,""))))))))))&lt;TODAY())),1,0)+ISNUMBER($Q258)*($Q258&lt;TODAY())+ISNUMBER($R258)*($R258&lt;TODAY())+ISNUMBER($AA258)*($AA258&lt;TODAY())+ISNUMBER($AB258)*($AB258&lt;TODAY()))</f>
        <v/>
      </c>
    </row>
    <row r="259">
      <c r="A259" s="25" t="n"/>
      <c r="B259" s="26" t="n"/>
      <c r="C259" s="27" t="n"/>
      <c r="D259" s="25" t="n"/>
      <c r="E259" s="25" t="n"/>
      <c r="F259" s="25" t="n"/>
      <c r="G259" s="25" t="n"/>
      <c r="H259" s="27" t="n"/>
      <c r="I259" s="25" t="n"/>
      <c r="J259" s="28">
        <f>IF(OR(NOT(AND($A259&lt;&gt;"",OR($I259="",$I259="Active"))),$H259=""),"",INT((TODAY()-$H259+280)/7)&amp;"+"&amp;MOD(TODAY()-$H259+280,7))</f>
        <v/>
      </c>
      <c r="K259" s="28">
        <f>IF(NOT(AND($A259&lt;&gt;"",OR($I259="",$I259="Active"))),"",ISNUMBER($N259)*($N259&gt;=TODAY())*($N259&lt;=TODAY()+7)+ISNUMBER($O259)*($O259&gt;=TODAY())*($O259&lt;=TODAY()+7)+ISNUMBER($P259)*($P259&gt;=TODAY())*($P259&lt;=TODAY()+7)+ISNUMBER($S259)*($S259&gt;=TODAY())*($S259&lt;=TODAY()+7)+ISNUMBER($T259)*($T259&gt;=TODAY())*($T259&lt;=TODAY()+7)+ISNUMBER($U259)*($U259&gt;=TODAY())*($U259&lt;=TODAY()+7)+ISNUMBER($V259)*($V259&gt;=TODAY())*($V259&lt;=TODAY()+7)+ISNUMBER($W259)*($W259&gt;=TODAY())*($W259&lt;=TODAY()+7)+ISNUMBER($X259)*($X259&gt;=TODAY())*($X259&lt;=TODAY()+7)+ISNUMBER($Y259)*($Y259&gt;=TODAY())*($Y259&lt;=TODAY()+7)+ISNUMBER($Q259)*($Q259&gt;=TODAY())*($Q259&lt;=TODAY()+7)+ISNUMBER($R259)*($R259&gt;=TODAY())*($R259&lt;=TODAY()+7)+ISNUMBER($AA259)*($AA259&gt;=TODAY())*($AA259&lt;=TODAY()+7)+ISNUMBER($AB259)*($AB259&gt;=TODAY())*($AB259&lt;=TODAY()+7))</f>
        <v/>
      </c>
      <c r="L259" s="28">
        <f>IF(NOT(AND($A259&lt;&gt;"",OR($I259="",$I259="Active"))),"",IF($M259&lt;&gt;"",IF($N259=$M259,"Booking",IF($O259=$M259,"16/40",IF($P259=$M259,"25/40",IF($S259=$M259,"28/40",IF($T259=$M259,"31/40",IF($U259=$M259,"34/40",IF($V259=$M259,"36/40",IF($W259=$M259,"38/40",IF($X259=$M259,"40/40",IF($Y259=$M259,"41/40","")))))))))),IF(IF(OR(ISNUMBER($Y259),$Y259="DNA"),$Y259,IF(OR(ISNUMBER($X259),$X259="DNA"),$X259,IF(OR(ISNUMBER($W259),$W259="DNA"),$W259,IF(OR(ISNUMBER($V259),$V259="DNA"),$V259,IF(OR(ISNUMBER($U259),$U259="DNA"),$U259,IF(OR(ISNUMBER($T259),$T259="DNA"),$T259,IF(OR(ISNUMBER($S259),$S259="DNA"),$S259,IF(OR(ISNUMBER($P259),$P259="DNA"),$P259,IF(OR(ISNUMBER($O259),$O259="DNA"),$O259,IF(OR(ISNUMBER($N259),$N259="DNA"),$N259,""))))))))))="DNA","Rebook DNA",IF(ISNUMBER(IF(OR(ISNUMBER($Y259),$Y259="DNA"),$Y259,IF(OR(ISNUMBER($X259),$X259="DNA"),$X259,IF(OR(ISNUMBER($W259),$W259="DNA"),$W259,IF(OR(ISNUMBER($V259),$V259="DNA"),$V259,IF(OR(ISNUMBER($U259),$U259="DNA"),$U259,IF(OR(ISNUMBER($T259),$T259="DNA"),$T259,IF(OR(ISNUMBER($S259),$S259="DNA"),$S259,IF(OR(ISNUMBER($P259),$P259="DNA"),$P259,IF(OR(ISNUMBER($O259),$O259="DNA"),$O259,IF(OR(ISNUMBER($N259),$N259="DNA"),$N259,""))))))))))),IF(ISNUMBER($Y259),"Update status","Missed/not booked?"),""))))</f>
        <v/>
      </c>
      <c r="M259" s="29">
        <f>IF(NOT(AND($A259&lt;&gt;"",OR($I259="",$I259="Active"))),"",IF(MIN(IF(AND(ISNUMBER($N259),$N259&gt;=TODAY()),$N259,99999),IF(AND(ISNUMBER($O259),$O259&gt;=TODAY()),$O259,99999),IF(AND(ISNUMBER($P259),$P259&gt;=TODAY()),$P259,99999),IF(AND(ISNUMBER($S259),$S259&gt;=TODAY()),$S259,99999),IF(AND(ISNUMBER($T259),$T259&gt;=TODAY()),$T259,99999),IF(AND(ISNUMBER($U259),$U259&gt;=TODAY()),$U259,99999),IF(AND(ISNUMBER($V259),$V259&gt;=TODAY()),$V259,99999),IF(AND(ISNUMBER($W259),$W259&gt;=TODAY()),$W259,99999),IF(AND(ISNUMBER($X259),$X259&gt;=TODAY()),$X259,99999),IF(AND(ISNUMBER($Y259),$Y259&gt;=TODAY()),$Y259,99999))=99999,"",MIN(IF(AND(ISNUMBER($N259),$N259&gt;=TODAY()),$N259,99999),IF(AND(ISNUMBER($O259),$O259&gt;=TODAY()),$O259,99999),IF(AND(ISNUMBER($P259),$P259&gt;=TODAY()),$P259,99999),IF(AND(ISNUMBER($S259),$S259&gt;=TODAY()),$S259,99999),IF(AND(ISNUMBER($T259),$T259&gt;=TODAY()),$T259,99999),IF(AND(ISNUMBER($U259),$U259&gt;=TODAY()),$U259,99999),IF(AND(ISNUMBER($V259),$V259&gt;=TODAY()),$V259,99999),IF(AND(ISNUMBER($W259),$W259&gt;=TODAY()),$W259,99999),IF(AND(ISNUMBER($X259),$X259&gt;=TODAY()),$X259,99999),IF(AND(ISNUMBER($Y259),$Y259&gt;=TODAY()),$Y259,99999))))</f>
        <v/>
      </c>
      <c r="N259" s="27" t="n"/>
      <c r="O259" s="27" t="n"/>
      <c r="P259" s="27" t="n"/>
      <c r="Q259" s="27" t="n"/>
      <c r="R259" s="27" t="n"/>
      <c r="S259" s="27" t="n"/>
      <c r="T259" s="27" t="n"/>
      <c r="U259" s="27" t="n"/>
      <c r="V259" s="27" t="n"/>
      <c r="W259" s="27" t="n"/>
      <c r="X259" s="27" t="n"/>
      <c r="Y259" s="27" t="n"/>
      <c r="Z259" s="27" t="n"/>
      <c r="AA259" s="27" t="n"/>
      <c r="AB259" s="27" t="n"/>
      <c r="AC259" s="30" t="n"/>
      <c r="AD259" s="25" t="n"/>
      <c r="AE259" s="28">
        <f>IF(NOT(AND($A259&lt;&gt;"",OR($I259="",$I259="Active"))),"",IF(OR(IF(OR(ISNUMBER($Y259),$Y259="DNA"),$Y259,IF(OR(ISNUMBER($X259),$X259="DNA"),$X259,IF(OR(ISNUMBER($W259),$W259="DNA"),$W259,IF(OR(ISNUMBER($V259),$V259="DNA"),$V259,IF(OR(ISNUMBER($U259),$U259="DNA"),$U259,IF(OR(ISNUMBER($T259),$T259="DNA"),$T259,IF(OR(ISNUMBER($S259),$S259="DNA"),$S259,IF(OR(ISNUMBER($P259),$P259="DNA"),$P259,IF(OR(ISNUMBER($O259),$O259="DNA"),$O259,IF(OR(ISNUMBER($N259),$N259="DNA"),$N259,""))))))))))="DNA",AND(ISNUMBER(IF(OR(ISNUMBER($Y259),$Y259="DNA"),$Y259,IF(OR(ISNUMBER($X259),$X259="DNA"),$X259,IF(OR(ISNUMBER($W259),$W259="DNA"),$W259,IF(OR(ISNUMBER($V259),$V259="DNA"),$V259,IF(OR(ISNUMBER($U259),$U259="DNA"),$U259,IF(OR(ISNUMBER($T259),$T259="DNA"),$T259,IF(OR(ISNUMBER($S259),$S259="DNA"),$S259,IF(OR(ISNUMBER($P259),$P259="DNA"),$P259,IF(OR(ISNUMBER($O259),$O259="DNA"),$O259,IF(OR(ISNUMBER($N259),$N259="DNA"),$N259,""))))))))))),IF(OR(ISNUMBER($Y259),$Y259="DNA"),$Y259,IF(OR(ISNUMBER($X259),$X259="DNA"),$X259,IF(OR(ISNUMBER($W259),$W259="DNA"),$W259,IF(OR(ISNUMBER($V259),$V259="DNA"),$V259,IF(OR(ISNUMBER($U259),$U259="DNA"),$U259,IF(OR(ISNUMBER($T259),$T259="DNA"),$T259,IF(OR(ISNUMBER($S259),$S259="DNA"),$S259,IF(OR(ISNUMBER($P259),$P259="DNA"),$P259,IF(OR(ISNUMBER($O259),$O259="DNA"),$O259,IF(OR(ISNUMBER($N259),$N259="DNA"),$N259,""))))))))))&lt;TODAY())),1,0)+ISNUMBER($Q259)*($Q259&lt;TODAY())+ISNUMBER($R259)*($R259&lt;TODAY())+ISNUMBER($AA259)*($AA259&lt;TODAY())+ISNUMBER($AB259)*($AB259&lt;TODAY()))</f>
        <v/>
      </c>
    </row>
    <row r="260">
      <c r="A260" s="25" t="n"/>
      <c r="B260" s="26" t="n"/>
      <c r="C260" s="27" t="n"/>
      <c r="D260" s="25" t="n"/>
      <c r="E260" s="25" t="n"/>
      <c r="F260" s="25" t="n"/>
      <c r="G260" s="25" t="n"/>
      <c r="H260" s="27" t="n"/>
      <c r="I260" s="25" t="n"/>
      <c r="J260" s="28">
        <f>IF(OR(NOT(AND($A260&lt;&gt;"",OR($I260="",$I260="Active"))),$H260=""),"",INT((TODAY()-$H260+280)/7)&amp;"+"&amp;MOD(TODAY()-$H260+280,7))</f>
        <v/>
      </c>
      <c r="K260" s="28">
        <f>IF(NOT(AND($A260&lt;&gt;"",OR($I260="",$I260="Active"))),"",ISNUMBER($N260)*($N260&gt;=TODAY())*($N260&lt;=TODAY()+7)+ISNUMBER($O260)*($O260&gt;=TODAY())*($O260&lt;=TODAY()+7)+ISNUMBER($P260)*($P260&gt;=TODAY())*($P260&lt;=TODAY()+7)+ISNUMBER($S260)*($S260&gt;=TODAY())*($S260&lt;=TODAY()+7)+ISNUMBER($T260)*($T260&gt;=TODAY())*($T260&lt;=TODAY()+7)+ISNUMBER($U260)*($U260&gt;=TODAY())*($U260&lt;=TODAY()+7)+ISNUMBER($V260)*($V260&gt;=TODAY())*($V260&lt;=TODAY()+7)+ISNUMBER($W260)*($W260&gt;=TODAY())*($W260&lt;=TODAY()+7)+ISNUMBER($X260)*($X260&gt;=TODAY())*($X260&lt;=TODAY()+7)+ISNUMBER($Y260)*($Y260&gt;=TODAY())*($Y260&lt;=TODAY()+7)+ISNUMBER($Q260)*($Q260&gt;=TODAY())*($Q260&lt;=TODAY()+7)+ISNUMBER($R260)*($R260&gt;=TODAY())*($R260&lt;=TODAY()+7)+ISNUMBER($AA260)*($AA260&gt;=TODAY())*($AA260&lt;=TODAY()+7)+ISNUMBER($AB260)*($AB260&gt;=TODAY())*($AB260&lt;=TODAY()+7))</f>
        <v/>
      </c>
      <c r="L260" s="28">
        <f>IF(NOT(AND($A260&lt;&gt;"",OR($I260="",$I260="Active"))),"",IF($M260&lt;&gt;"",IF($N260=$M260,"Booking",IF($O260=$M260,"16/40",IF($P260=$M260,"25/40",IF($S260=$M260,"28/40",IF($T260=$M260,"31/40",IF($U260=$M260,"34/40",IF($V260=$M260,"36/40",IF($W260=$M260,"38/40",IF($X260=$M260,"40/40",IF($Y260=$M260,"41/40","")))))))))),IF(IF(OR(ISNUMBER($Y260),$Y260="DNA"),$Y260,IF(OR(ISNUMBER($X260),$X260="DNA"),$X260,IF(OR(ISNUMBER($W260),$W260="DNA"),$W260,IF(OR(ISNUMBER($V260),$V260="DNA"),$V260,IF(OR(ISNUMBER($U260),$U260="DNA"),$U260,IF(OR(ISNUMBER($T260),$T260="DNA"),$T260,IF(OR(ISNUMBER($S260),$S260="DNA"),$S260,IF(OR(ISNUMBER($P260),$P260="DNA"),$P260,IF(OR(ISNUMBER($O260),$O260="DNA"),$O260,IF(OR(ISNUMBER($N260),$N260="DNA"),$N260,""))))))))))="DNA","Rebook DNA",IF(ISNUMBER(IF(OR(ISNUMBER($Y260),$Y260="DNA"),$Y260,IF(OR(ISNUMBER($X260),$X260="DNA"),$X260,IF(OR(ISNUMBER($W260),$W260="DNA"),$W260,IF(OR(ISNUMBER($V260),$V260="DNA"),$V260,IF(OR(ISNUMBER($U260),$U260="DNA"),$U260,IF(OR(ISNUMBER($T260),$T260="DNA"),$T260,IF(OR(ISNUMBER($S260),$S260="DNA"),$S260,IF(OR(ISNUMBER($P260),$P260="DNA"),$P260,IF(OR(ISNUMBER($O260),$O260="DNA"),$O260,IF(OR(ISNUMBER($N260),$N260="DNA"),$N260,""))))))))))),IF(ISNUMBER($Y260),"Update status","Missed/not booked?"),""))))</f>
        <v/>
      </c>
      <c r="M260" s="29">
        <f>IF(NOT(AND($A260&lt;&gt;"",OR($I260="",$I260="Active"))),"",IF(MIN(IF(AND(ISNUMBER($N260),$N260&gt;=TODAY()),$N260,99999),IF(AND(ISNUMBER($O260),$O260&gt;=TODAY()),$O260,99999),IF(AND(ISNUMBER($P260),$P260&gt;=TODAY()),$P260,99999),IF(AND(ISNUMBER($S260),$S260&gt;=TODAY()),$S260,99999),IF(AND(ISNUMBER($T260),$T260&gt;=TODAY()),$T260,99999),IF(AND(ISNUMBER($U260),$U260&gt;=TODAY()),$U260,99999),IF(AND(ISNUMBER($V260),$V260&gt;=TODAY()),$V260,99999),IF(AND(ISNUMBER($W260),$W260&gt;=TODAY()),$W260,99999),IF(AND(ISNUMBER($X260),$X260&gt;=TODAY()),$X260,99999),IF(AND(ISNUMBER($Y260),$Y260&gt;=TODAY()),$Y260,99999))=99999,"",MIN(IF(AND(ISNUMBER($N260),$N260&gt;=TODAY()),$N260,99999),IF(AND(ISNUMBER($O260),$O260&gt;=TODAY()),$O260,99999),IF(AND(ISNUMBER($P260),$P260&gt;=TODAY()),$P260,99999),IF(AND(ISNUMBER($S260),$S260&gt;=TODAY()),$S260,99999),IF(AND(ISNUMBER($T260),$T260&gt;=TODAY()),$T260,99999),IF(AND(ISNUMBER($U260),$U260&gt;=TODAY()),$U260,99999),IF(AND(ISNUMBER($V260),$V260&gt;=TODAY()),$V260,99999),IF(AND(ISNUMBER($W260),$W260&gt;=TODAY()),$W260,99999),IF(AND(ISNUMBER($X260),$X260&gt;=TODAY()),$X260,99999),IF(AND(ISNUMBER($Y260),$Y260&gt;=TODAY()),$Y260,99999))))</f>
        <v/>
      </c>
      <c r="N260" s="27" t="n"/>
      <c r="O260" s="27" t="n"/>
      <c r="P260" s="27" t="n"/>
      <c r="Q260" s="27" t="n"/>
      <c r="R260" s="27" t="n"/>
      <c r="S260" s="27" t="n"/>
      <c r="T260" s="27" t="n"/>
      <c r="U260" s="27" t="n"/>
      <c r="V260" s="27" t="n"/>
      <c r="W260" s="27" t="n"/>
      <c r="X260" s="27" t="n"/>
      <c r="Y260" s="27" t="n"/>
      <c r="Z260" s="27" t="n"/>
      <c r="AA260" s="27" t="n"/>
      <c r="AB260" s="27" t="n"/>
      <c r="AC260" s="30" t="n"/>
      <c r="AD260" s="25" t="n"/>
      <c r="AE260" s="28">
        <f>IF(NOT(AND($A260&lt;&gt;"",OR($I260="",$I260="Active"))),"",IF(OR(IF(OR(ISNUMBER($Y260),$Y260="DNA"),$Y260,IF(OR(ISNUMBER($X260),$X260="DNA"),$X260,IF(OR(ISNUMBER($W260),$W260="DNA"),$W260,IF(OR(ISNUMBER($V260),$V260="DNA"),$V260,IF(OR(ISNUMBER($U260),$U260="DNA"),$U260,IF(OR(ISNUMBER($T260),$T260="DNA"),$T260,IF(OR(ISNUMBER($S260),$S260="DNA"),$S260,IF(OR(ISNUMBER($P260),$P260="DNA"),$P260,IF(OR(ISNUMBER($O260),$O260="DNA"),$O260,IF(OR(ISNUMBER($N260),$N260="DNA"),$N260,""))))))))))="DNA",AND(ISNUMBER(IF(OR(ISNUMBER($Y260),$Y260="DNA"),$Y260,IF(OR(ISNUMBER($X260),$X260="DNA"),$X260,IF(OR(ISNUMBER($W260),$W260="DNA"),$W260,IF(OR(ISNUMBER($V260),$V260="DNA"),$V260,IF(OR(ISNUMBER($U260),$U260="DNA"),$U260,IF(OR(ISNUMBER($T260),$T260="DNA"),$T260,IF(OR(ISNUMBER($S260),$S260="DNA"),$S260,IF(OR(ISNUMBER($P260),$P260="DNA"),$P260,IF(OR(ISNUMBER($O260),$O260="DNA"),$O260,IF(OR(ISNUMBER($N260),$N260="DNA"),$N260,""))))))))))),IF(OR(ISNUMBER($Y260),$Y260="DNA"),$Y260,IF(OR(ISNUMBER($X260),$X260="DNA"),$X260,IF(OR(ISNUMBER($W260),$W260="DNA"),$W260,IF(OR(ISNUMBER($V260),$V260="DNA"),$V260,IF(OR(ISNUMBER($U260),$U260="DNA"),$U260,IF(OR(ISNUMBER($T260),$T260="DNA"),$T260,IF(OR(ISNUMBER($S260),$S260="DNA"),$S260,IF(OR(ISNUMBER($P260),$P260="DNA"),$P260,IF(OR(ISNUMBER($O260),$O260="DNA"),$O260,IF(OR(ISNUMBER($N260),$N260="DNA"),$N260,""))))))))))&lt;TODAY())),1,0)+ISNUMBER($Q260)*($Q260&lt;TODAY())+ISNUMBER($R260)*($R260&lt;TODAY())+ISNUMBER($AA260)*($AA260&lt;TODAY())+ISNUMBER($AB260)*($AB260&lt;TODAY()))</f>
        <v/>
      </c>
    </row>
    <row r="261">
      <c r="A261" s="25" t="n"/>
      <c r="B261" s="26" t="n"/>
      <c r="C261" s="27" t="n"/>
      <c r="D261" s="25" t="n"/>
      <c r="E261" s="25" t="n"/>
      <c r="F261" s="25" t="n"/>
      <c r="G261" s="25" t="n"/>
      <c r="H261" s="27" t="n"/>
      <c r="I261" s="25" t="n"/>
      <c r="J261" s="28">
        <f>IF(OR(NOT(AND($A261&lt;&gt;"",OR($I261="",$I261="Active"))),$H261=""),"",INT((TODAY()-$H261+280)/7)&amp;"+"&amp;MOD(TODAY()-$H261+280,7))</f>
        <v/>
      </c>
      <c r="K261" s="28">
        <f>IF(NOT(AND($A261&lt;&gt;"",OR($I261="",$I261="Active"))),"",ISNUMBER($N261)*($N261&gt;=TODAY())*($N261&lt;=TODAY()+7)+ISNUMBER($O261)*($O261&gt;=TODAY())*($O261&lt;=TODAY()+7)+ISNUMBER($P261)*($P261&gt;=TODAY())*($P261&lt;=TODAY()+7)+ISNUMBER($S261)*($S261&gt;=TODAY())*($S261&lt;=TODAY()+7)+ISNUMBER($T261)*($T261&gt;=TODAY())*($T261&lt;=TODAY()+7)+ISNUMBER($U261)*($U261&gt;=TODAY())*($U261&lt;=TODAY()+7)+ISNUMBER($V261)*($V261&gt;=TODAY())*($V261&lt;=TODAY()+7)+ISNUMBER($W261)*($W261&gt;=TODAY())*($W261&lt;=TODAY()+7)+ISNUMBER($X261)*($X261&gt;=TODAY())*($X261&lt;=TODAY()+7)+ISNUMBER($Y261)*($Y261&gt;=TODAY())*($Y261&lt;=TODAY()+7)+ISNUMBER($Q261)*($Q261&gt;=TODAY())*($Q261&lt;=TODAY()+7)+ISNUMBER($R261)*($R261&gt;=TODAY())*($R261&lt;=TODAY()+7)+ISNUMBER($AA261)*($AA261&gt;=TODAY())*($AA261&lt;=TODAY()+7)+ISNUMBER($AB261)*($AB261&gt;=TODAY())*($AB261&lt;=TODAY()+7))</f>
        <v/>
      </c>
      <c r="L261" s="28">
        <f>IF(NOT(AND($A261&lt;&gt;"",OR($I261="",$I261="Active"))),"",IF($M261&lt;&gt;"",IF($N261=$M261,"Booking",IF($O261=$M261,"16/40",IF($P261=$M261,"25/40",IF($S261=$M261,"28/40",IF($T261=$M261,"31/40",IF($U261=$M261,"34/40",IF($V261=$M261,"36/40",IF($W261=$M261,"38/40",IF($X261=$M261,"40/40",IF($Y261=$M261,"41/40","")))))))))),IF(IF(OR(ISNUMBER($Y261),$Y261="DNA"),$Y261,IF(OR(ISNUMBER($X261),$X261="DNA"),$X261,IF(OR(ISNUMBER($W261),$W261="DNA"),$W261,IF(OR(ISNUMBER($V261),$V261="DNA"),$V261,IF(OR(ISNUMBER($U261),$U261="DNA"),$U261,IF(OR(ISNUMBER($T261),$T261="DNA"),$T261,IF(OR(ISNUMBER($S261),$S261="DNA"),$S261,IF(OR(ISNUMBER($P261),$P261="DNA"),$P261,IF(OR(ISNUMBER($O261),$O261="DNA"),$O261,IF(OR(ISNUMBER($N261),$N261="DNA"),$N261,""))))))))))="DNA","Rebook DNA",IF(ISNUMBER(IF(OR(ISNUMBER($Y261),$Y261="DNA"),$Y261,IF(OR(ISNUMBER($X261),$X261="DNA"),$X261,IF(OR(ISNUMBER($W261),$W261="DNA"),$W261,IF(OR(ISNUMBER($V261),$V261="DNA"),$V261,IF(OR(ISNUMBER($U261),$U261="DNA"),$U261,IF(OR(ISNUMBER($T261),$T261="DNA"),$T261,IF(OR(ISNUMBER($S261),$S261="DNA"),$S261,IF(OR(ISNUMBER($P261),$P261="DNA"),$P261,IF(OR(ISNUMBER($O261),$O261="DNA"),$O261,IF(OR(ISNUMBER($N261),$N261="DNA"),$N261,""))))))))))),IF(ISNUMBER($Y261),"Update status","Missed/not booked?"),""))))</f>
        <v/>
      </c>
      <c r="M261" s="29">
        <f>IF(NOT(AND($A261&lt;&gt;"",OR($I261="",$I261="Active"))),"",IF(MIN(IF(AND(ISNUMBER($N261),$N261&gt;=TODAY()),$N261,99999),IF(AND(ISNUMBER($O261),$O261&gt;=TODAY()),$O261,99999),IF(AND(ISNUMBER($P261),$P261&gt;=TODAY()),$P261,99999),IF(AND(ISNUMBER($S261),$S261&gt;=TODAY()),$S261,99999),IF(AND(ISNUMBER($T261),$T261&gt;=TODAY()),$T261,99999),IF(AND(ISNUMBER($U261),$U261&gt;=TODAY()),$U261,99999),IF(AND(ISNUMBER($V261),$V261&gt;=TODAY()),$V261,99999),IF(AND(ISNUMBER($W261),$W261&gt;=TODAY()),$W261,99999),IF(AND(ISNUMBER($X261),$X261&gt;=TODAY()),$X261,99999),IF(AND(ISNUMBER($Y261),$Y261&gt;=TODAY()),$Y261,99999))=99999,"",MIN(IF(AND(ISNUMBER($N261),$N261&gt;=TODAY()),$N261,99999),IF(AND(ISNUMBER($O261),$O261&gt;=TODAY()),$O261,99999),IF(AND(ISNUMBER($P261),$P261&gt;=TODAY()),$P261,99999),IF(AND(ISNUMBER($S261),$S261&gt;=TODAY()),$S261,99999),IF(AND(ISNUMBER($T261),$T261&gt;=TODAY()),$T261,99999),IF(AND(ISNUMBER($U261),$U261&gt;=TODAY()),$U261,99999),IF(AND(ISNUMBER($V261),$V261&gt;=TODAY()),$V261,99999),IF(AND(ISNUMBER($W261),$W261&gt;=TODAY()),$W261,99999),IF(AND(ISNUMBER($X261),$X261&gt;=TODAY()),$X261,99999),IF(AND(ISNUMBER($Y261),$Y261&gt;=TODAY()),$Y261,99999))))</f>
        <v/>
      </c>
      <c r="N261" s="27" t="n"/>
      <c r="O261" s="27" t="n"/>
      <c r="P261" s="27" t="n"/>
      <c r="Q261" s="27" t="n"/>
      <c r="R261" s="27" t="n"/>
      <c r="S261" s="27" t="n"/>
      <c r="T261" s="27" t="n"/>
      <c r="U261" s="27" t="n"/>
      <c r="V261" s="27" t="n"/>
      <c r="W261" s="27" t="n"/>
      <c r="X261" s="27" t="n"/>
      <c r="Y261" s="27" t="n"/>
      <c r="Z261" s="27" t="n"/>
      <c r="AA261" s="27" t="n"/>
      <c r="AB261" s="27" t="n"/>
      <c r="AC261" s="30" t="n"/>
      <c r="AD261" s="25" t="n"/>
      <c r="AE261" s="28">
        <f>IF(NOT(AND($A261&lt;&gt;"",OR($I261="",$I261="Active"))),"",IF(OR(IF(OR(ISNUMBER($Y261),$Y261="DNA"),$Y261,IF(OR(ISNUMBER($X261),$X261="DNA"),$X261,IF(OR(ISNUMBER($W261),$W261="DNA"),$W261,IF(OR(ISNUMBER($V261),$V261="DNA"),$V261,IF(OR(ISNUMBER($U261),$U261="DNA"),$U261,IF(OR(ISNUMBER($T261),$T261="DNA"),$T261,IF(OR(ISNUMBER($S261),$S261="DNA"),$S261,IF(OR(ISNUMBER($P261),$P261="DNA"),$P261,IF(OR(ISNUMBER($O261),$O261="DNA"),$O261,IF(OR(ISNUMBER($N261),$N261="DNA"),$N261,""))))))))))="DNA",AND(ISNUMBER(IF(OR(ISNUMBER($Y261),$Y261="DNA"),$Y261,IF(OR(ISNUMBER($X261),$X261="DNA"),$X261,IF(OR(ISNUMBER($W261),$W261="DNA"),$W261,IF(OR(ISNUMBER($V261),$V261="DNA"),$V261,IF(OR(ISNUMBER($U261),$U261="DNA"),$U261,IF(OR(ISNUMBER($T261),$T261="DNA"),$T261,IF(OR(ISNUMBER($S261),$S261="DNA"),$S261,IF(OR(ISNUMBER($P261),$P261="DNA"),$P261,IF(OR(ISNUMBER($O261),$O261="DNA"),$O261,IF(OR(ISNUMBER($N261),$N261="DNA"),$N261,""))))))))))),IF(OR(ISNUMBER($Y261),$Y261="DNA"),$Y261,IF(OR(ISNUMBER($X261),$X261="DNA"),$X261,IF(OR(ISNUMBER($W261),$W261="DNA"),$W261,IF(OR(ISNUMBER($V261),$V261="DNA"),$V261,IF(OR(ISNUMBER($U261),$U261="DNA"),$U261,IF(OR(ISNUMBER($T261),$T261="DNA"),$T261,IF(OR(ISNUMBER($S261),$S261="DNA"),$S261,IF(OR(ISNUMBER($P261),$P261="DNA"),$P261,IF(OR(ISNUMBER($O261),$O261="DNA"),$O261,IF(OR(ISNUMBER($N261),$N261="DNA"),$N261,""))))))))))&lt;TODAY())),1,0)+ISNUMBER($Q261)*($Q261&lt;TODAY())+ISNUMBER($R261)*($R261&lt;TODAY())+ISNUMBER($AA261)*($AA261&lt;TODAY())+ISNUMBER($AB261)*($AB261&lt;TODAY()))</f>
        <v/>
      </c>
    </row>
    <row r="262">
      <c r="A262" s="25" t="n"/>
      <c r="B262" s="26" t="n"/>
      <c r="C262" s="27" t="n"/>
      <c r="D262" s="25" t="n"/>
      <c r="E262" s="25" t="n"/>
      <c r="F262" s="25" t="n"/>
      <c r="G262" s="25" t="n"/>
      <c r="H262" s="27" t="n"/>
      <c r="I262" s="25" t="n"/>
      <c r="J262" s="28">
        <f>IF(OR(NOT(AND($A262&lt;&gt;"",OR($I262="",$I262="Active"))),$H262=""),"",INT((TODAY()-$H262+280)/7)&amp;"+"&amp;MOD(TODAY()-$H262+280,7))</f>
        <v/>
      </c>
      <c r="K262" s="28">
        <f>IF(NOT(AND($A262&lt;&gt;"",OR($I262="",$I262="Active"))),"",ISNUMBER($N262)*($N262&gt;=TODAY())*($N262&lt;=TODAY()+7)+ISNUMBER($O262)*($O262&gt;=TODAY())*($O262&lt;=TODAY()+7)+ISNUMBER($P262)*($P262&gt;=TODAY())*($P262&lt;=TODAY()+7)+ISNUMBER($S262)*($S262&gt;=TODAY())*($S262&lt;=TODAY()+7)+ISNUMBER($T262)*($T262&gt;=TODAY())*($T262&lt;=TODAY()+7)+ISNUMBER($U262)*($U262&gt;=TODAY())*($U262&lt;=TODAY()+7)+ISNUMBER($V262)*($V262&gt;=TODAY())*($V262&lt;=TODAY()+7)+ISNUMBER($W262)*($W262&gt;=TODAY())*($W262&lt;=TODAY()+7)+ISNUMBER($X262)*($X262&gt;=TODAY())*($X262&lt;=TODAY()+7)+ISNUMBER($Y262)*($Y262&gt;=TODAY())*($Y262&lt;=TODAY()+7)+ISNUMBER($Q262)*($Q262&gt;=TODAY())*($Q262&lt;=TODAY()+7)+ISNUMBER($R262)*($R262&gt;=TODAY())*($R262&lt;=TODAY()+7)+ISNUMBER($AA262)*($AA262&gt;=TODAY())*($AA262&lt;=TODAY()+7)+ISNUMBER($AB262)*($AB262&gt;=TODAY())*($AB262&lt;=TODAY()+7))</f>
        <v/>
      </c>
      <c r="L262" s="28">
        <f>IF(NOT(AND($A262&lt;&gt;"",OR($I262="",$I262="Active"))),"",IF($M262&lt;&gt;"",IF($N262=$M262,"Booking",IF($O262=$M262,"16/40",IF($P262=$M262,"25/40",IF($S262=$M262,"28/40",IF($T262=$M262,"31/40",IF($U262=$M262,"34/40",IF($V262=$M262,"36/40",IF($W262=$M262,"38/40",IF($X262=$M262,"40/40",IF($Y262=$M262,"41/40","")))))))))),IF(IF(OR(ISNUMBER($Y262),$Y262="DNA"),$Y262,IF(OR(ISNUMBER($X262),$X262="DNA"),$X262,IF(OR(ISNUMBER($W262),$W262="DNA"),$W262,IF(OR(ISNUMBER($V262),$V262="DNA"),$V262,IF(OR(ISNUMBER($U262),$U262="DNA"),$U262,IF(OR(ISNUMBER($T262),$T262="DNA"),$T262,IF(OR(ISNUMBER($S262),$S262="DNA"),$S262,IF(OR(ISNUMBER($P262),$P262="DNA"),$P262,IF(OR(ISNUMBER($O262),$O262="DNA"),$O262,IF(OR(ISNUMBER($N262),$N262="DNA"),$N262,""))))))))))="DNA","Rebook DNA",IF(ISNUMBER(IF(OR(ISNUMBER($Y262),$Y262="DNA"),$Y262,IF(OR(ISNUMBER($X262),$X262="DNA"),$X262,IF(OR(ISNUMBER($W262),$W262="DNA"),$W262,IF(OR(ISNUMBER($V262),$V262="DNA"),$V262,IF(OR(ISNUMBER($U262),$U262="DNA"),$U262,IF(OR(ISNUMBER($T262),$T262="DNA"),$T262,IF(OR(ISNUMBER($S262),$S262="DNA"),$S262,IF(OR(ISNUMBER($P262),$P262="DNA"),$P262,IF(OR(ISNUMBER($O262),$O262="DNA"),$O262,IF(OR(ISNUMBER($N262),$N262="DNA"),$N262,""))))))))))),IF(ISNUMBER($Y262),"Update status","Missed/not booked?"),""))))</f>
        <v/>
      </c>
      <c r="M262" s="29">
        <f>IF(NOT(AND($A262&lt;&gt;"",OR($I262="",$I262="Active"))),"",IF(MIN(IF(AND(ISNUMBER($N262),$N262&gt;=TODAY()),$N262,99999),IF(AND(ISNUMBER($O262),$O262&gt;=TODAY()),$O262,99999),IF(AND(ISNUMBER($P262),$P262&gt;=TODAY()),$P262,99999),IF(AND(ISNUMBER($S262),$S262&gt;=TODAY()),$S262,99999),IF(AND(ISNUMBER($T262),$T262&gt;=TODAY()),$T262,99999),IF(AND(ISNUMBER($U262),$U262&gt;=TODAY()),$U262,99999),IF(AND(ISNUMBER($V262),$V262&gt;=TODAY()),$V262,99999),IF(AND(ISNUMBER($W262),$W262&gt;=TODAY()),$W262,99999),IF(AND(ISNUMBER($X262),$X262&gt;=TODAY()),$X262,99999),IF(AND(ISNUMBER($Y262),$Y262&gt;=TODAY()),$Y262,99999))=99999,"",MIN(IF(AND(ISNUMBER($N262),$N262&gt;=TODAY()),$N262,99999),IF(AND(ISNUMBER($O262),$O262&gt;=TODAY()),$O262,99999),IF(AND(ISNUMBER($P262),$P262&gt;=TODAY()),$P262,99999),IF(AND(ISNUMBER($S262),$S262&gt;=TODAY()),$S262,99999),IF(AND(ISNUMBER($T262),$T262&gt;=TODAY()),$T262,99999),IF(AND(ISNUMBER($U262),$U262&gt;=TODAY()),$U262,99999),IF(AND(ISNUMBER($V262),$V262&gt;=TODAY()),$V262,99999),IF(AND(ISNUMBER($W262),$W262&gt;=TODAY()),$W262,99999),IF(AND(ISNUMBER($X262),$X262&gt;=TODAY()),$X262,99999),IF(AND(ISNUMBER($Y262),$Y262&gt;=TODAY()),$Y262,99999))))</f>
        <v/>
      </c>
      <c r="N262" s="27" t="n"/>
      <c r="O262" s="27" t="n"/>
      <c r="P262" s="27" t="n"/>
      <c r="Q262" s="27" t="n"/>
      <c r="R262" s="27" t="n"/>
      <c r="S262" s="27" t="n"/>
      <c r="T262" s="27" t="n"/>
      <c r="U262" s="27" t="n"/>
      <c r="V262" s="27" t="n"/>
      <c r="W262" s="27" t="n"/>
      <c r="X262" s="27" t="n"/>
      <c r="Y262" s="27" t="n"/>
      <c r="Z262" s="27" t="n"/>
      <c r="AA262" s="27" t="n"/>
      <c r="AB262" s="27" t="n"/>
      <c r="AC262" s="30" t="n"/>
      <c r="AD262" s="25" t="n"/>
      <c r="AE262" s="28">
        <f>IF(NOT(AND($A262&lt;&gt;"",OR($I262="",$I262="Active"))),"",IF(OR(IF(OR(ISNUMBER($Y262),$Y262="DNA"),$Y262,IF(OR(ISNUMBER($X262),$X262="DNA"),$X262,IF(OR(ISNUMBER($W262),$W262="DNA"),$W262,IF(OR(ISNUMBER($V262),$V262="DNA"),$V262,IF(OR(ISNUMBER($U262),$U262="DNA"),$U262,IF(OR(ISNUMBER($T262),$T262="DNA"),$T262,IF(OR(ISNUMBER($S262),$S262="DNA"),$S262,IF(OR(ISNUMBER($P262),$P262="DNA"),$P262,IF(OR(ISNUMBER($O262),$O262="DNA"),$O262,IF(OR(ISNUMBER($N262),$N262="DNA"),$N262,""))))))))))="DNA",AND(ISNUMBER(IF(OR(ISNUMBER($Y262),$Y262="DNA"),$Y262,IF(OR(ISNUMBER($X262),$X262="DNA"),$X262,IF(OR(ISNUMBER($W262),$W262="DNA"),$W262,IF(OR(ISNUMBER($V262),$V262="DNA"),$V262,IF(OR(ISNUMBER($U262),$U262="DNA"),$U262,IF(OR(ISNUMBER($T262),$T262="DNA"),$T262,IF(OR(ISNUMBER($S262),$S262="DNA"),$S262,IF(OR(ISNUMBER($P262),$P262="DNA"),$P262,IF(OR(ISNUMBER($O262),$O262="DNA"),$O262,IF(OR(ISNUMBER($N262),$N262="DNA"),$N262,""))))))))))),IF(OR(ISNUMBER($Y262),$Y262="DNA"),$Y262,IF(OR(ISNUMBER($X262),$X262="DNA"),$X262,IF(OR(ISNUMBER($W262),$W262="DNA"),$W262,IF(OR(ISNUMBER($V262),$V262="DNA"),$V262,IF(OR(ISNUMBER($U262),$U262="DNA"),$U262,IF(OR(ISNUMBER($T262),$T262="DNA"),$T262,IF(OR(ISNUMBER($S262),$S262="DNA"),$S262,IF(OR(ISNUMBER($P262),$P262="DNA"),$P262,IF(OR(ISNUMBER($O262),$O262="DNA"),$O262,IF(OR(ISNUMBER($N262),$N262="DNA"),$N262,""))))))))))&lt;TODAY())),1,0)+ISNUMBER($Q262)*($Q262&lt;TODAY())+ISNUMBER($R262)*($R262&lt;TODAY())+ISNUMBER($AA262)*($AA262&lt;TODAY())+ISNUMBER($AB262)*($AB262&lt;TODAY()))</f>
        <v/>
      </c>
    </row>
    <row r="263">
      <c r="A263" s="25" t="n"/>
      <c r="B263" s="26" t="n"/>
      <c r="C263" s="27" t="n"/>
      <c r="D263" s="25" t="n"/>
      <c r="E263" s="25" t="n"/>
      <c r="F263" s="25" t="n"/>
      <c r="G263" s="25" t="n"/>
      <c r="H263" s="27" t="n"/>
      <c r="I263" s="25" t="n"/>
      <c r="J263" s="28">
        <f>IF(OR(NOT(AND($A263&lt;&gt;"",OR($I263="",$I263="Active"))),$H263=""),"",INT((TODAY()-$H263+280)/7)&amp;"+"&amp;MOD(TODAY()-$H263+280,7))</f>
        <v/>
      </c>
      <c r="K263" s="28">
        <f>IF(NOT(AND($A263&lt;&gt;"",OR($I263="",$I263="Active"))),"",ISNUMBER($N263)*($N263&gt;=TODAY())*($N263&lt;=TODAY()+7)+ISNUMBER($O263)*($O263&gt;=TODAY())*($O263&lt;=TODAY()+7)+ISNUMBER($P263)*($P263&gt;=TODAY())*($P263&lt;=TODAY()+7)+ISNUMBER($S263)*($S263&gt;=TODAY())*($S263&lt;=TODAY()+7)+ISNUMBER($T263)*($T263&gt;=TODAY())*($T263&lt;=TODAY()+7)+ISNUMBER($U263)*($U263&gt;=TODAY())*($U263&lt;=TODAY()+7)+ISNUMBER($V263)*($V263&gt;=TODAY())*($V263&lt;=TODAY()+7)+ISNUMBER($W263)*($W263&gt;=TODAY())*($W263&lt;=TODAY()+7)+ISNUMBER($X263)*($X263&gt;=TODAY())*($X263&lt;=TODAY()+7)+ISNUMBER($Y263)*($Y263&gt;=TODAY())*($Y263&lt;=TODAY()+7)+ISNUMBER($Q263)*($Q263&gt;=TODAY())*($Q263&lt;=TODAY()+7)+ISNUMBER($R263)*($R263&gt;=TODAY())*($R263&lt;=TODAY()+7)+ISNUMBER($AA263)*($AA263&gt;=TODAY())*($AA263&lt;=TODAY()+7)+ISNUMBER($AB263)*($AB263&gt;=TODAY())*($AB263&lt;=TODAY()+7))</f>
        <v/>
      </c>
      <c r="L263" s="28">
        <f>IF(NOT(AND($A263&lt;&gt;"",OR($I263="",$I263="Active"))),"",IF($M263&lt;&gt;"",IF($N263=$M263,"Booking",IF($O263=$M263,"16/40",IF($P263=$M263,"25/40",IF($S263=$M263,"28/40",IF($T263=$M263,"31/40",IF($U263=$M263,"34/40",IF($V263=$M263,"36/40",IF($W263=$M263,"38/40",IF($X263=$M263,"40/40",IF($Y263=$M263,"41/40","")))))))))),IF(IF(OR(ISNUMBER($Y263),$Y263="DNA"),$Y263,IF(OR(ISNUMBER($X263),$X263="DNA"),$X263,IF(OR(ISNUMBER($W263),$W263="DNA"),$W263,IF(OR(ISNUMBER($V263),$V263="DNA"),$V263,IF(OR(ISNUMBER($U263),$U263="DNA"),$U263,IF(OR(ISNUMBER($T263),$T263="DNA"),$T263,IF(OR(ISNUMBER($S263),$S263="DNA"),$S263,IF(OR(ISNUMBER($P263),$P263="DNA"),$P263,IF(OR(ISNUMBER($O263),$O263="DNA"),$O263,IF(OR(ISNUMBER($N263),$N263="DNA"),$N263,""))))))))))="DNA","Rebook DNA",IF(ISNUMBER(IF(OR(ISNUMBER($Y263),$Y263="DNA"),$Y263,IF(OR(ISNUMBER($X263),$X263="DNA"),$X263,IF(OR(ISNUMBER($W263),$W263="DNA"),$W263,IF(OR(ISNUMBER($V263),$V263="DNA"),$V263,IF(OR(ISNUMBER($U263),$U263="DNA"),$U263,IF(OR(ISNUMBER($T263),$T263="DNA"),$T263,IF(OR(ISNUMBER($S263),$S263="DNA"),$S263,IF(OR(ISNUMBER($P263),$P263="DNA"),$P263,IF(OR(ISNUMBER($O263),$O263="DNA"),$O263,IF(OR(ISNUMBER($N263),$N263="DNA"),$N263,""))))))))))),IF(ISNUMBER($Y263),"Update status","Missed/not booked?"),""))))</f>
        <v/>
      </c>
      <c r="M263" s="29">
        <f>IF(NOT(AND($A263&lt;&gt;"",OR($I263="",$I263="Active"))),"",IF(MIN(IF(AND(ISNUMBER($N263),$N263&gt;=TODAY()),$N263,99999),IF(AND(ISNUMBER($O263),$O263&gt;=TODAY()),$O263,99999),IF(AND(ISNUMBER($P263),$P263&gt;=TODAY()),$P263,99999),IF(AND(ISNUMBER($S263),$S263&gt;=TODAY()),$S263,99999),IF(AND(ISNUMBER($T263),$T263&gt;=TODAY()),$T263,99999),IF(AND(ISNUMBER($U263),$U263&gt;=TODAY()),$U263,99999),IF(AND(ISNUMBER($V263),$V263&gt;=TODAY()),$V263,99999),IF(AND(ISNUMBER($W263),$W263&gt;=TODAY()),$W263,99999),IF(AND(ISNUMBER($X263),$X263&gt;=TODAY()),$X263,99999),IF(AND(ISNUMBER($Y263),$Y263&gt;=TODAY()),$Y263,99999))=99999,"",MIN(IF(AND(ISNUMBER($N263),$N263&gt;=TODAY()),$N263,99999),IF(AND(ISNUMBER($O263),$O263&gt;=TODAY()),$O263,99999),IF(AND(ISNUMBER($P263),$P263&gt;=TODAY()),$P263,99999),IF(AND(ISNUMBER($S263),$S263&gt;=TODAY()),$S263,99999),IF(AND(ISNUMBER($T263),$T263&gt;=TODAY()),$T263,99999),IF(AND(ISNUMBER($U263),$U263&gt;=TODAY()),$U263,99999),IF(AND(ISNUMBER($V263),$V263&gt;=TODAY()),$V263,99999),IF(AND(ISNUMBER($W263),$W263&gt;=TODAY()),$W263,99999),IF(AND(ISNUMBER($X263),$X263&gt;=TODAY()),$X263,99999),IF(AND(ISNUMBER($Y263),$Y263&gt;=TODAY()),$Y263,99999))))</f>
        <v/>
      </c>
      <c r="N263" s="27" t="n"/>
      <c r="O263" s="27" t="n"/>
      <c r="P263" s="27" t="n"/>
      <c r="Q263" s="27" t="n"/>
      <c r="R263" s="27" t="n"/>
      <c r="S263" s="27" t="n"/>
      <c r="T263" s="27" t="n"/>
      <c r="U263" s="27" t="n"/>
      <c r="V263" s="27" t="n"/>
      <c r="W263" s="27" t="n"/>
      <c r="X263" s="27" t="n"/>
      <c r="Y263" s="27" t="n"/>
      <c r="Z263" s="27" t="n"/>
      <c r="AA263" s="27" t="n"/>
      <c r="AB263" s="27" t="n"/>
      <c r="AC263" s="30" t="n"/>
      <c r="AD263" s="25" t="n"/>
      <c r="AE263" s="28">
        <f>IF(NOT(AND($A263&lt;&gt;"",OR($I263="",$I263="Active"))),"",IF(OR(IF(OR(ISNUMBER($Y263),$Y263="DNA"),$Y263,IF(OR(ISNUMBER($X263),$X263="DNA"),$X263,IF(OR(ISNUMBER($W263),$W263="DNA"),$W263,IF(OR(ISNUMBER($V263),$V263="DNA"),$V263,IF(OR(ISNUMBER($U263),$U263="DNA"),$U263,IF(OR(ISNUMBER($T263),$T263="DNA"),$T263,IF(OR(ISNUMBER($S263),$S263="DNA"),$S263,IF(OR(ISNUMBER($P263),$P263="DNA"),$P263,IF(OR(ISNUMBER($O263),$O263="DNA"),$O263,IF(OR(ISNUMBER($N263),$N263="DNA"),$N263,""))))))))))="DNA",AND(ISNUMBER(IF(OR(ISNUMBER($Y263),$Y263="DNA"),$Y263,IF(OR(ISNUMBER($X263),$X263="DNA"),$X263,IF(OR(ISNUMBER($W263),$W263="DNA"),$W263,IF(OR(ISNUMBER($V263),$V263="DNA"),$V263,IF(OR(ISNUMBER($U263),$U263="DNA"),$U263,IF(OR(ISNUMBER($T263),$T263="DNA"),$T263,IF(OR(ISNUMBER($S263),$S263="DNA"),$S263,IF(OR(ISNUMBER($P263),$P263="DNA"),$P263,IF(OR(ISNUMBER($O263),$O263="DNA"),$O263,IF(OR(ISNUMBER($N263),$N263="DNA"),$N263,""))))))))))),IF(OR(ISNUMBER($Y263),$Y263="DNA"),$Y263,IF(OR(ISNUMBER($X263),$X263="DNA"),$X263,IF(OR(ISNUMBER($W263),$W263="DNA"),$W263,IF(OR(ISNUMBER($V263),$V263="DNA"),$V263,IF(OR(ISNUMBER($U263),$U263="DNA"),$U263,IF(OR(ISNUMBER($T263),$T263="DNA"),$T263,IF(OR(ISNUMBER($S263),$S263="DNA"),$S263,IF(OR(ISNUMBER($P263),$P263="DNA"),$P263,IF(OR(ISNUMBER($O263),$O263="DNA"),$O263,IF(OR(ISNUMBER($N263),$N263="DNA"),$N263,""))))))))))&lt;TODAY())),1,0)+ISNUMBER($Q263)*($Q263&lt;TODAY())+ISNUMBER($R263)*($R263&lt;TODAY())+ISNUMBER($AA263)*($AA263&lt;TODAY())+ISNUMBER($AB263)*($AB263&lt;TODAY()))</f>
        <v/>
      </c>
    </row>
    <row r="264">
      <c r="A264" s="25" t="n"/>
      <c r="B264" s="26" t="n"/>
      <c r="C264" s="27" t="n"/>
      <c r="D264" s="25" t="n"/>
      <c r="E264" s="25" t="n"/>
      <c r="F264" s="25" t="n"/>
      <c r="G264" s="25" t="n"/>
      <c r="H264" s="27" t="n"/>
      <c r="I264" s="25" t="n"/>
      <c r="J264" s="28">
        <f>IF(OR(NOT(AND($A264&lt;&gt;"",OR($I264="",$I264="Active"))),$H264=""),"",INT((TODAY()-$H264+280)/7)&amp;"+"&amp;MOD(TODAY()-$H264+280,7))</f>
        <v/>
      </c>
      <c r="K264" s="28">
        <f>IF(NOT(AND($A264&lt;&gt;"",OR($I264="",$I264="Active"))),"",ISNUMBER($N264)*($N264&gt;=TODAY())*($N264&lt;=TODAY()+7)+ISNUMBER($O264)*($O264&gt;=TODAY())*($O264&lt;=TODAY()+7)+ISNUMBER($P264)*($P264&gt;=TODAY())*($P264&lt;=TODAY()+7)+ISNUMBER($S264)*($S264&gt;=TODAY())*($S264&lt;=TODAY()+7)+ISNUMBER($T264)*($T264&gt;=TODAY())*($T264&lt;=TODAY()+7)+ISNUMBER($U264)*($U264&gt;=TODAY())*($U264&lt;=TODAY()+7)+ISNUMBER($V264)*($V264&gt;=TODAY())*($V264&lt;=TODAY()+7)+ISNUMBER($W264)*($W264&gt;=TODAY())*($W264&lt;=TODAY()+7)+ISNUMBER($X264)*($X264&gt;=TODAY())*($X264&lt;=TODAY()+7)+ISNUMBER($Y264)*($Y264&gt;=TODAY())*($Y264&lt;=TODAY()+7)+ISNUMBER($Q264)*($Q264&gt;=TODAY())*($Q264&lt;=TODAY()+7)+ISNUMBER($R264)*($R264&gt;=TODAY())*($R264&lt;=TODAY()+7)+ISNUMBER($AA264)*($AA264&gt;=TODAY())*($AA264&lt;=TODAY()+7)+ISNUMBER($AB264)*($AB264&gt;=TODAY())*($AB264&lt;=TODAY()+7))</f>
        <v/>
      </c>
      <c r="L264" s="28">
        <f>IF(NOT(AND($A264&lt;&gt;"",OR($I264="",$I264="Active"))),"",IF($M264&lt;&gt;"",IF($N264=$M264,"Booking",IF($O264=$M264,"16/40",IF($P264=$M264,"25/40",IF($S264=$M264,"28/40",IF($T264=$M264,"31/40",IF($U264=$M264,"34/40",IF($V264=$M264,"36/40",IF($W264=$M264,"38/40",IF($X264=$M264,"40/40",IF($Y264=$M264,"41/40","")))))))))),IF(IF(OR(ISNUMBER($Y264),$Y264="DNA"),$Y264,IF(OR(ISNUMBER($X264),$X264="DNA"),$X264,IF(OR(ISNUMBER($W264),$W264="DNA"),$W264,IF(OR(ISNUMBER($V264),$V264="DNA"),$V264,IF(OR(ISNUMBER($U264),$U264="DNA"),$U264,IF(OR(ISNUMBER($T264),$T264="DNA"),$T264,IF(OR(ISNUMBER($S264),$S264="DNA"),$S264,IF(OR(ISNUMBER($P264),$P264="DNA"),$P264,IF(OR(ISNUMBER($O264),$O264="DNA"),$O264,IF(OR(ISNUMBER($N264),$N264="DNA"),$N264,""))))))))))="DNA","Rebook DNA",IF(ISNUMBER(IF(OR(ISNUMBER($Y264),$Y264="DNA"),$Y264,IF(OR(ISNUMBER($X264),$X264="DNA"),$X264,IF(OR(ISNUMBER($W264),$W264="DNA"),$W264,IF(OR(ISNUMBER($V264),$V264="DNA"),$V264,IF(OR(ISNUMBER($U264),$U264="DNA"),$U264,IF(OR(ISNUMBER($T264),$T264="DNA"),$T264,IF(OR(ISNUMBER($S264),$S264="DNA"),$S264,IF(OR(ISNUMBER($P264),$P264="DNA"),$P264,IF(OR(ISNUMBER($O264),$O264="DNA"),$O264,IF(OR(ISNUMBER($N264),$N264="DNA"),$N264,""))))))))))),IF(ISNUMBER($Y264),"Update status","Missed/not booked?"),""))))</f>
        <v/>
      </c>
      <c r="M264" s="29">
        <f>IF(NOT(AND($A264&lt;&gt;"",OR($I264="",$I264="Active"))),"",IF(MIN(IF(AND(ISNUMBER($N264),$N264&gt;=TODAY()),$N264,99999),IF(AND(ISNUMBER($O264),$O264&gt;=TODAY()),$O264,99999),IF(AND(ISNUMBER($P264),$P264&gt;=TODAY()),$P264,99999),IF(AND(ISNUMBER($S264),$S264&gt;=TODAY()),$S264,99999),IF(AND(ISNUMBER($T264),$T264&gt;=TODAY()),$T264,99999),IF(AND(ISNUMBER($U264),$U264&gt;=TODAY()),$U264,99999),IF(AND(ISNUMBER($V264),$V264&gt;=TODAY()),$V264,99999),IF(AND(ISNUMBER($W264),$W264&gt;=TODAY()),$W264,99999),IF(AND(ISNUMBER($X264),$X264&gt;=TODAY()),$X264,99999),IF(AND(ISNUMBER($Y264),$Y264&gt;=TODAY()),$Y264,99999))=99999,"",MIN(IF(AND(ISNUMBER($N264),$N264&gt;=TODAY()),$N264,99999),IF(AND(ISNUMBER($O264),$O264&gt;=TODAY()),$O264,99999),IF(AND(ISNUMBER($P264),$P264&gt;=TODAY()),$P264,99999),IF(AND(ISNUMBER($S264),$S264&gt;=TODAY()),$S264,99999),IF(AND(ISNUMBER($T264),$T264&gt;=TODAY()),$T264,99999),IF(AND(ISNUMBER($U264),$U264&gt;=TODAY()),$U264,99999),IF(AND(ISNUMBER($V264),$V264&gt;=TODAY()),$V264,99999),IF(AND(ISNUMBER($W264),$W264&gt;=TODAY()),$W264,99999),IF(AND(ISNUMBER($X264),$X264&gt;=TODAY()),$X264,99999),IF(AND(ISNUMBER($Y264),$Y264&gt;=TODAY()),$Y264,99999))))</f>
        <v/>
      </c>
      <c r="N264" s="27" t="n"/>
      <c r="O264" s="27" t="n"/>
      <c r="P264" s="27" t="n"/>
      <c r="Q264" s="27" t="n"/>
      <c r="R264" s="27" t="n"/>
      <c r="S264" s="27" t="n"/>
      <c r="T264" s="27" t="n"/>
      <c r="U264" s="27" t="n"/>
      <c r="V264" s="27" t="n"/>
      <c r="W264" s="27" t="n"/>
      <c r="X264" s="27" t="n"/>
      <c r="Y264" s="27" t="n"/>
      <c r="Z264" s="27" t="n"/>
      <c r="AA264" s="27" t="n"/>
      <c r="AB264" s="27" t="n"/>
      <c r="AC264" s="30" t="n"/>
      <c r="AD264" s="25" t="n"/>
      <c r="AE264" s="28">
        <f>IF(NOT(AND($A264&lt;&gt;"",OR($I264="",$I264="Active"))),"",IF(OR(IF(OR(ISNUMBER($Y264),$Y264="DNA"),$Y264,IF(OR(ISNUMBER($X264),$X264="DNA"),$X264,IF(OR(ISNUMBER($W264),$W264="DNA"),$W264,IF(OR(ISNUMBER($V264),$V264="DNA"),$V264,IF(OR(ISNUMBER($U264),$U264="DNA"),$U264,IF(OR(ISNUMBER($T264),$T264="DNA"),$T264,IF(OR(ISNUMBER($S264),$S264="DNA"),$S264,IF(OR(ISNUMBER($P264),$P264="DNA"),$P264,IF(OR(ISNUMBER($O264),$O264="DNA"),$O264,IF(OR(ISNUMBER($N264),$N264="DNA"),$N264,""))))))))))="DNA",AND(ISNUMBER(IF(OR(ISNUMBER($Y264),$Y264="DNA"),$Y264,IF(OR(ISNUMBER($X264),$X264="DNA"),$X264,IF(OR(ISNUMBER($W264),$W264="DNA"),$W264,IF(OR(ISNUMBER($V264),$V264="DNA"),$V264,IF(OR(ISNUMBER($U264),$U264="DNA"),$U264,IF(OR(ISNUMBER($T264),$T264="DNA"),$T264,IF(OR(ISNUMBER($S264),$S264="DNA"),$S264,IF(OR(ISNUMBER($P264),$P264="DNA"),$P264,IF(OR(ISNUMBER($O264),$O264="DNA"),$O264,IF(OR(ISNUMBER($N264),$N264="DNA"),$N264,""))))))))))),IF(OR(ISNUMBER($Y264),$Y264="DNA"),$Y264,IF(OR(ISNUMBER($X264),$X264="DNA"),$X264,IF(OR(ISNUMBER($W264),$W264="DNA"),$W264,IF(OR(ISNUMBER($V264),$V264="DNA"),$V264,IF(OR(ISNUMBER($U264),$U264="DNA"),$U264,IF(OR(ISNUMBER($T264),$T264="DNA"),$T264,IF(OR(ISNUMBER($S264),$S264="DNA"),$S264,IF(OR(ISNUMBER($P264),$P264="DNA"),$P264,IF(OR(ISNUMBER($O264),$O264="DNA"),$O264,IF(OR(ISNUMBER($N264),$N264="DNA"),$N264,""))))))))))&lt;TODAY())),1,0)+ISNUMBER($Q264)*($Q264&lt;TODAY())+ISNUMBER($R264)*($R264&lt;TODAY())+ISNUMBER($AA264)*($AA264&lt;TODAY())+ISNUMBER($AB264)*($AB264&lt;TODAY()))</f>
        <v/>
      </c>
    </row>
    <row r="265">
      <c r="A265" s="25" t="n"/>
      <c r="B265" s="26" t="n"/>
      <c r="C265" s="27" t="n"/>
      <c r="D265" s="25" t="n"/>
      <c r="E265" s="25" t="n"/>
      <c r="F265" s="25" t="n"/>
      <c r="G265" s="25" t="n"/>
      <c r="H265" s="27" t="n"/>
      <c r="I265" s="25" t="n"/>
      <c r="J265" s="28">
        <f>IF(OR(NOT(AND($A265&lt;&gt;"",OR($I265="",$I265="Active"))),$H265=""),"",INT((TODAY()-$H265+280)/7)&amp;"+"&amp;MOD(TODAY()-$H265+280,7))</f>
        <v/>
      </c>
      <c r="K265" s="28">
        <f>IF(NOT(AND($A265&lt;&gt;"",OR($I265="",$I265="Active"))),"",ISNUMBER($N265)*($N265&gt;=TODAY())*($N265&lt;=TODAY()+7)+ISNUMBER($O265)*($O265&gt;=TODAY())*($O265&lt;=TODAY()+7)+ISNUMBER($P265)*($P265&gt;=TODAY())*($P265&lt;=TODAY()+7)+ISNUMBER($S265)*($S265&gt;=TODAY())*($S265&lt;=TODAY()+7)+ISNUMBER($T265)*($T265&gt;=TODAY())*($T265&lt;=TODAY()+7)+ISNUMBER($U265)*($U265&gt;=TODAY())*($U265&lt;=TODAY()+7)+ISNUMBER($V265)*($V265&gt;=TODAY())*($V265&lt;=TODAY()+7)+ISNUMBER($W265)*($W265&gt;=TODAY())*($W265&lt;=TODAY()+7)+ISNUMBER($X265)*($X265&gt;=TODAY())*($X265&lt;=TODAY()+7)+ISNUMBER($Y265)*($Y265&gt;=TODAY())*($Y265&lt;=TODAY()+7)+ISNUMBER($Q265)*($Q265&gt;=TODAY())*($Q265&lt;=TODAY()+7)+ISNUMBER($R265)*($R265&gt;=TODAY())*($R265&lt;=TODAY()+7)+ISNUMBER($AA265)*($AA265&gt;=TODAY())*($AA265&lt;=TODAY()+7)+ISNUMBER($AB265)*($AB265&gt;=TODAY())*($AB265&lt;=TODAY()+7))</f>
        <v/>
      </c>
      <c r="L265" s="28">
        <f>IF(NOT(AND($A265&lt;&gt;"",OR($I265="",$I265="Active"))),"",IF($M265&lt;&gt;"",IF($N265=$M265,"Booking",IF($O265=$M265,"16/40",IF($P265=$M265,"25/40",IF($S265=$M265,"28/40",IF($T265=$M265,"31/40",IF($U265=$M265,"34/40",IF($V265=$M265,"36/40",IF($W265=$M265,"38/40",IF($X265=$M265,"40/40",IF($Y265=$M265,"41/40","")))))))))),IF(IF(OR(ISNUMBER($Y265),$Y265="DNA"),$Y265,IF(OR(ISNUMBER($X265),$X265="DNA"),$X265,IF(OR(ISNUMBER($W265),$W265="DNA"),$W265,IF(OR(ISNUMBER($V265),$V265="DNA"),$V265,IF(OR(ISNUMBER($U265),$U265="DNA"),$U265,IF(OR(ISNUMBER($T265),$T265="DNA"),$T265,IF(OR(ISNUMBER($S265),$S265="DNA"),$S265,IF(OR(ISNUMBER($P265),$P265="DNA"),$P265,IF(OR(ISNUMBER($O265),$O265="DNA"),$O265,IF(OR(ISNUMBER($N265),$N265="DNA"),$N265,""))))))))))="DNA","Rebook DNA",IF(ISNUMBER(IF(OR(ISNUMBER($Y265),$Y265="DNA"),$Y265,IF(OR(ISNUMBER($X265),$X265="DNA"),$X265,IF(OR(ISNUMBER($W265),$W265="DNA"),$W265,IF(OR(ISNUMBER($V265),$V265="DNA"),$V265,IF(OR(ISNUMBER($U265),$U265="DNA"),$U265,IF(OR(ISNUMBER($T265),$T265="DNA"),$T265,IF(OR(ISNUMBER($S265),$S265="DNA"),$S265,IF(OR(ISNUMBER($P265),$P265="DNA"),$P265,IF(OR(ISNUMBER($O265),$O265="DNA"),$O265,IF(OR(ISNUMBER($N265),$N265="DNA"),$N265,""))))))))))),IF(ISNUMBER($Y265),"Update status","Missed/not booked?"),""))))</f>
        <v/>
      </c>
      <c r="M265" s="29">
        <f>IF(NOT(AND($A265&lt;&gt;"",OR($I265="",$I265="Active"))),"",IF(MIN(IF(AND(ISNUMBER($N265),$N265&gt;=TODAY()),$N265,99999),IF(AND(ISNUMBER($O265),$O265&gt;=TODAY()),$O265,99999),IF(AND(ISNUMBER($P265),$P265&gt;=TODAY()),$P265,99999),IF(AND(ISNUMBER($S265),$S265&gt;=TODAY()),$S265,99999),IF(AND(ISNUMBER($T265),$T265&gt;=TODAY()),$T265,99999),IF(AND(ISNUMBER($U265),$U265&gt;=TODAY()),$U265,99999),IF(AND(ISNUMBER($V265),$V265&gt;=TODAY()),$V265,99999),IF(AND(ISNUMBER($W265),$W265&gt;=TODAY()),$W265,99999),IF(AND(ISNUMBER($X265),$X265&gt;=TODAY()),$X265,99999),IF(AND(ISNUMBER($Y265),$Y265&gt;=TODAY()),$Y265,99999))=99999,"",MIN(IF(AND(ISNUMBER($N265),$N265&gt;=TODAY()),$N265,99999),IF(AND(ISNUMBER($O265),$O265&gt;=TODAY()),$O265,99999),IF(AND(ISNUMBER($P265),$P265&gt;=TODAY()),$P265,99999),IF(AND(ISNUMBER($S265),$S265&gt;=TODAY()),$S265,99999),IF(AND(ISNUMBER($T265),$T265&gt;=TODAY()),$T265,99999),IF(AND(ISNUMBER($U265),$U265&gt;=TODAY()),$U265,99999),IF(AND(ISNUMBER($V265),$V265&gt;=TODAY()),$V265,99999),IF(AND(ISNUMBER($W265),$W265&gt;=TODAY()),$W265,99999),IF(AND(ISNUMBER($X265),$X265&gt;=TODAY()),$X265,99999),IF(AND(ISNUMBER($Y265),$Y265&gt;=TODAY()),$Y265,99999))))</f>
        <v/>
      </c>
      <c r="N265" s="27" t="n"/>
      <c r="O265" s="27" t="n"/>
      <c r="P265" s="27" t="n"/>
      <c r="Q265" s="27" t="n"/>
      <c r="R265" s="27" t="n"/>
      <c r="S265" s="27" t="n"/>
      <c r="T265" s="27" t="n"/>
      <c r="U265" s="27" t="n"/>
      <c r="V265" s="27" t="n"/>
      <c r="W265" s="27" t="n"/>
      <c r="X265" s="27" t="n"/>
      <c r="Y265" s="27" t="n"/>
      <c r="Z265" s="27" t="n"/>
      <c r="AA265" s="27" t="n"/>
      <c r="AB265" s="27" t="n"/>
      <c r="AC265" s="30" t="n"/>
      <c r="AD265" s="25" t="n"/>
      <c r="AE265" s="28">
        <f>IF(NOT(AND($A265&lt;&gt;"",OR($I265="",$I265="Active"))),"",IF(OR(IF(OR(ISNUMBER($Y265),$Y265="DNA"),$Y265,IF(OR(ISNUMBER($X265),$X265="DNA"),$X265,IF(OR(ISNUMBER($W265),$W265="DNA"),$W265,IF(OR(ISNUMBER($V265),$V265="DNA"),$V265,IF(OR(ISNUMBER($U265),$U265="DNA"),$U265,IF(OR(ISNUMBER($T265),$T265="DNA"),$T265,IF(OR(ISNUMBER($S265),$S265="DNA"),$S265,IF(OR(ISNUMBER($P265),$P265="DNA"),$P265,IF(OR(ISNUMBER($O265),$O265="DNA"),$O265,IF(OR(ISNUMBER($N265),$N265="DNA"),$N265,""))))))))))="DNA",AND(ISNUMBER(IF(OR(ISNUMBER($Y265),$Y265="DNA"),$Y265,IF(OR(ISNUMBER($X265),$X265="DNA"),$X265,IF(OR(ISNUMBER($W265),$W265="DNA"),$W265,IF(OR(ISNUMBER($V265),$V265="DNA"),$V265,IF(OR(ISNUMBER($U265),$U265="DNA"),$U265,IF(OR(ISNUMBER($T265),$T265="DNA"),$T265,IF(OR(ISNUMBER($S265),$S265="DNA"),$S265,IF(OR(ISNUMBER($P265),$P265="DNA"),$P265,IF(OR(ISNUMBER($O265),$O265="DNA"),$O265,IF(OR(ISNUMBER($N265),$N265="DNA"),$N265,""))))))))))),IF(OR(ISNUMBER($Y265),$Y265="DNA"),$Y265,IF(OR(ISNUMBER($X265),$X265="DNA"),$X265,IF(OR(ISNUMBER($W265),$W265="DNA"),$W265,IF(OR(ISNUMBER($V265),$V265="DNA"),$V265,IF(OR(ISNUMBER($U265),$U265="DNA"),$U265,IF(OR(ISNUMBER($T265),$T265="DNA"),$T265,IF(OR(ISNUMBER($S265),$S265="DNA"),$S265,IF(OR(ISNUMBER($P265),$P265="DNA"),$P265,IF(OR(ISNUMBER($O265),$O265="DNA"),$O265,IF(OR(ISNUMBER($N265),$N265="DNA"),$N265,""))))))))))&lt;TODAY())),1,0)+ISNUMBER($Q265)*($Q265&lt;TODAY())+ISNUMBER($R265)*($R265&lt;TODAY())+ISNUMBER($AA265)*($AA265&lt;TODAY())+ISNUMBER($AB265)*($AB265&lt;TODAY()))</f>
        <v/>
      </c>
    </row>
    <row r="266">
      <c r="A266" s="25" t="n"/>
      <c r="B266" s="26" t="n"/>
      <c r="C266" s="27" t="n"/>
      <c r="D266" s="25" t="n"/>
      <c r="E266" s="25" t="n"/>
      <c r="F266" s="25" t="n"/>
      <c r="G266" s="25" t="n"/>
      <c r="H266" s="27" t="n"/>
      <c r="I266" s="25" t="n"/>
      <c r="J266" s="28">
        <f>IF(OR(NOT(AND($A266&lt;&gt;"",OR($I266="",$I266="Active"))),$H266=""),"",INT((TODAY()-$H266+280)/7)&amp;"+"&amp;MOD(TODAY()-$H266+280,7))</f>
        <v/>
      </c>
      <c r="K266" s="28">
        <f>IF(NOT(AND($A266&lt;&gt;"",OR($I266="",$I266="Active"))),"",ISNUMBER($N266)*($N266&gt;=TODAY())*($N266&lt;=TODAY()+7)+ISNUMBER($O266)*($O266&gt;=TODAY())*($O266&lt;=TODAY()+7)+ISNUMBER($P266)*($P266&gt;=TODAY())*($P266&lt;=TODAY()+7)+ISNUMBER($S266)*($S266&gt;=TODAY())*($S266&lt;=TODAY()+7)+ISNUMBER($T266)*($T266&gt;=TODAY())*($T266&lt;=TODAY()+7)+ISNUMBER($U266)*($U266&gt;=TODAY())*($U266&lt;=TODAY()+7)+ISNUMBER($V266)*($V266&gt;=TODAY())*($V266&lt;=TODAY()+7)+ISNUMBER($W266)*($W266&gt;=TODAY())*($W266&lt;=TODAY()+7)+ISNUMBER($X266)*($X266&gt;=TODAY())*($X266&lt;=TODAY()+7)+ISNUMBER($Y266)*($Y266&gt;=TODAY())*($Y266&lt;=TODAY()+7)+ISNUMBER($Q266)*($Q266&gt;=TODAY())*($Q266&lt;=TODAY()+7)+ISNUMBER($R266)*($R266&gt;=TODAY())*($R266&lt;=TODAY()+7)+ISNUMBER($AA266)*($AA266&gt;=TODAY())*($AA266&lt;=TODAY()+7)+ISNUMBER($AB266)*($AB266&gt;=TODAY())*($AB266&lt;=TODAY()+7))</f>
        <v/>
      </c>
      <c r="L266" s="28">
        <f>IF(NOT(AND($A266&lt;&gt;"",OR($I266="",$I266="Active"))),"",IF($M266&lt;&gt;"",IF($N266=$M266,"Booking",IF($O266=$M266,"16/40",IF($P266=$M266,"25/40",IF($S266=$M266,"28/40",IF($T266=$M266,"31/40",IF($U266=$M266,"34/40",IF($V266=$M266,"36/40",IF($W266=$M266,"38/40",IF($X266=$M266,"40/40",IF($Y266=$M266,"41/40","")))))))))),IF(IF(OR(ISNUMBER($Y266),$Y266="DNA"),$Y266,IF(OR(ISNUMBER($X266),$X266="DNA"),$X266,IF(OR(ISNUMBER($W266),$W266="DNA"),$W266,IF(OR(ISNUMBER($V266),$V266="DNA"),$V266,IF(OR(ISNUMBER($U266),$U266="DNA"),$U266,IF(OR(ISNUMBER($T266),$T266="DNA"),$T266,IF(OR(ISNUMBER($S266),$S266="DNA"),$S266,IF(OR(ISNUMBER($P266),$P266="DNA"),$P266,IF(OR(ISNUMBER($O266),$O266="DNA"),$O266,IF(OR(ISNUMBER($N266),$N266="DNA"),$N266,""))))))))))="DNA","Rebook DNA",IF(ISNUMBER(IF(OR(ISNUMBER($Y266),$Y266="DNA"),$Y266,IF(OR(ISNUMBER($X266),$X266="DNA"),$X266,IF(OR(ISNUMBER($W266),$W266="DNA"),$W266,IF(OR(ISNUMBER($V266),$V266="DNA"),$V266,IF(OR(ISNUMBER($U266),$U266="DNA"),$U266,IF(OR(ISNUMBER($T266),$T266="DNA"),$T266,IF(OR(ISNUMBER($S266),$S266="DNA"),$S266,IF(OR(ISNUMBER($P266),$P266="DNA"),$P266,IF(OR(ISNUMBER($O266),$O266="DNA"),$O266,IF(OR(ISNUMBER($N266),$N266="DNA"),$N266,""))))))))))),IF(ISNUMBER($Y266),"Update status","Missed/not booked?"),""))))</f>
        <v/>
      </c>
      <c r="M266" s="29">
        <f>IF(NOT(AND($A266&lt;&gt;"",OR($I266="",$I266="Active"))),"",IF(MIN(IF(AND(ISNUMBER($N266),$N266&gt;=TODAY()),$N266,99999),IF(AND(ISNUMBER($O266),$O266&gt;=TODAY()),$O266,99999),IF(AND(ISNUMBER($P266),$P266&gt;=TODAY()),$P266,99999),IF(AND(ISNUMBER($S266),$S266&gt;=TODAY()),$S266,99999),IF(AND(ISNUMBER($T266),$T266&gt;=TODAY()),$T266,99999),IF(AND(ISNUMBER($U266),$U266&gt;=TODAY()),$U266,99999),IF(AND(ISNUMBER($V266),$V266&gt;=TODAY()),$V266,99999),IF(AND(ISNUMBER($W266),$W266&gt;=TODAY()),$W266,99999),IF(AND(ISNUMBER($X266),$X266&gt;=TODAY()),$X266,99999),IF(AND(ISNUMBER($Y266),$Y266&gt;=TODAY()),$Y266,99999))=99999,"",MIN(IF(AND(ISNUMBER($N266),$N266&gt;=TODAY()),$N266,99999),IF(AND(ISNUMBER($O266),$O266&gt;=TODAY()),$O266,99999),IF(AND(ISNUMBER($P266),$P266&gt;=TODAY()),$P266,99999),IF(AND(ISNUMBER($S266),$S266&gt;=TODAY()),$S266,99999),IF(AND(ISNUMBER($T266),$T266&gt;=TODAY()),$T266,99999),IF(AND(ISNUMBER($U266),$U266&gt;=TODAY()),$U266,99999),IF(AND(ISNUMBER($V266),$V266&gt;=TODAY()),$V266,99999),IF(AND(ISNUMBER($W266),$W266&gt;=TODAY()),$W266,99999),IF(AND(ISNUMBER($X266),$X266&gt;=TODAY()),$X266,99999),IF(AND(ISNUMBER($Y266),$Y266&gt;=TODAY()),$Y266,99999))))</f>
        <v/>
      </c>
      <c r="N266" s="27" t="n"/>
      <c r="O266" s="27" t="n"/>
      <c r="P266" s="27" t="n"/>
      <c r="Q266" s="27" t="n"/>
      <c r="R266" s="27" t="n"/>
      <c r="S266" s="27" t="n"/>
      <c r="T266" s="27" t="n"/>
      <c r="U266" s="27" t="n"/>
      <c r="V266" s="27" t="n"/>
      <c r="W266" s="27" t="n"/>
      <c r="X266" s="27" t="n"/>
      <c r="Y266" s="27" t="n"/>
      <c r="Z266" s="27" t="n"/>
      <c r="AA266" s="27" t="n"/>
      <c r="AB266" s="27" t="n"/>
      <c r="AC266" s="30" t="n"/>
      <c r="AD266" s="25" t="n"/>
      <c r="AE266" s="28">
        <f>IF(NOT(AND($A266&lt;&gt;"",OR($I266="",$I266="Active"))),"",IF(OR(IF(OR(ISNUMBER($Y266),$Y266="DNA"),$Y266,IF(OR(ISNUMBER($X266),$X266="DNA"),$X266,IF(OR(ISNUMBER($W266),$W266="DNA"),$W266,IF(OR(ISNUMBER($V266),$V266="DNA"),$V266,IF(OR(ISNUMBER($U266),$U266="DNA"),$U266,IF(OR(ISNUMBER($T266),$T266="DNA"),$T266,IF(OR(ISNUMBER($S266),$S266="DNA"),$S266,IF(OR(ISNUMBER($P266),$P266="DNA"),$P266,IF(OR(ISNUMBER($O266),$O266="DNA"),$O266,IF(OR(ISNUMBER($N266),$N266="DNA"),$N266,""))))))))))="DNA",AND(ISNUMBER(IF(OR(ISNUMBER($Y266),$Y266="DNA"),$Y266,IF(OR(ISNUMBER($X266),$X266="DNA"),$X266,IF(OR(ISNUMBER($W266),$W266="DNA"),$W266,IF(OR(ISNUMBER($V266),$V266="DNA"),$V266,IF(OR(ISNUMBER($U266),$U266="DNA"),$U266,IF(OR(ISNUMBER($T266),$T266="DNA"),$T266,IF(OR(ISNUMBER($S266),$S266="DNA"),$S266,IF(OR(ISNUMBER($P266),$P266="DNA"),$P266,IF(OR(ISNUMBER($O266),$O266="DNA"),$O266,IF(OR(ISNUMBER($N266),$N266="DNA"),$N266,""))))))))))),IF(OR(ISNUMBER($Y266),$Y266="DNA"),$Y266,IF(OR(ISNUMBER($X266),$X266="DNA"),$X266,IF(OR(ISNUMBER($W266),$W266="DNA"),$W266,IF(OR(ISNUMBER($V266),$V266="DNA"),$V266,IF(OR(ISNUMBER($U266),$U266="DNA"),$U266,IF(OR(ISNUMBER($T266),$T266="DNA"),$T266,IF(OR(ISNUMBER($S266),$S266="DNA"),$S266,IF(OR(ISNUMBER($P266),$P266="DNA"),$P266,IF(OR(ISNUMBER($O266),$O266="DNA"),$O266,IF(OR(ISNUMBER($N266),$N266="DNA"),$N266,""))))))))))&lt;TODAY())),1,0)+ISNUMBER($Q266)*($Q266&lt;TODAY())+ISNUMBER($R266)*($R266&lt;TODAY())+ISNUMBER($AA266)*($AA266&lt;TODAY())+ISNUMBER($AB266)*($AB266&lt;TODAY()))</f>
        <v/>
      </c>
    </row>
    <row r="267">
      <c r="A267" s="25" t="n"/>
      <c r="B267" s="26" t="n"/>
      <c r="C267" s="27" t="n"/>
      <c r="D267" s="25" t="n"/>
      <c r="E267" s="25" t="n"/>
      <c r="F267" s="25" t="n"/>
      <c r="G267" s="25" t="n"/>
      <c r="H267" s="27" t="n"/>
      <c r="I267" s="25" t="n"/>
      <c r="J267" s="28">
        <f>IF(OR(NOT(AND($A267&lt;&gt;"",OR($I267="",$I267="Active"))),$H267=""),"",INT((TODAY()-$H267+280)/7)&amp;"+"&amp;MOD(TODAY()-$H267+280,7))</f>
        <v/>
      </c>
      <c r="K267" s="28">
        <f>IF(NOT(AND($A267&lt;&gt;"",OR($I267="",$I267="Active"))),"",ISNUMBER($N267)*($N267&gt;=TODAY())*($N267&lt;=TODAY()+7)+ISNUMBER($O267)*($O267&gt;=TODAY())*($O267&lt;=TODAY()+7)+ISNUMBER($P267)*($P267&gt;=TODAY())*($P267&lt;=TODAY()+7)+ISNUMBER($S267)*($S267&gt;=TODAY())*($S267&lt;=TODAY()+7)+ISNUMBER($T267)*($T267&gt;=TODAY())*($T267&lt;=TODAY()+7)+ISNUMBER($U267)*($U267&gt;=TODAY())*($U267&lt;=TODAY()+7)+ISNUMBER($V267)*($V267&gt;=TODAY())*($V267&lt;=TODAY()+7)+ISNUMBER($W267)*($W267&gt;=TODAY())*($W267&lt;=TODAY()+7)+ISNUMBER($X267)*($X267&gt;=TODAY())*($X267&lt;=TODAY()+7)+ISNUMBER($Y267)*($Y267&gt;=TODAY())*($Y267&lt;=TODAY()+7)+ISNUMBER($Q267)*($Q267&gt;=TODAY())*($Q267&lt;=TODAY()+7)+ISNUMBER($R267)*($R267&gt;=TODAY())*($R267&lt;=TODAY()+7)+ISNUMBER($AA267)*($AA267&gt;=TODAY())*($AA267&lt;=TODAY()+7)+ISNUMBER($AB267)*($AB267&gt;=TODAY())*($AB267&lt;=TODAY()+7))</f>
        <v/>
      </c>
      <c r="L267" s="28">
        <f>IF(NOT(AND($A267&lt;&gt;"",OR($I267="",$I267="Active"))),"",IF($M267&lt;&gt;"",IF($N267=$M267,"Booking",IF($O267=$M267,"16/40",IF($P267=$M267,"25/40",IF($S267=$M267,"28/40",IF($T267=$M267,"31/40",IF($U267=$M267,"34/40",IF($V267=$M267,"36/40",IF($W267=$M267,"38/40",IF($X267=$M267,"40/40",IF($Y267=$M267,"41/40","")))))))))),IF(IF(OR(ISNUMBER($Y267),$Y267="DNA"),$Y267,IF(OR(ISNUMBER($X267),$X267="DNA"),$X267,IF(OR(ISNUMBER($W267),$W267="DNA"),$W267,IF(OR(ISNUMBER($V267),$V267="DNA"),$V267,IF(OR(ISNUMBER($U267),$U267="DNA"),$U267,IF(OR(ISNUMBER($T267),$T267="DNA"),$T267,IF(OR(ISNUMBER($S267),$S267="DNA"),$S267,IF(OR(ISNUMBER($P267),$P267="DNA"),$P267,IF(OR(ISNUMBER($O267),$O267="DNA"),$O267,IF(OR(ISNUMBER($N267),$N267="DNA"),$N267,""))))))))))="DNA","Rebook DNA",IF(ISNUMBER(IF(OR(ISNUMBER($Y267),$Y267="DNA"),$Y267,IF(OR(ISNUMBER($X267),$X267="DNA"),$X267,IF(OR(ISNUMBER($W267),$W267="DNA"),$W267,IF(OR(ISNUMBER($V267),$V267="DNA"),$V267,IF(OR(ISNUMBER($U267),$U267="DNA"),$U267,IF(OR(ISNUMBER($T267),$T267="DNA"),$T267,IF(OR(ISNUMBER($S267),$S267="DNA"),$S267,IF(OR(ISNUMBER($P267),$P267="DNA"),$P267,IF(OR(ISNUMBER($O267),$O267="DNA"),$O267,IF(OR(ISNUMBER($N267),$N267="DNA"),$N267,""))))))))))),IF(ISNUMBER($Y267),"Update status","Missed/not booked?"),""))))</f>
        <v/>
      </c>
      <c r="M267" s="29">
        <f>IF(NOT(AND($A267&lt;&gt;"",OR($I267="",$I267="Active"))),"",IF(MIN(IF(AND(ISNUMBER($N267),$N267&gt;=TODAY()),$N267,99999),IF(AND(ISNUMBER($O267),$O267&gt;=TODAY()),$O267,99999),IF(AND(ISNUMBER($P267),$P267&gt;=TODAY()),$P267,99999),IF(AND(ISNUMBER($S267),$S267&gt;=TODAY()),$S267,99999),IF(AND(ISNUMBER($T267),$T267&gt;=TODAY()),$T267,99999),IF(AND(ISNUMBER($U267),$U267&gt;=TODAY()),$U267,99999),IF(AND(ISNUMBER($V267),$V267&gt;=TODAY()),$V267,99999),IF(AND(ISNUMBER($W267),$W267&gt;=TODAY()),$W267,99999),IF(AND(ISNUMBER($X267),$X267&gt;=TODAY()),$X267,99999),IF(AND(ISNUMBER($Y267),$Y267&gt;=TODAY()),$Y267,99999))=99999,"",MIN(IF(AND(ISNUMBER($N267),$N267&gt;=TODAY()),$N267,99999),IF(AND(ISNUMBER($O267),$O267&gt;=TODAY()),$O267,99999),IF(AND(ISNUMBER($P267),$P267&gt;=TODAY()),$P267,99999),IF(AND(ISNUMBER($S267),$S267&gt;=TODAY()),$S267,99999),IF(AND(ISNUMBER($T267),$T267&gt;=TODAY()),$T267,99999),IF(AND(ISNUMBER($U267),$U267&gt;=TODAY()),$U267,99999),IF(AND(ISNUMBER($V267),$V267&gt;=TODAY()),$V267,99999),IF(AND(ISNUMBER($W267),$W267&gt;=TODAY()),$W267,99999),IF(AND(ISNUMBER($X267),$X267&gt;=TODAY()),$X267,99999),IF(AND(ISNUMBER($Y267),$Y267&gt;=TODAY()),$Y267,99999))))</f>
        <v/>
      </c>
      <c r="N267" s="27" t="n"/>
      <c r="O267" s="27" t="n"/>
      <c r="P267" s="27" t="n"/>
      <c r="Q267" s="27" t="n"/>
      <c r="R267" s="27" t="n"/>
      <c r="S267" s="27" t="n"/>
      <c r="T267" s="27" t="n"/>
      <c r="U267" s="27" t="n"/>
      <c r="V267" s="27" t="n"/>
      <c r="W267" s="27" t="n"/>
      <c r="X267" s="27" t="n"/>
      <c r="Y267" s="27" t="n"/>
      <c r="Z267" s="27" t="n"/>
      <c r="AA267" s="27" t="n"/>
      <c r="AB267" s="27" t="n"/>
      <c r="AC267" s="30" t="n"/>
      <c r="AD267" s="25" t="n"/>
      <c r="AE267" s="28">
        <f>IF(NOT(AND($A267&lt;&gt;"",OR($I267="",$I267="Active"))),"",IF(OR(IF(OR(ISNUMBER($Y267),$Y267="DNA"),$Y267,IF(OR(ISNUMBER($X267),$X267="DNA"),$X267,IF(OR(ISNUMBER($W267),$W267="DNA"),$W267,IF(OR(ISNUMBER($V267),$V267="DNA"),$V267,IF(OR(ISNUMBER($U267),$U267="DNA"),$U267,IF(OR(ISNUMBER($T267),$T267="DNA"),$T267,IF(OR(ISNUMBER($S267),$S267="DNA"),$S267,IF(OR(ISNUMBER($P267),$P267="DNA"),$P267,IF(OR(ISNUMBER($O267),$O267="DNA"),$O267,IF(OR(ISNUMBER($N267),$N267="DNA"),$N267,""))))))))))="DNA",AND(ISNUMBER(IF(OR(ISNUMBER($Y267),$Y267="DNA"),$Y267,IF(OR(ISNUMBER($X267),$X267="DNA"),$X267,IF(OR(ISNUMBER($W267),$W267="DNA"),$W267,IF(OR(ISNUMBER($V267),$V267="DNA"),$V267,IF(OR(ISNUMBER($U267),$U267="DNA"),$U267,IF(OR(ISNUMBER($T267),$T267="DNA"),$T267,IF(OR(ISNUMBER($S267),$S267="DNA"),$S267,IF(OR(ISNUMBER($P267),$P267="DNA"),$P267,IF(OR(ISNUMBER($O267),$O267="DNA"),$O267,IF(OR(ISNUMBER($N267),$N267="DNA"),$N267,""))))))))))),IF(OR(ISNUMBER($Y267),$Y267="DNA"),$Y267,IF(OR(ISNUMBER($X267),$X267="DNA"),$X267,IF(OR(ISNUMBER($W267),$W267="DNA"),$W267,IF(OR(ISNUMBER($V267),$V267="DNA"),$V267,IF(OR(ISNUMBER($U267),$U267="DNA"),$U267,IF(OR(ISNUMBER($T267),$T267="DNA"),$T267,IF(OR(ISNUMBER($S267),$S267="DNA"),$S267,IF(OR(ISNUMBER($P267),$P267="DNA"),$P267,IF(OR(ISNUMBER($O267),$O267="DNA"),$O267,IF(OR(ISNUMBER($N267),$N267="DNA"),$N267,""))))))))))&lt;TODAY())),1,0)+ISNUMBER($Q267)*($Q267&lt;TODAY())+ISNUMBER($R267)*($R267&lt;TODAY())+ISNUMBER($AA267)*($AA267&lt;TODAY())+ISNUMBER($AB267)*($AB267&lt;TODAY()))</f>
        <v/>
      </c>
    </row>
    <row r="268">
      <c r="A268" s="25" t="n"/>
      <c r="B268" s="26" t="n"/>
      <c r="C268" s="27" t="n"/>
      <c r="D268" s="25" t="n"/>
      <c r="E268" s="25" t="n"/>
      <c r="F268" s="25" t="n"/>
      <c r="G268" s="25" t="n"/>
      <c r="H268" s="27" t="n"/>
      <c r="I268" s="25" t="n"/>
      <c r="J268" s="28">
        <f>IF(OR(NOT(AND($A268&lt;&gt;"",OR($I268="",$I268="Active"))),$H268=""),"",INT((TODAY()-$H268+280)/7)&amp;"+"&amp;MOD(TODAY()-$H268+280,7))</f>
        <v/>
      </c>
      <c r="K268" s="28">
        <f>IF(NOT(AND($A268&lt;&gt;"",OR($I268="",$I268="Active"))),"",ISNUMBER($N268)*($N268&gt;=TODAY())*($N268&lt;=TODAY()+7)+ISNUMBER($O268)*($O268&gt;=TODAY())*($O268&lt;=TODAY()+7)+ISNUMBER($P268)*($P268&gt;=TODAY())*($P268&lt;=TODAY()+7)+ISNUMBER($S268)*($S268&gt;=TODAY())*($S268&lt;=TODAY()+7)+ISNUMBER($T268)*($T268&gt;=TODAY())*($T268&lt;=TODAY()+7)+ISNUMBER($U268)*($U268&gt;=TODAY())*($U268&lt;=TODAY()+7)+ISNUMBER($V268)*($V268&gt;=TODAY())*($V268&lt;=TODAY()+7)+ISNUMBER($W268)*($W268&gt;=TODAY())*($W268&lt;=TODAY()+7)+ISNUMBER($X268)*($X268&gt;=TODAY())*($X268&lt;=TODAY()+7)+ISNUMBER($Y268)*($Y268&gt;=TODAY())*($Y268&lt;=TODAY()+7)+ISNUMBER($Q268)*($Q268&gt;=TODAY())*($Q268&lt;=TODAY()+7)+ISNUMBER($R268)*($R268&gt;=TODAY())*($R268&lt;=TODAY()+7)+ISNUMBER($AA268)*($AA268&gt;=TODAY())*($AA268&lt;=TODAY()+7)+ISNUMBER($AB268)*($AB268&gt;=TODAY())*($AB268&lt;=TODAY()+7))</f>
        <v/>
      </c>
      <c r="L268" s="28">
        <f>IF(NOT(AND($A268&lt;&gt;"",OR($I268="",$I268="Active"))),"",IF($M268&lt;&gt;"",IF($N268=$M268,"Booking",IF($O268=$M268,"16/40",IF($P268=$M268,"25/40",IF($S268=$M268,"28/40",IF($T268=$M268,"31/40",IF($U268=$M268,"34/40",IF($V268=$M268,"36/40",IF($W268=$M268,"38/40",IF($X268=$M268,"40/40",IF($Y268=$M268,"41/40","")))))))))),IF(IF(OR(ISNUMBER($Y268),$Y268="DNA"),$Y268,IF(OR(ISNUMBER($X268),$X268="DNA"),$X268,IF(OR(ISNUMBER($W268),$W268="DNA"),$W268,IF(OR(ISNUMBER($V268),$V268="DNA"),$V268,IF(OR(ISNUMBER($U268),$U268="DNA"),$U268,IF(OR(ISNUMBER($T268),$T268="DNA"),$T268,IF(OR(ISNUMBER($S268),$S268="DNA"),$S268,IF(OR(ISNUMBER($P268),$P268="DNA"),$P268,IF(OR(ISNUMBER($O268),$O268="DNA"),$O268,IF(OR(ISNUMBER($N268),$N268="DNA"),$N268,""))))))))))="DNA","Rebook DNA",IF(ISNUMBER(IF(OR(ISNUMBER($Y268),$Y268="DNA"),$Y268,IF(OR(ISNUMBER($X268),$X268="DNA"),$X268,IF(OR(ISNUMBER($W268),$W268="DNA"),$W268,IF(OR(ISNUMBER($V268),$V268="DNA"),$V268,IF(OR(ISNUMBER($U268),$U268="DNA"),$U268,IF(OR(ISNUMBER($T268),$T268="DNA"),$T268,IF(OR(ISNUMBER($S268),$S268="DNA"),$S268,IF(OR(ISNUMBER($P268),$P268="DNA"),$P268,IF(OR(ISNUMBER($O268),$O268="DNA"),$O268,IF(OR(ISNUMBER($N268),$N268="DNA"),$N268,""))))))))))),IF(ISNUMBER($Y268),"Update status","Missed/not booked?"),""))))</f>
        <v/>
      </c>
      <c r="M268" s="29">
        <f>IF(NOT(AND($A268&lt;&gt;"",OR($I268="",$I268="Active"))),"",IF(MIN(IF(AND(ISNUMBER($N268),$N268&gt;=TODAY()),$N268,99999),IF(AND(ISNUMBER($O268),$O268&gt;=TODAY()),$O268,99999),IF(AND(ISNUMBER($P268),$P268&gt;=TODAY()),$P268,99999),IF(AND(ISNUMBER($S268),$S268&gt;=TODAY()),$S268,99999),IF(AND(ISNUMBER($T268),$T268&gt;=TODAY()),$T268,99999),IF(AND(ISNUMBER($U268),$U268&gt;=TODAY()),$U268,99999),IF(AND(ISNUMBER($V268),$V268&gt;=TODAY()),$V268,99999),IF(AND(ISNUMBER($W268),$W268&gt;=TODAY()),$W268,99999),IF(AND(ISNUMBER($X268),$X268&gt;=TODAY()),$X268,99999),IF(AND(ISNUMBER($Y268),$Y268&gt;=TODAY()),$Y268,99999))=99999,"",MIN(IF(AND(ISNUMBER($N268),$N268&gt;=TODAY()),$N268,99999),IF(AND(ISNUMBER($O268),$O268&gt;=TODAY()),$O268,99999),IF(AND(ISNUMBER($P268),$P268&gt;=TODAY()),$P268,99999),IF(AND(ISNUMBER($S268),$S268&gt;=TODAY()),$S268,99999),IF(AND(ISNUMBER($T268),$T268&gt;=TODAY()),$T268,99999),IF(AND(ISNUMBER($U268),$U268&gt;=TODAY()),$U268,99999),IF(AND(ISNUMBER($V268),$V268&gt;=TODAY()),$V268,99999),IF(AND(ISNUMBER($W268),$W268&gt;=TODAY()),$W268,99999),IF(AND(ISNUMBER($X268),$X268&gt;=TODAY()),$X268,99999),IF(AND(ISNUMBER($Y268),$Y268&gt;=TODAY()),$Y268,99999))))</f>
        <v/>
      </c>
      <c r="N268" s="27" t="n"/>
      <c r="O268" s="27" t="n"/>
      <c r="P268" s="27" t="n"/>
      <c r="Q268" s="27" t="n"/>
      <c r="R268" s="27" t="n"/>
      <c r="S268" s="27" t="n"/>
      <c r="T268" s="27" t="n"/>
      <c r="U268" s="27" t="n"/>
      <c r="V268" s="27" t="n"/>
      <c r="W268" s="27" t="n"/>
      <c r="X268" s="27" t="n"/>
      <c r="Y268" s="27" t="n"/>
      <c r="Z268" s="27" t="n"/>
      <c r="AA268" s="27" t="n"/>
      <c r="AB268" s="27" t="n"/>
      <c r="AC268" s="30" t="n"/>
      <c r="AD268" s="25" t="n"/>
      <c r="AE268" s="28">
        <f>IF(NOT(AND($A268&lt;&gt;"",OR($I268="",$I268="Active"))),"",IF(OR(IF(OR(ISNUMBER($Y268),$Y268="DNA"),$Y268,IF(OR(ISNUMBER($X268),$X268="DNA"),$X268,IF(OR(ISNUMBER($W268),$W268="DNA"),$W268,IF(OR(ISNUMBER($V268),$V268="DNA"),$V268,IF(OR(ISNUMBER($U268),$U268="DNA"),$U268,IF(OR(ISNUMBER($T268),$T268="DNA"),$T268,IF(OR(ISNUMBER($S268),$S268="DNA"),$S268,IF(OR(ISNUMBER($P268),$P268="DNA"),$P268,IF(OR(ISNUMBER($O268),$O268="DNA"),$O268,IF(OR(ISNUMBER($N268),$N268="DNA"),$N268,""))))))))))="DNA",AND(ISNUMBER(IF(OR(ISNUMBER($Y268),$Y268="DNA"),$Y268,IF(OR(ISNUMBER($X268),$X268="DNA"),$X268,IF(OR(ISNUMBER($W268),$W268="DNA"),$W268,IF(OR(ISNUMBER($V268),$V268="DNA"),$V268,IF(OR(ISNUMBER($U268),$U268="DNA"),$U268,IF(OR(ISNUMBER($T268),$T268="DNA"),$T268,IF(OR(ISNUMBER($S268),$S268="DNA"),$S268,IF(OR(ISNUMBER($P268),$P268="DNA"),$P268,IF(OR(ISNUMBER($O268),$O268="DNA"),$O268,IF(OR(ISNUMBER($N268),$N268="DNA"),$N268,""))))))))))),IF(OR(ISNUMBER($Y268),$Y268="DNA"),$Y268,IF(OR(ISNUMBER($X268),$X268="DNA"),$X268,IF(OR(ISNUMBER($W268),$W268="DNA"),$W268,IF(OR(ISNUMBER($V268),$V268="DNA"),$V268,IF(OR(ISNUMBER($U268),$U268="DNA"),$U268,IF(OR(ISNUMBER($T268),$T268="DNA"),$T268,IF(OR(ISNUMBER($S268),$S268="DNA"),$S268,IF(OR(ISNUMBER($P268),$P268="DNA"),$P268,IF(OR(ISNUMBER($O268),$O268="DNA"),$O268,IF(OR(ISNUMBER($N268),$N268="DNA"),$N268,""))))))))))&lt;TODAY())),1,0)+ISNUMBER($Q268)*($Q268&lt;TODAY())+ISNUMBER($R268)*($R268&lt;TODAY())+ISNUMBER($AA268)*($AA268&lt;TODAY())+ISNUMBER($AB268)*($AB268&lt;TODAY()))</f>
        <v/>
      </c>
    </row>
    <row r="269">
      <c r="A269" s="25" t="n"/>
      <c r="B269" s="26" t="n"/>
      <c r="C269" s="27" t="n"/>
      <c r="D269" s="25" t="n"/>
      <c r="E269" s="25" t="n"/>
      <c r="F269" s="25" t="n"/>
      <c r="G269" s="25" t="n"/>
      <c r="H269" s="27" t="n"/>
      <c r="I269" s="25" t="n"/>
      <c r="J269" s="28">
        <f>IF(OR(NOT(AND($A269&lt;&gt;"",OR($I269="",$I269="Active"))),$H269=""),"",INT((TODAY()-$H269+280)/7)&amp;"+"&amp;MOD(TODAY()-$H269+280,7))</f>
        <v/>
      </c>
      <c r="K269" s="28">
        <f>IF(NOT(AND($A269&lt;&gt;"",OR($I269="",$I269="Active"))),"",ISNUMBER($N269)*($N269&gt;=TODAY())*($N269&lt;=TODAY()+7)+ISNUMBER($O269)*($O269&gt;=TODAY())*($O269&lt;=TODAY()+7)+ISNUMBER($P269)*($P269&gt;=TODAY())*($P269&lt;=TODAY()+7)+ISNUMBER($S269)*($S269&gt;=TODAY())*($S269&lt;=TODAY()+7)+ISNUMBER($T269)*($T269&gt;=TODAY())*($T269&lt;=TODAY()+7)+ISNUMBER($U269)*($U269&gt;=TODAY())*($U269&lt;=TODAY()+7)+ISNUMBER($V269)*($V269&gt;=TODAY())*($V269&lt;=TODAY()+7)+ISNUMBER($W269)*($W269&gt;=TODAY())*($W269&lt;=TODAY()+7)+ISNUMBER($X269)*($X269&gt;=TODAY())*($X269&lt;=TODAY()+7)+ISNUMBER($Y269)*($Y269&gt;=TODAY())*($Y269&lt;=TODAY()+7)+ISNUMBER($Q269)*($Q269&gt;=TODAY())*($Q269&lt;=TODAY()+7)+ISNUMBER($R269)*($R269&gt;=TODAY())*($R269&lt;=TODAY()+7)+ISNUMBER($AA269)*($AA269&gt;=TODAY())*($AA269&lt;=TODAY()+7)+ISNUMBER($AB269)*($AB269&gt;=TODAY())*($AB269&lt;=TODAY()+7))</f>
        <v/>
      </c>
      <c r="L269" s="28">
        <f>IF(NOT(AND($A269&lt;&gt;"",OR($I269="",$I269="Active"))),"",IF($M269&lt;&gt;"",IF($N269=$M269,"Booking",IF($O269=$M269,"16/40",IF($P269=$M269,"25/40",IF($S269=$M269,"28/40",IF($T269=$M269,"31/40",IF($U269=$M269,"34/40",IF($V269=$M269,"36/40",IF($W269=$M269,"38/40",IF($X269=$M269,"40/40",IF($Y269=$M269,"41/40","")))))))))),IF(IF(OR(ISNUMBER($Y269),$Y269="DNA"),$Y269,IF(OR(ISNUMBER($X269),$X269="DNA"),$X269,IF(OR(ISNUMBER($W269),$W269="DNA"),$W269,IF(OR(ISNUMBER($V269),$V269="DNA"),$V269,IF(OR(ISNUMBER($U269),$U269="DNA"),$U269,IF(OR(ISNUMBER($T269),$T269="DNA"),$T269,IF(OR(ISNUMBER($S269),$S269="DNA"),$S269,IF(OR(ISNUMBER($P269),$P269="DNA"),$P269,IF(OR(ISNUMBER($O269),$O269="DNA"),$O269,IF(OR(ISNUMBER($N269),$N269="DNA"),$N269,""))))))))))="DNA","Rebook DNA",IF(ISNUMBER(IF(OR(ISNUMBER($Y269),$Y269="DNA"),$Y269,IF(OR(ISNUMBER($X269),$X269="DNA"),$X269,IF(OR(ISNUMBER($W269),$W269="DNA"),$W269,IF(OR(ISNUMBER($V269),$V269="DNA"),$V269,IF(OR(ISNUMBER($U269),$U269="DNA"),$U269,IF(OR(ISNUMBER($T269),$T269="DNA"),$T269,IF(OR(ISNUMBER($S269),$S269="DNA"),$S269,IF(OR(ISNUMBER($P269),$P269="DNA"),$P269,IF(OR(ISNUMBER($O269),$O269="DNA"),$O269,IF(OR(ISNUMBER($N269),$N269="DNA"),$N269,""))))))))))),IF(ISNUMBER($Y269),"Update status","Missed/not booked?"),""))))</f>
        <v/>
      </c>
      <c r="M269" s="29">
        <f>IF(NOT(AND($A269&lt;&gt;"",OR($I269="",$I269="Active"))),"",IF(MIN(IF(AND(ISNUMBER($N269),$N269&gt;=TODAY()),$N269,99999),IF(AND(ISNUMBER($O269),$O269&gt;=TODAY()),$O269,99999),IF(AND(ISNUMBER($P269),$P269&gt;=TODAY()),$P269,99999),IF(AND(ISNUMBER($S269),$S269&gt;=TODAY()),$S269,99999),IF(AND(ISNUMBER($T269),$T269&gt;=TODAY()),$T269,99999),IF(AND(ISNUMBER($U269),$U269&gt;=TODAY()),$U269,99999),IF(AND(ISNUMBER($V269),$V269&gt;=TODAY()),$V269,99999),IF(AND(ISNUMBER($W269),$W269&gt;=TODAY()),$W269,99999),IF(AND(ISNUMBER($X269),$X269&gt;=TODAY()),$X269,99999),IF(AND(ISNUMBER($Y269),$Y269&gt;=TODAY()),$Y269,99999))=99999,"",MIN(IF(AND(ISNUMBER($N269),$N269&gt;=TODAY()),$N269,99999),IF(AND(ISNUMBER($O269),$O269&gt;=TODAY()),$O269,99999),IF(AND(ISNUMBER($P269),$P269&gt;=TODAY()),$P269,99999),IF(AND(ISNUMBER($S269),$S269&gt;=TODAY()),$S269,99999),IF(AND(ISNUMBER($T269),$T269&gt;=TODAY()),$T269,99999),IF(AND(ISNUMBER($U269),$U269&gt;=TODAY()),$U269,99999),IF(AND(ISNUMBER($V269),$V269&gt;=TODAY()),$V269,99999),IF(AND(ISNUMBER($W269),$W269&gt;=TODAY()),$W269,99999),IF(AND(ISNUMBER($X269),$X269&gt;=TODAY()),$X269,99999),IF(AND(ISNUMBER($Y269),$Y269&gt;=TODAY()),$Y269,99999))))</f>
        <v/>
      </c>
      <c r="N269" s="27" t="n"/>
      <c r="O269" s="27" t="n"/>
      <c r="P269" s="27" t="n"/>
      <c r="Q269" s="27" t="n"/>
      <c r="R269" s="27" t="n"/>
      <c r="S269" s="27" t="n"/>
      <c r="T269" s="27" t="n"/>
      <c r="U269" s="27" t="n"/>
      <c r="V269" s="27" t="n"/>
      <c r="W269" s="27" t="n"/>
      <c r="X269" s="27" t="n"/>
      <c r="Y269" s="27" t="n"/>
      <c r="Z269" s="27" t="n"/>
      <c r="AA269" s="27" t="n"/>
      <c r="AB269" s="27" t="n"/>
      <c r="AC269" s="30" t="n"/>
      <c r="AD269" s="25" t="n"/>
      <c r="AE269" s="28">
        <f>IF(NOT(AND($A269&lt;&gt;"",OR($I269="",$I269="Active"))),"",IF(OR(IF(OR(ISNUMBER($Y269),$Y269="DNA"),$Y269,IF(OR(ISNUMBER($X269),$X269="DNA"),$X269,IF(OR(ISNUMBER($W269),$W269="DNA"),$W269,IF(OR(ISNUMBER($V269),$V269="DNA"),$V269,IF(OR(ISNUMBER($U269),$U269="DNA"),$U269,IF(OR(ISNUMBER($T269),$T269="DNA"),$T269,IF(OR(ISNUMBER($S269),$S269="DNA"),$S269,IF(OR(ISNUMBER($P269),$P269="DNA"),$P269,IF(OR(ISNUMBER($O269),$O269="DNA"),$O269,IF(OR(ISNUMBER($N269),$N269="DNA"),$N269,""))))))))))="DNA",AND(ISNUMBER(IF(OR(ISNUMBER($Y269),$Y269="DNA"),$Y269,IF(OR(ISNUMBER($X269),$X269="DNA"),$X269,IF(OR(ISNUMBER($W269),$W269="DNA"),$W269,IF(OR(ISNUMBER($V269),$V269="DNA"),$V269,IF(OR(ISNUMBER($U269),$U269="DNA"),$U269,IF(OR(ISNUMBER($T269),$T269="DNA"),$T269,IF(OR(ISNUMBER($S269),$S269="DNA"),$S269,IF(OR(ISNUMBER($P269),$P269="DNA"),$P269,IF(OR(ISNUMBER($O269),$O269="DNA"),$O269,IF(OR(ISNUMBER($N269),$N269="DNA"),$N269,""))))))))))),IF(OR(ISNUMBER($Y269),$Y269="DNA"),$Y269,IF(OR(ISNUMBER($X269),$X269="DNA"),$X269,IF(OR(ISNUMBER($W269),$W269="DNA"),$W269,IF(OR(ISNUMBER($V269),$V269="DNA"),$V269,IF(OR(ISNUMBER($U269),$U269="DNA"),$U269,IF(OR(ISNUMBER($T269),$T269="DNA"),$T269,IF(OR(ISNUMBER($S269),$S269="DNA"),$S269,IF(OR(ISNUMBER($P269),$P269="DNA"),$P269,IF(OR(ISNUMBER($O269),$O269="DNA"),$O269,IF(OR(ISNUMBER($N269),$N269="DNA"),$N269,""))))))))))&lt;TODAY())),1,0)+ISNUMBER($Q269)*($Q269&lt;TODAY())+ISNUMBER($R269)*($R269&lt;TODAY())+ISNUMBER($AA269)*($AA269&lt;TODAY())+ISNUMBER($AB269)*($AB269&lt;TODAY()))</f>
        <v/>
      </c>
    </row>
    <row r="270">
      <c r="A270" s="25" t="n"/>
      <c r="B270" s="26" t="n"/>
      <c r="C270" s="27" t="n"/>
      <c r="D270" s="25" t="n"/>
      <c r="E270" s="25" t="n"/>
      <c r="F270" s="25" t="n"/>
      <c r="G270" s="25" t="n"/>
      <c r="H270" s="27" t="n"/>
      <c r="I270" s="25" t="n"/>
      <c r="J270" s="28">
        <f>IF(OR(NOT(AND($A270&lt;&gt;"",OR($I270="",$I270="Active"))),$H270=""),"",INT((TODAY()-$H270+280)/7)&amp;"+"&amp;MOD(TODAY()-$H270+280,7))</f>
        <v/>
      </c>
      <c r="K270" s="28">
        <f>IF(NOT(AND($A270&lt;&gt;"",OR($I270="",$I270="Active"))),"",ISNUMBER($N270)*($N270&gt;=TODAY())*($N270&lt;=TODAY()+7)+ISNUMBER($O270)*($O270&gt;=TODAY())*($O270&lt;=TODAY()+7)+ISNUMBER($P270)*($P270&gt;=TODAY())*($P270&lt;=TODAY()+7)+ISNUMBER($S270)*($S270&gt;=TODAY())*($S270&lt;=TODAY()+7)+ISNUMBER($T270)*($T270&gt;=TODAY())*($T270&lt;=TODAY()+7)+ISNUMBER($U270)*($U270&gt;=TODAY())*($U270&lt;=TODAY()+7)+ISNUMBER($V270)*($V270&gt;=TODAY())*($V270&lt;=TODAY()+7)+ISNUMBER($W270)*($W270&gt;=TODAY())*($W270&lt;=TODAY()+7)+ISNUMBER($X270)*($X270&gt;=TODAY())*($X270&lt;=TODAY()+7)+ISNUMBER($Y270)*($Y270&gt;=TODAY())*($Y270&lt;=TODAY()+7)+ISNUMBER($Q270)*($Q270&gt;=TODAY())*($Q270&lt;=TODAY()+7)+ISNUMBER($R270)*($R270&gt;=TODAY())*($R270&lt;=TODAY()+7)+ISNUMBER($AA270)*($AA270&gt;=TODAY())*($AA270&lt;=TODAY()+7)+ISNUMBER($AB270)*($AB270&gt;=TODAY())*($AB270&lt;=TODAY()+7))</f>
        <v/>
      </c>
      <c r="L270" s="28">
        <f>IF(NOT(AND($A270&lt;&gt;"",OR($I270="",$I270="Active"))),"",IF($M270&lt;&gt;"",IF($N270=$M270,"Booking",IF($O270=$M270,"16/40",IF($P270=$M270,"25/40",IF($S270=$M270,"28/40",IF($T270=$M270,"31/40",IF($U270=$M270,"34/40",IF($V270=$M270,"36/40",IF($W270=$M270,"38/40",IF($X270=$M270,"40/40",IF($Y270=$M270,"41/40","")))))))))),IF(IF(OR(ISNUMBER($Y270),$Y270="DNA"),$Y270,IF(OR(ISNUMBER($X270),$X270="DNA"),$X270,IF(OR(ISNUMBER($W270),$W270="DNA"),$W270,IF(OR(ISNUMBER($V270),$V270="DNA"),$V270,IF(OR(ISNUMBER($U270),$U270="DNA"),$U270,IF(OR(ISNUMBER($T270),$T270="DNA"),$T270,IF(OR(ISNUMBER($S270),$S270="DNA"),$S270,IF(OR(ISNUMBER($P270),$P270="DNA"),$P270,IF(OR(ISNUMBER($O270),$O270="DNA"),$O270,IF(OR(ISNUMBER($N270),$N270="DNA"),$N270,""))))))))))="DNA","Rebook DNA",IF(ISNUMBER(IF(OR(ISNUMBER($Y270),$Y270="DNA"),$Y270,IF(OR(ISNUMBER($X270),$X270="DNA"),$X270,IF(OR(ISNUMBER($W270),$W270="DNA"),$W270,IF(OR(ISNUMBER($V270),$V270="DNA"),$V270,IF(OR(ISNUMBER($U270),$U270="DNA"),$U270,IF(OR(ISNUMBER($T270),$T270="DNA"),$T270,IF(OR(ISNUMBER($S270),$S270="DNA"),$S270,IF(OR(ISNUMBER($P270),$P270="DNA"),$P270,IF(OR(ISNUMBER($O270),$O270="DNA"),$O270,IF(OR(ISNUMBER($N270),$N270="DNA"),$N270,""))))))))))),IF(ISNUMBER($Y270),"Update status","Missed/not booked?"),""))))</f>
        <v/>
      </c>
      <c r="M270" s="29">
        <f>IF(NOT(AND($A270&lt;&gt;"",OR($I270="",$I270="Active"))),"",IF(MIN(IF(AND(ISNUMBER($N270),$N270&gt;=TODAY()),$N270,99999),IF(AND(ISNUMBER($O270),$O270&gt;=TODAY()),$O270,99999),IF(AND(ISNUMBER($P270),$P270&gt;=TODAY()),$P270,99999),IF(AND(ISNUMBER($S270),$S270&gt;=TODAY()),$S270,99999),IF(AND(ISNUMBER($T270),$T270&gt;=TODAY()),$T270,99999),IF(AND(ISNUMBER($U270),$U270&gt;=TODAY()),$U270,99999),IF(AND(ISNUMBER($V270),$V270&gt;=TODAY()),$V270,99999),IF(AND(ISNUMBER($W270),$W270&gt;=TODAY()),$W270,99999),IF(AND(ISNUMBER($X270),$X270&gt;=TODAY()),$X270,99999),IF(AND(ISNUMBER($Y270),$Y270&gt;=TODAY()),$Y270,99999))=99999,"",MIN(IF(AND(ISNUMBER($N270),$N270&gt;=TODAY()),$N270,99999),IF(AND(ISNUMBER($O270),$O270&gt;=TODAY()),$O270,99999),IF(AND(ISNUMBER($P270),$P270&gt;=TODAY()),$P270,99999),IF(AND(ISNUMBER($S270),$S270&gt;=TODAY()),$S270,99999),IF(AND(ISNUMBER($T270),$T270&gt;=TODAY()),$T270,99999),IF(AND(ISNUMBER($U270),$U270&gt;=TODAY()),$U270,99999),IF(AND(ISNUMBER($V270),$V270&gt;=TODAY()),$V270,99999),IF(AND(ISNUMBER($W270),$W270&gt;=TODAY()),$W270,99999),IF(AND(ISNUMBER($X270),$X270&gt;=TODAY()),$X270,99999),IF(AND(ISNUMBER($Y270),$Y270&gt;=TODAY()),$Y270,99999))))</f>
        <v/>
      </c>
      <c r="N270" s="27" t="n"/>
      <c r="O270" s="27" t="n"/>
      <c r="P270" s="27" t="n"/>
      <c r="Q270" s="27" t="n"/>
      <c r="R270" s="27" t="n"/>
      <c r="S270" s="27" t="n"/>
      <c r="T270" s="27" t="n"/>
      <c r="U270" s="27" t="n"/>
      <c r="V270" s="27" t="n"/>
      <c r="W270" s="27" t="n"/>
      <c r="X270" s="27" t="n"/>
      <c r="Y270" s="27" t="n"/>
      <c r="Z270" s="27" t="n"/>
      <c r="AA270" s="27" t="n"/>
      <c r="AB270" s="27" t="n"/>
      <c r="AC270" s="30" t="n"/>
      <c r="AD270" s="25" t="n"/>
      <c r="AE270" s="28">
        <f>IF(NOT(AND($A270&lt;&gt;"",OR($I270="",$I270="Active"))),"",IF(OR(IF(OR(ISNUMBER($Y270),$Y270="DNA"),$Y270,IF(OR(ISNUMBER($X270),$X270="DNA"),$X270,IF(OR(ISNUMBER($W270),$W270="DNA"),$W270,IF(OR(ISNUMBER($V270),$V270="DNA"),$V270,IF(OR(ISNUMBER($U270),$U270="DNA"),$U270,IF(OR(ISNUMBER($T270),$T270="DNA"),$T270,IF(OR(ISNUMBER($S270),$S270="DNA"),$S270,IF(OR(ISNUMBER($P270),$P270="DNA"),$P270,IF(OR(ISNUMBER($O270),$O270="DNA"),$O270,IF(OR(ISNUMBER($N270),$N270="DNA"),$N270,""))))))))))="DNA",AND(ISNUMBER(IF(OR(ISNUMBER($Y270),$Y270="DNA"),$Y270,IF(OR(ISNUMBER($X270),$X270="DNA"),$X270,IF(OR(ISNUMBER($W270),$W270="DNA"),$W270,IF(OR(ISNUMBER($V270),$V270="DNA"),$V270,IF(OR(ISNUMBER($U270),$U270="DNA"),$U270,IF(OR(ISNUMBER($T270),$T270="DNA"),$T270,IF(OR(ISNUMBER($S270),$S270="DNA"),$S270,IF(OR(ISNUMBER($P270),$P270="DNA"),$P270,IF(OR(ISNUMBER($O270),$O270="DNA"),$O270,IF(OR(ISNUMBER($N270),$N270="DNA"),$N270,""))))))))))),IF(OR(ISNUMBER($Y270),$Y270="DNA"),$Y270,IF(OR(ISNUMBER($X270),$X270="DNA"),$X270,IF(OR(ISNUMBER($W270),$W270="DNA"),$W270,IF(OR(ISNUMBER($V270),$V270="DNA"),$V270,IF(OR(ISNUMBER($U270),$U270="DNA"),$U270,IF(OR(ISNUMBER($T270),$T270="DNA"),$T270,IF(OR(ISNUMBER($S270),$S270="DNA"),$S270,IF(OR(ISNUMBER($P270),$P270="DNA"),$P270,IF(OR(ISNUMBER($O270),$O270="DNA"),$O270,IF(OR(ISNUMBER($N270),$N270="DNA"),$N270,""))))))))))&lt;TODAY())),1,0)+ISNUMBER($Q270)*($Q270&lt;TODAY())+ISNUMBER($R270)*($R270&lt;TODAY())+ISNUMBER($AA270)*($AA270&lt;TODAY())+ISNUMBER($AB270)*($AB270&lt;TODAY()))</f>
        <v/>
      </c>
    </row>
    <row r="271">
      <c r="A271" s="25" t="n"/>
      <c r="B271" s="26" t="n"/>
      <c r="C271" s="27" t="n"/>
      <c r="D271" s="25" t="n"/>
      <c r="E271" s="25" t="n"/>
      <c r="F271" s="25" t="n"/>
      <c r="G271" s="25" t="n"/>
      <c r="H271" s="27" t="n"/>
      <c r="I271" s="25" t="n"/>
      <c r="J271" s="28">
        <f>IF(OR(NOT(AND($A271&lt;&gt;"",OR($I271="",$I271="Active"))),$H271=""),"",INT((TODAY()-$H271+280)/7)&amp;"+"&amp;MOD(TODAY()-$H271+280,7))</f>
        <v/>
      </c>
      <c r="K271" s="28">
        <f>IF(NOT(AND($A271&lt;&gt;"",OR($I271="",$I271="Active"))),"",ISNUMBER($N271)*($N271&gt;=TODAY())*($N271&lt;=TODAY()+7)+ISNUMBER($O271)*($O271&gt;=TODAY())*($O271&lt;=TODAY()+7)+ISNUMBER($P271)*($P271&gt;=TODAY())*($P271&lt;=TODAY()+7)+ISNUMBER($S271)*($S271&gt;=TODAY())*($S271&lt;=TODAY()+7)+ISNUMBER($T271)*($T271&gt;=TODAY())*($T271&lt;=TODAY()+7)+ISNUMBER($U271)*($U271&gt;=TODAY())*($U271&lt;=TODAY()+7)+ISNUMBER($V271)*($V271&gt;=TODAY())*($V271&lt;=TODAY()+7)+ISNUMBER($W271)*($W271&gt;=TODAY())*($W271&lt;=TODAY()+7)+ISNUMBER($X271)*($X271&gt;=TODAY())*($X271&lt;=TODAY()+7)+ISNUMBER($Y271)*($Y271&gt;=TODAY())*($Y271&lt;=TODAY()+7)+ISNUMBER($Q271)*($Q271&gt;=TODAY())*($Q271&lt;=TODAY()+7)+ISNUMBER($R271)*($R271&gt;=TODAY())*($R271&lt;=TODAY()+7)+ISNUMBER($AA271)*($AA271&gt;=TODAY())*($AA271&lt;=TODAY()+7)+ISNUMBER($AB271)*($AB271&gt;=TODAY())*($AB271&lt;=TODAY()+7))</f>
        <v/>
      </c>
      <c r="L271" s="28">
        <f>IF(NOT(AND($A271&lt;&gt;"",OR($I271="",$I271="Active"))),"",IF($M271&lt;&gt;"",IF($N271=$M271,"Booking",IF($O271=$M271,"16/40",IF($P271=$M271,"25/40",IF($S271=$M271,"28/40",IF($T271=$M271,"31/40",IF($U271=$M271,"34/40",IF($V271=$M271,"36/40",IF($W271=$M271,"38/40",IF($X271=$M271,"40/40",IF($Y271=$M271,"41/40","")))))))))),IF(IF(OR(ISNUMBER($Y271),$Y271="DNA"),$Y271,IF(OR(ISNUMBER($X271),$X271="DNA"),$X271,IF(OR(ISNUMBER($W271),$W271="DNA"),$W271,IF(OR(ISNUMBER($V271),$V271="DNA"),$V271,IF(OR(ISNUMBER($U271),$U271="DNA"),$U271,IF(OR(ISNUMBER($T271),$T271="DNA"),$T271,IF(OR(ISNUMBER($S271),$S271="DNA"),$S271,IF(OR(ISNUMBER($P271),$P271="DNA"),$P271,IF(OR(ISNUMBER($O271),$O271="DNA"),$O271,IF(OR(ISNUMBER($N271),$N271="DNA"),$N271,""))))))))))="DNA","Rebook DNA",IF(ISNUMBER(IF(OR(ISNUMBER($Y271),$Y271="DNA"),$Y271,IF(OR(ISNUMBER($X271),$X271="DNA"),$X271,IF(OR(ISNUMBER($W271),$W271="DNA"),$W271,IF(OR(ISNUMBER($V271),$V271="DNA"),$V271,IF(OR(ISNUMBER($U271),$U271="DNA"),$U271,IF(OR(ISNUMBER($T271),$T271="DNA"),$T271,IF(OR(ISNUMBER($S271),$S271="DNA"),$S271,IF(OR(ISNUMBER($P271),$P271="DNA"),$P271,IF(OR(ISNUMBER($O271),$O271="DNA"),$O271,IF(OR(ISNUMBER($N271),$N271="DNA"),$N271,""))))))))))),IF(ISNUMBER($Y271),"Update status","Missed/not booked?"),""))))</f>
        <v/>
      </c>
      <c r="M271" s="29">
        <f>IF(NOT(AND($A271&lt;&gt;"",OR($I271="",$I271="Active"))),"",IF(MIN(IF(AND(ISNUMBER($N271),$N271&gt;=TODAY()),$N271,99999),IF(AND(ISNUMBER($O271),$O271&gt;=TODAY()),$O271,99999),IF(AND(ISNUMBER($P271),$P271&gt;=TODAY()),$P271,99999),IF(AND(ISNUMBER($S271),$S271&gt;=TODAY()),$S271,99999),IF(AND(ISNUMBER($T271),$T271&gt;=TODAY()),$T271,99999),IF(AND(ISNUMBER($U271),$U271&gt;=TODAY()),$U271,99999),IF(AND(ISNUMBER($V271),$V271&gt;=TODAY()),$V271,99999),IF(AND(ISNUMBER($W271),$W271&gt;=TODAY()),$W271,99999),IF(AND(ISNUMBER($X271),$X271&gt;=TODAY()),$X271,99999),IF(AND(ISNUMBER($Y271),$Y271&gt;=TODAY()),$Y271,99999))=99999,"",MIN(IF(AND(ISNUMBER($N271),$N271&gt;=TODAY()),$N271,99999),IF(AND(ISNUMBER($O271),$O271&gt;=TODAY()),$O271,99999),IF(AND(ISNUMBER($P271),$P271&gt;=TODAY()),$P271,99999),IF(AND(ISNUMBER($S271),$S271&gt;=TODAY()),$S271,99999),IF(AND(ISNUMBER($T271),$T271&gt;=TODAY()),$T271,99999),IF(AND(ISNUMBER($U271),$U271&gt;=TODAY()),$U271,99999),IF(AND(ISNUMBER($V271),$V271&gt;=TODAY()),$V271,99999),IF(AND(ISNUMBER($W271),$W271&gt;=TODAY()),$W271,99999),IF(AND(ISNUMBER($X271),$X271&gt;=TODAY()),$X271,99999),IF(AND(ISNUMBER($Y271),$Y271&gt;=TODAY()),$Y271,99999))))</f>
        <v/>
      </c>
      <c r="N271" s="27" t="n"/>
      <c r="O271" s="27" t="n"/>
      <c r="P271" s="27" t="n"/>
      <c r="Q271" s="27" t="n"/>
      <c r="R271" s="27" t="n"/>
      <c r="S271" s="27" t="n"/>
      <c r="T271" s="27" t="n"/>
      <c r="U271" s="27" t="n"/>
      <c r="V271" s="27" t="n"/>
      <c r="W271" s="27" t="n"/>
      <c r="X271" s="27" t="n"/>
      <c r="Y271" s="27" t="n"/>
      <c r="Z271" s="27" t="n"/>
      <c r="AA271" s="27" t="n"/>
      <c r="AB271" s="27" t="n"/>
      <c r="AC271" s="30" t="n"/>
      <c r="AD271" s="25" t="n"/>
      <c r="AE271" s="28">
        <f>IF(NOT(AND($A271&lt;&gt;"",OR($I271="",$I271="Active"))),"",IF(OR(IF(OR(ISNUMBER($Y271),$Y271="DNA"),$Y271,IF(OR(ISNUMBER($X271),$X271="DNA"),$X271,IF(OR(ISNUMBER($W271),$W271="DNA"),$W271,IF(OR(ISNUMBER($V271),$V271="DNA"),$V271,IF(OR(ISNUMBER($U271),$U271="DNA"),$U271,IF(OR(ISNUMBER($T271),$T271="DNA"),$T271,IF(OR(ISNUMBER($S271),$S271="DNA"),$S271,IF(OR(ISNUMBER($P271),$P271="DNA"),$P271,IF(OR(ISNUMBER($O271),$O271="DNA"),$O271,IF(OR(ISNUMBER($N271),$N271="DNA"),$N271,""))))))))))="DNA",AND(ISNUMBER(IF(OR(ISNUMBER($Y271),$Y271="DNA"),$Y271,IF(OR(ISNUMBER($X271),$X271="DNA"),$X271,IF(OR(ISNUMBER($W271),$W271="DNA"),$W271,IF(OR(ISNUMBER($V271),$V271="DNA"),$V271,IF(OR(ISNUMBER($U271),$U271="DNA"),$U271,IF(OR(ISNUMBER($T271),$T271="DNA"),$T271,IF(OR(ISNUMBER($S271),$S271="DNA"),$S271,IF(OR(ISNUMBER($P271),$P271="DNA"),$P271,IF(OR(ISNUMBER($O271),$O271="DNA"),$O271,IF(OR(ISNUMBER($N271),$N271="DNA"),$N271,""))))))))))),IF(OR(ISNUMBER($Y271),$Y271="DNA"),$Y271,IF(OR(ISNUMBER($X271),$X271="DNA"),$X271,IF(OR(ISNUMBER($W271),$W271="DNA"),$W271,IF(OR(ISNUMBER($V271),$V271="DNA"),$V271,IF(OR(ISNUMBER($U271),$U271="DNA"),$U271,IF(OR(ISNUMBER($T271),$T271="DNA"),$T271,IF(OR(ISNUMBER($S271),$S271="DNA"),$S271,IF(OR(ISNUMBER($P271),$P271="DNA"),$P271,IF(OR(ISNUMBER($O271),$O271="DNA"),$O271,IF(OR(ISNUMBER($N271),$N271="DNA"),$N271,""))))))))))&lt;TODAY())),1,0)+ISNUMBER($Q271)*($Q271&lt;TODAY())+ISNUMBER($R271)*($R271&lt;TODAY())+ISNUMBER($AA271)*($AA271&lt;TODAY())+ISNUMBER($AB271)*($AB271&lt;TODAY()))</f>
        <v/>
      </c>
    </row>
    <row r="272">
      <c r="A272" s="25" t="n"/>
      <c r="B272" s="26" t="n"/>
      <c r="C272" s="27" t="n"/>
      <c r="D272" s="25" t="n"/>
      <c r="E272" s="25" t="n"/>
      <c r="F272" s="25" t="n"/>
      <c r="G272" s="25" t="n"/>
      <c r="H272" s="27" t="n"/>
      <c r="I272" s="25" t="n"/>
      <c r="J272" s="28">
        <f>IF(OR(NOT(AND($A272&lt;&gt;"",OR($I272="",$I272="Active"))),$H272=""),"",INT((TODAY()-$H272+280)/7)&amp;"+"&amp;MOD(TODAY()-$H272+280,7))</f>
        <v/>
      </c>
      <c r="K272" s="28">
        <f>IF(NOT(AND($A272&lt;&gt;"",OR($I272="",$I272="Active"))),"",ISNUMBER($N272)*($N272&gt;=TODAY())*($N272&lt;=TODAY()+7)+ISNUMBER($O272)*($O272&gt;=TODAY())*($O272&lt;=TODAY()+7)+ISNUMBER($P272)*($P272&gt;=TODAY())*($P272&lt;=TODAY()+7)+ISNUMBER($S272)*($S272&gt;=TODAY())*($S272&lt;=TODAY()+7)+ISNUMBER($T272)*($T272&gt;=TODAY())*($T272&lt;=TODAY()+7)+ISNUMBER($U272)*($U272&gt;=TODAY())*($U272&lt;=TODAY()+7)+ISNUMBER($V272)*($V272&gt;=TODAY())*($V272&lt;=TODAY()+7)+ISNUMBER($W272)*($W272&gt;=TODAY())*($W272&lt;=TODAY()+7)+ISNUMBER($X272)*($X272&gt;=TODAY())*($X272&lt;=TODAY()+7)+ISNUMBER($Y272)*($Y272&gt;=TODAY())*($Y272&lt;=TODAY()+7)+ISNUMBER($Q272)*($Q272&gt;=TODAY())*($Q272&lt;=TODAY()+7)+ISNUMBER($R272)*($R272&gt;=TODAY())*($R272&lt;=TODAY()+7)+ISNUMBER($AA272)*($AA272&gt;=TODAY())*($AA272&lt;=TODAY()+7)+ISNUMBER($AB272)*($AB272&gt;=TODAY())*($AB272&lt;=TODAY()+7))</f>
        <v/>
      </c>
      <c r="L272" s="28">
        <f>IF(NOT(AND($A272&lt;&gt;"",OR($I272="",$I272="Active"))),"",IF($M272&lt;&gt;"",IF($N272=$M272,"Booking",IF($O272=$M272,"16/40",IF($P272=$M272,"25/40",IF($S272=$M272,"28/40",IF($T272=$M272,"31/40",IF($U272=$M272,"34/40",IF($V272=$M272,"36/40",IF($W272=$M272,"38/40",IF($X272=$M272,"40/40",IF($Y272=$M272,"41/40","")))))))))),IF(IF(OR(ISNUMBER($Y272),$Y272="DNA"),$Y272,IF(OR(ISNUMBER($X272),$X272="DNA"),$X272,IF(OR(ISNUMBER($W272),$W272="DNA"),$W272,IF(OR(ISNUMBER($V272),$V272="DNA"),$V272,IF(OR(ISNUMBER($U272),$U272="DNA"),$U272,IF(OR(ISNUMBER($T272),$T272="DNA"),$T272,IF(OR(ISNUMBER($S272),$S272="DNA"),$S272,IF(OR(ISNUMBER($P272),$P272="DNA"),$P272,IF(OR(ISNUMBER($O272),$O272="DNA"),$O272,IF(OR(ISNUMBER($N272),$N272="DNA"),$N272,""))))))))))="DNA","Rebook DNA",IF(ISNUMBER(IF(OR(ISNUMBER($Y272),$Y272="DNA"),$Y272,IF(OR(ISNUMBER($X272),$X272="DNA"),$X272,IF(OR(ISNUMBER($W272),$W272="DNA"),$W272,IF(OR(ISNUMBER($V272),$V272="DNA"),$V272,IF(OR(ISNUMBER($U272),$U272="DNA"),$U272,IF(OR(ISNUMBER($T272),$T272="DNA"),$T272,IF(OR(ISNUMBER($S272),$S272="DNA"),$S272,IF(OR(ISNUMBER($P272),$P272="DNA"),$P272,IF(OR(ISNUMBER($O272),$O272="DNA"),$O272,IF(OR(ISNUMBER($N272),$N272="DNA"),$N272,""))))))))))),IF(ISNUMBER($Y272),"Update status","Missed/not booked?"),""))))</f>
        <v/>
      </c>
      <c r="M272" s="29">
        <f>IF(NOT(AND($A272&lt;&gt;"",OR($I272="",$I272="Active"))),"",IF(MIN(IF(AND(ISNUMBER($N272),$N272&gt;=TODAY()),$N272,99999),IF(AND(ISNUMBER($O272),$O272&gt;=TODAY()),$O272,99999),IF(AND(ISNUMBER($P272),$P272&gt;=TODAY()),$P272,99999),IF(AND(ISNUMBER($S272),$S272&gt;=TODAY()),$S272,99999),IF(AND(ISNUMBER($T272),$T272&gt;=TODAY()),$T272,99999),IF(AND(ISNUMBER($U272),$U272&gt;=TODAY()),$U272,99999),IF(AND(ISNUMBER($V272),$V272&gt;=TODAY()),$V272,99999),IF(AND(ISNUMBER($W272),$W272&gt;=TODAY()),$W272,99999),IF(AND(ISNUMBER($X272),$X272&gt;=TODAY()),$X272,99999),IF(AND(ISNUMBER($Y272),$Y272&gt;=TODAY()),$Y272,99999))=99999,"",MIN(IF(AND(ISNUMBER($N272),$N272&gt;=TODAY()),$N272,99999),IF(AND(ISNUMBER($O272),$O272&gt;=TODAY()),$O272,99999),IF(AND(ISNUMBER($P272),$P272&gt;=TODAY()),$P272,99999),IF(AND(ISNUMBER($S272),$S272&gt;=TODAY()),$S272,99999),IF(AND(ISNUMBER($T272),$T272&gt;=TODAY()),$T272,99999),IF(AND(ISNUMBER($U272),$U272&gt;=TODAY()),$U272,99999),IF(AND(ISNUMBER($V272),$V272&gt;=TODAY()),$V272,99999),IF(AND(ISNUMBER($W272),$W272&gt;=TODAY()),$W272,99999),IF(AND(ISNUMBER($X272),$X272&gt;=TODAY()),$X272,99999),IF(AND(ISNUMBER($Y272),$Y272&gt;=TODAY()),$Y272,99999))))</f>
        <v/>
      </c>
      <c r="N272" s="27" t="n"/>
      <c r="O272" s="27" t="n"/>
      <c r="P272" s="27" t="n"/>
      <c r="Q272" s="27" t="n"/>
      <c r="R272" s="27" t="n"/>
      <c r="S272" s="27" t="n"/>
      <c r="T272" s="27" t="n"/>
      <c r="U272" s="27" t="n"/>
      <c r="V272" s="27" t="n"/>
      <c r="W272" s="27" t="n"/>
      <c r="X272" s="27" t="n"/>
      <c r="Y272" s="27" t="n"/>
      <c r="Z272" s="27" t="n"/>
      <c r="AA272" s="27" t="n"/>
      <c r="AB272" s="27" t="n"/>
      <c r="AC272" s="30" t="n"/>
      <c r="AD272" s="25" t="n"/>
      <c r="AE272" s="28">
        <f>IF(NOT(AND($A272&lt;&gt;"",OR($I272="",$I272="Active"))),"",IF(OR(IF(OR(ISNUMBER($Y272),$Y272="DNA"),$Y272,IF(OR(ISNUMBER($X272),$X272="DNA"),$X272,IF(OR(ISNUMBER($W272),$W272="DNA"),$W272,IF(OR(ISNUMBER($V272),$V272="DNA"),$V272,IF(OR(ISNUMBER($U272),$U272="DNA"),$U272,IF(OR(ISNUMBER($T272),$T272="DNA"),$T272,IF(OR(ISNUMBER($S272),$S272="DNA"),$S272,IF(OR(ISNUMBER($P272),$P272="DNA"),$P272,IF(OR(ISNUMBER($O272),$O272="DNA"),$O272,IF(OR(ISNUMBER($N272),$N272="DNA"),$N272,""))))))))))="DNA",AND(ISNUMBER(IF(OR(ISNUMBER($Y272),$Y272="DNA"),$Y272,IF(OR(ISNUMBER($X272),$X272="DNA"),$X272,IF(OR(ISNUMBER($W272),$W272="DNA"),$W272,IF(OR(ISNUMBER($V272),$V272="DNA"),$V272,IF(OR(ISNUMBER($U272),$U272="DNA"),$U272,IF(OR(ISNUMBER($T272),$T272="DNA"),$T272,IF(OR(ISNUMBER($S272),$S272="DNA"),$S272,IF(OR(ISNUMBER($P272),$P272="DNA"),$P272,IF(OR(ISNUMBER($O272),$O272="DNA"),$O272,IF(OR(ISNUMBER($N272),$N272="DNA"),$N272,""))))))))))),IF(OR(ISNUMBER($Y272),$Y272="DNA"),$Y272,IF(OR(ISNUMBER($X272),$X272="DNA"),$X272,IF(OR(ISNUMBER($W272),$W272="DNA"),$W272,IF(OR(ISNUMBER($V272),$V272="DNA"),$V272,IF(OR(ISNUMBER($U272),$U272="DNA"),$U272,IF(OR(ISNUMBER($T272),$T272="DNA"),$T272,IF(OR(ISNUMBER($S272),$S272="DNA"),$S272,IF(OR(ISNUMBER($P272),$P272="DNA"),$P272,IF(OR(ISNUMBER($O272),$O272="DNA"),$O272,IF(OR(ISNUMBER($N272),$N272="DNA"),$N272,""))))))))))&lt;TODAY())),1,0)+ISNUMBER($Q272)*($Q272&lt;TODAY())+ISNUMBER($R272)*($R272&lt;TODAY())+ISNUMBER($AA272)*($AA272&lt;TODAY())+ISNUMBER($AB272)*($AB272&lt;TODAY()))</f>
        <v/>
      </c>
    </row>
    <row r="273">
      <c r="A273" s="25" t="n"/>
      <c r="B273" s="26" t="n"/>
      <c r="C273" s="27" t="n"/>
      <c r="D273" s="25" t="n"/>
      <c r="E273" s="25" t="n"/>
      <c r="F273" s="25" t="n"/>
      <c r="G273" s="25" t="n"/>
      <c r="H273" s="27" t="n"/>
      <c r="I273" s="25" t="n"/>
      <c r="J273" s="28">
        <f>IF(OR(NOT(AND($A273&lt;&gt;"",OR($I273="",$I273="Active"))),$H273=""),"",INT((TODAY()-$H273+280)/7)&amp;"+"&amp;MOD(TODAY()-$H273+280,7))</f>
        <v/>
      </c>
      <c r="K273" s="28">
        <f>IF(NOT(AND($A273&lt;&gt;"",OR($I273="",$I273="Active"))),"",ISNUMBER($N273)*($N273&gt;=TODAY())*($N273&lt;=TODAY()+7)+ISNUMBER($O273)*($O273&gt;=TODAY())*($O273&lt;=TODAY()+7)+ISNUMBER($P273)*($P273&gt;=TODAY())*($P273&lt;=TODAY()+7)+ISNUMBER($S273)*($S273&gt;=TODAY())*($S273&lt;=TODAY()+7)+ISNUMBER($T273)*($T273&gt;=TODAY())*($T273&lt;=TODAY()+7)+ISNUMBER($U273)*($U273&gt;=TODAY())*($U273&lt;=TODAY()+7)+ISNUMBER($V273)*($V273&gt;=TODAY())*($V273&lt;=TODAY()+7)+ISNUMBER($W273)*($W273&gt;=TODAY())*($W273&lt;=TODAY()+7)+ISNUMBER($X273)*($X273&gt;=TODAY())*($X273&lt;=TODAY()+7)+ISNUMBER($Y273)*($Y273&gt;=TODAY())*($Y273&lt;=TODAY()+7)+ISNUMBER($Q273)*($Q273&gt;=TODAY())*($Q273&lt;=TODAY()+7)+ISNUMBER($R273)*($R273&gt;=TODAY())*($R273&lt;=TODAY()+7)+ISNUMBER($AA273)*($AA273&gt;=TODAY())*($AA273&lt;=TODAY()+7)+ISNUMBER($AB273)*($AB273&gt;=TODAY())*($AB273&lt;=TODAY()+7))</f>
        <v/>
      </c>
      <c r="L273" s="28">
        <f>IF(NOT(AND($A273&lt;&gt;"",OR($I273="",$I273="Active"))),"",IF($M273&lt;&gt;"",IF($N273=$M273,"Booking",IF($O273=$M273,"16/40",IF($P273=$M273,"25/40",IF($S273=$M273,"28/40",IF($T273=$M273,"31/40",IF($U273=$M273,"34/40",IF($V273=$M273,"36/40",IF($W273=$M273,"38/40",IF($X273=$M273,"40/40",IF($Y273=$M273,"41/40","")))))))))),IF(IF(OR(ISNUMBER($Y273),$Y273="DNA"),$Y273,IF(OR(ISNUMBER($X273),$X273="DNA"),$X273,IF(OR(ISNUMBER($W273),$W273="DNA"),$W273,IF(OR(ISNUMBER($V273),$V273="DNA"),$V273,IF(OR(ISNUMBER($U273),$U273="DNA"),$U273,IF(OR(ISNUMBER($T273),$T273="DNA"),$T273,IF(OR(ISNUMBER($S273),$S273="DNA"),$S273,IF(OR(ISNUMBER($P273),$P273="DNA"),$P273,IF(OR(ISNUMBER($O273),$O273="DNA"),$O273,IF(OR(ISNUMBER($N273),$N273="DNA"),$N273,""))))))))))="DNA","Rebook DNA",IF(ISNUMBER(IF(OR(ISNUMBER($Y273),$Y273="DNA"),$Y273,IF(OR(ISNUMBER($X273),$X273="DNA"),$X273,IF(OR(ISNUMBER($W273),$W273="DNA"),$W273,IF(OR(ISNUMBER($V273),$V273="DNA"),$V273,IF(OR(ISNUMBER($U273),$U273="DNA"),$U273,IF(OR(ISNUMBER($T273),$T273="DNA"),$T273,IF(OR(ISNUMBER($S273),$S273="DNA"),$S273,IF(OR(ISNUMBER($P273),$P273="DNA"),$P273,IF(OR(ISNUMBER($O273),$O273="DNA"),$O273,IF(OR(ISNUMBER($N273),$N273="DNA"),$N273,""))))))))))),IF(ISNUMBER($Y273),"Update status","Missed/not booked?"),""))))</f>
        <v/>
      </c>
      <c r="M273" s="29">
        <f>IF(NOT(AND($A273&lt;&gt;"",OR($I273="",$I273="Active"))),"",IF(MIN(IF(AND(ISNUMBER($N273),$N273&gt;=TODAY()),$N273,99999),IF(AND(ISNUMBER($O273),$O273&gt;=TODAY()),$O273,99999),IF(AND(ISNUMBER($P273),$P273&gt;=TODAY()),$P273,99999),IF(AND(ISNUMBER($S273),$S273&gt;=TODAY()),$S273,99999),IF(AND(ISNUMBER($T273),$T273&gt;=TODAY()),$T273,99999),IF(AND(ISNUMBER($U273),$U273&gt;=TODAY()),$U273,99999),IF(AND(ISNUMBER($V273),$V273&gt;=TODAY()),$V273,99999),IF(AND(ISNUMBER($W273),$W273&gt;=TODAY()),$W273,99999),IF(AND(ISNUMBER($X273),$X273&gt;=TODAY()),$X273,99999),IF(AND(ISNUMBER($Y273),$Y273&gt;=TODAY()),$Y273,99999))=99999,"",MIN(IF(AND(ISNUMBER($N273),$N273&gt;=TODAY()),$N273,99999),IF(AND(ISNUMBER($O273),$O273&gt;=TODAY()),$O273,99999),IF(AND(ISNUMBER($P273),$P273&gt;=TODAY()),$P273,99999),IF(AND(ISNUMBER($S273),$S273&gt;=TODAY()),$S273,99999),IF(AND(ISNUMBER($T273),$T273&gt;=TODAY()),$T273,99999),IF(AND(ISNUMBER($U273),$U273&gt;=TODAY()),$U273,99999),IF(AND(ISNUMBER($V273),$V273&gt;=TODAY()),$V273,99999),IF(AND(ISNUMBER($W273),$W273&gt;=TODAY()),$W273,99999),IF(AND(ISNUMBER($X273),$X273&gt;=TODAY()),$X273,99999),IF(AND(ISNUMBER($Y273),$Y273&gt;=TODAY()),$Y273,99999))))</f>
        <v/>
      </c>
      <c r="N273" s="27" t="n"/>
      <c r="O273" s="27" t="n"/>
      <c r="P273" s="27" t="n"/>
      <c r="Q273" s="27" t="n"/>
      <c r="R273" s="27" t="n"/>
      <c r="S273" s="27" t="n"/>
      <c r="T273" s="27" t="n"/>
      <c r="U273" s="27" t="n"/>
      <c r="V273" s="27" t="n"/>
      <c r="W273" s="27" t="n"/>
      <c r="X273" s="27" t="n"/>
      <c r="Y273" s="27" t="n"/>
      <c r="Z273" s="27" t="n"/>
      <c r="AA273" s="27" t="n"/>
      <c r="AB273" s="27" t="n"/>
      <c r="AC273" s="30" t="n"/>
      <c r="AD273" s="25" t="n"/>
      <c r="AE273" s="28">
        <f>IF(NOT(AND($A273&lt;&gt;"",OR($I273="",$I273="Active"))),"",IF(OR(IF(OR(ISNUMBER($Y273),$Y273="DNA"),$Y273,IF(OR(ISNUMBER($X273),$X273="DNA"),$X273,IF(OR(ISNUMBER($W273),$W273="DNA"),$W273,IF(OR(ISNUMBER($V273),$V273="DNA"),$V273,IF(OR(ISNUMBER($U273),$U273="DNA"),$U273,IF(OR(ISNUMBER($T273),$T273="DNA"),$T273,IF(OR(ISNUMBER($S273),$S273="DNA"),$S273,IF(OR(ISNUMBER($P273),$P273="DNA"),$P273,IF(OR(ISNUMBER($O273),$O273="DNA"),$O273,IF(OR(ISNUMBER($N273),$N273="DNA"),$N273,""))))))))))="DNA",AND(ISNUMBER(IF(OR(ISNUMBER($Y273),$Y273="DNA"),$Y273,IF(OR(ISNUMBER($X273),$X273="DNA"),$X273,IF(OR(ISNUMBER($W273),$W273="DNA"),$W273,IF(OR(ISNUMBER($V273),$V273="DNA"),$V273,IF(OR(ISNUMBER($U273),$U273="DNA"),$U273,IF(OR(ISNUMBER($T273),$T273="DNA"),$T273,IF(OR(ISNUMBER($S273),$S273="DNA"),$S273,IF(OR(ISNUMBER($P273),$P273="DNA"),$P273,IF(OR(ISNUMBER($O273),$O273="DNA"),$O273,IF(OR(ISNUMBER($N273),$N273="DNA"),$N273,""))))))))))),IF(OR(ISNUMBER($Y273),$Y273="DNA"),$Y273,IF(OR(ISNUMBER($X273),$X273="DNA"),$X273,IF(OR(ISNUMBER($W273),$W273="DNA"),$W273,IF(OR(ISNUMBER($V273),$V273="DNA"),$V273,IF(OR(ISNUMBER($U273),$U273="DNA"),$U273,IF(OR(ISNUMBER($T273),$T273="DNA"),$T273,IF(OR(ISNUMBER($S273),$S273="DNA"),$S273,IF(OR(ISNUMBER($P273),$P273="DNA"),$P273,IF(OR(ISNUMBER($O273),$O273="DNA"),$O273,IF(OR(ISNUMBER($N273),$N273="DNA"),$N273,""))))))))))&lt;TODAY())),1,0)+ISNUMBER($Q273)*($Q273&lt;TODAY())+ISNUMBER($R273)*($R273&lt;TODAY())+ISNUMBER($AA273)*($AA273&lt;TODAY())+ISNUMBER($AB273)*($AB273&lt;TODAY()))</f>
        <v/>
      </c>
    </row>
    <row r="274">
      <c r="A274" s="25" t="n"/>
      <c r="B274" s="26" t="n"/>
      <c r="C274" s="27" t="n"/>
      <c r="D274" s="25" t="n"/>
      <c r="E274" s="25" t="n"/>
      <c r="F274" s="25" t="n"/>
      <c r="G274" s="25" t="n"/>
      <c r="H274" s="27" t="n"/>
      <c r="I274" s="25" t="n"/>
      <c r="J274" s="28">
        <f>IF(OR(NOT(AND($A274&lt;&gt;"",OR($I274="",$I274="Active"))),$H274=""),"",INT((TODAY()-$H274+280)/7)&amp;"+"&amp;MOD(TODAY()-$H274+280,7))</f>
        <v/>
      </c>
      <c r="K274" s="28">
        <f>IF(NOT(AND($A274&lt;&gt;"",OR($I274="",$I274="Active"))),"",ISNUMBER($N274)*($N274&gt;=TODAY())*($N274&lt;=TODAY()+7)+ISNUMBER($O274)*($O274&gt;=TODAY())*($O274&lt;=TODAY()+7)+ISNUMBER($P274)*($P274&gt;=TODAY())*($P274&lt;=TODAY()+7)+ISNUMBER($S274)*($S274&gt;=TODAY())*($S274&lt;=TODAY()+7)+ISNUMBER($T274)*($T274&gt;=TODAY())*($T274&lt;=TODAY()+7)+ISNUMBER($U274)*($U274&gt;=TODAY())*($U274&lt;=TODAY()+7)+ISNUMBER($V274)*($V274&gt;=TODAY())*($V274&lt;=TODAY()+7)+ISNUMBER($W274)*($W274&gt;=TODAY())*($W274&lt;=TODAY()+7)+ISNUMBER($X274)*($X274&gt;=TODAY())*($X274&lt;=TODAY()+7)+ISNUMBER($Y274)*($Y274&gt;=TODAY())*($Y274&lt;=TODAY()+7)+ISNUMBER($Q274)*($Q274&gt;=TODAY())*($Q274&lt;=TODAY()+7)+ISNUMBER($R274)*($R274&gt;=TODAY())*($R274&lt;=TODAY()+7)+ISNUMBER($AA274)*($AA274&gt;=TODAY())*($AA274&lt;=TODAY()+7)+ISNUMBER($AB274)*($AB274&gt;=TODAY())*($AB274&lt;=TODAY()+7))</f>
        <v/>
      </c>
      <c r="L274" s="28">
        <f>IF(NOT(AND($A274&lt;&gt;"",OR($I274="",$I274="Active"))),"",IF($M274&lt;&gt;"",IF($N274=$M274,"Booking",IF($O274=$M274,"16/40",IF($P274=$M274,"25/40",IF($S274=$M274,"28/40",IF($T274=$M274,"31/40",IF($U274=$M274,"34/40",IF($V274=$M274,"36/40",IF($W274=$M274,"38/40",IF($X274=$M274,"40/40",IF($Y274=$M274,"41/40","")))))))))),IF(IF(OR(ISNUMBER($Y274),$Y274="DNA"),$Y274,IF(OR(ISNUMBER($X274),$X274="DNA"),$X274,IF(OR(ISNUMBER($W274),$W274="DNA"),$W274,IF(OR(ISNUMBER($V274),$V274="DNA"),$V274,IF(OR(ISNUMBER($U274),$U274="DNA"),$U274,IF(OR(ISNUMBER($T274),$T274="DNA"),$T274,IF(OR(ISNUMBER($S274),$S274="DNA"),$S274,IF(OR(ISNUMBER($P274),$P274="DNA"),$P274,IF(OR(ISNUMBER($O274),$O274="DNA"),$O274,IF(OR(ISNUMBER($N274),$N274="DNA"),$N274,""))))))))))="DNA","Rebook DNA",IF(ISNUMBER(IF(OR(ISNUMBER($Y274),$Y274="DNA"),$Y274,IF(OR(ISNUMBER($X274),$X274="DNA"),$X274,IF(OR(ISNUMBER($W274),$W274="DNA"),$W274,IF(OR(ISNUMBER($V274),$V274="DNA"),$V274,IF(OR(ISNUMBER($U274),$U274="DNA"),$U274,IF(OR(ISNUMBER($T274),$T274="DNA"),$T274,IF(OR(ISNUMBER($S274),$S274="DNA"),$S274,IF(OR(ISNUMBER($P274),$P274="DNA"),$P274,IF(OR(ISNUMBER($O274),$O274="DNA"),$O274,IF(OR(ISNUMBER($N274),$N274="DNA"),$N274,""))))))))))),IF(ISNUMBER($Y274),"Update status","Missed/not booked?"),""))))</f>
        <v/>
      </c>
      <c r="M274" s="29">
        <f>IF(NOT(AND($A274&lt;&gt;"",OR($I274="",$I274="Active"))),"",IF(MIN(IF(AND(ISNUMBER($N274),$N274&gt;=TODAY()),$N274,99999),IF(AND(ISNUMBER($O274),$O274&gt;=TODAY()),$O274,99999),IF(AND(ISNUMBER($P274),$P274&gt;=TODAY()),$P274,99999),IF(AND(ISNUMBER($S274),$S274&gt;=TODAY()),$S274,99999),IF(AND(ISNUMBER($T274),$T274&gt;=TODAY()),$T274,99999),IF(AND(ISNUMBER($U274),$U274&gt;=TODAY()),$U274,99999),IF(AND(ISNUMBER($V274),$V274&gt;=TODAY()),$V274,99999),IF(AND(ISNUMBER($W274),$W274&gt;=TODAY()),$W274,99999),IF(AND(ISNUMBER($X274),$X274&gt;=TODAY()),$X274,99999),IF(AND(ISNUMBER($Y274),$Y274&gt;=TODAY()),$Y274,99999))=99999,"",MIN(IF(AND(ISNUMBER($N274),$N274&gt;=TODAY()),$N274,99999),IF(AND(ISNUMBER($O274),$O274&gt;=TODAY()),$O274,99999),IF(AND(ISNUMBER($P274),$P274&gt;=TODAY()),$P274,99999),IF(AND(ISNUMBER($S274),$S274&gt;=TODAY()),$S274,99999),IF(AND(ISNUMBER($T274),$T274&gt;=TODAY()),$T274,99999),IF(AND(ISNUMBER($U274),$U274&gt;=TODAY()),$U274,99999),IF(AND(ISNUMBER($V274),$V274&gt;=TODAY()),$V274,99999),IF(AND(ISNUMBER($W274),$W274&gt;=TODAY()),$W274,99999),IF(AND(ISNUMBER($X274),$X274&gt;=TODAY()),$X274,99999),IF(AND(ISNUMBER($Y274),$Y274&gt;=TODAY()),$Y274,99999))))</f>
        <v/>
      </c>
      <c r="N274" s="27" t="n"/>
      <c r="O274" s="27" t="n"/>
      <c r="P274" s="27" t="n"/>
      <c r="Q274" s="27" t="n"/>
      <c r="R274" s="27" t="n"/>
      <c r="S274" s="27" t="n"/>
      <c r="T274" s="27" t="n"/>
      <c r="U274" s="27" t="n"/>
      <c r="V274" s="27" t="n"/>
      <c r="W274" s="27" t="n"/>
      <c r="X274" s="27" t="n"/>
      <c r="Y274" s="27" t="n"/>
      <c r="Z274" s="27" t="n"/>
      <c r="AA274" s="27" t="n"/>
      <c r="AB274" s="27" t="n"/>
      <c r="AC274" s="30" t="n"/>
      <c r="AD274" s="25" t="n"/>
      <c r="AE274" s="28">
        <f>IF(NOT(AND($A274&lt;&gt;"",OR($I274="",$I274="Active"))),"",IF(OR(IF(OR(ISNUMBER($Y274),$Y274="DNA"),$Y274,IF(OR(ISNUMBER($X274),$X274="DNA"),$X274,IF(OR(ISNUMBER($W274),$W274="DNA"),$W274,IF(OR(ISNUMBER($V274),$V274="DNA"),$V274,IF(OR(ISNUMBER($U274),$U274="DNA"),$U274,IF(OR(ISNUMBER($T274),$T274="DNA"),$T274,IF(OR(ISNUMBER($S274),$S274="DNA"),$S274,IF(OR(ISNUMBER($P274),$P274="DNA"),$P274,IF(OR(ISNUMBER($O274),$O274="DNA"),$O274,IF(OR(ISNUMBER($N274),$N274="DNA"),$N274,""))))))))))="DNA",AND(ISNUMBER(IF(OR(ISNUMBER($Y274),$Y274="DNA"),$Y274,IF(OR(ISNUMBER($X274),$X274="DNA"),$X274,IF(OR(ISNUMBER($W274),$W274="DNA"),$W274,IF(OR(ISNUMBER($V274),$V274="DNA"),$V274,IF(OR(ISNUMBER($U274),$U274="DNA"),$U274,IF(OR(ISNUMBER($T274),$T274="DNA"),$T274,IF(OR(ISNUMBER($S274),$S274="DNA"),$S274,IF(OR(ISNUMBER($P274),$P274="DNA"),$P274,IF(OR(ISNUMBER($O274),$O274="DNA"),$O274,IF(OR(ISNUMBER($N274),$N274="DNA"),$N274,""))))))))))),IF(OR(ISNUMBER($Y274),$Y274="DNA"),$Y274,IF(OR(ISNUMBER($X274),$X274="DNA"),$X274,IF(OR(ISNUMBER($W274),$W274="DNA"),$W274,IF(OR(ISNUMBER($V274),$V274="DNA"),$V274,IF(OR(ISNUMBER($U274),$U274="DNA"),$U274,IF(OR(ISNUMBER($T274),$T274="DNA"),$T274,IF(OR(ISNUMBER($S274),$S274="DNA"),$S274,IF(OR(ISNUMBER($P274),$P274="DNA"),$P274,IF(OR(ISNUMBER($O274),$O274="DNA"),$O274,IF(OR(ISNUMBER($N274),$N274="DNA"),$N274,""))))))))))&lt;TODAY())),1,0)+ISNUMBER($Q274)*($Q274&lt;TODAY())+ISNUMBER($R274)*($R274&lt;TODAY())+ISNUMBER($AA274)*($AA274&lt;TODAY())+ISNUMBER($AB274)*($AB274&lt;TODAY()))</f>
        <v/>
      </c>
    </row>
    <row r="275">
      <c r="A275" s="25" t="n"/>
      <c r="B275" s="26" t="n"/>
      <c r="C275" s="27" t="n"/>
      <c r="D275" s="25" t="n"/>
      <c r="E275" s="25" t="n"/>
      <c r="F275" s="25" t="n"/>
      <c r="G275" s="25" t="n"/>
      <c r="H275" s="27" t="n"/>
      <c r="I275" s="25" t="n"/>
      <c r="J275" s="28">
        <f>IF(OR(NOT(AND($A275&lt;&gt;"",OR($I275="",$I275="Active"))),$H275=""),"",INT((TODAY()-$H275+280)/7)&amp;"+"&amp;MOD(TODAY()-$H275+280,7))</f>
        <v/>
      </c>
      <c r="K275" s="28">
        <f>IF(NOT(AND($A275&lt;&gt;"",OR($I275="",$I275="Active"))),"",ISNUMBER($N275)*($N275&gt;=TODAY())*($N275&lt;=TODAY()+7)+ISNUMBER($O275)*($O275&gt;=TODAY())*($O275&lt;=TODAY()+7)+ISNUMBER($P275)*($P275&gt;=TODAY())*($P275&lt;=TODAY()+7)+ISNUMBER($S275)*($S275&gt;=TODAY())*($S275&lt;=TODAY()+7)+ISNUMBER($T275)*($T275&gt;=TODAY())*($T275&lt;=TODAY()+7)+ISNUMBER($U275)*($U275&gt;=TODAY())*($U275&lt;=TODAY()+7)+ISNUMBER($V275)*($V275&gt;=TODAY())*($V275&lt;=TODAY()+7)+ISNUMBER($W275)*($W275&gt;=TODAY())*($W275&lt;=TODAY()+7)+ISNUMBER($X275)*($X275&gt;=TODAY())*($X275&lt;=TODAY()+7)+ISNUMBER($Y275)*($Y275&gt;=TODAY())*($Y275&lt;=TODAY()+7)+ISNUMBER($Q275)*($Q275&gt;=TODAY())*($Q275&lt;=TODAY()+7)+ISNUMBER($R275)*($R275&gt;=TODAY())*($R275&lt;=TODAY()+7)+ISNUMBER($AA275)*($AA275&gt;=TODAY())*($AA275&lt;=TODAY()+7)+ISNUMBER($AB275)*($AB275&gt;=TODAY())*($AB275&lt;=TODAY()+7))</f>
        <v/>
      </c>
      <c r="L275" s="28">
        <f>IF(NOT(AND($A275&lt;&gt;"",OR($I275="",$I275="Active"))),"",IF($M275&lt;&gt;"",IF($N275=$M275,"Booking",IF($O275=$M275,"16/40",IF($P275=$M275,"25/40",IF($S275=$M275,"28/40",IF($T275=$M275,"31/40",IF($U275=$M275,"34/40",IF($V275=$M275,"36/40",IF($W275=$M275,"38/40",IF($X275=$M275,"40/40",IF($Y275=$M275,"41/40","")))))))))),IF(IF(OR(ISNUMBER($Y275),$Y275="DNA"),$Y275,IF(OR(ISNUMBER($X275),$X275="DNA"),$X275,IF(OR(ISNUMBER($W275),$W275="DNA"),$W275,IF(OR(ISNUMBER($V275),$V275="DNA"),$V275,IF(OR(ISNUMBER($U275),$U275="DNA"),$U275,IF(OR(ISNUMBER($T275),$T275="DNA"),$T275,IF(OR(ISNUMBER($S275),$S275="DNA"),$S275,IF(OR(ISNUMBER($P275),$P275="DNA"),$P275,IF(OR(ISNUMBER($O275),$O275="DNA"),$O275,IF(OR(ISNUMBER($N275),$N275="DNA"),$N275,""))))))))))="DNA","Rebook DNA",IF(ISNUMBER(IF(OR(ISNUMBER($Y275),$Y275="DNA"),$Y275,IF(OR(ISNUMBER($X275),$X275="DNA"),$X275,IF(OR(ISNUMBER($W275),$W275="DNA"),$W275,IF(OR(ISNUMBER($V275),$V275="DNA"),$V275,IF(OR(ISNUMBER($U275),$U275="DNA"),$U275,IF(OR(ISNUMBER($T275),$T275="DNA"),$T275,IF(OR(ISNUMBER($S275),$S275="DNA"),$S275,IF(OR(ISNUMBER($P275),$P275="DNA"),$P275,IF(OR(ISNUMBER($O275),$O275="DNA"),$O275,IF(OR(ISNUMBER($N275),$N275="DNA"),$N275,""))))))))))),IF(ISNUMBER($Y275),"Update status","Missed/not booked?"),""))))</f>
        <v/>
      </c>
      <c r="M275" s="29">
        <f>IF(NOT(AND($A275&lt;&gt;"",OR($I275="",$I275="Active"))),"",IF(MIN(IF(AND(ISNUMBER($N275),$N275&gt;=TODAY()),$N275,99999),IF(AND(ISNUMBER($O275),$O275&gt;=TODAY()),$O275,99999),IF(AND(ISNUMBER($P275),$P275&gt;=TODAY()),$P275,99999),IF(AND(ISNUMBER($S275),$S275&gt;=TODAY()),$S275,99999),IF(AND(ISNUMBER($T275),$T275&gt;=TODAY()),$T275,99999),IF(AND(ISNUMBER($U275),$U275&gt;=TODAY()),$U275,99999),IF(AND(ISNUMBER($V275),$V275&gt;=TODAY()),$V275,99999),IF(AND(ISNUMBER($W275),$W275&gt;=TODAY()),$W275,99999),IF(AND(ISNUMBER($X275),$X275&gt;=TODAY()),$X275,99999),IF(AND(ISNUMBER($Y275),$Y275&gt;=TODAY()),$Y275,99999))=99999,"",MIN(IF(AND(ISNUMBER($N275),$N275&gt;=TODAY()),$N275,99999),IF(AND(ISNUMBER($O275),$O275&gt;=TODAY()),$O275,99999),IF(AND(ISNUMBER($P275),$P275&gt;=TODAY()),$P275,99999),IF(AND(ISNUMBER($S275),$S275&gt;=TODAY()),$S275,99999),IF(AND(ISNUMBER($T275),$T275&gt;=TODAY()),$T275,99999),IF(AND(ISNUMBER($U275),$U275&gt;=TODAY()),$U275,99999),IF(AND(ISNUMBER($V275),$V275&gt;=TODAY()),$V275,99999),IF(AND(ISNUMBER($W275),$W275&gt;=TODAY()),$W275,99999),IF(AND(ISNUMBER($X275),$X275&gt;=TODAY()),$X275,99999),IF(AND(ISNUMBER($Y275),$Y275&gt;=TODAY()),$Y275,99999))))</f>
        <v/>
      </c>
      <c r="N275" s="27" t="n"/>
      <c r="O275" s="27" t="n"/>
      <c r="P275" s="27" t="n"/>
      <c r="Q275" s="27" t="n"/>
      <c r="R275" s="27" t="n"/>
      <c r="S275" s="27" t="n"/>
      <c r="T275" s="27" t="n"/>
      <c r="U275" s="27" t="n"/>
      <c r="V275" s="27" t="n"/>
      <c r="W275" s="27" t="n"/>
      <c r="X275" s="27" t="n"/>
      <c r="Y275" s="27" t="n"/>
      <c r="Z275" s="27" t="n"/>
      <c r="AA275" s="27" t="n"/>
      <c r="AB275" s="27" t="n"/>
      <c r="AC275" s="30" t="n"/>
      <c r="AD275" s="25" t="n"/>
      <c r="AE275" s="28">
        <f>IF(NOT(AND($A275&lt;&gt;"",OR($I275="",$I275="Active"))),"",IF(OR(IF(OR(ISNUMBER($Y275),$Y275="DNA"),$Y275,IF(OR(ISNUMBER($X275),$X275="DNA"),$X275,IF(OR(ISNUMBER($W275),$W275="DNA"),$W275,IF(OR(ISNUMBER($V275),$V275="DNA"),$V275,IF(OR(ISNUMBER($U275),$U275="DNA"),$U275,IF(OR(ISNUMBER($T275),$T275="DNA"),$T275,IF(OR(ISNUMBER($S275),$S275="DNA"),$S275,IF(OR(ISNUMBER($P275),$P275="DNA"),$P275,IF(OR(ISNUMBER($O275),$O275="DNA"),$O275,IF(OR(ISNUMBER($N275),$N275="DNA"),$N275,""))))))))))="DNA",AND(ISNUMBER(IF(OR(ISNUMBER($Y275),$Y275="DNA"),$Y275,IF(OR(ISNUMBER($X275),$X275="DNA"),$X275,IF(OR(ISNUMBER($W275),$W275="DNA"),$W275,IF(OR(ISNUMBER($V275),$V275="DNA"),$V275,IF(OR(ISNUMBER($U275),$U275="DNA"),$U275,IF(OR(ISNUMBER($T275),$T275="DNA"),$T275,IF(OR(ISNUMBER($S275),$S275="DNA"),$S275,IF(OR(ISNUMBER($P275),$P275="DNA"),$P275,IF(OR(ISNUMBER($O275),$O275="DNA"),$O275,IF(OR(ISNUMBER($N275),$N275="DNA"),$N275,""))))))))))),IF(OR(ISNUMBER($Y275),$Y275="DNA"),$Y275,IF(OR(ISNUMBER($X275),$X275="DNA"),$X275,IF(OR(ISNUMBER($W275),$W275="DNA"),$W275,IF(OR(ISNUMBER($V275),$V275="DNA"),$V275,IF(OR(ISNUMBER($U275),$U275="DNA"),$U275,IF(OR(ISNUMBER($T275),$T275="DNA"),$T275,IF(OR(ISNUMBER($S275),$S275="DNA"),$S275,IF(OR(ISNUMBER($P275),$P275="DNA"),$P275,IF(OR(ISNUMBER($O275),$O275="DNA"),$O275,IF(OR(ISNUMBER($N275),$N275="DNA"),$N275,""))))))))))&lt;TODAY())),1,0)+ISNUMBER($Q275)*($Q275&lt;TODAY())+ISNUMBER($R275)*($R275&lt;TODAY())+ISNUMBER($AA275)*($AA275&lt;TODAY())+ISNUMBER($AB275)*($AB275&lt;TODAY()))</f>
        <v/>
      </c>
    </row>
    <row r="276">
      <c r="A276" s="25" t="n"/>
      <c r="B276" s="26" t="n"/>
      <c r="C276" s="27" t="n"/>
      <c r="D276" s="25" t="n"/>
      <c r="E276" s="25" t="n"/>
      <c r="F276" s="25" t="n"/>
      <c r="G276" s="25" t="n"/>
      <c r="H276" s="27" t="n"/>
      <c r="I276" s="25" t="n"/>
      <c r="J276" s="28">
        <f>IF(OR(NOT(AND($A276&lt;&gt;"",OR($I276="",$I276="Active"))),$H276=""),"",INT((TODAY()-$H276+280)/7)&amp;"+"&amp;MOD(TODAY()-$H276+280,7))</f>
        <v/>
      </c>
      <c r="K276" s="28">
        <f>IF(NOT(AND($A276&lt;&gt;"",OR($I276="",$I276="Active"))),"",ISNUMBER($N276)*($N276&gt;=TODAY())*($N276&lt;=TODAY()+7)+ISNUMBER($O276)*($O276&gt;=TODAY())*($O276&lt;=TODAY()+7)+ISNUMBER($P276)*($P276&gt;=TODAY())*($P276&lt;=TODAY()+7)+ISNUMBER($S276)*($S276&gt;=TODAY())*($S276&lt;=TODAY()+7)+ISNUMBER($T276)*($T276&gt;=TODAY())*($T276&lt;=TODAY()+7)+ISNUMBER($U276)*($U276&gt;=TODAY())*($U276&lt;=TODAY()+7)+ISNUMBER($V276)*($V276&gt;=TODAY())*($V276&lt;=TODAY()+7)+ISNUMBER($W276)*($W276&gt;=TODAY())*($W276&lt;=TODAY()+7)+ISNUMBER($X276)*($X276&gt;=TODAY())*($X276&lt;=TODAY()+7)+ISNUMBER($Y276)*($Y276&gt;=TODAY())*($Y276&lt;=TODAY()+7)+ISNUMBER($Q276)*($Q276&gt;=TODAY())*($Q276&lt;=TODAY()+7)+ISNUMBER($R276)*($R276&gt;=TODAY())*($R276&lt;=TODAY()+7)+ISNUMBER($AA276)*($AA276&gt;=TODAY())*($AA276&lt;=TODAY()+7)+ISNUMBER($AB276)*($AB276&gt;=TODAY())*($AB276&lt;=TODAY()+7))</f>
        <v/>
      </c>
      <c r="L276" s="28">
        <f>IF(NOT(AND($A276&lt;&gt;"",OR($I276="",$I276="Active"))),"",IF($M276&lt;&gt;"",IF($N276=$M276,"Booking",IF($O276=$M276,"16/40",IF($P276=$M276,"25/40",IF($S276=$M276,"28/40",IF($T276=$M276,"31/40",IF($U276=$M276,"34/40",IF($V276=$M276,"36/40",IF($W276=$M276,"38/40",IF($X276=$M276,"40/40",IF($Y276=$M276,"41/40","")))))))))),IF(IF(OR(ISNUMBER($Y276),$Y276="DNA"),$Y276,IF(OR(ISNUMBER($X276),$X276="DNA"),$X276,IF(OR(ISNUMBER($W276),$W276="DNA"),$W276,IF(OR(ISNUMBER($V276),$V276="DNA"),$V276,IF(OR(ISNUMBER($U276),$U276="DNA"),$U276,IF(OR(ISNUMBER($T276),$T276="DNA"),$T276,IF(OR(ISNUMBER($S276),$S276="DNA"),$S276,IF(OR(ISNUMBER($P276),$P276="DNA"),$P276,IF(OR(ISNUMBER($O276),$O276="DNA"),$O276,IF(OR(ISNUMBER($N276),$N276="DNA"),$N276,""))))))))))="DNA","Rebook DNA",IF(ISNUMBER(IF(OR(ISNUMBER($Y276),$Y276="DNA"),$Y276,IF(OR(ISNUMBER($X276),$X276="DNA"),$X276,IF(OR(ISNUMBER($W276),$W276="DNA"),$W276,IF(OR(ISNUMBER($V276),$V276="DNA"),$V276,IF(OR(ISNUMBER($U276),$U276="DNA"),$U276,IF(OR(ISNUMBER($T276),$T276="DNA"),$T276,IF(OR(ISNUMBER($S276),$S276="DNA"),$S276,IF(OR(ISNUMBER($P276),$P276="DNA"),$P276,IF(OR(ISNUMBER($O276),$O276="DNA"),$O276,IF(OR(ISNUMBER($N276),$N276="DNA"),$N276,""))))))))))),IF(ISNUMBER($Y276),"Update status","Missed/not booked?"),""))))</f>
        <v/>
      </c>
      <c r="M276" s="29">
        <f>IF(NOT(AND($A276&lt;&gt;"",OR($I276="",$I276="Active"))),"",IF(MIN(IF(AND(ISNUMBER($N276),$N276&gt;=TODAY()),$N276,99999),IF(AND(ISNUMBER($O276),$O276&gt;=TODAY()),$O276,99999),IF(AND(ISNUMBER($P276),$P276&gt;=TODAY()),$P276,99999),IF(AND(ISNUMBER($S276),$S276&gt;=TODAY()),$S276,99999),IF(AND(ISNUMBER($T276),$T276&gt;=TODAY()),$T276,99999),IF(AND(ISNUMBER($U276),$U276&gt;=TODAY()),$U276,99999),IF(AND(ISNUMBER($V276),$V276&gt;=TODAY()),$V276,99999),IF(AND(ISNUMBER($W276),$W276&gt;=TODAY()),$W276,99999),IF(AND(ISNUMBER($X276),$X276&gt;=TODAY()),$X276,99999),IF(AND(ISNUMBER($Y276),$Y276&gt;=TODAY()),$Y276,99999))=99999,"",MIN(IF(AND(ISNUMBER($N276),$N276&gt;=TODAY()),$N276,99999),IF(AND(ISNUMBER($O276),$O276&gt;=TODAY()),$O276,99999),IF(AND(ISNUMBER($P276),$P276&gt;=TODAY()),$P276,99999),IF(AND(ISNUMBER($S276),$S276&gt;=TODAY()),$S276,99999),IF(AND(ISNUMBER($T276),$T276&gt;=TODAY()),$T276,99999),IF(AND(ISNUMBER($U276),$U276&gt;=TODAY()),$U276,99999),IF(AND(ISNUMBER($V276),$V276&gt;=TODAY()),$V276,99999),IF(AND(ISNUMBER($W276),$W276&gt;=TODAY()),$W276,99999),IF(AND(ISNUMBER($X276),$X276&gt;=TODAY()),$X276,99999),IF(AND(ISNUMBER($Y276),$Y276&gt;=TODAY()),$Y276,99999))))</f>
        <v/>
      </c>
      <c r="N276" s="27" t="n"/>
      <c r="O276" s="27" t="n"/>
      <c r="P276" s="27" t="n"/>
      <c r="Q276" s="27" t="n"/>
      <c r="R276" s="27" t="n"/>
      <c r="S276" s="27" t="n"/>
      <c r="T276" s="27" t="n"/>
      <c r="U276" s="27" t="n"/>
      <c r="V276" s="27" t="n"/>
      <c r="W276" s="27" t="n"/>
      <c r="X276" s="27" t="n"/>
      <c r="Y276" s="27" t="n"/>
      <c r="Z276" s="27" t="n"/>
      <c r="AA276" s="27" t="n"/>
      <c r="AB276" s="27" t="n"/>
      <c r="AC276" s="30" t="n"/>
      <c r="AD276" s="25" t="n"/>
      <c r="AE276" s="28">
        <f>IF(NOT(AND($A276&lt;&gt;"",OR($I276="",$I276="Active"))),"",IF(OR(IF(OR(ISNUMBER($Y276),$Y276="DNA"),$Y276,IF(OR(ISNUMBER($X276),$X276="DNA"),$X276,IF(OR(ISNUMBER($W276),$W276="DNA"),$W276,IF(OR(ISNUMBER($V276),$V276="DNA"),$V276,IF(OR(ISNUMBER($U276),$U276="DNA"),$U276,IF(OR(ISNUMBER($T276),$T276="DNA"),$T276,IF(OR(ISNUMBER($S276),$S276="DNA"),$S276,IF(OR(ISNUMBER($P276),$P276="DNA"),$P276,IF(OR(ISNUMBER($O276),$O276="DNA"),$O276,IF(OR(ISNUMBER($N276),$N276="DNA"),$N276,""))))))))))="DNA",AND(ISNUMBER(IF(OR(ISNUMBER($Y276),$Y276="DNA"),$Y276,IF(OR(ISNUMBER($X276),$X276="DNA"),$X276,IF(OR(ISNUMBER($W276),$W276="DNA"),$W276,IF(OR(ISNUMBER($V276),$V276="DNA"),$V276,IF(OR(ISNUMBER($U276),$U276="DNA"),$U276,IF(OR(ISNUMBER($T276),$T276="DNA"),$T276,IF(OR(ISNUMBER($S276),$S276="DNA"),$S276,IF(OR(ISNUMBER($P276),$P276="DNA"),$P276,IF(OR(ISNUMBER($O276),$O276="DNA"),$O276,IF(OR(ISNUMBER($N276),$N276="DNA"),$N276,""))))))))))),IF(OR(ISNUMBER($Y276),$Y276="DNA"),$Y276,IF(OR(ISNUMBER($X276),$X276="DNA"),$X276,IF(OR(ISNUMBER($W276),$W276="DNA"),$W276,IF(OR(ISNUMBER($V276),$V276="DNA"),$V276,IF(OR(ISNUMBER($U276),$U276="DNA"),$U276,IF(OR(ISNUMBER($T276),$T276="DNA"),$T276,IF(OR(ISNUMBER($S276),$S276="DNA"),$S276,IF(OR(ISNUMBER($P276),$P276="DNA"),$P276,IF(OR(ISNUMBER($O276),$O276="DNA"),$O276,IF(OR(ISNUMBER($N276),$N276="DNA"),$N276,""))))))))))&lt;TODAY())),1,0)+ISNUMBER($Q276)*($Q276&lt;TODAY())+ISNUMBER($R276)*($R276&lt;TODAY())+ISNUMBER($AA276)*($AA276&lt;TODAY())+ISNUMBER($AB276)*($AB276&lt;TODAY()))</f>
        <v/>
      </c>
    </row>
    <row r="277">
      <c r="A277" s="25" t="n"/>
      <c r="B277" s="26" t="n"/>
      <c r="C277" s="27" t="n"/>
      <c r="D277" s="25" t="n"/>
      <c r="E277" s="25" t="n"/>
      <c r="F277" s="25" t="n"/>
      <c r="G277" s="25" t="n"/>
      <c r="H277" s="27" t="n"/>
      <c r="I277" s="25" t="n"/>
      <c r="J277" s="28">
        <f>IF(OR(NOT(AND($A277&lt;&gt;"",OR($I277="",$I277="Active"))),$H277=""),"",INT((TODAY()-$H277+280)/7)&amp;"+"&amp;MOD(TODAY()-$H277+280,7))</f>
        <v/>
      </c>
      <c r="K277" s="28">
        <f>IF(NOT(AND($A277&lt;&gt;"",OR($I277="",$I277="Active"))),"",ISNUMBER($N277)*($N277&gt;=TODAY())*($N277&lt;=TODAY()+7)+ISNUMBER($O277)*($O277&gt;=TODAY())*($O277&lt;=TODAY()+7)+ISNUMBER($P277)*($P277&gt;=TODAY())*($P277&lt;=TODAY()+7)+ISNUMBER($S277)*($S277&gt;=TODAY())*($S277&lt;=TODAY()+7)+ISNUMBER($T277)*($T277&gt;=TODAY())*($T277&lt;=TODAY()+7)+ISNUMBER($U277)*($U277&gt;=TODAY())*($U277&lt;=TODAY()+7)+ISNUMBER($V277)*($V277&gt;=TODAY())*($V277&lt;=TODAY()+7)+ISNUMBER($W277)*($W277&gt;=TODAY())*($W277&lt;=TODAY()+7)+ISNUMBER($X277)*($X277&gt;=TODAY())*($X277&lt;=TODAY()+7)+ISNUMBER($Y277)*($Y277&gt;=TODAY())*($Y277&lt;=TODAY()+7)+ISNUMBER($Q277)*($Q277&gt;=TODAY())*($Q277&lt;=TODAY()+7)+ISNUMBER($R277)*($R277&gt;=TODAY())*($R277&lt;=TODAY()+7)+ISNUMBER($AA277)*($AA277&gt;=TODAY())*($AA277&lt;=TODAY()+7)+ISNUMBER($AB277)*($AB277&gt;=TODAY())*($AB277&lt;=TODAY()+7))</f>
        <v/>
      </c>
      <c r="L277" s="28">
        <f>IF(NOT(AND($A277&lt;&gt;"",OR($I277="",$I277="Active"))),"",IF($M277&lt;&gt;"",IF($N277=$M277,"Booking",IF($O277=$M277,"16/40",IF($P277=$M277,"25/40",IF($S277=$M277,"28/40",IF($T277=$M277,"31/40",IF($U277=$M277,"34/40",IF($V277=$M277,"36/40",IF($W277=$M277,"38/40",IF($X277=$M277,"40/40",IF($Y277=$M277,"41/40","")))))))))),IF(IF(OR(ISNUMBER($Y277),$Y277="DNA"),$Y277,IF(OR(ISNUMBER($X277),$X277="DNA"),$X277,IF(OR(ISNUMBER($W277),$W277="DNA"),$W277,IF(OR(ISNUMBER($V277),$V277="DNA"),$V277,IF(OR(ISNUMBER($U277),$U277="DNA"),$U277,IF(OR(ISNUMBER($T277),$T277="DNA"),$T277,IF(OR(ISNUMBER($S277),$S277="DNA"),$S277,IF(OR(ISNUMBER($P277),$P277="DNA"),$P277,IF(OR(ISNUMBER($O277),$O277="DNA"),$O277,IF(OR(ISNUMBER($N277),$N277="DNA"),$N277,""))))))))))="DNA","Rebook DNA",IF(ISNUMBER(IF(OR(ISNUMBER($Y277),$Y277="DNA"),$Y277,IF(OR(ISNUMBER($X277),$X277="DNA"),$X277,IF(OR(ISNUMBER($W277),$W277="DNA"),$W277,IF(OR(ISNUMBER($V277),$V277="DNA"),$V277,IF(OR(ISNUMBER($U277),$U277="DNA"),$U277,IF(OR(ISNUMBER($T277),$T277="DNA"),$T277,IF(OR(ISNUMBER($S277),$S277="DNA"),$S277,IF(OR(ISNUMBER($P277),$P277="DNA"),$P277,IF(OR(ISNUMBER($O277),$O277="DNA"),$O277,IF(OR(ISNUMBER($N277),$N277="DNA"),$N277,""))))))))))),IF(ISNUMBER($Y277),"Update status","Missed/not booked?"),""))))</f>
        <v/>
      </c>
      <c r="M277" s="29">
        <f>IF(NOT(AND($A277&lt;&gt;"",OR($I277="",$I277="Active"))),"",IF(MIN(IF(AND(ISNUMBER($N277),$N277&gt;=TODAY()),$N277,99999),IF(AND(ISNUMBER($O277),$O277&gt;=TODAY()),$O277,99999),IF(AND(ISNUMBER($P277),$P277&gt;=TODAY()),$P277,99999),IF(AND(ISNUMBER($S277),$S277&gt;=TODAY()),$S277,99999),IF(AND(ISNUMBER($T277),$T277&gt;=TODAY()),$T277,99999),IF(AND(ISNUMBER($U277),$U277&gt;=TODAY()),$U277,99999),IF(AND(ISNUMBER($V277),$V277&gt;=TODAY()),$V277,99999),IF(AND(ISNUMBER($W277),$W277&gt;=TODAY()),$W277,99999),IF(AND(ISNUMBER($X277),$X277&gt;=TODAY()),$X277,99999),IF(AND(ISNUMBER($Y277),$Y277&gt;=TODAY()),$Y277,99999))=99999,"",MIN(IF(AND(ISNUMBER($N277),$N277&gt;=TODAY()),$N277,99999),IF(AND(ISNUMBER($O277),$O277&gt;=TODAY()),$O277,99999),IF(AND(ISNUMBER($P277),$P277&gt;=TODAY()),$P277,99999),IF(AND(ISNUMBER($S277),$S277&gt;=TODAY()),$S277,99999),IF(AND(ISNUMBER($T277),$T277&gt;=TODAY()),$T277,99999),IF(AND(ISNUMBER($U277),$U277&gt;=TODAY()),$U277,99999),IF(AND(ISNUMBER($V277),$V277&gt;=TODAY()),$V277,99999),IF(AND(ISNUMBER($W277),$W277&gt;=TODAY()),$W277,99999),IF(AND(ISNUMBER($X277),$X277&gt;=TODAY()),$X277,99999),IF(AND(ISNUMBER($Y277),$Y277&gt;=TODAY()),$Y277,99999))))</f>
        <v/>
      </c>
      <c r="N277" s="27" t="n"/>
      <c r="O277" s="27" t="n"/>
      <c r="P277" s="27" t="n"/>
      <c r="Q277" s="27" t="n"/>
      <c r="R277" s="27" t="n"/>
      <c r="S277" s="27" t="n"/>
      <c r="T277" s="27" t="n"/>
      <c r="U277" s="27" t="n"/>
      <c r="V277" s="27" t="n"/>
      <c r="W277" s="27" t="n"/>
      <c r="X277" s="27" t="n"/>
      <c r="Y277" s="27" t="n"/>
      <c r="Z277" s="27" t="n"/>
      <c r="AA277" s="27" t="n"/>
      <c r="AB277" s="27" t="n"/>
      <c r="AC277" s="30" t="n"/>
      <c r="AD277" s="25" t="n"/>
      <c r="AE277" s="28">
        <f>IF(NOT(AND($A277&lt;&gt;"",OR($I277="",$I277="Active"))),"",IF(OR(IF(OR(ISNUMBER($Y277),$Y277="DNA"),$Y277,IF(OR(ISNUMBER($X277),$X277="DNA"),$X277,IF(OR(ISNUMBER($W277),$W277="DNA"),$W277,IF(OR(ISNUMBER($V277),$V277="DNA"),$V277,IF(OR(ISNUMBER($U277),$U277="DNA"),$U277,IF(OR(ISNUMBER($T277),$T277="DNA"),$T277,IF(OR(ISNUMBER($S277),$S277="DNA"),$S277,IF(OR(ISNUMBER($P277),$P277="DNA"),$P277,IF(OR(ISNUMBER($O277),$O277="DNA"),$O277,IF(OR(ISNUMBER($N277),$N277="DNA"),$N277,""))))))))))="DNA",AND(ISNUMBER(IF(OR(ISNUMBER($Y277),$Y277="DNA"),$Y277,IF(OR(ISNUMBER($X277),$X277="DNA"),$X277,IF(OR(ISNUMBER($W277),$W277="DNA"),$W277,IF(OR(ISNUMBER($V277),$V277="DNA"),$V277,IF(OR(ISNUMBER($U277),$U277="DNA"),$U277,IF(OR(ISNUMBER($T277),$T277="DNA"),$T277,IF(OR(ISNUMBER($S277),$S277="DNA"),$S277,IF(OR(ISNUMBER($P277),$P277="DNA"),$P277,IF(OR(ISNUMBER($O277),$O277="DNA"),$O277,IF(OR(ISNUMBER($N277),$N277="DNA"),$N277,""))))))))))),IF(OR(ISNUMBER($Y277),$Y277="DNA"),$Y277,IF(OR(ISNUMBER($X277),$X277="DNA"),$X277,IF(OR(ISNUMBER($W277),$W277="DNA"),$W277,IF(OR(ISNUMBER($V277),$V277="DNA"),$V277,IF(OR(ISNUMBER($U277),$U277="DNA"),$U277,IF(OR(ISNUMBER($T277),$T277="DNA"),$T277,IF(OR(ISNUMBER($S277),$S277="DNA"),$S277,IF(OR(ISNUMBER($P277),$P277="DNA"),$P277,IF(OR(ISNUMBER($O277),$O277="DNA"),$O277,IF(OR(ISNUMBER($N277),$N277="DNA"),$N277,""))))))))))&lt;TODAY())),1,0)+ISNUMBER($Q277)*($Q277&lt;TODAY())+ISNUMBER($R277)*($R277&lt;TODAY())+ISNUMBER($AA277)*($AA277&lt;TODAY())+ISNUMBER($AB277)*($AB277&lt;TODAY()))</f>
        <v/>
      </c>
    </row>
    <row r="278">
      <c r="A278" s="25" t="n"/>
      <c r="B278" s="26" t="n"/>
      <c r="C278" s="27" t="n"/>
      <c r="D278" s="25" t="n"/>
      <c r="E278" s="25" t="n"/>
      <c r="F278" s="25" t="n"/>
      <c r="G278" s="25" t="n"/>
      <c r="H278" s="27" t="n"/>
      <c r="I278" s="25" t="n"/>
      <c r="J278" s="28">
        <f>IF(OR(NOT(AND($A278&lt;&gt;"",OR($I278="",$I278="Active"))),$H278=""),"",INT((TODAY()-$H278+280)/7)&amp;"+"&amp;MOD(TODAY()-$H278+280,7))</f>
        <v/>
      </c>
      <c r="K278" s="28">
        <f>IF(NOT(AND($A278&lt;&gt;"",OR($I278="",$I278="Active"))),"",ISNUMBER($N278)*($N278&gt;=TODAY())*($N278&lt;=TODAY()+7)+ISNUMBER($O278)*($O278&gt;=TODAY())*($O278&lt;=TODAY()+7)+ISNUMBER($P278)*($P278&gt;=TODAY())*($P278&lt;=TODAY()+7)+ISNUMBER($S278)*($S278&gt;=TODAY())*($S278&lt;=TODAY()+7)+ISNUMBER($T278)*($T278&gt;=TODAY())*($T278&lt;=TODAY()+7)+ISNUMBER($U278)*($U278&gt;=TODAY())*($U278&lt;=TODAY()+7)+ISNUMBER($V278)*($V278&gt;=TODAY())*($V278&lt;=TODAY()+7)+ISNUMBER($W278)*($W278&gt;=TODAY())*($W278&lt;=TODAY()+7)+ISNUMBER($X278)*($X278&gt;=TODAY())*($X278&lt;=TODAY()+7)+ISNUMBER($Y278)*($Y278&gt;=TODAY())*($Y278&lt;=TODAY()+7)+ISNUMBER($Q278)*($Q278&gt;=TODAY())*($Q278&lt;=TODAY()+7)+ISNUMBER($R278)*($R278&gt;=TODAY())*($R278&lt;=TODAY()+7)+ISNUMBER($AA278)*($AA278&gt;=TODAY())*($AA278&lt;=TODAY()+7)+ISNUMBER($AB278)*($AB278&gt;=TODAY())*($AB278&lt;=TODAY()+7))</f>
        <v/>
      </c>
      <c r="L278" s="28">
        <f>IF(NOT(AND($A278&lt;&gt;"",OR($I278="",$I278="Active"))),"",IF($M278&lt;&gt;"",IF($N278=$M278,"Booking",IF($O278=$M278,"16/40",IF($P278=$M278,"25/40",IF($S278=$M278,"28/40",IF($T278=$M278,"31/40",IF($U278=$M278,"34/40",IF($V278=$M278,"36/40",IF($W278=$M278,"38/40",IF($X278=$M278,"40/40",IF($Y278=$M278,"41/40","")))))))))),IF(IF(OR(ISNUMBER($Y278),$Y278="DNA"),$Y278,IF(OR(ISNUMBER($X278),$X278="DNA"),$X278,IF(OR(ISNUMBER($W278),$W278="DNA"),$W278,IF(OR(ISNUMBER($V278),$V278="DNA"),$V278,IF(OR(ISNUMBER($U278),$U278="DNA"),$U278,IF(OR(ISNUMBER($T278),$T278="DNA"),$T278,IF(OR(ISNUMBER($S278),$S278="DNA"),$S278,IF(OR(ISNUMBER($P278),$P278="DNA"),$P278,IF(OR(ISNUMBER($O278),$O278="DNA"),$O278,IF(OR(ISNUMBER($N278),$N278="DNA"),$N278,""))))))))))="DNA","Rebook DNA",IF(ISNUMBER(IF(OR(ISNUMBER($Y278),$Y278="DNA"),$Y278,IF(OR(ISNUMBER($X278),$X278="DNA"),$X278,IF(OR(ISNUMBER($W278),$W278="DNA"),$W278,IF(OR(ISNUMBER($V278),$V278="DNA"),$V278,IF(OR(ISNUMBER($U278),$U278="DNA"),$U278,IF(OR(ISNUMBER($T278),$T278="DNA"),$T278,IF(OR(ISNUMBER($S278),$S278="DNA"),$S278,IF(OR(ISNUMBER($P278),$P278="DNA"),$P278,IF(OR(ISNUMBER($O278),$O278="DNA"),$O278,IF(OR(ISNUMBER($N278),$N278="DNA"),$N278,""))))))))))),IF(ISNUMBER($Y278),"Update status","Missed/not booked?"),""))))</f>
        <v/>
      </c>
      <c r="M278" s="29">
        <f>IF(NOT(AND($A278&lt;&gt;"",OR($I278="",$I278="Active"))),"",IF(MIN(IF(AND(ISNUMBER($N278),$N278&gt;=TODAY()),$N278,99999),IF(AND(ISNUMBER($O278),$O278&gt;=TODAY()),$O278,99999),IF(AND(ISNUMBER($P278),$P278&gt;=TODAY()),$P278,99999),IF(AND(ISNUMBER($S278),$S278&gt;=TODAY()),$S278,99999),IF(AND(ISNUMBER($T278),$T278&gt;=TODAY()),$T278,99999),IF(AND(ISNUMBER($U278),$U278&gt;=TODAY()),$U278,99999),IF(AND(ISNUMBER($V278),$V278&gt;=TODAY()),$V278,99999),IF(AND(ISNUMBER($W278),$W278&gt;=TODAY()),$W278,99999),IF(AND(ISNUMBER($X278),$X278&gt;=TODAY()),$X278,99999),IF(AND(ISNUMBER($Y278),$Y278&gt;=TODAY()),$Y278,99999))=99999,"",MIN(IF(AND(ISNUMBER($N278),$N278&gt;=TODAY()),$N278,99999),IF(AND(ISNUMBER($O278),$O278&gt;=TODAY()),$O278,99999),IF(AND(ISNUMBER($P278),$P278&gt;=TODAY()),$P278,99999),IF(AND(ISNUMBER($S278),$S278&gt;=TODAY()),$S278,99999),IF(AND(ISNUMBER($T278),$T278&gt;=TODAY()),$T278,99999),IF(AND(ISNUMBER($U278),$U278&gt;=TODAY()),$U278,99999),IF(AND(ISNUMBER($V278),$V278&gt;=TODAY()),$V278,99999),IF(AND(ISNUMBER($W278),$W278&gt;=TODAY()),$W278,99999),IF(AND(ISNUMBER($X278),$X278&gt;=TODAY()),$X278,99999),IF(AND(ISNUMBER($Y278),$Y278&gt;=TODAY()),$Y278,99999))))</f>
        <v/>
      </c>
      <c r="N278" s="27" t="n"/>
      <c r="O278" s="27" t="n"/>
      <c r="P278" s="27" t="n"/>
      <c r="Q278" s="27" t="n"/>
      <c r="R278" s="27" t="n"/>
      <c r="S278" s="27" t="n"/>
      <c r="T278" s="27" t="n"/>
      <c r="U278" s="27" t="n"/>
      <c r="V278" s="27" t="n"/>
      <c r="W278" s="27" t="n"/>
      <c r="X278" s="27" t="n"/>
      <c r="Y278" s="27" t="n"/>
      <c r="Z278" s="27" t="n"/>
      <c r="AA278" s="27" t="n"/>
      <c r="AB278" s="27" t="n"/>
      <c r="AC278" s="30" t="n"/>
      <c r="AD278" s="25" t="n"/>
      <c r="AE278" s="28">
        <f>IF(NOT(AND($A278&lt;&gt;"",OR($I278="",$I278="Active"))),"",IF(OR(IF(OR(ISNUMBER($Y278),$Y278="DNA"),$Y278,IF(OR(ISNUMBER($X278),$X278="DNA"),$X278,IF(OR(ISNUMBER($W278),$W278="DNA"),$W278,IF(OR(ISNUMBER($V278),$V278="DNA"),$V278,IF(OR(ISNUMBER($U278),$U278="DNA"),$U278,IF(OR(ISNUMBER($T278),$T278="DNA"),$T278,IF(OR(ISNUMBER($S278),$S278="DNA"),$S278,IF(OR(ISNUMBER($P278),$P278="DNA"),$P278,IF(OR(ISNUMBER($O278),$O278="DNA"),$O278,IF(OR(ISNUMBER($N278),$N278="DNA"),$N278,""))))))))))="DNA",AND(ISNUMBER(IF(OR(ISNUMBER($Y278),$Y278="DNA"),$Y278,IF(OR(ISNUMBER($X278),$X278="DNA"),$X278,IF(OR(ISNUMBER($W278),$W278="DNA"),$W278,IF(OR(ISNUMBER($V278),$V278="DNA"),$V278,IF(OR(ISNUMBER($U278),$U278="DNA"),$U278,IF(OR(ISNUMBER($T278),$T278="DNA"),$T278,IF(OR(ISNUMBER($S278),$S278="DNA"),$S278,IF(OR(ISNUMBER($P278),$P278="DNA"),$P278,IF(OR(ISNUMBER($O278),$O278="DNA"),$O278,IF(OR(ISNUMBER($N278),$N278="DNA"),$N278,""))))))))))),IF(OR(ISNUMBER($Y278),$Y278="DNA"),$Y278,IF(OR(ISNUMBER($X278),$X278="DNA"),$X278,IF(OR(ISNUMBER($W278),$W278="DNA"),$W278,IF(OR(ISNUMBER($V278),$V278="DNA"),$V278,IF(OR(ISNUMBER($U278),$U278="DNA"),$U278,IF(OR(ISNUMBER($T278),$T278="DNA"),$T278,IF(OR(ISNUMBER($S278),$S278="DNA"),$S278,IF(OR(ISNUMBER($P278),$P278="DNA"),$P278,IF(OR(ISNUMBER($O278),$O278="DNA"),$O278,IF(OR(ISNUMBER($N278),$N278="DNA"),$N278,""))))))))))&lt;TODAY())),1,0)+ISNUMBER($Q278)*($Q278&lt;TODAY())+ISNUMBER($R278)*($R278&lt;TODAY())+ISNUMBER($AA278)*($AA278&lt;TODAY())+ISNUMBER($AB278)*($AB278&lt;TODAY()))</f>
        <v/>
      </c>
    </row>
    <row r="279">
      <c r="A279" s="25" t="n"/>
      <c r="B279" s="26" t="n"/>
      <c r="C279" s="27" t="n"/>
      <c r="D279" s="25" t="n"/>
      <c r="E279" s="25" t="n"/>
      <c r="F279" s="25" t="n"/>
      <c r="G279" s="25" t="n"/>
      <c r="H279" s="27" t="n"/>
      <c r="I279" s="25" t="n"/>
      <c r="J279" s="28">
        <f>IF(OR(NOT(AND($A279&lt;&gt;"",OR($I279="",$I279="Active"))),$H279=""),"",INT((TODAY()-$H279+280)/7)&amp;"+"&amp;MOD(TODAY()-$H279+280,7))</f>
        <v/>
      </c>
      <c r="K279" s="28">
        <f>IF(NOT(AND($A279&lt;&gt;"",OR($I279="",$I279="Active"))),"",ISNUMBER($N279)*($N279&gt;=TODAY())*($N279&lt;=TODAY()+7)+ISNUMBER($O279)*($O279&gt;=TODAY())*($O279&lt;=TODAY()+7)+ISNUMBER($P279)*($P279&gt;=TODAY())*($P279&lt;=TODAY()+7)+ISNUMBER($S279)*($S279&gt;=TODAY())*($S279&lt;=TODAY()+7)+ISNUMBER($T279)*($T279&gt;=TODAY())*($T279&lt;=TODAY()+7)+ISNUMBER($U279)*($U279&gt;=TODAY())*($U279&lt;=TODAY()+7)+ISNUMBER($V279)*($V279&gt;=TODAY())*($V279&lt;=TODAY()+7)+ISNUMBER($W279)*($W279&gt;=TODAY())*($W279&lt;=TODAY()+7)+ISNUMBER($X279)*($X279&gt;=TODAY())*($X279&lt;=TODAY()+7)+ISNUMBER($Y279)*($Y279&gt;=TODAY())*($Y279&lt;=TODAY()+7)+ISNUMBER($Q279)*($Q279&gt;=TODAY())*($Q279&lt;=TODAY()+7)+ISNUMBER($R279)*($R279&gt;=TODAY())*($R279&lt;=TODAY()+7)+ISNUMBER($AA279)*($AA279&gt;=TODAY())*($AA279&lt;=TODAY()+7)+ISNUMBER($AB279)*($AB279&gt;=TODAY())*($AB279&lt;=TODAY()+7))</f>
        <v/>
      </c>
      <c r="L279" s="28">
        <f>IF(NOT(AND($A279&lt;&gt;"",OR($I279="",$I279="Active"))),"",IF($M279&lt;&gt;"",IF($N279=$M279,"Booking",IF($O279=$M279,"16/40",IF($P279=$M279,"25/40",IF($S279=$M279,"28/40",IF($T279=$M279,"31/40",IF($U279=$M279,"34/40",IF($V279=$M279,"36/40",IF($W279=$M279,"38/40",IF($X279=$M279,"40/40",IF($Y279=$M279,"41/40","")))))))))),IF(IF(OR(ISNUMBER($Y279),$Y279="DNA"),$Y279,IF(OR(ISNUMBER($X279),$X279="DNA"),$X279,IF(OR(ISNUMBER($W279),$W279="DNA"),$W279,IF(OR(ISNUMBER($V279),$V279="DNA"),$V279,IF(OR(ISNUMBER($U279),$U279="DNA"),$U279,IF(OR(ISNUMBER($T279),$T279="DNA"),$T279,IF(OR(ISNUMBER($S279),$S279="DNA"),$S279,IF(OR(ISNUMBER($P279),$P279="DNA"),$P279,IF(OR(ISNUMBER($O279),$O279="DNA"),$O279,IF(OR(ISNUMBER($N279),$N279="DNA"),$N279,""))))))))))="DNA","Rebook DNA",IF(ISNUMBER(IF(OR(ISNUMBER($Y279),$Y279="DNA"),$Y279,IF(OR(ISNUMBER($X279),$X279="DNA"),$X279,IF(OR(ISNUMBER($W279),$W279="DNA"),$W279,IF(OR(ISNUMBER($V279),$V279="DNA"),$V279,IF(OR(ISNUMBER($U279),$U279="DNA"),$U279,IF(OR(ISNUMBER($T279),$T279="DNA"),$T279,IF(OR(ISNUMBER($S279),$S279="DNA"),$S279,IF(OR(ISNUMBER($P279),$P279="DNA"),$P279,IF(OR(ISNUMBER($O279),$O279="DNA"),$O279,IF(OR(ISNUMBER($N279),$N279="DNA"),$N279,""))))))))))),IF(ISNUMBER($Y279),"Update status","Missed/not booked?"),""))))</f>
        <v/>
      </c>
      <c r="M279" s="29">
        <f>IF(NOT(AND($A279&lt;&gt;"",OR($I279="",$I279="Active"))),"",IF(MIN(IF(AND(ISNUMBER($N279),$N279&gt;=TODAY()),$N279,99999),IF(AND(ISNUMBER($O279),$O279&gt;=TODAY()),$O279,99999),IF(AND(ISNUMBER($P279),$P279&gt;=TODAY()),$P279,99999),IF(AND(ISNUMBER($S279),$S279&gt;=TODAY()),$S279,99999),IF(AND(ISNUMBER($T279),$T279&gt;=TODAY()),$T279,99999),IF(AND(ISNUMBER($U279),$U279&gt;=TODAY()),$U279,99999),IF(AND(ISNUMBER($V279),$V279&gt;=TODAY()),$V279,99999),IF(AND(ISNUMBER($W279),$W279&gt;=TODAY()),$W279,99999),IF(AND(ISNUMBER($X279),$X279&gt;=TODAY()),$X279,99999),IF(AND(ISNUMBER($Y279),$Y279&gt;=TODAY()),$Y279,99999))=99999,"",MIN(IF(AND(ISNUMBER($N279),$N279&gt;=TODAY()),$N279,99999),IF(AND(ISNUMBER($O279),$O279&gt;=TODAY()),$O279,99999),IF(AND(ISNUMBER($P279),$P279&gt;=TODAY()),$P279,99999),IF(AND(ISNUMBER($S279),$S279&gt;=TODAY()),$S279,99999),IF(AND(ISNUMBER($T279),$T279&gt;=TODAY()),$T279,99999),IF(AND(ISNUMBER($U279),$U279&gt;=TODAY()),$U279,99999),IF(AND(ISNUMBER($V279),$V279&gt;=TODAY()),$V279,99999),IF(AND(ISNUMBER($W279),$W279&gt;=TODAY()),$W279,99999),IF(AND(ISNUMBER($X279),$X279&gt;=TODAY()),$X279,99999),IF(AND(ISNUMBER($Y279),$Y279&gt;=TODAY()),$Y279,99999))))</f>
        <v/>
      </c>
      <c r="N279" s="27" t="n"/>
      <c r="O279" s="27" t="n"/>
      <c r="P279" s="27" t="n"/>
      <c r="Q279" s="27" t="n"/>
      <c r="R279" s="27" t="n"/>
      <c r="S279" s="27" t="n"/>
      <c r="T279" s="27" t="n"/>
      <c r="U279" s="27" t="n"/>
      <c r="V279" s="27" t="n"/>
      <c r="W279" s="27" t="n"/>
      <c r="X279" s="27" t="n"/>
      <c r="Y279" s="27" t="n"/>
      <c r="Z279" s="27" t="n"/>
      <c r="AA279" s="27" t="n"/>
      <c r="AB279" s="27" t="n"/>
      <c r="AC279" s="30" t="n"/>
      <c r="AD279" s="25" t="n"/>
      <c r="AE279" s="28">
        <f>IF(NOT(AND($A279&lt;&gt;"",OR($I279="",$I279="Active"))),"",IF(OR(IF(OR(ISNUMBER($Y279),$Y279="DNA"),$Y279,IF(OR(ISNUMBER($X279),$X279="DNA"),$X279,IF(OR(ISNUMBER($W279),$W279="DNA"),$W279,IF(OR(ISNUMBER($V279),$V279="DNA"),$V279,IF(OR(ISNUMBER($U279),$U279="DNA"),$U279,IF(OR(ISNUMBER($T279),$T279="DNA"),$T279,IF(OR(ISNUMBER($S279),$S279="DNA"),$S279,IF(OR(ISNUMBER($P279),$P279="DNA"),$P279,IF(OR(ISNUMBER($O279),$O279="DNA"),$O279,IF(OR(ISNUMBER($N279),$N279="DNA"),$N279,""))))))))))="DNA",AND(ISNUMBER(IF(OR(ISNUMBER($Y279),$Y279="DNA"),$Y279,IF(OR(ISNUMBER($X279),$X279="DNA"),$X279,IF(OR(ISNUMBER($W279),$W279="DNA"),$W279,IF(OR(ISNUMBER($V279),$V279="DNA"),$V279,IF(OR(ISNUMBER($U279),$U279="DNA"),$U279,IF(OR(ISNUMBER($T279),$T279="DNA"),$T279,IF(OR(ISNUMBER($S279),$S279="DNA"),$S279,IF(OR(ISNUMBER($P279),$P279="DNA"),$P279,IF(OR(ISNUMBER($O279),$O279="DNA"),$O279,IF(OR(ISNUMBER($N279),$N279="DNA"),$N279,""))))))))))),IF(OR(ISNUMBER($Y279),$Y279="DNA"),$Y279,IF(OR(ISNUMBER($X279),$X279="DNA"),$X279,IF(OR(ISNUMBER($W279),$W279="DNA"),$W279,IF(OR(ISNUMBER($V279),$V279="DNA"),$V279,IF(OR(ISNUMBER($U279),$U279="DNA"),$U279,IF(OR(ISNUMBER($T279),$T279="DNA"),$T279,IF(OR(ISNUMBER($S279),$S279="DNA"),$S279,IF(OR(ISNUMBER($P279),$P279="DNA"),$P279,IF(OR(ISNUMBER($O279),$O279="DNA"),$O279,IF(OR(ISNUMBER($N279),$N279="DNA"),$N279,""))))))))))&lt;TODAY())),1,0)+ISNUMBER($Q279)*($Q279&lt;TODAY())+ISNUMBER($R279)*($R279&lt;TODAY())+ISNUMBER($AA279)*($AA279&lt;TODAY())+ISNUMBER($AB279)*($AB279&lt;TODAY()))</f>
        <v/>
      </c>
    </row>
    <row r="280">
      <c r="A280" s="25" t="n"/>
      <c r="B280" s="26" t="n"/>
      <c r="C280" s="27" t="n"/>
      <c r="D280" s="25" t="n"/>
      <c r="E280" s="25" t="n"/>
      <c r="F280" s="25" t="n"/>
      <c r="G280" s="25" t="n"/>
      <c r="H280" s="27" t="n"/>
      <c r="I280" s="25" t="n"/>
      <c r="J280" s="28">
        <f>IF(OR(NOT(AND($A280&lt;&gt;"",OR($I280="",$I280="Active"))),$H280=""),"",INT((TODAY()-$H280+280)/7)&amp;"+"&amp;MOD(TODAY()-$H280+280,7))</f>
        <v/>
      </c>
      <c r="K280" s="28">
        <f>IF(NOT(AND($A280&lt;&gt;"",OR($I280="",$I280="Active"))),"",ISNUMBER($N280)*($N280&gt;=TODAY())*($N280&lt;=TODAY()+7)+ISNUMBER($O280)*($O280&gt;=TODAY())*($O280&lt;=TODAY()+7)+ISNUMBER($P280)*($P280&gt;=TODAY())*($P280&lt;=TODAY()+7)+ISNUMBER($S280)*($S280&gt;=TODAY())*($S280&lt;=TODAY()+7)+ISNUMBER($T280)*($T280&gt;=TODAY())*($T280&lt;=TODAY()+7)+ISNUMBER($U280)*($U280&gt;=TODAY())*($U280&lt;=TODAY()+7)+ISNUMBER($V280)*($V280&gt;=TODAY())*($V280&lt;=TODAY()+7)+ISNUMBER($W280)*($W280&gt;=TODAY())*($W280&lt;=TODAY()+7)+ISNUMBER($X280)*($X280&gt;=TODAY())*($X280&lt;=TODAY()+7)+ISNUMBER($Y280)*($Y280&gt;=TODAY())*($Y280&lt;=TODAY()+7)+ISNUMBER($Q280)*($Q280&gt;=TODAY())*($Q280&lt;=TODAY()+7)+ISNUMBER($R280)*($R280&gt;=TODAY())*($R280&lt;=TODAY()+7)+ISNUMBER($AA280)*($AA280&gt;=TODAY())*($AA280&lt;=TODAY()+7)+ISNUMBER($AB280)*($AB280&gt;=TODAY())*($AB280&lt;=TODAY()+7))</f>
        <v/>
      </c>
      <c r="L280" s="28">
        <f>IF(NOT(AND($A280&lt;&gt;"",OR($I280="",$I280="Active"))),"",IF($M280&lt;&gt;"",IF($N280=$M280,"Booking",IF($O280=$M280,"16/40",IF($P280=$M280,"25/40",IF($S280=$M280,"28/40",IF($T280=$M280,"31/40",IF($U280=$M280,"34/40",IF($V280=$M280,"36/40",IF($W280=$M280,"38/40",IF($X280=$M280,"40/40",IF($Y280=$M280,"41/40","")))))))))),IF(IF(OR(ISNUMBER($Y280),$Y280="DNA"),$Y280,IF(OR(ISNUMBER($X280),$X280="DNA"),$X280,IF(OR(ISNUMBER($W280),$W280="DNA"),$W280,IF(OR(ISNUMBER($V280),$V280="DNA"),$V280,IF(OR(ISNUMBER($U280),$U280="DNA"),$U280,IF(OR(ISNUMBER($T280),$T280="DNA"),$T280,IF(OR(ISNUMBER($S280),$S280="DNA"),$S280,IF(OR(ISNUMBER($P280),$P280="DNA"),$P280,IF(OR(ISNUMBER($O280),$O280="DNA"),$O280,IF(OR(ISNUMBER($N280),$N280="DNA"),$N280,""))))))))))="DNA","Rebook DNA",IF(ISNUMBER(IF(OR(ISNUMBER($Y280),$Y280="DNA"),$Y280,IF(OR(ISNUMBER($X280),$X280="DNA"),$X280,IF(OR(ISNUMBER($W280),$W280="DNA"),$W280,IF(OR(ISNUMBER($V280),$V280="DNA"),$V280,IF(OR(ISNUMBER($U280),$U280="DNA"),$U280,IF(OR(ISNUMBER($T280),$T280="DNA"),$T280,IF(OR(ISNUMBER($S280),$S280="DNA"),$S280,IF(OR(ISNUMBER($P280),$P280="DNA"),$P280,IF(OR(ISNUMBER($O280),$O280="DNA"),$O280,IF(OR(ISNUMBER($N280),$N280="DNA"),$N280,""))))))))))),IF(ISNUMBER($Y280),"Update status","Missed/not booked?"),""))))</f>
        <v/>
      </c>
      <c r="M280" s="29">
        <f>IF(NOT(AND($A280&lt;&gt;"",OR($I280="",$I280="Active"))),"",IF(MIN(IF(AND(ISNUMBER($N280),$N280&gt;=TODAY()),$N280,99999),IF(AND(ISNUMBER($O280),$O280&gt;=TODAY()),$O280,99999),IF(AND(ISNUMBER($P280),$P280&gt;=TODAY()),$P280,99999),IF(AND(ISNUMBER($S280),$S280&gt;=TODAY()),$S280,99999),IF(AND(ISNUMBER($T280),$T280&gt;=TODAY()),$T280,99999),IF(AND(ISNUMBER($U280),$U280&gt;=TODAY()),$U280,99999),IF(AND(ISNUMBER($V280),$V280&gt;=TODAY()),$V280,99999),IF(AND(ISNUMBER($W280),$W280&gt;=TODAY()),$W280,99999),IF(AND(ISNUMBER($X280),$X280&gt;=TODAY()),$X280,99999),IF(AND(ISNUMBER($Y280),$Y280&gt;=TODAY()),$Y280,99999))=99999,"",MIN(IF(AND(ISNUMBER($N280),$N280&gt;=TODAY()),$N280,99999),IF(AND(ISNUMBER($O280),$O280&gt;=TODAY()),$O280,99999),IF(AND(ISNUMBER($P280),$P280&gt;=TODAY()),$P280,99999),IF(AND(ISNUMBER($S280),$S280&gt;=TODAY()),$S280,99999),IF(AND(ISNUMBER($T280),$T280&gt;=TODAY()),$T280,99999),IF(AND(ISNUMBER($U280),$U280&gt;=TODAY()),$U280,99999),IF(AND(ISNUMBER($V280),$V280&gt;=TODAY()),$V280,99999),IF(AND(ISNUMBER($W280),$W280&gt;=TODAY()),$W280,99999),IF(AND(ISNUMBER($X280),$X280&gt;=TODAY()),$X280,99999),IF(AND(ISNUMBER($Y280),$Y280&gt;=TODAY()),$Y280,99999))))</f>
        <v/>
      </c>
      <c r="N280" s="27" t="n"/>
      <c r="O280" s="27" t="n"/>
      <c r="P280" s="27" t="n"/>
      <c r="Q280" s="27" t="n"/>
      <c r="R280" s="27" t="n"/>
      <c r="S280" s="27" t="n"/>
      <c r="T280" s="27" t="n"/>
      <c r="U280" s="27" t="n"/>
      <c r="V280" s="27" t="n"/>
      <c r="W280" s="27" t="n"/>
      <c r="X280" s="27" t="n"/>
      <c r="Y280" s="27" t="n"/>
      <c r="Z280" s="27" t="n"/>
      <c r="AA280" s="27" t="n"/>
      <c r="AB280" s="27" t="n"/>
      <c r="AC280" s="30" t="n"/>
      <c r="AD280" s="25" t="n"/>
      <c r="AE280" s="28">
        <f>IF(NOT(AND($A280&lt;&gt;"",OR($I280="",$I280="Active"))),"",IF(OR(IF(OR(ISNUMBER($Y280),$Y280="DNA"),$Y280,IF(OR(ISNUMBER($X280),$X280="DNA"),$X280,IF(OR(ISNUMBER($W280),$W280="DNA"),$W280,IF(OR(ISNUMBER($V280),$V280="DNA"),$V280,IF(OR(ISNUMBER($U280),$U280="DNA"),$U280,IF(OR(ISNUMBER($T280),$T280="DNA"),$T280,IF(OR(ISNUMBER($S280),$S280="DNA"),$S280,IF(OR(ISNUMBER($P280),$P280="DNA"),$P280,IF(OR(ISNUMBER($O280),$O280="DNA"),$O280,IF(OR(ISNUMBER($N280),$N280="DNA"),$N280,""))))))))))="DNA",AND(ISNUMBER(IF(OR(ISNUMBER($Y280),$Y280="DNA"),$Y280,IF(OR(ISNUMBER($X280),$X280="DNA"),$X280,IF(OR(ISNUMBER($W280),$W280="DNA"),$W280,IF(OR(ISNUMBER($V280),$V280="DNA"),$V280,IF(OR(ISNUMBER($U280),$U280="DNA"),$U280,IF(OR(ISNUMBER($T280),$T280="DNA"),$T280,IF(OR(ISNUMBER($S280),$S280="DNA"),$S280,IF(OR(ISNUMBER($P280),$P280="DNA"),$P280,IF(OR(ISNUMBER($O280),$O280="DNA"),$O280,IF(OR(ISNUMBER($N280),$N280="DNA"),$N280,""))))))))))),IF(OR(ISNUMBER($Y280),$Y280="DNA"),$Y280,IF(OR(ISNUMBER($X280),$X280="DNA"),$X280,IF(OR(ISNUMBER($W280),$W280="DNA"),$W280,IF(OR(ISNUMBER($V280),$V280="DNA"),$V280,IF(OR(ISNUMBER($U280),$U280="DNA"),$U280,IF(OR(ISNUMBER($T280),$T280="DNA"),$T280,IF(OR(ISNUMBER($S280),$S280="DNA"),$S280,IF(OR(ISNUMBER($P280),$P280="DNA"),$P280,IF(OR(ISNUMBER($O280),$O280="DNA"),$O280,IF(OR(ISNUMBER($N280),$N280="DNA"),$N280,""))))))))))&lt;TODAY())),1,0)+ISNUMBER($Q280)*($Q280&lt;TODAY())+ISNUMBER($R280)*($R280&lt;TODAY())+ISNUMBER($AA280)*($AA280&lt;TODAY())+ISNUMBER($AB280)*($AB280&lt;TODAY()))</f>
        <v/>
      </c>
    </row>
    <row r="281">
      <c r="A281" s="25" t="n"/>
      <c r="B281" s="26" t="n"/>
      <c r="C281" s="27" t="n"/>
      <c r="D281" s="25" t="n"/>
      <c r="E281" s="25" t="n"/>
      <c r="F281" s="25" t="n"/>
      <c r="G281" s="25" t="n"/>
      <c r="H281" s="27" t="n"/>
      <c r="I281" s="25" t="n"/>
      <c r="J281" s="28">
        <f>IF(OR(NOT(AND($A281&lt;&gt;"",OR($I281="",$I281="Active"))),$H281=""),"",INT((TODAY()-$H281+280)/7)&amp;"+"&amp;MOD(TODAY()-$H281+280,7))</f>
        <v/>
      </c>
      <c r="K281" s="28">
        <f>IF(NOT(AND($A281&lt;&gt;"",OR($I281="",$I281="Active"))),"",ISNUMBER($N281)*($N281&gt;=TODAY())*($N281&lt;=TODAY()+7)+ISNUMBER($O281)*($O281&gt;=TODAY())*($O281&lt;=TODAY()+7)+ISNUMBER($P281)*($P281&gt;=TODAY())*($P281&lt;=TODAY()+7)+ISNUMBER($S281)*($S281&gt;=TODAY())*($S281&lt;=TODAY()+7)+ISNUMBER($T281)*($T281&gt;=TODAY())*($T281&lt;=TODAY()+7)+ISNUMBER($U281)*($U281&gt;=TODAY())*($U281&lt;=TODAY()+7)+ISNUMBER($V281)*($V281&gt;=TODAY())*($V281&lt;=TODAY()+7)+ISNUMBER($W281)*($W281&gt;=TODAY())*($W281&lt;=TODAY()+7)+ISNUMBER($X281)*($X281&gt;=TODAY())*($X281&lt;=TODAY()+7)+ISNUMBER($Y281)*($Y281&gt;=TODAY())*($Y281&lt;=TODAY()+7)+ISNUMBER($Q281)*($Q281&gt;=TODAY())*($Q281&lt;=TODAY()+7)+ISNUMBER($R281)*($R281&gt;=TODAY())*($R281&lt;=TODAY()+7)+ISNUMBER($AA281)*($AA281&gt;=TODAY())*($AA281&lt;=TODAY()+7)+ISNUMBER($AB281)*($AB281&gt;=TODAY())*($AB281&lt;=TODAY()+7))</f>
        <v/>
      </c>
      <c r="L281" s="28">
        <f>IF(NOT(AND($A281&lt;&gt;"",OR($I281="",$I281="Active"))),"",IF($M281&lt;&gt;"",IF($N281=$M281,"Booking",IF($O281=$M281,"16/40",IF($P281=$M281,"25/40",IF($S281=$M281,"28/40",IF($T281=$M281,"31/40",IF($U281=$M281,"34/40",IF($V281=$M281,"36/40",IF($W281=$M281,"38/40",IF($X281=$M281,"40/40",IF($Y281=$M281,"41/40","")))))))))),IF(IF(OR(ISNUMBER($Y281),$Y281="DNA"),$Y281,IF(OR(ISNUMBER($X281),$X281="DNA"),$X281,IF(OR(ISNUMBER($W281),$W281="DNA"),$W281,IF(OR(ISNUMBER($V281),$V281="DNA"),$V281,IF(OR(ISNUMBER($U281),$U281="DNA"),$U281,IF(OR(ISNUMBER($T281),$T281="DNA"),$T281,IF(OR(ISNUMBER($S281),$S281="DNA"),$S281,IF(OR(ISNUMBER($P281),$P281="DNA"),$P281,IF(OR(ISNUMBER($O281),$O281="DNA"),$O281,IF(OR(ISNUMBER($N281),$N281="DNA"),$N281,""))))))))))="DNA","Rebook DNA",IF(ISNUMBER(IF(OR(ISNUMBER($Y281),$Y281="DNA"),$Y281,IF(OR(ISNUMBER($X281),$X281="DNA"),$X281,IF(OR(ISNUMBER($W281),$W281="DNA"),$W281,IF(OR(ISNUMBER($V281),$V281="DNA"),$V281,IF(OR(ISNUMBER($U281),$U281="DNA"),$U281,IF(OR(ISNUMBER($T281),$T281="DNA"),$T281,IF(OR(ISNUMBER($S281),$S281="DNA"),$S281,IF(OR(ISNUMBER($P281),$P281="DNA"),$P281,IF(OR(ISNUMBER($O281),$O281="DNA"),$O281,IF(OR(ISNUMBER($N281),$N281="DNA"),$N281,""))))))))))),IF(ISNUMBER($Y281),"Update status","Missed/not booked?"),""))))</f>
        <v/>
      </c>
      <c r="M281" s="29">
        <f>IF(NOT(AND($A281&lt;&gt;"",OR($I281="",$I281="Active"))),"",IF(MIN(IF(AND(ISNUMBER($N281),$N281&gt;=TODAY()),$N281,99999),IF(AND(ISNUMBER($O281),$O281&gt;=TODAY()),$O281,99999),IF(AND(ISNUMBER($P281),$P281&gt;=TODAY()),$P281,99999),IF(AND(ISNUMBER($S281),$S281&gt;=TODAY()),$S281,99999),IF(AND(ISNUMBER($T281),$T281&gt;=TODAY()),$T281,99999),IF(AND(ISNUMBER($U281),$U281&gt;=TODAY()),$U281,99999),IF(AND(ISNUMBER($V281),$V281&gt;=TODAY()),$V281,99999),IF(AND(ISNUMBER($W281),$W281&gt;=TODAY()),$W281,99999),IF(AND(ISNUMBER($X281),$X281&gt;=TODAY()),$X281,99999),IF(AND(ISNUMBER($Y281),$Y281&gt;=TODAY()),$Y281,99999))=99999,"",MIN(IF(AND(ISNUMBER($N281),$N281&gt;=TODAY()),$N281,99999),IF(AND(ISNUMBER($O281),$O281&gt;=TODAY()),$O281,99999),IF(AND(ISNUMBER($P281),$P281&gt;=TODAY()),$P281,99999),IF(AND(ISNUMBER($S281),$S281&gt;=TODAY()),$S281,99999),IF(AND(ISNUMBER($T281),$T281&gt;=TODAY()),$T281,99999),IF(AND(ISNUMBER($U281),$U281&gt;=TODAY()),$U281,99999),IF(AND(ISNUMBER($V281),$V281&gt;=TODAY()),$V281,99999),IF(AND(ISNUMBER($W281),$W281&gt;=TODAY()),$W281,99999),IF(AND(ISNUMBER($X281),$X281&gt;=TODAY()),$X281,99999),IF(AND(ISNUMBER($Y281),$Y281&gt;=TODAY()),$Y281,99999))))</f>
        <v/>
      </c>
      <c r="N281" s="27" t="n"/>
      <c r="O281" s="27" t="n"/>
      <c r="P281" s="27" t="n"/>
      <c r="Q281" s="27" t="n"/>
      <c r="R281" s="27" t="n"/>
      <c r="S281" s="27" t="n"/>
      <c r="T281" s="27" t="n"/>
      <c r="U281" s="27" t="n"/>
      <c r="V281" s="27" t="n"/>
      <c r="W281" s="27" t="n"/>
      <c r="X281" s="27" t="n"/>
      <c r="Y281" s="27" t="n"/>
      <c r="Z281" s="27" t="n"/>
      <c r="AA281" s="27" t="n"/>
      <c r="AB281" s="27" t="n"/>
      <c r="AC281" s="30" t="n"/>
      <c r="AD281" s="25" t="n"/>
      <c r="AE281" s="28">
        <f>IF(NOT(AND($A281&lt;&gt;"",OR($I281="",$I281="Active"))),"",IF(OR(IF(OR(ISNUMBER($Y281),$Y281="DNA"),$Y281,IF(OR(ISNUMBER($X281),$X281="DNA"),$X281,IF(OR(ISNUMBER($W281),$W281="DNA"),$W281,IF(OR(ISNUMBER($V281),$V281="DNA"),$V281,IF(OR(ISNUMBER($U281),$U281="DNA"),$U281,IF(OR(ISNUMBER($T281),$T281="DNA"),$T281,IF(OR(ISNUMBER($S281),$S281="DNA"),$S281,IF(OR(ISNUMBER($P281),$P281="DNA"),$P281,IF(OR(ISNUMBER($O281),$O281="DNA"),$O281,IF(OR(ISNUMBER($N281),$N281="DNA"),$N281,""))))))))))="DNA",AND(ISNUMBER(IF(OR(ISNUMBER($Y281),$Y281="DNA"),$Y281,IF(OR(ISNUMBER($X281),$X281="DNA"),$X281,IF(OR(ISNUMBER($W281),$W281="DNA"),$W281,IF(OR(ISNUMBER($V281),$V281="DNA"),$V281,IF(OR(ISNUMBER($U281),$U281="DNA"),$U281,IF(OR(ISNUMBER($T281),$T281="DNA"),$T281,IF(OR(ISNUMBER($S281),$S281="DNA"),$S281,IF(OR(ISNUMBER($P281),$P281="DNA"),$P281,IF(OR(ISNUMBER($O281),$O281="DNA"),$O281,IF(OR(ISNUMBER($N281),$N281="DNA"),$N281,""))))))))))),IF(OR(ISNUMBER($Y281),$Y281="DNA"),$Y281,IF(OR(ISNUMBER($X281),$X281="DNA"),$X281,IF(OR(ISNUMBER($W281),$W281="DNA"),$W281,IF(OR(ISNUMBER($V281),$V281="DNA"),$V281,IF(OR(ISNUMBER($U281),$U281="DNA"),$U281,IF(OR(ISNUMBER($T281),$T281="DNA"),$T281,IF(OR(ISNUMBER($S281),$S281="DNA"),$S281,IF(OR(ISNUMBER($P281),$P281="DNA"),$P281,IF(OR(ISNUMBER($O281),$O281="DNA"),$O281,IF(OR(ISNUMBER($N281),$N281="DNA"),$N281,""))))))))))&lt;TODAY())),1,0)+ISNUMBER($Q281)*($Q281&lt;TODAY())+ISNUMBER($R281)*($R281&lt;TODAY())+ISNUMBER($AA281)*($AA281&lt;TODAY())+ISNUMBER($AB281)*($AB281&lt;TODAY()))</f>
        <v/>
      </c>
    </row>
    <row r="282">
      <c r="A282" s="25" t="n"/>
      <c r="B282" s="26" t="n"/>
      <c r="C282" s="27" t="n"/>
      <c r="D282" s="25" t="n"/>
      <c r="E282" s="25" t="n"/>
      <c r="F282" s="25" t="n"/>
      <c r="G282" s="25" t="n"/>
      <c r="H282" s="27" t="n"/>
      <c r="I282" s="25" t="n"/>
      <c r="J282" s="28">
        <f>IF(OR(NOT(AND($A282&lt;&gt;"",OR($I282="",$I282="Active"))),$H282=""),"",INT((TODAY()-$H282+280)/7)&amp;"+"&amp;MOD(TODAY()-$H282+280,7))</f>
        <v/>
      </c>
      <c r="K282" s="28">
        <f>IF(NOT(AND($A282&lt;&gt;"",OR($I282="",$I282="Active"))),"",ISNUMBER($N282)*($N282&gt;=TODAY())*($N282&lt;=TODAY()+7)+ISNUMBER($O282)*($O282&gt;=TODAY())*($O282&lt;=TODAY()+7)+ISNUMBER($P282)*($P282&gt;=TODAY())*($P282&lt;=TODAY()+7)+ISNUMBER($S282)*($S282&gt;=TODAY())*($S282&lt;=TODAY()+7)+ISNUMBER($T282)*($T282&gt;=TODAY())*($T282&lt;=TODAY()+7)+ISNUMBER($U282)*($U282&gt;=TODAY())*($U282&lt;=TODAY()+7)+ISNUMBER($V282)*($V282&gt;=TODAY())*($V282&lt;=TODAY()+7)+ISNUMBER($W282)*($W282&gt;=TODAY())*($W282&lt;=TODAY()+7)+ISNUMBER($X282)*($X282&gt;=TODAY())*($X282&lt;=TODAY()+7)+ISNUMBER($Y282)*($Y282&gt;=TODAY())*($Y282&lt;=TODAY()+7)+ISNUMBER($Q282)*($Q282&gt;=TODAY())*($Q282&lt;=TODAY()+7)+ISNUMBER($R282)*($R282&gt;=TODAY())*($R282&lt;=TODAY()+7)+ISNUMBER($AA282)*($AA282&gt;=TODAY())*($AA282&lt;=TODAY()+7)+ISNUMBER($AB282)*($AB282&gt;=TODAY())*($AB282&lt;=TODAY()+7))</f>
        <v/>
      </c>
      <c r="L282" s="28">
        <f>IF(NOT(AND($A282&lt;&gt;"",OR($I282="",$I282="Active"))),"",IF($M282&lt;&gt;"",IF($N282=$M282,"Booking",IF($O282=$M282,"16/40",IF($P282=$M282,"25/40",IF($S282=$M282,"28/40",IF($T282=$M282,"31/40",IF($U282=$M282,"34/40",IF($V282=$M282,"36/40",IF($W282=$M282,"38/40",IF($X282=$M282,"40/40",IF($Y282=$M282,"41/40","")))))))))),IF(IF(OR(ISNUMBER($Y282),$Y282="DNA"),$Y282,IF(OR(ISNUMBER($X282),$X282="DNA"),$X282,IF(OR(ISNUMBER($W282),$W282="DNA"),$W282,IF(OR(ISNUMBER($V282),$V282="DNA"),$V282,IF(OR(ISNUMBER($U282),$U282="DNA"),$U282,IF(OR(ISNUMBER($T282),$T282="DNA"),$T282,IF(OR(ISNUMBER($S282),$S282="DNA"),$S282,IF(OR(ISNUMBER($P282),$P282="DNA"),$P282,IF(OR(ISNUMBER($O282),$O282="DNA"),$O282,IF(OR(ISNUMBER($N282),$N282="DNA"),$N282,""))))))))))="DNA","Rebook DNA",IF(ISNUMBER(IF(OR(ISNUMBER($Y282),$Y282="DNA"),$Y282,IF(OR(ISNUMBER($X282),$X282="DNA"),$X282,IF(OR(ISNUMBER($W282),$W282="DNA"),$W282,IF(OR(ISNUMBER($V282),$V282="DNA"),$V282,IF(OR(ISNUMBER($U282),$U282="DNA"),$U282,IF(OR(ISNUMBER($T282),$T282="DNA"),$T282,IF(OR(ISNUMBER($S282),$S282="DNA"),$S282,IF(OR(ISNUMBER($P282),$P282="DNA"),$P282,IF(OR(ISNUMBER($O282),$O282="DNA"),$O282,IF(OR(ISNUMBER($N282),$N282="DNA"),$N282,""))))))))))),IF(ISNUMBER($Y282),"Update status","Missed/not booked?"),""))))</f>
        <v/>
      </c>
      <c r="M282" s="29">
        <f>IF(NOT(AND($A282&lt;&gt;"",OR($I282="",$I282="Active"))),"",IF(MIN(IF(AND(ISNUMBER($N282),$N282&gt;=TODAY()),$N282,99999),IF(AND(ISNUMBER($O282),$O282&gt;=TODAY()),$O282,99999),IF(AND(ISNUMBER($P282),$P282&gt;=TODAY()),$P282,99999),IF(AND(ISNUMBER($S282),$S282&gt;=TODAY()),$S282,99999),IF(AND(ISNUMBER($T282),$T282&gt;=TODAY()),$T282,99999),IF(AND(ISNUMBER($U282),$U282&gt;=TODAY()),$U282,99999),IF(AND(ISNUMBER($V282),$V282&gt;=TODAY()),$V282,99999),IF(AND(ISNUMBER($W282),$W282&gt;=TODAY()),$W282,99999),IF(AND(ISNUMBER($X282),$X282&gt;=TODAY()),$X282,99999),IF(AND(ISNUMBER($Y282),$Y282&gt;=TODAY()),$Y282,99999))=99999,"",MIN(IF(AND(ISNUMBER($N282),$N282&gt;=TODAY()),$N282,99999),IF(AND(ISNUMBER($O282),$O282&gt;=TODAY()),$O282,99999),IF(AND(ISNUMBER($P282),$P282&gt;=TODAY()),$P282,99999),IF(AND(ISNUMBER($S282),$S282&gt;=TODAY()),$S282,99999),IF(AND(ISNUMBER($T282),$T282&gt;=TODAY()),$T282,99999),IF(AND(ISNUMBER($U282),$U282&gt;=TODAY()),$U282,99999),IF(AND(ISNUMBER($V282),$V282&gt;=TODAY()),$V282,99999),IF(AND(ISNUMBER($W282),$W282&gt;=TODAY()),$W282,99999),IF(AND(ISNUMBER($X282),$X282&gt;=TODAY()),$X282,99999),IF(AND(ISNUMBER($Y282),$Y282&gt;=TODAY()),$Y282,99999))))</f>
        <v/>
      </c>
      <c r="N282" s="27" t="n"/>
      <c r="O282" s="27" t="n"/>
      <c r="P282" s="27" t="n"/>
      <c r="Q282" s="27" t="n"/>
      <c r="R282" s="27" t="n"/>
      <c r="S282" s="27" t="n"/>
      <c r="T282" s="27" t="n"/>
      <c r="U282" s="27" t="n"/>
      <c r="V282" s="27" t="n"/>
      <c r="W282" s="27" t="n"/>
      <c r="X282" s="27" t="n"/>
      <c r="Y282" s="27" t="n"/>
      <c r="Z282" s="27" t="n"/>
      <c r="AA282" s="27" t="n"/>
      <c r="AB282" s="27" t="n"/>
      <c r="AC282" s="30" t="n"/>
      <c r="AD282" s="25" t="n"/>
      <c r="AE282" s="28">
        <f>IF(NOT(AND($A282&lt;&gt;"",OR($I282="",$I282="Active"))),"",IF(OR(IF(OR(ISNUMBER($Y282),$Y282="DNA"),$Y282,IF(OR(ISNUMBER($X282),$X282="DNA"),$X282,IF(OR(ISNUMBER($W282),$W282="DNA"),$W282,IF(OR(ISNUMBER($V282),$V282="DNA"),$V282,IF(OR(ISNUMBER($U282),$U282="DNA"),$U282,IF(OR(ISNUMBER($T282),$T282="DNA"),$T282,IF(OR(ISNUMBER($S282),$S282="DNA"),$S282,IF(OR(ISNUMBER($P282),$P282="DNA"),$P282,IF(OR(ISNUMBER($O282),$O282="DNA"),$O282,IF(OR(ISNUMBER($N282),$N282="DNA"),$N282,""))))))))))="DNA",AND(ISNUMBER(IF(OR(ISNUMBER($Y282),$Y282="DNA"),$Y282,IF(OR(ISNUMBER($X282),$X282="DNA"),$X282,IF(OR(ISNUMBER($W282),$W282="DNA"),$W282,IF(OR(ISNUMBER($V282),$V282="DNA"),$V282,IF(OR(ISNUMBER($U282),$U282="DNA"),$U282,IF(OR(ISNUMBER($T282),$T282="DNA"),$T282,IF(OR(ISNUMBER($S282),$S282="DNA"),$S282,IF(OR(ISNUMBER($P282),$P282="DNA"),$P282,IF(OR(ISNUMBER($O282),$O282="DNA"),$O282,IF(OR(ISNUMBER($N282),$N282="DNA"),$N282,""))))))))))),IF(OR(ISNUMBER($Y282),$Y282="DNA"),$Y282,IF(OR(ISNUMBER($X282),$X282="DNA"),$X282,IF(OR(ISNUMBER($W282),$W282="DNA"),$W282,IF(OR(ISNUMBER($V282),$V282="DNA"),$V282,IF(OR(ISNUMBER($U282),$U282="DNA"),$U282,IF(OR(ISNUMBER($T282),$T282="DNA"),$T282,IF(OR(ISNUMBER($S282),$S282="DNA"),$S282,IF(OR(ISNUMBER($P282),$P282="DNA"),$P282,IF(OR(ISNUMBER($O282),$O282="DNA"),$O282,IF(OR(ISNUMBER($N282),$N282="DNA"),$N282,""))))))))))&lt;TODAY())),1,0)+ISNUMBER($Q282)*($Q282&lt;TODAY())+ISNUMBER($R282)*($R282&lt;TODAY())+ISNUMBER($AA282)*($AA282&lt;TODAY())+ISNUMBER($AB282)*($AB282&lt;TODAY()))</f>
        <v/>
      </c>
    </row>
    <row r="283">
      <c r="A283" s="25" t="n"/>
      <c r="B283" s="26" t="n"/>
      <c r="C283" s="27" t="n"/>
      <c r="D283" s="25" t="n"/>
      <c r="E283" s="25" t="n"/>
      <c r="F283" s="25" t="n"/>
      <c r="G283" s="25" t="n"/>
      <c r="H283" s="27" t="n"/>
      <c r="I283" s="25" t="n"/>
      <c r="J283" s="28">
        <f>IF(OR(NOT(AND($A283&lt;&gt;"",OR($I283="",$I283="Active"))),$H283=""),"",INT((TODAY()-$H283+280)/7)&amp;"+"&amp;MOD(TODAY()-$H283+280,7))</f>
        <v/>
      </c>
      <c r="K283" s="28">
        <f>IF(NOT(AND($A283&lt;&gt;"",OR($I283="",$I283="Active"))),"",ISNUMBER($N283)*($N283&gt;=TODAY())*($N283&lt;=TODAY()+7)+ISNUMBER($O283)*($O283&gt;=TODAY())*($O283&lt;=TODAY()+7)+ISNUMBER($P283)*($P283&gt;=TODAY())*($P283&lt;=TODAY()+7)+ISNUMBER($S283)*($S283&gt;=TODAY())*($S283&lt;=TODAY()+7)+ISNUMBER($T283)*($T283&gt;=TODAY())*($T283&lt;=TODAY()+7)+ISNUMBER($U283)*($U283&gt;=TODAY())*($U283&lt;=TODAY()+7)+ISNUMBER($V283)*($V283&gt;=TODAY())*($V283&lt;=TODAY()+7)+ISNUMBER($W283)*($W283&gt;=TODAY())*($W283&lt;=TODAY()+7)+ISNUMBER($X283)*($X283&gt;=TODAY())*($X283&lt;=TODAY()+7)+ISNUMBER($Y283)*($Y283&gt;=TODAY())*($Y283&lt;=TODAY()+7)+ISNUMBER($Q283)*($Q283&gt;=TODAY())*($Q283&lt;=TODAY()+7)+ISNUMBER($R283)*($R283&gt;=TODAY())*($R283&lt;=TODAY()+7)+ISNUMBER($AA283)*($AA283&gt;=TODAY())*($AA283&lt;=TODAY()+7)+ISNUMBER($AB283)*($AB283&gt;=TODAY())*($AB283&lt;=TODAY()+7))</f>
        <v/>
      </c>
      <c r="L283" s="28">
        <f>IF(NOT(AND($A283&lt;&gt;"",OR($I283="",$I283="Active"))),"",IF($M283&lt;&gt;"",IF($N283=$M283,"Booking",IF($O283=$M283,"16/40",IF($P283=$M283,"25/40",IF($S283=$M283,"28/40",IF($T283=$M283,"31/40",IF($U283=$M283,"34/40",IF($V283=$M283,"36/40",IF($W283=$M283,"38/40",IF($X283=$M283,"40/40",IF($Y283=$M283,"41/40","")))))))))),IF(IF(OR(ISNUMBER($Y283),$Y283="DNA"),$Y283,IF(OR(ISNUMBER($X283),$X283="DNA"),$X283,IF(OR(ISNUMBER($W283),$W283="DNA"),$W283,IF(OR(ISNUMBER($V283),$V283="DNA"),$V283,IF(OR(ISNUMBER($U283),$U283="DNA"),$U283,IF(OR(ISNUMBER($T283),$T283="DNA"),$T283,IF(OR(ISNUMBER($S283),$S283="DNA"),$S283,IF(OR(ISNUMBER($P283),$P283="DNA"),$P283,IF(OR(ISNUMBER($O283),$O283="DNA"),$O283,IF(OR(ISNUMBER($N283),$N283="DNA"),$N283,""))))))))))="DNA","Rebook DNA",IF(ISNUMBER(IF(OR(ISNUMBER($Y283),$Y283="DNA"),$Y283,IF(OR(ISNUMBER($X283),$X283="DNA"),$X283,IF(OR(ISNUMBER($W283),$W283="DNA"),$W283,IF(OR(ISNUMBER($V283),$V283="DNA"),$V283,IF(OR(ISNUMBER($U283),$U283="DNA"),$U283,IF(OR(ISNUMBER($T283),$T283="DNA"),$T283,IF(OR(ISNUMBER($S283),$S283="DNA"),$S283,IF(OR(ISNUMBER($P283),$P283="DNA"),$P283,IF(OR(ISNUMBER($O283),$O283="DNA"),$O283,IF(OR(ISNUMBER($N283),$N283="DNA"),$N283,""))))))))))),IF(ISNUMBER($Y283),"Update status","Missed/not booked?"),""))))</f>
        <v/>
      </c>
      <c r="M283" s="29">
        <f>IF(NOT(AND($A283&lt;&gt;"",OR($I283="",$I283="Active"))),"",IF(MIN(IF(AND(ISNUMBER($N283),$N283&gt;=TODAY()),$N283,99999),IF(AND(ISNUMBER($O283),$O283&gt;=TODAY()),$O283,99999),IF(AND(ISNUMBER($P283),$P283&gt;=TODAY()),$P283,99999),IF(AND(ISNUMBER($S283),$S283&gt;=TODAY()),$S283,99999),IF(AND(ISNUMBER($T283),$T283&gt;=TODAY()),$T283,99999),IF(AND(ISNUMBER($U283),$U283&gt;=TODAY()),$U283,99999),IF(AND(ISNUMBER($V283),$V283&gt;=TODAY()),$V283,99999),IF(AND(ISNUMBER($W283),$W283&gt;=TODAY()),$W283,99999),IF(AND(ISNUMBER($X283),$X283&gt;=TODAY()),$X283,99999),IF(AND(ISNUMBER($Y283),$Y283&gt;=TODAY()),$Y283,99999))=99999,"",MIN(IF(AND(ISNUMBER($N283),$N283&gt;=TODAY()),$N283,99999),IF(AND(ISNUMBER($O283),$O283&gt;=TODAY()),$O283,99999),IF(AND(ISNUMBER($P283),$P283&gt;=TODAY()),$P283,99999),IF(AND(ISNUMBER($S283),$S283&gt;=TODAY()),$S283,99999),IF(AND(ISNUMBER($T283),$T283&gt;=TODAY()),$T283,99999),IF(AND(ISNUMBER($U283),$U283&gt;=TODAY()),$U283,99999),IF(AND(ISNUMBER($V283),$V283&gt;=TODAY()),$V283,99999),IF(AND(ISNUMBER($W283),$W283&gt;=TODAY()),$W283,99999),IF(AND(ISNUMBER($X283),$X283&gt;=TODAY()),$X283,99999),IF(AND(ISNUMBER($Y283),$Y283&gt;=TODAY()),$Y283,99999))))</f>
        <v/>
      </c>
      <c r="N283" s="27" t="n"/>
      <c r="O283" s="27" t="n"/>
      <c r="P283" s="27" t="n"/>
      <c r="Q283" s="27" t="n"/>
      <c r="R283" s="27" t="n"/>
      <c r="S283" s="27" t="n"/>
      <c r="T283" s="27" t="n"/>
      <c r="U283" s="27" t="n"/>
      <c r="V283" s="27" t="n"/>
      <c r="W283" s="27" t="n"/>
      <c r="X283" s="27" t="n"/>
      <c r="Y283" s="27" t="n"/>
      <c r="Z283" s="27" t="n"/>
      <c r="AA283" s="27" t="n"/>
      <c r="AB283" s="27" t="n"/>
      <c r="AC283" s="30" t="n"/>
      <c r="AD283" s="25" t="n"/>
      <c r="AE283" s="28">
        <f>IF(NOT(AND($A283&lt;&gt;"",OR($I283="",$I283="Active"))),"",IF(OR(IF(OR(ISNUMBER($Y283),$Y283="DNA"),$Y283,IF(OR(ISNUMBER($X283),$X283="DNA"),$X283,IF(OR(ISNUMBER($W283),$W283="DNA"),$W283,IF(OR(ISNUMBER($V283),$V283="DNA"),$V283,IF(OR(ISNUMBER($U283),$U283="DNA"),$U283,IF(OR(ISNUMBER($T283),$T283="DNA"),$T283,IF(OR(ISNUMBER($S283),$S283="DNA"),$S283,IF(OR(ISNUMBER($P283),$P283="DNA"),$P283,IF(OR(ISNUMBER($O283),$O283="DNA"),$O283,IF(OR(ISNUMBER($N283),$N283="DNA"),$N283,""))))))))))="DNA",AND(ISNUMBER(IF(OR(ISNUMBER($Y283),$Y283="DNA"),$Y283,IF(OR(ISNUMBER($X283),$X283="DNA"),$X283,IF(OR(ISNUMBER($W283),$W283="DNA"),$W283,IF(OR(ISNUMBER($V283),$V283="DNA"),$V283,IF(OR(ISNUMBER($U283),$U283="DNA"),$U283,IF(OR(ISNUMBER($T283),$T283="DNA"),$T283,IF(OR(ISNUMBER($S283),$S283="DNA"),$S283,IF(OR(ISNUMBER($P283),$P283="DNA"),$P283,IF(OR(ISNUMBER($O283),$O283="DNA"),$O283,IF(OR(ISNUMBER($N283),$N283="DNA"),$N283,""))))))))))),IF(OR(ISNUMBER($Y283),$Y283="DNA"),$Y283,IF(OR(ISNUMBER($X283),$X283="DNA"),$X283,IF(OR(ISNUMBER($W283),$W283="DNA"),$W283,IF(OR(ISNUMBER($V283),$V283="DNA"),$V283,IF(OR(ISNUMBER($U283),$U283="DNA"),$U283,IF(OR(ISNUMBER($T283),$T283="DNA"),$T283,IF(OR(ISNUMBER($S283),$S283="DNA"),$S283,IF(OR(ISNUMBER($P283),$P283="DNA"),$P283,IF(OR(ISNUMBER($O283),$O283="DNA"),$O283,IF(OR(ISNUMBER($N283),$N283="DNA"),$N283,""))))))))))&lt;TODAY())),1,0)+ISNUMBER($Q283)*($Q283&lt;TODAY())+ISNUMBER($R283)*($R283&lt;TODAY())+ISNUMBER($AA283)*($AA283&lt;TODAY())+ISNUMBER($AB283)*($AB283&lt;TODAY()))</f>
        <v/>
      </c>
    </row>
    <row r="284">
      <c r="A284" s="25" t="n"/>
      <c r="B284" s="26" t="n"/>
      <c r="C284" s="27" t="n"/>
      <c r="D284" s="25" t="n"/>
      <c r="E284" s="25" t="n"/>
      <c r="F284" s="25" t="n"/>
      <c r="G284" s="25" t="n"/>
      <c r="H284" s="27" t="n"/>
      <c r="I284" s="25" t="n"/>
      <c r="J284" s="28">
        <f>IF(OR(NOT(AND($A284&lt;&gt;"",OR($I284="",$I284="Active"))),$H284=""),"",INT((TODAY()-$H284+280)/7)&amp;"+"&amp;MOD(TODAY()-$H284+280,7))</f>
        <v/>
      </c>
      <c r="K284" s="28">
        <f>IF(NOT(AND($A284&lt;&gt;"",OR($I284="",$I284="Active"))),"",ISNUMBER($N284)*($N284&gt;=TODAY())*($N284&lt;=TODAY()+7)+ISNUMBER($O284)*($O284&gt;=TODAY())*($O284&lt;=TODAY()+7)+ISNUMBER($P284)*($P284&gt;=TODAY())*($P284&lt;=TODAY()+7)+ISNUMBER($S284)*($S284&gt;=TODAY())*($S284&lt;=TODAY()+7)+ISNUMBER($T284)*($T284&gt;=TODAY())*($T284&lt;=TODAY()+7)+ISNUMBER($U284)*($U284&gt;=TODAY())*($U284&lt;=TODAY()+7)+ISNUMBER($V284)*($V284&gt;=TODAY())*($V284&lt;=TODAY()+7)+ISNUMBER($W284)*($W284&gt;=TODAY())*($W284&lt;=TODAY()+7)+ISNUMBER($X284)*($X284&gt;=TODAY())*($X284&lt;=TODAY()+7)+ISNUMBER($Y284)*($Y284&gt;=TODAY())*($Y284&lt;=TODAY()+7)+ISNUMBER($Q284)*($Q284&gt;=TODAY())*($Q284&lt;=TODAY()+7)+ISNUMBER($R284)*($R284&gt;=TODAY())*($R284&lt;=TODAY()+7)+ISNUMBER($AA284)*($AA284&gt;=TODAY())*($AA284&lt;=TODAY()+7)+ISNUMBER($AB284)*($AB284&gt;=TODAY())*($AB284&lt;=TODAY()+7))</f>
        <v/>
      </c>
      <c r="L284" s="28">
        <f>IF(NOT(AND($A284&lt;&gt;"",OR($I284="",$I284="Active"))),"",IF($M284&lt;&gt;"",IF($N284=$M284,"Booking",IF($O284=$M284,"16/40",IF($P284=$M284,"25/40",IF($S284=$M284,"28/40",IF($T284=$M284,"31/40",IF($U284=$M284,"34/40",IF($V284=$M284,"36/40",IF($W284=$M284,"38/40",IF($X284=$M284,"40/40",IF($Y284=$M284,"41/40","")))))))))),IF(IF(OR(ISNUMBER($Y284),$Y284="DNA"),$Y284,IF(OR(ISNUMBER($X284),$X284="DNA"),$X284,IF(OR(ISNUMBER($W284),$W284="DNA"),$W284,IF(OR(ISNUMBER($V284),$V284="DNA"),$V284,IF(OR(ISNUMBER($U284),$U284="DNA"),$U284,IF(OR(ISNUMBER($T284),$T284="DNA"),$T284,IF(OR(ISNUMBER($S284),$S284="DNA"),$S284,IF(OR(ISNUMBER($P284),$P284="DNA"),$P284,IF(OR(ISNUMBER($O284),$O284="DNA"),$O284,IF(OR(ISNUMBER($N284),$N284="DNA"),$N284,""))))))))))="DNA","Rebook DNA",IF(ISNUMBER(IF(OR(ISNUMBER($Y284),$Y284="DNA"),$Y284,IF(OR(ISNUMBER($X284),$X284="DNA"),$X284,IF(OR(ISNUMBER($W284),$W284="DNA"),$W284,IF(OR(ISNUMBER($V284),$V284="DNA"),$V284,IF(OR(ISNUMBER($U284),$U284="DNA"),$U284,IF(OR(ISNUMBER($T284),$T284="DNA"),$T284,IF(OR(ISNUMBER($S284),$S284="DNA"),$S284,IF(OR(ISNUMBER($P284),$P284="DNA"),$P284,IF(OR(ISNUMBER($O284),$O284="DNA"),$O284,IF(OR(ISNUMBER($N284),$N284="DNA"),$N284,""))))))))))),IF(ISNUMBER($Y284),"Update status","Missed/not booked?"),""))))</f>
        <v/>
      </c>
      <c r="M284" s="29">
        <f>IF(NOT(AND($A284&lt;&gt;"",OR($I284="",$I284="Active"))),"",IF(MIN(IF(AND(ISNUMBER($N284),$N284&gt;=TODAY()),$N284,99999),IF(AND(ISNUMBER($O284),$O284&gt;=TODAY()),$O284,99999),IF(AND(ISNUMBER($P284),$P284&gt;=TODAY()),$P284,99999),IF(AND(ISNUMBER($S284),$S284&gt;=TODAY()),$S284,99999),IF(AND(ISNUMBER($T284),$T284&gt;=TODAY()),$T284,99999),IF(AND(ISNUMBER($U284),$U284&gt;=TODAY()),$U284,99999),IF(AND(ISNUMBER($V284),$V284&gt;=TODAY()),$V284,99999),IF(AND(ISNUMBER($W284),$W284&gt;=TODAY()),$W284,99999),IF(AND(ISNUMBER($X284),$X284&gt;=TODAY()),$X284,99999),IF(AND(ISNUMBER($Y284),$Y284&gt;=TODAY()),$Y284,99999))=99999,"",MIN(IF(AND(ISNUMBER($N284),$N284&gt;=TODAY()),$N284,99999),IF(AND(ISNUMBER($O284),$O284&gt;=TODAY()),$O284,99999),IF(AND(ISNUMBER($P284),$P284&gt;=TODAY()),$P284,99999),IF(AND(ISNUMBER($S284),$S284&gt;=TODAY()),$S284,99999),IF(AND(ISNUMBER($T284),$T284&gt;=TODAY()),$T284,99999),IF(AND(ISNUMBER($U284),$U284&gt;=TODAY()),$U284,99999),IF(AND(ISNUMBER($V284),$V284&gt;=TODAY()),$V284,99999),IF(AND(ISNUMBER($W284),$W284&gt;=TODAY()),$W284,99999),IF(AND(ISNUMBER($X284),$X284&gt;=TODAY()),$X284,99999),IF(AND(ISNUMBER($Y284),$Y284&gt;=TODAY()),$Y284,99999))))</f>
        <v/>
      </c>
      <c r="N284" s="27" t="n"/>
      <c r="O284" s="27" t="n"/>
      <c r="P284" s="27" t="n"/>
      <c r="Q284" s="27" t="n"/>
      <c r="R284" s="27" t="n"/>
      <c r="S284" s="27" t="n"/>
      <c r="T284" s="27" t="n"/>
      <c r="U284" s="27" t="n"/>
      <c r="V284" s="27" t="n"/>
      <c r="W284" s="27" t="n"/>
      <c r="X284" s="27" t="n"/>
      <c r="Y284" s="27" t="n"/>
      <c r="Z284" s="27" t="n"/>
      <c r="AA284" s="27" t="n"/>
      <c r="AB284" s="27" t="n"/>
      <c r="AC284" s="30" t="n"/>
      <c r="AD284" s="25" t="n"/>
      <c r="AE284" s="28">
        <f>IF(NOT(AND($A284&lt;&gt;"",OR($I284="",$I284="Active"))),"",IF(OR(IF(OR(ISNUMBER($Y284),$Y284="DNA"),$Y284,IF(OR(ISNUMBER($X284),$X284="DNA"),$X284,IF(OR(ISNUMBER($W284),$W284="DNA"),$W284,IF(OR(ISNUMBER($V284),$V284="DNA"),$V284,IF(OR(ISNUMBER($U284),$U284="DNA"),$U284,IF(OR(ISNUMBER($T284),$T284="DNA"),$T284,IF(OR(ISNUMBER($S284),$S284="DNA"),$S284,IF(OR(ISNUMBER($P284),$P284="DNA"),$P284,IF(OR(ISNUMBER($O284),$O284="DNA"),$O284,IF(OR(ISNUMBER($N284),$N284="DNA"),$N284,""))))))))))="DNA",AND(ISNUMBER(IF(OR(ISNUMBER($Y284),$Y284="DNA"),$Y284,IF(OR(ISNUMBER($X284),$X284="DNA"),$X284,IF(OR(ISNUMBER($W284),$W284="DNA"),$W284,IF(OR(ISNUMBER($V284),$V284="DNA"),$V284,IF(OR(ISNUMBER($U284),$U284="DNA"),$U284,IF(OR(ISNUMBER($T284),$T284="DNA"),$T284,IF(OR(ISNUMBER($S284),$S284="DNA"),$S284,IF(OR(ISNUMBER($P284),$P284="DNA"),$P284,IF(OR(ISNUMBER($O284),$O284="DNA"),$O284,IF(OR(ISNUMBER($N284),$N284="DNA"),$N284,""))))))))))),IF(OR(ISNUMBER($Y284),$Y284="DNA"),$Y284,IF(OR(ISNUMBER($X284),$X284="DNA"),$X284,IF(OR(ISNUMBER($W284),$W284="DNA"),$W284,IF(OR(ISNUMBER($V284),$V284="DNA"),$V284,IF(OR(ISNUMBER($U284),$U284="DNA"),$U284,IF(OR(ISNUMBER($T284),$T284="DNA"),$T284,IF(OR(ISNUMBER($S284),$S284="DNA"),$S284,IF(OR(ISNUMBER($P284),$P284="DNA"),$P284,IF(OR(ISNUMBER($O284),$O284="DNA"),$O284,IF(OR(ISNUMBER($N284),$N284="DNA"),$N284,""))))))))))&lt;TODAY())),1,0)+ISNUMBER($Q284)*($Q284&lt;TODAY())+ISNUMBER($R284)*($R284&lt;TODAY())+ISNUMBER($AA284)*($AA284&lt;TODAY())+ISNUMBER($AB284)*($AB284&lt;TODAY()))</f>
        <v/>
      </c>
    </row>
    <row r="285">
      <c r="A285" s="25" t="n"/>
      <c r="B285" s="26" t="n"/>
      <c r="C285" s="27" t="n"/>
      <c r="D285" s="25" t="n"/>
      <c r="E285" s="25" t="n"/>
      <c r="F285" s="25" t="n"/>
      <c r="G285" s="25" t="n"/>
      <c r="H285" s="27" t="n"/>
      <c r="I285" s="25" t="n"/>
      <c r="J285" s="28">
        <f>IF(OR(NOT(AND($A285&lt;&gt;"",OR($I285="",$I285="Active"))),$H285=""),"",INT((TODAY()-$H285+280)/7)&amp;"+"&amp;MOD(TODAY()-$H285+280,7))</f>
        <v/>
      </c>
      <c r="K285" s="28">
        <f>IF(NOT(AND($A285&lt;&gt;"",OR($I285="",$I285="Active"))),"",ISNUMBER($N285)*($N285&gt;=TODAY())*($N285&lt;=TODAY()+7)+ISNUMBER($O285)*($O285&gt;=TODAY())*($O285&lt;=TODAY()+7)+ISNUMBER($P285)*($P285&gt;=TODAY())*($P285&lt;=TODAY()+7)+ISNUMBER($S285)*($S285&gt;=TODAY())*($S285&lt;=TODAY()+7)+ISNUMBER($T285)*($T285&gt;=TODAY())*($T285&lt;=TODAY()+7)+ISNUMBER($U285)*($U285&gt;=TODAY())*($U285&lt;=TODAY()+7)+ISNUMBER($V285)*($V285&gt;=TODAY())*($V285&lt;=TODAY()+7)+ISNUMBER($W285)*($W285&gt;=TODAY())*($W285&lt;=TODAY()+7)+ISNUMBER($X285)*($X285&gt;=TODAY())*($X285&lt;=TODAY()+7)+ISNUMBER($Y285)*($Y285&gt;=TODAY())*($Y285&lt;=TODAY()+7)+ISNUMBER($Q285)*($Q285&gt;=TODAY())*($Q285&lt;=TODAY()+7)+ISNUMBER($R285)*($R285&gt;=TODAY())*($R285&lt;=TODAY()+7)+ISNUMBER($AA285)*($AA285&gt;=TODAY())*($AA285&lt;=TODAY()+7)+ISNUMBER($AB285)*($AB285&gt;=TODAY())*($AB285&lt;=TODAY()+7))</f>
        <v/>
      </c>
      <c r="L285" s="28">
        <f>IF(NOT(AND($A285&lt;&gt;"",OR($I285="",$I285="Active"))),"",IF($M285&lt;&gt;"",IF($N285=$M285,"Booking",IF($O285=$M285,"16/40",IF($P285=$M285,"25/40",IF($S285=$M285,"28/40",IF($T285=$M285,"31/40",IF($U285=$M285,"34/40",IF($V285=$M285,"36/40",IF($W285=$M285,"38/40",IF($X285=$M285,"40/40",IF($Y285=$M285,"41/40","")))))))))),IF(IF(OR(ISNUMBER($Y285),$Y285="DNA"),$Y285,IF(OR(ISNUMBER($X285),$X285="DNA"),$X285,IF(OR(ISNUMBER($W285),$W285="DNA"),$W285,IF(OR(ISNUMBER($V285),$V285="DNA"),$V285,IF(OR(ISNUMBER($U285),$U285="DNA"),$U285,IF(OR(ISNUMBER($T285),$T285="DNA"),$T285,IF(OR(ISNUMBER($S285),$S285="DNA"),$S285,IF(OR(ISNUMBER($P285),$P285="DNA"),$P285,IF(OR(ISNUMBER($O285),$O285="DNA"),$O285,IF(OR(ISNUMBER($N285),$N285="DNA"),$N285,""))))))))))="DNA","Rebook DNA",IF(ISNUMBER(IF(OR(ISNUMBER($Y285),$Y285="DNA"),$Y285,IF(OR(ISNUMBER($X285),$X285="DNA"),$X285,IF(OR(ISNUMBER($W285),$W285="DNA"),$W285,IF(OR(ISNUMBER($V285),$V285="DNA"),$V285,IF(OR(ISNUMBER($U285),$U285="DNA"),$U285,IF(OR(ISNUMBER($T285),$T285="DNA"),$T285,IF(OR(ISNUMBER($S285),$S285="DNA"),$S285,IF(OR(ISNUMBER($P285),$P285="DNA"),$P285,IF(OR(ISNUMBER($O285),$O285="DNA"),$O285,IF(OR(ISNUMBER($N285),$N285="DNA"),$N285,""))))))))))),IF(ISNUMBER($Y285),"Update status","Missed/not booked?"),""))))</f>
        <v/>
      </c>
      <c r="M285" s="29">
        <f>IF(NOT(AND($A285&lt;&gt;"",OR($I285="",$I285="Active"))),"",IF(MIN(IF(AND(ISNUMBER($N285),$N285&gt;=TODAY()),$N285,99999),IF(AND(ISNUMBER($O285),$O285&gt;=TODAY()),$O285,99999),IF(AND(ISNUMBER($P285),$P285&gt;=TODAY()),$P285,99999),IF(AND(ISNUMBER($S285),$S285&gt;=TODAY()),$S285,99999),IF(AND(ISNUMBER($T285),$T285&gt;=TODAY()),$T285,99999),IF(AND(ISNUMBER($U285),$U285&gt;=TODAY()),$U285,99999),IF(AND(ISNUMBER($V285),$V285&gt;=TODAY()),$V285,99999),IF(AND(ISNUMBER($W285),$W285&gt;=TODAY()),$W285,99999),IF(AND(ISNUMBER($X285),$X285&gt;=TODAY()),$X285,99999),IF(AND(ISNUMBER($Y285),$Y285&gt;=TODAY()),$Y285,99999))=99999,"",MIN(IF(AND(ISNUMBER($N285),$N285&gt;=TODAY()),$N285,99999),IF(AND(ISNUMBER($O285),$O285&gt;=TODAY()),$O285,99999),IF(AND(ISNUMBER($P285),$P285&gt;=TODAY()),$P285,99999),IF(AND(ISNUMBER($S285),$S285&gt;=TODAY()),$S285,99999),IF(AND(ISNUMBER($T285),$T285&gt;=TODAY()),$T285,99999),IF(AND(ISNUMBER($U285),$U285&gt;=TODAY()),$U285,99999),IF(AND(ISNUMBER($V285),$V285&gt;=TODAY()),$V285,99999),IF(AND(ISNUMBER($W285),$W285&gt;=TODAY()),$W285,99999),IF(AND(ISNUMBER($X285),$X285&gt;=TODAY()),$X285,99999),IF(AND(ISNUMBER($Y285),$Y285&gt;=TODAY()),$Y285,99999))))</f>
        <v/>
      </c>
      <c r="N285" s="27" t="n"/>
      <c r="O285" s="27" t="n"/>
      <c r="P285" s="27" t="n"/>
      <c r="Q285" s="27" t="n"/>
      <c r="R285" s="27" t="n"/>
      <c r="S285" s="27" t="n"/>
      <c r="T285" s="27" t="n"/>
      <c r="U285" s="27" t="n"/>
      <c r="V285" s="27" t="n"/>
      <c r="W285" s="27" t="n"/>
      <c r="X285" s="27" t="n"/>
      <c r="Y285" s="27" t="n"/>
      <c r="Z285" s="27" t="n"/>
      <c r="AA285" s="27" t="n"/>
      <c r="AB285" s="27" t="n"/>
      <c r="AC285" s="30" t="n"/>
      <c r="AD285" s="25" t="n"/>
      <c r="AE285" s="28">
        <f>IF(NOT(AND($A285&lt;&gt;"",OR($I285="",$I285="Active"))),"",IF(OR(IF(OR(ISNUMBER($Y285),$Y285="DNA"),$Y285,IF(OR(ISNUMBER($X285),$X285="DNA"),$X285,IF(OR(ISNUMBER($W285),$W285="DNA"),$W285,IF(OR(ISNUMBER($V285),$V285="DNA"),$V285,IF(OR(ISNUMBER($U285),$U285="DNA"),$U285,IF(OR(ISNUMBER($T285),$T285="DNA"),$T285,IF(OR(ISNUMBER($S285),$S285="DNA"),$S285,IF(OR(ISNUMBER($P285),$P285="DNA"),$P285,IF(OR(ISNUMBER($O285),$O285="DNA"),$O285,IF(OR(ISNUMBER($N285),$N285="DNA"),$N285,""))))))))))="DNA",AND(ISNUMBER(IF(OR(ISNUMBER($Y285),$Y285="DNA"),$Y285,IF(OR(ISNUMBER($X285),$X285="DNA"),$X285,IF(OR(ISNUMBER($W285),$W285="DNA"),$W285,IF(OR(ISNUMBER($V285),$V285="DNA"),$V285,IF(OR(ISNUMBER($U285),$U285="DNA"),$U285,IF(OR(ISNUMBER($T285),$T285="DNA"),$T285,IF(OR(ISNUMBER($S285),$S285="DNA"),$S285,IF(OR(ISNUMBER($P285),$P285="DNA"),$P285,IF(OR(ISNUMBER($O285),$O285="DNA"),$O285,IF(OR(ISNUMBER($N285),$N285="DNA"),$N285,""))))))))))),IF(OR(ISNUMBER($Y285),$Y285="DNA"),$Y285,IF(OR(ISNUMBER($X285),$X285="DNA"),$X285,IF(OR(ISNUMBER($W285),$W285="DNA"),$W285,IF(OR(ISNUMBER($V285),$V285="DNA"),$V285,IF(OR(ISNUMBER($U285),$U285="DNA"),$U285,IF(OR(ISNUMBER($T285),$T285="DNA"),$T285,IF(OR(ISNUMBER($S285),$S285="DNA"),$S285,IF(OR(ISNUMBER($P285),$P285="DNA"),$P285,IF(OR(ISNUMBER($O285),$O285="DNA"),$O285,IF(OR(ISNUMBER($N285),$N285="DNA"),$N285,""))))))))))&lt;TODAY())),1,0)+ISNUMBER($Q285)*($Q285&lt;TODAY())+ISNUMBER($R285)*($R285&lt;TODAY())+ISNUMBER($AA285)*($AA285&lt;TODAY())+ISNUMBER($AB285)*($AB285&lt;TODAY()))</f>
        <v/>
      </c>
    </row>
    <row r="286">
      <c r="A286" s="25" t="n"/>
      <c r="B286" s="26" t="n"/>
      <c r="C286" s="27" t="n"/>
      <c r="D286" s="25" t="n"/>
      <c r="E286" s="25" t="n"/>
      <c r="F286" s="25" t="n"/>
      <c r="G286" s="25" t="n"/>
      <c r="H286" s="27" t="n"/>
      <c r="I286" s="25" t="n"/>
      <c r="J286" s="28">
        <f>IF(OR(NOT(AND($A286&lt;&gt;"",OR($I286="",$I286="Active"))),$H286=""),"",INT((TODAY()-$H286+280)/7)&amp;"+"&amp;MOD(TODAY()-$H286+280,7))</f>
        <v/>
      </c>
      <c r="K286" s="28">
        <f>IF(NOT(AND($A286&lt;&gt;"",OR($I286="",$I286="Active"))),"",ISNUMBER($N286)*($N286&gt;=TODAY())*($N286&lt;=TODAY()+7)+ISNUMBER($O286)*($O286&gt;=TODAY())*($O286&lt;=TODAY()+7)+ISNUMBER($P286)*($P286&gt;=TODAY())*($P286&lt;=TODAY()+7)+ISNUMBER($S286)*($S286&gt;=TODAY())*($S286&lt;=TODAY()+7)+ISNUMBER($T286)*($T286&gt;=TODAY())*($T286&lt;=TODAY()+7)+ISNUMBER($U286)*($U286&gt;=TODAY())*($U286&lt;=TODAY()+7)+ISNUMBER($V286)*($V286&gt;=TODAY())*($V286&lt;=TODAY()+7)+ISNUMBER($W286)*($W286&gt;=TODAY())*($W286&lt;=TODAY()+7)+ISNUMBER($X286)*($X286&gt;=TODAY())*($X286&lt;=TODAY()+7)+ISNUMBER($Y286)*($Y286&gt;=TODAY())*($Y286&lt;=TODAY()+7)+ISNUMBER($Q286)*($Q286&gt;=TODAY())*($Q286&lt;=TODAY()+7)+ISNUMBER($R286)*($R286&gt;=TODAY())*($R286&lt;=TODAY()+7)+ISNUMBER($AA286)*($AA286&gt;=TODAY())*($AA286&lt;=TODAY()+7)+ISNUMBER($AB286)*($AB286&gt;=TODAY())*($AB286&lt;=TODAY()+7))</f>
        <v/>
      </c>
      <c r="L286" s="28">
        <f>IF(NOT(AND($A286&lt;&gt;"",OR($I286="",$I286="Active"))),"",IF($M286&lt;&gt;"",IF($N286=$M286,"Booking",IF($O286=$M286,"16/40",IF($P286=$M286,"25/40",IF($S286=$M286,"28/40",IF($T286=$M286,"31/40",IF($U286=$M286,"34/40",IF($V286=$M286,"36/40",IF($W286=$M286,"38/40",IF($X286=$M286,"40/40",IF($Y286=$M286,"41/40","")))))))))),IF(IF(OR(ISNUMBER($Y286),$Y286="DNA"),$Y286,IF(OR(ISNUMBER($X286),$X286="DNA"),$X286,IF(OR(ISNUMBER($W286),$W286="DNA"),$W286,IF(OR(ISNUMBER($V286),$V286="DNA"),$V286,IF(OR(ISNUMBER($U286),$U286="DNA"),$U286,IF(OR(ISNUMBER($T286),$T286="DNA"),$T286,IF(OR(ISNUMBER($S286),$S286="DNA"),$S286,IF(OR(ISNUMBER($P286),$P286="DNA"),$P286,IF(OR(ISNUMBER($O286),$O286="DNA"),$O286,IF(OR(ISNUMBER($N286),$N286="DNA"),$N286,""))))))))))="DNA","Rebook DNA",IF(ISNUMBER(IF(OR(ISNUMBER($Y286),$Y286="DNA"),$Y286,IF(OR(ISNUMBER($X286),$X286="DNA"),$X286,IF(OR(ISNUMBER($W286),$W286="DNA"),$W286,IF(OR(ISNUMBER($V286),$V286="DNA"),$V286,IF(OR(ISNUMBER($U286),$U286="DNA"),$U286,IF(OR(ISNUMBER($T286),$T286="DNA"),$T286,IF(OR(ISNUMBER($S286),$S286="DNA"),$S286,IF(OR(ISNUMBER($P286),$P286="DNA"),$P286,IF(OR(ISNUMBER($O286),$O286="DNA"),$O286,IF(OR(ISNUMBER($N286),$N286="DNA"),$N286,""))))))))))),IF(ISNUMBER($Y286),"Update status","Missed/not booked?"),""))))</f>
        <v/>
      </c>
      <c r="M286" s="29">
        <f>IF(NOT(AND($A286&lt;&gt;"",OR($I286="",$I286="Active"))),"",IF(MIN(IF(AND(ISNUMBER($N286),$N286&gt;=TODAY()),$N286,99999),IF(AND(ISNUMBER($O286),$O286&gt;=TODAY()),$O286,99999),IF(AND(ISNUMBER($P286),$P286&gt;=TODAY()),$P286,99999),IF(AND(ISNUMBER($S286),$S286&gt;=TODAY()),$S286,99999),IF(AND(ISNUMBER($T286),$T286&gt;=TODAY()),$T286,99999),IF(AND(ISNUMBER($U286),$U286&gt;=TODAY()),$U286,99999),IF(AND(ISNUMBER($V286),$V286&gt;=TODAY()),$V286,99999),IF(AND(ISNUMBER($W286),$W286&gt;=TODAY()),$W286,99999),IF(AND(ISNUMBER($X286),$X286&gt;=TODAY()),$X286,99999),IF(AND(ISNUMBER($Y286),$Y286&gt;=TODAY()),$Y286,99999))=99999,"",MIN(IF(AND(ISNUMBER($N286),$N286&gt;=TODAY()),$N286,99999),IF(AND(ISNUMBER($O286),$O286&gt;=TODAY()),$O286,99999),IF(AND(ISNUMBER($P286),$P286&gt;=TODAY()),$P286,99999),IF(AND(ISNUMBER($S286),$S286&gt;=TODAY()),$S286,99999),IF(AND(ISNUMBER($T286),$T286&gt;=TODAY()),$T286,99999),IF(AND(ISNUMBER($U286),$U286&gt;=TODAY()),$U286,99999),IF(AND(ISNUMBER($V286),$V286&gt;=TODAY()),$V286,99999),IF(AND(ISNUMBER($W286),$W286&gt;=TODAY()),$W286,99999),IF(AND(ISNUMBER($X286),$X286&gt;=TODAY()),$X286,99999),IF(AND(ISNUMBER($Y286),$Y286&gt;=TODAY()),$Y286,99999))))</f>
        <v/>
      </c>
      <c r="N286" s="27" t="n"/>
      <c r="O286" s="27" t="n"/>
      <c r="P286" s="27" t="n"/>
      <c r="Q286" s="27" t="n"/>
      <c r="R286" s="27" t="n"/>
      <c r="S286" s="27" t="n"/>
      <c r="T286" s="27" t="n"/>
      <c r="U286" s="27" t="n"/>
      <c r="V286" s="27" t="n"/>
      <c r="W286" s="27" t="n"/>
      <c r="X286" s="27" t="n"/>
      <c r="Y286" s="27" t="n"/>
      <c r="Z286" s="27" t="n"/>
      <c r="AA286" s="27" t="n"/>
      <c r="AB286" s="27" t="n"/>
      <c r="AC286" s="30" t="n"/>
      <c r="AD286" s="25" t="n"/>
      <c r="AE286" s="28">
        <f>IF(NOT(AND($A286&lt;&gt;"",OR($I286="",$I286="Active"))),"",IF(OR(IF(OR(ISNUMBER($Y286),$Y286="DNA"),$Y286,IF(OR(ISNUMBER($X286),$X286="DNA"),$X286,IF(OR(ISNUMBER($W286),$W286="DNA"),$W286,IF(OR(ISNUMBER($V286),$V286="DNA"),$V286,IF(OR(ISNUMBER($U286),$U286="DNA"),$U286,IF(OR(ISNUMBER($T286),$T286="DNA"),$T286,IF(OR(ISNUMBER($S286),$S286="DNA"),$S286,IF(OR(ISNUMBER($P286),$P286="DNA"),$P286,IF(OR(ISNUMBER($O286),$O286="DNA"),$O286,IF(OR(ISNUMBER($N286),$N286="DNA"),$N286,""))))))))))="DNA",AND(ISNUMBER(IF(OR(ISNUMBER($Y286),$Y286="DNA"),$Y286,IF(OR(ISNUMBER($X286),$X286="DNA"),$X286,IF(OR(ISNUMBER($W286),$W286="DNA"),$W286,IF(OR(ISNUMBER($V286),$V286="DNA"),$V286,IF(OR(ISNUMBER($U286),$U286="DNA"),$U286,IF(OR(ISNUMBER($T286),$T286="DNA"),$T286,IF(OR(ISNUMBER($S286),$S286="DNA"),$S286,IF(OR(ISNUMBER($P286),$P286="DNA"),$P286,IF(OR(ISNUMBER($O286),$O286="DNA"),$O286,IF(OR(ISNUMBER($N286),$N286="DNA"),$N286,""))))))))))),IF(OR(ISNUMBER($Y286),$Y286="DNA"),$Y286,IF(OR(ISNUMBER($X286),$X286="DNA"),$X286,IF(OR(ISNUMBER($W286),$W286="DNA"),$W286,IF(OR(ISNUMBER($V286),$V286="DNA"),$V286,IF(OR(ISNUMBER($U286),$U286="DNA"),$U286,IF(OR(ISNUMBER($T286),$T286="DNA"),$T286,IF(OR(ISNUMBER($S286),$S286="DNA"),$S286,IF(OR(ISNUMBER($P286),$P286="DNA"),$P286,IF(OR(ISNUMBER($O286),$O286="DNA"),$O286,IF(OR(ISNUMBER($N286),$N286="DNA"),$N286,""))))))))))&lt;TODAY())),1,0)+ISNUMBER($Q286)*($Q286&lt;TODAY())+ISNUMBER($R286)*($R286&lt;TODAY())+ISNUMBER($AA286)*($AA286&lt;TODAY())+ISNUMBER($AB286)*($AB286&lt;TODAY()))</f>
        <v/>
      </c>
    </row>
    <row r="287">
      <c r="A287" s="25" t="n"/>
      <c r="B287" s="26" t="n"/>
      <c r="C287" s="27" t="n"/>
      <c r="D287" s="25" t="n"/>
      <c r="E287" s="25" t="n"/>
      <c r="F287" s="25" t="n"/>
      <c r="G287" s="25" t="n"/>
      <c r="H287" s="27" t="n"/>
      <c r="I287" s="25" t="n"/>
      <c r="J287" s="28">
        <f>IF(OR(NOT(AND($A287&lt;&gt;"",OR($I287="",$I287="Active"))),$H287=""),"",INT((TODAY()-$H287+280)/7)&amp;"+"&amp;MOD(TODAY()-$H287+280,7))</f>
        <v/>
      </c>
      <c r="K287" s="28">
        <f>IF(NOT(AND($A287&lt;&gt;"",OR($I287="",$I287="Active"))),"",ISNUMBER($N287)*($N287&gt;=TODAY())*($N287&lt;=TODAY()+7)+ISNUMBER($O287)*($O287&gt;=TODAY())*($O287&lt;=TODAY()+7)+ISNUMBER($P287)*($P287&gt;=TODAY())*($P287&lt;=TODAY()+7)+ISNUMBER($S287)*($S287&gt;=TODAY())*($S287&lt;=TODAY()+7)+ISNUMBER($T287)*($T287&gt;=TODAY())*($T287&lt;=TODAY()+7)+ISNUMBER($U287)*($U287&gt;=TODAY())*($U287&lt;=TODAY()+7)+ISNUMBER($V287)*($V287&gt;=TODAY())*($V287&lt;=TODAY()+7)+ISNUMBER($W287)*($W287&gt;=TODAY())*($W287&lt;=TODAY()+7)+ISNUMBER($X287)*($X287&gt;=TODAY())*($X287&lt;=TODAY()+7)+ISNUMBER($Y287)*($Y287&gt;=TODAY())*($Y287&lt;=TODAY()+7)+ISNUMBER($Q287)*($Q287&gt;=TODAY())*($Q287&lt;=TODAY()+7)+ISNUMBER($R287)*($R287&gt;=TODAY())*($R287&lt;=TODAY()+7)+ISNUMBER($AA287)*($AA287&gt;=TODAY())*($AA287&lt;=TODAY()+7)+ISNUMBER($AB287)*($AB287&gt;=TODAY())*($AB287&lt;=TODAY()+7))</f>
        <v/>
      </c>
      <c r="L287" s="28">
        <f>IF(NOT(AND($A287&lt;&gt;"",OR($I287="",$I287="Active"))),"",IF($M287&lt;&gt;"",IF($N287=$M287,"Booking",IF($O287=$M287,"16/40",IF($P287=$M287,"25/40",IF($S287=$M287,"28/40",IF($T287=$M287,"31/40",IF($U287=$M287,"34/40",IF($V287=$M287,"36/40",IF($W287=$M287,"38/40",IF($X287=$M287,"40/40",IF($Y287=$M287,"41/40","")))))))))),IF(IF(OR(ISNUMBER($Y287),$Y287="DNA"),$Y287,IF(OR(ISNUMBER($X287),$X287="DNA"),$X287,IF(OR(ISNUMBER($W287),$W287="DNA"),$W287,IF(OR(ISNUMBER($V287),$V287="DNA"),$V287,IF(OR(ISNUMBER($U287),$U287="DNA"),$U287,IF(OR(ISNUMBER($T287),$T287="DNA"),$T287,IF(OR(ISNUMBER($S287),$S287="DNA"),$S287,IF(OR(ISNUMBER($P287),$P287="DNA"),$P287,IF(OR(ISNUMBER($O287),$O287="DNA"),$O287,IF(OR(ISNUMBER($N287),$N287="DNA"),$N287,""))))))))))="DNA","Rebook DNA",IF(ISNUMBER(IF(OR(ISNUMBER($Y287),$Y287="DNA"),$Y287,IF(OR(ISNUMBER($X287),$X287="DNA"),$X287,IF(OR(ISNUMBER($W287),$W287="DNA"),$W287,IF(OR(ISNUMBER($V287),$V287="DNA"),$V287,IF(OR(ISNUMBER($U287),$U287="DNA"),$U287,IF(OR(ISNUMBER($T287),$T287="DNA"),$T287,IF(OR(ISNUMBER($S287),$S287="DNA"),$S287,IF(OR(ISNUMBER($P287),$P287="DNA"),$P287,IF(OR(ISNUMBER($O287),$O287="DNA"),$O287,IF(OR(ISNUMBER($N287),$N287="DNA"),$N287,""))))))))))),IF(ISNUMBER($Y287),"Update status","Missed/not booked?"),""))))</f>
        <v/>
      </c>
      <c r="M287" s="29">
        <f>IF(NOT(AND($A287&lt;&gt;"",OR($I287="",$I287="Active"))),"",IF(MIN(IF(AND(ISNUMBER($N287),$N287&gt;=TODAY()),$N287,99999),IF(AND(ISNUMBER($O287),$O287&gt;=TODAY()),$O287,99999),IF(AND(ISNUMBER($P287),$P287&gt;=TODAY()),$P287,99999),IF(AND(ISNUMBER($S287),$S287&gt;=TODAY()),$S287,99999),IF(AND(ISNUMBER($T287),$T287&gt;=TODAY()),$T287,99999),IF(AND(ISNUMBER($U287),$U287&gt;=TODAY()),$U287,99999),IF(AND(ISNUMBER($V287),$V287&gt;=TODAY()),$V287,99999),IF(AND(ISNUMBER($W287),$W287&gt;=TODAY()),$W287,99999),IF(AND(ISNUMBER($X287),$X287&gt;=TODAY()),$X287,99999),IF(AND(ISNUMBER($Y287),$Y287&gt;=TODAY()),$Y287,99999))=99999,"",MIN(IF(AND(ISNUMBER($N287),$N287&gt;=TODAY()),$N287,99999),IF(AND(ISNUMBER($O287),$O287&gt;=TODAY()),$O287,99999),IF(AND(ISNUMBER($P287),$P287&gt;=TODAY()),$P287,99999),IF(AND(ISNUMBER($S287),$S287&gt;=TODAY()),$S287,99999),IF(AND(ISNUMBER($T287),$T287&gt;=TODAY()),$T287,99999),IF(AND(ISNUMBER($U287),$U287&gt;=TODAY()),$U287,99999),IF(AND(ISNUMBER($V287),$V287&gt;=TODAY()),$V287,99999),IF(AND(ISNUMBER($W287),$W287&gt;=TODAY()),$W287,99999),IF(AND(ISNUMBER($X287),$X287&gt;=TODAY()),$X287,99999),IF(AND(ISNUMBER($Y287),$Y287&gt;=TODAY()),$Y287,99999))))</f>
        <v/>
      </c>
      <c r="N287" s="27" t="n"/>
      <c r="O287" s="27" t="n"/>
      <c r="P287" s="27" t="n"/>
      <c r="Q287" s="27" t="n"/>
      <c r="R287" s="27" t="n"/>
      <c r="S287" s="27" t="n"/>
      <c r="T287" s="27" t="n"/>
      <c r="U287" s="27" t="n"/>
      <c r="V287" s="27" t="n"/>
      <c r="W287" s="27" t="n"/>
      <c r="X287" s="27" t="n"/>
      <c r="Y287" s="27" t="n"/>
      <c r="Z287" s="27" t="n"/>
      <c r="AA287" s="27" t="n"/>
      <c r="AB287" s="27" t="n"/>
      <c r="AC287" s="30" t="n"/>
      <c r="AD287" s="25" t="n"/>
      <c r="AE287" s="28">
        <f>IF(NOT(AND($A287&lt;&gt;"",OR($I287="",$I287="Active"))),"",IF(OR(IF(OR(ISNUMBER($Y287),$Y287="DNA"),$Y287,IF(OR(ISNUMBER($X287),$X287="DNA"),$X287,IF(OR(ISNUMBER($W287),$W287="DNA"),$W287,IF(OR(ISNUMBER($V287),$V287="DNA"),$V287,IF(OR(ISNUMBER($U287),$U287="DNA"),$U287,IF(OR(ISNUMBER($T287),$T287="DNA"),$T287,IF(OR(ISNUMBER($S287),$S287="DNA"),$S287,IF(OR(ISNUMBER($P287),$P287="DNA"),$P287,IF(OR(ISNUMBER($O287),$O287="DNA"),$O287,IF(OR(ISNUMBER($N287),$N287="DNA"),$N287,""))))))))))="DNA",AND(ISNUMBER(IF(OR(ISNUMBER($Y287),$Y287="DNA"),$Y287,IF(OR(ISNUMBER($X287),$X287="DNA"),$X287,IF(OR(ISNUMBER($W287),$W287="DNA"),$W287,IF(OR(ISNUMBER($V287),$V287="DNA"),$V287,IF(OR(ISNUMBER($U287),$U287="DNA"),$U287,IF(OR(ISNUMBER($T287),$T287="DNA"),$T287,IF(OR(ISNUMBER($S287),$S287="DNA"),$S287,IF(OR(ISNUMBER($P287),$P287="DNA"),$P287,IF(OR(ISNUMBER($O287),$O287="DNA"),$O287,IF(OR(ISNUMBER($N287),$N287="DNA"),$N287,""))))))))))),IF(OR(ISNUMBER($Y287),$Y287="DNA"),$Y287,IF(OR(ISNUMBER($X287),$X287="DNA"),$X287,IF(OR(ISNUMBER($W287),$W287="DNA"),$W287,IF(OR(ISNUMBER($V287),$V287="DNA"),$V287,IF(OR(ISNUMBER($U287),$U287="DNA"),$U287,IF(OR(ISNUMBER($T287),$T287="DNA"),$T287,IF(OR(ISNUMBER($S287),$S287="DNA"),$S287,IF(OR(ISNUMBER($P287),$P287="DNA"),$P287,IF(OR(ISNUMBER($O287),$O287="DNA"),$O287,IF(OR(ISNUMBER($N287),$N287="DNA"),$N287,""))))))))))&lt;TODAY())),1,0)+ISNUMBER($Q287)*($Q287&lt;TODAY())+ISNUMBER($R287)*($R287&lt;TODAY())+ISNUMBER($AA287)*($AA287&lt;TODAY())+ISNUMBER($AB287)*($AB287&lt;TODAY()))</f>
        <v/>
      </c>
    </row>
    <row r="288">
      <c r="A288" s="25" t="n"/>
      <c r="B288" s="26" t="n"/>
      <c r="C288" s="27" t="n"/>
      <c r="D288" s="25" t="n"/>
      <c r="E288" s="25" t="n"/>
      <c r="F288" s="25" t="n"/>
      <c r="G288" s="25" t="n"/>
      <c r="H288" s="27" t="n"/>
      <c r="I288" s="25" t="n"/>
      <c r="J288" s="28">
        <f>IF(OR(NOT(AND($A288&lt;&gt;"",OR($I288="",$I288="Active"))),$H288=""),"",INT((TODAY()-$H288+280)/7)&amp;"+"&amp;MOD(TODAY()-$H288+280,7))</f>
        <v/>
      </c>
      <c r="K288" s="28">
        <f>IF(NOT(AND($A288&lt;&gt;"",OR($I288="",$I288="Active"))),"",ISNUMBER($N288)*($N288&gt;=TODAY())*($N288&lt;=TODAY()+7)+ISNUMBER($O288)*($O288&gt;=TODAY())*($O288&lt;=TODAY()+7)+ISNUMBER($P288)*($P288&gt;=TODAY())*($P288&lt;=TODAY()+7)+ISNUMBER($S288)*($S288&gt;=TODAY())*($S288&lt;=TODAY()+7)+ISNUMBER($T288)*($T288&gt;=TODAY())*($T288&lt;=TODAY()+7)+ISNUMBER($U288)*($U288&gt;=TODAY())*($U288&lt;=TODAY()+7)+ISNUMBER($V288)*($V288&gt;=TODAY())*($V288&lt;=TODAY()+7)+ISNUMBER($W288)*($W288&gt;=TODAY())*($W288&lt;=TODAY()+7)+ISNUMBER($X288)*($X288&gt;=TODAY())*($X288&lt;=TODAY()+7)+ISNUMBER($Y288)*($Y288&gt;=TODAY())*($Y288&lt;=TODAY()+7)+ISNUMBER($Q288)*($Q288&gt;=TODAY())*($Q288&lt;=TODAY()+7)+ISNUMBER($R288)*($R288&gt;=TODAY())*($R288&lt;=TODAY()+7)+ISNUMBER($AA288)*($AA288&gt;=TODAY())*($AA288&lt;=TODAY()+7)+ISNUMBER($AB288)*($AB288&gt;=TODAY())*($AB288&lt;=TODAY()+7))</f>
        <v/>
      </c>
      <c r="L288" s="28">
        <f>IF(NOT(AND($A288&lt;&gt;"",OR($I288="",$I288="Active"))),"",IF($M288&lt;&gt;"",IF($N288=$M288,"Booking",IF($O288=$M288,"16/40",IF($P288=$M288,"25/40",IF($S288=$M288,"28/40",IF($T288=$M288,"31/40",IF($U288=$M288,"34/40",IF($V288=$M288,"36/40",IF($W288=$M288,"38/40",IF($X288=$M288,"40/40",IF($Y288=$M288,"41/40","")))))))))),IF(IF(OR(ISNUMBER($Y288),$Y288="DNA"),$Y288,IF(OR(ISNUMBER($X288),$X288="DNA"),$X288,IF(OR(ISNUMBER($W288),$W288="DNA"),$W288,IF(OR(ISNUMBER($V288),$V288="DNA"),$V288,IF(OR(ISNUMBER($U288),$U288="DNA"),$U288,IF(OR(ISNUMBER($T288),$T288="DNA"),$T288,IF(OR(ISNUMBER($S288),$S288="DNA"),$S288,IF(OR(ISNUMBER($P288),$P288="DNA"),$P288,IF(OR(ISNUMBER($O288),$O288="DNA"),$O288,IF(OR(ISNUMBER($N288),$N288="DNA"),$N288,""))))))))))="DNA","Rebook DNA",IF(ISNUMBER(IF(OR(ISNUMBER($Y288),$Y288="DNA"),$Y288,IF(OR(ISNUMBER($X288),$X288="DNA"),$X288,IF(OR(ISNUMBER($W288),$W288="DNA"),$W288,IF(OR(ISNUMBER($V288),$V288="DNA"),$V288,IF(OR(ISNUMBER($U288),$U288="DNA"),$U288,IF(OR(ISNUMBER($T288),$T288="DNA"),$T288,IF(OR(ISNUMBER($S288),$S288="DNA"),$S288,IF(OR(ISNUMBER($P288),$P288="DNA"),$P288,IF(OR(ISNUMBER($O288),$O288="DNA"),$O288,IF(OR(ISNUMBER($N288),$N288="DNA"),$N288,""))))))))))),IF(ISNUMBER($Y288),"Update status","Missed/not booked?"),""))))</f>
        <v/>
      </c>
      <c r="M288" s="29">
        <f>IF(NOT(AND($A288&lt;&gt;"",OR($I288="",$I288="Active"))),"",IF(MIN(IF(AND(ISNUMBER($N288),$N288&gt;=TODAY()),$N288,99999),IF(AND(ISNUMBER($O288),$O288&gt;=TODAY()),$O288,99999),IF(AND(ISNUMBER($P288),$P288&gt;=TODAY()),$P288,99999),IF(AND(ISNUMBER($S288),$S288&gt;=TODAY()),$S288,99999),IF(AND(ISNUMBER($T288),$T288&gt;=TODAY()),$T288,99999),IF(AND(ISNUMBER($U288),$U288&gt;=TODAY()),$U288,99999),IF(AND(ISNUMBER($V288),$V288&gt;=TODAY()),$V288,99999),IF(AND(ISNUMBER($W288),$W288&gt;=TODAY()),$W288,99999),IF(AND(ISNUMBER($X288),$X288&gt;=TODAY()),$X288,99999),IF(AND(ISNUMBER($Y288),$Y288&gt;=TODAY()),$Y288,99999))=99999,"",MIN(IF(AND(ISNUMBER($N288),$N288&gt;=TODAY()),$N288,99999),IF(AND(ISNUMBER($O288),$O288&gt;=TODAY()),$O288,99999),IF(AND(ISNUMBER($P288),$P288&gt;=TODAY()),$P288,99999),IF(AND(ISNUMBER($S288),$S288&gt;=TODAY()),$S288,99999),IF(AND(ISNUMBER($T288),$T288&gt;=TODAY()),$T288,99999),IF(AND(ISNUMBER($U288),$U288&gt;=TODAY()),$U288,99999),IF(AND(ISNUMBER($V288),$V288&gt;=TODAY()),$V288,99999),IF(AND(ISNUMBER($W288),$W288&gt;=TODAY()),$W288,99999),IF(AND(ISNUMBER($X288),$X288&gt;=TODAY()),$X288,99999),IF(AND(ISNUMBER($Y288),$Y288&gt;=TODAY()),$Y288,99999))))</f>
        <v/>
      </c>
      <c r="N288" s="27" t="n"/>
      <c r="O288" s="27" t="n"/>
      <c r="P288" s="27" t="n"/>
      <c r="Q288" s="27" t="n"/>
      <c r="R288" s="27" t="n"/>
      <c r="S288" s="27" t="n"/>
      <c r="T288" s="27" t="n"/>
      <c r="U288" s="27" t="n"/>
      <c r="V288" s="27" t="n"/>
      <c r="W288" s="27" t="n"/>
      <c r="X288" s="27" t="n"/>
      <c r="Y288" s="27" t="n"/>
      <c r="Z288" s="27" t="n"/>
      <c r="AA288" s="27" t="n"/>
      <c r="AB288" s="27" t="n"/>
      <c r="AC288" s="30" t="n"/>
      <c r="AD288" s="25" t="n"/>
      <c r="AE288" s="28">
        <f>IF(NOT(AND($A288&lt;&gt;"",OR($I288="",$I288="Active"))),"",IF(OR(IF(OR(ISNUMBER($Y288),$Y288="DNA"),$Y288,IF(OR(ISNUMBER($X288),$X288="DNA"),$X288,IF(OR(ISNUMBER($W288),$W288="DNA"),$W288,IF(OR(ISNUMBER($V288),$V288="DNA"),$V288,IF(OR(ISNUMBER($U288),$U288="DNA"),$U288,IF(OR(ISNUMBER($T288),$T288="DNA"),$T288,IF(OR(ISNUMBER($S288),$S288="DNA"),$S288,IF(OR(ISNUMBER($P288),$P288="DNA"),$P288,IF(OR(ISNUMBER($O288),$O288="DNA"),$O288,IF(OR(ISNUMBER($N288),$N288="DNA"),$N288,""))))))))))="DNA",AND(ISNUMBER(IF(OR(ISNUMBER($Y288),$Y288="DNA"),$Y288,IF(OR(ISNUMBER($X288),$X288="DNA"),$X288,IF(OR(ISNUMBER($W288),$W288="DNA"),$W288,IF(OR(ISNUMBER($V288),$V288="DNA"),$V288,IF(OR(ISNUMBER($U288),$U288="DNA"),$U288,IF(OR(ISNUMBER($T288),$T288="DNA"),$T288,IF(OR(ISNUMBER($S288),$S288="DNA"),$S288,IF(OR(ISNUMBER($P288),$P288="DNA"),$P288,IF(OR(ISNUMBER($O288),$O288="DNA"),$O288,IF(OR(ISNUMBER($N288),$N288="DNA"),$N288,""))))))))))),IF(OR(ISNUMBER($Y288),$Y288="DNA"),$Y288,IF(OR(ISNUMBER($X288),$X288="DNA"),$X288,IF(OR(ISNUMBER($W288),$W288="DNA"),$W288,IF(OR(ISNUMBER($V288),$V288="DNA"),$V288,IF(OR(ISNUMBER($U288),$U288="DNA"),$U288,IF(OR(ISNUMBER($T288),$T288="DNA"),$T288,IF(OR(ISNUMBER($S288),$S288="DNA"),$S288,IF(OR(ISNUMBER($P288),$P288="DNA"),$P288,IF(OR(ISNUMBER($O288),$O288="DNA"),$O288,IF(OR(ISNUMBER($N288),$N288="DNA"),$N288,""))))))))))&lt;TODAY())),1,0)+ISNUMBER($Q288)*($Q288&lt;TODAY())+ISNUMBER($R288)*($R288&lt;TODAY())+ISNUMBER($AA288)*($AA288&lt;TODAY())+ISNUMBER($AB288)*($AB288&lt;TODAY()))</f>
        <v/>
      </c>
    </row>
    <row r="289">
      <c r="A289" s="25" t="n"/>
      <c r="B289" s="26" t="n"/>
      <c r="C289" s="27" t="n"/>
      <c r="D289" s="25" t="n"/>
      <c r="E289" s="25" t="n"/>
      <c r="F289" s="25" t="n"/>
      <c r="G289" s="25" t="n"/>
      <c r="H289" s="27" t="n"/>
      <c r="I289" s="25" t="n"/>
      <c r="J289" s="28">
        <f>IF(OR(NOT(AND($A289&lt;&gt;"",OR($I289="",$I289="Active"))),$H289=""),"",INT((TODAY()-$H289+280)/7)&amp;"+"&amp;MOD(TODAY()-$H289+280,7))</f>
        <v/>
      </c>
      <c r="K289" s="28">
        <f>IF(NOT(AND($A289&lt;&gt;"",OR($I289="",$I289="Active"))),"",ISNUMBER($N289)*($N289&gt;=TODAY())*($N289&lt;=TODAY()+7)+ISNUMBER($O289)*($O289&gt;=TODAY())*($O289&lt;=TODAY()+7)+ISNUMBER($P289)*($P289&gt;=TODAY())*($P289&lt;=TODAY()+7)+ISNUMBER($S289)*($S289&gt;=TODAY())*($S289&lt;=TODAY()+7)+ISNUMBER($T289)*($T289&gt;=TODAY())*($T289&lt;=TODAY()+7)+ISNUMBER($U289)*($U289&gt;=TODAY())*($U289&lt;=TODAY()+7)+ISNUMBER($V289)*($V289&gt;=TODAY())*($V289&lt;=TODAY()+7)+ISNUMBER($W289)*($W289&gt;=TODAY())*($W289&lt;=TODAY()+7)+ISNUMBER($X289)*($X289&gt;=TODAY())*($X289&lt;=TODAY()+7)+ISNUMBER($Y289)*($Y289&gt;=TODAY())*($Y289&lt;=TODAY()+7)+ISNUMBER($Q289)*($Q289&gt;=TODAY())*($Q289&lt;=TODAY()+7)+ISNUMBER($R289)*($R289&gt;=TODAY())*($R289&lt;=TODAY()+7)+ISNUMBER($AA289)*($AA289&gt;=TODAY())*($AA289&lt;=TODAY()+7)+ISNUMBER($AB289)*($AB289&gt;=TODAY())*($AB289&lt;=TODAY()+7))</f>
        <v/>
      </c>
      <c r="L289" s="28">
        <f>IF(NOT(AND($A289&lt;&gt;"",OR($I289="",$I289="Active"))),"",IF($M289&lt;&gt;"",IF($N289=$M289,"Booking",IF($O289=$M289,"16/40",IF($P289=$M289,"25/40",IF($S289=$M289,"28/40",IF($T289=$M289,"31/40",IF($U289=$M289,"34/40",IF($V289=$M289,"36/40",IF($W289=$M289,"38/40",IF($X289=$M289,"40/40",IF($Y289=$M289,"41/40","")))))))))),IF(IF(OR(ISNUMBER($Y289),$Y289="DNA"),$Y289,IF(OR(ISNUMBER($X289),$X289="DNA"),$X289,IF(OR(ISNUMBER($W289),$W289="DNA"),$W289,IF(OR(ISNUMBER($V289),$V289="DNA"),$V289,IF(OR(ISNUMBER($U289),$U289="DNA"),$U289,IF(OR(ISNUMBER($T289),$T289="DNA"),$T289,IF(OR(ISNUMBER($S289),$S289="DNA"),$S289,IF(OR(ISNUMBER($P289),$P289="DNA"),$P289,IF(OR(ISNUMBER($O289),$O289="DNA"),$O289,IF(OR(ISNUMBER($N289),$N289="DNA"),$N289,""))))))))))="DNA","Rebook DNA",IF(ISNUMBER(IF(OR(ISNUMBER($Y289),$Y289="DNA"),$Y289,IF(OR(ISNUMBER($X289),$X289="DNA"),$X289,IF(OR(ISNUMBER($W289),$W289="DNA"),$W289,IF(OR(ISNUMBER($V289),$V289="DNA"),$V289,IF(OR(ISNUMBER($U289),$U289="DNA"),$U289,IF(OR(ISNUMBER($T289),$T289="DNA"),$T289,IF(OR(ISNUMBER($S289),$S289="DNA"),$S289,IF(OR(ISNUMBER($P289),$P289="DNA"),$P289,IF(OR(ISNUMBER($O289),$O289="DNA"),$O289,IF(OR(ISNUMBER($N289),$N289="DNA"),$N289,""))))))))))),IF(ISNUMBER($Y289),"Update status","Missed/not booked?"),""))))</f>
        <v/>
      </c>
      <c r="M289" s="29">
        <f>IF(NOT(AND($A289&lt;&gt;"",OR($I289="",$I289="Active"))),"",IF(MIN(IF(AND(ISNUMBER($N289),$N289&gt;=TODAY()),$N289,99999),IF(AND(ISNUMBER($O289),$O289&gt;=TODAY()),$O289,99999),IF(AND(ISNUMBER($P289),$P289&gt;=TODAY()),$P289,99999),IF(AND(ISNUMBER($S289),$S289&gt;=TODAY()),$S289,99999),IF(AND(ISNUMBER($T289),$T289&gt;=TODAY()),$T289,99999),IF(AND(ISNUMBER($U289),$U289&gt;=TODAY()),$U289,99999),IF(AND(ISNUMBER($V289),$V289&gt;=TODAY()),$V289,99999),IF(AND(ISNUMBER($W289),$W289&gt;=TODAY()),$W289,99999),IF(AND(ISNUMBER($X289),$X289&gt;=TODAY()),$X289,99999),IF(AND(ISNUMBER($Y289),$Y289&gt;=TODAY()),$Y289,99999))=99999,"",MIN(IF(AND(ISNUMBER($N289),$N289&gt;=TODAY()),$N289,99999),IF(AND(ISNUMBER($O289),$O289&gt;=TODAY()),$O289,99999),IF(AND(ISNUMBER($P289),$P289&gt;=TODAY()),$P289,99999),IF(AND(ISNUMBER($S289),$S289&gt;=TODAY()),$S289,99999),IF(AND(ISNUMBER($T289),$T289&gt;=TODAY()),$T289,99999),IF(AND(ISNUMBER($U289),$U289&gt;=TODAY()),$U289,99999),IF(AND(ISNUMBER($V289),$V289&gt;=TODAY()),$V289,99999),IF(AND(ISNUMBER($W289),$W289&gt;=TODAY()),$W289,99999),IF(AND(ISNUMBER($X289),$X289&gt;=TODAY()),$X289,99999),IF(AND(ISNUMBER($Y289),$Y289&gt;=TODAY()),$Y289,99999))))</f>
        <v/>
      </c>
      <c r="N289" s="27" t="n"/>
      <c r="O289" s="27" t="n"/>
      <c r="P289" s="27" t="n"/>
      <c r="Q289" s="27" t="n"/>
      <c r="R289" s="27" t="n"/>
      <c r="S289" s="27" t="n"/>
      <c r="T289" s="27" t="n"/>
      <c r="U289" s="27" t="n"/>
      <c r="V289" s="27" t="n"/>
      <c r="W289" s="27" t="n"/>
      <c r="X289" s="27" t="n"/>
      <c r="Y289" s="27" t="n"/>
      <c r="Z289" s="27" t="n"/>
      <c r="AA289" s="27" t="n"/>
      <c r="AB289" s="27" t="n"/>
      <c r="AC289" s="30" t="n"/>
      <c r="AD289" s="25" t="n"/>
      <c r="AE289" s="28">
        <f>IF(NOT(AND($A289&lt;&gt;"",OR($I289="",$I289="Active"))),"",IF(OR(IF(OR(ISNUMBER($Y289),$Y289="DNA"),$Y289,IF(OR(ISNUMBER($X289),$X289="DNA"),$X289,IF(OR(ISNUMBER($W289),$W289="DNA"),$W289,IF(OR(ISNUMBER($V289),$V289="DNA"),$V289,IF(OR(ISNUMBER($U289),$U289="DNA"),$U289,IF(OR(ISNUMBER($T289),$T289="DNA"),$T289,IF(OR(ISNUMBER($S289),$S289="DNA"),$S289,IF(OR(ISNUMBER($P289),$P289="DNA"),$P289,IF(OR(ISNUMBER($O289),$O289="DNA"),$O289,IF(OR(ISNUMBER($N289),$N289="DNA"),$N289,""))))))))))="DNA",AND(ISNUMBER(IF(OR(ISNUMBER($Y289),$Y289="DNA"),$Y289,IF(OR(ISNUMBER($X289),$X289="DNA"),$X289,IF(OR(ISNUMBER($W289),$W289="DNA"),$W289,IF(OR(ISNUMBER($V289),$V289="DNA"),$V289,IF(OR(ISNUMBER($U289),$U289="DNA"),$U289,IF(OR(ISNUMBER($T289),$T289="DNA"),$T289,IF(OR(ISNUMBER($S289),$S289="DNA"),$S289,IF(OR(ISNUMBER($P289),$P289="DNA"),$P289,IF(OR(ISNUMBER($O289),$O289="DNA"),$O289,IF(OR(ISNUMBER($N289),$N289="DNA"),$N289,""))))))))))),IF(OR(ISNUMBER($Y289),$Y289="DNA"),$Y289,IF(OR(ISNUMBER($X289),$X289="DNA"),$X289,IF(OR(ISNUMBER($W289),$W289="DNA"),$W289,IF(OR(ISNUMBER($V289),$V289="DNA"),$V289,IF(OR(ISNUMBER($U289),$U289="DNA"),$U289,IF(OR(ISNUMBER($T289),$T289="DNA"),$T289,IF(OR(ISNUMBER($S289),$S289="DNA"),$S289,IF(OR(ISNUMBER($P289),$P289="DNA"),$P289,IF(OR(ISNUMBER($O289),$O289="DNA"),$O289,IF(OR(ISNUMBER($N289),$N289="DNA"),$N289,""))))))))))&lt;TODAY())),1,0)+ISNUMBER($Q289)*($Q289&lt;TODAY())+ISNUMBER($R289)*($R289&lt;TODAY())+ISNUMBER($AA289)*($AA289&lt;TODAY())+ISNUMBER($AB289)*($AB289&lt;TODAY()))</f>
        <v/>
      </c>
    </row>
    <row r="290">
      <c r="A290" s="25" t="n"/>
      <c r="B290" s="26" t="n"/>
      <c r="C290" s="27" t="n"/>
      <c r="D290" s="25" t="n"/>
      <c r="E290" s="25" t="n"/>
      <c r="F290" s="25" t="n"/>
      <c r="G290" s="25" t="n"/>
      <c r="H290" s="27" t="n"/>
      <c r="I290" s="25" t="n"/>
      <c r="J290" s="28">
        <f>IF(OR(NOT(AND($A290&lt;&gt;"",OR($I290="",$I290="Active"))),$H290=""),"",INT((TODAY()-$H290+280)/7)&amp;"+"&amp;MOD(TODAY()-$H290+280,7))</f>
        <v/>
      </c>
      <c r="K290" s="28">
        <f>IF(NOT(AND($A290&lt;&gt;"",OR($I290="",$I290="Active"))),"",ISNUMBER($N290)*($N290&gt;=TODAY())*($N290&lt;=TODAY()+7)+ISNUMBER($O290)*($O290&gt;=TODAY())*($O290&lt;=TODAY()+7)+ISNUMBER($P290)*($P290&gt;=TODAY())*($P290&lt;=TODAY()+7)+ISNUMBER($S290)*($S290&gt;=TODAY())*($S290&lt;=TODAY()+7)+ISNUMBER($T290)*($T290&gt;=TODAY())*($T290&lt;=TODAY()+7)+ISNUMBER($U290)*($U290&gt;=TODAY())*($U290&lt;=TODAY()+7)+ISNUMBER($V290)*($V290&gt;=TODAY())*($V290&lt;=TODAY()+7)+ISNUMBER($W290)*($W290&gt;=TODAY())*($W290&lt;=TODAY()+7)+ISNUMBER($X290)*($X290&gt;=TODAY())*($X290&lt;=TODAY()+7)+ISNUMBER($Y290)*($Y290&gt;=TODAY())*($Y290&lt;=TODAY()+7)+ISNUMBER($Q290)*($Q290&gt;=TODAY())*($Q290&lt;=TODAY()+7)+ISNUMBER($R290)*($R290&gt;=TODAY())*($R290&lt;=TODAY()+7)+ISNUMBER($AA290)*($AA290&gt;=TODAY())*($AA290&lt;=TODAY()+7)+ISNUMBER($AB290)*($AB290&gt;=TODAY())*($AB290&lt;=TODAY()+7))</f>
        <v/>
      </c>
      <c r="L290" s="28">
        <f>IF(NOT(AND($A290&lt;&gt;"",OR($I290="",$I290="Active"))),"",IF($M290&lt;&gt;"",IF($N290=$M290,"Booking",IF($O290=$M290,"16/40",IF($P290=$M290,"25/40",IF($S290=$M290,"28/40",IF($T290=$M290,"31/40",IF($U290=$M290,"34/40",IF($V290=$M290,"36/40",IF($W290=$M290,"38/40",IF($X290=$M290,"40/40",IF($Y290=$M290,"41/40","")))))))))),IF(IF(OR(ISNUMBER($Y290),$Y290="DNA"),$Y290,IF(OR(ISNUMBER($X290),$X290="DNA"),$X290,IF(OR(ISNUMBER($W290),$W290="DNA"),$W290,IF(OR(ISNUMBER($V290),$V290="DNA"),$V290,IF(OR(ISNUMBER($U290),$U290="DNA"),$U290,IF(OR(ISNUMBER($T290),$T290="DNA"),$T290,IF(OR(ISNUMBER($S290),$S290="DNA"),$S290,IF(OR(ISNUMBER($P290),$P290="DNA"),$P290,IF(OR(ISNUMBER($O290),$O290="DNA"),$O290,IF(OR(ISNUMBER($N290),$N290="DNA"),$N290,""))))))))))="DNA","Rebook DNA",IF(ISNUMBER(IF(OR(ISNUMBER($Y290),$Y290="DNA"),$Y290,IF(OR(ISNUMBER($X290),$X290="DNA"),$X290,IF(OR(ISNUMBER($W290),$W290="DNA"),$W290,IF(OR(ISNUMBER($V290),$V290="DNA"),$V290,IF(OR(ISNUMBER($U290),$U290="DNA"),$U290,IF(OR(ISNUMBER($T290),$T290="DNA"),$T290,IF(OR(ISNUMBER($S290),$S290="DNA"),$S290,IF(OR(ISNUMBER($P290),$P290="DNA"),$P290,IF(OR(ISNUMBER($O290),$O290="DNA"),$O290,IF(OR(ISNUMBER($N290),$N290="DNA"),$N290,""))))))))))),IF(ISNUMBER($Y290),"Update status","Missed/not booked?"),""))))</f>
        <v/>
      </c>
      <c r="M290" s="29">
        <f>IF(NOT(AND($A290&lt;&gt;"",OR($I290="",$I290="Active"))),"",IF(MIN(IF(AND(ISNUMBER($N290),$N290&gt;=TODAY()),$N290,99999),IF(AND(ISNUMBER($O290),$O290&gt;=TODAY()),$O290,99999),IF(AND(ISNUMBER($P290),$P290&gt;=TODAY()),$P290,99999),IF(AND(ISNUMBER($S290),$S290&gt;=TODAY()),$S290,99999),IF(AND(ISNUMBER($T290),$T290&gt;=TODAY()),$T290,99999),IF(AND(ISNUMBER($U290),$U290&gt;=TODAY()),$U290,99999),IF(AND(ISNUMBER($V290),$V290&gt;=TODAY()),$V290,99999),IF(AND(ISNUMBER($W290),$W290&gt;=TODAY()),$W290,99999),IF(AND(ISNUMBER($X290),$X290&gt;=TODAY()),$X290,99999),IF(AND(ISNUMBER($Y290),$Y290&gt;=TODAY()),$Y290,99999))=99999,"",MIN(IF(AND(ISNUMBER($N290),$N290&gt;=TODAY()),$N290,99999),IF(AND(ISNUMBER($O290),$O290&gt;=TODAY()),$O290,99999),IF(AND(ISNUMBER($P290),$P290&gt;=TODAY()),$P290,99999),IF(AND(ISNUMBER($S290),$S290&gt;=TODAY()),$S290,99999),IF(AND(ISNUMBER($T290),$T290&gt;=TODAY()),$T290,99999),IF(AND(ISNUMBER($U290),$U290&gt;=TODAY()),$U290,99999),IF(AND(ISNUMBER($V290),$V290&gt;=TODAY()),$V290,99999),IF(AND(ISNUMBER($W290),$W290&gt;=TODAY()),$W290,99999),IF(AND(ISNUMBER($X290),$X290&gt;=TODAY()),$X290,99999),IF(AND(ISNUMBER($Y290),$Y290&gt;=TODAY()),$Y290,99999))))</f>
        <v/>
      </c>
      <c r="N290" s="27" t="n"/>
      <c r="O290" s="27" t="n"/>
      <c r="P290" s="27" t="n"/>
      <c r="Q290" s="27" t="n"/>
      <c r="R290" s="27" t="n"/>
      <c r="S290" s="27" t="n"/>
      <c r="T290" s="27" t="n"/>
      <c r="U290" s="27" t="n"/>
      <c r="V290" s="27" t="n"/>
      <c r="W290" s="27" t="n"/>
      <c r="X290" s="27" t="n"/>
      <c r="Y290" s="27" t="n"/>
      <c r="Z290" s="27" t="n"/>
      <c r="AA290" s="27" t="n"/>
      <c r="AB290" s="27" t="n"/>
      <c r="AC290" s="30" t="n"/>
      <c r="AD290" s="25" t="n"/>
      <c r="AE290" s="28">
        <f>IF(NOT(AND($A290&lt;&gt;"",OR($I290="",$I290="Active"))),"",IF(OR(IF(OR(ISNUMBER($Y290),$Y290="DNA"),$Y290,IF(OR(ISNUMBER($X290),$X290="DNA"),$X290,IF(OR(ISNUMBER($W290),$W290="DNA"),$W290,IF(OR(ISNUMBER($V290),$V290="DNA"),$V290,IF(OR(ISNUMBER($U290),$U290="DNA"),$U290,IF(OR(ISNUMBER($T290),$T290="DNA"),$T290,IF(OR(ISNUMBER($S290),$S290="DNA"),$S290,IF(OR(ISNUMBER($P290),$P290="DNA"),$P290,IF(OR(ISNUMBER($O290),$O290="DNA"),$O290,IF(OR(ISNUMBER($N290),$N290="DNA"),$N290,""))))))))))="DNA",AND(ISNUMBER(IF(OR(ISNUMBER($Y290),$Y290="DNA"),$Y290,IF(OR(ISNUMBER($X290),$X290="DNA"),$X290,IF(OR(ISNUMBER($W290),$W290="DNA"),$W290,IF(OR(ISNUMBER($V290),$V290="DNA"),$V290,IF(OR(ISNUMBER($U290),$U290="DNA"),$U290,IF(OR(ISNUMBER($T290),$T290="DNA"),$T290,IF(OR(ISNUMBER($S290),$S290="DNA"),$S290,IF(OR(ISNUMBER($P290),$P290="DNA"),$P290,IF(OR(ISNUMBER($O290),$O290="DNA"),$O290,IF(OR(ISNUMBER($N290),$N290="DNA"),$N290,""))))))))))),IF(OR(ISNUMBER($Y290),$Y290="DNA"),$Y290,IF(OR(ISNUMBER($X290),$X290="DNA"),$X290,IF(OR(ISNUMBER($W290),$W290="DNA"),$W290,IF(OR(ISNUMBER($V290),$V290="DNA"),$V290,IF(OR(ISNUMBER($U290),$U290="DNA"),$U290,IF(OR(ISNUMBER($T290),$T290="DNA"),$T290,IF(OR(ISNUMBER($S290),$S290="DNA"),$S290,IF(OR(ISNUMBER($P290),$P290="DNA"),$P290,IF(OR(ISNUMBER($O290),$O290="DNA"),$O290,IF(OR(ISNUMBER($N290),$N290="DNA"),$N290,""))))))))))&lt;TODAY())),1,0)+ISNUMBER($Q290)*($Q290&lt;TODAY())+ISNUMBER($R290)*($R290&lt;TODAY())+ISNUMBER($AA290)*($AA290&lt;TODAY())+ISNUMBER($AB290)*($AB290&lt;TODAY()))</f>
        <v/>
      </c>
    </row>
    <row r="291">
      <c r="A291" s="25" t="n"/>
      <c r="B291" s="26" t="n"/>
      <c r="C291" s="27" t="n"/>
      <c r="D291" s="25" t="n"/>
      <c r="E291" s="25" t="n"/>
      <c r="F291" s="25" t="n"/>
      <c r="G291" s="25" t="n"/>
      <c r="H291" s="27" t="n"/>
      <c r="I291" s="25" t="n"/>
      <c r="J291" s="28">
        <f>IF(OR(NOT(AND($A291&lt;&gt;"",OR($I291="",$I291="Active"))),$H291=""),"",INT((TODAY()-$H291+280)/7)&amp;"+"&amp;MOD(TODAY()-$H291+280,7))</f>
        <v/>
      </c>
      <c r="K291" s="28">
        <f>IF(NOT(AND($A291&lt;&gt;"",OR($I291="",$I291="Active"))),"",ISNUMBER($N291)*($N291&gt;=TODAY())*($N291&lt;=TODAY()+7)+ISNUMBER($O291)*($O291&gt;=TODAY())*($O291&lt;=TODAY()+7)+ISNUMBER($P291)*($P291&gt;=TODAY())*($P291&lt;=TODAY()+7)+ISNUMBER($S291)*($S291&gt;=TODAY())*($S291&lt;=TODAY()+7)+ISNUMBER($T291)*($T291&gt;=TODAY())*($T291&lt;=TODAY()+7)+ISNUMBER($U291)*($U291&gt;=TODAY())*($U291&lt;=TODAY()+7)+ISNUMBER($V291)*($V291&gt;=TODAY())*($V291&lt;=TODAY()+7)+ISNUMBER($W291)*($W291&gt;=TODAY())*($W291&lt;=TODAY()+7)+ISNUMBER($X291)*($X291&gt;=TODAY())*($X291&lt;=TODAY()+7)+ISNUMBER($Y291)*($Y291&gt;=TODAY())*($Y291&lt;=TODAY()+7)+ISNUMBER($Q291)*($Q291&gt;=TODAY())*($Q291&lt;=TODAY()+7)+ISNUMBER($R291)*($R291&gt;=TODAY())*($R291&lt;=TODAY()+7)+ISNUMBER($AA291)*($AA291&gt;=TODAY())*($AA291&lt;=TODAY()+7)+ISNUMBER($AB291)*($AB291&gt;=TODAY())*($AB291&lt;=TODAY()+7))</f>
        <v/>
      </c>
      <c r="L291" s="28">
        <f>IF(NOT(AND($A291&lt;&gt;"",OR($I291="",$I291="Active"))),"",IF($M291&lt;&gt;"",IF($N291=$M291,"Booking",IF($O291=$M291,"16/40",IF($P291=$M291,"25/40",IF($S291=$M291,"28/40",IF($T291=$M291,"31/40",IF($U291=$M291,"34/40",IF($V291=$M291,"36/40",IF($W291=$M291,"38/40",IF($X291=$M291,"40/40",IF($Y291=$M291,"41/40","")))))))))),IF(IF(OR(ISNUMBER($Y291),$Y291="DNA"),$Y291,IF(OR(ISNUMBER($X291),$X291="DNA"),$X291,IF(OR(ISNUMBER($W291),$W291="DNA"),$W291,IF(OR(ISNUMBER($V291),$V291="DNA"),$V291,IF(OR(ISNUMBER($U291),$U291="DNA"),$U291,IF(OR(ISNUMBER($T291),$T291="DNA"),$T291,IF(OR(ISNUMBER($S291),$S291="DNA"),$S291,IF(OR(ISNUMBER($P291),$P291="DNA"),$P291,IF(OR(ISNUMBER($O291),$O291="DNA"),$O291,IF(OR(ISNUMBER($N291),$N291="DNA"),$N291,""))))))))))="DNA","Rebook DNA",IF(ISNUMBER(IF(OR(ISNUMBER($Y291),$Y291="DNA"),$Y291,IF(OR(ISNUMBER($X291),$X291="DNA"),$X291,IF(OR(ISNUMBER($W291),$W291="DNA"),$W291,IF(OR(ISNUMBER($V291),$V291="DNA"),$V291,IF(OR(ISNUMBER($U291),$U291="DNA"),$U291,IF(OR(ISNUMBER($T291),$T291="DNA"),$T291,IF(OR(ISNUMBER($S291),$S291="DNA"),$S291,IF(OR(ISNUMBER($P291),$P291="DNA"),$P291,IF(OR(ISNUMBER($O291),$O291="DNA"),$O291,IF(OR(ISNUMBER($N291),$N291="DNA"),$N291,""))))))))))),IF(ISNUMBER($Y291),"Update status","Missed/not booked?"),""))))</f>
        <v/>
      </c>
      <c r="M291" s="29">
        <f>IF(NOT(AND($A291&lt;&gt;"",OR($I291="",$I291="Active"))),"",IF(MIN(IF(AND(ISNUMBER($N291),$N291&gt;=TODAY()),$N291,99999),IF(AND(ISNUMBER($O291),$O291&gt;=TODAY()),$O291,99999),IF(AND(ISNUMBER($P291),$P291&gt;=TODAY()),$P291,99999),IF(AND(ISNUMBER($S291),$S291&gt;=TODAY()),$S291,99999),IF(AND(ISNUMBER($T291),$T291&gt;=TODAY()),$T291,99999),IF(AND(ISNUMBER($U291),$U291&gt;=TODAY()),$U291,99999),IF(AND(ISNUMBER($V291),$V291&gt;=TODAY()),$V291,99999),IF(AND(ISNUMBER($W291),$W291&gt;=TODAY()),$W291,99999),IF(AND(ISNUMBER($X291),$X291&gt;=TODAY()),$X291,99999),IF(AND(ISNUMBER($Y291),$Y291&gt;=TODAY()),$Y291,99999))=99999,"",MIN(IF(AND(ISNUMBER($N291),$N291&gt;=TODAY()),$N291,99999),IF(AND(ISNUMBER($O291),$O291&gt;=TODAY()),$O291,99999),IF(AND(ISNUMBER($P291),$P291&gt;=TODAY()),$P291,99999),IF(AND(ISNUMBER($S291),$S291&gt;=TODAY()),$S291,99999),IF(AND(ISNUMBER($T291),$T291&gt;=TODAY()),$T291,99999),IF(AND(ISNUMBER($U291),$U291&gt;=TODAY()),$U291,99999),IF(AND(ISNUMBER($V291),$V291&gt;=TODAY()),$V291,99999),IF(AND(ISNUMBER($W291),$W291&gt;=TODAY()),$W291,99999),IF(AND(ISNUMBER($X291),$X291&gt;=TODAY()),$X291,99999),IF(AND(ISNUMBER($Y291),$Y291&gt;=TODAY()),$Y291,99999))))</f>
        <v/>
      </c>
      <c r="N291" s="27" t="n"/>
      <c r="O291" s="27" t="n"/>
      <c r="P291" s="27" t="n"/>
      <c r="Q291" s="27" t="n"/>
      <c r="R291" s="27" t="n"/>
      <c r="S291" s="27" t="n"/>
      <c r="T291" s="27" t="n"/>
      <c r="U291" s="27" t="n"/>
      <c r="V291" s="27" t="n"/>
      <c r="W291" s="27" t="n"/>
      <c r="X291" s="27" t="n"/>
      <c r="Y291" s="27" t="n"/>
      <c r="Z291" s="27" t="n"/>
      <c r="AA291" s="27" t="n"/>
      <c r="AB291" s="27" t="n"/>
      <c r="AC291" s="30" t="n"/>
      <c r="AD291" s="25" t="n"/>
      <c r="AE291" s="28">
        <f>IF(NOT(AND($A291&lt;&gt;"",OR($I291="",$I291="Active"))),"",IF(OR(IF(OR(ISNUMBER($Y291),$Y291="DNA"),$Y291,IF(OR(ISNUMBER($X291),$X291="DNA"),$X291,IF(OR(ISNUMBER($W291),$W291="DNA"),$W291,IF(OR(ISNUMBER($V291),$V291="DNA"),$V291,IF(OR(ISNUMBER($U291),$U291="DNA"),$U291,IF(OR(ISNUMBER($T291),$T291="DNA"),$T291,IF(OR(ISNUMBER($S291),$S291="DNA"),$S291,IF(OR(ISNUMBER($P291),$P291="DNA"),$P291,IF(OR(ISNUMBER($O291),$O291="DNA"),$O291,IF(OR(ISNUMBER($N291),$N291="DNA"),$N291,""))))))))))="DNA",AND(ISNUMBER(IF(OR(ISNUMBER($Y291),$Y291="DNA"),$Y291,IF(OR(ISNUMBER($X291),$X291="DNA"),$X291,IF(OR(ISNUMBER($W291),$W291="DNA"),$W291,IF(OR(ISNUMBER($V291),$V291="DNA"),$V291,IF(OR(ISNUMBER($U291),$U291="DNA"),$U291,IF(OR(ISNUMBER($T291),$T291="DNA"),$T291,IF(OR(ISNUMBER($S291),$S291="DNA"),$S291,IF(OR(ISNUMBER($P291),$P291="DNA"),$P291,IF(OR(ISNUMBER($O291),$O291="DNA"),$O291,IF(OR(ISNUMBER($N291),$N291="DNA"),$N291,""))))))))))),IF(OR(ISNUMBER($Y291),$Y291="DNA"),$Y291,IF(OR(ISNUMBER($X291),$X291="DNA"),$X291,IF(OR(ISNUMBER($W291),$W291="DNA"),$W291,IF(OR(ISNUMBER($V291),$V291="DNA"),$V291,IF(OR(ISNUMBER($U291),$U291="DNA"),$U291,IF(OR(ISNUMBER($T291),$T291="DNA"),$T291,IF(OR(ISNUMBER($S291),$S291="DNA"),$S291,IF(OR(ISNUMBER($P291),$P291="DNA"),$P291,IF(OR(ISNUMBER($O291),$O291="DNA"),$O291,IF(OR(ISNUMBER($N291),$N291="DNA"),$N291,""))))))))))&lt;TODAY())),1,0)+ISNUMBER($Q291)*($Q291&lt;TODAY())+ISNUMBER($R291)*($R291&lt;TODAY())+ISNUMBER($AA291)*($AA291&lt;TODAY())+ISNUMBER($AB291)*($AB291&lt;TODAY()))</f>
        <v/>
      </c>
    </row>
    <row r="292">
      <c r="A292" s="25" t="n"/>
      <c r="B292" s="26" t="n"/>
      <c r="C292" s="27" t="n"/>
      <c r="D292" s="25" t="n"/>
      <c r="E292" s="25" t="n"/>
      <c r="F292" s="25" t="n"/>
      <c r="G292" s="25" t="n"/>
      <c r="H292" s="27" t="n"/>
      <c r="I292" s="25" t="n"/>
      <c r="J292" s="28">
        <f>IF(OR(NOT(AND($A292&lt;&gt;"",OR($I292="",$I292="Active"))),$H292=""),"",INT((TODAY()-$H292+280)/7)&amp;"+"&amp;MOD(TODAY()-$H292+280,7))</f>
        <v/>
      </c>
      <c r="K292" s="28">
        <f>IF(NOT(AND($A292&lt;&gt;"",OR($I292="",$I292="Active"))),"",ISNUMBER($N292)*($N292&gt;=TODAY())*($N292&lt;=TODAY()+7)+ISNUMBER($O292)*($O292&gt;=TODAY())*($O292&lt;=TODAY()+7)+ISNUMBER($P292)*($P292&gt;=TODAY())*($P292&lt;=TODAY()+7)+ISNUMBER($S292)*($S292&gt;=TODAY())*($S292&lt;=TODAY()+7)+ISNUMBER($T292)*($T292&gt;=TODAY())*($T292&lt;=TODAY()+7)+ISNUMBER($U292)*($U292&gt;=TODAY())*($U292&lt;=TODAY()+7)+ISNUMBER($V292)*($V292&gt;=TODAY())*($V292&lt;=TODAY()+7)+ISNUMBER($W292)*($W292&gt;=TODAY())*($W292&lt;=TODAY()+7)+ISNUMBER($X292)*($X292&gt;=TODAY())*($X292&lt;=TODAY()+7)+ISNUMBER($Y292)*($Y292&gt;=TODAY())*($Y292&lt;=TODAY()+7)+ISNUMBER($Q292)*($Q292&gt;=TODAY())*($Q292&lt;=TODAY()+7)+ISNUMBER($R292)*($R292&gt;=TODAY())*($R292&lt;=TODAY()+7)+ISNUMBER($AA292)*($AA292&gt;=TODAY())*($AA292&lt;=TODAY()+7)+ISNUMBER($AB292)*($AB292&gt;=TODAY())*($AB292&lt;=TODAY()+7))</f>
        <v/>
      </c>
      <c r="L292" s="28">
        <f>IF(NOT(AND($A292&lt;&gt;"",OR($I292="",$I292="Active"))),"",IF($M292&lt;&gt;"",IF($N292=$M292,"Booking",IF($O292=$M292,"16/40",IF($P292=$M292,"25/40",IF($S292=$M292,"28/40",IF($T292=$M292,"31/40",IF($U292=$M292,"34/40",IF($V292=$M292,"36/40",IF($W292=$M292,"38/40",IF($X292=$M292,"40/40",IF($Y292=$M292,"41/40","")))))))))),IF(IF(OR(ISNUMBER($Y292),$Y292="DNA"),$Y292,IF(OR(ISNUMBER($X292),$X292="DNA"),$X292,IF(OR(ISNUMBER($W292),$W292="DNA"),$W292,IF(OR(ISNUMBER($V292),$V292="DNA"),$V292,IF(OR(ISNUMBER($U292),$U292="DNA"),$U292,IF(OR(ISNUMBER($T292),$T292="DNA"),$T292,IF(OR(ISNUMBER($S292),$S292="DNA"),$S292,IF(OR(ISNUMBER($P292),$P292="DNA"),$P292,IF(OR(ISNUMBER($O292),$O292="DNA"),$O292,IF(OR(ISNUMBER($N292),$N292="DNA"),$N292,""))))))))))="DNA","Rebook DNA",IF(ISNUMBER(IF(OR(ISNUMBER($Y292),$Y292="DNA"),$Y292,IF(OR(ISNUMBER($X292),$X292="DNA"),$X292,IF(OR(ISNUMBER($W292),$W292="DNA"),$W292,IF(OR(ISNUMBER($V292),$V292="DNA"),$V292,IF(OR(ISNUMBER($U292),$U292="DNA"),$U292,IF(OR(ISNUMBER($T292),$T292="DNA"),$T292,IF(OR(ISNUMBER($S292),$S292="DNA"),$S292,IF(OR(ISNUMBER($P292),$P292="DNA"),$P292,IF(OR(ISNUMBER($O292),$O292="DNA"),$O292,IF(OR(ISNUMBER($N292),$N292="DNA"),$N292,""))))))))))),IF(ISNUMBER($Y292),"Update status","Missed/not booked?"),""))))</f>
        <v/>
      </c>
      <c r="M292" s="29">
        <f>IF(NOT(AND($A292&lt;&gt;"",OR($I292="",$I292="Active"))),"",IF(MIN(IF(AND(ISNUMBER($N292),$N292&gt;=TODAY()),$N292,99999),IF(AND(ISNUMBER($O292),$O292&gt;=TODAY()),$O292,99999),IF(AND(ISNUMBER($P292),$P292&gt;=TODAY()),$P292,99999),IF(AND(ISNUMBER($S292),$S292&gt;=TODAY()),$S292,99999),IF(AND(ISNUMBER($T292),$T292&gt;=TODAY()),$T292,99999),IF(AND(ISNUMBER($U292),$U292&gt;=TODAY()),$U292,99999),IF(AND(ISNUMBER($V292),$V292&gt;=TODAY()),$V292,99999),IF(AND(ISNUMBER($W292),$W292&gt;=TODAY()),$W292,99999),IF(AND(ISNUMBER($X292),$X292&gt;=TODAY()),$X292,99999),IF(AND(ISNUMBER($Y292),$Y292&gt;=TODAY()),$Y292,99999))=99999,"",MIN(IF(AND(ISNUMBER($N292),$N292&gt;=TODAY()),$N292,99999),IF(AND(ISNUMBER($O292),$O292&gt;=TODAY()),$O292,99999),IF(AND(ISNUMBER($P292),$P292&gt;=TODAY()),$P292,99999),IF(AND(ISNUMBER($S292),$S292&gt;=TODAY()),$S292,99999),IF(AND(ISNUMBER($T292),$T292&gt;=TODAY()),$T292,99999),IF(AND(ISNUMBER($U292),$U292&gt;=TODAY()),$U292,99999),IF(AND(ISNUMBER($V292),$V292&gt;=TODAY()),$V292,99999),IF(AND(ISNUMBER($W292),$W292&gt;=TODAY()),$W292,99999),IF(AND(ISNUMBER($X292),$X292&gt;=TODAY()),$X292,99999),IF(AND(ISNUMBER($Y292),$Y292&gt;=TODAY()),$Y292,99999))))</f>
        <v/>
      </c>
      <c r="N292" s="27" t="n"/>
      <c r="O292" s="27" t="n"/>
      <c r="P292" s="27" t="n"/>
      <c r="Q292" s="27" t="n"/>
      <c r="R292" s="27" t="n"/>
      <c r="S292" s="27" t="n"/>
      <c r="T292" s="27" t="n"/>
      <c r="U292" s="27" t="n"/>
      <c r="V292" s="27" t="n"/>
      <c r="W292" s="27" t="n"/>
      <c r="X292" s="27" t="n"/>
      <c r="Y292" s="27" t="n"/>
      <c r="Z292" s="27" t="n"/>
      <c r="AA292" s="27" t="n"/>
      <c r="AB292" s="27" t="n"/>
      <c r="AC292" s="30" t="n"/>
      <c r="AD292" s="25" t="n"/>
      <c r="AE292" s="28">
        <f>IF(NOT(AND($A292&lt;&gt;"",OR($I292="",$I292="Active"))),"",IF(OR(IF(OR(ISNUMBER($Y292),$Y292="DNA"),$Y292,IF(OR(ISNUMBER($X292),$X292="DNA"),$X292,IF(OR(ISNUMBER($W292),$W292="DNA"),$W292,IF(OR(ISNUMBER($V292),$V292="DNA"),$V292,IF(OR(ISNUMBER($U292),$U292="DNA"),$U292,IF(OR(ISNUMBER($T292),$T292="DNA"),$T292,IF(OR(ISNUMBER($S292),$S292="DNA"),$S292,IF(OR(ISNUMBER($P292),$P292="DNA"),$P292,IF(OR(ISNUMBER($O292),$O292="DNA"),$O292,IF(OR(ISNUMBER($N292),$N292="DNA"),$N292,""))))))))))="DNA",AND(ISNUMBER(IF(OR(ISNUMBER($Y292),$Y292="DNA"),$Y292,IF(OR(ISNUMBER($X292),$X292="DNA"),$X292,IF(OR(ISNUMBER($W292),$W292="DNA"),$W292,IF(OR(ISNUMBER($V292),$V292="DNA"),$V292,IF(OR(ISNUMBER($U292),$U292="DNA"),$U292,IF(OR(ISNUMBER($T292),$T292="DNA"),$T292,IF(OR(ISNUMBER($S292),$S292="DNA"),$S292,IF(OR(ISNUMBER($P292),$P292="DNA"),$P292,IF(OR(ISNUMBER($O292),$O292="DNA"),$O292,IF(OR(ISNUMBER($N292),$N292="DNA"),$N292,""))))))))))),IF(OR(ISNUMBER($Y292),$Y292="DNA"),$Y292,IF(OR(ISNUMBER($X292),$X292="DNA"),$X292,IF(OR(ISNUMBER($W292),$W292="DNA"),$W292,IF(OR(ISNUMBER($V292),$V292="DNA"),$V292,IF(OR(ISNUMBER($U292),$U292="DNA"),$U292,IF(OR(ISNUMBER($T292),$T292="DNA"),$T292,IF(OR(ISNUMBER($S292),$S292="DNA"),$S292,IF(OR(ISNUMBER($P292),$P292="DNA"),$P292,IF(OR(ISNUMBER($O292),$O292="DNA"),$O292,IF(OR(ISNUMBER($N292),$N292="DNA"),$N292,""))))))))))&lt;TODAY())),1,0)+ISNUMBER($Q292)*($Q292&lt;TODAY())+ISNUMBER($R292)*($R292&lt;TODAY())+ISNUMBER($AA292)*($AA292&lt;TODAY())+ISNUMBER($AB292)*($AB292&lt;TODAY()))</f>
        <v/>
      </c>
    </row>
    <row r="293">
      <c r="A293" s="25" t="n"/>
      <c r="B293" s="26" t="n"/>
      <c r="C293" s="27" t="n"/>
      <c r="D293" s="25" t="n"/>
      <c r="E293" s="25" t="n"/>
      <c r="F293" s="25" t="n"/>
      <c r="G293" s="25" t="n"/>
      <c r="H293" s="27" t="n"/>
      <c r="I293" s="25" t="n"/>
      <c r="J293" s="28">
        <f>IF(OR(NOT(AND($A293&lt;&gt;"",OR($I293="",$I293="Active"))),$H293=""),"",INT((TODAY()-$H293+280)/7)&amp;"+"&amp;MOD(TODAY()-$H293+280,7))</f>
        <v/>
      </c>
      <c r="K293" s="28">
        <f>IF(NOT(AND($A293&lt;&gt;"",OR($I293="",$I293="Active"))),"",ISNUMBER($N293)*($N293&gt;=TODAY())*($N293&lt;=TODAY()+7)+ISNUMBER($O293)*($O293&gt;=TODAY())*($O293&lt;=TODAY()+7)+ISNUMBER($P293)*($P293&gt;=TODAY())*($P293&lt;=TODAY()+7)+ISNUMBER($S293)*($S293&gt;=TODAY())*($S293&lt;=TODAY()+7)+ISNUMBER($T293)*($T293&gt;=TODAY())*($T293&lt;=TODAY()+7)+ISNUMBER($U293)*($U293&gt;=TODAY())*($U293&lt;=TODAY()+7)+ISNUMBER($V293)*($V293&gt;=TODAY())*($V293&lt;=TODAY()+7)+ISNUMBER($W293)*($W293&gt;=TODAY())*($W293&lt;=TODAY()+7)+ISNUMBER($X293)*($X293&gt;=TODAY())*($X293&lt;=TODAY()+7)+ISNUMBER($Y293)*($Y293&gt;=TODAY())*($Y293&lt;=TODAY()+7)+ISNUMBER($Q293)*($Q293&gt;=TODAY())*($Q293&lt;=TODAY()+7)+ISNUMBER($R293)*($R293&gt;=TODAY())*($R293&lt;=TODAY()+7)+ISNUMBER($AA293)*($AA293&gt;=TODAY())*($AA293&lt;=TODAY()+7)+ISNUMBER($AB293)*($AB293&gt;=TODAY())*($AB293&lt;=TODAY()+7))</f>
        <v/>
      </c>
      <c r="L293" s="28">
        <f>IF(NOT(AND($A293&lt;&gt;"",OR($I293="",$I293="Active"))),"",IF($M293&lt;&gt;"",IF($N293=$M293,"Booking",IF($O293=$M293,"16/40",IF($P293=$M293,"25/40",IF($S293=$M293,"28/40",IF($T293=$M293,"31/40",IF($U293=$M293,"34/40",IF($V293=$M293,"36/40",IF($W293=$M293,"38/40",IF($X293=$M293,"40/40",IF($Y293=$M293,"41/40","")))))))))),IF(IF(OR(ISNUMBER($Y293),$Y293="DNA"),$Y293,IF(OR(ISNUMBER($X293),$X293="DNA"),$X293,IF(OR(ISNUMBER($W293),$W293="DNA"),$W293,IF(OR(ISNUMBER($V293),$V293="DNA"),$V293,IF(OR(ISNUMBER($U293),$U293="DNA"),$U293,IF(OR(ISNUMBER($T293),$T293="DNA"),$T293,IF(OR(ISNUMBER($S293),$S293="DNA"),$S293,IF(OR(ISNUMBER($P293),$P293="DNA"),$P293,IF(OR(ISNUMBER($O293),$O293="DNA"),$O293,IF(OR(ISNUMBER($N293),$N293="DNA"),$N293,""))))))))))="DNA","Rebook DNA",IF(ISNUMBER(IF(OR(ISNUMBER($Y293),$Y293="DNA"),$Y293,IF(OR(ISNUMBER($X293),$X293="DNA"),$X293,IF(OR(ISNUMBER($W293),$W293="DNA"),$W293,IF(OR(ISNUMBER($V293),$V293="DNA"),$V293,IF(OR(ISNUMBER($U293),$U293="DNA"),$U293,IF(OR(ISNUMBER($T293),$T293="DNA"),$T293,IF(OR(ISNUMBER($S293),$S293="DNA"),$S293,IF(OR(ISNUMBER($P293),$P293="DNA"),$P293,IF(OR(ISNUMBER($O293),$O293="DNA"),$O293,IF(OR(ISNUMBER($N293),$N293="DNA"),$N293,""))))))))))),IF(ISNUMBER($Y293),"Update status","Missed/not booked?"),""))))</f>
        <v/>
      </c>
      <c r="M293" s="29">
        <f>IF(NOT(AND($A293&lt;&gt;"",OR($I293="",$I293="Active"))),"",IF(MIN(IF(AND(ISNUMBER($N293),$N293&gt;=TODAY()),$N293,99999),IF(AND(ISNUMBER($O293),$O293&gt;=TODAY()),$O293,99999),IF(AND(ISNUMBER($P293),$P293&gt;=TODAY()),$P293,99999),IF(AND(ISNUMBER($S293),$S293&gt;=TODAY()),$S293,99999),IF(AND(ISNUMBER($T293),$T293&gt;=TODAY()),$T293,99999),IF(AND(ISNUMBER($U293),$U293&gt;=TODAY()),$U293,99999),IF(AND(ISNUMBER($V293),$V293&gt;=TODAY()),$V293,99999),IF(AND(ISNUMBER($W293),$W293&gt;=TODAY()),$W293,99999),IF(AND(ISNUMBER($X293),$X293&gt;=TODAY()),$X293,99999),IF(AND(ISNUMBER($Y293),$Y293&gt;=TODAY()),$Y293,99999))=99999,"",MIN(IF(AND(ISNUMBER($N293),$N293&gt;=TODAY()),$N293,99999),IF(AND(ISNUMBER($O293),$O293&gt;=TODAY()),$O293,99999),IF(AND(ISNUMBER($P293),$P293&gt;=TODAY()),$P293,99999),IF(AND(ISNUMBER($S293),$S293&gt;=TODAY()),$S293,99999),IF(AND(ISNUMBER($T293),$T293&gt;=TODAY()),$T293,99999),IF(AND(ISNUMBER($U293),$U293&gt;=TODAY()),$U293,99999),IF(AND(ISNUMBER($V293),$V293&gt;=TODAY()),$V293,99999),IF(AND(ISNUMBER($W293),$W293&gt;=TODAY()),$W293,99999),IF(AND(ISNUMBER($X293),$X293&gt;=TODAY()),$X293,99999),IF(AND(ISNUMBER($Y293),$Y293&gt;=TODAY()),$Y293,99999))))</f>
        <v/>
      </c>
      <c r="N293" s="27" t="n"/>
      <c r="O293" s="27" t="n"/>
      <c r="P293" s="27" t="n"/>
      <c r="Q293" s="27" t="n"/>
      <c r="R293" s="27" t="n"/>
      <c r="S293" s="27" t="n"/>
      <c r="T293" s="27" t="n"/>
      <c r="U293" s="27" t="n"/>
      <c r="V293" s="27" t="n"/>
      <c r="W293" s="27" t="n"/>
      <c r="X293" s="27" t="n"/>
      <c r="Y293" s="27" t="n"/>
      <c r="Z293" s="27" t="n"/>
      <c r="AA293" s="27" t="n"/>
      <c r="AB293" s="27" t="n"/>
      <c r="AC293" s="30" t="n"/>
      <c r="AD293" s="25" t="n"/>
      <c r="AE293" s="28">
        <f>IF(NOT(AND($A293&lt;&gt;"",OR($I293="",$I293="Active"))),"",IF(OR(IF(OR(ISNUMBER($Y293),$Y293="DNA"),$Y293,IF(OR(ISNUMBER($X293),$X293="DNA"),$X293,IF(OR(ISNUMBER($W293),$W293="DNA"),$W293,IF(OR(ISNUMBER($V293),$V293="DNA"),$V293,IF(OR(ISNUMBER($U293),$U293="DNA"),$U293,IF(OR(ISNUMBER($T293),$T293="DNA"),$T293,IF(OR(ISNUMBER($S293),$S293="DNA"),$S293,IF(OR(ISNUMBER($P293),$P293="DNA"),$P293,IF(OR(ISNUMBER($O293),$O293="DNA"),$O293,IF(OR(ISNUMBER($N293),$N293="DNA"),$N293,""))))))))))="DNA",AND(ISNUMBER(IF(OR(ISNUMBER($Y293),$Y293="DNA"),$Y293,IF(OR(ISNUMBER($X293),$X293="DNA"),$X293,IF(OR(ISNUMBER($W293),$W293="DNA"),$W293,IF(OR(ISNUMBER($V293),$V293="DNA"),$V293,IF(OR(ISNUMBER($U293),$U293="DNA"),$U293,IF(OR(ISNUMBER($T293),$T293="DNA"),$T293,IF(OR(ISNUMBER($S293),$S293="DNA"),$S293,IF(OR(ISNUMBER($P293),$P293="DNA"),$P293,IF(OR(ISNUMBER($O293),$O293="DNA"),$O293,IF(OR(ISNUMBER($N293),$N293="DNA"),$N293,""))))))))))),IF(OR(ISNUMBER($Y293),$Y293="DNA"),$Y293,IF(OR(ISNUMBER($X293),$X293="DNA"),$X293,IF(OR(ISNUMBER($W293),$W293="DNA"),$W293,IF(OR(ISNUMBER($V293),$V293="DNA"),$V293,IF(OR(ISNUMBER($U293),$U293="DNA"),$U293,IF(OR(ISNUMBER($T293),$T293="DNA"),$T293,IF(OR(ISNUMBER($S293),$S293="DNA"),$S293,IF(OR(ISNUMBER($P293),$P293="DNA"),$P293,IF(OR(ISNUMBER($O293),$O293="DNA"),$O293,IF(OR(ISNUMBER($N293),$N293="DNA"),$N293,""))))))))))&lt;TODAY())),1,0)+ISNUMBER($Q293)*($Q293&lt;TODAY())+ISNUMBER($R293)*($R293&lt;TODAY())+ISNUMBER($AA293)*($AA293&lt;TODAY())+ISNUMBER($AB293)*($AB293&lt;TODAY()))</f>
        <v/>
      </c>
    </row>
    <row r="294">
      <c r="A294" s="25" t="n"/>
      <c r="B294" s="26" t="n"/>
      <c r="C294" s="27" t="n"/>
      <c r="D294" s="25" t="n"/>
      <c r="E294" s="25" t="n"/>
      <c r="F294" s="25" t="n"/>
      <c r="G294" s="25" t="n"/>
      <c r="H294" s="27" t="n"/>
      <c r="I294" s="25" t="n"/>
      <c r="J294" s="28">
        <f>IF(OR(NOT(AND($A294&lt;&gt;"",OR($I294="",$I294="Active"))),$H294=""),"",INT((TODAY()-$H294+280)/7)&amp;"+"&amp;MOD(TODAY()-$H294+280,7))</f>
        <v/>
      </c>
      <c r="K294" s="28">
        <f>IF(NOT(AND($A294&lt;&gt;"",OR($I294="",$I294="Active"))),"",ISNUMBER($N294)*($N294&gt;=TODAY())*($N294&lt;=TODAY()+7)+ISNUMBER($O294)*($O294&gt;=TODAY())*($O294&lt;=TODAY()+7)+ISNUMBER($P294)*($P294&gt;=TODAY())*($P294&lt;=TODAY()+7)+ISNUMBER($S294)*($S294&gt;=TODAY())*($S294&lt;=TODAY()+7)+ISNUMBER($T294)*($T294&gt;=TODAY())*($T294&lt;=TODAY()+7)+ISNUMBER($U294)*($U294&gt;=TODAY())*($U294&lt;=TODAY()+7)+ISNUMBER($V294)*($V294&gt;=TODAY())*($V294&lt;=TODAY()+7)+ISNUMBER($W294)*($W294&gt;=TODAY())*($W294&lt;=TODAY()+7)+ISNUMBER($X294)*($X294&gt;=TODAY())*($X294&lt;=TODAY()+7)+ISNUMBER($Y294)*($Y294&gt;=TODAY())*($Y294&lt;=TODAY()+7)+ISNUMBER($Q294)*($Q294&gt;=TODAY())*($Q294&lt;=TODAY()+7)+ISNUMBER($R294)*($R294&gt;=TODAY())*($R294&lt;=TODAY()+7)+ISNUMBER($AA294)*($AA294&gt;=TODAY())*($AA294&lt;=TODAY()+7)+ISNUMBER($AB294)*($AB294&gt;=TODAY())*($AB294&lt;=TODAY()+7))</f>
        <v/>
      </c>
      <c r="L294" s="28">
        <f>IF(NOT(AND($A294&lt;&gt;"",OR($I294="",$I294="Active"))),"",IF($M294&lt;&gt;"",IF($N294=$M294,"Booking",IF($O294=$M294,"16/40",IF($P294=$M294,"25/40",IF($S294=$M294,"28/40",IF($T294=$M294,"31/40",IF($U294=$M294,"34/40",IF($V294=$M294,"36/40",IF($W294=$M294,"38/40",IF($X294=$M294,"40/40",IF($Y294=$M294,"41/40","")))))))))),IF(IF(OR(ISNUMBER($Y294),$Y294="DNA"),$Y294,IF(OR(ISNUMBER($X294),$X294="DNA"),$X294,IF(OR(ISNUMBER($W294),$W294="DNA"),$W294,IF(OR(ISNUMBER($V294),$V294="DNA"),$V294,IF(OR(ISNUMBER($U294),$U294="DNA"),$U294,IF(OR(ISNUMBER($T294),$T294="DNA"),$T294,IF(OR(ISNUMBER($S294),$S294="DNA"),$S294,IF(OR(ISNUMBER($P294),$P294="DNA"),$P294,IF(OR(ISNUMBER($O294),$O294="DNA"),$O294,IF(OR(ISNUMBER($N294),$N294="DNA"),$N294,""))))))))))="DNA","Rebook DNA",IF(ISNUMBER(IF(OR(ISNUMBER($Y294),$Y294="DNA"),$Y294,IF(OR(ISNUMBER($X294),$X294="DNA"),$X294,IF(OR(ISNUMBER($W294),$W294="DNA"),$W294,IF(OR(ISNUMBER($V294),$V294="DNA"),$V294,IF(OR(ISNUMBER($U294),$U294="DNA"),$U294,IF(OR(ISNUMBER($T294),$T294="DNA"),$T294,IF(OR(ISNUMBER($S294),$S294="DNA"),$S294,IF(OR(ISNUMBER($P294),$P294="DNA"),$P294,IF(OR(ISNUMBER($O294),$O294="DNA"),$O294,IF(OR(ISNUMBER($N294),$N294="DNA"),$N294,""))))))))))),IF(ISNUMBER($Y294),"Update status","Missed/not booked?"),""))))</f>
        <v/>
      </c>
      <c r="M294" s="29">
        <f>IF(NOT(AND($A294&lt;&gt;"",OR($I294="",$I294="Active"))),"",IF(MIN(IF(AND(ISNUMBER($N294),$N294&gt;=TODAY()),$N294,99999),IF(AND(ISNUMBER($O294),$O294&gt;=TODAY()),$O294,99999),IF(AND(ISNUMBER($P294),$P294&gt;=TODAY()),$P294,99999),IF(AND(ISNUMBER($S294),$S294&gt;=TODAY()),$S294,99999),IF(AND(ISNUMBER($T294),$T294&gt;=TODAY()),$T294,99999),IF(AND(ISNUMBER($U294),$U294&gt;=TODAY()),$U294,99999),IF(AND(ISNUMBER($V294),$V294&gt;=TODAY()),$V294,99999),IF(AND(ISNUMBER($W294),$W294&gt;=TODAY()),$W294,99999),IF(AND(ISNUMBER($X294),$X294&gt;=TODAY()),$X294,99999),IF(AND(ISNUMBER($Y294),$Y294&gt;=TODAY()),$Y294,99999))=99999,"",MIN(IF(AND(ISNUMBER($N294),$N294&gt;=TODAY()),$N294,99999),IF(AND(ISNUMBER($O294),$O294&gt;=TODAY()),$O294,99999),IF(AND(ISNUMBER($P294),$P294&gt;=TODAY()),$P294,99999),IF(AND(ISNUMBER($S294),$S294&gt;=TODAY()),$S294,99999),IF(AND(ISNUMBER($T294),$T294&gt;=TODAY()),$T294,99999),IF(AND(ISNUMBER($U294),$U294&gt;=TODAY()),$U294,99999),IF(AND(ISNUMBER($V294),$V294&gt;=TODAY()),$V294,99999),IF(AND(ISNUMBER($W294),$W294&gt;=TODAY()),$W294,99999),IF(AND(ISNUMBER($X294),$X294&gt;=TODAY()),$X294,99999),IF(AND(ISNUMBER($Y294),$Y294&gt;=TODAY()),$Y294,99999))))</f>
        <v/>
      </c>
      <c r="N294" s="27" t="n"/>
      <c r="O294" s="27" t="n"/>
      <c r="P294" s="27" t="n"/>
      <c r="Q294" s="27" t="n"/>
      <c r="R294" s="27" t="n"/>
      <c r="S294" s="27" t="n"/>
      <c r="T294" s="27" t="n"/>
      <c r="U294" s="27" t="n"/>
      <c r="V294" s="27" t="n"/>
      <c r="W294" s="27" t="n"/>
      <c r="X294" s="27" t="n"/>
      <c r="Y294" s="27" t="n"/>
      <c r="Z294" s="27" t="n"/>
      <c r="AA294" s="27" t="n"/>
      <c r="AB294" s="27" t="n"/>
      <c r="AC294" s="30" t="n"/>
      <c r="AD294" s="25" t="n"/>
      <c r="AE294" s="28">
        <f>IF(NOT(AND($A294&lt;&gt;"",OR($I294="",$I294="Active"))),"",IF(OR(IF(OR(ISNUMBER($Y294),$Y294="DNA"),$Y294,IF(OR(ISNUMBER($X294),$X294="DNA"),$X294,IF(OR(ISNUMBER($W294),$W294="DNA"),$W294,IF(OR(ISNUMBER($V294),$V294="DNA"),$V294,IF(OR(ISNUMBER($U294),$U294="DNA"),$U294,IF(OR(ISNUMBER($T294),$T294="DNA"),$T294,IF(OR(ISNUMBER($S294),$S294="DNA"),$S294,IF(OR(ISNUMBER($P294),$P294="DNA"),$P294,IF(OR(ISNUMBER($O294),$O294="DNA"),$O294,IF(OR(ISNUMBER($N294),$N294="DNA"),$N294,""))))))))))="DNA",AND(ISNUMBER(IF(OR(ISNUMBER($Y294),$Y294="DNA"),$Y294,IF(OR(ISNUMBER($X294),$X294="DNA"),$X294,IF(OR(ISNUMBER($W294),$W294="DNA"),$W294,IF(OR(ISNUMBER($V294),$V294="DNA"),$V294,IF(OR(ISNUMBER($U294),$U294="DNA"),$U294,IF(OR(ISNUMBER($T294),$T294="DNA"),$T294,IF(OR(ISNUMBER($S294),$S294="DNA"),$S294,IF(OR(ISNUMBER($P294),$P294="DNA"),$P294,IF(OR(ISNUMBER($O294),$O294="DNA"),$O294,IF(OR(ISNUMBER($N294),$N294="DNA"),$N294,""))))))))))),IF(OR(ISNUMBER($Y294),$Y294="DNA"),$Y294,IF(OR(ISNUMBER($X294),$X294="DNA"),$X294,IF(OR(ISNUMBER($W294),$W294="DNA"),$W294,IF(OR(ISNUMBER($V294),$V294="DNA"),$V294,IF(OR(ISNUMBER($U294),$U294="DNA"),$U294,IF(OR(ISNUMBER($T294),$T294="DNA"),$T294,IF(OR(ISNUMBER($S294),$S294="DNA"),$S294,IF(OR(ISNUMBER($P294),$P294="DNA"),$P294,IF(OR(ISNUMBER($O294),$O294="DNA"),$O294,IF(OR(ISNUMBER($N294),$N294="DNA"),$N294,""))))))))))&lt;TODAY())),1,0)+ISNUMBER($Q294)*($Q294&lt;TODAY())+ISNUMBER($R294)*($R294&lt;TODAY())+ISNUMBER($AA294)*($AA294&lt;TODAY())+ISNUMBER($AB294)*($AB294&lt;TODAY()))</f>
        <v/>
      </c>
    </row>
    <row r="295">
      <c r="A295" s="25" t="n"/>
      <c r="B295" s="26" t="n"/>
      <c r="C295" s="27" t="n"/>
      <c r="D295" s="25" t="n"/>
      <c r="E295" s="25" t="n"/>
      <c r="F295" s="25" t="n"/>
      <c r="G295" s="25" t="n"/>
      <c r="H295" s="27" t="n"/>
      <c r="I295" s="25" t="n"/>
      <c r="J295" s="28">
        <f>IF(OR(NOT(AND($A295&lt;&gt;"",OR($I295="",$I295="Active"))),$H295=""),"",INT((TODAY()-$H295+280)/7)&amp;"+"&amp;MOD(TODAY()-$H295+280,7))</f>
        <v/>
      </c>
      <c r="K295" s="28">
        <f>IF(NOT(AND($A295&lt;&gt;"",OR($I295="",$I295="Active"))),"",ISNUMBER($N295)*($N295&gt;=TODAY())*($N295&lt;=TODAY()+7)+ISNUMBER($O295)*($O295&gt;=TODAY())*($O295&lt;=TODAY()+7)+ISNUMBER($P295)*($P295&gt;=TODAY())*($P295&lt;=TODAY()+7)+ISNUMBER($S295)*($S295&gt;=TODAY())*($S295&lt;=TODAY()+7)+ISNUMBER($T295)*($T295&gt;=TODAY())*($T295&lt;=TODAY()+7)+ISNUMBER($U295)*($U295&gt;=TODAY())*($U295&lt;=TODAY()+7)+ISNUMBER($V295)*($V295&gt;=TODAY())*($V295&lt;=TODAY()+7)+ISNUMBER($W295)*($W295&gt;=TODAY())*($W295&lt;=TODAY()+7)+ISNUMBER($X295)*($X295&gt;=TODAY())*($X295&lt;=TODAY()+7)+ISNUMBER($Y295)*($Y295&gt;=TODAY())*($Y295&lt;=TODAY()+7)+ISNUMBER($Q295)*($Q295&gt;=TODAY())*($Q295&lt;=TODAY()+7)+ISNUMBER($R295)*($R295&gt;=TODAY())*($R295&lt;=TODAY()+7)+ISNUMBER($AA295)*($AA295&gt;=TODAY())*($AA295&lt;=TODAY()+7)+ISNUMBER($AB295)*($AB295&gt;=TODAY())*($AB295&lt;=TODAY()+7))</f>
        <v/>
      </c>
      <c r="L295" s="28">
        <f>IF(NOT(AND($A295&lt;&gt;"",OR($I295="",$I295="Active"))),"",IF($M295&lt;&gt;"",IF($N295=$M295,"Booking",IF($O295=$M295,"16/40",IF($P295=$M295,"25/40",IF($S295=$M295,"28/40",IF($T295=$M295,"31/40",IF($U295=$M295,"34/40",IF($V295=$M295,"36/40",IF($W295=$M295,"38/40",IF($X295=$M295,"40/40",IF($Y295=$M295,"41/40","")))))))))),IF(IF(OR(ISNUMBER($Y295),$Y295="DNA"),$Y295,IF(OR(ISNUMBER($X295),$X295="DNA"),$X295,IF(OR(ISNUMBER($W295),$W295="DNA"),$W295,IF(OR(ISNUMBER($V295),$V295="DNA"),$V295,IF(OR(ISNUMBER($U295),$U295="DNA"),$U295,IF(OR(ISNUMBER($T295),$T295="DNA"),$T295,IF(OR(ISNUMBER($S295),$S295="DNA"),$S295,IF(OR(ISNUMBER($P295),$P295="DNA"),$P295,IF(OR(ISNUMBER($O295),$O295="DNA"),$O295,IF(OR(ISNUMBER($N295),$N295="DNA"),$N295,""))))))))))="DNA","Rebook DNA",IF(ISNUMBER(IF(OR(ISNUMBER($Y295),$Y295="DNA"),$Y295,IF(OR(ISNUMBER($X295),$X295="DNA"),$X295,IF(OR(ISNUMBER($W295),$W295="DNA"),$W295,IF(OR(ISNUMBER($V295),$V295="DNA"),$V295,IF(OR(ISNUMBER($U295),$U295="DNA"),$U295,IF(OR(ISNUMBER($T295),$T295="DNA"),$T295,IF(OR(ISNUMBER($S295),$S295="DNA"),$S295,IF(OR(ISNUMBER($P295),$P295="DNA"),$P295,IF(OR(ISNUMBER($O295),$O295="DNA"),$O295,IF(OR(ISNUMBER($N295),$N295="DNA"),$N295,""))))))))))),IF(ISNUMBER($Y295),"Update status","Missed/not booked?"),""))))</f>
        <v/>
      </c>
      <c r="M295" s="29">
        <f>IF(NOT(AND($A295&lt;&gt;"",OR($I295="",$I295="Active"))),"",IF(MIN(IF(AND(ISNUMBER($N295),$N295&gt;=TODAY()),$N295,99999),IF(AND(ISNUMBER($O295),$O295&gt;=TODAY()),$O295,99999),IF(AND(ISNUMBER($P295),$P295&gt;=TODAY()),$P295,99999),IF(AND(ISNUMBER($S295),$S295&gt;=TODAY()),$S295,99999),IF(AND(ISNUMBER($T295),$T295&gt;=TODAY()),$T295,99999),IF(AND(ISNUMBER($U295),$U295&gt;=TODAY()),$U295,99999),IF(AND(ISNUMBER($V295),$V295&gt;=TODAY()),$V295,99999),IF(AND(ISNUMBER($W295),$W295&gt;=TODAY()),$W295,99999),IF(AND(ISNUMBER($X295),$X295&gt;=TODAY()),$X295,99999),IF(AND(ISNUMBER($Y295),$Y295&gt;=TODAY()),$Y295,99999))=99999,"",MIN(IF(AND(ISNUMBER($N295),$N295&gt;=TODAY()),$N295,99999),IF(AND(ISNUMBER($O295),$O295&gt;=TODAY()),$O295,99999),IF(AND(ISNUMBER($P295),$P295&gt;=TODAY()),$P295,99999),IF(AND(ISNUMBER($S295),$S295&gt;=TODAY()),$S295,99999),IF(AND(ISNUMBER($T295),$T295&gt;=TODAY()),$T295,99999),IF(AND(ISNUMBER($U295),$U295&gt;=TODAY()),$U295,99999),IF(AND(ISNUMBER($V295),$V295&gt;=TODAY()),$V295,99999),IF(AND(ISNUMBER($W295),$W295&gt;=TODAY()),$W295,99999),IF(AND(ISNUMBER($X295),$X295&gt;=TODAY()),$X295,99999),IF(AND(ISNUMBER($Y295),$Y295&gt;=TODAY()),$Y295,99999))))</f>
        <v/>
      </c>
      <c r="N295" s="27" t="n"/>
      <c r="O295" s="27" t="n"/>
      <c r="P295" s="27" t="n"/>
      <c r="Q295" s="27" t="n"/>
      <c r="R295" s="27" t="n"/>
      <c r="S295" s="27" t="n"/>
      <c r="T295" s="27" t="n"/>
      <c r="U295" s="27" t="n"/>
      <c r="V295" s="27" t="n"/>
      <c r="W295" s="27" t="n"/>
      <c r="X295" s="27" t="n"/>
      <c r="Y295" s="27" t="n"/>
      <c r="Z295" s="27" t="n"/>
      <c r="AA295" s="27" t="n"/>
      <c r="AB295" s="27" t="n"/>
      <c r="AC295" s="30" t="n"/>
      <c r="AD295" s="25" t="n"/>
      <c r="AE295" s="28">
        <f>IF(NOT(AND($A295&lt;&gt;"",OR($I295="",$I295="Active"))),"",IF(OR(IF(OR(ISNUMBER($Y295),$Y295="DNA"),$Y295,IF(OR(ISNUMBER($X295),$X295="DNA"),$X295,IF(OR(ISNUMBER($W295),$W295="DNA"),$W295,IF(OR(ISNUMBER($V295),$V295="DNA"),$V295,IF(OR(ISNUMBER($U295),$U295="DNA"),$U295,IF(OR(ISNUMBER($T295),$T295="DNA"),$T295,IF(OR(ISNUMBER($S295),$S295="DNA"),$S295,IF(OR(ISNUMBER($P295),$P295="DNA"),$P295,IF(OR(ISNUMBER($O295),$O295="DNA"),$O295,IF(OR(ISNUMBER($N295),$N295="DNA"),$N295,""))))))))))="DNA",AND(ISNUMBER(IF(OR(ISNUMBER($Y295),$Y295="DNA"),$Y295,IF(OR(ISNUMBER($X295),$X295="DNA"),$X295,IF(OR(ISNUMBER($W295),$W295="DNA"),$W295,IF(OR(ISNUMBER($V295),$V295="DNA"),$V295,IF(OR(ISNUMBER($U295),$U295="DNA"),$U295,IF(OR(ISNUMBER($T295),$T295="DNA"),$T295,IF(OR(ISNUMBER($S295),$S295="DNA"),$S295,IF(OR(ISNUMBER($P295),$P295="DNA"),$P295,IF(OR(ISNUMBER($O295),$O295="DNA"),$O295,IF(OR(ISNUMBER($N295),$N295="DNA"),$N295,""))))))))))),IF(OR(ISNUMBER($Y295),$Y295="DNA"),$Y295,IF(OR(ISNUMBER($X295),$X295="DNA"),$X295,IF(OR(ISNUMBER($W295),$W295="DNA"),$W295,IF(OR(ISNUMBER($V295),$V295="DNA"),$V295,IF(OR(ISNUMBER($U295),$U295="DNA"),$U295,IF(OR(ISNUMBER($T295),$T295="DNA"),$T295,IF(OR(ISNUMBER($S295),$S295="DNA"),$S295,IF(OR(ISNUMBER($P295),$P295="DNA"),$P295,IF(OR(ISNUMBER($O295),$O295="DNA"),$O295,IF(OR(ISNUMBER($N295),$N295="DNA"),$N295,""))))))))))&lt;TODAY())),1,0)+ISNUMBER($Q295)*($Q295&lt;TODAY())+ISNUMBER($R295)*($R295&lt;TODAY())+ISNUMBER($AA295)*($AA295&lt;TODAY())+ISNUMBER($AB295)*($AB295&lt;TODAY()))</f>
        <v/>
      </c>
    </row>
    <row r="296">
      <c r="A296" s="25" t="n"/>
      <c r="B296" s="26" t="n"/>
      <c r="C296" s="27" t="n"/>
      <c r="D296" s="25" t="n"/>
      <c r="E296" s="25" t="n"/>
      <c r="F296" s="25" t="n"/>
      <c r="G296" s="25" t="n"/>
      <c r="H296" s="27" t="n"/>
      <c r="I296" s="25" t="n"/>
      <c r="J296" s="28">
        <f>IF(OR(NOT(AND($A296&lt;&gt;"",OR($I296="",$I296="Active"))),$H296=""),"",INT((TODAY()-$H296+280)/7)&amp;"+"&amp;MOD(TODAY()-$H296+280,7))</f>
        <v/>
      </c>
      <c r="K296" s="28">
        <f>IF(NOT(AND($A296&lt;&gt;"",OR($I296="",$I296="Active"))),"",ISNUMBER($N296)*($N296&gt;=TODAY())*($N296&lt;=TODAY()+7)+ISNUMBER($O296)*($O296&gt;=TODAY())*($O296&lt;=TODAY()+7)+ISNUMBER($P296)*($P296&gt;=TODAY())*($P296&lt;=TODAY()+7)+ISNUMBER($S296)*($S296&gt;=TODAY())*($S296&lt;=TODAY()+7)+ISNUMBER($T296)*($T296&gt;=TODAY())*($T296&lt;=TODAY()+7)+ISNUMBER($U296)*($U296&gt;=TODAY())*($U296&lt;=TODAY()+7)+ISNUMBER($V296)*($V296&gt;=TODAY())*($V296&lt;=TODAY()+7)+ISNUMBER($W296)*($W296&gt;=TODAY())*($W296&lt;=TODAY()+7)+ISNUMBER($X296)*($X296&gt;=TODAY())*($X296&lt;=TODAY()+7)+ISNUMBER($Y296)*($Y296&gt;=TODAY())*($Y296&lt;=TODAY()+7)+ISNUMBER($Q296)*($Q296&gt;=TODAY())*($Q296&lt;=TODAY()+7)+ISNUMBER($R296)*($R296&gt;=TODAY())*($R296&lt;=TODAY()+7)+ISNUMBER($AA296)*($AA296&gt;=TODAY())*($AA296&lt;=TODAY()+7)+ISNUMBER($AB296)*($AB296&gt;=TODAY())*($AB296&lt;=TODAY()+7))</f>
        <v/>
      </c>
      <c r="L296" s="28">
        <f>IF(NOT(AND($A296&lt;&gt;"",OR($I296="",$I296="Active"))),"",IF($M296&lt;&gt;"",IF($N296=$M296,"Booking",IF($O296=$M296,"16/40",IF($P296=$M296,"25/40",IF($S296=$M296,"28/40",IF($T296=$M296,"31/40",IF($U296=$M296,"34/40",IF($V296=$M296,"36/40",IF($W296=$M296,"38/40",IF($X296=$M296,"40/40",IF($Y296=$M296,"41/40","")))))))))),IF(IF(OR(ISNUMBER($Y296),$Y296="DNA"),$Y296,IF(OR(ISNUMBER($X296),$X296="DNA"),$X296,IF(OR(ISNUMBER($W296),$W296="DNA"),$W296,IF(OR(ISNUMBER($V296),$V296="DNA"),$V296,IF(OR(ISNUMBER($U296),$U296="DNA"),$U296,IF(OR(ISNUMBER($T296),$T296="DNA"),$T296,IF(OR(ISNUMBER($S296),$S296="DNA"),$S296,IF(OR(ISNUMBER($P296),$P296="DNA"),$P296,IF(OR(ISNUMBER($O296),$O296="DNA"),$O296,IF(OR(ISNUMBER($N296),$N296="DNA"),$N296,""))))))))))="DNA","Rebook DNA",IF(ISNUMBER(IF(OR(ISNUMBER($Y296),$Y296="DNA"),$Y296,IF(OR(ISNUMBER($X296),$X296="DNA"),$X296,IF(OR(ISNUMBER($W296),$W296="DNA"),$W296,IF(OR(ISNUMBER($V296),$V296="DNA"),$V296,IF(OR(ISNUMBER($U296),$U296="DNA"),$U296,IF(OR(ISNUMBER($T296),$T296="DNA"),$T296,IF(OR(ISNUMBER($S296),$S296="DNA"),$S296,IF(OR(ISNUMBER($P296),$P296="DNA"),$P296,IF(OR(ISNUMBER($O296),$O296="DNA"),$O296,IF(OR(ISNUMBER($N296),$N296="DNA"),$N296,""))))))))))),IF(ISNUMBER($Y296),"Update status","Missed/not booked?"),""))))</f>
        <v/>
      </c>
      <c r="M296" s="29">
        <f>IF(NOT(AND($A296&lt;&gt;"",OR($I296="",$I296="Active"))),"",IF(MIN(IF(AND(ISNUMBER($N296),$N296&gt;=TODAY()),$N296,99999),IF(AND(ISNUMBER($O296),$O296&gt;=TODAY()),$O296,99999),IF(AND(ISNUMBER($P296),$P296&gt;=TODAY()),$P296,99999),IF(AND(ISNUMBER($S296),$S296&gt;=TODAY()),$S296,99999),IF(AND(ISNUMBER($T296),$T296&gt;=TODAY()),$T296,99999),IF(AND(ISNUMBER($U296),$U296&gt;=TODAY()),$U296,99999),IF(AND(ISNUMBER($V296),$V296&gt;=TODAY()),$V296,99999),IF(AND(ISNUMBER($W296),$W296&gt;=TODAY()),$W296,99999),IF(AND(ISNUMBER($X296),$X296&gt;=TODAY()),$X296,99999),IF(AND(ISNUMBER($Y296),$Y296&gt;=TODAY()),$Y296,99999))=99999,"",MIN(IF(AND(ISNUMBER($N296),$N296&gt;=TODAY()),$N296,99999),IF(AND(ISNUMBER($O296),$O296&gt;=TODAY()),$O296,99999),IF(AND(ISNUMBER($P296),$P296&gt;=TODAY()),$P296,99999),IF(AND(ISNUMBER($S296),$S296&gt;=TODAY()),$S296,99999),IF(AND(ISNUMBER($T296),$T296&gt;=TODAY()),$T296,99999),IF(AND(ISNUMBER($U296),$U296&gt;=TODAY()),$U296,99999),IF(AND(ISNUMBER($V296),$V296&gt;=TODAY()),$V296,99999),IF(AND(ISNUMBER($W296),$W296&gt;=TODAY()),$W296,99999),IF(AND(ISNUMBER($X296),$X296&gt;=TODAY()),$X296,99999),IF(AND(ISNUMBER($Y296),$Y296&gt;=TODAY()),$Y296,99999))))</f>
        <v/>
      </c>
      <c r="N296" s="27" t="n"/>
      <c r="O296" s="27" t="n"/>
      <c r="P296" s="27" t="n"/>
      <c r="Q296" s="27" t="n"/>
      <c r="R296" s="27" t="n"/>
      <c r="S296" s="27" t="n"/>
      <c r="T296" s="27" t="n"/>
      <c r="U296" s="27" t="n"/>
      <c r="V296" s="27" t="n"/>
      <c r="W296" s="27" t="n"/>
      <c r="X296" s="27" t="n"/>
      <c r="Y296" s="27" t="n"/>
      <c r="Z296" s="27" t="n"/>
      <c r="AA296" s="27" t="n"/>
      <c r="AB296" s="27" t="n"/>
      <c r="AC296" s="30" t="n"/>
      <c r="AD296" s="25" t="n"/>
      <c r="AE296" s="28">
        <f>IF(NOT(AND($A296&lt;&gt;"",OR($I296="",$I296="Active"))),"",IF(OR(IF(OR(ISNUMBER($Y296),$Y296="DNA"),$Y296,IF(OR(ISNUMBER($X296),$X296="DNA"),$X296,IF(OR(ISNUMBER($W296),$W296="DNA"),$W296,IF(OR(ISNUMBER($V296),$V296="DNA"),$V296,IF(OR(ISNUMBER($U296),$U296="DNA"),$U296,IF(OR(ISNUMBER($T296),$T296="DNA"),$T296,IF(OR(ISNUMBER($S296),$S296="DNA"),$S296,IF(OR(ISNUMBER($P296),$P296="DNA"),$P296,IF(OR(ISNUMBER($O296),$O296="DNA"),$O296,IF(OR(ISNUMBER($N296),$N296="DNA"),$N296,""))))))))))="DNA",AND(ISNUMBER(IF(OR(ISNUMBER($Y296),$Y296="DNA"),$Y296,IF(OR(ISNUMBER($X296),$X296="DNA"),$X296,IF(OR(ISNUMBER($W296),$W296="DNA"),$W296,IF(OR(ISNUMBER($V296),$V296="DNA"),$V296,IF(OR(ISNUMBER($U296),$U296="DNA"),$U296,IF(OR(ISNUMBER($T296),$T296="DNA"),$T296,IF(OR(ISNUMBER($S296),$S296="DNA"),$S296,IF(OR(ISNUMBER($P296),$P296="DNA"),$P296,IF(OR(ISNUMBER($O296),$O296="DNA"),$O296,IF(OR(ISNUMBER($N296),$N296="DNA"),$N296,""))))))))))),IF(OR(ISNUMBER($Y296),$Y296="DNA"),$Y296,IF(OR(ISNUMBER($X296),$X296="DNA"),$X296,IF(OR(ISNUMBER($W296),$W296="DNA"),$W296,IF(OR(ISNUMBER($V296),$V296="DNA"),$V296,IF(OR(ISNUMBER($U296),$U296="DNA"),$U296,IF(OR(ISNUMBER($T296),$T296="DNA"),$T296,IF(OR(ISNUMBER($S296),$S296="DNA"),$S296,IF(OR(ISNUMBER($P296),$P296="DNA"),$P296,IF(OR(ISNUMBER($O296),$O296="DNA"),$O296,IF(OR(ISNUMBER($N296),$N296="DNA"),$N296,""))))))))))&lt;TODAY())),1,0)+ISNUMBER($Q296)*($Q296&lt;TODAY())+ISNUMBER($R296)*($R296&lt;TODAY())+ISNUMBER($AA296)*($AA296&lt;TODAY())+ISNUMBER($AB296)*($AB296&lt;TODAY()))</f>
        <v/>
      </c>
    </row>
    <row r="297">
      <c r="A297" s="25" t="n"/>
      <c r="B297" s="26" t="n"/>
      <c r="C297" s="27" t="n"/>
      <c r="D297" s="25" t="n"/>
      <c r="E297" s="25" t="n"/>
      <c r="F297" s="25" t="n"/>
      <c r="G297" s="25" t="n"/>
      <c r="H297" s="27" t="n"/>
      <c r="I297" s="25" t="n"/>
      <c r="J297" s="28">
        <f>IF(OR(NOT(AND($A297&lt;&gt;"",OR($I297="",$I297="Active"))),$H297=""),"",INT((TODAY()-$H297+280)/7)&amp;"+"&amp;MOD(TODAY()-$H297+280,7))</f>
        <v/>
      </c>
      <c r="K297" s="28">
        <f>IF(NOT(AND($A297&lt;&gt;"",OR($I297="",$I297="Active"))),"",ISNUMBER($N297)*($N297&gt;=TODAY())*($N297&lt;=TODAY()+7)+ISNUMBER($O297)*($O297&gt;=TODAY())*($O297&lt;=TODAY()+7)+ISNUMBER($P297)*($P297&gt;=TODAY())*($P297&lt;=TODAY()+7)+ISNUMBER($S297)*($S297&gt;=TODAY())*($S297&lt;=TODAY()+7)+ISNUMBER($T297)*($T297&gt;=TODAY())*($T297&lt;=TODAY()+7)+ISNUMBER($U297)*($U297&gt;=TODAY())*($U297&lt;=TODAY()+7)+ISNUMBER($V297)*($V297&gt;=TODAY())*($V297&lt;=TODAY()+7)+ISNUMBER($W297)*($W297&gt;=TODAY())*($W297&lt;=TODAY()+7)+ISNUMBER($X297)*($X297&gt;=TODAY())*($X297&lt;=TODAY()+7)+ISNUMBER($Y297)*($Y297&gt;=TODAY())*($Y297&lt;=TODAY()+7)+ISNUMBER($Q297)*($Q297&gt;=TODAY())*($Q297&lt;=TODAY()+7)+ISNUMBER($R297)*($R297&gt;=TODAY())*($R297&lt;=TODAY()+7)+ISNUMBER($AA297)*($AA297&gt;=TODAY())*($AA297&lt;=TODAY()+7)+ISNUMBER($AB297)*($AB297&gt;=TODAY())*($AB297&lt;=TODAY()+7))</f>
        <v/>
      </c>
      <c r="L297" s="28">
        <f>IF(NOT(AND($A297&lt;&gt;"",OR($I297="",$I297="Active"))),"",IF($M297&lt;&gt;"",IF($N297=$M297,"Booking",IF($O297=$M297,"16/40",IF($P297=$M297,"25/40",IF($S297=$M297,"28/40",IF($T297=$M297,"31/40",IF($U297=$M297,"34/40",IF($V297=$M297,"36/40",IF($W297=$M297,"38/40",IF($X297=$M297,"40/40",IF($Y297=$M297,"41/40","")))))))))),IF(IF(OR(ISNUMBER($Y297),$Y297="DNA"),$Y297,IF(OR(ISNUMBER($X297),$X297="DNA"),$X297,IF(OR(ISNUMBER($W297),$W297="DNA"),$W297,IF(OR(ISNUMBER($V297),$V297="DNA"),$V297,IF(OR(ISNUMBER($U297),$U297="DNA"),$U297,IF(OR(ISNUMBER($T297),$T297="DNA"),$T297,IF(OR(ISNUMBER($S297),$S297="DNA"),$S297,IF(OR(ISNUMBER($P297),$P297="DNA"),$P297,IF(OR(ISNUMBER($O297),$O297="DNA"),$O297,IF(OR(ISNUMBER($N297),$N297="DNA"),$N297,""))))))))))="DNA","Rebook DNA",IF(ISNUMBER(IF(OR(ISNUMBER($Y297),$Y297="DNA"),$Y297,IF(OR(ISNUMBER($X297),$X297="DNA"),$X297,IF(OR(ISNUMBER($W297),$W297="DNA"),$W297,IF(OR(ISNUMBER($V297),$V297="DNA"),$V297,IF(OR(ISNUMBER($U297),$U297="DNA"),$U297,IF(OR(ISNUMBER($T297),$T297="DNA"),$T297,IF(OR(ISNUMBER($S297),$S297="DNA"),$S297,IF(OR(ISNUMBER($P297),$P297="DNA"),$P297,IF(OR(ISNUMBER($O297),$O297="DNA"),$O297,IF(OR(ISNUMBER($N297),$N297="DNA"),$N297,""))))))))))),IF(ISNUMBER($Y297),"Update status","Missed/not booked?"),""))))</f>
        <v/>
      </c>
      <c r="M297" s="29">
        <f>IF(NOT(AND($A297&lt;&gt;"",OR($I297="",$I297="Active"))),"",IF(MIN(IF(AND(ISNUMBER($N297),$N297&gt;=TODAY()),$N297,99999),IF(AND(ISNUMBER($O297),$O297&gt;=TODAY()),$O297,99999),IF(AND(ISNUMBER($P297),$P297&gt;=TODAY()),$P297,99999),IF(AND(ISNUMBER($S297),$S297&gt;=TODAY()),$S297,99999),IF(AND(ISNUMBER($T297),$T297&gt;=TODAY()),$T297,99999),IF(AND(ISNUMBER($U297),$U297&gt;=TODAY()),$U297,99999),IF(AND(ISNUMBER($V297),$V297&gt;=TODAY()),$V297,99999),IF(AND(ISNUMBER($W297),$W297&gt;=TODAY()),$W297,99999),IF(AND(ISNUMBER($X297),$X297&gt;=TODAY()),$X297,99999),IF(AND(ISNUMBER($Y297),$Y297&gt;=TODAY()),$Y297,99999))=99999,"",MIN(IF(AND(ISNUMBER($N297),$N297&gt;=TODAY()),$N297,99999),IF(AND(ISNUMBER($O297),$O297&gt;=TODAY()),$O297,99999),IF(AND(ISNUMBER($P297),$P297&gt;=TODAY()),$P297,99999),IF(AND(ISNUMBER($S297),$S297&gt;=TODAY()),$S297,99999),IF(AND(ISNUMBER($T297),$T297&gt;=TODAY()),$T297,99999),IF(AND(ISNUMBER($U297),$U297&gt;=TODAY()),$U297,99999),IF(AND(ISNUMBER($V297),$V297&gt;=TODAY()),$V297,99999),IF(AND(ISNUMBER($W297),$W297&gt;=TODAY()),$W297,99999),IF(AND(ISNUMBER($X297),$X297&gt;=TODAY()),$X297,99999),IF(AND(ISNUMBER($Y297),$Y297&gt;=TODAY()),$Y297,99999))))</f>
        <v/>
      </c>
      <c r="N297" s="27" t="n"/>
      <c r="O297" s="27" t="n"/>
      <c r="P297" s="27" t="n"/>
      <c r="Q297" s="27" t="n"/>
      <c r="R297" s="27" t="n"/>
      <c r="S297" s="27" t="n"/>
      <c r="T297" s="27" t="n"/>
      <c r="U297" s="27" t="n"/>
      <c r="V297" s="27" t="n"/>
      <c r="W297" s="27" t="n"/>
      <c r="X297" s="27" t="n"/>
      <c r="Y297" s="27" t="n"/>
      <c r="Z297" s="27" t="n"/>
      <c r="AA297" s="27" t="n"/>
      <c r="AB297" s="27" t="n"/>
      <c r="AC297" s="30" t="n"/>
      <c r="AD297" s="25" t="n"/>
      <c r="AE297" s="28">
        <f>IF(NOT(AND($A297&lt;&gt;"",OR($I297="",$I297="Active"))),"",IF(OR(IF(OR(ISNUMBER($Y297),$Y297="DNA"),$Y297,IF(OR(ISNUMBER($X297),$X297="DNA"),$X297,IF(OR(ISNUMBER($W297),$W297="DNA"),$W297,IF(OR(ISNUMBER($V297),$V297="DNA"),$V297,IF(OR(ISNUMBER($U297),$U297="DNA"),$U297,IF(OR(ISNUMBER($T297),$T297="DNA"),$T297,IF(OR(ISNUMBER($S297),$S297="DNA"),$S297,IF(OR(ISNUMBER($P297),$P297="DNA"),$P297,IF(OR(ISNUMBER($O297),$O297="DNA"),$O297,IF(OR(ISNUMBER($N297),$N297="DNA"),$N297,""))))))))))="DNA",AND(ISNUMBER(IF(OR(ISNUMBER($Y297),$Y297="DNA"),$Y297,IF(OR(ISNUMBER($X297),$X297="DNA"),$X297,IF(OR(ISNUMBER($W297),$W297="DNA"),$W297,IF(OR(ISNUMBER($V297),$V297="DNA"),$V297,IF(OR(ISNUMBER($U297),$U297="DNA"),$U297,IF(OR(ISNUMBER($T297),$T297="DNA"),$T297,IF(OR(ISNUMBER($S297),$S297="DNA"),$S297,IF(OR(ISNUMBER($P297),$P297="DNA"),$P297,IF(OR(ISNUMBER($O297),$O297="DNA"),$O297,IF(OR(ISNUMBER($N297),$N297="DNA"),$N297,""))))))))))),IF(OR(ISNUMBER($Y297),$Y297="DNA"),$Y297,IF(OR(ISNUMBER($X297),$X297="DNA"),$X297,IF(OR(ISNUMBER($W297),$W297="DNA"),$W297,IF(OR(ISNUMBER($V297),$V297="DNA"),$V297,IF(OR(ISNUMBER($U297),$U297="DNA"),$U297,IF(OR(ISNUMBER($T297),$T297="DNA"),$T297,IF(OR(ISNUMBER($S297),$S297="DNA"),$S297,IF(OR(ISNUMBER($P297),$P297="DNA"),$P297,IF(OR(ISNUMBER($O297),$O297="DNA"),$O297,IF(OR(ISNUMBER($N297),$N297="DNA"),$N297,""))))))))))&lt;TODAY())),1,0)+ISNUMBER($Q297)*($Q297&lt;TODAY())+ISNUMBER($R297)*($R297&lt;TODAY())+ISNUMBER($AA297)*($AA297&lt;TODAY())+ISNUMBER($AB297)*($AB297&lt;TODAY()))</f>
        <v/>
      </c>
    </row>
    <row r="298">
      <c r="A298" s="25" t="n"/>
      <c r="B298" s="26" t="n"/>
      <c r="C298" s="27" t="n"/>
      <c r="D298" s="25" t="n"/>
      <c r="E298" s="25" t="n"/>
      <c r="F298" s="25" t="n"/>
      <c r="G298" s="25" t="n"/>
      <c r="H298" s="27" t="n"/>
      <c r="I298" s="25" t="n"/>
      <c r="J298" s="28">
        <f>IF(OR(NOT(AND($A298&lt;&gt;"",OR($I298="",$I298="Active"))),$H298=""),"",INT((TODAY()-$H298+280)/7)&amp;"+"&amp;MOD(TODAY()-$H298+280,7))</f>
        <v/>
      </c>
      <c r="K298" s="28">
        <f>IF(NOT(AND($A298&lt;&gt;"",OR($I298="",$I298="Active"))),"",ISNUMBER($N298)*($N298&gt;=TODAY())*($N298&lt;=TODAY()+7)+ISNUMBER($O298)*($O298&gt;=TODAY())*($O298&lt;=TODAY()+7)+ISNUMBER($P298)*($P298&gt;=TODAY())*($P298&lt;=TODAY()+7)+ISNUMBER($S298)*($S298&gt;=TODAY())*($S298&lt;=TODAY()+7)+ISNUMBER($T298)*($T298&gt;=TODAY())*($T298&lt;=TODAY()+7)+ISNUMBER($U298)*($U298&gt;=TODAY())*($U298&lt;=TODAY()+7)+ISNUMBER($V298)*($V298&gt;=TODAY())*($V298&lt;=TODAY()+7)+ISNUMBER($W298)*($W298&gt;=TODAY())*($W298&lt;=TODAY()+7)+ISNUMBER($X298)*($X298&gt;=TODAY())*($X298&lt;=TODAY()+7)+ISNUMBER($Y298)*($Y298&gt;=TODAY())*($Y298&lt;=TODAY()+7)+ISNUMBER($Q298)*($Q298&gt;=TODAY())*($Q298&lt;=TODAY()+7)+ISNUMBER($R298)*($R298&gt;=TODAY())*($R298&lt;=TODAY()+7)+ISNUMBER($AA298)*($AA298&gt;=TODAY())*($AA298&lt;=TODAY()+7)+ISNUMBER($AB298)*($AB298&gt;=TODAY())*($AB298&lt;=TODAY()+7))</f>
        <v/>
      </c>
      <c r="L298" s="28">
        <f>IF(NOT(AND($A298&lt;&gt;"",OR($I298="",$I298="Active"))),"",IF($M298&lt;&gt;"",IF($N298=$M298,"Booking",IF($O298=$M298,"16/40",IF($P298=$M298,"25/40",IF($S298=$M298,"28/40",IF($T298=$M298,"31/40",IF($U298=$M298,"34/40",IF($V298=$M298,"36/40",IF($W298=$M298,"38/40",IF($X298=$M298,"40/40",IF($Y298=$M298,"41/40","")))))))))),IF(IF(OR(ISNUMBER($Y298),$Y298="DNA"),$Y298,IF(OR(ISNUMBER($X298),$X298="DNA"),$X298,IF(OR(ISNUMBER($W298),$W298="DNA"),$W298,IF(OR(ISNUMBER($V298),$V298="DNA"),$V298,IF(OR(ISNUMBER($U298),$U298="DNA"),$U298,IF(OR(ISNUMBER($T298),$T298="DNA"),$T298,IF(OR(ISNUMBER($S298),$S298="DNA"),$S298,IF(OR(ISNUMBER($P298),$P298="DNA"),$P298,IF(OR(ISNUMBER($O298),$O298="DNA"),$O298,IF(OR(ISNUMBER($N298),$N298="DNA"),$N298,""))))))))))="DNA","Rebook DNA",IF(ISNUMBER(IF(OR(ISNUMBER($Y298),$Y298="DNA"),$Y298,IF(OR(ISNUMBER($X298),$X298="DNA"),$X298,IF(OR(ISNUMBER($W298),$W298="DNA"),$W298,IF(OR(ISNUMBER($V298),$V298="DNA"),$V298,IF(OR(ISNUMBER($U298),$U298="DNA"),$U298,IF(OR(ISNUMBER($T298),$T298="DNA"),$T298,IF(OR(ISNUMBER($S298),$S298="DNA"),$S298,IF(OR(ISNUMBER($P298),$P298="DNA"),$P298,IF(OR(ISNUMBER($O298),$O298="DNA"),$O298,IF(OR(ISNUMBER($N298),$N298="DNA"),$N298,""))))))))))),IF(ISNUMBER($Y298),"Update status","Missed/not booked?"),""))))</f>
        <v/>
      </c>
      <c r="M298" s="29">
        <f>IF(NOT(AND($A298&lt;&gt;"",OR($I298="",$I298="Active"))),"",IF(MIN(IF(AND(ISNUMBER($N298),$N298&gt;=TODAY()),$N298,99999),IF(AND(ISNUMBER($O298),$O298&gt;=TODAY()),$O298,99999),IF(AND(ISNUMBER($P298),$P298&gt;=TODAY()),$P298,99999),IF(AND(ISNUMBER($S298),$S298&gt;=TODAY()),$S298,99999),IF(AND(ISNUMBER($T298),$T298&gt;=TODAY()),$T298,99999),IF(AND(ISNUMBER($U298),$U298&gt;=TODAY()),$U298,99999),IF(AND(ISNUMBER($V298),$V298&gt;=TODAY()),$V298,99999),IF(AND(ISNUMBER($W298),$W298&gt;=TODAY()),$W298,99999),IF(AND(ISNUMBER($X298),$X298&gt;=TODAY()),$X298,99999),IF(AND(ISNUMBER($Y298),$Y298&gt;=TODAY()),$Y298,99999))=99999,"",MIN(IF(AND(ISNUMBER($N298),$N298&gt;=TODAY()),$N298,99999),IF(AND(ISNUMBER($O298),$O298&gt;=TODAY()),$O298,99999),IF(AND(ISNUMBER($P298),$P298&gt;=TODAY()),$P298,99999),IF(AND(ISNUMBER($S298),$S298&gt;=TODAY()),$S298,99999),IF(AND(ISNUMBER($T298),$T298&gt;=TODAY()),$T298,99999),IF(AND(ISNUMBER($U298),$U298&gt;=TODAY()),$U298,99999),IF(AND(ISNUMBER($V298),$V298&gt;=TODAY()),$V298,99999),IF(AND(ISNUMBER($W298),$W298&gt;=TODAY()),$W298,99999),IF(AND(ISNUMBER($X298),$X298&gt;=TODAY()),$X298,99999),IF(AND(ISNUMBER($Y298),$Y298&gt;=TODAY()),$Y298,99999))))</f>
        <v/>
      </c>
      <c r="N298" s="27" t="n"/>
      <c r="O298" s="27" t="n"/>
      <c r="P298" s="27" t="n"/>
      <c r="Q298" s="27" t="n"/>
      <c r="R298" s="27" t="n"/>
      <c r="S298" s="27" t="n"/>
      <c r="T298" s="27" t="n"/>
      <c r="U298" s="27" t="n"/>
      <c r="V298" s="27" t="n"/>
      <c r="W298" s="27" t="n"/>
      <c r="X298" s="27" t="n"/>
      <c r="Y298" s="27" t="n"/>
      <c r="Z298" s="27" t="n"/>
      <c r="AA298" s="27" t="n"/>
      <c r="AB298" s="27" t="n"/>
      <c r="AC298" s="30" t="n"/>
      <c r="AD298" s="25" t="n"/>
      <c r="AE298" s="28">
        <f>IF(NOT(AND($A298&lt;&gt;"",OR($I298="",$I298="Active"))),"",IF(OR(IF(OR(ISNUMBER($Y298),$Y298="DNA"),$Y298,IF(OR(ISNUMBER($X298),$X298="DNA"),$X298,IF(OR(ISNUMBER($W298),$W298="DNA"),$W298,IF(OR(ISNUMBER($V298),$V298="DNA"),$V298,IF(OR(ISNUMBER($U298),$U298="DNA"),$U298,IF(OR(ISNUMBER($T298),$T298="DNA"),$T298,IF(OR(ISNUMBER($S298),$S298="DNA"),$S298,IF(OR(ISNUMBER($P298),$P298="DNA"),$P298,IF(OR(ISNUMBER($O298),$O298="DNA"),$O298,IF(OR(ISNUMBER($N298),$N298="DNA"),$N298,""))))))))))="DNA",AND(ISNUMBER(IF(OR(ISNUMBER($Y298),$Y298="DNA"),$Y298,IF(OR(ISNUMBER($X298),$X298="DNA"),$X298,IF(OR(ISNUMBER($W298),$W298="DNA"),$W298,IF(OR(ISNUMBER($V298),$V298="DNA"),$V298,IF(OR(ISNUMBER($U298),$U298="DNA"),$U298,IF(OR(ISNUMBER($T298),$T298="DNA"),$T298,IF(OR(ISNUMBER($S298),$S298="DNA"),$S298,IF(OR(ISNUMBER($P298),$P298="DNA"),$P298,IF(OR(ISNUMBER($O298),$O298="DNA"),$O298,IF(OR(ISNUMBER($N298),$N298="DNA"),$N298,""))))))))))),IF(OR(ISNUMBER($Y298),$Y298="DNA"),$Y298,IF(OR(ISNUMBER($X298),$X298="DNA"),$X298,IF(OR(ISNUMBER($W298),$W298="DNA"),$W298,IF(OR(ISNUMBER($V298),$V298="DNA"),$V298,IF(OR(ISNUMBER($U298),$U298="DNA"),$U298,IF(OR(ISNUMBER($T298),$T298="DNA"),$T298,IF(OR(ISNUMBER($S298),$S298="DNA"),$S298,IF(OR(ISNUMBER($P298),$P298="DNA"),$P298,IF(OR(ISNUMBER($O298),$O298="DNA"),$O298,IF(OR(ISNUMBER($N298),$N298="DNA"),$N298,""))))))))))&lt;TODAY())),1,0)+ISNUMBER($Q298)*($Q298&lt;TODAY())+ISNUMBER($R298)*($R298&lt;TODAY())+ISNUMBER($AA298)*($AA298&lt;TODAY())+ISNUMBER($AB298)*($AB298&lt;TODAY()))</f>
        <v/>
      </c>
    </row>
    <row r="299">
      <c r="A299" s="25" t="n"/>
      <c r="B299" s="26" t="n"/>
      <c r="C299" s="27" t="n"/>
      <c r="D299" s="25" t="n"/>
      <c r="E299" s="25" t="n"/>
      <c r="F299" s="25" t="n"/>
      <c r="G299" s="25" t="n"/>
      <c r="H299" s="27" t="n"/>
      <c r="I299" s="25" t="n"/>
      <c r="J299" s="28">
        <f>IF(OR(NOT(AND($A299&lt;&gt;"",OR($I299="",$I299="Active"))),$H299=""),"",INT((TODAY()-$H299+280)/7)&amp;"+"&amp;MOD(TODAY()-$H299+280,7))</f>
        <v/>
      </c>
      <c r="K299" s="28">
        <f>IF(NOT(AND($A299&lt;&gt;"",OR($I299="",$I299="Active"))),"",ISNUMBER($N299)*($N299&gt;=TODAY())*($N299&lt;=TODAY()+7)+ISNUMBER($O299)*($O299&gt;=TODAY())*($O299&lt;=TODAY()+7)+ISNUMBER($P299)*($P299&gt;=TODAY())*($P299&lt;=TODAY()+7)+ISNUMBER($S299)*($S299&gt;=TODAY())*($S299&lt;=TODAY()+7)+ISNUMBER($T299)*($T299&gt;=TODAY())*($T299&lt;=TODAY()+7)+ISNUMBER($U299)*($U299&gt;=TODAY())*($U299&lt;=TODAY()+7)+ISNUMBER($V299)*($V299&gt;=TODAY())*($V299&lt;=TODAY()+7)+ISNUMBER($W299)*($W299&gt;=TODAY())*($W299&lt;=TODAY()+7)+ISNUMBER($X299)*($X299&gt;=TODAY())*($X299&lt;=TODAY()+7)+ISNUMBER($Y299)*($Y299&gt;=TODAY())*($Y299&lt;=TODAY()+7)+ISNUMBER($Q299)*($Q299&gt;=TODAY())*($Q299&lt;=TODAY()+7)+ISNUMBER($R299)*($R299&gt;=TODAY())*($R299&lt;=TODAY()+7)+ISNUMBER($AA299)*($AA299&gt;=TODAY())*($AA299&lt;=TODAY()+7)+ISNUMBER($AB299)*($AB299&gt;=TODAY())*($AB299&lt;=TODAY()+7))</f>
        <v/>
      </c>
      <c r="L299" s="28">
        <f>IF(NOT(AND($A299&lt;&gt;"",OR($I299="",$I299="Active"))),"",IF($M299&lt;&gt;"",IF($N299=$M299,"Booking",IF($O299=$M299,"16/40",IF($P299=$M299,"25/40",IF($S299=$M299,"28/40",IF($T299=$M299,"31/40",IF($U299=$M299,"34/40",IF($V299=$M299,"36/40",IF($W299=$M299,"38/40",IF($X299=$M299,"40/40",IF($Y299=$M299,"41/40","")))))))))),IF(IF(OR(ISNUMBER($Y299),$Y299="DNA"),$Y299,IF(OR(ISNUMBER($X299),$X299="DNA"),$X299,IF(OR(ISNUMBER($W299),$W299="DNA"),$W299,IF(OR(ISNUMBER($V299),$V299="DNA"),$V299,IF(OR(ISNUMBER($U299),$U299="DNA"),$U299,IF(OR(ISNUMBER($T299),$T299="DNA"),$T299,IF(OR(ISNUMBER($S299),$S299="DNA"),$S299,IF(OR(ISNUMBER($P299),$P299="DNA"),$P299,IF(OR(ISNUMBER($O299),$O299="DNA"),$O299,IF(OR(ISNUMBER($N299),$N299="DNA"),$N299,""))))))))))="DNA","Rebook DNA",IF(ISNUMBER(IF(OR(ISNUMBER($Y299),$Y299="DNA"),$Y299,IF(OR(ISNUMBER($X299),$X299="DNA"),$X299,IF(OR(ISNUMBER($W299),$W299="DNA"),$W299,IF(OR(ISNUMBER($V299),$V299="DNA"),$V299,IF(OR(ISNUMBER($U299),$U299="DNA"),$U299,IF(OR(ISNUMBER($T299),$T299="DNA"),$T299,IF(OR(ISNUMBER($S299),$S299="DNA"),$S299,IF(OR(ISNUMBER($P299),$P299="DNA"),$P299,IF(OR(ISNUMBER($O299),$O299="DNA"),$O299,IF(OR(ISNUMBER($N299),$N299="DNA"),$N299,""))))))))))),IF(ISNUMBER($Y299),"Update status","Missed/not booked?"),""))))</f>
        <v/>
      </c>
      <c r="M299" s="29">
        <f>IF(NOT(AND($A299&lt;&gt;"",OR($I299="",$I299="Active"))),"",IF(MIN(IF(AND(ISNUMBER($N299),$N299&gt;=TODAY()),$N299,99999),IF(AND(ISNUMBER($O299),$O299&gt;=TODAY()),$O299,99999),IF(AND(ISNUMBER($P299),$P299&gt;=TODAY()),$P299,99999),IF(AND(ISNUMBER($S299),$S299&gt;=TODAY()),$S299,99999),IF(AND(ISNUMBER($T299),$T299&gt;=TODAY()),$T299,99999),IF(AND(ISNUMBER($U299),$U299&gt;=TODAY()),$U299,99999),IF(AND(ISNUMBER($V299),$V299&gt;=TODAY()),$V299,99999),IF(AND(ISNUMBER($W299),$W299&gt;=TODAY()),$W299,99999),IF(AND(ISNUMBER($X299),$X299&gt;=TODAY()),$X299,99999),IF(AND(ISNUMBER($Y299),$Y299&gt;=TODAY()),$Y299,99999))=99999,"",MIN(IF(AND(ISNUMBER($N299),$N299&gt;=TODAY()),$N299,99999),IF(AND(ISNUMBER($O299),$O299&gt;=TODAY()),$O299,99999),IF(AND(ISNUMBER($P299),$P299&gt;=TODAY()),$P299,99999),IF(AND(ISNUMBER($S299),$S299&gt;=TODAY()),$S299,99999),IF(AND(ISNUMBER($T299),$T299&gt;=TODAY()),$T299,99999),IF(AND(ISNUMBER($U299),$U299&gt;=TODAY()),$U299,99999),IF(AND(ISNUMBER($V299),$V299&gt;=TODAY()),$V299,99999),IF(AND(ISNUMBER($W299),$W299&gt;=TODAY()),$W299,99999),IF(AND(ISNUMBER($X299),$X299&gt;=TODAY()),$X299,99999),IF(AND(ISNUMBER($Y299),$Y299&gt;=TODAY()),$Y299,99999))))</f>
        <v/>
      </c>
      <c r="N299" s="27" t="n"/>
      <c r="O299" s="27" t="n"/>
      <c r="P299" s="27" t="n"/>
      <c r="Q299" s="27" t="n"/>
      <c r="R299" s="27" t="n"/>
      <c r="S299" s="27" t="n"/>
      <c r="T299" s="27" t="n"/>
      <c r="U299" s="27" t="n"/>
      <c r="V299" s="27" t="n"/>
      <c r="W299" s="27" t="n"/>
      <c r="X299" s="27" t="n"/>
      <c r="Y299" s="27" t="n"/>
      <c r="Z299" s="27" t="n"/>
      <c r="AA299" s="27" t="n"/>
      <c r="AB299" s="27" t="n"/>
      <c r="AC299" s="30" t="n"/>
      <c r="AD299" s="25" t="n"/>
      <c r="AE299" s="28">
        <f>IF(NOT(AND($A299&lt;&gt;"",OR($I299="",$I299="Active"))),"",IF(OR(IF(OR(ISNUMBER($Y299),$Y299="DNA"),$Y299,IF(OR(ISNUMBER($X299),$X299="DNA"),$X299,IF(OR(ISNUMBER($W299),$W299="DNA"),$W299,IF(OR(ISNUMBER($V299),$V299="DNA"),$V299,IF(OR(ISNUMBER($U299),$U299="DNA"),$U299,IF(OR(ISNUMBER($T299),$T299="DNA"),$T299,IF(OR(ISNUMBER($S299),$S299="DNA"),$S299,IF(OR(ISNUMBER($P299),$P299="DNA"),$P299,IF(OR(ISNUMBER($O299),$O299="DNA"),$O299,IF(OR(ISNUMBER($N299),$N299="DNA"),$N299,""))))))))))="DNA",AND(ISNUMBER(IF(OR(ISNUMBER($Y299),$Y299="DNA"),$Y299,IF(OR(ISNUMBER($X299),$X299="DNA"),$X299,IF(OR(ISNUMBER($W299),$W299="DNA"),$W299,IF(OR(ISNUMBER($V299),$V299="DNA"),$V299,IF(OR(ISNUMBER($U299),$U299="DNA"),$U299,IF(OR(ISNUMBER($T299),$T299="DNA"),$T299,IF(OR(ISNUMBER($S299),$S299="DNA"),$S299,IF(OR(ISNUMBER($P299),$P299="DNA"),$P299,IF(OR(ISNUMBER($O299),$O299="DNA"),$O299,IF(OR(ISNUMBER($N299),$N299="DNA"),$N299,""))))))))))),IF(OR(ISNUMBER($Y299),$Y299="DNA"),$Y299,IF(OR(ISNUMBER($X299),$X299="DNA"),$X299,IF(OR(ISNUMBER($W299),$W299="DNA"),$W299,IF(OR(ISNUMBER($V299),$V299="DNA"),$V299,IF(OR(ISNUMBER($U299),$U299="DNA"),$U299,IF(OR(ISNUMBER($T299),$T299="DNA"),$T299,IF(OR(ISNUMBER($S299),$S299="DNA"),$S299,IF(OR(ISNUMBER($P299),$P299="DNA"),$P299,IF(OR(ISNUMBER($O299),$O299="DNA"),$O299,IF(OR(ISNUMBER($N299),$N299="DNA"),$N299,""))))))))))&lt;TODAY())),1,0)+ISNUMBER($Q299)*($Q299&lt;TODAY())+ISNUMBER($R299)*($R299&lt;TODAY())+ISNUMBER($AA299)*($AA299&lt;TODAY())+ISNUMBER($AB299)*($AB299&lt;TODAY()))</f>
        <v/>
      </c>
    </row>
    <row r="300">
      <c r="A300" s="25" t="n"/>
      <c r="B300" s="26" t="n"/>
      <c r="C300" s="27" t="n"/>
      <c r="D300" s="25" t="n"/>
      <c r="E300" s="25" t="n"/>
      <c r="F300" s="25" t="n"/>
      <c r="G300" s="25" t="n"/>
      <c r="H300" s="27" t="n"/>
      <c r="I300" s="25" t="n"/>
      <c r="J300" s="28">
        <f>IF(OR(NOT(AND($A300&lt;&gt;"",OR($I300="",$I300="Active"))),$H300=""),"",INT((TODAY()-$H300+280)/7)&amp;"+"&amp;MOD(TODAY()-$H300+280,7))</f>
        <v/>
      </c>
      <c r="K300" s="28">
        <f>IF(NOT(AND($A300&lt;&gt;"",OR($I300="",$I300="Active"))),"",ISNUMBER($N300)*($N300&gt;=TODAY())*($N300&lt;=TODAY()+7)+ISNUMBER($O300)*($O300&gt;=TODAY())*($O300&lt;=TODAY()+7)+ISNUMBER($P300)*($P300&gt;=TODAY())*($P300&lt;=TODAY()+7)+ISNUMBER($S300)*($S300&gt;=TODAY())*($S300&lt;=TODAY()+7)+ISNUMBER($T300)*($T300&gt;=TODAY())*($T300&lt;=TODAY()+7)+ISNUMBER($U300)*($U300&gt;=TODAY())*($U300&lt;=TODAY()+7)+ISNUMBER($V300)*($V300&gt;=TODAY())*($V300&lt;=TODAY()+7)+ISNUMBER($W300)*($W300&gt;=TODAY())*($W300&lt;=TODAY()+7)+ISNUMBER($X300)*($X300&gt;=TODAY())*($X300&lt;=TODAY()+7)+ISNUMBER($Y300)*($Y300&gt;=TODAY())*($Y300&lt;=TODAY()+7)+ISNUMBER($Q300)*($Q300&gt;=TODAY())*($Q300&lt;=TODAY()+7)+ISNUMBER($R300)*($R300&gt;=TODAY())*($R300&lt;=TODAY()+7)+ISNUMBER($AA300)*($AA300&gt;=TODAY())*($AA300&lt;=TODAY()+7)+ISNUMBER($AB300)*($AB300&gt;=TODAY())*($AB300&lt;=TODAY()+7))</f>
        <v/>
      </c>
      <c r="L300" s="28">
        <f>IF(NOT(AND($A300&lt;&gt;"",OR($I300="",$I300="Active"))),"",IF($M300&lt;&gt;"",IF($N300=$M300,"Booking",IF($O300=$M300,"16/40",IF($P300=$M300,"25/40",IF($S300=$M300,"28/40",IF($T300=$M300,"31/40",IF($U300=$M300,"34/40",IF($V300=$M300,"36/40",IF($W300=$M300,"38/40",IF($X300=$M300,"40/40",IF($Y300=$M300,"41/40","")))))))))),IF(IF(OR(ISNUMBER($Y300),$Y300="DNA"),$Y300,IF(OR(ISNUMBER($X300),$X300="DNA"),$X300,IF(OR(ISNUMBER($W300),$W300="DNA"),$W300,IF(OR(ISNUMBER($V300),$V300="DNA"),$V300,IF(OR(ISNUMBER($U300),$U300="DNA"),$U300,IF(OR(ISNUMBER($T300),$T300="DNA"),$T300,IF(OR(ISNUMBER($S300),$S300="DNA"),$S300,IF(OR(ISNUMBER($P300),$P300="DNA"),$P300,IF(OR(ISNUMBER($O300),$O300="DNA"),$O300,IF(OR(ISNUMBER($N300),$N300="DNA"),$N300,""))))))))))="DNA","Rebook DNA",IF(ISNUMBER(IF(OR(ISNUMBER($Y300),$Y300="DNA"),$Y300,IF(OR(ISNUMBER($X300),$X300="DNA"),$X300,IF(OR(ISNUMBER($W300),$W300="DNA"),$W300,IF(OR(ISNUMBER($V300),$V300="DNA"),$V300,IF(OR(ISNUMBER($U300),$U300="DNA"),$U300,IF(OR(ISNUMBER($T300),$T300="DNA"),$T300,IF(OR(ISNUMBER($S300),$S300="DNA"),$S300,IF(OR(ISNUMBER($P300),$P300="DNA"),$P300,IF(OR(ISNUMBER($O300),$O300="DNA"),$O300,IF(OR(ISNUMBER($N300),$N300="DNA"),$N300,""))))))))))),IF(ISNUMBER($Y300),"Update status","Missed/not booked?"),""))))</f>
        <v/>
      </c>
      <c r="M300" s="29">
        <f>IF(NOT(AND($A300&lt;&gt;"",OR($I300="",$I300="Active"))),"",IF(MIN(IF(AND(ISNUMBER($N300),$N300&gt;=TODAY()),$N300,99999),IF(AND(ISNUMBER($O300),$O300&gt;=TODAY()),$O300,99999),IF(AND(ISNUMBER($P300),$P300&gt;=TODAY()),$P300,99999),IF(AND(ISNUMBER($S300),$S300&gt;=TODAY()),$S300,99999),IF(AND(ISNUMBER($T300),$T300&gt;=TODAY()),$T300,99999),IF(AND(ISNUMBER($U300),$U300&gt;=TODAY()),$U300,99999),IF(AND(ISNUMBER($V300),$V300&gt;=TODAY()),$V300,99999),IF(AND(ISNUMBER($W300),$W300&gt;=TODAY()),$W300,99999),IF(AND(ISNUMBER($X300),$X300&gt;=TODAY()),$X300,99999),IF(AND(ISNUMBER($Y300),$Y300&gt;=TODAY()),$Y300,99999))=99999,"",MIN(IF(AND(ISNUMBER($N300),$N300&gt;=TODAY()),$N300,99999),IF(AND(ISNUMBER($O300),$O300&gt;=TODAY()),$O300,99999),IF(AND(ISNUMBER($P300),$P300&gt;=TODAY()),$P300,99999),IF(AND(ISNUMBER($S300),$S300&gt;=TODAY()),$S300,99999),IF(AND(ISNUMBER($T300),$T300&gt;=TODAY()),$T300,99999),IF(AND(ISNUMBER($U300),$U300&gt;=TODAY()),$U300,99999),IF(AND(ISNUMBER($V300),$V300&gt;=TODAY()),$V300,99999),IF(AND(ISNUMBER($W300),$W300&gt;=TODAY()),$W300,99999),IF(AND(ISNUMBER($X300),$X300&gt;=TODAY()),$X300,99999),IF(AND(ISNUMBER($Y300),$Y300&gt;=TODAY()),$Y300,99999))))</f>
        <v/>
      </c>
      <c r="N300" s="27" t="n"/>
      <c r="O300" s="27" t="n"/>
      <c r="P300" s="27" t="n"/>
      <c r="Q300" s="27" t="n"/>
      <c r="R300" s="27" t="n"/>
      <c r="S300" s="27" t="n"/>
      <c r="T300" s="27" t="n"/>
      <c r="U300" s="27" t="n"/>
      <c r="V300" s="27" t="n"/>
      <c r="W300" s="27" t="n"/>
      <c r="X300" s="27" t="n"/>
      <c r="Y300" s="27" t="n"/>
      <c r="Z300" s="27" t="n"/>
      <c r="AA300" s="27" t="n"/>
      <c r="AB300" s="27" t="n"/>
      <c r="AC300" s="30" t="n"/>
      <c r="AD300" s="25" t="n"/>
      <c r="AE300" s="28">
        <f>IF(NOT(AND($A300&lt;&gt;"",OR($I300="",$I300="Active"))),"",IF(OR(IF(OR(ISNUMBER($Y300),$Y300="DNA"),$Y300,IF(OR(ISNUMBER($X300),$X300="DNA"),$X300,IF(OR(ISNUMBER($W300),$W300="DNA"),$W300,IF(OR(ISNUMBER($V300),$V300="DNA"),$V300,IF(OR(ISNUMBER($U300),$U300="DNA"),$U300,IF(OR(ISNUMBER($T300),$T300="DNA"),$T300,IF(OR(ISNUMBER($S300),$S300="DNA"),$S300,IF(OR(ISNUMBER($P300),$P300="DNA"),$P300,IF(OR(ISNUMBER($O300),$O300="DNA"),$O300,IF(OR(ISNUMBER($N300),$N300="DNA"),$N300,""))))))))))="DNA",AND(ISNUMBER(IF(OR(ISNUMBER($Y300),$Y300="DNA"),$Y300,IF(OR(ISNUMBER($X300),$X300="DNA"),$X300,IF(OR(ISNUMBER($W300),$W300="DNA"),$W300,IF(OR(ISNUMBER($V300),$V300="DNA"),$V300,IF(OR(ISNUMBER($U300),$U300="DNA"),$U300,IF(OR(ISNUMBER($T300),$T300="DNA"),$T300,IF(OR(ISNUMBER($S300),$S300="DNA"),$S300,IF(OR(ISNUMBER($P300),$P300="DNA"),$P300,IF(OR(ISNUMBER($O300),$O300="DNA"),$O300,IF(OR(ISNUMBER($N300),$N300="DNA"),$N300,""))))))))))),IF(OR(ISNUMBER($Y300),$Y300="DNA"),$Y300,IF(OR(ISNUMBER($X300),$X300="DNA"),$X300,IF(OR(ISNUMBER($W300),$W300="DNA"),$W300,IF(OR(ISNUMBER($V300),$V300="DNA"),$V300,IF(OR(ISNUMBER($U300),$U300="DNA"),$U300,IF(OR(ISNUMBER($T300),$T300="DNA"),$T300,IF(OR(ISNUMBER($S300),$S300="DNA"),$S300,IF(OR(ISNUMBER($P300),$P300="DNA"),$P300,IF(OR(ISNUMBER($O300),$O300="DNA"),$O300,IF(OR(ISNUMBER($N300),$N300="DNA"),$N300,""))))))))))&lt;TODAY())),1,0)+ISNUMBER($Q300)*($Q300&lt;TODAY())+ISNUMBER($R300)*($R300&lt;TODAY())+ISNUMBER($AA300)*($AA300&lt;TODAY())+ISNUMBER($AB300)*($AB300&lt;TODAY()))</f>
        <v/>
      </c>
    </row>
    <row r="301">
      <c r="A301" s="25" t="n"/>
      <c r="B301" s="26" t="n"/>
      <c r="C301" s="27" t="n"/>
      <c r="D301" s="25" t="n"/>
      <c r="E301" s="25" t="n"/>
      <c r="F301" s="25" t="n"/>
      <c r="G301" s="25" t="n"/>
      <c r="H301" s="27" t="n"/>
      <c r="I301" s="25" t="n"/>
      <c r="J301" s="28">
        <f>IF(OR(NOT(AND($A301&lt;&gt;"",OR($I301="",$I301="Active"))),$H301=""),"",INT((TODAY()-$H301+280)/7)&amp;"+"&amp;MOD(TODAY()-$H301+280,7))</f>
        <v/>
      </c>
      <c r="K301" s="28">
        <f>IF(NOT(AND($A301&lt;&gt;"",OR($I301="",$I301="Active"))),"",ISNUMBER($N301)*($N301&gt;=TODAY())*($N301&lt;=TODAY()+7)+ISNUMBER($O301)*($O301&gt;=TODAY())*($O301&lt;=TODAY()+7)+ISNUMBER($P301)*($P301&gt;=TODAY())*($P301&lt;=TODAY()+7)+ISNUMBER($S301)*($S301&gt;=TODAY())*($S301&lt;=TODAY()+7)+ISNUMBER($T301)*($T301&gt;=TODAY())*($T301&lt;=TODAY()+7)+ISNUMBER($U301)*($U301&gt;=TODAY())*($U301&lt;=TODAY()+7)+ISNUMBER($V301)*($V301&gt;=TODAY())*($V301&lt;=TODAY()+7)+ISNUMBER($W301)*($W301&gt;=TODAY())*($W301&lt;=TODAY()+7)+ISNUMBER($X301)*($X301&gt;=TODAY())*($X301&lt;=TODAY()+7)+ISNUMBER($Y301)*($Y301&gt;=TODAY())*($Y301&lt;=TODAY()+7)+ISNUMBER($Q301)*($Q301&gt;=TODAY())*($Q301&lt;=TODAY()+7)+ISNUMBER($R301)*($R301&gt;=TODAY())*($R301&lt;=TODAY()+7)+ISNUMBER($AA301)*($AA301&gt;=TODAY())*($AA301&lt;=TODAY()+7)+ISNUMBER($AB301)*($AB301&gt;=TODAY())*($AB301&lt;=TODAY()+7))</f>
        <v/>
      </c>
      <c r="L301" s="28">
        <f>IF(NOT(AND($A301&lt;&gt;"",OR($I301="",$I301="Active"))),"",IF($M301&lt;&gt;"",IF($N301=$M301,"Booking",IF($O301=$M301,"16/40",IF($P301=$M301,"25/40",IF($S301=$M301,"28/40",IF($T301=$M301,"31/40",IF($U301=$M301,"34/40",IF($V301=$M301,"36/40",IF($W301=$M301,"38/40",IF($X301=$M301,"40/40",IF($Y301=$M301,"41/40","")))))))))),IF(IF(OR(ISNUMBER($Y301),$Y301="DNA"),$Y301,IF(OR(ISNUMBER($X301),$X301="DNA"),$X301,IF(OR(ISNUMBER($W301),$W301="DNA"),$W301,IF(OR(ISNUMBER($V301),$V301="DNA"),$V301,IF(OR(ISNUMBER($U301),$U301="DNA"),$U301,IF(OR(ISNUMBER($T301),$T301="DNA"),$T301,IF(OR(ISNUMBER($S301),$S301="DNA"),$S301,IF(OR(ISNUMBER($P301),$P301="DNA"),$P301,IF(OR(ISNUMBER($O301),$O301="DNA"),$O301,IF(OR(ISNUMBER($N301),$N301="DNA"),$N301,""))))))))))="DNA","Rebook DNA",IF(ISNUMBER(IF(OR(ISNUMBER($Y301),$Y301="DNA"),$Y301,IF(OR(ISNUMBER($X301),$X301="DNA"),$X301,IF(OR(ISNUMBER($W301),$W301="DNA"),$W301,IF(OR(ISNUMBER($V301),$V301="DNA"),$V301,IF(OR(ISNUMBER($U301),$U301="DNA"),$U301,IF(OR(ISNUMBER($T301),$T301="DNA"),$T301,IF(OR(ISNUMBER($S301),$S301="DNA"),$S301,IF(OR(ISNUMBER($P301),$P301="DNA"),$P301,IF(OR(ISNUMBER($O301),$O301="DNA"),$O301,IF(OR(ISNUMBER($N301),$N301="DNA"),$N301,""))))))))))),IF(ISNUMBER($Y301),"Update status","Missed/not booked?"),""))))</f>
        <v/>
      </c>
      <c r="M301" s="29">
        <f>IF(NOT(AND($A301&lt;&gt;"",OR($I301="",$I301="Active"))),"",IF(MIN(IF(AND(ISNUMBER($N301),$N301&gt;=TODAY()),$N301,99999),IF(AND(ISNUMBER($O301),$O301&gt;=TODAY()),$O301,99999),IF(AND(ISNUMBER($P301),$P301&gt;=TODAY()),$P301,99999),IF(AND(ISNUMBER($S301),$S301&gt;=TODAY()),$S301,99999),IF(AND(ISNUMBER($T301),$T301&gt;=TODAY()),$T301,99999),IF(AND(ISNUMBER($U301),$U301&gt;=TODAY()),$U301,99999),IF(AND(ISNUMBER($V301),$V301&gt;=TODAY()),$V301,99999),IF(AND(ISNUMBER($W301),$W301&gt;=TODAY()),$W301,99999),IF(AND(ISNUMBER($X301),$X301&gt;=TODAY()),$X301,99999),IF(AND(ISNUMBER($Y301),$Y301&gt;=TODAY()),$Y301,99999))=99999,"",MIN(IF(AND(ISNUMBER($N301),$N301&gt;=TODAY()),$N301,99999),IF(AND(ISNUMBER($O301),$O301&gt;=TODAY()),$O301,99999),IF(AND(ISNUMBER($P301),$P301&gt;=TODAY()),$P301,99999),IF(AND(ISNUMBER($S301),$S301&gt;=TODAY()),$S301,99999),IF(AND(ISNUMBER($T301),$T301&gt;=TODAY()),$T301,99999),IF(AND(ISNUMBER($U301),$U301&gt;=TODAY()),$U301,99999),IF(AND(ISNUMBER($V301),$V301&gt;=TODAY()),$V301,99999),IF(AND(ISNUMBER($W301),$W301&gt;=TODAY()),$W301,99999),IF(AND(ISNUMBER($X301),$X301&gt;=TODAY()),$X301,99999),IF(AND(ISNUMBER($Y301),$Y301&gt;=TODAY()),$Y301,99999))))</f>
        <v/>
      </c>
      <c r="N301" s="27" t="n"/>
      <c r="O301" s="27" t="n"/>
      <c r="P301" s="27" t="n"/>
      <c r="Q301" s="27" t="n"/>
      <c r="R301" s="27" t="n"/>
      <c r="S301" s="27" t="n"/>
      <c r="T301" s="27" t="n"/>
      <c r="U301" s="27" t="n"/>
      <c r="V301" s="27" t="n"/>
      <c r="W301" s="27" t="n"/>
      <c r="X301" s="27" t="n"/>
      <c r="Y301" s="27" t="n"/>
      <c r="Z301" s="27" t="n"/>
      <c r="AA301" s="27" t="n"/>
      <c r="AB301" s="27" t="n"/>
      <c r="AC301" s="30" t="n"/>
      <c r="AD301" s="25" t="n"/>
      <c r="AE301" s="28">
        <f>IF(NOT(AND($A301&lt;&gt;"",OR($I301="",$I301="Active"))),"",IF(OR(IF(OR(ISNUMBER($Y301),$Y301="DNA"),$Y301,IF(OR(ISNUMBER($X301),$X301="DNA"),$X301,IF(OR(ISNUMBER($W301),$W301="DNA"),$W301,IF(OR(ISNUMBER($V301),$V301="DNA"),$V301,IF(OR(ISNUMBER($U301),$U301="DNA"),$U301,IF(OR(ISNUMBER($T301),$T301="DNA"),$T301,IF(OR(ISNUMBER($S301),$S301="DNA"),$S301,IF(OR(ISNUMBER($P301),$P301="DNA"),$P301,IF(OR(ISNUMBER($O301),$O301="DNA"),$O301,IF(OR(ISNUMBER($N301),$N301="DNA"),$N301,""))))))))))="DNA",AND(ISNUMBER(IF(OR(ISNUMBER($Y301),$Y301="DNA"),$Y301,IF(OR(ISNUMBER($X301),$X301="DNA"),$X301,IF(OR(ISNUMBER($W301),$W301="DNA"),$W301,IF(OR(ISNUMBER($V301),$V301="DNA"),$V301,IF(OR(ISNUMBER($U301),$U301="DNA"),$U301,IF(OR(ISNUMBER($T301),$T301="DNA"),$T301,IF(OR(ISNUMBER($S301),$S301="DNA"),$S301,IF(OR(ISNUMBER($P301),$P301="DNA"),$P301,IF(OR(ISNUMBER($O301),$O301="DNA"),$O301,IF(OR(ISNUMBER($N301),$N301="DNA"),$N301,""))))))))))),IF(OR(ISNUMBER($Y301),$Y301="DNA"),$Y301,IF(OR(ISNUMBER($X301),$X301="DNA"),$X301,IF(OR(ISNUMBER($W301),$W301="DNA"),$W301,IF(OR(ISNUMBER($V301),$V301="DNA"),$V301,IF(OR(ISNUMBER($U301),$U301="DNA"),$U301,IF(OR(ISNUMBER($T301),$T301="DNA"),$T301,IF(OR(ISNUMBER($S301),$S301="DNA"),$S301,IF(OR(ISNUMBER($P301),$P301="DNA"),$P301,IF(OR(ISNUMBER($O301),$O301="DNA"),$O301,IF(OR(ISNUMBER($N301),$N301="DNA"),$N301,""))))))))))&lt;TODAY())),1,0)+ISNUMBER($Q301)*($Q301&lt;TODAY())+ISNUMBER($R301)*($R301&lt;TODAY())+ISNUMBER($AA301)*($AA301&lt;TODAY())+ISNUMBER($AB301)*($AB301&lt;TODAY()))</f>
        <v/>
      </c>
    </row>
    <row r="302">
      <c r="A302" s="25" t="n"/>
      <c r="B302" s="26" t="n"/>
      <c r="C302" s="27" t="n"/>
      <c r="D302" s="25" t="n"/>
      <c r="E302" s="25" t="n"/>
      <c r="F302" s="25" t="n"/>
      <c r="G302" s="25" t="n"/>
      <c r="H302" s="27" t="n"/>
      <c r="I302" s="25" t="n"/>
      <c r="J302" s="28">
        <f>IF(OR(NOT(AND($A302&lt;&gt;"",OR($I302="",$I302="Active"))),$H302=""),"",INT((TODAY()-$H302+280)/7)&amp;"+"&amp;MOD(TODAY()-$H302+280,7))</f>
        <v/>
      </c>
      <c r="K302" s="28">
        <f>IF(NOT(AND($A302&lt;&gt;"",OR($I302="",$I302="Active"))),"",ISNUMBER($N302)*($N302&gt;=TODAY())*($N302&lt;=TODAY()+7)+ISNUMBER($O302)*($O302&gt;=TODAY())*($O302&lt;=TODAY()+7)+ISNUMBER($P302)*($P302&gt;=TODAY())*($P302&lt;=TODAY()+7)+ISNUMBER($S302)*($S302&gt;=TODAY())*($S302&lt;=TODAY()+7)+ISNUMBER($T302)*($T302&gt;=TODAY())*($T302&lt;=TODAY()+7)+ISNUMBER($U302)*($U302&gt;=TODAY())*($U302&lt;=TODAY()+7)+ISNUMBER($V302)*($V302&gt;=TODAY())*($V302&lt;=TODAY()+7)+ISNUMBER($W302)*($W302&gt;=TODAY())*($W302&lt;=TODAY()+7)+ISNUMBER($X302)*($X302&gt;=TODAY())*($X302&lt;=TODAY()+7)+ISNUMBER($Y302)*($Y302&gt;=TODAY())*($Y302&lt;=TODAY()+7)+ISNUMBER($Q302)*($Q302&gt;=TODAY())*($Q302&lt;=TODAY()+7)+ISNUMBER($R302)*($R302&gt;=TODAY())*($R302&lt;=TODAY()+7)+ISNUMBER($AA302)*($AA302&gt;=TODAY())*($AA302&lt;=TODAY()+7)+ISNUMBER($AB302)*($AB302&gt;=TODAY())*($AB302&lt;=TODAY()+7))</f>
        <v/>
      </c>
      <c r="L302" s="28">
        <f>IF(NOT(AND($A302&lt;&gt;"",OR($I302="",$I302="Active"))),"",IF($M302&lt;&gt;"",IF($N302=$M302,"Booking",IF($O302=$M302,"16/40",IF($P302=$M302,"25/40",IF($S302=$M302,"28/40",IF($T302=$M302,"31/40",IF($U302=$M302,"34/40",IF($V302=$M302,"36/40",IF($W302=$M302,"38/40",IF($X302=$M302,"40/40",IF($Y302=$M302,"41/40","")))))))))),IF(IF(OR(ISNUMBER($Y302),$Y302="DNA"),$Y302,IF(OR(ISNUMBER($X302),$X302="DNA"),$X302,IF(OR(ISNUMBER($W302),$W302="DNA"),$W302,IF(OR(ISNUMBER($V302),$V302="DNA"),$V302,IF(OR(ISNUMBER($U302),$U302="DNA"),$U302,IF(OR(ISNUMBER($T302),$T302="DNA"),$T302,IF(OR(ISNUMBER($S302),$S302="DNA"),$S302,IF(OR(ISNUMBER($P302),$P302="DNA"),$P302,IF(OR(ISNUMBER($O302),$O302="DNA"),$O302,IF(OR(ISNUMBER($N302),$N302="DNA"),$N302,""))))))))))="DNA","Rebook DNA",IF(ISNUMBER(IF(OR(ISNUMBER($Y302),$Y302="DNA"),$Y302,IF(OR(ISNUMBER($X302),$X302="DNA"),$X302,IF(OR(ISNUMBER($W302),$W302="DNA"),$W302,IF(OR(ISNUMBER($V302),$V302="DNA"),$V302,IF(OR(ISNUMBER($U302),$U302="DNA"),$U302,IF(OR(ISNUMBER($T302),$T302="DNA"),$T302,IF(OR(ISNUMBER($S302),$S302="DNA"),$S302,IF(OR(ISNUMBER($P302),$P302="DNA"),$P302,IF(OR(ISNUMBER($O302),$O302="DNA"),$O302,IF(OR(ISNUMBER($N302),$N302="DNA"),$N302,""))))))))))),IF(ISNUMBER($Y302),"Update status","Missed/not booked?"),""))))</f>
        <v/>
      </c>
      <c r="M302" s="29">
        <f>IF(NOT(AND($A302&lt;&gt;"",OR($I302="",$I302="Active"))),"",IF(MIN(IF(AND(ISNUMBER($N302),$N302&gt;=TODAY()),$N302,99999),IF(AND(ISNUMBER($O302),$O302&gt;=TODAY()),$O302,99999),IF(AND(ISNUMBER($P302),$P302&gt;=TODAY()),$P302,99999),IF(AND(ISNUMBER($S302),$S302&gt;=TODAY()),$S302,99999),IF(AND(ISNUMBER($T302),$T302&gt;=TODAY()),$T302,99999),IF(AND(ISNUMBER($U302),$U302&gt;=TODAY()),$U302,99999),IF(AND(ISNUMBER($V302),$V302&gt;=TODAY()),$V302,99999),IF(AND(ISNUMBER($W302),$W302&gt;=TODAY()),$W302,99999),IF(AND(ISNUMBER($X302),$X302&gt;=TODAY()),$X302,99999),IF(AND(ISNUMBER($Y302),$Y302&gt;=TODAY()),$Y302,99999))=99999,"",MIN(IF(AND(ISNUMBER($N302),$N302&gt;=TODAY()),$N302,99999),IF(AND(ISNUMBER($O302),$O302&gt;=TODAY()),$O302,99999),IF(AND(ISNUMBER($P302),$P302&gt;=TODAY()),$P302,99999),IF(AND(ISNUMBER($S302),$S302&gt;=TODAY()),$S302,99999),IF(AND(ISNUMBER($T302),$T302&gt;=TODAY()),$T302,99999),IF(AND(ISNUMBER($U302),$U302&gt;=TODAY()),$U302,99999),IF(AND(ISNUMBER($V302),$V302&gt;=TODAY()),$V302,99999),IF(AND(ISNUMBER($W302),$W302&gt;=TODAY()),$W302,99999),IF(AND(ISNUMBER($X302),$X302&gt;=TODAY()),$X302,99999),IF(AND(ISNUMBER($Y302),$Y302&gt;=TODAY()),$Y302,99999))))</f>
        <v/>
      </c>
      <c r="N302" s="27" t="n"/>
      <c r="O302" s="27" t="n"/>
      <c r="P302" s="27" t="n"/>
      <c r="Q302" s="27" t="n"/>
      <c r="R302" s="27" t="n"/>
      <c r="S302" s="27" t="n"/>
      <c r="T302" s="27" t="n"/>
      <c r="U302" s="27" t="n"/>
      <c r="V302" s="27" t="n"/>
      <c r="W302" s="27" t="n"/>
      <c r="X302" s="27" t="n"/>
      <c r="Y302" s="27" t="n"/>
      <c r="Z302" s="27" t="n"/>
      <c r="AA302" s="27" t="n"/>
      <c r="AB302" s="27" t="n"/>
      <c r="AC302" s="30" t="n"/>
      <c r="AD302" s="25" t="n"/>
      <c r="AE302" s="28">
        <f>IF(NOT(AND($A302&lt;&gt;"",OR($I302="",$I302="Active"))),"",IF(OR(IF(OR(ISNUMBER($Y302),$Y302="DNA"),$Y302,IF(OR(ISNUMBER($X302),$X302="DNA"),$X302,IF(OR(ISNUMBER($W302),$W302="DNA"),$W302,IF(OR(ISNUMBER($V302),$V302="DNA"),$V302,IF(OR(ISNUMBER($U302),$U302="DNA"),$U302,IF(OR(ISNUMBER($T302),$T302="DNA"),$T302,IF(OR(ISNUMBER($S302),$S302="DNA"),$S302,IF(OR(ISNUMBER($P302),$P302="DNA"),$P302,IF(OR(ISNUMBER($O302),$O302="DNA"),$O302,IF(OR(ISNUMBER($N302),$N302="DNA"),$N302,""))))))))))="DNA",AND(ISNUMBER(IF(OR(ISNUMBER($Y302),$Y302="DNA"),$Y302,IF(OR(ISNUMBER($X302),$X302="DNA"),$X302,IF(OR(ISNUMBER($W302),$W302="DNA"),$W302,IF(OR(ISNUMBER($V302),$V302="DNA"),$V302,IF(OR(ISNUMBER($U302),$U302="DNA"),$U302,IF(OR(ISNUMBER($T302),$T302="DNA"),$T302,IF(OR(ISNUMBER($S302),$S302="DNA"),$S302,IF(OR(ISNUMBER($P302),$P302="DNA"),$P302,IF(OR(ISNUMBER($O302),$O302="DNA"),$O302,IF(OR(ISNUMBER($N302),$N302="DNA"),$N302,""))))))))))),IF(OR(ISNUMBER($Y302),$Y302="DNA"),$Y302,IF(OR(ISNUMBER($X302),$X302="DNA"),$X302,IF(OR(ISNUMBER($W302),$W302="DNA"),$W302,IF(OR(ISNUMBER($V302),$V302="DNA"),$V302,IF(OR(ISNUMBER($U302),$U302="DNA"),$U302,IF(OR(ISNUMBER($T302),$T302="DNA"),$T302,IF(OR(ISNUMBER($S302),$S302="DNA"),$S302,IF(OR(ISNUMBER($P302),$P302="DNA"),$P302,IF(OR(ISNUMBER($O302),$O302="DNA"),$O302,IF(OR(ISNUMBER($N302),$N302="DNA"),$N302,""))))))))))&lt;TODAY())),1,0)+ISNUMBER($Q302)*($Q302&lt;TODAY())+ISNUMBER($R302)*($R302&lt;TODAY())+ISNUMBER($AA302)*($AA302&lt;TODAY())+ISNUMBER($AB302)*($AB302&lt;TODAY()))</f>
        <v/>
      </c>
    </row>
    <row r="303">
      <c r="A303" s="25" t="n"/>
      <c r="B303" s="26" t="n"/>
      <c r="C303" s="27" t="n"/>
      <c r="D303" s="25" t="n"/>
      <c r="E303" s="25" t="n"/>
      <c r="F303" s="25" t="n"/>
      <c r="G303" s="25" t="n"/>
      <c r="H303" s="27" t="n"/>
      <c r="I303" s="25" t="n"/>
      <c r="J303" s="28">
        <f>IF(OR(NOT(AND($A303&lt;&gt;"",OR($I303="",$I303="Active"))),$H303=""),"",INT((TODAY()-$H303+280)/7)&amp;"+"&amp;MOD(TODAY()-$H303+280,7))</f>
        <v/>
      </c>
      <c r="K303" s="28">
        <f>IF(NOT(AND($A303&lt;&gt;"",OR($I303="",$I303="Active"))),"",ISNUMBER($N303)*($N303&gt;=TODAY())*($N303&lt;=TODAY()+7)+ISNUMBER($O303)*($O303&gt;=TODAY())*($O303&lt;=TODAY()+7)+ISNUMBER($P303)*($P303&gt;=TODAY())*($P303&lt;=TODAY()+7)+ISNUMBER($S303)*($S303&gt;=TODAY())*($S303&lt;=TODAY()+7)+ISNUMBER($T303)*($T303&gt;=TODAY())*($T303&lt;=TODAY()+7)+ISNUMBER($U303)*($U303&gt;=TODAY())*($U303&lt;=TODAY()+7)+ISNUMBER($V303)*($V303&gt;=TODAY())*($V303&lt;=TODAY()+7)+ISNUMBER($W303)*($W303&gt;=TODAY())*($W303&lt;=TODAY()+7)+ISNUMBER($X303)*($X303&gt;=TODAY())*($X303&lt;=TODAY()+7)+ISNUMBER($Y303)*($Y303&gt;=TODAY())*($Y303&lt;=TODAY()+7)+ISNUMBER($Q303)*($Q303&gt;=TODAY())*($Q303&lt;=TODAY()+7)+ISNUMBER($R303)*($R303&gt;=TODAY())*($R303&lt;=TODAY()+7)+ISNUMBER($AA303)*($AA303&gt;=TODAY())*($AA303&lt;=TODAY()+7)+ISNUMBER($AB303)*($AB303&gt;=TODAY())*($AB303&lt;=TODAY()+7))</f>
        <v/>
      </c>
      <c r="L303" s="28">
        <f>IF(NOT(AND($A303&lt;&gt;"",OR($I303="",$I303="Active"))),"",IF($M303&lt;&gt;"",IF($N303=$M303,"Booking",IF($O303=$M303,"16/40",IF($P303=$M303,"25/40",IF($S303=$M303,"28/40",IF($T303=$M303,"31/40",IF($U303=$M303,"34/40",IF($V303=$M303,"36/40",IF($W303=$M303,"38/40",IF($X303=$M303,"40/40",IF($Y303=$M303,"41/40","")))))))))),IF(IF(OR(ISNUMBER($Y303),$Y303="DNA"),$Y303,IF(OR(ISNUMBER($X303),$X303="DNA"),$X303,IF(OR(ISNUMBER($W303),$W303="DNA"),$W303,IF(OR(ISNUMBER($V303),$V303="DNA"),$V303,IF(OR(ISNUMBER($U303),$U303="DNA"),$U303,IF(OR(ISNUMBER($T303),$T303="DNA"),$T303,IF(OR(ISNUMBER($S303),$S303="DNA"),$S303,IF(OR(ISNUMBER($P303),$P303="DNA"),$P303,IF(OR(ISNUMBER($O303),$O303="DNA"),$O303,IF(OR(ISNUMBER($N303),$N303="DNA"),$N303,""))))))))))="DNA","Rebook DNA",IF(ISNUMBER(IF(OR(ISNUMBER($Y303),$Y303="DNA"),$Y303,IF(OR(ISNUMBER($X303),$X303="DNA"),$X303,IF(OR(ISNUMBER($W303),$W303="DNA"),$W303,IF(OR(ISNUMBER($V303),$V303="DNA"),$V303,IF(OR(ISNUMBER($U303),$U303="DNA"),$U303,IF(OR(ISNUMBER($T303),$T303="DNA"),$T303,IF(OR(ISNUMBER($S303),$S303="DNA"),$S303,IF(OR(ISNUMBER($P303),$P303="DNA"),$P303,IF(OR(ISNUMBER($O303),$O303="DNA"),$O303,IF(OR(ISNUMBER($N303),$N303="DNA"),$N303,""))))))))))),IF(ISNUMBER($Y303),"Update status","Missed/not booked?"),""))))</f>
        <v/>
      </c>
      <c r="M303" s="29">
        <f>IF(NOT(AND($A303&lt;&gt;"",OR($I303="",$I303="Active"))),"",IF(MIN(IF(AND(ISNUMBER($N303),$N303&gt;=TODAY()),$N303,99999),IF(AND(ISNUMBER($O303),$O303&gt;=TODAY()),$O303,99999),IF(AND(ISNUMBER($P303),$P303&gt;=TODAY()),$P303,99999),IF(AND(ISNUMBER($S303),$S303&gt;=TODAY()),$S303,99999),IF(AND(ISNUMBER($T303),$T303&gt;=TODAY()),$T303,99999),IF(AND(ISNUMBER($U303),$U303&gt;=TODAY()),$U303,99999),IF(AND(ISNUMBER($V303),$V303&gt;=TODAY()),$V303,99999),IF(AND(ISNUMBER($W303),$W303&gt;=TODAY()),$W303,99999),IF(AND(ISNUMBER($X303),$X303&gt;=TODAY()),$X303,99999),IF(AND(ISNUMBER($Y303),$Y303&gt;=TODAY()),$Y303,99999))=99999,"",MIN(IF(AND(ISNUMBER($N303),$N303&gt;=TODAY()),$N303,99999),IF(AND(ISNUMBER($O303),$O303&gt;=TODAY()),$O303,99999),IF(AND(ISNUMBER($P303),$P303&gt;=TODAY()),$P303,99999),IF(AND(ISNUMBER($S303),$S303&gt;=TODAY()),$S303,99999),IF(AND(ISNUMBER($T303),$T303&gt;=TODAY()),$T303,99999),IF(AND(ISNUMBER($U303),$U303&gt;=TODAY()),$U303,99999),IF(AND(ISNUMBER($V303),$V303&gt;=TODAY()),$V303,99999),IF(AND(ISNUMBER($W303),$W303&gt;=TODAY()),$W303,99999),IF(AND(ISNUMBER($X303),$X303&gt;=TODAY()),$X303,99999),IF(AND(ISNUMBER($Y303),$Y303&gt;=TODAY()),$Y303,99999))))</f>
        <v/>
      </c>
      <c r="N303" s="27" t="n"/>
      <c r="O303" s="27" t="n"/>
      <c r="P303" s="27" t="n"/>
      <c r="Q303" s="27" t="n"/>
      <c r="R303" s="27" t="n"/>
      <c r="S303" s="27" t="n"/>
      <c r="T303" s="27" t="n"/>
      <c r="U303" s="27" t="n"/>
      <c r="V303" s="27" t="n"/>
      <c r="W303" s="27" t="n"/>
      <c r="X303" s="27" t="n"/>
      <c r="Y303" s="27" t="n"/>
      <c r="Z303" s="27" t="n"/>
      <c r="AA303" s="27" t="n"/>
      <c r="AB303" s="27" t="n"/>
      <c r="AC303" s="30" t="n"/>
      <c r="AD303" s="25" t="n"/>
      <c r="AE303" s="28">
        <f>IF(NOT(AND($A303&lt;&gt;"",OR($I303="",$I303="Active"))),"",IF(OR(IF(OR(ISNUMBER($Y303),$Y303="DNA"),$Y303,IF(OR(ISNUMBER($X303),$X303="DNA"),$X303,IF(OR(ISNUMBER($W303),$W303="DNA"),$W303,IF(OR(ISNUMBER($V303),$V303="DNA"),$V303,IF(OR(ISNUMBER($U303),$U303="DNA"),$U303,IF(OR(ISNUMBER($T303),$T303="DNA"),$T303,IF(OR(ISNUMBER($S303),$S303="DNA"),$S303,IF(OR(ISNUMBER($P303),$P303="DNA"),$P303,IF(OR(ISNUMBER($O303),$O303="DNA"),$O303,IF(OR(ISNUMBER($N303),$N303="DNA"),$N303,""))))))))))="DNA",AND(ISNUMBER(IF(OR(ISNUMBER($Y303),$Y303="DNA"),$Y303,IF(OR(ISNUMBER($X303),$X303="DNA"),$X303,IF(OR(ISNUMBER($W303),$W303="DNA"),$W303,IF(OR(ISNUMBER($V303),$V303="DNA"),$V303,IF(OR(ISNUMBER($U303),$U303="DNA"),$U303,IF(OR(ISNUMBER($T303),$T303="DNA"),$T303,IF(OR(ISNUMBER($S303),$S303="DNA"),$S303,IF(OR(ISNUMBER($P303),$P303="DNA"),$P303,IF(OR(ISNUMBER($O303),$O303="DNA"),$O303,IF(OR(ISNUMBER($N303),$N303="DNA"),$N303,""))))))))))),IF(OR(ISNUMBER($Y303),$Y303="DNA"),$Y303,IF(OR(ISNUMBER($X303),$X303="DNA"),$X303,IF(OR(ISNUMBER($W303),$W303="DNA"),$W303,IF(OR(ISNUMBER($V303),$V303="DNA"),$V303,IF(OR(ISNUMBER($U303),$U303="DNA"),$U303,IF(OR(ISNUMBER($T303),$T303="DNA"),$T303,IF(OR(ISNUMBER($S303),$S303="DNA"),$S303,IF(OR(ISNUMBER($P303),$P303="DNA"),$P303,IF(OR(ISNUMBER($O303),$O303="DNA"),$O303,IF(OR(ISNUMBER($N303),$N303="DNA"),$N303,""))))))))))&lt;TODAY())),1,0)+ISNUMBER($Q303)*($Q303&lt;TODAY())+ISNUMBER($R303)*($R303&lt;TODAY())+ISNUMBER($AA303)*($AA303&lt;TODAY())+ISNUMBER($AB303)*($AB303&lt;TODAY()))</f>
        <v/>
      </c>
    </row>
    <row r="304">
      <c r="A304" s="25" t="n"/>
      <c r="B304" s="26" t="n"/>
      <c r="C304" s="27" t="n"/>
      <c r="D304" s="25" t="n"/>
      <c r="E304" s="25" t="n"/>
      <c r="F304" s="25" t="n"/>
      <c r="G304" s="25" t="n"/>
      <c r="H304" s="27" t="n"/>
      <c r="I304" s="25" t="n"/>
      <c r="J304" s="28">
        <f>IF(OR(NOT(AND($A304&lt;&gt;"",OR($I304="",$I304="Active"))),$H304=""),"",INT((TODAY()-$H304+280)/7)&amp;"+"&amp;MOD(TODAY()-$H304+280,7))</f>
        <v/>
      </c>
      <c r="K304" s="28">
        <f>IF(NOT(AND($A304&lt;&gt;"",OR($I304="",$I304="Active"))),"",ISNUMBER($N304)*($N304&gt;=TODAY())*($N304&lt;=TODAY()+7)+ISNUMBER($O304)*($O304&gt;=TODAY())*($O304&lt;=TODAY()+7)+ISNUMBER($P304)*($P304&gt;=TODAY())*($P304&lt;=TODAY()+7)+ISNUMBER($S304)*($S304&gt;=TODAY())*($S304&lt;=TODAY()+7)+ISNUMBER($T304)*($T304&gt;=TODAY())*($T304&lt;=TODAY()+7)+ISNUMBER($U304)*($U304&gt;=TODAY())*($U304&lt;=TODAY()+7)+ISNUMBER($V304)*($V304&gt;=TODAY())*($V304&lt;=TODAY()+7)+ISNUMBER($W304)*($W304&gt;=TODAY())*($W304&lt;=TODAY()+7)+ISNUMBER($X304)*($X304&gt;=TODAY())*($X304&lt;=TODAY()+7)+ISNUMBER($Y304)*($Y304&gt;=TODAY())*($Y304&lt;=TODAY()+7)+ISNUMBER($Q304)*($Q304&gt;=TODAY())*($Q304&lt;=TODAY()+7)+ISNUMBER($R304)*($R304&gt;=TODAY())*($R304&lt;=TODAY()+7)+ISNUMBER($AA304)*($AA304&gt;=TODAY())*($AA304&lt;=TODAY()+7)+ISNUMBER($AB304)*($AB304&gt;=TODAY())*($AB304&lt;=TODAY()+7))</f>
        <v/>
      </c>
      <c r="L304" s="28">
        <f>IF(NOT(AND($A304&lt;&gt;"",OR($I304="",$I304="Active"))),"",IF($M304&lt;&gt;"",IF($N304=$M304,"Booking",IF($O304=$M304,"16/40",IF($P304=$M304,"25/40",IF($S304=$M304,"28/40",IF($T304=$M304,"31/40",IF($U304=$M304,"34/40",IF($V304=$M304,"36/40",IF($W304=$M304,"38/40",IF($X304=$M304,"40/40",IF($Y304=$M304,"41/40","")))))))))),IF(IF(OR(ISNUMBER($Y304),$Y304="DNA"),$Y304,IF(OR(ISNUMBER($X304),$X304="DNA"),$X304,IF(OR(ISNUMBER($W304),$W304="DNA"),$W304,IF(OR(ISNUMBER($V304),$V304="DNA"),$V304,IF(OR(ISNUMBER($U304),$U304="DNA"),$U304,IF(OR(ISNUMBER($T304),$T304="DNA"),$T304,IF(OR(ISNUMBER($S304),$S304="DNA"),$S304,IF(OR(ISNUMBER($P304),$P304="DNA"),$P304,IF(OR(ISNUMBER($O304),$O304="DNA"),$O304,IF(OR(ISNUMBER($N304),$N304="DNA"),$N304,""))))))))))="DNA","Rebook DNA",IF(ISNUMBER(IF(OR(ISNUMBER($Y304),$Y304="DNA"),$Y304,IF(OR(ISNUMBER($X304),$X304="DNA"),$X304,IF(OR(ISNUMBER($W304),$W304="DNA"),$W304,IF(OR(ISNUMBER($V304),$V304="DNA"),$V304,IF(OR(ISNUMBER($U304),$U304="DNA"),$U304,IF(OR(ISNUMBER($T304),$T304="DNA"),$T304,IF(OR(ISNUMBER($S304),$S304="DNA"),$S304,IF(OR(ISNUMBER($P304),$P304="DNA"),$P304,IF(OR(ISNUMBER($O304),$O304="DNA"),$O304,IF(OR(ISNUMBER($N304),$N304="DNA"),$N304,""))))))))))),IF(ISNUMBER($Y304),"Update status","Missed/not booked?"),""))))</f>
        <v/>
      </c>
      <c r="M304" s="29">
        <f>IF(NOT(AND($A304&lt;&gt;"",OR($I304="",$I304="Active"))),"",IF(MIN(IF(AND(ISNUMBER($N304),$N304&gt;=TODAY()),$N304,99999),IF(AND(ISNUMBER($O304),$O304&gt;=TODAY()),$O304,99999),IF(AND(ISNUMBER($P304),$P304&gt;=TODAY()),$P304,99999),IF(AND(ISNUMBER($S304),$S304&gt;=TODAY()),$S304,99999),IF(AND(ISNUMBER($T304),$T304&gt;=TODAY()),$T304,99999),IF(AND(ISNUMBER($U304),$U304&gt;=TODAY()),$U304,99999),IF(AND(ISNUMBER($V304),$V304&gt;=TODAY()),$V304,99999),IF(AND(ISNUMBER($W304),$W304&gt;=TODAY()),$W304,99999),IF(AND(ISNUMBER($X304),$X304&gt;=TODAY()),$X304,99999),IF(AND(ISNUMBER($Y304),$Y304&gt;=TODAY()),$Y304,99999))=99999,"",MIN(IF(AND(ISNUMBER($N304),$N304&gt;=TODAY()),$N304,99999),IF(AND(ISNUMBER($O304),$O304&gt;=TODAY()),$O304,99999),IF(AND(ISNUMBER($P304),$P304&gt;=TODAY()),$P304,99999),IF(AND(ISNUMBER($S304),$S304&gt;=TODAY()),$S304,99999),IF(AND(ISNUMBER($T304),$T304&gt;=TODAY()),$T304,99999),IF(AND(ISNUMBER($U304),$U304&gt;=TODAY()),$U304,99999),IF(AND(ISNUMBER($V304),$V304&gt;=TODAY()),$V304,99999),IF(AND(ISNUMBER($W304),$W304&gt;=TODAY()),$W304,99999),IF(AND(ISNUMBER($X304),$X304&gt;=TODAY()),$X304,99999),IF(AND(ISNUMBER($Y304),$Y304&gt;=TODAY()),$Y304,99999))))</f>
        <v/>
      </c>
      <c r="N304" s="27" t="n"/>
      <c r="O304" s="27" t="n"/>
      <c r="P304" s="27" t="n"/>
      <c r="Q304" s="27" t="n"/>
      <c r="R304" s="27" t="n"/>
      <c r="S304" s="27" t="n"/>
      <c r="T304" s="27" t="n"/>
      <c r="U304" s="27" t="n"/>
      <c r="V304" s="27" t="n"/>
      <c r="W304" s="27" t="n"/>
      <c r="X304" s="27" t="n"/>
      <c r="Y304" s="27" t="n"/>
      <c r="Z304" s="27" t="n"/>
      <c r="AA304" s="27" t="n"/>
      <c r="AB304" s="27" t="n"/>
      <c r="AC304" s="30" t="n"/>
      <c r="AD304" s="25" t="n"/>
      <c r="AE304" s="28">
        <f>IF(NOT(AND($A304&lt;&gt;"",OR($I304="",$I304="Active"))),"",IF(OR(IF(OR(ISNUMBER($Y304),$Y304="DNA"),$Y304,IF(OR(ISNUMBER($X304),$X304="DNA"),$X304,IF(OR(ISNUMBER($W304),$W304="DNA"),$W304,IF(OR(ISNUMBER($V304),$V304="DNA"),$V304,IF(OR(ISNUMBER($U304),$U304="DNA"),$U304,IF(OR(ISNUMBER($T304),$T304="DNA"),$T304,IF(OR(ISNUMBER($S304),$S304="DNA"),$S304,IF(OR(ISNUMBER($P304),$P304="DNA"),$P304,IF(OR(ISNUMBER($O304),$O304="DNA"),$O304,IF(OR(ISNUMBER($N304),$N304="DNA"),$N304,""))))))))))="DNA",AND(ISNUMBER(IF(OR(ISNUMBER($Y304),$Y304="DNA"),$Y304,IF(OR(ISNUMBER($X304),$X304="DNA"),$X304,IF(OR(ISNUMBER($W304),$W304="DNA"),$W304,IF(OR(ISNUMBER($V304),$V304="DNA"),$V304,IF(OR(ISNUMBER($U304),$U304="DNA"),$U304,IF(OR(ISNUMBER($T304),$T304="DNA"),$T304,IF(OR(ISNUMBER($S304),$S304="DNA"),$S304,IF(OR(ISNUMBER($P304),$P304="DNA"),$P304,IF(OR(ISNUMBER($O304),$O304="DNA"),$O304,IF(OR(ISNUMBER($N304),$N304="DNA"),$N304,""))))))))))),IF(OR(ISNUMBER($Y304),$Y304="DNA"),$Y304,IF(OR(ISNUMBER($X304),$X304="DNA"),$X304,IF(OR(ISNUMBER($W304),$W304="DNA"),$W304,IF(OR(ISNUMBER($V304),$V304="DNA"),$V304,IF(OR(ISNUMBER($U304),$U304="DNA"),$U304,IF(OR(ISNUMBER($T304),$T304="DNA"),$T304,IF(OR(ISNUMBER($S304),$S304="DNA"),$S304,IF(OR(ISNUMBER($P304),$P304="DNA"),$P304,IF(OR(ISNUMBER($O304),$O304="DNA"),$O304,IF(OR(ISNUMBER($N304),$N304="DNA"),$N304,""))))))))))&lt;TODAY())),1,0)+ISNUMBER($Q304)*($Q304&lt;TODAY())+ISNUMBER($R304)*($R304&lt;TODAY())+ISNUMBER($AA304)*($AA304&lt;TODAY())+ISNUMBER($AB304)*($AB304&lt;TODAY()))</f>
        <v/>
      </c>
    </row>
    <row r="305">
      <c r="A305" s="25" t="n"/>
      <c r="B305" s="26" t="n"/>
      <c r="C305" s="27" t="n"/>
      <c r="D305" s="25" t="n"/>
      <c r="E305" s="25" t="n"/>
      <c r="F305" s="25" t="n"/>
      <c r="G305" s="25" t="n"/>
      <c r="H305" s="27" t="n"/>
      <c r="I305" s="25" t="n"/>
      <c r="J305" s="28">
        <f>IF(OR(NOT(AND($A305&lt;&gt;"",OR($I305="",$I305="Active"))),$H305=""),"",INT((TODAY()-$H305+280)/7)&amp;"+"&amp;MOD(TODAY()-$H305+280,7))</f>
        <v/>
      </c>
      <c r="K305" s="28">
        <f>IF(NOT(AND($A305&lt;&gt;"",OR($I305="",$I305="Active"))),"",ISNUMBER($N305)*($N305&gt;=TODAY())*($N305&lt;=TODAY()+7)+ISNUMBER($O305)*($O305&gt;=TODAY())*($O305&lt;=TODAY()+7)+ISNUMBER($P305)*($P305&gt;=TODAY())*($P305&lt;=TODAY()+7)+ISNUMBER($S305)*($S305&gt;=TODAY())*($S305&lt;=TODAY()+7)+ISNUMBER($T305)*($T305&gt;=TODAY())*($T305&lt;=TODAY()+7)+ISNUMBER($U305)*($U305&gt;=TODAY())*($U305&lt;=TODAY()+7)+ISNUMBER($V305)*($V305&gt;=TODAY())*($V305&lt;=TODAY()+7)+ISNUMBER($W305)*($W305&gt;=TODAY())*($W305&lt;=TODAY()+7)+ISNUMBER($X305)*($X305&gt;=TODAY())*($X305&lt;=TODAY()+7)+ISNUMBER($Y305)*($Y305&gt;=TODAY())*($Y305&lt;=TODAY()+7)+ISNUMBER($Q305)*($Q305&gt;=TODAY())*($Q305&lt;=TODAY()+7)+ISNUMBER($R305)*($R305&gt;=TODAY())*($R305&lt;=TODAY()+7)+ISNUMBER($AA305)*($AA305&gt;=TODAY())*($AA305&lt;=TODAY()+7)+ISNUMBER($AB305)*($AB305&gt;=TODAY())*($AB305&lt;=TODAY()+7))</f>
        <v/>
      </c>
      <c r="L305" s="28">
        <f>IF(NOT(AND($A305&lt;&gt;"",OR($I305="",$I305="Active"))),"",IF($M305&lt;&gt;"",IF($N305=$M305,"Booking",IF($O305=$M305,"16/40",IF($P305=$M305,"25/40",IF($S305=$M305,"28/40",IF($T305=$M305,"31/40",IF($U305=$M305,"34/40",IF($V305=$M305,"36/40",IF($W305=$M305,"38/40",IF($X305=$M305,"40/40",IF($Y305=$M305,"41/40","")))))))))),IF(IF(OR(ISNUMBER($Y305),$Y305="DNA"),$Y305,IF(OR(ISNUMBER($X305),$X305="DNA"),$X305,IF(OR(ISNUMBER($W305),$W305="DNA"),$W305,IF(OR(ISNUMBER($V305),$V305="DNA"),$V305,IF(OR(ISNUMBER($U305),$U305="DNA"),$U305,IF(OR(ISNUMBER($T305),$T305="DNA"),$T305,IF(OR(ISNUMBER($S305),$S305="DNA"),$S305,IF(OR(ISNUMBER($P305),$P305="DNA"),$P305,IF(OR(ISNUMBER($O305),$O305="DNA"),$O305,IF(OR(ISNUMBER($N305),$N305="DNA"),$N305,""))))))))))="DNA","Rebook DNA",IF(ISNUMBER(IF(OR(ISNUMBER($Y305),$Y305="DNA"),$Y305,IF(OR(ISNUMBER($X305),$X305="DNA"),$X305,IF(OR(ISNUMBER($W305),$W305="DNA"),$W305,IF(OR(ISNUMBER($V305),$V305="DNA"),$V305,IF(OR(ISNUMBER($U305),$U305="DNA"),$U305,IF(OR(ISNUMBER($T305),$T305="DNA"),$T305,IF(OR(ISNUMBER($S305),$S305="DNA"),$S305,IF(OR(ISNUMBER($P305),$P305="DNA"),$P305,IF(OR(ISNUMBER($O305),$O305="DNA"),$O305,IF(OR(ISNUMBER($N305),$N305="DNA"),$N305,""))))))))))),IF(ISNUMBER($Y305),"Update status","Missed/not booked?"),""))))</f>
        <v/>
      </c>
      <c r="M305" s="29">
        <f>IF(NOT(AND($A305&lt;&gt;"",OR($I305="",$I305="Active"))),"",IF(MIN(IF(AND(ISNUMBER($N305),$N305&gt;=TODAY()),$N305,99999),IF(AND(ISNUMBER($O305),$O305&gt;=TODAY()),$O305,99999),IF(AND(ISNUMBER($P305),$P305&gt;=TODAY()),$P305,99999),IF(AND(ISNUMBER($S305),$S305&gt;=TODAY()),$S305,99999),IF(AND(ISNUMBER($T305),$T305&gt;=TODAY()),$T305,99999),IF(AND(ISNUMBER($U305),$U305&gt;=TODAY()),$U305,99999),IF(AND(ISNUMBER($V305),$V305&gt;=TODAY()),$V305,99999),IF(AND(ISNUMBER($W305),$W305&gt;=TODAY()),$W305,99999),IF(AND(ISNUMBER($X305),$X305&gt;=TODAY()),$X305,99999),IF(AND(ISNUMBER($Y305),$Y305&gt;=TODAY()),$Y305,99999))=99999,"",MIN(IF(AND(ISNUMBER($N305),$N305&gt;=TODAY()),$N305,99999),IF(AND(ISNUMBER($O305),$O305&gt;=TODAY()),$O305,99999),IF(AND(ISNUMBER($P305),$P305&gt;=TODAY()),$P305,99999),IF(AND(ISNUMBER($S305),$S305&gt;=TODAY()),$S305,99999),IF(AND(ISNUMBER($T305),$T305&gt;=TODAY()),$T305,99999),IF(AND(ISNUMBER($U305),$U305&gt;=TODAY()),$U305,99999),IF(AND(ISNUMBER($V305),$V305&gt;=TODAY()),$V305,99999),IF(AND(ISNUMBER($W305),$W305&gt;=TODAY()),$W305,99999),IF(AND(ISNUMBER($X305),$X305&gt;=TODAY()),$X305,99999),IF(AND(ISNUMBER($Y305),$Y305&gt;=TODAY()),$Y305,99999))))</f>
        <v/>
      </c>
      <c r="N305" s="27" t="n"/>
      <c r="O305" s="27" t="n"/>
      <c r="P305" s="27" t="n"/>
      <c r="Q305" s="27" t="n"/>
      <c r="R305" s="27" t="n"/>
      <c r="S305" s="27" t="n"/>
      <c r="T305" s="27" t="n"/>
      <c r="U305" s="27" t="n"/>
      <c r="V305" s="27" t="n"/>
      <c r="W305" s="27" t="n"/>
      <c r="X305" s="27" t="n"/>
      <c r="Y305" s="27" t="n"/>
      <c r="Z305" s="27" t="n"/>
      <c r="AA305" s="27" t="n"/>
      <c r="AB305" s="27" t="n"/>
      <c r="AC305" s="30" t="n"/>
      <c r="AD305" s="25" t="n"/>
      <c r="AE305" s="28">
        <f>IF(NOT(AND($A305&lt;&gt;"",OR($I305="",$I305="Active"))),"",IF(OR(IF(OR(ISNUMBER($Y305),$Y305="DNA"),$Y305,IF(OR(ISNUMBER($X305),$X305="DNA"),$X305,IF(OR(ISNUMBER($W305),$W305="DNA"),$W305,IF(OR(ISNUMBER($V305),$V305="DNA"),$V305,IF(OR(ISNUMBER($U305),$U305="DNA"),$U305,IF(OR(ISNUMBER($T305),$T305="DNA"),$T305,IF(OR(ISNUMBER($S305),$S305="DNA"),$S305,IF(OR(ISNUMBER($P305),$P305="DNA"),$P305,IF(OR(ISNUMBER($O305),$O305="DNA"),$O305,IF(OR(ISNUMBER($N305),$N305="DNA"),$N305,""))))))))))="DNA",AND(ISNUMBER(IF(OR(ISNUMBER($Y305),$Y305="DNA"),$Y305,IF(OR(ISNUMBER($X305),$X305="DNA"),$X305,IF(OR(ISNUMBER($W305),$W305="DNA"),$W305,IF(OR(ISNUMBER($V305),$V305="DNA"),$V305,IF(OR(ISNUMBER($U305),$U305="DNA"),$U305,IF(OR(ISNUMBER($T305),$T305="DNA"),$T305,IF(OR(ISNUMBER($S305),$S305="DNA"),$S305,IF(OR(ISNUMBER($P305),$P305="DNA"),$P305,IF(OR(ISNUMBER($O305),$O305="DNA"),$O305,IF(OR(ISNUMBER($N305),$N305="DNA"),$N305,""))))))))))),IF(OR(ISNUMBER($Y305),$Y305="DNA"),$Y305,IF(OR(ISNUMBER($X305),$X305="DNA"),$X305,IF(OR(ISNUMBER($W305),$W305="DNA"),$W305,IF(OR(ISNUMBER($V305),$V305="DNA"),$V305,IF(OR(ISNUMBER($U305),$U305="DNA"),$U305,IF(OR(ISNUMBER($T305),$T305="DNA"),$T305,IF(OR(ISNUMBER($S305),$S305="DNA"),$S305,IF(OR(ISNUMBER($P305),$P305="DNA"),$P305,IF(OR(ISNUMBER($O305),$O305="DNA"),$O305,IF(OR(ISNUMBER($N305),$N305="DNA"),$N305,""))))))))))&lt;TODAY())),1,0)+ISNUMBER($Q305)*($Q305&lt;TODAY())+ISNUMBER($R305)*($R305&lt;TODAY())+ISNUMBER($AA305)*($AA305&lt;TODAY())+ISNUMBER($AB305)*($AB305&lt;TODAY()))</f>
        <v/>
      </c>
    </row>
    <row r="306">
      <c r="A306" s="25" t="n"/>
      <c r="B306" s="26" t="n"/>
      <c r="C306" s="27" t="n"/>
      <c r="D306" s="25" t="n"/>
      <c r="E306" s="25" t="n"/>
      <c r="F306" s="25" t="n"/>
      <c r="G306" s="25" t="n"/>
      <c r="H306" s="27" t="n"/>
      <c r="I306" s="25" t="n"/>
      <c r="J306" s="28">
        <f>IF(OR(NOT(AND($A306&lt;&gt;"",OR($I306="",$I306="Active"))),$H306=""),"",INT((TODAY()-$H306+280)/7)&amp;"+"&amp;MOD(TODAY()-$H306+280,7))</f>
        <v/>
      </c>
      <c r="K306" s="28">
        <f>IF(NOT(AND($A306&lt;&gt;"",OR($I306="",$I306="Active"))),"",ISNUMBER($N306)*($N306&gt;=TODAY())*($N306&lt;=TODAY()+7)+ISNUMBER($O306)*($O306&gt;=TODAY())*($O306&lt;=TODAY()+7)+ISNUMBER($P306)*($P306&gt;=TODAY())*($P306&lt;=TODAY()+7)+ISNUMBER($S306)*($S306&gt;=TODAY())*($S306&lt;=TODAY()+7)+ISNUMBER($T306)*($T306&gt;=TODAY())*($T306&lt;=TODAY()+7)+ISNUMBER($U306)*($U306&gt;=TODAY())*($U306&lt;=TODAY()+7)+ISNUMBER($V306)*($V306&gt;=TODAY())*($V306&lt;=TODAY()+7)+ISNUMBER($W306)*($W306&gt;=TODAY())*($W306&lt;=TODAY()+7)+ISNUMBER($X306)*($X306&gt;=TODAY())*($X306&lt;=TODAY()+7)+ISNUMBER($Y306)*($Y306&gt;=TODAY())*($Y306&lt;=TODAY()+7)+ISNUMBER($Q306)*($Q306&gt;=TODAY())*($Q306&lt;=TODAY()+7)+ISNUMBER($R306)*($R306&gt;=TODAY())*($R306&lt;=TODAY()+7)+ISNUMBER($AA306)*($AA306&gt;=TODAY())*($AA306&lt;=TODAY()+7)+ISNUMBER($AB306)*($AB306&gt;=TODAY())*($AB306&lt;=TODAY()+7))</f>
        <v/>
      </c>
      <c r="L306" s="28">
        <f>IF(NOT(AND($A306&lt;&gt;"",OR($I306="",$I306="Active"))),"",IF($M306&lt;&gt;"",IF($N306=$M306,"Booking",IF($O306=$M306,"16/40",IF($P306=$M306,"25/40",IF($S306=$M306,"28/40",IF($T306=$M306,"31/40",IF($U306=$M306,"34/40",IF($V306=$M306,"36/40",IF($W306=$M306,"38/40",IF($X306=$M306,"40/40",IF($Y306=$M306,"41/40","")))))))))),IF(IF(OR(ISNUMBER($Y306),$Y306="DNA"),$Y306,IF(OR(ISNUMBER($X306),$X306="DNA"),$X306,IF(OR(ISNUMBER($W306),$W306="DNA"),$W306,IF(OR(ISNUMBER($V306),$V306="DNA"),$V306,IF(OR(ISNUMBER($U306),$U306="DNA"),$U306,IF(OR(ISNUMBER($T306),$T306="DNA"),$T306,IF(OR(ISNUMBER($S306),$S306="DNA"),$S306,IF(OR(ISNUMBER($P306),$P306="DNA"),$P306,IF(OR(ISNUMBER($O306),$O306="DNA"),$O306,IF(OR(ISNUMBER($N306),$N306="DNA"),$N306,""))))))))))="DNA","Rebook DNA",IF(ISNUMBER(IF(OR(ISNUMBER($Y306),$Y306="DNA"),$Y306,IF(OR(ISNUMBER($X306),$X306="DNA"),$X306,IF(OR(ISNUMBER($W306),$W306="DNA"),$W306,IF(OR(ISNUMBER($V306),$V306="DNA"),$V306,IF(OR(ISNUMBER($U306),$U306="DNA"),$U306,IF(OR(ISNUMBER($T306),$T306="DNA"),$T306,IF(OR(ISNUMBER($S306),$S306="DNA"),$S306,IF(OR(ISNUMBER($P306),$P306="DNA"),$P306,IF(OR(ISNUMBER($O306),$O306="DNA"),$O306,IF(OR(ISNUMBER($N306),$N306="DNA"),$N306,""))))))))))),IF(ISNUMBER($Y306),"Update status","Missed/not booked?"),""))))</f>
        <v/>
      </c>
      <c r="M306" s="29">
        <f>IF(NOT(AND($A306&lt;&gt;"",OR($I306="",$I306="Active"))),"",IF(MIN(IF(AND(ISNUMBER($N306),$N306&gt;=TODAY()),$N306,99999),IF(AND(ISNUMBER($O306),$O306&gt;=TODAY()),$O306,99999),IF(AND(ISNUMBER($P306),$P306&gt;=TODAY()),$P306,99999),IF(AND(ISNUMBER($S306),$S306&gt;=TODAY()),$S306,99999),IF(AND(ISNUMBER($T306),$T306&gt;=TODAY()),$T306,99999),IF(AND(ISNUMBER($U306),$U306&gt;=TODAY()),$U306,99999),IF(AND(ISNUMBER($V306),$V306&gt;=TODAY()),$V306,99999),IF(AND(ISNUMBER($W306),$W306&gt;=TODAY()),$W306,99999),IF(AND(ISNUMBER($X306),$X306&gt;=TODAY()),$X306,99999),IF(AND(ISNUMBER($Y306),$Y306&gt;=TODAY()),$Y306,99999))=99999,"",MIN(IF(AND(ISNUMBER($N306),$N306&gt;=TODAY()),$N306,99999),IF(AND(ISNUMBER($O306),$O306&gt;=TODAY()),$O306,99999),IF(AND(ISNUMBER($P306),$P306&gt;=TODAY()),$P306,99999),IF(AND(ISNUMBER($S306),$S306&gt;=TODAY()),$S306,99999),IF(AND(ISNUMBER($T306),$T306&gt;=TODAY()),$T306,99999),IF(AND(ISNUMBER($U306),$U306&gt;=TODAY()),$U306,99999),IF(AND(ISNUMBER($V306),$V306&gt;=TODAY()),$V306,99999),IF(AND(ISNUMBER($W306),$W306&gt;=TODAY()),$W306,99999),IF(AND(ISNUMBER($X306),$X306&gt;=TODAY()),$X306,99999),IF(AND(ISNUMBER($Y306),$Y306&gt;=TODAY()),$Y306,99999))))</f>
        <v/>
      </c>
      <c r="N306" s="27" t="n"/>
      <c r="O306" s="27" t="n"/>
      <c r="P306" s="27" t="n"/>
      <c r="Q306" s="27" t="n"/>
      <c r="R306" s="27" t="n"/>
      <c r="S306" s="27" t="n"/>
      <c r="T306" s="27" t="n"/>
      <c r="U306" s="27" t="n"/>
      <c r="V306" s="27" t="n"/>
      <c r="W306" s="27" t="n"/>
      <c r="X306" s="27" t="n"/>
      <c r="Y306" s="27" t="n"/>
      <c r="Z306" s="27" t="n"/>
      <c r="AA306" s="27" t="n"/>
      <c r="AB306" s="27" t="n"/>
      <c r="AC306" s="30" t="n"/>
      <c r="AD306" s="25" t="n"/>
      <c r="AE306" s="28">
        <f>IF(NOT(AND($A306&lt;&gt;"",OR($I306="",$I306="Active"))),"",IF(OR(IF(OR(ISNUMBER($Y306),$Y306="DNA"),$Y306,IF(OR(ISNUMBER($X306),$X306="DNA"),$X306,IF(OR(ISNUMBER($W306),$W306="DNA"),$W306,IF(OR(ISNUMBER($V306),$V306="DNA"),$V306,IF(OR(ISNUMBER($U306),$U306="DNA"),$U306,IF(OR(ISNUMBER($T306),$T306="DNA"),$T306,IF(OR(ISNUMBER($S306),$S306="DNA"),$S306,IF(OR(ISNUMBER($P306),$P306="DNA"),$P306,IF(OR(ISNUMBER($O306),$O306="DNA"),$O306,IF(OR(ISNUMBER($N306),$N306="DNA"),$N306,""))))))))))="DNA",AND(ISNUMBER(IF(OR(ISNUMBER($Y306),$Y306="DNA"),$Y306,IF(OR(ISNUMBER($X306),$X306="DNA"),$X306,IF(OR(ISNUMBER($W306),$W306="DNA"),$W306,IF(OR(ISNUMBER($V306),$V306="DNA"),$V306,IF(OR(ISNUMBER($U306),$U306="DNA"),$U306,IF(OR(ISNUMBER($T306),$T306="DNA"),$T306,IF(OR(ISNUMBER($S306),$S306="DNA"),$S306,IF(OR(ISNUMBER($P306),$P306="DNA"),$P306,IF(OR(ISNUMBER($O306),$O306="DNA"),$O306,IF(OR(ISNUMBER($N306),$N306="DNA"),$N306,""))))))))))),IF(OR(ISNUMBER($Y306),$Y306="DNA"),$Y306,IF(OR(ISNUMBER($X306),$X306="DNA"),$X306,IF(OR(ISNUMBER($W306),$W306="DNA"),$W306,IF(OR(ISNUMBER($V306),$V306="DNA"),$V306,IF(OR(ISNUMBER($U306),$U306="DNA"),$U306,IF(OR(ISNUMBER($T306),$T306="DNA"),$T306,IF(OR(ISNUMBER($S306),$S306="DNA"),$S306,IF(OR(ISNUMBER($P306),$P306="DNA"),$P306,IF(OR(ISNUMBER($O306),$O306="DNA"),$O306,IF(OR(ISNUMBER($N306),$N306="DNA"),$N306,""))))))))))&lt;TODAY())),1,0)+ISNUMBER($Q306)*($Q306&lt;TODAY())+ISNUMBER($R306)*($R306&lt;TODAY())+ISNUMBER($AA306)*($AA306&lt;TODAY())+ISNUMBER($AB306)*($AB306&lt;TODAY()))</f>
        <v/>
      </c>
    </row>
    <row r="307">
      <c r="A307" s="25" t="n"/>
      <c r="B307" s="26" t="n"/>
      <c r="C307" s="27" t="n"/>
      <c r="D307" s="25" t="n"/>
      <c r="E307" s="25" t="n"/>
      <c r="F307" s="25" t="n"/>
      <c r="G307" s="25" t="n"/>
      <c r="H307" s="27" t="n"/>
      <c r="I307" s="25" t="n"/>
      <c r="J307" s="28">
        <f>IF(OR(NOT(AND($A307&lt;&gt;"",OR($I307="",$I307="Active"))),$H307=""),"",INT((TODAY()-$H307+280)/7)&amp;"+"&amp;MOD(TODAY()-$H307+280,7))</f>
        <v/>
      </c>
      <c r="K307" s="28">
        <f>IF(NOT(AND($A307&lt;&gt;"",OR($I307="",$I307="Active"))),"",ISNUMBER($N307)*($N307&gt;=TODAY())*($N307&lt;=TODAY()+7)+ISNUMBER($O307)*($O307&gt;=TODAY())*($O307&lt;=TODAY()+7)+ISNUMBER($P307)*($P307&gt;=TODAY())*($P307&lt;=TODAY()+7)+ISNUMBER($S307)*($S307&gt;=TODAY())*($S307&lt;=TODAY()+7)+ISNUMBER($T307)*($T307&gt;=TODAY())*($T307&lt;=TODAY()+7)+ISNUMBER($U307)*($U307&gt;=TODAY())*($U307&lt;=TODAY()+7)+ISNUMBER($V307)*($V307&gt;=TODAY())*($V307&lt;=TODAY()+7)+ISNUMBER($W307)*($W307&gt;=TODAY())*($W307&lt;=TODAY()+7)+ISNUMBER($X307)*($X307&gt;=TODAY())*($X307&lt;=TODAY()+7)+ISNUMBER($Y307)*($Y307&gt;=TODAY())*($Y307&lt;=TODAY()+7)+ISNUMBER($Q307)*($Q307&gt;=TODAY())*($Q307&lt;=TODAY()+7)+ISNUMBER($R307)*($R307&gt;=TODAY())*($R307&lt;=TODAY()+7)+ISNUMBER($AA307)*($AA307&gt;=TODAY())*($AA307&lt;=TODAY()+7)+ISNUMBER($AB307)*($AB307&gt;=TODAY())*($AB307&lt;=TODAY()+7))</f>
        <v/>
      </c>
      <c r="L307" s="28">
        <f>IF(NOT(AND($A307&lt;&gt;"",OR($I307="",$I307="Active"))),"",IF($M307&lt;&gt;"",IF($N307=$M307,"Booking",IF($O307=$M307,"16/40",IF($P307=$M307,"25/40",IF($S307=$M307,"28/40",IF($T307=$M307,"31/40",IF($U307=$M307,"34/40",IF($V307=$M307,"36/40",IF($W307=$M307,"38/40",IF($X307=$M307,"40/40",IF($Y307=$M307,"41/40","")))))))))),IF(IF(OR(ISNUMBER($Y307),$Y307="DNA"),$Y307,IF(OR(ISNUMBER($X307),$X307="DNA"),$X307,IF(OR(ISNUMBER($W307),$W307="DNA"),$W307,IF(OR(ISNUMBER($V307),$V307="DNA"),$V307,IF(OR(ISNUMBER($U307),$U307="DNA"),$U307,IF(OR(ISNUMBER($T307),$T307="DNA"),$T307,IF(OR(ISNUMBER($S307),$S307="DNA"),$S307,IF(OR(ISNUMBER($P307),$P307="DNA"),$P307,IF(OR(ISNUMBER($O307),$O307="DNA"),$O307,IF(OR(ISNUMBER($N307),$N307="DNA"),$N307,""))))))))))="DNA","Rebook DNA",IF(ISNUMBER(IF(OR(ISNUMBER($Y307),$Y307="DNA"),$Y307,IF(OR(ISNUMBER($X307),$X307="DNA"),$X307,IF(OR(ISNUMBER($W307),$W307="DNA"),$W307,IF(OR(ISNUMBER($V307),$V307="DNA"),$V307,IF(OR(ISNUMBER($U307),$U307="DNA"),$U307,IF(OR(ISNUMBER($T307),$T307="DNA"),$T307,IF(OR(ISNUMBER($S307),$S307="DNA"),$S307,IF(OR(ISNUMBER($P307),$P307="DNA"),$P307,IF(OR(ISNUMBER($O307),$O307="DNA"),$O307,IF(OR(ISNUMBER($N307),$N307="DNA"),$N307,""))))))))))),IF(ISNUMBER($Y307),"Update status","Missed/not booked?"),""))))</f>
        <v/>
      </c>
      <c r="M307" s="29">
        <f>IF(NOT(AND($A307&lt;&gt;"",OR($I307="",$I307="Active"))),"",IF(MIN(IF(AND(ISNUMBER($N307),$N307&gt;=TODAY()),$N307,99999),IF(AND(ISNUMBER($O307),$O307&gt;=TODAY()),$O307,99999),IF(AND(ISNUMBER($P307),$P307&gt;=TODAY()),$P307,99999),IF(AND(ISNUMBER($S307),$S307&gt;=TODAY()),$S307,99999),IF(AND(ISNUMBER($T307),$T307&gt;=TODAY()),$T307,99999),IF(AND(ISNUMBER($U307),$U307&gt;=TODAY()),$U307,99999),IF(AND(ISNUMBER($V307),$V307&gt;=TODAY()),$V307,99999),IF(AND(ISNUMBER($W307),$W307&gt;=TODAY()),$W307,99999),IF(AND(ISNUMBER($X307),$X307&gt;=TODAY()),$X307,99999),IF(AND(ISNUMBER($Y307),$Y307&gt;=TODAY()),$Y307,99999))=99999,"",MIN(IF(AND(ISNUMBER($N307),$N307&gt;=TODAY()),$N307,99999),IF(AND(ISNUMBER($O307),$O307&gt;=TODAY()),$O307,99999),IF(AND(ISNUMBER($P307),$P307&gt;=TODAY()),$P307,99999),IF(AND(ISNUMBER($S307),$S307&gt;=TODAY()),$S307,99999),IF(AND(ISNUMBER($T307),$T307&gt;=TODAY()),$T307,99999),IF(AND(ISNUMBER($U307),$U307&gt;=TODAY()),$U307,99999),IF(AND(ISNUMBER($V307),$V307&gt;=TODAY()),$V307,99999),IF(AND(ISNUMBER($W307),$W307&gt;=TODAY()),$W307,99999),IF(AND(ISNUMBER($X307),$X307&gt;=TODAY()),$X307,99999),IF(AND(ISNUMBER($Y307),$Y307&gt;=TODAY()),$Y307,99999))))</f>
        <v/>
      </c>
      <c r="N307" s="27" t="n"/>
      <c r="O307" s="27" t="n"/>
      <c r="P307" s="27" t="n"/>
      <c r="Q307" s="27" t="n"/>
      <c r="R307" s="27" t="n"/>
      <c r="S307" s="27" t="n"/>
      <c r="T307" s="27" t="n"/>
      <c r="U307" s="27" t="n"/>
      <c r="V307" s="27" t="n"/>
      <c r="W307" s="27" t="n"/>
      <c r="X307" s="27" t="n"/>
      <c r="Y307" s="27" t="n"/>
      <c r="Z307" s="27" t="n"/>
      <c r="AA307" s="27" t="n"/>
      <c r="AB307" s="27" t="n"/>
      <c r="AC307" s="30" t="n"/>
      <c r="AD307" s="25" t="n"/>
      <c r="AE307" s="28">
        <f>IF(NOT(AND($A307&lt;&gt;"",OR($I307="",$I307="Active"))),"",IF(OR(IF(OR(ISNUMBER($Y307),$Y307="DNA"),$Y307,IF(OR(ISNUMBER($X307),$X307="DNA"),$X307,IF(OR(ISNUMBER($W307),$W307="DNA"),$W307,IF(OR(ISNUMBER($V307),$V307="DNA"),$V307,IF(OR(ISNUMBER($U307),$U307="DNA"),$U307,IF(OR(ISNUMBER($T307),$T307="DNA"),$T307,IF(OR(ISNUMBER($S307),$S307="DNA"),$S307,IF(OR(ISNUMBER($P307),$P307="DNA"),$P307,IF(OR(ISNUMBER($O307),$O307="DNA"),$O307,IF(OR(ISNUMBER($N307),$N307="DNA"),$N307,""))))))))))="DNA",AND(ISNUMBER(IF(OR(ISNUMBER($Y307),$Y307="DNA"),$Y307,IF(OR(ISNUMBER($X307),$X307="DNA"),$X307,IF(OR(ISNUMBER($W307),$W307="DNA"),$W307,IF(OR(ISNUMBER($V307),$V307="DNA"),$V307,IF(OR(ISNUMBER($U307),$U307="DNA"),$U307,IF(OR(ISNUMBER($T307),$T307="DNA"),$T307,IF(OR(ISNUMBER($S307),$S307="DNA"),$S307,IF(OR(ISNUMBER($P307),$P307="DNA"),$P307,IF(OR(ISNUMBER($O307),$O307="DNA"),$O307,IF(OR(ISNUMBER($N307),$N307="DNA"),$N307,""))))))))))),IF(OR(ISNUMBER($Y307),$Y307="DNA"),$Y307,IF(OR(ISNUMBER($X307),$X307="DNA"),$X307,IF(OR(ISNUMBER($W307),$W307="DNA"),$W307,IF(OR(ISNUMBER($V307),$V307="DNA"),$V307,IF(OR(ISNUMBER($U307),$U307="DNA"),$U307,IF(OR(ISNUMBER($T307),$T307="DNA"),$T307,IF(OR(ISNUMBER($S307),$S307="DNA"),$S307,IF(OR(ISNUMBER($P307),$P307="DNA"),$P307,IF(OR(ISNUMBER($O307),$O307="DNA"),$O307,IF(OR(ISNUMBER($N307),$N307="DNA"),$N307,""))))))))))&lt;TODAY())),1,0)+ISNUMBER($Q307)*($Q307&lt;TODAY())+ISNUMBER($R307)*($R307&lt;TODAY())+ISNUMBER($AA307)*($AA307&lt;TODAY())+ISNUMBER($AB307)*($AB307&lt;TODAY()))</f>
        <v/>
      </c>
    </row>
    <row r="308">
      <c r="A308" s="25" t="n"/>
      <c r="B308" s="26" t="n"/>
      <c r="C308" s="27" t="n"/>
      <c r="D308" s="25" t="n"/>
      <c r="E308" s="25" t="n"/>
      <c r="F308" s="25" t="n"/>
      <c r="G308" s="25" t="n"/>
      <c r="H308" s="27" t="n"/>
      <c r="I308" s="25" t="n"/>
      <c r="J308" s="28">
        <f>IF(OR(NOT(AND($A308&lt;&gt;"",OR($I308="",$I308="Active"))),$H308=""),"",INT((TODAY()-$H308+280)/7)&amp;"+"&amp;MOD(TODAY()-$H308+280,7))</f>
        <v/>
      </c>
      <c r="K308" s="28">
        <f>IF(NOT(AND($A308&lt;&gt;"",OR($I308="",$I308="Active"))),"",ISNUMBER($N308)*($N308&gt;=TODAY())*($N308&lt;=TODAY()+7)+ISNUMBER($O308)*($O308&gt;=TODAY())*($O308&lt;=TODAY()+7)+ISNUMBER($P308)*($P308&gt;=TODAY())*($P308&lt;=TODAY()+7)+ISNUMBER($S308)*($S308&gt;=TODAY())*($S308&lt;=TODAY()+7)+ISNUMBER($T308)*($T308&gt;=TODAY())*($T308&lt;=TODAY()+7)+ISNUMBER($U308)*($U308&gt;=TODAY())*($U308&lt;=TODAY()+7)+ISNUMBER($V308)*($V308&gt;=TODAY())*($V308&lt;=TODAY()+7)+ISNUMBER($W308)*($W308&gt;=TODAY())*($W308&lt;=TODAY()+7)+ISNUMBER($X308)*($X308&gt;=TODAY())*($X308&lt;=TODAY()+7)+ISNUMBER($Y308)*($Y308&gt;=TODAY())*($Y308&lt;=TODAY()+7)+ISNUMBER($Q308)*($Q308&gt;=TODAY())*($Q308&lt;=TODAY()+7)+ISNUMBER($R308)*($R308&gt;=TODAY())*($R308&lt;=TODAY()+7)+ISNUMBER($AA308)*($AA308&gt;=TODAY())*($AA308&lt;=TODAY()+7)+ISNUMBER($AB308)*($AB308&gt;=TODAY())*($AB308&lt;=TODAY()+7))</f>
        <v/>
      </c>
      <c r="L308" s="28">
        <f>IF(NOT(AND($A308&lt;&gt;"",OR($I308="",$I308="Active"))),"",IF($M308&lt;&gt;"",IF($N308=$M308,"Booking",IF($O308=$M308,"16/40",IF($P308=$M308,"25/40",IF($S308=$M308,"28/40",IF($T308=$M308,"31/40",IF($U308=$M308,"34/40",IF($V308=$M308,"36/40",IF($W308=$M308,"38/40",IF($X308=$M308,"40/40",IF($Y308=$M308,"41/40","")))))))))),IF(IF(OR(ISNUMBER($Y308),$Y308="DNA"),$Y308,IF(OR(ISNUMBER($X308),$X308="DNA"),$X308,IF(OR(ISNUMBER($W308),$W308="DNA"),$W308,IF(OR(ISNUMBER($V308),$V308="DNA"),$V308,IF(OR(ISNUMBER($U308),$U308="DNA"),$U308,IF(OR(ISNUMBER($T308),$T308="DNA"),$T308,IF(OR(ISNUMBER($S308),$S308="DNA"),$S308,IF(OR(ISNUMBER($P308),$P308="DNA"),$P308,IF(OR(ISNUMBER($O308),$O308="DNA"),$O308,IF(OR(ISNUMBER($N308),$N308="DNA"),$N308,""))))))))))="DNA","Rebook DNA",IF(ISNUMBER(IF(OR(ISNUMBER($Y308),$Y308="DNA"),$Y308,IF(OR(ISNUMBER($X308),$X308="DNA"),$X308,IF(OR(ISNUMBER($W308),$W308="DNA"),$W308,IF(OR(ISNUMBER($V308),$V308="DNA"),$V308,IF(OR(ISNUMBER($U308),$U308="DNA"),$U308,IF(OR(ISNUMBER($T308),$T308="DNA"),$T308,IF(OR(ISNUMBER($S308),$S308="DNA"),$S308,IF(OR(ISNUMBER($P308),$P308="DNA"),$P308,IF(OR(ISNUMBER($O308),$O308="DNA"),$O308,IF(OR(ISNUMBER($N308),$N308="DNA"),$N308,""))))))))))),IF(ISNUMBER($Y308),"Update status","Missed/not booked?"),""))))</f>
        <v/>
      </c>
      <c r="M308" s="29">
        <f>IF(NOT(AND($A308&lt;&gt;"",OR($I308="",$I308="Active"))),"",IF(MIN(IF(AND(ISNUMBER($N308),$N308&gt;=TODAY()),$N308,99999),IF(AND(ISNUMBER($O308),$O308&gt;=TODAY()),$O308,99999),IF(AND(ISNUMBER($P308),$P308&gt;=TODAY()),$P308,99999),IF(AND(ISNUMBER($S308),$S308&gt;=TODAY()),$S308,99999),IF(AND(ISNUMBER($T308),$T308&gt;=TODAY()),$T308,99999),IF(AND(ISNUMBER($U308),$U308&gt;=TODAY()),$U308,99999),IF(AND(ISNUMBER($V308),$V308&gt;=TODAY()),$V308,99999),IF(AND(ISNUMBER($W308),$W308&gt;=TODAY()),$W308,99999),IF(AND(ISNUMBER($X308),$X308&gt;=TODAY()),$X308,99999),IF(AND(ISNUMBER($Y308),$Y308&gt;=TODAY()),$Y308,99999))=99999,"",MIN(IF(AND(ISNUMBER($N308),$N308&gt;=TODAY()),$N308,99999),IF(AND(ISNUMBER($O308),$O308&gt;=TODAY()),$O308,99999),IF(AND(ISNUMBER($P308),$P308&gt;=TODAY()),$P308,99999),IF(AND(ISNUMBER($S308),$S308&gt;=TODAY()),$S308,99999),IF(AND(ISNUMBER($T308),$T308&gt;=TODAY()),$T308,99999),IF(AND(ISNUMBER($U308),$U308&gt;=TODAY()),$U308,99999),IF(AND(ISNUMBER($V308),$V308&gt;=TODAY()),$V308,99999),IF(AND(ISNUMBER($W308),$W308&gt;=TODAY()),$W308,99999),IF(AND(ISNUMBER($X308),$X308&gt;=TODAY()),$X308,99999),IF(AND(ISNUMBER($Y308),$Y308&gt;=TODAY()),$Y308,99999))))</f>
        <v/>
      </c>
      <c r="N308" s="27" t="n"/>
      <c r="O308" s="27" t="n"/>
      <c r="P308" s="27" t="n"/>
      <c r="Q308" s="27" t="n"/>
      <c r="R308" s="27" t="n"/>
      <c r="S308" s="27" t="n"/>
      <c r="T308" s="27" t="n"/>
      <c r="U308" s="27" t="n"/>
      <c r="V308" s="27" t="n"/>
      <c r="W308" s="27" t="n"/>
      <c r="X308" s="27" t="n"/>
      <c r="Y308" s="27" t="n"/>
      <c r="Z308" s="27" t="n"/>
      <c r="AA308" s="27" t="n"/>
      <c r="AB308" s="27" t="n"/>
      <c r="AC308" s="30" t="n"/>
      <c r="AD308" s="25" t="n"/>
      <c r="AE308" s="28">
        <f>IF(NOT(AND($A308&lt;&gt;"",OR($I308="",$I308="Active"))),"",IF(OR(IF(OR(ISNUMBER($Y308),$Y308="DNA"),$Y308,IF(OR(ISNUMBER($X308),$X308="DNA"),$X308,IF(OR(ISNUMBER($W308),$W308="DNA"),$W308,IF(OR(ISNUMBER($V308),$V308="DNA"),$V308,IF(OR(ISNUMBER($U308),$U308="DNA"),$U308,IF(OR(ISNUMBER($T308),$T308="DNA"),$T308,IF(OR(ISNUMBER($S308),$S308="DNA"),$S308,IF(OR(ISNUMBER($P308),$P308="DNA"),$P308,IF(OR(ISNUMBER($O308),$O308="DNA"),$O308,IF(OR(ISNUMBER($N308),$N308="DNA"),$N308,""))))))))))="DNA",AND(ISNUMBER(IF(OR(ISNUMBER($Y308),$Y308="DNA"),$Y308,IF(OR(ISNUMBER($X308),$X308="DNA"),$X308,IF(OR(ISNUMBER($W308),$W308="DNA"),$W308,IF(OR(ISNUMBER($V308),$V308="DNA"),$V308,IF(OR(ISNUMBER($U308),$U308="DNA"),$U308,IF(OR(ISNUMBER($T308),$T308="DNA"),$T308,IF(OR(ISNUMBER($S308),$S308="DNA"),$S308,IF(OR(ISNUMBER($P308),$P308="DNA"),$P308,IF(OR(ISNUMBER($O308),$O308="DNA"),$O308,IF(OR(ISNUMBER($N308),$N308="DNA"),$N308,""))))))))))),IF(OR(ISNUMBER($Y308),$Y308="DNA"),$Y308,IF(OR(ISNUMBER($X308),$X308="DNA"),$X308,IF(OR(ISNUMBER($W308),$W308="DNA"),$W308,IF(OR(ISNUMBER($V308),$V308="DNA"),$V308,IF(OR(ISNUMBER($U308),$U308="DNA"),$U308,IF(OR(ISNUMBER($T308),$T308="DNA"),$T308,IF(OR(ISNUMBER($S308),$S308="DNA"),$S308,IF(OR(ISNUMBER($P308),$P308="DNA"),$P308,IF(OR(ISNUMBER($O308),$O308="DNA"),$O308,IF(OR(ISNUMBER($N308),$N308="DNA"),$N308,""))))))))))&lt;TODAY())),1,0)+ISNUMBER($Q308)*($Q308&lt;TODAY())+ISNUMBER($R308)*($R308&lt;TODAY())+ISNUMBER($AA308)*($AA308&lt;TODAY())+ISNUMBER($AB308)*($AB308&lt;TODAY()))</f>
        <v/>
      </c>
    </row>
    <row r="309">
      <c r="A309" s="25" t="n"/>
      <c r="B309" s="26" t="n"/>
      <c r="C309" s="27" t="n"/>
      <c r="D309" s="25" t="n"/>
      <c r="E309" s="25" t="n"/>
      <c r="F309" s="25" t="n"/>
      <c r="G309" s="25" t="n"/>
      <c r="H309" s="27" t="n"/>
      <c r="I309" s="25" t="n"/>
      <c r="J309" s="28">
        <f>IF(OR(NOT(AND($A309&lt;&gt;"",OR($I309="",$I309="Active"))),$H309=""),"",INT((TODAY()-$H309+280)/7)&amp;"+"&amp;MOD(TODAY()-$H309+280,7))</f>
        <v/>
      </c>
      <c r="K309" s="28">
        <f>IF(NOT(AND($A309&lt;&gt;"",OR($I309="",$I309="Active"))),"",ISNUMBER($N309)*($N309&gt;=TODAY())*($N309&lt;=TODAY()+7)+ISNUMBER($O309)*($O309&gt;=TODAY())*($O309&lt;=TODAY()+7)+ISNUMBER($P309)*($P309&gt;=TODAY())*($P309&lt;=TODAY()+7)+ISNUMBER($S309)*($S309&gt;=TODAY())*($S309&lt;=TODAY()+7)+ISNUMBER($T309)*($T309&gt;=TODAY())*($T309&lt;=TODAY()+7)+ISNUMBER($U309)*($U309&gt;=TODAY())*($U309&lt;=TODAY()+7)+ISNUMBER($V309)*($V309&gt;=TODAY())*($V309&lt;=TODAY()+7)+ISNUMBER($W309)*($W309&gt;=TODAY())*($W309&lt;=TODAY()+7)+ISNUMBER($X309)*($X309&gt;=TODAY())*($X309&lt;=TODAY()+7)+ISNUMBER($Y309)*($Y309&gt;=TODAY())*($Y309&lt;=TODAY()+7)+ISNUMBER($Q309)*($Q309&gt;=TODAY())*($Q309&lt;=TODAY()+7)+ISNUMBER($R309)*($R309&gt;=TODAY())*($R309&lt;=TODAY()+7)+ISNUMBER($AA309)*($AA309&gt;=TODAY())*($AA309&lt;=TODAY()+7)+ISNUMBER($AB309)*($AB309&gt;=TODAY())*($AB309&lt;=TODAY()+7))</f>
        <v/>
      </c>
      <c r="L309" s="28">
        <f>IF(NOT(AND($A309&lt;&gt;"",OR($I309="",$I309="Active"))),"",IF($M309&lt;&gt;"",IF($N309=$M309,"Booking",IF($O309=$M309,"16/40",IF($P309=$M309,"25/40",IF($S309=$M309,"28/40",IF($T309=$M309,"31/40",IF($U309=$M309,"34/40",IF($V309=$M309,"36/40",IF($W309=$M309,"38/40",IF($X309=$M309,"40/40",IF($Y309=$M309,"41/40","")))))))))),IF(IF(OR(ISNUMBER($Y309),$Y309="DNA"),$Y309,IF(OR(ISNUMBER($X309),$X309="DNA"),$X309,IF(OR(ISNUMBER($W309),$W309="DNA"),$W309,IF(OR(ISNUMBER($V309),$V309="DNA"),$V309,IF(OR(ISNUMBER($U309),$U309="DNA"),$U309,IF(OR(ISNUMBER($T309),$T309="DNA"),$T309,IF(OR(ISNUMBER($S309),$S309="DNA"),$S309,IF(OR(ISNUMBER($P309),$P309="DNA"),$P309,IF(OR(ISNUMBER($O309),$O309="DNA"),$O309,IF(OR(ISNUMBER($N309),$N309="DNA"),$N309,""))))))))))="DNA","Rebook DNA",IF(ISNUMBER(IF(OR(ISNUMBER($Y309),$Y309="DNA"),$Y309,IF(OR(ISNUMBER($X309),$X309="DNA"),$X309,IF(OR(ISNUMBER($W309),$W309="DNA"),$W309,IF(OR(ISNUMBER($V309),$V309="DNA"),$V309,IF(OR(ISNUMBER($U309),$U309="DNA"),$U309,IF(OR(ISNUMBER($T309),$T309="DNA"),$T309,IF(OR(ISNUMBER($S309),$S309="DNA"),$S309,IF(OR(ISNUMBER($P309),$P309="DNA"),$P309,IF(OR(ISNUMBER($O309),$O309="DNA"),$O309,IF(OR(ISNUMBER($N309),$N309="DNA"),$N309,""))))))))))),IF(ISNUMBER($Y309),"Update status","Missed/not booked?"),""))))</f>
        <v/>
      </c>
      <c r="M309" s="29">
        <f>IF(NOT(AND($A309&lt;&gt;"",OR($I309="",$I309="Active"))),"",IF(MIN(IF(AND(ISNUMBER($N309),$N309&gt;=TODAY()),$N309,99999),IF(AND(ISNUMBER($O309),$O309&gt;=TODAY()),$O309,99999),IF(AND(ISNUMBER($P309),$P309&gt;=TODAY()),$P309,99999),IF(AND(ISNUMBER($S309),$S309&gt;=TODAY()),$S309,99999),IF(AND(ISNUMBER($T309),$T309&gt;=TODAY()),$T309,99999),IF(AND(ISNUMBER($U309),$U309&gt;=TODAY()),$U309,99999),IF(AND(ISNUMBER($V309),$V309&gt;=TODAY()),$V309,99999),IF(AND(ISNUMBER($W309),$W309&gt;=TODAY()),$W309,99999),IF(AND(ISNUMBER($X309),$X309&gt;=TODAY()),$X309,99999),IF(AND(ISNUMBER($Y309),$Y309&gt;=TODAY()),$Y309,99999))=99999,"",MIN(IF(AND(ISNUMBER($N309),$N309&gt;=TODAY()),$N309,99999),IF(AND(ISNUMBER($O309),$O309&gt;=TODAY()),$O309,99999),IF(AND(ISNUMBER($P309),$P309&gt;=TODAY()),$P309,99999),IF(AND(ISNUMBER($S309),$S309&gt;=TODAY()),$S309,99999),IF(AND(ISNUMBER($T309),$T309&gt;=TODAY()),$T309,99999),IF(AND(ISNUMBER($U309),$U309&gt;=TODAY()),$U309,99999),IF(AND(ISNUMBER($V309),$V309&gt;=TODAY()),$V309,99999),IF(AND(ISNUMBER($W309),$W309&gt;=TODAY()),$W309,99999),IF(AND(ISNUMBER($X309),$X309&gt;=TODAY()),$X309,99999),IF(AND(ISNUMBER($Y309),$Y309&gt;=TODAY()),$Y309,99999))))</f>
        <v/>
      </c>
      <c r="N309" s="27" t="n"/>
      <c r="O309" s="27" t="n"/>
      <c r="P309" s="27" t="n"/>
      <c r="Q309" s="27" t="n"/>
      <c r="R309" s="27" t="n"/>
      <c r="S309" s="27" t="n"/>
      <c r="T309" s="27" t="n"/>
      <c r="U309" s="27" t="n"/>
      <c r="V309" s="27" t="n"/>
      <c r="W309" s="27" t="n"/>
      <c r="X309" s="27" t="n"/>
      <c r="Y309" s="27" t="n"/>
      <c r="Z309" s="27" t="n"/>
      <c r="AA309" s="27" t="n"/>
      <c r="AB309" s="27" t="n"/>
      <c r="AC309" s="30" t="n"/>
      <c r="AD309" s="25" t="n"/>
      <c r="AE309" s="28">
        <f>IF(NOT(AND($A309&lt;&gt;"",OR($I309="",$I309="Active"))),"",IF(OR(IF(OR(ISNUMBER($Y309),$Y309="DNA"),$Y309,IF(OR(ISNUMBER($X309),$X309="DNA"),$X309,IF(OR(ISNUMBER($W309),$W309="DNA"),$W309,IF(OR(ISNUMBER($V309),$V309="DNA"),$V309,IF(OR(ISNUMBER($U309),$U309="DNA"),$U309,IF(OR(ISNUMBER($T309),$T309="DNA"),$T309,IF(OR(ISNUMBER($S309),$S309="DNA"),$S309,IF(OR(ISNUMBER($P309),$P309="DNA"),$P309,IF(OR(ISNUMBER($O309),$O309="DNA"),$O309,IF(OR(ISNUMBER($N309),$N309="DNA"),$N309,""))))))))))="DNA",AND(ISNUMBER(IF(OR(ISNUMBER($Y309),$Y309="DNA"),$Y309,IF(OR(ISNUMBER($X309),$X309="DNA"),$X309,IF(OR(ISNUMBER($W309),$W309="DNA"),$W309,IF(OR(ISNUMBER($V309),$V309="DNA"),$V309,IF(OR(ISNUMBER($U309),$U309="DNA"),$U309,IF(OR(ISNUMBER($T309),$T309="DNA"),$T309,IF(OR(ISNUMBER($S309),$S309="DNA"),$S309,IF(OR(ISNUMBER($P309),$P309="DNA"),$P309,IF(OR(ISNUMBER($O309),$O309="DNA"),$O309,IF(OR(ISNUMBER($N309),$N309="DNA"),$N309,""))))))))))),IF(OR(ISNUMBER($Y309),$Y309="DNA"),$Y309,IF(OR(ISNUMBER($X309),$X309="DNA"),$X309,IF(OR(ISNUMBER($W309),$W309="DNA"),$W309,IF(OR(ISNUMBER($V309),$V309="DNA"),$V309,IF(OR(ISNUMBER($U309),$U309="DNA"),$U309,IF(OR(ISNUMBER($T309),$T309="DNA"),$T309,IF(OR(ISNUMBER($S309),$S309="DNA"),$S309,IF(OR(ISNUMBER($P309),$P309="DNA"),$P309,IF(OR(ISNUMBER($O309),$O309="DNA"),$O309,IF(OR(ISNUMBER($N309),$N309="DNA"),$N309,""))))))))))&lt;TODAY())),1,0)+ISNUMBER($Q309)*($Q309&lt;TODAY())+ISNUMBER($R309)*($R309&lt;TODAY())+ISNUMBER($AA309)*($AA309&lt;TODAY())+ISNUMBER($AB309)*($AB309&lt;TODAY()))</f>
        <v/>
      </c>
    </row>
    <row r="310">
      <c r="A310" s="25" t="n"/>
      <c r="B310" s="26" t="n"/>
      <c r="C310" s="27" t="n"/>
      <c r="D310" s="25" t="n"/>
      <c r="E310" s="25" t="n"/>
      <c r="F310" s="25" t="n"/>
      <c r="G310" s="25" t="n"/>
      <c r="H310" s="27" t="n"/>
      <c r="I310" s="25" t="n"/>
      <c r="J310" s="28">
        <f>IF(OR(NOT(AND($A310&lt;&gt;"",OR($I310="",$I310="Active"))),$H310=""),"",INT((TODAY()-$H310+280)/7)&amp;"+"&amp;MOD(TODAY()-$H310+280,7))</f>
        <v/>
      </c>
      <c r="K310" s="28">
        <f>IF(NOT(AND($A310&lt;&gt;"",OR($I310="",$I310="Active"))),"",ISNUMBER($N310)*($N310&gt;=TODAY())*($N310&lt;=TODAY()+7)+ISNUMBER($O310)*($O310&gt;=TODAY())*($O310&lt;=TODAY()+7)+ISNUMBER($P310)*($P310&gt;=TODAY())*($P310&lt;=TODAY()+7)+ISNUMBER($S310)*($S310&gt;=TODAY())*($S310&lt;=TODAY()+7)+ISNUMBER($T310)*($T310&gt;=TODAY())*($T310&lt;=TODAY()+7)+ISNUMBER($U310)*($U310&gt;=TODAY())*($U310&lt;=TODAY()+7)+ISNUMBER($V310)*($V310&gt;=TODAY())*($V310&lt;=TODAY()+7)+ISNUMBER($W310)*($W310&gt;=TODAY())*($W310&lt;=TODAY()+7)+ISNUMBER($X310)*($X310&gt;=TODAY())*($X310&lt;=TODAY()+7)+ISNUMBER($Y310)*($Y310&gt;=TODAY())*($Y310&lt;=TODAY()+7)+ISNUMBER($Q310)*($Q310&gt;=TODAY())*($Q310&lt;=TODAY()+7)+ISNUMBER($R310)*($R310&gt;=TODAY())*($R310&lt;=TODAY()+7)+ISNUMBER($AA310)*($AA310&gt;=TODAY())*($AA310&lt;=TODAY()+7)+ISNUMBER($AB310)*($AB310&gt;=TODAY())*($AB310&lt;=TODAY()+7))</f>
        <v/>
      </c>
      <c r="L310" s="28">
        <f>IF(NOT(AND($A310&lt;&gt;"",OR($I310="",$I310="Active"))),"",IF($M310&lt;&gt;"",IF($N310=$M310,"Booking",IF($O310=$M310,"16/40",IF($P310=$M310,"25/40",IF($S310=$M310,"28/40",IF($T310=$M310,"31/40",IF($U310=$M310,"34/40",IF($V310=$M310,"36/40",IF($W310=$M310,"38/40",IF($X310=$M310,"40/40",IF($Y310=$M310,"41/40","")))))))))),IF(IF(OR(ISNUMBER($Y310),$Y310="DNA"),$Y310,IF(OR(ISNUMBER($X310),$X310="DNA"),$X310,IF(OR(ISNUMBER($W310),$W310="DNA"),$W310,IF(OR(ISNUMBER($V310),$V310="DNA"),$V310,IF(OR(ISNUMBER($U310),$U310="DNA"),$U310,IF(OR(ISNUMBER($T310),$T310="DNA"),$T310,IF(OR(ISNUMBER($S310),$S310="DNA"),$S310,IF(OR(ISNUMBER($P310),$P310="DNA"),$P310,IF(OR(ISNUMBER($O310),$O310="DNA"),$O310,IF(OR(ISNUMBER($N310),$N310="DNA"),$N310,""))))))))))="DNA","Rebook DNA",IF(ISNUMBER(IF(OR(ISNUMBER($Y310),$Y310="DNA"),$Y310,IF(OR(ISNUMBER($X310),$X310="DNA"),$X310,IF(OR(ISNUMBER($W310),$W310="DNA"),$W310,IF(OR(ISNUMBER($V310),$V310="DNA"),$V310,IF(OR(ISNUMBER($U310),$U310="DNA"),$U310,IF(OR(ISNUMBER($T310),$T310="DNA"),$T310,IF(OR(ISNUMBER($S310),$S310="DNA"),$S310,IF(OR(ISNUMBER($P310),$P310="DNA"),$P310,IF(OR(ISNUMBER($O310),$O310="DNA"),$O310,IF(OR(ISNUMBER($N310),$N310="DNA"),$N310,""))))))))))),IF(ISNUMBER($Y310),"Update status","Missed/not booked?"),""))))</f>
        <v/>
      </c>
      <c r="M310" s="29">
        <f>IF(NOT(AND($A310&lt;&gt;"",OR($I310="",$I310="Active"))),"",IF(MIN(IF(AND(ISNUMBER($N310),$N310&gt;=TODAY()),$N310,99999),IF(AND(ISNUMBER($O310),$O310&gt;=TODAY()),$O310,99999),IF(AND(ISNUMBER($P310),$P310&gt;=TODAY()),$P310,99999),IF(AND(ISNUMBER($S310),$S310&gt;=TODAY()),$S310,99999),IF(AND(ISNUMBER($T310),$T310&gt;=TODAY()),$T310,99999),IF(AND(ISNUMBER($U310),$U310&gt;=TODAY()),$U310,99999),IF(AND(ISNUMBER($V310),$V310&gt;=TODAY()),$V310,99999),IF(AND(ISNUMBER($W310),$W310&gt;=TODAY()),$W310,99999),IF(AND(ISNUMBER($X310),$X310&gt;=TODAY()),$X310,99999),IF(AND(ISNUMBER($Y310),$Y310&gt;=TODAY()),$Y310,99999))=99999,"",MIN(IF(AND(ISNUMBER($N310),$N310&gt;=TODAY()),$N310,99999),IF(AND(ISNUMBER($O310),$O310&gt;=TODAY()),$O310,99999),IF(AND(ISNUMBER($P310),$P310&gt;=TODAY()),$P310,99999),IF(AND(ISNUMBER($S310),$S310&gt;=TODAY()),$S310,99999),IF(AND(ISNUMBER($T310),$T310&gt;=TODAY()),$T310,99999),IF(AND(ISNUMBER($U310),$U310&gt;=TODAY()),$U310,99999),IF(AND(ISNUMBER($V310),$V310&gt;=TODAY()),$V310,99999),IF(AND(ISNUMBER($W310),$W310&gt;=TODAY()),$W310,99999),IF(AND(ISNUMBER($X310),$X310&gt;=TODAY()),$X310,99999),IF(AND(ISNUMBER($Y310),$Y310&gt;=TODAY()),$Y310,99999))))</f>
        <v/>
      </c>
      <c r="N310" s="27" t="n"/>
      <c r="O310" s="27" t="n"/>
      <c r="P310" s="27" t="n"/>
      <c r="Q310" s="27" t="n"/>
      <c r="R310" s="27" t="n"/>
      <c r="S310" s="27" t="n"/>
      <c r="T310" s="27" t="n"/>
      <c r="U310" s="27" t="n"/>
      <c r="V310" s="27" t="n"/>
      <c r="W310" s="27" t="n"/>
      <c r="X310" s="27" t="n"/>
      <c r="Y310" s="27" t="n"/>
      <c r="Z310" s="27" t="n"/>
      <c r="AA310" s="27" t="n"/>
      <c r="AB310" s="27" t="n"/>
      <c r="AC310" s="30" t="n"/>
      <c r="AD310" s="25" t="n"/>
      <c r="AE310" s="28">
        <f>IF(NOT(AND($A310&lt;&gt;"",OR($I310="",$I310="Active"))),"",IF(OR(IF(OR(ISNUMBER($Y310),$Y310="DNA"),$Y310,IF(OR(ISNUMBER($X310),$X310="DNA"),$X310,IF(OR(ISNUMBER($W310),$W310="DNA"),$W310,IF(OR(ISNUMBER($V310),$V310="DNA"),$V310,IF(OR(ISNUMBER($U310),$U310="DNA"),$U310,IF(OR(ISNUMBER($T310),$T310="DNA"),$T310,IF(OR(ISNUMBER($S310),$S310="DNA"),$S310,IF(OR(ISNUMBER($P310),$P310="DNA"),$P310,IF(OR(ISNUMBER($O310),$O310="DNA"),$O310,IF(OR(ISNUMBER($N310),$N310="DNA"),$N310,""))))))))))="DNA",AND(ISNUMBER(IF(OR(ISNUMBER($Y310),$Y310="DNA"),$Y310,IF(OR(ISNUMBER($X310),$X310="DNA"),$X310,IF(OR(ISNUMBER($W310),$W310="DNA"),$W310,IF(OR(ISNUMBER($V310),$V310="DNA"),$V310,IF(OR(ISNUMBER($U310),$U310="DNA"),$U310,IF(OR(ISNUMBER($T310),$T310="DNA"),$T310,IF(OR(ISNUMBER($S310),$S310="DNA"),$S310,IF(OR(ISNUMBER($P310),$P310="DNA"),$P310,IF(OR(ISNUMBER($O310),$O310="DNA"),$O310,IF(OR(ISNUMBER($N310),$N310="DNA"),$N310,""))))))))))),IF(OR(ISNUMBER($Y310),$Y310="DNA"),$Y310,IF(OR(ISNUMBER($X310),$X310="DNA"),$X310,IF(OR(ISNUMBER($W310),$W310="DNA"),$W310,IF(OR(ISNUMBER($V310),$V310="DNA"),$V310,IF(OR(ISNUMBER($U310),$U310="DNA"),$U310,IF(OR(ISNUMBER($T310),$T310="DNA"),$T310,IF(OR(ISNUMBER($S310),$S310="DNA"),$S310,IF(OR(ISNUMBER($P310),$P310="DNA"),$P310,IF(OR(ISNUMBER($O310),$O310="DNA"),$O310,IF(OR(ISNUMBER($N310),$N310="DNA"),$N310,""))))))))))&lt;TODAY())),1,0)+ISNUMBER($Q310)*($Q310&lt;TODAY())+ISNUMBER($R310)*($R310&lt;TODAY())+ISNUMBER($AA310)*($AA310&lt;TODAY())+ISNUMBER($AB310)*($AB310&lt;TODAY()))</f>
        <v/>
      </c>
    </row>
    <row r="311">
      <c r="A311" s="25" t="n"/>
      <c r="B311" s="26" t="n"/>
      <c r="C311" s="27" t="n"/>
      <c r="D311" s="25" t="n"/>
      <c r="E311" s="25" t="n"/>
      <c r="F311" s="25" t="n"/>
      <c r="G311" s="25" t="n"/>
      <c r="H311" s="27" t="n"/>
      <c r="I311" s="25" t="n"/>
      <c r="J311" s="28">
        <f>IF(OR(NOT(AND($A311&lt;&gt;"",OR($I311="",$I311="Active"))),$H311=""),"",INT((TODAY()-$H311+280)/7)&amp;"+"&amp;MOD(TODAY()-$H311+280,7))</f>
        <v/>
      </c>
      <c r="K311" s="28">
        <f>IF(NOT(AND($A311&lt;&gt;"",OR($I311="",$I311="Active"))),"",ISNUMBER($N311)*($N311&gt;=TODAY())*($N311&lt;=TODAY()+7)+ISNUMBER($O311)*($O311&gt;=TODAY())*($O311&lt;=TODAY()+7)+ISNUMBER($P311)*($P311&gt;=TODAY())*($P311&lt;=TODAY()+7)+ISNUMBER($S311)*($S311&gt;=TODAY())*($S311&lt;=TODAY()+7)+ISNUMBER($T311)*($T311&gt;=TODAY())*($T311&lt;=TODAY()+7)+ISNUMBER($U311)*($U311&gt;=TODAY())*($U311&lt;=TODAY()+7)+ISNUMBER($V311)*($V311&gt;=TODAY())*($V311&lt;=TODAY()+7)+ISNUMBER($W311)*($W311&gt;=TODAY())*($W311&lt;=TODAY()+7)+ISNUMBER($X311)*($X311&gt;=TODAY())*($X311&lt;=TODAY()+7)+ISNUMBER($Y311)*($Y311&gt;=TODAY())*($Y311&lt;=TODAY()+7)+ISNUMBER($Q311)*($Q311&gt;=TODAY())*($Q311&lt;=TODAY()+7)+ISNUMBER($R311)*($R311&gt;=TODAY())*($R311&lt;=TODAY()+7)+ISNUMBER($AA311)*($AA311&gt;=TODAY())*($AA311&lt;=TODAY()+7)+ISNUMBER($AB311)*($AB311&gt;=TODAY())*($AB311&lt;=TODAY()+7))</f>
        <v/>
      </c>
      <c r="L311" s="28">
        <f>IF(NOT(AND($A311&lt;&gt;"",OR($I311="",$I311="Active"))),"",IF($M311&lt;&gt;"",IF($N311=$M311,"Booking",IF($O311=$M311,"16/40",IF($P311=$M311,"25/40",IF($S311=$M311,"28/40",IF($T311=$M311,"31/40",IF($U311=$M311,"34/40",IF($V311=$M311,"36/40",IF($W311=$M311,"38/40",IF($X311=$M311,"40/40",IF($Y311=$M311,"41/40","")))))))))),IF(IF(OR(ISNUMBER($Y311),$Y311="DNA"),$Y311,IF(OR(ISNUMBER($X311),$X311="DNA"),$X311,IF(OR(ISNUMBER($W311),$W311="DNA"),$W311,IF(OR(ISNUMBER($V311),$V311="DNA"),$V311,IF(OR(ISNUMBER($U311),$U311="DNA"),$U311,IF(OR(ISNUMBER($T311),$T311="DNA"),$T311,IF(OR(ISNUMBER($S311),$S311="DNA"),$S311,IF(OR(ISNUMBER($P311),$P311="DNA"),$P311,IF(OR(ISNUMBER($O311),$O311="DNA"),$O311,IF(OR(ISNUMBER($N311),$N311="DNA"),$N311,""))))))))))="DNA","Rebook DNA",IF(ISNUMBER(IF(OR(ISNUMBER($Y311),$Y311="DNA"),$Y311,IF(OR(ISNUMBER($X311),$X311="DNA"),$X311,IF(OR(ISNUMBER($W311),$W311="DNA"),$W311,IF(OR(ISNUMBER($V311),$V311="DNA"),$V311,IF(OR(ISNUMBER($U311),$U311="DNA"),$U311,IF(OR(ISNUMBER($T311),$T311="DNA"),$T311,IF(OR(ISNUMBER($S311),$S311="DNA"),$S311,IF(OR(ISNUMBER($P311),$P311="DNA"),$P311,IF(OR(ISNUMBER($O311),$O311="DNA"),$O311,IF(OR(ISNUMBER($N311),$N311="DNA"),$N311,""))))))))))),IF(ISNUMBER($Y311),"Update status","Missed/not booked?"),""))))</f>
        <v/>
      </c>
      <c r="M311" s="29">
        <f>IF(NOT(AND($A311&lt;&gt;"",OR($I311="",$I311="Active"))),"",IF(MIN(IF(AND(ISNUMBER($N311),$N311&gt;=TODAY()),$N311,99999),IF(AND(ISNUMBER($O311),$O311&gt;=TODAY()),$O311,99999),IF(AND(ISNUMBER($P311),$P311&gt;=TODAY()),$P311,99999),IF(AND(ISNUMBER($S311),$S311&gt;=TODAY()),$S311,99999),IF(AND(ISNUMBER($T311),$T311&gt;=TODAY()),$T311,99999),IF(AND(ISNUMBER($U311),$U311&gt;=TODAY()),$U311,99999),IF(AND(ISNUMBER($V311),$V311&gt;=TODAY()),$V311,99999),IF(AND(ISNUMBER($W311),$W311&gt;=TODAY()),$W311,99999),IF(AND(ISNUMBER($X311),$X311&gt;=TODAY()),$X311,99999),IF(AND(ISNUMBER($Y311),$Y311&gt;=TODAY()),$Y311,99999))=99999,"",MIN(IF(AND(ISNUMBER($N311),$N311&gt;=TODAY()),$N311,99999),IF(AND(ISNUMBER($O311),$O311&gt;=TODAY()),$O311,99999),IF(AND(ISNUMBER($P311),$P311&gt;=TODAY()),$P311,99999),IF(AND(ISNUMBER($S311),$S311&gt;=TODAY()),$S311,99999),IF(AND(ISNUMBER($T311),$T311&gt;=TODAY()),$T311,99999),IF(AND(ISNUMBER($U311),$U311&gt;=TODAY()),$U311,99999),IF(AND(ISNUMBER($V311),$V311&gt;=TODAY()),$V311,99999),IF(AND(ISNUMBER($W311),$W311&gt;=TODAY()),$W311,99999),IF(AND(ISNUMBER($X311),$X311&gt;=TODAY()),$X311,99999),IF(AND(ISNUMBER($Y311),$Y311&gt;=TODAY()),$Y311,99999))))</f>
        <v/>
      </c>
      <c r="N311" s="27" t="n"/>
      <c r="O311" s="27" t="n"/>
      <c r="P311" s="27" t="n"/>
      <c r="Q311" s="27" t="n"/>
      <c r="R311" s="27" t="n"/>
      <c r="S311" s="27" t="n"/>
      <c r="T311" s="27" t="n"/>
      <c r="U311" s="27" t="n"/>
      <c r="V311" s="27" t="n"/>
      <c r="W311" s="27" t="n"/>
      <c r="X311" s="27" t="n"/>
      <c r="Y311" s="27" t="n"/>
      <c r="Z311" s="27" t="n"/>
      <c r="AA311" s="27" t="n"/>
      <c r="AB311" s="27" t="n"/>
      <c r="AC311" s="30" t="n"/>
      <c r="AD311" s="25" t="n"/>
      <c r="AE311" s="28">
        <f>IF(NOT(AND($A311&lt;&gt;"",OR($I311="",$I311="Active"))),"",IF(OR(IF(OR(ISNUMBER($Y311),$Y311="DNA"),$Y311,IF(OR(ISNUMBER($X311),$X311="DNA"),$X311,IF(OR(ISNUMBER($W311),$W311="DNA"),$W311,IF(OR(ISNUMBER($V311),$V311="DNA"),$V311,IF(OR(ISNUMBER($U311),$U311="DNA"),$U311,IF(OR(ISNUMBER($T311),$T311="DNA"),$T311,IF(OR(ISNUMBER($S311),$S311="DNA"),$S311,IF(OR(ISNUMBER($P311),$P311="DNA"),$P311,IF(OR(ISNUMBER($O311),$O311="DNA"),$O311,IF(OR(ISNUMBER($N311),$N311="DNA"),$N311,""))))))))))="DNA",AND(ISNUMBER(IF(OR(ISNUMBER($Y311),$Y311="DNA"),$Y311,IF(OR(ISNUMBER($X311),$X311="DNA"),$X311,IF(OR(ISNUMBER($W311),$W311="DNA"),$W311,IF(OR(ISNUMBER($V311),$V311="DNA"),$V311,IF(OR(ISNUMBER($U311),$U311="DNA"),$U311,IF(OR(ISNUMBER($T311),$T311="DNA"),$T311,IF(OR(ISNUMBER($S311),$S311="DNA"),$S311,IF(OR(ISNUMBER($P311),$P311="DNA"),$P311,IF(OR(ISNUMBER($O311),$O311="DNA"),$O311,IF(OR(ISNUMBER($N311),$N311="DNA"),$N311,""))))))))))),IF(OR(ISNUMBER($Y311),$Y311="DNA"),$Y311,IF(OR(ISNUMBER($X311),$X311="DNA"),$X311,IF(OR(ISNUMBER($W311),$W311="DNA"),$W311,IF(OR(ISNUMBER($V311),$V311="DNA"),$V311,IF(OR(ISNUMBER($U311),$U311="DNA"),$U311,IF(OR(ISNUMBER($T311),$T311="DNA"),$T311,IF(OR(ISNUMBER($S311),$S311="DNA"),$S311,IF(OR(ISNUMBER($P311),$P311="DNA"),$P311,IF(OR(ISNUMBER($O311),$O311="DNA"),$O311,IF(OR(ISNUMBER($N311),$N311="DNA"),$N311,""))))))))))&lt;TODAY())),1,0)+ISNUMBER($Q311)*($Q311&lt;TODAY())+ISNUMBER($R311)*($R311&lt;TODAY())+ISNUMBER($AA311)*($AA311&lt;TODAY())+ISNUMBER($AB311)*($AB311&lt;TODAY()))</f>
        <v/>
      </c>
    </row>
    <row r="312">
      <c r="A312" s="25" t="n"/>
      <c r="B312" s="26" t="n"/>
      <c r="C312" s="27" t="n"/>
      <c r="D312" s="25" t="n"/>
      <c r="E312" s="25" t="n"/>
      <c r="F312" s="25" t="n"/>
      <c r="G312" s="25" t="n"/>
      <c r="H312" s="27" t="n"/>
      <c r="I312" s="25" t="n"/>
      <c r="J312" s="28">
        <f>IF(OR(NOT(AND($A312&lt;&gt;"",OR($I312="",$I312="Active"))),$H312=""),"",INT((TODAY()-$H312+280)/7)&amp;"+"&amp;MOD(TODAY()-$H312+280,7))</f>
        <v/>
      </c>
      <c r="K312" s="28">
        <f>IF(NOT(AND($A312&lt;&gt;"",OR($I312="",$I312="Active"))),"",ISNUMBER($N312)*($N312&gt;=TODAY())*($N312&lt;=TODAY()+7)+ISNUMBER($O312)*($O312&gt;=TODAY())*($O312&lt;=TODAY()+7)+ISNUMBER($P312)*($P312&gt;=TODAY())*($P312&lt;=TODAY()+7)+ISNUMBER($S312)*($S312&gt;=TODAY())*($S312&lt;=TODAY()+7)+ISNUMBER($T312)*($T312&gt;=TODAY())*($T312&lt;=TODAY()+7)+ISNUMBER($U312)*($U312&gt;=TODAY())*($U312&lt;=TODAY()+7)+ISNUMBER($V312)*($V312&gt;=TODAY())*($V312&lt;=TODAY()+7)+ISNUMBER($W312)*($W312&gt;=TODAY())*($W312&lt;=TODAY()+7)+ISNUMBER($X312)*($X312&gt;=TODAY())*($X312&lt;=TODAY()+7)+ISNUMBER($Y312)*($Y312&gt;=TODAY())*($Y312&lt;=TODAY()+7)+ISNUMBER($Q312)*($Q312&gt;=TODAY())*($Q312&lt;=TODAY()+7)+ISNUMBER($R312)*($R312&gt;=TODAY())*($R312&lt;=TODAY()+7)+ISNUMBER($AA312)*($AA312&gt;=TODAY())*($AA312&lt;=TODAY()+7)+ISNUMBER($AB312)*($AB312&gt;=TODAY())*($AB312&lt;=TODAY()+7))</f>
        <v/>
      </c>
      <c r="L312" s="28">
        <f>IF(NOT(AND($A312&lt;&gt;"",OR($I312="",$I312="Active"))),"",IF($M312&lt;&gt;"",IF($N312=$M312,"Booking",IF($O312=$M312,"16/40",IF($P312=$M312,"25/40",IF($S312=$M312,"28/40",IF($T312=$M312,"31/40",IF($U312=$M312,"34/40",IF($V312=$M312,"36/40",IF($W312=$M312,"38/40",IF($X312=$M312,"40/40",IF($Y312=$M312,"41/40","")))))))))),IF(IF(OR(ISNUMBER($Y312),$Y312="DNA"),$Y312,IF(OR(ISNUMBER($X312),$X312="DNA"),$X312,IF(OR(ISNUMBER($W312),$W312="DNA"),$W312,IF(OR(ISNUMBER($V312),$V312="DNA"),$V312,IF(OR(ISNUMBER($U312),$U312="DNA"),$U312,IF(OR(ISNUMBER($T312),$T312="DNA"),$T312,IF(OR(ISNUMBER($S312),$S312="DNA"),$S312,IF(OR(ISNUMBER($P312),$P312="DNA"),$P312,IF(OR(ISNUMBER($O312),$O312="DNA"),$O312,IF(OR(ISNUMBER($N312),$N312="DNA"),$N312,""))))))))))="DNA","Rebook DNA",IF(ISNUMBER(IF(OR(ISNUMBER($Y312),$Y312="DNA"),$Y312,IF(OR(ISNUMBER($X312),$X312="DNA"),$X312,IF(OR(ISNUMBER($W312),$W312="DNA"),$W312,IF(OR(ISNUMBER($V312),$V312="DNA"),$V312,IF(OR(ISNUMBER($U312),$U312="DNA"),$U312,IF(OR(ISNUMBER($T312),$T312="DNA"),$T312,IF(OR(ISNUMBER($S312),$S312="DNA"),$S312,IF(OR(ISNUMBER($P312),$P312="DNA"),$P312,IF(OR(ISNUMBER($O312),$O312="DNA"),$O312,IF(OR(ISNUMBER($N312),$N312="DNA"),$N312,""))))))))))),IF(ISNUMBER($Y312),"Update status","Missed/not booked?"),""))))</f>
        <v/>
      </c>
      <c r="M312" s="29">
        <f>IF(NOT(AND($A312&lt;&gt;"",OR($I312="",$I312="Active"))),"",IF(MIN(IF(AND(ISNUMBER($N312),$N312&gt;=TODAY()),$N312,99999),IF(AND(ISNUMBER($O312),$O312&gt;=TODAY()),$O312,99999),IF(AND(ISNUMBER($P312),$P312&gt;=TODAY()),$P312,99999),IF(AND(ISNUMBER($S312),$S312&gt;=TODAY()),$S312,99999),IF(AND(ISNUMBER($T312),$T312&gt;=TODAY()),$T312,99999),IF(AND(ISNUMBER($U312),$U312&gt;=TODAY()),$U312,99999),IF(AND(ISNUMBER($V312),$V312&gt;=TODAY()),$V312,99999),IF(AND(ISNUMBER($W312),$W312&gt;=TODAY()),$W312,99999),IF(AND(ISNUMBER($X312),$X312&gt;=TODAY()),$X312,99999),IF(AND(ISNUMBER($Y312),$Y312&gt;=TODAY()),$Y312,99999))=99999,"",MIN(IF(AND(ISNUMBER($N312),$N312&gt;=TODAY()),$N312,99999),IF(AND(ISNUMBER($O312),$O312&gt;=TODAY()),$O312,99999),IF(AND(ISNUMBER($P312),$P312&gt;=TODAY()),$P312,99999),IF(AND(ISNUMBER($S312),$S312&gt;=TODAY()),$S312,99999),IF(AND(ISNUMBER($T312),$T312&gt;=TODAY()),$T312,99999),IF(AND(ISNUMBER($U312),$U312&gt;=TODAY()),$U312,99999),IF(AND(ISNUMBER($V312),$V312&gt;=TODAY()),$V312,99999),IF(AND(ISNUMBER($W312),$W312&gt;=TODAY()),$W312,99999),IF(AND(ISNUMBER($X312),$X312&gt;=TODAY()),$X312,99999),IF(AND(ISNUMBER($Y312),$Y312&gt;=TODAY()),$Y312,99999))))</f>
        <v/>
      </c>
      <c r="N312" s="27" t="n"/>
      <c r="O312" s="27" t="n"/>
      <c r="P312" s="27" t="n"/>
      <c r="Q312" s="27" t="n"/>
      <c r="R312" s="27" t="n"/>
      <c r="S312" s="27" t="n"/>
      <c r="T312" s="27" t="n"/>
      <c r="U312" s="27" t="n"/>
      <c r="V312" s="27" t="n"/>
      <c r="W312" s="27" t="n"/>
      <c r="X312" s="27" t="n"/>
      <c r="Y312" s="27" t="n"/>
      <c r="Z312" s="27" t="n"/>
      <c r="AA312" s="27" t="n"/>
      <c r="AB312" s="27" t="n"/>
      <c r="AC312" s="30" t="n"/>
      <c r="AD312" s="25" t="n"/>
      <c r="AE312" s="28">
        <f>IF(NOT(AND($A312&lt;&gt;"",OR($I312="",$I312="Active"))),"",IF(OR(IF(OR(ISNUMBER($Y312),$Y312="DNA"),$Y312,IF(OR(ISNUMBER($X312),$X312="DNA"),$X312,IF(OR(ISNUMBER($W312),$W312="DNA"),$W312,IF(OR(ISNUMBER($V312),$V312="DNA"),$V312,IF(OR(ISNUMBER($U312),$U312="DNA"),$U312,IF(OR(ISNUMBER($T312),$T312="DNA"),$T312,IF(OR(ISNUMBER($S312),$S312="DNA"),$S312,IF(OR(ISNUMBER($P312),$P312="DNA"),$P312,IF(OR(ISNUMBER($O312),$O312="DNA"),$O312,IF(OR(ISNUMBER($N312),$N312="DNA"),$N312,""))))))))))="DNA",AND(ISNUMBER(IF(OR(ISNUMBER($Y312),$Y312="DNA"),$Y312,IF(OR(ISNUMBER($X312),$X312="DNA"),$X312,IF(OR(ISNUMBER($W312),$W312="DNA"),$W312,IF(OR(ISNUMBER($V312),$V312="DNA"),$V312,IF(OR(ISNUMBER($U312),$U312="DNA"),$U312,IF(OR(ISNUMBER($T312),$T312="DNA"),$T312,IF(OR(ISNUMBER($S312),$S312="DNA"),$S312,IF(OR(ISNUMBER($P312),$P312="DNA"),$P312,IF(OR(ISNUMBER($O312),$O312="DNA"),$O312,IF(OR(ISNUMBER($N312),$N312="DNA"),$N312,""))))))))))),IF(OR(ISNUMBER($Y312),$Y312="DNA"),$Y312,IF(OR(ISNUMBER($X312),$X312="DNA"),$X312,IF(OR(ISNUMBER($W312),$W312="DNA"),$W312,IF(OR(ISNUMBER($V312),$V312="DNA"),$V312,IF(OR(ISNUMBER($U312),$U312="DNA"),$U312,IF(OR(ISNUMBER($T312),$T312="DNA"),$T312,IF(OR(ISNUMBER($S312),$S312="DNA"),$S312,IF(OR(ISNUMBER($P312),$P312="DNA"),$P312,IF(OR(ISNUMBER($O312),$O312="DNA"),$O312,IF(OR(ISNUMBER($N312),$N312="DNA"),$N312,""))))))))))&lt;TODAY())),1,0)+ISNUMBER($Q312)*($Q312&lt;TODAY())+ISNUMBER($R312)*($R312&lt;TODAY())+ISNUMBER($AA312)*($AA312&lt;TODAY())+ISNUMBER($AB312)*($AB312&lt;TODAY()))</f>
        <v/>
      </c>
    </row>
    <row r="313">
      <c r="A313" s="25" t="n"/>
      <c r="B313" s="26" t="n"/>
      <c r="C313" s="27" t="n"/>
      <c r="D313" s="25" t="n"/>
      <c r="E313" s="25" t="n"/>
      <c r="F313" s="25" t="n"/>
      <c r="G313" s="25" t="n"/>
      <c r="H313" s="27" t="n"/>
      <c r="I313" s="25" t="n"/>
      <c r="J313" s="28">
        <f>IF(OR(NOT(AND($A313&lt;&gt;"",OR($I313="",$I313="Active"))),$H313=""),"",INT((TODAY()-$H313+280)/7)&amp;"+"&amp;MOD(TODAY()-$H313+280,7))</f>
        <v/>
      </c>
      <c r="K313" s="28">
        <f>IF(NOT(AND($A313&lt;&gt;"",OR($I313="",$I313="Active"))),"",ISNUMBER($N313)*($N313&gt;=TODAY())*($N313&lt;=TODAY()+7)+ISNUMBER($O313)*($O313&gt;=TODAY())*($O313&lt;=TODAY()+7)+ISNUMBER($P313)*($P313&gt;=TODAY())*($P313&lt;=TODAY()+7)+ISNUMBER($S313)*($S313&gt;=TODAY())*($S313&lt;=TODAY()+7)+ISNUMBER($T313)*($T313&gt;=TODAY())*($T313&lt;=TODAY()+7)+ISNUMBER($U313)*($U313&gt;=TODAY())*($U313&lt;=TODAY()+7)+ISNUMBER($V313)*($V313&gt;=TODAY())*($V313&lt;=TODAY()+7)+ISNUMBER($W313)*($W313&gt;=TODAY())*($W313&lt;=TODAY()+7)+ISNUMBER($X313)*($X313&gt;=TODAY())*($X313&lt;=TODAY()+7)+ISNUMBER($Y313)*($Y313&gt;=TODAY())*($Y313&lt;=TODAY()+7)+ISNUMBER($Q313)*($Q313&gt;=TODAY())*($Q313&lt;=TODAY()+7)+ISNUMBER($R313)*($R313&gt;=TODAY())*($R313&lt;=TODAY()+7)+ISNUMBER($AA313)*($AA313&gt;=TODAY())*($AA313&lt;=TODAY()+7)+ISNUMBER($AB313)*($AB313&gt;=TODAY())*($AB313&lt;=TODAY()+7))</f>
        <v/>
      </c>
      <c r="L313" s="28">
        <f>IF(NOT(AND($A313&lt;&gt;"",OR($I313="",$I313="Active"))),"",IF($M313&lt;&gt;"",IF($N313=$M313,"Booking",IF($O313=$M313,"16/40",IF($P313=$M313,"25/40",IF($S313=$M313,"28/40",IF($T313=$M313,"31/40",IF($U313=$M313,"34/40",IF($V313=$M313,"36/40",IF($W313=$M313,"38/40",IF($X313=$M313,"40/40",IF($Y313=$M313,"41/40","")))))))))),IF(IF(OR(ISNUMBER($Y313),$Y313="DNA"),$Y313,IF(OR(ISNUMBER($X313),$X313="DNA"),$X313,IF(OR(ISNUMBER($W313),$W313="DNA"),$W313,IF(OR(ISNUMBER($V313),$V313="DNA"),$V313,IF(OR(ISNUMBER($U313),$U313="DNA"),$U313,IF(OR(ISNUMBER($T313),$T313="DNA"),$T313,IF(OR(ISNUMBER($S313),$S313="DNA"),$S313,IF(OR(ISNUMBER($P313),$P313="DNA"),$P313,IF(OR(ISNUMBER($O313),$O313="DNA"),$O313,IF(OR(ISNUMBER($N313),$N313="DNA"),$N313,""))))))))))="DNA","Rebook DNA",IF(ISNUMBER(IF(OR(ISNUMBER($Y313),$Y313="DNA"),$Y313,IF(OR(ISNUMBER($X313),$X313="DNA"),$X313,IF(OR(ISNUMBER($W313),$W313="DNA"),$W313,IF(OR(ISNUMBER($V313),$V313="DNA"),$V313,IF(OR(ISNUMBER($U313),$U313="DNA"),$U313,IF(OR(ISNUMBER($T313),$T313="DNA"),$T313,IF(OR(ISNUMBER($S313),$S313="DNA"),$S313,IF(OR(ISNUMBER($P313),$P313="DNA"),$P313,IF(OR(ISNUMBER($O313),$O313="DNA"),$O313,IF(OR(ISNUMBER($N313),$N313="DNA"),$N313,""))))))))))),IF(ISNUMBER($Y313),"Update status","Missed/not booked?"),""))))</f>
        <v/>
      </c>
      <c r="M313" s="29">
        <f>IF(NOT(AND($A313&lt;&gt;"",OR($I313="",$I313="Active"))),"",IF(MIN(IF(AND(ISNUMBER($N313),$N313&gt;=TODAY()),$N313,99999),IF(AND(ISNUMBER($O313),$O313&gt;=TODAY()),$O313,99999),IF(AND(ISNUMBER($P313),$P313&gt;=TODAY()),$P313,99999),IF(AND(ISNUMBER($S313),$S313&gt;=TODAY()),$S313,99999),IF(AND(ISNUMBER($T313),$T313&gt;=TODAY()),$T313,99999),IF(AND(ISNUMBER($U313),$U313&gt;=TODAY()),$U313,99999),IF(AND(ISNUMBER($V313),$V313&gt;=TODAY()),$V313,99999),IF(AND(ISNUMBER($W313),$W313&gt;=TODAY()),$W313,99999),IF(AND(ISNUMBER($X313),$X313&gt;=TODAY()),$X313,99999),IF(AND(ISNUMBER($Y313),$Y313&gt;=TODAY()),$Y313,99999))=99999,"",MIN(IF(AND(ISNUMBER($N313),$N313&gt;=TODAY()),$N313,99999),IF(AND(ISNUMBER($O313),$O313&gt;=TODAY()),$O313,99999),IF(AND(ISNUMBER($P313),$P313&gt;=TODAY()),$P313,99999),IF(AND(ISNUMBER($S313),$S313&gt;=TODAY()),$S313,99999),IF(AND(ISNUMBER($T313),$T313&gt;=TODAY()),$T313,99999),IF(AND(ISNUMBER($U313),$U313&gt;=TODAY()),$U313,99999),IF(AND(ISNUMBER($V313),$V313&gt;=TODAY()),$V313,99999),IF(AND(ISNUMBER($W313),$W313&gt;=TODAY()),$W313,99999),IF(AND(ISNUMBER($X313),$X313&gt;=TODAY()),$X313,99999),IF(AND(ISNUMBER($Y313),$Y313&gt;=TODAY()),$Y313,99999))))</f>
        <v/>
      </c>
      <c r="N313" s="27" t="n"/>
      <c r="O313" s="27" t="n"/>
      <c r="P313" s="27" t="n"/>
      <c r="Q313" s="27" t="n"/>
      <c r="R313" s="27" t="n"/>
      <c r="S313" s="27" t="n"/>
      <c r="T313" s="27" t="n"/>
      <c r="U313" s="27" t="n"/>
      <c r="V313" s="27" t="n"/>
      <c r="W313" s="27" t="n"/>
      <c r="X313" s="27" t="n"/>
      <c r="Y313" s="27" t="n"/>
      <c r="Z313" s="27" t="n"/>
      <c r="AA313" s="27" t="n"/>
      <c r="AB313" s="27" t="n"/>
      <c r="AC313" s="30" t="n"/>
      <c r="AD313" s="25" t="n"/>
      <c r="AE313" s="28">
        <f>IF(NOT(AND($A313&lt;&gt;"",OR($I313="",$I313="Active"))),"",IF(OR(IF(OR(ISNUMBER($Y313),$Y313="DNA"),$Y313,IF(OR(ISNUMBER($X313),$X313="DNA"),$X313,IF(OR(ISNUMBER($W313),$W313="DNA"),$W313,IF(OR(ISNUMBER($V313),$V313="DNA"),$V313,IF(OR(ISNUMBER($U313),$U313="DNA"),$U313,IF(OR(ISNUMBER($T313),$T313="DNA"),$T313,IF(OR(ISNUMBER($S313),$S313="DNA"),$S313,IF(OR(ISNUMBER($P313),$P313="DNA"),$P313,IF(OR(ISNUMBER($O313),$O313="DNA"),$O313,IF(OR(ISNUMBER($N313),$N313="DNA"),$N313,""))))))))))="DNA",AND(ISNUMBER(IF(OR(ISNUMBER($Y313),$Y313="DNA"),$Y313,IF(OR(ISNUMBER($X313),$X313="DNA"),$X313,IF(OR(ISNUMBER($W313),$W313="DNA"),$W313,IF(OR(ISNUMBER($V313),$V313="DNA"),$V313,IF(OR(ISNUMBER($U313),$U313="DNA"),$U313,IF(OR(ISNUMBER($T313),$T313="DNA"),$T313,IF(OR(ISNUMBER($S313),$S313="DNA"),$S313,IF(OR(ISNUMBER($P313),$P313="DNA"),$P313,IF(OR(ISNUMBER($O313),$O313="DNA"),$O313,IF(OR(ISNUMBER($N313),$N313="DNA"),$N313,""))))))))))),IF(OR(ISNUMBER($Y313),$Y313="DNA"),$Y313,IF(OR(ISNUMBER($X313),$X313="DNA"),$X313,IF(OR(ISNUMBER($W313),$W313="DNA"),$W313,IF(OR(ISNUMBER($V313),$V313="DNA"),$V313,IF(OR(ISNUMBER($U313),$U313="DNA"),$U313,IF(OR(ISNUMBER($T313),$T313="DNA"),$T313,IF(OR(ISNUMBER($S313),$S313="DNA"),$S313,IF(OR(ISNUMBER($P313),$P313="DNA"),$P313,IF(OR(ISNUMBER($O313),$O313="DNA"),$O313,IF(OR(ISNUMBER($N313),$N313="DNA"),$N313,""))))))))))&lt;TODAY())),1,0)+ISNUMBER($Q313)*($Q313&lt;TODAY())+ISNUMBER($R313)*($R313&lt;TODAY())+ISNUMBER($AA313)*($AA313&lt;TODAY())+ISNUMBER($AB313)*($AB313&lt;TODAY()))</f>
        <v/>
      </c>
    </row>
    <row r="314">
      <c r="A314" s="25" t="n"/>
      <c r="B314" s="26" t="n"/>
      <c r="C314" s="27" t="n"/>
      <c r="D314" s="25" t="n"/>
      <c r="E314" s="25" t="n"/>
      <c r="F314" s="25" t="n"/>
      <c r="G314" s="25" t="n"/>
      <c r="H314" s="27" t="n"/>
      <c r="I314" s="25" t="n"/>
      <c r="J314" s="28">
        <f>IF(OR(NOT(AND($A314&lt;&gt;"",OR($I314="",$I314="Active"))),$H314=""),"",INT((TODAY()-$H314+280)/7)&amp;"+"&amp;MOD(TODAY()-$H314+280,7))</f>
        <v/>
      </c>
      <c r="K314" s="28">
        <f>IF(NOT(AND($A314&lt;&gt;"",OR($I314="",$I314="Active"))),"",ISNUMBER($N314)*($N314&gt;=TODAY())*($N314&lt;=TODAY()+7)+ISNUMBER($O314)*($O314&gt;=TODAY())*($O314&lt;=TODAY()+7)+ISNUMBER($P314)*($P314&gt;=TODAY())*($P314&lt;=TODAY()+7)+ISNUMBER($S314)*($S314&gt;=TODAY())*($S314&lt;=TODAY()+7)+ISNUMBER($T314)*($T314&gt;=TODAY())*($T314&lt;=TODAY()+7)+ISNUMBER($U314)*($U314&gt;=TODAY())*($U314&lt;=TODAY()+7)+ISNUMBER($V314)*($V314&gt;=TODAY())*($V314&lt;=TODAY()+7)+ISNUMBER($W314)*($W314&gt;=TODAY())*($W314&lt;=TODAY()+7)+ISNUMBER($X314)*($X314&gt;=TODAY())*($X314&lt;=TODAY()+7)+ISNUMBER($Y314)*($Y314&gt;=TODAY())*($Y314&lt;=TODAY()+7)+ISNUMBER($Q314)*($Q314&gt;=TODAY())*($Q314&lt;=TODAY()+7)+ISNUMBER($R314)*($R314&gt;=TODAY())*($R314&lt;=TODAY()+7)+ISNUMBER($AA314)*($AA314&gt;=TODAY())*($AA314&lt;=TODAY()+7)+ISNUMBER($AB314)*($AB314&gt;=TODAY())*($AB314&lt;=TODAY()+7))</f>
        <v/>
      </c>
      <c r="L314" s="28">
        <f>IF(NOT(AND($A314&lt;&gt;"",OR($I314="",$I314="Active"))),"",IF($M314&lt;&gt;"",IF($N314=$M314,"Booking",IF($O314=$M314,"16/40",IF($P314=$M314,"25/40",IF($S314=$M314,"28/40",IF($T314=$M314,"31/40",IF($U314=$M314,"34/40",IF($V314=$M314,"36/40",IF($W314=$M314,"38/40",IF($X314=$M314,"40/40",IF($Y314=$M314,"41/40","")))))))))),IF(IF(OR(ISNUMBER($Y314),$Y314="DNA"),$Y314,IF(OR(ISNUMBER($X314),$X314="DNA"),$X314,IF(OR(ISNUMBER($W314),$W314="DNA"),$W314,IF(OR(ISNUMBER($V314),$V314="DNA"),$V314,IF(OR(ISNUMBER($U314),$U314="DNA"),$U314,IF(OR(ISNUMBER($T314),$T314="DNA"),$T314,IF(OR(ISNUMBER($S314),$S314="DNA"),$S314,IF(OR(ISNUMBER($P314),$P314="DNA"),$P314,IF(OR(ISNUMBER($O314),$O314="DNA"),$O314,IF(OR(ISNUMBER($N314),$N314="DNA"),$N314,""))))))))))="DNA","Rebook DNA",IF(ISNUMBER(IF(OR(ISNUMBER($Y314),$Y314="DNA"),$Y314,IF(OR(ISNUMBER($X314),$X314="DNA"),$X314,IF(OR(ISNUMBER($W314),$W314="DNA"),$W314,IF(OR(ISNUMBER($V314),$V314="DNA"),$V314,IF(OR(ISNUMBER($U314),$U314="DNA"),$U314,IF(OR(ISNUMBER($T314),$T314="DNA"),$T314,IF(OR(ISNUMBER($S314),$S314="DNA"),$S314,IF(OR(ISNUMBER($P314),$P314="DNA"),$P314,IF(OR(ISNUMBER($O314),$O314="DNA"),$O314,IF(OR(ISNUMBER($N314),$N314="DNA"),$N314,""))))))))))),IF(ISNUMBER($Y314),"Update status","Missed/not booked?"),""))))</f>
        <v/>
      </c>
      <c r="M314" s="29">
        <f>IF(NOT(AND($A314&lt;&gt;"",OR($I314="",$I314="Active"))),"",IF(MIN(IF(AND(ISNUMBER($N314),$N314&gt;=TODAY()),$N314,99999),IF(AND(ISNUMBER($O314),$O314&gt;=TODAY()),$O314,99999),IF(AND(ISNUMBER($P314),$P314&gt;=TODAY()),$P314,99999),IF(AND(ISNUMBER($S314),$S314&gt;=TODAY()),$S314,99999),IF(AND(ISNUMBER($T314),$T314&gt;=TODAY()),$T314,99999),IF(AND(ISNUMBER($U314),$U314&gt;=TODAY()),$U314,99999),IF(AND(ISNUMBER($V314),$V314&gt;=TODAY()),$V314,99999),IF(AND(ISNUMBER($W314),$W314&gt;=TODAY()),$W314,99999),IF(AND(ISNUMBER($X314),$X314&gt;=TODAY()),$X314,99999),IF(AND(ISNUMBER($Y314),$Y314&gt;=TODAY()),$Y314,99999))=99999,"",MIN(IF(AND(ISNUMBER($N314),$N314&gt;=TODAY()),$N314,99999),IF(AND(ISNUMBER($O314),$O314&gt;=TODAY()),$O314,99999),IF(AND(ISNUMBER($P314),$P314&gt;=TODAY()),$P314,99999),IF(AND(ISNUMBER($S314),$S314&gt;=TODAY()),$S314,99999),IF(AND(ISNUMBER($T314),$T314&gt;=TODAY()),$T314,99999),IF(AND(ISNUMBER($U314),$U314&gt;=TODAY()),$U314,99999),IF(AND(ISNUMBER($V314),$V314&gt;=TODAY()),$V314,99999),IF(AND(ISNUMBER($W314),$W314&gt;=TODAY()),$W314,99999),IF(AND(ISNUMBER($X314),$X314&gt;=TODAY()),$X314,99999),IF(AND(ISNUMBER($Y314),$Y314&gt;=TODAY()),$Y314,99999))))</f>
        <v/>
      </c>
      <c r="N314" s="27" t="n"/>
      <c r="O314" s="27" t="n"/>
      <c r="P314" s="27" t="n"/>
      <c r="Q314" s="27" t="n"/>
      <c r="R314" s="27" t="n"/>
      <c r="S314" s="27" t="n"/>
      <c r="T314" s="27" t="n"/>
      <c r="U314" s="27" t="n"/>
      <c r="V314" s="27" t="n"/>
      <c r="W314" s="27" t="n"/>
      <c r="X314" s="27" t="n"/>
      <c r="Y314" s="27" t="n"/>
      <c r="Z314" s="27" t="n"/>
      <c r="AA314" s="27" t="n"/>
      <c r="AB314" s="27" t="n"/>
      <c r="AC314" s="30" t="n"/>
      <c r="AD314" s="25" t="n"/>
      <c r="AE314" s="28">
        <f>IF(NOT(AND($A314&lt;&gt;"",OR($I314="",$I314="Active"))),"",IF(OR(IF(OR(ISNUMBER($Y314),$Y314="DNA"),$Y314,IF(OR(ISNUMBER($X314),$X314="DNA"),$X314,IF(OR(ISNUMBER($W314),$W314="DNA"),$W314,IF(OR(ISNUMBER($V314),$V314="DNA"),$V314,IF(OR(ISNUMBER($U314),$U314="DNA"),$U314,IF(OR(ISNUMBER($T314),$T314="DNA"),$T314,IF(OR(ISNUMBER($S314),$S314="DNA"),$S314,IF(OR(ISNUMBER($P314),$P314="DNA"),$P314,IF(OR(ISNUMBER($O314),$O314="DNA"),$O314,IF(OR(ISNUMBER($N314),$N314="DNA"),$N314,""))))))))))="DNA",AND(ISNUMBER(IF(OR(ISNUMBER($Y314),$Y314="DNA"),$Y314,IF(OR(ISNUMBER($X314),$X314="DNA"),$X314,IF(OR(ISNUMBER($W314),$W314="DNA"),$W314,IF(OR(ISNUMBER($V314),$V314="DNA"),$V314,IF(OR(ISNUMBER($U314),$U314="DNA"),$U314,IF(OR(ISNUMBER($T314),$T314="DNA"),$T314,IF(OR(ISNUMBER($S314),$S314="DNA"),$S314,IF(OR(ISNUMBER($P314),$P314="DNA"),$P314,IF(OR(ISNUMBER($O314),$O314="DNA"),$O314,IF(OR(ISNUMBER($N314),$N314="DNA"),$N314,""))))))))))),IF(OR(ISNUMBER($Y314),$Y314="DNA"),$Y314,IF(OR(ISNUMBER($X314),$X314="DNA"),$X314,IF(OR(ISNUMBER($W314),$W314="DNA"),$W314,IF(OR(ISNUMBER($V314),$V314="DNA"),$V314,IF(OR(ISNUMBER($U314),$U314="DNA"),$U314,IF(OR(ISNUMBER($T314),$T314="DNA"),$T314,IF(OR(ISNUMBER($S314),$S314="DNA"),$S314,IF(OR(ISNUMBER($P314),$P314="DNA"),$P314,IF(OR(ISNUMBER($O314),$O314="DNA"),$O314,IF(OR(ISNUMBER($N314),$N314="DNA"),$N314,""))))))))))&lt;TODAY())),1,0)+ISNUMBER($Q314)*($Q314&lt;TODAY())+ISNUMBER($R314)*($R314&lt;TODAY())+ISNUMBER($AA314)*($AA314&lt;TODAY())+ISNUMBER($AB314)*($AB314&lt;TODAY()))</f>
        <v/>
      </c>
    </row>
    <row r="315">
      <c r="A315" s="25" t="n"/>
      <c r="B315" s="26" t="n"/>
      <c r="C315" s="27" t="n"/>
      <c r="D315" s="25" t="n"/>
      <c r="E315" s="25" t="n"/>
      <c r="F315" s="25" t="n"/>
      <c r="G315" s="25" t="n"/>
      <c r="H315" s="27" t="n"/>
      <c r="I315" s="25" t="n"/>
      <c r="J315" s="28">
        <f>IF(OR(NOT(AND($A315&lt;&gt;"",OR($I315="",$I315="Active"))),$H315=""),"",INT((TODAY()-$H315+280)/7)&amp;"+"&amp;MOD(TODAY()-$H315+280,7))</f>
        <v/>
      </c>
      <c r="K315" s="28">
        <f>IF(NOT(AND($A315&lt;&gt;"",OR($I315="",$I315="Active"))),"",ISNUMBER($N315)*($N315&gt;=TODAY())*($N315&lt;=TODAY()+7)+ISNUMBER($O315)*($O315&gt;=TODAY())*($O315&lt;=TODAY()+7)+ISNUMBER($P315)*($P315&gt;=TODAY())*($P315&lt;=TODAY()+7)+ISNUMBER($S315)*($S315&gt;=TODAY())*($S315&lt;=TODAY()+7)+ISNUMBER($T315)*($T315&gt;=TODAY())*($T315&lt;=TODAY()+7)+ISNUMBER($U315)*($U315&gt;=TODAY())*($U315&lt;=TODAY()+7)+ISNUMBER($V315)*($V315&gt;=TODAY())*($V315&lt;=TODAY()+7)+ISNUMBER($W315)*($W315&gt;=TODAY())*($W315&lt;=TODAY()+7)+ISNUMBER($X315)*($X315&gt;=TODAY())*($X315&lt;=TODAY()+7)+ISNUMBER($Y315)*($Y315&gt;=TODAY())*($Y315&lt;=TODAY()+7)+ISNUMBER($Q315)*($Q315&gt;=TODAY())*($Q315&lt;=TODAY()+7)+ISNUMBER($R315)*($R315&gt;=TODAY())*($R315&lt;=TODAY()+7)+ISNUMBER($AA315)*($AA315&gt;=TODAY())*($AA315&lt;=TODAY()+7)+ISNUMBER($AB315)*($AB315&gt;=TODAY())*($AB315&lt;=TODAY()+7))</f>
        <v/>
      </c>
      <c r="L315" s="28">
        <f>IF(NOT(AND($A315&lt;&gt;"",OR($I315="",$I315="Active"))),"",IF($M315&lt;&gt;"",IF($N315=$M315,"Booking",IF($O315=$M315,"16/40",IF($P315=$M315,"25/40",IF($S315=$M315,"28/40",IF($T315=$M315,"31/40",IF($U315=$M315,"34/40",IF($V315=$M315,"36/40",IF($W315=$M315,"38/40",IF($X315=$M315,"40/40",IF($Y315=$M315,"41/40","")))))))))),IF(IF(OR(ISNUMBER($Y315),$Y315="DNA"),$Y315,IF(OR(ISNUMBER($X315),$X315="DNA"),$X315,IF(OR(ISNUMBER($W315),$W315="DNA"),$W315,IF(OR(ISNUMBER($V315),$V315="DNA"),$V315,IF(OR(ISNUMBER($U315),$U315="DNA"),$U315,IF(OR(ISNUMBER($T315),$T315="DNA"),$T315,IF(OR(ISNUMBER($S315),$S315="DNA"),$S315,IF(OR(ISNUMBER($P315),$P315="DNA"),$P315,IF(OR(ISNUMBER($O315),$O315="DNA"),$O315,IF(OR(ISNUMBER($N315),$N315="DNA"),$N315,""))))))))))="DNA","Rebook DNA",IF(ISNUMBER(IF(OR(ISNUMBER($Y315),$Y315="DNA"),$Y315,IF(OR(ISNUMBER($X315),$X315="DNA"),$X315,IF(OR(ISNUMBER($W315),$W315="DNA"),$W315,IF(OR(ISNUMBER($V315),$V315="DNA"),$V315,IF(OR(ISNUMBER($U315),$U315="DNA"),$U315,IF(OR(ISNUMBER($T315),$T315="DNA"),$T315,IF(OR(ISNUMBER($S315),$S315="DNA"),$S315,IF(OR(ISNUMBER($P315),$P315="DNA"),$P315,IF(OR(ISNUMBER($O315),$O315="DNA"),$O315,IF(OR(ISNUMBER($N315),$N315="DNA"),$N315,""))))))))))),IF(ISNUMBER($Y315),"Update status","Missed/not booked?"),""))))</f>
        <v/>
      </c>
      <c r="M315" s="29">
        <f>IF(NOT(AND($A315&lt;&gt;"",OR($I315="",$I315="Active"))),"",IF(MIN(IF(AND(ISNUMBER($N315),$N315&gt;=TODAY()),$N315,99999),IF(AND(ISNUMBER($O315),$O315&gt;=TODAY()),$O315,99999),IF(AND(ISNUMBER($P315),$P315&gt;=TODAY()),$P315,99999),IF(AND(ISNUMBER($S315),$S315&gt;=TODAY()),$S315,99999),IF(AND(ISNUMBER($T315),$T315&gt;=TODAY()),$T315,99999),IF(AND(ISNUMBER($U315),$U315&gt;=TODAY()),$U315,99999),IF(AND(ISNUMBER($V315),$V315&gt;=TODAY()),$V315,99999),IF(AND(ISNUMBER($W315),$W315&gt;=TODAY()),$W315,99999),IF(AND(ISNUMBER($X315),$X315&gt;=TODAY()),$X315,99999),IF(AND(ISNUMBER($Y315),$Y315&gt;=TODAY()),$Y315,99999))=99999,"",MIN(IF(AND(ISNUMBER($N315),$N315&gt;=TODAY()),$N315,99999),IF(AND(ISNUMBER($O315),$O315&gt;=TODAY()),$O315,99999),IF(AND(ISNUMBER($P315),$P315&gt;=TODAY()),$P315,99999),IF(AND(ISNUMBER($S315),$S315&gt;=TODAY()),$S315,99999),IF(AND(ISNUMBER($T315),$T315&gt;=TODAY()),$T315,99999),IF(AND(ISNUMBER($U315),$U315&gt;=TODAY()),$U315,99999),IF(AND(ISNUMBER($V315),$V315&gt;=TODAY()),$V315,99999),IF(AND(ISNUMBER($W315),$W315&gt;=TODAY()),$W315,99999),IF(AND(ISNUMBER($X315),$X315&gt;=TODAY()),$X315,99999),IF(AND(ISNUMBER($Y315),$Y315&gt;=TODAY()),$Y315,99999))))</f>
        <v/>
      </c>
      <c r="N315" s="27" t="n"/>
      <c r="O315" s="27" t="n"/>
      <c r="P315" s="27" t="n"/>
      <c r="Q315" s="27" t="n"/>
      <c r="R315" s="27" t="n"/>
      <c r="S315" s="27" t="n"/>
      <c r="T315" s="27" t="n"/>
      <c r="U315" s="27" t="n"/>
      <c r="V315" s="27" t="n"/>
      <c r="W315" s="27" t="n"/>
      <c r="X315" s="27" t="n"/>
      <c r="Y315" s="27" t="n"/>
      <c r="Z315" s="27" t="n"/>
      <c r="AA315" s="27" t="n"/>
      <c r="AB315" s="27" t="n"/>
      <c r="AC315" s="30" t="n"/>
      <c r="AD315" s="25" t="n"/>
      <c r="AE315" s="28">
        <f>IF(NOT(AND($A315&lt;&gt;"",OR($I315="",$I315="Active"))),"",IF(OR(IF(OR(ISNUMBER($Y315),$Y315="DNA"),$Y315,IF(OR(ISNUMBER($X315),$X315="DNA"),$X315,IF(OR(ISNUMBER($W315),$W315="DNA"),$W315,IF(OR(ISNUMBER($V315),$V315="DNA"),$V315,IF(OR(ISNUMBER($U315),$U315="DNA"),$U315,IF(OR(ISNUMBER($T315),$T315="DNA"),$T315,IF(OR(ISNUMBER($S315),$S315="DNA"),$S315,IF(OR(ISNUMBER($P315),$P315="DNA"),$P315,IF(OR(ISNUMBER($O315),$O315="DNA"),$O315,IF(OR(ISNUMBER($N315),$N315="DNA"),$N315,""))))))))))="DNA",AND(ISNUMBER(IF(OR(ISNUMBER($Y315),$Y315="DNA"),$Y315,IF(OR(ISNUMBER($X315),$X315="DNA"),$X315,IF(OR(ISNUMBER($W315),$W315="DNA"),$W315,IF(OR(ISNUMBER($V315),$V315="DNA"),$V315,IF(OR(ISNUMBER($U315),$U315="DNA"),$U315,IF(OR(ISNUMBER($T315),$T315="DNA"),$T315,IF(OR(ISNUMBER($S315),$S315="DNA"),$S315,IF(OR(ISNUMBER($P315),$P315="DNA"),$P315,IF(OR(ISNUMBER($O315),$O315="DNA"),$O315,IF(OR(ISNUMBER($N315),$N315="DNA"),$N315,""))))))))))),IF(OR(ISNUMBER($Y315),$Y315="DNA"),$Y315,IF(OR(ISNUMBER($X315),$X315="DNA"),$X315,IF(OR(ISNUMBER($W315),$W315="DNA"),$W315,IF(OR(ISNUMBER($V315),$V315="DNA"),$V315,IF(OR(ISNUMBER($U315),$U315="DNA"),$U315,IF(OR(ISNUMBER($T315),$T315="DNA"),$T315,IF(OR(ISNUMBER($S315),$S315="DNA"),$S315,IF(OR(ISNUMBER($P315),$P315="DNA"),$P315,IF(OR(ISNUMBER($O315),$O315="DNA"),$O315,IF(OR(ISNUMBER($N315),$N315="DNA"),$N315,""))))))))))&lt;TODAY())),1,0)+ISNUMBER($Q315)*($Q315&lt;TODAY())+ISNUMBER($R315)*($R315&lt;TODAY())+ISNUMBER($AA315)*($AA315&lt;TODAY())+ISNUMBER($AB315)*($AB315&lt;TODAY()))</f>
        <v/>
      </c>
    </row>
    <row r="316">
      <c r="A316" s="25" t="n"/>
      <c r="B316" s="26" t="n"/>
      <c r="C316" s="27" t="n"/>
      <c r="D316" s="25" t="n"/>
      <c r="E316" s="25" t="n"/>
      <c r="F316" s="25" t="n"/>
      <c r="G316" s="25" t="n"/>
      <c r="H316" s="27" t="n"/>
      <c r="I316" s="25" t="n"/>
      <c r="J316" s="28">
        <f>IF(OR(NOT(AND($A316&lt;&gt;"",OR($I316="",$I316="Active"))),$H316=""),"",INT((TODAY()-$H316+280)/7)&amp;"+"&amp;MOD(TODAY()-$H316+280,7))</f>
        <v/>
      </c>
      <c r="K316" s="28">
        <f>IF(NOT(AND($A316&lt;&gt;"",OR($I316="",$I316="Active"))),"",ISNUMBER($N316)*($N316&gt;=TODAY())*($N316&lt;=TODAY()+7)+ISNUMBER($O316)*($O316&gt;=TODAY())*($O316&lt;=TODAY()+7)+ISNUMBER($P316)*($P316&gt;=TODAY())*($P316&lt;=TODAY()+7)+ISNUMBER($S316)*($S316&gt;=TODAY())*($S316&lt;=TODAY()+7)+ISNUMBER($T316)*($T316&gt;=TODAY())*($T316&lt;=TODAY()+7)+ISNUMBER($U316)*($U316&gt;=TODAY())*($U316&lt;=TODAY()+7)+ISNUMBER($V316)*($V316&gt;=TODAY())*($V316&lt;=TODAY()+7)+ISNUMBER($W316)*($W316&gt;=TODAY())*($W316&lt;=TODAY()+7)+ISNUMBER($X316)*($X316&gt;=TODAY())*($X316&lt;=TODAY()+7)+ISNUMBER($Y316)*($Y316&gt;=TODAY())*($Y316&lt;=TODAY()+7)+ISNUMBER($Q316)*($Q316&gt;=TODAY())*($Q316&lt;=TODAY()+7)+ISNUMBER($R316)*($R316&gt;=TODAY())*($R316&lt;=TODAY()+7)+ISNUMBER($AA316)*($AA316&gt;=TODAY())*($AA316&lt;=TODAY()+7)+ISNUMBER($AB316)*($AB316&gt;=TODAY())*($AB316&lt;=TODAY()+7))</f>
        <v/>
      </c>
      <c r="L316" s="28">
        <f>IF(NOT(AND($A316&lt;&gt;"",OR($I316="",$I316="Active"))),"",IF($M316&lt;&gt;"",IF($N316=$M316,"Booking",IF($O316=$M316,"16/40",IF($P316=$M316,"25/40",IF($S316=$M316,"28/40",IF($T316=$M316,"31/40",IF($U316=$M316,"34/40",IF($V316=$M316,"36/40",IF($W316=$M316,"38/40",IF($X316=$M316,"40/40",IF($Y316=$M316,"41/40","")))))))))),IF(IF(OR(ISNUMBER($Y316),$Y316="DNA"),$Y316,IF(OR(ISNUMBER($X316),$X316="DNA"),$X316,IF(OR(ISNUMBER($W316),$W316="DNA"),$W316,IF(OR(ISNUMBER($V316),$V316="DNA"),$V316,IF(OR(ISNUMBER($U316),$U316="DNA"),$U316,IF(OR(ISNUMBER($T316),$T316="DNA"),$T316,IF(OR(ISNUMBER($S316),$S316="DNA"),$S316,IF(OR(ISNUMBER($P316),$P316="DNA"),$P316,IF(OR(ISNUMBER($O316),$O316="DNA"),$O316,IF(OR(ISNUMBER($N316),$N316="DNA"),$N316,""))))))))))="DNA","Rebook DNA",IF(ISNUMBER(IF(OR(ISNUMBER($Y316),$Y316="DNA"),$Y316,IF(OR(ISNUMBER($X316),$X316="DNA"),$X316,IF(OR(ISNUMBER($W316),$W316="DNA"),$W316,IF(OR(ISNUMBER($V316),$V316="DNA"),$V316,IF(OR(ISNUMBER($U316),$U316="DNA"),$U316,IF(OR(ISNUMBER($T316),$T316="DNA"),$T316,IF(OR(ISNUMBER($S316),$S316="DNA"),$S316,IF(OR(ISNUMBER($P316),$P316="DNA"),$P316,IF(OR(ISNUMBER($O316),$O316="DNA"),$O316,IF(OR(ISNUMBER($N316),$N316="DNA"),$N316,""))))))))))),IF(ISNUMBER($Y316),"Update status","Missed/not booked?"),""))))</f>
        <v/>
      </c>
      <c r="M316" s="29">
        <f>IF(NOT(AND($A316&lt;&gt;"",OR($I316="",$I316="Active"))),"",IF(MIN(IF(AND(ISNUMBER($N316),$N316&gt;=TODAY()),$N316,99999),IF(AND(ISNUMBER($O316),$O316&gt;=TODAY()),$O316,99999),IF(AND(ISNUMBER($P316),$P316&gt;=TODAY()),$P316,99999),IF(AND(ISNUMBER($S316),$S316&gt;=TODAY()),$S316,99999),IF(AND(ISNUMBER($T316),$T316&gt;=TODAY()),$T316,99999),IF(AND(ISNUMBER($U316),$U316&gt;=TODAY()),$U316,99999),IF(AND(ISNUMBER($V316),$V316&gt;=TODAY()),$V316,99999),IF(AND(ISNUMBER($W316),$W316&gt;=TODAY()),$W316,99999),IF(AND(ISNUMBER($X316),$X316&gt;=TODAY()),$X316,99999),IF(AND(ISNUMBER($Y316),$Y316&gt;=TODAY()),$Y316,99999))=99999,"",MIN(IF(AND(ISNUMBER($N316),$N316&gt;=TODAY()),$N316,99999),IF(AND(ISNUMBER($O316),$O316&gt;=TODAY()),$O316,99999),IF(AND(ISNUMBER($P316),$P316&gt;=TODAY()),$P316,99999),IF(AND(ISNUMBER($S316),$S316&gt;=TODAY()),$S316,99999),IF(AND(ISNUMBER($T316),$T316&gt;=TODAY()),$T316,99999),IF(AND(ISNUMBER($U316),$U316&gt;=TODAY()),$U316,99999),IF(AND(ISNUMBER($V316),$V316&gt;=TODAY()),$V316,99999),IF(AND(ISNUMBER($W316),$W316&gt;=TODAY()),$W316,99999),IF(AND(ISNUMBER($X316),$X316&gt;=TODAY()),$X316,99999),IF(AND(ISNUMBER($Y316),$Y316&gt;=TODAY()),$Y316,99999))))</f>
        <v/>
      </c>
      <c r="N316" s="27" t="n"/>
      <c r="O316" s="27" t="n"/>
      <c r="P316" s="27" t="n"/>
      <c r="Q316" s="27" t="n"/>
      <c r="R316" s="27" t="n"/>
      <c r="S316" s="27" t="n"/>
      <c r="T316" s="27" t="n"/>
      <c r="U316" s="27" t="n"/>
      <c r="V316" s="27" t="n"/>
      <c r="W316" s="27" t="n"/>
      <c r="X316" s="27" t="n"/>
      <c r="Y316" s="27" t="n"/>
      <c r="Z316" s="27" t="n"/>
      <c r="AA316" s="27" t="n"/>
      <c r="AB316" s="27" t="n"/>
      <c r="AC316" s="30" t="n"/>
      <c r="AD316" s="25" t="n"/>
      <c r="AE316" s="28">
        <f>IF(NOT(AND($A316&lt;&gt;"",OR($I316="",$I316="Active"))),"",IF(OR(IF(OR(ISNUMBER($Y316),$Y316="DNA"),$Y316,IF(OR(ISNUMBER($X316),$X316="DNA"),$X316,IF(OR(ISNUMBER($W316),$W316="DNA"),$W316,IF(OR(ISNUMBER($V316),$V316="DNA"),$V316,IF(OR(ISNUMBER($U316),$U316="DNA"),$U316,IF(OR(ISNUMBER($T316),$T316="DNA"),$T316,IF(OR(ISNUMBER($S316),$S316="DNA"),$S316,IF(OR(ISNUMBER($P316),$P316="DNA"),$P316,IF(OR(ISNUMBER($O316),$O316="DNA"),$O316,IF(OR(ISNUMBER($N316),$N316="DNA"),$N316,""))))))))))="DNA",AND(ISNUMBER(IF(OR(ISNUMBER($Y316),$Y316="DNA"),$Y316,IF(OR(ISNUMBER($X316),$X316="DNA"),$X316,IF(OR(ISNUMBER($W316),$W316="DNA"),$W316,IF(OR(ISNUMBER($V316),$V316="DNA"),$V316,IF(OR(ISNUMBER($U316),$U316="DNA"),$U316,IF(OR(ISNUMBER($T316),$T316="DNA"),$T316,IF(OR(ISNUMBER($S316),$S316="DNA"),$S316,IF(OR(ISNUMBER($P316),$P316="DNA"),$P316,IF(OR(ISNUMBER($O316),$O316="DNA"),$O316,IF(OR(ISNUMBER($N316),$N316="DNA"),$N316,""))))))))))),IF(OR(ISNUMBER($Y316),$Y316="DNA"),$Y316,IF(OR(ISNUMBER($X316),$X316="DNA"),$X316,IF(OR(ISNUMBER($W316),$W316="DNA"),$W316,IF(OR(ISNUMBER($V316),$V316="DNA"),$V316,IF(OR(ISNUMBER($U316),$U316="DNA"),$U316,IF(OR(ISNUMBER($T316),$T316="DNA"),$T316,IF(OR(ISNUMBER($S316),$S316="DNA"),$S316,IF(OR(ISNUMBER($P316),$P316="DNA"),$P316,IF(OR(ISNUMBER($O316),$O316="DNA"),$O316,IF(OR(ISNUMBER($N316),$N316="DNA"),$N316,""))))))))))&lt;TODAY())),1,0)+ISNUMBER($Q316)*($Q316&lt;TODAY())+ISNUMBER($R316)*($R316&lt;TODAY())+ISNUMBER($AA316)*($AA316&lt;TODAY())+ISNUMBER($AB316)*($AB316&lt;TODAY()))</f>
        <v/>
      </c>
    </row>
    <row r="317">
      <c r="A317" s="25" t="n"/>
      <c r="B317" s="26" t="n"/>
      <c r="C317" s="27" t="n"/>
      <c r="D317" s="25" t="n"/>
      <c r="E317" s="25" t="n"/>
      <c r="F317" s="25" t="n"/>
      <c r="G317" s="25" t="n"/>
      <c r="H317" s="27" t="n"/>
      <c r="I317" s="25" t="n"/>
      <c r="J317" s="28">
        <f>IF(OR(NOT(AND($A317&lt;&gt;"",OR($I317="",$I317="Active"))),$H317=""),"",INT((TODAY()-$H317+280)/7)&amp;"+"&amp;MOD(TODAY()-$H317+280,7))</f>
        <v/>
      </c>
      <c r="K317" s="28">
        <f>IF(NOT(AND($A317&lt;&gt;"",OR($I317="",$I317="Active"))),"",ISNUMBER($N317)*($N317&gt;=TODAY())*($N317&lt;=TODAY()+7)+ISNUMBER($O317)*($O317&gt;=TODAY())*($O317&lt;=TODAY()+7)+ISNUMBER($P317)*($P317&gt;=TODAY())*($P317&lt;=TODAY()+7)+ISNUMBER($S317)*($S317&gt;=TODAY())*($S317&lt;=TODAY()+7)+ISNUMBER($T317)*($T317&gt;=TODAY())*($T317&lt;=TODAY()+7)+ISNUMBER($U317)*($U317&gt;=TODAY())*($U317&lt;=TODAY()+7)+ISNUMBER($V317)*($V317&gt;=TODAY())*($V317&lt;=TODAY()+7)+ISNUMBER($W317)*($W317&gt;=TODAY())*($W317&lt;=TODAY()+7)+ISNUMBER($X317)*($X317&gt;=TODAY())*($X317&lt;=TODAY()+7)+ISNUMBER($Y317)*($Y317&gt;=TODAY())*($Y317&lt;=TODAY()+7)+ISNUMBER($Q317)*($Q317&gt;=TODAY())*($Q317&lt;=TODAY()+7)+ISNUMBER($R317)*($R317&gt;=TODAY())*($R317&lt;=TODAY()+7)+ISNUMBER($AA317)*($AA317&gt;=TODAY())*($AA317&lt;=TODAY()+7)+ISNUMBER($AB317)*($AB317&gt;=TODAY())*($AB317&lt;=TODAY()+7))</f>
        <v/>
      </c>
      <c r="L317" s="28">
        <f>IF(NOT(AND($A317&lt;&gt;"",OR($I317="",$I317="Active"))),"",IF($M317&lt;&gt;"",IF($N317=$M317,"Booking",IF($O317=$M317,"16/40",IF($P317=$M317,"25/40",IF($S317=$M317,"28/40",IF($T317=$M317,"31/40",IF($U317=$M317,"34/40",IF($V317=$M317,"36/40",IF($W317=$M317,"38/40",IF($X317=$M317,"40/40",IF($Y317=$M317,"41/40","")))))))))),IF(IF(OR(ISNUMBER($Y317),$Y317="DNA"),$Y317,IF(OR(ISNUMBER($X317),$X317="DNA"),$X317,IF(OR(ISNUMBER($W317),$W317="DNA"),$W317,IF(OR(ISNUMBER($V317),$V317="DNA"),$V317,IF(OR(ISNUMBER($U317),$U317="DNA"),$U317,IF(OR(ISNUMBER($T317),$T317="DNA"),$T317,IF(OR(ISNUMBER($S317),$S317="DNA"),$S317,IF(OR(ISNUMBER($P317),$P317="DNA"),$P317,IF(OR(ISNUMBER($O317),$O317="DNA"),$O317,IF(OR(ISNUMBER($N317),$N317="DNA"),$N317,""))))))))))="DNA","Rebook DNA",IF(ISNUMBER(IF(OR(ISNUMBER($Y317),$Y317="DNA"),$Y317,IF(OR(ISNUMBER($X317),$X317="DNA"),$X317,IF(OR(ISNUMBER($W317),$W317="DNA"),$W317,IF(OR(ISNUMBER($V317),$V317="DNA"),$V317,IF(OR(ISNUMBER($U317),$U317="DNA"),$U317,IF(OR(ISNUMBER($T317),$T317="DNA"),$T317,IF(OR(ISNUMBER($S317),$S317="DNA"),$S317,IF(OR(ISNUMBER($P317),$P317="DNA"),$P317,IF(OR(ISNUMBER($O317),$O317="DNA"),$O317,IF(OR(ISNUMBER($N317),$N317="DNA"),$N317,""))))))))))),IF(ISNUMBER($Y317),"Update status","Missed/not booked?"),""))))</f>
        <v/>
      </c>
      <c r="M317" s="29">
        <f>IF(NOT(AND($A317&lt;&gt;"",OR($I317="",$I317="Active"))),"",IF(MIN(IF(AND(ISNUMBER($N317),$N317&gt;=TODAY()),$N317,99999),IF(AND(ISNUMBER($O317),$O317&gt;=TODAY()),$O317,99999),IF(AND(ISNUMBER($P317),$P317&gt;=TODAY()),$P317,99999),IF(AND(ISNUMBER($S317),$S317&gt;=TODAY()),$S317,99999),IF(AND(ISNUMBER($T317),$T317&gt;=TODAY()),$T317,99999),IF(AND(ISNUMBER($U317),$U317&gt;=TODAY()),$U317,99999),IF(AND(ISNUMBER($V317),$V317&gt;=TODAY()),$V317,99999),IF(AND(ISNUMBER($W317),$W317&gt;=TODAY()),$W317,99999),IF(AND(ISNUMBER($X317),$X317&gt;=TODAY()),$X317,99999),IF(AND(ISNUMBER($Y317),$Y317&gt;=TODAY()),$Y317,99999))=99999,"",MIN(IF(AND(ISNUMBER($N317),$N317&gt;=TODAY()),$N317,99999),IF(AND(ISNUMBER($O317),$O317&gt;=TODAY()),$O317,99999),IF(AND(ISNUMBER($P317),$P317&gt;=TODAY()),$P317,99999),IF(AND(ISNUMBER($S317),$S317&gt;=TODAY()),$S317,99999),IF(AND(ISNUMBER($T317),$T317&gt;=TODAY()),$T317,99999),IF(AND(ISNUMBER($U317),$U317&gt;=TODAY()),$U317,99999),IF(AND(ISNUMBER($V317),$V317&gt;=TODAY()),$V317,99999),IF(AND(ISNUMBER($W317),$W317&gt;=TODAY()),$W317,99999),IF(AND(ISNUMBER($X317),$X317&gt;=TODAY()),$X317,99999),IF(AND(ISNUMBER($Y317),$Y317&gt;=TODAY()),$Y317,99999))))</f>
        <v/>
      </c>
      <c r="N317" s="27" t="n"/>
      <c r="O317" s="27" t="n"/>
      <c r="P317" s="27" t="n"/>
      <c r="Q317" s="27" t="n"/>
      <c r="R317" s="27" t="n"/>
      <c r="S317" s="27" t="n"/>
      <c r="T317" s="27" t="n"/>
      <c r="U317" s="27" t="n"/>
      <c r="V317" s="27" t="n"/>
      <c r="W317" s="27" t="n"/>
      <c r="X317" s="27" t="n"/>
      <c r="Y317" s="27" t="n"/>
      <c r="Z317" s="27" t="n"/>
      <c r="AA317" s="27" t="n"/>
      <c r="AB317" s="27" t="n"/>
      <c r="AC317" s="30" t="n"/>
      <c r="AD317" s="25" t="n"/>
      <c r="AE317" s="28">
        <f>IF(NOT(AND($A317&lt;&gt;"",OR($I317="",$I317="Active"))),"",IF(OR(IF(OR(ISNUMBER($Y317),$Y317="DNA"),$Y317,IF(OR(ISNUMBER($X317),$X317="DNA"),$X317,IF(OR(ISNUMBER($W317),$W317="DNA"),$W317,IF(OR(ISNUMBER($V317),$V317="DNA"),$V317,IF(OR(ISNUMBER($U317),$U317="DNA"),$U317,IF(OR(ISNUMBER($T317),$T317="DNA"),$T317,IF(OR(ISNUMBER($S317),$S317="DNA"),$S317,IF(OR(ISNUMBER($P317),$P317="DNA"),$P317,IF(OR(ISNUMBER($O317),$O317="DNA"),$O317,IF(OR(ISNUMBER($N317),$N317="DNA"),$N317,""))))))))))="DNA",AND(ISNUMBER(IF(OR(ISNUMBER($Y317),$Y317="DNA"),$Y317,IF(OR(ISNUMBER($X317),$X317="DNA"),$X317,IF(OR(ISNUMBER($W317),$W317="DNA"),$W317,IF(OR(ISNUMBER($V317),$V317="DNA"),$V317,IF(OR(ISNUMBER($U317),$U317="DNA"),$U317,IF(OR(ISNUMBER($T317),$T317="DNA"),$T317,IF(OR(ISNUMBER($S317),$S317="DNA"),$S317,IF(OR(ISNUMBER($P317),$P317="DNA"),$P317,IF(OR(ISNUMBER($O317),$O317="DNA"),$O317,IF(OR(ISNUMBER($N317),$N317="DNA"),$N317,""))))))))))),IF(OR(ISNUMBER($Y317),$Y317="DNA"),$Y317,IF(OR(ISNUMBER($X317),$X317="DNA"),$X317,IF(OR(ISNUMBER($W317),$W317="DNA"),$W317,IF(OR(ISNUMBER($V317),$V317="DNA"),$V317,IF(OR(ISNUMBER($U317),$U317="DNA"),$U317,IF(OR(ISNUMBER($T317),$T317="DNA"),$T317,IF(OR(ISNUMBER($S317),$S317="DNA"),$S317,IF(OR(ISNUMBER($P317),$P317="DNA"),$P317,IF(OR(ISNUMBER($O317),$O317="DNA"),$O317,IF(OR(ISNUMBER($N317),$N317="DNA"),$N317,""))))))))))&lt;TODAY())),1,0)+ISNUMBER($Q317)*($Q317&lt;TODAY())+ISNUMBER($R317)*($R317&lt;TODAY())+ISNUMBER($AA317)*($AA317&lt;TODAY())+ISNUMBER($AB317)*($AB317&lt;TODAY()))</f>
        <v/>
      </c>
    </row>
    <row r="318">
      <c r="A318" s="25" t="n"/>
      <c r="B318" s="26" t="n"/>
      <c r="C318" s="27" t="n"/>
      <c r="D318" s="25" t="n"/>
      <c r="E318" s="25" t="n"/>
      <c r="F318" s="25" t="n"/>
      <c r="G318" s="25" t="n"/>
      <c r="H318" s="27" t="n"/>
      <c r="I318" s="25" t="n"/>
      <c r="J318" s="28">
        <f>IF(OR(NOT(AND($A318&lt;&gt;"",OR($I318="",$I318="Active"))),$H318=""),"",INT((TODAY()-$H318+280)/7)&amp;"+"&amp;MOD(TODAY()-$H318+280,7))</f>
        <v/>
      </c>
      <c r="K318" s="28">
        <f>IF(NOT(AND($A318&lt;&gt;"",OR($I318="",$I318="Active"))),"",ISNUMBER($N318)*($N318&gt;=TODAY())*($N318&lt;=TODAY()+7)+ISNUMBER($O318)*($O318&gt;=TODAY())*($O318&lt;=TODAY()+7)+ISNUMBER($P318)*($P318&gt;=TODAY())*($P318&lt;=TODAY()+7)+ISNUMBER($S318)*($S318&gt;=TODAY())*($S318&lt;=TODAY()+7)+ISNUMBER($T318)*($T318&gt;=TODAY())*($T318&lt;=TODAY()+7)+ISNUMBER($U318)*($U318&gt;=TODAY())*($U318&lt;=TODAY()+7)+ISNUMBER($V318)*($V318&gt;=TODAY())*($V318&lt;=TODAY()+7)+ISNUMBER($W318)*($W318&gt;=TODAY())*($W318&lt;=TODAY()+7)+ISNUMBER($X318)*($X318&gt;=TODAY())*($X318&lt;=TODAY()+7)+ISNUMBER($Y318)*($Y318&gt;=TODAY())*($Y318&lt;=TODAY()+7)+ISNUMBER($Q318)*($Q318&gt;=TODAY())*($Q318&lt;=TODAY()+7)+ISNUMBER($R318)*($R318&gt;=TODAY())*($R318&lt;=TODAY()+7)+ISNUMBER($AA318)*($AA318&gt;=TODAY())*($AA318&lt;=TODAY()+7)+ISNUMBER($AB318)*($AB318&gt;=TODAY())*($AB318&lt;=TODAY()+7))</f>
        <v/>
      </c>
      <c r="L318" s="28">
        <f>IF(NOT(AND($A318&lt;&gt;"",OR($I318="",$I318="Active"))),"",IF($M318&lt;&gt;"",IF($N318=$M318,"Booking",IF($O318=$M318,"16/40",IF($P318=$M318,"25/40",IF($S318=$M318,"28/40",IF($T318=$M318,"31/40",IF($U318=$M318,"34/40",IF($V318=$M318,"36/40",IF($W318=$M318,"38/40",IF($X318=$M318,"40/40",IF($Y318=$M318,"41/40","")))))))))),IF(IF(OR(ISNUMBER($Y318),$Y318="DNA"),$Y318,IF(OR(ISNUMBER($X318),$X318="DNA"),$X318,IF(OR(ISNUMBER($W318),$W318="DNA"),$W318,IF(OR(ISNUMBER($V318),$V318="DNA"),$V318,IF(OR(ISNUMBER($U318),$U318="DNA"),$U318,IF(OR(ISNUMBER($T318),$T318="DNA"),$T318,IF(OR(ISNUMBER($S318),$S318="DNA"),$S318,IF(OR(ISNUMBER($P318),$P318="DNA"),$P318,IF(OR(ISNUMBER($O318),$O318="DNA"),$O318,IF(OR(ISNUMBER($N318),$N318="DNA"),$N318,""))))))))))="DNA","Rebook DNA",IF(ISNUMBER(IF(OR(ISNUMBER($Y318),$Y318="DNA"),$Y318,IF(OR(ISNUMBER($X318),$X318="DNA"),$X318,IF(OR(ISNUMBER($W318),$W318="DNA"),$W318,IF(OR(ISNUMBER($V318),$V318="DNA"),$V318,IF(OR(ISNUMBER($U318),$U318="DNA"),$U318,IF(OR(ISNUMBER($T318),$T318="DNA"),$T318,IF(OR(ISNUMBER($S318),$S318="DNA"),$S318,IF(OR(ISNUMBER($P318),$P318="DNA"),$P318,IF(OR(ISNUMBER($O318),$O318="DNA"),$O318,IF(OR(ISNUMBER($N318),$N318="DNA"),$N318,""))))))))))),IF(ISNUMBER($Y318),"Update status","Missed/not booked?"),""))))</f>
        <v/>
      </c>
      <c r="M318" s="29">
        <f>IF(NOT(AND($A318&lt;&gt;"",OR($I318="",$I318="Active"))),"",IF(MIN(IF(AND(ISNUMBER($N318),$N318&gt;=TODAY()),$N318,99999),IF(AND(ISNUMBER($O318),$O318&gt;=TODAY()),$O318,99999),IF(AND(ISNUMBER($P318),$P318&gt;=TODAY()),$P318,99999),IF(AND(ISNUMBER($S318),$S318&gt;=TODAY()),$S318,99999),IF(AND(ISNUMBER($T318),$T318&gt;=TODAY()),$T318,99999),IF(AND(ISNUMBER($U318),$U318&gt;=TODAY()),$U318,99999),IF(AND(ISNUMBER($V318),$V318&gt;=TODAY()),$V318,99999),IF(AND(ISNUMBER($W318),$W318&gt;=TODAY()),$W318,99999),IF(AND(ISNUMBER($X318),$X318&gt;=TODAY()),$X318,99999),IF(AND(ISNUMBER($Y318),$Y318&gt;=TODAY()),$Y318,99999))=99999,"",MIN(IF(AND(ISNUMBER($N318),$N318&gt;=TODAY()),$N318,99999),IF(AND(ISNUMBER($O318),$O318&gt;=TODAY()),$O318,99999),IF(AND(ISNUMBER($P318),$P318&gt;=TODAY()),$P318,99999),IF(AND(ISNUMBER($S318),$S318&gt;=TODAY()),$S318,99999),IF(AND(ISNUMBER($T318),$T318&gt;=TODAY()),$T318,99999),IF(AND(ISNUMBER($U318),$U318&gt;=TODAY()),$U318,99999),IF(AND(ISNUMBER($V318),$V318&gt;=TODAY()),$V318,99999),IF(AND(ISNUMBER($W318),$W318&gt;=TODAY()),$W318,99999),IF(AND(ISNUMBER($X318),$X318&gt;=TODAY()),$X318,99999),IF(AND(ISNUMBER($Y318),$Y318&gt;=TODAY()),$Y318,99999))))</f>
        <v/>
      </c>
      <c r="N318" s="27" t="n"/>
      <c r="O318" s="27" t="n"/>
      <c r="P318" s="27" t="n"/>
      <c r="Q318" s="27" t="n"/>
      <c r="R318" s="27" t="n"/>
      <c r="S318" s="27" t="n"/>
      <c r="T318" s="27" t="n"/>
      <c r="U318" s="27" t="n"/>
      <c r="V318" s="27" t="n"/>
      <c r="W318" s="27" t="n"/>
      <c r="X318" s="27" t="n"/>
      <c r="Y318" s="27" t="n"/>
      <c r="Z318" s="27" t="n"/>
      <c r="AA318" s="27" t="n"/>
      <c r="AB318" s="27" t="n"/>
      <c r="AC318" s="30" t="n"/>
      <c r="AD318" s="25" t="n"/>
      <c r="AE318" s="28">
        <f>IF(NOT(AND($A318&lt;&gt;"",OR($I318="",$I318="Active"))),"",IF(OR(IF(OR(ISNUMBER($Y318),$Y318="DNA"),$Y318,IF(OR(ISNUMBER($X318),$X318="DNA"),$X318,IF(OR(ISNUMBER($W318),$W318="DNA"),$W318,IF(OR(ISNUMBER($V318),$V318="DNA"),$V318,IF(OR(ISNUMBER($U318),$U318="DNA"),$U318,IF(OR(ISNUMBER($T318),$T318="DNA"),$T318,IF(OR(ISNUMBER($S318),$S318="DNA"),$S318,IF(OR(ISNUMBER($P318),$P318="DNA"),$P318,IF(OR(ISNUMBER($O318),$O318="DNA"),$O318,IF(OR(ISNUMBER($N318),$N318="DNA"),$N318,""))))))))))="DNA",AND(ISNUMBER(IF(OR(ISNUMBER($Y318),$Y318="DNA"),$Y318,IF(OR(ISNUMBER($X318),$X318="DNA"),$X318,IF(OR(ISNUMBER($W318),$W318="DNA"),$W318,IF(OR(ISNUMBER($V318),$V318="DNA"),$V318,IF(OR(ISNUMBER($U318),$U318="DNA"),$U318,IF(OR(ISNUMBER($T318),$T318="DNA"),$T318,IF(OR(ISNUMBER($S318),$S318="DNA"),$S318,IF(OR(ISNUMBER($P318),$P318="DNA"),$P318,IF(OR(ISNUMBER($O318),$O318="DNA"),$O318,IF(OR(ISNUMBER($N318),$N318="DNA"),$N318,""))))))))))),IF(OR(ISNUMBER($Y318),$Y318="DNA"),$Y318,IF(OR(ISNUMBER($X318),$X318="DNA"),$X318,IF(OR(ISNUMBER($W318),$W318="DNA"),$W318,IF(OR(ISNUMBER($V318),$V318="DNA"),$V318,IF(OR(ISNUMBER($U318),$U318="DNA"),$U318,IF(OR(ISNUMBER($T318),$T318="DNA"),$T318,IF(OR(ISNUMBER($S318),$S318="DNA"),$S318,IF(OR(ISNUMBER($P318),$P318="DNA"),$P318,IF(OR(ISNUMBER($O318),$O318="DNA"),$O318,IF(OR(ISNUMBER($N318),$N318="DNA"),$N318,""))))))))))&lt;TODAY())),1,0)+ISNUMBER($Q318)*($Q318&lt;TODAY())+ISNUMBER($R318)*($R318&lt;TODAY())+ISNUMBER($AA318)*($AA318&lt;TODAY())+ISNUMBER($AB318)*($AB318&lt;TODAY()))</f>
        <v/>
      </c>
    </row>
    <row r="319">
      <c r="A319" s="25" t="n"/>
      <c r="B319" s="26" t="n"/>
      <c r="C319" s="27" t="n"/>
      <c r="D319" s="25" t="n"/>
      <c r="E319" s="25" t="n"/>
      <c r="F319" s="25" t="n"/>
      <c r="G319" s="25" t="n"/>
      <c r="H319" s="27" t="n"/>
      <c r="I319" s="25" t="n"/>
      <c r="J319" s="28">
        <f>IF(OR(NOT(AND($A319&lt;&gt;"",OR($I319="",$I319="Active"))),$H319=""),"",INT((TODAY()-$H319+280)/7)&amp;"+"&amp;MOD(TODAY()-$H319+280,7))</f>
        <v/>
      </c>
      <c r="K319" s="28">
        <f>IF(NOT(AND($A319&lt;&gt;"",OR($I319="",$I319="Active"))),"",ISNUMBER($N319)*($N319&gt;=TODAY())*($N319&lt;=TODAY()+7)+ISNUMBER($O319)*($O319&gt;=TODAY())*($O319&lt;=TODAY()+7)+ISNUMBER($P319)*($P319&gt;=TODAY())*($P319&lt;=TODAY()+7)+ISNUMBER($S319)*($S319&gt;=TODAY())*($S319&lt;=TODAY()+7)+ISNUMBER($T319)*($T319&gt;=TODAY())*($T319&lt;=TODAY()+7)+ISNUMBER($U319)*($U319&gt;=TODAY())*($U319&lt;=TODAY()+7)+ISNUMBER($V319)*($V319&gt;=TODAY())*($V319&lt;=TODAY()+7)+ISNUMBER($W319)*($W319&gt;=TODAY())*($W319&lt;=TODAY()+7)+ISNUMBER($X319)*($X319&gt;=TODAY())*($X319&lt;=TODAY()+7)+ISNUMBER($Y319)*($Y319&gt;=TODAY())*($Y319&lt;=TODAY()+7)+ISNUMBER($Q319)*($Q319&gt;=TODAY())*($Q319&lt;=TODAY()+7)+ISNUMBER($R319)*($R319&gt;=TODAY())*($R319&lt;=TODAY()+7)+ISNUMBER($AA319)*($AA319&gt;=TODAY())*($AA319&lt;=TODAY()+7)+ISNUMBER($AB319)*($AB319&gt;=TODAY())*($AB319&lt;=TODAY()+7))</f>
        <v/>
      </c>
      <c r="L319" s="28">
        <f>IF(NOT(AND($A319&lt;&gt;"",OR($I319="",$I319="Active"))),"",IF($M319&lt;&gt;"",IF($N319=$M319,"Booking",IF($O319=$M319,"16/40",IF($P319=$M319,"25/40",IF($S319=$M319,"28/40",IF($T319=$M319,"31/40",IF($U319=$M319,"34/40",IF($V319=$M319,"36/40",IF($W319=$M319,"38/40",IF($X319=$M319,"40/40",IF($Y319=$M319,"41/40","")))))))))),IF(IF(OR(ISNUMBER($Y319),$Y319="DNA"),$Y319,IF(OR(ISNUMBER($X319),$X319="DNA"),$X319,IF(OR(ISNUMBER($W319),$W319="DNA"),$W319,IF(OR(ISNUMBER($V319),$V319="DNA"),$V319,IF(OR(ISNUMBER($U319),$U319="DNA"),$U319,IF(OR(ISNUMBER($T319),$T319="DNA"),$T319,IF(OR(ISNUMBER($S319),$S319="DNA"),$S319,IF(OR(ISNUMBER($P319),$P319="DNA"),$P319,IF(OR(ISNUMBER($O319),$O319="DNA"),$O319,IF(OR(ISNUMBER($N319),$N319="DNA"),$N319,""))))))))))="DNA","Rebook DNA",IF(ISNUMBER(IF(OR(ISNUMBER($Y319),$Y319="DNA"),$Y319,IF(OR(ISNUMBER($X319),$X319="DNA"),$X319,IF(OR(ISNUMBER($W319),$W319="DNA"),$W319,IF(OR(ISNUMBER($V319),$V319="DNA"),$V319,IF(OR(ISNUMBER($U319),$U319="DNA"),$U319,IF(OR(ISNUMBER($T319),$T319="DNA"),$T319,IF(OR(ISNUMBER($S319),$S319="DNA"),$S319,IF(OR(ISNUMBER($P319),$P319="DNA"),$P319,IF(OR(ISNUMBER($O319),$O319="DNA"),$O319,IF(OR(ISNUMBER($N319),$N319="DNA"),$N319,""))))))))))),IF(ISNUMBER($Y319),"Update status","Missed/not booked?"),""))))</f>
        <v/>
      </c>
      <c r="M319" s="29">
        <f>IF(NOT(AND($A319&lt;&gt;"",OR($I319="",$I319="Active"))),"",IF(MIN(IF(AND(ISNUMBER($N319),$N319&gt;=TODAY()),$N319,99999),IF(AND(ISNUMBER($O319),$O319&gt;=TODAY()),$O319,99999),IF(AND(ISNUMBER($P319),$P319&gt;=TODAY()),$P319,99999),IF(AND(ISNUMBER($S319),$S319&gt;=TODAY()),$S319,99999),IF(AND(ISNUMBER($T319),$T319&gt;=TODAY()),$T319,99999),IF(AND(ISNUMBER($U319),$U319&gt;=TODAY()),$U319,99999),IF(AND(ISNUMBER($V319),$V319&gt;=TODAY()),$V319,99999),IF(AND(ISNUMBER($W319),$W319&gt;=TODAY()),$W319,99999),IF(AND(ISNUMBER($X319),$X319&gt;=TODAY()),$X319,99999),IF(AND(ISNUMBER($Y319),$Y319&gt;=TODAY()),$Y319,99999))=99999,"",MIN(IF(AND(ISNUMBER($N319),$N319&gt;=TODAY()),$N319,99999),IF(AND(ISNUMBER($O319),$O319&gt;=TODAY()),$O319,99999),IF(AND(ISNUMBER($P319),$P319&gt;=TODAY()),$P319,99999),IF(AND(ISNUMBER($S319),$S319&gt;=TODAY()),$S319,99999),IF(AND(ISNUMBER($T319),$T319&gt;=TODAY()),$T319,99999),IF(AND(ISNUMBER($U319),$U319&gt;=TODAY()),$U319,99999),IF(AND(ISNUMBER($V319),$V319&gt;=TODAY()),$V319,99999),IF(AND(ISNUMBER($W319),$W319&gt;=TODAY()),$W319,99999),IF(AND(ISNUMBER($X319),$X319&gt;=TODAY()),$X319,99999),IF(AND(ISNUMBER($Y319),$Y319&gt;=TODAY()),$Y319,99999))))</f>
        <v/>
      </c>
      <c r="N319" s="27" t="n"/>
      <c r="O319" s="27" t="n"/>
      <c r="P319" s="27" t="n"/>
      <c r="Q319" s="27" t="n"/>
      <c r="R319" s="27" t="n"/>
      <c r="S319" s="27" t="n"/>
      <c r="T319" s="27" t="n"/>
      <c r="U319" s="27" t="n"/>
      <c r="V319" s="27" t="n"/>
      <c r="W319" s="27" t="n"/>
      <c r="X319" s="27" t="n"/>
      <c r="Y319" s="27" t="n"/>
      <c r="Z319" s="27" t="n"/>
      <c r="AA319" s="27" t="n"/>
      <c r="AB319" s="27" t="n"/>
      <c r="AC319" s="30" t="n"/>
      <c r="AD319" s="25" t="n"/>
      <c r="AE319" s="28">
        <f>IF(NOT(AND($A319&lt;&gt;"",OR($I319="",$I319="Active"))),"",IF(OR(IF(OR(ISNUMBER($Y319),$Y319="DNA"),$Y319,IF(OR(ISNUMBER($X319),$X319="DNA"),$X319,IF(OR(ISNUMBER($W319),$W319="DNA"),$W319,IF(OR(ISNUMBER($V319),$V319="DNA"),$V319,IF(OR(ISNUMBER($U319),$U319="DNA"),$U319,IF(OR(ISNUMBER($T319),$T319="DNA"),$T319,IF(OR(ISNUMBER($S319),$S319="DNA"),$S319,IF(OR(ISNUMBER($P319),$P319="DNA"),$P319,IF(OR(ISNUMBER($O319),$O319="DNA"),$O319,IF(OR(ISNUMBER($N319),$N319="DNA"),$N319,""))))))))))="DNA",AND(ISNUMBER(IF(OR(ISNUMBER($Y319),$Y319="DNA"),$Y319,IF(OR(ISNUMBER($X319),$X319="DNA"),$X319,IF(OR(ISNUMBER($W319),$W319="DNA"),$W319,IF(OR(ISNUMBER($V319),$V319="DNA"),$V319,IF(OR(ISNUMBER($U319),$U319="DNA"),$U319,IF(OR(ISNUMBER($T319),$T319="DNA"),$T319,IF(OR(ISNUMBER($S319),$S319="DNA"),$S319,IF(OR(ISNUMBER($P319),$P319="DNA"),$P319,IF(OR(ISNUMBER($O319),$O319="DNA"),$O319,IF(OR(ISNUMBER($N319),$N319="DNA"),$N319,""))))))))))),IF(OR(ISNUMBER($Y319),$Y319="DNA"),$Y319,IF(OR(ISNUMBER($X319),$X319="DNA"),$X319,IF(OR(ISNUMBER($W319),$W319="DNA"),$W319,IF(OR(ISNUMBER($V319),$V319="DNA"),$V319,IF(OR(ISNUMBER($U319),$U319="DNA"),$U319,IF(OR(ISNUMBER($T319),$T319="DNA"),$T319,IF(OR(ISNUMBER($S319),$S319="DNA"),$S319,IF(OR(ISNUMBER($P319),$P319="DNA"),$P319,IF(OR(ISNUMBER($O319),$O319="DNA"),$O319,IF(OR(ISNUMBER($N319),$N319="DNA"),$N319,""))))))))))&lt;TODAY())),1,0)+ISNUMBER($Q319)*($Q319&lt;TODAY())+ISNUMBER($R319)*($R319&lt;TODAY())+ISNUMBER($AA319)*($AA319&lt;TODAY())+ISNUMBER($AB319)*($AB319&lt;TODAY()))</f>
        <v/>
      </c>
    </row>
    <row r="320">
      <c r="A320" s="25" t="n"/>
      <c r="B320" s="26" t="n"/>
      <c r="C320" s="27" t="n"/>
      <c r="D320" s="25" t="n"/>
      <c r="E320" s="25" t="n"/>
      <c r="F320" s="25" t="n"/>
      <c r="G320" s="25" t="n"/>
      <c r="H320" s="27" t="n"/>
      <c r="I320" s="25" t="n"/>
      <c r="J320" s="28">
        <f>IF(OR(NOT(AND($A320&lt;&gt;"",OR($I320="",$I320="Active"))),$H320=""),"",INT((TODAY()-$H320+280)/7)&amp;"+"&amp;MOD(TODAY()-$H320+280,7))</f>
        <v/>
      </c>
      <c r="K320" s="28">
        <f>IF(NOT(AND($A320&lt;&gt;"",OR($I320="",$I320="Active"))),"",ISNUMBER($N320)*($N320&gt;=TODAY())*($N320&lt;=TODAY()+7)+ISNUMBER($O320)*($O320&gt;=TODAY())*($O320&lt;=TODAY()+7)+ISNUMBER($P320)*($P320&gt;=TODAY())*($P320&lt;=TODAY()+7)+ISNUMBER($S320)*($S320&gt;=TODAY())*($S320&lt;=TODAY()+7)+ISNUMBER($T320)*($T320&gt;=TODAY())*($T320&lt;=TODAY()+7)+ISNUMBER($U320)*($U320&gt;=TODAY())*($U320&lt;=TODAY()+7)+ISNUMBER($V320)*($V320&gt;=TODAY())*($V320&lt;=TODAY()+7)+ISNUMBER($W320)*($W320&gt;=TODAY())*($W320&lt;=TODAY()+7)+ISNUMBER($X320)*($X320&gt;=TODAY())*($X320&lt;=TODAY()+7)+ISNUMBER($Y320)*($Y320&gt;=TODAY())*($Y320&lt;=TODAY()+7)+ISNUMBER($Q320)*($Q320&gt;=TODAY())*($Q320&lt;=TODAY()+7)+ISNUMBER($R320)*($R320&gt;=TODAY())*($R320&lt;=TODAY()+7)+ISNUMBER($AA320)*($AA320&gt;=TODAY())*($AA320&lt;=TODAY()+7)+ISNUMBER($AB320)*($AB320&gt;=TODAY())*($AB320&lt;=TODAY()+7))</f>
        <v/>
      </c>
      <c r="L320" s="28">
        <f>IF(NOT(AND($A320&lt;&gt;"",OR($I320="",$I320="Active"))),"",IF($M320&lt;&gt;"",IF($N320=$M320,"Booking",IF($O320=$M320,"16/40",IF($P320=$M320,"25/40",IF($S320=$M320,"28/40",IF($T320=$M320,"31/40",IF($U320=$M320,"34/40",IF($V320=$M320,"36/40",IF($W320=$M320,"38/40",IF($X320=$M320,"40/40",IF($Y320=$M320,"41/40","")))))))))),IF(IF(OR(ISNUMBER($Y320),$Y320="DNA"),$Y320,IF(OR(ISNUMBER($X320),$X320="DNA"),$X320,IF(OR(ISNUMBER($W320),$W320="DNA"),$W320,IF(OR(ISNUMBER($V320),$V320="DNA"),$V320,IF(OR(ISNUMBER($U320),$U320="DNA"),$U320,IF(OR(ISNUMBER($T320),$T320="DNA"),$T320,IF(OR(ISNUMBER($S320),$S320="DNA"),$S320,IF(OR(ISNUMBER($P320),$P320="DNA"),$P320,IF(OR(ISNUMBER($O320),$O320="DNA"),$O320,IF(OR(ISNUMBER($N320),$N320="DNA"),$N320,""))))))))))="DNA","Rebook DNA",IF(ISNUMBER(IF(OR(ISNUMBER($Y320),$Y320="DNA"),$Y320,IF(OR(ISNUMBER($X320),$X320="DNA"),$X320,IF(OR(ISNUMBER($W320),$W320="DNA"),$W320,IF(OR(ISNUMBER($V320),$V320="DNA"),$V320,IF(OR(ISNUMBER($U320),$U320="DNA"),$U320,IF(OR(ISNUMBER($T320),$T320="DNA"),$T320,IF(OR(ISNUMBER($S320),$S320="DNA"),$S320,IF(OR(ISNUMBER($P320),$P320="DNA"),$P320,IF(OR(ISNUMBER($O320),$O320="DNA"),$O320,IF(OR(ISNUMBER($N320),$N320="DNA"),$N320,""))))))))))),IF(ISNUMBER($Y320),"Update status","Missed/not booked?"),""))))</f>
        <v/>
      </c>
      <c r="M320" s="29">
        <f>IF(NOT(AND($A320&lt;&gt;"",OR($I320="",$I320="Active"))),"",IF(MIN(IF(AND(ISNUMBER($N320),$N320&gt;=TODAY()),$N320,99999),IF(AND(ISNUMBER($O320),$O320&gt;=TODAY()),$O320,99999),IF(AND(ISNUMBER($P320),$P320&gt;=TODAY()),$P320,99999),IF(AND(ISNUMBER($S320),$S320&gt;=TODAY()),$S320,99999),IF(AND(ISNUMBER($T320),$T320&gt;=TODAY()),$T320,99999),IF(AND(ISNUMBER($U320),$U320&gt;=TODAY()),$U320,99999),IF(AND(ISNUMBER($V320),$V320&gt;=TODAY()),$V320,99999),IF(AND(ISNUMBER($W320),$W320&gt;=TODAY()),$W320,99999),IF(AND(ISNUMBER($X320),$X320&gt;=TODAY()),$X320,99999),IF(AND(ISNUMBER($Y320),$Y320&gt;=TODAY()),$Y320,99999))=99999,"",MIN(IF(AND(ISNUMBER($N320),$N320&gt;=TODAY()),$N320,99999),IF(AND(ISNUMBER($O320),$O320&gt;=TODAY()),$O320,99999),IF(AND(ISNUMBER($P320),$P320&gt;=TODAY()),$P320,99999),IF(AND(ISNUMBER($S320),$S320&gt;=TODAY()),$S320,99999),IF(AND(ISNUMBER($T320),$T320&gt;=TODAY()),$T320,99999),IF(AND(ISNUMBER($U320),$U320&gt;=TODAY()),$U320,99999),IF(AND(ISNUMBER($V320),$V320&gt;=TODAY()),$V320,99999),IF(AND(ISNUMBER($W320),$W320&gt;=TODAY()),$W320,99999),IF(AND(ISNUMBER($X320),$X320&gt;=TODAY()),$X320,99999),IF(AND(ISNUMBER($Y320),$Y320&gt;=TODAY()),$Y320,99999))))</f>
        <v/>
      </c>
      <c r="N320" s="27" t="n"/>
      <c r="O320" s="27" t="n"/>
      <c r="P320" s="27" t="n"/>
      <c r="Q320" s="27" t="n"/>
      <c r="R320" s="27" t="n"/>
      <c r="S320" s="27" t="n"/>
      <c r="T320" s="27" t="n"/>
      <c r="U320" s="27" t="n"/>
      <c r="V320" s="27" t="n"/>
      <c r="W320" s="27" t="n"/>
      <c r="X320" s="27" t="n"/>
      <c r="Y320" s="27" t="n"/>
      <c r="Z320" s="27" t="n"/>
      <c r="AA320" s="27" t="n"/>
      <c r="AB320" s="27" t="n"/>
      <c r="AC320" s="30" t="n"/>
      <c r="AD320" s="25" t="n"/>
      <c r="AE320" s="28">
        <f>IF(NOT(AND($A320&lt;&gt;"",OR($I320="",$I320="Active"))),"",IF(OR(IF(OR(ISNUMBER($Y320),$Y320="DNA"),$Y320,IF(OR(ISNUMBER($X320),$X320="DNA"),$X320,IF(OR(ISNUMBER($W320),$W320="DNA"),$W320,IF(OR(ISNUMBER($V320),$V320="DNA"),$V320,IF(OR(ISNUMBER($U320),$U320="DNA"),$U320,IF(OR(ISNUMBER($T320),$T320="DNA"),$T320,IF(OR(ISNUMBER($S320),$S320="DNA"),$S320,IF(OR(ISNUMBER($P320),$P320="DNA"),$P320,IF(OR(ISNUMBER($O320),$O320="DNA"),$O320,IF(OR(ISNUMBER($N320),$N320="DNA"),$N320,""))))))))))="DNA",AND(ISNUMBER(IF(OR(ISNUMBER($Y320),$Y320="DNA"),$Y320,IF(OR(ISNUMBER($X320),$X320="DNA"),$X320,IF(OR(ISNUMBER($W320),$W320="DNA"),$W320,IF(OR(ISNUMBER($V320),$V320="DNA"),$V320,IF(OR(ISNUMBER($U320),$U320="DNA"),$U320,IF(OR(ISNUMBER($T320),$T320="DNA"),$T320,IF(OR(ISNUMBER($S320),$S320="DNA"),$S320,IF(OR(ISNUMBER($P320),$P320="DNA"),$P320,IF(OR(ISNUMBER($O320),$O320="DNA"),$O320,IF(OR(ISNUMBER($N320),$N320="DNA"),$N320,""))))))))))),IF(OR(ISNUMBER($Y320),$Y320="DNA"),$Y320,IF(OR(ISNUMBER($X320),$X320="DNA"),$X320,IF(OR(ISNUMBER($W320),$W320="DNA"),$W320,IF(OR(ISNUMBER($V320),$V320="DNA"),$V320,IF(OR(ISNUMBER($U320),$U320="DNA"),$U320,IF(OR(ISNUMBER($T320),$T320="DNA"),$T320,IF(OR(ISNUMBER($S320),$S320="DNA"),$S320,IF(OR(ISNUMBER($P320),$P320="DNA"),$P320,IF(OR(ISNUMBER($O320),$O320="DNA"),$O320,IF(OR(ISNUMBER($N320),$N320="DNA"),$N320,""))))))))))&lt;TODAY())),1,0)+ISNUMBER($Q320)*($Q320&lt;TODAY())+ISNUMBER($R320)*($R320&lt;TODAY())+ISNUMBER($AA320)*($AA320&lt;TODAY())+ISNUMBER($AB320)*($AB320&lt;TODAY()))</f>
        <v/>
      </c>
    </row>
    <row r="321">
      <c r="A321" s="25" t="n"/>
      <c r="B321" s="26" t="n"/>
      <c r="C321" s="27" t="n"/>
      <c r="D321" s="25" t="n"/>
      <c r="E321" s="25" t="n"/>
      <c r="F321" s="25" t="n"/>
      <c r="G321" s="25" t="n"/>
      <c r="H321" s="27" t="n"/>
      <c r="I321" s="25" t="n"/>
      <c r="J321" s="28">
        <f>IF(OR(NOT(AND($A321&lt;&gt;"",OR($I321="",$I321="Active"))),$H321=""),"",INT((TODAY()-$H321+280)/7)&amp;"+"&amp;MOD(TODAY()-$H321+280,7))</f>
        <v/>
      </c>
      <c r="K321" s="28">
        <f>IF(NOT(AND($A321&lt;&gt;"",OR($I321="",$I321="Active"))),"",ISNUMBER($N321)*($N321&gt;=TODAY())*($N321&lt;=TODAY()+7)+ISNUMBER($O321)*($O321&gt;=TODAY())*($O321&lt;=TODAY()+7)+ISNUMBER($P321)*($P321&gt;=TODAY())*($P321&lt;=TODAY()+7)+ISNUMBER($S321)*($S321&gt;=TODAY())*($S321&lt;=TODAY()+7)+ISNUMBER($T321)*($T321&gt;=TODAY())*($T321&lt;=TODAY()+7)+ISNUMBER($U321)*($U321&gt;=TODAY())*($U321&lt;=TODAY()+7)+ISNUMBER($V321)*($V321&gt;=TODAY())*($V321&lt;=TODAY()+7)+ISNUMBER($W321)*($W321&gt;=TODAY())*($W321&lt;=TODAY()+7)+ISNUMBER($X321)*($X321&gt;=TODAY())*($X321&lt;=TODAY()+7)+ISNUMBER($Y321)*($Y321&gt;=TODAY())*($Y321&lt;=TODAY()+7)+ISNUMBER($Q321)*($Q321&gt;=TODAY())*($Q321&lt;=TODAY()+7)+ISNUMBER($R321)*($R321&gt;=TODAY())*($R321&lt;=TODAY()+7)+ISNUMBER($AA321)*($AA321&gt;=TODAY())*($AA321&lt;=TODAY()+7)+ISNUMBER($AB321)*($AB321&gt;=TODAY())*($AB321&lt;=TODAY()+7))</f>
        <v/>
      </c>
      <c r="L321" s="28">
        <f>IF(NOT(AND($A321&lt;&gt;"",OR($I321="",$I321="Active"))),"",IF($M321&lt;&gt;"",IF($N321=$M321,"Booking",IF($O321=$M321,"16/40",IF($P321=$M321,"25/40",IF($S321=$M321,"28/40",IF($T321=$M321,"31/40",IF($U321=$M321,"34/40",IF($V321=$M321,"36/40",IF($W321=$M321,"38/40",IF($X321=$M321,"40/40",IF($Y321=$M321,"41/40","")))))))))),IF(IF(OR(ISNUMBER($Y321),$Y321="DNA"),$Y321,IF(OR(ISNUMBER($X321),$X321="DNA"),$X321,IF(OR(ISNUMBER($W321),$W321="DNA"),$W321,IF(OR(ISNUMBER($V321),$V321="DNA"),$V321,IF(OR(ISNUMBER($U321),$U321="DNA"),$U321,IF(OR(ISNUMBER($T321),$T321="DNA"),$T321,IF(OR(ISNUMBER($S321),$S321="DNA"),$S321,IF(OR(ISNUMBER($P321),$P321="DNA"),$P321,IF(OR(ISNUMBER($O321),$O321="DNA"),$O321,IF(OR(ISNUMBER($N321),$N321="DNA"),$N321,""))))))))))="DNA","Rebook DNA",IF(ISNUMBER(IF(OR(ISNUMBER($Y321),$Y321="DNA"),$Y321,IF(OR(ISNUMBER($X321),$X321="DNA"),$X321,IF(OR(ISNUMBER($W321),$W321="DNA"),$W321,IF(OR(ISNUMBER($V321),$V321="DNA"),$V321,IF(OR(ISNUMBER($U321),$U321="DNA"),$U321,IF(OR(ISNUMBER($T321),$T321="DNA"),$T321,IF(OR(ISNUMBER($S321),$S321="DNA"),$S321,IF(OR(ISNUMBER($P321),$P321="DNA"),$P321,IF(OR(ISNUMBER($O321),$O321="DNA"),$O321,IF(OR(ISNUMBER($N321),$N321="DNA"),$N321,""))))))))))),IF(ISNUMBER($Y321),"Update status","Missed/not booked?"),""))))</f>
        <v/>
      </c>
      <c r="M321" s="29">
        <f>IF(NOT(AND($A321&lt;&gt;"",OR($I321="",$I321="Active"))),"",IF(MIN(IF(AND(ISNUMBER($N321),$N321&gt;=TODAY()),$N321,99999),IF(AND(ISNUMBER($O321),$O321&gt;=TODAY()),$O321,99999),IF(AND(ISNUMBER($P321),$P321&gt;=TODAY()),$P321,99999),IF(AND(ISNUMBER($S321),$S321&gt;=TODAY()),$S321,99999),IF(AND(ISNUMBER($T321),$T321&gt;=TODAY()),$T321,99999),IF(AND(ISNUMBER($U321),$U321&gt;=TODAY()),$U321,99999),IF(AND(ISNUMBER($V321),$V321&gt;=TODAY()),$V321,99999),IF(AND(ISNUMBER($W321),$W321&gt;=TODAY()),$W321,99999),IF(AND(ISNUMBER($X321),$X321&gt;=TODAY()),$X321,99999),IF(AND(ISNUMBER($Y321),$Y321&gt;=TODAY()),$Y321,99999))=99999,"",MIN(IF(AND(ISNUMBER($N321),$N321&gt;=TODAY()),$N321,99999),IF(AND(ISNUMBER($O321),$O321&gt;=TODAY()),$O321,99999),IF(AND(ISNUMBER($P321),$P321&gt;=TODAY()),$P321,99999),IF(AND(ISNUMBER($S321),$S321&gt;=TODAY()),$S321,99999),IF(AND(ISNUMBER($T321),$T321&gt;=TODAY()),$T321,99999),IF(AND(ISNUMBER($U321),$U321&gt;=TODAY()),$U321,99999),IF(AND(ISNUMBER($V321),$V321&gt;=TODAY()),$V321,99999),IF(AND(ISNUMBER($W321),$W321&gt;=TODAY()),$W321,99999),IF(AND(ISNUMBER($X321),$X321&gt;=TODAY()),$X321,99999),IF(AND(ISNUMBER($Y321),$Y321&gt;=TODAY()),$Y321,99999))))</f>
        <v/>
      </c>
      <c r="N321" s="27" t="n"/>
      <c r="O321" s="27" t="n"/>
      <c r="P321" s="27" t="n"/>
      <c r="Q321" s="27" t="n"/>
      <c r="R321" s="27" t="n"/>
      <c r="S321" s="27" t="n"/>
      <c r="T321" s="27" t="n"/>
      <c r="U321" s="27" t="n"/>
      <c r="V321" s="27" t="n"/>
      <c r="W321" s="27" t="n"/>
      <c r="X321" s="27" t="n"/>
      <c r="Y321" s="27" t="n"/>
      <c r="Z321" s="27" t="n"/>
      <c r="AA321" s="27" t="n"/>
      <c r="AB321" s="27" t="n"/>
      <c r="AC321" s="30" t="n"/>
      <c r="AD321" s="25" t="n"/>
      <c r="AE321" s="28">
        <f>IF(NOT(AND($A321&lt;&gt;"",OR($I321="",$I321="Active"))),"",IF(OR(IF(OR(ISNUMBER($Y321),$Y321="DNA"),$Y321,IF(OR(ISNUMBER($X321),$X321="DNA"),$X321,IF(OR(ISNUMBER($W321),$W321="DNA"),$W321,IF(OR(ISNUMBER($V321),$V321="DNA"),$V321,IF(OR(ISNUMBER($U321),$U321="DNA"),$U321,IF(OR(ISNUMBER($T321),$T321="DNA"),$T321,IF(OR(ISNUMBER($S321),$S321="DNA"),$S321,IF(OR(ISNUMBER($P321),$P321="DNA"),$P321,IF(OR(ISNUMBER($O321),$O321="DNA"),$O321,IF(OR(ISNUMBER($N321),$N321="DNA"),$N321,""))))))))))="DNA",AND(ISNUMBER(IF(OR(ISNUMBER($Y321),$Y321="DNA"),$Y321,IF(OR(ISNUMBER($X321),$X321="DNA"),$X321,IF(OR(ISNUMBER($W321),$W321="DNA"),$W321,IF(OR(ISNUMBER($V321),$V321="DNA"),$V321,IF(OR(ISNUMBER($U321),$U321="DNA"),$U321,IF(OR(ISNUMBER($T321),$T321="DNA"),$T321,IF(OR(ISNUMBER($S321),$S321="DNA"),$S321,IF(OR(ISNUMBER($P321),$P321="DNA"),$P321,IF(OR(ISNUMBER($O321),$O321="DNA"),$O321,IF(OR(ISNUMBER($N321),$N321="DNA"),$N321,""))))))))))),IF(OR(ISNUMBER($Y321),$Y321="DNA"),$Y321,IF(OR(ISNUMBER($X321),$X321="DNA"),$X321,IF(OR(ISNUMBER($W321),$W321="DNA"),$W321,IF(OR(ISNUMBER($V321),$V321="DNA"),$V321,IF(OR(ISNUMBER($U321),$U321="DNA"),$U321,IF(OR(ISNUMBER($T321),$T321="DNA"),$T321,IF(OR(ISNUMBER($S321),$S321="DNA"),$S321,IF(OR(ISNUMBER($P321),$P321="DNA"),$P321,IF(OR(ISNUMBER($O321),$O321="DNA"),$O321,IF(OR(ISNUMBER($N321),$N321="DNA"),$N321,""))))))))))&lt;TODAY())),1,0)+ISNUMBER($Q321)*($Q321&lt;TODAY())+ISNUMBER($R321)*($R321&lt;TODAY())+ISNUMBER($AA321)*($AA321&lt;TODAY())+ISNUMBER($AB321)*($AB321&lt;TODAY()))</f>
        <v/>
      </c>
    </row>
    <row r="322">
      <c r="A322" s="25" t="n"/>
      <c r="B322" s="26" t="n"/>
      <c r="C322" s="27" t="n"/>
      <c r="D322" s="25" t="n"/>
      <c r="E322" s="25" t="n"/>
      <c r="F322" s="25" t="n"/>
      <c r="G322" s="25" t="n"/>
      <c r="H322" s="27" t="n"/>
      <c r="I322" s="25" t="n"/>
      <c r="J322" s="28">
        <f>IF(OR(NOT(AND($A322&lt;&gt;"",OR($I322="",$I322="Active"))),$H322=""),"",INT((TODAY()-$H322+280)/7)&amp;"+"&amp;MOD(TODAY()-$H322+280,7))</f>
        <v/>
      </c>
      <c r="K322" s="28">
        <f>IF(NOT(AND($A322&lt;&gt;"",OR($I322="",$I322="Active"))),"",ISNUMBER($N322)*($N322&gt;=TODAY())*($N322&lt;=TODAY()+7)+ISNUMBER($O322)*($O322&gt;=TODAY())*($O322&lt;=TODAY()+7)+ISNUMBER($P322)*($P322&gt;=TODAY())*($P322&lt;=TODAY()+7)+ISNUMBER($S322)*($S322&gt;=TODAY())*($S322&lt;=TODAY()+7)+ISNUMBER($T322)*($T322&gt;=TODAY())*($T322&lt;=TODAY()+7)+ISNUMBER($U322)*($U322&gt;=TODAY())*($U322&lt;=TODAY()+7)+ISNUMBER($V322)*($V322&gt;=TODAY())*($V322&lt;=TODAY()+7)+ISNUMBER($W322)*($W322&gt;=TODAY())*($W322&lt;=TODAY()+7)+ISNUMBER($X322)*($X322&gt;=TODAY())*($X322&lt;=TODAY()+7)+ISNUMBER($Y322)*($Y322&gt;=TODAY())*($Y322&lt;=TODAY()+7)+ISNUMBER($Q322)*($Q322&gt;=TODAY())*($Q322&lt;=TODAY()+7)+ISNUMBER($R322)*($R322&gt;=TODAY())*($R322&lt;=TODAY()+7)+ISNUMBER($AA322)*($AA322&gt;=TODAY())*($AA322&lt;=TODAY()+7)+ISNUMBER($AB322)*($AB322&gt;=TODAY())*($AB322&lt;=TODAY()+7))</f>
        <v/>
      </c>
      <c r="L322" s="28">
        <f>IF(NOT(AND($A322&lt;&gt;"",OR($I322="",$I322="Active"))),"",IF($M322&lt;&gt;"",IF($N322=$M322,"Booking",IF($O322=$M322,"16/40",IF($P322=$M322,"25/40",IF($S322=$M322,"28/40",IF($T322=$M322,"31/40",IF($U322=$M322,"34/40",IF($V322=$M322,"36/40",IF($W322=$M322,"38/40",IF($X322=$M322,"40/40",IF($Y322=$M322,"41/40","")))))))))),IF(IF(OR(ISNUMBER($Y322),$Y322="DNA"),$Y322,IF(OR(ISNUMBER($X322),$X322="DNA"),$X322,IF(OR(ISNUMBER($W322),$W322="DNA"),$W322,IF(OR(ISNUMBER($V322),$V322="DNA"),$V322,IF(OR(ISNUMBER($U322),$U322="DNA"),$U322,IF(OR(ISNUMBER($T322),$T322="DNA"),$T322,IF(OR(ISNUMBER($S322),$S322="DNA"),$S322,IF(OR(ISNUMBER($P322),$P322="DNA"),$P322,IF(OR(ISNUMBER($O322),$O322="DNA"),$O322,IF(OR(ISNUMBER($N322),$N322="DNA"),$N322,""))))))))))="DNA","Rebook DNA",IF(ISNUMBER(IF(OR(ISNUMBER($Y322),$Y322="DNA"),$Y322,IF(OR(ISNUMBER($X322),$X322="DNA"),$X322,IF(OR(ISNUMBER($W322),$W322="DNA"),$W322,IF(OR(ISNUMBER($V322),$V322="DNA"),$V322,IF(OR(ISNUMBER($U322),$U322="DNA"),$U322,IF(OR(ISNUMBER($T322),$T322="DNA"),$T322,IF(OR(ISNUMBER($S322),$S322="DNA"),$S322,IF(OR(ISNUMBER($P322),$P322="DNA"),$P322,IF(OR(ISNUMBER($O322),$O322="DNA"),$O322,IF(OR(ISNUMBER($N322),$N322="DNA"),$N322,""))))))))))),IF(ISNUMBER($Y322),"Update status","Missed/not booked?"),""))))</f>
        <v/>
      </c>
      <c r="M322" s="29">
        <f>IF(NOT(AND($A322&lt;&gt;"",OR($I322="",$I322="Active"))),"",IF(MIN(IF(AND(ISNUMBER($N322),$N322&gt;=TODAY()),$N322,99999),IF(AND(ISNUMBER($O322),$O322&gt;=TODAY()),$O322,99999),IF(AND(ISNUMBER($P322),$P322&gt;=TODAY()),$P322,99999),IF(AND(ISNUMBER($S322),$S322&gt;=TODAY()),$S322,99999),IF(AND(ISNUMBER($T322),$T322&gt;=TODAY()),$T322,99999),IF(AND(ISNUMBER($U322),$U322&gt;=TODAY()),$U322,99999),IF(AND(ISNUMBER($V322),$V322&gt;=TODAY()),$V322,99999),IF(AND(ISNUMBER($W322),$W322&gt;=TODAY()),$W322,99999),IF(AND(ISNUMBER($X322),$X322&gt;=TODAY()),$X322,99999),IF(AND(ISNUMBER($Y322),$Y322&gt;=TODAY()),$Y322,99999))=99999,"",MIN(IF(AND(ISNUMBER($N322),$N322&gt;=TODAY()),$N322,99999),IF(AND(ISNUMBER($O322),$O322&gt;=TODAY()),$O322,99999),IF(AND(ISNUMBER($P322),$P322&gt;=TODAY()),$P322,99999),IF(AND(ISNUMBER($S322),$S322&gt;=TODAY()),$S322,99999),IF(AND(ISNUMBER($T322),$T322&gt;=TODAY()),$T322,99999),IF(AND(ISNUMBER($U322),$U322&gt;=TODAY()),$U322,99999),IF(AND(ISNUMBER($V322),$V322&gt;=TODAY()),$V322,99999),IF(AND(ISNUMBER($W322),$W322&gt;=TODAY()),$W322,99999),IF(AND(ISNUMBER($X322),$X322&gt;=TODAY()),$X322,99999),IF(AND(ISNUMBER($Y322),$Y322&gt;=TODAY()),$Y322,99999))))</f>
        <v/>
      </c>
      <c r="N322" s="27" t="n"/>
      <c r="O322" s="27" t="n"/>
      <c r="P322" s="27" t="n"/>
      <c r="Q322" s="27" t="n"/>
      <c r="R322" s="27" t="n"/>
      <c r="S322" s="27" t="n"/>
      <c r="T322" s="27" t="n"/>
      <c r="U322" s="27" t="n"/>
      <c r="V322" s="27" t="n"/>
      <c r="W322" s="27" t="n"/>
      <c r="X322" s="27" t="n"/>
      <c r="Y322" s="27" t="n"/>
      <c r="Z322" s="27" t="n"/>
      <c r="AA322" s="27" t="n"/>
      <c r="AB322" s="27" t="n"/>
      <c r="AC322" s="30" t="n"/>
      <c r="AD322" s="25" t="n"/>
      <c r="AE322" s="28">
        <f>IF(NOT(AND($A322&lt;&gt;"",OR($I322="",$I322="Active"))),"",IF(OR(IF(OR(ISNUMBER($Y322),$Y322="DNA"),$Y322,IF(OR(ISNUMBER($X322),$X322="DNA"),$X322,IF(OR(ISNUMBER($W322),$W322="DNA"),$W322,IF(OR(ISNUMBER($V322),$V322="DNA"),$V322,IF(OR(ISNUMBER($U322),$U322="DNA"),$U322,IF(OR(ISNUMBER($T322),$T322="DNA"),$T322,IF(OR(ISNUMBER($S322),$S322="DNA"),$S322,IF(OR(ISNUMBER($P322),$P322="DNA"),$P322,IF(OR(ISNUMBER($O322),$O322="DNA"),$O322,IF(OR(ISNUMBER($N322),$N322="DNA"),$N322,""))))))))))="DNA",AND(ISNUMBER(IF(OR(ISNUMBER($Y322),$Y322="DNA"),$Y322,IF(OR(ISNUMBER($X322),$X322="DNA"),$X322,IF(OR(ISNUMBER($W322),$W322="DNA"),$W322,IF(OR(ISNUMBER($V322),$V322="DNA"),$V322,IF(OR(ISNUMBER($U322),$U322="DNA"),$U322,IF(OR(ISNUMBER($T322),$T322="DNA"),$T322,IF(OR(ISNUMBER($S322),$S322="DNA"),$S322,IF(OR(ISNUMBER($P322),$P322="DNA"),$P322,IF(OR(ISNUMBER($O322),$O322="DNA"),$O322,IF(OR(ISNUMBER($N322),$N322="DNA"),$N322,""))))))))))),IF(OR(ISNUMBER($Y322),$Y322="DNA"),$Y322,IF(OR(ISNUMBER($X322),$X322="DNA"),$X322,IF(OR(ISNUMBER($W322),$W322="DNA"),$W322,IF(OR(ISNUMBER($V322),$V322="DNA"),$V322,IF(OR(ISNUMBER($U322),$U322="DNA"),$U322,IF(OR(ISNUMBER($T322),$T322="DNA"),$T322,IF(OR(ISNUMBER($S322),$S322="DNA"),$S322,IF(OR(ISNUMBER($P322),$P322="DNA"),$P322,IF(OR(ISNUMBER($O322),$O322="DNA"),$O322,IF(OR(ISNUMBER($N322),$N322="DNA"),$N322,""))))))))))&lt;TODAY())),1,0)+ISNUMBER($Q322)*($Q322&lt;TODAY())+ISNUMBER($R322)*($R322&lt;TODAY())+ISNUMBER($AA322)*($AA322&lt;TODAY())+ISNUMBER($AB322)*($AB322&lt;TODAY()))</f>
        <v/>
      </c>
    </row>
    <row r="323">
      <c r="A323" s="25" t="n"/>
      <c r="B323" s="26" t="n"/>
      <c r="C323" s="27" t="n"/>
      <c r="D323" s="25" t="n"/>
      <c r="E323" s="25" t="n"/>
      <c r="F323" s="25" t="n"/>
      <c r="G323" s="25" t="n"/>
      <c r="H323" s="27" t="n"/>
      <c r="I323" s="25" t="n"/>
      <c r="J323" s="28">
        <f>IF(OR(NOT(AND($A323&lt;&gt;"",OR($I323="",$I323="Active"))),$H323=""),"",INT((TODAY()-$H323+280)/7)&amp;"+"&amp;MOD(TODAY()-$H323+280,7))</f>
        <v/>
      </c>
      <c r="K323" s="28">
        <f>IF(NOT(AND($A323&lt;&gt;"",OR($I323="",$I323="Active"))),"",ISNUMBER($N323)*($N323&gt;=TODAY())*($N323&lt;=TODAY()+7)+ISNUMBER($O323)*($O323&gt;=TODAY())*($O323&lt;=TODAY()+7)+ISNUMBER($P323)*($P323&gt;=TODAY())*($P323&lt;=TODAY()+7)+ISNUMBER($S323)*($S323&gt;=TODAY())*($S323&lt;=TODAY()+7)+ISNUMBER($T323)*($T323&gt;=TODAY())*($T323&lt;=TODAY()+7)+ISNUMBER($U323)*($U323&gt;=TODAY())*($U323&lt;=TODAY()+7)+ISNUMBER($V323)*($V323&gt;=TODAY())*($V323&lt;=TODAY()+7)+ISNUMBER($W323)*($W323&gt;=TODAY())*($W323&lt;=TODAY()+7)+ISNUMBER($X323)*($X323&gt;=TODAY())*($X323&lt;=TODAY()+7)+ISNUMBER($Y323)*($Y323&gt;=TODAY())*($Y323&lt;=TODAY()+7)+ISNUMBER($Q323)*($Q323&gt;=TODAY())*($Q323&lt;=TODAY()+7)+ISNUMBER($R323)*($R323&gt;=TODAY())*($R323&lt;=TODAY()+7)+ISNUMBER($AA323)*($AA323&gt;=TODAY())*($AA323&lt;=TODAY()+7)+ISNUMBER($AB323)*($AB323&gt;=TODAY())*($AB323&lt;=TODAY()+7))</f>
        <v/>
      </c>
      <c r="L323" s="28">
        <f>IF(NOT(AND($A323&lt;&gt;"",OR($I323="",$I323="Active"))),"",IF($M323&lt;&gt;"",IF($N323=$M323,"Booking",IF($O323=$M323,"16/40",IF($P323=$M323,"25/40",IF($S323=$M323,"28/40",IF($T323=$M323,"31/40",IF($U323=$M323,"34/40",IF($V323=$M323,"36/40",IF($W323=$M323,"38/40",IF($X323=$M323,"40/40",IF($Y323=$M323,"41/40","")))))))))),IF(IF(OR(ISNUMBER($Y323),$Y323="DNA"),$Y323,IF(OR(ISNUMBER($X323),$X323="DNA"),$X323,IF(OR(ISNUMBER($W323),$W323="DNA"),$W323,IF(OR(ISNUMBER($V323),$V323="DNA"),$V323,IF(OR(ISNUMBER($U323),$U323="DNA"),$U323,IF(OR(ISNUMBER($T323),$T323="DNA"),$T323,IF(OR(ISNUMBER($S323),$S323="DNA"),$S323,IF(OR(ISNUMBER($P323),$P323="DNA"),$P323,IF(OR(ISNUMBER($O323),$O323="DNA"),$O323,IF(OR(ISNUMBER($N323),$N323="DNA"),$N323,""))))))))))="DNA","Rebook DNA",IF(ISNUMBER(IF(OR(ISNUMBER($Y323),$Y323="DNA"),$Y323,IF(OR(ISNUMBER($X323),$X323="DNA"),$X323,IF(OR(ISNUMBER($W323),$W323="DNA"),$W323,IF(OR(ISNUMBER($V323),$V323="DNA"),$V323,IF(OR(ISNUMBER($U323),$U323="DNA"),$U323,IF(OR(ISNUMBER($T323),$T323="DNA"),$T323,IF(OR(ISNUMBER($S323),$S323="DNA"),$S323,IF(OR(ISNUMBER($P323),$P323="DNA"),$P323,IF(OR(ISNUMBER($O323),$O323="DNA"),$O323,IF(OR(ISNUMBER($N323),$N323="DNA"),$N323,""))))))))))),IF(ISNUMBER($Y323),"Update status","Missed/not booked?"),""))))</f>
        <v/>
      </c>
      <c r="M323" s="29">
        <f>IF(NOT(AND($A323&lt;&gt;"",OR($I323="",$I323="Active"))),"",IF(MIN(IF(AND(ISNUMBER($N323),$N323&gt;=TODAY()),$N323,99999),IF(AND(ISNUMBER($O323),$O323&gt;=TODAY()),$O323,99999),IF(AND(ISNUMBER($P323),$P323&gt;=TODAY()),$P323,99999),IF(AND(ISNUMBER($S323),$S323&gt;=TODAY()),$S323,99999),IF(AND(ISNUMBER($T323),$T323&gt;=TODAY()),$T323,99999),IF(AND(ISNUMBER($U323),$U323&gt;=TODAY()),$U323,99999),IF(AND(ISNUMBER($V323),$V323&gt;=TODAY()),$V323,99999),IF(AND(ISNUMBER($W323),$W323&gt;=TODAY()),$W323,99999),IF(AND(ISNUMBER($X323),$X323&gt;=TODAY()),$X323,99999),IF(AND(ISNUMBER($Y323),$Y323&gt;=TODAY()),$Y323,99999))=99999,"",MIN(IF(AND(ISNUMBER($N323),$N323&gt;=TODAY()),$N323,99999),IF(AND(ISNUMBER($O323),$O323&gt;=TODAY()),$O323,99999),IF(AND(ISNUMBER($P323),$P323&gt;=TODAY()),$P323,99999),IF(AND(ISNUMBER($S323),$S323&gt;=TODAY()),$S323,99999),IF(AND(ISNUMBER($T323),$T323&gt;=TODAY()),$T323,99999),IF(AND(ISNUMBER($U323),$U323&gt;=TODAY()),$U323,99999),IF(AND(ISNUMBER($V323),$V323&gt;=TODAY()),$V323,99999),IF(AND(ISNUMBER($W323),$W323&gt;=TODAY()),$W323,99999),IF(AND(ISNUMBER($X323),$X323&gt;=TODAY()),$X323,99999),IF(AND(ISNUMBER($Y323),$Y323&gt;=TODAY()),$Y323,99999))))</f>
        <v/>
      </c>
      <c r="N323" s="27" t="n"/>
      <c r="O323" s="27" t="n"/>
      <c r="P323" s="27" t="n"/>
      <c r="Q323" s="27" t="n"/>
      <c r="R323" s="27" t="n"/>
      <c r="S323" s="27" t="n"/>
      <c r="T323" s="27" t="n"/>
      <c r="U323" s="27" t="n"/>
      <c r="V323" s="27" t="n"/>
      <c r="W323" s="27" t="n"/>
      <c r="X323" s="27" t="n"/>
      <c r="Y323" s="27" t="n"/>
      <c r="Z323" s="27" t="n"/>
      <c r="AA323" s="27" t="n"/>
      <c r="AB323" s="27" t="n"/>
      <c r="AC323" s="30" t="n"/>
      <c r="AD323" s="25" t="n"/>
      <c r="AE323" s="28">
        <f>IF(NOT(AND($A323&lt;&gt;"",OR($I323="",$I323="Active"))),"",IF(OR(IF(OR(ISNUMBER($Y323),$Y323="DNA"),$Y323,IF(OR(ISNUMBER($X323),$X323="DNA"),$X323,IF(OR(ISNUMBER($W323),$W323="DNA"),$W323,IF(OR(ISNUMBER($V323),$V323="DNA"),$V323,IF(OR(ISNUMBER($U323),$U323="DNA"),$U323,IF(OR(ISNUMBER($T323),$T323="DNA"),$T323,IF(OR(ISNUMBER($S323),$S323="DNA"),$S323,IF(OR(ISNUMBER($P323),$P323="DNA"),$P323,IF(OR(ISNUMBER($O323),$O323="DNA"),$O323,IF(OR(ISNUMBER($N323),$N323="DNA"),$N323,""))))))))))="DNA",AND(ISNUMBER(IF(OR(ISNUMBER($Y323),$Y323="DNA"),$Y323,IF(OR(ISNUMBER($X323),$X323="DNA"),$X323,IF(OR(ISNUMBER($W323),$W323="DNA"),$W323,IF(OR(ISNUMBER($V323),$V323="DNA"),$V323,IF(OR(ISNUMBER($U323),$U323="DNA"),$U323,IF(OR(ISNUMBER($T323),$T323="DNA"),$T323,IF(OR(ISNUMBER($S323),$S323="DNA"),$S323,IF(OR(ISNUMBER($P323),$P323="DNA"),$P323,IF(OR(ISNUMBER($O323),$O323="DNA"),$O323,IF(OR(ISNUMBER($N323),$N323="DNA"),$N323,""))))))))))),IF(OR(ISNUMBER($Y323),$Y323="DNA"),$Y323,IF(OR(ISNUMBER($X323),$X323="DNA"),$X323,IF(OR(ISNUMBER($W323),$W323="DNA"),$W323,IF(OR(ISNUMBER($V323),$V323="DNA"),$V323,IF(OR(ISNUMBER($U323),$U323="DNA"),$U323,IF(OR(ISNUMBER($T323),$T323="DNA"),$T323,IF(OR(ISNUMBER($S323),$S323="DNA"),$S323,IF(OR(ISNUMBER($P323),$P323="DNA"),$P323,IF(OR(ISNUMBER($O323),$O323="DNA"),$O323,IF(OR(ISNUMBER($N323),$N323="DNA"),$N323,""))))))))))&lt;TODAY())),1,0)+ISNUMBER($Q323)*($Q323&lt;TODAY())+ISNUMBER($R323)*($R323&lt;TODAY())+ISNUMBER($AA323)*($AA323&lt;TODAY())+ISNUMBER($AB323)*($AB323&lt;TODAY()))</f>
        <v/>
      </c>
    </row>
    <row r="324">
      <c r="A324" s="25" t="n"/>
      <c r="B324" s="26" t="n"/>
      <c r="C324" s="27" t="n"/>
      <c r="D324" s="25" t="n"/>
      <c r="E324" s="25" t="n"/>
      <c r="F324" s="25" t="n"/>
      <c r="G324" s="25" t="n"/>
      <c r="H324" s="27" t="n"/>
      <c r="I324" s="25" t="n"/>
      <c r="J324" s="28">
        <f>IF(OR(NOT(AND($A324&lt;&gt;"",OR($I324="",$I324="Active"))),$H324=""),"",INT((TODAY()-$H324+280)/7)&amp;"+"&amp;MOD(TODAY()-$H324+280,7))</f>
        <v/>
      </c>
      <c r="K324" s="28">
        <f>IF(NOT(AND($A324&lt;&gt;"",OR($I324="",$I324="Active"))),"",ISNUMBER($N324)*($N324&gt;=TODAY())*($N324&lt;=TODAY()+7)+ISNUMBER($O324)*($O324&gt;=TODAY())*($O324&lt;=TODAY()+7)+ISNUMBER($P324)*($P324&gt;=TODAY())*($P324&lt;=TODAY()+7)+ISNUMBER($S324)*($S324&gt;=TODAY())*($S324&lt;=TODAY()+7)+ISNUMBER($T324)*($T324&gt;=TODAY())*($T324&lt;=TODAY()+7)+ISNUMBER($U324)*($U324&gt;=TODAY())*($U324&lt;=TODAY()+7)+ISNUMBER($V324)*($V324&gt;=TODAY())*($V324&lt;=TODAY()+7)+ISNUMBER($W324)*($W324&gt;=TODAY())*($W324&lt;=TODAY()+7)+ISNUMBER($X324)*($X324&gt;=TODAY())*($X324&lt;=TODAY()+7)+ISNUMBER($Y324)*($Y324&gt;=TODAY())*($Y324&lt;=TODAY()+7)+ISNUMBER($Q324)*($Q324&gt;=TODAY())*($Q324&lt;=TODAY()+7)+ISNUMBER($R324)*($R324&gt;=TODAY())*($R324&lt;=TODAY()+7)+ISNUMBER($AA324)*($AA324&gt;=TODAY())*($AA324&lt;=TODAY()+7)+ISNUMBER($AB324)*($AB324&gt;=TODAY())*($AB324&lt;=TODAY()+7))</f>
        <v/>
      </c>
      <c r="L324" s="28">
        <f>IF(NOT(AND($A324&lt;&gt;"",OR($I324="",$I324="Active"))),"",IF($M324&lt;&gt;"",IF($N324=$M324,"Booking",IF($O324=$M324,"16/40",IF($P324=$M324,"25/40",IF($S324=$M324,"28/40",IF($T324=$M324,"31/40",IF($U324=$M324,"34/40",IF($V324=$M324,"36/40",IF($W324=$M324,"38/40",IF($X324=$M324,"40/40",IF($Y324=$M324,"41/40","")))))))))),IF(IF(OR(ISNUMBER($Y324),$Y324="DNA"),$Y324,IF(OR(ISNUMBER($X324),$X324="DNA"),$X324,IF(OR(ISNUMBER($W324),$W324="DNA"),$W324,IF(OR(ISNUMBER($V324),$V324="DNA"),$V324,IF(OR(ISNUMBER($U324),$U324="DNA"),$U324,IF(OR(ISNUMBER($T324),$T324="DNA"),$T324,IF(OR(ISNUMBER($S324),$S324="DNA"),$S324,IF(OR(ISNUMBER($P324),$P324="DNA"),$P324,IF(OR(ISNUMBER($O324),$O324="DNA"),$O324,IF(OR(ISNUMBER($N324),$N324="DNA"),$N324,""))))))))))="DNA","Rebook DNA",IF(ISNUMBER(IF(OR(ISNUMBER($Y324),$Y324="DNA"),$Y324,IF(OR(ISNUMBER($X324),$X324="DNA"),$X324,IF(OR(ISNUMBER($W324),$W324="DNA"),$W324,IF(OR(ISNUMBER($V324),$V324="DNA"),$V324,IF(OR(ISNUMBER($U324),$U324="DNA"),$U324,IF(OR(ISNUMBER($T324),$T324="DNA"),$T324,IF(OR(ISNUMBER($S324),$S324="DNA"),$S324,IF(OR(ISNUMBER($P324),$P324="DNA"),$P324,IF(OR(ISNUMBER($O324),$O324="DNA"),$O324,IF(OR(ISNUMBER($N324),$N324="DNA"),$N324,""))))))))))),IF(ISNUMBER($Y324),"Update status","Missed/not booked?"),""))))</f>
        <v/>
      </c>
      <c r="M324" s="29">
        <f>IF(NOT(AND($A324&lt;&gt;"",OR($I324="",$I324="Active"))),"",IF(MIN(IF(AND(ISNUMBER($N324),$N324&gt;=TODAY()),$N324,99999),IF(AND(ISNUMBER($O324),$O324&gt;=TODAY()),$O324,99999),IF(AND(ISNUMBER($P324),$P324&gt;=TODAY()),$P324,99999),IF(AND(ISNUMBER($S324),$S324&gt;=TODAY()),$S324,99999),IF(AND(ISNUMBER($T324),$T324&gt;=TODAY()),$T324,99999),IF(AND(ISNUMBER($U324),$U324&gt;=TODAY()),$U324,99999),IF(AND(ISNUMBER($V324),$V324&gt;=TODAY()),$V324,99999),IF(AND(ISNUMBER($W324),$W324&gt;=TODAY()),$W324,99999),IF(AND(ISNUMBER($X324),$X324&gt;=TODAY()),$X324,99999),IF(AND(ISNUMBER($Y324),$Y324&gt;=TODAY()),$Y324,99999))=99999,"",MIN(IF(AND(ISNUMBER($N324),$N324&gt;=TODAY()),$N324,99999),IF(AND(ISNUMBER($O324),$O324&gt;=TODAY()),$O324,99999),IF(AND(ISNUMBER($P324),$P324&gt;=TODAY()),$P324,99999),IF(AND(ISNUMBER($S324),$S324&gt;=TODAY()),$S324,99999),IF(AND(ISNUMBER($T324),$T324&gt;=TODAY()),$T324,99999),IF(AND(ISNUMBER($U324),$U324&gt;=TODAY()),$U324,99999),IF(AND(ISNUMBER($V324),$V324&gt;=TODAY()),$V324,99999),IF(AND(ISNUMBER($W324),$W324&gt;=TODAY()),$W324,99999),IF(AND(ISNUMBER($X324),$X324&gt;=TODAY()),$X324,99999),IF(AND(ISNUMBER($Y324),$Y324&gt;=TODAY()),$Y324,99999))))</f>
        <v/>
      </c>
      <c r="N324" s="27" t="n"/>
      <c r="O324" s="27" t="n"/>
      <c r="P324" s="27" t="n"/>
      <c r="Q324" s="27" t="n"/>
      <c r="R324" s="27" t="n"/>
      <c r="S324" s="27" t="n"/>
      <c r="T324" s="27" t="n"/>
      <c r="U324" s="27" t="n"/>
      <c r="V324" s="27" t="n"/>
      <c r="W324" s="27" t="n"/>
      <c r="X324" s="27" t="n"/>
      <c r="Y324" s="27" t="n"/>
      <c r="Z324" s="27" t="n"/>
      <c r="AA324" s="27" t="n"/>
      <c r="AB324" s="27" t="n"/>
      <c r="AC324" s="30" t="n"/>
      <c r="AD324" s="25" t="n"/>
      <c r="AE324" s="28">
        <f>IF(NOT(AND($A324&lt;&gt;"",OR($I324="",$I324="Active"))),"",IF(OR(IF(OR(ISNUMBER($Y324),$Y324="DNA"),$Y324,IF(OR(ISNUMBER($X324),$X324="DNA"),$X324,IF(OR(ISNUMBER($W324),$W324="DNA"),$W324,IF(OR(ISNUMBER($V324),$V324="DNA"),$V324,IF(OR(ISNUMBER($U324),$U324="DNA"),$U324,IF(OR(ISNUMBER($T324),$T324="DNA"),$T324,IF(OR(ISNUMBER($S324),$S324="DNA"),$S324,IF(OR(ISNUMBER($P324),$P324="DNA"),$P324,IF(OR(ISNUMBER($O324),$O324="DNA"),$O324,IF(OR(ISNUMBER($N324),$N324="DNA"),$N324,""))))))))))="DNA",AND(ISNUMBER(IF(OR(ISNUMBER($Y324),$Y324="DNA"),$Y324,IF(OR(ISNUMBER($X324),$X324="DNA"),$X324,IF(OR(ISNUMBER($W324),$W324="DNA"),$W324,IF(OR(ISNUMBER($V324),$V324="DNA"),$V324,IF(OR(ISNUMBER($U324),$U324="DNA"),$U324,IF(OR(ISNUMBER($T324),$T324="DNA"),$T324,IF(OR(ISNUMBER($S324),$S324="DNA"),$S324,IF(OR(ISNUMBER($P324),$P324="DNA"),$P324,IF(OR(ISNUMBER($O324),$O324="DNA"),$O324,IF(OR(ISNUMBER($N324),$N324="DNA"),$N324,""))))))))))),IF(OR(ISNUMBER($Y324),$Y324="DNA"),$Y324,IF(OR(ISNUMBER($X324),$X324="DNA"),$X324,IF(OR(ISNUMBER($W324),$W324="DNA"),$W324,IF(OR(ISNUMBER($V324),$V324="DNA"),$V324,IF(OR(ISNUMBER($U324),$U324="DNA"),$U324,IF(OR(ISNUMBER($T324),$T324="DNA"),$T324,IF(OR(ISNUMBER($S324),$S324="DNA"),$S324,IF(OR(ISNUMBER($P324),$P324="DNA"),$P324,IF(OR(ISNUMBER($O324),$O324="DNA"),$O324,IF(OR(ISNUMBER($N324),$N324="DNA"),$N324,""))))))))))&lt;TODAY())),1,0)+ISNUMBER($Q324)*($Q324&lt;TODAY())+ISNUMBER($R324)*($R324&lt;TODAY())+ISNUMBER($AA324)*($AA324&lt;TODAY())+ISNUMBER($AB324)*($AB324&lt;TODAY()))</f>
        <v/>
      </c>
    </row>
    <row r="325">
      <c r="A325" s="25" t="n"/>
      <c r="B325" s="26" t="n"/>
      <c r="C325" s="27" t="n"/>
      <c r="D325" s="25" t="n"/>
      <c r="E325" s="25" t="n"/>
      <c r="F325" s="25" t="n"/>
      <c r="G325" s="25" t="n"/>
      <c r="H325" s="27" t="n"/>
      <c r="I325" s="25" t="n"/>
      <c r="J325" s="28">
        <f>IF(OR(NOT(AND($A325&lt;&gt;"",OR($I325="",$I325="Active"))),$H325=""),"",INT((TODAY()-$H325+280)/7)&amp;"+"&amp;MOD(TODAY()-$H325+280,7))</f>
        <v/>
      </c>
      <c r="K325" s="28">
        <f>IF(NOT(AND($A325&lt;&gt;"",OR($I325="",$I325="Active"))),"",ISNUMBER($N325)*($N325&gt;=TODAY())*($N325&lt;=TODAY()+7)+ISNUMBER($O325)*($O325&gt;=TODAY())*($O325&lt;=TODAY()+7)+ISNUMBER($P325)*($P325&gt;=TODAY())*($P325&lt;=TODAY()+7)+ISNUMBER($S325)*($S325&gt;=TODAY())*($S325&lt;=TODAY()+7)+ISNUMBER($T325)*($T325&gt;=TODAY())*($T325&lt;=TODAY()+7)+ISNUMBER($U325)*($U325&gt;=TODAY())*($U325&lt;=TODAY()+7)+ISNUMBER($V325)*($V325&gt;=TODAY())*($V325&lt;=TODAY()+7)+ISNUMBER($W325)*($W325&gt;=TODAY())*($W325&lt;=TODAY()+7)+ISNUMBER($X325)*($X325&gt;=TODAY())*($X325&lt;=TODAY()+7)+ISNUMBER($Y325)*($Y325&gt;=TODAY())*($Y325&lt;=TODAY()+7)+ISNUMBER($Q325)*($Q325&gt;=TODAY())*($Q325&lt;=TODAY()+7)+ISNUMBER($R325)*($R325&gt;=TODAY())*($R325&lt;=TODAY()+7)+ISNUMBER($AA325)*($AA325&gt;=TODAY())*($AA325&lt;=TODAY()+7)+ISNUMBER($AB325)*($AB325&gt;=TODAY())*($AB325&lt;=TODAY()+7))</f>
        <v/>
      </c>
      <c r="L325" s="28">
        <f>IF(NOT(AND($A325&lt;&gt;"",OR($I325="",$I325="Active"))),"",IF($M325&lt;&gt;"",IF($N325=$M325,"Booking",IF($O325=$M325,"16/40",IF($P325=$M325,"25/40",IF($S325=$M325,"28/40",IF($T325=$M325,"31/40",IF($U325=$M325,"34/40",IF($V325=$M325,"36/40",IF($W325=$M325,"38/40",IF($X325=$M325,"40/40",IF($Y325=$M325,"41/40","")))))))))),IF(IF(OR(ISNUMBER($Y325),$Y325="DNA"),$Y325,IF(OR(ISNUMBER($X325),$X325="DNA"),$X325,IF(OR(ISNUMBER($W325),$W325="DNA"),$W325,IF(OR(ISNUMBER($V325),$V325="DNA"),$V325,IF(OR(ISNUMBER($U325),$U325="DNA"),$U325,IF(OR(ISNUMBER($T325),$T325="DNA"),$T325,IF(OR(ISNUMBER($S325),$S325="DNA"),$S325,IF(OR(ISNUMBER($P325),$P325="DNA"),$P325,IF(OR(ISNUMBER($O325),$O325="DNA"),$O325,IF(OR(ISNUMBER($N325),$N325="DNA"),$N325,""))))))))))="DNA","Rebook DNA",IF(ISNUMBER(IF(OR(ISNUMBER($Y325),$Y325="DNA"),$Y325,IF(OR(ISNUMBER($X325),$X325="DNA"),$X325,IF(OR(ISNUMBER($W325),$W325="DNA"),$W325,IF(OR(ISNUMBER($V325),$V325="DNA"),$V325,IF(OR(ISNUMBER($U325),$U325="DNA"),$U325,IF(OR(ISNUMBER($T325),$T325="DNA"),$T325,IF(OR(ISNUMBER($S325),$S325="DNA"),$S325,IF(OR(ISNUMBER($P325),$P325="DNA"),$P325,IF(OR(ISNUMBER($O325),$O325="DNA"),$O325,IF(OR(ISNUMBER($N325),$N325="DNA"),$N325,""))))))))))),IF(ISNUMBER($Y325),"Update status","Missed/not booked?"),""))))</f>
        <v/>
      </c>
      <c r="M325" s="29">
        <f>IF(NOT(AND($A325&lt;&gt;"",OR($I325="",$I325="Active"))),"",IF(MIN(IF(AND(ISNUMBER($N325),$N325&gt;=TODAY()),$N325,99999),IF(AND(ISNUMBER($O325),$O325&gt;=TODAY()),$O325,99999),IF(AND(ISNUMBER($P325),$P325&gt;=TODAY()),$P325,99999),IF(AND(ISNUMBER($S325),$S325&gt;=TODAY()),$S325,99999),IF(AND(ISNUMBER($T325),$T325&gt;=TODAY()),$T325,99999),IF(AND(ISNUMBER($U325),$U325&gt;=TODAY()),$U325,99999),IF(AND(ISNUMBER($V325),$V325&gt;=TODAY()),$V325,99999),IF(AND(ISNUMBER($W325),$W325&gt;=TODAY()),$W325,99999),IF(AND(ISNUMBER($X325),$X325&gt;=TODAY()),$X325,99999),IF(AND(ISNUMBER($Y325),$Y325&gt;=TODAY()),$Y325,99999))=99999,"",MIN(IF(AND(ISNUMBER($N325),$N325&gt;=TODAY()),$N325,99999),IF(AND(ISNUMBER($O325),$O325&gt;=TODAY()),$O325,99999),IF(AND(ISNUMBER($P325),$P325&gt;=TODAY()),$P325,99999),IF(AND(ISNUMBER($S325),$S325&gt;=TODAY()),$S325,99999),IF(AND(ISNUMBER($T325),$T325&gt;=TODAY()),$T325,99999),IF(AND(ISNUMBER($U325),$U325&gt;=TODAY()),$U325,99999),IF(AND(ISNUMBER($V325),$V325&gt;=TODAY()),$V325,99999),IF(AND(ISNUMBER($W325),$W325&gt;=TODAY()),$W325,99999),IF(AND(ISNUMBER($X325),$X325&gt;=TODAY()),$X325,99999),IF(AND(ISNUMBER($Y325),$Y325&gt;=TODAY()),$Y325,99999))))</f>
        <v/>
      </c>
      <c r="N325" s="27" t="n"/>
      <c r="O325" s="27" t="n"/>
      <c r="P325" s="27" t="n"/>
      <c r="Q325" s="27" t="n"/>
      <c r="R325" s="27" t="n"/>
      <c r="S325" s="27" t="n"/>
      <c r="T325" s="27" t="n"/>
      <c r="U325" s="27" t="n"/>
      <c r="V325" s="27" t="n"/>
      <c r="W325" s="27" t="n"/>
      <c r="X325" s="27" t="n"/>
      <c r="Y325" s="27" t="n"/>
      <c r="Z325" s="27" t="n"/>
      <c r="AA325" s="27" t="n"/>
      <c r="AB325" s="27" t="n"/>
      <c r="AC325" s="30" t="n"/>
      <c r="AD325" s="25" t="n"/>
      <c r="AE325" s="28">
        <f>IF(NOT(AND($A325&lt;&gt;"",OR($I325="",$I325="Active"))),"",IF(OR(IF(OR(ISNUMBER($Y325),$Y325="DNA"),$Y325,IF(OR(ISNUMBER($X325),$X325="DNA"),$X325,IF(OR(ISNUMBER($W325),$W325="DNA"),$W325,IF(OR(ISNUMBER($V325),$V325="DNA"),$V325,IF(OR(ISNUMBER($U325),$U325="DNA"),$U325,IF(OR(ISNUMBER($T325),$T325="DNA"),$T325,IF(OR(ISNUMBER($S325),$S325="DNA"),$S325,IF(OR(ISNUMBER($P325),$P325="DNA"),$P325,IF(OR(ISNUMBER($O325),$O325="DNA"),$O325,IF(OR(ISNUMBER($N325),$N325="DNA"),$N325,""))))))))))="DNA",AND(ISNUMBER(IF(OR(ISNUMBER($Y325),$Y325="DNA"),$Y325,IF(OR(ISNUMBER($X325),$X325="DNA"),$X325,IF(OR(ISNUMBER($W325),$W325="DNA"),$W325,IF(OR(ISNUMBER($V325),$V325="DNA"),$V325,IF(OR(ISNUMBER($U325),$U325="DNA"),$U325,IF(OR(ISNUMBER($T325),$T325="DNA"),$T325,IF(OR(ISNUMBER($S325),$S325="DNA"),$S325,IF(OR(ISNUMBER($P325),$P325="DNA"),$P325,IF(OR(ISNUMBER($O325),$O325="DNA"),$O325,IF(OR(ISNUMBER($N325),$N325="DNA"),$N325,""))))))))))),IF(OR(ISNUMBER($Y325),$Y325="DNA"),$Y325,IF(OR(ISNUMBER($X325),$X325="DNA"),$X325,IF(OR(ISNUMBER($W325),$W325="DNA"),$W325,IF(OR(ISNUMBER($V325),$V325="DNA"),$V325,IF(OR(ISNUMBER($U325),$U325="DNA"),$U325,IF(OR(ISNUMBER($T325),$T325="DNA"),$T325,IF(OR(ISNUMBER($S325),$S325="DNA"),$S325,IF(OR(ISNUMBER($P325),$P325="DNA"),$P325,IF(OR(ISNUMBER($O325),$O325="DNA"),$O325,IF(OR(ISNUMBER($N325),$N325="DNA"),$N325,""))))))))))&lt;TODAY())),1,0)+ISNUMBER($Q325)*($Q325&lt;TODAY())+ISNUMBER($R325)*($R325&lt;TODAY())+ISNUMBER($AA325)*($AA325&lt;TODAY())+ISNUMBER($AB325)*($AB325&lt;TODAY()))</f>
        <v/>
      </c>
    </row>
    <row r="326">
      <c r="A326" s="25" t="n"/>
      <c r="B326" s="26" t="n"/>
      <c r="C326" s="27" t="n"/>
      <c r="D326" s="25" t="n"/>
      <c r="E326" s="25" t="n"/>
      <c r="F326" s="25" t="n"/>
      <c r="G326" s="25" t="n"/>
      <c r="H326" s="27" t="n"/>
      <c r="I326" s="25" t="n"/>
      <c r="J326" s="28">
        <f>IF(OR(NOT(AND($A326&lt;&gt;"",OR($I326="",$I326="Active"))),$H326=""),"",INT((TODAY()-$H326+280)/7)&amp;"+"&amp;MOD(TODAY()-$H326+280,7))</f>
        <v/>
      </c>
      <c r="K326" s="28">
        <f>IF(NOT(AND($A326&lt;&gt;"",OR($I326="",$I326="Active"))),"",ISNUMBER($N326)*($N326&gt;=TODAY())*($N326&lt;=TODAY()+7)+ISNUMBER($O326)*($O326&gt;=TODAY())*($O326&lt;=TODAY()+7)+ISNUMBER($P326)*($P326&gt;=TODAY())*($P326&lt;=TODAY()+7)+ISNUMBER($S326)*($S326&gt;=TODAY())*($S326&lt;=TODAY()+7)+ISNUMBER($T326)*($T326&gt;=TODAY())*($T326&lt;=TODAY()+7)+ISNUMBER($U326)*($U326&gt;=TODAY())*($U326&lt;=TODAY()+7)+ISNUMBER($V326)*($V326&gt;=TODAY())*($V326&lt;=TODAY()+7)+ISNUMBER($W326)*($W326&gt;=TODAY())*($W326&lt;=TODAY()+7)+ISNUMBER($X326)*($X326&gt;=TODAY())*($X326&lt;=TODAY()+7)+ISNUMBER($Y326)*($Y326&gt;=TODAY())*($Y326&lt;=TODAY()+7)+ISNUMBER($Q326)*($Q326&gt;=TODAY())*($Q326&lt;=TODAY()+7)+ISNUMBER($R326)*($R326&gt;=TODAY())*($R326&lt;=TODAY()+7)+ISNUMBER($AA326)*($AA326&gt;=TODAY())*($AA326&lt;=TODAY()+7)+ISNUMBER($AB326)*($AB326&gt;=TODAY())*($AB326&lt;=TODAY()+7))</f>
        <v/>
      </c>
      <c r="L326" s="28">
        <f>IF(NOT(AND($A326&lt;&gt;"",OR($I326="",$I326="Active"))),"",IF($M326&lt;&gt;"",IF($N326=$M326,"Booking",IF($O326=$M326,"16/40",IF($P326=$M326,"25/40",IF($S326=$M326,"28/40",IF($T326=$M326,"31/40",IF($U326=$M326,"34/40",IF($V326=$M326,"36/40",IF($W326=$M326,"38/40",IF($X326=$M326,"40/40",IF($Y326=$M326,"41/40","")))))))))),IF(IF(OR(ISNUMBER($Y326),$Y326="DNA"),$Y326,IF(OR(ISNUMBER($X326),$X326="DNA"),$X326,IF(OR(ISNUMBER($W326),$W326="DNA"),$W326,IF(OR(ISNUMBER($V326),$V326="DNA"),$V326,IF(OR(ISNUMBER($U326),$U326="DNA"),$U326,IF(OR(ISNUMBER($T326),$T326="DNA"),$T326,IF(OR(ISNUMBER($S326),$S326="DNA"),$S326,IF(OR(ISNUMBER($P326),$P326="DNA"),$P326,IF(OR(ISNUMBER($O326),$O326="DNA"),$O326,IF(OR(ISNUMBER($N326),$N326="DNA"),$N326,""))))))))))="DNA","Rebook DNA",IF(ISNUMBER(IF(OR(ISNUMBER($Y326),$Y326="DNA"),$Y326,IF(OR(ISNUMBER($X326),$X326="DNA"),$X326,IF(OR(ISNUMBER($W326),$W326="DNA"),$W326,IF(OR(ISNUMBER($V326),$V326="DNA"),$V326,IF(OR(ISNUMBER($U326),$U326="DNA"),$U326,IF(OR(ISNUMBER($T326),$T326="DNA"),$T326,IF(OR(ISNUMBER($S326),$S326="DNA"),$S326,IF(OR(ISNUMBER($P326),$P326="DNA"),$P326,IF(OR(ISNUMBER($O326),$O326="DNA"),$O326,IF(OR(ISNUMBER($N326),$N326="DNA"),$N326,""))))))))))),IF(ISNUMBER($Y326),"Update status","Missed/not booked?"),""))))</f>
        <v/>
      </c>
      <c r="M326" s="29">
        <f>IF(NOT(AND($A326&lt;&gt;"",OR($I326="",$I326="Active"))),"",IF(MIN(IF(AND(ISNUMBER($N326),$N326&gt;=TODAY()),$N326,99999),IF(AND(ISNUMBER($O326),$O326&gt;=TODAY()),$O326,99999),IF(AND(ISNUMBER($P326),$P326&gt;=TODAY()),$P326,99999),IF(AND(ISNUMBER($S326),$S326&gt;=TODAY()),$S326,99999),IF(AND(ISNUMBER($T326),$T326&gt;=TODAY()),$T326,99999),IF(AND(ISNUMBER($U326),$U326&gt;=TODAY()),$U326,99999),IF(AND(ISNUMBER($V326),$V326&gt;=TODAY()),$V326,99999),IF(AND(ISNUMBER($W326),$W326&gt;=TODAY()),$W326,99999),IF(AND(ISNUMBER($X326),$X326&gt;=TODAY()),$X326,99999),IF(AND(ISNUMBER($Y326),$Y326&gt;=TODAY()),$Y326,99999))=99999,"",MIN(IF(AND(ISNUMBER($N326),$N326&gt;=TODAY()),$N326,99999),IF(AND(ISNUMBER($O326),$O326&gt;=TODAY()),$O326,99999),IF(AND(ISNUMBER($P326),$P326&gt;=TODAY()),$P326,99999),IF(AND(ISNUMBER($S326),$S326&gt;=TODAY()),$S326,99999),IF(AND(ISNUMBER($T326),$T326&gt;=TODAY()),$T326,99999),IF(AND(ISNUMBER($U326),$U326&gt;=TODAY()),$U326,99999),IF(AND(ISNUMBER($V326),$V326&gt;=TODAY()),$V326,99999),IF(AND(ISNUMBER($W326),$W326&gt;=TODAY()),$W326,99999),IF(AND(ISNUMBER($X326),$X326&gt;=TODAY()),$X326,99999),IF(AND(ISNUMBER($Y326),$Y326&gt;=TODAY()),$Y326,99999))))</f>
        <v/>
      </c>
      <c r="N326" s="27" t="n"/>
      <c r="O326" s="27" t="n"/>
      <c r="P326" s="27" t="n"/>
      <c r="Q326" s="27" t="n"/>
      <c r="R326" s="27" t="n"/>
      <c r="S326" s="27" t="n"/>
      <c r="T326" s="27" t="n"/>
      <c r="U326" s="27" t="n"/>
      <c r="V326" s="27" t="n"/>
      <c r="W326" s="27" t="n"/>
      <c r="X326" s="27" t="n"/>
      <c r="Y326" s="27" t="n"/>
      <c r="Z326" s="27" t="n"/>
      <c r="AA326" s="27" t="n"/>
      <c r="AB326" s="27" t="n"/>
      <c r="AC326" s="30" t="n"/>
      <c r="AD326" s="25" t="n"/>
      <c r="AE326" s="28">
        <f>IF(NOT(AND($A326&lt;&gt;"",OR($I326="",$I326="Active"))),"",IF(OR(IF(OR(ISNUMBER($Y326),$Y326="DNA"),$Y326,IF(OR(ISNUMBER($X326),$X326="DNA"),$X326,IF(OR(ISNUMBER($W326),$W326="DNA"),$W326,IF(OR(ISNUMBER($V326),$V326="DNA"),$V326,IF(OR(ISNUMBER($U326),$U326="DNA"),$U326,IF(OR(ISNUMBER($T326),$T326="DNA"),$T326,IF(OR(ISNUMBER($S326),$S326="DNA"),$S326,IF(OR(ISNUMBER($P326),$P326="DNA"),$P326,IF(OR(ISNUMBER($O326),$O326="DNA"),$O326,IF(OR(ISNUMBER($N326),$N326="DNA"),$N326,""))))))))))="DNA",AND(ISNUMBER(IF(OR(ISNUMBER($Y326),$Y326="DNA"),$Y326,IF(OR(ISNUMBER($X326),$X326="DNA"),$X326,IF(OR(ISNUMBER($W326),$W326="DNA"),$W326,IF(OR(ISNUMBER($V326),$V326="DNA"),$V326,IF(OR(ISNUMBER($U326),$U326="DNA"),$U326,IF(OR(ISNUMBER($T326),$T326="DNA"),$T326,IF(OR(ISNUMBER($S326),$S326="DNA"),$S326,IF(OR(ISNUMBER($P326),$P326="DNA"),$P326,IF(OR(ISNUMBER($O326),$O326="DNA"),$O326,IF(OR(ISNUMBER($N326),$N326="DNA"),$N326,""))))))))))),IF(OR(ISNUMBER($Y326),$Y326="DNA"),$Y326,IF(OR(ISNUMBER($X326),$X326="DNA"),$X326,IF(OR(ISNUMBER($W326),$W326="DNA"),$W326,IF(OR(ISNUMBER($V326),$V326="DNA"),$V326,IF(OR(ISNUMBER($U326),$U326="DNA"),$U326,IF(OR(ISNUMBER($T326),$T326="DNA"),$T326,IF(OR(ISNUMBER($S326),$S326="DNA"),$S326,IF(OR(ISNUMBER($P326),$P326="DNA"),$P326,IF(OR(ISNUMBER($O326),$O326="DNA"),$O326,IF(OR(ISNUMBER($N326),$N326="DNA"),$N326,""))))))))))&lt;TODAY())),1,0)+ISNUMBER($Q326)*($Q326&lt;TODAY())+ISNUMBER($R326)*($R326&lt;TODAY())+ISNUMBER($AA326)*($AA326&lt;TODAY())+ISNUMBER($AB326)*($AB326&lt;TODAY()))</f>
        <v/>
      </c>
    </row>
    <row r="327">
      <c r="A327" s="25" t="n"/>
      <c r="B327" s="26" t="n"/>
      <c r="C327" s="27" t="n"/>
      <c r="D327" s="25" t="n"/>
      <c r="E327" s="25" t="n"/>
      <c r="F327" s="25" t="n"/>
      <c r="G327" s="25" t="n"/>
      <c r="H327" s="27" t="n"/>
      <c r="I327" s="25" t="n"/>
      <c r="J327" s="28">
        <f>IF(OR(NOT(AND($A327&lt;&gt;"",OR($I327="",$I327="Active"))),$H327=""),"",INT((TODAY()-$H327+280)/7)&amp;"+"&amp;MOD(TODAY()-$H327+280,7))</f>
        <v/>
      </c>
      <c r="K327" s="28">
        <f>IF(NOT(AND($A327&lt;&gt;"",OR($I327="",$I327="Active"))),"",ISNUMBER($N327)*($N327&gt;=TODAY())*($N327&lt;=TODAY()+7)+ISNUMBER($O327)*($O327&gt;=TODAY())*($O327&lt;=TODAY()+7)+ISNUMBER($P327)*($P327&gt;=TODAY())*($P327&lt;=TODAY()+7)+ISNUMBER($S327)*($S327&gt;=TODAY())*($S327&lt;=TODAY()+7)+ISNUMBER($T327)*($T327&gt;=TODAY())*($T327&lt;=TODAY()+7)+ISNUMBER($U327)*($U327&gt;=TODAY())*($U327&lt;=TODAY()+7)+ISNUMBER($V327)*($V327&gt;=TODAY())*($V327&lt;=TODAY()+7)+ISNUMBER($W327)*($W327&gt;=TODAY())*($W327&lt;=TODAY()+7)+ISNUMBER($X327)*($X327&gt;=TODAY())*($X327&lt;=TODAY()+7)+ISNUMBER($Y327)*($Y327&gt;=TODAY())*($Y327&lt;=TODAY()+7)+ISNUMBER($Q327)*($Q327&gt;=TODAY())*($Q327&lt;=TODAY()+7)+ISNUMBER($R327)*($R327&gt;=TODAY())*($R327&lt;=TODAY()+7)+ISNUMBER($AA327)*($AA327&gt;=TODAY())*($AA327&lt;=TODAY()+7)+ISNUMBER($AB327)*($AB327&gt;=TODAY())*($AB327&lt;=TODAY()+7))</f>
        <v/>
      </c>
      <c r="L327" s="28">
        <f>IF(NOT(AND($A327&lt;&gt;"",OR($I327="",$I327="Active"))),"",IF($M327&lt;&gt;"",IF($N327=$M327,"Booking",IF($O327=$M327,"16/40",IF($P327=$M327,"25/40",IF($S327=$M327,"28/40",IF($T327=$M327,"31/40",IF($U327=$M327,"34/40",IF($V327=$M327,"36/40",IF($W327=$M327,"38/40",IF($X327=$M327,"40/40",IF($Y327=$M327,"41/40","")))))))))),IF(IF(OR(ISNUMBER($Y327),$Y327="DNA"),$Y327,IF(OR(ISNUMBER($X327),$X327="DNA"),$X327,IF(OR(ISNUMBER($W327),$W327="DNA"),$W327,IF(OR(ISNUMBER($V327),$V327="DNA"),$V327,IF(OR(ISNUMBER($U327),$U327="DNA"),$U327,IF(OR(ISNUMBER($T327),$T327="DNA"),$T327,IF(OR(ISNUMBER($S327),$S327="DNA"),$S327,IF(OR(ISNUMBER($P327),$P327="DNA"),$P327,IF(OR(ISNUMBER($O327),$O327="DNA"),$O327,IF(OR(ISNUMBER($N327),$N327="DNA"),$N327,""))))))))))="DNA","Rebook DNA",IF(ISNUMBER(IF(OR(ISNUMBER($Y327),$Y327="DNA"),$Y327,IF(OR(ISNUMBER($X327),$X327="DNA"),$X327,IF(OR(ISNUMBER($W327),$W327="DNA"),$W327,IF(OR(ISNUMBER($V327),$V327="DNA"),$V327,IF(OR(ISNUMBER($U327),$U327="DNA"),$U327,IF(OR(ISNUMBER($T327),$T327="DNA"),$T327,IF(OR(ISNUMBER($S327),$S327="DNA"),$S327,IF(OR(ISNUMBER($P327),$P327="DNA"),$P327,IF(OR(ISNUMBER($O327),$O327="DNA"),$O327,IF(OR(ISNUMBER($N327),$N327="DNA"),$N327,""))))))))))),IF(ISNUMBER($Y327),"Update status","Missed/not booked?"),""))))</f>
        <v/>
      </c>
      <c r="M327" s="29">
        <f>IF(NOT(AND($A327&lt;&gt;"",OR($I327="",$I327="Active"))),"",IF(MIN(IF(AND(ISNUMBER($N327),$N327&gt;=TODAY()),$N327,99999),IF(AND(ISNUMBER($O327),$O327&gt;=TODAY()),$O327,99999),IF(AND(ISNUMBER($P327),$P327&gt;=TODAY()),$P327,99999),IF(AND(ISNUMBER($S327),$S327&gt;=TODAY()),$S327,99999),IF(AND(ISNUMBER($T327),$T327&gt;=TODAY()),$T327,99999),IF(AND(ISNUMBER($U327),$U327&gt;=TODAY()),$U327,99999),IF(AND(ISNUMBER($V327),$V327&gt;=TODAY()),$V327,99999),IF(AND(ISNUMBER($W327),$W327&gt;=TODAY()),$W327,99999),IF(AND(ISNUMBER($X327),$X327&gt;=TODAY()),$X327,99999),IF(AND(ISNUMBER($Y327),$Y327&gt;=TODAY()),$Y327,99999))=99999,"",MIN(IF(AND(ISNUMBER($N327),$N327&gt;=TODAY()),$N327,99999),IF(AND(ISNUMBER($O327),$O327&gt;=TODAY()),$O327,99999),IF(AND(ISNUMBER($P327),$P327&gt;=TODAY()),$P327,99999),IF(AND(ISNUMBER($S327),$S327&gt;=TODAY()),$S327,99999),IF(AND(ISNUMBER($T327),$T327&gt;=TODAY()),$T327,99999),IF(AND(ISNUMBER($U327),$U327&gt;=TODAY()),$U327,99999),IF(AND(ISNUMBER($V327),$V327&gt;=TODAY()),$V327,99999),IF(AND(ISNUMBER($W327),$W327&gt;=TODAY()),$W327,99999),IF(AND(ISNUMBER($X327),$X327&gt;=TODAY()),$X327,99999),IF(AND(ISNUMBER($Y327),$Y327&gt;=TODAY()),$Y327,99999))))</f>
        <v/>
      </c>
      <c r="N327" s="27" t="n"/>
      <c r="O327" s="27" t="n"/>
      <c r="P327" s="27" t="n"/>
      <c r="Q327" s="27" t="n"/>
      <c r="R327" s="27" t="n"/>
      <c r="S327" s="27" t="n"/>
      <c r="T327" s="27" t="n"/>
      <c r="U327" s="27" t="n"/>
      <c r="V327" s="27" t="n"/>
      <c r="W327" s="27" t="n"/>
      <c r="X327" s="27" t="n"/>
      <c r="Y327" s="27" t="n"/>
      <c r="Z327" s="27" t="n"/>
      <c r="AA327" s="27" t="n"/>
      <c r="AB327" s="27" t="n"/>
      <c r="AC327" s="30" t="n"/>
      <c r="AD327" s="25" t="n"/>
      <c r="AE327" s="28">
        <f>IF(NOT(AND($A327&lt;&gt;"",OR($I327="",$I327="Active"))),"",IF(OR(IF(OR(ISNUMBER($Y327),$Y327="DNA"),$Y327,IF(OR(ISNUMBER($X327),$X327="DNA"),$X327,IF(OR(ISNUMBER($W327),$W327="DNA"),$W327,IF(OR(ISNUMBER($V327),$V327="DNA"),$V327,IF(OR(ISNUMBER($U327),$U327="DNA"),$U327,IF(OR(ISNUMBER($T327),$T327="DNA"),$T327,IF(OR(ISNUMBER($S327),$S327="DNA"),$S327,IF(OR(ISNUMBER($P327),$P327="DNA"),$P327,IF(OR(ISNUMBER($O327),$O327="DNA"),$O327,IF(OR(ISNUMBER($N327),$N327="DNA"),$N327,""))))))))))="DNA",AND(ISNUMBER(IF(OR(ISNUMBER($Y327),$Y327="DNA"),$Y327,IF(OR(ISNUMBER($X327),$X327="DNA"),$X327,IF(OR(ISNUMBER($W327),$W327="DNA"),$W327,IF(OR(ISNUMBER($V327),$V327="DNA"),$V327,IF(OR(ISNUMBER($U327),$U327="DNA"),$U327,IF(OR(ISNUMBER($T327),$T327="DNA"),$T327,IF(OR(ISNUMBER($S327),$S327="DNA"),$S327,IF(OR(ISNUMBER($P327),$P327="DNA"),$P327,IF(OR(ISNUMBER($O327),$O327="DNA"),$O327,IF(OR(ISNUMBER($N327),$N327="DNA"),$N327,""))))))))))),IF(OR(ISNUMBER($Y327),$Y327="DNA"),$Y327,IF(OR(ISNUMBER($X327),$X327="DNA"),$X327,IF(OR(ISNUMBER($W327),$W327="DNA"),$W327,IF(OR(ISNUMBER($V327),$V327="DNA"),$V327,IF(OR(ISNUMBER($U327),$U327="DNA"),$U327,IF(OR(ISNUMBER($T327),$T327="DNA"),$T327,IF(OR(ISNUMBER($S327),$S327="DNA"),$S327,IF(OR(ISNUMBER($P327),$P327="DNA"),$P327,IF(OR(ISNUMBER($O327),$O327="DNA"),$O327,IF(OR(ISNUMBER($N327),$N327="DNA"),$N327,""))))))))))&lt;TODAY())),1,0)+ISNUMBER($Q327)*($Q327&lt;TODAY())+ISNUMBER($R327)*($R327&lt;TODAY())+ISNUMBER($AA327)*($AA327&lt;TODAY())+ISNUMBER($AB327)*($AB327&lt;TODAY()))</f>
        <v/>
      </c>
    </row>
    <row r="328">
      <c r="A328" s="25" t="n"/>
      <c r="B328" s="26" t="n"/>
      <c r="C328" s="27" t="n"/>
      <c r="D328" s="25" t="n"/>
      <c r="E328" s="25" t="n"/>
      <c r="F328" s="25" t="n"/>
      <c r="G328" s="25" t="n"/>
      <c r="H328" s="27" t="n"/>
      <c r="I328" s="25" t="n"/>
      <c r="J328" s="28">
        <f>IF(OR(NOT(AND($A328&lt;&gt;"",OR($I328="",$I328="Active"))),$H328=""),"",INT((TODAY()-$H328+280)/7)&amp;"+"&amp;MOD(TODAY()-$H328+280,7))</f>
        <v/>
      </c>
      <c r="K328" s="28">
        <f>IF(NOT(AND($A328&lt;&gt;"",OR($I328="",$I328="Active"))),"",ISNUMBER($N328)*($N328&gt;=TODAY())*($N328&lt;=TODAY()+7)+ISNUMBER($O328)*($O328&gt;=TODAY())*($O328&lt;=TODAY()+7)+ISNUMBER($P328)*($P328&gt;=TODAY())*($P328&lt;=TODAY()+7)+ISNUMBER($S328)*($S328&gt;=TODAY())*($S328&lt;=TODAY()+7)+ISNUMBER($T328)*($T328&gt;=TODAY())*($T328&lt;=TODAY()+7)+ISNUMBER($U328)*($U328&gt;=TODAY())*($U328&lt;=TODAY()+7)+ISNUMBER($V328)*($V328&gt;=TODAY())*($V328&lt;=TODAY()+7)+ISNUMBER($W328)*($W328&gt;=TODAY())*($W328&lt;=TODAY()+7)+ISNUMBER($X328)*($X328&gt;=TODAY())*($X328&lt;=TODAY()+7)+ISNUMBER($Y328)*($Y328&gt;=TODAY())*($Y328&lt;=TODAY()+7)+ISNUMBER($Q328)*($Q328&gt;=TODAY())*($Q328&lt;=TODAY()+7)+ISNUMBER($R328)*($R328&gt;=TODAY())*($R328&lt;=TODAY()+7)+ISNUMBER($AA328)*($AA328&gt;=TODAY())*($AA328&lt;=TODAY()+7)+ISNUMBER($AB328)*($AB328&gt;=TODAY())*($AB328&lt;=TODAY()+7))</f>
        <v/>
      </c>
      <c r="L328" s="28">
        <f>IF(NOT(AND($A328&lt;&gt;"",OR($I328="",$I328="Active"))),"",IF($M328&lt;&gt;"",IF($N328=$M328,"Booking",IF($O328=$M328,"16/40",IF($P328=$M328,"25/40",IF($S328=$M328,"28/40",IF($T328=$M328,"31/40",IF($U328=$M328,"34/40",IF($V328=$M328,"36/40",IF($W328=$M328,"38/40",IF($X328=$M328,"40/40",IF($Y328=$M328,"41/40","")))))))))),IF(IF(OR(ISNUMBER($Y328),$Y328="DNA"),$Y328,IF(OR(ISNUMBER($X328),$X328="DNA"),$X328,IF(OR(ISNUMBER($W328),$W328="DNA"),$W328,IF(OR(ISNUMBER($V328),$V328="DNA"),$V328,IF(OR(ISNUMBER($U328),$U328="DNA"),$U328,IF(OR(ISNUMBER($T328),$T328="DNA"),$T328,IF(OR(ISNUMBER($S328),$S328="DNA"),$S328,IF(OR(ISNUMBER($P328),$P328="DNA"),$P328,IF(OR(ISNUMBER($O328),$O328="DNA"),$O328,IF(OR(ISNUMBER($N328),$N328="DNA"),$N328,""))))))))))="DNA","Rebook DNA",IF(ISNUMBER(IF(OR(ISNUMBER($Y328),$Y328="DNA"),$Y328,IF(OR(ISNUMBER($X328),$X328="DNA"),$X328,IF(OR(ISNUMBER($W328),$W328="DNA"),$W328,IF(OR(ISNUMBER($V328),$V328="DNA"),$V328,IF(OR(ISNUMBER($U328),$U328="DNA"),$U328,IF(OR(ISNUMBER($T328),$T328="DNA"),$T328,IF(OR(ISNUMBER($S328),$S328="DNA"),$S328,IF(OR(ISNUMBER($P328),$P328="DNA"),$P328,IF(OR(ISNUMBER($O328),$O328="DNA"),$O328,IF(OR(ISNUMBER($N328),$N328="DNA"),$N328,""))))))))))),IF(ISNUMBER($Y328),"Update status","Missed/not booked?"),""))))</f>
        <v/>
      </c>
      <c r="M328" s="29">
        <f>IF(NOT(AND($A328&lt;&gt;"",OR($I328="",$I328="Active"))),"",IF(MIN(IF(AND(ISNUMBER($N328),$N328&gt;=TODAY()),$N328,99999),IF(AND(ISNUMBER($O328),$O328&gt;=TODAY()),$O328,99999),IF(AND(ISNUMBER($P328),$P328&gt;=TODAY()),$P328,99999),IF(AND(ISNUMBER($S328),$S328&gt;=TODAY()),$S328,99999),IF(AND(ISNUMBER($T328),$T328&gt;=TODAY()),$T328,99999),IF(AND(ISNUMBER($U328),$U328&gt;=TODAY()),$U328,99999),IF(AND(ISNUMBER($V328),$V328&gt;=TODAY()),$V328,99999),IF(AND(ISNUMBER($W328),$W328&gt;=TODAY()),$W328,99999),IF(AND(ISNUMBER($X328),$X328&gt;=TODAY()),$X328,99999),IF(AND(ISNUMBER($Y328),$Y328&gt;=TODAY()),$Y328,99999))=99999,"",MIN(IF(AND(ISNUMBER($N328),$N328&gt;=TODAY()),$N328,99999),IF(AND(ISNUMBER($O328),$O328&gt;=TODAY()),$O328,99999),IF(AND(ISNUMBER($P328),$P328&gt;=TODAY()),$P328,99999),IF(AND(ISNUMBER($S328),$S328&gt;=TODAY()),$S328,99999),IF(AND(ISNUMBER($T328),$T328&gt;=TODAY()),$T328,99999),IF(AND(ISNUMBER($U328),$U328&gt;=TODAY()),$U328,99999),IF(AND(ISNUMBER($V328),$V328&gt;=TODAY()),$V328,99999),IF(AND(ISNUMBER($W328),$W328&gt;=TODAY()),$W328,99999),IF(AND(ISNUMBER($X328),$X328&gt;=TODAY()),$X328,99999),IF(AND(ISNUMBER($Y328),$Y328&gt;=TODAY()),$Y328,99999))))</f>
        <v/>
      </c>
      <c r="N328" s="27" t="n"/>
      <c r="O328" s="27" t="n"/>
      <c r="P328" s="27" t="n"/>
      <c r="Q328" s="27" t="n"/>
      <c r="R328" s="27" t="n"/>
      <c r="S328" s="27" t="n"/>
      <c r="T328" s="27" t="n"/>
      <c r="U328" s="27" t="n"/>
      <c r="V328" s="27" t="n"/>
      <c r="W328" s="27" t="n"/>
      <c r="X328" s="27" t="n"/>
      <c r="Y328" s="27" t="n"/>
      <c r="Z328" s="27" t="n"/>
      <c r="AA328" s="27" t="n"/>
      <c r="AB328" s="27" t="n"/>
      <c r="AC328" s="30" t="n"/>
      <c r="AD328" s="25" t="n"/>
      <c r="AE328" s="28">
        <f>IF(NOT(AND($A328&lt;&gt;"",OR($I328="",$I328="Active"))),"",IF(OR(IF(OR(ISNUMBER($Y328),$Y328="DNA"),$Y328,IF(OR(ISNUMBER($X328),$X328="DNA"),$X328,IF(OR(ISNUMBER($W328),$W328="DNA"),$W328,IF(OR(ISNUMBER($V328),$V328="DNA"),$V328,IF(OR(ISNUMBER($U328),$U328="DNA"),$U328,IF(OR(ISNUMBER($T328),$T328="DNA"),$T328,IF(OR(ISNUMBER($S328),$S328="DNA"),$S328,IF(OR(ISNUMBER($P328),$P328="DNA"),$P328,IF(OR(ISNUMBER($O328),$O328="DNA"),$O328,IF(OR(ISNUMBER($N328),$N328="DNA"),$N328,""))))))))))="DNA",AND(ISNUMBER(IF(OR(ISNUMBER($Y328),$Y328="DNA"),$Y328,IF(OR(ISNUMBER($X328),$X328="DNA"),$X328,IF(OR(ISNUMBER($W328),$W328="DNA"),$W328,IF(OR(ISNUMBER($V328),$V328="DNA"),$V328,IF(OR(ISNUMBER($U328),$U328="DNA"),$U328,IF(OR(ISNUMBER($T328),$T328="DNA"),$T328,IF(OR(ISNUMBER($S328),$S328="DNA"),$S328,IF(OR(ISNUMBER($P328),$P328="DNA"),$P328,IF(OR(ISNUMBER($O328),$O328="DNA"),$O328,IF(OR(ISNUMBER($N328),$N328="DNA"),$N328,""))))))))))),IF(OR(ISNUMBER($Y328),$Y328="DNA"),$Y328,IF(OR(ISNUMBER($X328),$X328="DNA"),$X328,IF(OR(ISNUMBER($W328),$W328="DNA"),$W328,IF(OR(ISNUMBER($V328),$V328="DNA"),$V328,IF(OR(ISNUMBER($U328),$U328="DNA"),$U328,IF(OR(ISNUMBER($T328),$T328="DNA"),$T328,IF(OR(ISNUMBER($S328),$S328="DNA"),$S328,IF(OR(ISNUMBER($P328),$P328="DNA"),$P328,IF(OR(ISNUMBER($O328),$O328="DNA"),$O328,IF(OR(ISNUMBER($N328),$N328="DNA"),$N328,""))))))))))&lt;TODAY())),1,0)+ISNUMBER($Q328)*($Q328&lt;TODAY())+ISNUMBER($R328)*($R328&lt;TODAY())+ISNUMBER($AA328)*($AA328&lt;TODAY())+ISNUMBER($AB328)*($AB328&lt;TODAY()))</f>
        <v/>
      </c>
    </row>
    <row r="329">
      <c r="A329" s="25" t="n"/>
      <c r="B329" s="26" t="n"/>
      <c r="C329" s="27" t="n"/>
      <c r="D329" s="25" t="n"/>
      <c r="E329" s="25" t="n"/>
      <c r="F329" s="25" t="n"/>
      <c r="G329" s="25" t="n"/>
      <c r="H329" s="27" t="n"/>
      <c r="I329" s="25" t="n"/>
      <c r="J329" s="28">
        <f>IF(OR(NOT(AND($A329&lt;&gt;"",OR($I329="",$I329="Active"))),$H329=""),"",INT((TODAY()-$H329+280)/7)&amp;"+"&amp;MOD(TODAY()-$H329+280,7))</f>
        <v/>
      </c>
      <c r="K329" s="28">
        <f>IF(NOT(AND($A329&lt;&gt;"",OR($I329="",$I329="Active"))),"",ISNUMBER($N329)*($N329&gt;=TODAY())*($N329&lt;=TODAY()+7)+ISNUMBER($O329)*($O329&gt;=TODAY())*($O329&lt;=TODAY()+7)+ISNUMBER($P329)*($P329&gt;=TODAY())*($P329&lt;=TODAY()+7)+ISNUMBER($S329)*($S329&gt;=TODAY())*($S329&lt;=TODAY()+7)+ISNUMBER($T329)*($T329&gt;=TODAY())*($T329&lt;=TODAY()+7)+ISNUMBER($U329)*($U329&gt;=TODAY())*($U329&lt;=TODAY()+7)+ISNUMBER($V329)*($V329&gt;=TODAY())*($V329&lt;=TODAY()+7)+ISNUMBER($W329)*($W329&gt;=TODAY())*($W329&lt;=TODAY()+7)+ISNUMBER($X329)*($X329&gt;=TODAY())*($X329&lt;=TODAY()+7)+ISNUMBER($Y329)*($Y329&gt;=TODAY())*($Y329&lt;=TODAY()+7)+ISNUMBER($Q329)*($Q329&gt;=TODAY())*($Q329&lt;=TODAY()+7)+ISNUMBER($R329)*($R329&gt;=TODAY())*($R329&lt;=TODAY()+7)+ISNUMBER($AA329)*($AA329&gt;=TODAY())*($AA329&lt;=TODAY()+7)+ISNUMBER($AB329)*($AB329&gt;=TODAY())*($AB329&lt;=TODAY()+7))</f>
        <v/>
      </c>
      <c r="L329" s="28">
        <f>IF(NOT(AND($A329&lt;&gt;"",OR($I329="",$I329="Active"))),"",IF($M329&lt;&gt;"",IF($N329=$M329,"Booking",IF($O329=$M329,"16/40",IF($P329=$M329,"25/40",IF($S329=$M329,"28/40",IF($T329=$M329,"31/40",IF($U329=$M329,"34/40",IF($V329=$M329,"36/40",IF($W329=$M329,"38/40",IF($X329=$M329,"40/40",IF($Y329=$M329,"41/40","")))))))))),IF(IF(OR(ISNUMBER($Y329),$Y329="DNA"),$Y329,IF(OR(ISNUMBER($X329),$X329="DNA"),$X329,IF(OR(ISNUMBER($W329),$W329="DNA"),$W329,IF(OR(ISNUMBER($V329),$V329="DNA"),$V329,IF(OR(ISNUMBER($U329),$U329="DNA"),$U329,IF(OR(ISNUMBER($T329),$T329="DNA"),$T329,IF(OR(ISNUMBER($S329),$S329="DNA"),$S329,IF(OR(ISNUMBER($P329),$P329="DNA"),$P329,IF(OR(ISNUMBER($O329),$O329="DNA"),$O329,IF(OR(ISNUMBER($N329),$N329="DNA"),$N329,""))))))))))="DNA","Rebook DNA",IF(ISNUMBER(IF(OR(ISNUMBER($Y329),$Y329="DNA"),$Y329,IF(OR(ISNUMBER($X329),$X329="DNA"),$X329,IF(OR(ISNUMBER($W329),$W329="DNA"),$W329,IF(OR(ISNUMBER($V329),$V329="DNA"),$V329,IF(OR(ISNUMBER($U329),$U329="DNA"),$U329,IF(OR(ISNUMBER($T329),$T329="DNA"),$T329,IF(OR(ISNUMBER($S329),$S329="DNA"),$S329,IF(OR(ISNUMBER($P329),$P329="DNA"),$P329,IF(OR(ISNUMBER($O329),$O329="DNA"),$O329,IF(OR(ISNUMBER($N329),$N329="DNA"),$N329,""))))))))))),IF(ISNUMBER($Y329),"Update status","Missed/not booked?"),""))))</f>
        <v/>
      </c>
      <c r="M329" s="29">
        <f>IF(NOT(AND($A329&lt;&gt;"",OR($I329="",$I329="Active"))),"",IF(MIN(IF(AND(ISNUMBER($N329),$N329&gt;=TODAY()),$N329,99999),IF(AND(ISNUMBER($O329),$O329&gt;=TODAY()),$O329,99999),IF(AND(ISNUMBER($P329),$P329&gt;=TODAY()),$P329,99999),IF(AND(ISNUMBER($S329),$S329&gt;=TODAY()),$S329,99999),IF(AND(ISNUMBER($T329),$T329&gt;=TODAY()),$T329,99999),IF(AND(ISNUMBER($U329),$U329&gt;=TODAY()),$U329,99999),IF(AND(ISNUMBER($V329),$V329&gt;=TODAY()),$V329,99999),IF(AND(ISNUMBER($W329),$W329&gt;=TODAY()),$W329,99999),IF(AND(ISNUMBER($X329),$X329&gt;=TODAY()),$X329,99999),IF(AND(ISNUMBER($Y329),$Y329&gt;=TODAY()),$Y329,99999))=99999,"",MIN(IF(AND(ISNUMBER($N329),$N329&gt;=TODAY()),$N329,99999),IF(AND(ISNUMBER($O329),$O329&gt;=TODAY()),$O329,99999),IF(AND(ISNUMBER($P329),$P329&gt;=TODAY()),$P329,99999),IF(AND(ISNUMBER($S329),$S329&gt;=TODAY()),$S329,99999),IF(AND(ISNUMBER($T329),$T329&gt;=TODAY()),$T329,99999),IF(AND(ISNUMBER($U329),$U329&gt;=TODAY()),$U329,99999),IF(AND(ISNUMBER($V329),$V329&gt;=TODAY()),$V329,99999),IF(AND(ISNUMBER($W329),$W329&gt;=TODAY()),$W329,99999),IF(AND(ISNUMBER($X329),$X329&gt;=TODAY()),$X329,99999),IF(AND(ISNUMBER($Y329),$Y329&gt;=TODAY()),$Y329,99999))))</f>
        <v/>
      </c>
      <c r="N329" s="27" t="n"/>
      <c r="O329" s="27" t="n"/>
      <c r="P329" s="27" t="n"/>
      <c r="Q329" s="27" t="n"/>
      <c r="R329" s="27" t="n"/>
      <c r="S329" s="27" t="n"/>
      <c r="T329" s="27" t="n"/>
      <c r="U329" s="27" t="n"/>
      <c r="V329" s="27" t="n"/>
      <c r="W329" s="27" t="n"/>
      <c r="X329" s="27" t="n"/>
      <c r="Y329" s="27" t="n"/>
      <c r="Z329" s="27" t="n"/>
      <c r="AA329" s="27" t="n"/>
      <c r="AB329" s="27" t="n"/>
      <c r="AC329" s="30" t="n"/>
      <c r="AD329" s="25" t="n"/>
      <c r="AE329" s="28">
        <f>IF(NOT(AND($A329&lt;&gt;"",OR($I329="",$I329="Active"))),"",IF(OR(IF(OR(ISNUMBER($Y329),$Y329="DNA"),$Y329,IF(OR(ISNUMBER($X329),$X329="DNA"),$X329,IF(OR(ISNUMBER($W329),$W329="DNA"),$W329,IF(OR(ISNUMBER($V329),$V329="DNA"),$V329,IF(OR(ISNUMBER($U329),$U329="DNA"),$U329,IF(OR(ISNUMBER($T329),$T329="DNA"),$T329,IF(OR(ISNUMBER($S329),$S329="DNA"),$S329,IF(OR(ISNUMBER($P329),$P329="DNA"),$P329,IF(OR(ISNUMBER($O329),$O329="DNA"),$O329,IF(OR(ISNUMBER($N329),$N329="DNA"),$N329,""))))))))))="DNA",AND(ISNUMBER(IF(OR(ISNUMBER($Y329),$Y329="DNA"),$Y329,IF(OR(ISNUMBER($X329),$X329="DNA"),$X329,IF(OR(ISNUMBER($W329),$W329="DNA"),$W329,IF(OR(ISNUMBER($V329),$V329="DNA"),$V329,IF(OR(ISNUMBER($U329),$U329="DNA"),$U329,IF(OR(ISNUMBER($T329),$T329="DNA"),$T329,IF(OR(ISNUMBER($S329),$S329="DNA"),$S329,IF(OR(ISNUMBER($P329),$P329="DNA"),$P329,IF(OR(ISNUMBER($O329),$O329="DNA"),$O329,IF(OR(ISNUMBER($N329),$N329="DNA"),$N329,""))))))))))),IF(OR(ISNUMBER($Y329),$Y329="DNA"),$Y329,IF(OR(ISNUMBER($X329),$X329="DNA"),$X329,IF(OR(ISNUMBER($W329),$W329="DNA"),$W329,IF(OR(ISNUMBER($V329),$V329="DNA"),$V329,IF(OR(ISNUMBER($U329),$U329="DNA"),$U329,IF(OR(ISNUMBER($T329),$T329="DNA"),$T329,IF(OR(ISNUMBER($S329),$S329="DNA"),$S329,IF(OR(ISNUMBER($P329),$P329="DNA"),$P329,IF(OR(ISNUMBER($O329),$O329="DNA"),$O329,IF(OR(ISNUMBER($N329),$N329="DNA"),$N329,""))))))))))&lt;TODAY())),1,0)+ISNUMBER($Q329)*($Q329&lt;TODAY())+ISNUMBER($R329)*($R329&lt;TODAY())+ISNUMBER($AA329)*($AA329&lt;TODAY())+ISNUMBER($AB329)*($AB329&lt;TODAY()))</f>
        <v/>
      </c>
    </row>
    <row r="330">
      <c r="A330" s="25" t="n"/>
      <c r="B330" s="26" t="n"/>
      <c r="C330" s="27" t="n"/>
      <c r="D330" s="25" t="n"/>
      <c r="E330" s="25" t="n"/>
      <c r="F330" s="25" t="n"/>
      <c r="G330" s="25" t="n"/>
      <c r="H330" s="27" t="n"/>
      <c r="I330" s="25" t="n"/>
      <c r="J330" s="28">
        <f>IF(OR(NOT(AND($A330&lt;&gt;"",OR($I330="",$I330="Active"))),$H330=""),"",INT((TODAY()-$H330+280)/7)&amp;"+"&amp;MOD(TODAY()-$H330+280,7))</f>
        <v/>
      </c>
      <c r="K330" s="28">
        <f>IF(NOT(AND($A330&lt;&gt;"",OR($I330="",$I330="Active"))),"",ISNUMBER($N330)*($N330&gt;=TODAY())*($N330&lt;=TODAY()+7)+ISNUMBER($O330)*($O330&gt;=TODAY())*($O330&lt;=TODAY()+7)+ISNUMBER($P330)*($P330&gt;=TODAY())*($P330&lt;=TODAY()+7)+ISNUMBER($S330)*($S330&gt;=TODAY())*($S330&lt;=TODAY()+7)+ISNUMBER($T330)*($T330&gt;=TODAY())*($T330&lt;=TODAY()+7)+ISNUMBER($U330)*($U330&gt;=TODAY())*($U330&lt;=TODAY()+7)+ISNUMBER($V330)*($V330&gt;=TODAY())*($V330&lt;=TODAY()+7)+ISNUMBER($W330)*($W330&gt;=TODAY())*($W330&lt;=TODAY()+7)+ISNUMBER($X330)*($X330&gt;=TODAY())*($X330&lt;=TODAY()+7)+ISNUMBER($Y330)*($Y330&gt;=TODAY())*($Y330&lt;=TODAY()+7)+ISNUMBER($Q330)*($Q330&gt;=TODAY())*($Q330&lt;=TODAY()+7)+ISNUMBER($R330)*($R330&gt;=TODAY())*($R330&lt;=TODAY()+7)+ISNUMBER($AA330)*($AA330&gt;=TODAY())*($AA330&lt;=TODAY()+7)+ISNUMBER($AB330)*($AB330&gt;=TODAY())*($AB330&lt;=TODAY()+7))</f>
        <v/>
      </c>
      <c r="L330" s="28">
        <f>IF(NOT(AND($A330&lt;&gt;"",OR($I330="",$I330="Active"))),"",IF($M330&lt;&gt;"",IF($N330=$M330,"Booking",IF($O330=$M330,"16/40",IF($P330=$M330,"25/40",IF($S330=$M330,"28/40",IF($T330=$M330,"31/40",IF($U330=$M330,"34/40",IF($V330=$M330,"36/40",IF($W330=$M330,"38/40",IF($X330=$M330,"40/40",IF($Y330=$M330,"41/40","")))))))))),IF(IF(OR(ISNUMBER($Y330),$Y330="DNA"),$Y330,IF(OR(ISNUMBER($X330),$X330="DNA"),$X330,IF(OR(ISNUMBER($W330),$W330="DNA"),$W330,IF(OR(ISNUMBER($V330),$V330="DNA"),$V330,IF(OR(ISNUMBER($U330),$U330="DNA"),$U330,IF(OR(ISNUMBER($T330),$T330="DNA"),$T330,IF(OR(ISNUMBER($S330),$S330="DNA"),$S330,IF(OR(ISNUMBER($P330),$P330="DNA"),$P330,IF(OR(ISNUMBER($O330),$O330="DNA"),$O330,IF(OR(ISNUMBER($N330),$N330="DNA"),$N330,""))))))))))="DNA","Rebook DNA",IF(ISNUMBER(IF(OR(ISNUMBER($Y330),$Y330="DNA"),$Y330,IF(OR(ISNUMBER($X330),$X330="DNA"),$X330,IF(OR(ISNUMBER($W330),$W330="DNA"),$W330,IF(OR(ISNUMBER($V330),$V330="DNA"),$V330,IF(OR(ISNUMBER($U330),$U330="DNA"),$U330,IF(OR(ISNUMBER($T330),$T330="DNA"),$T330,IF(OR(ISNUMBER($S330),$S330="DNA"),$S330,IF(OR(ISNUMBER($P330),$P330="DNA"),$P330,IF(OR(ISNUMBER($O330),$O330="DNA"),$O330,IF(OR(ISNUMBER($N330),$N330="DNA"),$N330,""))))))))))),IF(ISNUMBER($Y330),"Update status","Missed/not booked?"),""))))</f>
        <v/>
      </c>
      <c r="M330" s="29">
        <f>IF(NOT(AND($A330&lt;&gt;"",OR($I330="",$I330="Active"))),"",IF(MIN(IF(AND(ISNUMBER($N330),$N330&gt;=TODAY()),$N330,99999),IF(AND(ISNUMBER($O330),$O330&gt;=TODAY()),$O330,99999),IF(AND(ISNUMBER($P330),$P330&gt;=TODAY()),$P330,99999),IF(AND(ISNUMBER($S330),$S330&gt;=TODAY()),$S330,99999),IF(AND(ISNUMBER($T330),$T330&gt;=TODAY()),$T330,99999),IF(AND(ISNUMBER($U330),$U330&gt;=TODAY()),$U330,99999),IF(AND(ISNUMBER($V330),$V330&gt;=TODAY()),$V330,99999),IF(AND(ISNUMBER($W330),$W330&gt;=TODAY()),$W330,99999),IF(AND(ISNUMBER($X330),$X330&gt;=TODAY()),$X330,99999),IF(AND(ISNUMBER($Y330),$Y330&gt;=TODAY()),$Y330,99999))=99999,"",MIN(IF(AND(ISNUMBER($N330),$N330&gt;=TODAY()),$N330,99999),IF(AND(ISNUMBER($O330),$O330&gt;=TODAY()),$O330,99999),IF(AND(ISNUMBER($P330),$P330&gt;=TODAY()),$P330,99999),IF(AND(ISNUMBER($S330),$S330&gt;=TODAY()),$S330,99999),IF(AND(ISNUMBER($T330),$T330&gt;=TODAY()),$T330,99999),IF(AND(ISNUMBER($U330),$U330&gt;=TODAY()),$U330,99999),IF(AND(ISNUMBER($V330),$V330&gt;=TODAY()),$V330,99999),IF(AND(ISNUMBER($W330),$W330&gt;=TODAY()),$W330,99999),IF(AND(ISNUMBER($X330),$X330&gt;=TODAY()),$X330,99999),IF(AND(ISNUMBER($Y330),$Y330&gt;=TODAY()),$Y330,99999))))</f>
        <v/>
      </c>
      <c r="N330" s="27" t="n"/>
      <c r="O330" s="27" t="n"/>
      <c r="P330" s="27" t="n"/>
      <c r="Q330" s="27" t="n"/>
      <c r="R330" s="27" t="n"/>
      <c r="S330" s="27" t="n"/>
      <c r="T330" s="27" t="n"/>
      <c r="U330" s="27" t="n"/>
      <c r="V330" s="27" t="n"/>
      <c r="W330" s="27" t="n"/>
      <c r="X330" s="27" t="n"/>
      <c r="Y330" s="27" t="n"/>
      <c r="Z330" s="27" t="n"/>
      <c r="AA330" s="27" t="n"/>
      <c r="AB330" s="27" t="n"/>
      <c r="AC330" s="30" t="n"/>
      <c r="AD330" s="25" t="n"/>
      <c r="AE330" s="28">
        <f>IF(NOT(AND($A330&lt;&gt;"",OR($I330="",$I330="Active"))),"",IF(OR(IF(OR(ISNUMBER($Y330),$Y330="DNA"),$Y330,IF(OR(ISNUMBER($X330),$X330="DNA"),$X330,IF(OR(ISNUMBER($W330),$W330="DNA"),$W330,IF(OR(ISNUMBER($V330),$V330="DNA"),$V330,IF(OR(ISNUMBER($U330),$U330="DNA"),$U330,IF(OR(ISNUMBER($T330),$T330="DNA"),$T330,IF(OR(ISNUMBER($S330),$S330="DNA"),$S330,IF(OR(ISNUMBER($P330),$P330="DNA"),$P330,IF(OR(ISNUMBER($O330),$O330="DNA"),$O330,IF(OR(ISNUMBER($N330),$N330="DNA"),$N330,""))))))))))="DNA",AND(ISNUMBER(IF(OR(ISNUMBER($Y330),$Y330="DNA"),$Y330,IF(OR(ISNUMBER($X330),$X330="DNA"),$X330,IF(OR(ISNUMBER($W330),$W330="DNA"),$W330,IF(OR(ISNUMBER($V330),$V330="DNA"),$V330,IF(OR(ISNUMBER($U330),$U330="DNA"),$U330,IF(OR(ISNUMBER($T330),$T330="DNA"),$T330,IF(OR(ISNUMBER($S330),$S330="DNA"),$S330,IF(OR(ISNUMBER($P330),$P330="DNA"),$P330,IF(OR(ISNUMBER($O330),$O330="DNA"),$O330,IF(OR(ISNUMBER($N330),$N330="DNA"),$N330,""))))))))))),IF(OR(ISNUMBER($Y330),$Y330="DNA"),$Y330,IF(OR(ISNUMBER($X330),$X330="DNA"),$X330,IF(OR(ISNUMBER($W330),$W330="DNA"),$W330,IF(OR(ISNUMBER($V330),$V330="DNA"),$V330,IF(OR(ISNUMBER($U330),$U330="DNA"),$U330,IF(OR(ISNUMBER($T330),$T330="DNA"),$T330,IF(OR(ISNUMBER($S330),$S330="DNA"),$S330,IF(OR(ISNUMBER($P330),$P330="DNA"),$P330,IF(OR(ISNUMBER($O330),$O330="DNA"),$O330,IF(OR(ISNUMBER($N330),$N330="DNA"),$N330,""))))))))))&lt;TODAY())),1,0)+ISNUMBER($Q330)*($Q330&lt;TODAY())+ISNUMBER($R330)*($R330&lt;TODAY())+ISNUMBER($AA330)*($AA330&lt;TODAY())+ISNUMBER($AB330)*($AB330&lt;TODAY()))</f>
        <v/>
      </c>
    </row>
    <row r="331">
      <c r="A331" s="25" t="n"/>
      <c r="B331" s="26" t="n"/>
      <c r="C331" s="27" t="n"/>
      <c r="D331" s="25" t="n"/>
      <c r="E331" s="25" t="n"/>
      <c r="F331" s="25" t="n"/>
      <c r="G331" s="25" t="n"/>
      <c r="H331" s="27" t="n"/>
      <c r="I331" s="25" t="n"/>
      <c r="J331" s="28">
        <f>IF(OR(NOT(AND($A331&lt;&gt;"",OR($I331="",$I331="Active"))),$H331=""),"",INT((TODAY()-$H331+280)/7)&amp;"+"&amp;MOD(TODAY()-$H331+280,7))</f>
        <v/>
      </c>
      <c r="K331" s="28">
        <f>IF(NOT(AND($A331&lt;&gt;"",OR($I331="",$I331="Active"))),"",ISNUMBER($N331)*($N331&gt;=TODAY())*($N331&lt;=TODAY()+7)+ISNUMBER($O331)*($O331&gt;=TODAY())*($O331&lt;=TODAY()+7)+ISNUMBER($P331)*($P331&gt;=TODAY())*($P331&lt;=TODAY()+7)+ISNUMBER($S331)*($S331&gt;=TODAY())*($S331&lt;=TODAY()+7)+ISNUMBER($T331)*($T331&gt;=TODAY())*($T331&lt;=TODAY()+7)+ISNUMBER($U331)*($U331&gt;=TODAY())*($U331&lt;=TODAY()+7)+ISNUMBER($V331)*($V331&gt;=TODAY())*($V331&lt;=TODAY()+7)+ISNUMBER($W331)*($W331&gt;=TODAY())*($W331&lt;=TODAY()+7)+ISNUMBER($X331)*($X331&gt;=TODAY())*($X331&lt;=TODAY()+7)+ISNUMBER($Y331)*($Y331&gt;=TODAY())*($Y331&lt;=TODAY()+7)+ISNUMBER($Q331)*($Q331&gt;=TODAY())*($Q331&lt;=TODAY()+7)+ISNUMBER($R331)*($R331&gt;=TODAY())*($R331&lt;=TODAY()+7)+ISNUMBER($AA331)*($AA331&gt;=TODAY())*($AA331&lt;=TODAY()+7)+ISNUMBER($AB331)*($AB331&gt;=TODAY())*($AB331&lt;=TODAY()+7))</f>
        <v/>
      </c>
      <c r="L331" s="28">
        <f>IF(NOT(AND($A331&lt;&gt;"",OR($I331="",$I331="Active"))),"",IF($M331&lt;&gt;"",IF($N331=$M331,"Booking",IF($O331=$M331,"16/40",IF($P331=$M331,"25/40",IF($S331=$M331,"28/40",IF($T331=$M331,"31/40",IF($U331=$M331,"34/40",IF($V331=$M331,"36/40",IF($W331=$M331,"38/40",IF($X331=$M331,"40/40",IF($Y331=$M331,"41/40","")))))))))),IF(IF(OR(ISNUMBER($Y331),$Y331="DNA"),$Y331,IF(OR(ISNUMBER($X331),$X331="DNA"),$X331,IF(OR(ISNUMBER($W331),$W331="DNA"),$W331,IF(OR(ISNUMBER($V331),$V331="DNA"),$V331,IF(OR(ISNUMBER($U331),$U331="DNA"),$U331,IF(OR(ISNUMBER($T331),$T331="DNA"),$T331,IF(OR(ISNUMBER($S331),$S331="DNA"),$S331,IF(OR(ISNUMBER($P331),$P331="DNA"),$P331,IF(OR(ISNUMBER($O331),$O331="DNA"),$O331,IF(OR(ISNUMBER($N331),$N331="DNA"),$N331,""))))))))))="DNA","Rebook DNA",IF(ISNUMBER(IF(OR(ISNUMBER($Y331),$Y331="DNA"),$Y331,IF(OR(ISNUMBER($X331),$X331="DNA"),$X331,IF(OR(ISNUMBER($W331),$W331="DNA"),$W331,IF(OR(ISNUMBER($V331),$V331="DNA"),$V331,IF(OR(ISNUMBER($U331),$U331="DNA"),$U331,IF(OR(ISNUMBER($T331),$T331="DNA"),$T331,IF(OR(ISNUMBER($S331),$S331="DNA"),$S331,IF(OR(ISNUMBER($P331),$P331="DNA"),$P331,IF(OR(ISNUMBER($O331),$O331="DNA"),$O331,IF(OR(ISNUMBER($N331),$N331="DNA"),$N331,""))))))))))),IF(ISNUMBER($Y331),"Update status","Missed/not booked?"),""))))</f>
        <v/>
      </c>
      <c r="M331" s="29">
        <f>IF(NOT(AND($A331&lt;&gt;"",OR($I331="",$I331="Active"))),"",IF(MIN(IF(AND(ISNUMBER($N331),$N331&gt;=TODAY()),$N331,99999),IF(AND(ISNUMBER($O331),$O331&gt;=TODAY()),$O331,99999),IF(AND(ISNUMBER($P331),$P331&gt;=TODAY()),$P331,99999),IF(AND(ISNUMBER($S331),$S331&gt;=TODAY()),$S331,99999),IF(AND(ISNUMBER($T331),$T331&gt;=TODAY()),$T331,99999),IF(AND(ISNUMBER($U331),$U331&gt;=TODAY()),$U331,99999),IF(AND(ISNUMBER($V331),$V331&gt;=TODAY()),$V331,99999),IF(AND(ISNUMBER($W331),$W331&gt;=TODAY()),$W331,99999),IF(AND(ISNUMBER($X331),$X331&gt;=TODAY()),$X331,99999),IF(AND(ISNUMBER($Y331),$Y331&gt;=TODAY()),$Y331,99999))=99999,"",MIN(IF(AND(ISNUMBER($N331),$N331&gt;=TODAY()),$N331,99999),IF(AND(ISNUMBER($O331),$O331&gt;=TODAY()),$O331,99999),IF(AND(ISNUMBER($P331),$P331&gt;=TODAY()),$P331,99999),IF(AND(ISNUMBER($S331),$S331&gt;=TODAY()),$S331,99999),IF(AND(ISNUMBER($T331),$T331&gt;=TODAY()),$T331,99999),IF(AND(ISNUMBER($U331),$U331&gt;=TODAY()),$U331,99999),IF(AND(ISNUMBER($V331),$V331&gt;=TODAY()),$V331,99999),IF(AND(ISNUMBER($W331),$W331&gt;=TODAY()),$W331,99999),IF(AND(ISNUMBER($X331),$X331&gt;=TODAY()),$X331,99999),IF(AND(ISNUMBER($Y331),$Y331&gt;=TODAY()),$Y331,99999))))</f>
        <v/>
      </c>
      <c r="N331" s="27" t="n"/>
      <c r="O331" s="27" t="n"/>
      <c r="P331" s="27" t="n"/>
      <c r="Q331" s="27" t="n"/>
      <c r="R331" s="27" t="n"/>
      <c r="S331" s="27" t="n"/>
      <c r="T331" s="27" t="n"/>
      <c r="U331" s="27" t="n"/>
      <c r="V331" s="27" t="n"/>
      <c r="W331" s="27" t="n"/>
      <c r="X331" s="27" t="n"/>
      <c r="Y331" s="27" t="n"/>
      <c r="Z331" s="27" t="n"/>
      <c r="AA331" s="27" t="n"/>
      <c r="AB331" s="27" t="n"/>
      <c r="AC331" s="30" t="n"/>
      <c r="AD331" s="25" t="n"/>
      <c r="AE331" s="28">
        <f>IF(NOT(AND($A331&lt;&gt;"",OR($I331="",$I331="Active"))),"",IF(OR(IF(OR(ISNUMBER($Y331),$Y331="DNA"),$Y331,IF(OR(ISNUMBER($X331),$X331="DNA"),$X331,IF(OR(ISNUMBER($W331),$W331="DNA"),$W331,IF(OR(ISNUMBER($V331),$V331="DNA"),$V331,IF(OR(ISNUMBER($U331),$U331="DNA"),$U331,IF(OR(ISNUMBER($T331),$T331="DNA"),$T331,IF(OR(ISNUMBER($S331),$S331="DNA"),$S331,IF(OR(ISNUMBER($P331),$P331="DNA"),$P331,IF(OR(ISNUMBER($O331),$O331="DNA"),$O331,IF(OR(ISNUMBER($N331),$N331="DNA"),$N331,""))))))))))="DNA",AND(ISNUMBER(IF(OR(ISNUMBER($Y331),$Y331="DNA"),$Y331,IF(OR(ISNUMBER($X331),$X331="DNA"),$X331,IF(OR(ISNUMBER($W331),$W331="DNA"),$W331,IF(OR(ISNUMBER($V331),$V331="DNA"),$V331,IF(OR(ISNUMBER($U331),$U331="DNA"),$U331,IF(OR(ISNUMBER($T331),$T331="DNA"),$T331,IF(OR(ISNUMBER($S331),$S331="DNA"),$S331,IF(OR(ISNUMBER($P331),$P331="DNA"),$P331,IF(OR(ISNUMBER($O331),$O331="DNA"),$O331,IF(OR(ISNUMBER($N331),$N331="DNA"),$N331,""))))))))))),IF(OR(ISNUMBER($Y331),$Y331="DNA"),$Y331,IF(OR(ISNUMBER($X331),$X331="DNA"),$X331,IF(OR(ISNUMBER($W331),$W331="DNA"),$W331,IF(OR(ISNUMBER($V331),$V331="DNA"),$V331,IF(OR(ISNUMBER($U331),$U331="DNA"),$U331,IF(OR(ISNUMBER($T331),$T331="DNA"),$T331,IF(OR(ISNUMBER($S331),$S331="DNA"),$S331,IF(OR(ISNUMBER($P331),$P331="DNA"),$P331,IF(OR(ISNUMBER($O331),$O331="DNA"),$O331,IF(OR(ISNUMBER($N331),$N331="DNA"),$N331,""))))))))))&lt;TODAY())),1,0)+ISNUMBER($Q331)*($Q331&lt;TODAY())+ISNUMBER($R331)*($R331&lt;TODAY())+ISNUMBER($AA331)*($AA331&lt;TODAY())+ISNUMBER($AB331)*($AB331&lt;TODAY()))</f>
        <v/>
      </c>
    </row>
    <row r="332">
      <c r="A332" s="25" t="n"/>
      <c r="B332" s="26" t="n"/>
      <c r="C332" s="27" t="n"/>
      <c r="D332" s="25" t="n"/>
      <c r="E332" s="25" t="n"/>
      <c r="F332" s="25" t="n"/>
      <c r="G332" s="25" t="n"/>
      <c r="H332" s="27" t="n"/>
      <c r="I332" s="25" t="n"/>
      <c r="J332" s="28">
        <f>IF(OR(NOT(AND($A332&lt;&gt;"",OR($I332="",$I332="Active"))),$H332=""),"",INT((TODAY()-$H332+280)/7)&amp;"+"&amp;MOD(TODAY()-$H332+280,7))</f>
        <v/>
      </c>
      <c r="K332" s="28">
        <f>IF(NOT(AND($A332&lt;&gt;"",OR($I332="",$I332="Active"))),"",ISNUMBER($N332)*($N332&gt;=TODAY())*($N332&lt;=TODAY()+7)+ISNUMBER($O332)*($O332&gt;=TODAY())*($O332&lt;=TODAY()+7)+ISNUMBER($P332)*($P332&gt;=TODAY())*($P332&lt;=TODAY()+7)+ISNUMBER($S332)*($S332&gt;=TODAY())*($S332&lt;=TODAY()+7)+ISNUMBER($T332)*($T332&gt;=TODAY())*($T332&lt;=TODAY()+7)+ISNUMBER($U332)*($U332&gt;=TODAY())*($U332&lt;=TODAY()+7)+ISNUMBER($V332)*($V332&gt;=TODAY())*($V332&lt;=TODAY()+7)+ISNUMBER($W332)*($W332&gt;=TODAY())*($W332&lt;=TODAY()+7)+ISNUMBER($X332)*($X332&gt;=TODAY())*($X332&lt;=TODAY()+7)+ISNUMBER($Y332)*($Y332&gt;=TODAY())*($Y332&lt;=TODAY()+7)+ISNUMBER($Q332)*($Q332&gt;=TODAY())*($Q332&lt;=TODAY()+7)+ISNUMBER($R332)*($R332&gt;=TODAY())*($R332&lt;=TODAY()+7)+ISNUMBER($AA332)*($AA332&gt;=TODAY())*($AA332&lt;=TODAY()+7)+ISNUMBER($AB332)*($AB332&gt;=TODAY())*($AB332&lt;=TODAY()+7))</f>
        <v/>
      </c>
      <c r="L332" s="28">
        <f>IF(NOT(AND($A332&lt;&gt;"",OR($I332="",$I332="Active"))),"",IF($M332&lt;&gt;"",IF($N332=$M332,"Booking",IF($O332=$M332,"16/40",IF($P332=$M332,"25/40",IF($S332=$M332,"28/40",IF($T332=$M332,"31/40",IF($U332=$M332,"34/40",IF($V332=$M332,"36/40",IF($W332=$M332,"38/40",IF($X332=$M332,"40/40",IF($Y332=$M332,"41/40","")))))))))),IF(IF(OR(ISNUMBER($Y332),$Y332="DNA"),$Y332,IF(OR(ISNUMBER($X332),$X332="DNA"),$X332,IF(OR(ISNUMBER($W332),$W332="DNA"),$W332,IF(OR(ISNUMBER($V332),$V332="DNA"),$V332,IF(OR(ISNUMBER($U332),$U332="DNA"),$U332,IF(OR(ISNUMBER($T332),$T332="DNA"),$T332,IF(OR(ISNUMBER($S332),$S332="DNA"),$S332,IF(OR(ISNUMBER($P332),$P332="DNA"),$P332,IF(OR(ISNUMBER($O332),$O332="DNA"),$O332,IF(OR(ISNUMBER($N332),$N332="DNA"),$N332,""))))))))))="DNA","Rebook DNA",IF(ISNUMBER(IF(OR(ISNUMBER($Y332),$Y332="DNA"),$Y332,IF(OR(ISNUMBER($X332),$X332="DNA"),$X332,IF(OR(ISNUMBER($W332),$W332="DNA"),$W332,IF(OR(ISNUMBER($V332),$V332="DNA"),$V332,IF(OR(ISNUMBER($U332),$U332="DNA"),$U332,IF(OR(ISNUMBER($T332),$T332="DNA"),$T332,IF(OR(ISNUMBER($S332),$S332="DNA"),$S332,IF(OR(ISNUMBER($P332),$P332="DNA"),$P332,IF(OR(ISNUMBER($O332),$O332="DNA"),$O332,IF(OR(ISNUMBER($N332),$N332="DNA"),$N332,""))))))))))),IF(ISNUMBER($Y332),"Update status","Missed/not booked?"),""))))</f>
        <v/>
      </c>
      <c r="M332" s="29">
        <f>IF(NOT(AND($A332&lt;&gt;"",OR($I332="",$I332="Active"))),"",IF(MIN(IF(AND(ISNUMBER($N332),$N332&gt;=TODAY()),$N332,99999),IF(AND(ISNUMBER($O332),$O332&gt;=TODAY()),$O332,99999),IF(AND(ISNUMBER($P332),$P332&gt;=TODAY()),$P332,99999),IF(AND(ISNUMBER($S332),$S332&gt;=TODAY()),$S332,99999),IF(AND(ISNUMBER($T332),$T332&gt;=TODAY()),$T332,99999),IF(AND(ISNUMBER($U332),$U332&gt;=TODAY()),$U332,99999),IF(AND(ISNUMBER($V332),$V332&gt;=TODAY()),$V332,99999),IF(AND(ISNUMBER($W332),$W332&gt;=TODAY()),$W332,99999),IF(AND(ISNUMBER($X332),$X332&gt;=TODAY()),$X332,99999),IF(AND(ISNUMBER($Y332),$Y332&gt;=TODAY()),$Y332,99999))=99999,"",MIN(IF(AND(ISNUMBER($N332),$N332&gt;=TODAY()),$N332,99999),IF(AND(ISNUMBER($O332),$O332&gt;=TODAY()),$O332,99999),IF(AND(ISNUMBER($P332),$P332&gt;=TODAY()),$P332,99999),IF(AND(ISNUMBER($S332),$S332&gt;=TODAY()),$S332,99999),IF(AND(ISNUMBER($T332),$T332&gt;=TODAY()),$T332,99999),IF(AND(ISNUMBER($U332),$U332&gt;=TODAY()),$U332,99999),IF(AND(ISNUMBER($V332),$V332&gt;=TODAY()),$V332,99999),IF(AND(ISNUMBER($W332),$W332&gt;=TODAY()),$W332,99999),IF(AND(ISNUMBER($X332),$X332&gt;=TODAY()),$X332,99999),IF(AND(ISNUMBER($Y332),$Y332&gt;=TODAY()),$Y332,99999))))</f>
        <v/>
      </c>
      <c r="N332" s="27" t="n"/>
      <c r="O332" s="27" t="n"/>
      <c r="P332" s="27" t="n"/>
      <c r="Q332" s="27" t="n"/>
      <c r="R332" s="27" t="n"/>
      <c r="S332" s="27" t="n"/>
      <c r="T332" s="27" t="n"/>
      <c r="U332" s="27" t="n"/>
      <c r="V332" s="27" t="n"/>
      <c r="W332" s="27" t="n"/>
      <c r="X332" s="27" t="n"/>
      <c r="Y332" s="27" t="n"/>
      <c r="Z332" s="27" t="n"/>
      <c r="AA332" s="27" t="n"/>
      <c r="AB332" s="27" t="n"/>
      <c r="AC332" s="30" t="n"/>
      <c r="AD332" s="25" t="n"/>
      <c r="AE332" s="28">
        <f>IF(NOT(AND($A332&lt;&gt;"",OR($I332="",$I332="Active"))),"",IF(OR(IF(OR(ISNUMBER($Y332),$Y332="DNA"),$Y332,IF(OR(ISNUMBER($X332),$X332="DNA"),$X332,IF(OR(ISNUMBER($W332),$W332="DNA"),$W332,IF(OR(ISNUMBER($V332),$V332="DNA"),$V332,IF(OR(ISNUMBER($U332),$U332="DNA"),$U332,IF(OR(ISNUMBER($T332),$T332="DNA"),$T332,IF(OR(ISNUMBER($S332),$S332="DNA"),$S332,IF(OR(ISNUMBER($P332),$P332="DNA"),$P332,IF(OR(ISNUMBER($O332),$O332="DNA"),$O332,IF(OR(ISNUMBER($N332),$N332="DNA"),$N332,""))))))))))="DNA",AND(ISNUMBER(IF(OR(ISNUMBER($Y332),$Y332="DNA"),$Y332,IF(OR(ISNUMBER($X332),$X332="DNA"),$X332,IF(OR(ISNUMBER($W332),$W332="DNA"),$W332,IF(OR(ISNUMBER($V332),$V332="DNA"),$V332,IF(OR(ISNUMBER($U332),$U332="DNA"),$U332,IF(OR(ISNUMBER($T332),$T332="DNA"),$T332,IF(OR(ISNUMBER($S332),$S332="DNA"),$S332,IF(OR(ISNUMBER($P332),$P332="DNA"),$P332,IF(OR(ISNUMBER($O332),$O332="DNA"),$O332,IF(OR(ISNUMBER($N332),$N332="DNA"),$N332,""))))))))))),IF(OR(ISNUMBER($Y332),$Y332="DNA"),$Y332,IF(OR(ISNUMBER($X332),$X332="DNA"),$X332,IF(OR(ISNUMBER($W332),$W332="DNA"),$W332,IF(OR(ISNUMBER($V332),$V332="DNA"),$V332,IF(OR(ISNUMBER($U332),$U332="DNA"),$U332,IF(OR(ISNUMBER($T332),$T332="DNA"),$T332,IF(OR(ISNUMBER($S332),$S332="DNA"),$S332,IF(OR(ISNUMBER($P332),$P332="DNA"),$P332,IF(OR(ISNUMBER($O332),$O332="DNA"),$O332,IF(OR(ISNUMBER($N332),$N332="DNA"),$N332,""))))))))))&lt;TODAY())),1,0)+ISNUMBER($Q332)*($Q332&lt;TODAY())+ISNUMBER($R332)*($R332&lt;TODAY())+ISNUMBER($AA332)*($AA332&lt;TODAY())+ISNUMBER($AB332)*($AB332&lt;TODAY()))</f>
        <v/>
      </c>
    </row>
    <row r="333">
      <c r="A333" s="25" t="n"/>
      <c r="B333" s="26" t="n"/>
      <c r="C333" s="27" t="n"/>
      <c r="D333" s="25" t="n"/>
      <c r="E333" s="25" t="n"/>
      <c r="F333" s="25" t="n"/>
      <c r="G333" s="25" t="n"/>
      <c r="H333" s="27" t="n"/>
      <c r="I333" s="25" t="n"/>
      <c r="J333" s="28">
        <f>IF(OR(NOT(AND($A333&lt;&gt;"",OR($I333="",$I333="Active"))),$H333=""),"",INT((TODAY()-$H333+280)/7)&amp;"+"&amp;MOD(TODAY()-$H333+280,7))</f>
        <v/>
      </c>
      <c r="K333" s="28">
        <f>IF(NOT(AND($A333&lt;&gt;"",OR($I333="",$I333="Active"))),"",ISNUMBER($N333)*($N333&gt;=TODAY())*($N333&lt;=TODAY()+7)+ISNUMBER($O333)*($O333&gt;=TODAY())*($O333&lt;=TODAY()+7)+ISNUMBER($P333)*($P333&gt;=TODAY())*($P333&lt;=TODAY()+7)+ISNUMBER($S333)*($S333&gt;=TODAY())*($S333&lt;=TODAY()+7)+ISNUMBER($T333)*($T333&gt;=TODAY())*($T333&lt;=TODAY()+7)+ISNUMBER($U333)*($U333&gt;=TODAY())*($U333&lt;=TODAY()+7)+ISNUMBER($V333)*($V333&gt;=TODAY())*($V333&lt;=TODAY()+7)+ISNUMBER($W333)*($W333&gt;=TODAY())*($W333&lt;=TODAY()+7)+ISNUMBER($X333)*($X333&gt;=TODAY())*($X333&lt;=TODAY()+7)+ISNUMBER($Y333)*($Y333&gt;=TODAY())*($Y333&lt;=TODAY()+7)+ISNUMBER($Q333)*($Q333&gt;=TODAY())*($Q333&lt;=TODAY()+7)+ISNUMBER($R333)*($R333&gt;=TODAY())*($R333&lt;=TODAY()+7)+ISNUMBER($AA333)*($AA333&gt;=TODAY())*($AA333&lt;=TODAY()+7)+ISNUMBER($AB333)*($AB333&gt;=TODAY())*($AB333&lt;=TODAY()+7))</f>
        <v/>
      </c>
      <c r="L333" s="28">
        <f>IF(NOT(AND($A333&lt;&gt;"",OR($I333="",$I333="Active"))),"",IF($M333&lt;&gt;"",IF($N333=$M333,"Booking",IF($O333=$M333,"16/40",IF($P333=$M333,"25/40",IF($S333=$M333,"28/40",IF($T333=$M333,"31/40",IF($U333=$M333,"34/40",IF($V333=$M333,"36/40",IF($W333=$M333,"38/40",IF($X333=$M333,"40/40",IF($Y333=$M333,"41/40","")))))))))),IF(IF(OR(ISNUMBER($Y333),$Y333="DNA"),$Y333,IF(OR(ISNUMBER($X333),$X333="DNA"),$X333,IF(OR(ISNUMBER($W333),$W333="DNA"),$W333,IF(OR(ISNUMBER($V333),$V333="DNA"),$V333,IF(OR(ISNUMBER($U333),$U333="DNA"),$U333,IF(OR(ISNUMBER($T333),$T333="DNA"),$T333,IF(OR(ISNUMBER($S333),$S333="DNA"),$S333,IF(OR(ISNUMBER($P333),$P333="DNA"),$P333,IF(OR(ISNUMBER($O333),$O333="DNA"),$O333,IF(OR(ISNUMBER($N333),$N333="DNA"),$N333,""))))))))))="DNA","Rebook DNA",IF(ISNUMBER(IF(OR(ISNUMBER($Y333),$Y333="DNA"),$Y333,IF(OR(ISNUMBER($X333),$X333="DNA"),$X333,IF(OR(ISNUMBER($W333),$W333="DNA"),$W333,IF(OR(ISNUMBER($V333),$V333="DNA"),$V333,IF(OR(ISNUMBER($U333),$U333="DNA"),$U333,IF(OR(ISNUMBER($T333),$T333="DNA"),$T333,IF(OR(ISNUMBER($S333),$S333="DNA"),$S333,IF(OR(ISNUMBER($P333),$P333="DNA"),$P333,IF(OR(ISNUMBER($O333),$O333="DNA"),$O333,IF(OR(ISNUMBER($N333),$N333="DNA"),$N333,""))))))))))),IF(ISNUMBER($Y333),"Update status","Missed/not booked?"),""))))</f>
        <v/>
      </c>
      <c r="M333" s="29">
        <f>IF(NOT(AND($A333&lt;&gt;"",OR($I333="",$I333="Active"))),"",IF(MIN(IF(AND(ISNUMBER($N333),$N333&gt;=TODAY()),$N333,99999),IF(AND(ISNUMBER($O333),$O333&gt;=TODAY()),$O333,99999),IF(AND(ISNUMBER($P333),$P333&gt;=TODAY()),$P333,99999),IF(AND(ISNUMBER($S333),$S333&gt;=TODAY()),$S333,99999),IF(AND(ISNUMBER($T333),$T333&gt;=TODAY()),$T333,99999),IF(AND(ISNUMBER($U333),$U333&gt;=TODAY()),$U333,99999),IF(AND(ISNUMBER($V333),$V333&gt;=TODAY()),$V333,99999),IF(AND(ISNUMBER($W333),$W333&gt;=TODAY()),$W333,99999),IF(AND(ISNUMBER($X333),$X333&gt;=TODAY()),$X333,99999),IF(AND(ISNUMBER($Y333),$Y333&gt;=TODAY()),$Y333,99999))=99999,"",MIN(IF(AND(ISNUMBER($N333),$N333&gt;=TODAY()),$N333,99999),IF(AND(ISNUMBER($O333),$O333&gt;=TODAY()),$O333,99999),IF(AND(ISNUMBER($P333),$P333&gt;=TODAY()),$P333,99999),IF(AND(ISNUMBER($S333),$S333&gt;=TODAY()),$S333,99999),IF(AND(ISNUMBER($T333),$T333&gt;=TODAY()),$T333,99999),IF(AND(ISNUMBER($U333),$U333&gt;=TODAY()),$U333,99999),IF(AND(ISNUMBER($V333),$V333&gt;=TODAY()),$V333,99999),IF(AND(ISNUMBER($W333),$W333&gt;=TODAY()),$W333,99999),IF(AND(ISNUMBER($X333),$X333&gt;=TODAY()),$X333,99999),IF(AND(ISNUMBER($Y333),$Y333&gt;=TODAY()),$Y333,99999))))</f>
        <v/>
      </c>
      <c r="N333" s="27" t="n"/>
      <c r="O333" s="27" t="n"/>
      <c r="P333" s="27" t="n"/>
      <c r="Q333" s="27" t="n"/>
      <c r="R333" s="27" t="n"/>
      <c r="S333" s="27" t="n"/>
      <c r="T333" s="27" t="n"/>
      <c r="U333" s="27" t="n"/>
      <c r="V333" s="27" t="n"/>
      <c r="W333" s="27" t="n"/>
      <c r="X333" s="27" t="n"/>
      <c r="Y333" s="27" t="n"/>
      <c r="Z333" s="27" t="n"/>
      <c r="AA333" s="27" t="n"/>
      <c r="AB333" s="27" t="n"/>
      <c r="AC333" s="30" t="n"/>
      <c r="AD333" s="25" t="n"/>
      <c r="AE333" s="28">
        <f>IF(NOT(AND($A333&lt;&gt;"",OR($I333="",$I333="Active"))),"",IF(OR(IF(OR(ISNUMBER($Y333),$Y333="DNA"),$Y333,IF(OR(ISNUMBER($X333),$X333="DNA"),$X333,IF(OR(ISNUMBER($W333),$W333="DNA"),$W333,IF(OR(ISNUMBER($V333),$V333="DNA"),$V333,IF(OR(ISNUMBER($U333),$U333="DNA"),$U333,IF(OR(ISNUMBER($T333),$T333="DNA"),$T333,IF(OR(ISNUMBER($S333),$S333="DNA"),$S333,IF(OR(ISNUMBER($P333),$P333="DNA"),$P333,IF(OR(ISNUMBER($O333),$O333="DNA"),$O333,IF(OR(ISNUMBER($N333),$N333="DNA"),$N333,""))))))))))="DNA",AND(ISNUMBER(IF(OR(ISNUMBER($Y333),$Y333="DNA"),$Y333,IF(OR(ISNUMBER($X333),$X333="DNA"),$X333,IF(OR(ISNUMBER($W333),$W333="DNA"),$W333,IF(OR(ISNUMBER($V333),$V333="DNA"),$V333,IF(OR(ISNUMBER($U333),$U333="DNA"),$U333,IF(OR(ISNUMBER($T333),$T333="DNA"),$T333,IF(OR(ISNUMBER($S333),$S333="DNA"),$S333,IF(OR(ISNUMBER($P333),$P333="DNA"),$P333,IF(OR(ISNUMBER($O333),$O333="DNA"),$O333,IF(OR(ISNUMBER($N333),$N333="DNA"),$N333,""))))))))))),IF(OR(ISNUMBER($Y333),$Y333="DNA"),$Y333,IF(OR(ISNUMBER($X333),$X333="DNA"),$X333,IF(OR(ISNUMBER($W333),$W333="DNA"),$W333,IF(OR(ISNUMBER($V333),$V333="DNA"),$V333,IF(OR(ISNUMBER($U333),$U333="DNA"),$U333,IF(OR(ISNUMBER($T333),$T333="DNA"),$T333,IF(OR(ISNUMBER($S333),$S333="DNA"),$S333,IF(OR(ISNUMBER($P333),$P333="DNA"),$P333,IF(OR(ISNUMBER($O333),$O333="DNA"),$O333,IF(OR(ISNUMBER($N333),$N333="DNA"),$N333,""))))))))))&lt;TODAY())),1,0)+ISNUMBER($Q333)*($Q333&lt;TODAY())+ISNUMBER($R333)*($R333&lt;TODAY())+ISNUMBER($AA333)*($AA333&lt;TODAY())+ISNUMBER($AB333)*($AB333&lt;TODAY()))</f>
        <v/>
      </c>
    </row>
    <row r="334">
      <c r="A334" s="25" t="n"/>
      <c r="B334" s="26" t="n"/>
      <c r="C334" s="27" t="n"/>
      <c r="D334" s="25" t="n"/>
      <c r="E334" s="25" t="n"/>
      <c r="F334" s="25" t="n"/>
      <c r="G334" s="25" t="n"/>
      <c r="H334" s="27" t="n"/>
      <c r="I334" s="25" t="n"/>
      <c r="J334" s="28">
        <f>IF(OR(NOT(AND($A334&lt;&gt;"",OR($I334="",$I334="Active"))),$H334=""),"",INT((TODAY()-$H334+280)/7)&amp;"+"&amp;MOD(TODAY()-$H334+280,7))</f>
        <v/>
      </c>
      <c r="K334" s="28">
        <f>IF(NOT(AND($A334&lt;&gt;"",OR($I334="",$I334="Active"))),"",ISNUMBER($N334)*($N334&gt;=TODAY())*($N334&lt;=TODAY()+7)+ISNUMBER($O334)*($O334&gt;=TODAY())*($O334&lt;=TODAY()+7)+ISNUMBER($P334)*($P334&gt;=TODAY())*($P334&lt;=TODAY()+7)+ISNUMBER($S334)*($S334&gt;=TODAY())*($S334&lt;=TODAY()+7)+ISNUMBER($T334)*($T334&gt;=TODAY())*($T334&lt;=TODAY()+7)+ISNUMBER($U334)*($U334&gt;=TODAY())*($U334&lt;=TODAY()+7)+ISNUMBER($V334)*($V334&gt;=TODAY())*($V334&lt;=TODAY()+7)+ISNUMBER($W334)*($W334&gt;=TODAY())*($W334&lt;=TODAY()+7)+ISNUMBER($X334)*($X334&gt;=TODAY())*($X334&lt;=TODAY()+7)+ISNUMBER($Y334)*($Y334&gt;=TODAY())*($Y334&lt;=TODAY()+7)+ISNUMBER($Q334)*($Q334&gt;=TODAY())*($Q334&lt;=TODAY()+7)+ISNUMBER($R334)*($R334&gt;=TODAY())*($R334&lt;=TODAY()+7)+ISNUMBER($AA334)*($AA334&gt;=TODAY())*($AA334&lt;=TODAY()+7)+ISNUMBER($AB334)*($AB334&gt;=TODAY())*($AB334&lt;=TODAY()+7))</f>
        <v/>
      </c>
      <c r="L334" s="28">
        <f>IF(NOT(AND($A334&lt;&gt;"",OR($I334="",$I334="Active"))),"",IF($M334&lt;&gt;"",IF($N334=$M334,"Booking",IF($O334=$M334,"16/40",IF($P334=$M334,"25/40",IF($S334=$M334,"28/40",IF($T334=$M334,"31/40",IF($U334=$M334,"34/40",IF($V334=$M334,"36/40",IF($W334=$M334,"38/40",IF($X334=$M334,"40/40",IF($Y334=$M334,"41/40","")))))))))),IF(IF(OR(ISNUMBER($Y334),$Y334="DNA"),$Y334,IF(OR(ISNUMBER($X334),$X334="DNA"),$X334,IF(OR(ISNUMBER($W334),$W334="DNA"),$W334,IF(OR(ISNUMBER($V334),$V334="DNA"),$V334,IF(OR(ISNUMBER($U334),$U334="DNA"),$U334,IF(OR(ISNUMBER($T334),$T334="DNA"),$T334,IF(OR(ISNUMBER($S334),$S334="DNA"),$S334,IF(OR(ISNUMBER($P334),$P334="DNA"),$P334,IF(OR(ISNUMBER($O334),$O334="DNA"),$O334,IF(OR(ISNUMBER($N334),$N334="DNA"),$N334,""))))))))))="DNA","Rebook DNA",IF(ISNUMBER(IF(OR(ISNUMBER($Y334),$Y334="DNA"),$Y334,IF(OR(ISNUMBER($X334),$X334="DNA"),$X334,IF(OR(ISNUMBER($W334),$W334="DNA"),$W334,IF(OR(ISNUMBER($V334),$V334="DNA"),$V334,IF(OR(ISNUMBER($U334),$U334="DNA"),$U334,IF(OR(ISNUMBER($T334),$T334="DNA"),$T334,IF(OR(ISNUMBER($S334),$S334="DNA"),$S334,IF(OR(ISNUMBER($P334),$P334="DNA"),$P334,IF(OR(ISNUMBER($O334),$O334="DNA"),$O334,IF(OR(ISNUMBER($N334),$N334="DNA"),$N334,""))))))))))),IF(ISNUMBER($Y334),"Update status","Missed/not booked?"),""))))</f>
        <v/>
      </c>
      <c r="M334" s="29">
        <f>IF(NOT(AND($A334&lt;&gt;"",OR($I334="",$I334="Active"))),"",IF(MIN(IF(AND(ISNUMBER($N334),$N334&gt;=TODAY()),$N334,99999),IF(AND(ISNUMBER($O334),$O334&gt;=TODAY()),$O334,99999),IF(AND(ISNUMBER($P334),$P334&gt;=TODAY()),$P334,99999),IF(AND(ISNUMBER($S334),$S334&gt;=TODAY()),$S334,99999),IF(AND(ISNUMBER($T334),$T334&gt;=TODAY()),$T334,99999),IF(AND(ISNUMBER($U334),$U334&gt;=TODAY()),$U334,99999),IF(AND(ISNUMBER($V334),$V334&gt;=TODAY()),$V334,99999),IF(AND(ISNUMBER($W334),$W334&gt;=TODAY()),$W334,99999),IF(AND(ISNUMBER($X334),$X334&gt;=TODAY()),$X334,99999),IF(AND(ISNUMBER($Y334),$Y334&gt;=TODAY()),$Y334,99999))=99999,"",MIN(IF(AND(ISNUMBER($N334),$N334&gt;=TODAY()),$N334,99999),IF(AND(ISNUMBER($O334),$O334&gt;=TODAY()),$O334,99999),IF(AND(ISNUMBER($P334),$P334&gt;=TODAY()),$P334,99999),IF(AND(ISNUMBER($S334),$S334&gt;=TODAY()),$S334,99999),IF(AND(ISNUMBER($T334),$T334&gt;=TODAY()),$T334,99999),IF(AND(ISNUMBER($U334),$U334&gt;=TODAY()),$U334,99999),IF(AND(ISNUMBER($V334),$V334&gt;=TODAY()),$V334,99999),IF(AND(ISNUMBER($W334),$W334&gt;=TODAY()),$W334,99999),IF(AND(ISNUMBER($X334),$X334&gt;=TODAY()),$X334,99999),IF(AND(ISNUMBER($Y334),$Y334&gt;=TODAY()),$Y334,99999))))</f>
        <v/>
      </c>
      <c r="N334" s="27" t="n"/>
      <c r="O334" s="27" t="n"/>
      <c r="P334" s="27" t="n"/>
      <c r="Q334" s="27" t="n"/>
      <c r="R334" s="27" t="n"/>
      <c r="S334" s="27" t="n"/>
      <c r="T334" s="27" t="n"/>
      <c r="U334" s="27" t="n"/>
      <c r="V334" s="27" t="n"/>
      <c r="W334" s="27" t="n"/>
      <c r="X334" s="27" t="n"/>
      <c r="Y334" s="27" t="n"/>
      <c r="Z334" s="27" t="n"/>
      <c r="AA334" s="27" t="n"/>
      <c r="AB334" s="27" t="n"/>
      <c r="AC334" s="30" t="n"/>
      <c r="AD334" s="25" t="n"/>
      <c r="AE334" s="28">
        <f>IF(NOT(AND($A334&lt;&gt;"",OR($I334="",$I334="Active"))),"",IF(OR(IF(OR(ISNUMBER($Y334),$Y334="DNA"),$Y334,IF(OR(ISNUMBER($X334),$X334="DNA"),$X334,IF(OR(ISNUMBER($W334),$W334="DNA"),$W334,IF(OR(ISNUMBER($V334),$V334="DNA"),$V334,IF(OR(ISNUMBER($U334),$U334="DNA"),$U334,IF(OR(ISNUMBER($T334),$T334="DNA"),$T334,IF(OR(ISNUMBER($S334),$S334="DNA"),$S334,IF(OR(ISNUMBER($P334),$P334="DNA"),$P334,IF(OR(ISNUMBER($O334),$O334="DNA"),$O334,IF(OR(ISNUMBER($N334),$N334="DNA"),$N334,""))))))))))="DNA",AND(ISNUMBER(IF(OR(ISNUMBER($Y334),$Y334="DNA"),$Y334,IF(OR(ISNUMBER($X334),$X334="DNA"),$X334,IF(OR(ISNUMBER($W334),$W334="DNA"),$W334,IF(OR(ISNUMBER($V334),$V334="DNA"),$V334,IF(OR(ISNUMBER($U334),$U334="DNA"),$U334,IF(OR(ISNUMBER($T334),$T334="DNA"),$T334,IF(OR(ISNUMBER($S334),$S334="DNA"),$S334,IF(OR(ISNUMBER($P334),$P334="DNA"),$P334,IF(OR(ISNUMBER($O334),$O334="DNA"),$O334,IF(OR(ISNUMBER($N334),$N334="DNA"),$N334,""))))))))))),IF(OR(ISNUMBER($Y334),$Y334="DNA"),$Y334,IF(OR(ISNUMBER($X334),$X334="DNA"),$X334,IF(OR(ISNUMBER($W334),$W334="DNA"),$W334,IF(OR(ISNUMBER($V334),$V334="DNA"),$V334,IF(OR(ISNUMBER($U334),$U334="DNA"),$U334,IF(OR(ISNUMBER($T334),$T334="DNA"),$T334,IF(OR(ISNUMBER($S334),$S334="DNA"),$S334,IF(OR(ISNUMBER($P334),$P334="DNA"),$P334,IF(OR(ISNUMBER($O334),$O334="DNA"),$O334,IF(OR(ISNUMBER($N334),$N334="DNA"),$N334,""))))))))))&lt;TODAY())),1,0)+ISNUMBER($Q334)*($Q334&lt;TODAY())+ISNUMBER($R334)*($R334&lt;TODAY())+ISNUMBER($AA334)*($AA334&lt;TODAY())+ISNUMBER($AB334)*($AB334&lt;TODAY()))</f>
        <v/>
      </c>
    </row>
    <row r="335">
      <c r="A335" s="25" t="n"/>
      <c r="B335" s="26" t="n"/>
      <c r="C335" s="27" t="n"/>
      <c r="D335" s="25" t="n"/>
      <c r="E335" s="25" t="n"/>
      <c r="F335" s="25" t="n"/>
      <c r="G335" s="25" t="n"/>
      <c r="H335" s="27" t="n"/>
      <c r="I335" s="25" t="n"/>
      <c r="J335" s="28">
        <f>IF(OR(NOT(AND($A335&lt;&gt;"",OR($I335="",$I335="Active"))),$H335=""),"",INT((TODAY()-$H335+280)/7)&amp;"+"&amp;MOD(TODAY()-$H335+280,7))</f>
        <v/>
      </c>
      <c r="K335" s="28">
        <f>IF(NOT(AND($A335&lt;&gt;"",OR($I335="",$I335="Active"))),"",ISNUMBER($N335)*($N335&gt;=TODAY())*($N335&lt;=TODAY()+7)+ISNUMBER($O335)*($O335&gt;=TODAY())*($O335&lt;=TODAY()+7)+ISNUMBER($P335)*($P335&gt;=TODAY())*($P335&lt;=TODAY()+7)+ISNUMBER($S335)*($S335&gt;=TODAY())*($S335&lt;=TODAY()+7)+ISNUMBER($T335)*($T335&gt;=TODAY())*($T335&lt;=TODAY()+7)+ISNUMBER($U335)*($U335&gt;=TODAY())*($U335&lt;=TODAY()+7)+ISNUMBER($V335)*($V335&gt;=TODAY())*($V335&lt;=TODAY()+7)+ISNUMBER($W335)*($W335&gt;=TODAY())*($W335&lt;=TODAY()+7)+ISNUMBER($X335)*($X335&gt;=TODAY())*($X335&lt;=TODAY()+7)+ISNUMBER($Y335)*($Y335&gt;=TODAY())*($Y335&lt;=TODAY()+7)+ISNUMBER($Q335)*($Q335&gt;=TODAY())*($Q335&lt;=TODAY()+7)+ISNUMBER($R335)*($R335&gt;=TODAY())*($R335&lt;=TODAY()+7)+ISNUMBER($AA335)*($AA335&gt;=TODAY())*($AA335&lt;=TODAY()+7)+ISNUMBER($AB335)*($AB335&gt;=TODAY())*($AB335&lt;=TODAY()+7))</f>
        <v/>
      </c>
      <c r="L335" s="28">
        <f>IF(NOT(AND($A335&lt;&gt;"",OR($I335="",$I335="Active"))),"",IF($M335&lt;&gt;"",IF($N335=$M335,"Booking",IF($O335=$M335,"16/40",IF($P335=$M335,"25/40",IF($S335=$M335,"28/40",IF($T335=$M335,"31/40",IF($U335=$M335,"34/40",IF($V335=$M335,"36/40",IF($W335=$M335,"38/40",IF($X335=$M335,"40/40",IF($Y335=$M335,"41/40","")))))))))),IF(IF(OR(ISNUMBER($Y335),$Y335="DNA"),$Y335,IF(OR(ISNUMBER($X335),$X335="DNA"),$X335,IF(OR(ISNUMBER($W335),$W335="DNA"),$W335,IF(OR(ISNUMBER($V335),$V335="DNA"),$V335,IF(OR(ISNUMBER($U335),$U335="DNA"),$U335,IF(OR(ISNUMBER($T335),$T335="DNA"),$T335,IF(OR(ISNUMBER($S335),$S335="DNA"),$S335,IF(OR(ISNUMBER($P335),$P335="DNA"),$P335,IF(OR(ISNUMBER($O335),$O335="DNA"),$O335,IF(OR(ISNUMBER($N335),$N335="DNA"),$N335,""))))))))))="DNA","Rebook DNA",IF(ISNUMBER(IF(OR(ISNUMBER($Y335),$Y335="DNA"),$Y335,IF(OR(ISNUMBER($X335),$X335="DNA"),$X335,IF(OR(ISNUMBER($W335),$W335="DNA"),$W335,IF(OR(ISNUMBER($V335),$V335="DNA"),$V335,IF(OR(ISNUMBER($U335),$U335="DNA"),$U335,IF(OR(ISNUMBER($T335),$T335="DNA"),$T335,IF(OR(ISNUMBER($S335),$S335="DNA"),$S335,IF(OR(ISNUMBER($P335),$P335="DNA"),$P335,IF(OR(ISNUMBER($O335),$O335="DNA"),$O335,IF(OR(ISNUMBER($N335),$N335="DNA"),$N335,""))))))))))),IF(ISNUMBER($Y335),"Update status","Missed/not booked?"),""))))</f>
        <v/>
      </c>
      <c r="M335" s="29">
        <f>IF(NOT(AND($A335&lt;&gt;"",OR($I335="",$I335="Active"))),"",IF(MIN(IF(AND(ISNUMBER($N335),$N335&gt;=TODAY()),$N335,99999),IF(AND(ISNUMBER($O335),$O335&gt;=TODAY()),$O335,99999),IF(AND(ISNUMBER($P335),$P335&gt;=TODAY()),$P335,99999),IF(AND(ISNUMBER($S335),$S335&gt;=TODAY()),$S335,99999),IF(AND(ISNUMBER($T335),$T335&gt;=TODAY()),$T335,99999),IF(AND(ISNUMBER($U335),$U335&gt;=TODAY()),$U335,99999),IF(AND(ISNUMBER($V335),$V335&gt;=TODAY()),$V335,99999),IF(AND(ISNUMBER($W335),$W335&gt;=TODAY()),$W335,99999),IF(AND(ISNUMBER($X335),$X335&gt;=TODAY()),$X335,99999),IF(AND(ISNUMBER($Y335),$Y335&gt;=TODAY()),$Y335,99999))=99999,"",MIN(IF(AND(ISNUMBER($N335),$N335&gt;=TODAY()),$N335,99999),IF(AND(ISNUMBER($O335),$O335&gt;=TODAY()),$O335,99999),IF(AND(ISNUMBER($P335),$P335&gt;=TODAY()),$P335,99999),IF(AND(ISNUMBER($S335),$S335&gt;=TODAY()),$S335,99999),IF(AND(ISNUMBER($T335),$T335&gt;=TODAY()),$T335,99999),IF(AND(ISNUMBER($U335),$U335&gt;=TODAY()),$U335,99999),IF(AND(ISNUMBER($V335),$V335&gt;=TODAY()),$V335,99999),IF(AND(ISNUMBER($W335),$W335&gt;=TODAY()),$W335,99999),IF(AND(ISNUMBER($X335),$X335&gt;=TODAY()),$X335,99999),IF(AND(ISNUMBER($Y335),$Y335&gt;=TODAY()),$Y335,99999))))</f>
        <v/>
      </c>
      <c r="N335" s="27" t="n"/>
      <c r="O335" s="27" t="n"/>
      <c r="P335" s="27" t="n"/>
      <c r="Q335" s="27" t="n"/>
      <c r="R335" s="27" t="n"/>
      <c r="S335" s="27" t="n"/>
      <c r="T335" s="27" t="n"/>
      <c r="U335" s="27" t="n"/>
      <c r="V335" s="27" t="n"/>
      <c r="W335" s="27" t="n"/>
      <c r="X335" s="27" t="n"/>
      <c r="Y335" s="27" t="n"/>
      <c r="Z335" s="27" t="n"/>
      <c r="AA335" s="27" t="n"/>
      <c r="AB335" s="27" t="n"/>
      <c r="AC335" s="30" t="n"/>
      <c r="AD335" s="25" t="n"/>
      <c r="AE335" s="28">
        <f>IF(NOT(AND($A335&lt;&gt;"",OR($I335="",$I335="Active"))),"",IF(OR(IF(OR(ISNUMBER($Y335),$Y335="DNA"),$Y335,IF(OR(ISNUMBER($X335),$X335="DNA"),$X335,IF(OR(ISNUMBER($W335),$W335="DNA"),$W335,IF(OR(ISNUMBER($V335),$V335="DNA"),$V335,IF(OR(ISNUMBER($U335),$U335="DNA"),$U335,IF(OR(ISNUMBER($T335),$T335="DNA"),$T335,IF(OR(ISNUMBER($S335),$S335="DNA"),$S335,IF(OR(ISNUMBER($P335),$P335="DNA"),$P335,IF(OR(ISNUMBER($O335),$O335="DNA"),$O335,IF(OR(ISNUMBER($N335),$N335="DNA"),$N335,""))))))))))="DNA",AND(ISNUMBER(IF(OR(ISNUMBER($Y335),$Y335="DNA"),$Y335,IF(OR(ISNUMBER($X335),$X335="DNA"),$X335,IF(OR(ISNUMBER($W335),$W335="DNA"),$W335,IF(OR(ISNUMBER($V335),$V335="DNA"),$V335,IF(OR(ISNUMBER($U335),$U335="DNA"),$U335,IF(OR(ISNUMBER($T335),$T335="DNA"),$T335,IF(OR(ISNUMBER($S335),$S335="DNA"),$S335,IF(OR(ISNUMBER($P335),$P335="DNA"),$P335,IF(OR(ISNUMBER($O335),$O335="DNA"),$O335,IF(OR(ISNUMBER($N335),$N335="DNA"),$N335,""))))))))))),IF(OR(ISNUMBER($Y335),$Y335="DNA"),$Y335,IF(OR(ISNUMBER($X335),$X335="DNA"),$X335,IF(OR(ISNUMBER($W335),$W335="DNA"),$W335,IF(OR(ISNUMBER($V335),$V335="DNA"),$V335,IF(OR(ISNUMBER($U335),$U335="DNA"),$U335,IF(OR(ISNUMBER($T335),$T335="DNA"),$T335,IF(OR(ISNUMBER($S335),$S335="DNA"),$S335,IF(OR(ISNUMBER($P335),$P335="DNA"),$P335,IF(OR(ISNUMBER($O335),$O335="DNA"),$O335,IF(OR(ISNUMBER($N335),$N335="DNA"),$N335,""))))))))))&lt;TODAY())),1,0)+ISNUMBER($Q335)*($Q335&lt;TODAY())+ISNUMBER($R335)*($R335&lt;TODAY())+ISNUMBER($AA335)*($AA335&lt;TODAY())+ISNUMBER($AB335)*($AB335&lt;TODAY()))</f>
        <v/>
      </c>
    </row>
    <row r="336">
      <c r="A336" s="25" t="n"/>
      <c r="B336" s="26" t="n"/>
      <c r="C336" s="27" t="n"/>
      <c r="D336" s="25" t="n"/>
      <c r="E336" s="25" t="n"/>
      <c r="F336" s="25" t="n"/>
      <c r="G336" s="25" t="n"/>
      <c r="H336" s="27" t="n"/>
      <c r="I336" s="25" t="n"/>
      <c r="J336" s="28">
        <f>IF(OR(NOT(AND($A336&lt;&gt;"",OR($I336="",$I336="Active"))),$H336=""),"",INT((TODAY()-$H336+280)/7)&amp;"+"&amp;MOD(TODAY()-$H336+280,7))</f>
        <v/>
      </c>
      <c r="K336" s="28">
        <f>IF(NOT(AND($A336&lt;&gt;"",OR($I336="",$I336="Active"))),"",ISNUMBER($N336)*($N336&gt;=TODAY())*($N336&lt;=TODAY()+7)+ISNUMBER($O336)*($O336&gt;=TODAY())*($O336&lt;=TODAY()+7)+ISNUMBER($P336)*($P336&gt;=TODAY())*($P336&lt;=TODAY()+7)+ISNUMBER($S336)*($S336&gt;=TODAY())*($S336&lt;=TODAY()+7)+ISNUMBER($T336)*($T336&gt;=TODAY())*($T336&lt;=TODAY()+7)+ISNUMBER($U336)*($U336&gt;=TODAY())*($U336&lt;=TODAY()+7)+ISNUMBER($V336)*($V336&gt;=TODAY())*($V336&lt;=TODAY()+7)+ISNUMBER($W336)*($W336&gt;=TODAY())*($W336&lt;=TODAY()+7)+ISNUMBER($X336)*($X336&gt;=TODAY())*($X336&lt;=TODAY()+7)+ISNUMBER($Y336)*($Y336&gt;=TODAY())*($Y336&lt;=TODAY()+7)+ISNUMBER($Q336)*($Q336&gt;=TODAY())*($Q336&lt;=TODAY()+7)+ISNUMBER($R336)*($R336&gt;=TODAY())*($R336&lt;=TODAY()+7)+ISNUMBER($AA336)*($AA336&gt;=TODAY())*($AA336&lt;=TODAY()+7)+ISNUMBER($AB336)*($AB336&gt;=TODAY())*($AB336&lt;=TODAY()+7))</f>
        <v/>
      </c>
      <c r="L336" s="28">
        <f>IF(NOT(AND($A336&lt;&gt;"",OR($I336="",$I336="Active"))),"",IF($M336&lt;&gt;"",IF($N336=$M336,"Booking",IF($O336=$M336,"16/40",IF($P336=$M336,"25/40",IF($S336=$M336,"28/40",IF($T336=$M336,"31/40",IF($U336=$M336,"34/40",IF($V336=$M336,"36/40",IF($W336=$M336,"38/40",IF($X336=$M336,"40/40",IF($Y336=$M336,"41/40","")))))))))),IF(IF(OR(ISNUMBER($Y336),$Y336="DNA"),$Y336,IF(OR(ISNUMBER($X336),$X336="DNA"),$X336,IF(OR(ISNUMBER($W336),$W336="DNA"),$W336,IF(OR(ISNUMBER($V336),$V336="DNA"),$V336,IF(OR(ISNUMBER($U336),$U336="DNA"),$U336,IF(OR(ISNUMBER($T336),$T336="DNA"),$T336,IF(OR(ISNUMBER($S336),$S336="DNA"),$S336,IF(OR(ISNUMBER($P336),$P336="DNA"),$P336,IF(OR(ISNUMBER($O336),$O336="DNA"),$O336,IF(OR(ISNUMBER($N336),$N336="DNA"),$N336,""))))))))))="DNA","Rebook DNA",IF(ISNUMBER(IF(OR(ISNUMBER($Y336),$Y336="DNA"),$Y336,IF(OR(ISNUMBER($X336),$X336="DNA"),$X336,IF(OR(ISNUMBER($W336),$W336="DNA"),$W336,IF(OR(ISNUMBER($V336),$V336="DNA"),$V336,IF(OR(ISNUMBER($U336),$U336="DNA"),$U336,IF(OR(ISNUMBER($T336),$T336="DNA"),$T336,IF(OR(ISNUMBER($S336),$S336="DNA"),$S336,IF(OR(ISNUMBER($P336),$P336="DNA"),$P336,IF(OR(ISNUMBER($O336),$O336="DNA"),$O336,IF(OR(ISNUMBER($N336),$N336="DNA"),$N336,""))))))))))),IF(ISNUMBER($Y336),"Update status","Missed/not booked?"),""))))</f>
        <v/>
      </c>
      <c r="M336" s="29">
        <f>IF(NOT(AND($A336&lt;&gt;"",OR($I336="",$I336="Active"))),"",IF(MIN(IF(AND(ISNUMBER($N336),$N336&gt;=TODAY()),$N336,99999),IF(AND(ISNUMBER($O336),$O336&gt;=TODAY()),$O336,99999),IF(AND(ISNUMBER($P336),$P336&gt;=TODAY()),$P336,99999),IF(AND(ISNUMBER($S336),$S336&gt;=TODAY()),$S336,99999),IF(AND(ISNUMBER($T336),$T336&gt;=TODAY()),$T336,99999),IF(AND(ISNUMBER($U336),$U336&gt;=TODAY()),$U336,99999),IF(AND(ISNUMBER($V336),$V336&gt;=TODAY()),$V336,99999),IF(AND(ISNUMBER($W336),$W336&gt;=TODAY()),$W336,99999),IF(AND(ISNUMBER($X336),$X336&gt;=TODAY()),$X336,99999),IF(AND(ISNUMBER($Y336),$Y336&gt;=TODAY()),$Y336,99999))=99999,"",MIN(IF(AND(ISNUMBER($N336),$N336&gt;=TODAY()),$N336,99999),IF(AND(ISNUMBER($O336),$O336&gt;=TODAY()),$O336,99999),IF(AND(ISNUMBER($P336),$P336&gt;=TODAY()),$P336,99999),IF(AND(ISNUMBER($S336),$S336&gt;=TODAY()),$S336,99999),IF(AND(ISNUMBER($T336),$T336&gt;=TODAY()),$T336,99999),IF(AND(ISNUMBER($U336),$U336&gt;=TODAY()),$U336,99999),IF(AND(ISNUMBER($V336),$V336&gt;=TODAY()),$V336,99999),IF(AND(ISNUMBER($W336),$W336&gt;=TODAY()),$W336,99999),IF(AND(ISNUMBER($X336),$X336&gt;=TODAY()),$X336,99999),IF(AND(ISNUMBER($Y336),$Y336&gt;=TODAY()),$Y336,99999))))</f>
        <v/>
      </c>
      <c r="N336" s="27" t="n"/>
      <c r="O336" s="27" t="n"/>
      <c r="P336" s="27" t="n"/>
      <c r="Q336" s="27" t="n"/>
      <c r="R336" s="27" t="n"/>
      <c r="S336" s="27" t="n"/>
      <c r="T336" s="27" t="n"/>
      <c r="U336" s="27" t="n"/>
      <c r="V336" s="27" t="n"/>
      <c r="W336" s="27" t="n"/>
      <c r="X336" s="27" t="n"/>
      <c r="Y336" s="27" t="n"/>
      <c r="Z336" s="27" t="n"/>
      <c r="AA336" s="27" t="n"/>
      <c r="AB336" s="27" t="n"/>
      <c r="AC336" s="30" t="n"/>
      <c r="AD336" s="25" t="n"/>
      <c r="AE336" s="28">
        <f>IF(NOT(AND($A336&lt;&gt;"",OR($I336="",$I336="Active"))),"",IF(OR(IF(OR(ISNUMBER($Y336),$Y336="DNA"),$Y336,IF(OR(ISNUMBER($X336),$X336="DNA"),$X336,IF(OR(ISNUMBER($W336),$W336="DNA"),$W336,IF(OR(ISNUMBER($V336),$V336="DNA"),$V336,IF(OR(ISNUMBER($U336),$U336="DNA"),$U336,IF(OR(ISNUMBER($T336),$T336="DNA"),$T336,IF(OR(ISNUMBER($S336),$S336="DNA"),$S336,IF(OR(ISNUMBER($P336),$P336="DNA"),$P336,IF(OR(ISNUMBER($O336),$O336="DNA"),$O336,IF(OR(ISNUMBER($N336),$N336="DNA"),$N336,""))))))))))="DNA",AND(ISNUMBER(IF(OR(ISNUMBER($Y336),$Y336="DNA"),$Y336,IF(OR(ISNUMBER($X336),$X336="DNA"),$X336,IF(OR(ISNUMBER($W336),$W336="DNA"),$W336,IF(OR(ISNUMBER($V336),$V336="DNA"),$V336,IF(OR(ISNUMBER($U336),$U336="DNA"),$U336,IF(OR(ISNUMBER($T336),$T336="DNA"),$T336,IF(OR(ISNUMBER($S336),$S336="DNA"),$S336,IF(OR(ISNUMBER($P336),$P336="DNA"),$P336,IF(OR(ISNUMBER($O336),$O336="DNA"),$O336,IF(OR(ISNUMBER($N336),$N336="DNA"),$N336,""))))))))))),IF(OR(ISNUMBER($Y336),$Y336="DNA"),$Y336,IF(OR(ISNUMBER($X336),$X336="DNA"),$X336,IF(OR(ISNUMBER($W336),$W336="DNA"),$W336,IF(OR(ISNUMBER($V336),$V336="DNA"),$V336,IF(OR(ISNUMBER($U336),$U336="DNA"),$U336,IF(OR(ISNUMBER($T336),$T336="DNA"),$T336,IF(OR(ISNUMBER($S336),$S336="DNA"),$S336,IF(OR(ISNUMBER($P336),$P336="DNA"),$P336,IF(OR(ISNUMBER($O336),$O336="DNA"),$O336,IF(OR(ISNUMBER($N336),$N336="DNA"),$N336,""))))))))))&lt;TODAY())),1,0)+ISNUMBER($Q336)*($Q336&lt;TODAY())+ISNUMBER($R336)*($R336&lt;TODAY())+ISNUMBER($AA336)*($AA336&lt;TODAY())+ISNUMBER($AB336)*($AB336&lt;TODAY()))</f>
        <v/>
      </c>
    </row>
    <row r="337">
      <c r="A337" s="25" t="n"/>
      <c r="B337" s="26" t="n"/>
      <c r="C337" s="27" t="n"/>
      <c r="D337" s="25" t="n"/>
      <c r="E337" s="25" t="n"/>
      <c r="F337" s="25" t="n"/>
      <c r="G337" s="25" t="n"/>
      <c r="H337" s="27" t="n"/>
      <c r="I337" s="25" t="n"/>
      <c r="J337" s="28">
        <f>IF(OR(NOT(AND($A337&lt;&gt;"",OR($I337="",$I337="Active"))),$H337=""),"",INT((TODAY()-$H337+280)/7)&amp;"+"&amp;MOD(TODAY()-$H337+280,7))</f>
        <v/>
      </c>
      <c r="K337" s="28">
        <f>IF(NOT(AND($A337&lt;&gt;"",OR($I337="",$I337="Active"))),"",ISNUMBER($N337)*($N337&gt;=TODAY())*($N337&lt;=TODAY()+7)+ISNUMBER($O337)*($O337&gt;=TODAY())*($O337&lt;=TODAY()+7)+ISNUMBER($P337)*($P337&gt;=TODAY())*($P337&lt;=TODAY()+7)+ISNUMBER($S337)*($S337&gt;=TODAY())*($S337&lt;=TODAY()+7)+ISNUMBER($T337)*($T337&gt;=TODAY())*($T337&lt;=TODAY()+7)+ISNUMBER($U337)*($U337&gt;=TODAY())*($U337&lt;=TODAY()+7)+ISNUMBER($V337)*($V337&gt;=TODAY())*($V337&lt;=TODAY()+7)+ISNUMBER($W337)*($W337&gt;=TODAY())*($W337&lt;=TODAY()+7)+ISNUMBER($X337)*($X337&gt;=TODAY())*($X337&lt;=TODAY()+7)+ISNUMBER($Y337)*($Y337&gt;=TODAY())*($Y337&lt;=TODAY()+7)+ISNUMBER($Q337)*($Q337&gt;=TODAY())*($Q337&lt;=TODAY()+7)+ISNUMBER($R337)*($R337&gt;=TODAY())*($R337&lt;=TODAY()+7)+ISNUMBER($AA337)*($AA337&gt;=TODAY())*($AA337&lt;=TODAY()+7)+ISNUMBER($AB337)*($AB337&gt;=TODAY())*($AB337&lt;=TODAY()+7))</f>
        <v/>
      </c>
      <c r="L337" s="28">
        <f>IF(NOT(AND($A337&lt;&gt;"",OR($I337="",$I337="Active"))),"",IF($M337&lt;&gt;"",IF($N337=$M337,"Booking",IF($O337=$M337,"16/40",IF($P337=$M337,"25/40",IF($S337=$M337,"28/40",IF($T337=$M337,"31/40",IF($U337=$M337,"34/40",IF($V337=$M337,"36/40",IF($W337=$M337,"38/40",IF($X337=$M337,"40/40",IF($Y337=$M337,"41/40","")))))))))),IF(IF(OR(ISNUMBER($Y337),$Y337="DNA"),$Y337,IF(OR(ISNUMBER($X337),$X337="DNA"),$X337,IF(OR(ISNUMBER($W337),$W337="DNA"),$W337,IF(OR(ISNUMBER($V337),$V337="DNA"),$V337,IF(OR(ISNUMBER($U337),$U337="DNA"),$U337,IF(OR(ISNUMBER($T337),$T337="DNA"),$T337,IF(OR(ISNUMBER($S337),$S337="DNA"),$S337,IF(OR(ISNUMBER($P337),$P337="DNA"),$P337,IF(OR(ISNUMBER($O337),$O337="DNA"),$O337,IF(OR(ISNUMBER($N337),$N337="DNA"),$N337,""))))))))))="DNA","Rebook DNA",IF(ISNUMBER(IF(OR(ISNUMBER($Y337),$Y337="DNA"),$Y337,IF(OR(ISNUMBER($X337),$X337="DNA"),$X337,IF(OR(ISNUMBER($W337),$W337="DNA"),$W337,IF(OR(ISNUMBER($V337),$V337="DNA"),$V337,IF(OR(ISNUMBER($U337),$U337="DNA"),$U337,IF(OR(ISNUMBER($T337),$T337="DNA"),$T337,IF(OR(ISNUMBER($S337),$S337="DNA"),$S337,IF(OR(ISNUMBER($P337),$P337="DNA"),$P337,IF(OR(ISNUMBER($O337),$O337="DNA"),$O337,IF(OR(ISNUMBER($N337),$N337="DNA"),$N337,""))))))))))),IF(ISNUMBER($Y337),"Update status","Missed/not booked?"),""))))</f>
        <v/>
      </c>
      <c r="M337" s="29">
        <f>IF(NOT(AND($A337&lt;&gt;"",OR($I337="",$I337="Active"))),"",IF(MIN(IF(AND(ISNUMBER($N337),$N337&gt;=TODAY()),$N337,99999),IF(AND(ISNUMBER($O337),$O337&gt;=TODAY()),$O337,99999),IF(AND(ISNUMBER($P337),$P337&gt;=TODAY()),$P337,99999),IF(AND(ISNUMBER($S337),$S337&gt;=TODAY()),$S337,99999),IF(AND(ISNUMBER($T337),$T337&gt;=TODAY()),$T337,99999),IF(AND(ISNUMBER($U337),$U337&gt;=TODAY()),$U337,99999),IF(AND(ISNUMBER($V337),$V337&gt;=TODAY()),$V337,99999),IF(AND(ISNUMBER($W337),$W337&gt;=TODAY()),$W337,99999),IF(AND(ISNUMBER($X337),$X337&gt;=TODAY()),$X337,99999),IF(AND(ISNUMBER($Y337),$Y337&gt;=TODAY()),$Y337,99999))=99999,"",MIN(IF(AND(ISNUMBER($N337),$N337&gt;=TODAY()),$N337,99999),IF(AND(ISNUMBER($O337),$O337&gt;=TODAY()),$O337,99999),IF(AND(ISNUMBER($P337),$P337&gt;=TODAY()),$P337,99999),IF(AND(ISNUMBER($S337),$S337&gt;=TODAY()),$S337,99999),IF(AND(ISNUMBER($T337),$T337&gt;=TODAY()),$T337,99999),IF(AND(ISNUMBER($U337),$U337&gt;=TODAY()),$U337,99999),IF(AND(ISNUMBER($V337),$V337&gt;=TODAY()),$V337,99999),IF(AND(ISNUMBER($W337),$W337&gt;=TODAY()),$W337,99999),IF(AND(ISNUMBER($X337),$X337&gt;=TODAY()),$X337,99999),IF(AND(ISNUMBER($Y337),$Y337&gt;=TODAY()),$Y337,99999))))</f>
        <v/>
      </c>
      <c r="N337" s="27" t="n"/>
      <c r="O337" s="27" t="n"/>
      <c r="P337" s="27" t="n"/>
      <c r="Q337" s="27" t="n"/>
      <c r="R337" s="27" t="n"/>
      <c r="S337" s="27" t="n"/>
      <c r="T337" s="27" t="n"/>
      <c r="U337" s="27" t="n"/>
      <c r="V337" s="27" t="n"/>
      <c r="W337" s="27" t="n"/>
      <c r="X337" s="27" t="n"/>
      <c r="Y337" s="27" t="n"/>
      <c r="Z337" s="27" t="n"/>
      <c r="AA337" s="27" t="n"/>
      <c r="AB337" s="27" t="n"/>
      <c r="AC337" s="30" t="n"/>
      <c r="AD337" s="25" t="n"/>
      <c r="AE337" s="28">
        <f>IF(NOT(AND($A337&lt;&gt;"",OR($I337="",$I337="Active"))),"",IF(OR(IF(OR(ISNUMBER($Y337),$Y337="DNA"),$Y337,IF(OR(ISNUMBER($X337),$X337="DNA"),$X337,IF(OR(ISNUMBER($W337),$W337="DNA"),$W337,IF(OR(ISNUMBER($V337),$V337="DNA"),$V337,IF(OR(ISNUMBER($U337),$U337="DNA"),$U337,IF(OR(ISNUMBER($T337),$T337="DNA"),$T337,IF(OR(ISNUMBER($S337),$S337="DNA"),$S337,IF(OR(ISNUMBER($P337),$P337="DNA"),$P337,IF(OR(ISNUMBER($O337),$O337="DNA"),$O337,IF(OR(ISNUMBER($N337),$N337="DNA"),$N337,""))))))))))="DNA",AND(ISNUMBER(IF(OR(ISNUMBER($Y337),$Y337="DNA"),$Y337,IF(OR(ISNUMBER($X337),$X337="DNA"),$X337,IF(OR(ISNUMBER($W337),$W337="DNA"),$W337,IF(OR(ISNUMBER($V337),$V337="DNA"),$V337,IF(OR(ISNUMBER($U337),$U337="DNA"),$U337,IF(OR(ISNUMBER($T337),$T337="DNA"),$T337,IF(OR(ISNUMBER($S337),$S337="DNA"),$S337,IF(OR(ISNUMBER($P337),$P337="DNA"),$P337,IF(OR(ISNUMBER($O337),$O337="DNA"),$O337,IF(OR(ISNUMBER($N337),$N337="DNA"),$N337,""))))))))))),IF(OR(ISNUMBER($Y337),$Y337="DNA"),$Y337,IF(OR(ISNUMBER($X337),$X337="DNA"),$X337,IF(OR(ISNUMBER($W337),$W337="DNA"),$W337,IF(OR(ISNUMBER($V337),$V337="DNA"),$V337,IF(OR(ISNUMBER($U337),$U337="DNA"),$U337,IF(OR(ISNUMBER($T337),$T337="DNA"),$T337,IF(OR(ISNUMBER($S337),$S337="DNA"),$S337,IF(OR(ISNUMBER($P337),$P337="DNA"),$P337,IF(OR(ISNUMBER($O337),$O337="DNA"),$O337,IF(OR(ISNUMBER($N337),$N337="DNA"),$N337,""))))))))))&lt;TODAY())),1,0)+ISNUMBER($Q337)*($Q337&lt;TODAY())+ISNUMBER($R337)*($R337&lt;TODAY())+ISNUMBER($AA337)*($AA337&lt;TODAY())+ISNUMBER($AB337)*($AB337&lt;TODAY()))</f>
        <v/>
      </c>
    </row>
    <row r="338">
      <c r="A338" s="25" t="n"/>
      <c r="B338" s="26" t="n"/>
      <c r="C338" s="27" t="n"/>
      <c r="D338" s="25" t="n"/>
      <c r="E338" s="25" t="n"/>
      <c r="F338" s="25" t="n"/>
      <c r="G338" s="25" t="n"/>
      <c r="H338" s="27" t="n"/>
      <c r="I338" s="25" t="n"/>
      <c r="J338" s="28">
        <f>IF(OR(NOT(AND($A338&lt;&gt;"",OR($I338="",$I338="Active"))),$H338=""),"",INT((TODAY()-$H338+280)/7)&amp;"+"&amp;MOD(TODAY()-$H338+280,7))</f>
        <v/>
      </c>
      <c r="K338" s="28">
        <f>IF(NOT(AND($A338&lt;&gt;"",OR($I338="",$I338="Active"))),"",ISNUMBER($N338)*($N338&gt;=TODAY())*($N338&lt;=TODAY()+7)+ISNUMBER($O338)*($O338&gt;=TODAY())*($O338&lt;=TODAY()+7)+ISNUMBER($P338)*($P338&gt;=TODAY())*($P338&lt;=TODAY()+7)+ISNUMBER($S338)*($S338&gt;=TODAY())*($S338&lt;=TODAY()+7)+ISNUMBER($T338)*($T338&gt;=TODAY())*($T338&lt;=TODAY()+7)+ISNUMBER($U338)*($U338&gt;=TODAY())*($U338&lt;=TODAY()+7)+ISNUMBER($V338)*($V338&gt;=TODAY())*($V338&lt;=TODAY()+7)+ISNUMBER($W338)*($W338&gt;=TODAY())*($W338&lt;=TODAY()+7)+ISNUMBER($X338)*($X338&gt;=TODAY())*($X338&lt;=TODAY()+7)+ISNUMBER($Y338)*($Y338&gt;=TODAY())*($Y338&lt;=TODAY()+7)+ISNUMBER($Q338)*($Q338&gt;=TODAY())*($Q338&lt;=TODAY()+7)+ISNUMBER($R338)*($R338&gt;=TODAY())*($R338&lt;=TODAY()+7)+ISNUMBER($AA338)*($AA338&gt;=TODAY())*($AA338&lt;=TODAY()+7)+ISNUMBER($AB338)*($AB338&gt;=TODAY())*($AB338&lt;=TODAY()+7))</f>
        <v/>
      </c>
      <c r="L338" s="28">
        <f>IF(NOT(AND($A338&lt;&gt;"",OR($I338="",$I338="Active"))),"",IF($M338&lt;&gt;"",IF($N338=$M338,"Booking",IF($O338=$M338,"16/40",IF($P338=$M338,"25/40",IF($S338=$M338,"28/40",IF($T338=$M338,"31/40",IF($U338=$M338,"34/40",IF($V338=$M338,"36/40",IF($W338=$M338,"38/40",IF($X338=$M338,"40/40",IF($Y338=$M338,"41/40","")))))))))),IF(IF(OR(ISNUMBER($Y338),$Y338="DNA"),$Y338,IF(OR(ISNUMBER($X338),$X338="DNA"),$X338,IF(OR(ISNUMBER($W338),$W338="DNA"),$W338,IF(OR(ISNUMBER($V338),$V338="DNA"),$V338,IF(OR(ISNUMBER($U338),$U338="DNA"),$U338,IF(OR(ISNUMBER($T338),$T338="DNA"),$T338,IF(OR(ISNUMBER($S338),$S338="DNA"),$S338,IF(OR(ISNUMBER($P338),$P338="DNA"),$P338,IF(OR(ISNUMBER($O338),$O338="DNA"),$O338,IF(OR(ISNUMBER($N338),$N338="DNA"),$N338,""))))))))))="DNA","Rebook DNA",IF(ISNUMBER(IF(OR(ISNUMBER($Y338),$Y338="DNA"),$Y338,IF(OR(ISNUMBER($X338),$X338="DNA"),$X338,IF(OR(ISNUMBER($W338),$W338="DNA"),$W338,IF(OR(ISNUMBER($V338),$V338="DNA"),$V338,IF(OR(ISNUMBER($U338),$U338="DNA"),$U338,IF(OR(ISNUMBER($T338),$T338="DNA"),$T338,IF(OR(ISNUMBER($S338),$S338="DNA"),$S338,IF(OR(ISNUMBER($P338),$P338="DNA"),$P338,IF(OR(ISNUMBER($O338),$O338="DNA"),$O338,IF(OR(ISNUMBER($N338),$N338="DNA"),$N338,""))))))))))),IF(ISNUMBER($Y338),"Update status","Missed/not booked?"),""))))</f>
        <v/>
      </c>
      <c r="M338" s="29">
        <f>IF(NOT(AND($A338&lt;&gt;"",OR($I338="",$I338="Active"))),"",IF(MIN(IF(AND(ISNUMBER($N338),$N338&gt;=TODAY()),$N338,99999),IF(AND(ISNUMBER($O338),$O338&gt;=TODAY()),$O338,99999),IF(AND(ISNUMBER($P338),$P338&gt;=TODAY()),$P338,99999),IF(AND(ISNUMBER($S338),$S338&gt;=TODAY()),$S338,99999),IF(AND(ISNUMBER($T338),$T338&gt;=TODAY()),$T338,99999),IF(AND(ISNUMBER($U338),$U338&gt;=TODAY()),$U338,99999),IF(AND(ISNUMBER($V338),$V338&gt;=TODAY()),$V338,99999),IF(AND(ISNUMBER($W338),$W338&gt;=TODAY()),$W338,99999),IF(AND(ISNUMBER($X338),$X338&gt;=TODAY()),$X338,99999),IF(AND(ISNUMBER($Y338),$Y338&gt;=TODAY()),$Y338,99999))=99999,"",MIN(IF(AND(ISNUMBER($N338),$N338&gt;=TODAY()),$N338,99999),IF(AND(ISNUMBER($O338),$O338&gt;=TODAY()),$O338,99999),IF(AND(ISNUMBER($P338),$P338&gt;=TODAY()),$P338,99999),IF(AND(ISNUMBER($S338),$S338&gt;=TODAY()),$S338,99999),IF(AND(ISNUMBER($T338),$T338&gt;=TODAY()),$T338,99999),IF(AND(ISNUMBER($U338),$U338&gt;=TODAY()),$U338,99999),IF(AND(ISNUMBER($V338),$V338&gt;=TODAY()),$V338,99999),IF(AND(ISNUMBER($W338),$W338&gt;=TODAY()),$W338,99999),IF(AND(ISNUMBER($X338),$X338&gt;=TODAY()),$X338,99999),IF(AND(ISNUMBER($Y338),$Y338&gt;=TODAY()),$Y338,99999))))</f>
        <v/>
      </c>
      <c r="N338" s="27" t="n"/>
      <c r="O338" s="27" t="n"/>
      <c r="P338" s="27" t="n"/>
      <c r="Q338" s="27" t="n"/>
      <c r="R338" s="27" t="n"/>
      <c r="S338" s="27" t="n"/>
      <c r="T338" s="27" t="n"/>
      <c r="U338" s="27" t="n"/>
      <c r="V338" s="27" t="n"/>
      <c r="W338" s="27" t="n"/>
      <c r="X338" s="27" t="n"/>
      <c r="Y338" s="27" t="n"/>
      <c r="Z338" s="27" t="n"/>
      <c r="AA338" s="27" t="n"/>
      <c r="AB338" s="27" t="n"/>
      <c r="AC338" s="30" t="n"/>
      <c r="AD338" s="25" t="n"/>
      <c r="AE338" s="28">
        <f>IF(NOT(AND($A338&lt;&gt;"",OR($I338="",$I338="Active"))),"",IF(OR(IF(OR(ISNUMBER($Y338),$Y338="DNA"),$Y338,IF(OR(ISNUMBER($X338),$X338="DNA"),$X338,IF(OR(ISNUMBER($W338),$W338="DNA"),$W338,IF(OR(ISNUMBER($V338),$V338="DNA"),$V338,IF(OR(ISNUMBER($U338),$U338="DNA"),$U338,IF(OR(ISNUMBER($T338),$T338="DNA"),$T338,IF(OR(ISNUMBER($S338),$S338="DNA"),$S338,IF(OR(ISNUMBER($P338),$P338="DNA"),$P338,IF(OR(ISNUMBER($O338),$O338="DNA"),$O338,IF(OR(ISNUMBER($N338),$N338="DNA"),$N338,""))))))))))="DNA",AND(ISNUMBER(IF(OR(ISNUMBER($Y338),$Y338="DNA"),$Y338,IF(OR(ISNUMBER($X338),$X338="DNA"),$X338,IF(OR(ISNUMBER($W338),$W338="DNA"),$W338,IF(OR(ISNUMBER($V338),$V338="DNA"),$V338,IF(OR(ISNUMBER($U338),$U338="DNA"),$U338,IF(OR(ISNUMBER($T338),$T338="DNA"),$T338,IF(OR(ISNUMBER($S338),$S338="DNA"),$S338,IF(OR(ISNUMBER($P338),$P338="DNA"),$P338,IF(OR(ISNUMBER($O338),$O338="DNA"),$O338,IF(OR(ISNUMBER($N338),$N338="DNA"),$N338,""))))))))))),IF(OR(ISNUMBER($Y338),$Y338="DNA"),$Y338,IF(OR(ISNUMBER($X338),$X338="DNA"),$X338,IF(OR(ISNUMBER($W338),$W338="DNA"),$W338,IF(OR(ISNUMBER($V338),$V338="DNA"),$V338,IF(OR(ISNUMBER($U338),$U338="DNA"),$U338,IF(OR(ISNUMBER($T338),$T338="DNA"),$T338,IF(OR(ISNUMBER($S338),$S338="DNA"),$S338,IF(OR(ISNUMBER($P338),$P338="DNA"),$P338,IF(OR(ISNUMBER($O338),$O338="DNA"),$O338,IF(OR(ISNUMBER($N338),$N338="DNA"),$N338,""))))))))))&lt;TODAY())),1,0)+ISNUMBER($Q338)*($Q338&lt;TODAY())+ISNUMBER($R338)*($R338&lt;TODAY())+ISNUMBER($AA338)*($AA338&lt;TODAY())+ISNUMBER($AB338)*($AB338&lt;TODAY()))</f>
        <v/>
      </c>
    </row>
    <row r="339">
      <c r="A339" s="25" t="n"/>
      <c r="B339" s="26" t="n"/>
      <c r="C339" s="27" t="n"/>
      <c r="D339" s="25" t="n"/>
      <c r="E339" s="25" t="n"/>
      <c r="F339" s="25" t="n"/>
      <c r="G339" s="25" t="n"/>
      <c r="H339" s="27" t="n"/>
      <c r="I339" s="25" t="n"/>
      <c r="J339" s="28">
        <f>IF(OR(NOT(AND($A339&lt;&gt;"",OR($I339="",$I339="Active"))),$H339=""),"",INT((TODAY()-$H339+280)/7)&amp;"+"&amp;MOD(TODAY()-$H339+280,7))</f>
        <v/>
      </c>
      <c r="K339" s="28">
        <f>IF(NOT(AND($A339&lt;&gt;"",OR($I339="",$I339="Active"))),"",ISNUMBER($N339)*($N339&gt;=TODAY())*($N339&lt;=TODAY()+7)+ISNUMBER($O339)*($O339&gt;=TODAY())*($O339&lt;=TODAY()+7)+ISNUMBER($P339)*($P339&gt;=TODAY())*($P339&lt;=TODAY()+7)+ISNUMBER($S339)*($S339&gt;=TODAY())*($S339&lt;=TODAY()+7)+ISNUMBER($T339)*($T339&gt;=TODAY())*($T339&lt;=TODAY()+7)+ISNUMBER($U339)*($U339&gt;=TODAY())*($U339&lt;=TODAY()+7)+ISNUMBER($V339)*($V339&gt;=TODAY())*($V339&lt;=TODAY()+7)+ISNUMBER($W339)*($W339&gt;=TODAY())*($W339&lt;=TODAY()+7)+ISNUMBER($X339)*($X339&gt;=TODAY())*($X339&lt;=TODAY()+7)+ISNUMBER($Y339)*($Y339&gt;=TODAY())*($Y339&lt;=TODAY()+7)+ISNUMBER($Q339)*($Q339&gt;=TODAY())*($Q339&lt;=TODAY()+7)+ISNUMBER($R339)*($R339&gt;=TODAY())*($R339&lt;=TODAY()+7)+ISNUMBER($AA339)*($AA339&gt;=TODAY())*($AA339&lt;=TODAY()+7)+ISNUMBER($AB339)*($AB339&gt;=TODAY())*($AB339&lt;=TODAY()+7))</f>
        <v/>
      </c>
      <c r="L339" s="28">
        <f>IF(NOT(AND($A339&lt;&gt;"",OR($I339="",$I339="Active"))),"",IF($M339&lt;&gt;"",IF($N339=$M339,"Booking",IF($O339=$M339,"16/40",IF($P339=$M339,"25/40",IF($S339=$M339,"28/40",IF($T339=$M339,"31/40",IF($U339=$M339,"34/40",IF($V339=$M339,"36/40",IF($W339=$M339,"38/40",IF($X339=$M339,"40/40",IF($Y339=$M339,"41/40","")))))))))),IF(IF(OR(ISNUMBER($Y339),$Y339="DNA"),$Y339,IF(OR(ISNUMBER($X339),$X339="DNA"),$X339,IF(OR(ISNUMBER($W339),$W339="DNA"),$W339,IF(OR(ISNUMBER($V339),$V339="DNA"),$V339,IF(OR(ISNUMBER($U339),$U339="DNA"),$U339,IF(OR(ISNUMBER($T339),$T339="DNA"),$T339,IF(OR(ISNUMBER($S339),$S339="DNA"),$S339,IF(OR(ISNUMBER($P339),$P339="DNA"),$P339,IF(OR(ISNUMBER($O339),$O339="DNA"),$O339,IF(OR(ISNUMBER($N339),$N339="DNA"),$N339,""))))))))))="DNA","Rebook DNA",IF(ISNUMBER(IF(OR(ISNUMBER($Y339),$Y339="DNA"),$Y339,IF(OR(ISNUMBER($X339),$X339="DNA"),$X339,IF(OR(ISNUMBER($W339),$W339="DNA"),$W339,IF(OR(ISNUMBER($V339),$V339="DNA"),$V339,IF(OR(ISNUMBER($U339),$U339="DNA"),$U339,IF(OR(ISNUMBER($T339),$T339="DNA"),$T339,IF(OR(ISNUMBER($S339),$S339="DNA"),$S339,IF(OR(ISNUMBER($P339),$P339="DNA"),$P339,IF(OR(ISNUMBER($O339),$O339="DNA"),$O339,IF(OR(ISNUMBER($N339),$N339="DNA"),$N339,""))))))))))),IF(ISNUMBER($Y339),"Update status","Missed/not booked?"),""))))</f>
        <v/>
      </c>
      <c r="M339" s="29">
        <f>IF(NOT(AND($A339&lt;&gt;"",OR($I339="",$I339="Active"))),"",IF(MIN(IF(AND(ISNUMBER($N339),$N339&gt;=TODAY()),$N339,99999),IF(AND(ISNUMBER($O339),$O339&gt;=TODAY()),$O339,99999),IF(AND(ISNUMBER($P339),$P339&gt;=TODAY()),$P339,99999),IF(AND(ISNUMBER($S339),$S339&gt;=TODAY()),$S339,99999),IF(AND(ISNUMBER($T339),$T339&gt;=TODAY()),$T339,99999),IF(AND(ISNUMBER($U339),$U339&gt;=TODAY()),$U339,99999),IF(AND(ISNUMBER($V339),$V339&gt;=TODAY()),$V339,99999),IF(AND(ISNUMBER($W339),$W339&gt;=TODAY()),$W339,99999),IF(AND(ISNUMBER($X339),$X339&gt;=TODAY()),$X339,99999),IF(AND(ISNUMBER($Y339),$Y339&gt;=TODAY()),$Y339,99999))=99999,"",MIN(IF(AND(ISNUMBER($N339),$N339&gt;=TODAY()),$N339,99999),IF(AND(ISNUMBER($O339),$O339&gt;=TODAY()),$O339,99999),IF(AND(ISNUMBER($P339),$P339&gt;=TODAY()),$P339,99999),IF(AND(ISNUMBER($S339),$S339&gt;=TODAY()),$S339,99999),IF(AND(ISNUMBER($T339),$T339&gt;=TODAY()),$T339,99999),IF(AND(ISNUMBER($U339),$U339&gt;=TODAY()),$U339,99999),IF(AND(ISNUMBER($V339),$V339&gt;=TODAY()),$V339,99999),IF(AND(ISNUMBER($W339),$W339&gt;=TODAY()),$W339,99999),IF(AND(ISNUMBER($X339),$X339&gt;=TODAY()),$X339,99999),IF(AND(ISNUMBER($Y339),$Y339&gt;=TODAY()),$Y339,99999))))</f>
        <v/>
      </c>
      <c r="N339" s="27" t="n"/>
      <c r="O339" s="27" t="n"/>
      <c r="P339" s="27" t="n"/>
      <c r="Q339" s="27" t="n"/>
      <c r="R339" s="27" t="n"/>
      <c r="S339" s="27" t="n"/>
      <c r="T339" s="27" t="n"/>
      <c r="U339" s="27" t="n"/>
      <c r="V339" s="27" t="n"/>
      <c r="W339" s="27" t="n"/>
      <c r="X339" s="27" t="n"/>
      <c r="Y339" s="27" t="n"/>
      <c r="Z339" s="27" t="n"/>
      <c r="AA339" s="27" t="n"/>
      <c r="AB339" s="27" t="n"/>
      <c r="AC339" s="30" t="n"/>
      <c r="AD339" s="25" t="n"/>
      <c r="AE339" s="28">
        <f>IF(NOT(AND($A339&lt;&gt;"",OR($I339="",$I339="Active"))),"",IF(OR(IF(OR(ISNUMBER($Y339),$Y339="DNA"),$Y339,IF(OR(ISNUMBER($X339),$X339="DNA"),$X339,IF(OR(ISNUMBER($W339),$W339="DNA"),$W339,IF(OR(ISNUMBER($V339),$V339="DNA"),$V339,IF(OR(ISNUMBER($U339),$U339="DNA"),$U339,IF(OR(ISNUMBER($T339),$T339="DNA"),$T339,IF(OR(ISNUMBER($S339),$S339="DNA"),$S339,IF(OR(ISNUMBER($P339),$P339="DNA"),$P339,IF(OR(ISNUMBER($O339),$O339="DNA"),$O339,IF(OR(ISNUMBER($N339),$N339="DNA"),$N339,""))))))))))="DNA",AND(ISNUMBER(IF(OR(ISNUMBER($Y339),$Y339="DNA"),$Y339,IF(OR(ISNUMBER($X339),$X339="DNA"),$X339,IF(OR(ISNUMBER($W339),$W339="DNA"),$W339,IF(OR(ISNUMBER($V339),$V339="DNA"),$V339,IF(OR(ISNUMBER($U339),$U339="DNA"),$U339,IF(OR(ISNUMBER($T339),$T339="DNA"),$T339,IF(OR(ISNUMBER($S339),$S339="DNA"),$S339,IF(OR(ISNUMBER($P339),$P339="DNA"),$P339,IF(OR(ISNUMBER($O339),$O339="DNA"),$O339,IF(OR(ISNUMBER($N339),$N339="DNA"),$N339,""))))))))))),IF(OR(ISNUMBER($Y339),$Y339="DNA"),$Y339,IF(OR(ISNUMBER($X339),$X339="DNA"),$X339,IF(OR(ISNUMBER($W339),$W339="DNA"),$W339,IF(OR(ISNUMBER($V339),$V339="DNA"),$V339,IF(OR(ISNUMBER($U339),$U339="DNA"),$U339,IF(OR(ISNUMBER($T339),$T339="DNA"),$T339,IF(OR(ISNUMBER($S339),$S339="DNA"),$S339,IF(OR(ISNUMBER($P339),$P339="DNA"),$P339,IF(OR(ISNUMBER($O339),$O339="DNA"),$O339,IF(OR(ISNUMBER($N339),$N339="DNA"),$N339,""))))))))))&lt;TODAY())),1,0)+ISNUMBER($Q339)*($Q339&lt;TODAY())+ISNUMBER($R339)*($R339&lt;TODAY())+ISNUMBER($AA339)*($AA339&lt;TODAY())+ISNUMBER($AB339)*($AB339&lt;TODAY()))</f>
        <v/>
      </c>
    </row>
    <row r="340">
      <c r="A340" s="25" t="n"/>
      <c r="B340" s="26" t="n"/>
      <c r="C340" s="27" t="n"/>
      <c r="D340" s="25" t="n"/>
      <c r="E340" s="25" t="n"/>
      <c r="F340" s="25" t="n"/>
      <c r="G340" s="25" t="n"/>
      <c r="H340" s="27" t="n"/>
      <c r="I340" s="25" t="n"/>
      <c r="J340" s="28">
        <f>IF(OR(NOT(AND($A340&lt;&gt;"",OR($I340="",$I340="Active"))),$H340=""),"",INT((TODAY()-$H340+280)/7)&amp;"+"&amp;MOD(TODAY()-$H340+280,7))</f>
        <v/>
      </c>
      <c r="K340" s="28">
        <f>IF(NOT(AND($A340&lt;&gt;"",OR($I340="",$I340="Active"))),"",ISNUMBER($N340)*($N340&gt;=TODAY())*($N340&lt;=TODAY()+7)+ISNUMBER($O340)*($O340&gt;=TODAY())*($O340&lt;=TODAY()+7)+ISNUMBER($P340)*($P340&gt;=TODAY())*($P340&lt;=TODAY()+7)+ISNUMBER($S340)*($S340&gt;=TODAY())*($S340&lt;=TODAY()+7)+ISNUMBER($T340)*($T340&gt;=TODAY())*($T340&lt;=TODAY()+7)+ISNUMBER($U340)*($U340&gt;=TODAY())*($U340&lt;=TODAY()+7)+ISNUMBER($V340)*($V340&gt;=TODAY())*($V340&lt;=TODAY()+7)+ISNUMBER($W340)*($W340&gt;=TODAY())*($W340&lt;=TODAY()+7)+ISNUMBER($X340)*($X340&gt;=TODAY())*($X340&lt;=TODAY()+7)+ISNUMBER($Y340)*($Y340&gt;=TODAY())*($Y340&lt;=TODAY()+7)+ISNUMBER($Q340)*($Q340&gt;=TODAY())*($Q340&lt;=TODAY()+7)+ISNUMBER($R340)*($R340&gt;=TODAY())*($R340&lt;=TODAY()+7)+ISNUMBER($AA340)*($AA340&gt;=TODAY())*($AA340&lt;=TODAY()+7)+ISNUMBER($AB340)*($AB340&gt;=TODAY())*($AB340&lt;=TODAY()+7))</f>
        <v/>
      </c>
      <c r="L340" s="28">
        <f>IF(NOT(AND($A340&lt;&gt;"",OR($I340="",$I340="Active"))),"",IF($M340&lt;&gt;"",IF($N340=$M340,"Booking",IF($O340=$M340,"16/40",IF($P340=$M340,"25/40",IF($S340=$M340,"28/40",IF($T340=$M340,"31/40",IF($U340=$M340,"34/40",IF($V340=$M340,"36/40",IF($W340=$M340,"38/40",IF($X340=$M340,"40/40",IF($Y340=$M340,"41/40","")))))))))),IF(IF(OR(ISNUMBER($Y340),$Y340="DNA"),$Y340,IF(OR(ISNUMBER($X340),$X340="DNA"),$X340,IF(OR(ISNUMBER($W340),$W340="DNA"),$W340,IF(OR(ISNUMBER($V340),$V340="DNA"),$V340,IF(OR(ISNUMBER($U340),$U340="DNA"),$U340,IF(OR(ISNUMBER($T340),$T340="DNA"),$T340,IF(OR(ISNUMBER($S340),$S340="DNA"),$S340,IF(OR(ISNUMBER($P340),$P340="DNA"),$P340,IF(OR(ISNUMBER($O340),$O340="DNA"),$O340,IF(OR(ISNUMBER($N340),$N340="DNA"),$N340,""))))))))))="DNA","Rebook DNA",IF(ISNUMBER(IF(OR(ISNUMBER($Y340),$Y340="DNA"),$Y340,IF(OR(ISNUMBER($X340),$X340="DNA"),$X340,IF(OR(ISNUMBER($W340),$W340="DNA"),$W340,IF(OR(ISNUMBER($V340),$V340="DNA"),$V340,IF(OR(ISNUMBER($U340),$U340="DNA"),$U340,IF(OR(ISNUMBER($T340),$T340="DNA"),$T340,IF(OR(ISNUMBER($S340),$S340="DNA"),$S340,IF(OR(ISNUMBER($P340),$P340="DNA"),$P340,IF(OR(ISNUMBER($O340),$O340="DNA"),$O340,IF(OR(ISNUMBER($N340),$N340="DNA"),$N340,""))))))))))),IF(ISNUMBER($Y340),"Update status","Missed/not booked?"),""))))</f>
        <v/>
      </c>
      <c r="M340" s="29">
        <f>IF(NOT(AND($A340&lt;&gt;"",OR($I340="",$I340="Active"))),"",IF(MIN(IF(AND(ISNUMBER($N340),$N340&gt;=TODAY()),$N340,99999),IF(AND(ISNUMBER($O340),$O340&gt;=TODAY()),$O340,99999),IF(AND(ISNUMBER($P340),$P340&gt;=TODAY()),$P340,99999),IF(AND(ISNUMBER($S340),$S340&gt;=TODAY()),$S340,99999),IF(AND(ISNUMBER($T340),$T340&gt;=TODAY()),$T340,99999),IF(AND(ISNUMBER($U340),$U340&gt;=TODAY()),$U340,99999),IF(AND(ISNUMBER($V340),$V340&gt;=TODAY()),$V340,99999),IF(AND(ISNUMBER($W340),$W340&gt;=TODAY()),$W340,99999),IF(AND(ISNUMBER($X340),$X340&gt;=TODAY()),$X340,99999),IF(AND(ISNUMBER($Y340),$Y340&gt;=TODAY()),$Y340,99999))=99999,"",MIN(IF(AND(ISNUMBER($N340),$N340&gt;=TODAY()),$N340,99999),IF(AND(ISNUMBER($O340),$O340&gt;=TODAY()),$O340,99999),IF(AND(ISNUMBER($P340),$P340&gt;=TODAY()),$P340,99999),IF(AND(ISNUMBER($S340),$S340&gt;=TODAY()),$S340,99999),IF(AND(ISNUMBER($T340),$T340&gt;=TODAY()),$T340,99999),IF(AND(ISNUMBER($U340),$U340&gt;=TODAY()),$U340,99999),IF(AND(ISNUMBER($V340),$V340&gt;=TODAY()),$V340,99999),IF(AND(ISNUMBER($W340),$W340&gt;=TODAY()),$W340,99999),IF(AND(ISNUMBER($X340),$X340&gt;=TODAY()),$X340,99999),IF(AND(ISNUMBER($Y340),$Y340&gt;=TODAY()),$Y340,99999))))</f>
        <v/>
      </c>
      <c r="N340" s="27" t="n"/>
      <c r="O340" s="27" t="n"/>
      <c r="P340" s="27" t="n"/>
      <c r="Q340" s="27" t="n"/>
      <c r="R340" s="27" t="n"/>
      <c r="S340" s="27" t="n"/>
      <c r="T340" s="27" t="n"/>
      <c r="U340" s="27" t="n"/>
      <c r="V340" s="27" t="n"/>
      <c r="W340" s="27" t="n"/>
      <c r="X340" s="27" t="n"/>
      <c r="Y340" s="27" t="n"/>
      <c r="Z340" s="27" t="n"/>
      <c r="AA340" s="27" t="n"/>
      <c r="AB340" s="27" t="n"/>
      <c r="AC340" s="30" t="n"/>
      <c r="AD340" s="25" t="n"/>
      <c r="AE340" s="28">
        <f>IF(NOT(AND($A340&lt;&gt;"",OR($I340="",$I340="Active"))),"",IF(OR(IF(OR(ISNUMBER($Y340),$Y340="DNA"),$Y340,IF(OR(ISNUMBER($X340),$X340="DNA"),$X340,IF(OR(ISNUMBER($W340),$W340="DNA"),$W340,IF(OR(ISNUMBER($V340),$V340="DNA"),$V340,IF(OR(ISNUMBER($U340),$U340="DNA"),$U340,IF(OR(ISNUMBER($T340),$T340="DNA"),$T340,IF(OR(ISNUMBER($S340),$S340="DNA"),$S340,IF(OR(ISNUMBER($P340),$P340="DNA"),$P340,IF(OR(ISNUMBER($O340),$O340="DNA"),$O340,IF(OR(ISNUMBER($N340),$N340="DNA"),$N340,""))))))))))="DNA",AND(ISNUMBER(IF(OR(ISNUMBER($Y340),$Y340="DNA"),$Y340,IF(OR(ISNUMBER($X340),$X340="DNA"),$X340,IF(OR(ISNUMBER($W340),$W340="DNA"),$W340,IF(OR(ISNUMBER($V340),$V340="DNA"),$V340,IF(OR(ISNUMBER($U340),$U340="DNA"),$U340,IF(OR(ISNUMBER($T340),$T340="DNA"),$T340,IF(OR(ISNUMBER($S340),$S340="DNA"),$S340,IF(OR(ISNUMBER($P340),$P340="DNA"),$P340,IF(OR(ISNUMBER($O340),$O340="DNA"),$O340,IF(OR(ISNUMBER($N340),$N340="DNA"),$N340,""))))))))))),IF(OR(ISNUMBER($Y340),$Y340="DNA"),$Y340,IF(OR(ISNUMBER($X340),$X340="DNA"),$X340,IF(OR(ISNUMBER($W340),$W340="DNA"),$W340,IF(OR(ISNUMBER($V340),$V340="DNA"),$V340,IF(OR(ISNUMBER($U340),$U340="DNA"),$U340,IF(OR(ISNUMBER($T340),$T340="DNA"),$T340,IF(OR(ISNUMBER($S340),$S340="DNA"),$S340,IF(OR(ISNUMBER($P340),$P340="DNA"),$P340,IF(OR(ISNUMBER($O340),$O340="DNA"),$O340,IF(OR(ISNUMBER($N340),$N340="DNA"),$N340,""))))))))))&lt;TODAY())),1,0)+ISNUMBER($Q340)*($Q340&lt;TODAY())+ISNUMBER($R340)*($R340&lt;TODAY())+ISNUMBER($AA340)*($AA340&lt;TODAY())+ISNUMBER($AB340)*($AB340&lt;TODAY()))</f>
        <v/>
      </c>
    </row>
    <row r="341">
      <c r="A341" s="25" t="n"/>
      <c r="B341" s="26" t="n"/>
      <c r="C341" s="27" t="n"/>
      <c r="D341" s="25" t="n"/>
      <c r="E341" s="25" t="n"/>
      <c r="F341" s="25" t="n"/>
      <c r="G341" s="25" t="n"/>
      <c r="H341" s="27" t="n"/>
      <c r="I341" s="25" t="n"/>
      <c r="J341" s="28">
        <f>IF(OR(NOT(AND($A341&lt;&gt;"",OR($I341="",$I341="Active"))),$H341=""),"",INT((TODAY()-$H341+280)/7)&amp;"+"&amp;MOD(TODAY()-$H341+280,7))</f>
        <v/>
      </c>
      <c r="K341" s="28">
        <f>IF(NOT(AND($A341&lt;&gt;"",OR($I341="",$I341="Active"))),"",ISNUMBER($N341)*($N341&gt;=TODAY())*($N341&lt;=TODAY()+7)+ISNUMBER($O341)*($O341&gt;=TODAY())*($O341&lt;=TODAY()+7)+ISNUMBER($P341)*($P341&gt;=TODAY())*($P341&lt;=TODAY()+7)+ISNUMBER($S341)*($S341&gt;=TODAY())*($S341&lt;=TODAY()+7)+ISNUMBER($T341)*($T341&gt;=TODAY())*($T341&lt;=TODAY()+7)+ISNUMBER($U341)*($U341&gt;=TODAY())*($U341&lt;=TODAY()+7)+ISNUMBER($V341)*($V341&gt;=TODAY())*($V341&lt;=TODAY()+7)+ISNUMBER($W341)*($W341&gt;=TODAY())*($W341&lt;=TODAY()+7)+ISNUMBER($X341)*($X341&gt;=TODAY())*($X341&lt;=TODAY()+7)+ISNUMBER($Y341)*($Y341&gt;=TODAY())*($Y341&lt;=TODAY()+7)+ISNUMBER($Q341)*($Q341&gt;=TODAY())*($Q341&lt;=TODAY()+7)+ISNUMBER($R341)*($R341&gt;=TODAY())*($R341&lt;=TODAY()+7)+ISNUMBER($AA341)*($AA341&gt;=TODAY())*($AA341&lt;=TODAY()+7)+ISNUMBER($AB341)*($AB341&gt;=TODAY())*($AB341&lt;=TODAY()+7))</f>
        <v/>
      </c>
      <c r="L341" s="28">
        <f>IF(NOT(AND($A341&lt;&gt;"",OR($I341="",$I341="Active"))),"",IF($M341&lt;&gt;"",IF($N341=$M341,"Booking",IF($O341=$M341,"16/40",IF($P341=$M341,"25/40",IF($S341=$M341,"28/40",IF($T341=$M341,"31/40",IF($U341=$M341,"34/40",IF($V341=$M341,"36/40",IF($W341=$M341,"38/40",IF($X341=$M341,"40/40",IF($Y341=$M341,"41/40","")))))))))),IF(IF(OR(ISNUMBER($Y341),$Y341="DNA"),$Y341,IF(OR(ISNUMBER($X341),$X341="DNA"),$X341,IF(OR(ISNUMBER($W341),$W341="DNA"),$W341,IF(OR(ISNUMBER($V341),$V341="DNA"),$V341,IF(OR(ISNUMBER($U341),$U341="DNA"),$U341,IF(OR(ISNUMBER($T341),$T341="DNA"),$T341,IF(OR(ISNUMBER($S341),$S341="DNA"),$S341,IF(OR(ISNUMBER($P341),$P341="DNA"),$P341,IF(OR(ISNUMBER($O341),$O341="DNA"),$O341,IF(OR(ISNUMBER($N341),$N341="DNA"),$N341,""))))))))))="DNA","Rebook DNA",IF(ISNUMBER(IF(OR(ISNUMBER($Y341),$Y341="DNA"),$Y341,IF(OR(ISNUMBER($X341),$X341="DNA"),$X341,IF(OR(ISNUMBER($W341),$W341="DNA"),$W341,IF(OR(ISNUMBER($V341),$V341="DNA"),$V341,IF(OR(ISNUMBER($U341),$U341="DNA"),$U341,IF(OR(ISNUMBER($T341),$T341="DNA"),$T341,IF(OR(ISNUMBER($S341),$S341="DNA"),$S341,IF(OR(ISNUMBER($P341),$P341="DNA"),$P341,IF(OR(ISNUMBER($O341),$O341="DNA"),$O341,IF(OR(ISNUMBER($N341),$N341="DNA"),$N341,""))))))))))),IF(ISNUMBER($Y341),"Update status","Missed/not booked?"),""))))</f>
        <v/>
      </c>
      <c r="M341" s="29">
        <f>IF(NOT(AND($A341&lt;&gt;"",OR($I341="",$I341="Active"))),"",IF(MIN(IF(AND(ISNUMBER($N341),$N341&gt;=TODAY()),$N341,99999),IF(AND(ISNUMBER($O341),$O341&gt;=TODAY()),$O341,99999),IF(AND(ISNUMBER($P341),$P341&gt;=TODAY()),$P341,99999),IF(AND(ISNUMBER($S341),$S341&gt;=TODAY()),$S341,99999),IF(AND(ISNUMBER($T341),$T341&gt;=TODAY()),$T341,99999),IF(AND(ISNUMBER($U341),$U341&gt;=TODAY()),$U341,99999),IF(AND(ISNUMBER($V341),$V341&gt;=TODAY()),$V341,99999),IF(AND(ISNUMBER($W341),$W341&gt;=TODAY()),$W341,99999),IF(AND(ISNUMBER($X341),$X341&gt;=TODAY()),$X341,99999),IF(AND(ISNUMBER($Y341),$Y341&gt;=TODAY()),$Y341,99999))=99999,"",MIN(IF(AND(ISNUMBER($N341),$N341&gt;=TODAY()),$N341,99999),IF(AND(ISNUMBER($O341),$O341&gt;=TODAY()),$O341,99999),IF(AND(ISNUMBER($P341),$P341&gt;=TODAY()),$P341,99999),IF(AND(ISNUMBER($S341),$S341&gt;=TODAY()),$S341,99999),IF(AND(ISNUMBER($T341),$T341&gt;=TODAY()),$T341,99999),IF(AND(ISNUMBER($U341),$U341&gt;=TODAY()),$U341,99999),IF(AND(ISNUMBER($V341),$V341&gt;=TODAY()),$V341,99999),IF(AND(ISNUMBER($W341),$W341&gt;=TODAY()),$W341,99999),IF(AND(ISNUMBER($X341),$X341&gt;=TODAY()),$X341,99999),IF(AND(ISNUMBER($Y341),$Y341&gt;=TODAY()),$Y341,99999))))</f>
        <v/>
      </c>
      <c r="N341" s="27" t="n"/>
      <c r="O341" s="27" t="n"/>
      <c r="P341" s="27" t="n"/>
      <c r="Q341" s="27" t="n"/>
      <c r="R341" s="27" t="n"/>
      <c r="S341" s="27" t="n"/>
      <c r="T341" s="27" t="n"/>
      <c r="U341" s="27" t="n"/>
      <c r="V341" s="27" t="n"/>
      <c r="W341" s="27" t="n"/>
      <c r="X341" s="27" t="n"/>
      <c r="Y341" s="27" t="n"/>
      <c r="Z341" s="27" t="n"/>
      <c r="AA341" s="27" t="n"/>
      <c r="AB341" s="27" t="n"/>
      <c r="AC341" s="30" t="n"/>
      <c r="AD341" s="25" t="n"/>
      <c r="AE341" s="28">
        <f>IF(NOT(AND($A341&lt;&gt;"",OR($I341="",$I341="Active"))),"",IF(OR(IF(OR(ISNUMBER($Y341),$Y341="DNA"),$Y341,IF(OR(ISNUMBER($X341),$X341="DNA"),$X341,IF(OR(ISNUMBER($W341),$W341="DNA"),$W341,IF(OR(ISNUMBER($V341),$V341="DNA"),$V341,IF(OR(ISNUMBER($U341),$U341="DNA"),$U341,IF(OR(ISNUMBER($T341),$T341="DNA"),$T341,IF(OR(ISNUMBER($S341),$S341="DNA"),$S341,IF(OR(ISNUMBER($P341),$P341="DNA"),$P341,IF(OR(ISNUMBER($O341),$O341="DNA"),$O341,IF(OR(ISNUMBER($N341),$N341="DNA"),$N341,""))))))))))="DNA",AND(ISNUMBER(IF(OR(ISNUMBER($Y341),$Y341="DNA"),$Y341,IF(OR(ISNUMBER($X341),$X341="DNA"),$X341,IF(OR(ISNUMBER($W341),$W341="DNA"),$W341,IF(OR(ISNUMBER($V341),$V341="DNA"),$V341,IF(OR(ISNUMBER($U341),$U341="DNA"),$U341,IF(OR(ISNUMBER($T341),$T341="DNA"),$T341,IF(OR(ISNUMBER($S341),$S341="DNA"),$S341,IF(OR(ISNUMBER($P341),$P341="DNA"),$P341,IF(OR(ISNUMBER($O341),$O341="DNA"),$O341,IF(OR(ISNUMBER($N341),$N341="DNA"),$N341,""))))))))))),IF(OR(ISNUMBER($Y341),$Y341="DNA"),$Y341,IF(OR(ISNUMBER($X341),$X341="DNA"),$X341,IF(OR(ISNUMBER($W341),$W341="DNA"),$W341,IF(OR(ISNUMBER($V341),$V341="DNA"),$V341,IF(OR(ISNUMBER($U341),$U341="DNA"),$U341,IF(OR(ISNUMBER($T341),$T341="DNA"),$T341,IF(OR(ISNUMBER($S341),$S341="DNA"),$S341,IF(OR(ISNUMBER($P341),$P341="DNA"),$P341,IF(OR(ISNUMBER($O341),$O341="DNA"),$O341,IF(OR(ISNUMBER($N341),$N341="DNA"),$N341,""))))))))))&lt;TODAY())),1,0)+ISNUMBER($Q341)*($Q341&lt;TODAY())+ISNUMBER($R341)*($R341&lt;TODAY())+ISNUMBER($AA341)*($AA341&lt;TODAY())+ISNUMBER($AB341)*($AB341&lt;TODAY()))</f>
        <v/>
      </c>
    </row>
    <row r="342">
      <c r="A342" s="25" t="n"/>
      <c r="B342" s="26" t="n"/>
      <c r="C342" s="27" t="n"/>
      <c r="D342" s="25" t="n"/>
      <c r="E342" s="25" t="n"/>
      <c r="F342" s="25" t="n"/>
      <c r="G342" s="25" t="n"/>
      <c r="H342" s="27" t="n"/>
      <c r="I342" s="25" t="n"/>
      <c r="J342" s="28">
        <f>IF(OR(NOT(AND($A342&lt;&gt;"",OR($I342="",$I342="Active"))),$H342=""),"",INT((TODAY()-$H342+280)/7)&amp;"+"&amp;MOD(TODAY()-$H342+280,7))</f>
        <v/>
      </c>
      <c r="K342" s="28">
        <f>IF(NOT(AND($A342&lt;&gt;"",OR($I342="",$I342="Active"))),"",ISNUMBER($N342)*($N342&gt;=TODAY())*($N342&lt;=TODAY()+7)+ISNUMBER($O342)*($O342&gt;=TODAY())*($O342&lt;=TODAY()+7)+ISNUMBER($P342)*($P342&gt;=TODAY())*($P342&lt;=TODAY()+7)+ISNUMBER($S342)*($S342&gt;=TODAY())*($S342&lt;=TODAY()+7)+ISNUMBER($T342)*($T342&gt;=TODAY())*($T342&lt;=TODAY()+7)+ISNUMBER($U342)*($U342&gt;=TODAY())*($U342&lt;=TODAY()+7)+ISNUMBER($V342)*($V342&gt;=TODAY())*($V342&lt;=TODAY()+7)+ISNUMBER($W342)*($W342&gt;=TODAY())*($W342&lt;=TODAY()+7)+ISNUMBER($X342)*($X342&gt;=TODAY())*($X342&lt;=TODAY()+7)+ISNUMBER($Y342)*($Y342&gt;=TODAY())*($Y342&lt;=TODAY()+7)+ISNUMBER($Q342)*($Q342&gt;=TODAY())*($Q342&lt;=TODAY()+7)+ISNUMBER($R342)*($R342&gt;=TODAY())*($R342&lt;=TODAY()+7)+ISNUMBER($AA342)*($AA342&gt;=TODAY())*($AA342&lt;=TODAY()+7)+ISNUMBER($AB342)*($AB342&gt;=TODAY())*($AB342&lt;=TODAY()+7))</f>
        <v/>
      </c>
      <c r="L342" s="28">
        <f>IF(NOT(AND($A342&lt;&gt;"",OR($I342="",$I342="Active"))),"",IF($M342&lt;&gt;"",IF($N342=$M342,"Booking",IF($O342=$M342,"16/40",IF($P342=$M342,"25/40",IF($S342=$M342,"28/40",IF($T342=$M342,"31/40",IF($U342=$M342,"34/40",IF($V342=$M342,"36/40",IF($W342=$M342,"38/40",IF($X342=$M342,"40/40",IF($Y342=$M342,"41/40","")))))))))),IF(IF(OR(ISNUMBER($Y342),$Y342="DNA"),$Y342,IF(OR(ISNUMBER($X342),$X342="DNA"),$X342,IF(OR(ISNUMBER($W342),$W342="DNA"),$W342,IF(OR(ISNUMBER($V342),$V342="DNA"),$V342,IF(OR(ISNUMBER($U342),$U342="DNA"),$U342,IF(OR(ISNUMBER($T342),$T342="DNA"),$T342,IF(OR(ISNUMBER($S342),$S342="DNA"),$S342,IF(OR(ISNUMBER($P342),$P342="DNA"),$P342,IF(OR(ISNUMBER($O342),$O342="DNA"),$O342,IF(OR(ISNUMBER($N342),$N342="DNA"),$N342,""))))))))))="DNA","Rebook DNA",IF(ISNUMBER(IF(OR(ISNUMBER($Y342),$Y342="DNA"),$Y342,IF(OR(ISNUMBER($X342),$X342="DNA"),$X342,IF(OR(ISNUMBER($W342),$W342="DNA"),$W342,IF(OR(ISNUMBER($V342),$V342="DNA"),$V342,IF(OR(ISNUMBER($U342),$U342="DNA"),$U342,IF(OR(ISNUMBER($T342),$T342="DNA"),$T342,IF(OR(ISNUMBER($S342),$S342="DNA"),$S342,IF(OR(ISNUMBER($P342),$P342="DNA"),$P342,IF(OR(ISNUMBER($O342),$O342="DNA"),$O342,IF(OR(ISNUMBER($N342),$N342="DNA"),$N342,""))))))))))),IF(ISNUMBER($Y342),"Update status","Missed/not booked?"),""))))</f>
        <v/>
      </c>
      <c r="M342" s="29">
        <f>IF(NOT(AND($A342&lt;&gt;"",OR($I342="",$I342="Active"))),"",IF(MIN(IF(AND(ISNUMBER($N342),$N342&gt;=TODAY()),$N342,99999),IF(AND(ISNUMBER($O342),$O342&gt;=TODAY()),$O342,99999),IF(AND(ISNUMBER($P342),$P342&gt;=TODAY()),$P342,99999),IF(AND(ISNUMBER($S342),$S342&gt;=TODAY()),$S342,99999),IF(AND(ISNUMBER($T342),$T342&gt;=TODAY()),$T342,99999),IF(AND(ISNUMBER($U342),$U342&gt;=TODAY()),$U342,99999),IF(AND(ISNUMBER($V342),$V342&gt;=TODAY()),$V342,99999),IF(AND(ISNUMBER($W342),$W342&gt;=TODAY()),$W342,99999),IF(AND(ISNUMBER($X342),$X342&gt;=TODAY()),$X342,99999),IF(AND(ISNUMBER($Y342),$Y342&gt;=TODAY()),$Y342,99999))=99999,"",MIN(IF(AND(ISNUMBER($N342),$N342&gt;=TODAY()),$N342,99999),IF(AND(ISNUMBER($O342),$O342&gt;=TODAY()),$O342,99999),IF(AND(ISNUMBER($P342),$P342&gt;=TODAY()),$P342,99999),IF(AND(ISNUMBER($S342),$S342&gt;=TODAY()),$S342,99999),IF(AND(ISNUMBER($T342),$T342&gt;=TODAY()),$T342,99999),IF(AND(ISNUMBER($U342),$U342&gt;=TODAY()),$U342,99999),IF(AND(ISNUMBER($V342),$V342&gt;=TODAY()),$V342,99999),IF(AND(ISNUMBER($W342),$W342&gt;=TODAY()),$W342,99999),IF(AND(ISNUMBER($X342),$X342&gt;=TODAY()),$X342,99999),IF(AND(ISNUMBER($Y342),$Y342&gt;=TODAY()),$Y342,99999))))</f>
        <v/>
      </c>
      <c r="N342" s="27" t="n"/>
      <c r="O342" s="27" t="n"/>
      <c r="P342" s="27" t="n"/>
      <c r="Q342" s="27" t="n"/>
      <c r="R342" s="27" t="n"/>
      <c r="S342" s="27" t="n"/>
      <c r="T342" s="27" t="n"/>
      <c r="U342" s="27" t="n"/>
      <c r="V342" s="27" t="n"/>
      <c r="W342" s="27" t="n"/>
      <c r="X342" s="27" t="n"/>
      <c r="Y342" s="27" t="n"/>
      <c r="Z342" s="27" t="n"/>
      <c r="AA342" s="27" t="n"/>
      <c r="AB342" s="27" t="n"/>
      <c r="AC342" s="30" t="n"/>
      <c r="AD342" s="25" t="n"/>
      <c r="AE342" s="28">
        <f>IF(NOT(AND($A342&lt;&gt;"",OR($I342="",$I342="Active"))),"",IF(OR(IF(OR(ISNUMBER($Y342),$Y342="DNA"),$Y342,IF(OR(ISNUMBER($X342),$X342="DNA"),$X342,IF(OR(ISNUMBER($W342),$W342="DNA"),$W342,IF(OR(ISNUMBER($V342),$V342="DNA"),$V342,IF(OR(ISNUMBER($U342),$U342="DNA"),$U342,IF(OR(ISNUMBER($T342),$T342="DNA"),$T342,IF(OR(ISNUMBER($S342),$S342="DNA"),$S342,IF(OR(ISNUMBER($P342),$P342="DNA"),$P342,IF(OR(ISNUMBER($O342),$O342="DNA"),$O342,IF(OR(ISNUMBER($N342),$N342="DNA"),$N342,""))))))))))="DNA",AND(ISNUMBER(IF(OR(ISNUMBER($Y342),$Y342="DNA"),$Y342,IF(OR(ISNUMBER($X342),$X342="DNA"),$X342,IF(OR(ISNUMBER($W342),$W342="DNA"),$W342,IF(OR(ISNUMBER($V342),$V342="DNA"),$V342,IF(OR(ISNUMBER($U342),$U342="DNA"),$U342,IF(OR(ISNUMBER($T342),$T342="DNA"),$T342,IF(OR(ISNUMBER($S342),$S342="DNA"),$S342,IF(OR(ISNUMBER($P342),$P342="DNA"),$P342,IF(OR(ISNUMBER($O342),$O342="DNA"),$O342,IF(OR(ISNUMBER($N342),$N342="DNA"),$N342,""))))))))))),IF(OR(ISNUMBER($Y342),$Y342="DNA"),$Y342,IF(OR(ISNUMBER($X342),$X342="DNA"),$X342,IF(OR(ISNUMBER($W342),$W342="DNA"),$W342,IF(OR(ISNUMBER($V342),$V342="DNA"),$V342,IF(OR(ISNUMBER($U342),$U342="DNA"),$U342,IF(OR(ISNUMBER($T342),$T342="DNA"),$T342,IF(OR(ISNUMBER($S342),$S342="DNA"),$S342,IF(OR(ISNUMBER($P342),$P342="DNA"),$P342,IF(OR(ISNUMBER($O342),$O342="DNA"),$O342,IF(OR(ISNUMBER($N342),$N342="DNA"),$N342,""))))))))))&lt;TODAY())),1,0)+ISNUMBER($Q342)*($Q342&lt;TODAY())+ISNUMBER($R342)*($R342&lt;TODAY())+ISNUMBER($AA342)*($AA342&lt;TODAY())+ISNUMBER($AB342)*($AB342&lt;TODAY()))</f>
        <v/>
      </c>
    </row>
    <row r="343">
      <c r="A343" s="25" t="n"/>
      <c r="B343" s="26" t="n"/>
      <c r="C343" s="27" t="n"/>
      <c r="D343" s="25" t="n"/>
      <c r="E343" s="25" t="n"/>
      <c r="F343" s="25" t="n"/>
      <c r="G343" s="25" t="n"/>
      <c r="H343" s="27" t="n"/>
      <c r="I343" s="25" t="n"/>
      <c r="J343" s="28">
        <f>IF(OR(NOT(AND($A343&lt;&gt;"",OR($I343="",$I343="Active"))),$H343=""),"",INT((TODAY()-$H343+280)/7)&amp;"+"&amp;MOD(TODAY()-$H343+280,7))</f>
        <v/>
      </c>
      <c r="K343" s="28">
        <f>IF(NOT(AND($A343&lt;&gt;"",OR($I343="",$I343="Active"))),"",ISNUMBER($N343)*($N343&gt;=TODAY())*($N343&lt;=TODAY()+7)+ISNUMBER($O343)*($O343&gt;=TODAY())*($O343&lt;=TODAY()+7)+ISNUMBER($P343)*($P343&gt;=TODAY())*($P343&lt;=TODAY()+7)+ISNUMBER($S343)*($S343&gt;=TODAY())*($S343&lt;=TODAY()+7)+ISNUMBER($T343)*($T343&gt;=TODAY())*($T343&lt;=TODAY()+7)+ISNUMBER($U343)*($U343&gt;=TODAY())*($U343&lt;=TODAY()+7)+ISNUMBER($V343)*($V343&gt;=TODAY())*($V343&lt;=TODAY()+7)+ISNUMBER($W343)*($W343&gt;=TODAY())*($W343&lt;=TODAY()+7)+ISNUMBER($X343)*($X343&gt;=TODAY())*($X343&lt;=TODAY()+7)+ISNUMBER($Y343)*($Y343&gt;=TODAY())*($Y343&lt;=TODAY()+7)+ISNUMBER($Q343)*($Q343&gt;=TODAY())*($Q343&lt;=TODAY()+7)+ISNUMBER($R343)*($R343&gt;=TODAY())*($R343&lt;=TODAY()+7)+ISNUMBER($AA343)*($AA343&gt;=TODAY())*($AA343&lt;=TODAY()+7)+ISNUMBER($AB343)*($AB343&gt;=TODAY())*($AB343&lt;=TODAY()+7))</f>
        <v/>
      </c>
      <c r="L343" s="28">
        <f>IF(NOT(AND($A343&lt;&gt;"",OR($I343="",$I343="Active"))),"",IF($M343&lt;&gt;"",IF($N343=$M343,"Booking",IF($O343=$M343,"16/40",IF($P343=$M343,"25/40",IF($S343=$M343,"28/40",IF($T343=$M343,"31/40",IF($U343=$M343,"34/40",IF($V343=$M343,"36/40",IF($W343=$M343,"38/40",IF($X343=$M343,"40/40",IF($Y343=$M343,"41/40","")))))))))),IF(IF(OR(ISNUMBER($Y343),$Y343="DNA"),$Y343,IF(OR(ISNUMBER($X343),$X343="DNA"),$X343,IF(OR(ISNUMBER($W343),$W343="DNA"),$W343,IF(OR(ISNUMBER($V343),$V343="DNA"),$V343,IF(OR(ISNUMBER($U343),$U343="DNA"),$U343,IF(OR(ISNUMBER($T343),$T343="DNA"),$T343,IF(OR(ISNUMBER($S343),$S343="DNA"),$S343,IF(OR(ISNUMBER($P343),$P343="DNA"),$P343,IF(OR(ISNUMBER($O343),$O343="DNA"),$O343,IF(OR(ISNUMBER($N343),$N343="DNA"),$N343,""))))))))))="DNA","Rebook DNA",IF(ISNUMBER(IF(OR(ISNUMBER($Y343),$Y343="DNA"),$Y343,IF(OR(ISNUMBER($X343),$X343="DNA"),$X343,IF(OR(ISNUMBER($W343),$W343="DNA"),$W343,IF(OR(ISNUMBER($V343),$V343="DNA"),$V343,IF(OR(ISNUMBER($U343),$U343="DNA"),$U343,IF(OR(ISNUMBER($T343),$T343="DNA"),$T343,IF(OR(ISNUMBER($S343),$S343="DNA"),$S343,IF(OR(ISNUMBER($P343),$P343="DNA"),$P343,IF(OR(ISNUMBER($O343),$O343="DNA"),$O343,IF(OR(ISNUMBER($N343),$N343="DNA"),$N343,""))))))))))),IF(ISNUMBER($Y343),"Update status","Missed/not booked?"),""))))</f>
        <v/>
      </c>
      <c r="M343" s="29">
        <f>IF(NOT(AND($A343&lt;&gt;"",OR($I343="",$I343="Active"))),"",IF(MIN(IF(AND(ISNUMBER($N343),$N343&gt;=TODAY()),$N343,99999),IF(AND(ISNUMBER($O343),$O343&gt;=TODAY()),$O343,99999),IF(AND(ISNUMBER($P343),$P343&gt;=TODAY()),$P343,99999),IF(AND(ISNUMBER($S343),$S343&gt;=TODAY()),$S343,99999),IF(AND(ISNUMBER($T343),$T343&gt;=TODAY()),$T343,99999),IF(AND(ISNUMBER($U343),$U343&gt;=TODAY()),$U343,99999),IF(AND(ISNUMBER($V343),$V343&gt;=TODAY()),$V343,99999),IF(AND(ISNUMBER($W343),$W343&gt;=TODAY()),$W343,99999),IF(AND(ISNUMBER($X343),$X343&gt;=TODAY()),$X343,99999),IF(AND(ISNUMBER($Y343),$Y343&gt;=TODAY()),$Y343,99999))=99999,"",MIN(IF(AND(ISNUMBER($N343),$N343&gt;=TODAY()),$N343,99999),IF(AND(ISNUMBER($O343),$O343&gt;=TODAY()),$O343,99999),IF(AND(ISNUMBER($P343),$P343&gt;=TODAY()),$P343,99999),IF(AND(ISNUMBER($S343),$S343&gt;=TODAY()),$S343,99999),IF(AND(ISNUMBER($T343),$T343&gt;=TODAY()),$T343,99999),IF(AND(ISNUMBER($U343),$U343&gt;=TODAY()),$U343,99999),IF(AND(ISNUMBER($V343),$V343&gt;=TODAY()),$V343,99999),IF(AND(ISNUMBER($W343),$W343&gt;=TODAY()),$W343,99999),IF(AND(ISNUMBER($X343),$X343&gt;=TODAY()),$X343,99999),IF(AND(ISNUMBER($Y343),$Y343&gt;=TODAY()),$Y343,99999))))</f>
        <v/>
      </c>
      <c r="N343" s="27" t="n"/>
      <c r="O343" s="27" t="n"/>
      <c r="P343" s="27" t="n"/>
      <c r="Q343" s="27" t="n"/>
      <c r="R343" s="27" t="n"/>
      <c r="S343" s="27" t="n"/>
      <c r="T343" s="27" t="n"/>
      <c r="U343" s="27" t="n"/>
      <c r="V343" s="27" t="n"/>
      <c r="W343" s="27" t="n"/>
      <c r="X343" s="27" t="n"/>
      <c r="Y343" s="27" t="n"/>
      <c r="Z343" s="27" t="n"/>
      <c r="AA343" s="27" t="n"/>
      <c r="AB343" s="27" t="n"/>
      <c r="AC343" s="30" t="n"/>
      <c r="AD343" s="25" t="n"/>
      <c r="AE343" s="28">
        <f>IF(NOT(AND($A343&lt;&gt;"",OR($I343="",$I343="Active"))),"",IF(OR(IF(OR(ISNUMBER($Y343),$Y343="DNA"),$Y343,IF(OR(ISNUMBER($X343),$X343="DNA"),$X343,IF(OR(ISNUMBER($W343),$W343="DNA"),$W343,IF(OR(ISNUMBER($V343),$V343="DNA"),$V343,IF(OR(ISNUMBER($U343),$U343="DNA"),$U343,IF(OR(ISNUMBER($T343),$T343="DNA"),$T343,IF(OR(ISNUMBER($S343),$S343="DNA"),$S343,IF(OR(ISNUMBER($P343),$P343="DNA"),$P343,IF(OR(ISNUMBER($O343),$O343="DNA"),$O343,IF(OR(ISNUMBER($N343),$N343="DNA"),$N343,""))))))))))="DNA",AND(ISNUMBER(IF(OR(ISNUMBER($Y343),$Y343="DNA"),$Y343,IF(OR(ISNUMBER($X343),$X343="DNA"),$X343,IF(OR(ISNUMBER($W343),$W343="DNA"),$W343,IF(OR(ISNUMBER($V343),$V343="DNA"),$V343,IF(OR(ISNUMBER($U343),$U343="DNA"),$U343,IF(OR(ISNUMBER($T343),$T343="DNA"),$T343,IF(OR(ISNUMBER($S343),$S343="DNA"),$S343,IF(OR(ISNUMBER($P343),$P343="DNA"),$P343,IF(OR(ISNUMBER($O343),$O343="DNA"),$O343,IF(OR(ISNUMBER($N343),$N343="DNA"),$N343,""))))))))))),IF(OR(ISNUMBER($Y343),$Y343="DNA"),$Y343,IF(OR(ISNUMBER($X343),$X343="DNA"),$X343,IF(OR(ISNUMBER($W343),$W343="DNA"),$W343,IF(OR(ISNUMBER($V343),$V343="DNA"),$V343,IF(OR(ISNUMBER($U343),$U343="DNA"),$U343,IF(OR(ISNUMBER($T343),$T343="DNA"),$T343,IF(OR(ISNUMBER($S343),$S343="DNA"),$S343,IF(OR(ISNUMBER($P343),$P343="DNA"),$P343,IF(OR(ISNUMBER($O343),$O343="DNA"),$O343,IF(OR(ISNUMBER($N343),$N343="DNA"),$N343,""))))))))))&lt;TODAY())),1,0)+ISNUMBER($Q343)*($Q343&lt;TODAY())+ISNUMBER($R343)*($R343&lt;TODAY())+ISNUMBER($AA343)*($AA343&lt;TODAY())+ISNUMBER($AB343)*($AB343&lt;TODAY()))</f>
        <v/>
      </c>
    </row>
    <row r="344">
      <c r="A344" s="25" t="n"/>
      <c r="B344" s="26" t="n"/>
      <c r="C344" s="27" t="n"/>
      <c r="D344" s="25" t="n"/>
      <c r="E344" s="25" t="n"/>
      <c r="F344" s="25" t="n"/>
      <c r="G344" s="25" t="n"/>
      <c r="H344" s="27" t="n"/>
      <c r="I344" s="25" t="n"/>
      <c r="J344" s="28">
        <f>IF(OR(NOT(AND($A344&lt;&gt;"",OR($I344="",$I344="Active"))),$H344=""),"",INT((TODAY()-$H344+280)/7)&amp;"+"&amp;MOD(TODAY()-$H344+280,7))</f>
        <v/>
      </c>
      <c r="K344" s="28">
        <f>IF(NOT(AND($A344&lt;&gt;"",OR($I344="",$I344="Active"))),"",ISNUMBER($N344)*($N344&gt;=TODAY())*($N344&lt;=TODAY()+7)+ISNUMBER($O344)*($O344&gt;=TODAY())*($O344&lt;=TODAY()+7)+ISNUMBER($P344)*($P344&gt;=TODAY())*($P344&lt;=TODAY()+7)+ISNUMBER($S344)*($S344&gt;=TODAY())*($S344&lt;=TODAY()+7)+ISNUMBER($T344)*($T344&gt;=TODAY())*($T344&lt;=TODAY()+7)+ISNUMBER($U344)*($U344&gt;=TODAY())*($U344&lt;=TODAY()+7)+ISNUMBER($V344)*($V344&gt;=TODAY())*($V344&lt;=TODAY()+7)+ISNUMBER($W344)*($W344&gt;=TODAY())*($W344&lt;=TODAY()+7)+ISNUMBER($X344)*($X344&gt;=TODAY())*($X344&lt;=TODAY()+7)+ISNUMBER($Y344)*($Y344&gt;=TODAY())*($Y344&lt;=TODAY()+7)+ISNUMBER($Q344)*($Q344&gt;=TODAY())*($Q344&lt;=TODAY()+7)+ISNUMBER($R344)*($R344&gt;=TODAY())*($R344&lt;=TODAY()+7)+ISNUMBER($AA344)*($AA344&gt;=TODAY())*($AA344&lt;=TODAY()+7)+ISNUMBER($AB344)*($AB344&gt;=TODAY())*($AB344&lt;=TODAY()+7))</f>
        <v/>
      </c>
      <c r="L344" s="28">
        <f>IF(NOT(AND($A344&lt;&gt;"",OR($I344="",$I344="Active"))),"",IF($M344&lt;&gt;"",IF($N344=$M344,"Booking",IF($O344=$M344,"16/40",IF($P344=$M344,"25/40",IF($S344=$M344,"28/40",IF($T344=$M344,"31/40",IF($U344=$M344,"34/40",IF($V344=$M344,"36/40",IF($W344=$M344,"38/40",IF($X344=$M344,"40/40",IF($Y344=$M344,"41/40","")))))))))),IF(IF(OR(ISNUMBER($Y344),$Y344="DNA"),$Y344,IF(OR(ISNUMBER($X344),$X344="DNA"),$X344,IF(OR(ISNUMBER($W344),$W344="DNA"),$W344,IF(OR(ISNUMBER($V344),$V344="DNA"),$V344,IF(OR(ISNUMBER($U344),$U344="DNA"),$U344,IF(OR(ISNUMBER($T344),$T344="DNA"),$T344,IF(OR(ISNUMBER($S344),$S344="DNA"),$S344,IF(OR(ISNUMBER($P344),$P344="DNA"),$P344,IF(OR(ISNUMBER($O344),$O344="DNA"),$O344,IF(OR(ISNUMBER($N344),$N344="DNA"),$N344,""))))))))))="DNA","Rebook DNA",IF(ISNUMBER(IF(OR(ISNUMBER($Y344),$Y344="DNA"),$Y344,IF(OR(ISNUMBER($X344),$X344="DNA"),$X344,IF(OR(ISNUMBER($W344),$W344="DNA"),$W344,IF(OR(ISNUMBER($V344),$V344="DNA"),$V344,IF(OR(ISNUMBER($U344),$U344="DNA"),$U344,IF(OR(ISNUMBER($T344),$T344="DNA"),$T344,IF(OR(ISNUMBER($S344),$S344="DNA"),$S344,IF(OR(ISNUMBER($P344),$P344="DNA"),$P344,IF(OR(ISNUMBER($O344),$O344="DNA"),$O344,IF(OR(ISNUMBER($N344),$N344="DNA"),$N344,""))))))))))),IF(ISNUMBER($Y344),"Update status","Missed/not booked?"),""))))</f>
        <v/>
      </c>
      <c r="M344" s="29">
        <f>IF(NOT(AND($A344&lt;&gt;"",OR($I344="",$I344="Active"))),"",IF(MIN(IF(AND(ISNUMBER($N344),$N344&gt;=TODAY()),$N344,99999),IF(AND(ISNUMBER($O344),$O344&gt;=TODAY()),$O344,99999),IF(AND(ISNUMBER($P344),$P344&gt;=TODAY()),$P344,99999),IF(AND(ISNUMBER($S344),$S344&gt;=TODAY()),$S344,99999),IF(AND(ISNUMBER($T344),$T344&gt;=TODAY()),$T344,99999),IF(AND(ISNUMBER($U344),$U344&gt;=TODAY()),$U344,99999),IF(AND(ISNUMBER($V344),$V344&gt;=TODAY()),$V344,99999),IF(AND(ISNUMBER($W344),$W344&gt;=TODAY()),$W344,99999),IF(AND(ISNUMBER($X344),$X344&gt;=TODAY()),$X344,99999),IF(AND(ISNUMBER($Y344),$Y344&gt;=TODAY()),$Y344,99999))=99999,"",MIN(IF(AND(ISNUMBER($N344),$N344&gt;=TODAY()),$N344,99999),IF(AND(ISNUMBER($O344),$O344&gt;=TODAY()),$O344,99999),IF(AND(ISNUMBER($P344),$P344&gt;=TODAY()),$P344,99999),IF(AND(ISNUMBER($S344),$S344&gt;=TODAY()),$S344,99999),IF(AND(ISNUMBER($T344),$T344&gt;=TODAY()),$T344,99999),IF(AND(ISNUMBER($U344),$U344&gt;=TODAY()),$U344,99999),IF(AND(ISNUMBER($V344),$V344&gt;=TODAY()),$V344,99999),IF(AND(ISNUMBER($W344),$W344&gt;=TODAY()),$W344,99999),IF(AND(ISNUMBER($X344),$X344&gt;=TODAY()),$X344,99999),IF(AND(ISNUMBER($Y344),$Y344&gt;=TODAY()),$Y344,99999))))</f>
        <v/>
      </c>
      <c r="N344" s="27" t="n"/>
      <c r="O344" s="27" t="n"/>
      <c r="P344" s="27" t="n"/>
      <c r="Q344" s="27" t="n"/>
      <c r="R344" s="27" t="n"/>
      <c r="S344" s="27" t="n"/>
      <c r="T344" s="27" t="n"/>
      <c r="U344" s="27" t="n"/>
      <c r="V344" s="27" t="n"/>
      <c r="W344" s="27" t="n"/>
      <c r="X344" s="27" t="n"/>
      <c r="Y344" s="27" t="n"/>
      <c r="Z344" s="27" t="n"/>
      <c r="AA344" s="27" t="n"/>
      <c r="AB344" s="27" t="n"/>
      <c r="AC344" s="30" t="n"/>
      <c r="AD344" s="25" t="n"/>
      <c r="AE344" s="28">
        <f>IF(NOT(AND($A344&lt;&gt;"",OR($I344="",$I344="Active"))),"",IF(OR(IF(OR(ISNUMBER($Y344),$Y344="DNA"),$Y344,IF(OR(ISNUMBER($X344),$X344="DNA"),$X344,IF(OR(ISNUMBER($W344),$W344="DNA"),$W344,IF(OR(ISNUMBER($V344),$V344="DNA"),$V344,IF(OR(ISNUMBER($U344),$U344="DNA"),$U344,IF(OR(ISNUMBER($T344),$T344="DNA"),$T344,IF(OR(ISNUMBER($S344),$S344="DNA"),$S344,IF(OR(ISNUMBER($P344),$P344="DNA"),$P344,IF(OR(ISNUMBER($O344),$O344="DNA"),$O344,IF(OR(ISNUMBER($N344),$N344="DNA"),$N344,""))))))))))="DNA",AND(ISNUMBER(IF(OR(ISNUMBER($Y344),$Y344="DNA"),$Y344,IF(OR(ISNUMBER($X344),$X344="DNA"),$X344,IF(OR(ISNUMBER($W344),$W344="DNA"),$W344,IF(OR(ISNUMBER($V344),$V344="DNA"),$V344,IF(OR(ISNUMBER($U344),$U344="DNA"),$U344,IF(OR(ISNUMBER($T344),$T344="DNA"),$T344,IF(OR(ISNUMBER($S344),$S344="DNA"),$S344,IF(OR(ISNUMBER($P344),$P344="DNA"),$P344,IF(OR(ISNUMBER($O344),$O344="DNA"),$O344,IF(OR(ISNUMBER($N344),$N344="DNA"),$N344,""))))))))))),IF(OR(ISNUMBER($Y344),$Y344="DNA"),$Y344,IF(OR(ISNUMBER($X344),$X344="DNA"),$X344,IF(OR(ISNUMBER($W344),$W344="DNA"),$W344,IF(OR(ISNUMBER($V344),$V344="DNA"),$V344,IF(OR(ISNUMBER($U344),$U344="DNA"),$U344,IF(OR(ISNUMBER($T344),$T344="DNA"),$T344,IF(OR(ISNUMBER($S344),$S344="DNA"),$S344,IF(OR(ISNUMBER($P344),$P344="DNA"),$P344,IF(OR(ISNUMBER($O344),$O344="DNA"),$O344,IF(OR(ISNUMBER($N344),$N344="DNA"),$N344,""))))))))))&lt;TODAY())),1,0)+ISNUMBER($Q344)*($Q344&lt;TODAY())+ISNUMBER($R344)*($R344&lt;TODAY())+ISNUMBER($AA344)*($AA344&lt;TODAY())+ISNUMBER($AB344)*($AB344&lt;TODAY()))</f>
        <v/>
      </c>
    </row>
    <row r="345">
      <c r="A345" s="25" t="n"/>
      <c r="B345" s="26" t="n"/>
      <c r="C345" s="27" t="n"/>
      <c r="D345" s="25" t="n"/>
      <c r="E345" s="25" t="n"/>
      <c r="F345" s="25" t="n"/>
      <c r="G345" s="25" t="n"/>
      <c r="H345" s="27" t="n"/>
      <c r="I345" s="25" t="n"/>
      <c r="J345" s="28">
        <f>IF(OR(NOT(AND($A345&lt;&gt;"",OR($I345="",$I345="Active"))),$H345=""),"",INT((TODAY()-$H345+280)/7)&amp;"+"&amp;MOD(TODAY()-$H345+280,7))</f>
        <v/>
      </c>
      <c r="K345" s="28">
        <f>IF(NOT(AND($A345&lt;&gt;"",OR($I345="",$I345="Active"))),"",ISNUMBER($N345)*($N345&gt;=TODAY())*($N345&lt;=TODAY()+7)+ISNUMBER($O345)*($O345&gt;=TODAY())*($O345&lt;=TODAY()+7)+ISNUMBER($P345)*($P345&gt;=TODAY())*($P345&lt;=TODAY()+7)+ISNUMBER($S345)*($S345&gt;=TODAY())*($S345&lt;=TODAY()+7)+ISNUMBER($T345)*($T345&gt;=TODAY())*($T345&lt;=TODAY()+7)+ISNUMBER($U345)*($U345&gt;=TODAY())*($U345&lt;=TODAY()+7)+ISNUMBER($V345)*($V345&gt;=TODAY())*($V345&lt;=TODAY()+7)+ISNUMBER($W345)*($W345&gt;=TODAY())*($W345&lt;=TODAY()+7)+ISNUMBER($X345)*($X345&gt;=TODAY())*($X345&lt;=TODAY()+7)+ISNUMBER($Y345)*($Y345&gt;=TODAY())*($Y345&lt;=TODAY()+7)+ISNUMBER($Q345)*($Q345&gt;=TODAY())*($Q345&lt;=TODAY()+7)+ISNUMBER($R345)*($R345&gt;=TODAY())*($R345&lt;=TODAY()+7)+ISNUMBER($AA345)*($AA345&gt;=TODAY())*($AA345&lt;=TODAY()+7)+ISNUMBER($AB345)*($AB345&gt;=TODAY())*($AB345&lt;=TODAY()+7))</f>
        <v/>
      </c>
      <c r="L345" s="28">
        <f>IF(NOT(AND($A345&lt;&gt;"",OR($I345="",$I345="Active"))),"",IF($M345&lt;&gt;"",IF($N345=$M345,"Booking",IF($O345=$M345,"16/40",IF($P345=$M345,"25/40",IF($S345=$M345,"28/40",IF($T345=$M345,"31/40",IF($U345=$M345,"34/40",IF($V345=$M345,"36/40",IF($W345=$M345,"38/40",IF($X345=$M345,"40/40",IF($Y345=$M345,"41/40","")))))))))),IF(IF(OR(ISNUMBER($Y345),$Y345="DNA"),$Y345,IF(OR(ISNUMBER($X345),$X345="DNA"),$X345,IF(OR(ISNUMBER($W345),$W345="DNA"),$W345,IF(OR(ISNUMBER($V345),$V345="DNA"),$V345,IF(OR(ISNUMBER($U345),$U345="DNA"),$U345,IF(OR(ISNUMBER($T345),$T345="DNA"),$T345,IF(OR(ISNUMBER($S345),$S345="DNA"),$S345,IF(OR(ISNUMBER($P345),$P345="DNA"),$P345,IF(OR(ISNUMBER($O345),$O345="DNA"),$O345,IF(OR(ISNUMBER($N345),$N345="DNA"),$N345,""))))))))))="DNA","Rebook DNA",IF(ISNUMBER(IF(OR(ISNUMBER($Y345),$Y345="DNA"),$Y345,IF(OR(ISNUMBER($X345),$X345="DNA"),$X345,IF(OR(ISNUMBER($W345),$W345="DNA"),$W345,IF(OR(ISNUMBER($V345),$V345="DNA"),$V345,IF(OR(ISNUMBER($U345),$U345="DNA"),$U345,IF(OR(ISNUMBER($T345),$T345="DNA"),$T345,IF(OR(ISNUMBER($S345),$S345="DNA"),$S345,IF(OR(ISNUMBER($P345),$P345="DNA"),$P345,IF(OR(ISNUMBER($O345),$O345="DNA"),$O345,IF(OR(ISNUMBER($N345),$N345="DNA"),$N345,""))))))))))),IF(ISNUMBER($Y345),"Update status","Missed/not booked?"),""))))</f>
        <v/>
      </c>
      <c r="M345" s="29">
        <f>IF(NOT(AND($A345&lt;&gt;"",OR($I345="",$I345="Active"))),"",IF(MIN(IF(AND(ISNUMBER($N345),$N345&gt;=TODAY()),$N345,99999),IF(AND(ISNUMBER($O345),$O345&gt;=TODAY()),$O345,99999),IF(AND(ISNUMBER($P345),$P345&gt;=TODAY()),$P345,99999),IF(AND(ISNUMBER($S345),$S345&gt;=TODAY()),$S345,99999),IF(AND(ISNUMBER($T345),$T345&gt;=TODAY()),$T345,99999),IF(AND(ISNUMBER($U345),$U345&gt;=TODAY()),$U345,99999),IF(AND(ISNUMBER($V345),$V345&gt;=TODAY()),$V345,99999),IF(AND(ISNUMBER($W345),$W345&gt;=TODAY()),$W345,99999),IF(AND(ISNUMBER($X345),$X345&gt;=TODAY()),$X345,99999),IF(AND(ISNUMBER($Y345),$Y345&gt;=TODAY()),$Y345,99999))=99999,"",MIN(IF(AND(ISNUMBER($N345),$N345&gt;=TODAY()),$N345,99999),IF(AND(ISNUMBER($O345),$O345&gt;=TODAY()),$O345,99999),IF(AND(ISNUMBER($P345),$P345&gt;=TODAY()),$P345,99999),IF(AND(ISNUMBER($S345),$S345&gt;=TODAY()),$S345,99999),IF(AND(ISNUMBER($T345),$T345&gt;=TODAY()),$T345,99999),IF(AND(ISNUMBER($U345),$U345&gt;=TODAY()),$U345,99999),IF(AND(ISNUMBER($V345),$V345&gt;=TODAY()),$V345,99999),IF(AND(ISNUMBER($W345),$W345&gt;=TODAY()),$W345,99999),IF(AND(ISNUMBER($X345),$X345&gt;=TODAY()),$X345,99999),IF(AND(ISNUMBER($Y345),$Y345&gt;=TODAY()),$Y345,99999))))</f>
        <v/>
      </c>
      <c r="N345" s="27" t="n"/>
      <c r="O345" s="27" t="n"/>
      <c r="P345" s="27" t="n"/>
      <c r="Q345" s="27" t="n"/>
      <c r="R345" s="27" t="n"/>
      <c r="S345" s="27" t="n"/>
      <c r="T345" s="27" t="n"/>
      <c r="U345" s="27" t="n"/>
      <c r="V345" s="27" t="n"/>
      <c r="W345" s="27" t="n"/>
      <c r="X345" s="27" t="n"/>
      <c r="Y345" s="27" t="n"/>
      <c r="Z345" s="27" t="n"/>
      <c r="AA345" s="27" t="n"/>
      <c r="AB345" s="27" t="n"/>
      <c r="AC345" s="30" t="n"/>
      <c r="AD345" s="25" t="n"/>
      <c r="AE345" s="28">
        <f>IF(NOT(AND($A345&lt;&gt;"",OR($I345="",$I345="Active"))),"",IF(OR(IF(OR(ISNUMBER($Y345),$Y345="DNA"),$Y345,IF(OR(ISNUMBER($X345),$X345="DNA"),$X345,IF(OR(ISNUMBER($W345),$W345="DNA"),$W345,IF(OR(ISNUMBER($V345),$V345="DNA"),$V345,IF(OR(ISNUMBER($U345),$U345="DNA"),$U345,IF(OR(ISNUMBER($T345),$T345="DNA"),$T345,IF(OR(ISNUMBER($S345),$S345="DNA"),$S345,IF(OR(ISNUMBER($P345),$P345="DNA"),$P345,IF(OR(ISNUMBER($O345),$O345="DNA"),$O345,IF(OR(ISNUMBER($N345),$N345="DNA"),$N345,""))))))))))="DNA",AND(ISNUMBER(IF(OR(ISNUMBER($Y345),$Y345="DNA"),$Y345,IF(OR(ISNUMBER($X345),$X345="DNA"),$X345,IF(OR(ISNUMBER($W345),$W345="DNA"),$W345,IF(OR(ISNUMBER($V345),$V345="DNA"),$V345,IF(OR(ISNUMBER($U345),$U345="DNA"),$U345,IF(OR(ISNUMBER($T345),$T345="DNA"),$T345,IF(OR(ISNUMBER($S345),$S345="DNA"),$S345,IF(OR(ISNUMBER($P345),$P345="DNA"),$P345,IF(OR(ISNUMBER($O345),$O345="DNA"),$O345,IF(OR(ISNUMBER($N345),$N345="DNA"),$N345,""))))))))))),IF(OR(ISNUMBER($Y345),$Y345="DNA"),$Y345,IF(OR(ISNUMBER($X345),$X345="DNA"),$X345,IF(OR(ISNUMBER($W345),$W345="DNA"),$W345,IF(OR(ISNUMBER($V345),$V345="DNA"),$V345,IF(OR(ISNUMBER($U345),$U345="DNA"),$U345,IF(OR(ISNUMBER($T345),$T345="DNA"),$T345,IF(OR(ISNUMBER($S345),$S345="DNA"),$S345,IF(OR(ISNUMBER($P345),$P345="DNA"),$P345,IF(OR(ISNUMBER($O345),$O345="DNA"),$O345,IF(OR(ISNUMBER($N345),$N345="DNA"),$N345,""))))))))))&lt;TODAY())),1,0)+ISNUMBER($Q345)*($Q345&lt;TODAY())+ISNUMBER($R345)*($R345&lt;TODAY())+ISNUMBER($AA345)*($AA345&lt;TODAY())+ISNUMBER($AB345)*($AB345&lt;TODAY()))</f>
        <v/>
      </c>
    </row>
    <row r="346">
      <c r="A346" s="25" t="n"/>
      <c r="B346" s="26" t="n"/>
      <c r="C346" s="27" t="n"/>
      <c r="D346" s="25" t="n"/>
      <c r="E346" s="25" t="n"/>
      <c r="F346" s="25" t="n"/>
      <c r="G346" s="25" t="n"/>
      <c r="H346" s="27" t="n"/>
      <c r="I346" s="25" t="n"/>
      <c r="J346" s="28">
        <f>IF(OR(NOT(AND($A346&lt;&gt;"",OR($I346="",$I346="Active"))),$H346=""),"",INT((TODAY()-$H346+280)/7)&amp;"+"&amp;MOD(TODAY()-$H346+280,7))</f>
        <v/>
      </c>
      <c r="K346" s="28">
        <f>IF(NOT(AND($A346&lt;&gt;"",OR($I346="",$I346="Active"))),"",ISNUMBER($N346)*($N346&gt;=TODAY())*($N346&lt;=TODAY()+7)+ISNUMBER($O346)*($O346&gt;=TODAY())*($O346&lt;=TODAY()+7)+ISNUMBER($P346)*($P346&gt;=TODAY())*($P346&lt;=TODAY()+7)+ISNUMBER($S346)*($S346&gt;=TODAY())*($S346&lt;=TODAY()+7)+ISNUMBER($T346)*($T346&gt;=TODAY())*($T346&lt;=TODAY()+7)+ISNUMBER($U346)*($U346&gt;=TODAY())*($U346&lt;=TODAY()+7)+ISNUMBER($V346)*($V346&gt;=TODAY())*($V346&lt;=TODAY()+7)+ISNUMBER($W346)*($W346&gt;=TODAY())*($W346&lt;=TODAY()+7)+ISNUMBER($X346)*($X346&gt;=TODAY())*($X346&lt;=TODAY()+7)+ISNUMBER($Y346)*($Y346&gt;=TODAY())*($Y346&lt;=TODAY()+7)+ISNUMBER($Q346)*($Q346&gt;=TODAY())*($Q346&lt;=TODAY()+7)+ISNUMBER($R346)*($R346&gt;=TODAY())*($R346&lt;=TODAY()+7)+ISNUMBER($AA346)*($AA346&gt;=TODAY())*($AA346&lt;=TODAY()+7)+ISNUMBER($AB346)*($AB346&gt;=TODAY())*($AB346&lt;=TODAY()+7))</f>
        <v/>
      </c>
      <c r="L346" s="28">
        <f>IF(NOT(AND($A346&lt;&gt;"",OR($I346="",$I346="Active"))),"",IF($M346&lt;&gt;"",IF($N346=$M346,"Booking",IF($O346=$M346,"16/40",IF($P346=$M346,"25/40",IF($S346=$M346,"28/40",IF($T346=$M346,"31/40",IF($U346=$M346,"34/40",IF($V346=$M346,"36/40",IF($W346=$M346,"38/40",IF($X346=$M346,"40/40",IF($Y346=$M346,"41/40","")))))))))),IF(IF(OR(ISNUMBER($Y346),$Y346="DNA"),$Y346,IF(OR(ISNUMBER($X346),$X346="DNA"),$X346,IF(OR(ISNUMBER($W346),$W346="DNA"),$W346,IF(OR(ISNUMBER($V346),$V346="DNA"),$V346,IF(OR(ISNUMBER($U346),$U346="DNA"),$U346,IF(OR(ISNUMBER($T346),$T346="DNA"),$T346,IF(OR(ISNUMBER($S346),$S346="DNA"),$S346,IF(OR(ISNUMBER($P346),$P346="DNA"),$P346,IF(OR(ISNUMBER($O346),$O346="DNA"),$O346,IF(OR(ISNUMBER($N346),$N346="DNA"),$N346,""))))))))))="DNA","Rebook DNA",IF(ISNUMBER(IF(OR(ISNUMBER($Y346),$Y346="DNA"),$Y346,IF(OR(ISNUMBER($X346),$X346="DNA"),$X346,IF(OR(ISNUMBER($W346),$W346="DNA"),$W346,IF(OR(ISNUMBER($V346),$V346="DNA"),$V346,IF(OR(ISNUMBER($U346),$U346="DNA"),$U346,IF(OR(ISNUMBER($T346),$T346="DNA"),$T346,IF(OR(ISNUMBER($S346),$S346="DNA"),$S346,IF(OR(ISNUMBER($P346),$P346="DNA"),$P346,IF(OR(ISNUMBER($O346),$O346="DNA"),$O346,IF(OR(ISNUMBER($N346),$N346="DNA"),$N346,""))))))))))),IF(ISNUMBER($Y346),"Update status","Missed/not booked?"),""))))</f>
        <v/>
      </c>
      <c r="M346" s="29">
        <f>IF(NOT(AND($A346&lt;&gt;"",OR($I346="",$I346="Active"))),"",IF(MIN(IF(AND(ISNUMBER($N346),$N346&gt;=TODAY()),$N346,99999),IF(AND(ISNUMBER($O346),$O346&gt;=TODAY()),$O346,99999),IF(AND(ISNUMBER($P346),$P346&gt;=TODAY()),$P346,99999),IF(AND(ISNUMBER($S346),$S346&gt;=TODAY()),$S346,99999),IF(AND(ISNUMBER($T346),$T346&gt;=TODAY()),$T346,99999),IF(AND(ISNUMBER($U346),$U346&gt;=TODAY()),$U346,99999),IF(AND(ISNUMBER($V346),$V346&gt;=TODAY()),$V346,99999),IF(AND(ISNUMBER($W346),$W346&gt;=TODAY()),$W346,99999),IF(AND(ISNUMBER($X346),$X346&gt;=TODAY()),$X346,99999),IF(AND(ISNUMBER($Y346),$Y346&gt;=TODAY()),$Y346,99999))=99999,"",MIN(IF(AND(ISNUMBER($N346),$N346&gt;=TODAY()),$N346,99999),IF(AND(ISNUMBER($O346),$O346&gt;=TODAY()),$O346,99999),IF(AND(ISNUMBER($P346),$P346&gt;=TODAY()),$P346,99999),IF(AND(ISNUMBER($S346),$S346&gt;=TODAY()),$S346,99999),IF(AND(ISNUMBER($T346),$T346&gt;=TODAY()),$T346,99999),IF(AND(ISNUMBER($U346),$U346&gt;=TODAY()),$U346,99999),IF(AND(ISNUMBER($V346),$V346&gt;=TODAY()),$V346,99999),IF(AND(ISNUMBER($W346),$W346&gt;=TODAY()),$W346,99999),IF(AND(ISNUMBER($X346),$X346&gt;=TODAY()),$X346,99999),IF(AND(ISNUMBER($Y346),$Y346&gt;=TODAY()),$Y346,99999))))</f>
        <v/>
      </c>
      <c r="N346" s="27" t="n"/>
      <c r="O346" s="27" t="n"/>
      <c r="P346" s="27" t="n"/>
      <c r="Q346" s="27" t="n"/>
      <c r="R346" s="27" t="n"/>
      <c r="S346" s="27" t="n"/>
      <c r="T346" s="27" t="n"/>
      <c r="U346" s="27" t="n"/>
      <c r="V346" s="27" t="n"/>
      <c r="W346" s="27" t="n"/>
      <c r="X346" s="27" t="n"/>
      <c r="Y346" s="27" t="n"/>
      <c r="Z346" s="27" t="n"/>
      <c r="AA346" s="27" t="n"/>
      <c r="AB346" s="27" t="n"/>
      <c r="AC346" s="30" t="n"/>
      <c r="AD346" s="25" t="n"/>
      <c r="AE346" s="28">
        <f>IF(NOT(AND($A346&lt;&gt;"",OR($I346="",$I346="Active"))),"",IF(OR(IF(OR(ISNUMBER($Y346),$Y346="DNA"),$Y346,IF(OR(ISNUMBER($X346),$X346="DNA"),$X346,IF(OR(ISNUMBER($W346),$W346="DNA"),$W346,IF(OR(ISNUMBER($V346),$V346="DNA"),$V346,IF(OR(ISNUMBER($U346),$U346="DNA"),$U346,IF(OR(ISNUMBER($T346),$T346="DNA"),$T346,IF(OR(ISNUMBER($S346),$S346="DNA"),$S346,IF(OR(ISNUMBER($P346),$P346="DNA"),$P346,IF(OR(ISNUMBER($O346),$O346="DNA"),$O346,IF(OR(ISNUMBER($N346),$N346="DNA"),$N346,""))))))))))="DNA",AND(ISNUMBER(IF(OR(ISNUMBER($Y346),$Y346="DNA"),$Y346,IF(OR(ISNUMBER($X346),$X346="DNA"),$X346,IF(OR(ISNUMBER($W346),$W346="DNA"),$W346,IF(OR(ISNUMBER($V346),$V346="DNA"),$V346,IF(OR(ISNUMBER($U346),$U346="DNA"),$U346,IF(OR(ISNUMBER($T346),$T346="DNA"),$T346,IF(OR(ISNUMBER($S346),$S346="DNA"),$S346,IF(OR(ISNUMBER($P346),$P346="DNA"),$P346,IF(OR(ISNUMBER($O346),$O346="DNA"),$O346,IF(OR(ISNUMBER($N346),$N346="DNA"),$N346,""))))))))))),IF(OR(ISNUMBER($Y346),$Y346="DNA"),$Y346,IF(OR(ISNUMBER($X346),$X346="DNA"),$X346,IF(OR(ISNUMBER($W346),$W346="DNA"),$W346,IF(OR(ISNUMBER($V346),$V346="DNA"),$V346,IF(OR(ISNUMBER($U346),$U346="DNA"),$U346,IF(OR(ISNUMBER($T346),$T346="DNA"),$T346,IF(OR(ISNUMBER($S346),$S346="DNA"),$S346,IF(OR(ISNUMBER($P346),$P346="DNA"),$P346,IF(OR(ISNUMBER($O346),$O346="DNA"),$O346,IF(OR(ISNUMBER($N346),$N346="DNA"),$N346,""))))))))))&lt;TODAY())),1,0)+ISNUMBER($Q346)*($Q346&lt;TODAY())+ISNUMBER($R346)*($R346&lt;TODAY())+ISNUMBER($AA346)*($AA346&lt;TODAY())+ISNUMBER($AB346)*($AB346&lt;TODAY()))</f>
        <v/>
      </c>
    </row>
    <row r="347">
      <c r="A347" s="25" t="n"/>
      <c r="B347" s="26" t="n"/>
      <c r="C347" s="27" t="n"/>
      <c r="D347" s="25" t="n"/>
      <c r="E347" s="25" t="n"/>
      <c r="F347" s="25" t="n"/>
      <c r="G347" s="25" t="n"/>
      <c r="H347" s="27" t="n"/>
      <c r="I347" s="25" t="n"/>
      <c r="J347" s="28">
        <f>IF(OR(NOT(AND($A347&lt;&gt;"",OR($I347="",$I347="Active"))),$H347=""),"",INT((TODAY()-$H347+280)/7)&amp;"+"&amp;MOD(TODAY()-$H347+280,7))</f>
        <v/>
      </c>
      <c r="K347" s="28">
        <f>IF(NOT(AND($A347&lt;&gt;"",OR($I347="",$I347="Active"))),"",ISNUMBER($N347)*($N347&gt;=TODAY())*($N347&lt;=TODAY()+7)+ISNUMBER($O347)*($O347&gt;=TODAY())*($O347&lt;=TODAY()+7)+ISNUMBER($P347)*($P347&gt;=TODAY())*($P347&lt;=TODAY()+7)+ISNUMBER($S347)*($S347&gt;=TODAY())*($S347&lt;=TODAY()+7)+ISNUMBER($T347)*($T347&gt;=TODAY())*($T347&lt;=TODAY()+7)+ISNUMBER($U347)*($U347&gt;=TODAY())*($U347&lt;=TODAY()+7)+ISNUMBER($V347)*($V347&gt;=TODAY())*($V347&lt;=TODAY()+7)+ISNUMBER($W347)*($W347&gt;=TODAY())*($W347&lt;=TODAY()+7)+ISNUMBER($X347)*($X347&gt;=TODAY())*($X347&lt;=TODAY()+7)+ISNUMBER($Y347)*($Y347&gt;=TODAY())*($Y347&lt;=TODAY()+7)+ISNUMBER($Q347)*($Q347&gt;=TODAY())*($Q347&lt;=TODAY()+7)+ISNUMBER($R347)*($R347&gt;=TODAY())*($R347&lt;=TODAY()+7)+ISNUMBER($AA347)*($AA347&gt;=TODAY())*($AA347&lt;=TODAY()+7)+ISNUMBER($AB347)*($AB347&gt;=TODAY())*($AB347&lt;=TODAY()+7))</f>
        <v/>
      </c>
      <c r="L347" s="28">
        <f>IF(NOT(AND($A347&lt;&gt;"",OR($I347="",$I347="Active"))),"",IF($M347&lt;&gt;"",IF($N347=$M347,"Booking",IF($O347=$M347,"16/40",IF($P347=$M347,"25/40",IF($S347=$M347,"28/40",IF($T347=$M347,"31/40",IF($U347=$M347,"34/40",IF($V347=$M347,"36/40",IF($W347=$M347,"38/40",IF($X347=$M347,"40/40",IF($Y347=$M347,"41/40","")))))))))),IF(IF(OR(ISNUMBER($Y347),$Y347="DNA"),$Y347,IF(OR(ISNUMBER($X347),$X347="DNA"),$X347,IF(OR(ISNUMBER($W347),$W347="DNA"),$W347,IF(OR(ISNUMBER($V347),$V347="DNA"),$V347,IF(OR(ISNUMBER($U347),$U347="DNA"),$U347,IF(OR(ISNUMBER($T347),$T347="DNA"),$T347,IF(OR(ISNUMBER($S347),$S347="DNA"),$S347,IF(OR(ISNUMBER($P347),$P347="DNA"),$P347,IF(OR(ISNUMBER($O347),$O347="DNA"),$O347,IF(OR(ISNUMBER($N347),$N347="DNA"),$N347,""))))))))))="DNA","Rebook DNA",IF(ISNUMBER(IF(OR(ISNUMBER($Y347),$Y347="DNA"),$Y347,IF(OR(ISNUMBER($X347),$X347="DNA"),$X347,IF(OR(ISNUMBER($W347),$W347="DNA"),$W347,IF(OR(ISNUMBER($V347),$V347="DNA"),$V347,IF(OR(ISNUMBER($U347),$U347="DNA"),$U347,IF(OR(ISNUMBER($T347),$T347="DNA"),$T347,IF(OR(ISNUMBER($S347),$S347="DNA"),$S347,IF(OR(ISNUMBER($P347),$P347="DNA"),$P347,IF(OR(ISNUMBER($O347),$O347="DNA"),$O347,IF(OR(ISNUMBER($N347),$N347="DNA"),$N347,""))))))))))),IF(ISNUMBER($Y347),"Update status","Missed/not booked?"),""))))</f>
        <v/>
      </c>
      <c r="M347" s="29">
        <f>IF(NOT(AND($A347&lt;&gt;"",OR($I347="",$I347="Active"))),"",IF(MIN(IF(AND(ISNUMBER($N347),$N347&gt;=TODAY()),$N347,99999),IF(AND(ISNUMBER($O347),$O347&gt;=TODAY()),$O347,99999),IF(AND(ISNUMBER($P347),$P347&gt;=TODAY()),$P347,99999),IF(AND(ISNUMBER($S347),$S347&gt;=TODAY()),$S347,99999),IF(AND(ISNUMBER($T347),$T347&gt;=TODAY()),$T347,99999),IF(AND(ISNUMBER($U347),$U347&gt;=TODAY()),$U347,99999),IF(AND(ISNUMBER($V347),$V347&gt;=TODAY()),$V347,99999),IF(AND(ISNUMBER($W347),$W347&gt;=TODAY()),$W347,99999),IF(AND(ISNUMBER($X347),$X347&gt;=TODAY()),$X347,99999),IF(AND(ISNUMBER($Y347),$Y347&gt;=TODAY()),$Y347,99999))=99999,"",MIN(IF(AND(ISNUMBER($N347),$N347&gt;=TODAY()),$N347,99999),IF(AND(ISNUMBER($O347),$O347&gt;=TODAY()),$O347,99999),IF(AND(ISNUMBER($P347),$P347&gt;=TODAY()),$P347,99999),IF(AND(ISNUMBER($S347),$S347&gt;=TODAY()),$S347,99999),IF(AND(ISNUMBER($T347),$T347&gt;=TODAY()),$T347,99999),IF(AND(ISNUMBER($U347),$U347&gt;=TODAY()),$U347,99999),IF(AND(ISNUMBER($V347),$V347&gt;=TODAY()),$V347,99999),IF(AND(ISNUMBER($W347),$W347&gt;=TODAY()),$W347,99999),IF(AND(ISNUMBER($X347),$X347&gt;=TODAY()),$X347,99999),IF(AND(ISNUMBER($Y347),$Y347&gt;=TODAY()),$Y347,99999))))</f>
        <v/>
      </c>
      <c r="N347" s="27" t="n"/>
      <c r="O347" s="27" t="n"/>
      <c r="P347" s="27" t="n"/>
      <c r="Q347" s="27" t="n"/>
      <c r="R347" s="27" t="n"/>
      <c r="S347" s="27" t="n"/>
      <c r="T347" s="27" t="n"/>
      <c r="U347" s="27" t="n"/>
      <c r="V347" s="27" t="n"/>
      <c r="W347" s="27" t="n"/>
      <c r="X347" s="27" t="n"/>
      <c r="Y347" s="27" t="n"/>
      <c r="Z347" s="27" t="n"/>
      <c r="AA347" s="27" t="n"/>
      <c r="AB347" s="27" t="n"/>
      <c r="AC347" s="30" t="n"/>
      <c r="AD347" s="25" t="n"/>
      <c r="AE347" s="28">
        <f>IF(NOT(AND($A347&lt;&gt;"",OR($I347="",$I347="Active"))),"",IF(OR(IF(OR(ISNUMBER($Y347),$Y347="DNA"),$Y347,IF(OR(ISNUMBER($X347),$X347="DNA"),$X347,IF(OR(ISNUMBER($W347),$W347="DNA"),$W347,IF(OR(ISNUMBER($V347),$V347="DNA"),$V347,IF(OR(ISNUMBER($U347),$U347="DNA"),$U347,IF(OR(ISNUMBER($T347),$T347="DNA"),$T347,IF(OR(ISNUMBER($S347),$S347="DNA"),$S347,IF(OR(ISNUMBER($P347),$P347="DNA"),$P347,IF(OR(ISNUMBER($O347),$O347="DNA"),$O347,IF(OR(ISNUMBER($N347),$N347="DNA"),$N347,""))))))))))="DNA",AND(ISNUMBER(IF(OR(ISNUMBER($Y347),$Y347="DNA"),$Y347,IF(OR(ISNUMBER($X347),$X347="DNA"),$X347,IF(OR(ISNUMBER($W347),$W347="DNA"),$W347,IF(OR(ISNUMBER($V347),$V347="DNA"),$V347,IF(OR(ISNUMBER($U347),$U347="DNA"),$U347,IF(OR(ISNUMBER($T347),$T347="DNA"),$T347,IF(OR(ISNUMBER($S347),$S347="DNA"),$S347,IF(OR(ISNUMBER($P347),$P347="DNA"),$P347,IF(OR(ISNUMBER($O347),$O347="DNA"),$O347,IF(OR(ISNUMBER($N347),$N347="DNA"),$N347,""))))))))))),IF(OR(ISNUMBER($Y347),$Y347="DNA"),$Y347,IF(OR(ISNUMBER($X347),$X347="DNA"),$X347,IF(OR(ISNUMBER($W347),$W347="DNA"),$W347,IF(OR(ISNUMBER($V347),$V347="DNA"),$V347,IF(OR(ISNUMBER($U347),$U347="DNA"),$U347,IF(OR(ISNUMBER($T347),$T347="DNA"),$T347,IF(OR(ISNUMBER($S347),$S347="DNA"),$S347,IF(OR(ISNUMBER($P347),$P347="DNA"),$P347,IF(OR(ISNUMBER($O347),$O347="DNA"),$O347,IF(OR(ISNUMBER($N347),$N347="DNA"),$N347,""))))))))))&lt;TODAY())),1,0)+ISNUMBER($Q347)*($Q347&lt;TODAY())+ISNUMBER($R347)*($R347&lt;TODAY())+ISNUMBER($AA347)*($AA347&lt;TODAY())+ISNUMBER($AB347)*($AB347&lt;TODAY()))</f>
        <v/>
      </c>
    </row>
    <row r="348">
      <c r="A348" s="25" t="n"/>
      <c r="B348" s="26" t="n"/>
      <c r="C348" s="27" t="n"/>
      <c r="D348" s="25" t="n"/>
      <c r="E348" s="25" t="n"/>
      <c r="F348" s="25" t="n"/>
      <c r="G348" s="25" t="n"/>
      <c r="H348" s="27" t="n"/>
      <c r="I348" s="25" t="n"/>
      <c r="J348" s="28">
        <f>IF(OR(NOT(AND($A348&lt;&gt;"",OR($I348="",$I348="Active"))),$H348=""),"",INT((TODAY()-$H348+280)/7)&amp;"+"&amp;MOD(TODAY()-$H348+280,7))</f>
        <v/>
      </c>
      <c r="K348" s="28">
        <f>IF(NOT(AND($A348&lt;&gt;"",OR($I348="",$I348="Active"))),"",ISNUMBER($N348)*($N348&gt;=TODAY())*($N348&lt;=TODAY()+7)+ISNUMBER($O348)*($O348&gt;=TODAY())*($O348&lt;=TODAY()+7)+ISNUMBER($P348)*($P348&gt;=TODAY())*($P348&lt;=TODAY()+7)+ISNUMBER($S348)*($S348&gt;=TODAY())*($S348&lt;=TODAY()+7)+ISNUMBER($T348)*($T348&gt;=TODAY())*($T348&lt;=TODAY()+7)+ISNUMBER($U348)*($U348&gt;=TODAY())*($U348&lt;=TODAY()+7)+ISNUMBER($V348)*($V348&gt;=TODAY())*($V348&lt;=TODAY()+7)+ISNUMBER($W348)*($W348&gt;=TODAY())*($W348&lt;=TODAY()+7)+ISNUMBER($X348)*($X348&gt;=TODAY())*($X348&lt;=TODAY()+7)+ISNUMBER($Y348)*($Y348&gt;=TODAY())*($Y348&lt;=TODAY()+7)+ISNUMBER($Q348)*($Q348&gt;=TODAY())*($Q348&lt;=TODAY()+7)+ISNUMBER($R348)*($R348&gt;=TODAY())*($R348&lt;=TODAY()+7)+ISNUMBER($AA348)*($AA348&gt;=TODAY())*($AA348&lt;=TODAY()+7)+ISNUMBER($AB348)*($AB348&gt;=TODAY())*($AB348&lt;=TODAY()+7))</f>
        <v/>
      </c>
      <c r="L348" s="28">
        <f>IF(NOT(AND($A348&lt;&gt;"",OR($I348="",$I348="Active"))),"",IF($M348&lt;&gt;"",IF($N348=$M348,"Booking",IF($O348=$M348,"16/40",IF($P348=$M348,"25/40",IF($S348=$M348,"28/40",IF($T348=$M348,"31/40",IF($U348=$M348,"34/40",IF($V348=$M348,"36/40",IF($W348=$M348,"38/40",IF($X348=$M348,"40/40",IF($Y348=$M348,"41/40","")))))))))),IF(IF(OR(ISNUMBER($Y348),$Y348="DNA"),$Y348,IF(OR(ISNUMBER($X348),$X348="DNA"),$X348,IF(OR(ISNUMBER($W348),$W348="DNA"),$W348,IF(OR(ISNUMBER($V348),$V348="DNA"),$V348,IF(OR(ISNUMBER($U348),$U348="DNA"),$U348,IF(OR(ISNUMBER($T348),$T348="DNA"),$T348,IF(OR(ISNUMBER($S348),$S348="DNA"),$S348,IF(OR(ISNUMBER($P348),$P348="DNA"),$P348,IF(OR(ISNUMBER($O348),$O348="DNA"),$O348,IF(OR(ISNUMBER($N348),$N348="DNA"),$N348,""))))))))))="DNA","Rebook DNA",IF(ISNUMBER(IF(OR(ISNUMBER($Y348),$Y348="DNA"),$Y348,IF(OR(ISNUMBER($X348),$X348="DNA"),$X348,IF(OR(ISNUMBER($W348),$W348="DNA"),$W348,IF(OR(ISNUMBER($V348),$V348="DNA"),$V348,IF(OR(ISNUMBER($U348),$U348="DNA"),$U348,IF(OR(ISNUMBER($T348),$T348="DNA"),$T348,IF(OR(ISNUMBER($S348),$S348="DNA"),$S348,IF(OR(ISNUMBER($P348),$P348="DNA"),$P348,IF(OR(ISNUMBER($O348),$O348="DNA"),$O348,IF(OR(ISNUMBER($N348),$N348="DNA"),$N348,""))))))))))),IF(ISNUMBER($Y348),"Update status","Missed/not booked?"),""))))</f>
        <v/>
      </c>
      <c r="M348" s="29">
        <f>IF(NOT(AND($A348&lt;&gt;"",OR($I348="",$I348="Active"))),"",IF(MIN(IF(AND(ISNUMBER($N348),$N348&gt;=TODAY()),$N348,99999),IF(AND(ISNUMBER($O348),$O348&gt;=TODAY()),$O348,99999),IF(AND(ISNUMBER($P348),$P348&gt;=TODAY()),$P348,99999),IF(AND(ISNUMBER($S348),$S348&gt;=TODAY()),$S348,99999),IF(AND(ISNUMBER($T348),$T348&gt;=TODAY()),$T348,99999),IF(AND(ISNUMBER($U348),$U348&gt;=TODAY()),$U348,99999),IF(AND(ISNUMBER($V348),$V348&gt;=TODAY()),$V348,99999),IF(AND(ISNUMBER($W348),$W348&gt;=TODAY()),$W348,99999),IF(AND(ISNUMBER($X348),$X348&gt;=TODAY()),$X348,99999),IF(AND(ISNUMBER($Y348),$Y348&gt;=TODAY()),$Y348,99999))=99999,"",MIN(IF(AND(ISNUMBER($N348),$N348&gt;=TODAY()),$N348,99999),IF(AND(ISNUMBER($O348),$O348&gt;=TODAY()),$O348,99999),IF(AND(ISNUMBER($P348),$P348&gt;=TODAY()),$P348,99999),IF(AND(ISNUMBER($S348),$S348&gt;=TODAY()),$S348,99999),IF(AND(ISNUMBER($T348),$T348&gt;=TODAY()),$T348,99999),IF(AND(ISNUMBER($U348),$U348&gt;=TODAY()),$U348,99999),IF(AND(ISNUMBER($V348),$V348&gt;=TODAY()),$V348,99999),IF(AND(ISNUMBER($W348),$W348&gt;=TODAY()),$W348,99999),IF(AND(ISNUMBER($X348),$X348&gt;=TODAY()),$X348,99999),IF(AND(ISNUMBER($Y348),$Y348&gt;=TODAY()),$Y348,99999))))</f>
        <v/>
      </c>
      <c r="N348" s="27" t="n"/>
      <c r="O348" s="27" t="n"/>
      <c r="P348" s="27" t="n"/>
      <c r="Q348" s="27" t="n"/>
      <c r="R348" s="27" t="n"/>
      <c r="S348" s="27" t="n"/>
      <c r="T348" s="27" t="n"/>
      <c r="U348" s="27" t="n"/>
      <c r="V348" s="27" t="n"/>
      <c r="W348" s="27" t="n"/>
      <c r="X348" s="27" t="n"/>
      <c r="Y348" s="27" t="n"/>
      <c r="Z348" s="27" t="n"/>
      <c r="AA348" s="27" t="n"/>
      <c r="AB348" s="27" t="n"/>
      <c r="AC348" s="30" t="n"/>
      <c r="AD348" s="25" t="n"/>
      <c r="AE348" s="28">
        <f>IF(NOT(AND($A348&lt;&gt;"",OR($I348="",$I348="Active"))),"",IF(OR(IF(OR(ISNUMBER($Y348),$Y348="DNA"),$Y348,IF(OR(ISNUMBER($X348),$X348="DNA"),$X348,IF(OR(ISNUMBER($W348),$W348="DNA"),$W348,IF(OR(ISNUMBER($V348),$V348="DNA"),$V348,IF(OR(ISNUMBER($U348),$U348="DNA"),$U348,IF(OR(ISNUMBER($T348),$T348="DNA"),$T348,IF(OR(ISNUMBER($S348),$S348="DNA"),$S348,IF(OR(ISNUMBER($P348),$P348="DNA"),$P348,IF(OR(ISNUMBER($O348),$O348="DNA"),$O348,IF(OR(ISNUMBER($N348),$N348="DNA"),$N348,""))))))))))="DNA",AND(ISNUMBER(IF(OR(ISNUMBER($Y348),$Y348="DNA"),$Y348,IF(OR(ISNUMBER($X348),$X348="DNA"),$X348,IF(OR(ISNUMBER($W348),$W348="DNA"),$W348,IF(OR(ISNUMBER($V348),$V348="DNA"),$V348,IF(OR(ISNUMBER($U348),$U348="DNA"),$U348,IF(OR(ISNUMBER($T348),$T348="DNA"),$T348,IF(OR(ISNUMBER($S348),$S348="DNA"),$S348,IF(OR(ISNUMBER($P348),$P348="DNA"),$P348,IF(OR(ISNUMBER($O348),$O348="DNA"),$O348,IF(OR(ISNUMBER($N348),$N348="DNA"),$N348,""))))))))))),IF(OR(ISNUMBER($Y348),$Y348="DNA"),$Y348,IF(OR(ISNUMBER($X348),$X348="DNA"),$X348,IF(OR(ISNUMBER($W348),$W348="DNA"),$W348,IF(OR(ISNUMBER($V348),$V348="DNA"),$V348,IF(OR(ISNUMBER($U348),$U348="DNA"),$U348,IF(OR(ISNUMBER($T348),$T348="DNA"),$T348,IF(OR(ISNUMBER($S348),$S348="DNA"),$S348,IF(OR(ISNUMBER($P348),$P348="DNA"),$P348,IF(OR(ISNUMBER($O348),$O348="DNA"),$O348,IF(OR(ISNUMBER($N348),$N348="DNA"),$N348,""))))))))))&lt;TODAY())),1,0)+ISNUMBER($Q348)*($Q348&lt;TODAY())+ISNUMBER($R348)*($R348&lt;TODAY())+ISNUMBER($AA348)*($AA348&lt;TODAY())+ISNUMBER($AB348)*($AB348&lt;TODAY()))</f>
        <v/>
      </c>
    </row>
    <row r="349">
      <c r="A349" s="25" t="n"/>
      <c r="B349" s="26" t="n"/>
      <c r="C349" s="27" t="n"/>
      <c r="D349" s="25" t="n"/>
      <c r="E349" s="25" t="n"/>
      <c r="F349" s="25" t="n"/>
      <c r="G349" s="25" t="n"/>
      <c r="H349" s="27" t="n"/>
      <c r="I349" s="25" t="n"/>
      <c r="J349" s="28">
        <f>IF(OR(NOT(AND($A349&lt;&gt;"",OR($I349="",$I349="Active"))),$H349=""),"",INT((TODAY()-$H349+280)/7)&amp;"+"&amp;MOD(TODAY()-$H349+280,7))</f>
        <v/>
      </c>
      <c r="K349" s="28">
        <f>IF(NOT(AND($A349&lt;&gt;"",OR($I349="",$I349="Active"))),"",ISNUMBER($N349)*($N349&gt;=TODAY())*($N349&lt;=TODAY()+7)+ISNUMBER($O349)*($O349&gt;=TODAY())*($O349&lt;=TODAY()+7)+ISNUMBER($P349)*($P349&gt;=TODAY())*($P349&lt;=TODAY()+7)+ISNUMBER($S349)*($S349&gt;=TODAY())*($S349&lt;=TODAY()+7)+ISNUMBER($T349)*($T349&gt;=TODAY())*($T349&lt;=TODAY()+7)+ISNUMBER($U349)*($U349&gt;=TODAY())*($U349&lt;=TODAY()+7)+ISNUMBER($V349)*($V349&gt;=TODAY())*($V349&lt;=TODAY()+7)+ISNUMBER($W349)*($W349&gt;=TODAY())*($W349&lt;=TODAY()+7)+ISNUMBER($X349)*($X349&gt;=TODAY())*($X349&lt;=TODAY()+7)+ISNUMBER($Y349)*($Y349&gt;=TODAY())*($Y349&lt;=TODAY()+7)+ISNUMBER($Q349)*($Q349&gt;=TODAY())*($Q349&lt;=TODAY()+7)+ISNUMBER($R349)*($R349&gt;=TODAY())*($R349&lt;=TODAY()+7)+ISNUMBER($AA349)*($AA349&gt;=TODAY())*($AA349&lt;=TODAY()+7)+ISNUMBER($AB349)*($AB349&gt;=TODAY())*($AB349&lt;=TODAY()+7))</f>
        <v/>
      </c>
      <c r="L349" s="28">
        <f>IF(NOT(AND($A349&lt;&gt;"",OR($I349="",$I349="Active"))),"",IF($M349&lt;&gt;"",IF($N349=$M349,"Booking",IF($O349=$M349,"16/40",IF($P349=$M349,"25/40",IF($S349=$M349,"28/40",IF($T349=$M349,"31/40",IF($U349=$M349,"34/40",IF($V349=$M349,"36/40",IF($W349=$M349,"38/40",IF($X349=$M349,"40/40",IF($Y349=$M349,"41/40","")))))))))),IF(IF(OR(ISNUMBER($Y349),$Y349="DNA"),$Y349,IF(OR(ISNUMBER($X349),$X349="DNA"),$X349,IF(OR(ISNUMBER($W349),$W349="DNA"),$W349,IF(OR(ISNUMBER($V349),$V349="DNA"),$V349,IF(OR(ISNUMBER($U349),$U349="DNA"),$U349,IF(OR(ISNUMBER($T349),$T349="DNA"),$T349,IF(OR(ISNUMBER($S349),$S349="DNA"),$S349,IF(OR(ISNUMBER($P349),$P349="DNA"),$P349,IF(OR(ISNUMBER($O349),$O349="DNA"),$O349,IF(OR(ISNUMBER($N349),$N349="DNA"),$N349,""))))))))))="DNA","Rebook DNA",IF(ISNUMBER(IF(OR(ISNUMBER($Y349),$Y349="DNA"),$Y349,IF(OR(ISNUMBER($X349),$X349="DNA"),$X349,IF(OR(ISNUMBER($W349),$W349="DNA"),$W349,IF(OR(ISNUMBER($V349),$V349="DNA"),$V349,IF(OR(ISNUMBER($U349),$U349="DNA"),$U349,IF(OR(ISNUMBER($T349),$T349="DNA"),$T349,IF(OR(ISNUMBER($S349),$S349="DNA"),$S349,IF(OR(ISNUMBER($P349),$P349="DNA"),$P349,IF(OR(ISNUMBER($O349),$O349="DNA"),$O349,IF(OR(ISNUMBER($N349),$N349="DNA"),$N349,""))))))))))),IF(ISNUMBER($Y349),"Update status","Missed/not booked?"),""))))</f>
        <v/>
      </c>
      <c r="M349" s="29">
        <f>IF(NOT(AND($A349&lt;&gt;"",OR($I349="",$I349="Active"))),"",IF(MIN(IF(AND(ISNUMBER($N349),$N349&gt;=TODAY()),$N349,99999),IF(AND(ISNUMBER($O349),$O349&gt;=TODAY()),$O349,99999),IF(AND(ISNUMBER($P349),$P349&gt;=TODAY()),$P349,99999),IF(AND(ISNUMBER($S349),$S349&gt;=TODAY()),$S349,99999),IF(AND(ISNUMBER($T349),$T349&gt;=TODAY()),$T349,99999),IF(AND(ISNUMBER($U349),$U349&gt;=TODAY()),$U349,99999),IF(AND(ISNUMBER($V349),$V349&gt;=TODAY()),$V349,99999),IF(AND(ISNUMBER($W349),$W349&gt;=TODAY()),$W349,99999),IF(AND(ISNUMBER($X349),$X349&gt;=TODAY()),$X349,99999),IF(AND(ISNUMBER($Y349),$Y349&gt;=TODAY()),$Y349,99999))=99999,"",MIN(IF(AND(ISNUMBER($N349),$N349&gt;=TODAY()),$N349,99999),IF(AND(ISNUMBER($O349),$O349&gt;=TODAY()),$O349,99999),IF(AND(ISNUMBER($P349),$P349&gt;=TODAY()),$P349,99999),IF(AND(ISNUMBER($S349),$S349&gt;=TODAY()),$S349,99999),IF(AND(ISNUMBER($T349),$T349&gt;=TODAY()),$T349,99999),IF(AND(ISNUMBER($U349),$U349&gt;=TODAY()),$U349,99999),IF(AND(ISNUMBER($V349),$V349&gt;=TODAY()),$V349,99999),IF(AND(ISNUMBER($W349),$W349&gt;=TODAY()),$W349,99999),IF(AND(ISNUMBER($X349),$X349&gt;=TODAY()),$X349,99999),IF(AND(ISNUMBER($Y349),$Y349&gt;=TODAY()),$Y349,99999))))</f>
        <v/>
      </c>
      <c r="N349" s="27" t="n"/>
      <c r="O349" s="27" t="n"/>
      <c r="P349" s="27" t="n"/>
      <c r="Q349" s="27" t="n"/>
      <c r="R349" s="27" t="n"/>
      <c r="S349" s="27" t="n"/>
      <c r="T349" s="27" t="n"/>
      <c r="U349" s="27" t="n"/>
      <c r="V349" s="27" t="n"/>
      <c r="W349" s="27" t="n"/>
      <c r="X349" s="27" t="n"/>
      <c r="Y349" s="27" t="n"/>
      <c r="Z349" s="27" t="n"/>
      <c r="AA349" s="27" t="n"/>
      <c r="AB349" s="27" t="n"/>
      <c r="AC349" s="30" t="n"/>
      <c r="AD349" s="25" t="n"/>
      <c r="AE349" s="28">
        <f>IF(NOT(AND($A349&lt;&gt;"",OR($I349="",$I349="Active"))),"",IF(OR(IF(OR(ISNUMBER($Y349),$Y349="DNA"),$Y349,IF(OR(ISNUMBER($X349),$X349="DNA"),$X349,IF(OR(ISNUMBER($W349),$W349="DNA"),$W349,IF(OR(ISNUMBER($V349),$V349="DNA"),$V349,IF(OR(ISNUMBER($U349),$U349="DNA"),$U349,IF(OR(ISNUMBER($T349),$T349="DNA"),$T349,IF(OR(ISNUMBER($S349),$S349="DNA"),$S349,IF(OR(ISNUMBER($P349),$P349="DNA"),$P349,IF(OR(ISNUMBER($O349),$O349="DNA"),$O349,IF(OR(ISNUMBER($N349),$N349="DNA"),$N349,""))))))))))="DNA",AND(ISNUMBER(IF(OR(ISNUMBER($Y349),$Y349="DNA"),$Y349,IF(OR(ISNUMBER($X349),$X349="DNA"),$X349,IF(OR(ISNUMBER($W349),$W349="DNA"),$W349,IF(OR(ISNUMBER($V349),$V349="DNA"),$V349,IF(OR(ISNUMBER($U349),$U349="DNA"),$U349,IF(OR(ISNUMBER($T349),$T349="DNA"),$T349,IF(OR(ISNUMBER($S349),$S349="DNA"),$S349,IF(OR(ISNUMBER($P349),$P349="DNA"),$P349,IF(OR(ISNUMBER($O349),$O349="DNA"),$O349,IF(OR(ISNUMBER($N349),$N349="DNA"),$N349,""))))))))))),IF(OR(ISNUMBER($Y349),$Y349="DNA"),$Y349,IF(OR(ISNUMBER($X349),$X349="DNA"),$X349,IF(OR(ISNUMBER($W349),$W349="DNA"),$W349,IF(OR(ISNUMBER($V349),$V349="DNA"),$V349,IF(OR(ISNUMBER($U349),$U349="DNA"),$U349,IF(OR(ISNUMBER($T349),$T349="DNA"),$T349,IF(OR(ISNUMBER($S349),$S349="DNA"),$S349,IF(OR(ISNUMBER($P349),$P349="DNA"),$P349,IF(OR(ISNUMBER($O349),$O349="DNA"),$O349,IF(OR(ISNUMBER($N349),$N349="DNA"),$N349,""))))))))))&lt;TODAY())),1,0)+ISNUMBER($Q349)*($Q349&lt;TODAY())+ISNUMBER($R349)*($R349&lt;TODAY())+ISNUMBER($AA349)*($AA349&lt;TODAY())+ISNUMBER($AB349)*($AB349&lt;TODAY()))</f>
        <v/>
      </c>
    </row>
    <row r="350">
      <c r="A350" s="25" t="n"/>
      <c r="B350" s="26" t="n"/>
      <c r="C350" s="27" t="n"/>
      <c r="D350" s="25" t="n"/>
      <c r="E350" s="25" t="n"/>
      <c r="F350" s="25" t="n"/>
      <c r="G350" s="25" t="n"/>
      <c r="H350" s="27" t="n"/>
      <c r="I350" s="25" t="n"/>
      <c r="J350" s="28">
        <f>IF(OR(NOT(AND($A350&lt;&gt;"",OR($I350="",$I350="Active"))),$H350=""),"",INT((TODAY()-$H350+280)/7)&amp;"+"&amp;MOD(TODAY()-$H350+280,7))</f>
        <v/>
      </c>
      <c r="K350" s="28">
        <f>IF(NOT(AND($A350&lt;&gt;"",OR($I350="",$I350="Active"))),"",ISNUMBER($N350)*($N350&gt;=TODAY())*($N350&lt;=TODAY()+7)+ISNUMBER($O350)*($O350&gt;=TODAY())*($O350&lt;=TODAY()+7)+ISNUMBER($P350)*($P350&gt;=TODAY())*($P350&lt;=TODAY()+7)+ISNUMBER($S350)*($S350&gt;=TODAY())*($S350&lt;=TODAY()+7)+ISNUMBER($T350)*($T350&gt;=TODAY())*($T350&lt;=TODAY()+7)+ISNUMBER($U350)*($U350&gt;=TODAY())*($U350&lt;=TODAY()+7)+ISNUMBER($V350)*($V350&gt;=TODAY())*($V350&lt;=TODAY()+7)+ISNUMBER($W350)*($W350&gt;=TODAY())*($W350&lt;=TODAY()+7)+ISNUMBER($X350)*($X350&gt;=TODAY())*($X350&lt;=TODAY()+7)+ISNUMBER($Y350)*($Y350&gt;=TODAY())*($Y350&lt;=TODAY()+7)+ISNUMBER($Q350)*($Q350&gt;=TODAY())*($Q350&lt;=TODAY()+7)+ISNUMBER($R350)*($R350&gt;=TODAY())*($R350&lt;=TODAY()+7)+ISNUMBER($AA350)*($AA350&gt;=TODAY())*($AA350&lt;=TODAY()+7)+ISNUMBER($AB350)*($AB350&gt;=TODAY())*($AB350&lt;=TODAY()+7))</f>
        <v/>
      </c>
      <c r="L350" s="28">
        <f>IF(NOT(AND($A350&lt;&gt;"",OR($I350="",$I350="Active"))),"",IF($M350&lt;&gt;"",IF($N350=$M350,"Booking",IF($O350=$M350,"16/40",IF($P350=$M350,"25/40",IF($S350=$M350,"28/40",IF($T350=$M350,"31/40",IF($U350=$M350,"34/40",IF($V350=$M350,"36/40",IF($W350=$M350,"38/40",IF($X350=$M350,"40/40",IF($Y350=$M350,"41/40","")))))))))),IF(IF(OR(ISNUMBER($Y350),$Y350="DNA"),$Y350,IF(OR(ISNUMBER($X350),$X350="DNA"),$X350,IF(OR(ISNUMBER($W350),$W350="DNA"),$W350,IF(OR(ISNUMBER($V350),$V350="DNA"),$V350,IF(OR(ISNUMBER($U350),$U350="DNA"),$U350,IF(OR(ISNUMBER($T350),$T350="DNA"),$T350,IF(OR(ISNUMBER($S350),$S350="DNA"),$S350,IF(OR(ISNUMBER($P350),$P350="DNA"),$P350,IF(OR(ISNUMBER($O350),$O350="DNA"),$O350,IF(OR(ISNUMBER($N350),$N350="DNA"),$N350,""))))))))))="DNA","Rebook DNA",IF(ISNUMBER(IF(OR(ISNUMBER($Y350),$Y350="DNA"),$Y350,IF(OR(ISNUMBER($X350),$X350="DNA"),$X350,IF(OR(ISNUMBER($W350),$W350="DNA"),$W350,IF(OR(ISNUMBER($V350),$V350="DNA"),$V350,IF(OR(ISNUMBER($U350),$U350="DNA"),$U350,IF(OR(ISNUMBER($T350),$T350="DNA"),$T350,IF(OR(ISNUMBER($S350),$S350="DNA"),$S350,IF(OR(ISNUMBER($P350),$P350="DNA"),$P350,IF(OR(ISNUMBER($O350),$O350="DNA"),$O350,IF(OR(ISNUMBER($N350),$N350="DNA"),$N350,""))))))))))),IF(ISNUMBER($Y350),"Update status","Missed/not booked?"),""))))</f>
        <v/>
      </c>
      <c r="M350" s="29">
        <f>IF(NOT(AND($A350&lt;&gt;"",OR($I350="",$I350="Active"))),"",IF(MIN(IF(AND(ISNUMBER($N350),$N350&gt;=TODAY()),$N350,99999),IF(AND(ISNUMBER($O350),$O350&gt;=TODAY()),$O350,99999),IF(AND(ISNUMBER($P350),$P350&gt;=TODAY()),$P350,99999),IF(AND(ISNUMBER($S350),$S350&gt;=TODAY()),$S350,99999),IF(AND(ISNUMBER($T350),$T350&gt;=TODAY()),$T350,99999),IF(AND(ISNUMBER($U350),$U350&gt;=TODAY()),$U350,99999),IF(AND(ISNUMBER($V350),$V350&gt;=TODAY()),$V350,99999),IF(AND(ISNUMBER($W350),$W350&gt;=TODAY()),$W350,99999),IF(AND(ISNUMBER($X350),$X350&gt;=TODAY()),$X350,99999),IF(AND(ISNUMBER($Y350),$Y350&gt;=TODAY()),$Y350,99999))=99999,"",MIN(IF(AND(ISNUMBER($N350),$N350&gt;=TODAY()),$N350,99999),IF(AND(ISNUMBER($O350),$O350&gt;=TODAY()),$O350,99999),IF(AND(ISNUMBER($P350),$P350&gt;=TODAY()),$P350,99999),IF(AND(ISNUMBER($S350),$S350&gt;=TODAY()),$S350,99999),IF(AND(ISNUMBER($T350),$T350&gt;=TODAY()),$T350,99999),IF(AND(ISNUMBER($U350),$U350&gt;=TODAY()),$U350,99999),IF(AND(ISNUMBER($V350),$V350&gt;=TODAY()),$V350,99999),IF(AND(ISNUMBER($W350),$W350&gt;=TODAY()),$W350,99999),IF(AND(ISNUMBER($X350),$X350&gt;=TODAY()),$X350,99999),IF(AND(ISNUMBER($Y350),$Y350&gt;=TODAY()),$Y350,99999))))</f>
        <v/>
      </c>
      <c r="N350" s="27" t="n"/>
      <c r="O350" s="27" t="n"/>
      <c r="P350" s="27" t="n"/>
      <c r="Q350" s="27" t="n"/>
      <c r="R350" s="27" t="n"/>
      <c r="S350" s="27" t="n"/>
      <c r="T350" s="27" t="n"/>
      <c r="U350" s="27" t="n"/>
      <c r="V350" s="27" t="n"/>
      <c r="W350" s="27" t="n"/>
      <c r="X350" s="27" t="n"/>
      <c r="Y350" s="27" t="n"/>
      <c r="Z350" s="27" t="n"/>
      <c r="AA350" s="27" t="n"/>
      <c r="AB350" s="27" t="n"/>
      <c r="AC350" s="30" t="n"/>
      <c r="AD350" s="25" t="n"/>
      <c r="AE350" s="28">
        <f>IF(NOT(AND($A350&lt;&gt;"",OR($I350="",$I350="Active"))),"",IF(OR(IF(OR(ISNUMBER($Y350),$Y350="DNA"),$Y350,IF(OR(ISNUMBER($X350),$X350="DNA"),$X350,IF(OR(ISNUMBER($W350),$W350="DNA"),$W350,IF(OR(ISNUMBER($V350),$V350="DNA"),$V350,IF(OR(ISNUMBER($U350),$U350="DNA"),$U350,IF(OR(ISNUMBER($T350),$T350="DNA"),$T350,IF(OR(ISNUMBER($S350),$S350="DNA"),$S350,IF(OR(ISNUMBER($P350),$P350="DNA"),$P350,IF(OR(ISNUMBER($O350),$O350="DNA"),$O350,IF(OR(ISNUMBER($N350),$N350="DNA"),$N350,""))))))))))="DNA",AND(ISNUMBER(IF(OR(ISNUMBER($Y350),$Y350="DNA"),$Y350,IF(OR(ISNUMBER($X350),$X350="DNA"),$X350,IF(OR(ISNUMBER($W350),$W350="DNA"),$W350,IF(OR(ISNUMBER($V350),$V350="DNA"),$V350,IF(OR(ISNUMBER($U350),$U350="DNA"),$U350,IF(OR(ISNUMBER($T350),$T350="DNA"),$T350,IF(OR(ISNUMBER($S350),$S350="DNA"),$S350,IF(OR(ISNUMBER($P350),$P350="DNA"),$P350,IF(OR(ISNUMBER($O350),$O350="DNA"),$O350,IF(OR(ISNUMBER($N350),$N350="DNA"),$N350,""))))))))))),IF(OR(ISNUMBER($Y350),$Y350="DNA"),$Y350,IF(OR(ISNUMBER($X350),$X350="DNA"),$X350,IF(OR(ISNUMBER($W350),$W350="DNA"),$W350,IF(OR(ISNUMBER($V350),$V350="DNA"),$V350,IF(OR(ISNUMBER($U350),$U350="DNA"),$U350,IF(OR(ISNUMBER($T350),$T350="DNA"),$T350,IF(OR(ISNUMBER($S350),$S350="DNA"),$S350,IF(OR(ISNUMBER($P350),$P350="DNA"),$P350,IF(OR(ISNUMBER($O350),$O350="DNA"),$O350,IF(OR(ISNUMBER($N350),$N350="DNA"),$N350,""))))))))))&lt;TODAY())),1,0)+ISNUMBER($Q350)*($Q350&lt;TODAY())+ISNUMBER($R350)*($R350&lt;TODAY())+ISNUMBER($AA350)*($AA350&lt;TODAY())+ISNUMBER($AB350)*($AB350&lt;TODAY()))</f>
        <v/>
      </c>
    </row>
    <row r="351">
      <c r="A351" s="25" t="n"/>
      <c r="B351" s="26" t="n"/>
      <c r="C351" s="27" t="n"/>
      <c r="D351" s="25" t="n"/>
      <c r="E351" s="25" t="n"/>
      <c r="F351" s="25" t="n"/>
      <c r="G351" s="25" t="n"/>
      <c r="H351" s="27" t="n"/>
      <c r="I351" s="25" t="n"/>
      <c r="J351" s="28">
        <f>IF(OR(NOT(AND($A351&lt;&gt;"",OR($I351="",$I351="Active"))),$H351=""),"",INT((TODAY()-$H351+280)/7)&amp;"+"&amp;MOD(TODAY()-$H351+280,7))</f>
        <v/>
      </c>
      <c r="K351" s="28">
        <f>IF(NOT(AND($A351&lt;&gt;"",OR($I351="",$I351="Active"))),"",ISNUMBER($N351)*($N351&gt;=TODAY())*($N351&lt;=TODAY()+7)+ISNUMBER($O351)*($O351&gt;=TODAY())*($O351&lt;=TODAY()+7)+ISNUMBER($P351)*($P351&gt;=TODAY())*($P351&lt;=TODAY()+7)+ISNUMBER($S351)*($S351&gt;=TODAY())*($S351&lt;=TODAY()+7)+ISNUMBER($T351)*($T351&gt;=TODAY())*($T351&lt;=TODAY()+7)+ISNUMBER($U351)*($U351&gt;=TODAY())*($U351&lt;=TODAY()+7)+ISNUMBER($V351)*($V351&gt;=TODAY())*($V351&lt;=TODAY()+7)+ISNUMBER($W351)*($W351&gt;=TODAY())*($W351&lt;=TODAY()+7)+ISNUMBER($X351)*($X351&gt;=TODAY())*($X351&lt;=TODAY()+7)+ISNUMBER($Y351)*($Y351&gt;=TODAY())*($Y351&lt;=TODAY()+7)+ISNUMBER($Q351)*($Q351&gt;=TODAY())*($Q351&lt;=TODAY()+7)+ISNUMBER($R351)*($R351&gt;=TODAY())*($R351&lt;=TODAY()+7)+ISNUMBER($AA351)*($AA351&gt;=TODAY())*($AA351&lt;=TODAY()+7)+ISNUMBER($AB351)*($AB351&gt;=TODAY())*($AB351&lt;=TODAY()+7))</f>
        <v/>
      </c>
      <c r="L351" s="28">
        <f>IF(NOT(AND($A351&lt;&gt;"",OR($I351="",$I351="Active"))),"",IF($M351&lt;&gt;"",IF($N351=$M351,"Booking",IF($O351=$M351,"16/40",IF($P351=$M351,"25/40",IF($S351=$M351,"28/40",IF($T351=$M351,"31/40",IF($U351=$M351,"34/40",IF($V351=$M351,"36/40",IF($W351=$M351,"38/40",IF($X351=$M351,"40/40",IF($Y351=$M351,"41/40","")))))))))),IF(IF(OR(ISNUMBER($Y351),$Y351="DNA"),$Y351,IF(OR(ISNUMBER($X351),$X351="DNA"),$X351,IF(OR(ISNUMBER($W351),$W351="DNA"),$W351,IF(OR(ISNUMBER($V351),$V351="DNA"),$V351,IF(OR(ISNUMBER($U351),$U351="DNA"),$U351,IF(OR(ISNUMBER($T351),$T351="DNA"),$T351,IF(OR(ISNUMBER($S351),$S351="DNA"),$S351,IF(OR(ISNUMBER($P351),$P351="DNA"),$P351,IF(OR(ISNUMBER($O351),$O351="DNA"),$O351,IF(OR(ISNUMBER($N351),$N351="DNA"),$N351,""))))))))))="DNA","Rebook DNA",IF(ISNUMBER(IF(OR(ISNUMBER($Y351),$Y351="DNA"),$Y351,IF(OR(ISNUMBER($X351),$X351="DNA"),$X351,IF(OR(ISNUMBER($W351),$W351="DNA"),$W351,IF(OR(ISNUMBER($V351),$V351="DNA"),$V351,IF(OR(ISNUMBER($U351),$U351="DNA"),$U351,IF(OR(ISNUMBER($T351),$T351="DNA"),$T351,IF(OR(ISNUMBER($S351),$S351="DNA"),$S351,IF(OR(ISNUMBER($P351),$P351="DNA"),$P351,IF(OR(ISNUMBER($O351),$O351="DNA"),$O351,IF(OR(ISNUMBER($N351),$N351="DNA"),$N351,""))))))))))),IF(ISNUMBER($Y351),"Update status","Missed/not booked?"),""))))</f>
        <v/>
      </c>
      <c r="M351" s="29">
        <f>IF(NOT(AND($A351&lt;&gt;"",OR($I351="",$I351="Active"))),"",IF(MIN(IF(AND(ISNUMBER($N351),$N351&gt;=TODAY()),$N351,99999),IF(AND(ISNUMBER($O351),$O351&gt;=TODAY()),$O351,99999),IF(AND(ISNUMBER($P351),$P351&gt;=TODAY()),$P351,99999),IF(AND(ISNUMBER($S351),$S351&gt;=TODAY()),$S351,99999),IF(AND(ISNUMBER($T351),$T351&gt;=TODAY()),$T351,99999),IF(AND(ISNUMBER($U351),$U351&gt;=TODAY()),$U351,99999),IF(AND(ISNUMBER($V351),$V351&gt;=TODAY()),$V351,99999),IF(AND(ISNUMBER($W351),$W351&gt;=TODAY()),$W351,99999),IF(AND(ISNUMBER($X351),$X351&gt;=TODAY()),$X351,99999),IF(AND(ISNUMBER($Y351),$Y351&gt;=TODAY()),$Y351,99999))=99999,"",MIN(IF(AND(ISNUMBER($N351),$N351&gt;=TODAY()),$N351,99999),IF(AND(ISNUMBER($O351),$O351&gt;=TODAY()),$O351,99999),IF(AND(ISNUMBER($P351),$P351&gt;=TODAY()),$P351,99999),IF(AND(ISNUMBER($S351),$S351&gt;=TODAY()),$S351,99999),IF(AND(ISNUMBER($T351),$T351&gt;=TODAY()),$T351,99999),IF(AND(ISNUMBER($U351),$U351&gt;=TODAY()),$U351,99999),IF(AND(ISNUMBER($V351),$V351&gt;=TODAY()),$V351,99999),IF(AND(ISNUMBER($W351),$W351&gt;=TODAY()),$W351,99999),IF(AND(ISNUMBER($X351),$X351&gt;=TODAY()),$X351,99999),IF(AND(ISNUMBER($Y351),$Y351&gt;=TODAY()),$Y351,99999))))</f>
        <v/>
      </c>
      <c r="N351" s="27" t="n"/>
      <c r="O351" s="27" t="n"/>
      <c r="P351" s="27" t="n"/>
      <c r="Q351" s="27" t="n"/>
      <c r="R351" s="27" t="n"/>
      <c r="S351" s="27" t="n"/>
      <c r="T351" s="27" t="n"/>
      <c r="U351" s="27" t="n"/>
      <c r="V351" s="27" t="n"/>
      <c r="W351" s="27" t="n"/>
      <c r="X351" s="27" t="n"/>
      <c r="Y351" s="27" t="n"/>
      <c r="Z351" s="27" t="n"/>
      <c r="AA351" s="27" t="n"/>
      <c r="AB351" s="27" t="n"/>
      <c r="AC351" s="30" t="n"/>
      <c r="AD351" s="25" t="n"/>
      <c r="AE351" s="28">
        <f>IF(NOT(AND($A351&lt;&gt;"",OR($I351="",$I351="Active"))),"",IF(OR(IF(OR(ISNUMBER($Y351),$Y351="DNA"),$Y351,IF(OR(ISNUMBER($X351),$X351="DNA"),$X351,IF(OR(ISNUMBER($W351),$W351="DNA"),$W351,IF(OR(ISNUMBER($V351),$V351="DNA"),$V351,IF(OR(ISNUMBER($U351),$U351="DNA"),$U351,IF(OR(ISNUMBER($T351),$T351="DNA"),$T351,IF(OR(ISNUMBER($S351),$S351="DNA"),$S351,IF(OR(ISNUMBER($P351),$P351="DNA"),$P351,IF(OR(ISNUMBER($O351),$O351="DNA"),$O351,IF(OR(ISNUMBER($N351),$N351="DNA"),$N351,""))))))))))="DNA",AND(ISNUMBER(IF(OR(ISNUMBER($Y351),$Y351="DNA"),$Y351,IF(OR(ISNUMBER($X351),$X351="DNA"),$X351,IF(OR(ISNUMBER($W351),$W351="DNA"),$W351,IF(OR(ISNUMBER($V351),$V351="DNA"),$V351,IF(OR(ISNUMBER($U351),$U351="DNA"),$U351,IF(OR(ISNUMBER($T351),$T351="DNA"),$T351,IF(OR(ISNUMBER($S351),$S351="DNA"),$S351,IF(OR(ISNUMBER($P351),$P351="DNA"),$P351,IF(OR(ISNUMBER($O351),$O351="DNA"),$O351,IF(OR(ISNUMBER($N351),$N351="DNA"),$N351,""))))))))))),IF(OR(ISNUMBER($Y351),$Y351="DNA"),$Y351,IF(OR(ISNUMBER($X351),$X351="DNA"),$X351,IF(OR(ISNUMBER($W351),$W351="DNA"),$W351,IF(OR(ISNUMBER($V351),$V351="DNA"),$V351,IF(OR(ISNUMBER($U351),$U351="DNA"),$U351,IF(OR(ISNUMBER($T351),$T351="DNA"),$T351,IF(OR(ISNUMBER($S351),$S351="DNA"),$S351,IF(OR(ISNUMBER($P351),$P351="DNA"),$P351,IF(OR(ISNUMBER($O351),$O351="DNA"),$O351,IF(OR(ISNUMBER($N351),$N351="DNA"),$N351,""))))))))))&lt;TODAY())),1,0)+ISNUMBER($Q351)*($Q351&lt;TODAY())+ISNUMBER($R351)*($R351&lt;TODAY())+ISNUMBER($AA351)*($AA351&lt;TODAY())+ISNUMBER($AB351)*($AB351&lt;TODAY()))</f>
        <v/>
      </c>
    </row>
    <row r="352">
      <c r="A352" s="25" t="n"/>
      <c r="B352" s="26" t="n"/>
      <c r="C352" s="27" t="n"/>
      <c r="D352" s="25" t="n"/>
      <c r="E352" s="25" t="n"/>
      <c r="F352" s="25" t="n"/>
      <c r="G352" s="25" t="n"/>
      <c r="H352" s="27" t="n"/>
      <c r="I352" s="25" t="n"/>
      <c r="J352" s="28">
        <f>IF(OR(NOT(AND($A352&lt;&gt;"",OR($I352="",$I352="Active"))),$H352=""),"",INT((TODAY()-$H352+280)/7)&amp;"+"&amp;MOD(TODAY()-$H352+280,7))</f>
        <v/>
      </c>
      <c r="K352" s="28">
        <f>IF(NOT(AND($A352&lt;&gt;"",OR($I352="",$I352="Active"))),"",ISNUMBER($N352)*($N352&gt;=TODAY())*($N352&lt;=TODAY()+7)+ISNUMBER($O352)*($O352&gt;=TODAY())*($O352&lt;=TODAY()+7)+ISNUMBER($P352)*($P352&gt;=TODAY())*($P352&lt;=TODAY()+7)+ISNUMBER($S352)*($S352&gt;=TODAY())*($S352&lt;=TODAY()+7)+ISNUMBER($T352)*($T352&gt;=TODAY())*($T352&lt;=TODAY()+7)+ISNUMBER($U352)*($U352&gt;=TODAY())*($U352&lt;=TODAY()+7)+ISNUMBER($V352)*($V352&gt;=TODAY())*($V352&lt;=TODAY()+7)+ISNUMBER($W352)*($W352&gt;=TODAY())*($W352&lt;=TODAY()+7)+ISNUMBER($X352)*($X352&gt;=TODAY())*($X352&lt;=TODAY()+7)+ISNUMBER($Y352)*($Y352&gt;=TODAY())*($Y352&lt;=TODAY()+7)+ISNUMBER($Q352)*($Q352&gt;=TODAY())*($Q352&lt;=TODAY()+7)+ISNUMBER($R352)*($R352&gt;=TODAY())*($R352&lt;=TODAY()+7)+ISNUMBER($AA352)*($AA352&gt;=TODAY())*($AA352&lt;=TODAY()+7)+ISNUMBER($AB352)*($AB352&gt;=TODAY())*($AB352&lt;=TODAY()+7))</f>
        <v/>
      </c>
      <c r="L352" s="28">
        <f>IF(NOT(AND($A352&lt;&gt;"",OR($I352="",$I352="Active"))),"",IF($M352&lt;&gt;"",IF($N352=$M352,"Booking",IF($O352=$M352,"16/40",IF($P352=$M352,"25/40",IF($S352=$M352,"28/40",IF($T352=$M352,"31/40",IF($U352=$M352,"34/40",IF($V352=$M352,"36/40",IF($W352=$M352,"38/40",IF($X352=$M352,"40/40",IF($Y352=$M352,"41/40","")))))))))),IF(IF(OR(ISNUMBER($Y352),$Y352="DNA"),$Y352,IF(OR(ISNUMBER($X352),$X352="DNA"),$X352,IF(OR(ISNUMBER($W352),$W352="DNA"),$W352,IF(OR(ISNUMBER($V352),$V352="DNA"),$V352,IF(OR(ISNUMBER($U352),$U352="DNA"),$U352,IF(OR(ISNUMBER($T352),$T352="DNA"),$T352,IF(OR(ISNUMBER($S352),$S352="DNA"),$S352,IF(OR(ISNUMBER($P352),$P352="DNA"),$P352,IF(OR(ISNUMBER($O352),$O352="DNA"),$O352,IF(OR(ISNUMBER($N352),$N352="DNA"),$N352,""))))))))))="DNA","Rebook DNA",IF(ISNUMBER(IF(OR(ISNUMBER($Y352),$Y352="DNA"),$Y352,IF(OR(ISNUMBER($X352),$X352="DNA"),$X352,IF(OR(ISNUMBER($W352),$W352="DNA"),$W352,IF(OR(ISNUMBER($V352),$V352="DNA"),$V352,IF(OR(ISNUMBER($U352),$U352="DNA"),$U352,IF(OR(ISNUMBER($T352),$T352="DNA"),$T352,IF(OR(ISNUMBER($S352),$S352="DNA"),$S352,IF(OR(ISNUMBER($P352),$P352="DNA"),$P352,IF(OR(ISNUMBER($O352),$O352="DNA"),$O352,IF(OR(ISNUMBER($N352),$N352="DNA"),$N352,""))))))))))),IF(ISNUMBER($Y352),"Update status","Missed/not booked?"),""))))</f>
        <v/>
      </c>
      <c r="M352" s="29">
        <f>IF(NOT(AND($A352&lt;&gt;"",OR($I352="",$I352="Active"))),"",IF(MIN(IF(AND(ISNUMBER($N352),$N352&gt;=TODAY()),$N352,99999),IF(AND(ISNUMBER($O352),$O352&gt;=TODAY()),$O352,99999),IF(AND(ISNUMBER($P352),$P352&gt;=TODAY()),$P352,99999),IF(AND(ISNUMBER($S352),$S352&gt;=TODAY()),$S352,99999),IF(AND(ISNUMBER($T352),$T352&gt;=TODAY()),$T352,99999),IF(AND(ISNUMBER($U352),$U352&gt;=TODAY()),$U352,99999),IF(AND(ISNUMBER($V352),$V352&gt;=TODAY()),$V352,99999),IF(AND(ISNUMBER($W352),$W352&gt;=TODAY()),$W352,99999),IF(AND(ISNUMBER($X352),$X352&gt;=TODAY()),$X352,99999),IF(AND(ISNUMBER($Y352),$Y352&gt;=TODAY()),$Y352,99999))=99999,"",MIN(IF(AND(ISNUMBER($N352),$N352&gt;=TODAY()),$N352,99999),IF(AND(ISNUMBER($O352),$O352&gt;=TODAY()),$O352,99999),IF(AND(ISNUMBER($P352),$P352&gt;=TODAY()),$P352,99999),IF(AND(ISNUMBER($S352),$S352&gt;=TODAY()),$S352,99999),IF(AND(ISNUMBER($T352),$T352&gt;=TODAY()),$T352,99999),IF(AND(ISNUMBER($U352),$U352&gt;=TODAY()),$U352,99999),IF(AND(ISNUMBER($V352),$V352&gt;=TODAY()),$V352,99999),IF(AND(ISNUMBER($W352),$W352&gt;=TODAY()),$W352,99999),IF(AND(ISNUMBER($X352),$X352&gt;=TODAY()),$X352,99999),IF(AND(ISNUMBER($Y352),$Y352&gt;=TODAY()),$Y352,99999))))</f>
        <v/>
      </c>
      <c r="N352" s="27" t="n"/>
      <c r="O352" s="27" t="n"/>
      <c r="P352" s="27" t="n"/>
      <c r="Q352" s="27" t="n"/>
      <c r="R352" s="27" t="n"/>
      <c r="S352" s="27" t="n"/>
      <c r="T352" s="27" t="n"/>
      <c r="U352" s="27" t="n"/>
      <c r="V352" s="27" t="n"/>
      <c r="W352" s="27" t="n"/>
      <c r="X352" s="27" t="n"/>
      <c r="Y352" s="27" t="n"/>
      <c r="Z352" s="27" t="n"/>
      <c r="AA352" s="27" t="n"/>
      <c r="AB352" s="27" t="n"/>
      <c r="AC352" s="30" t="n"/>
      <c r="AD352" s="25" t="n"/>
      <c r="AE352" s="28">
        <f>IF(NOT(AND($A352&lt;&gt;"",OR($I352="",$I352="Active"))),"",IF(OR(IF(OR(ISNUMBER($Y352),$Y352="DNA"),$Y352,IF(OR(ISNUMBER($X352),$X352="DNA"),$X352,IF(OR(ISNUMBER($W352),$W352="DNA"),$W352,IF(OR(ISNUMBER($V352),$V352="DNA"),$V352,IF(OR(ISNUMBER($U352),$U352="DNA"),$U352,IF(OR(ISNUMBER($T352),$T352="DNA"),$T352,IF(OR(ISNUMBER($S352),$S352="DNA"),$S352,IF(OR(ISNUMBER($P352),$P352="DNA"),$P352,IF(OR(ISNUMBER($O352),$O352="DNA"),$O352,IF(OR(ISNUMBER($N352),$N352="DNA"),$N352,""))))))))))="DNA",AND(ISNUMBER(IF(OR(ISNUMBER($Y352),$Y352="DNA"),$Y352,IF(OR(ISNUMBER($X352),$X352="DNA"),$X352,IF(OR(ISNUMBER($W352),$W352="DNA"),$W352,IF(OR(ISNUMBER($V352),$V352="DNA"),$V352,IF(OR(ISNUMBER($U352),$U352="DNA"),$U352,IF(OR(ISNUMBER($T352),$T352="DNA"),$T352,IF(OR(ISNUMBER($S352),$S352="DNA"),$S352,IF(OR(ISNUMBER($P352),$P352="DNA"),$P352,IF(OR(ISNUMBER($O352),$O352="DNA"),$O352,IF(OR(ISNUMBER($N352),$N352="DNA"),$N352,""))))))))))),IF(OR(ISNUMBER($Y352),$Y352="DNA"),$Y352,IF(OR(ISNUMBER($X352),$X352="DNA"),$X352,IF(OR(ISNUMBER($W352),$W352="DNA"),$W352,IF(OR(ISNUMBER($V352),$V352="DNA"),$V352,IF(OR(ISNUMBER($U352),$U352="DNA"),$U352,IF(OR(ISNUMBER($T352),$T352="DNA"),$T352,IF(OR(ISNUMBER($S352),$S352="DNA"),$S352,IF(OR(ISNUMBER($P352),$P352="DNA"),$P352,IF(OR(ISNUMBER($O352),$O352="DNA"),$O352,IF(OR(ISNUMBER($N352),$N352="DNA"),$N352,""))))))))))&lt;TODAY())),1,0)+ISNUMBER($Q352)*($Q352&lt;TODAY())+ISNUMBER($R352)*($R352&lt;TODAY())+ISNUMBER($AA352)*($AA352&lt;TODAY())+ISNUMBER($AB352)*($AB352&lt;TODAY()))</f>
        <v/>
      </c>
    </row>
    <row r="353">
      <c r="A353" s="25" t="n"/>
      <c r="B353" s="26" t="n"/>
      <c r="C353" s="27" t="n"/>
      <c r="D353" s="25" t="n"/>
      <c r="E353" s="25" t="n"/>
      <c r="F353" s="25" t="n"/>
      <c r="G353" s="25" t="n"/>
      <c r="H353" s="27" t="n"/>
      <c r="I353" s="25" t="n"/>
      <c r="J353" s="28">
        <f>IF(OR(NOT(AND($A353&lt;&gt;"",OR($I353="",$I353="Active"))),$H353=""),"",INT((TODAY()-$H353+280)/7)&amp;"+"&amp;MOD(TODAY()-$H353+280,7))</f>
        <v/>
      </c>
      <c r="K353" s="28">
        <f>IF(NOT(AND($A353&lt;&gt;"",OR($I353="",$I353="Active"))),"",ISNUMBER($N353)*($N353&gt;=TODAY())*($N353&lt;=TODAY()+7)+ISNUMBER($O353)*($O353&gt;=TODAY())*($O353&lt;=TODAY()+7)+ISNUMBER($P353)*($P353&gt;=TODAY())*($P353&lt;=TODAY()+7)+ISNUMBER($S353)*($S353&gt;=TODAY())*($S353&lt;=TODAY()+7)+ISNUMBER($T353)*($T353&gt;=TODAY())*($T353&lt;=TODAY()+7)+ISNUMBER($U353)*($U353&gt;=TODAY())*($U353&lt;=TODAY()+7)+ISNUMBER($V353)*($V353&gt;=TODAY())*($V353&lt;=TODAY()+7)+ISNUMBER($W353)*($W353&gt;=TODAY())*($W353&lt;=TODAY()+7)+ISNUMBER($X353)*($X353&gt;=TODAY())*($X353&lt;=TODAY()+7)+ISNUMBER($Y353)*($Y353&gt;=TODAY())*($Y353&lt;=TODAY()+7)+ISNUMBER($Q353)*($Q353&gt;=TODAY())*($Q353&lt;=TODAY()+7)+ISNUMBER($R353)*($R353&gt;=TODAY())*($R353&lt;=TODAY()+7)+ISNUMBER($AA353)*($AA353&gt;=TODAY())*($AA353&lt;=TODAY()+7)+ISNUMBER($AB353)*($AB353&gt;=TODAY())*($AB353&lt;=TODAY()+7))</f>
        <v/>
      </c>
      <c r="L353" s="28">
        <f>IF(NOT(AND($A353&lt;&gt;"",OR($I353="",$I353="Active"))),"",IF($M353&lt;&gt;"",IF($N353=$M353,"Booking",IF($O353=$M353,"16/40",IF($P353=$M353,"25/40",IF($S353=$M353,"28/40",IF($T353=$M353,"31/40",IF($U353=$M353,"34/40",IF($V353=$M353,"36/40",IF($W353=$M353,"38/40",IF($X353=$M353,"40/40",IF($Y353=$M353,"41/40","")))))))))),IF(IF(OR(ISNUMBER($Y353),$Y353="DNA"),$Y353,IF(OR(ISNUMBER($X353),$X353="DNA"),$X353,IF(OR(ISNUMBER($W353),$W353="DNA"),$W353,IF(OR(ISNUMBER($V353),$V353="DNA"),$V353,IF(OR(ISNUMBER($U353),$U353="DNA"),$U353,IF(OR(ISNUMBER($T353),$T353="DNA"),$T353,IF(OR(ISNUMBER($S353),$S353="DNA"),$S353,IF(OR(ISNUMBER($P353),$P353="DNA"),$P353,IF(OR(ISNUMBER($O353),$O353="DNA"),$O353,IF(OR(ISNUMBER($N353),$N353="DNA"),$N353,""))))))))))="DNA","Rebook DNA",IF(ISNUMBER(IF(OR(ISNUMBER($Y353),$Y353="DNA"),$Y353,IF(OR(ISNUMBER($X353),$X353="DNA"),$X353,IF(OR(ISNUMBER($W353),$W353="DNA"),$W353,IF(OR(ISNUMBER($V353),$V353="DNA"),$V353,IF(OR(ISNUMBER($U353),$U353="DNA"),$U353,IF(OR(ISNUMBER($T353),$T353="DNA"),$T353,IF(OR(ISNUMBER($S353),$S353="DNA"),$S353,IF(OR(ISNUMBER($P353),$P353="DNA"),$P353,IF(OR(ISNUMBER($O353),$O353="DNA"),$O353,IF(OR(ISNUMBER($N353),$N353="DNA"),$N353,""))))))))))),IF(ISNUMBER($Y353),"Update status","Missed/not booked?"),""))))</f>
        <v/>
      </c>
      <c r="M353" s="29">
        <f>IF(NOT(AND($A353&lt;&gt;"",OR($I353="",$I353="Active"))),"",IF(MIN(IF(AND(ISNUMBER($N353),$N353&gt;=TODAY()),$N353,99999),IF(AND(ISNUMBER($O353),$O353&gt;=TODAY()),$O353,99999),IF(AND(ISNUMBER($P353),$P353&gt;=TODAY()),$P353,99999),IF(AND(ISNUMBER($S353),$S353&gt;=TODAY()),$S353,99999),IF(AND(ISNUMBER($T353),$T353&gt;=TODAY()),$T353,99999),IF(AND(ISNUMBER($U353),$U353&gt;=TODAY()),$U353,99999),IF(AND(ISNUMBER($V353),$V353&gt;=TODAY()),$V353,99999),IF(AND(ISNUMBER($W353),$W353&gt;=TODAY()),$W353,99999),IF(AND(ISNUMBER($X353),$X353&gt;=TODAY()),$X353,99999),IF(AND(ISNUMBER($Y353),$Y353&gt;=TODAY()),$Y353,99999))=99999,"",MIN(IF(AND(ISNUMBER($N353),$N353&gt;=TODAY()),$N353,99999),IF(AND(ISNUMBER($O353),$O353&gt;=TODAY()),$O353,99999),IF(AND(ISNUMBER($P353),$P353&gt;=TODAY()),$P353,99999),IF(AND(ISNUMBER($S353),$S353&gt;=TODAY()),$S353,99999),IF(AND(ISNUMBER($T353),$T353&gt;=TODAY()),$T353,99999),IF(AND(ISNUMBER($U353),$U353&gt;=TODAY()),$U353,99999),IF(AND(ISNUMBER($V353),$V353&gt;=TODAY()),$V353,99999),IF(AND(ISNUMBER($W353),$W353&gt;=TODAY()),$W353,99999),IF(AND(ISNUMBER($X353),$X353&gt;=TODAY()),$X353,99999),IF(AND(ISNUMBER($Y353),$Y353&gt;=TODAY()),$Y353,99999))))</f>
        <v/>
      </c>
      <c r="N353" s="27" t="n"/>
      <c r="O353" s="27" t="n"/>
      <c r="P353" s="27" t="n"/>
      <c r="Q353" s="27" t="n"/>
      <c r="R353" s="27" t="n"/>
      <c r="S353" s="27" t="n"/>
      <c r="T353" s="27" t="n"/>
      <c r="U353" s="27" t="n"/>
      <c r="V353" s="27" t="n"/>
      <c r="W353" s="27" t="n"/>
      <c r="X353" s="27" t="n"/>
      <c r="Y353" s="27" t="n"/>
      <c r="Z353" s="27" t="n"/>
      <c r="AA353" s="27" t="n"/>
      <c r="AB353" s="27" t="n"/>
      <c r="AC353" s="30" t="n"/>
      <c r="AD353" s="25" t="n"/>
      <c r="AE353" s="28">
        <f>IF(NOT(AND($A353&lt;&gt;"",OR($I353="",$I353="Active"))),"",IF(OR(IF(OR(ISNUMBER($Y353),$Y353="DNA"),$Y353,IF(OR(ISNUMBER($X353),$X353="DNA"),$X353,IF(OR(ISNUMBER($W353),$W353="DNA"),$W353,IF(OR(ISNUMBER($V353),$V353="DNA"),$V353,IF(OR(ISNUMBER($U353),$U353="DNA"),$U353,IF(OR(ISNUMBER($T353),$T353="DNA"),$T353,IF(OR(ISNUMBER($S353),$S353="DNA"),$S353,IF(OR(ISNUMBER($P353),$P353="DNA"),$P353,IF(OR(ISNUMBER($O353),$O353="DNA"),$O353,IF(OR(ISNUMBER($N353),$N353="DNA"),$N353,""))))))))))="DNA",AND(ISNUMBER(IF(OR(ISNUMBER($Y353),$Y353="DNA"),$Y353,IF(OR(ISNUMBER($X353),$X353="DNA"),$X353,IF(OR(ISNUMBER($W353),$W353="DNA"),$W353,IF(OR(ISNUMBER($V353),$V353="DNA"),$V353,IF(OR(ISNUMBER($U353),$U353="DNA"),$U353,IF(OR(ISNUMBER($T353),$T353="DNA"),$T353,IF(OR(ISNUMBER($S353),$S353="DNA"),$S353,IF(OR(ISNUMBER($P353),$P353="DNA"),$P353,IF(OR(ISNUMBER($O353),$O353="DNA"),$O353,IF(OR(ISNUMBER($N353),$N353="DNA"),$N353,""))))))))))),IF(OR(ISNUMBER($Y353),$Y353="DNA"),$Y353,IF(OR(ISNUMBER($X353),$X353="DNA"),$X353,IF(OR(ISNUMBER($W353),$W353="DNA"),$W353,IF(OR(ISNUMBER($V353),$V353="DNA"),$V353,IF(OR(ISNUMBER($U353),$U353="DNA"),$U353,IF(OR(ISNUMBER($T353),$T353="DNA"),$T353,IF(OR(ISNUMBER($S353),$S353="DNA"),$S353,IF(OR(ISNUMBER($P353),$P353="DNA"),$P353,IF(OR(ISNUMBER($O353),$O353="DNA"),$O353,IF(OR(ISNUMBER($N353),$N353="DNA"),$N353,""))))))))))&lt;TODAY())),1,0)+ISNUMBER($Q353)*($Q353&lt;TODAY())+ISNUMBER($R353)*($R353&lt;TODAY())+ISNUMBER($AA353)*($AA353&lt;TODAY())+ISNUMBER($AB353)*($AB353&lt;TODAY()))</f>
        <v/>
      </c>
    </row>
    <row r="354">
      <c r="A354" s="25" t="n"/>
      <c r="B354" s="26" t="n"/>
      <c r="C354" s="27" t="n"/>
      <c r="D354" s="25" t="n"/>
      <c r="E354" s="25" t="n"/>
      <c r="F354" s="25" t="n"/>
      <c r="G354" s="25" t="n"/>
      <c r="H354" s="27" t="n"/>
      <c r="I354" s="25" t="n"/>
      <c r="J354" s="28">
        <f>IF(OR(NOT(AND($A354&lt;&gt;"",OR($I354="",$I354="Active"))),$H354=""),"",INT((TODAY()-$H354+280)/7)&amp;"+"&amp;MOD(TODAY()-$H354+280,7))</f>
        <v/>
      </c>
      <c r="K354" s="28">
        <f>IF(NOT(AND($A354&lt;&gt;"",OR($I354="",$I354="Active"))),"",ISNUMBER($N354)*($N354&gt;=TODAY())*($N354&lt;=TODAY()+7)+ISNUMBER($O354)*($O354&gt;=TODAY())*($O354&lt;=TODAY()+7)+ISNUMBER($P354)*($P354&gt;=TODAY())*($P354&lt;=TODAY()+7)+ISNUMBER($S354)*($S354&gt;=TODAY())*($S354&lt;=TODAY()+7)+ISNUMBER($T354)*($T354&gt;=TODAY())*($T354&lt;=TODAY()+7)+ISNUMBER($U354)*($U354&gt;=TODAY())*($U354&lt;=TODAY()+7)+ISNUMBER($V354)*($V354&gt;=TODAY())*($V354&lt;=TODAY()+7)+ISNUMBER($W354)*($W354&gt;=TODAY())*($W354&lt;=TODAY()+7)+ISNUMBER($X354)*($X354&gt;=TODAY())*($X354&lt;=TODAY()+7)+ISNUMBER($Y354)*($Y354&gt;=TODAY())*($Y354&lt;=TODAY()+7)+ISNUMBER($Q354)*($Q354&gt;=TODAY())*($Q354&lt;=TODAY()+7)+ISNUMBER($R354)*($R354&gt;=TODAY())*($R354&lt;=TODAY()+7)+ISNUMBER($AA354)*($AA354&gt;=TODAY())*($AA354&lt;=TODAY()+7)+ISNUMBER($AB354)*($AB354&gt;=TODAY())*($AB354&lt;=TODAY()+7))</f>
        <v/>
      </c>
      <c r="L354" s="28">
        <f>IF(NOT(AND($A354&lt;&gt;"",OR($I354="",$I354="Active"))),"",IF($M354&lt;&gt;"",IF($N354=$M354,"Booking",IF($O354=$M354,"16/40",IF($P354=$M354,"25/40",IF($S354=$M354,"28/40",IF($T354=$M354,"31/40",IF($U354=$M354,"34/40",IF($V354=$M354,"36/40",IF($W354=$M354,"38/40",IF($X354=$M354,"40/40",IF($Y354=$M354,"41/40","")))))))))),IF(IF(OR(ISNUMBER($Y354),$Y354="DNA"),$Y354,IF(OR(ISNUMBER($X354),$X354="DNA"),$X354,IF(OR(ISNUMBER($W354),$W354="DNA"),$W354,IF(OR(ISNUMBER($V354),$V354="DNA"),$V354,IF(OR(ISNUMBER($U354),$U354="DNA"),$U354,IF(OR(ISNUMBER($T354),$T354="DNA"),$T354,IF(OR(ISNUMBER($S354),$S354="DNA"),$S354,IF(OR(ISNUMBER($P354),$P354="DNA"),$P354,IF(OR(ISNUMBER($O354),$O354="DNA"),$O354,IF(OR(ISNUMBER($N354),$N354="DNA"),$N354,""))))))))))="DNA","Rebook DNA",IF(ISNUMBER(IF(OR(ISNUMBER($Y354),$Y354="DNA"),$Y354,IF(OR(ISNUMBER($X354),$X354="DNA"),$X354,IF(OR(ISNUMBER($W354),$W354="DNA"),$W354,IF(OR(ISNUMBER($V354),$V354="DNA"),$V354,IF(OR(ISNUMBER($U354),$U354="DNA"),$U354,IF(OR(ISNUMBER($T354),$T354="DNA"),$T354,IF(OR(ISNUMBER($S354),$S354="DNA"),$S354,IF(OR(ISNUMBER($P354),$P354="DNA"),$P354,IF(OR(ISNUMBER($O354),$O354="DNA"),$O354,IF(OR(ISNUMBER($N354),$N354="DNA"),$N354,""))))))))))),IF(ISNUMBER($Y354),"Update status","Missed/not booked?"),""))))</f>
        <v/>
      </c>
      <c r="M354" s="29">
        <f>IF(NOT(AND($A354&lt;&gt;"",OR($I354="",$I354="Active"))),"",IF(MIN(IF(AND(ISNUMBER($N354),$N354&gt;=TODAY()),$N354,99999),IF(AND(ISNUMBER($O354),$O354&gt;=TODAY()),$O354,99999),IF(AND(ISNUMBER($P354),$P354&gt;=TODAY()),$P354,99999),IF(AND(ISNUMBER($S354),$S354&gt;=TODAY()),$S354,99999),IF(AND(ISNUMBER($T354),$T354&gt;=TODAY()),$T354,99999),IF(AND(ISNUMBER($U354),$U354&gt;=TODAY()),$U354,99999),IF(AND(ISNUMBER($V354),$V354&gt;=TODAY()),$V354,99999),IF(AND(ISNUMBER($W354),$W354&gt;=TODAY()),$W354,99999),IF(AND(ISNUMBER($X354),$X354&gt;=TODAY()),$X354,99999),IF(AND(ISNUMBER($Y354),$Y354&gt;=TODAY()),$Y354,99999))=99999,"",MIN(IF(AND(ISNUMBER($N354),$N354&gt;=TODAY()),$N354,99999),IF(AND(ISNUMBER($O354),$O354&gt;=TODAY()),$O354,99999),IF(AND(ISNUMBER($P354),$P354&gt;=TODAY()),$P354,99999),IF(AND(ISNUMBER($S354),$S354&gt;=TODAY()),$S354,99999),IF(AND(ISNUMBER($T354),$T354&gt;=TODAY()),$T354,99999),IF(AND(ISNUMBER($U354),$U354&gt;=TODAY()),$U354,99999),IF(AND(ISNUMBER($V354),$V354&gt;=TODAY()),$V354,99999),IF(AND(ISNUMBER($W354),$W354&gt;=TODAY()),$W354,99999),IF(AND(ISNUMBER($X354),$X354&gt;=TODAY()),$X354,99999),IF(AND(ISNUMBER($Y354),$Y354&gt;=TODAY()),$Y354,99999))))</f>
        <v/>
      </c>
      <c r="N354" s="27" t="n"/>
      <c r="O354" s="27" t="n"/>
      <c r="P354" s="27" t="n"/>
      <c r="Q354" s="27" t="n"/>
      <c r="R354" s="27" t="n"/>
      <c r="S354" s="27" t="n"/>
      <c r="T354" s="27" t="n"/>
      <c r="U354" s="27" t="n"/>
      <c r="V354" s="27" t="n"/>
      <c r="W354" s="27" t="n"/>
      <c r="X354" s="27" t="n"/>
      <c r="Y354" s="27" t="n"/>
      <c r="Z354" s="27" t="n"/>
      <c r="AA354" s="27" t="n"/>
      <c r="AB354" s="27" t="n"/>
      <c r="AC354" s="30" t="n"/>
      <c r="AD354" s="25" t="n"/>
      <c r="AE354" s="28">
        <f>IF(NOT(AND($A354&lt;&gt;"",OR($I354="",$I354="Active"))),"",IF(OR(IF(OR(ISNUMBER($Y354),$Y354="DNA"),$Y354,IF(OR(ISNUMBER($X354),$X354="DNA"),$X354,IF(OR(ISNUMBER($W354),$W354="DNA"),$W354,IF(OR(ISNUMBER($V354),$V354="DNA"),$V354,IF(OR(ISNUMBER($U354),$U354="DNA"),$U354,IF(OR(ISNUMBER($T354),$T354="DNA"),$T354,IF(OR(ISNUMBER($S354),$S354="DNA"),$S354,IF(OR(ISNUMBER($P354),$P354="DNA"),$P354,IF(OR(ISNUMBER($O354),$O354="DNA"),$O354,IF(OR(ISNUMBER($N354),$N354="DNA"),$N354,""))))))))))="DNA",AND(ISNUMBER(IF(OR(ISNUMBER($Y354),$Y354="DNA"),$Y354,IF(OR(ISNUMBER($X354),$X354="DNA"),$X354,IF(OR(ISNUMBER($W354),$W354="DNA"),$W354,IF(OR(ISNUMBER($V354),$V354="DNA"),$V354,IF(OR(ISNUMBER($U354),$U354="DNA"),$U354,IF(OR(ISNUMBER($T354),$T354="DNA"),$T354,IF(OR(ISNUMBER($S354),$S354="DNA"),$S354,IF(OR(ISNUMBER($P354),$P354="DNA"),$P354,IF(OR(ISNUMBER($O354),$O354="DNA"),$O354,IF(OR(ISNUMBER($N354),$N354="DNA"),$N354,""))))))))))),IF(OR(ISNUMBER($Y354),$Y354="DNA"),$Y354,IF(OR(ISNUMBER($X354),$X354="DNA"),$X354,IF(OR(ISNUMBER($W354),$W354="DNA"),$W354,IF(OR(ISNUMBER($V354),$V354="DNA"),$V354,IF(OR(ISNUMBER($U354),$U354="DNA"),$U354,IF(OR(ISNUMBER($T354),$T354="DNA"),$T354,IF(OR(ISNUMBER($S354),$S354="DNA"),$S354,IF(OR(ISNUMBER($P354),$P354="DNA"),$P354,IF(OR(ISNUMBER($O354),$O354="DNA"),$O354,IF(OR(ISNUMBER($N354),$N354="DNA"),$N354,""))))))))))&lt;TODAY())),1,0)+ISNUMBER($Q354)*($Q354&lt;TODAY())+ISNUMBER($R354)*($R354&lt;TODAY())+ISNUMBER($AA354)*($AA354&lt;TODAY())+ISNUMBER($AB354)*($AB354&lt;TODAY()))</f>
        <v/>
      </c>
    </row>
    <row r="355">
      <c r="A355" s="25" t="n"/>
      <c r="B355" s="26" t="n"/>
      <c r="C355" s="27" t="n"/>
      <c r="D355" s="25" t="n"/>
      <c r="E355" s="25" t="n"/>
      <c r="F355" s="25" t="n"/>
      <c r="G355" s="25" t="n"/>
      <c r="H355" s="27" t="n"/>
      <c r="I355" s="25" t="n"/>
      <c r="J355" s="28">
        <f>IF(OR(NOT(AND($A355&lt;&gt;"",OR($I355="",$I355="Active"))),$H355=""),"",INT((TODAY()-$H355+280)/7)&amp;"+"&amp;MOD(TODAY()-$H355+280,7))</f>
        <v/>
      </c>
      <c r="K355" s="28">
        <f>IF(NOT(AND($A355&lt;&gt;"",OR($I355="",$I355="Active"))),"",ISNUMBER($N355)*($N355&gt;=TODAY())*($N355&lt;=TODAY()+7)+ISNUMBER($O355)*($O355&gt;=TODAY())*($O355&lt;=TODAY()+7)+ISNUMBER($P355)*($P355&gt;=TODAY())*($P355&lt;=TODAY()+7)+ISNUMBER($S355)*($S355&gt;=TODAY())*($S355&lt;=TODAY()+7)+ISNUMBER($T355)*($T355&gt;=TODAY())*($T355&lt;=TODAY()+7)+ISNUMBER($U355)*($U355&gt;=TODAY())*($U355&lt;=TODAY()+7)+ISNUMBER($V355)*($V355&gt;=TODAY())*($V355&lt;=TODAY()+7)+ISNUMBER($W355)*($W355&gt;=TODAY())*($W355&lt;=TODAY()+7)+ISNUMBER($X355)*($X355&gt;=TODAY())*($X355&lt;=TODAY()+7)+ISNUMBER($Y355)*($Y355&gt;=TODAY())*($Y355&lt;=TODAY()+7)+ISNUMBER($Q355)*($Q355&gt;=TODAY())*($Q355&lt;=TODAY()+7)+ISNUMBER($R355)*($R355&gt;=TODAY())*($R355&lt;=TODAY()+7)+ISNUMBER($AA355)*($AA355&gt;=TODAY())*($AA355&lt;=TODAY()+7)+ISNUMBER($AB355)*($AB355&gt;=TODAY())*($AB355&lt;=TODAY()+7))</f>
        <v/>
      </c>
      <c r="L355" s="28">
        <f>IF(NOT(AND($A355&lt;&gt;"",OR($I355="",$I355="Active"))),"",IF($M355&lt;&gt;"",IF($N355=$M355,"Booking",IF($O355=$M355,"16/40",IF($P355=$M355,"25/40",IF($S355=$M355,"28/40",IF($T355=$M355,"31/40",IF($U355=$M355,"34/40",IF($V355=$M355,"36/40",IF($W355=$M355,"38/40",IF($X355=$M355,"40/40",IF($Y355=$M355,"41/40","")))))))))),IF(IF(OR(ISNUMBER($Y355),$Y355="DNA"),$Y355,IF(OR(ISNUMBER($X355),$X355="DNA"),$X355,IF(OR(ISNUMBER($W355),$W355="DNA"),$W355,IF(OR(ISNUMBER($V355),$V355="DNA"),$V355,IF(OR(ISNUMBER($U355),$U355="DNA"),$U355,IF(OR(ISNUMBER($T355),$T355="DNA"),$T355,IF(OR(ISNUMBER($S355),$S355="DNA"),$S355,IF(OR(ISNUMBER($P355),$P355="DNA"),$P355,IF(OR(ISNUMBER($O355),$O355="DNA"),$O355,IF(OR(ISNUMBER($N355),$N355="DNA"),$N355,""))))))))))="DNA","Rebook DNA",IF(ISNUMBER(IF(OR(ISNUMBER($Y355),$Y355="DNA"),$Y355,IF(OR(ISNUMBER($X355),$X355="DNA"),$X355,IF(OR(ISNUMBER($W355),$W355="DNA"),$W355,IF(OR(ISNUMBER($V355),$V355="DNA"),$V355,IF(OR(ISNUMBER($U355),$U355="DNA"),$U355,IF(OR(ISNUMBER($T355),$T355="DNA"),$T355,IF(OR(ISNUMBER($S355),$S355="DNA"),$S355,IF(OR(ISNUMBER($P355),$P355="DNA"),$P355,IF(OR(ISNUMBER($O355),$O355="DNA"),$O355,IF(OR(ISNUMBER($N355),$N355="DNA"),$N355,""))))))))))),IF(ISNUMBER($Y355),"Update status","Missed/not booked?"),""))))</f>
        <v/>
      </c>
      <c r="M355" s="29">
        <f>IF(NOT(AND($A355&lt;&gt;"",OR($I355="",$I355="Active"))),"",IF(MIN(IF(AND(ISNUMBER($N355),$N355&gt;=TODAY()),$N355,99999),IF(AND(ISNUMBER($O355),$O355&gt;=TODAY()),$O355,99999),IF(AND(ISNUMBER($P355),$P355&gt;=TODAY()),$P355,99999),IF(AND(ISNUMBER($S355),$S355&gt;=TODAY()),$S355,99999),IF(AND(ISNUMBER($T355),$T355&gt;=TODAY()),$T355,99999),IF(AND(ISNUMBER($U355),$U355&gt;=TODAY()),$U355,99999),IF(AND(ISNUMBER($V355),$V355&gt;=TODAY()),$V355,99999),IF(AND(ISNUMBER($W355),$W355&gt;=TODAY()),$W355,99999),IF(AND(ISNUMBER($X355),$X355&gt;=TODAY()),$X355,99999),IF(AND(ISNUMBER($Y355),$Y355&gt;=TODAY()),$Y355,99999))=99999,"",MIN(IF(AND(ISNUMBER($N355),$N355&gt;=TODAY()),$N355,99999),IF(AND(ISNUMBER($O355),$O355&gt;=TODAY()),$O355,99999),IF(AND(ISNUMBER($P355),$P355&gt;=TODAY()),$P355,99999),IF(AND(ISNUMBER($S355),$S355&gt;=TODAY()),$S355,99999),IF(AND(ISNUMBER($T355),$T355&gt;=TODAY()),$T355,99999),IF(AND(ISNUMBER($U355),$U355&gt;=TODAY()),$U355,99999),IF(AND(ISNUMBER($V355),$V355&gt;=TODAY()),$V355,99999),IF(AND(ISNUMBER($W355),$W355&gt;=TODAY()),$W355,99999),IF(AND(ISNUMBER($X355),$X355&gt;=TODAY()),$X355,99999),IF(AND(ISNUMBER($Y355),$Y355&gt;=TODAY()),$Y355,99999))))</f>
        <v/>
      </c>
      <c r="N355" s="27" t="n"/>
      <c r="O355" s="27" t="n"/>
      <c r="P355" s="27" t="n"/>
      <c r="Q355" s="27" t="n"/>
      <c r="R355" s="27" t="n"/>
      <c r="S355" s="27" t="n"/>
      <c r="T355" s="27" t="n"/>
      <c r="U355" s="27" t="n"/>
      <c r="V355" s="27" t="n"/>
      <c r="W355" s="27" t="n"/>
      <c r="X355" s="27" t="n"/>
      <c r="Y355" s="27" t="n"/>
      <c r="Z355" s="27" t="n"/>
      <c r="AA355" s="27" t="n"/>
      <c r="AB355" s="27" t="n"/>
      <c r="AC355" s="30" t="n"/>
      <c r="AD355" s="25" t="n"/>
      <c r="AE355" s="28">
        <f>IF(NOT(AND($A355&lt;&gt;"",OR($I355="",$I355="Active"))),"",IF(OR(IF(OR(ISNUMBER($Y355),$Y355="DNA"),$Y355,IF(OR(ISNUMBER($X355),$X355="DNA"),$X355,IF(OR(ISNUMBER($W355),$W355="DNA"),$W355,IF(OR(ISNUMBER($V355),$V355="DNA"),$V355,IF(OR(ISNUMBER($U355),$U355="DNA"),$U355,IF(OR(ISNUMBER($T355),$T355="DNA"),$T355,IF(OR(ISNUMBER($S355),$S355="DNA"),$S355,IF(OR(ISNUMBER($P355),$P355="DNA"),$P355,IF(OR(ISNUMBER($O355),$O355="DNA"),$O355,IF(OR(ISNUMBER($N355),$N355="DNA"),$N355,""))))))))))="DNA",AND(ISNUMBER(IF(OR(ISNUMBER($Y355),$Y355="DNA"),$Y355,IF(OR(ISNUMBER($X355),$X355="DNA"),$X355,IF(OR(ISNUMBER($W355),$W355="DNA"),$W355,IF(OR(ISNUMBER($V355),$V355="DNA"),$V355,IF(OR(ISNUMBER($U355),$U355="DNA"),$U355,IF(OR(ISNUMBER($T355),$T355="DNA"),$T355,IF(OR(ISNUMBER($S355),$S355="DNA"),$S355,IF(OR(ISNUMBER($P355),$P355="DNA"),$P355,IF(OR(ISNUMBER($O355),$O355="DNA"),$O355,IF(OR(ISNUMBER($N355),$N355="DNA"),$N355,""))))))))))),IF(OR(ISNUMBER($Y355),$Y355="DNA"),$Y355,IF(OR(ISNUMBER($X355),$X355="DNA"),$X355,IF(OR(ISNUMBER($W355),$W355="DNA"),$W355,IF(OR(ISNUMBER($V355),$V355="DNA"),$V355,IF(OR(ISNUMBER($U355),$U355="DNA"),$U355,IF(OR(ISNUMBER($T355),$T355="DNA"),$T355,IF(OR(ISNUMBER($S355),$S355="DNA"),$S355,IF(OR(ISNUMBER($P355),$P355="DNA"),$P355,IF(OR(ISNUMBER($O355),$O355="DNA"),$O355,IF(OR(ISNUMBER($N355),$N355="DNA"),$N355,""))))))))))&lt;TODAY())),1,0)+ISNUMBER($Q355)*($Q355&lt;TODAY())+ISNUMBER($R355)*($R355&lt;TODAY())+ISNUMBER($AA355)*($AA355&lt;TODAY())+ISNUMBER($AB355)*($AB355&lt;TODAY()))</f>
        <v/>
      </c>
    </row>
    <row r="356">
      <c r="A356" s="25" t="n"/>
      <c r="B356" s="26" t="n"/>
      <c r="C356" s="27" t="n"/>
      <c r="D356" s="25" t="n"/>
      <c r="E356" s="25" t="n"/>
      <c r="F356" s="25" t="n"/>
      <c r="G356" s="25" t="n"/>
      <c r="H356" s="27" t="n"/>
      <c r="I356" s="25" t="n"/>
      <c r="J356" s="28">
        <f>IF(OR(NOT(AND($A356&lt;&gt;"",OR($I356="",$I356="Active"))),$H356=""),"",INT((TODAY()-$H356+280)/7)&amp;"+"&amp;MOD(TODAY()-$H356+280,7))</f>
        <v/>
      </c>
      <c r="K356" s="28">
        <f>IF(NOT(AND($A356&lt;&gt;"",OR($I356="",$I356="Active"))),"",ISNUMBER($N356)*($N356&gt;=TODAY())*($N356&lt;=TODAY()+7)+ISNUMBER($O356)*($O356&gt;=TODAY())*($O356&lt;=TODAY()+7)+ISNUMBER($P356)*($P356&gt;=TODAY())*($P356&lt;=TODAY()+7)+ISNUMBER($S356)*($S356&gt;=TODAY())*($S356&lt;=TODAY()+7)+ISNUMBER($T356)*($T356&gt;=TODAY())*($T356&lt;=TODAY()+7)+ISNUMBER($U356)*($U356&gt;=TODAY())*($U356&lt;=TODAY()+7)+ISNUMBER($V356)*($V356&gt;=TODAY())*($V356&lt;=TODAY()+7)+ISNUMBER($W356)*($W356&gt;=TODAY())*($W356&lt;=TODAY()+7)+ISNUMBER($X356)*($X356&gt;=TODAY())*($X356&lt;=TODAY()+7)+ISNUMBER($Y356)*($Y356&gt;=TODAY())*($Y356&lt;=TODAY()+7)+ISNUMBER($Q356)*($Q356&gt;=TODAY())*($Q356&lt;=TODAY()+7)+ISNUMBER($R356)*($R356&gt;=TODAY())*($R356&lt;=TODAY()+7)+ISNUMBER($AA356)*($AA356&gt;=TODAY())*($AA356&lt;=TODAY()+7)+ISNUMBER($AB356)*($AB356&gt;=TODAY())*($AB356&lt;=TODAY()+7))</f>
        <v/>
      </c>
      <c r="L356" s="28">
        <f>IF(NOT(AND($A356&lt;&gt;"",OR($I356="",$I356="Active"))),"",IF($M356&lt;&gt;"",IF($N356=$M356,"Booking",IF($O356=$M356,"16/40",IF($P356=$M356,"25/40",IF($S356=$M356,"28/40",IF($T356=$M356,"31/40",IF($U356=$M356,"34/40",IF($V356=$M356,"36/40",IF($W356=$M356,"38/40",IF($X356=$M356,"40/40",IF($Y356=$M356,"41/40","")))))))))),IF(IF(OR(ISNUMBER($Y356),$Y356="DNA"),$Y356,IF(OR(ISNUMBER($X356),$X356="DNA"),$X356,IF(OR(ISNUMBER($W356),$W356="DNA"),$W356,IF(OR(ISNUMBER($V356),$V356="DNA"),$V356,IF(OR(ISNUMBER($U356),$U356="DNA"),$U356,IF(OR(ISNUMBER($T356),$T356="DNA"),$T356,IF(OR(ISNUMBER($S356),$S356="DNA"),$S356,IF(OR(ISNUMBER($P356),$P356="DNA"),$P356,IF(OR(ISNUMBER($O356),$O356="DNA"),$O356,IF(OR(ISNUMBER($N356),$N356="DNA"),$N356,""))))))))))="DNA","Rebook DNA",IF(ISNUMBER(IF(OR(ISNUMBER($Y356),$Y356="DNA"),$Y356,IF(OR(ISNUMBER($X356),$X356="DNA"),$X356,IF(OR(ISNUMBER($W356),$W356="DNA"),$W356,IF(OR(ISNUMBER($V356),$V356="DNA"),$V356,IF(OR(ISNUMBER($U356),$U356="DNA"),$U356,IF(OR(ISNUMBER($T356),$T356="DNA"),$T356,IF(OR(ISNUMBER($S356),$S356="DNA"),$S356,IF(OR(ISNUMBER($P356),$P356="DNA"),$P356,IF(OR(ISNUMBER($O356),$O356="DNA"),$O356,IF(OR(ISNUMBER($N356),$N356="DNA"),$N356,""))))))))))),IF(ISNUMBER($Y356),"Update status","Missed/not booked?"),""))))</f>
        <v/>
      </c>
      <c r="M356" s="29">
        <f>IF(NOT(AND($A356&lt;&gt;"",OR($I356="",$I356="Active"))),"",IF(MIN(IF(AND(ISNUMBER($N356),$N356&gt;=TODAY()),$N356,99999),IF(AND(ISNUMBER($O356),$O356&gt;=TODAY()),$O356,99999),IF(AND(ISNUMBER($P356),$P356&gt;=TODAY()),$P356,99999),IF(AND(ISNUMBER($S356),$S356&gt;=TODAY()),$S356,99999),IF(AND(ISNUMBER($T356),$T356&gt;=TODAY()),$T356,99999),IF(AND(ISNUMBER($U356),$U356&gt;=TODAY()),$U356,99999),IF(AND(ISNUMBER($V356),$V356&gt;=TODAY()),$V356,99999),IF(AND(ISNUMBER($W356),$W356&gt;=TODAY()),$W356,99999),IF(AND(ISNUMBER($X356),$X356&gt;=TODAY()),$X356,99999),IF(AND(ISNUMBER($Y356),$Y356&gt;=TODAY()),$Y356,99999))=99999,"",MIN(IF(AND(ISNUMBER($N356),$N356&gt;=TODAY()),$N356,99999),IF(AND(ISNUMBER($O356),$O356&gt;=TODAY()),$O356,99999),IF(AND(ISNUMBER($P356),$P356&gt;=TODAY()),$P356,99999),IF(AND(ISNUMBER($S356),$S356&gt;=TODAY()),$S356,99999),IF(AND(ISNUMBER($T356),$T356&gt;=TODAY()),$T356,99999),IF(AND(ISNUMBER($U356),$U356&gt;=TODAY()),$U356,99999),IF(AND(ISNUMBER($V356),$V356&gt;=TODAY()),$V356,99999),IF(AND(ISNUMBER($W356),$W356&gt;=TODAY()),$W356,99999),IF(AND(ISNUMBER($X356),$X356&gt;=TODAY()),$X356,99999),IF(AND(ISNUMBER($Y356),$Y356&gt;=TODAY()),$Y356,99999))))</f>
        <v/>
      </c>
      <c r="N356" s="27" t="n"/>
      <c r="O356" s="27" t="n"/>
      <c r="P356" s="27" t="n"/>
      <c r="Q356" s="27" t="n"/>
      <c r="R356" s="27" t="n"/>
      <c r="S356" s="27" t="n"/>
      <c r="T356" s="27" t="n"/>
      <c r="U356" s="27" t="n"/>
      <c r="V356" s="27" t="n"/>
      <c r="W356" s="27" t="n"/>
      <c r="X356" s="27" t="n"/>
      <c r="Y356" s="27" t="n"/>
      <c r="Z356" s="27" t="n"/>
      <c r="AA356" s="27" t="n"/>
      <c r="AB356" s="27" t="n"/>
      <c r="AC356" s="30" t="n"/>
      <c r="AD356" s="25" t="n"/>
      <c r="AE356" s="28">
        <f>IF(NOT(AND($A356&lt;&gt;"",OR($I356="",$I356="Active"))),"",IF(OR(IF(OR(ISNUMBER($Y356),$Y356="DNA"),$Y356,IF(OR(ISNUMBER($X356),$X356="DNA"),$X356,IF(OR(ISNUMBER($W356),$W356="DNA"),$W356,IF(OR(ISNUMBER($V356),$V356="DNA"),$V356,IF(OR(ISNUMBER($U356),$U356="DNA"),$U356,IF(OR(ISNUMBER($T356),$T356="DNA"),$T356,IF(OR(ISNUMBER($S356),$S356="DNA"),$S356,IF(OR(ISNUMBER($P356),$P356="DNA"),$P356,IF(OR(ISNUMBER($O356),$O356="DNA"),$O356,IF(OR(ISNUMBER($N356),$N356="DNA"),$N356,""))))))))))="DNA",AND(ISNUMBER(IF(OR(ISNUMBER($Y356),$Y356="DNA"),$Y356,IF(OR(ISNUMBER($X356),$X356="DNA"),$X356,IF(OR(ISNUMBER($W356),$W356="DNA"),$W356,IF(OR(ISNUMBER($V356),$V356="DNA"),$V356,IF(OR(ISNUMBER($U356),$U356="DNA"),$U356,IF(OR(ISNUMBER($T356),$T356="DNA"),$T356,IF(OR(ISNUMBER($S356),$S356="DNA"),$S356,IF(OR(ISNUMBER($P356),$P356="DNA"),$P356,IF(OR(ISNUMBER($O356),$O356="DNA"),$O356,IF(OR(ISNUMBER($N356),$N356="DNA"),$N356,""))))))))))),IF(OR(ISNUMBER($Y356),$Y356="DNA"),$Y356,IF(OR(ISNUMBER($X356),$X356="DNA"),$X356,IF(OR(ISNUMBER($W356),$W356="DNA"),$W356,IF(OR(ISNUMBER($V356),$V356="DNA"),$V356,IF(OR(ISNUMBER($U356),$U356="DNA"),$U356,IF(OR(ISNUMBER($T356),$T356="DNA"),$T356,IF(OR(ISNUMBER($S356),$S356="DNA"),$S356,IF(OR(ISNUMBER($P356),$P356="DNA"),$P356,IF(OR(ISNUMBER($O356),$O356="DNA"),$O356,IF(OR(ISNUMBER($N356),$N356="DNA"),$N356,""))))))))))&lt;TODAY())),1,0)+ISNUMBER($Q356)*($Q356&lt;TODAY())+ISNUMBER($R356)*($R356&lt;TODAY())+ISNUMBER($AA356)*($AA356&lt;TODAY())+ISNUMBER($AB356)*($AB356&lt;TODAY()))</f>
        <v/>
      </c>
    </row>
    <row r="357">
      <c r="A357" s="25" t="n"/>
      <c r="B357" s="26" t="n"/>
      <c r="C357" s="27" t="n"/>
      <c r="D357" s="25" t="n"/>
      <c r="E357" s="25" t="n"/>
      <c r="F357" s="25" t="n"/>
      <c r="G357" s="25" t="n"/>
      <c r="H357" s="27" t="n"/>
      <c r="I357" s="25" t="n"/>
      <c r="J357" s="28">
        <f>IF(OR(NOT(AND($A357&lt;&gt;"",OR($I357="",$I357="Active"))),$H357=""),"",INT((TODAY()-$H357+280)/7)&amp;"+"&amp;MOD(TODAY()-$H357+280,7))</f>
        <v/>
      </c>
      <c r="K357" s="28">
        <f>IF(NOT(AND($A357&lt;&gt;"",OR($I357="",$I357="Active"))),"",ISNUMBER($N357)*($N357&gt;=TODAY())*($N357&lt;=TODAY()+7)+ISNUMBER($O357)*($O357&gt;=TODAY())*($O357&lt;=TODAY()+7)+ISNUMBER($P357)*($P357&gt;=TODAY())*($P357&lt;=TODAY()+7)+ISNUMBER($S357)*($S357&gt;=TODAY())*($S357&lt;=TODAY()+7)+ISNUMBER($T357)*($T357&gt;=TODAY())*($T357&lt;=TODAY()+7)+ISNUMBER($U357)*($U357&gt;=TODAY())*($U357&lt;=TODAY()+7)+ISNUMBER($V357)*($V357&gt;=TODAY())*($V357&lt;=TODAY()+7)+ISNUMBER($W357)*($W357&gt;=TODAY())*($W357&lt;=TODAY()+7)+ISNUMBER($X357)*($X357&gt;=TODAY())*($X357&lt;=TODAY()+7)+ISNUMBER($Y357)*($Y357&gt;=TODAY())*($Y357&lt;=TODAY()+7)+ISNUMBER($Q357)*($Q357&gt;=TODAY())*($Q357&lt;=TODAY()+7)+ISNUMBER($R357)*($R357&gt;=TODAY())*($R357&lt;=TODAY()+7)+ISNUMBER($AA357)*($AA357&gt;=TODAY())*($AA357&lt;=TODAY()+7)+ISNUMBER($AB357)*($AB357&gt;=TODAY())*($AB357&lt;=TODAY()+7))</f>
        <v/>
      </c>
      <c r="L357" s="28">
        <f>IF(NOT(AND($A357&lt;&gt;"",OR($I357="",$I357="Active"))),"",IF($M357&lt;&gt;"",IF($N357=$M357,"Booking",IF($O357=$M357,"16/40",IF($P357=$M357,"25/40",IF($S357=$M357,"28/40",IF($T357=$M357,"31/40",IF($U357=$M357,"34/40",IF($V357=$M357,"36/40",IF($W357=$M357,"38/40",IF($X357=$M357,"40/40",IF($Y357=$M357,"41/40","")))))))))),IF(IF(OR(ISNUMBER($Y357),$Y357="DNA"),$Y357,IF(OR(ISNUMBER($X357),$X357="DNA"),$X357,IF(OR(ISNUMBER($W357),$W357="DNA"),$W357,IF(OR(ISNUMBER($V357),$V357="DNA"),$V357,IF(OR(ISNUMBER($U357),$U357="DNA"),$U357,IF(OR(ISNUMBER($T357),$T357="DNA"),$T357,IF(OR(ISNUMBER($S357),$S357="DNA"),$S357,IF(OR(ISNUMBER($P357),$P357="DNA"),$P357,IF(OR(ISNUMBER($O357),$O357="DNA"),$O357,IF(OR(ISNUMBER($N357),$N357="DNA"),$N357,""))))))))))="DNA","Rebook DNA",IF(ISNUMBER(IF(OR(ISNUMBER($Y357),$Y357="DNA"),$Y357,IF(OR(ISNUMBER($X357),$X357="DNA"),$X357,IF(OR(ISNUMBER($W357),$W357="DNA"),$W357,IF(OR(ISNUMBER($V357),$V357="DNA"),$V357,IF(OR(ISNUMBER($U357),$U357="DNA"),$U357,IF(OR(ISNUMBER($T357),$T357="DNA"),$T357,IF(OR(ISNUMBER($S357),$S357="DNA"),$S357,IF(OR(ISNUMBER($P357),$P357="DNA"),$P357,IF(OR(ISNUMBER($O357),$O357="DNA"),$O357,IF(OR(ISNUMBER($N357),$N357="DNA"),$N357,""))))))))))),IF(ISNUMBER($Y357),"Update status","Missed/not booked?"),""))))</f>
        <v/>
      </c>
      <c r="M357" s="29">
        <f>IF(NOT(AND($A357&lt;&gt;"",OR($I357="",$I357="Active"))),"",IF(MIN(IF(AND(ISNUMBER($N357),$N357&gt;=TODAY()),$N357,99999),IF(AND(ISNUMBER($O357),$O357&gt;=TODAY()),$O357,99999),IF(AND(ISNUMBER($P357),$P357&gt;=TODAY()),$P357,99999),IF(AND(ISNUMBER($S357),$S357&gt;=TODAY()),$S357,99999),IF(AND(ISNUMBER($T357),$T357&gt;=TODAY()),$T357,99999),IF(AND(ISNUMBER($U357),$U357&gt;=TODAY()),$U357,99999),IF(AND(ISNUMBER($V357),$V357&gt;=TODAY()),$V357,99999),IF(AND(ISNUMBER($W357),$W357&gt;=TODAY()),$W357,99999),IF(AND(ISNUMBER($X357),$X357&gt;=TODAY()),$X357,99999),IF(AND(ISNUMBER($Y357),$Y357&gt;=TODAY()),$Y357,99999))=99999,"",MIN(IF(AND(ISNUMBER($N357),$N357&gt;=TODAY()),$N357,99999),IF(AND(ISNUMBER($O357),$O357&gt;=TODAY()),$O357,99999),IF(AND(ISNUMBER($P357),$P357&gt;=TODAY()),$P357,99999),IF(AND(ISNUMBER($S357),$S357&gt;=TODAY()),$S357,99999),IF(AND(ISNUMBER($T357),$T357&gt;=TODAY()),$T357,99999),IF(AND(ISNUMBER($U357),$U357&gt;=TODAY()),$U357,99999),IF(AND(ISNUMBER($V357),$V357&gt;=TODAY()),$V357,99999),IF(AND(ISNUMBER($W357),$W357&gt;=TODAY()),$W357,99999),IF(AND(ISNUMBER($X357),$X357&gt;=TODAY()),$X357,99999),IF(AND(ISNUMBER($Y357),$Y357&gt;=TODAY()),$Y357,99999))))</f>
        <v/>
      </c>
      <c r="N357" s="27" t="n"/>
      <c r="O357" s="27" t="n"/>
      <c r="P357" s="27" t="n"/>
      <c r="Q357" s="27" t="n"/>
      <c r="R357" s="27" t="n"/>
      <c r="S357" s="27" t="n"/>
      <c r="T357" s="27" t="n"/>
      <c r="U357" s="27" t="n"/>
      <c r="V357" s="27" t="n"/>
      <c r="W357" s="27" t="n"/>
      <c r="X357" s="27" t="n"/>
      <c r="Y357" s="27" t="n"/>
      <c r="Z357" s="27" t="n"/>
      <c r="AA357" s="27" t="n"/>
      <c r="AB357" s="27" t="n"/>
      <c r="AC357" s="30" t="n"/>
      <c r="AD357" s="25" t="n"/>
      <c r="AE357" s="28">
        <f>IF(NOT(AND($A357&lt;&gt;"",OR($I357="",$I357="Active"))),"",IF(OR(IF(OR(ISNUMBER($Y357),$Y357="DNA"),$Y357,IF(OR(ISNUMBER($X357),$X357="DNA"),$X357,IF(OR(ISNUMBER($W357),$W357="DNA"),$W357,IF(OR(ISNUMBER($V357),$V357="DNA"),$V357,IF(OR(ISNUMBER($U357),$U357="DNA"),$U357,IF(OR(ISNUMBER($T357),$T357="DNA"),$T357,IF(OR(ISNUMBER($S357),$S357="DNA"),$S357,IF(OR(ISNUMBER($P357),$P357="DNA"),$P357,IF(OR(ISNUMBER($O357),$O357="DNA"),$O357,IF(OR(ISNUMBER($N357),$N357="DNA"),$N357,""))))))))))="DNA",AND(ISNUMBER(IF(OR(ISNUMBER($Y357),$Y357="DNA"),$Y357,IF(OR(ISNUMBER($X357),$X357="DNA"),$X357,IF(OR(ISNUMBER($W357),$W357="DNA"),$W357,IF(OR(ISNUMBER($V357),$V357="DNA"),$V357,IF(OR(ISNUMBER($U357),$U357="DNA"),$U357,IF(OR(ISNUMBER($T357),$T357="DNA"),$T357,IF(OR(ISNUMBER($S357),$S357="DNA"),$S357,IF(OR(ISNUMBER($P357),$P357="DNA"),$P357,IF(OR(ISNUMBER($O357),$O357="DNA"),$O357,IF(OR(ISNUMBER($N357),$N357="DNA"),$N357,""))))))))))),IF(OR(ISNUMBER($Y357),$Y357="DNA"),$Y357,IF(OR(ISNUMBER($X357),$X357="DNA"),$X357,IF(OR(ISNUMBER($W357),$W357="DNA"),$W357,IF(OR(ISNUMBER($V357),$V357="DNA"),$V357,IF(OR(ISNUMBER($U357),$U357="DNA"),$U357,IF(OR(ISNUMBER($T357),$T357="DNA"),$T357,IF(OR(ISNUMBER($S357),$S357="DNA"),$S357,IF(OR(ISNUMBER($P357),$P357="DNA"),$P357,IF(OR(ISNUMBER($O357),$O357="DNA"),$O357,IF(OR(ISNUMBER($N357),$N357="DNA"),$N357,""))))))))))&lt;TODAY())),1,0)+ISNUMBER($Q357)*($Q357&lt;TODAY())+ISNUMBER($R357)*($R357&lt;TODAY())+ISNUMBER($AA357)*($AA357&lt;TODAY())+ISNUMBER($AB357)*($AB357&lt;TODAY()))</f>
        <v/>
      </c>
    </row>
    <row r="358">
      <c r="A358" s="25" t="n"/>
      <c r="B358" s="26" t="n"/>
      <c r="C358" s="27" t="n"/>
      <c r="D358" s="25" t="n"/>
      <c r="E358" s="25" t="n"/>
      <c r="F358" s="25" t="n"/>
      <c r="G358" s="25" t="n"/>
      <c r="H358" s="27" t="n"/>
      <c r="I358" s="25" t="n"/>
      <c r="J358" s="28">
        <f>IF(OR(NOT(AND($A358&lt;&gt;"",OR($I358="",$I358="Active"))),$H358=""),"",INT((TODAY()-$H358+280)/7)&amp;"+"&amp;MOD(TODAY()-$H358+280,7))</f>
        <v/>
      </c>
      <c r="K358" s="28">
        <f>IF(NOT(AND($A358&lt;&gt;"",OR($I358="",$I358="Active"))),"",ISNUMBER($N358)*($N358&gt;=TODAY())*($N358&lt;=TODAY()+7)+ISNUMBER($O358)*($O358&gt;=TODAY())*($O358&lt;=TODAY()+7)+ISNUMBER($P358)*($P358&gt;=TODAY())*($P358&lt;=TODAY()+7)+ISNUMBER($S358)*($S358&gt;=TODAY())*($S358&lt;=TODAY()+7)+ISNUMBER($T358)*($T358&gt;=TODAY())*($T358&lt;=TODAY()+7)+ISNUMBER($U358)*($U358&gt;=TODAY())*($U358&lt;=TODAY()+7)+ISNUMBER($V358)*($V358&gt;=TODAY())*($V358&lt;=TODAY()+7)+ISNUMBER($W358)*($W358&gt;=TODAY())*($W358&lt;=TODAY()+7)+ISNUMBER($X358)*($X358&gt;=TODAY())*($X358&lt;=TODAY()+7)+ISNUMBER($Y358)*($Y358&gt;=TODAY())*($Y358&lt;=TODAY()+7)+ISNUMBER($Q358)*($Q358&gt;=TODAY())*($Q358&lt;=TODAY()+7)+ISNUMBER($R358)*($R358&gt;=TODAY())*($R358&lt;=TODAY()+7)+ISNUMBER($AA358)*($AA358&gt;=TODAY())*($AA358&lt;=TODAY()+7)+ISNUMBER($AB358)*($AB358&gt;=TODAY())*($AB358&lt;=TODAY()+7))</f>
        <v/>
      </c>
      <c r="L358" s="28">
        <f>IF(NOT(AND($A358&lt;&gt;"",OR($I358="",$I358="Active"))),"",IF($M358&lt;&gt;"",IF($N358=$M358,"Booking",IF($O358=$M358,"16/40",IF($P358=$M358,"25/40",IF($S358=$M358,"28/40",IF($T358=$M358,"31/40",IF($U358=$M358,"34/40",IF($V358=$M358,"36/40",IF($W358=$M358,"38/40",IF($X358=$M358,"40/40",IF($Y358=$M358,"41/40","")))))))))),IF(IF(OR(ISNUMBER($Y358),$Y358="DNA"),$Y358,IF(OR(ISNUMBER($X358),$X358="DNA"),$X358,IF(OR(ISNUMBER($W358),$W358="DNA"),$W358,IF(OR(ISNUMBER($V358),$V358="DNA"),$V358,IF(OR(ISNUMBER($U358),$U358="DNA"),$U358,IF(OR(ISNUMBER($T358),$T358="DNA"),$T358,IF(OR(ISNUMBER($S358),$S358="DNA"),$S358,IF(OR(ISNUMBER($P358),$P358="DNA"),$P358,IF(OR(ISNUMBER($O358),$O358="DNA"),$O358,IF(OR(ISNUMBER($N358),$N358="DNA"),$N358,""))))))))))="DNA","Rebook DNA",IF(ISNUMBER(IF(OR(ISNUMBER($Y358),$Y358="DNA"),$Y358,IF(OR(ISNUMBER($X358),$X358="DNA"),$X358,IF(OR(ISNUMBER($W358),$W358="DNA"),$W358,IF(OR(ISNUMBER($V358),$V358="DNA"),$V358,IF(OR(ISNUMBER($U358),$U358="DNA"),$U358,IF(OR(ISNUMBER($T358),$T358="DNA"),$T358,IF(OR(ISNUMBER($S358),$S358="DNA"),$S358,IF(OR(ISNUMBER($P358),$P358="DNA"),$P358,IF(OR(ISNUMBER($O358),$O358="DNA"),$O358,IF(OR(ISNUMBER($N358),$N358="DNA"),$N358,""))))))))))),IF(ISNUMBER($Y358),"Update status","Missed/not booked?"),""))))</f>
        <v/>
      </c>
      <c r="M358" s="29">
        <f>IF(NOT(AND($A358&lt;&gt;"",OR($I358="",$I358="Active"))),"",IF(MIN(IF(AND(ISNUMBER($N358),$N358&gt;=TODAY()),$N358,99999),IF(AND(ISNUMBER($O358),$O358&gt;=TODAY()),$O358,99999),IF(AND(ISNUMBER($P358),$P358&gt;=TODAY()),$P358,99999),IF(AND(ISNUMBER($S358),$S358&gt;=TODAY()),$S358,99999),IF(AND(ISNUMBER($T358),$T358&gt;=TODAY()),$T358,99999),IF(AND(ISNUMBER($U358),$U358&gt;=TODAY()),$U358,99999),IF(AND(ISNUMBER($V358),$V358&gt;=TODAY()),$V358,99999),IF(AND(ISNUMBER($W358),$W358&gt;=TODAY()),$W358,99999),IF(AND(ISNUMBER($X358),$X358&gt;=TODAY()),$X358,99999),IF(AND(ISNUMBER($Y358),$Y358&gt;=TODAY()),$Y358,99999))=99999,"",MIN(IF(AND(ISNUMBER($N358),$N358&gt;=TODAY()),$N358,99999),IF(AND(ISNUMBER($O358),$O358&gt;=TODAY()),$O358,99999),IF(AND(ISNUMBER($P358),$P358&gt;=TODAY()),$P358,99999),IF(AND(ISNUMBER($S358),$S358&gt;=TODAY()),$S358,99999),IF(AND(ISNUMBER($T358),$T358&gt;=TODAY()),$T358,99999),IF(AND(ISNUMBER($U358),$U358&gt;=TODAY()),$U358,99999),IF(AND(ISNUMBER($V358),$V358&gt;=TODAY()),$V358,99999),IF(AND(ISNUMBER($W358),$W358&gt;=TODAY()),$W358,99999),IF(AND(ISNUMBER($X358),$X358&gt;=TODAY()),$X358,99999),IF(AND(ISNUMBER($Y358),$Y358&gt;=TODAY()),$Y358,99999))))</f>
        <v/>
      </c>
      <c r="N358" s="27" t="n"/>
      <c r="O358" s="27" t="n"/>
      <c r="P358" s="27" t="n"/>
      <c r="Q358" s="27" t="n"/>
      <c r="R358" s="27" t="n"/>
      <c r="S358" s="27" t="n"/>
      <c r="T358" s="27" t="n"/>
      <c r="U358" s="27" t="n"/>
      <c r="V358" s="27" t="n"/>
      <c r="W358" s="27" t="n"/>
      <c r="X358" s="27" t="n"/>
      <c r="Y358" s="27" t="n"/>
      <c r="Z358" s="27" t="n"/>
      <c r="AA358" s="27" t="n"/>
      <c r="AB358" s="27" t="n"/>
      <c r="AC358" s="30" t="n"/>
      <c r="AD358" s="25" t="n"/>
      <c r="AE358" s="28">
        <f>IF(NOT(AND($A358&lt;&gt;"",OR($I358="",$I358="Active"))),"",IF(OR(IF(OR(ISNUMBER($Y358),$Y358="DNA"),$Y358,IF(OR(ISNUMBER($X358),$X358="DNA"),$X358,IF(OR(ISNUMBER($W358),$W358="DNA"),$W358,IF(OR(ISNUMBER($V358),$V358="DNA"),$V358,IF(OR(ISNUMBER($U358),$U358="DNA"),$U358,IF(OR(ISNUMBER($T358),$T358="DNA"),$T358,IF(OR(ISNUMBER($S358),$S358="DNA"),$S358,IF(OR(ISNUMBER($P358),$P358="DNA"),$P358,IF(OR(ISNUMBER($O358),$O358="DNA"),$O358,IF(OR(ISNUMBER($N358),$N358="DNA"),$N358,""))))))))))="DNA",AND(ISNUMBER(IF(OR(ISNUMBER($Y358),$Y358="DNA"),$Y358,IF(OR(ISNUMBER($X358),$X358="DNA"),$X358,IF(OR(ISNUMBER($W358),$W358="DNA"),$W358,IF(OR(ISNUMBER($V358),$V358="DNA"),$V358,IF(OR(ISNUMBER($U358),$U358="DNA"),$U358,IF(OR(ISNUMBER($T358),$T358="DNA"),$T358,IF(OR(ISNUMBER($S358),$S358="DNA"),$S358,IF(OR(ISNUMBER($P358),$P358="DNA"),$P358,IF(OR(ISNUMBER($O358),$O358="DNA"),$O358,IF(OR(ISNUMBER($N358),$N358="DNA"),$N358,""))))))))))),IF(OR(ISNUMBER($Y358),$Y358="DNA"),$Y358,IF(OR(ISNUMBER($X358),$X358="DNA"),$X358,IF(OR(ISNUMBER($W358),$W358="DNA"),$W358,IF(OR(ISNUMBER($V358),$V358="DNA"),$V358,IF(OR(ISNUMBER($U358),$U358="DNA"),$U358,IF(OR(ISNUMBER($T358),$T358="DNA"),$T358,IF(OR(ISNUMBER($S358),$S358="DNA"),$S358,IF(OR(ISNUMBER($P358),$P358="DNA"),$P358,IF(OR(ISNUMBER($O358),$O358="DNA"),$O358,IF(OR(ISNUMBER($N358),$N358="DNA"),$N358,""))))))))))&lt;TODAY())),1,0)+ISNUMBER($Q358)*($Q358&lt;TODAY())+ISNUMBER($R358)*($R358&lt;TODAY())+ISNUMBER($AA358)*($AA358&lt;TODAY())+ISNUMBER($AB358)*($AB358&lt;TODAY()))</f>
        <v/>
      </c>
    </row>
    <row r="359">
      <c r="A359" s="25" t="n"/>
      <c r="B359" s="26" t="n"/>
      <c r="C359" s="27" t="n"/>
      <c r="D359" s="25" t="n"/>
      <c r="E359" s="25" t="n"/>
      <c r="F359" s="25" t="n"/>
      <c r="G359" s="25" t="n"/>
      <c r="H359" s="27" t="n"/>
      <c r="I359" s="25" t="n"/>
      <c r="J359" s="28">
        <f>IF(OR(NOT(AND($A359&lt;&gt;"",OR($I359="",$I359="Active"))),$H359=""),"",INT((TODAY()-$H359+280)/7)&amp;"+"&amp;MOD(TODAY()-$H359+280,7))</f>
        <v/>
      </c>
      <c r="K359" s="28">
        <f>IF(NOT(AND($A359&lt;&gt;"",OR($I359="",$I359="Active"))),"",ISNUMBER($N359)*($N359&gt;=TODAY())*($N359&lt;=TODAY()+7)+ISNUMBER($O359)*($O359&gt;=TODAY())*($O359&lt;=TODAY()+7)+ISNUMBER($P359)*($P359&gt;=TODAY())*($P359&lt;=TODAY()+7)+ISNUMBER($S359)*($S359&gt;=TODAY())*($S359&lt;=TODAY()+7)+ISNUMBER($T359)*($T359&gt;=TODAY())*($T359&lt;=TODAY()+7)+ISNUMBER($U359)*($U359&gt;=TODAY())*($U359&lt;=TODAY()+7)+ISNUMBER($V359)*($V359&gt;=TODAY())*($V359&lt;=TODAY()+7)+ISNUMBER($W359)*($W359&gt;=TODAY())*($W359&lt;=TODAY()+7)+ISNUMBER($X359)*($X359&gt;=TODAY())*($X359&lt;=TODAY()+7)+ISNUMBER($Y359)*($Y359&gt;=TODAY())*($Y359&lt;=TODAY()+7)+ISNUMBER($Q359)*($Q359&gt;=TODAY())*($Q359&lt;=TODAY()+7)+ISNUMBER($R359)*($R359&gt;=TODAY())*($R359&lt;=TODAY()+7)+ISNUMBER($AA359)*($AA359&gt;=TODAY())*($AA359&lt;=TODAY()+7)+ISNUMBER($AB359)*($AB359&gt;=TODAY())*($AB359&lt;=TODAY()+7))</f>
        <v/>
      </c>
      <c r="L359" s="28">
        <f>IF(NOT(AND($A359&lt;&gt;"",OR($I359="",$I359="Active"))),"",IF($M359&lt;&gt;"",IF($N359=$M359,"Booking",IF($O359=$M359,"16/40",IF($P359=$M359,"25/40",IF($S359=$M359,"28/40",IF($T359=$M359,"31/40",IF($U359=$M359,"34/40",IF($V359=$M359,"36/40",IF($W359=$M359,"38/40",IF($X359=$M359,"40/40",IF($Y359=$M359,"41/40","")))))))))),IF(IF(OR(ISNUMBER($Y359),$Y359="DNA"),$Y359,IF(OR(ISNUMBER($X359),$X359="DNA"),$X359,IF(OR(ISNUMBER($W359),$W359="DNA"),$W359,IF(OR(ISNUMBER($V359),$V359="DNA"),$V359,IF(OR(ISNUMBER($U359),$U359="DNA"),$U359,IF(OR(ISNUMBER($T359),$T359="DNA"),$T359,IF(OR(ISNUMBER($S359),$S359="DNA"),$S359,IF(OR(ISNUMBER($P359),$P359="DNA"),$P359,IF(OR(ISNUMBER($O359),$O359="DNA"),$O359,IF(OR(ISNUMBER($N359),$N359="DNA"),$N359,""))))))))))="DNA","Rebook DNA",IF(ISNUMBER(IF(OR(ISNUMBER($Y359),$Y359="DNA"),$Y359,IF(OR(ISNUMBER($X359),$X359="DNA"),$X359,IF(OR(ISNUMBER($W359),$W359="DNA"),$W359,IF(OR(ISNUMBER($V359),$V359="DNA"),$V359,IF(OR(ISNUMBER($U359),$U359="DNA"),$U359,IF(OR(ISNUMBER($T359),$T359="DNA"),$T359,IF(OR(ISNUMBER($S359),$S359="DNA"),$S359,IF(OR(ISNUMBER($P359),$P359="DNA"),$P359,IF(OR(ISNUMBER($O359),$O359="DNA"),$O359,IF(OR(ISNUMBER($N359),$N359="DNA"),$N359,""))))))))))),IF(ISNUMBER($Y359),"Update status","Missed/not booked?"),""))))</f>
        <v/>
      </c>
      <c r="M359" s="29">
        <f>IF(NOT(AND($A359&lt;&gt;"",OR($I359="",$I359="Active"))),"",IF(MIN(IF(AND(ISNUMBER($N359),$N359&gt;=TODAY()),$N359,99999),IF(AND(ISNUMBER($O359),$O359&gt;=TODAY()),$O359,99999),IF(AND(ISNUMBER($P359),$P359&gt;=TODAY()),$P359,99999),IF(AND(ISNUMBER($S359),$S359&gt;=TODAY()),$S359,99999),IF(AND(ISNUMBER($T359),$T359&gt;=TODAY()),$T359,99999),IF(AND(ISNUMBER($U359),$U359&gt;=TODAY()),$U359,99999),IF(AND(ISNUMBER($V359),$V359&gt;=TODAY()),$V359,99999),IF(AND(ISNUMBER($W359),$W359&gt;=TODAY()),$W359,99999),IF(AND(ISNUMBER($X359),$X359&gt;=TODAY()),$X359,99999),IF(AND(ISNUMBER($Y359),$Y359&gt;=TODAY()),$Y359,99999))=99999,"",MIN(IF(AND(ISNUMBER($N359),$N359&gt;=TODAY()),$N359,99999),IF(AND(ISNUMBER($O359),$O359&gt;=TODAY()),$O359,99999),IF(AND(ISNUMBER($P359),$P359&gt;=TODAY()),$P359,99999),IF(AND(ISNUMBER($S359),$S359&gt;=TODAY()),$S359,99999),IF(AND(ISNUMBER($T359),$T359&gt;=TODAY()),$T359,99999),IF(AND(ISNUMBER($U359),$U359&gt;=TODAY()),$U359,99999),IF(AND(ISNUMBER($V359),$V359&gt;=TODAY()),$V359,99999),IF(AND(ISNUMBER($W359),$W359&gt;=TODAY()),$W359,99999),IF(AND(ISNUMBER($X359),$X359&gt;=TODAY()),$X359,99999),IF(AND(ISNUMBER($Y359),$Y359&gt;=TODAY()),$Y359,99999))))</f>
        <v/>
      </c>
      <c r="N359" s="27" t="n"/>
      <c r="O359" s="27" t="n"/>
      <c r="P359" s="27" t="n"/>
      <c r="Q359" s="27" t="n"/>
      <c r="R359" s="27" t="n"/>
      <c r="S359" s="27" t="n"/>
      <c r="T359" s="27" t="n"/>
      <c r="U359" s="27" t="n"/>
      <c r="V359" s="27" t="n"/>
      <c r="W359" s="27" t="n"/>
      <c r="X359" s="27" t="n"/>
      <c r="Y359" s="27" t="n"/>
      <c r="Z359" s="27" t="n"/>
      <c r="AA359" s="27" t="n"/>
      <c r="AB359" s="27" t="n"/>
      <c r="AC359" s="30" t="n"/>
      <c r="AD359" s="25" t="n"/>
      <c r="AE359" s="28">
        <f>IF(NOT(AND($A359&lt;&gt;"",OR($I359="",$I359="Active"))),"",IF(OR(IF(OR(ISNUMBER($Y359),$Y359="DNA"),$Y359,IF(OR(ISNUMBER($X359),$X359="DNA"),$X359,IF(OR(ISNUMBER($W359),$W359="DNA"),$W359,IF(OR(ISNUMBER($V359),$V359="DNA"),$V359,IF(OR(ISNUMBER($U359),$U359="DNA"),$U359,IF(OR(ISNUMBER($T359),$T359="DNA"),$T359,IF(OR(ISNUMBER($S359),$S359="DNA"),$S359,IF(OR(ISNUMBER($P359),$P359="DNA"),$P359,IF(OR(ISNUMBER($O359),$O359="DNA"),$O359,IF(OR(ISNUMBER($N359),$N359="DNA"),$N359,""))))))))))="DNA",AND(ISNUMBER(IF(OR(ISNUMBER($Y359),$Y359="DNA"),$Y359,IF(OR(ISNUMBER($X359),$X359="DNA"),$X359,IF(OR(ISNUMBER($W359),$W359="DNA"),$W359,IF(OR(ISNUMBER($V359),$V359="DNA"),$V359,IF(OR(ISNUMBER($U359),$U359="DNA"),$U359,IF(OR(ISNUMBER($T359),$T359="DNA"),$T359,IF(OR(ISNUMBER($S359),$S359="DNA"),$S359,IF(OR(ISNUMBER($P359),$P359="DNA"),$P359,IF(OR(ISNUMBER($O359),$O359="DNA"),$O359,IF(OR(ISNUMBER($N359),$N359="DNA"),$N359,""))))))))))),IF(OR(ISNUMBER($Y359),$Y359="DNA"),$Y359,IF(OR(ISNUMBER($X359),$X359="DNA"),$X359,IF(OR(ISNUMBER($W359),$W359="DNA"),$W359,IF(OR(ISNUMBER($V359),$V359="DNA"),$V359,IF(OR(ISNUMBER($U359),$U359="DNA"),$U359,IF(OR(ISNUMBER($T359),$T359="DNA"),$T359,IF(OR(ISNUMBER($S359),$S359="DNA"),$S359,IF(OR(ISNUMBER($P359),$P359="DNA"),$P359,IF(OR(ISNUMBER($O359),$O359="DNA"),$O359,IF(OR(ISNUMBER($N359),$N359="DNA"),$N359,""))))))))))&lt;TODAY())),1,0)+ISNUMBER($Q359)*($Q359&lt;TODAY())+ISNUMBER($R359)*($R359&lt;TODAY())+ISNUMBER($AA359)*($AA359&lt;TODAY())+ISNUMBER($AB359)*($AB359&lt;TODAY()))</f>
        <v/>
      </c>
    </row>
    <row r="360">
      <c r="A360" s="25" t="n"/>
      <c r="B360" s="26" t="n"/>
      <c r="C360" s="27" t="n"/>
      <c r="D360" s="25" t="n"/>
      <c r="E360" s="25" t="n"/>
      <c r="F360" s="25" t="n"/>
      <c r="G360" s="25" t="n"/>
      <c r="H360" s="27" t="n"/>
      <c r="I360" s="25" t="n"/>
      <c r="J360" s="28">
        <f>IF(OR(NOT(AND($A360&lt;&gt;"",OR($I360="",$I360="Active"))),$H360=""),"",INT((TODAY()-$H360+280)/7)&amp;"+"&amp;MOD(TODAY()-$H360+280,7))</f>
        <v/>
      </c>
      <c r="K360" s="28">
        <f>IF(NOT(AND($A360&lt;&gt;"",OR($I360="",$I360="Active"))),"",ISNUMBER($N360)*($N360&gt;=TODAY())*($N360&lt;=TODAY()+7)+ISNUMBER($O360)*($O360&gt;=TODAY())*($O360&lt;=TODAY()+7)+ISNUMBER($P360)*($P360&gt;=TODAY())*($P360&lt;=TODAY()+7)+ISNUMBER($S360)*($S360&gt;=TODAY())*($S360&lt;=TODAY()+7)+ISNUMBER($T360)*($T360&gt;=TODAY())*($T360&lt;=TODAY()+7)+ISNUMBER($U360)*($U360&gt;=TODAY())*($U360&lt;=TODAY()+7)+ISNUMBER($V360)*($V360&gt;=TODAY())*($V360&lt;=TODAY()+7)+ISNUMBER($W360)*($W360&gt;=TODAY())*($W360&lt;=TODAY()+7)+ISNUMBER($X360)*($X360&gt;=TODAY())*($X360&lt;=TODAY()+7)+ISNUMBER($Y360)*($Y360&gt;=TODAY())*($Y360&lt;=TODAY()+7)+ISNUMBER($Q360)*($Q360&gt;=TODAY())*($Q360&lt;=TODAY()+7)+ISNUMBER($R360)*($R360&gt;=TODAY())*($R360&lt;=TODAY()+7)+ISNUMBER($AA360)*($AA360&gt;=TODAY())*($AA360&lt;=TODAY()+7)+ISNUMBER($AB360)*($AB360&gt;=TODAY())*($AB360&lt;=TODAY()+7))</f>
        <v/>
      </c>
      <c r="L360" s="28">
        <f>IF(NOT(AND($A360&lt;&gt;"",OR($I360="",$I360="Active"))),"",IF($M360&lt;&gt;"",IF($N360=$M360,"Booking",IF($O360=$M360,"16/40",IF($P360=$M360,"25/40",IF($S360=$M360,"28/40",IF($T360=$M360,"31/40",IF($U360=$M360,"34/40",IF($V360=$M360,"36/40",IF($W360=$M360,"38/40",IF($X360=$M360,"40/40",IF($Y360=$M360,"41/40","")))))))))),IF(IF(OR(ISNUMBER($Y360),$Y360="DNA"),$Y360,IF(OR(ISNUMBER($X360),$X360="DNA"),$X360,IF(OR(ISNUMBER($W360),$W360="DNA"),$W360,IF(OR(ISNUMBER($V360),$V360="DNA"),$V360,IF(OR(ISNUMBER($U360),$U360="DNA"),$U360,IF(OR(ISNUMBER($T360),$T360="DNA"),$T360,IF(OR(ISNUMBER($S360),$S360="DNA"),$S360,IF(OR(ISNUMBER($P360),$P360="DNA"),$P360,IF(OR(ISNUMBER($O360),$O360="DNA"),$O360,IF(OR(ISNUMBER($N360),$N360="DNA"),$N360,""))))))))))="DNA","Rebook DNA",IF(ISNUMBER(IF(OR(ISNUMBER($Y360),$Y360="DNA"),$Y360,IF(OR(ISNUMBER($X360),$X360="DNA"),$X360,IF(OR(ISNUMBER($W360),$W360="DNA"),$W360,IF(OR(ISNUMBER($V360),$V360="DNA"),$V360,IF(OR(ISNUMBER($U360),$U360="DNA"),$U360,IF(OR(ISNUMBER($T360),$T360="DNA"),$T360,IF(OR(ISNUMBER($S360),$S360="DNA"),$S360,IF(OR(ISNUMBER($P360),$P360="DNA"),$P360,IF(OR(ISNUMBER($O360),$O360="DNA"),$O360,IF(OR(ISNUMBER($N360),$N360="DNA"),$N360,""))))))))))),IF(ISNUMBER($Y360),"Update status","Missed/not booked?"),""))))</f>
        <v/>
      </c>
      <c r="M360" s="29">
        <f>IF(NOT(AND($A360&lt;&gt;"",OR($I360="",$I360="Active"))),"",IF(MIN(IF(AND(ISNUMBER($N360),$N360&gt;=TODAY()),$N360,99999),IF(AND(ISNUMBER($O360),$O360&gt;=TODAY()),$O360,99999),IF(AND(ISNUMBER($P360),$P360&gt;=TODAY()),$P360,99999),IF(AND(ISNUMBER($S360),$S360&gt;=TODAY()),$S360,99999),IF(AND(ISNUMBER($T360),$T360&gt;=TODAY()),$T360,99999),IF(AND(ISNUMBER($U360),$U360&gt;=TODAY()),$U360,99999),IF(AND(ISNUMBER($V360),$V360&gt;=TODAY()),$V360,99999),IF(AND(ISNUMBER($W360),$W360&gt;=TODAY()),$W360,99999),IF(AND(ISNUMBER($X360),$X360&gt;=TODAY()),$X360,99999),IF(AND(ISNUMBER($Y360),$Y360&gt;=TODAY()),$Y360,99999))=99999,"",MIN(IF(AND(ISNUMBER($N360),$N360&gt;=TODAY()),$N360,99999),IF(AND(ISNUMBER($O360),$O360&gt;=TODAY()),$O360,99999),IF(AND(ISNUMBER($P360),$P360&gt;=TODAY()),$P360,99999),IF(AND(ISNUMBER($S360),$S360&gt;=TODAY()),$S360,99999),IF(AND(ISNUMBER($T360),$T360&gt;=TODAY()),$T360,99999),IF(AND(ISNUMBER($U360),$U360&gt;=TODAY()),$U360,99999),IF(AND(ISNUMBER($V360),$V360&gt;=TODAY()),$V360,99999),IF(AND(ISNUMBER($W360),$W360&gt;=TODAY()),$W360,99999),IF(AND(ISNUMBER($X360),$X360&gt;=TODAY()),$X360,99999),IF(AND(ISNUMBER($Y360),$Y360&gt;=TODAY()),$Y360,99999))))</f>
        <v/>
      </c>
      <c r="N360" s="27" t="n"/>
      <c r="O360" s="27" t="n"/>
      <c r="P360" s="27" t="n"/>
      <c r="Q360" s="27" t="n"/>
      <c r="R360" s="27" t="n"/>
      <c r="S360" s="27" t="n"/>
      <c r="T360" s="27" t="n"/>
      <c r="U360" s="27" t="n"/>
      <c r="V360" s="27" t="n"/>
      <c r="W360" s="27" t="n"/>
      <c r="X360" s="27" t="n"/>
      <c r="Y360" s="27" t="n"/>
      <c r="Z360" s="27" t="n"/>
      <c r="AA360" s="27" t="n"/>
      <c r="AB360" s="27" t="n"/>
      <c r="AC360" s="30" t="n"/>
      <c r="AD360" s="25" t="n"/>
      <c r="AE360" s="28">
        <f>IF(NOT(AND($A360&lt;&gt;"",OR($I360="",$I360="Active"))),"",IF(OR(IF(OR(ISNUMBER($Y360),$Y360="DNA"),$Y360,IF(OR(ISNUMBER($X360),$X360="DNA"),$X360,IF(OR(ISNUMBER($W360),$W360="DNA"),$W360,IF(OR(ISNUMBER($V360),$V360="DNA"),$V360,IF(OR(ISNUMBER($U360),$U360="DNA"),$U360,IF(OR(ISNUMBER($T360),$T360="DNA"),$T360,IF(OR(ISNUMBER($S360),$S360="DNA"),$S360,IF(OR(ISNUMBER($P360),$P360="DNA"),$P360,IF(OR(ISNUMBER($O360),$O360="DNA"),$O360,IF(OR(ISNUMBER($N360),$N360="DNA"),$N360,""))))))))))="DNA",AND(ISNUMBER(IF(OR(ISNUMBER($Y360),$Y360="DNA"),$Y360,IF(OR(ISNUMBER($X360),$X360="DNA"),$X360,IF(OR(ISNUMBER($W360),$W360="DNA"),$W360,IF(OR(ISNUMBER($V360),$V360="DNA"),$V360,IF(OR(ISNUMBER($U360),$U360="DNA"),$U360,IF(OR(ISNUMBER($T360),$T360="DNA"),$T360,IF(OR(ISNUMBER($S360),$S360="DNA"),$S360,IF(OR(ISNUMBER($P360),$P360="DNA"),$P360,IF(OR(ISNUMBER($O360),$O360="DNA"),$O360,IF(OR(ISNUMBER($N360),$N360="DNA"),$N360,""))))))))))),IF(OR(ISNUMBER($Y360),$Y360="DNA"),$Y360,IF(OR(ISNUMBER($X360),$X360="DNA"),$X360,IF(OR(ISNUMBER($W360),$W360="DNA"),$W360,IF(OR(ISNUMBER($V360),$V360="DNA"),$V360,IF(OR(ISNUMBER($U360),$U360="DNA"),$U360,IF(OR(ISNUMBER($T360),$T360="DNA"),$T360,IF(OR(ISNUMBER($S360),$S360="DNA"),$S360,IF(OR(ISNUMBER($P360),$P360="DNA"),$P360,IF(OR(ISNUMBER($O360),$O360="DNA"),$O360,IF(OR(ISNUMBER($N360),$N360="DNA"),$N360,""))))))))))&lt;TODAY())),1,0)+ISNUMBER($Q360)*($Q360&lt;TODAY())+ISNUMBER($R360)*($R360&lt;TODAY())+ISNUMBER($AA360)*($AA360&lt;TODAY())+ISNUMBER($AB360)*($AB360&lt;TODAY()))</f>
        <v/>
      </c>
    </row>
    <row r="361">
      <c r="A361" s="25" t="n"/>
      <c r="B361" s="26" t="n"/>
      <c r="C361" s="27" t="n"/>
      <c r="D361" s="25" t="n"/>
      <c r="E361" s="25" t="n"/>
      <c r="F361" s="25" t="n"/>
      <c r="G361" s="25" t="n"/>
      <c r="H361" s="27" t="n"/>
      <c r="I361" s="25" t="n"/>
      <c r="J361" s="28">
        <f>IF(OR(NOT(AND($A361&lt;&gt;"",OR($I361="",$I361="Active"))),$H361=""),"",INT((TODAY()-$H361+280)/7)&amp;"+"&amp;MOD(TODAY()-$H361+280,7))</f>
        <v/>
      </c>
      <c r="K361" s="28">
        <f>IF(NOT(AND($A361&lt;&gt;"",OR($I361="",$I361="Active"))),"",ISNUMBER($N361)*($N361&gt;=TODAY())*($N361&lt;=TODAY()+7)+ISNUMBER($O361)*($O361&gt;=TODAY())*($O361&lt;=TODAY()+7)+ISNUMBER($P361)*($P361&gt;=TODAY())*($P361&lt;=TODAY()+7)+ISNUMBER($S361)*($S361&gt;=TODAY())*($S361&lt;=TODAY()+7)+ISNUMBER($T361)*($T361&gt;=TODAY())*($T361&lt;=TODAY()+7)+ISNUMBER($U361)*($U361&gt;=TODAY())*($U361&lt;=TODAY()+7)+ISNUMBER($V361)*($V361&gt;=TODAY())*($V361&lt;=TODAY()+7)+ISNUMBER($W361)*($W361&gt;=TODAY())*($W361&lt;=TODAY()+7)+ISNUMBER($X361)*($X361&gt;=TODAY())*($X361&lt;=TODAY()+7)+ISNUMBER($Y361)*($Y361&gt;=TODAY())*($Y361&lt;=TODAY()+7)+ISNUMBER($Q361)*($Q361&gt;=TODAY())*($Q361&lt;=TODAY()+7)+ISNUMBER($R361)*($R361&gt;=TODAY())*($R361&lt;=TODAY()+7)+ISNUMBER($AA361)*($AA361&gt;=TODAY())*($AA361&lt;=TODAY()+7)+ISNUMBER($AB361)*($AB361&gt;=TODAY())*($AB361&lt;=TODAY()+7))</f>
        <v/>
      </c>
      <c r="L361" s="28">
        <f>IF(NOT(AND($A361&lt;&gt;"",OR($I361="",$I361="Active"))),"",IF($M361&lt;&gt;"",IF($N361=$M361,"Booking",IF($O361=$M361,"16/40",IF($P361=$M361,"25/40",IF($S361=$M361,"28/40",IF($T361=$M361,"31/40",IF($U361=$M361,"34/40",IF($V361=$M361,"36/40",IF($W361=$M361,"38/40",IF($X361=$M361,"40/40",IF($Y361=$M361,"41/40","")))))))))),IF(IF(OR(ISNUMBER($Y361),$Y361="DNA"),$Y361,IF(OR(ISNUMBER($X361),$X361="DNA"),$X361,IF(OR(ISNUMBER($W361),$W361="DNA"),$W361,IF(OR(ISNUMBER($V361),$V361="DNA"),$V361,IF(OR(ISNUMBER($U361),$U361="DNA"),$U361,IF(OR(ISNUMBER($T361),$T361="DNA"),$T361,IF(OR(ISNUMBER($S361),$S361="DNA"),$S361,IF(OR(ISNUMBER($P361),$P361="DNA"),$P361,IF(OR(ISNUMBER($O361),$O361="DNA"),$O361,IF(OR(ISNUMBER($N361),$N361="DNA"),$N361,""))))))))))="DNA","Rebook DNA",IF(ISNUMBER(IF(OR(ISNUMBER($Y361),$Y361="DNA"),$Y361,IF(OR(ISNUMBER($X361),$X361="DNA"),$X361,IF(OR(ISNUMBER($W361),$W361="DNA"),$W361,IF(OR(ISNUMBER($V361),$V361="DNA"),$V361,IF(OR(ISNUMBER($U361),$U361="DNA"),$U361,IF(OR(ISNUMBER($T361),$T361="DNA"),$T361,IF(OR(ISNUMBER($S361),$S361="DNA"),$S361,IF(OR(ISNUMBER($P361),$P361="DNA"),$P361,IF(OR(ISNUMBER($O361),$O361="DNA"),$O361,IF(OR(ISNUMBER($N361),$N361="DNA"),$N361,""))))))))))),IF(ISNUMBER($Y361),"Update status","Missed/not booked?"),""))))</f>
        <v/>
      </c>
      <c r="M361" s="29">
        <f>IF(NOT(AND($A361&lt;&gt;"",OR($I361="",$I361="Active"))),"",IF(MIN(IF(AND(ISNUMBER($N361),$N361&gt;=TODAY()),$N361,99999),IF(AND(ISNUMBER($O361),$O361&gt;=TODAY()),$O361,99999),IF(AND(ISNUMBER($P361),$P361&gt;=TODAY()),$P361,99999),IF(AND(ISNUMBER($S361),$S361&gt;=TODAY()),$S361,99999),IF(AND(ISNUMBER($T361),$T361&gt;=TODAY()),$T361,99999),IF(AND(ISNUMBER($U361),$U361&gt;=TODAY()),$U361,99999),IF(AND(ISNUMBER($V361),$V361&gt;=TODAY()),$V361,99999),IF(AND(ISNUMBER($W361),$W361&gt;=TODAY()),$W361,99999),IF(AND(ISNUMBER($X361),$X361&gt;=TODAY()),$X361,99999),IF(AND(ISNUMBER($Y361),$Y361&gt;=TODAY()),$Y361,99999))=99999,"",MIN(IF(AND(ISNUMBER($N361),$N361&gt;=TODAY()),$N361,99999),IF(AND(ISNUMBER($O361),$O361&gt;=TODAY()),$O361,99999),IF(AND(ISNUMBER($P361),$P361&gt;=TODAY()),$P361,99999),IF(AND(ISNUMBER($S361),$S361&gt;=TODAY()),$S361,99999),IF(AND(ISNUMBER($T361),$T361&gt;=TODAY()),$T361,99999),IF(AND(ISNUMBER($U361),$U361&gt;=TODAY()),$U361,99999),IF(AND(ISNUMBER($V361),$V361&gt;=TODAY()),$V361,99999),IF(AND(ISNUMBER($W361),$W361&gt;=TODAY()),$W361,99999),IF(AND(ISNUMBER($X361),$X361&gt;=TODAY()),$X361,99999),IF(AND(ISNUMBER($Y361),$Y361&gt;=TODAY()),$Y361,99999))))</f>
        <v/>
      </c>
      <c r="N361" s="27" t="n"/>
      <c r="O361" s="27" t="n"/>
      <c r="P361" s="27" t="n"/>
      <c r="Q361" s="27" t="n"/>
      <c r="R361" s="27" t="n"/>
      <c r="S361" s="27" t="n"/>
      <c r="T361" s="27" t="n"/>
      <c r="U361" s="27" t="n"/>
      <c r="V361" s="27" t="n"/>
      <c r="W361" s="27" t="n"/>
      <c r="X361" s="27" t="n"/>
      <c r="Y361" s="27" t="n"/>
      <c r="Z361" s="27" t="n"/>
      <c r="AA361" s="27" t="n"/>
      <c r="AB361" s="27" t="n"/>
      <c r="AC361" s="30" t="n"/>
      <c r="AD361" s="25" t="n"/>
      <c r="AE361" s="28">
        <f>IF(NOT(AND($A361&lt;&gt;"",OR($I361="",$I361="Active"))),"",IF(OR(IF(OR(ISNUMBER($Y361),$Y361="DNA"),$Y361,IF(OR(ISNUMBER($X361),$X361="DNA"),$X361,IF(OR(ISNUMBER($W361),$W361="DNA"),$W361,IF(OR(ISNUMBER($V361),$V361="DNA"),$V361,IF(OR(ISNUMBER($U361),$U361="DNA"),$U361,IF(OR(ISNUMBER($T361),$T361="DNA"),$T361,IF(OR(ISNUMBER($S361),$S361="DNA"),$S361,IF(OR(ISNUMBER($P361),$P361="DNA"),$P361,IF(OR(ISNUMBER($O361),$O361="DNA"),$O361,IF(OR(ISNUMBER($N361),$N361="DNA"),$N361,""))))))))))="DNA",AND(ISNUMBER(IF(OR(ISNUMBER($Y361),$Y361="DNA"),$Y361,IF(OR(ISNUMBER($X361),$X361="DNA"),$X361,IF(OR(ISNUMBER($W361),$W361="DNA"),$W361,IF(OR(ISNUMBER($V361),$V361="DNA"),$V361,IF(OR(ISNUMBER($U361),$U361="DNA"),$U361,IF(OR(ISNUMBER($T361),$T361="DNA"),$T361,IF(OR(ISNUMBER($S361),$S361="DNA"),$S361,IF(OR(ISNUMBER($P361),$P361="DNA"),$P361,IF(OR(ISNUMBER($O361),$O361="DNA"),$O361,IF(OR(ISNUMBER($N361),$N361="DNA"),$N361,""))))))))))),IF(OR(ISNUMBER($Y361),$Y361="DNA"),$Y361,IF(OR(ISNUMBER($X361),$X361="DNA"),$X361,IF(OR(ISNUMBER($W361),$W361="DNA"),$W361,IF(OR(ISNUMBER($V361),$V361="DNA"),$V361,IF(OR(ISNUMBER($U361),$U361="DNA"),$U361,IF(OR(ISNUMBER($T361),$T361="DNA"),$T361,IF(OR(ISNUMBER($S361),$S361="DNA"),$S361,IF(OR(ISNUMBER($P361),$P361="DNA"),$P361,IF(OR(ISNUMBER($O361),$O361="DNA"),$O361,IF(OR(ISNUMBER($N361),$N361="DNA"),$N361,""))))))))))&lt;TODAY())),1,0)+ISNUMBER($Q361)*($Q361&lt;TODAY())+ISNUMBER($R361)*($R361&lt;TODAY())+ISNUMBER($AA361)*($AA361&lt;TODAY())+ISNUMBER($AB361)*($AB361&lt;TODAY()))</f>
        <v/>
      </c>
    </row>
    <row r="362">
      <c r="A362" s="25" t="n"/>
      <c r="B362" s="26" t="n"/>
      <c r="C362" s="27" t="n"/>
      <c r="D362" s="25" t="n"/>
      <c r="E362" s="25" t="n"/>
      <c r="F362" s="25" t="n"/>
      <c r="G362" s="25" t="n"/>
      <c r="H362" s="27" t="n"/>
      <c r="I362" s="25" t="n"/>
      <c r="J362" s="28">
        <f>IF(OR(NOT(AND($A362&lt;&gt;"",OR($I362="",$I362="Active"))),$H362=""),"",INT((TODAY()-$H362+280)/7)&amp;"+"&amp;MOD(TODAY()-$H362+280,7))</f>
        <v/>
      </c>
      <c r="K362" s="28">
        <f>IF(NOT(AND($A362&lt;&gt;"",OR($I362="",$I362="Active"))),"",ISNUMBER($N362)*($N362&gt;=TODAY())*($N362&lt;=TODAY()+7)+ISNUMBER($O362)*($O362&gt;=TODAY())*($O362&lt;=TODAY()+7)+ISNUMBER($P362)*($P362&gt;=TODAY())*($P362&lt;=TODAY()+7)+ISNUMBER($S362)*($S362&gt;=TODAY())*($S362&lt;=TODAY()+7)+ISNUMBER($T362)*($T362&gt;=TODAY())*($T362&lt;=TODAY()+7)+ISNUMBER($U362)*($U362&gt;=TODAY())*($U362&lt;=TODAY()+7)+ISNUMBER($V362)*($V362&gt;=TODAY())*($V362&lt;=TODAY()+7)+ISNUMBER($W362)*($W362&gt;=TODAY())*($W362&lt;=TODAY()+7)+ISNUMBER($X362)*($X362&gt;=TODAY())*($X362&lt;=TODAY()+7)+ISNUMBER($Y362)*($Y362&gt;=TODAY())*($Y362&lt;=TODAY()+7)+ISNUMBER($Q362)*($Q362&gt;=TODAY())*($Q362&lt;=TODAY()+7)+ISNUMBER($R362)*($R362&gt;=TODAY())*($R362&lt;=TODAY()+7)+ISNUMBER($AA362)*($AA362&gt;=TODAY())*($AA362&lt;=TODAY()+7)+ISNUMBER($AB362)*($AB362&gt;=TODAY())*($AB362&lt;=TODAY()+7))</f>
        <v/>
      </c>
      <c r="L362" s="28">
        <f>IF(NOT(AND($A362&lt;&gt;"",OR($I362="",$I362="Active"))),"",IF($M362&lt;&gt;"",IF($N362=$M362,"Booking",IF($O362=$M362,"16/40",IF($P362=$M362,"25/40",IF($S362=$M362,"28/40",IF($T362=$M362,"31/40",IF($U362=$M362,"34/40",IF($V362=$M362,"36/40",IF($W362=$M362,"38/40",IF($X362=$M362,"40/40",IF($Y362=$M362,"41/40","")))))))))),IF(IF(OR(ISNUMBER($Y362),$Y362="DNA"),$Y362,IF(OR(ISNUMBER($X362),$X362="DNA"),$X362,IF(OR(ISNUMBER($W362),$W362="DNA"),$W362,IF(OR(ISNUMBER($V362),$V362="DNA"),$V362,IF(OR(ISNUMBER($U362),$U362="DNA"),$U362,IF(OR(ISNUMBER($T362),$T362="DNA"),$T362,IF(OR(ISNUMBER($S362),$S362="DNA"),$S362,IF(OR(ISNUMBER($P362),$P362="DNA"),$P362,IF(OR(ISNUMBER($O362),$O362="DNA"),$O362,IF(OR(ISNUMBER($N362),$N362="DNA"),$N362,""))))))))))="DNA","Rebook DNA",IF(ISNUMBER(IF(OR(ISNUMBER($Y362),$Y362="DNA"),$Y362,IF(OR(ISNUMBER($X362),$X362="DNA"),$X362,IF(OR(ISNUMBER($W362),$W362="DNA"),$W362,IF(OR(ISNUMBER($V362),$V362="DNA"),$V362,IF(OR(ISNUMBER($U362),$U362="DNA"),$U362,IF(OR(ISNUMBER($T362),$T362="DNA"),$T362,IF(OR(ISNUMBER($S362),$S362="DNA"),$S362,IF(OR(ISNUMBER($P362),$P362="DNA"),$P362,IF(OR(ISNUMBER($O362),$O362="DNA"),$O362,IF(OR(ISNUMBER($N362),$N362="DNA"),$N362,""))))))))))),IF(ISNUMBER($Y362),"Update status","Missed/not booked?"),""))))</f>
        <v/>
      </c>
      <c r="M362" s="29">
        <f>IF(NOT(AND($A362&lt;&gt;"",OR($I362="",$I362="Active"))),"",IF(MIN(IF(AND(ISNUMBER($N362),$N362&gt;=TODAY()),$N362,99999),IF(AND(ISNUMBER($O362),$O362&gt;=TODAY()),$O362,99999),IF(AND(ISNUMBER($P362),$P362&gt;=TODAY()),$P362,99999),IF(AND(ISNUMBER($S362),$S362&gt;=TODAY()),$S362,99999),IF(AND(ISNUMBER($T362),$T362&gt;=TODAY()),$T362,99999),IF(AND(ISNUMBER($U362),$U362&gt;=TODAY()),$U362,99999),IF(AND(ISNUMBER($V362),$V362&gt;=TODAY()),$V362,99999),IF(AND(ISNUMBER($W362),$W362&gt;=TODAY()),$W362,99999),IF(AND(ISNUMBER($X362),$X362&gt;=TODAY()),$X362,99999),IF(AND(ISNUMBER($Y362),$Y362&gt;=TODAY()),$Y362,99999))=99999,"",MIN(IF(AND(ISNUMBER($N362),$N362&gt;=TODAY()),$N362,99999),IF(AND(ISNUMBER($O362),$O362&gt;=TODAY()),$O362,99999),IF(AND(ISNUMBER($P362),$P362&gt;=TODAY()),$P362,99999),IF(AND(ISNUMBER($S362),$S362&gt;=TODAY()),$S362,99999),IF(AND(ISNUMBER($T362),$T362&gt;=TODAY()),$T362,99999),IF(AND(ISNUMBER($U362),$U362&gt;=TODAY()),$U362,99999),IF(AND(ISNUMBER($V362),$V362&gt;=TODAY()),$V362,99999),IF(AND(ISNUMBER($W362),$W362&gt;=TODAY()),$W362,99999),IF(AND(ISNUMBER($X362),$X362&gt;=TODAY()),$X362,99999),IF(AND(ISNUMBER($Y362),$Y362&gt;=TODAY()),$Y362,99999))))</f>
        <v/>
      </c>
      <c r="N362" s="27" t="n"/>
      <c r="O362" s="27" t="n"/>
      <c r="P362" s="27" t="n"/>
      <c r="Q362" s="27" t="n"/>
      <c r="R362" s="27" t="n"/>
      <c r="S362" s="27" t="n"/>
      <c r="T362" s="27" t="n"/>
      <c r="U362" s="27" t="n"/>
      <c r="V362" s="27" t="n"/>
      <c r="W362" s="27" t="n"/>
      <c r="X362" s="27" t="n"/>
      <c r="Y362" s="27" t="n"/>
      <c r="Z362" s="27" t="n"/>
      <c r="AA362" s="27" t="n"/>
      <c r="AB362" s="27" t="n"/>
      <c r="AC362" s="30" t="n"/>
      <c r="AD362" s="25" t="n"/>
      <c r="AE362" s="28">
        <f>IF(NOT(AND($A362&lt;&gt;"",OR($I362="",$I362="Active"))),"",IF(OR(IF(OR(ISNUMBER($Y362),$Y362="DNA"),$Y362,IF(OR(ISNUMBER($X362),$X362="DNA"),$X362,IF(OR(ISNUMBER($W362),$W362="DNA"),$W362,IF(OR(ISNUMBER($V362),$V362="DNA"),$V362,IF(OR(ISNUMBER($U362),$U362="DNA"),$U362,IF(OR(ISNUMBER($T362),$T362="DNA"),$T362,IF(OR(ISNUMBER($S362),$S362="DNA"),$S362,IF(OR(ISNUMBER($P362),$P362="DNA"),$P362,IF(OR(ISNUMBER($O362),$O362="DNA"),$O362,IF(OR(ISNUMBER($N362),$N362="DNA"),$N362,""))))))))))="DNA",AND(ISNUMBER(IF(OR(ISNUMBER($Y362),$Y362="DNA"),$Y362,IF(OR(ISNUMBER($X362),$X362="DNA"),$X362,IF(OR(ISNUMBER($W362),$W362="DNA"),$W362,IF(OR(ISNUMBER($V362),$V362="DNA"),$V362,IF(OR(ISNUMBER($U362),$U362="DNA"),$U362,IF(OR(ISNUMBER($T362),$T362="DNA"),$T362,IF(OR(ISNUMBER($S362),$S362="DNA"),$S362,IF(OR(ISNUMBER($P362),$P362="DNA"),$P362,IF(OR(ISNUMBER($O362),$O362="DNA"),$O362,IF(OR(ISNUMBER($N362),$N362="DNA"),$N362,""))))))))))),IF(OR(ISNUMBER($Y362),$Y362="DNA"),$Y362,IF(OR(ISNUMBER($X362),$X362="DNA"),$X362,IF(OR(ISNUMBER($W362),$W362="DNA"),$W362,IF(OR(ISNUMBER($V362),$V362="DNA"),$V362,IF(OR(ISNUMBER($U362),$U362="DNA"),$U362,IF(OR(ISNUMBER($T362),$T362="DNA"),$T362,IF(OR(ISNUMBER($S362),$S362="DNA"),$S362,IF(OR(ISNUMBER($P362),$P362="DNA"),$P362,IF(OR(ISNUMBER($O362),$O362="DNA"),$O362,IF(OR(ISNUMBER($N362),$N362="DNA"),$N362,""))))))))))&lt;TODAY())),1,0)+ISNUMBER($Q362)*($Q362&lt;TODAY())+ISNUMBER($R362)*($R362&lt;TODAY())+ISNUMBER($AA362)*($AA362&lt;TODAY())+ISNUMBER($AB362)*($AB362&lt;TODAY()))</f>
        <v/>
      </c>
    </row>
    <row r="363">
      <c r="A363" s="25" t="n"/>
      <c r="B363" s="26" t="n"/>
      <c r="C363" s="27" t="n"/>
      <c r="D363" s="25" t="n"/>
      <c r="E363" s="25" t="n"/>
      <c r="F363" s="25" t="n"/>
      <c r="G363" s="25" t="n"/>
      <c r="H363" s="27" t="n"/>
      <c r="I363" s="25" t="n"/>
      <c r="J363" s="28">
        <f>IF(OR(NOT(AND($A363&lt;&gt;"",OR($I363="",$I363="Active"))),$H363=""),"",INT((TODAY()-$H363+280)/7)&amp;"+"&amp;MOD(TODAY()-$H363+280,7))</f>
        <v/>
      </c>
      <c r="K363" s="28">
        <f>IF(NOT(AND($A363&lt;&gt;"",OR($I363="",$I363="Active"))),"",ISNUMBER($N363)*($N363&gt;=TODAY())*($N363&lt;=TODAY()+7)+ISNUMBER($O363)*($O363&gt;=TODAY())*($O363&lt;=TODAY()+7)+ISNUMBER($P363)*($P363&gt;=TODAY())*($P363&lt;=TODAY()+7)+ISNUMBER($S363)*($S363&gt;=TODAY())*($S363&lt;=TODAY()+7)+ISNUMBER($T363)*($T363&gt;=TODAY())*($T363&lt;=TODAY()+7)+ISNUMBER($U363)*($U363&gt;=TODAY())*($U363&lt;=TODAY()+7)+ISNUMBER($V363)*($V363&gt;=TODAY())*($V363&lt;=TODAY()+7)+ISNUMBER($W363)*($W363&gt;=TODAY())*($W363&lt;=TODAY()+7)+ISNUMBER($X363)*($X363&gt;=TODAY())*($X363&lt;=TODAY()+7)+ISNUMBER($Y363)*($Y363&gt;=TODAY())*($Y363&lt;=TODAY()+7)+ISNUMBER($Q363)*($Q363&gt;=TODAY())*($Q363&lt;=TODAY()+7)+ISNUMBER($R363)*($R363&gt;=TODAY())*($R363&lt;=TODAY()+7)+ISNUMBER($AA363)*($AA363&gt;=TODAY())*($AA363&lt;=TODAY()+7)+ISNUMBER($AB363)*($AB363&gt;=TODAY())*($AB363&lt;=TODAY()+7))</f>
        <v/>
      </c>
      <c r="L363" s="28">
        <f>IF(NOT(AND($A363&lt;&gt;"",OR($I363="",$I363="Active"))),"",IF($M363&lt;&gt;"",IF($N363=$M363,"Booking",IF($O363=$M363,"16/40",IF($P363=$M363,"25/40",IF($S363=$M363,"28/40",IF($T363=$M363,"31/40",IF($U363=$M363,"34/40",IF($V363=$M363,"36/40",IF($W363=$M363,"38/40",IF($X363=$M363,"40/40",IF($Y363=$M363,"41/40","")))))))))),IF(IF(OR(ISNUMBER($Y363),$Y363="DNA"),$Y363,IF(OR(ISNUMBER($X363),$X363="DNA"),$X363,IF(OR(ISNUMBER($W363),$W363="DNA"),$W363,IF(OR(ISNUMBER($V363),$V363="DNA"),$V363,IF(OR(ISNUMBER($U363),$U363="DNA"),$U363,IF(OR(ISNUMBER($T363),$T363="DNA"),$T363,IF(OR(ISNUMBER($S363),$S363="DNA"),$S363,IF(OR(ISNUMBER($P363),$P363="DNA"),$P363,IF(OR(ISNUMBER($O363),$O363="DNA"),$O363,IF(OR(ISNUMBER($N363),$N363="DNA"),$N363,""))))))))))="DNA","Rebook DNA",IF(ISNUMBER(IF(OR(ISNUMBER($Y363),$Y363="DNA"),$Y363,IF(OR(ISNUMBER($X363),$X363="DNA"),$X363,IF(OR(ISNUMBER($W363),$W363="DNA"),$W363,IF(OR(ISNUMBER($V363),$V363="DNA"),$V363,IF(OR(ISNUMBER($U363),$U363="DNA"),$U363,IF(OR(ISNUMBER($T363),$T363="DNA"),$T363,IF(OR(ISNUMBER($S363),$S363="DNA"),$S363,IF(OR(ISNUMBER($P363),$P363="DNA"),$P363,IF(OR(ISNUMBER($O363),$O363="DNA"),$O363,IF(OR(ISNUMBER($N363),$N363="DNA"),$N363,""))))))))))),IF(ISNUMBER($Y363),"Update status","Missed/not booked?"),""))))</f>
        <v/>
      </c>
      <c r="M363" s="29">
        <f>IF(NOT(AND($A363&lt;&gt;"",OR($I363="",$I363="Active"))),"",IF(MIN(IF(AND(ISNUMBER($N363),$N363&gt;=TODAY()),$N363,99999),IF(AND(ISNUMBER($O363),$O363&gt;=TODAY()),$O363,99999),IF(AND(ISNUMBER($P363),$P363&gt;=TODAY()),$P363,99999),IF(AND(ISNUMBER($S363),$S363&gt;=TODAY()),$S363,99999),IF(AND(ISNUMBER($T363),$T363&gt;=TODAY()),$T363,99999),IF(AND(ISNUMBER($U363),$U363&gt;=TODAY()),$U363,99999),IF(AND(ISNUMBER($V363),$V363&gt;=TODAY()),$V363,99999),IF(AND(ISNUMBER($W363),$W363&gt;=TODAY()),$W363,99999),IF(AND(ISNUMBER($X363),$X363&gt;=TODAY()),$X363,99999),IF(AND(ISNUMBER($Y363),$Y363&gt;=TODAY()),$Y363,99999))=99999,"",MIN(IF(AND(ISNUMBER($N363),$N363&gt;=TODAY()),$N363,99999),IF(AND(ISNUMBER($O363),$O363&gt;=TODAY()),$O363,99999),IF(AND(ISNUMBER($P363),$P363&gt;=TODAY()),$P363,99999),IF(AND(ISNUMBER($S363),$S363&gt;=TODAY()),$S363,99999),IF(AND(ISNUMBER($T363),$T363&gt;=TODAY()),$T363,99999),IF(AND(ISNUMBER($U363),$U363&gt;=TODAY()),$U363,99999),IF(AND(ISNUMBER($V363),$V363&gt;=TODAY()),$V363,99999),IF(AND(ISNUMBER($W363),$W363&gt;=TODAY()),$W363,99999),IF(AND(ISNUMBER($X363),$X363&gt;=TODAY()),$X363,99999),IF(AND(ISNUMBER($Y363),$Y363&gt;=TODAY()),$Y363,99999))))</f>
        <v/>
      </c>
      <c r="N363" s="27" t="n"/>
      <c r="O363" s="27" t="n"/>
      <c r="P363" s="27" t="n"/>
      <c r="Q363" s="27" t="n"/>
      <c r="R363" s="27" t="n"/>
      <c r="S363" s="27" t="n"/>
      <c r="T363" s="27" t="n"/>
      <c r="U363" s="27" t="n"/>
      <c r="V363" s="27" t="n"/>
      <c r="W363" s="27" t="n"/>
      <c r="X363" s="27" t="n"/>
      <c r="Y363" s="27" t="n"/>
      <c r="Z363" s="27" t="n"/>
      <c r="AA363" s="27" t="n"/>
      <c r="AB363" s="27" t="n"/>
      <c r="AC363" s="30" t="n"/>
      <c r="AD363" s="25" t="n"/>
      <c r="AE363" s="28">
        <f>IF(NOT(AND($A363&lt;&gt;"",OR($I363="",$I363="Active"))),"",IF(OR(IF(OR(ISNUMBER($Y363),$Y363="DNA"),$Y363,IF(OR(ISNUMBER($X363),$X363="DNA"),$X363,IF(OR(ISNUMBER($W363),$W363="DNA"),$W363,IF(OR(ISNUMBER($V363),$V363="DNA"),$V363,IF(OR(ISNUMBER($U363),$U363="DNA"),$U363,IF(OR(ISNUMBER($T363),$T363="DNA"),$T363,IF(OR(ISNUMBER($S363),$S363="DNA"),$S363,IF(OR(ISNUMBER($P363),$P363="DNA"),$P363,IF(OR(ISNUMBER($O363),$O363="DNA"),$O363,IF(OR(ISNUMBER($N363),$N363="DNA"),$N363,""))))))))))="DNA",AND(ISNUMBER(IF(OR(ISNUMBER($Y363),$Y363="DNA"),$Y363,IF(OR(ISNUMBER($X363),$X363="DNA"),$X363,IF(OR(ISNUMBER($W363),$W363="DNA"),$W363,IF(OR(ISNUMBER($V363),$V363="DNA"),$V363,IF(OR(ISNUMBER($U363),$U363="DNA"),$U363,IF(OR(ISNUMBER($T363),$T363="DNA"),$T363,IF(OR(ISNUMBER($S363),$S363="DNA"),$S363,IF(OR(ISNUMBER($P363),$P363="DNA"),$P363,IF(OR(ISNUMBER($O363),$O363="DNA"),$O363,IF(OR(ISNUMBER($N363),$N363="DNA"),$N363,""))))))))))),IF(OR(ISNUMBER($Y363),$Y363="DNA"),$Y363,IF(OR(ISNUMBER($X363),$X363="DNA"),$X363,IF(OR(ISNUMBER($W363),$W363="DNA"),$W363,IF(OR(ISNUMBER($V363),$V363="DNA"),$V363,IF(OR(ISNUMBER($U363),$U363="DNA"),$U363,IF(OR(ISNUMBER($T363),$T363="DNA"),$T363,IF(OR(ISNUMBER($S363),$S363="DNA"),$S363,IF(OR(ISNUMBER($P363),$P363="DNA"),$P363,IF(OR(ISNUMBER($O363),$O363="DNA"),$O363,IF(OR(ISNUMBER($N363),$N363="DNA"),$N363,""))))))))))&lt;TODAY())),1,0)+ISNUMBER($Q363)*($Q363&lt;TODAY())+ISNUMBER($R363)*($R363&lt;TODAY())+ISNUMBER($AA363)*($AA363&lt;TODAY())+ISNUMBER($AB363)*($AB363&lt;TODAY()))</f>
        <v/>
      </c>
    </row>
    <row r="364">
      <c r="A364" s="25" t="n"/>
      <c r="B364" s="26" t="n"/>
      <c r="C364" s="27" t="n"/>
      <c r="D364" s="25" t="n"/>
      <c r="E364" s="25" t="n"/>
      <c r="F364" s="25" t="n"/>
      <c r="G364" s="25" t="n"/>
      <c r="H364" s="27" t="n"/>
      <c r="I364" s="25" t="n"/>
      <c r="J364" s="28">
        <f>IF(OR(NOT(AND($A364&lt;&gt;"",OR($I364="",$I364="Active"))),$H364=""),"",INT((TODAY()-$H364+280)/7)&amp;"+"&amp;MOD(TODAY()-$H364+280,7))</f>
        <v/>
      </c>
      <c r="K364" s="28">
        <f>IF(NOT(AND($A364&lt;&gt;"",OR($I364="",$I364="Active"))),"",ISNUMBER($N364)*($N364&gt;=TODAY())*($N364&lt;=TODAY()+7)+ISNUMBER($O364)*($O364&gt;=TODAY())*($O364&lt;=TODAY()+7)+ISNUMBER($P364)*($P364&gt;=TODAY())*($P364&lt;=TODAY()+7)+ISNUMBER($S364)*($S364&gt;=TODAY())*($S364&lt;=TODAY()+7)+ISNUMBER($T364)*($T364&gt;=TODAY())*($T364&lt;=TODAY()+7)+ISNUMBER($U364)*($U364&gt;=TODAY())*($U364&lt;=TODAY()+7)+ISNUMBER($V364)*($V364&gt;=TODAY())*($V364&lt;=TODAY()+7)+ISNUMBER($W364)*($W364&gt;=TODAY())*($W364&lt;=TODAY()+7)+ISNUMBER($X364)*($X364&gt;=TODAY())*($X364&lt;=TODAY()+7)+ISNUMBER($Y364)*($Y364&gt;=TODAY())*($Y364&lt;=TODAY()+7)+ISNUMBER($Q364)*($Q364&gt;=TODAY())*($Q364&lt;=TODAY()+7)+ISNUMBER($R364)*($R364&gt;=TODAY())*($R364&lt;=TODAY()+7)+ISNUMBER($AA364)*($AA364&gt;=TODAY())*($AA364&lt;=TODAY()+7)+ISNUMBER($AB364)*($AB364&gt;=TODAY())*($AB364&lt;=TODAY()+7))</f>
        <v/>
      </c>
      <c r="L364" s="28">
        <f>IF(NOT(AND($A364&lt;&gt;"",OR($I364="",$I364="Active"))),"",IF($M364&lt;&gt;"",IF($N364=$M364,"Booking",IF($O364=$M364,"16/40",IF($P364=$M364,"25/40",IF($S364=$M364,"28/40",IF($T364=$M364,"31/40",IF($U364=$M364,"34/40",IF($V364=$M364,"36/40",IF($W364=$M364,"38/40",IF($X364=$M364,"40/40",IF($Y364=$M364,"41/40","")))))))))),IF(IF(OR(ISNUMBER($Y364),$Y364="DNA"),$Y364,IF(OR(ISNUMBER($X364),$X364="DNA"),$X364,IF(OR(ISNUMBER($W364),$W364="DNA"),$W364,IF(OR(ISNUMBER($V364),$V364="DNA"),$V364,IF(OR(ISNUMBER($U364),$U364="DNA"),$U364,IF(OR(ISNUMBER($T364),$T364="DNA"),$T364,IF(OR(ISNUMBER($S364),$S364="DNA"),$S364,IF(OR(ISNUMBER($P364),$P364="DNA"),$P364,IF(OR(ISNUMBER($O364),$O364="DNA"),$O364,IF(OR(ISNUMBER($N364),$N364="DNA"),$N364,""))))))))))="DNA","Rebook DNA",IF(ISNUMBER(IF(OR(ISNUMBER($Y364),$Y364="DNA"),$Y364,IF(OR(ISNUMBER($X364),$X364="DNA"),$X364,IF(OR(ISNUMBER($W364),$W364="DNA"),$W364,IF(OR(ISNUMBER($V364),$V364="DNA"),$V364,IF(OR(ISNUMBER($U364),$U364="DNA"),$U364,IF(OR(ISNUMBER($T364),$T364="DNA"),$T364,IF(OR(ISNUMBER($S364),$S364="DNA"),$S364,IF(OR(ISNUMBER($P364),$P364="DNA"),$P364,IF(OR(ISNUMBER($O364),$O364="DNA"),$O364,IF(OR(ISNUMBER($N364),$N364="DNA"),$N364,""))))))))))),IF(ISNUMBER($Y364),"Update status","Missed/not booked?"),""))))</f>
        <v/>
      </c>
      <c r="M364" s="29">
        <f>IF(NOT(AND($A364&lt;&gt;"",OR($I364="",$I364="Active"))),"",IF(MIN(IF(AND(ISNUMBER($N364),$N364&gt;=TODAY()),$N364,99999),IF(AND(ISNUMBER($O364),$O364&gt;=TODAY()),$O364,99999),IF(AND(ISNUMBER($P364),$P364&gt;=TODAY()),$P364,99999),IF(AND(ISNUMBER($S364),$S364&gt;=TODAY()),$S364,99999),IF(AND(ISNUMBER($T364),$T364&gt;=TODAY()),$T364,99999),IF(AND(ISNUMBER($U364),$U364&gt;=TODAY()),$U364,99999),IF(AND(ISNUMBER($V364),$V364&gt;=TODAY()),$V364,99999),IF(AND(ISNUMBER($W364),$W364&gt;=TODAY()),$W364,99999),IF(AND(ISNUMBER($X364),$X364&gt;=TODAY()),$X364,99999),IF(AND(ISNUMBER($Y364),$Y364&gt;=TODAY()),$Y364,99999))=99999,"",MIN(IF(AND(ISNUMBER($N364),$N364&gt;=TODAY()),$N364,99999),IF(AND(ISNUMBER($O364),$O364&gt;=TODAY()),$O364,99999),IF(AND(ISNUMBER($P364),$P364&gt;=TODAY()),$P364,99999),IF(AND(ISNUMBER($S364),$S364&gt;=TODAY()),$S364,99999),IF(AND(ISNUMBER($T364),$T364&gt;=TODAY()),$T364,99999),IF(AND(ISNUMBER($U364),$U364&gt;=TODAY()),$U364,99999),IF(AND(ISNUMBER($V364),$V364&gt;=TODAY()),$V364,99999),IF(AND(ISNUMBER($W364),$W364&gt;=TODAY()),$W364,99999),IF(AND(ISNUMBER($X364),$X364&gt;=TODAY()),$X364,99999),IF(AND(ISNUMBER($Y364),$Y364&gt;=TODAY()),$Y364,99999))))</f>
        <v/>
      </c>
      <c r="N364" s="27" t="n"/>
      <c r="O364" s="27" t="n"/>
      <c r="P364" s="27" t="n"/>
      <c r="Q364" s="27" t="n"/>
      <c r="R364" s="27" t="n"/>
      <c r="S364" s="27" t="n"/>
      <c r="T364" s="27" t="n"/>
      <c r="U364" s="27" t="n"/>
      <c r="V364" s="27" t="n"/>
      <c r="W364" s="27" t="n"/>
      <c r="X364" s="27" t="n"/>
      <c r="Y364" s="27" t="n"/>
      <c r="Z364" s="27" t="n"/>
      <c r="AA364" s="27" t="n"/>
      <c r="AB364" s="27" t="n"/>
      <c r="AC364" s="30" t="n"/>
      <c r="AD364" s="25" t="n"/>
      <c r="AE364" s="28">
        <f>IF(NOT(AND($A364&lt;&gt;"",OR($I364="",$I364="Active"))),"",IF(OR(IF(OR(ISNUMBER($Y364),$Y364="DNA"),$Y364,IF(OR(ISNUMBER($X364),$X364="DNA"),$X364,IF(OR(ISNUMBER($W364),$W364="DNA"),$W364,IF(OR(ISNUMBER($V364),$V364="DNA"),$V364,IF(OR(ISNUMBER($U364),$U364="DNA"),$U364,IF(OR(ISNUMBER($T364),$T364="DNA"),$T364,IF(OR(ISNUMBER($S364),$S364="DNA"),$S364,IF(OR(ISNUMBER($P364),$P364="DNA"),$P364,IF(OR(ISNUMBER($O364),$O364="DNA"),$O364,IF(OR(ISNUMBER($N364),$N364="DNA"),$N364,""))))))))))="DNA",AND(ISNUMBER(IF(OR(ISNUMBER($Y364),$Y364="DNA"),$Y364,IF(OR(ISNUMBER($X364),$X364="DNA"),$X364,IF(OR(ISNUMBER($W364),$W364="DNA"),$W364,IF(OR(ISNUMBER($V364),$V364="DNA"),$V364,IF(OR(ISNUMBER($U364),$U364="DNA"),$U364,IF(OR(ISNUMBER($T364),$T364="DNA"),$T364,IF(OR(ISNUMBER($S364),$S364="DNA"),$S364,IF(OR(ISNUMBER($P364),$P364="DNA"),$P364,IF(OR(ISNUMBER($O364),$O364="DNA"),$O364,IF(OR(ISNUMBER($N364),$N364="DNA"),$N364,""))))))))))),IF(OR(ISNUMBER($Y364),$Y364="DNA"),$Y364,IF(OR(ISNUMBER($X364),$X364="DNA"),$X364,IF(OR(ISNUMBER($W364),$W364="DNA"),$W364,IF(OR(ISNUMBER($V364),$V364="DNA"),$V364,IF(OR(ISNUMBER($U364),$U364="DNA"),$U364,IF(OR(ISNUMBER($T364),$T364="DNA"),$T364,IF(OR(ISNUMBER($S364),$S364="DNA"),$S364,IF(OR(ISNUMBER($P364),$P364="DNA"),$P364,IF(OR(ISNUMBER($O364),$O364="DNA"),$O364,IF(OR(ISNUMBER($N364),$N364="DNA"),$N364,""))))))))))&lt;TODAY())),1,0)+ISNUMBER($Q364)*($Q364&lt;TODAY())+ISNUMBER($R364)*($R364&lt;TODAY())+ISNUMBER($AA364)*($AA364&lt;TODAY())+ISNUMBER($AB364)*($AB364&lt;TODAY()))</f>
        <v/>
      </c>
    </row>
    <row r="365">
      <c r="A365" s="25" t="n"/>
      <c r="B365" s="26" t="n"/>
      <c r="C365" s="27" t="n"/>
      <c r="D365" s="25" t="n"/>
      <c r="E365" s="25" t="n"/>
      <c r="F365" s="25" t="n"/>
      <c r="G365" s="25" t="n"/>
      <c r="H365" s="27" t="n"/>
      <c r="I365" s="25" t="n"/>
      <c r="J365" s="28">
        <f>IF(OR(NOT(AND($A365&lt;&gt;"",OR($I365="",$I365="Active"))),$H365=""),"",INT((TODAY()-$H365+280)/7)&amp;"+"&amp;MOD(TODAY()-$H365+280,7))</f>
        <v/>
      </c>
      <c r="K365" s="28">
        <f>IF(NOT(AND($A365&lt;&gt;"",OR($I365="",$I365="Active"))),"",ISNUMBER($N365)*($N365&gt;=TODAY())*($N365&lt;=TODAY()+7)+ISNUMBER($O365)*($O365&gt;=TODAY())*($O365&lt;=TODAY()+7)+ISNUMBER($P365)*($P365&gt;=TODAY())*($P365&lt;=TODAY()+7)+ISNUMBER($S365)*($S365&gt;=TODAY())*($S365&lt;=TODAY()+7)+ISNUMBER($T365)*($T365&gt;=TODAY())*($T365&lt;=TODAY()+7)+ISNUMBER($U365)*($U365&gt;=TODAY())*($U365&lt;=TODAY()+7)+ISNUMBER($V365)*($V365&gt;=TODAY())*($V365&lt;=TODAY()+7)+ISNUMBER($W365)*($W365&gt;=TODAY())*($W365&lt;=TODAY()+7)+ISNUMBER($X365)*($X365&gt;=TODAY())*($X365&lt;=TODAY()+7)+ISNUMBER($Y365)*($Y365&gt;=TODAY())*($Y365&lt;=TODAY()+7)+ISNUMBER($Q365)*($Q365&gt;=TODAY())*($Q365&lt;=TODAY()+7)+ISNUMBER($R365)*($R365&gt;=TODAY())*($R365&lt;=TODAY()+7)+ISNUMBER($AA365)*($AA365&gt;=TODAY())*($AA365&lt;=TODAY()+7)+ISNUMBER($AB365)*($AB365&gt;=TODAY())*($AB365&lt;=TODAY()+7))</f>
        <v/>
      </c>
      <c r="L365" s="28">
        <f>IF(NOT(AND($A365&lt;&gt;"",OR($I365="",$I365="Active"))),"",IF($M365&lt;&gt;"",IF($N365=$M365,"Booking",IF($O365=$M365,"16/40",IF($P365=$M365,"25/40",IF($S365=$M365,"28/40",IF($T365=$M365,"31/40",IF($U365=$M365,"34/40",IF($V365=$M365,"36/40",IF($W365=$M365,"38/40",IF($X365=$M365,"40/40",IF($Y365=$M365,"41/40","")))))))))),IF(IF(OR(ISNUMBER($Y365),$Y365="DNA"),$Y365,IF(OR(ISNUMBER($X365),$X365="DNA"),$X365,IF(OR(ISNUMBER($W365),$W365="DNA"),$W365,IF(OR(ISNUMBER($V365),$V365="DNA"),$V365,IF(OR(ISNUMBER($U365),$U365="DNA"),$U365,IF(OR(ISNUMBER($T365),$T365="DNA"),$T365,IF(OR(ISNUMBER($S365),$S365="DNA"),$S365,IF(OR(ISNUMBER($P365),$P365="DNA"),$P365,IF(OR(ISNUMBER($O365),$O365="DNA"),$O365,IF(OR(ISNUMBER($N365),$N365="DNA"),$N365,""))))))))))="DNA","Rebook DNA",IF(ISNUMBER(IF(OR(ISNUMBER($Y365),$Y365="DNA"),$Y365,IF(OR(ISNUMBER($X365),$X365="DNA"),$X365,IF(OR(ISNUMBER($W365),$W365="DNA"),$W365,IF(OR(ISNUMBER($V365),$V365="DNA"),$V365,IF(OR(ISNUMBER($U365),$U365="DNA"),$U365,IF(OR(ISNUMBER($T365),$T365="DNA"),$T365,IF(OR(ISNUMBER($S365),$S365="DNA"),$S365,IF(OR(ISNUMBER($P365),$P365="DNA"),$P365,IF(OR(ISNUMBER($O365),$O365="DNA"),$O365,IF(OR(ISNUMBER($N365),$N365="DNA"),$N365,""))))))))))),IF(ISNUMBER($Y365),"Update status","Missed/not booked?"),""))))</f>
        <v/>
      </c>
      <c r="M365" s="29">
        <f>IF(NOT(AND($A365&lt;&gt;"",OR($I365="",$I365="Active"))),"",IF(MIN(IF(AND(ISNUMBER($N365),$N365&gt;=TODAY()),$N365,99999),IF(AND(ISNUMBER($O365),$O365&gt;=TODAY()),$O365,99999),IF(AND(ISNUMBER($P365),$P365&gt;=TODAY()),$P365,99999),IF(AND(ISNUMBER($S365),$S365&gt;=TODAY()),$S365,99999),IF(AND(ISNUMBER($T365),$T365&gt;=TODAY()),$T365,99999),IF(AND(ISNUMBER($U365),$U365&gt;=TODAY()),$U365,99999),IF(AND(ISNUMBER($V365),$V365&gt;=TODAY()),$V365,99999),IF(AND(ISNUMBER($W365),$W365&gt;=TODAY()),$W365,99999),IF(AND(ISNUMBER($X365),$X365&gt;=TODAY()),$X365,99999),IF(AND(ISNUMBER($Y365),$Y365&gt;=TODAY()),$Y365,99999))=99999,"",MIN(IF(AND(ISNUMBER($N365),$N365&gt;=TODAY()),$N365,99999),IF(AND(ISNUMBER($O365),$O365&gt;=TODAY()),$O365,99999),IF(AND(ISNUMBER($P365),$P365&gt;=TODAY()),$P365,99999),IF(AND(ISNUMBER($S365),$S365&gt;=TODAY()),$S365,99999),IF(AND(ISNUMBER($T365),$T365&gt;=TODAY()),$T365,99999),IF(AND(ISNUMBER($U365),$U365&gt;=TODAY()),$U365,99999),IF(AND(ISNUMBER($V365),$V365&gt;=TODAY()),$V365,99999),IF(AND(ISNUMBER($W365),$W365&gt;=TODAY()),$W365,99999),IF(AND(ISNUMBER($X365),$X365&gt;=TODAY()),$X365,99999),IF(AND(ISNUMBER($Y365),$Y365&gt;=TODAY()),$Y365,99999))))</f>
        <v/>
      </c>
      <c r="N365" s="27" t="n"/>
      <c r="O365" s="27" t="n"/>
      <c r="P365" s="27" t="n"/>
      <c r="Q365" s="27" t="n"/>
      <c r="R365" s="27" t="n"/>
      <c r="S365" s="27" t="n"/>
      <c r="T365" s="27" t="n"/>
      <c r="U365" s="27" t="n"/>
      <c r="V365" s="27" t="n"/>
      <c r="W365" s="27" t="n"/>
      <c r="X365" s="27" t="n"/>
      <c r="Y365" s="27" t="n"/>
      <c r="Z365" s="27" t="n"/>
      <c r="AA365" s="27" t="n"/>
      <c r="AB365" s="27" t="n"/>
      <c r="AC365" s="30" t="n"/>
      <c r="AD365" s="25" t="n"/>
      <c r="AE365" s="28">
        <f>IF(NOT(AND($A365&lt;&gt;"",OR($I365="",$I365="Active"))),"",IF(OR(IF(OR(ISNUMBER($Y365),$Y365="DNA"),$Y365,IF(OR(ISNUMBER($X365),$X365="DNA"),$X365,IF(OR(ISNUMBER($W365),$W365="DNA"),$W365,IF(OR(ISNUMBER($V365),$V365="DNA"),$V365,IF(OR(ISNUMBER($U365),$U365="DNA"),$U365,IF(OR(ISNUMBER($T365),$T365="DNA"),$T365,IF(OR(ISNUMBER($S365),$S365="DNA"),$S365,IF(OR(ISNUMBER($P365),$P365="DNA"),$P365,IF(OR(ISNUMBER($O365),$O365="DNA"),$O365,IF(OR(ISNUMBER($N365),$N365="DNA"),$N365,""))))))))))="DNA",AND(ISNUMBER(IF(OR(ISNUMBER($Y365),$Y365="DNA"),$Y365,IF(OR(ISNUMBER($X365),$X365="DNA"),$X365,IF(OR(ISNUMBER($W365),$W365="DNA"),$W365,IF(OR(ISNUMBER($V365),$V365="DNA"),$V365,IF(OR(ISNUMBER($U365),$U365="DNA"),$U365,IF(OR(ISNUMBER($T365),$T365="DNA"),$T365,IF(OR(ISNUMBER($S365),$S365="DNA"),$S365,IF(OR(ISNUMBER($P365),$P365="DNA"),$P365,IF(OR(ISNUMBER($O365),$O365="DNA"),$O365,IF(OR(ISNUMBER($N365),$N365="DNA"),$N365,""))))))))))),IF(OR(ISNUMBER($Y365),$Y365="DNA"),$Y365,IF(OR(ISNUMBER($X365),$X365="DNA"),$X365,IF(OR(ISNUMBER($W365),$W365="DNA"),$W365,IF(OR(ISNUMBER($V365),$V365="DNA"),$V365,IF(OR(ISNUMBER($U365),$U365="DNA"),$U365,IF(OR(ISNUMBER($T365),$T365="DNA"),$T365,IF(OR(ISNUMBER($S365),$S365="DNA"),$S365,IF(OR(ISNUMBER($P365),$P365="DNA"),$P365,IF(OR(ISNUMBER($O365),$O365="DNA"),$O365,IF(OR(ISNUMBER($N365),$N365="DNA"),$N365,""))))))))))&lt;TODAY())),1,0)+ISNUMBER($Q365)*($Q365&lt;TODAY())+ISNUMBER($R365)*($R365&lt;TODAY())+ISNUMBER($AA365)*($AA365&lt;TODAY())+ISNUMBER($AB365)*($AB365&lt;TODAY()))</f>
        <v/>
      </c>
    </row>
    <row r="366">
      <c r="A366" s="25" t="n"/>
      <c r="B366" s="26" t="n"/>
      <c r="C366" s="27" t="n"/>
      <c r="D366" s="25" t="n"/>
      <c r="E366" s="25" t="n"/>
      <c r="F366" s="25" t="n"/>
      <c r="G366" s="25" t="n"/>
      <c r="H366" s="27" t="n"/>
      <c r="I366" s="25" t="n"/>
      <c r="J366" s="28">
        <f>IF(OR(NOT(AND($A366&lt;&gt;"",OR($I366="",$I366="Active"))),$H366=""),"",INT((TODAY()-$H366+280)/7)&amp;"+"&amp;MOD(TODAY()-$H366+280,7))</f>
        <v/>
      </c>
      <c r="K366" s="28">
        <f>IF(NOT(AND($A366&lt;&gt;"",OR($I366="",$I366="Active"))),"",ISNUMBER($N366)*($N366&gt;=TODAY())*($N366&lt;=TODAY()+7)+ISNUMBER($O366)*($O366&gt;=TODAY())*($O366&lt;=TODAY()+7)+ISNUMBER($P366)*($P366&gt;=TODAY())*($P366&lt;=TODAY()+7)+ISNUMBER($S366)*($S366&gt;=TODAY())*($S366&lt;=TODAY()+7)+ISNUMBER($T366)*($T366&gt;=TODAY())*($T366&lt;=TODAY()+7)+ISNUMBER($U366)*($U366&gt;=TODAY())*($U366&lt;=TODAY()+7)+ISNUMBER($V366)*($V366&gt;=TODAY())*($V366&lt;=TODAY()+7)+ISNUMBER($W366)*($W366&gt;=TODAY())*($W366&lt;=TODAY()+7)+ISNUMBER($X366)*($X366&gt;=TODAY())*($X366&lt;=TODAY()+7)+ISNUMBER($Y366)*($Y366&gt;=TODAY())*($Y366&lt;=TODAY()+7)+ISNUMBER($Q366)*($Q366&gt;=TODAY())*($Q366&lt;=TODAY()+7)+ISNUMBER($R366)*($R366&gt;=TODAY())*($R366&lt;=TODAY()+7)+ISNUMBER($AA366)*($AA366&gt;=TODAY())*($AA366&lt;=TODAY()+7)+ISNUMBER($AB366)*($AB366&gt;=TODAY())*($AB366&lt;=TODAY()+7))</f>
        <v/>
      </c>
      <c r="L366" s="28">
        <f>IF(NOT(AND($A366&lt;&gt;"",OR($I366="",$I366="Active"))),"",IF($M366&lt;&gt;"",IF($N366=$M366,"Booking",IF($O366=$M366,"16/40",IF($P366=$M366,"25/40",IF($S366=$M366,"28/40",IF($T366=$M366,"31/40",IF($U366=$M366,"34/40",IF($V366=$M366,"36/40",IF($W366=$M366,"38/40",IF($X366=$M366,"40/40",IF($Y366=$M366,"41/40","")))))))))),IF(IF(OR(ISNUMBER($Y366),$Y366="DNA"),$Y366,IF(OR(ISNUMBER($X366),$X366="DNA"),$X366,IF(OR(ISNUMBER($W366),$W366="DNA"),$W366,IF(OR(ISNUMBER($V366),$V366="DNA"),$V366,IF(OR(ISNUMBER($U366),$U366="DNA"),$U366,IF(OR(ISNUMBER($T366),$T366="DNA"),$T366,IF(OR(ISNUMBER($S366),$S366="DNA"),$S366,IF(OR(ISNUMBER($P366),$P366="DNA"),$P366,IF(OR(ISNUMBER($O366),$O366="DNA"),$O366,IF(OR(ISNUMBER($N366),$N366="DNA"),$N366,""))))))))))="DNA","Rebook DNA",IF(ISNUMBER(IF(OR(ISNUMBER($Y366),$Y366="DNA"),$Y366,IF(OR(ISNUMBER($X366),$X366="DNA"),$X366,IF(OR(ISNUMBER($W366),$W366="DNA"),$W366,IF(OR(ISNUMBER($V366),$V366="DNA"),$V366,IF(OR(ISNUMBER($U366),$U366="DNA"),$U366,IF(OR(ISNUMBER($T366),$T366="DNA"),$T366,IF(OR(ISNUMBER($S366),$S366="DNA"),$S366,IF(OR(ISNUMBER($P366),$P366="DNA"),$P366,IF(OR(ISNUMBER($O366),$O366="DNA"),$O366,IF(OR(ISNUMBER($N366),$N366="DNA"),$N366,""))))))))))),IF(ISNUMBER($Y366),"Update status","Missed/not booked?"),""))))</f>
        <v/>
      </c>
      <c r="M366" s="29">
        <f>IF(NOT(AND($A366&lt;&gt;"",OR($I366="",$I366="Active"))),"",IF(MIN(IF(AND(ISNUMBER($N366),$N366&gt;=TODAY()),$N366,99999),IF(AND(ISNUMBER($O366),$O366&gt;=TODAY()),$O366,99999),IF(AND(ISNUMBER($P366),$P366&gt;=TODAY()),$P366,99999),IF(AND(ISNUMBER($S366),$S366&gt;=TODAY()),$S366,99999),IF(AND(ISNUMBER($T366),$T366&gt;=TODAY()),$T366,99999),IF(AND(ISNUMBER($U366),$U366&gt;=TODAY()),$U366,99999),IF(AND(ISNUMBER($V366),$V366&gt;=TODAY()),$V366,99999),IF(AND(ISNUMBER($W366),$W366&gt;=TODAY()),$W366,99999),IF(AND(ISNUMBER($X366),$X366&gt;=TODAY()),$X366,99999),IF(AND(ISNUMBER($Y366),$Y366&gt;=TODAY()),$Y366,99999))=99999,"",MIN(IF(AND(ISNUMBER($N366),$N366&gt;=TODAY()),$N366,99999),IF(AND(ISNUMBER($O366),$O366&gt;=TODAY()),$O366,99999),IF(AND(ISNUMBER($P366),$P366&gt;=TODAY()),$P366,99999),IF(AND(ISNUMBER($S366),$S366&gt;=TODAY()),$S366,99999),IF(AND(ISNUMBER($T366),$T366&gt;=TODAY()),$T366,99999),IF(AND(ISNUMBER($U366),$U366&gt;=TODAY()),$U366,99999),IF(AND(ISNUMBER($V366),$V366&gt;=TODAY()),$V366,99999),IF(AND(ISNUMBER($W366),$W366&gt;=TODAY()),$W366,99999),IF(AND(ISNUMBER($X366),$X366&gt;=TODAY()),$X366,99999),IF(AND(ISNUMBER($Y366),$Y366&gt;=TODAY()),$Y366,99999))))</f>
        <v/>
      </c>
      <c r="N366" s="27" t="n"/>
      <c r="O366" s="27" t="n"/>
      <c r="P366" s="27" t="n"/>
      <c r="Q366" s="27" t="n"/>
      <c r="R366" s="27" t="n"/>
      <c r="S366" s="27" t="n"/>
      <c r="T366" s="27" t="n"/>
      <c r="U366" s="27" t="n"/>
      <c r="V366" s="27" t="n"/>
      <c r="W366" s="27" t="n"/>
      <c r="X366" s="27" t="n"/>
      <c r="Y366" s="27" t="n"/>
      <c r="Z366" s="27" t="n"/>
      <c r="AA366" s="27" t="n"/>
      <c r="AB366" s="27" t="n"/>
      <c r="AC366" s="30" t="n"/>
      <c r="AD366" s="25" t="n"/>
      <c r="AE366" s="28">
        <f>IF(NOT(AND($A366&lt;&gt;"",OR($I366="",$I366="Active"))),"",IF(OR(IF(OR(ISNUMBER($Y366),$Y366="DNA"),$Y366,IF(OR(ISNUMBER($X366),$X366="DNA"),$X366,IF(OR(ISNUMBER($W366),$W366="DNA"),$W366,IF(OR(ISNUMBER($V366),$V366="DNA"),$V366,IF(OR(ISNUMBER($U366),$U366="DNA"),$U366,IF(OR(ISNUMBER($T366),$T366="DNA"),$T366,IF(OR(ISNUMBER($S366),$S366="DNA"),$S366,IF(OR(ISNUMBER($P366),$P366="DNA"),$P366,IF(OR(ISNUMBER($O366),$O366="DNA"),$O366,IF(OR(ISNUMBER($N366),$N366="DNA"),$N366,""))))))))))="DNA",AND(ISNUMBER(IF(OR(ISNUMBER($Y366),$Y366="DNA"),$Y366,IF(OR(ISNUMBER($X366),$X366="DNA"),$X366,IF(OR(ISNUMBER($W366),$W366="DNA"),$W366,IF(OR(ISNUMBER($V366),$V366="DNA"),$V366,IF(OR(ISNUMBER($U366),$U366="DNA"),$U366,IF(OR(ISNUMBER($T366),$T366="DNA"),$T366,IF(OR(ISNUMBER($S366),$S366="DNA"),$S366,IF(OR(ISNUMBER($P366),$P366="DNA"),$P366,IF(OR(ISNUMBER($O366),$O366="DNA"),$O366,IF(OR(ISNUMBER($N366),$N366="DNA"),$N366,""))))))))))),IF(OR(ISNUMBER($Y366),$Y366="DNA"),$Y366,IF(OR(ISNUMBER($X366),$X366="DNA"),$X366,IF(OR(ISNUMBER($W366),$W366="DNA"),$W366,IF(OR(ISNUMBER($V366),$V366="DNA"),$V366,IF(OR(ISNUMBER($U366),$U366="DNA"),$U366,IF(OR(ISNUMBER($T366),$T366="DNA"),$T366,IF(OR(ISNUMBER($S366),$S366="DNA"),$S366,IF(OR(ISNUMBER($P366),$P366="DNA"),$P366,IF(OR(ISNUMBER($O366),$O366="DNA"),$O366,IF(OR(ISNUMBER($N366),$N366="DNA"),$N366,""))))))))))&lt;TODAY())),1,0)+ISNUMBER($Q366)*($Q366&lt;TODAY())+ISNUMBER($R366)*($R366&lt;TODAY())+ISNUMBER($AA366)*($AA366&lt;TODAY())+ISNUMBER($AB366)*($AB366&lt;TODAY()))</f>
        <v/>
      </c>
    </row>
    <row r="367">
      <c r="A367" s="25" t="n"/>
      <c r="B367" s="26" t="n"/>
      <c r="C367" s="27" t="n"/>
      <c r="D367" s="25" t="n"/>
      <c r="E367" s="25" t="n"/>
      <c r="F367" s="25" t="n"/>
      <c r="G367" s="25" t="n"/>
      <c r="H367" s="27" t="n"/>
      <c r="I367" s="25" t="n"/>
      <c r="J367" s="28">
        <f>IF(OR(NOT(AND($A367&lt;&gt;"",OR($I367="",$I367="Active"))),$H367=""),"",INT((TODAY()-$H367+280)/7)&amp;"+"&amp;MOD(TODAY()-$H367+280,7))</f>
        <v/>
      </c>
      <c r="K367" s="28">
        <f>IF(NOT(AND($A367&lt;&gt;"",OR($I367="",$I367="Active"))),"",ISNUMBER($N367)*($N367&gt;=TODAY())*($N367&lt;=TODAY()+7)+ISNUMBER($O367)*($O367&gt;=TODAY())*($O367&lt;=TODAY()+7)+ISNUMBER($P367)*($P367&gt;=TODAY())*($P367&lt;=TODAY()+7)+ISNUMBER($S367)*($S367&gt;=TODAY())*($S367&lt;=TODAY()+7)+ISNUMBER($T367)*($T367&gt;=TODAY())*($T367&lt;=TODAY()+7)+ISNUMBER($U367)*($U367&gt;=TODAY())*($U367&lt;=TODAY()+7)+ISNUMBER($V367)*($V367&gt;=TODAY())*($V367&lt;=TODAY()+7)+ISNUMBER($W367)*($W367&gt;=TODAY())*($W367&lt;=TODAY()+7)+ISNUMBER($X367)*($X367&gt;=TODAY())*($X367&lt;=TODAY()+7)+ISNUMBER($Y367)*($Y367&gt;=TODAY())*($Y367&lt;=TODAY()+7)+ISNUMBER($Q367)*($Q367&gt;=TODAY())*($Q367&lt;=TODAY()+7)+ISNUMBER($R367)*($R367&gt;=TODAY())*($R367&lt;=TODAY()+7)+ISNUMBER($AA367)*($AA367&gt;=TODAY())*($AA367&lt;=TODAY()+7)+ISNUMBER($AB367)*($AB367&gt;=TODAY())*($AB367&lt;=TODAY()+7))</f>
        <v/>
      </c>
      <c r="L367" s="28">
        <f>IF(NOT(AND($A367&lt;&gt;"",OR($I367="",$I367="Active"))),"",IF($M367&lt;&gt;"",IF($N367=$M367,"Booking",IF($O367=$M367,"16/40",IF($P367=$M367,"25/40",IF($S367=$M367,"28/40",IF($T367=$M367,"31/40",IF($U367=$M367,"34/40",IF($V367=$M367,"36/40",IF($W367=$M367,"38/40",IF($X367=$M367,"40/40",IF($Y367=$M367,"41/40","")))))))))),IF(IF(OR(ISNUMBER($Y367),$Y367="DNA"),$Y367,IF(OR(ISNUMBER($X367),$X367="DNA"),$X367,IF(OR(ISNUMBER($W367),$W367="DNA"),$W367,IF(OR(ISNUMBER($V367),$V367="DNA"),$V367,IF(OR(ISNUMBER($U367),$U367="DNA"),$U367,IF(OR(ISNUMBER($T367),$T367="DNA"),$T367,IF(OR(ISNUMBER($S367),$S367="DNA"),$S367,IF(OR(ISNUMBER($P367),$P367="DNA"),$P367,IF(OR(ISNUMBER($O367),$O367="DNA"),$O367,IF(OR(ISNUMBER($N367),$N367="DNA"),$N367,""))))))))))="DNA","Rebook DNA",IF(ISNUMBER(IF(OR(ISNUMBER($Y367),$Y367="DNA"),$Y367,IF(OR(ISNUMBER($X367),$X367="DNA"),$X367,IF(OR(ISNUMBER($W367),$W367="DNA"),$W367,IF(OR(ISNUMBER($V367),$V367="DNA"),$V367,IF(OR(ISNUMBER($U367),$U367="DNA"),$U367,IF(OR(ISNUMBER($T367),$T367="DNA"),$T367,IF(OR(ISNUMBER($S367),$S367="DNA"),$S367,IF(OR(ISNUMBER($P367),$P367="DNA"),$P367,IF(OR(ISNUMBER($O367),$O367="DNA"),$O367,IF(OR(ISNUMBER($N367),$N367="DNA"),$N367,""))))))))))),IF(ISNUMBER($Y367),"Update status","Missed/not booked?"),""))))</f>
        <v/>
      </c>
      <c r="M367" s="29">
        <f>IF(NOT(AND($A367&lt;&gt;"",OR($I367="",$I367="Active"))),"",IF(MIN(IF(AND(ISNUMBER($N367),$N367&gt;=TODAY()),$N367,99999),IF(AND(ISNUMBER($O367),$O367&gt;=TODAY()),$O367,99999),IF(AND(ISNUMBER($P367),$P367&gt;=TODAY()),$P367,99999),IF(AND(ISNUMBER($S367),$S367&gt;=TODAY()),$S367,99999),IF(AND(ISNUMBER($T367),$T367&gt;=TODAY()),$T367,99999),IF(AND(ISNUMBER($U367),$U367&gt;=TODAY()),$U367,99999),IF(AND(ISNUMBER($V367),$V367&gt;=TODAY()),$V367,99999),IF(AND(ISNUMBER($W367),$W367&gt;=TODAY()),$W367,99999),IF(AND(ISNUMBER($X367),$X367&gt;=TODAY()),$X367,99999),IF(AND(ISNUMBER($Y367),$Y367&gt;=TODAY()),$Y367,99999))=99999,"",MIN(IF(AND(ISNUMBER($N367),$N367&gt;=TODAY()),$N367,99999),IF(AND(ISNUMBER($O367),$O367&gt;=TODAY()),$O367,99999),IF(AND(ISNUMBER($P367),$P367&gt;=TODAY()),$P367,99999),IF(AND(ISNUMBER($S367),$S367&gt;=TODAY()),$S367,99999),IF(AND(ISNUMBER($T367),$T367&gt;=TODAY()),$T367,99999),IF(AND(ISNUMBER($U367),$U367&gt;=TODAY()),$U367,99999),IF(AND(ISNUMBER($V367),$V367&gt;=TODAY()),$V367,99999),IF(AND(ISNUMBER($W367),$W367&gt;=TODAY()),$W367,99999),IF(AND(ISNUMBER($X367),$X367&gt;=TODAY()),$X367,99999),IF(AND(ISNUMBER($Y367),$Y367&gt;=TODAY()),$Y367,99999))))</f>
        <v/>
      </c>
      <c r="N367" s="27" t="n"/>
      <c r="O367" s="27" t="n"/>
      <c r="P367" s="27" t="n"/>
      <c r="Q367" s="27" t="n"/>
      <c r="R367" s="27" t="n"/>
      <c r="S367" s="27" t="n"/>
      <c r="T367" s="27" t="n"/>
      <c r="U367" s="27" t="n"/>
      <c r="V367" s="27" t="n"/>
      <c r="W367" s="27" t="n"/>
      <c r="X367" s="27" t="n"/>
      <c r="Y367" s="27" t="n"/>
      <c r="Z367" s="27" t="n"/>
      <c r="AA367" s="27" t="n"/>
      <c r="AB367" s="27" t="n"/>
      <c r="AC367" s="30" t="n"/>
      <c r="AD367" s="25" t="n"/>
      <c r="AE367" s="28">
        <f>IF(NOT(AND($A367&lt;&gt;"",OR($I367="",$I367="Active"))),"",IF(OR(IF(OR(ISNUMBER($Y367),$Y367="DNA"),$Y367,IF(OR(ISNUMBER($X367),$X367="DNA"),$X367,IF(OR(ISNUMBER($W367),$W367="DNA"),$W367,IF(OR(ISNUMBER($V367),$V367="DNA"),$V367,IF(OR(ISNUMBER($U367),$U367="DNA"),$U367,IF(OR(ISNUMBER($T367),$T367="DNA"),$T367,IF(OR(ISNUMBER($S367),$S367="DNA"),$S367,IF(OR(ISNUMBER($P367),$P367="DNA"),$P367,IF(OR(ISNUMBER($O367),$O367="DNA"),$O367,IF(OR(ISNUMBER($N367),$N367="DNA"),$N367,""))))))))))="DNA",AND(ISNUMBER(IF(OR(ISNUMBER($Y367),$Y367="DNA"),$Y367,IF(OR(ISNUMBER($X367),$X367="DNA"),$X367,IF(OR(ISNUMBER($W367),$W367="DNA"),$W367,IF(OR(ISNUMBER($V367),$V367="DNA"),$V367,IF(OR(ISNUMBER($U367),$U367="DNA"),$U367,IF(OR(ISNUMBER($T367),$T367="DNA"),$T367,IF(OR(ISNUMBER($S367),$S367="DNA"),$S367,IF(OR(ISNUMBER($P367),$P367="DNA"),$P367,IF(OR(ISNUMBER($O367),$O367="DNA"),$O367,IF(OR(ISNUMBER($N367),$N367="DNA"),$N367,""))))))))))),IF(OR(ISNUMBER($Y367),$Y367="DNA"),$Y367,IF(OR(ISNUMBER($X367),$X367="DNA"),$X367,IF(OR(ISNUMBER($W367),$W367="DNA"),$W367,IF(OR(ISNUMBER($V367),$V367="DNA"),$V367,IF(OR(ISNUMBER($U367),$U367="DNA"),$U367,IF(OR(ISNUMBER($T367),$T367="DNA"),$T367,IF(OR(ISNUMBER($S367),$S367="DNA"),$S367,IF(OR(ISNUMBER($P367),$P367="DNA"),$P367,IF(OR(ISNUMBER($O367),$O367="DNA"),$O367,IF(OR(ISNUMBER($N367),$N367="DNA"),$N367,""))))))))))&lt;TODAY())),1,0)+ISNUMBER($Q367)*($Q367&lt;TODAY())+ISNUMBER($R367)*($R367&lt;TODAY())+ISNUMBER($AA367)*($AA367&lt;TODAY())+ISNUMBER($AB367)*($AB367&lt;TODAY()))</f>
        <v/>
      </c>
    </row>
    <row r="368">
      <c r="A368" s="25" t="n"/>
      <c r="B368" s="26" t="n"/>
      <c r="C368" s="27" t="n"/>
      <c r="D368" s="25" t="n"/>
      <c r="E368" s="25" t="n"/>
      <c r="F368" s="25" t="n"/>
      <c r="G368" s="25" t="n"/>
      <c r="H368" s="27" t="n"/>
      <c r="I368" s="25" t="n"/>
      <c r="J368" s="28">
        <f>IF(OR(NOT(AND($A368&lt;&gt;"",OR($I368="",$I368="Active"))),$H368=""),"",INT((TODAY()-$H368+280)/7)&amp;"+"&amp;MOD(TODAY()-$H368+280,7))</f>
        <v/>
      </c>
      <c r="K368" s="28">
        <f>IF(NOT(AND($A368&lt;&gt;"",OR($I368="",$I368="Active"))),"",ISNUMBER($N368)*($N368&gt;=TODAY())*($N368&lt;=TODAY()+7)+ISNUMBER($O368)*($O368&gt;=TODAY())*($O368&lt;=TODAY()+7)+ISNUMBER($P368)*($P368&gt;=TODAY())*($P368&lt;=TODAY()+7)+ISNUMBER($S368)*($S368&gt;=TODAY())*($S368&lt;=TODAY()+7)+ISNUMBER($T368)*($T368&gt;=TODAY())*($T368&lt;=TODAY()+7)+ISNUMBER($U368)*($U368&gt;=TODAY())*($U368&lt;=TODAY()+7)+ISNUMBER($V368)*($V368&gt;=TODAY())*($V368&lt;=TODAY()+7)+ISNUMBER($W368)*($W368&gt;=TODAY())*($W368&lt;=TODAY()+7)+ISNUMBER($X368)*($X368&gt;=TODAY())*($X368&lt;=TODAY()+7)+ISNUMBER($Y368)*($Y368&gt;=TODAY())*($Y368&lt;=TODAY()+7)+ISNUMBER($Q368)*($Q368&gt;=TODAY())*($Q368&lt;=TODAY()+7)+ISNUMBER($R368)*($R368&gt;=TODAY())*($R368&lt;=TODAY()+7)+ISNUMBER($AA368)*($AA368&gt;=TODAY())*($AA368&lt;=TODAY()+7)+ISNUMBER($AB368)*($AB368&gt;=TODAY())*($AB368&lt;=TODAY()+7))</f>
        <v/>
      </c>
      <c r="L368" s="28">
        <f>IF(NOT(AND($A368&lt;&gt;"",OR($I368="",$I368="Active"))),"",IF($M368&lt;&gt;"",IF($N368=$M368,"Booking",IF($O368=$M368,"16/40",IF($P368=$M368,"25/40",IF($S368=$M368,"28/40",IF($T368=$M368,"31/40",IF($U368=$M368,"34/40",IF($V368=$M368,"36/40",IF($W368=$M368,"38/40",IF($X368=$M368,"40/40",IF($Y368=$M368,"41/40","")))))))))),IF(IF(OR(ISNUMBER($Y368),$Y368="DNA"),$Y368,IF(OR(ISNUMBER($X368),$X368="DNA"),$X368,IF(OR(ISNUMBER($W368),$W368="DNA"),$W368,IF(OR(ISNUMBER($V368),$V368="DNA"),$V368,IF(OR(ISNUMBER($U368),$U368="DNA"),$U368,IF(OR(ISNUMBER($T368),$T368="DNA"),$T368,IF(OR(ISNUMBER($S368),$S368="DNA"),$S368,IF(OR(ISNUMBER($P368),$P368="DNA"),$P368,IF(OR(ISNUMBER($O368),$O368="DNA"),$O368,IF(OR(ISNUMBER($N368),$N368="DNA"),$N368,""))))))))))="DNA","Rebook DNA",IF(ISNUMBER(IF(OR(ISNUMBER($Y368),$Y368="DNA"),$Y368,IF(OR(ISNUMBER($X368),$X368="DNA"),$X368,IF(OR(ISNUMBER($W368),$W368="DNA"),$W368,IF(OR(ISNUMBER($V368),$V368="DNA"),$V368,IF(OR(ISNUMBER($U368),$U368="DNA"),$U368,IF(OR(ISNUMBER($T368),$T368="DNA"),$T368,IF(OR(ISNUMBER($S368),$S368="DNA"),$S368,IF(OR(ISNUMBER($P368),$P368="DNA"),$P368,IF(OR(ISNUMBER($O368),$O368="DNA"),$O368,IF(OR(ISNUMBER($N368),$N368="DNA"),$N368,""))))))))))),IF(ISNUMBER($Y368),"Update status","Missed/not booked?"),""))))</f>
        <v/>
      </c>
      <c r="M368" s="29">
        <f>IF(NOT(AND($A368&lt;&gt;"",OR($I368="",$I368="Active"))),"",IF(MIN(IF(AND(ISNUMBER($N368),$N368&gt;=TODAY()),$N368,99999),IF(AND(ISNUMBER($O368),$O368&gt;=TODAY()),$O368,99999),IF(AND(ISNUMBER($P368),$P368&gt;=TODAY()),$P368,99999),IF(AND(ISNUMBER($S368),$S368&gt;=TODAY()),$S368,99999),IF(AND(ISNUMBER($T368),$T368&gt;=TODAY()),$T368,99999),IF(AND(ISNUMBER($U368),$U368&gt;=TODAY()),$U368,99999),IF(AND(ISNUMBER($V368),$V368&gt;=TODAY()),$V368,99999),IF(AND(ISNUMBER($W368),$W368&gt;=TODAY()),$W368,99999),IF(AND(ISNUMBER($X368),$X368&gt;=TODAY()),$X368,99999),IF(AND(ISNUMBER($Y368),$Y368&gt;=TODAY()),$Y368,99999))=99999,"",MIN(IF(AND(ISNUMBER($N368),$N368&gt;=TODAY()),$N368,99999),IF(AND(ISNUMBER($O368),$O368&gt;=TODAY()),$O368,99999),IF(AND(ISNUMBER($P368),$P368&gt;=TODAY()),$P368,99999),IF(AND(ISNUMBER($S368),$S368&gt;=TODAY()),$S368,99999),IF(AND(ISNUMBER($T368),$T368&gt;=TODAY()),$T368,99999),IF(AND(ISNUMBER($U368),$U368&gt;=TODAY()),$U368,99999),IF(AND(ISNUMBER($V368),$V368&gt;=TODAY()),$V368,99999),IF(AND(ISNUMBER($W368),$W368&gt;=TODAY()),$W368,99999),IF(AND(ISNUMBER($X368),$X368&gt;=TODAY()),$X368,99999),IF(AND(ISNUMBER($Y368),$Y368&gt;=TODAY()),$Y368,99999))))</f>
        <v/>
      </c>
      <c r="N368" s="27" t="n"/>
      <c r="O368" s="27" t="n"/>
      <c r="P368" s="27" t="n"/>
      <c r="Q368" s="27" t="n"/>
      <c r="R368" s="27" t="n"/>
      <c r="S368" s="27" t="n"/>
      <c r="T368" s="27" t="n"/>
      <c r="U368" s="27" t="n"/>
      <c r="V368" s="27" t="n"/>
      <c r="W368" s="27" t="n"/>
      <c r="X368" s="27" t="n"/>
      <c r="Y368" s="27" t="n"/>
      <c r="Z368" s="27" t="n"/>
      <c r="AA368" s="27" t="n"/>
      <c r="AB368" s="27" t="n"/>
      <c r="AC368" s="30" t="n"/>
      <c r="AD368" s="25" t="n"/>
      <c r="AE368" s="28">
        <f>IF(NOT(AND($A368&lt;&gt;"",OR($I368="",$I368="Active"))),"",IF(OR(IF(OR(ISNUMBER($Y368),$Y368="DNA"),$Y368,IF(OR(ISNUMBER($X368),$X368="DNA"),$X368,IF(OR(ISNUMBER($W368),$W368="DNA"),$W368,IF(OR(ISNUMBER($V368),$V368="DNA"),$V368,IF(OR(ISNUMBER($U368),$U368="DNA"),$U368,IF(OR(ISNUMBER($T368),$T368="DNA"),$T368,IF(OR(ISNUMBER($S368),$S368="DNA"),$S368,IF(OR(ISNUMBER($P368),$P368="DNA"),$P368,IF(OR(ISNUMBER($O368),$O368="DNA"),$O368,IF(OR(ISNUMBER($N368),$N368="DNA"),$N368,""))))))))))="DNA",AND(ISNUMBER(IF(OR(ISNUMBER($Y368),$Y368="DNA"),$Y368,IF(OR(ISNUMBER($X368),$X368="DNA"),$X368,IF(OR(ISNUMBER($W368),$W368="DNA"),$W368,IF(OR(ISNUMBER($V368),$V368="DNA"),$V368,IF(OR(ISNUMBER($U368),$U368="DNA"),$U368,IF(OR(ISNUMBER($T368),$T368="DNA"),$T368,IF(OR(ISNUMBER($S368),$S368="DNA"),$S368,IF(OR(ISNUMBER($P368),$P368="DNA"),$P368,IF(OR(ISNUMBER($O368),$O368="DNA"),$O368,IF(OR(ISNUMBER($N368),$N368="DNA"),$N368,""))))))))))),IF(OR(ISNUMBER($Y368),$Y368="DNA"),$Y368,IF(OR(ISNUMBER($X368),$X368="DNA"),$X368,IF(OR(ISNUMBER($W368),$W368="DNA"),$W368,IF(OR(ISNUMBER($V368),$V368="DNA"),$V368,IF(OR(ISNUMBER($U368),$U368="DNA"),$U368,IF(OR(ISNUMBER($T368),$T368="DNA"),$T368,IF(OR(ISNUMBER($S368),$S368="DNA"),$S368,IF(OR(ISNUMBER($P368),$P368="DNA"),$P368,IF(OR(ISNUMBER($O368),$O368="DNA"),$O368,IF(OR(ISNUMBER($N368),$N368="DNA"),$N368,""))))))))))&lt;TODAY())),1,0)+ISNUMBER($Q368)*($Q368&lt;TODAY())+ISNUMBER($R368)*($R368&lt;TODAY())+ISNUMBER($AA368)*($AA368&lt;TODAY())+ISNUMBER($AB368)*($AB368&lt;TODAY()))</f>
        <v/>
      </c>
    </row>
    <row r="369">
      <c r="A369" s="25" t="n"/>
      <c r="B369" s="26" t="n"/>
      <c r="C369" s="27" t="n"/>
      <c r="D369" s="25" t="n"/>
      <c r="E369" s="25" t="n"/>
      <c r="F369" s="25" t="n"/>
      <c r="G369" s="25" t="n"/>
      <c r="H369" s="27" t="n"/>
      <c r="I369" s="25" t="n"/>
      <c r="J369" s="28">
        <f>IF(OR(NOT(AND($A369&lt;&gt;"",OR($I369="",$I369="Active"))),$H369=""),"",INT((TODAY()-$H369+280)/7)&amp;"+"&amp;MOD(TODAY()-$H369+280,7))</f>
        <v/>
      </c>
      <c r="K369" s="28">
        <f>IF(NOT(AND($A369&lt;&gt;"",OR($I369="",$I369="Active"))),"",ISNUMBER($N369)*($N369&gt;=TODAY())*($N369&lt;=TODAY()+7)+ISNUMBER($O369)*($O369&gt;=TODAY())*($O369&lt;=TODAY()+7)+ISNUMBER($P369)*($P369&gt;=TODAY())*($P369&lt;=TODAY()+7)+ISNUMBER($S369)*($S369&gt;=TODAY())*($S369&lt;=TODAY()+7)+ISNUMBER($T369)*($T369&gt;=TODAY())*($T369&lt;=TODAY()+7)+ISNUMBER($U369)*($U369&gt;=TODAY())*($U369&lt;=TODAY()+7)+ISNUMBER($V369)*($V369&gt;=TODAY())*($V369&lt;=TODAY()+7)+ISNUMBER($W369)*($W369&gt;=TODAY())*($W369&lt;=TODAY()+7)+ISNUMBER($X369)*($X369&gt;=TODAY())*($X369&lt;=TODAY()+7)+ISNUMBER($Y369)*($Y369&gt;=TODAY())*($Y369&lt;=TODAY()+7)+ISNUMBER($Q369)*($Q369&gt;=TODAY())*($Q369&lt;=TODAY()+7)+ISNUMBER($R369)*($R369&gt;=TODAY())*($R369&lt;=TODAY()+7)+ISNUMBER($AA369)*($AA369&gt;=TODAY())*($AA369&lt;=TODAY()+7)+ISNUMBER($AB369)*($AB369&gt;=TODAY())*($AB369&lt;=TODAY()+7))</f>
        <v/>
      </c>
      <c r="L369" s="28">
        <f>IF(NOT(AND($A369&lt;&gt;"",OR($I369="",$I369="Active"))),"",IF($M369&lt;&gt;"",IF($N369=$M369,"Booking",IF($O369=$M369,"16/40",IF($P369=$M369,"25/40",IF($S369=$M369,"28/40",IF($T369=$M369,"31/40",IF($U369=$M369,"34/40",IF($V369=$M369,"36/40",IF($W369=$M369,"38/40",IF($X369=$M369,"40/40",IF($Y369=$M369,"41/40","")))))))))),IF(IF(OR(ISNUMBER($Y369),$Y369="DNA"),$Y369,IF(OR(ISNUMBER($X369),$X369="DNA"),$X369,IF(OR(ISNUMBER($W369),$W369="DNA"),$W369,IF(OR(ISNUMBER($V369),$V369="DNA"),$V369,IF(OR(ISNUMBER($U369),$U369="DNA"),$U369,IF(OR(ISNUMBER($T369),$T369="DNA"),$T369,IF(OR(ISNUMBER($S369),$S369="DNA"),$S369,IF(OR(ISNUMBER($P369),$P369="DNA"),$P369,IF(OR(ISNUMBER($O369),$O369="DNA"),$O369,IF(OR(ISNUMBER($N369),$N369="DNA"),$N369,""))))))))))="DNA","Rebook DNA",IF(ISNUMBER(IF(OR(ISNUMBER($Y369),$Y369="DNA"),$Y369,IF(OR(ISNUMBER($X369),$X369="DNA"),$X369,IF(OR(ISNUMBER($W369),$W369="DNA"),$W369,IF(OR(ISNUMBER($V369),$V369="DNA"),$V369,IF(OR(ISNUMBER($U369),$U369="DNA"),$U369,IF(OR(ISNUMBER($T369),$T369="DNA"),$T369,IF(OR(ISNUMBER($S369),$S369="DNA"),$S369,IF(OR(ISNUMBER($P369),$P369="DNA"),$P369,IF(OR(ISNUMBER($O369),$O369="DNA"),$O369,IF(OR(ISNUMBER($N369),$N369="DNA"),$N369,""))))))))))),IF(ISNUMBER($Y369),"Update status","Missed/not booked?"),""))))</f>
        <v/>
      </c>
      <c r="M369" s="29">
        <f>IF(NOT(AND($A369&lt;&gt;"",OR($I369="",$I369="Active"))),"",IF(MIN(IF(AND(ISNUMBER($N369),$N369&gt;=TODAY()),$N369,99999),IF(AND(ISNUMBER($O369),$O369&gt;=TODAY()),$O369,99999),IF(AND(ISNUMBER($P369),$P369&gt;=TODAY()),$P369,99999),IF(AND(ISNUMBER($S369),$S369&gt;=TODAY()),$S369,99999),IF(AND(ISNUMBER($T369),$T369&gt;=TODAY()),$T369,99999),IF(AND(ISNUMBER($U369),$U369&gt;=TODAY()),$U369,99999),IF(AND(ISNUMBER($V369),$V369&gt;=TODAY()),$V369,99999),IF(AND(ISNUMBER($W369),$W369&gt;=TODAY()),$W369,99999),IF(AND(ISNUMBER($X369),$X369&gt;=TODAY()),$X369,99999),IF(AND(ISNUMBER($Y369),$Y369&gt;=TODAY()),$Y369,99999))=99999,"",MIN(IF(AND(ISNUMBER($N369),$N369&gt;=TODAY()),$N369,99999),IF(AND(ISNUMBER($O369),$O369&gt;=TODAY()),$O369,99999),IF(AND(ISNUMBER($P369),$P369&gt;=TODAY()),$P369,99999),IF(AND(ISNUMBER($S369),$S369&gt;=TODAY()),$S369,99999),IF(AND(ISNUMBER($T369),$T369&gt;=TODAY()),$T369,99999),IF(AND(ISNUMBER($U369),$U369&gt;=TODAY()),$U369,99999),IF(AND(ISNUMBER($V369),$V369&gt;=TODAY()),$V369,99999),IF(AND(ISNUMBER($W369),$W369&gt;=TODAY()),$W369,99999),IF(AND(ISNUMBER($X369),$X369&gt;=TODAY()),$X369,99999),IF(AND(ISNUMBER($Y369),$Y369&gt;=TODAY()),$Y369,99999))))</f>
        <v/>
      </c>
      <c r="N369" s="27" t="n"/>
      <c r="O369" s="27" t="n"/>
      <c r="P369" s="27" t="n"/>
      <c r="Q369" s="27" t="n"/>
      <c r="R369" s="27" t="n"/>
      <c r="S369" s="27" t="n"/>
      <c r="T369" s="27" t="n"/>
      <c r="U369" s="27" t="n"/>
      <c r="V369" s="27" t="n"/>
      <c r="W369" s="27" t="n"/>
      <c r="X369" s="27" t="n"/>
      <c r="Y369" s="27" t="n"/>
      <c r="Z369" s="27" t="n"/>
      <c r="AA369" s="27" t="n"/>
      <c r="AB369" s="27" t="n"/>
      <c r="AC369" s="30" t="n"/>
      <c r="AD369" s="25" t="n"/>
      <c r="AE369" s="28">
        <f>IF(NOT(AND($A369&lt;&gt;"",OR($I369="",$I369="Active"))),"",IF(OR(IF(OR(ISNUMBER($Y369),$Y369="DNA"),$Y369,IF(OR(ISNUMBER($X369),$X369="DNA"),$X369,IF(OR(ISNUMBER($W369),$W369="DNA"),$W369,IF(OR(ISNUMBER($V369),$V369="DNA"),$V369,IF(OR(ISNUMBER($U369),$U369="DNA"),$U369,IF(OR(ISNUMBER($T369),$T369="DNA"),$T369,IF(OR(ISNUMBER($S369),$S369="DNA"),$S369,IF(OR(ISNUMBER($P369),$P369="DNA"),$P369,IF(OR(ISNUMBER($O369),$O369="DNA"),$O369,IF(OR(ISNUMBER($N369),$N369="DNA"),$N369,""))))))))))="DNA",AND(ISNUMBER(IF(OR(ISNUMBER($Y369),$Y369="DNA"),$Y369,IF(OR(ISNUMBER($X369),$X369="DNA"),$X369,IF(OR(ISNUMBER($W369),$W369="DNA"),$W369,IF(OR(ISNUMBER($V369),$V369="DNA"),$V369,IF(OR(ISNUMBER($U369),$U369="DNA"),$U369,IF(OR(ISNUMBER($T369),$T369="DNA"),$T369,IF(OR(ISNUMBER($S369),$S369="DNA"),$S369,IF(OR(ISNUMBER($P369),$P369="DNA"),$P369,IF(OR(ISNUMBER($O369),$O369="DNA"),$O369,IF(OR(ISNUMBER($N369),$N369="DNA"),$N369,""))))))))))),IF(OR(ISNUMBER($Y369),$Y369="DNA"),$Y369,IF(OR(ISNUMBER($X369),$X369="DNA"),$X369,IF(OR(ISNUMBER($W369),$W369="DNA"),$W369,IF(OR(ISNUMBER($V369),$V369="DNA"),$V369,IF(OR(ISNUMBER($U369),$U369="DNA"),$U369,IF(OR(ISNUMBER($T369),$T369="DNA"),$T369,IF(OR(ISNUMBER($S369),$S369="DNA"),$S369,IF(OR(ISNUMBER($P369),$P369="DNA"),$P369,IF(OR(ISNUMBER($O369),$O369="DNA"),$O369,IF(OR(ISNUMBER($N369),$N369="DNA"),$N369,""))))))))))&lt;TODAY())),1,0)+ISNUMBER($Q369)*($Q369&lt;TODAY())+ISNUMBER($R369)*($R369&lt;TODAY())+ISNUMBER($AA369)*($AA369&lt;TODAY())+ISNUMBER($AB369)*($AB369&lt;TODAY()))</f>
        <v/>
      </c>
    </row>
    <row r="370">
      <c r="A370" s="25" t="n"/>
      <c r="B370" s="26" t="n"/>
      <c r="C370" s="27" t="n"/>
      <c r="D370" s="25" t="n"/>
      <c r="E370" s="25" t="n"/>
      <c r="F370" s="25" t="n"/>
      <c r="G370" s="25" t="n"/>
      <c r="H370" s="27" t="n"/>
      <c r="I370" s="25" t="n"/>
      <c r="J370" s="28">
        <f>IF(OR(NOT(AND($A370&lt;&gt;"",OR($I370="",$I370="Active"))),$H370=""),"",INT((TODAY()-$H370+280)/7)&amp;"+"&amp;MOD(TODAY()-$H370+280,7))</f>
        <v/>
      </c>
      <c r="K370" s="28">
        <f>IF(NOT(AND($A370&lt;&gt;"",OR($I370="",$I370="Active"))),"",ISNUMBER($N370)*($N370&gt;=TODAY())*($N370&lt;=TODAY()+7)+ISNUMBER($O370)*($O370&gt;=TODAY())*($O370&lt;=TODAY()+7)+ISNUMBER($P370)*($P370&gt;=TODAY())*($P370&lt;=TODAY()+7)+ISNUMBER($S370)*($S370&gt;=TODAY())*($S370&lt;=TODAY()+7)+ISNUMBER($T370)*($T370&gt;=TODAY())*($T370&lt;=TODAY()+7)+ISNUMBER($U370)*($U370&gt;=TODAY())*($U370&lt;=TODAY()+7)+ISNUMBER($V370)*($V370&gt;=TODAY())*($V370&lt;=TODAY()+7)+ISNUMBER($W370)*($W370&gt;=TODAY())*($W370&lt;=TODAY()+7)+ISNUMBER($X370)*($X370&gt;=TODAY())*($X370&lt;=TODAY()+7)+ISNUMBER($Y370)*($Y370&gt;=TODAY())*($Y370&lt;=TODAY()+7)+ISNUMBER($Q370)*($Q370&gt;=TODAY())*($Q370&lt;=TODAY()+7)+ISNUMBER($R370)*($R370&gt;=TODAY())*($R370&lt;=TODAY()+7)+ISNUMBER($AA370)*($AA370&gt;=TODAY())*($AA370&lt;=TODAY()+7)+ISNUMBER($AB370)*($AB370&gt;=TODAY())*($AB370&lt;=TODAY()+7))</f>
        <v/>
      </c>
      <c r="L370" s="28">
        <f>IF(NOT(AND($A370&lt;&gt;"",OR($I370="",$I370="Active"))),"",IF($M370&lt;&gt;"",IF($N370=$M370,"Booking",IF($O370=$M370,"16/40",IF($P370=$M370,"25/40",IF($S370=$M370,"28/40",IF($T370=$M370,"31/40",IF($U370=$M370,"34/40",IF($V370=$M370,"36/40",IF($W370=$M370,"38/40",IF($X370=$M370,"40/40",IF($Y370=$M370,"41/40","")))))))))),IF(IF(OR(ISNUMBER($Y370),$Y370="DNA"),$Y370,IF(OR(ISNUMBER($X370),$X370="DNA"),$X370,IF(OR(ISNUMBER($W370),$W370="DNA"),$W370,IF(OR(ISNUMBER($V370),$V370="DNA"),$V370,IF(OR(ISNUMBER($U370),$U370="DNA"),$U370,IF(OR(ISNUMBER($T370),$T370="DNA"),$T370,IF(OR(ISNUMBER($S370),$S370="DNA"),$S370,IF(OR(ISNUMBER($P370),$P370="DNA"),$P370,IF(OR(ISNUMBER($O370),$O370="DNA"),$O370,IF(OR(ISNUMBER($N370),$N370="DNA"),$N370,""))))))))))="DNA","Rebook DNA",IF(ISNUMBER(IF(OR(ISNUMBER($Y370),$Y370="DNA"),$Y370,IF(OR(ISNUMBER($X370),$X370="DNA"),$X370,IF(OR(ISNUMBER($W370),$W370="DNA"),$W370,IF(OR(ISNUMBER($V370),$V370="DNA"),$V370,IF(OR(ISNUMBER($U370),$U370="DNA"),$U370,IF(OR(ISNUMBER($T370),$T370="DNA"),$T370,IF(OR(ISNUMBER($S370),$S370="DNA"),$S370,IF(OR(ISNUMBER($P370),$P370="DNA"),$P370,IF(OR(ISNUMBER($O370),$O370="DNA"),$O370,IF(OR(ISNUMBER($N370),$N370="DNA"),$N370,""))))))))))),IF(ISNUMBER($Y370),"Update status","Missed/not booked?"),""))))</f>
        <v/>
      </c>
      <c r="M370" s="29">
        <f>IF(NOT(AND($A370&lt;&gt;"",OR($I370="",$I370="Active"))),"",IF(MIN(IF(AND(ISNUMBER($N370),$N370&gt;=TODAY()),$N370,99999),IF(AND(ISNUMBER($O370),$O370&gt;=TODAY()),$O370,99999),IF(AND(ISNUMBER($P370),$P370&gt;=TODAY()),$P370,99999),IF(AND(ISNUMBER($S370),$S370&gt;=TODAY()),$S370,99999),IF(AND(ISNUMBER($T370),$T370&gt;=TODAY()),$T370,99999),IF(AND(ISNUMBER($U370),$U370&gt;=TODAY()),$U370,99999),IF(AND(ISNUMBER($V370),$V370&gt;=TODAY()),$V370,99999),IF(AND(ISNUMBER($W370),$W370&gt;=TODAY()),$W370,99999),IF(AND(ISNUMBER($X370),$X370&gt;=TODAY()),$X370,99999),IF(AND(ISNUMBER($Y370),$Y370&gt;=TODAY()),$Y370,99999))=99999,"",MIN(IF(AND(ISNUMBER($N370),$N370&gt;=TODAY()),$N370,99999),IF(AND(ISNUMBER($O370),$O370&gt;=TODAY()),$O370,99999),IF(AND(ISNUMBER($P370),$P370&gt;=TODAY()),$P370,99999),IF(AND(ISNUMBER($S370),$S370&gt;=TODAY()),$S370,99999),IF(AND(ISNUMBER($T370),$T370&gt;=TODAY()),$T370,99999),IF(AND(ISNUMBER($U370),$U370&gt;=TODAY()),$U370,99999),IF(AND(ISNUMBER($V370),$V370&gt;=TODAY()),$V370,99999),IF(AND(ISNUMBER($W370),$W370&gt;=TODAY()),$W370,99999),IF(AND(ISNUMBER($X370),$X370&gt;=TODAY()),$X370,99999),IF(AND(ISNUMBER($Y370),$Y370&gt;=TODAY()),$Y370,99999))))</f>
        <v/>
      </c>
      <c r="N370" s="27" t="n"/>
      <c r="O370" s="27" t="n"/>
      <c r="P370" s="27" t="n"/>
      <c r="Q370" s="27" t="n"/>
      <c r="R370" s="27" t="n"/>
      <c r="S370" s="27" t="n"/>
      <c r="T370" s="27" t="n"/>
      <c r="U370" s="27" t="n"/>
      <c r="V370" s="27" t="n"/>
      <c r="W370" s="27" t="n"/>
      <c r="X370" s="27" t="n"/>
      <c r="Y370" s="27" t="n"/>
      <c r="Z370" s="27" t="n"/>
      <c r="AA370" s="27" t="n"/>
      <c r="AB370" s="27" t="n"/>
      <c r="AC370" s="30" t="n"/>
      <c r="AD370" s="25" t="n"/>
      <c r="AE370" s="28">
        <f>IF(NOT(AND($A370&lt;&gt;"",OR($I370="",$I370="Active"))),"",IF(OR(IF(OR(ISNUMBER($Y370),$Y370="DNA"),$Y370,IF(OR(ISNUMBER($X370),$X370="DNA"),$X370,IF(OR(ISNUMBER($W370),$W370="DNA"),$W370,IF(OR(ISNUMBER($V370),$V370="DNA"),$V370,IF(OR(ISNUMBER($U370),$U370="DNA"),$U370,IF(OR(ISNUMBER($T370),$T370="DNA"),$T370,IF(OR(ISNUMBER($S370),$S370="DNA"),$S370,IF(OR(ISNUMBER($P370),$P370="DNA"),$P370,IF(OR(ISNUMBER($O370),$O370="DNA"),$O370,IF(OR(ISNUMBER($N370),$N370="DNA"),$N370,""))))))))))="DNA",AND(ISNUMBER(IF(OR(ISNUMBER($Y370),$Y370="DNA"),$Y370,IF(OR(ISNUMBER($X370),$X370="DNA"),$X370,IF(OR(ISNUMBER($W370),$W370="DNA"),$W370,IF(OR(ISNUMBER($V370),$V370="DNA"),$V370,IF(OR(ISNUMBER($U370),$U370="DNA"),$U370,IF(OR(ISNUMBER($T370),$T370="DNA"),$T370,IF(OR(ISNUMBER($S370),$S370="DNA"),$S370,IF(OR(ISNUMBER($P370),$P370="DNA"),$P370,IF(OR(ISNUMBER($O370),$O370="DNA"),$O370,IF(OR(ISNUMBER($N370),$N370="DNA"),$N370,""))))))))))),IF(OR(ISNUMBER($Y370),$Y370="DNA"),$Y370,IF(OR(ISNUMBER($X370),$X370="DNA"),$X370,IF(OR(ISNUMBER($W370),$W370="DNA"),$W370,IF(OR(ISNUMBER($V370),$V370="DNA"),$V370,IF(OR(ISNUMBER($U370),$U370="DNA"),$U370,IF(OR(ISNUMBER($T370),$T370="DNA"),$T370,IF(OR(ISNUMBER($S370),$S370="DNA"),$S370,IF(OR(ISNUMBER($P370),$P370="DNA"),$P370,IF(OR(ISNUMBER($O370),$O370="DNA"),$O370,IF(OR(ISNUMBER($N370),$N370="DNA"),$N370,""))))))))))&lt;TODAY())),1,0)+ISNUMBER($Q370)*($Q370&lt;TODAY())+ISNUMBER($R370)*($R370&lt;TODAY())+ISNUMBER($AA370)*($AA370&lt;TODAY())+ISNUMBER($AB370)*($AB370&lt;TODAY()))</f>
        <v/>
      </c>
    </row>
    <row r="371">
      <c r="A371" s="25" t="n"/>
      <c r="B371" s="26" t="n"/>
      <c r="C371" s="27" t="n"/>
      <c r="D371" s="25" t="n"/>
      <c r="E371" s="25" t="n"/>
      <c r="F371" s="25" t="n"/>
      <c r="G371" s="25" t="n"/>
      <c r="H371" s="27" t="n"/>
      <c r="I371" s="25" t="n"/>
      <c r="J371" s="28">
        <f>IF(OR(NOT(AND($A371&lt;&gt;"",OR($I371="",$I371="Active"))),$H371=""),"",INT((TODAY()-$H371+280)/7)&amp;"+"&amp;MOD(TODAY()-$H371+280,7))</f>
        <v/>
      </c>
      <c r="K371" s="28">
        <f>IF(NOT(AND($A371&lt;&gt;"",OR($I371="",$I371="Active"))),"",ISNUMBER($N371)*($N371&gt;=TODAY())*($N371&lt;=TODAY()+7)+ISNUMBER($O371)*($O371&gt;=TODAY())*($O371&lt;=TODAY()+7)+ISNUMBER($P371)*($P371&gt;=TODAY())*($P371&lt;=TODAY()+7)+ISNUMBER($S371)*($S371&gt;=TODAY())*($S371&lt;=TODAY()+7)+ISNUMBER($T371)*($T371&gt;=TODAY())*($T371&lt;=TODAY()+7)+ISNUMBER($U371)*($U371&gt;=TODAY())*($U371&lt;=TODAY()+7)+ISNUMBER($V371)*($V371&gt;=TODAY())*($V371&lt;=TODAY()+7)+ISNUMBER($W371)*($W371&gt;=TODAY())*($W371&lt;=TODAY()+7)+ISNUMBER($X371)*($X371&gt;=TODAY())*($X371&lt;=TODAY()+7)+ISNUMBER($Y371)*($Y371&gt;=TODAY())*($Y371&lt;=TODAY()+7)+ISNUMBER($Q371)*($Q371&gt;=TODAY())*($Q371&lt;=TODAY()+7)+ISNUMBER($R371)*($R371&gt;=TODAY())*($R371&lt;=TODAY()+7)+ISNUMBER($AA371)*($AA371&gt;=TODAY())*($AA371&lt;=TODAY()+7)+ISNUMBER($AB371)*($AB371&gt;=TODAY())*($AB371&lt;=TODAY()+7))</f>
        <v/>
      </c>
      <c r="L371" s="28">
        <f>IF(NOT(AND($A371&lt;&gt;"",OR($I371="",$I371="Active"))),"",IF($M371&lt;&gt;"",IF($N371=$M371,"Booking",IF($O371=$M371,"16/40",IF($P371=$M371,"25/40",IF($S371=$M371,"28/40",IF($T371=$M371,"31/40",IF($U371=$M371,"34/40",IF($V371=$M371,"36/40",IF($W371=$M371,"38/40",IF($X371=$M371,"40/40",IF($Y371=$M371,"41/40","")))))))))),IF(IF(OR(ISNUMBER($Y371),$Y371="DNA"),$Y371,IF(OR(ISNUMBER($X371),$X371="DNA"),$X371,IF(OR(ISNUMBER($W371),$W371="DNA"),$W371,IF(OR(ISNUMBER($V371),$V371="DNA"),$V371,IF(OR(ISNUMBER($U371),$U371="DNA"),$U371,IF(OR(ISNUMBER($T371),$T371="DNA"),$T371,IF(OR(ISNUMBER($S371),$S371="DNA"),$S371,IF(OR(ISNUMBER($P371),$P371="DNA"),$P371,IF(OR(ISNUMBER($O371),$O371="DNA"),$O371,IF(OR(ISNUMBER($N371),$N371="DNA"),$N371,""))))))))))="DNA","Rebook DNA",IF(ISNUMBER(IF(OR(ISNUMBER($Y371),$Y371="DNA"),$Y371,IF(OR(ISNUMBER($X371),$X371="DNA"),$X371,IF(OR(ISNUMBER($W371),$W371="DNA"),$W371,IF(OR(ISNUMBER($V371),$V371="DNA"),$V371,IF(OR(ISNUMBER($U371),$U371="DNA"),$U371,IF(OR(ISNUMBER($T371),$T371="DNA"),$T371,IF(OR(ISNUMBER($S371),$S371="DNA"),$S371,IF(OR(ISNUMBER($P371),$P371="DNA"),$P371,IF(OR(ISNUMBER($O371),$O371="DNA"),$O371,IF(OR(ISNUMBER($N371),$N371="DNA"),$N371,""))))))))))),IF(ISNUMBER($Y371),"Update status","Missed/not booked?"),""))))</f>
        <v/>
      </c>
      <c r="M371" s="29">
        <f>IF(NOT(AND($A371&lt;&gt;"",OR($I371="",$I371="Active"))),"",IF(MIN(IF(AND(ISNUMBER($N371),$N371&gt;=TODAY()),$N371,99999),IF(AND(ISNUMBER($O371),$O371&gt;=TODAY()),$O371,99999),IF(AND(ISNUMBER($P371),$P371&gt;=TODAY()),$P371,99999),IF(AND(ISNUMBER($S371),$S371&gt;=TODAY()),$S371,99999),IF(AND(ISNUMBER($T371),$T371&gt;=TODAY()),$T371,99999),IF(AND(ISNUMBER($U371),$U371&gt;=TODAY()),$U371,99999),IF(AND(ISNUMBER($V371),$V371&gt;=TODAY()),$V371,99999),IF(AND(ISNUMBER($W371),$W371&gt;=TODAY()),$W371,99999),IF(AND(ISNUMBER($X371),$X371&gt;=TODAY()),$X371,99999),IF(AND(ISNUMBER($Y371),$Y371&gt;=TODAY()),$Y371,99999))=99999,"",MIN(IF(AND(ISNUMBER($N371),$N371&gt;=TODAY()),$N371,99999),IF(AND(ISNUMBER($O371),$O371&gt;=TODAY()),$O371,99999),IF(AND(ISNUMBER($P371),$P371&gt;=TODAY()),$P371,99999),IF(AND(ISNUMBER($S371),$S371&gt;=TODAY()),$S371,99999),IF(AND(ISNUMBER($T371),$T371&gt;=TODAY()),$T371,99999),IF(AND(ISNUMBER($U371),$U371&gt;=TODAY()),$U371,99999),IF(AND(ISNUMBER($V371),$V371&gt;=TODAY()),$V371,99999),IF(AND(ISNUMBER($W371),$W371&gt;=TODAY()),$W371,99999),IF(AND(ISNUMBER($X371),$X371&gt;=TODAY()),$X371,99999),IF(AND(ISNUMBER($Y371),$Y371&gt;=TODAY()),$Y371,99999))))</f>
        <v/>
      </c>
      <c r="N371" s="27" t="n"/>
      <c r="O371" s="27" t="n"/>
      <c r="P371" s="27" t="n"/>
      <c r="Q371" s="27" t="n"/>
      <c r="R371" s="27" t="n"/>
      <c r="S371" s="27" t="n"/>
      <c r="T371" s="27" t="n"/>
      <c r="U371" s="27" t="n"/>
      <c r="V371" s="27" t="n"/>
      <c r="W371" s="27" t="n"/>
      <c r="X371" s="27" t="n"/>
      <c r="Y371" s="27" t="n"/>
      <c r="Z371" s="27" t="n"/>
      <c r="AA371" s="27" t="n"/>
      <c r="AB371" s="27" t="n"/>
      <c r="AC371" s="30" t="n"/>
      <c r="AD371" s="25" t="n"/>
      <c r="AE371" s="28">
        <f>IF(NOT(AND($A371&lt;&gt;"",OR($I371="",$I371="Active"))),"",IF(OR(IF(OR(ISNUMBER($Y371),$Y371="DNA"),$Y371,IF(OR(ISNUMBER($X371),$X371="DNA"),$X371,IF(OR(ISNUMBER($W371),$W371="DNA"),$W371,IF(OR(ISNUMBER($V371),$V371="DNA"),$V371,IF(OR(ISNUMBER($U371),$U371="DNA"),$U371,IF(OR(ISNUMBER($T371),$T371="DNA"),$T371,IF(OR(ISNUMBER($S371),$S371="DNA"),$S371,IF(OR(ISNUMBER($P371),$P371="DNA"),$P371,IF(OR(ISNUMBER($O371),$O371="DNA"),$O371,IF(OR(ISNUMBER($N371),$N371="DNA"),$N371,""))))))))))="DNA",AND(ISNUMBER(IF(OR(ISNUMBER($Y371),$Y371="DNA"),$Y371,IF(OR(ISNUMBER($X371),$X371="DNA"),$X371,IF(OR(ISNUMBER($W371),$W371="DNA"),$W371,IF(OR(ISNUMBER($V371),$V371="DNA"),$V371,IF(OR(ISNUMBER($U371),$U371="DNA"),$U371,IF(OR(ISNUMBER($T371),$T371="DNA"),$T371,IF(OR(ISNUMBER($S371),$S371="DNA"),$S371,IF(OR(ISNUMBER($P371),$P371="DNA"),$P371,IF(OR(ISNUMBER($O371),$O371="DNA"),$O371,IF(OR(ISNUMBER($N371),$N371="DNA"),$N371,""))))))))))),IF(OR(ISNUMBER($Y371),$Y371="DNA"),$Y371,IF(OR(ISNUMBER($X371),$X371="DNA"),$X371,IF(OR(ISNUMBER($W371),$W371="DNA"),$W371,IF(OR(ISNUMBER($V371),$V371="DNA"),$V371,IF(OR(ISNUMBER($U371),$U371="DNA"),$U371,IF(OR(ISNUMBER($T371),$T371="DNA"),$T371,IF(OR(ISNUMBER($S371),$S371="DNA"),$S371,IF(OR(ISNUMBER($P371),$P371="DNA"),$P371,IF(OR(ISNUMBER($O371),$O371="DNA"),$O371,IF(OR(ISNUMBER($N371),$N371="DNA"),$N371,""))))))))))&lt;TODAY())),1,0)+ISNUMBER($Q371)*($Q371&lt;TODAY())+ISNUMBER($R371)*($R371&lt;TODAY())+ISNUMBER($AA371)*($AA371&lt;TODAY())+ISNUMBER($AB371)*($AB371&lt;TODAY()))</f>
        <v/>
      </c>
    </row>
    <row r="372">
      <c r="A372" s="25" t="n"/>
      <c r="B372" s="26" t="n"/>
      <c r="C372" s="27" t="n"/>
      <c r="D372" s="25" t="n"/>
      <c r="E372" s="25" t="n"/>
      <c r="F372" s="25" t="n"/>
      <c r="G372" s="25" t="n"/>
      <c r="H372" s="27" t="n"/>
      <c r="I372" s="25" t="n"/>
      <c r="J372" s="28">
        <f>IF(OR(NOT(AND($A372&lt;&gt;"",OR($I372="",$I372="Active"))),$H372=""),"",INT((TODAY()-$H372+280)/7)&amp;"+"&amp;MOD(TODAY()-$H372+280,7))</f>
        <v/>
      </c>
      <c r="K372" s="28">
        <f>IF(NOT(AND($A372&lt;&gt;"",OR($I372="",$I372="Active"))),"",ISNUMBER($N372)*($N372&gt;=TODAY())*($N372&lt;=TODAY()+7)+ISNUMBER($O372)*($O372&gt;=TODAY())*($O372&lt;=TODAY()+7)+ISNUMBER($P372)*($P372&gt;=TODAY())*($P372&lt;=TODAY()+7)+ISNUMBER($S372)*($S372&gt;=TODAY())*($S372&lt;=TODAY()+7)+ISNUMBER($T372)*($T372&gt;=TODAY())*($T372&lt;=TODAY()+7)+ISNUMBER($U372)*($U372&gt;=TODAY())*($U372&lt;=TODAY()+7)+ISNUMBER($V372)*($V372&gt;=TODAY())*($V372&lt;=TODAY()+7)+ISNUMBER($W372)*($W372&gt;=TODAY())*($W372&lt;=TODAY()+7)+ISNUMBER($X372)*($X372&gt;=TODAY())*($X372&lt;=TODAY()+7)+ISNUMBER($Y372)*($Y372&gt;=TODAY())*($Y372&lt;=TODAY()+7)+ISNUMBER($Q372)*($Q372&gt;=TODAY())*($Q372&lt;=TODAY()+7)+ISNUMBER($R372)*($R372&gt;=TODAY())*($R372&lt;=TODAY()+7)+ISNUMBER($AA372)*($AA372&gt;=TODAY())*($AA372&lt;=TODAY()+7)+ISNUMBER($AB372)*($AB372&gt;=TODAY())*($AB372&lt;=TODAY()+7))</f>
        <v/>
      </c>
      <c r="L372" s="28">
        <f>IF(NOT(AND($A372&lt;&gt;"",OR($I372="",$I372="Active"))),"",IF($M372&lt;&gt;"",IF($N372=$M372,"Booking",IF($O372=$M372,"16/40",IF($P372=$M372,"25/40",IF($S372=$M372,"28/40",IF($T372=$M372,"31/40",IF($U372=$M372,"34/40",IF($V372=$M372,"36/40",IF($W372=$M372,"38/40",IF($X372=$M372,"40/40",IF($Y372=$M372,"41/40","")))))))))),IF(IF(OR(ISNUMBER($Y372),$Y372="DNA"),$Y372,IF(OR(ISNUMBER($X372),$X372="DNA"),$X372,IF(OR(ISNUMBER($W372),$W372="DNA"),$W372,IF(OR(ISNUMBER($V372),$V372="DNA"),$V372,IF(OR(ISNUMBER($U372),$U372="DNA"),$U372,IF(OR(ISNUMBER($T372),$T372="DNA"),$T372,IF(OR(ISNUMBER($S372),$S372="DNA"),$S372,IF(OR(ISNUMBER($P372),$P372="DNA"),$P372,IF(OR(ISNUMBER($O372),$O372="DNA"),$O372,IF(OR(ISNUMBER($N372),$N372="DNA"),$N372,""))))))))))="DNA","Rebook DNA",IF(ISNUMBER(IF(OR(ISNUMBER($Y372),$Y372="DNA"),$Y372,IF(OR(ISNUMBER($X372),$X372="DNA"),$X372,IF(OR(ISNUMBER($W372),$W372="DNA"),$W372,IF(OR(ISNUMBER($V372),$V372="DNA"),$V372,IF(OR(ISNUMBER($U372),$U372="DNA"),$U372,IF(OR(ISNUMBER($T372),$T372="DNA"),$T372,IF(OR(ISNUMBER($S372),$S372="DNA"),$S372,IF(OR(ISNUMBER($P372),$P372="DNA"),$P372,IF(OR(ISNUMBER($O372),$O372="DNA"),$O372,IF(OR(ISNUMBER($N372),$N372="DNA"),$N372,""))))))))))),IF(ISNUMBER($Y372),"Update status","Missed/not booked?"),""))))</f>
        <v/>
      </c>
      <c r="M372" s="29">
        <f>IF(NOT(AND($A372&lt;&gt;"",OR($I372="",$I372="Active"))),"",IF(MIN(IF(AND(ISNUMBER($N372),$N372&gt;=TODAY()),$N372,99999),IF(AND(ISNUMBER($O372),$O372&gt;=TODAY()),$O372,99999),IF(AND(ISNUMBER($P372),$P372&gt;=TODAY()),$P372,99999),IF(AND(ISNUMBER($S372),$S372&gt;=TODAY()),$S372,99999),IF(AND(ISNUMBER($T372),$T372&gt;=TODAY()),$T372,99999),IF(AND(ISNUMBER($U372),$U372&gt;=TODAY()),$U372,99999),IF(AND(ISNUMBER($V372),$V372&gt;=TODAY()),$V372,99999),IF(AND(ISNUMBER($W372),$W372&gt;=TODAY()),$W372,99999),IF(AND(ISNUMBER($X372),$X372&gt;=TODAY()),$X372,99999),IF(AND(ISNUMBER($Y372),$Y372&gt;=TODAY()),$Y372,99999))=99999,"",MIN(IF(AND(ISNUMBER($N372),$N372&gt;=TODAY()),$N372,99999),IF(AND(ISNUMBER($O372),$O372&gt;=TODAY()),$O372,99999),IF(AND(ISNUMBER($P372),$P372&gt;=TODAY()),$P372,99999),IF(AND(ISNUMBER($S372),$S372&gt;=TODAY()),$S372,99999),IF(AND(ISNUMBER($T372),$T372&gt;=TODAY()),$T372,99999),IF(AND(ISNUMBER($U372),$U372&gt;=TODAY()),$U372,99999),IF(AND(ISNUMBER($V372),$V372&gt;=TODAY()),$V372,99999),IF(AND(ISNUMBER($W372),$W372&gt;=TODAY()),$W372,99999),IF(AND(ISNUMBER($X372),$X372&gt;=TODAY()),$X372,99999),IF(AND(ISNUMBER($Y372),$Y372&gt;=TODAY()),$Y372,99999))))</f>
        <v/>
      </c>
      <c r="N372" s="27" t="n"/>
      <c r="O372" s="27" t="n"/>
      <c r="P372" s="27" t="n"/>
      <c r="Q372" s="27" t="n"/>
      <c r="R372" s="27" t="n"/>
      <c r="S372" s="27" t="n"/>
      <c r="T372" s="27" t="n"/>
      <c r="U372" s="27" t="n"/>
      <c r="V372" s="27" t="n"/>
      <c r="W372" s="27" t="n"/>
      <c r="X372" s="27" t="n"/>
      <c r="Y372" s="27" t="n"/>
      <c r="Z372" s="27" t="n"/>
      <c r="AA372" s="27" t="n"/>
      <c r="AB372" s="27" t="n"/>
      <c r="AC372" s="30" t="n"/>
      <c r="AD372" s="25" t="n"/>
      <c r="AE372" s="28">
        <f>IF(NOT(AND($A372&lt;&gt;"",OR($I372="",$I372="Active"))),"",IF(OR(IF(OR(ISNUMBER($Y372),$Y372="DNA"),$Y372,IF(OR(ISNUMBER($X372),$X372="DNA"),$X372,IF(OR(ISNUMBER($W372),$W372="DNA"),$W372,IF(OR(ISNUMBER($V372),$V372="DNA"),$V372,IF(OR(ISNUMBER($U372),$U372="DNA"),$U372,IF(OR(ISNUMBER($T372),$T372="DNA"),$T372,IF(OR(ISNUMBER($S372),$S372="DNA"),$S372,IF(OR(ISNUMBER($P372),$P372="DNA"),$P372,IF(OR(ISNUMBER($O372),$O372="DNA"),$O372,IF(OR(ISNUMBER($N372),$N372="DNA"),$N372,""))))))))))="DNA",AND(ISNUMBER(IF(OR(ISNUMBER($Y372),$Y372="DNA"),$Y372,IF(OR(ISNUMBER($X372),$X372="DNA"),$X372,IF(OR(ISNUMBER($W372),$W372="DNA"),$W372,IF(OR(ISNUMBER($V372),$V372="DNA"),$V372,IF(OR(ISNUMBER($U372),$U372="DNA"),$U372,IF(OR(ISNUMBER($T372),$T372="DNA"),$T372,IF(OR(ISNUMBER($S372),$S372="DNA"),$S372,IF(OR(ISNUMBER($P372),$P372="DNA"),$P372,IF(OR(ISNUMBER($O372),$O372="DNA"),$O372,IF(OR(ISNUMBER($N372),$N372="DNA"),$N372,""))))))))))),IF(OR(ISNUMBER($Y372),$Y372="DNA"),$Y372,IF(OR(ISNUMBER($X372),$X372="DNA"),$X372,IF(OR(ISNUMBER($W372),$W372="DNA"),$W372,IF(OR(ISNUMBER($V372),$V372="DNA"),$V372,IF(OR(ISNUMBER($U372),$U372="DNA"),$U372,IF(OR(ISNUMBER($T372),$T372="DNA"),$T372,IF(OR(ISNUMBER($S372),$S372="DNA"),$S372,IF(OR(ISNUMBER($P372),$P372="DNA"),$P372,IF(OR(ISNUMBER($O372),$O372="DNA"),$O372,IF(OR(ISNUMBER($N372),$N372="DNA"),$N372,""))))))))))&lt;TODAY())),1,0)+ISNUMBER($Q372)*($Q372&lt;TODAY())+ISNUMBER($R372)*($R372&lt;TODAY())+ISNUMBER($AA372)*($AA372&lt;TODAY())+ISNUMBER($AB372)*($AB372&lt;TODAY()))</f>
        <v/>
      </c>
    </row>
    <row r="373">
      <c r="A373" s="25" t="n"/>
      <c r="B373" s="26" t="n"/>
      <c r="C373" s="27" t="n"/>
      <c r="D373" s="25" t="n"/>
      <c r="E373" s="25" t="n"/>
      <c r="F373" s="25" t="n"/>
      <c r="G373" s="25" t="n"/>
      <c r="H373" s="27" t="n"/>
      <c r="I373" s="25" t="n"/>
      <c r="J373" s="28">
        <f>IF(OR(NOT(AND($A373&lt;&gt;"",OR($I373="",$I373="Active"))),$H373=""),"",INT((TODAY()-$H373+280)/7)&amp;"+"&amp;MOD(TODAY()-$H373+280,7))</f>
        <v/>
      </c>
      <c r="K373" s="28">
        <f>IF(NOT(AND($A373&lt;&gt;"",OR($I373="",$I373="Active"))),"",ISNUMBER($N373)*($N373&gt;=TODAY())*($N373&lt;=TODAY()+7)+ISNUMBER($O373)*($O373&gt;=TODAY())*($O373&lt;=TODAY()+7)+ISNUMBER($P373)*($P373&gt;=TODAY())*($P373&lt;=TODAY()+7)+ISNUMBER($S373)*($S373&gt;=TODAY())*($S373&lt;=TODAY()+7)+ISNUMBER($T373)*($T373&gt;=TODAY())*($T373&lt;=TODAY()+7)+ISNUMBER($U373)*($U373&gt;=TODAY())*($U373&lt;=TODAY()+7)+ISNUMBER($V373)*($V373&gt;=TODAY())*($V373&lt;=TODAY()+7)+ISNUMBER($W373)*($W373&gt;=TODAY())*($W373&lt;=TODAY()+7)+ISNUMBER($X373)*($X373&gt;=TODAY())*($X373&lt;=TODAY()+7)+ISNUMBER($Y373)*($Y373&gt;=TODAY())*($Y373&lt;=TODAY()+7)+ISNUMBER($Q373)*($Q373&gt;=TODAY())*($Q373&lt;=TODAY()+7)+ISNUMBER($R373)*($R373&gt;=TODAY())*($R373&lt;=TODAY()+7)+ISNUMBER($AA373)*($AA373&gt;=TODAY())*($AA373&lt;=TODAY()+7)+ISNUMBER($AB373)*($AB373&gt;=TODAY())*($AB373&lt;=TODAY()+7))</f>
        <v/>
      </c>
      <c r="L373" s="28">
        <f>IF(NOT(AND($A373&lt;&gt;"",OR($I373="",$I373="Active"))),"",IF($M373&lt;&gt;"",IF($N373=$M373,"Booking",IF($O373=$M373,"16/40",IF($P373=$M373,"25/40",IF($S373=$M373,"28/40",IF($T373=$M373,"31/40",IF($U373=$M373,"34/40",IF($V373=$M373,"36/40",IF($W373=$M373,"38/40",IF($X373=$M373,"40/40",IF($Y373=$M373,"41/40","")))))))))),IF(IF(OR(ISNUMBER($Y373),$Y373="DNA"),$Y373,IF(OR(ISNUMBER($X373),$X373="DNA"),$X373,IF(OR(ISNUMBER($W373),$W373="DNA"),$W373,IF(OR(ISNUMBER($V373),$V373="DNA"),$V373,IF(OR(ISNUMBER($U373),$U373="DNA"),$U373,IF(OR(ISNUMBER($T373),$T373="DNA"),$T373,IF(OR(ISNUMBER($S373),$S373="DNA"),$S373,IF(OR(ISNUMBER($P373),$P373="DNA"),$P373,IF(OR(ISNUMBER($O373),$O373="DNA"),$O373,IF(OR(ISNUMBER($N373),$N373="DNA"),$N373,""))))))))))="DNA","Rebook DNA",IF(ISNUMBER(IF(OR(ISNUMBER($Y373),$Y373="DNA"),$Y373,IF(OR(ISNUMBER($X373),$X373="DNA"),$X373,IF(OR(ISNUMBER($W373),$W373="DNA"),$W373,IF(OR(ISNUMBER($V373),$V373="DNA"),$V373,IF(OR(ISNUMBER($U373),$U373="DNA"),$U373,IF(OR(ISNUMBER($T373),$T373="DNA"),$T373,IF(OR(ISNUMBER($S373),$S373="DNA"),$S373,IF(OR(ISNUMBER($P373),$P373="DNA"),$P373,IF(OR(ISNUMBER($O373),$O373="DNA"),$O373,IF(OR(ISNUMBER($N373),$N373="DNA"),$N373,""))))))))))),IF(ISNUMBER($Y373),"Update status","Missed/not booked?"),""))))</f>
        <v/>
      </c>
      <c r="M373" s="29">
        <f>IF(NOT(AND($A373&lt;&gt;"",OR($I373="",$I373="Active"))),"",IF(MIN(IF(AND(ISNUMBER($N373),$N373&gt;=TODAY()),$N373,99999),IF(AND(ISNUMBER($O373),$O373&gt;=TODAY()),$O373,99999),IF(AND(ISNUMBER($P373),$P373&gt;=TODAY()),$P373,99999),IF(AND(ISNUMBER($S373),$S373&gt;=TODAY()),$S373,99999),IF(AND(ISNUMBER($T373),$T373&gt;=TODAY()),$T373,99999),IF(AND(ISNUMBER($U373),$U373&gt;=TODAY()),$U373,99999),IF(AND(ISNUMBER($V373),$V373&gt;=TODAY()),$V373,99999),IF(AND(ISNUMBER($W373),$W373&gt;=TODAY()),$W373,99999),IF(AND(ISNUMBER($X373),$X373&gt;=TODAY()),$X373,99999),IF(AND(ISNUMBER($Y373),$Y373&gt;=TODAY()),$Y373,99999))=99999,"",MIN(IF(AND(ISNUMBER($N373),$N373&gt;=TODAY()),$N373,99999),IF(AND(ISNUMBER($O373),$O373&gt;=TODAY()),$O373,99999),IF(AND(ISNUMBER($P373),$P373&gt;=TODAY()),$P373,99999),IF(AND(ISNUMBER($S373),$S373&gt;=TODAY()),$S373,99999),IF(AND(ISNUMBER($T373),$T373&gt;=TODAY()),$T373,99999),IF(AND(ISNUMBER($U373),$U373&gt;=TODAY()),$U373,99999),IF(AND(ISNUMBER($V373),$V373&gt;=TODAY()),$V373,99999),IF(AND(ISNUMBER($W373),$W373&gt;=TODAY()),$W373,99999),IF(AND(ISNUMBER($X373),$X373&gt;=TODAY()),$X373,99999),IF(AND(ISNUMBER($Y373),$Y373&gt;=TODAY()),$Y373,99999))))</f>
        <v/>
      </c>
      <c r="N373" s="27" t="n"/>
      <c r="O373" s="27" t="n"/>
      <c r="P373" s="27" t="n"/>
      <c r="Q373" s="27" t="n"/>
      <c r="R373" s="27" t="n"/>
      <c r="S373" s="27" t="n"/>
      <c r="T373" s="27" t="n"/>
      <c r="U373" s="27" t="n"/>
      <c r="V373" s="27" t="n"/>
      <c r="W373" s="27" t="n"/>
      <c r="X373" s="27" t="n"/>
      <c r="Y373" s="27" t="n"/>
      <c r="Z373" s="27" t="n"/>
      <c r="AA373" s="27" t="n"/>
      <c r="AB373" s="27" t="n"/>
      <c r="AC373" s="30" t="n"/>
      <c r="AD373" s="25" t="n"/>
      <c r="AE373" s="28">
        <f>IF(NOT(AND($A373&lt;&gt;"",OR($I373="",$I373="Active"))),"",IF(OR(IF(OR(ISNUMBER($Y373),$Y373="DNA"),$Y373,IF(OR(ISNUMBER($X373),$X373="DNA"),$X373,IF(OR(ISNUMBER($W373),$W373="DNA"),$W373,IF(OR(ISNUMBER($V373),$V373="DNA"),$V373,IF(OR(ISNUMBER($U373),$U373="DNA"),$U373,IF(OR(ISNUMBER($T373),$T373="DNA"),$T373,IF(OR(ISNUMBER($S373),$S373="DNA"),$S373,IF(OR(ISNUMBER($P373),$P373="DNA"),$P373,IF(OR(ISNUMBER($O373),$O373="DNA"),$O373,IF(OR(ISNUMBER($N373),$N373="DNA"),$N373,""))))))))))="DNA",AND(ISNUMBER(IF(OR(ISNUMBER($Y373),$Y373="DNA"),$Y373,IF(OR(ISNUMBER($X373),$X373="DNA"),$X373,IF(OR(ISNUMBER($W373),$W373="DNA"),$W373,IF(OR(ISNUMBER($V373),$V373="DNA"),$V373,IF(OR(ISNUMBER($U373),$U373="DNA"),$U373,IF(OR(ISNUMBER($T373),$T373="DNA"),$T373,IF(OR(ISNUMBER($S373),$S373="DNA"),$S373,IF(OR(ISNUMBER($P373),$P373="DNA"),$P373,IF(OR(ISNUMBER($O373),$O373="DNA"),$O373,IF(OR(ISNUMBER($N373),$N373="DNA"),$N373,""))))))))))),IF(OR(ISNUMBER($Y373),$Y373="DNA"),$Y373,IF(OR(ISNUMBER($X373),$X373="DNA"),$X373,IF(OR(ISNUMBER($W373),$W373="DNA"),$W373,IF(OR(ISNUMBER($V373),$V373="DNA"),$V373,IF(OR(ISNUMBER($U373),$U373="DNA"),$U373,IF(OR(ISNUMBER($T373),$T373="DNA"),$T373,IF(OR(ISNUMBER($S373),$S373="DNA"),$S373,IF(OR(ISNUMBER($P373),$P373="DNA"),$P373,IF(OR(ISNUMBER($O373),$O373="DNA"),$O373,IF(OR(ISNUMBER($N373),$N373="DNA"),$N373,""))))))))))&lt;TODAY())),1,0)+ISNUMBER($Q373)*($Q373&lt;TODAY())+ISNUMBER($R373)*($R373&lt;TODAY())+ISNUMBER($AA373)*($AA373&lt;TODAY())+ISNUMBER($AB373)*($AB373&lt;TODAY()))</f>
        <v/>
      </c>
    </row>
    <row r="374">
      <c r="A374" s="25" t="n"/>
      <c r="B374" s="26" t="n"/>
      <c r="C374" s="27" t="n"/>
      <c r="D374" s="25" t="n"/>
      <c r="E374" s="25" t="n"/>
      <c r="F374" s="25" t="n"/>
      <c r="G374" s="25" t="n"/>
      <c r="H374" s="27" t="n"/>
      <c r="I374" s="25" t="n"/>
      <c r="J374" s="28">
        <f>IF(OR(NOT(AND($A374&lt;&gt;"",OR($I374="",$I374="Active"))),$H374=""),"",INT((TODAY()-$H374+280)/7)&amp;"+"&amp;MOD(TODAY()-$H374+280,7))</f>
        <v/>
      </c>
      <c r="K374" s="28">
        <f>IF(NOT(AND($A374&lt;&gt;"",OR($I374="",$I374="Active"))),"",ISNUMBER($N374)*($N374&gt;=TODAY())*($N374&lt;=TODAY()+7)+ISNUMBER($O374)*($O374&gt;=TODAY())*($O374&lt;=TODAY()+7)+ISNUMBER($P374)*($P374&gt;=TODAY())*($P374&lt;=TODAY()+7)+ISNUMBER($S374)*($S374&gt;=TODAY())*($S374&lt;=TODAY()+7)+ISNUMBER($T374)*($T374&gt;=TODAY())*($T374&lt;=TODAY()+7)+ISNUMBER($U374)*($U374&gt;=TODAY())*($U374&lt;=TODAY()+7)+ISNUMBER($V374)*($V374&gt;=TODAY())*($V374&lt;=TODAY()+7)+ISNUMBER($W374)*($W374&gt;=TODAY())*($W374&lt;=TODAY()+7)+ISNUMBER($X374)*($X374&gt;=TODAY())*($X374&lt;=TODAY()+7)+ISNUMBER($Y374)*($Y374&gt;=TODAY())*($Y374&lt;=TODAY()+7)+ISNUMBER($Q374)*($Q374&gt;=TODAY())*($Q374&lt;=TODAY()+7)+ISNUMBER($R374)*($R374&gt;=TODAY())*($R374&lt;=TODAY()+7)+ISNUMBER($AA374)*($AA374&gt;=TODAY())*($AA374&lt;=TODAY()+7)+ISNUMBER($AB374)*($AB374&gt;=TODAY())*($AB374&lt;=TODAY()+7))</f>
        <v/>
      </c>
      <c r="L374" s="28">
        <f>IF(NOT(AND($A374&lt;&gt;"",OR($I374="",$I374="Active"))),"",IF($M374&lt;&gt;"",IF($N374=$M374,"Booking",IF($O374=$M374,"16/40",IF($P374=$M374,"25/40",IF($S374=$M374,"28/40",IF($T374=$M374,"31/40",IF($U374=$M374,"34/40",IF($V374=$M374,"36/40",IF($W374=$M374,"38/40",IF($X374=$M374,"40/40",IF($Y374=$M374,"41/40","")))))))))),IF(IF(OR(ISNUMBER($Y374),$Y374="DNA"),$Y374,IF(OR(ISNUMBER($X374),$X374="DNA"),$X374,IF(OR(ISNUMBER($W374),$W374="DNA"),$W374,IF(OR(ISNUMBER($V374),$V374="DNA"),$V374,IF(OR(ISNUMBER($U374),$U374="DNA"),$U374,IF(OR(ISNUMBER($T374),$T374="DNA"),$T374,IF(OR(ISNUMBER($S374),$S374="DNA"),$S374,IF(OR(ISNUMBER($P374),$P374="DNA"),$P374,IF(OR(ISNUMBER($O374),$O374="DNA"),$O374,IF(OR(ISNUMBER($N374),$N374="DNA"),$N374,""))))))))))="DNA","Rebook DNA",IF(ISNUMBER(IF(OR(ISNUMBER($Y374),$Y374="DNA"),$Y374,IF(OR(ISNUMBER($X374),$X374="DNA"),$X374,IF(OR(ISNUMBER($W374),$W374="DNA"),$W374,IF(OR(ISNUMBER($V374),$V374="DNA"),$V374,IF(OR(ISNUMBER($U374),$U374="DNA"),$U374,IF(OR(ISNUMBER($T374),$T374="DNA"),$T374,IF(OR(ISNUMBER($S374),$S374="DNA"),$S374,IF(OR(ISNUMBER($P374),$P374="DNA"),$P374,IF(OR(ISNUMBER($O374),$O374="DNA"),$O374,IF(OR(ISNUMBER($N374),$N374="DNA"),$N374,""))))))))))),IF(ISNUMBER($Y374),"Update status","Missed/not booked?"),""))))</f>
        <v/>
      </c>
      <c r="M374" s="29">
        <f>IF(NOT(AND($A374&lt;&gt;"",OR($I374="",$I374="Active"))),"",IF(MIN(IF(AND(ISNUMBER($N374),$N374&gt;=TODAY()),$N374,99999),IF(AND(ISNUMBER($O374),$O374&gt;=TODAY()),$O374,99999),IF(AND(ISNUMBER($P374),$P374&gt;=TODAY()),$P374,99999),IF(AND(ISNUMBER($S374),$S374&gt;=TODAY()),$S374,99999),IF(AND(ISNUMBER($T374),$T374&gt;=TODAY()),$T374,99999),IF(AND(ISNUMBER($U374),$U374&gt;=TODAY()),$U374,99999),IF(AND(ISNUMBER($V374),$V374&gt;=TODAY()),$V374,99999),IF(AND(ISNUMBER($W374),$W374&gt;=TODAY()),$W374,99999),IF(AND(ISNUMBER($X374),$X374&gt;=TODAY()),$X374,99999),IF(AND(ISNUMBER($Y374),$Y374&gt;=TODAY()),$Y374,99999))=99999,"",MIN(IF(AND(ISNUMBER($N374),$N374&gt;=TODAY()),$N374,99999),IF(AND(ISNUMBER($O374),$O374&gt;=TODAY()),$O374,99999),IF(AND(ISNUMBER($P374),$P374&gt;=TODAY()),$P374,99999),IF(AND(ISNUMBER($S374),$S374&gt;=TODAY()),$S374,99999),IF(AND(ISNUMBER($T374),$T374&gt;=TODAY()),$T374,99999),IF(AND(ISNUMBER($U374),$U374&gt;=TODAY()),$U374,99999),IF(AND(ISNUMBER($V374),$V374&gt;=TODAY()),$V374,99999),IF(AND(ISNUMBER($W374),$W374&gt;=TODAY()),$W374,99999),IF(AND(ISNUMBER($X374),$X374&gt;=TODAY()),$X374,99999),IF(AND(ISNUMBER($Y374),$Y374&gt;=TODAY()),$Y374,99999))))</f>
        <v/>
      </c>
      <c r="N374" s="27" t="n"/>
      <c r="O374" s="27" t="n"/>
      <c r="P374" s="27" t="n"/>
      <c r="Q374" s="27" t="n"/>
      <c r="R374" s="27" t="n"/>
      <c r="S374" s="27" t="n"/>
      <c r="T374" s="27" t="n"/>
      <c r="U374" s="27" t="n"/>
      <c r="V374" s="27" t="n"/>
      <c r="W374" s="27" t="n"/>
      <c r="X374" s="27" t="n"/>
      <c r="Y374" s="27" t="n"/>
      <c r="Z374" s="27" t="n"/>
      <c r="AA374" s="27" t="n"/>
      <c r="AB374" s="27" t="n"/>
      <c r="AC374" s="30" t="n"/>
      <c r="AD374" s="25" t="n"/>
      <c r="AE374" s="28">
        <f>IF(NOT(AND($A374&lt;&gt;"",OR($I374="",$I374="Active"))),"",IF(OR(IF(OR(ISNUMBER($Y374),$Y374="DNA"),$Y374,IF(OR(ISNUMBER($X374),$X374="DNA"),$X374,IF(OR(ISNUMBER($W374),$W374="DNA"),$W374,IF(OR(ISNUMBER($V374),$V374="DNA"),$V374,IF(OR(ISNUMBER($U374),$U374="DNA"),$U374,IF(OR(ISNUMBER($T374),$T374="DNA"),$T374,IF(OR(ISNUMBER($S374),$S374="DNA"),$S374,IF(OR(ISNUMBER($P374),$P374="DNA"),$P374,IF(OR(ISNUMBER($O374),$O374="DNA"),$O374,IF(OR(ISNUMBER($N374),$N374="DNA"),$N374,""))))))))))="DNA",AND(ISNUMBER(IF(OR(ISNUMBER($Y374),$Y374="DNA"),$Y374,IF(OR(ISNUMBER($X374),$X374="DNA"),$X374,IF(OR(ISNUMBER($W374),$W374="DNA"),$W374,IF(OR(ISNUMBER($V374),$V374="DNA"),$V374,IF(OR(ISNUMBER($U374),$U374="DNA"),$U374,IF(OR(ISNUMBER($T374),$T374="DNA"),$T374,IF(OR(ISNUMBER($S374),$S374="DNA"),$S374,IF(OR(ISNUMBER($P374),$P374="DNA"),$P374,IF(OR(ISNUMBER($O374),$O374="DNA"),$O374,IF(OR(ISNUMBER($N374),$N374="DNA"),$N374,""))))))))))),IF(OR(ISNUMBER($Y374),$Y374="DNA"),$Y374,IF(OR(ISNUMBER($X374),$X374="DNA"),$X374,IF(OR(ISNUMBER($W374),$W374="DNA"),$W374,IF(OR(ISNUMBER($V374),$V374="DNA"),$V374,IF(OR(ISNUMBER($U374),$U374="DNA"),$U374,IF(OR(ISNUMBER($T374),$T374="DNA"),$T374,IF(OR(ISNUMBER($S374),$S374="DNA"),$S374,IF(OR(ISNUMBER($P374),$P374="DNA"),$P374,IF(OR(ISNUMBER($O374),$O374="DNA"),$O374,IF(OR(ISNUMBER($N374),$N374="DNA"),$N374,""))))))))))&lt;TODAY())),1,0)+ISNUMBER($Q374)*($Q374&lt;TODAY())+ISNUMBER($R374)*($R374&lt;TODAY())+ISNUMBER($AA374)*($AA374&lt;TODAY())+ISNUMBER($AB374)*($AB374&lt;TODAY()))</f>
        <v/>
      </c>
    </row>
    <row r="375">
      <c r="A375" s="25" t="n"/>
      <c r="B375" s="26" t="n"/>
      <c r="C375" s="27" t="n"/>
      <c r="D375" s="25" t="n"/>
      <c r="E375" s="25" t="n"/>
      <c r="F375" s="25" t="n"/>
      <c r="G375" s="25" t="n"/>
      <c r="H375" s="27" t="n"/>
      <c r="I375" s="25" t="n"/>
      <c r="J375" s="28">
        <f>IF(OR(NOT(AND($A375&lt;&gt;"",OR($I375="",$I375="Active"))),$H375=""),"",INT((TODAY()-$H375+280)/7)&amp;"+"&amp;MOD(TODAY()-$H375+280,7))</f>
        <v/>
      </c>
      <c r="K375" s="28">
        <f>IF(NOT(AND($A375&lt;&gt;"",OR($I375="",$I375="Active"))),"",ISNUMBER($N375)*($N375&gt;=TODAY())*($N375&lt;=TODAY()+7)+ISNUMBER($O375)*($O375&gt;=TODAY())*($O375&lt;=TODAY()+7)+ISNUMBER($P375)*($P375&gt;=TODAY())*($P375&lt;=TODAY()+7)+ISNUMBER($S375)*($S375&gt;=TODAY())*($S375&lt;=TODAY()+7)+ISNUMBER($T375)*($T375&gt;=TODAY())*($T375&lt;=TODAY()+7)+ISNUMBER($U375)*($U375&gt;=TODAY())*($U375&lt;=TODAY()+7)+ISNUMBER($V375)*($V375&gt;=TODAY())*($V375&lt;=TODAY()+7)+ISNUMBER($W375)*($W375&gt;=TODAY())*($W375&lt;=TODAY()+7)+ISNUMBER($X375)*($X375&gt;=TODAY())*($X375&lt;=TODAY()+7)+ISNUMBER($Y375)*($Y375&gt;=TODAY())*($Y375&lt;=TODAY()+7)+ISNUMBER($Q375)*($Q375&gt;=TODAY())*($Q375&lt;=TODAY()+7)+ISNUMBER($R375)*($R375&gt;=TODAY())*($R375&lt;=TODAY()+7)+ISNUMBER($AA375)*($AA375&gt;=TODAY())*($AA375&lt;=TODAY()+7)+ISNUMBER($AB375)*($AB375&gt;=TODAY())*($AB375&lt;=TODAY()+7))</f>
        <v/>
      </c>
      <c r="L375" s="28">
        <f>IF(NOT(AND($A375&lt;&gt;"",OR($I375="",$I375="Active"))),"",IF($M375&lt;&gt;"",IF($N375=$M375,"Booking",IF($O375=$M375,"16/40",IF($P375=$M375,"25/40",IF($S375=$M375,"28/40",IF($T375=$M375,"31/40",IF($U375=$M375,"34/40",IF($V375=$M375,"36/40",IF($W375=$M375,"38/40",IF($X375=$M375,"40/40",IF($Y375=$M375,"41/40","")))))))))),IF(IF(OR(ISNUMBER($Y375),$Y375="DNA"),$Y375,IF(OR(ISNUMBER($X375),$X375="DNA"),$X375,IF(OR(ISNUMBER($W375),$W375="DNA"),$W375,IF(OR(ISNUMBER($V375),$V375="DNA"),$V375,IF(OR(ISNUMBER($U375),$U375="DNA"),$U375,IF(OR(ISNUMBER($T375),$T375="DNA"),$T375,IF(OR(ISNUMBER($S375),$S375="DNA"),$S375,IF(OR(ISNUMBER($P375),$P375="DNA"),$P375,IF(OR(ISNUMBER($O375),$O375="DNA"),$O375,IF(OR(ISNUMBER($N375),$N375="DNA"),$N375,""))))))))))="DNA","Rebook DNA",IF(ISNUMBER(IF(OR(ISNUMBER($Y375),$Y375="DNA"),$Y375,IF(OR(ISNUMBER($X375),$X375="DNA"),$X375,IF(OR(ISNUMBER($W375),$W375="DNA"),$W375,IF(OR(ISNUMBER($V375),$V375="DNA"),$V375,IF(OR(ISNUMBER($U375),$U375="DNA"),$U375,IF(OR(ISNUMBER($T375),$T375="DNA"),$T375,IF(OR(ISNUMBER($S375),$S375="DNA"),$S375,IF(OR(ISNUMBER($P375),$P375="DNA"),$P375,IF(OR(ISNUMBER($O375),$O375="DNA"),$O375,IF(OR(ISNUMBER($N375),$N375="DNA"),$N375,""))))))))))),IF(ISNUMBER($Y375),"Update status","Missed/not booked?"),""))))</f>
        <v/>
      </c>
      <c r="M375" s="29">
        <f>IF(NOT(AND($A375&lt;&gt;"",OR($I375="",$I375="Active"))),"",IF(MIN(IF(AND(ISNUMBER($N375),$N375&gt;=TODAY()),$N375,99999),IF(AND(ISNUMBER($O375),$O375&gt;=TODAY()),$O375,99999),IF(AND(ISNUMBER($P375),$P375&gt;=TODAY()),$P375,99999),IF(AND(ISNUMBER($S375),$S375&gt;=TODAY()),$S375,99999),IF(AND(ISNUMBER($T375),$T375&gt;=TODAY()),$T375,99999),IF(AND(ISNUMBER($U375),$U375&gt;=TODAY()),$U375,99999),IF(AND(ISNUMBER($V375),$V375&gt;=TODAY()),$V375,99999),IF(AND(ISNUMBER($W375),$W375&gt;=TODAY()),$W375,99999),IF(AND(ISNUMBER($X375),$X375&gt;=TODAY()),$X375,99999),IF(AND(ISNUMBER($Y375),$Y375&gt;=TODAY()),$Y375,99999))=99999,"",MIN(IF(AND(ISNUMBER($N375),$N375&gt;=TODAY()),$N375,99999),IF(AND(ISNUMBER($O375),$O375&gt;=TODAY()),$O375,99999),IF(AND(ISNUMBER($P375),$P375&gt;=TODAY()),$P375,99999),IF(AND(ISNUMBER($S375),$S375&gt;=TODAY()),$S375,99999),IF(AND(ISNUMBER($T375),$T375&gt;=TODAY()),$T375,99999),IF(AND(ISNUMBER($U375),$U375&gt;=TODAY()),$U375,99999),IF(AND(ISNUMBER($V375),$V375&gt;=TODAY()),$V375,99999),IF(AND(ISNUMBER($W375),$W375&gt;=TODAY()),$W375,99999),IF(AND(ISNUMBER($X375),$X375&gt;=TODAY()),$X375,99999),IF(AND(ISNUMBER($Y375),$Y375&gt;=TODAY()),$Y375,99999))))</f>
        <v/>
      </c>
      <c r="N375" s="27" t="n"/>
      <c r="O375" s="27" t="n"/>
      <c r="P375" s="27" t="n"/>
      <c r="Q375" s="27" t="n"/>
      <c r="R375" s="27" t="n"/>
      <c r="S375" s="27" t="n"/>
      <c r="T375" s="27" t="n"/>
      <c r="U375" s="27" t="n"/>
      <c r="V375" s="27" t="n"/>
      <c r="W375" s="27" t="n"/>
      <c r="X375" s="27" t="n"/>
      <c r="Y375" s="27" t="n"/>
      <c r="Z375" s="27" t="n"/>
      <c r="AA375" s="27" t="n"/>
      <c r="AB375" s="27" t="n"/>
      <c r="AC375" s="30" t="n"/>
      <c r="AD375" s="25" t="n"/>
      <c r="AE375" s="28">
        <f>IF(NOT(AND($A375&lt;&gt;"",OR($I375="",$I375="Active"))),"",IF(OR(IF(OR(ISNUMBER($Y375),$Y375="DNA"),$Y375,IF(OR(ISNUMBER($X375),$X375="DNA"),$X375,IF(OR(ISNUMBER($W375),$W375="DNA"),$W375,IF(OR(ISNUMBER($V375),$V375="DNA"),$V375,IF(OR(ISNUMBER($U375),$U375="DNA"),$U375,IF(OR(ISNUMBER($T375),$T375="DNA"),$T375,IF(OR(ISNUMBER($S375),$S375="DNA"),$S375,IF(OR(ISNUMBER($P375),$P375="DNA"),$P375,IF(OR(ISNUMBER($O375),$O375="DNA"),$O375,IF(OR(ISNUMBER($N375),$N375="DNA"),$N375,""))))))))))="DNA",AND(ISNUMBER(IF(OR(ISNUMBER($Y375),$Y375="DNA"),$Y375,IF(OR(ISNUMBER($X375),$X375="DNA"),$X375,IF(OR(ISNUMBER($W375),$W375="DNA"),$W375,IF(OR(ISNUMBER($V375),$V375="DNA"),$V375,IF(OR(ISNUMBER($U375),$U375="DNA"),$U375,IF(OR(ISNUMBER($T375),$T375="DNA"),$T375,IF(OR(ISNUMBER($S375),$S375="DNA"),$S375,IF(OR(ISNUMBER($P375),$P375="DNA"),$P375,IF(OR(ISNUMBER($O375),$O375="DNA"),$O375,IF(OR(ISNUMBER($N375),$N375="DNA"),$N375,""))))))))))),IF(OR(ISNUMBER($Y375),$Y375="DNA"),$Y375,IF(OR(ISNUMBER($X375),$X375="DNA"),$X375,IF(OR(ISNUMBER($W375),$W375="DNA"),$W375,IF(OR(ISNUMBER($V375),$V375="DNA"),$V375,IF(OR(ISNUMBER($U375),$U375="DNA"),$U375,IF(OR(ISNUMBER($T375),$T375="DNA"),$T375,IF(OR(ISNUMBER($S375),$S375="DNA"),$S375,IF(OR(ISNUMBER($P375),$P375="DNA"),$P375,IF(OR(ISNUMBER($O375),$O375="DNA"),$O375,IF(OR(ISNUMBER($N375),$N375="DNA"),$N375,""))))))))))&lt;TODAY())),1,0)+ISNUMBER($Q375)*($Q375&lt;TODAY())+ISNUMBER($R375)*($R375&lt;TODAY())+ISNUMBER($AA375)*($AA375&lt;TODAY())+ISNUMBER($AB375)*($AB375&lt;TODAY()))</f>
        <v/>
      </c>
    </row>
    <row r="376">
      <c r="A376" s="25" t="n"/>
      <c r="B376" s="26" t="n"/>
      <c r="C376" s="27" t="n"/>
      <c r="D376" s="25" t="n"/>
      <c r="E376" s="25" t="n"/>
      <c r="F376" s="25" t="n"/>
      <c r="G376" s="25" t="n"/>
      <c r="H376" s="27" t="n"/>
      <c r="I376" s="25" t="n"/>
      <c r="J376" s="28">
        <f>IF(OR(NOT(AND($A376&lt;&gt;"",OR($I376="",$I376="Active"))),$H376=""),"",INT((TODAY()-$H376+280)/7)&amp;"+"&amp;MOD(TODAY()-$H376+280,7))</f>
        <v/>
      </c>
      <c r="K376" s="28">
        <f>IF(NOT(AND($A376&lt;&gt;"",OR($I376="",$I376="Active"))),"",ISNUMBER($N376)*($N376&gt;=TODAY())*($N376&lt;=TODAY()+7)+ISNUMBER($O376)*($O376&gt;=TODAY())*($O376&lt;=TODAY()+7)+ISNUMBER($P376)*($P376&gt;=TODAY())*($P376&lt;=TODAY()+7)+ISNUMBER($S376)*($S376&gt;=TODAY())*($S376&lt;=TODAY()+7)+ISNUMBER($T376)*($T376&gt;=TODAY())*($T376&lt;=TODAY()+7)+ISNUMBER($U376)*($U376&gt;=TODAY())*($U376&lt;=TODAY()+7)+ISNUMBER($V376)*($V376&gt;=TODAY())*($V376&lt;=TODAY()+7)+ISNUMBER($W376)*($W376&gt;=TODAY())*($W376&lt;=TODAY()+7)+ISNUMBER($X376)*($X376&gt;=TODAY())*($X376&lt;=TODAY()+7)+ISNUMBER($Y376)*($Y376&gt;=TODAY())*($Y376&lt;=TODAY()+7)+ISNUMBER($Q376)*($Q376&gt;=TODAY())*($Q376&lt;=TODAY()+7)+ISNUMBER($R376)*($R376&gt;=TODAY())*($R376&lt;=TODAY()+7)+ISNUMBER($AA376)*($AA376&gt;=TODAY())*($AA376&lt;=TODAY()+7)+ISNUMBER($AB376)*($AB376&gt;=TODAY())*($AB376&lt;=TODAY()+7))</f>
        <v/>
      </c>
      <c r="L376" s="28">
        <f>IF(NOT(AND($A376&lt;&gt;"",OR($I376="",$I376="Active"))),"",IF($M376&lt;&gt;"",IF($N376=$M376,"Booking",IF($O376=$M376,"16/40",IF($P376=$M376,"25/40",IF($S376=$M376,"28/40",IF($T376=$M376,"31/40",IF($U376=$M376,"34/40",IF($V376=$M376,"36/40",IF($W376=$M376,"38/40",IF($X376=$M376,"40/40",IF($Y376=$M376,"41/40","")))))))))),IF(IF(OR(ISNUMBER($Y376),$Y376="DNA"),$Y376,IF(OR(ISNUMBER($X376),$X376="DNA"),$X376,IF(OR(ISNUMBER($W376),$W376="DNA"),$W376,IF(OR(ISNUMBER($V376),$V376="DNA"),$V376,IF(OR(ISNUMBER($U376),$U376="DNA"),$U376,IF(OR(ISNUMBER($T376),$T376="DNA"),$T376,IF(OR(ISNUMBER($S376),$S376="DNA"),$S376,IF(OR(ISNUMBER($P376),$P376="DNA"),$P376,IF(OR(ISNUMBER($O376),$O376="DNA"),$O376,IF(OR(ISNUMBER($N376),$N376="DNA"),$N376,""))))))))))="DNA","Rebook DNA",IF(ISNUMBER(IF(OR(ISNUMBER($Y376),$Y376="DNA"),$Y376,IF(OR(ISNUMBER($X376),$X376="DNA"),$X376,IF(OR(ISNUMBER($W376),$W376="DNA"),$W376,IF(OR(ISNUMBER($V376),$V376="DNA"),$V376,IF(OR(ISNUMBER($U376),$U376="DNA"),$U376,IF(OR(ISNUMBER($T376),$T376="DNA"),$T376,IF(OR(ISNUMBER($S376),$S376="DNA"),$S376,IF(OR(ISNUMBER($P376),$P376="DNA"),$P376,IF(OR(ISNUMBER($O376),$O376="DNA"),$O376,IF(OR(ISNUMBER($N376),$N376="DNA"),$N376,""))))))))))),IF(ISNUMBER($Y376),"Update status","Missed/not booked?"),""))))</f>
        <v/>
      </c>
      <c r="M376" s="29">
        <f>IF(NOT(AND($A376&lt;&gt;"",OR($I376="",$I376="Active"))),"",IF(MIN(IF(AND(ISNUMBER($N376),$N376&gt;=TODAY()),$N376,99999),IF(AND(ISNUMBER($O376),$O376&gt;=TODAY()),$O376,99999),IF(AND(ISNUMBER($P376),$P376&gt;=TODAY()),$P376,99999),IF(AND(ISNUMBER($S376),$S376&gt;=TODAY()),$S376,99999),IF(AND(ISNUMBER($T376),$T376&gt;=TODAY()),$T376,99999),IF(AND(ISNUMBER($U376),$U376&gt;=TODAY()),$U376,99999),IF(AND(ISNUMBER($V376),$V376&gt;=TODAY()),$V376,99999),IF(AND(ISNUMBER($W376),$W376&gt;=TODAY()),$W376,99999),IF(AND(ISNUMBER($X376),$X376&gt;=TODAY()),$X376,99999),IF(AND(ISNUMBER($Y376),$Y376&gt;=TODAY()),$Y376,99999))=99999,"",MIN(IF(AND(ISNUMBER($N376),$N376&gt;=TODAY()),$N376,99999),IF(AND(ISNUMBER($O376),$O376&gt;=TODAY()),$O376,99999),IF(AND(ISNUMBER($P376),$P376&gt;=TODAY()),$P376,99999),IF(AND(ISNUMBER($S376),$S376&gt;=TODAY()),$S376,99999),IF(AND(ISNUMBER($T376),$T376&gt;=TODAY()),$T376,99999),IF(AND(ISNUMBER($U376),$U376&gt;=TODAY()),$U376,99999),IF(AND(ISNUMBER($V376),$V376&gt;=TODAY()),$V376,99999),IF(AND(ISNUMBER($W376),$W376&gt;=TODAY()),$W376,99999),IF(AND(ISNUMBER($X376),$X376&gt;=TODAY()),$X376,99999),IF(AND(ISNUMBER($Y376),$Y376&gt;=TODAY()),$Y376,99999))))</f>
        <v/>
      </c>
      <c r="N376" s="27" t="n"/>
      <c r="O376" s="27" t="n"/>
      <c r="P376" s="27" t="n"/>
      <c r="Q376" s="27" t="n"/>
      <c r="R376" s="27" t="n"/>
      <c r="S376" s="27" t="n"/>
      <c r="T376" s="27" t="n"/>
      <c r="U376" s="27" t="n"/>
      <c r="V376" s="27" t="n"/>
      <c r="W376" s="27" t="n"/>
      <c r="X376" s="27" t="n"/>
      <c r="Y376" s="27" t="n"/>
      <c r="Z376" s="27" t="n"/>
      <c r="AA376" s="27" t="n"/>
      <c r="AB376" s="27" t="n"/>
      <c r="AC376" s="30" t="n"/>
      <c r="AD376" s="25" t="n"/>
      <c r="AE376" s="28">
        <f>IF(NOT(AND($A376&lt;&gt;"",OR($I376="",$I376="Active"))),"",IF(OR(IF(OR(ISNUMBER($Y376),$Y376="DNA"),$Y376,IF(OR(ISNUMBER($X376),$X376="DNA"),$X376,IF(OR(ISNUMBER($W376),$W376="DNA"),$W376,IF(OR(ISNUMBER($V376),$V376="DNA"),$V376,IF(OR(ISNUMBER($U376),$U376="DNA"),$U376,IF(OR(ISNUMBER($T376),$T376="DNA"),$T376,IF(OR(ISNUMBER($S376),$S376="DNA"),$S376,IF(OR(ISNUMBER($P376),$P376="DNA"),$P376,IF(OR(ISNUMBER($O376),$O376="DNA"),$O376,IF(OR(ISNUMBER($N376),$N376="DNA"),$N376,""))))))))))="DNA",AND(ISNUMBER(IF(OR(ISNUMBER($Y376),$Y376="DNA"),$Y376,IF(OR(ISNUMBER($X376),$X376="DNA"),$X376,IF(OR(ISNUMBER($W376),$W376="DNA"),$W376,IF(OR(ISNUMBER($V376),$V376="DNA"),$V376,IF(OR(ISNUMBER($U376),$U376="DNA"),$U376,IF(OR(ISNUMBER($T376),$T376="DNA"),$T376,IF(OR(ISNUMBER($S376),$S376="DNA"),$S376,IF(OR(ISNUMBER($P376),$P376="DNA"),$P376,IF(OR(ISNUMBER($O376),$O376="DNA"),$O376,IF(OR(ISNUMBER($N376),$N376="DNA"),$N376,""))))))))))),IF(OR(ISNUMBER($Y376),$Y376="DNA"),$Y376,IF(OR(ISNUMBER($X376),$X376="DNA"),$X376,IF(OR(ISNUMBER($W376),$W376="DNA"),$W376,IF(OR(ISNUMBER($V376),$V376="DNA"),$V376,IF(OR(ISNUMBER($U376),$U376="DNA"),$U376,IF(OR(ISNUMBER($T376),$T376="DNA"),$T376,IF(OR(ISNUMBER($S376),$S376="DNA"),$S376,IF(OR(ISNUMBER($P376),$P376="DNA"),$P376,IF(OR(ISNUMBER($O376),$O376="DNA"),$O376,IF(OR(ISNUMBER($N376),$N376="DNA"),$N376,""))))))))))&lt;TODAY())),1,0)+ISNUMBER($Q376)*($Q376&lt;TODAY())+ISNUMBER($R376)*($R376&lt;TODAY())+ISNUMBER($AA376)*($AA376&lt;TODAY())+ISNUMBER($AB376)*($AB376&lt;TODAY()))</f>
        <v/>
      </c>
    </row>
    <row r="377">
      <c r="A377" s="25" t="n"/>
      <c r="B377" s="26" t="n"/>
      <c r="C377" s="27" t="n"/>
      <c r="D377" s="25" t="n"/>
      <c r="E377" s="25" t="n"/>
      <c r="F377" s="25" t="n"/>
      <c r="G377" s="25" t="n"/>
      <c r="H377" s="27" t="n"/>
      <c r="I377" s="25" t="n"/>
      <c r="J377" s="28">
        <f>IF(OR(NOT(AND($A377&lt;&gt;"",OR($I377="",$I377="Active"))),$H377=""),"",INT((TODAY()-$H377+280)/7)&amp;"+"&amp;MOD(TODAY()-$H377+280,7))</f>
        <v/>
      </c>
      <c r="K377" s="28">
        <f>IF(NOT(AND($A377&lt;&gt;"",OR($I377="",$I377="Active"))),"",ISNUMBER($N377)*($N377&gt;=TODAY())*($N377&lt;=TODAY()+7)+ISNUMBER($O377)*($O377&gt;=TODAY())*($O377&lt;=TODAY()+7)+ISNUMBER($P377)*($P377&gt;=TODAY())*($P377&lt;=TODAY()+7)+ISNUMBER($S377)*($S377&gt;=TODAY())*($S377&lt;=TODAY()+7)+ISNUMBER($T377)*($T377&gt;=TODAY())*($T377&lt;=TODAY()+7)+ISNUMBER($U377)*($U377&gt;=TODAY())*($U377&lt;=TODAY()+7)+ISNUMBER($V377)*($V377&gt;=TODAY())*($V377&lt;=TODAY()+7)+ISNUMBER($W377)*($W377&gt;=TODAY())*($W377&lt;=TODAY()+7)+ISNUMBER($X377)*($X377&gt;=TODAY())*($X377&lt;=TODAY()+7)+ISNUMBER($Y377)*($Y377&gt;=TODAY())*($Y377&lt;=TODAY()+7)+ISNUMBER($Q377)*($Q377&gt;=TODAY())*($Q377&lt;=TODAY()+7)+ISNUMBER($R377)*($R377&gt;=TODAY())*($R377&lt;=TODAY()+7)+ISNUMBER($AA377)*($AA377&gt;=TODAY())*($AA377&lt;=TODAY()+7)+ISNUMBER($AB377)*($AB377&gt;=TODAY())*($AB377&lt;=TODAY()+7))</f>
        <v/>
      </c>
      <c r="L377" s="28">
        <f>IF(NOT(AND($A377&lt;&gt;"",OR($I377="",$I377="Active"))),"",IF($M377&lt;&gt;"",IF($N377=$M377,"Booking",IF($O377=$M377,"16/40",IF($P377=$M377,"25/40",IF($S377=$M377,"28/40",IF($T377=$M377,"31/40",IF($U377=$M377,"34/40",IF($V377=$M377,"36/40",IF($W377=$M377,"38/40",IF($X377=$M377,"40/40",IF($Y377=$M377,"41/40","")))))))))),IF(IF(OR(ISNUMBER($Y377),$Y377="DNA"),$Y377,IF(OR(ISNUMBER($X377),$X377="DNA"),$X377,IF(OR(ISNUMBER($W377),$W377="DNA"),$W377,IF(OR(ISNUMBER($V377),$V377="DNA"),$V377,IF(OR(ISNUMBER($U377),$U377="DNA"),$U377,IF(OR(ISNUMBER($T377),$T377="DNA"),$T377,IF(OR(ISNUMBER($S377),$S377="DNA"),$S377,IF(OR(ISNUMBER($P377),$P377="DNA"),$P377,IF(OR(ISNUMBER($O377),$O377="DNA"),$O377,IF(OR(ISNUMBER($N377),$N377="DNA"),$N377,""))))))))))="DNA","Rebook DNA",IF(ISNUMBER(IF(OR(ISNUMBER($Y377),$Y377="DNA"),$Y377,IF(OR(ISNUMBER($X377),$X377="DNA"),$X377,IF(OR(ISNUMBER($W377),$W377="DNA"),$W377,IF(OR(ISNUMBER($V377),$V377="DNA"),$V377,IF(OR(ISNUMBER($U377),$U377="DNA"),$U377,IF(OR(ISNUMBER($T377),$T377="DNA"),$T377,IF(OR(ISNUMBER($S377),$S377="DNA"),$S377,IF(OR(ISNUMBER($P377),$P377="DNA"),$P377,IF(OR(ISNUMBER($O377),$O377="DNA"),$O377,IF(OR(ISNUMBER($N377),$N377="DNA"),$N377,""))))))))))),IF(ISNUMBER($Y377),"Update status","Missed/not booked?"),""))))</f>
        <v/>
      </c>
      <c r="M377" s="29">
        <f>IF(NOT(AND($A377&lt;&gt;"",OR($I377="",$I377="Active"))),"",IF(MIN(IF(AND(ISNUMBER($N377),$N377&gt;=TODAY()),$N377,99999),IF(AND(ISNUMBER($O377),$O377&gt;=TODAY()),$O377,99999),IF(AND(ISNUMBER($P377),$P377&gt;=TODAY()),$P377,99999),IF(AND(ISNUMBER($S377),$S377&gt;=TODAY()),$S377,99999),IF(AND(ISNUMBER($T377),$T377&gt;=TODAY()),$T377,99999),IF(AND(ISNUMBER($U377),$U377&gt;=TODAY()),$U377,99999),IF(AND(ISNUMBER($V377),$V377&gt;=TODAY()),$V377,99999),IF(AND(ISNUMBER($W377),$W377&gt;=TODAY()),$W377,99999),IF(AND(ISNUMBER($X377),$X377&gt;=TODAY()),$X377,99999),IF(AND(ISNUMBER($Y377),$Y377&gt;=TODAY()),$Y377,99999))=99999,"",MIN(IF(AND(ISNUMBER($N377),$N377&gt;=TODAY()),$N377,99999),IF(AND(ISNUMBER($O377),$O377&gt;=TODAY()),$O377,99999),IF(AND(ISNUMBER($P377),$P377&gt;=TODAY()),$P377,99999),IF(AND(ISNUMBER($S377),$S377&gt;=TODAY()),$S377,99999),IF(AND(ISNUMBER($T377),$T377&gt;=TODAY()),$T377,99999),IF(AND(ISNUMBER($U377),$U377&gt;=TODAY()),$U377,99999),IF(AND(ISNUMBER($V377),$V377&gt;=TODAY()),$V377,99999),IF(AND(ISNUMBER($W377),$W377&gt;=TODAY()),$W377,99999),IF(AND(ISNUMBER($X377),$X377&gt;=TODAY()),$X377,99999),IF(AND(ISNUMBER($Y377),$Y377&gt;=TODAY()),$Y377,99999))))</f>
        <v/>
      </c>
      <c r="N377" s="27" t="n"/>
      <c r="O377" s="27" t="n"/>
      <c r="P377" s="27" t="n"/>
      <c r="Q377" s="27" t="n"/>
      <c r="R377" s="27" t="n"/>
      <c r="S377" s="27" t="n"/>
      <c r="T377" s="27" t="n"/>
      <c r="U377" s="27" t="n"/>
      <c r="V377" s="27" t="n"/>
      <c r="W377" s="27" t="n"/>
      <c r="X377" s="27" t="n"/>
      <c r="Y377" s="27" t="n"/>
      <c r="Z377" s="27" t="n"/>
      <c r="AA377" s="27" t="n"/>
      <c r="AB377" s="27" t="n"/>
      <c r="AC377" s="30" t="n"/>
      <c r="AD377" s="25" t="n"/>
      <c r="AE377" s="28">
        <f>IF(NOT(AND($A377&lt;&gt;"",OR($I377="",$I377="Active"))),"",IF(OR(IF(OR(ISNUMBER($Y377),$Y377="DNA"),$Y377,IF(OR(ISNUMBER($X377),$X377="DNA"),$X377,IF(OR(ISNUMBER($W377),$W377="DNA"),$W377,IF(OR(ISNUMBER($V377),$V377="DNA"),$V377,IF(OR(ISNUMBER($U377),$U377="DNA"),$U377,IF(OR(ISNUMBER($T377),$T377="DNA"),$T377,IF(OR(ISNUMBER($S377),$S377="DNA"),$S377,IF(OR(ISNUMBER($P377),$P377="DNA"),$P377,IF(OR(ISNUMBER($O377),$O377="DNA"),$O377,IF(OR(ISNUMBER($N377),$N377="DNA"),$N377,""))))))))))="DNA",AND(ISNUMBER(IF(OR(ISNUMBER($Y377),$Y377="DNA"),$Y377,IF(OR(ISNUMBER($X377),$X377="DNA"),$X377,IF(OR(ISNUMBER($W377),$W377="DNA"),$W377,IF(OR(ISNUMBER($V377),$V377="DNA"),$V377,IF(OR(ISNUMBER($U377),$U377="DNA"),$U377,IF(OR(ISNUMBER($T377),$T377="DNA"),$T377,IF(OR(ISNUMBER($S377),$S377="DNA"),$S377,IF(OR(ISNUMBER($P377),$P377="DNA"),$P377,IF(OR(ISNUMBER($O377),$O377="DNA"),$O377,IF(OR(ISNUMBER($N377),$N377="DNA"),$N377,""))))))))))),IF(OR(ISNUMBER($Y377),$Y377="DNA"),$Y377,IF(OR(ISNUMBER($X377),$X377="DNA"),$X377,IF(OR(ISNUMBER($W377),$W377="DNA"),$W377,IF(OR(ISNUMBER($V377),$V377="DNA"),$V377,IF(OR(ISNUMBER($U377),$U377="DNA"),$U377,IF(OR(ISNUMBER($T377),$T377="DNA"),$T377,IF(OR(ISNUMBER($S377),$S377="DNA"),$S377,IF(OR(ISNUMBER($P377),$P377="DNA"),$P377,IF(OR(ISNUMBER($O377),$O377="DNA"),$O377,IF(OR(ISNUMBER($N377),$N377="DNA"),$N377,""))))))))))&lt;TODAY())),1,0)+ISNUMBER($Q377)*($Q377&lt;TODAY())+ISNUMBER($R377)*($R377&lt;TODAY())+ISNUMBER($AA377)*($AA377&lt;TODAY())+ISNUMBER($AB377)*($AB377&lt;TODAY()))</f>
        <v/>
      </c>
    </row>
    <row r="378">
      <c r="A378" s="25" t="n"/>
      <c r="B378" s="26" t="n"/>
      <c r="C378" s="27" t="n"/>
      <c r="D378" s="25" t="n"/>
      <c r="E378" s="25" t="n"/>
      <c r="F378" s="25" t="n"/>
      <c r="G378" s="25" t="n"/>
      <c r="H378" s="27" t="n"/>
      <c r="I378" s="25" t="n"/>
      <c r="J378" s="28">
        <f>IF(OR(NOT(AND($A378&lt;&gt;"",OR($I378="",$I378="Active"))),$H378=""),"",INT((TODAY()-$H378+280)/7)&amp;"+"&amp;MOD(TODAY()-$H378+280,7))</f>
        <v/>
      </c>
      <c r="K378" s="28">
        <f>IF(NOT(AND($A378&lt;&gt;"",OR($I378="",$I378="Active"))),"",ISNUMBER($N378)*($N378&gt;=TODAY())*($N378&lt;=TODAY()+7)+ISNUMBER($O378)*($O378&gt;=TODAY())*($O378&lt;=TODAY()+7)+ISNUMBER($P378)*($P378&gt;=TODAY())*($P378&lt;=TODAY()+7)+ISNUMBER($S378)*($S378&gt;=TODAY())*($S378&lt;=TODAY()+7)+ISNUMBER($T378)*($T378&gt;=TODAY())*($T378&lt;=TODAY()+7)+ISNUMBER($U378)*($U378&gt;=TODAY())*($U378&lt;=TODAY()+7)+ISNUMBER($V378)*($V378&gt;=TODAY())*($V378&lt;=TODAY()+7)+ISNUMBER($W378)*($W378&gt;=TODAY())*($W378&lt;=TODAY()+7)+ISNUMBER($X378)*($X378&gt;=TODAY())*($X378&lt;=TODAY()+7)+ISNUMBER($Y378)*($Y378&gt;=TODAY())*($Y378&lt;=TODAY()+7)+ISNUMBER($Q378)*($Q378&gt;=TODAY())*($Q378&lt;=TODAY()+7)+ISNUMBER($R378)*($R378&gt;=TODAY())*($R378&lt;=TODAY()+7)+ISNUMBER($AA378)*($AA378&gt;=TODAY())*($AA378&lt;=TODAY()+7)+ISNUMBER($AB378)*($AB378&gt;=TODAY())*($AB378&lt;=TODAY()+7))</f>
        <v/>
      </c>
      <c r="L378" s="28">
        <f>IF(NOT(AND($A378&lt;&gt;"",OR($I378="",$I378="Active"))),"",IF($M378&lt;&gt;"",IF($N378=$M378,"Booking",IF($O378=$M378,"16/40",IF($P378=$M378,"25/40",IF($S378=$M378,"28/40",IF($T378=$M378,"31/40",IF($U378=$M378,"34/40",IF($V378=$M378,"36/40",IF($W378=$M378,"38/40",IF($X378=$M378,"40/40",IF($Y378=$M378,"41/40","")))))))))),IF(IF(OR(ISNUMBER($Y378),$Y378="DNA"),$Y378,IF(OR(ISNUMBER($X378),$X378="DNA"),$X378,IF(OR(ISNUMBER($W378),$W378="DNA"),$W378,IF(OR(ISNUMBER($V378),$V378="DNA"),$V378,IF(OR(ISNUMBER($U378),$U378="DNA"),$U378,IF(OR(ISNUMBER($T378),$T378="DNA"),$T378,IF(OR(ISNUMBER($S378),$S378="DNA"),$S378,IF(OR(ISNUMBER($P378),$P378="DNA"),$P378,IF(OR(ISNUMBER($O378),$O378="DNA"),$O378,IF(OR(ISNUMBER($N378),$N378="DNA"),$N378,""))))))))))="DNA","Rebook DNA",IF(ISNUMBER(IF(OR(ISNUMBER($Y378),$Y378="DNA"),$Y378,IF(OR(ISNUMBER($X378),$X378="DNA"),$X378,IF(OR(ISNUMBER($W378),$W378="DNA"),$W378,IF(OR(ISNUMBER($V378),$V378="DNA"),$V378,IF(OR(ISNUMBER($U378),$U378="DNA"),$U378,IF(OR(ISNUMBER($T378),$T378="DNA"),$T378,IF(OR(ISNUMBER($S378),$S378="DNA"),$S378,IF(OR(ISNUMBER($P378),$P378="DNA"),$P378,IF(OR(ISNUMBER($O378),$O378="DNA"),$O378,IF(OR(ISNUMBER($N378),$N378="DNA"),$N378,""))))))))))),IF(ISNUMBER($Y378),"Update status","Missed/not booked?"),""))))</f>
        <v/>
      </c>
      <c r="M378" s="29">
        <f>IF(NOT(AND($A378&lt;&gt;"",OR($I378="",$I378="Active"))),"",IF(MIN(IF(AND(ISNUMBER($N378),$N378&gt;=TODAY()),$N378,99999),IF(AND(ISNUMBER($O378),$O378&gt;=TODAY()),$O378,99999),IF(AND(ISNUMBER($P378),$P378&gt;=TODAY()),$P378,99999),IF(AND(ISNUMBER($S378),$S378&gt;=TODAY()),$S378,99999),IF(AND(ISNUMBER($T378),$T378&gt;=TODAY()),$T378,99999),IF(AND(ISNUMBER($U378),$U378&gt;=TODAY()),$U378,99999),IF(AND(ISNUMBER($V378),$V378&gt;=TODAY()),$V378,99999),IF(AND(ISNUMBER($W378),$W378&gt;=TODAY()),$W378,99999),IF(AND(ISNUMBER($X378),$X378&gt;=TODAY()),$X378,99999),IF(AND(ISNUMBER($Y378),$Y378&gt;=TODAY()),$Y378,99999))=99999,"",MIN(IF(AND(ISNUMBER($N378),$N378&gt;=TODAY()),$N378,99999),IF(AND(ISNUMBER($O378),$O378&gt;=TODAY()),$O378,99999),IF(AND(ISNUMBER($P378),$P378&gt;=TODAY()),$P378,99999),IF(AND(ISNUMBER($S378),$S378&gt;=TODAY()),$S378,99999),IF(AND(ISNUMBER($T378),$T378&gt;=TODAY()),$T378,99999),IF(AND(ISNUMBER($U378),$U378&gt;=TODAY()),$U378,99999),IF(AND(ISNUMBER($V378),$V378&gt;=TODAY()),$V378,99999),IF(AND(ISNUMBER($W378),$W378&gt;=TODAY()),$W378,99999),IF(AND(ISNUMBER($X378),$X378&gt;=TODAY()),$X378,99999),IF(AND(ISNUMBER($Y378),$Y378&gt;=TODAY()),$Y378,99999))))</f>
        <v/>
      </c>
      <c r="N378" s="27" t="n"/>
      <c r="O378" s="27" t="n"/>
      <c r="P378" s="27" t="n"/>
      <c r="Q378" s="27" t="n"/>
      <c r="R378" s="27" t="n"/>
      <c r="S378" s="27" t="n"/>
      <c r="T378" s="27" t="n"/>
      <c r="U378" s="27" t="n"/>
      <c r="V378" s="27" t="n"/>
      <c r="W378" s="27" t="n"/>
      <c r="X378" s="27" t="n"/>
      <c r="Y378" s="27" t="n"/>
      <c r="Z378" s="27" t="n"/>
      <c r="AA378" s="27" t="n"/>
      <c r="AB378" s="27" t="n"/>
      <c r="AC378" s="30" t="n"/>
      <c r="AD378" s="25" t="n"/>
      <c r="AE378" s="28">
        <f>IF(NOT(AND($A378&lt;&gt;"",OR($I378="",$I378="Active"))),"",IF(OR(IF(OR(ISNUMBER($Y378),$Y378="DNA"),$Y378,IF(OR(ISNUMBER($X378),$X378="DNA"),$X378,IF(OR(ISNUMBER($W378),$W378="DNA"),$W378,IF(OR(ISNUMBER($V378),$V378="DNA"),$V378,IF(OR(ISNUMBER($U378),$U378="DNA"),$U378,IF(OR(ISNUMBER($T378),$T378="DNA"),$T378,IF(OR(ISNUMBER($S378),$S378="DNA"),$S378,IF(OR(ISNUMBER($P378),$P378="DNA"),$P378,IF(OR(ISNUMBER($O378),$O378="DNA"),$O378,IF(OR(ISNUMBER($N378),$N378="DNA"),$N378,""))))))))))="DNA",AND(ISNUMBER(IF(OR(ISNUMBER($Y378),$Y378="DNA"),$Y378,IF(OR(ISNUMBER($X378),$X378="DNA"),$X378,IF(OR(ISNUMBER($W378),$W378="DNA"),$W378,IF(OR(ISNUMBER($V378),$V378="DNA"),$V378,IF(OR(ISNUMBER($U378),$U378="DNA"),$U378,IF(OR(ISNUMBER($T378),$T378="DNA"),$T378,IF(OR(ISNUMBER($S378),$S378="DNA"),$S378,IF(OR(ISNUMBER($P378),$P378="DNA"),$P378,IF(OR(ISNUMBER($O378),$O378="DNA"),$O378,IF(OR(ISNUMBER($N378),$N378="DNA"),$N378,""))))))))))),IF(OR(ISNUMBER($Y378),$Y378="DNA"),$Y378,IF(OR(ISNUMBER($X378),$X378="DNA"),$X378,IF(OR(ISNUMBER($W378),$W378="DNA"),$W378,IF(OR(ISNUMBER($V378),$V378="DNA"),$V378,IF(OR(ISNUMBER($U378),$U378="DNA"),$U378,IF(OR(ISNUMBER($T378),$T378="DNA"),$T378,IF(OR(ISNUMBER($S378),$S378="DNA"),$S378,IF(OR(ISNUMBER($P378),$P378="DNA"),$P378,IF(OR(ISNUMBER($O378),$O378="DNA"),$O378,IF(OR(ISNUMBER($N378),$N378="DNA"),$N378,""))))))))))&lt;TODAY())),1,0)+ISNUMBER($Q378)*($Q378&lt;TODAY())+ISNUMBER($R378)*($R378&lt;TODAY())+ISNUMBER($AA378)*($AA378&lt;TODAY())+ISNUMBER($AB378)*($AB378&lt;TODAY()))</f>
        <v/>
      </c>
    </row>
    <row r="379">
      <c r="A379" s="25" t="n"/>
      <c r="B379" s="26" t="n"/>
      <c r="C379" s="27" t="n"/>
      <c r="D379" s="25" t="n"/>
      <c r="E379" s="25" t="n"/>
      <c r="F379" s="25" t="n"/>
      <c r="G379" s="25" t="n"/>
      <c r="H379" s="27" t="n"/>
      <c r="I379" s="25" t="n"/>
      <c r="J379" s="28">
        <f>IF(OR(NOT(AND($A379&lt;&gt;"",OR($I379="",$I379="Active"))),$H379=""),"",INT((TODAY()-$H379+280)/7)&amp;"+"&amp;MOD(TODAY()-$H379+280,7))</f>
        <v/>
      </c>
      <c r="K379" s="28">
        <f>IF(NOT(AND($A379&lt;&gt;"",OR($I379="",$I379="Active"))),"",ISNUMBER($N379)*($N379&gt;=TODAY())*($N379&lt;=TODAY()+7)+ISNUMBER($O379)*($O379&gt;=TODAY())*($O379&lt;=TODAY()+7)+ISNUMBER($P379)*($P379&gt;=TODAY())*($P379&lt;=TODAY()+7)+ISNUMBER($S379)*($S379&gt;=TODAY())*($S379&lt;=TODAY()+7)+ISNUMBER($T379)*($T379&gt;=TODAY())*($T379&lt;=TODAY()+7)+ISNUMBER($U379)*($U379&gt;=TODAY())*($U379&lt;=TODAY()+7)+ISNUMBER($V379)*($V379&gt;=TODAY())*($V379&lt;=TODAY()+7)+ISNUMBER($W379)*($W379&gt;=TODAY())*($W379&lt;=TODAY()+7)+ISNUMBER($X379)*($X379&gt;=TODAY())*($X379&lt;=TODAY()+7)+ISNUMBER($Y379)*($Y379&gt;=TODAY())*($Y379&lt;=TODAY()+7)+ISNUMBER($Q379)*($Q379&gt;=TODAY())*($Q379&lt;=TODAY()+7)+ISNUMBER($R379)*($R379&gt;=TODAY())*($R379&lt;=TODAY()+7)+ISNUMBER($AA379)*($AA379&gt;=TODAY())*($AA379&lt;=TODAY()+7)+ISNUMBER($AB379)*($AB379&gt;=TODAY())*($AB379&lt;=TODAY()+7))</f>
        <v/>
      </c>
      <c r="L379" s="28">
        <f>IF(NOT(AND($A379&lt;&gt;"",OR($I379="",$I379="Active"))),"",IF($M379&lt;&gt;"",IF($N379=$M379,"Booking",IF($O379=$M379,"16/40",IF($P379=$M379,"25/40",IF($S379=$M379,"28/40",IF($T379=$M379,"31/40",IF($U379=$M379,"34/40",IF($V379=$M379,"36/40",IF($W379=$M379,"38/40",IF($X379=$M379,"40/40",IF($Y379=$M379,"41/40","")))))))))),IF(IF(OR(ISNUMBER($Y379),$Y379="DNA"),$Y379,IF(OR(ISNUMBER($X379),$X379="DNA"),$X379,IF(OR(ISNUMBER($W379),$W379="DNA"),$W379,IF(OR(ISNUMBER($V379),$V379="DNA"),$V379,IF(OR(ISNUMBER($U379),$U379="DNA"),$U379,IF(OR(ISNUMBER($T379),$T379="DNA"),$T379,IF(OR(ISNUMBER($S379),$S379="DNA"),$S379,IF(OR(ISNUMBER($P379),$P379="DNA"),$P379,IF(OR(ISNUMBER($O379),$O379="DNA"),$O379,IF(OR(ISNUMBER($N379),$N379="DNA"),$N379,""))))))))))="DNA","Rebook DNA",IF(ISNUMBER(IF(OR(ISNUMBER($Y379),$Y379="DNA"),$Y379,IF(OR(ISNUMBER($X379),$X379="DNA"),$X379,IF(OR(ISNUMBER($W379),$W379="DNA"),$W379,IF(OR(ISNUMBER($V379),$V379="DNA"),$V379,IF(OR(ISNUMBER($U379),$U379="DNA"),$U379,IF(OR(ISNUMBER($T379),$T379="DNA"),$T379,IF(OR(ISNUMBER($S379),$S379="DNA"),$S379,IF(OR(ISNUMBER($P379),$P379="DNA"),$P379,IF(OR(ISNUMBER($O379),$O379="DNA"),$O379,IF(OR(ISNUMBER($N379),$N379="DNA"),$N379,""))))))))))),IF(ISNUMBER($Y379),"Update status","Missed/not booked?"),""))))</f>
        <v/>
      </c>
      <c r="M379" s="29">
        <f>IF(NOT(AND($A379&lt;&gt;"",OR($I379="",$I379="Active"))),"",IF(MIN(IF(AND(ISNUMBER($N379),$N379&gt;=TODAY()),$N379,99999),IF(AND(ISNUMBER($O379),$O379&gt;=TODAY()),$O379,99999),IF(AND(ISNUMBER($P379),$P379&gt;=TODAY()),$P379,99999),IF(AND(ISNUMBER($S379),$S379&gt;=TODAY()),$S379,99999),IF(AND(ISNUMBER($T379),$T379&gt;=TODAY()),$T379,99999),IF(AND(ISNUMBER($U379),$U379&gt;=TODAY()),$U379,99999),IF(AND(ISNUMBER($V379),$V379&gt;=TODAY()),$V379,99999),IF(AND(ISNUMBER($W379),$W379&gt;=TODAY()),$W379,99999),IF(AND(ISNUMBER($X379),$X379&gt;=TODAY()),$X379,99999),IF(AND(ISNUMBER($Y379),$Y379&gt;=TODAY()),$Y379,99999))=99999,"",MIN(IF(AND(ISNUMBER($N379),$N379&gt;=TODAY()),$N379,99999),IF(AND(ISNUMBER($O379),$O379&gt;=TODAY()),$O379,99999),IF(AND(ISNUMBER($P379),$P379&gt;=TODAY()),$P379,99999),IF(AND(ISNUMBER($S379),$S379&gt;=TODAY()),$S379,99999),IF(AND(ISNUMBER($T379),$T379&gt;=TODAY()),$T379,99999),IF(AND(ISNUMBER($U379),$U379&gt;=TODAY()),$U379,99999),IF(AND(ISNUMBER($V379),$V379&gt;=TODAY()),$V379,99999),IF(AND(ISNUMBER($W379),$W379&gt;=TODAY()),$W379,99999),IF(AND(ISNUMBER($X379),$X379&gt;=TODAY()),$X379,99999),IF(AND(ISNUMBER($Y379),$Y379&gt;=TODAY()),$Y379,99999))))</f>
        <v/>
      </c>
      <c r="N379" s="27" t="n"/>
      <c r="O379" s="27" t="n"/>
      <c r="P379" s="27" t="n"/>
      <c r="Q379" s="27" t="n"/>
      <c r="R379" s="27" t="n"/>
      <c r="S379" s="27" t="n"/>
      <c r="T379" s="27" t="n"/>
      <c r="U379" s="27" t="n"/>
      <c r="V379" s="27" t="n"/>
      <c r="W379" s="27" t="n"/>
      <c r="X379" s="27" t="n"/>
      <c r="Y379" s="27" t="n"/>
      <c r="Z379" s="27" t="n"/>
      <c r="AA379" s="27" t="n"/>
      <c r="AB379" s="27" t="n"/>
      <c r="AC379" s="30" t="n"/>
      <c r="AD379" s="25" t="n"/>
      <c r="AE379" s="28">
        <f>IF(NOT(AND($A379&lt;&gt;"",OR($I379="",$I379="Active"))),"",IF(OR(IF(OR(ISNUMBER($Y379),$Y379="DNA"),$Y379,IF(OR(ISNUMBER($X379),$X379="DNA"),$X379,IF(OR(ISNUMBER($W379),$W379="DNA"),$W379,IF(OR(ISNUMBER($V379),$V379="DNA"),$V379,IF(OR(ISNUMBER($U379),$U379="DNA"),$U379,IF(OR(ISNUMBER($T379),$T379="DNA"),$T379,IF(OR(ISNUMBER($S379),$S379="DNA"),$S379,IF(OR(ISNUMBER($P379),$P379="DNA"),$P379,IF(OR(ISNUMBER($O379),$O379="DNA"),$O379,IF(OR(ISNUMBER($N379),$N379="DNA"),$N379,""))))))))))="DNA",AND(ISNUMBER(IF(OR(ISNUMBER($Y379),$Y379="DNA"),$Y379,IF(OR(ISNUMBER($X379),$X379="DNA"),$X379,IF(OR(ISNUMBER($W379),$W379="DNA"),$W379,IF(OR(ISNUMBER($V379),$V379="DNA"),$V379,IF(OR(ISNUMBER($U379),$U379="DNA"),$U379,IF(OR(ISNUMBER($T379),$T379="DNA"),$T379,IF(OR(ISNUMBER($S379),$S379="DNA"),$S379,IF(OR(ISNUMBER($P379),$P379="DNA"),$P379,IF(OR(ISNUMBER($O379),$O379="DNA"),$O379,IF(OR(ISNUMBER($N379),$N379="DNA"),$N379,""))))))))))),IF(OR(ISNUMBER($Y379),$Y379="DNA"),$Y379,IF(OR(ISNUMBER($X379),$X379="DNA"),$X379,IF(OR(ISNUMBER($W379),$W379="DNA"),$W379,IF(OR(ISNUMBER($V379),$V379="DNA"),$V379,IF(OR(ISNUMBER($U379),$U379="DNA"),$U379,IF(OR(ISNUMBER($T379),$T379="DNA"),$T379,IF(OR(ISNUMBER($S379),$S379="DNA"),$S379,IF(OR(ISNUMBER($P379),$P379="DNA"),$P379,IF(OR(ISNUMBER($O379),$O379="DNA"),$O379,IF(OR(ISNUMBER($N379),$N379="DNA"),$N379,""))))))))))&lt;TODAY())),1,0)+ISNUMBER($Q379)*($Q379&lt;TODAY())+ISNUMBER($R379)*($R379&lt;TODAY())+ISNUMBER($AA379)*($AA379&lt;TODAY())+ISNUMBER($AB379)*($AB379&lt;TODAY()))</f>
        <v/>
      </c>
    </row>
    <row r="380">
      <c r="A380" s="25" t="n"/>
      <c r="B380" s="26" t="n"/>
      <c r="C380" s="27" t="n"/>
      <c r="D380" s="25" t="n"/>
      <c r="E380" s="25" t="n"/>
      <c r="F380" s="25" t="n"/>
      <c r="G380" s="25" t="n"/>
      <c r="H380" s="27" t="n"/>
      <c r="I380" s="25" t="n"/>
      <c r="J380" s="28">
        <f>IF(OR(NOT(AND($A380&lt;&gt;"",OR($I380="",$I380="Active"))),$H380=""),"",INT((TODAY()-$H380+280)/7)&amp;"+"&amp;MOD(TODAY()-$H380+280,7))</f>
        <v/>
      </c>
      <c r="K380" s="28">
        <f>IF(NOT(AND($A380&lt;&gt;"",OR($I380="",$I380="Active"))),"",ISNUMBER($N380)*($N380&gt;=TODAY())*($N380&lt;=TODAY()+7)+ISNUMBER($O380)*($O380&gt;=TODAY())*($O380&lt;=TODAY()+7)+ISNUMBER($P380)*($P380&gt;=TODAY())*($P380&lt;=TODAY()+7)+ISNUMBER($S380)*($S380&gt;=TODAY())*($S380&lt;=TODAY()+7)+ISNUMBER($T380)*($T380&gt;=TODAY())*($T380&lt;=TODAY()+7)+ISNUMBER($U380)*($U380&gt;=TODAY())*($U380&lt;=TODAY()+7)+ISNUMBER($V380)*($V380&gt;=TODAY())*($V380&lt;=TODAY()+7)+ISNUMBER($W380)*($W380&gt;=TODAY())*($W380&lt;=TODAY()+7)+ISNUMBER($X380)*($X380&gt;=TODAY())*($X380&lt;=TODAY()+7)+ISNUMBER($Y380)*($Y380&gt;=TODAY())*($Y380&lt;=TODAY()+7)+ISNUMBER($Q380)*($Q380&gt;=TODAY())*($Q380&lt;=TODAY()+7)+ISNUMBER($R380)*($R380&gt;=TODAY())*($R380&lt;=TODAY()+7)+ISNUMBER($AA380)*($AA380&gt;=TODAY())*($AA380&lt;=TODAY()+7)+ISNUMBER($AB380)*($AB380&gt;=TODAY())*($AB380&lt;=TODAY()+7))</f>
        <v/>
      </c>
      <c r="L380" s="28">
        <f>IF(NOT(AND($A380&lt;&gt;"",OR($I380="",$I380="Active"))),"",IF($M380&lt;&gt;"",IF($N380=$M380,"Booking",IF($O380=$M380,"16/40",IF($P380=$M380,"25/40",IF($S380=$M380,"28/40",IF($T380=$M380,"31/40",IF($U380=$M380,"34/40",IF($V380=$M380,"36/40",IF($W380=$M380,"38/40",IF($X380=$M380,"40/40",IF($Y380=$M380,"41/40","")))))))))),IF(IF(OR(ISNUMBER($Y380),$Y380="DNA"),$Y380,IF(OR(ISNUMBER($X380),$X380="DNA"),$X380,IF(OR(ISNUMBER($W380),$W380="DNA"),$W380,IF(OR(ISNUMBER($V380),$V380="DNA"),$V380,IF(OR(ISNUMBER($U380),$U380="DNA"),$U380,IF(OR(ISNUMBER($T380),$T380="DNA"),$T380,IF(OR(ISNUMBER($S380),$S380="DNA"),$S380,IF(OR(ISNUMBER($P380),$P380="DNA"),$P380,IF(OR(ISNUMBER($O380),$O380="DNA"),$O380,IF(OR(ISNUMBER($N380),$N380="DNA"),$N380,""))))))))))="DNA","Rebook DNA",IF(ISNUMBER(IF(OR(ISNUMBER($Y380),$Y380="DNA"),$Y380,IF(OR(ISNUMBER($X380),$X380="DNA"),$X380,IF(OR(ISNUMBER($W380),$W380="DNA"),$W380,IF(OR(ISNUMBER($V380),$V380="DNA"),$V380,IF(OR(ISNUMBER($U380),$U380="DNA"),$U380,IF(OR(ISNUMBER($T380),$T380="DNA"),$T380,IF(OR(ISNUMBER($S380),$S380="DNA"),$S380,IF(OR(ISNUMBER($P380),$P380="DNA"),$P380,IF(OR(ISNUMBER($O380),$O380="DNA"),$O380,IF(OR(ISNUMBER($N380),$N380="DNA"),$N380,""))))))))))),IF(ISNUMBER($Y380),"Update status","Missed/not booked?"),""))))</f>
        <v/>
      </c>
      <c r="M380" s="29">
        <f>IF(NOT(AND($A380&lt;&gt;"",OR($I380="",$I380="Active"))),"",IF(MIN(IF(AND(ISNUMBER($N380),$N380&gt;=TODAY()),$N380,99999),IF(AND(ISNUMBER($O380),$O380&gt;=TODAY()),$O380,99999),IF(AND(ISNUMBER($P380),$P380&gt;=TODAY()),$P380,99999),IF(AND(ISNUMBER($S380),$S380&gt;=TODAY()),$S380,99999),IF(AND(ISNUMBER($T380),$T380&gt;=TODAY()),$T380,99999),IF(AND(ISNUMBER($U380),$U380&gt;=TODAY()),$U380,99999),IF(AND(ISNUMBER($V380),$V380&gt;=TODAY()),$V380,99999),IF(AND(ISNUMBER($W380),$W380&gt;=TODAY()),$W380,99999),IF(AND(ISNUMBER($X380),$X380&gt;=TODAY()),$X380,99999),IF(AND(ISNUMBER($Y380),$Y380&gt;=TODAY()),$Y380,99999))=99999,"",MIN(IF(AND(ISNUMBER($N380),$N380&gt;=TODAY()),$N380,99999),IF(AND(ISNUMBER($O380),$O380&gt;=TODAY()),$O380,99999),IF(AND(ISNUMBER($P380),$P380&gt;=TODAY()),$P380,99999),IF(AND(ISNUMBER($S380),$S380&gt;=TODAY()),$S380,99999),IF(AND(ISNUMBER($T380),$T380&gt;=TODAY()),$T380,99999),IF(AND(ISNUMBER($U380),$U380&gt;=TODAY()),$U380,99999),IF(AND(ISNUMBER($V380),$V380&gt;=TODAY()),$V380,99999),IF(AND(ISNUMBER($W380),$W380&gt;=TODAY()),$W380,99999),IF(AND(ISNUMBER($X380),$X380&gt;=TODAY()),$X380,99999),IF(AND(ISNUMBER($Y380),$Y380&gt;=TODAY()),$Y380,99999))))</f>
        <v/>
      </c>
      <c r="N380" s="27" t="n"/>
      <c r="O380" s="27" t="n"/>
      <c r="P380" s="27" t="n"/>
      <c r="Q380" s="27" t="n"/>
      <c r="R380" s="27" t="n"/>
      <c r="S380" s="27" t="n"/>
      <c r="T380" s="27" t="n"/>
      <c r="U380" s="27" t="n"/>
      <c r="V380" s="27" t="n"/>
      <c r="W380" s="27" t="n"/>
      <c r="X380" s="27" t="n"/>
      <c r="Y380" s="27" t="n"/>
      <c r="Z380" s="27" t="n"/>
      <c r="AA380" s="27" t="n"/>
      <c r="AB380" s="27" t="n"/>
      <c r="AC380" s="30" t="n"/>
      <c r="AD380" s="25" t="n"/>
      <c r="AE380" s="28">
        <f>IF(NOT(AND($A380&lt;&gt;"",OR($I380="",$I380="Active"))),"",IF(OR(IF(OR(ISNUMBER($Y380),$Y380="DNA"),$Y380,IF(OR(ISNUMBER($X380),$X380="DNA"),$X380,IF(OR(ISNUMBER($W380),$W380="DNA"),$W380,IF(OR(ISNUMBER($V380),$V380="DNA"),$V380,IF(OR(ISNUMBER($U380),$U380="DNA"),$U380,IF(OR(ISNUMBER($T380),$T380="DNA"),$T380,IF(OR(ISNUMBER($S380),$S380="DNA"),$S380,IF(OR(ISNUMBER($P380),$P380="DNA"),$P380,IF(OR(ISNUMBER($O380),$O380="DNA"),$O380,IF(OR(ISNUMBER($N380),$N380="DNA"),$N380,""))))))))))="DNA",AND(ISNUMBER(IF(OR(ISNUMBER($Y380),$Y380="DNA"),$Y380,IF(OR(ISNUMBER($X380),$X380="DNA"),$X380,IF(OR(ISNUMBER($W380),$W380="DNA"),$W380,IF(OR(ISNUMBER($V380),$V380="DNA"),$V380,IF(OR(ISNUMBER($U380),$U380="DNA"),$U380,IF(OR(ISNUMBER($T380),$T380="DNA"),$T380,IF(OR(ISNUMBER($S380),$S380="DNA"),$S380,IF(OR(ISNUMBER($P380),$P380="DNA"),$P380,IF(OR(ISNUMBER($O380),$O380="DNA"),$O380,IF(OR(ISNUMBER($N380),$N380="DNA"),$N380,""))))))))))),IF(OR(ISNUMBER($Y380),$Y380="DNA"),$Y380,IF(OR(ISNUMBER($X380),$X380="DNA"),$X380,IF(OR(ISNUMBER($W380),$W380="DNA"),$W380,IF(OR(ISNUMBER($V380),$V380="DNA"),$V380,IF(OR(ISNUMBER($U380),$U380="DNA"),$U380,IF(OR(ISNUMBER($T380),$T380="DNA"),$T380,IF(OR(ISNUMBER($S380),$S380="DNA"),$S380,IF(OR(ISNUMBER($P380),$P380="DNA"),$P380,IF(OR(ISNUMBER($O380),$O380="DNA"),$O380,IF(OR(ISNUMBER($N380),$N380="DNA"),$N380,""))))))))))&lt;TODAY())),1,0)+ISNUMBER($Q380)*($Q380&lt;TODAY())+ISNUMBER($R380)*($R380&lt;TODAY())+ISNUMBER($AA380)*($AA380&lt;TODAY())+ISNUMBER($AB380)*($AB380&lt;TODAY()))</f>
        <v/>
      </c>
    </row>
    <row r="381">
      <c r="A381" s="25" t="n"/>
      <c r="B381" s="26" t="n"/>
      <c r="C381" s="27" t="n"/>
      <c r="D381" s="25" t="n"/>
      <c r="E381" s="25" t="n"/>
      <c r="F381" s="25" t="n"/>
      <c r="G381" s="25" t="n"/>
      <c r="H381" s="27" t="n"/>
      <c r="I381" s="25" t="n"/>
      <c r="J381" s="28">
        <f>IF(OR(NOT(AND($A381&lt;&gt;"",OR($I381="",$I381="Active"))),$H381=""),"",INT((TODAY()-$H381+280)/7)&amp;"+"&amp;MOD(TODAY()-$H381+280,7))</f>
        <v/>
      </c>
      <c r="K381" s="28">
        <f>IF(NOT(AND($A381&lt;&gt;"",OR($I381="",$I381="Active"))),"",ISNUMBER($N381)*($N381&gt;=TODAY())*($N381&lt;=TODAY()+7)+ISNUMBER($O381)*($O381&gt;=TODAY())*($O381&lt;=TODAY()+7)+ISNUMBER($P381)*($P381&gt;=TODAY())*($P381&lt;=TODAY()+7)+ISNUMBER($S381)*($S381&gt;=TODAY())*($S381&lt;=TODAY()+7)+ISNUMBER($T381)*($T381&gt;=TODAY())*($T381&lt;=TODAY()+7)+ISNUMBER($U381)*($U381&gt;=TODAY())*($U381&lt;=TODAY()+7)+ISNUMBER($V381)*($V381&gt;=TODAY())*($V381&lt;=TODAY()+7)+ISNUMBER($W381)*($W381&gt;=TODAY())*($W381&lt;=TODAY()+7)+ISNUMBER($X381)*($X381&gt;=TODAY())*($X381&lt;=TODAY()+7)+ISNUMBER($Y381)*($Y381&gt;=TODAY())*($Y381&lt;=TODAY()+7)+ISNUMBER($Q381)*($Q381&gt;=TODAY())*($Q381&lt;=TODAY()+7)+ISNUMBER($R381)*($R381&gt;=TODAY())*($R381&lt;=TODAY()+7)+ISNUMBER($AA381)*($AA381&gt;=TODAY())*($AA381&lt;=TODAY()+7)+ISNUMBER($AB381)*($AB381&gt;=TODAY())*($AB381&lt;=TODAY()+7))</f>
        <v/>
      </c>
      <c r="L381" s="28">
        <f>IF(NOT(AND($A381&lt;&gt;"",OR($I381="",$I381="Active"))),"",IF($M381&lt;&gt;"",IF($N381=$M381,"Booking",IF($O381=$M381,"16/40",IF($P381=$M381,"25/40",IF($S381=$M381,"28/40",IF($T381=$M381,"31/40",IF($U381=$M381,"34/40",IF($V381=$M381,"36/40",IF($W381=$M381,"38/40",IF($X381=$M381,"40/40",IF($Y381=$M381,"41/40","")))))))))),IF(IF(OR(ISNUMBER($Y381),$Y381="DNA"),$Y381,IF(OR(ISNUMBER($X381),$X381="DNA"),$X381,IF(OR(ISNUMBER($W381),$W381="DNA"),$W381,IF(OR(ISNUMBER($V381),$V381="DNA"),$V381,IF(OR(ISNUMBER($U381),$U381="DNA"),$U381,IF(OR(ISNUMBER($T381),$T381="DNA"),$T381,IF(OR(ISNUMBER($S381),$S381="DNA"),$S381,IF(OR(ISNUMBER($P381),$P381="DNA"),$P381,IF(OR(ISNUMBER($O381),$O381="DNA"),$O381,IF(OR(ISNUMBER($N381),$N381="DNA"),$N381,""))))))))))="DNA","Rebook DNA",IF(ISNUMBER(IF(OR(ISNUMBER($Y381),$Y381="DNA"),$Y381,IF(OR(ISNUMBER($X381),$X381="DNA"),$X381,IF(OR(ISNUMBER($W381),$W381="DNA"),$W381,IF(OR(ISNUMBER($V381),$V381="DNA"),$V381,IF(OR(ISNUMBER($U381),$U381="DNA"),$U381,IF(OR(ISNUMBER($T381),$T381="DNA"),$T381,IF(OR(ISNUMBER($S381),$S381="DNA"),$S381,IF(OR(ISNUMBER($P381),$P381="DNA"),$P381,IF(OR(ISNUMBER($O381),$O381="DNA"),$O381,IF(OR(ISNUMBER($N381),$N381="DNA"),$N381,""))))))))))),IF(ISNUMBER($Y381),"Update status","Missed/not booked?"),""))))</f>
        <v/>
      </c>
      <c r="M381" s="29">
        <f>IF(NOT(AND($A381&lt;&gt;"",OR($I381="",$I381="Active"))),"",IF(MIN(IF(AND(ISNUMBER($N381),$N381&gt;=TODAY()),$N381,99999),IF(AND(ISNUMBER($O381),$O381&gt;=TODAY()),$O381,99999),IF(AND(ISNUMBER($P381),$P381&gt;=TODAY()),$P381,99999),IF(AND(ISNUMBER($S381),$S381&gt;=TODAY()),$S381,99999),IF(AND(ISNUMBER($T381),$T381&gt;=TODAY()),$T381,99999),IF(AND(ISNUMBER($U381),$U381&gt;=TODAY()),$U381,99999),IF(AND(ISNUMBER($V381),$V381&gt;=TODAY()),$V381,99999),IF(AND(ISNUMBER($W381),$W381&gt;=TODAY()),$W381,99999),IF(AND(ISNUMBER($X381),$X381&gt;=TODAY()),$X381,99999),IF(AND(ISNUMBER($Y381),$Y381&gt;=TODAY()),$Y381,99999))=99999,"",MIN(IF(AND(ISNUMBER($N381),$N381&gt;=TODAY()),$N381,99999),IF(AND(ISNUMBER($O381),$O381&gt;=TODAY()),$O381,99999),IF(AND(ISNUMBER($P381),$P381&gt;=TODAY()),$P381,99999),IF(AND(ISNUMBER($S381),$S381&gt;=TODAY()),$S381,99999),IF(AND(ISNUMBER($T381),$T381&gt;=TODAY()),$T381,99999),IF(AND(ISNUMBER($U381),$U381&gt;=TODAY()),$U381,99999),IF(AND(ISNUMBER($V381),$V381&gt;=TODAY()),$V381,99999),IF(AND(ISNUMBER($W381),$W381&gt;=TODAY()),$W381,99999),IF(AND(ISNUMBER($X381),$X381&gt;=TODAY()),$X381,99999),IF(AND(ISNUMBER($Y381),$Y381&gt;=TODAY()),$Y381,99999))))</f>
        <v/>
      </c>
      <c r="N381" s="27" t="n"/>
      <c r="O381" s="27" t="n"/>
      <c r="P381" s="27" t="n"/>
      <c r="Q381" s="27" t="n"/>
      <c r="R381" s="27" t="n"/>
      <c r="S381" s="27" t="n"/>
      <c r="T381" s="27" t="n"/>
      <c r="U381" s="27" t="n"/>
      <c r="V381" s="27" t="n"/>
      <c r="W381" s="27" t="n"/>
      <c r="X381" s="27" t="n"/>
      <c r="Y381" s="27" t="n"/>
      <c r="Z381" s="27" t="n"/>
      <c r="AA381" s="27" t="n"/>
      <c r="AB381" s="27" t="n"/>
      <c r="AC381" s="30" t="n"/>
      <c r="AD381" s="25" t="n"/>
      <c r="AE381" s="28">
        <f>IF(NOT(AND($A381&lt;&gt;"",OR($I381="",$I381="Active"))),"",IF(OR(IF(OR(ISNUMBER($Y381),$Y381="DNA"),$Y381,IF(OR(ISNUMBER($X381),$X381="DNA"),$X381,IF(OR(ISNUMBER($W381),$W381="DNA"),$W381,IF(OR(ISNUMBER($V381),$V381="DNA"),$V381,IF(OR(ISNUMBER($U381),$U381="DNA"),$U381,IF(OR(ISNUMBER($T381),$T381="DNA"),$T381,IF(OR(ISNUMBER($S381),$S381="DNA"),$S381,IF(OR(ISNUMBER($P381),$P381="DNA"),$P381,IF(OR(ISNUMBER($O381),$O381="DNA"),$O381,IF(OR(ISNUMBER($N381),$N381="DNA"),$N381,""))))))))))="DNA",AND(ISNUMBER(IF(OR(ISNUMBER($Y381),$Y381="DNA"),$Y381,IF(OR(ISNUMBER($X381),$X381="DNA"),$X381,IF(OR(ISNUMBER($W381),$W381="DNA"),$W381,IF(OR(ISNUMBER($V381),$V381="DNA"),$V381,IF(OR(ISNUMBER($U381),$U381="DNA"),$U381,IF(OR(ISNUMBER($T381),$T381="DNA"),$T381,IF(OR(ISNUMBER($S381),$S381="DNA"),$S381,IF(OR(ISNUMBER($P381),$P381="DNA"),$P381,IF(OR(ISNUMBER($O381),$O381="DNA"),$O381,IF(OR(ISNUMBER($N381),$N381="DNA"),$N381,""))))))))))),IF(OR(ISNUMBER($Y381),$Y381="DNA"),$Y381,IF(OR(ISNUMBER($X381),$X381="DNA"),$X381,IF(OR(ISNUMBER($W381),$W381="DNA"),$W381,IF(OR(ISNUMBER($V381),$V381="DNA"),$V381,IF(OR(ISNUMBER($U381),$U381="DNA"),$U381,IF(OR(ISNUMBER($T381),$T381="DNA"),$T381,IF(OR(ISNUMBER($S381),$S381="DNA"),$S381,IF(OR(ISNUMBER($P381),$P381="DNA"),$P381,IF(OR(ISNUMBER($O381),$O381="DNA"),$O381,IF(OR(ISNUMBER($N381),$N381="DNA"),$N381,""))))))))))&lt;TODAY())),1,0)+ISNUMBER($Q381)*($Q381&lt;TODAY())+ISNUMBER($R381)*($R381&lt;TODAY())+ISNUMBER($AA381)*($AA381&lt;TODAY())+ISNUMBER($AB381)*($AB381&lt;TODAY()))</f>
        <v/>
      </c>
    </row>
    <row r="382">
      <c r="A382" s="25" t="n"/>
      <c r="B382" s="26" t="n"/>
      <c r="C382" s="27" t="n"/>
      <c r="D382" s="25" t="n"/>
      <c r="E382" s="25" t="n"/>
      <c r="F382" s="25" t="n"/>
      <c r="G382" s="25" t="n"/>
      <c r="H382" s="27" t="n"/>
      <c r="I382" s="25" t="n"/>
      <c r="J382" s="28">
        <f>IF(OR(NOT(AND($A382&lt;&gt;"",OR($I382="",$I382="Active"))),$H382=""),"",INT((TODAY()-$H382+280)/7)&amp;"+"&amp;MOD(TODAY()-$H382+280,7))</f>
        <v/>
      </c>
      <c r="K382" s="28">
        <f>IF(NOT(AND($A382&lt;&gt;"",OR($I382="",$I382="Active"))),"",ISNUMBER($N382)*($N382&gt;=TODAY())*($N382&lt;=TODAY()+7)+ISNUMBER($O382)*($O382&gt;=TODAY())*($O382&lt;=TODAY()+7)+ISNUMBER($P382)*($P382&gt;=TODAY())*($P382&lt;=TODAY()+7)+ISNUMBER($S382)*($S382&gt;=TODAY())*($S382&lt;=TODAY()+7)+ISNUMBER($T382)*($T382&gt;=TODAY())*($T382&lt;=TODAY()+7)+ISNUMBER($U382)*($U382&gt;=TODAY())*($U382&lt;=TODAY()+7)+ISNUMBER($V382)*($V382&gt;=TODAY())*($V382&lt;=TODAY()+7)+ISNUMBER($W382)*($W382&gt;=TODAY())*($W382&lt;=TODAY()+7)+ISNUMBER($X382)*($X382&gt;=TODAY())*($X382&lt;=TODAY()+7)+ISNUMBER($Y382)*($Y382&gt;=TODAY())*($Y382&lt;=TODAY()+7)+ISNUMBER($Q382)*($Q382&gt;=TODAY())*($Q382&lt;=TODAY()+7)+ISNUMBER($R382)*($R382&gt;=TODAY())*($R382&lt;=TODAY()+7)+ISNUMBER($AA382)*($AA382&gt;=TODAY())*($AA382&lt;=TODAY()+7)+ISNUMBER($AB382)*($AB382&gt;=TODAY())*($AB382&lt;=TODAY()+7))</f>
        <v/>
      </c>
      <c r="L382" s="28">
        <f>IF(NOT(AND($A382&lt;&gt;"",OR($I382="",$I382="Active"))),"",IF($M382&lt;&gt;"",IF($N382=$M382,"Booking",IF($O382=$M382,"16/40",IF($P382=$M382,"25/40",IF($S382=$M382,"28/40",IF($T382=$M382,"31/40",IF($U382=$M382,"34/40",IF($V382=$M382,"36/40",IF($W382=$M382,"38/40",IF($X382=$M382,"40/40",IF($Y382=$M382,"41/40","")))))))))),IF(IF(OR(ISNUMBER($Y382),$Y382="DNA"),$Y382,IF(OR(ISNUMBER($X382),$X382="DNA"),$X382,IF(OR(ISNUMBER($W382),$W382="DNA"),$W382,IF(OR(ISNUMBER($V382),$V382="DNA"),$V382,IF(OR(ISNUMBER($U382),$U382="DNA"),$U382,IF(OR(ISNUMBER($T382),$T382="DNA"),$T382,IF(OR(ISNUMBER($S382),$S382="DNA"),$S382,IF(OR(ISNUMBER($P382),$P382="DNA"),$P382,IF(OR(ISNUMBER($O382),$O382="DNA"),$O382,IF(OR(ISNUMBER($N382),$N382="DNA"),$N382,""))))))))))="DNA","Rebook DNA",IF(ISNUMBER(IF(OR(ISNUMBER($Y382),$Y382="DNA"),$Y382,IF(OR(ISNUMBER($X382),$X382="DNA"),$X382,IF(OR(ISNUMBER($W382),$W382="DNA"),$W382,IF(OR(ISNUMBER($V382),$V382="DNA"),$V382,IF(OR(ISNUMBER($U382),$U382="DNA"),$U382,IF(OR(ISNUMBER($T382),$T382="DNA"),$T382,IF(OR(ISNUMBER($S382),$S382="DNA"),$S382,IF(OR(ISNUMBER($P382),$P382="DNA"),$P382,IF(OR(ISNUMBER($O382),$O382="DNA"),$O382,IF(OR(ISNUMBER($N382),$N382="DNA"),$N382,""))))))))))),IF(ISNUMBER($Y382),"Update status","Missed/not booked?"),""))))</f>
        <v/>
      </c>
      <c r="M382" s="29">
        <f>IF(NOT(AND($A382&lt;&gt;"",OR($I382="",$I382="Active"))),"",IF(MIN(IF(AND(ISNUMBER($N382),$N382&gt;=TODAY()),$N382,99999),IF(AND(ISNUMBER($O382),$O382&gt;=TODAY()),$O382,99999),IF(AND(ISNUMBER($P382),$P382&gt;=TODAY()),$P382,99999),IF(AND(ISNUMBER($S382),$S382&gt;=TODAY()),$S382,99999),IF(AND(ISNUMBER($T382),$T382&gt;=TODAY()),$T382,99999),IF(AND(ISNUMBER($U382),$U382&gt;=TODAY()),$U382,99999),IF(AND(ISNUMBER($V382),$V382&gt;=TODAY()),$V382,99999),IF(AND(ISNUMBER($W382),$W382&gt;=TODAY()),$W382,99999),IF(AND(ISNUMBER($X382),$X382&gt;=TODAY()),$X382,99999),IF(AND(ISNUMBER($Y382),$Y382&gt;=TODAY()),$Y382,99999))=99999,"",MIN(IF(AND(ISNUMBER($N382),$N382&gt;=TODAY()),$N382,99999),IF(AND(ISNUMBER($O382),$O382&gt;=TODAY()),$O382,99999),IF(AND(ISNUMBER($P382),$P382&gt;=TODAY()),$P382,99999),IF(AND(ISNUMBER($S382),$S382&gt;=TODAY()),$S382,99999),IF(AND(ISNUMBER($T382),$T382&gt;=TODAY()),$T382,99999),IF(AND(ISNUMBER($U382),$U382&gt;=TODAY()),$U382,99999),IF(AND(ISNUMBER($V382),$V382&gt;=TODAY()),$V382,99999),IF(AND(ISNUMBER($W382),$W382&gt;=TODAY()),$W382,99999),IF(AND(ISNUMBER($X382),$X382&gt;=TODAY()),$X382,99999),IF(AND(ISNUMBER($Y382),$Y382&gt;=TODAY()),$Y382,99999))))</f>
        <v/>
      </c>
      <c r="N382" s="27" t="n"/>
      <c r="O382" s="27" t="n"/>
      <c r="P382" s="27" t="n"/>
      <c r="Q382" s="27" t="n"/>
      <c r="R382" s="27" t="n"/>
      <c r="S382" s="27" t="n"/>
      <c r="T382" s="27" t="n"/>
      <c r="U382" s="27" t="n"/>
      <c r="V382" s="27" t="n"/>
      <c r="W382" s="27" t="n"/>
      <c r="X382" s="27" t="n"/>
      <c r="Y382" s="27" t="n"/>
      <c r="Z382" s="27" t="n"/>
      <c r="AA382" s="27" t="n"/>
      <c r="AB382" s="27" t="n"/>
      <c r="AC382" s="30" t="n"/>
      <c r="AD382" s="25" t="n"/>
      <c r="AE382" s="28">
        <f>IF(NOT(AND($A382&lt;&gt;"",OR($I382="",$I382="Active"))),"",IF(OR(IF(OR(ISNUMBER($Y382),$Y382="DNA"),$Y382,IF(OR(ISNUMBER($X382),$X382="DNA"),$X382,IF(OR(ISNUMBER($W382),$W382="DNA"),$W382,IF(OR(ISNUMBER($V382),$V382="DNA"),$V382,IF(OR(ISNUMBER($U382),$U382="DNA"),$U382,IF(OR(ISNUMBER($T382),$T382="DNA"),$T382,IF(OR(ISNUMBER($S382),$S382="DNA"),$S382,IF(OR(ISNUMBER($P382),$P382="DNA"),$P382,IF(OR(ISNUMBER($O382),$O382="DNA"),$O382,IF(OR(ISNUMBER($N382),$N382="DNA"),$N382,""))))))))))="DNA",AND(ISNUMBER(IF(OR(ISNUMBER($Y382),$Y382="DNA"),$Y382,IF(OR(ISNUMBER($X382),$X382="DNA"),$X382,IF(OR(ISNUMBER($W382),$W382="DNA"),$W382,IF(OR(ISNUMBER($V382),$V382="DNA"),$V382,IF(OR(ISNUMBER($U382),$U382="DNA"),$U382,IF(OR(ISNUMBER($T382),$T382="DNA"),$T382,IF(OR(ISNUMBER($S382),$S382="DNA"),$S382,IF(OR(ISNUMBER($P382),$P382="DNA"),$P382,IF(OR(ISNUMBER($O382),$O382="DNA"),$O382,IF(OR(ISNUMBER($N382),$N382="DNA"),$N382,""))))))))))),IF(OR(ISNUMBER($Y382),$Y382="DNA"),$Y382,IF(OR(ISNUMBER($X382),$X382="DNA"),$X382,IF(OR(ISNUMBER($W382),$W382="DNA"),$W382,IF(OR(ISNUMBER($V382),$V382="DNA"),$V382,IF(OR(ISNUMBER($U382),$U382="DNA"),$U382,IF(OR(ISNUMBER($T382),$T382="DNA"),$T382,IF(OR(ISNUMBER($S382),$S382="DNA"),$S382,IF(OR(ISNUMBER($P382),$P382="DNA"),$P382,IF(OR(ISNUMBER($O382),$O382="DNA"),$O382,IF(OR(ISNUMBER($N382),$N382="DNA"),$N382,""))))))))))&lt;TODAY())),1,0)+ISNUMBER($Q382)*($Q382&lt;TODAY())+ISNUMBER($R382)*($R382&lt;TODAY())+ISNUMBER($AA382)*($AA382&lt;TODAY())+ISNUMBER($AB382)*($AB382&lt;TODAY()))</f>
        <v/>
      </c>
    </row>
    <row r="383">
      <c r="A383" s="25" t="n"/>
      <c r="B383" s="26" t="n"/>
      <c r="C383" s="27" t="n"/>
      <c r="D383" s="25" t="n"/>
      <c r="E383" s="25" t="n"/>
      <c r="F383" s="25" t="n"/>
      <c r="G383" s="25" t="n"/>
      <c r="H383" s="27" t="n"/>
      <c r="I383" s="25" t="n"/>
      <c r="J383" s="28">
        <f>IF(OR(NOT(AND($A383&lt;&gt;"",OR($I383="",$I383="Active"))),$H383=""),"",INT((TODAY()-$H383+280)/7)&amp;"+"&amp;MOD(TODAY()-$H383+280,7))</f>
        <v/>
      </c>
      <c r="K383" s="28">
        <f>IF(NOT(AND($A383&lt;&gt;"",OR($I383="",$I383="Active"))),"",ISNUMBER($N383)*($N383&gt;=TODAY())*($N383&lt;=TODAY()+7)+ISNUMBER($O383)*($O383&gt;=TODAY())*($O383&lt;=TODAY()+7)+ISNUMBER($P383)*($P383&gt;=TODAY())*($P383&lt;=TODAY()+7)+ISNUMBER($S383)*($S383&gt;=TODAY())*($S383&lt;=TODAY()+7)+ISNUMBER($T383)*($T383&gt;=TODAY())*($T383&lt;=TODAY()+7)+ISNUMBER($U383)*($U383&gt;=TODAY())*($U383&lt;=TODAY()+7)+ISNUMBER($V383)*($V383&gt;=TODAY())*($V383&lt;=TODAY()+7)+ISNUMBER($W383)*($W383&gt;=TODAY())*($W383&lt;=TODAY()+7)+ISNUMBER($X383)*($X383&gt;=TODAY())*($X383&lt;=TODAY()+7)+ISNUMBER($Y383)*($Y383&gt;=TODAY())*($Y383&lt;=TODAY()+7)+ISNUMBER($Q383)*($Q383&gt;=TODAY())*($Q383&lt;=TODAY()+7)+ISNUMBER($R383)*($R383&gt;=TODAY())*($R383&lt;=TODAY()+7)+ISNUMBER($AA383)*($AA383&gt;=TODAY())*($AA383&lt;=TODAY()+7)+ISNUMBER($AB383)*($AB383&gt;=TODAY())*($AB383&lt;=TODAY()+7))</f>
        <v/>
      </c>
      <c r="L383" s="28">
        <f>IF(NOT(AND($A383&lt;&gt;"",OR($I383="",$I383="Active"))),"",IF($M383&lt;&gt;"",IF($N383=$M383,"Booking",IF($O383=$M383,"16/40",IF($P383=$M383,"25/40",IF($S383=$M383,"28/40",IF($T383=$M383,"31/40",IF($U383=$M383,"34/40",IF($V383=$M383,"36/40",IF($W383=$M383,"38/40",IF($X383=$M383,"40/40",IF($Y383=$M383,"41/40","")))))))))),IF(IF(OR(ISNUMBER($Y383),$Y383="DNA"),$Y383,IF(OR(ISNUMBER($X383),$X383="DNA"),$X383,IF(OR(ISNUMBER($W383),$W383="DNA"),$W383,IF(OR(ISNUMBER($V383),$V383="DNA"),$V383,IF(OR(ISNUMBER($U383),$U383="DNA"),$U383,IF(OR(ISNUMBER($T383),$T383="DNA"),$T383,IF(OR(ISNUMBER($S383),$S383="DNA"),$S383,IF(OR(ISNUMBER($P383),$P383="DNA"),$P383,IF(OR(ISNUMBER($O383),$O383="DNA"),$O383,IF(OR(ISNUMBER($N383),$N383="DNA"),$N383,""))))))))))="DNA","Rebook DNA",IF(ISNUMBER(IF(OR(ISNUMBER($Y383),$Y383="DNA"),$Y383,IF(OR(ISNUMBER($X383),$X383="DNA"),$X383,IF(OR(ISNUMBER($W383),$W383="DNA"),$W383,IF(OR(ISNUMBER($V383),$V383="DNA"),$V383,IF(OR(ISNUMBER($U383),$U383="DNA"),$U383,IF(OR(ISNUMBER($T383),$T383="DNA"),$T383,IF(OR(ISNUMBER($S383),$S383="DNA"),$S383,IF(OR(ISNUMBER($P383),$P383="DNA"),$P383,IF(OR(ISNUMBER($O383),$O383="DNA"),$O383,IF(OR(ISNUMBER($N383),$N383="DNA"),$N383,""))))))))))),IF(ISNUMBER($Y383),"Update status","Missed/not booked?"),""))))</f>
        <v/>
      </c>
      <c r="M383" s="29">
        <f>IF(NOT(AND($A383&lt;&gt;"",OR($I383="",$I383="Active"))),"",IF(MIN(IF(AND(ISNUMBER($N383),$N383&gt;=TODAY()),$N383,99999),IF(AND(ISNUMBER($O383),$O383&gt;=TODAY()),$O383,99999),IF(AND(ISNUMBER($P383),$P383&gt;=TODAY()),$P383,99999),IF(AND(ISNUMBER($S383),$S383&gt;=TODAY()),$S383,99999),IF(AND(ISNUMBER($T383),$T383&gt;=TODAY()),$T383,99999),IF(AND(ISNUMBER($U383),$U383&gt;=TODAY()),$U383,99999),IF(AND(ISNUMBER($V383),$V383&gt;=TODAY()),$V383,99999),IF(AND(ISNUMBER($W383),$W383&gt;=TODAY()),$W383,99999),IF(AND(ISNUMBER($X383),$X383&gt;=TODAY()),$X383,99999),IF(AND(ISNUMBER($Y383),$Y383&gt;=TODAY()),$Y383,99999))=99999,"",MIN(IF(AND(ISNUMBER($N383),$N383&gt;=TODAY()),$N383,99999),IF(AND(ISNUMBER($O383),$O383&gt;=TODAY()),$O383,99999),IF(AND(ISNUMBER($P383),$P383&gt;=TODAY()),$P383,99999),IF(AND(ISNUMBER($S383),$S383&gt;=TODAY()),$S383,99999),IF(AND(ISNUMBER($T383),$T383&gt;=TODAY()),$T383,99999),IF(AND(ISNUMBER($U383),$U383&gt;=TODAY()),$U383,99999),IF(AND(ISNUMBER($V383),$V383&gt;=TODAY()),$V383,99999),IF(AND(ISNUMBER($W383),$W383&gt;=TODAY()),$W383,99999),IF(AND(ISNUMBER($X383),$X383&gt;=TODAY()),$X383,99999),IF(AND(ISNUMBER($Y383),$Y383&gt;=TODAY()),$Y383,99999))))</f>
        <v/>
      </c>
      <c r="N383" s="27" t="n"/>
      <c r="O383" s="27" t="n"/>
      <c r="P383" s="27" t="n"/>
      <c r="Q383" s="27" t="n"/>
      <c r="R383" s="27" t="n"/>
      <c r="S383" s="27" t="n"/>
      <c r="T383" s="27" t="n"/>
      <c r="U383" s="27" t="n"/>
      <c r="V383" s="27" t="n"/>
      <c r="W383" s="27" t="n"/>
      <c r="X383" s="27" t="n"/>
      <c r="Y383" s="27" t="n"/>
      <c r="Z383" s="27" t="n"/>
      <c r="AA383" s="27" t="n"/>
      <c r="AB383" s="27" t="n"/>
      <c r="AC383" s="30" t="n"/>
      <c r="AD383" s="25" t="n"/>
      <c r="AE383" s="28">
        <f>IF(NOT(AND($A383&lt;&gt;"",OR($I383="",$I383="Active"))),"",IF(OR(IF(OR(ISNUMBER($Y383),$Y383="DNA"),$Y383,IF(OR(ISNUMBER($X383),$X383="DNA"),$X383,IF(OR(ISNUMBER($W383),$W383="DNA"),$W383,IF(OR(ISNUMBER($V383),$V383="DNA"),$V383,IF(OR(ISNUMBER($U383),$U383="DNA"),$U383,IF(OR(ISNUMBER($T383),$T383="DNA"),$T383,IF(OR(ISNUMBER($S383),$S383="DNA"),$S383,IF(OR(ISNUMBER($P383),$P383="DNA"),$P383,IF(OR(ISNUMBER($O383),$O383="DNA"),$O383,IF(OR(ISNUMBER($N383),$N383="DNA"),$N383,""))))))))))="DNA",AND(ISNUMBER(IF(OR(ISNUMBER($Y383),$Y383="DNA"),$Y383,IF(OR(ISNUMBER($X383),$X383="DNA"),$X383,IF(OR(ISNUMBER($W383),$W383="DNA"),$W383,IF(OR(ISNUMBER($V383),$V383="DNA"),$V383,IF(OR(ISNUMBER($U383),$U383="DNA"),$U383,IF(OR(ISNUMBER($T383),$T383="DNA"),$T383,IF(OR(ISNUMBER($S383),$S383="DNA"),$S383,IF(OR(ISNUMBER($P383),$P383="DNA"),$P383,IF(OR(ISNUMBER($O383),$O383="DNA"),$O383,IF(OR(ISNUMBER($N383),$N383="DNA"),$N383,""))))))))))),IF(OR(ISNUMBER($Y383),$Y383="DNA"),$Y383,IF(OR(ISNUMBER($X383),$X383="DNA"),$X383,IF(OR(ISNUMBER($W383),$W383="DNA"),$W383,IF(OR(ISNUMBER($V383),$V383="DNA"),$V383,IF(OR(ISNUMBER($U383),$U383="DNA"),$U383,IF(OR(ISNUMBER($T383),$T383="DNA"),$T383,IF(OR(ISNUMBER($S383),$S383="DNA"),$S383,IF(OR(ISNUMBER($P383),$P383="DNA"),$P383,IF(OR(ISNUMBER($O383),$O383="DNA"),$O383,IF(OR(ISNUMBER($N383),$N383="DNA"),$N383,""))))))))))&lt;TODAY())),1,0)+ISNUMBER($Q383)*($Q383&lt;TODAY())+ISNUMBER($R383)*($R383&lt;TODAY())+ISNUMBER($AA383)*($AA383&lt;TODAY())+ISNUMBER($AB383)*($AB383&lt;TODAY()))</f>
        <v/>
      </c>
    </row>
    <row r="384">
      <c r="A384" s="25" t="n"/>
      <c r="B384" s="26" t="n"/>
      <c r="C384" s="27" t="n"/>
      <c r="D384" s="25" t="n"/>
      <c r="E384" s="25" t="n"/>
      <c r="F384" s="25" t="n"/>
      <c r="G384" s="25" t="n"/>
      <c r="H384" s="27" t="n"/>
      <c r="I384" s="25" t="n"/>
      <c r="J384" s="28">
        <f>IF(OR(NOT(AND($A384&lt;&gt;"",OR($I384="",$I384="Active"))),$H384=""),"",INT((TODAY()-$H384+280)/7)&amp;"+"&amp;MOD(TODAY()-$H384+280,7))</f>
        <v/>
      </c>
      <c r="K384" s="28">
        <f>IF(NOT(AND($A384&lt;&gt;"",OR($I384="",$I384="Active"))),"",ISNUMBER($N384)*($N384&gt;=TODAY())*($N384&lt;=TODAY()+7)+ISNUMBER($O384)*($O384&gt;=TODAY())*($O384&lt;=TODAY()+7)+ISNUMBER($P384)*($P384&gt;=TODAY())*($P384&lt;=TODAY()+7)+ISNUMBER($S384)*($S384&gt;=TODAY())*($S384&lt;=TODAY()+7)+ISNUMBER($T384)*($T384&gt;=TODAY())*($T384&lt;=TODAY()+7)+ISNUMBER($U384)*($U384&gt;=TODAY())*($U384&lt;=TODAY()+7)+ISNUMBER($V384)*($V384&gt;=TODAY())*($V384&lt;=TODAY()+7)+ISNUMBER($W384)*($W384&gt;=TODAY())*($W384&lt;=TODAY()+7)+ISNUMBER($X384)*($X384&gt;=TODAY())*($X384&lt;=TODAY()+7)+ISNUMBER($Y384)*($Y384&gt;=TODAY())*($Y384&lt;=TODAY()+7)+ISNUMBER($Q384)*($Q384&gt;=TODAY())*($Q384&lt;=TODAY()+7)+ISNUMBER($R384)*($R384&gt;=TODAY())*($R384&lt;=TODAY()+7)+ISNUMBER($AA384)*($AA384&gt;=TODAY())*($AA384&lt;=TODAY()+7)+ISNUMBER($AB384)*($AB384&gt;=TODAY())*($AB384&lt;=TODAY()+7))</f>
        <v/>
      </c>
      <c r="L384" s="28">
        <f>IF(NOT(AND($A384&lt;&gt;"",OR($I384="",$I384="Active"))),"",IF($M384&lt;&gt;"",IF($N384=$M384,"Booking",IF($O384=$M384,"16/40",IF($P384=$M384,"25/40",IF($S384=$M384,"28/40",IF($T384=$M384,"31/40",IF($U384=$M384,"34/40",IF($V384=$M384,"36/40",IF($W384=$M384,"38/40",IF($X384=$M384,"40/40",IF($Y384=$M384,"41/40","")))))))))),IF(IF(OR(ISNUMBER($Y384),$Y384="DNA"),$Y384,IF(OR(ISNUMBER($X384),$X384="DNA"),$X384,IF(OR(ISNUMBER($W384),$W384="DNA"),$W384,IF(OR(ISNUMBER($V384),$V384="DNA"),$V384,IF(OR(ISNUMBER($U384),$U384="DNA"),$U384,IF(OR(ISNUMBER($T384),$T384="DNA"),$T384,IF(OR(ISNUMBER($S384),$S384="DNA"),$S384,IF(OR(ISNUMBER($P384),$P384="DNA"),$P384,IF(OR(ISNUMBER($O384),$O384="DNA"),$O384,IF(OR(ISNUMBER($N384),$N384="DNA"),$N384,""))))))))))="DNA","Rebook DNA",IF(ISNUMBER(IF(OR(ISNUMBER($Y384),$Y384="DNA"),$Y384,IF(OR(ISNUMBER($X384),$X384="DNA"),$X384,IF(OR(ISNUMBER($W384),$W384="DNA"),$W384,IF(OR(ISNUMBER($V384),$V384="DNA"),$V384,IF(OR(ISNUMBER($U384),$U384="DNA"),$U384,IF(OR(ISNUMBER($T384),$T384="DNA"),$T384,IF(OR(ISNUMBER($S384),$S384="DNA"),$S384,IF(OR(ISNUMBER($P384),$P384="DNA"),$P384,IF(OR(ISNUMBER($O384),$O384="DNA"),$O384,IF(OR(ISNUMBER($N384),$N384="DNA"),$N384,""))))))))))),IF(ISNUMBER($Y384),"Update status","Missed/not booked?"),""))))</f>
        <v/>
      </c>
      <c r="M384" s="29">
        <f>IF(NOT(AND($A384&lt;&gt;"",OR($I384="",$I384="Active"))),"",IF(MIN(IF(AND(ISNUMBER($N384),$N384&gt;=TODAY()),$N384,99999),IF(AND(ISNUMBER($O384),$O384&gt;=TODAY()),$O384,99999),IF(AND(ISNUMBER($P384),$P384&gt;=TODAY()),$P384,99999),IF(AND(ISNUMBER($S384),$S384&gt;=TODAY()),$S384,99999),IF(AND(ISNUMBER($T384),$T384&gt;=TODAY()),$T384,99999),IF(AND(ISNUMBER($U384),$U384&gt;=TODAY()),$U384,99999),IF(AND(ISNUMBER($V384),$V384&gt;=TODAY()),$V384,99999),IF(AND(ISNUMBER($W384),$W384&gt;=TODAY()),$W384,99999),IF(AND(ISNUMBER($X384),$X384&gt;=TODAY()),$X384,99999),IF(AND(ISNUMBER($Y384),$Y384&gt;=TODAY()),$Y384,99999))=99999,"",MIN(IF(AND(ISNUMBER($N384),$N384&gt;=TODAY()),$N384,99999),IF(AND(ISNUMBER($O384),$O384&gt;=TODAY()),$O384,99999),IF(AND(ISNUMBER($P384),$P384&gt;=TODAY()),$P384,99999),IF(AND(ISNUMBER($S384),$S384&gt;=TODAY()),$S384,99999),IF(AND(ISNUMBER($T384),$T384&gt;=TODAY()),$T384,99999),IF(AND(ISNUMBER($U384),$U384&gt;=TODAY()),$U384,99999),IF(AND(ISNUMBER($V384),$V384&gt;=TODAY()),$V384,99999),IF(AND(ISNUMBER($W384),$W384&gt;=TODAY()),$W384,99999),IF(AND(ISNUMBER($X384),$X384&gt;=TODAY()),$X384,99999),IF(AND(ISNUMBER($Y384),$Y384&gt;=TODAY()),$Y384,99999))))</f>
        <v/>
      </c>
      <c r="N384" s="27" t="n"/>
      <c r="O384" s="27" t="n"/>
      <c r="P384" s="27" t="n"/>
      <c r="Q384" s="27" t="n"/>
      <c r="R384" s="27" t="n"/>
      <c r="S384" s="27" t="n"/>
      <c r="T384" s="27" t="n"/>
      <c r="U384" s="27" t="n"/>
      <c r="V384" s="27" t="n"/>
      <c r="W384" s="27" t="n"/>
      <c r="X384" s="27" t="n"/>
      <c r="Y384" s="27" t="n"/>
      <c r="Z384" s="27" t="n"/>
      <c r="AA384" s="27" t="n"/>
      <c r="AB384" s="27" t="n"/>
      <c r="AC384" s="30" t="n"/>
      <c r="AD384" s="25" t="n"/>
      <c r="AE384" s="28">
        <f>IF(NOT(AND($A384&lt;&gt;"",OR($I384="",$I384="Active"))),"",IF(OR(IF(OR(ISNUMBER($Y384),$Y384="DNA"),$Y384,IF(OR(ISNUMBER($X384),$X384="DNA"),$X384,IF(OR(ISNUMBER($W384),$W384="DNA"),$W384,IF(OR(ISNUMBER($V384),$V384="DNA"),$V384,IF(OR(ISNUMBER($U384),$U384="DNA"),$U384,IF(OR(ISNUMBER($T384),$T384="DNA"),$T384,IF(OR(ISNUMBER($S384),$S384="DNA"),$S384,IF(OR(ISNUMBER($P384),$P384="DNA"),$P384,IF(OR(ISNUMBER($O384),$O384="DNA"),$O384,IF(OR(ISNUMBER($N384),$N384="DNA"),$N384,""))))))))))="DNA",AND(ISNUMBER(IF(OR(ISNUMBER($Y384),$Y384="DNA"),$Y384,IF(OR(ISNUMBER($X384),$X384="DNA"),$X384,IF(OR(ISNUMBER($W384),$W384="DNA"),$W384,IF(OR(ISNUMBER($V384),$V384="DNA"),$V384,IF(OR(ISNUMBER($U384),$U384="DNA"),$U384,IF(OR(ISNUMBER($T384),$T384="DNA"),$T384,IF(OR(ISNUMBER($S384),$S384="DNA"),$S384,IF(OR(ISNUMBER($P384),$P384="DNA"),$P384,IF(OR(ISNUMBER($O384),$O384="DNA"),$O384,IF(OR(ISNUMBER($N384),$N384="DNA"),$N384,""))))))))))),IF(OR(ISNUMBER($Y384),$Y384="DNA"),$Y384,IF(OR(ISNUMBER($X384),$X384="DNA"),$X384,IF(OR(ISNUMBER($W384),$W384="DNA"),$W384,IF(OR(ISNUMBER($V384),$V384="DNA"),$V384,IF(OR(ISNUMBER($U384),$U384="DNA"),$U384,IF(OR(ISNUMBER($T384),$T384="DNA"),$T384,IF(OR(ISNUMBER($S384),$S384="DNA"),$S384,IF(OR(ISNUMBER($P384),$P384="DNA"),$P384,IF(OR(ISNUMBER($O384),$O384="DNA"),$O384,IF(OR(ISNUMBER($N384),$N384="DNA"),$N384,""))))))))))&lt;TODAY())),1,0)+ISNUMBER($Q384)*($Q384&lt;TODAY())+ISNUMBER($R384)*($R384&lt;TODAY())+ISNUMBER($AA384)*($AA384&lt;TODAY())+ISNUMBER($AB384)*($AB384&lt;TODAY()))</f>
        <v/>
      </c>
    </row>
    <row r="385">
      <c r="A385" s="25" t="n"/>
      <c r="B385" s="26" t="n"/>
      <c r="C385" s="27" t="n"/>
      <c r="D385" s="25" t="n"/>
      <c r="E385" s="25" t="n"/>
      <c r="F385" s="25" t="n"/>
      <c r="G385" s="25" t="n"/>
      <c r="H385" s="27" t="n"/>
      <c r="I385" s="25" t="n"/>
      <c r="J385" s="28">
        <f>IF(OR(NOT(AND($A385&lt;&gt;"",OR($I385="",$I385="Active"))),$H385=""),"",INT((TODAY()-$H385+280)/7)&amp;"+"&amp;MOD(TODAY()-$H385+280,7))</f>
        <v/>
      </c>
      <c r="K385" s="28">
        <f>IF(NOT(AND($A385&lt;&gt;"",OR($I385="",$I385="Active"))),"",ISNUMBER($N385)*($N385&gt;=TODAY())*($N385&lt;=TODAY()+7)+ISNUMBER($O385)*($O385&gt;=TODAY())*($O385&lt;=TODAY()+7)+ISNUMBER($P385)*($P385&gt;=TODAY())*($P385&lt;=TODAY()+7)+ISNUMBER($S385)*($S385&gt;=TODAY())*($S385&lt;=TODAY()+7)+ISNUMBER($T385)*($T385&gt;=TODAY())*($T385&lt;=TODAY()+7)+ISNUMBER($U385)*($U385&gt;=TODAY())*($U385&lt;=TODAY()+7)+ISNUMBER($V385)*($V385&gt;=TODAY())*($V385&lt;=TODAY()+7)+ISNUMBER($W385)*($W385&gt;=TODAY())*($W385&lt;=TODAY()+7)+ISNUMBER($X385)*($X385&gt;=TODAY())*($X385&lt;=TODAY()+7)+ISNUMBER($Y385)*($Y385&gt;=TODAY())*($Y385&lt;=TODAY()+7)+ISNUMBER($Q385)*($Q385&gt;=TODAY())*($Q385&lt;=TODAY()+7)+ISNUMBER($R385)*($R385&gt;=TODAY())*($R385&lt;=TODAY()+7)+ISNUMBER($AA385)*($AA385&gt;=TODAY())*($AA385&lt;=TODAY()+7)+ISNUMBER($AB385)*($AB385&gt;=TODAY())*($AB385&lt;=TODAY()+7))</f>
        <v/>
      </c>
      <c r="L385" s="28">
        <f>IF(NOT(AND($A385&lt;&gt;"",OR($I385="",$I385="Active"))),"",IF($M385&lt;&gt;"",IF($N385=$M385,"Booking",IF($O385=$M385,"16/40",IF($P385=$M385,"25/40",IF($S385=$M385,"28/40",IF($T385=$M385,"31/40",IF($U385=$M385,"34/40",IF($V385=$M385,"36/40",IF($W385=$M385,"38/40",IF($X385=$M385,"40/40",IF($Y385=$M385,"41/40","")))))))))),IF(IF(OR(ISNUMBER($Y385),$Y385="DNA"),$Y385,IF(OR(ISNUMBER($X385),$X385="DNA"),$X385,IF(OR(ISNUMBER($W385),$W385="DNA"),$W385,IF(OR(ISNUMBER($V385),$V385="DNA"),$V385,IF(OR(ISNUMBER($U385),$U385="DNA"),$U385,IF(OR(ISNUMBER($T385),$T385="DNA"),$T385,IF(OR(ISNUMBER($S385),$S385="DNA"),$S385,IF(OR(ISNUMBER($P385),$P385="DNA"),$P385,IF(OR(ISNUMBER($O385),$O385="DNA"),$O385,IF(OR(ISNUMBER($N385),$N385="DNA"),$N385,""))))))))))="DNA","Rebook DNA",IF(ISNUMBER(IF(OR(ISNUMBER($Y385),$Y385="DNA"),$Y385,IF(OR(ISNUMBER($X385),$X385="DNA"),$X385,IF(OR(ISNUMBER($W385),$W385="DNA"),$W385,IF(OR(ISNUMBER($V385),$V385="DNA"),$V385,IF(OR(ISNUMBER($U385),$U385="DNA"),$U385,IF(OR(ISNUMBER($T385),$T385="DNA"),$T385,IF(OR(ISNUMBER($S385),$S385="DNA"),$S385,IF(OR(ISNUMBER($P385),$P385="DNA"),$P385,IF(OR(ISNUMBER($O385),$O385="DNA"),$O385,IF(OR(ISNUMBER($N385),$N385="DNA"),$N385,""))))))))))),IF(ISNUMBER($Y385),"Update status","Missed/not booked?"),""))))</f>
        <v/>
      </c>
      <c r="M385" s="29">
        <f>IF(NOT(AND($A385&lt;&gt;"",OR($I385="",$I385="Active"))),"",IF(MIN(IF(AND(ISNUMBER($N385),$N385&gt;=TODAY()),$N385,99999),IF(AND(ISNUMBER($O385),$O385&gt;=TODAY()),$O385,99999),IF(AND(ISNUMBER($P385),$P385&gt;=TODAY()),$P385,99999),IF(AND(ISNUMBER($S385),$S385&gt;=TODAY()),$S385,99999),IF(AND(ISNUMBER($T385),$T385&gt;=TODAY()),$T385,99999),IF(AND(ISNUMBER($U385),$U385&gt;=TODAY()),$U385,99999),IF(AND(ISNUMBER($V385),$V385&gt;=TODAY()),$V385,99999),IF(AND(ISNUMBER($W385),$W385&gt;=TODAY()),$W385,99999),IF(AND(ISNUMBER($X385),$X385&gt;=TODAY()),$X385,99999),IF(AND(ISNUMBER($Y385),$Y385&gt;=TODAY()),$Y385,99999))=99999,"",MIN(IF(AND(ISNUMBER($N385),$N385&gt;=TODAY()),$N385,99999),IF(AND(ISNUMBER($O385),$O385&gt;=TODAY()),$O385,99999),IF(AND(ISNUMBER($P385),$P385&gt;=TODAY()),$P385,99999),IF(AND(ISNUMBER($S385),$S385&gt;=TODAY()),$S385,99999),IF(AND(ISNUMBER($T385),$T385&gt;=TODAY()),$T385,99999),IF(AND(ISNUMBER($U385),$U385&gt;=TODAY()),$U385,99999),IF(AND(ISNUMBER($V385),$V385&gt;=TODAY()),$V385,99999),IF(AND(ISNUMBER($W385),$W385&gt;=TODAY()),$W385,99999),IF(AND(ISNUMBER($X385),$X385&gt;=TODAY()),$X385,99999),IF(AND(ISNUMBER($Y385),$Y385&gt;=TODAY()),$Y385,99999))))</f>
        <v/>
      </c>
      <c r="N385" s="27" t="n"/>
      <c r="O385" s="27" t="n"/>
      <c r="P385" s="27" t="n"/>
      <c r="Q385" s="27" t="n"/>
      <c r="R385" s="27" t="n"/>
      <c r="S385" s="27" t="n"/>
      <c r="T385" s="27" t="n"/>
      <c r="U385" s="27" t="n"/>
      <c r="V385" s="27" t="n"/>
      <c r="W385" s="27" t="n"/>
      <c r="X385" s="27" t="n"/>
      <c r="Y385" s="27" t="n"/>
      <c r="Z385" s="27" t="n"/>
      <c r="AA385" s="27" t="n"/>
      <c r="AB385" s="27" t="n"/>
      <c r="AC385" s="30" t="n"/>
      <c r="AD385" s="25" t="n"/>
      <c r="AE385" s="28">
        <f>IF(NOT(AND($A385&lt;&gt;"",OR($I385="",$I385="Active"))),"",IF(OR(IF(OR(ISNUMBER($Y385),$Y385="DNA"),$Y385,IF(OR(ISNUMBER($X385),$X385="DNA"),$X385,IF(OR(ISNUMBER($W385),$W385="DNA"),$W385,IF(OR(ISNUMBER($V385),$V385="DNA"),$V385,IF(OR(ISNUMBER($U385),$U385="DNA"),$U385,IF(OR(ISNUMBER($T385),$T385="DNA"),$T385,IF(OR(ISNUMBER($S385),$S385="DNA"),$S385,IF(OR(ISNUMBER($P385),$P385="DNA"),$P385,IF(OR(ISNUMBER($O385),$O385="DNA"),$O385,IF(OR(ISNUMBER($N385),$N385="DNA"),$N385,""))))))))))="DNA",AND(ISNUMBER(IF(OR(ISNUMBER($Y385),$Y385="DNA"),$Y385,IF(OR(ISNUMBER($X385),$X385="DNA"),$X385,IF(OR(ISNUMBER($W385),$W385="DNA"),$W385,IF(OR(ISNUMBER($V385),$V385="DNA"),$V385,IF(OR(ISNUMBER($U385),$U385="DNA"),$U385,IF(OR(ISNUMBER($T385),$T385="DNA"),$T385,IF(OR(ISNUMBER($S385),$S385="DNA"),$S385,IF(OR(ISNUMBER($P385),$P385="DNA"),$P385,IF(OR(ISNUMBER($O385),$O385="DNA"),$O385,IF(OR(ISNUMBER($N385),$N385="DNA"),$N385,""))))))))))),IF(OR(ISNUMBER($Y385),$Y385="DNA"),$Y385,IF(OR(ISNUMBER($X385),$X385="DNA"),$X385,IF(OR(ISNUMBER($W385),$W385="DNA"),$W385,IF(OR(ISNUMBER($V385),$V385="DNA"),$V385,IF(OR(ISNUMBER($U385),$U385="DNA"),$U385,IF(OR(ISNUMBER($T385),$T385="DNA"),$T385,IF(OR(ISNUMBER($S385),$S385="DNA"),$S385,IF(OR(ISNUMBER($P385),$P385="DNA"),$P385,IF(OR(ISNUMBER($O385),$O385="DNA"),$O385,IF(OR(ISNUMBER($N385),$N385="DNA"),$N385,""))))))))))&lt;TODAY())),1,0)+ISNUMBER($Q385)*($Q385&lt;TODAY())+ISNUMBER($R385)*($R385&lt;TODAY())+ISNUMBER($AA385)*($AA385&lt;TODAY())+ISNUMBER($AB385)*($AB385&lt;TODAY()))</f>
        <v/>
      </c>
    </row>
    <row r="386">
      <c r="A386" s="25" t="n"/>
      <c r="B386" s="26" t="n"/>
      <c r="C386" s="27" t="n"/>
      <c r="D386" s="25" t="n"/>
      <c r="E386" s="25" t="n"/>
      <c r="F386" s="25" t="n"/>
      <c r="G386" s="25" t="n"/>
      <c r="H386" s="27" t="n"/>
      <c r="I386" s="25" t="n"/>
      <c r="J386" s="28">
        <f>IF(OR(NOT(AND($A386&lt;&gt;"",OR($I386="",$I386="Active"))),$H386=""),"",INT((TODAY()-$H386+280)/7)&amp;"+"&amp;MOD(TODAY()-$H386+280,7))</f>
        <v/>
      </c>
      <c r="K386" s="28">
        <f>IF(NOT(AND($A386&lt;&gt;"",OR($I386="",$I386="Active"))),"",ISNUMBER($N386)*($N386&gt;=TODAY())*($N386&lt;=TODAY()+7)+ISNUMBER($O386)*($O386&gt;=TODAY())*($O386&lt;=TODAY()+7)+ISNUMBER($P386)*($P386&gt;=TODAY())*($P386&lt;=TODAY()+7)+ISNUMBER($S386)*($S386&gt;=TODAY())*($S386&lt;=TODAY()+7)+ISNUMBER($T386)*($T386&gt;=TODAY())*($T386&lt;=TODAY()+7)+ISNUMBER($U386)*($U386&gt;=TODAY())*($U386&lt;=TODAY()+7)+ISNUMBER($V386)*($V386&gt;=TODAY())*($V386&lt;=TODAY()+7)+ISNUMBER($W386)*($W386&gt;=TODAY())*($W386&lt;=TODAY()+7)+ISNUMBER($X386)*($X386&gt;=TODAY())*($X386&lt;=TODAY()+7)+ISNUMBER($Y386)*($Y386&gt;=TODAY())*($Y386&lt;=TODAY()+7)+ISNUMBER($Q386)*($Q386&gt;=TODAY())*($Q386&lt;=TODAY()+7)+ISNUMBER($R386)*($R386&gt;=TODAY())*($R386&lt;=TODAY()+7)+ISNUMBER($AA386)*($AA386&gt;=TODAY())*($AA386&lt;=TODAY()+7)+ISNUMBER($AB386)*($AB386&gt;=TODAY())*($AB386&lt;=TODAY()+7))</f>
        <v/>
      </c>
      <c r="L386" s="28">
        <f>IF(NOT(AND($A386&lt;&gt;"",OR($I386="",$I386="Active"))),"",IF($M386&lt;&gt;"",IF($N386=$M386,"Booking",IF($O386=$M386,"16/40",IF($P386=$M386,"25/40",IF($S386=$M386,"28/40",IF($T386=$M386,"31/40",IF($U386=$M386,"34/40",IF($V386=$M386,"36/40",IF($W386=$M386,"38/40",IF($X386=$M386,"40/40",IF($Y386=$M386,"41/40","")))))))))),IF(IF(OR(ISNUMBER($Y386),$Y386="DNA"),$Y386,IF(OR(ISNUMBER($X386),$X386="DNA"),$X386,IF(OR(ISNUMBER($W386),$W386="DNA"),$W386,IF(OR(ISNUMBER($V386),$V386="DNA"),$V386,IF(OR(ISNUMBER($U386),$U386="DNA"),$U386,IF(OR(ISNUMBER($T386),$T386="DNA"),$T386,IF(OR(ISNUMBER($S386),$S386="DNA"),$S386,IF(OR(ISNUMBER($P386),$P386="DNA"),$P386,IF(OR(ISNUMBER($O386),$O386="DNA"),$O386,IF(OR(ISNUMBER($N386),$N386="DNA"),$N386,""))))))))))="DNA","Rebook DNA",IF(ISNUMBER(IF(OR(ISNUMBER($Y386),$Y386="DNA"),$Y386,IF(OR(ISNUMBER($X386),$X386="DNA"),$X386,IF(OR(ISNUMBER($W386),$W386="DNA"),$W386,IF(OR(ISNUMBER($V386),$V386="DNA"),$V386,IF(OR(ISNUMBER($U386),$U386="DNA"),$U386,IF(OR(ISNUMBER($T386),$T386="DNA"),$T386,IF(OR(ISNUMBER($S386),$S386="DNA"),$S386,IF(OR(ISNUMBER($P386),$P386="DNA"),$P386,IF(OR(ISNUMBER($O386),$O386="DNA"),$O386,IF(OR(ISNUMBER($N386),$N386="DNA"),$N386,""))))))))))),IF(ISNUMBER($Y386),"Update status","Missed/not booked?"),""))))</f>
        <v/>
      </c>
      <c r="M386" s="29">
        <f>IF(NOT(AND($A386&lt;&gt;"",OR($I386="",$I386="Active"))),"",IF(MIN(IF(AND(ISNUMBER($N386),$N386&gt;=TODAY()),$N386,99999),IF(AND(ISNUMBER($O386),$O386&gt;=TODAY()),$O386,99999),IF(AND(ISNUMBER($P386),$P386&gt;=TODAY()),$P386,99999),IF(AND(ISNUMBER($S386),$S386&gt;=TODAY()),$S386,99999),IF(AND(ISNUMBER($T386),$T386&gt;=TODAY()),$T386,99999),IF(AND(ISNUMBER($U386),$U386&gt;=TODAY()),$U386,99999),IF(AND(ISNUMBER($V386),$V386&gt;=TODAY()),$V386,99999),IF(AND(ISNUMBER($W386),$W386&gt;=TODAY()),$W386,99999),IF(AND(ISNUMBER($X386),$X386&gt;=TODAY()),$X386,99999),IF(AND(ISNUMBER($Y386),$Y386&gt;=TODAY()),$Y386,99999))=99999,"",MIN(IF(AND(ISNUMBER($N386),$N386&gt;=TODAY()),$N386,99999),IF(AND(ISNUMBER($O386),$O386&gt;=TODAY()),$O386,99999),IF(AND(ISNUMBER($P386),$P386&gt;=TODAY()),$P386,99999),IF(AND(ISNUMBER($S386),$S386&gt;=TODAY()),$S386,99999),IF(AND(ISNUMBER($T386),$T386&gt;=TODAY()),$T386,99999),IF(AND(ISNUMBER($U386),$U386&gt;=TODAY()),$U386,99999),IF(AND(ISNUMBER($V386),$V386&gt;=TODAY()),$V386,99999),IF(AND(ISNUMBER($W386),$W386&gt;=TODAY()),$W386,99999),IF(AND(ISNUMBER($X386),$X386&gt;=TODAY()),$X386,99999),IF(AND(ISNUMBER($Y386),$Y386&gt;=TODAY()),$Y386,99999))))</f>
        <v/>
      </c>
      <c r="N386" s="27" t="n"/>
      <c r="O386" s="27" t="n"/>
      <c r="P386" s="27" t="n"/>
      <c r="Q386" s="27" t="n"/>
      <c r="R386" s="27" t="n"/>
      <c r="S386" s="27" t="n"/>
      <c r="T386" s="27" t="n"/>
      <c r="U386" s="27" t="n"/>
      <c r="V386" s="27" t="n"/>
      <c r="W386" s="27" t="n"/>
      <c r="X386" s="27" t="n"/>
      <c r="Y386" s="27" t="n"/>
      <c r="Z386" s="27" t="n"/>
      <c r="AA386" s="27" t="n"/>
      <c r="AB386" s="27" t="n"/>
      <c r="AC386" s="30" t="n"/>
      <c r="AD386" s="25" t="n"/>
      <c r="AE386" s="28">
        <f>IF(NOT(AND($A386&lt;&gt;"",OR($I386="",$I386="Active"))),"",IF(OR(IF(OR(ISNUMBER($Y386),$Y386="DNA"),$Y386,IF(OR(ISNUMBER($X386),$X386="DNA"),$X386,IF(OR(ISNUMBER($W386),$W386="DNA"),$W386,IF(OR(ISNUMBER($V386),$V386="DNA"),$V386,IF(OR(ISNUMBER($U386),$U386="DNA"),$U386,IF(OR(ISNUMBER($T386),$T386="DNA"),$T386,IF(OR(ISNUMBER($S386),$S386="DNA"),$S386,IF(OR(ISNUMBER($P386),$P386="DNA"),$P386,IF(OR(ISNUMBER($O386),$O386="DNA"),$O386,IF(OR(ISNUMBER($N386),$N386="DNA"),$N386,""))))))))))="DNA",AND(ISNUMBER(IF(OR(ISNUMBER($Y386),$Y386="DNA"),$Y386,IF(OR(ISNUMBER($X386),$X386="DNA"),$X386,IF(OR(ISNUMBER($W386),$W386="DNA"),$W386,IF(OR(ISNUMBER($V386),$V386="DNA"),$V386,IF(OR(ISNUMBER($U386),$U386="DNA"),$U386,IF(OR(ISNUMBER($T386),$T386="DNA"),$T386,IF(OR(ISNUMBER($S386),$S386="DNA"),$S386,IF(OR(ISNUMBER($P386),$P386="DNA"),$P386,IF(OR(ISNUMBER($O386),$O386="DNA"),$O386,IF(OR(ISNUMBER($N386),$N386="DNA"),$N386,""))))))))))),IF(OR(ISNUMBER($Y386),$Y386="DNA"),$Y386,IF(OR(ISNUMBER($X386),$X386="DNA"),$X386,IF(OR(ISNUMBER($W386),$W386="DNA"),$W386,IF(OR(ISNUMBER($V386),$V386="DNA"),$V386,IF(OR(ISNUMBER($U386),$U386="DNA"),$U386,IF(OR(ISNUMBER($T386),$T386="DNA"),$T386,IF(OR(ISNUMBER($S386),$S386="DNA"),$S386,IF(OR(ISNUMBER($P386),$P386="DNA"),$P386,IF(OR(ISNUMBER($O386),$O386="DNA"),$O386,IF(OR(ISNUMBER($N386),$N386="DNA"),$N386,""))))))))))&lt;TODAY())),1,0)+ISNUMBER($Q386)*($Q386&lt;TODAY())+ISNUMBER($R386)*($R386&lt;TODAY())+ISNUMBER($AA386)*($AA386&lt;TODAY())+ISNUMBER($AB386)*($AB386&lt;TODAY()))</f>
        <v/>
      </c>
    </row>
    <row r="387">
      <c r="A387" s="25" t="n"/>
      <c r="B387" s="26" t="n"/>
      <c r="C387" s="27" t="n"/>
      <c r="D387" s="25" t="n"/>
      <c r="E387" s="25" t="n"/>
      <c r="F387" s="25" t="n"/>
      <c r="G387" s="25" t="n"/>
      <c r="H387" s="27" t="n"/>
      <c r="I387" s="25" t="n"/>
      <c r="J387" s="28">
        <f>IF(OR(NOT(AND($A387&lt;&gt;"",OR($I387="",$I387="Active"))),$H387=""),"",INT((TODAY()-$H387+280)/7)&amp;"+"&amp;MOD(TODAY()-$H387+280,7))</f>
        <v/>
      </c>
      <c r="K387" s="28">
        <f>IF(NOT(AND($A387&lt;&gt;"",OR($I387="",$I387="Active"))),"",ISNUMBER($N387)*($N387&gt;=TODAY())*($N387&lt;=TODAY()+7)+ISNUMBER($O387)*($O387&gt;=TODAY())*($O387&lt;=TODAY()+7)+ISNUMBER($P387)*($P387&gt;=TODAY())*($P387&lt;=TODAY()+7)+ISNUMBER($S387)*($S387&gt;=TODAY())*($S387&lt;=TODAY()+7)+ISNUMBER($T387)*($T387&gt;=TODAY())*($T387&lt;=TODAY()+7)+ISNUMBER($U387)*($U387&gt;=TODAY())*($U387&lt;=TODAY()+7)+ISNUMBER($V387)*($V387&gt;=TODAY())*($V387&lt;=TODAY()+7)+ISNUMBER($W387)*($W387&gt;=TODAY())*($W387&lt;=TODAY()+7)+ISNUMBER($X387)*($X387&gt;=TODAY())*($X387&lt;=TODAY()+7)+ISNUMBER($Y387)*($Y387&gt;=TODAY())*($Y387&lt;=TODAY()+7)+ISNUMBER($Q387)*($Q387&gt;=TODAY())*($Q387&lt;=TODAY()+7)+ISNUMBER($R387)*($R387&gt;=TODAY())*($R387&lt;=TODAY()+7)+ISNUMBER($AA387)*($AA387&gt;=TODAY())*($AA387&lt;=TODAY()+7)+ISNUMBER($AB387)*($AB387&gt;=TODAY())*($AB387&lt;=TODAY()+7))</f>
        <v/>
      </c>
      <c r="L387" s="28">
        <f>IF(NOT(AND($A387&lt;&gt;"",OR($I387="",$I387="Active"))),"",IF($M387&lt;&gt;"",IF($N387=$M387,"Booking",IF($O387=$M387,"16/40",IF($P387=$M387,"25/40",IF($S387=$M387,"28/40",IF($T387=$M387,"31/40",IF($U387=$M387,"34/40",IF($V387=$M387,"36/40",IF($W387=$M387,"38/40",IF($X387=$M387,"40/40",IF($Y387=$M387,"41/40","")))))))))),IF(IF(OR(ISNUMBER($Y387),$Y387="DNA"),$Y387,IF(OR(ISNUMBER($X387),$X387="DNA"),$X387,IF(OR(ISNUMBER($W387),$W387="DNA"),$W387,IF(OR(ISNUMBER($V387),$V387="DNA"),$V387,IF(OR(ISNUMBER($U387),$U387="DNA"),$U387,IF(OR(ISNUMBER($T387),$T387="DNA"),$T387,IF(OR(ISNUMBER($S387),$S387="DNA"),$S387,IF(OR(ISNUMBER($P387),$P387="DNA"),$P387,IF(OR(ISNUMBER($O387),$O387="DNA"),$O387,IF(OR(ISNUMBER($N387),$N387="DNA"),$N387,""))))))))))="DNA","Rebook DNA",IF(ISNUMBER(IF(OR(ISNUMBER($Y387),$Y387="DNA"),$Y387,IF(OR(ISNUMBER($X387),$X387="DNA"),$X387,IF(OR(ISNUMBER($W387),$W387="DNA"),$W387,IF(OR(ISNUMBER($V387),$V387="DNA"),$V387,IF(OR(ISNUMBER($U387),$U387="DNA"),$U387,IF(OR(ISNUMBER($T387),$T387="DNA"),$T387,IF(OR(ISNUMBER($S387),$S387="DNA"),$S387,IF(OR(ISNUMBER($P387),$P387="DNA"),$P387,IF(OR(ISNUMBER($O387),$O387="DNA"),$O387,IF(OR(ISNUMBER($N387),$N387="DNA"),$N387,""))))))))))),IF(ISNUMBER($Y387),"Update status","Missed/not booked?"),""))))</f>
        <v/>
      </c>
      <c r="M387" s="29">
        <f>IF(NOT(AND($A387&lt;&gt;"",OR($I387="",$I387="Active"))),"",IF(MIN(IF(AND(ISNUMBER($N387),$N387&gt;=TODAY()),$N387,99999),IF(AND(ISNUMBER($O387),$O387&gt;=TODAY()),$O387,99999),IF(AND(ISNUMBER($P387),$P387&gt;=TODAY()),$P387,99999),IF(AND(ISNUMBER($S387),$S387&gt;=TODAY()),$S387,99999),IF(AND(ISNUMBER($T387),$T387&gt;=TODAY()),$T387,99999),IF(AND(ISNUMBER($U387),$U387&gt;=TODAY()),$U387,99999),IF(AND(ISNUMBER($V387),$V387&gt;=TODAY()),$V387,99999),IF(AND(ISNUMBER($W387),$W387&gt;=TODAY()),$W387,99999),IF(AND(ISNUMBER($X387),$X387&gt;=TODAY()),$X387,99999),IF(AND(ISNUMBER($Y387),$Y387&gt;=TODAY()),$Y387,99999))=99999,"",MIN(IF(AND(ISNUMBER($N387),$N387&gt;=TODAY()),$N387,99999),IF(AND(ISNUMBER($O387),$O387&gt;=TODAY()),$O387,99999),IF(AND(ISNUMBER($P387),$P387&gt;=TODAY()),$P387,99999),IF(AND(ISNUMBER($S387),$S387&gt;=TODAY()),$S387,99999),IF(AND(ISNUMBER($T387),$T387&gt;=TODAY()),$T387,99999),IF(AND(ISNUMBER($U387),$U387&gt;=TODAY()),$U387,99999),IF(AND(ISNUMBER($V387),$V387&gt;=TODAY()),$V387,99999),IF(AND(ISNUMBER($W387),$W387&gt;=TODAY()),$W387,99999),IF(AND(ISNUMBER($X387),$X387&gt;=TODAY()),$X387,99999),IF(AND(ISNUMBER($Y387),$Y387&gt;=TODAY()),$Y387,99999))))</f>
        <v/>
      </c>
      <c r="N387" s="27" t="n"/>
      <c r="O387" s="27" t="n"/>
      <c r="P387" s="27" t="n"/>
      <c r="Q387" s="27" t="n"/>
      <c r="R387" s="27" t="n"/>
      <c r="S387" s="27" t="n"/>
      <c r="T387" s="27" t="n"/>
      <c r="U387" s="27" t="n"/>
      <c r="V387" s="27" t="n"/>
      <c r="W387" s="27" t="n"/>
      <c r="X387" s="27" t="n"/>
      <c r="Y387" s="27" t="n"/>
      <c r="Z387" s="27" t="n"/>
      <c r="AA387" s="27" t="n"/>
      <c r="AB387" s="27" t="n"/>
      <c r="AC387" s="30" t="n"/>
      <c r="AD387" s="25" t="n"/>
      <c r="AE387" s="28">
        <f>IF(NOT(AND($A387&lt;&gt;"",OR($I387="",$I387="Active"))),"",IF(OR(IF(OR(ISNUMBER($Y387),$Y387="DNA"),$Y387,IF(OR(ISNUMBER($X387),$X387="DNA"),$X387,IF(OR(ISNUMBER($W387),$W387="DNA"),$W387,IF(OR(ISNUMBER($V387),$V387="DNA"),$V387,IF(OR(ISNUMBER($U387),$U387="DNA"),$U387,IF(OR(ISNUMBER($T387),$T387="DNA"),$T387,IF(OR(ISNUMBER($S387),$S387="DNA"),$S387,IF(OR(ISNUMBER($P387),$P387="DNA"),$P387,IF(OR(ISNUMBER($O387),$O387="DNA"),$O387,IF(OR(ISNUMBER($N387),$N387="DNA"),$N387,""))))))))))="DNA",AND(ISNUMBER(IF(OR(ISNUMBER($Y387),$Y387="DNA"),$Y387,IF(OR(ISNUMBER($X387),$X387="DNA"),$X387,IF(OR(ISNUMBER($W387),$W387="DNA"),$W387,IF(OR(ISNUMBER($V387),$V387="DNA"),$V387,IF(OR(ISNUMBER($U387),$U387="DNA"),$U387,IF(OR(ISNUMBER($T387),$T387="DNA"),$T387,IF(OR(ISNUMBER($S387),$S387="DNA"),$S387,IF(OR(ISNUMBER($P387),$P387="DNA"),$P387,IF(OR(ISNUMBER($O387),$O387="DNA"),$O387,IF(OR(ISNUMBER($N387),$N387="DNA"),$N387,""))))))))))),IF(OR(ISNUMBER($Y387),$Y387="DNA"),$Y387,IF(OR(ISNUMBER($X387),$X387="DNA"),$X387,IF(OR(ISNUMBER($W387),$W387="DNA"),$W387,IF(OR(ISNUMBER($V387),$V387="DNA"),$V387,IF(OR(ISNUMBER($U387),$U387="DNA"),$U387,IF(OR(ISNUMBER($T387),$T387="DNA"),$T387,IF(OR(ISNUMBER($S387),$S387="DNA"),$S387,IF(OR(ISNUMBER($P387),$P387="DNA"),$P387,IF(OR(ISNUMBER($O387),$O387="DNA"),$O387,IF(OR(ISNUMBER($N387),$N387="DNA"),$N387,""))))))))))&lt;TODAY())),1,0)+ISNUMBER($Q387)*($Q387&lt;TODAY())+ISNUMBER($R387)*($R387&lt;TODAY())+ISNUMBER($AA387)*($AA387&lt;TODAY())+ISNUMBER($AB387)*($AB387&lt;TODAY()))</f>
        <v/>
      </c>
    </row>
    <row r="388">
      <c r="A388" s="25" t="n"/>
      <c r="B388" s="26" t="n"/>
      <c r="C388" s="27" t="n"/>
      <c r="D388" s="25" t="n"/>
      <c r="E388" s="25" t="n"/>
      <c r="F388" s="25" t="n"/>
      <c r="G388" s="25" t="n"/>
      <c r="H388" s="27" t="n"/>
      <c r="I388" s="25" t="n"/>
      <c r="J388" s="28">
        <f>IF(OR(NOT(AND($A388&lt;&gt;"",OR($I388="",$I388="Active"))),$H388=""),"",INT((TODAY()-$H388+280)/7)&amp;"+"&amp;MOD(TODAY()-$H388+280,7))</f>
        <v/>
      </c>
      <c r="K388" s="28">
        <f>IF(NOT(AND($A388&lt;&gt;"",OR($I388="",$I388="Active"))),"",ISNUMBER($N388)*($N388&gt;=TODAY())*($N388&lt;=TODAY()+7)+ISNUMBER($O388)*($O388&gt;=TODAY())*($O388&lt;=TODAY()+7)+ISNUMBER($P388)*($P388&gt;=TODAY())*($P388&lt;=TODAY()+7)+ISNUMBER($S388)*($S388&gt;=TODAY())*($S388&lt;=TODAY()+7)+ISNUMBER($T388)*($T388&gt;=TODAY())*($T388&lt;=TODAY()+7)+ISNUMBER($U388)*($U388&gt;=TODAY())*($U388&lt;=TODAY()+7)+ISNUMBER($V388)*($V388&gt;=TODAY())*($V388&lt;=TODAY()+7)+ISNUMBER($W388)*($W388&gt;=TODAY())*($W388&lt;=TODAY()+7)+ISNUMBER($X388)*($X388&gt;=TODAY())*($X388&lt;=TODAY()+7)+ISNUMBER($Y388)*($Y388&gt;=TODAY())*($Y388&lt;=TODAY()+7)+ISNUMBER($Q388)*($Q388&gt;=TODAY())*($Q388&lt;=TODAY()+7)+ISNUMBER($R388)*($R388&gt;=TODAY())*($R388&lt;=TODAY()+7)+ISNUMBER($AA388)*($AA388&gt;=TODAY())*($AA388&lt;=TODAY()+7)+ISNUMBER($AB388)*($AB388&gt;=TODAY())*($AB388&lt;=TODAY()+7))</f>
        <v/>
      </c>
      <c r="L388" s="28">
        <f>IF(NOT(AND($A388&lt;&gt;"",OR($I388="",$I388="Active"))),"",IF($M388&lt;&gt;"",IF($N388=$M388,"Booking",IF($O388=$M388,"16/40",IF($P388=$M388,"25/40",IF($S388=$M388,"28/40",IF($T388=$M388,"31/40",IF($U388=$M388,"34/40",IF($V388=$M388,"36/40",IF($W388=$M388,"38/40",IF($X388=$M388,"40/40",IF($Y388=$M388,"41/40","")))))))))),IF(IF(OR(ISNUMBER($Y388),$Y388="DNA"),$Y388,IF(OR(ISNUMBER($X388),$X388="DNA"),$X388,IF(OR(ISNUMBER($W388),$W388="DNA"),$W388,IF(OR(ISNUMBER($V388),$V388="DNA"),$V388,IF(OR(ISNUMBER($U388),$U388="DNA"),$U388,IF(OR(ISNUMBER($T388),$T388="DNA"),$T388,IF(OR(ISNUMBER($S388),$S388="DNA"),$S388,IF(OR(ISNUMBER($P388),$P388="DNA"),$P388,IF(OR(ISNUMBER($O388),$O388="DNA"),$O388,IF(OR(ISNUMBER($N388),$N388="DNA"),$N388,""))))))))))="DNA","Rebook DNA",IF(ISNUMBER(IF(OR(ISNUMBER($Y388),$Y388="DNA"),$Y388,IF(OR(ISNUMBER($X388),$X388="DNA"),$X388,IF(OR(ISNUMBER($W388),$W388="DNA"),$W388,IF(OR(ISNUMBER($V388),$V388="DNA"),$V388,IF(OR(ISNUMBER($U388),$U388="DNA"),$U388,IF(OR(ISNUMBER($T388),$T388="DNA"),$T388,IF(OR(ISNUMBER($S388),$S388="DNA"),$S388,IF(OR(ISNUMBER($P388),$P388="DNA"),$P388,IF(OR(ISNUMBER($O388),$O388="DNA"),$O388,IF(OR(ISNUMBER($N388),$N388="DNA"),$N388,""))))))))))),IF(ISNUMBER($Y388),"Update status","Missed/not booked?"),""))))</f>
        <v/>
      </c>
      <c r="M388" s="29">
        <f>IF(NOT(AND($A388&lt;&gt;"",OR($I388="",$I388="Active"))),"",IF(MIN(IF(AND(ISNUMBER($N388),$N388&gt;=TODAY()),$N388,99999),IF(AND(ISNUMBER($O388),$O388&gt;=TODAY()),$O388,99999),IF(AND(ISNUMBER($P388),$P388&gt;=TODAY()),$P388,99999),IF(AND(ISNUMBER($S388),$S388&gt;=TODAY()),$S388,99999),IF(AND(ISNUMBER($T388),$T388&gt;=TODAY()),$T388,99999),IF(AND(ISNUMBER($U388),$U388&gt;=TODAY()),$U388,99999),IF(AND(ISNUMBER($V388),$V388&gt;=TODAY()),$V388,99999),IF(AND(ISNUMBER($W388),$W388&gt;=TODAY()),$W388,99999),IF(AND(ISNUMBER($X388),$X388&gt;=TODAY()),$X388,99999),IF(AND(ISNUMBER($Y388),$Y388&gt;=TODAY()),$Y388,99999))=99999,"",MIN(IF(AND(ISNUMBER($N388),$N388&gt;=TODAY()),$N388,99999),IF(AND(ISNUMBER($O388),$O388&gt;=TODAY()),$O388,99999),IF(AND(ISNUMBER($P388),$P388&gt;=TODAY()),$P388,99999),IF(AND(ISNUMBER($S388),$S388&gt;=TODAY()),$S388,99999),IF(AND(ISNUMBER($T388),$T388&gt;=TODAY()),$T388,99999),IF(AND(ISNUMBER($U388),$U388&gt;=TODAY()),$U388,99999),IF(AND(ISNUMBER($V388),$V388&gt;=TODAY()),$V388,99999),IF(AND(ISNUMBER($W388),$W388&gt;=TODAY()),$W388,99999),IF(AND(ISNUMBER($X388),$X388&gt;=TODAY()),$X388,99999),IF(AND(ISNUMBER($Y388),$Y388&gt;=TODAY()),$Y388,99999))))</f>
        <v/>
      </c>
      <c r="N388" s="27" t="n"/>
      <c r="O388" s="27" t="n"/>
      <c r="P388" s="27" t="n"/>
      <c r="Q388" s="27" t="n"/>
      <c r="R388" s="27" t="n"/>
      <c r="S388" s="27" t="n"/>
      <c r="T388" s="27" t="n"/>
      <c r="U388" s="27" t="n"/>
      <c r="V388" s="27" t="n"/>
      <c r="W388" s="27" t="n"/>
      <c r="X388" s="27" t="n"/>
      <c r="Y388" s="27" t="n"/>
      <c r="Z388" s="27" t="n"/>
      <c r="AA388" s="27" t="n"/>
      <c r="AB388" s="27" t="n"/>
      <c r="AC388" s="30" t="n"/>
      <c r="AD388" s="25" t="n"/>
      <c r="AE388" s="28">
        <f>IF(NOT(AND($A388&lt;&gt;"",OR($I388="",$I388="Active"))),"",IF(OR(IF(OR(ISNUMBER($Y388),$Y388="DNA"),$Y388,IF(OR(ISNUMBER($X388),$X388="DNA"),$X388,IF(OR(ISNUMBER($W388),$W388="DNA"),$W388,IF(OR(ISNUMBER($V388),$V388="DNA"),$V388,IF(OR(ISNUMBER($U388),$U388="DNA"),$U388,IF(OR(ISNUMBER($T388),$T388="DNA"),$T388,IF(OR(ISNUMBER($S388),$S388="DNA"),$S388,IF(OR(ISNUMBER($P388),$P388="DNA"),$P388,IF(OR(ISNUMBER($O388),$O388="DNA"),$O388,IF(OR(ISNUMBER($N388),$N388="DNA"),$N388,""))))))))))="DNA",AND(ISNUMBER(IF(OR(ISNUMBER($Y388),$Y388="DNA"),$Y388,IF(OR(ISNUMBER($X388),$X388="DNA"),$X388,IF(OR(ISNUMBER($W388),$W388="DNA"),$W388,IF(OR(ISNUMBER($V388),$V388="DNA"),$V388,IF(OR(ISNUMBER($U388),$U388="DNA"),$U388,IF(OR(ISNUMBER($T388),$T388="DNA"),$T388,IF(OR(ISNUMBER($S388),$S388="DNA"),$S388,IF(OR(ISNUMBER($P388),$P388="DNA"),$P388,IF(OR(ISNUMBER($O388),$O388="DNA"),$O388,IF(OR(ISNUMBER($N388),$N388="DNA"),$N388,""))))))))))),IF(OR(ISNUMBER($Y388),$Y388="DNA"),$Y388,IF(OR(ISNUMBER($X388),$X388="DNA"),$X388,IF(OR(ISNUMBER($W388),$W388="DNA"),$W388,IF(OR(ISNUMBER($V388),$V388="DNA"),$V388,IF(OR(ISNUMBER($U388),$U388="DNA"),$U388,IF(OR(ISNUMBER($T388),$T388="DNA"),$T388,IF(OR(ISNUMBER($S388),$S388="DNA"),$S388,IF(OR(ISNUMBER($P388),$P388="DNA"),$P388,IF(OR(ISNUMBER($O388),$O388="DNA"),$O388,IF(OR(ISNUMBER($N388),$N388="DNA"),$N388,""))))))))))&lt;TODAY())),1,0)+ISNUMBER($Q388)*($Q388&lt;TODAY())+ISNUMBER($R388)*($R388&lt;TODAY())+ISNUMBER($AA388)*($AA388&lt;TODAY())+ISNUMBER($AB388)*($AB388&lt;TODAY()))</f>
        <v/>
      </c>
    </row>
    <row r="389">
      <c r="A389" s="25" t="n"/>
      <c r="B389" s="26" t="n"/>
      <c r="C389" s="27" t="n"/>
      <c r="D389" s="25" t="n"/>
      <c r="E389" s="25" t="n"/>
      <c r="F389" s="25" t="n"/>
      <c r="G389" s="25" t="n"/>
      <c r="H389" s="27" t="n"/>
      <c r="I389" s="25" t="n"/>
      <c r="J389" s="28">
        <f>IF(OR(NOT(AND($A389&lt;&gt;"",OR($I389="",$I389="Active"))),$H389=""),"",INT((TODAY()-$H389+280)/7)&amp;"+"&amp;MOD(TODAY()-$H389+280,7))</f>
        <v/>
      </c>
      <c r="K389" s="28">
        <f>IF(NOT(AND($A389&lt;&gt;"",OR($I389="",$I389="Active"))),"",ISNUMBER($N389)*($N389&gt;=TODAY())*($N389&lt;=TODAY()+7)+ISNUMBER($O389)*($O389&gt;=TODAY())*($O389&lt;=TODAY()+7)+ISNUMBER($P389)*($P389&gt;=TODAY())*($P389&lt;=TODAY()+7)+ISNUMBER($S389)*($S389&gt;=TODAY())*($S389&lt;=TODAY()+7)+ISNUMBER($T389)*($T389&gt;=TODAY())*($T389&lt;=TODAY()+7)+ISNUMBER($U389)*($U389&gt;=TODAY())*($U389&lt;=TODAY()+7)+ISNUMBER($V389)*($V389&gt;=TODAY())*($V389&lt;=TODAY()+7)+ISNUMBER($W389)*($W389&gt;=TODAY())*($W389&lt;=TODAY()+7)+ISNUMBER($X389)*($X389&gt;=TODAY())*($X389&lt;=TODAY()+7)+ISNUMBER($Y389)*($Y389&gt;=TODAY())*($Y389&lt;=TODAY()+7)+ISNUMBER($Q389)*($Q389&gt;=TODAY())*($Q389&lt;=TODAY()+7)+ISNUMBER($R389)*($R389&gt;=TODAY())*($R389&lt;=TODAY()+7)+ISNUMBER($AA389)*($AA389&gt;=TODAY())*($AA389&lt;=TODAY()+7)+ISNUMBER($AB389)*($AB389&gt;=TODAY())*($AB389&lt;=TODAY()+7))</f>
        <v/>
      </c>
      <c r="L389" s="28">
        <f>IF(NOT(AND($A389&lt;&gt;"",OR($I389="",$I389="Active"))),"",IF($M389&lt;&gt;"",IF($N389=$M389,"Booking",IF($O389=$M389,"16/40",IF($P389=$M389,"25/40",IF($S389=$M389,"28/40",IF($T389=$M389,"31/40",IF($U389=$M389,"34/40",IF($V389=$M389,"36/40",IF($W389=$M389,"38/40",IF($X389=$M389,"40/40",IF($Y389=$M389,"41/40","")))))))))),IF(IF(OR(ISNUMBER($Y389),$Y389="DNA"),$Y389,IF(OR(ISNUMBER($X389),$X389="DNA"),$X389,IF(OR(ISNUMBER($W389),$W389="DNA"),$W389,IF(OR(ISNUMBER($V389),$V389="DNA"),$V389,IF(OR(ISNUMBER($U389),$U389="DNA"),$U389,IF(OR(ISNUMBER($T389),$T389="DNA"),$T389,IF(OR(ISNUMBER($S389),$S389="DNA"),$S389,IF(OR(ISNUMBER($P389),$P389="DNA"),$P389,IF(OR(ISNUMBER($O389),$O389="DNA"),$O389,IF(OR(ISNUMBER($N389),$N389="DNA"),$N389,""))))))))))="DNA","Rebook DNA",IF(ISNUMBER(IF(OR(ISNUMBER($Y389),$Y389="DNA"),$Y389,IF(OR(ISNUMBER($X389),$X389="DNA"),$X389,IF(OR(ISNUMBER($W389),$W389="DNA"),$W389,IF(OR(ISNUMBER($V389),$V389="DNA"),$V389,IF(OR(ISNUMBER($U389),$U389="DNA"),$U389,IF(OR(ISNUMBER($T389),$T389="DNA"),$T389,IF(OR(ISNUMBER($S389),$S389="DNA"),$S389,IF(OR(ISNUMBER($P389),$P389="DNA"),$P389,IF(OR(ISNUMBER($O389),$O389="DNA"),$O389,IF(OR(ISNUMBER($N389),$N389="DNA"),$N389,""))))))))))),IF(ISNUMBER($Y389),"Update status","Missed/not booked?"),""))))</f>
        <v/>
      </c>
      <c r="M389" s="29">
        <f>IF(NOT(AND($A389&lt;&gt;"",OR($I389="",$I389="Active"))),"",IF(MIN(IF(AND(ISNUMBER($N389),$N389&gt;=TODAY()),$N389,99999),IF(AND(ISNUMBER($O389),$O389&gt;=TODAY()),$O389,99999),IF(AND(ISNUMBER($P389),$P389&gt;=TODAY()),$P389,99999),IF(AND(ISNUMBER($S389),$S389&gt;=TODAY()),$S389,99999),IF(AND(ISNUMBER($T389),$T389&gt;=TODAY()),$T389,99999),IF(AND(ISNUMBER($U389),$U389&gt;=TODAY()),$U389,99999),IF(AND(ISNUMBER($V389),$V389&gt;=TODAY()),$V389,99999),IF(AND(ISNUMBER($W389),$W389&gt;=TODAY()),$W389,99999),IF(AND(ISNUMBER($X389),$X389&gt;=TODAY()),$X389,99999),IF(AND(ISNUMBER($Y389),$Y389&gt;=TODAY()),$Y389,99999))=99999,"",MIN(IF(AND(ISNUMBER($N389),$N389&gt;=TODAY()),$N389,99999),IF(AND(ISNUMBER($O389),$O389&gt;=TODAY()),$O389,99999),IF(AND(ISNUMBER($P389),$P389&gt;=TODAY()),$P389,99999),IF(AND(ISNUMBER($S389),$S389&gt;=TODAY()),$S389,99999),IF(AND(ISNUMBER($T389),$T389&gt;=TODAY()),$T389,99999),IF(AND(ISNUMBER($U389),$U389&gt;=TODAY()),$U389,99999),IF(AND(ISNUMBER($V389),$V389&gt;=TODAY()),$V389,99999),IF(AND(ISNUMBER($W389),$W389&gt;=TODAY()),$W389,99999),IF(AND(ISNUMBER($X389),$X389&gt;=TODAY()),$X389,99999),IF(AND(ISNUMBER($Y389),$Y389&gt;=TODAY()),$Y389,99999))))</f>
        <v/>
      </c>
      <c r="N389" s="27" t="n"/>
      <c r="O389" s="27" t="n"/>
      <c r="P389" s="27" t="n"/>
      <c r="Q389" s="27" t="n"/>
      <c r="R389" s="27" t="n"/>
      <c r="S389" s="27" t="n"/>
      <c r="T389" s="27" t="n"/>
      <c r="U389" s="27" t="n"/>
      <c r="V389" s="27" t="n"/>
      <c r="W389" s="27" t="n"/>
      <c r="X389" s="27" t="n"/>
      <c r="Y389" s="27" t="n"/>
      <c r="Z389" s="27" t="n"/>
      <c r="AA389" s="27" t="n"/>
      <c r="AB389" s="27" t="n"/>
      <c r="AC389" s="30" t="n"/>
      <c r="AD389" s="25" t="n"/>
      <c r="AE389" s="28">
        <f>IF(NOT(AND($A389&lt;&gt;"",OR($I389="",$I389="Active"))),"",IF(OR(IF(OR(ISNUMBER($Y389),$Y389="DNA"),$Y389,IF(OR(ISNUMBER($X389),$X389="DNA"),$X389,IF(OR(ISNUMBER($W389),$W389="DNA"),$W389,IF(OR(ISNUMBER($V389),$V389="DNA"),$V389,IF(OR(ISNUMBER($U389),$U389="DNA"),$U389,IF(OR(ISNUMBER($T389),$T389="DNA"),$T389,IF(OR(ISNUMBER($S389),$S389="DNA"),$S389,IF(OR(ISNUMBER($P389),$P389="DNA"),$P389,IF(OR(ISNUMBER($O389),$O389="DNA"),$O389,IF(OR(ISNUMBER($N389),$N389="DNA"),$N389,""))))))))))="DNA",AND(ISNUMBER(IF(OR(ISNUMBER($Y389),$Y389="DNA"),$Y389,IF(OR(ISNUMBER($X389),$X389="DNA"),$X389,IF(OR(ISNUMBER($W389),$W389="DNA"),$W389,IF(OR(ISNUMBER($V389),$V389="DNA"),$V389,IF(OR(ISNUMBER($U389),$U389="DNA"),$U389,IF(OR(ISNUMBER($T389),$T389="DNA"),$T389,IF(OR(ISNUMBER($S389),$S389="DNA"),$S389,IF(OR(ISNUMBER($P389),$P389="DNA"),$P389,IF(OR(ISNUMBER($O389),$O389="DNA"),$O389,IF(OR(ISNUMBER($N389),$N389="DNA"),$N389,""))))))))))),IF(OR(ISNUMBER($Y389),$Y389="DNA"),$Y389,IF(OR(ISNUMBER($X389),$X389="DNA"),$X389,IF(OR(ISNUMBER($W389),$W389="DNA"),$W389,IF(OR(ISNUMBER($V389),$V389="DNA"),$V389,IF(OR(ISNUMBER($U389),$U389="DNA"),$U389,IF(OR(ISNUMBER($T389),$T389="DNA"),$T389,IF(OR(ISNUMBER($S389),$S389="DNA"),$S389,IF(OR(ISNUMBER($P389),$P389="DNA"),$P389,IF(OR(ISNUMBER($O389),$O389="DNA"),$O389,IF(OR(ISNUMBER($N389),$N389="DNA"),$N389,""))))))))))&lt;TODAY())),1,0)+ISNUMBER($Q389)*($Q389&lt;TODAY())+ISNUMBER($R389)*($R389&lt;TODAY())+ISNUMBER($AA389)*($AA389&lt;TODAY())+ISNUMBER($AB389)*($AB389&lt;TODAY()))</f>
        <v/>
      </c>
    </row>
    <row r="390">
      <c r="A390" s="25" t="n"/>
      <c r="B390" s="26" t="n"/>
      <c r="C390" s="27" t="n"/>
      <c r="D390" s="25" t="n"/>
      <c r="E390" s="25" t="n"/>
      <c r="F390" s="25" t="n"/>
      <c r="G390" s="25" t="n"/>
      <c r="H390" s="27" t="n"/>
      <c r="I390" s="25" t="n"/>
      <c r="J390" s="28">
        <f>IF(OR(NOT(AND($A390&lt;&gt;"",OR($I390="",$I390="Active"))),$H390=""),"",INT((TODAY()-$H390+280)/7)&amp;"+"&amp;MOD(TODAY()-$H390+280,7))</f>
        <v/>
      </c>
      <c r="K390" s="28">
        <f>IF(NOT(AND($A390&lt;&gt;"",OR($I390="",$I390="Active"))),"",ISNUMBER($N390)*($N390&gt;=TODAY())*($N390&lt;=TODAY()+7)+ISNUMBER($O390)*($O390&gt;=TODAY())*($O390&lt;=TODAY()+7)+ISNUMBER($P390)*($P390&gt;=TODAY())*($P390&lt;=TODAY()+7)+ISNUMBER($S390)*($S390&gt;=TODAY())*($S390&lt;=TODAY()+7)+ISNUMBER($T390)*($T390&gt;=TODAY())*($T390&lt;=TODAY()+7)+ISNUMBER($U390)*($U390&gt;=TODAY())*($U390&lt;=TODAY()+7)+ISNUMBER($V390)*($V390&gt;=TODAY())*($V390&lt;=TODAY()+7)+ISNUMBER($W390)*($W390&gt;=TODAY())*($W390&lt;=TODAY()+7)+ISNUMBER($X390)*($X390&gt;=TODAY())*($X390&lt;=TODAY()+7)+ISNUMBER($Y390)*($Y390&gt;=TODAY())*($Y390&lt;=TODAY()+7)+ISNUMBER($Q390)*($Q390&gt;=TODAY())*($Q390&lt;=TODAY()+7)+ISNUMBER($R390)*($R390&gt;=TODAY())*($R390&lt;=TODAY()+7)+ISNUMBER($AA390)*($AA390&gt;=TODAY())*($AA390&lt;=TODAY()+7)+ISNUMBER($AB390)*($AB390&gt;=TODAY())*($AB390&lt;=TODAY()+7))</f>
        <v/>
      </c>
      <c r="L390" s="28">
        <f>IF(NOT(AND($A390&lt;&gt;"",OR($I390="",$I390="Active"))),"",IF($M390&lt;&gt;"",IF($N390=$M390,"Booking",IF($O390=$M390,"16/40",IF($P390=$M390,"25/40",IF($S390=$M390,"28/40",IF($T390=$M390,"31/40",IF($U390=$M390,"34/40",IF($V390=$M390,"36/40",IF($W390=$M390,"38/40",IF($X390=$M390,"40/40",IF($Y390=$M390,"41/40","")))))))))),IF(IF(OR(ISNUMBER($Y390),$Y390="DNA"),$Y390,IF(OR(ISNUMBER($X390),$X390="DNA"),$X390,IF(OR(ISNUMBER($W390),$W390="DNA"),$W390,IF(OR(ISNUMBER($V390),$V390="DNA"),$V390,IF(OR(ISNUMBER($U390),$U390="DNA"),$U390,IF(OR(ISNUMBER($T390),$T390="DNA"),$T390,IF(OR(ISNUMBER($S390),$S390="DNA"),$S390,IF(OR(ISNUMBER($P390),$P390="DNA"),$P390,IF(OR(ISNUMBER($O390),$O390="DNA"),$O390,IF(OR(ISNUMBER($N390),$N390="DNA"),$N390,""))))))))))="DNA","Rebook DNA",IF(ISNUMBER(IF(OR(ISNUMBER($Y390),$Y390="DNA"),$Y390,IF(OR(ISNUMBER($X390),$X390="DNA"),$X390,IF(OR(ISNUMBER($W390),$W390="DNA"),$W390,IF(OR(ISNUMBER($V390),$V390="DNA"),$V390,IF(OR(ISNUMBER($U390),$U390="DNA"),$U390,IF(OR(ISNUMBER($T390),$T390="DNA"),$T390,IF(OR(ISNUMBER($S390),$S390="DNA"),$S390,IF(OR(ISNUMBER($P390),$P390="DNA"),$P390,IF(OR(ISNUMBER($O390),$O390="DNA"),$O390,IF(OR(ISNUMBER($N390),$N390="DNA"),$N390,""))))))))))),IF(ISNUMBER($Y390),"Update status","Missed/not booked?"),""))))</f>
        <v/>
      </c>
      <c r="M390" s="29">
        <f>IF(NOT(AND($A390&lt;&gt;"",OR($I390="",$I390="Active"))),"",IF(MIN(IF(AND(ISNUMBER($N390),$N390&gt;=TODAY()),$N390,99999),IF(AND(ISNUMBER($O390),$O390&gt;=TODAY()),$O390,99999),IF(AND(ISNUMBER($P390),$P390&gt;=TODAY()),$P390,99999),IF(AND(ISNUMBER($S390),$S390&gt;=TODAY()),$S390,99999),IF(AND(ISNUMBER($T390),$T390&gt;=TODAY()),$T390,99999),IF(AND(ISNUMBER($U390),$U390&gt;=TODAY()),$U390,99999),IF(AND(ISNUMBER($V390),$V390&gt;=TODAY()),$V390,99999),IF(AND(ISNUMBER($W390),$W390&gt;=TODAY()),$W390,99999),IF(AND(ISNUMBER($X390),$X390&gt;=TODAY()),$X390,99999),IF(AND(ISNUMBER($Y390),$Y390&gt;=TODAY()),$Y390,99999))=99999,"",MIN(IF(AND(ISNUMBER($N390),$N390&gt;=TODAY()),$N390,99999),IF(AND(ISNUMBER($O390),$O390&gt;=TODAY()),$O390,99999),IF(AND(ISNUMBER($P390),$P390&gt;=TODAY()),$P390,99999),IF(AND(ISNUMBER($S390),$S390&gt;=TODAY()),$S390,99999),IF(AND(ISNUMBER($T390),$T390&gt;=TODAY()),$T390,99999),IF(AND(ISNUMBER($U390),$U390&gt;=TODAY()),$U390,99999),IF(AND(ISNUMBER($V390),$V390&gt;=TODAY()),$V390,99999),IF(AND(ISNUMBER($W390),$W390&gt;=TODAY()),$W390,99999),IF(AND(ISNUMBER($X390),$X390&gt;=TODAY()),$X390,99999),IF(AND(ISNUMBER($Y390),$Y390&gt;=TODAY()),$Y390,99999))))</f>
        <v/>
      </c>
      <c r="N390" s="27" t="n"/>
      <c r="O390" s="27" t="n"/>
      <c r="P390" s="27" t="n"/>
      <c r="Q390" s="27" t="n"/>
      <c r="R390" s="27" t="n"/>
      <c r="S390" s="27" t="n"/>
      <c r="T390" s="27" t="n"/>
      <c r="U390" s="27" t="n"/>
      <c r="V390" s="27" t="n"/>
      <c r="W390" s="27" t="n"/>
      <c r="X390" s="27" t="n"/>
      <c r="Y390" s="27" t="n"/>
      <c r="Z390" s="27" t="n"/>
      <c r="AA390" s="27" t="n"/>
      <c r="AB390" s="27" t="n"/>
      <c r="AC390" s="30" t="n"/>
      <c r="AD390" s="25" t="n"/>
      <c r="AE390" s="28">
        <f>IF(NOT(AND($A390&lt;&gt;"",OR($I390="",$I390="Active"))),"",IF(OR(IF(OR(ISNUMBER($Y390),$Y390="DNA"),$Y390,IF(OR(ISNUMBER($X390),$X390="DNA"),$X390,IF(OR(ISNUMBER($W390),$W390="DNA"),$W390,IF(OR(ISNUMBER($V390),$V390="DNA"),$V390,IF(OR(ISNUMBER($U390),$U390="DNA"),$U390,IF(OR(ISNUMBER($T390),$T390="DNA"),$T390,IF(OR(ISNUMBER($S390),$S390="DNA"),$S390,IF(OR(ISNUMBER($P390),$P390="DNA"),$P390,IF(OR(ISNUMBER($O390),$O390="DNA"),$O390,IF(OR(ISNUMBER($N390),$N390="DNA"),$N390,""))))))))))="DNA",AND(ISNUMBER(IF(OR(ISNUMBER($Y390),$Y390="DNA"),$Y390,IF(OR(ISNUMBER($X390),$X390="DNA"),$X390,IF(OR(ISNUMBER($W390),$W390="DNA"),$W390,IF(OR(ISNUMBER($V390),$V390="DNA"),$V390,IF(OR(ISNUMBER($U390),$U390="DNA"),$U390,IF(OR(ISNUMBER($T390),$T390="DNA"),$T390,IF(OR(ISNUMBER($S390),$S390="DNA"),$S390,IF(OR(ISNUMBER($P390),$P390="DNA"),$P390,IF(OR(ISNUMBER($O390),$O390="DNA"),$O390,IF(OR(ISNUMBER($N390),$N390="DNA"),$N390,""))))))))))),IF(OR(ISNUMBER($Y390),$Y390="DNA"),$Y390,IF(OR(ISNUMBER($X390),$X390="DNA"),$X390,IF(OR(ISNUMBER($W390),$W390="DNA"),$W390,IF(OR(ISNUMBER($V390),$V390="DNA"),$V390,IF(OR(ISNUMBER($U390),$U390="DNA"),$U390,IF(OR(ISNUMBER($T390),$T390="DNA"),$T390,IF(OR(ISNUMBER($S390),$S390="DNA"),$S390,IF(OR(ISNUMBER($P390),$P390="DNA"),$P390,IF(OR(ISNUMBER($O390),$O390="DNA"),$O390,IF(OR(ISNUMBER($N390),$N390="DNA"),$N390,""))))))))))&lt;TODAY())),1,0)+ISNUMBER($Q390)*($Q390&lt;TODAY())+ISNUMBER($R390)*($R390&lt;TODAY())+ISNUMBER($AA390)*($AA390&lt;TODAY())+ISNUMBER($AB390)*($AB390&lt;TODAY()))</f>
        <v/>
      </c>
    </row>
    <row r="391">
      <c r="A391" s="25" t="n"/>
      <c r="B391" s="26" t="n"/>
      <c r="C391" s="27" t="n"/>
      <c r="D391" s="25" t="n"/>
      <c r="E391" s="25" t="n"/>
      <c r="F391" s="25" t="n"/>
      <c r="G391" s="25" t="n"/>
      <c r="H391" s="27" t="n"/>
      <c r="I391" s="25" t="n"/>
      <c r="J391" s="28">
        <f>IF(OR(NOT(AND($A391&lt;&gt;"",OR($I391="",$I391="Active"))),$H391=""),"",INT((TODAY()-$H391+280)/7)&amp;"+"&amp;MOD(TODAY()-$H391+280,7))</f>
        <v/>
      </c>
      <c r="K391" s="28">
        <f>IF(NOT(AND($A391&lt;&gt;"",OR($I391="",$I391="Active"))),"",ISNUMBER($N391)*($N391&gt;=TODAY())*($N391&lt;=TODAY()+7)+ISNUMBER($O391)*($O391&gt;=TODAY())*($O391&lt;=TODAY()+7)+ISNUMBER($P391)*($P391&gt;=TODAY())*($P391&lt;=TODAY()+7)+ISNUMBER($S391)*($S391&gt;=TODAY())*($S391&lt;=TODAY()+7)+ISNUMBER($T391)*($T391&gt;=TODAY())*($T391&lt;=TODAY()+7)+ISNUMBER($U391)*($U391&gt;=TODAY())*($U391&lt;=TODAY()+7)+ISNUMBER($V391)*($V391&gt;=TODAY())*($V391&lt;=TODAY()+7)+ISNUMBER($W391)*($W391&gt;=TODAY())*($W391&lt;=TODAY()+7)+ISNUMBER($X391)*($X391&gt;=TODAY())*($X391&lt;=TODAY()+7)+ISNUMBER($Y391)*($Y391&gt;=TODAY())*($Y391&lt;=TODAY()+7)+ISNUMBER($Q391)*($Q391&gt;=TODAY())*($Q391&lt;=TODAY()+7)+ISNUMBER($R391)*($R391&gt;=TODAY())*($R391&lt;=TODAY()+7)+ISNUMBER($AA391)*($AA391&gt;=TODAY())*($AA391&lt;=TODAY()+7)+ISNUMBER($AB391)*($AB391&gt;=TODAY())*($AB391&lt;=TODAY()+7))</f>
        <v/>
      </c>
      <c r="L391" s="28">
        <f>IF(NOT(AND($A391&lt;&gt;"",OR($I391="",$I391="Active"))),"",IF($M391&lt;&gt;"",IF($N391=$M391,"Booking",IF($O391=$M391,"16/40",IF($P391=$M391,"25/40",IF($S391=$M391,"28/40",IF($T391=$M391,"31/40",IF($U391=$M391,"34/40",IF($V391=$M391,"36/40",IF($W391=$M391,"38/40",IF($X391=$M391,"40/40",IF($Y391=$M391,"41/40","")))))))))),IF(IF(OR(ISNUMBER($Y391),$Y391="DNA"),$Y391,IF(OR(ISNUMBER($X391),$X391="DNA"),$X391,IF(OR(ISNUMBER($W391),$W391="DNA"),$W391,IF(OR(ISNUMBER($V391),$V391="DNA"),$V391,IF(OR(ISNUMBER($U391),$U391="DNA"),$U391,IF(OR(ISNUMBER($T391),$T391="DNA"),$T391,IF(OR(ISNUMBER($S391),$S391="DNA"),$S391,IF(OR(ISNUMBER($P391),$P391="DNA"),$P391,IF(OR(ISNUMBER($O391),$O391="DNA"),$O391,IF(OR(ISNUMBER($N391),$N391="DNA"),$N391,""))))))))))="DNA","Rebook DNA",IF(ISNUMBER(IF(OR(ISNUMBER($Y391),$Y391="DNA"),$Y391,IF(OR(ISNUMBER($X391),$X391="DNA"),$X391,IF(OR(ISNUMBER($W391),$W391="DNA"),$W391,IF(OR(ISNUMBER($V391),$V391="DNA"),$V391,IF(OR(ISNUMBER($U391),$U391="DNA"),$U391,IF(OR(ISNUMBER($T391),$T391="DNA"),$T391,IF(OR(ISNUMBER($S391),$S391="DNA"),$S391,IF(OR(ISNUMBER($P391),$P391="DNA"),$P391,IF(OR(ISNUMBER($O391),$O391="DNA"),$O391,IF(OR(ISNUMBER($N391),$N391="DNA"),$N391,""))))))))))),IF(ISNUMBER($Y391),"Update status","Missed/not booked?"),""))))</f>
        <v/>
      </c>
      <c r="M391" s="29">
        <f>IF(NOT(AND($A391&lt;&gt;"",OR($I391="",$I391="Active"))),"",IF(MIN(IF(AND(ISNUMBER($N391),$N391&gt;=TODAY()),$N391,99999),IF(AND(ISNUMBER($O391),$O391&gt;=TODAY()),$O391,99999),IF(AND(ISNUMBER($P391),$P391&gt;=TODAY()),$P391,99999),IF(AND(ISNUMBER($S391),$S391&gt;=TODAY()),$S391,99999),IF(AND(ISNUMBER($T391),$T391&gt;=TODAY()),$T391,99999),IF(AND(ISNUMBER($U391),$U391&gt;=TODAY()),$U391,99999),IF(AND(ISNUMBER($V391),$V391&gt;=TODAY()),$V391,99999),IF(AND(ISNUMBER($W391),$W391&gt;=TODAY()),$W391,99999),IF(AND(ISNUMBER($X391),$X391&gt;=TODAY()),$X391,99999),IF(AND(ISNUMBER($Y391),$Y391&gt;=TODAY()),$Y391,99999))=99999,"",MIN(IF(AND(ISNUMBER($N391),$N391&gt;=TODAY()),$N391,99999),IF(AND(ISNUMBER($O391),$O391&gt;=TODAY()),$O391,99999),IF(AND(ISNUMBER($P391),$P391&gt;=TODAY()),$P391,99999),IF(AND(ISNUMBER($S391),$S391&gt;=TODAY()),$S391,99999),IF(AND(ISNUMBER($T391),$T391&gt;=TODAY()),$T391,99999),IF(AND(ISNUMBER($U391),$U391&gt;=TODAY()),$U391,99999),IF(AND(ISNUMBER($V391),$V391&gt;=TODAY()),$V391,99999),IF(AND(ISNUMBER($W391),$W391&gt;=TODAY()),$W391,99999),IF(AND(ISNUMBER($X391),$X391&gt;=TODAY()),$X391,99999),IF(AND(ISNUMBER($Y391),$Y391&gt;=TODAY()),$Y391,99999))))</f>
        <v/>
      </c>
      <c r="N391" s="27" t="n"/>
      <c r="O391" s="27" t="n"/>
      <c r="P391" s="27" t="n"/>
      <c r="Q391" s="27" t="n"/>
      <c r="R391" s="27" t="n"/>
      <c r="S391" s="27" t="n"/>
      <c r="T391" s="27" t="n"/>
      <c r="U391" s="27" t="n"/>
      <c r="V391" s="27" t="n"/>
      <c r="W391" s="27" t="n"/>
      <c r="X391" s="27" t="n"/>
      <c r="Y391" s="27" t="n"/>
      <c r="Z391" s="27" t="n"/>
      <c r="AA391" s="27" t="n"/>
      <c r="AB391" s="27" t="n"/>
      <c r="AC391" s="30" t="n"/>
      <c r="AD391" s="25" t="n"/>
      <c r="AE391" s="28">
        <f>IF(NOT(AND($A391&lt;&gt;"",OR($I391="",$I391="Active"))),"",IF(OR(IF(OR(ISNUMBER($Y391),$Y391="DNA"),$Y391,IF(OR(ISNUMBER($X391),$X391="DNA"),$X391,IF(OR(ISNUMBER($W391),$W391="DNA"),$W391,IF(OR(ISNUMBER($V391),$V391="DNA"),$V391,IF(OR(ISNUMBER($U391),$U391="DNA"),$U391,IF(OR(ISNUMBER($T391),$T391="DNA"),$T391,IF(OR(ISNUMBER($S391),$S391="DNA"),$S391,IF(OR(ISNUMBER($P391),$P391="DNA"),$P391,IF(OR(ISNUMBER($O391),$O391="DNA"),$O391,IF(OR(ISNUMBER($N391),$N391="DNA"),$N391,""))))))))))="DNA",AND(ISNUMBER(IF(OR(ISNUMBER($Y391),$Y391="DNA"),$Y391,IF(OR(ISNUMBER($X391),$X391="DNA"),$X391,IF(OR(ISNUMBER($W391),$W391="DNA"),$W391,IF(OR(ISNUMBER($V391),$V391="DNA"),$V391,IF(OR(ISNUMBER($U391),$U391="DNA"),$U391,IF(OR(ISNUMBER($T391),$T391="DNA"),$T391,IF(OR(ISNUMBER($S391),$S391="DNA"),$S391,IF(OR(ISNUMBER($P391),$P391="DNA"),$P391,IF(OR(ISNUMBER($O391),$O391="DNA"),$O391,IF(OR(ISNUMBER($N391),$N391="DNA"),$N391,""))))))))))),IF(OR(ISNUMBER($Y391),$Y391="DNA"),$Y391,IF(OR(ISNUMBER($X391),$X391="DNA"),$X391,IF(OR(ISNUMBER($W391),$W391="DNA"),$W391,IF(OR(ISNUMBER($V391),$V391="DNA"),$V391,IF(OR(ISNUMBER($U391),$U391="DNA"),$U391,IF(OR(ISNUMBER($T391),$T391="DNA"),$T391,IF(OR(ISNUMBER($S391),$S391="DNA"),$S391,IF(OR(ISNUMBER($P391),$P391="DNA"),$P391,IF(OR(ISNUMBER($O391),$O391="DNA"),$O391,IF(OR(ISNUMBER($N391),$N391="DNA"),$N391,""))))))))))&lt;TODAY())),1,0)+ISNUMBER($Q391)*($Q391&lt;TODAY())+ISNUMBER($R391)*($R391&lt;TODAY())+ISNUMBER($AA391)*($AA391&lt;TODAY())+ISNUMBER($AB391)*($AB391&lt;TODAY()))</f>
        <v/>
      </c>
    </row>
    <row r="392">
      <c r="A392" s="25" t="n"/>
      <c r="B392" s="26" t="n"/>
      <c r="C392" s="27" t="n"/>
      <c r="D392" s="25" t="n"/>
      <c r="E392" s="25" t="n"/>
      <c r="F392" s="25" t="n"/>
      <c r="G392" s="25" t="n"/>
      <c r="H392" s="27" t="n"/>
      <c r="I392" s="25" t="n"/>
      <c r="J392" s="28">
        <f>IF(OR(NOT(AND($A392&lt;&gt;"",OR($I392="",$I392="Active"))),$H392=""),"",INT((TODAY()-$H392+280)/7)&amp;"+"&amp;MOD(TODAY()-$H392+280,7))</f>
        <v/>
      </c>
      <c r="K392" s="28">
        <f>IF(NOT(AND($A392&lt;&gt;"",OR($I392="",$I392="Active"))),"",ISNUMBER($N392)*($N392&gt;=TODAY())*($N392&lt;=TODAY()+7)+ISNUMBER($O392)*($O392&gt;=TODAY())*($O392&lt;=TODAY()+7)+ISNUMBER($P392)*($P392&gt;=TODAY())*($P392&lt;=TODAY()+7)+ISNUMBER($S392)*($S392&gt;=TODAY())*($S392&lt;=TODAY()+7)+ISNUMBER($T392)*($T392&gt;=TODAY())*($T392&lt;=TODAY()+7)+ISNUMBER($U392)*($U392&gt;=TODAY())*($U392&lt;=TODAY()+7)+ISNUMBER($V392)*($V392&gt;=TODAY())*($V392&lt;=TODAY()+7)+ISNUMBER($W392)*($W392&gt;=TODAY())*($W392&lt;=TODAY()+7)+ISNUMBER($X392)*($X392&gt;=TODAY())*($X392&lt;=TODAY()+7)+ISNUMBER($Y392)*($Y392&gt;=TODAY())*($Y392&lt;=TODAY()+7)+ISNUMBER($Q392)*($Q392&gt;=TODAY())*($Q392&lt;=TODAY()+7)+ISNUMBER($R392)*($R392&gt;=TODAY())*($R392&lt;=TODAY()+7)+ISNUMBER($AA392)*($AA392&gt;=TODAY())*($AA392&lt;=TODAY()+7)+ISNUMBER($AB392)*($AB392&gt;=TODAY())*($AB392&lt;=TODAY()+7))</f>
        <v/>
      </c>
      <c r="L392" s="28">
        <f>IF(NOT(AND($A392&lt;&gt;"",OR($I392="",$I392="Active"))),"",IF($M392&lt;&gt;"",IF($N392=$M392,"Booking",IF($O392=$M392,"16/40",IF($P392=$M392,"25/40",IF($S392=$M392,"28/40",IF($T392=$M392,"31/40",IF($U392=$M392,"34/40",IF($V392=$M392,"36/40",IF($W392=$M392,"38/40",IF($X392=$M392,"40/40",IF($Y392=$M392,"41/40","")))))))))),IF(IF(OR(ISNUMBER($Y392),$Y392="DNA"),$Y392,IF(OR(ISNUMBER($X392),$X392="DNA"),$X392,IF(OR(ISNUMBER($W392),$W392="DNA"),$W392,IF(OR(ISNUMBER($V392),$V392="DNA"),$V392,IF(OR(ISNUMBER($U392),$U392="DNA"),$U392,IF(OR(ISNUMBER($T392),$T392="DNA"),$T392,IF(OR(ISNUMBER($S392),$S392="DNA"),$S392,IF(OR(ISNUMBER($P392),$P392="DNA"),$P392,IF(OR(ISNUMBER($O392),$O392="DNA"),$O392,IF(OR(ISNUMBER($N392),$N392="DNA"),$N392,""))))))))))="DNA","Rebook DNA",IF(ISNUMBER(IF(OR(ISNUMBER($Y392),$Y392="DNA"),$Y392,IF(OR(ISNUMBER($X392),$X392="DNA"),$X392,IF(OR(ISNUMBER($W392),$W392="DNA"),$W392,IF(OR(ISNUMBER($V392),$V392="DNA"),$V392,IF(OR(ISNUMBER($U392),$U392="DNA"),$U392,IF(OR(ISNUMBER($T392),$T392="DNA"),$T392,IF(OR(ISNUMBER($S392),$S392="DNA"),$S392,IF(OR(ISNUMBER($P392),$P392="DNA"),$P392,IF(OR(ISNUMBER($O392),$O392="DNA"),$O392,IF(OR(ISNUMBER($N392),$N392="DNA"),$N392,""))))))))))),IF(ISNUMBER($Y392),"Update status","Missed/not booked?"),""))))</f>
        <v/>
      </c>
      <c r="M392" s="29">
        <f>IF(NOT(AND($A392&lt;&gt;"",OR($I392="",$I392="Active"))),"",IF(MIN(IF(AND(ISNUMBER($N392),$N392&gt;=TODAY()),$N392,99999),IF(AND(ISNUMBER($O392),$O392&gt;=TODAY()),$O392,99999),IF(AND(ISNUMBER($P392),$P392&gt;=TODAY()),$P392,99999),IF(AND(ISNUMBER($S392),$S392&gt;=TODAY()),$S392,99999),IF(AND(ISNUMBER($T392),$T392&gt;=TODAY()),$T392,99999),IF(AND(ISNUMBER($U392),$U392&gt;=TODAY()),$U392,99999),IF(AND(ISNUMBER($V392),$V392&gt;=TODAY()),$V392,99999),IF(AND(ISNUMBER($W392),$W392&gt;=TODAY()),$W392,99999),IF(AND(ISNUMBER($X392),$X392&gt;=TODAY()),$X392,99999),IF(AND(ISNUMBER($Y392),$Y392&gt;=TODAY()),$Y392,99999))=99999,"",MIN(IF(AND(ISNUMBER($N392),$N392&gt;=TODAY()),$N392,99999),IF(AND(ISNUMBER($O392),$O392&gt;=TODAY()),$O392,99999),IF(AND(ISNUMBER($P392),$P392&gt;=TODAY()),$P392,99999),IF(AND(ISNUMBER($S392),$S392&gt;=TODAY()),$S392,99999),IF(AND(ISNUMBER($T392),$T392&gt;=TODAY()),$T392,99999),IF(AND(ISNUMBER($U392),$U392&gt;=TODAY()),$U392,99999),IF(AND(ISNUMBER($V392),$V392&gt;=TODAY()),$V392,99999),IF(AND(ISNUMBER($W392),$W392&gt;=TODAY()),$W392,99999),IF(AND(ISNUMBER($X392),$X392&gt;=TODAY()),$X392,99999),IF(AND(ISNUMBER($Y392),$Y392&gt;=TODAY()),$Y392,99999))))</f>
        <v/>
      </c>
      <c r="N392" s="27" t="n"/>
      <c r="O392" s="27" t="n"/>
      <c r="P392" s="27" t="n"/>
      <c r="Q392" s="27" t="n"/>
      <c r="R392" s="27" t="n"/>
      <c r="S392" s="27" t="n"/>
      <c r="T392" s="27" t="n"/>
      <c r="U392" s="27" t="n"/>
      <c r="V392" s="27" t="n"/>
      <c r="W392" s="27" t="n"/>
      <c r="X392" s="27" t="n"/>
      <c r="Y392" s="27" t="n"/>
      <c r="Z392" s="27" t="n"/>
      <c r="AA392" s="27" t="n"/>
      <c r="AB392" s="27" t="n"/>
      <c r="AC392" s="30" t="n"/>
      <c r="AD392" s="25" t="n"/>
      <c r="AE392" s="28">
        <f>IF(NOT(AND($A392&lt;&gt;"",OR($I392="",$I392="Active"))),"",IF(OR(IF(OR(ISNUMBER($Y392),$Y392="DNA"),$Y392,IF(OR(ISNUMBER($X392),$X392="DNA"),$X392,IF(OR(ISNUMBER($W392),$W392="DNA"),$W392,IF(OR(ISNUMBER($V392),$V392="DNA"),$V392,IF(OR(ISNUMBER($U392),$U392="DNA"),$U392,IF(OR(ISNUMBER($T392),$T392="DNA"),$T392,IF(OR(ISNUMBER($S392),$S392="DNA"),$S392,IF(OR(ISNUMBER($P392),$P392="DNA"),$P392,IF(OR(ISNUMBER($O392),$O392="DNA"),$O392,IF(OR(ISNUMBER($N392),$N392="DNA"),$N392,""))))))))))="DNA",AND(ISNUMBER(IF(OR(ISNUMBER($Y392),$Y392="DNA"),$Y392,IF(OR(ISNUMBER($X392),$X392="DNA"),$X392,IF(OR(ISNUMBER($W392),$W392="DNA"),$W392,IF(OR(ISNUMBER($V392),$V392="DNA"),$V392,IF(OR(ISNUMBER($U392),$U392="DNA"),$U392,IF(OR(ISNUMBER($T392),$T392="DNA"),$T392,IF(OR(ISNUMBER($S392),$S392="DNA"),$S392,IF(OR(ISNUMBER($P392),$P392="DNA"),$P392,IF(OR(ISNUMBER($O392),$O392="DNA"),$O392,IF(OR(ISNUMBER($N392),$N392="DNA"),$N392,""))))))))))),IF(OR(ISNUMBER($Y392),$Y392="DNA"),$Y392,IF(OR(ISNUMBER($X392),$X392="DNA"),$X392,IF(OR(ISNUMBER($W392),$W392="DNA"),$W392,IF(OR(ISNUMBER($V392),$V392="DNA"),$V392,IF(OR(ISNUMBER($U392),$U392="DNA"),$U392,IF(OR(ISNUMBER($T392),$T392="DNA"),$T392,IF(OR(ISNUMBER($S392),$S392="DNA"),$S392,IF(OR(ISNUMBER($P392),$P392="DNA"),$P392,IF(OR(ISNUMBER($O392),$O392="DNA"),$O392,IF(OR(ISNUMBER($N392),$N392="DNA"),$N392,""))))))))))&lt;TODAY())),1,0)+ISNUMBER($Q392)*($Q392&lt;TODAY())+ISNUMBER($R392)*($R392&lt;TODAY())+ISNUMBER($AA392)*($AA392&lt;TODAY())+ISNUMBER($AB392)*($AB392&lt;TODAY()))</f>
        <v/>
      </c>
    </row>
    <row r="393">
      <c r="A393" s="25" t="n"/>
      <c r="B393" s="26" t="n"/>
      <c r="C393" s="27" t="n"/>
      <c r="D393" s="25" t="n"/>
      <c r="E393" s="25" t="n"/>
      <c r="F393" s="25" t="n"/>
      <c r="G393" s="25" t="n"/>
      <c r="H393" s="27" t="n"/>
      <c r="I393" s="25" t="n"/>
      <c r="J393" s="28">
        <f>IF(OR(NOT(AND($A393&lt;&gt;"",OR($I393="",$I393="Active"))),$H393=""),"",INT((TODAY()-$H393+280)/7)&amp;"+"&amp;MOD(TODAY()-$H393+280,7))</f>
        <v/>
      </c>
      <c r="K393" s="28">
        <f>IF(NOT(AND($A393&lt;&gt;"",OR($I393="",$I393="Active"))),"",ISNUMBER($N393)*($N393&gt;=TODAY())*($N393&lt;=TODAY()+7)+ISNUMBER($O393)*($O393&gt;=TODAY())*($O393&lt;=TODAY()+7)+ISNUMBER($P393)*($P393&gt;=TODAY())*($P393&lt;=TODAY()+7)+ISNUMBER($S393)*($S393&gt;=TODAY())*($S393&lt;=TODAY()+7)+ISNUMBER($T393)*($T393&gt;=TODAY())*($T393&lt;=TODAY()+7)+ISNUMBER($U393)*($U393&gt;=TODAY())*($U393&lt;=TODAY()+7)+ISNUMBER($V393)*($V393&gt;=TODAY())*($V393&lt;=TODAY()+7)+ISNUMBER($W393)*($W393&gt;=TODAY())*($W393&lt;=TODAY()+7)+ISNUMBER($X393)*($X393&gt;=TODAY())*($X393&lt;=TODAY()+7)+ISNUMBER($Y393)*($Y393&gt;=TODAY())*($Y393&lt;=TODAY()+7)+ISNUMBER($Q393)*($Q393&gt;=TODAY())*($Q393&lt;=TODAY()+7)+ISNUMBER($R393)*($R393&gt;=TODAY())*($R393&lt;=TODAY()+7)+ISNUMBER($AA393)*($AA393&gt;=TODAY())*($AA393&lt;=TODAY()+7)+ISNUMBER($AB393)*($AB393&gt;=TODAY())*($AB393&lt;=TODAY()+7))</f>
        <v/>
      </c>
      <c r="L393" s="28">
        <f>IF(NOT(AND($A393&lt;&gt;"",OR($I393="",$I393="Active"))),"",IF($M393&lt;&gt;"",IF($N393=$M393,"Booking",IF($O393=$M393,"16/40",IF($P393=$M393,"25/40",IF($S393=$M393,"28/40",IF($T393=$M393,"31/40",IF($U393=$M393,"34/40",IF($V393=$M393,"36/40",IF($W393=$M393,"38/40",IF($X393=$M393,"40/40",IF($Y393=$M393,"41/40","")))))))))),IF(IF(OR(ISNUMBER($Y393),$Y393="DNA"),$Y393,IF(OR(ISNUMBER($X393),$X393="DNA"),$X393,IF(OR(ISNUMBER($W393),$W393="DNA"),$W393,IF(OR(ISNUMBER($V393),$V393="DNA"),$V393,IF(OR(ISNUMBER($U393),$U393="DNA"),$U393,IF(OR(ISNUMBER($T393),$T393="DNA"),$T393,IF(OR(ISNUMBER($S393),$S393="DNA"),$S393,IF(OR(ISNUMBER($P393),$P393="DNA"),$P393,IF(OR(ISNUMBER($O393),$O393="DNA"),$O393,IF(OR(ISNUMBER($N393),$N393="DNA"),$N393,""))))))))))="DNA","Rebook DNA",IF(ISNUMBER(IF(OR(ISNUMBER($Y393),$Y393="DNA"),$Y393,IF(OR(ISNUMBER($X393),$X393="DNA"),$X393,IF(OR(ISNUMBER($W393),$W393="DNA"),$W393,IF(OR(ISNUMBER($V393),$V393="DNA"),$V393,IF(OR(ISNUMBER($U393),$U393="DNA"),$U393,IF(OR(ISNUMBER($T393),$T393="DNA"),$T393,IF(OR(ISNUMBER($S393),$S393="DNA"),$S393,IF(OR(ISNUMBER($P393),$P393="DNA"),$P393,IF(OR(ISNUMBER($O393),$O393="DNA"),$O393,IF(OR(ISNUMBER($N393),$N393="DNA"),$N393,""))))))))))),IF(ISNUMBER($Y393),"Update status","Missed/not booked?"),""))))</f>
        <v/>
      </c>
      <c r="M393" s="29">
        <f>IF(NOT(AND($A393&lt;&gt;"",OR($I393="",$I393="Active"))),"",IF(MIN(IF(AND(ISNUMBER($N393),$N393&gt;=TODAY()),$N393,99999),IF(AND(ISNUMBER($O393),$O393&gt;=TODAY()),$O393,99999),IF(AND(ISNUMBER($P393),$P393&gt;=TODAY()),$P393,99999),IF(AND(ISNUMBER($S393),$S393&gt;=TODAY()),$S393,99999),IF(AND(ISNUMBER($T393),$T393&gt;=TODAY()),$T393,99999),IF(AND(ISNUMBER($U393),$U393&gt;=TODAY()),$U393,99999),IF(AND(ISNUMBER($V393),$V393&gt;=TODAY()),$V393,99999),IF(AND(ISNUMBER($W393),$W393&gt;=TODAY()),$W393,99999),IF(AND(ISNUMBER($X393),$X393&gt;=TODAY()),$X393,99999),IF(AND(ISNUMBER($Y393),$Y393&gt;=TODAY()),$Y393,99999))=99999,"",MIN(IF(AND(ISNUMBER($N393),$N393&gt;=TODAY()),$N393,99999),IF(AND(ISNUMBER($O393),$O393&gt;=TODAY()),$O393,99999),IF(AND(ISNUMBER($P393),$P393&gt;=TODAY()),$P393,99999),IF(AND(ISNUMBER($S393),$S393&gt;=TODAY()),$S393,99999),IF(AND(ISNUMBER($T393),$T393&gt;=TODAY()),$T393,99999),IF(AND(ISNUMBER($U393),$U393&gt;=TODAY()),$U393,99999),IF(AND(ISNUMBER($V393),$V393&gt;=TODAY()),$V393,99999),IF(AND(ISNUMBER($W393),$W393&gt;=TODAY()),$W393,99999),IF(AND(ISNUMBER($X393),$X393&gt;=TODAY()),$X393,99999),IF(AND(ISNUMBER($Y393),$Y393&gt;=TODAY()),$Y393,99999))))</f>
        <v/>
      </c>
      <c r="N393" s="27" t="n"/>
      <c r="O393" s="27" t="n"/>
      <c r="P393" s="27" t="n"/>
      <c r="Q393" s="27" t="n"/>
      <c r="R393" s="27" t="n"/>
      <c r="S393" s="27" t="n"/>
      <c r="T393" s="27" t="n"/>
      <c r="U393" s="27" t="n"/>
      <c r="V393" s="27" t="n"/>
      <c r="W393" s="27" t="n"/>
      <c r="X393" s="27" t="n"/>
      <c r="Y393" s="27" t="n"/>
      <c r="Z393" s="27" t="n"/>
      <c r="AA393" s="27" t="n"/>
      <c r="AB393" s="27" t="n"/>
      <c r="AC393" s="30" t="n"/>
      <c r="AD393" s="25" t="n"/>
      <c r="AE393" s="28">
        <f>IF(NOT(AND($A393&lt;&gt;"",OR($I393="",$I393="Active"))),"",IF(OR(IF(OR(ISNUMBER($Y393),$Y393="DNA"),$Y393,IF(OR(ISNUMBER($X393),$X393="DNA"),$X393,IF(OR(ISNUMBER($W393),$W393="DNA"),$W393,IF(OR(ISNUMBER($V393),$V393="DNA"),$V393,IF(OR(ISNUMBER($U393),$U393="DNA"),$U393,IF(OR(ISNUMBER($T393),$T393="DNA"),$T393,IF(OR(ISNUMBER($S393),$S393="DNA"),$S393,IF(OR(ISNUMBER($P393),$P393="DNA"),$P393,IF(OR(ISNUMBER($O393),$O393="DNA"),$O393,IF(OR(ISNUMBER($N393),$N393="DNA"),$N393,""))))))))))="DNA",AND(ISNUMBER(IF(OR(ISNUMBER($Y393),$Y393="DNA"),$Y393,IF(OR(ISNUMBER($X393),$X393="DNA"),$X393,IF(OR(ISNUMBER($W393),$W393="DNA"),$W393,IF(OR(ISNUMBER($V393),$V393="DNA"),$V393,IF(OR(ISNUMBER($U393),$U393="DNA"),$U393,IF(OR(ISNUMBER($T393),$T393="DNA"),$T393,IF(OR(ISNUMBER($S393),$S393="DNA"),$S393,IF(OR(ISNUMBER($P393),$P393="DNA"),$P393,IF(OR(ISNUMBER($O393),$O393="DNA"),$O393,IF(OR(ISNUMBER($N393),$N393="DNA"),$N393,""))))))))))),IF(OR(ISNUMBER($Y393),$Y393="DNA"),$Y393,IF(OR(ISNUMBER($X393),$X393="DNA"),$X393,IF(OR(ISNUMBER($W393),$W393="DNA"),$W393,IF(OR(ISNUMBER($V393),$V393="DNA"),$V393,IF(OR(ISNUMBER($U393),$U393="DNA"),$U393,IF(OR(ISNUMBER($T393),$T393="DNA"),$T393,IF(OR(ISNUMBER($S393),$S393="DNA"),$S393,IF(OR(ISNUMBER($P393),$P393="DNA"),$P393,IF(OR(ISNUMBER($O393),$O393="DNA"),$O393,IF(OR(ISNUMBER($N393),$N393="DNA"),$N393,""))))))))))&lt;TODAY())),1,0)+ISNUMBER($Q393)*($Q393&lt;TODAY())+ISNUMBER($R393)*($R393&lt;TODAY())+ISNUMBER($AA393)*($AA393&lt;TODAY())+ISNUMBER($AB393)*($AB393&lt;TODAY()))</f>
        <v/>
      </c>
    </row>
    <row r="394">
      <c r="A394" s="25" t="n"/>
      <c r="B394" s="26" t="n"/>
      <c r="C394" s="27" t="n"/>
      <c r="D394" s="25" t="n"/>
      <c r="E394" s="25" t="n"/>
      <c r="F394" s="25" t="n"/>
      <c r="G394" s="25" t="n"/>
      <c r="H394" s="27" t="n"/>
      <c r="I394" s="25" t="n"/>
      <c r="J394" s="28">
        <f>IF(OR(NOT(AND($A394&lt;&gt;"",OR($I394="",$I394="Active"))),$H394=""),"",INT((TODAY()-$H394+280)/7)&amp;"+"&amp;MOD(TODAY()-$H394+280,7))</f>
        <v/>
      </c>
      <c r="K394" s="28">
        <f>IF(NOT(AND($A394&lt;&gt;"",OR($I394="",$I394="Active"))),"",ISNUMBER($N394)*($N394&gt;=TODAY())*($N394&lt;=TODAY()+7)+ISNUMBER($O394)*($O394&gt;=TODAY())*($O394&lt;=TODAY()+7)+ISNUMBER($P394)*($P394&gt;=TODAY())*($P394&lt;=TODAY()+7)+ISNUMBER($S394)*($S394&gt;=TODAY())*($S394&lt;=TODAY()+7)+ISNUMBER($T394)*($T394&gt;=TODAY())*($T394&lt;=TODAY()+7)+ISNUMBER($U394)*($U394&gt;=TODAY())*($U394&lt;=TODAY()+7)+ISNUMBER($V394)*($V394&gt;=TODAY())*($V394&lt;=TODAY()+7)+ISNUMBER($W394)*($W394&gt;=TODAY())*($W394&lt;=TODAY()+7)+ISNUMBER($X394)*($X394&gt;=TODAY())*($X394&lt;=TODAY()+7)+ISNUMBER($Y394)*($Y394&gt;=TODAY())*($Y394&lt;=TODAY()+7)+ISNUMBER($Q394)*($Q394&gt;=TODAY())*($Q394&lt;=TODAY()+7)+ISNUMBER($R394)*($R394&gt;=TODAY())*($R394&lt;=TODAY()+7)+ISNUMBER($AA394)*($AA394&gt;=TODAY())*($AA394&lt;=TODAY()+7)+ISNUMBER($AB394)*($AB394&gt;=TODAY())*($AB394&lt;=TODAY()+7))</f>
        <v/>
      </c>
      <c r="L394" s="28">
        <f>IF(NOT(AND($A394&lt;&gt;"",OR($I394="",$I394="Active"))),"",IF($M394&lt;&gt;"",IF($N394=$M394,"Booking",IF($O394=$M394,"16/40",IF($P394=$M394,"25/40",IF($S394=$M394,"28/40",IF($T394=$M394,"31/40",IF($U394=$M394,"34/40",IF($V394=$M394,"36/40",IF($W394=$M394,"38/40",IF($X394=$M394,"40/40",IF($Y394=$M394,"41/40","")))))))))),IF(IF(OR(ISNUMBER($Y394),$Y394="DNA"),$Y394,IF(OR(ISNUMBER($X394),$X394="DNA"),$X394,IF(OR(ISNUMBER($W394),$W394="DNA"),$W394,IF(OR(ISNUMBER($V394),$V394="DNA"),$V394,IF(OR(ISNUMBER($U394),$U394="DNA"),$U394,IF(OR(ISNUMBER($T394),$T394="DNA"),$T394,IF(OR(ISNUMBER($S394),$S394="DNA"),$S394,IF(OR(ISNUMBER($P394),$P394="DNA"),$P394,IF(OR(ISNUMBER($O394),$O394="DNA"),$O394,IF(OR(ISNUMBER($N394),$N394="DNA"),$N394,""))))))))))="DNA","Rebook DNA",IF(ISNUMBER(IF(OR(ISNUMBER($Y394),$Y394="DNA"),$Y394,IF(OR(ISNUMBER($X394),$X394="DNA"),$X394,IF(OR(ISNUMBER($W394),$W394="DNA"),$W394,IF(OR(ISNUMBER($V394),$V394="DNA"),$V394,IF(OR(ISNUMBER($U394),$U394="DNA"),$U394,IF(OR(ISNUMBER($T394),$T394="DNA"),$T394,IF(OR(ISNUMBER($S394),$S394="DNA"),$S394,IF(OR(ISNUMBER($P394),$P394="DNA"),$P394,IF(OR(ISNUMBER($O394),$O394="DNA"),$O394,IF(OR(ISNUMBER($N394),$N394="DNA"),$N394,""))))))))))),IF(ISNUMBER($Y394),"Update status","Missed/not booked?"),""))))</f>
        <v/>
      </c>
      <c r="M394" s="29">
        <f>IF(NOT(AND($A394&lt;&gt;"",OR($I394="",$I394="Active"))),"",IF(MIN(IF(AND(ISNUMBER($N394),$N394&gt;=TODAY()),$N394,99999),IF(AND(ISNUMBER($O394),$O394&gt;=TODAY()),$O394,99999),IF(AND(ISNUMBER($P394),$P394&gt;=TODAY()),$P394,99999),IF(AND(ISNUMBER($S394),$S394&gt;=TODAY()),$S394,99999),IF(AND(ISNUMBER($T394),$T394&gt;=TODAY()),$T394,99999),IF(AND(ISNUMBER($U394),$U394&gt;=TODAY()),$U394,99999),IF(AND(ISNUMBER($V394),$V394&gt;=TODAY()),$V394,99999),IF(AND(ISNUMBER($W394),$W394&gt;=TODAY()),$W394,99999),IF(AND(ISNUMBER($X394),$X394&gt;=TODAY()),$X394,99999),IF(AND(ISNUMBER($Y394),$Y394&gt;=TODAY()),$Y394,99999))=99999,"",MIN(IF(AND(ISNUMBER($N394),$N394&gt;=TODAY()),$N394,99999),IF(AND(ISNUMBER($O394),$O394&gt;=TODAY()),$O394,99999),IF(AND(ISNUMBER($P394),$P394&gt;=TODAY()),$P394,99999),IF(AND(ISNUMBER($S394),$S394&gt;=TODAY()),$S394,99999),IF(AND(ISNUMBER($T394),$T394&gt;=TODAY()),$T394,99999),IF(AND(ISNUMBER($U394),$U394&gt;=TODAY()),$U394,99999),IF(AND(ISNUMBER($V394),$V394&gt;=TODAY()),$V394,99999),IF(AND(ISNUMBER($W394),$W394&gt;=TODAY()),$W394,99999),IF(AND(ISNUMBER($X394),$X394&gt;=TODAY()),$X394,99999),IF(AND(ISNUMBER($Y394),$Y394&gt;=TODAY()),$Y394,99999))))</f>
        <v/>
      </c>
      <c r="N394" s="27" t="n"/>
      <c r="O394" s="27" t="n"/>
      <c r="P394" s="27" t="n"/>
      <c r="Q394" s="27" t="n"/>
      <c r="R394" s="27" t="n"/>
      <c r="S394" s="27" t="n"/>
      <c r="T394" s="27" t="n"/>
      <c r="U394" s="27" t="n"/>
      <c r="V394" s="27" t="n"/>
      <c r="W394" s="27" t="n"/>
      <c r="X394" s="27" t="n"/>
      <c r="Y394" s="27" t="n"/>
      <c r="Z394" s="27" t="n"/>
      <c r="AA394" s="27" t="n"/>
      <c r="AB394" s="27" t="n"/>
      <c r="AC394" s="30" t="n"/>
      <c r="AD394" s="25" t="n"/>
      <c r="AE394" s="28">
        <f>IF(NOT(AND($A394&lt;&gt;"",OR($I394="",$I394="Active"))),"",IF(OR(IF(OR(ISNUMBER($Y394),$Y394="DNA"),$Y394,IF(OR(ISNUMBER($X394),$X394="DNA"),$X394,IF(OR(ISNUMBER($W394),$W394="DNA"),$W394,IF(OR(ISNUMBER($V394),$V394="DNA"),$V394,IF(OR(ISNUMBER($U394),$U394="DNA"),$U394,IF(OR(ISNUMBER($T394),$T394="DNA"),$T394,IF(OR(ISNUMBER($S394),$S394="DNA"),$S394,IF(OR(ISNUMBER($P394),$P394="DNA"),$P394,IF(OR(ISNUMBER($O394),$O394="DNA"),$O394,IF(OR(ISNUMBER($N394),$N394="DNA"),$N394,""))))))))))="DNA",AND(ISNUMBER(IF(OR(ISNUMBER($Y394),$Y394="DNA"),$Y394,IF(OR(ISNUMBER($X394),$X394="DNA"),$X394,IF(OR(ISNUMBER($W394),$W394="DNA"),$W394,IF(OR(ISNUMBER($V394),$V394="DNA"),$V394,IF(OR(ISNUMBER($U394),$U394="DNA"),$U394,IF(OR(ISNUMBER($T394),$T394="DNA"),$T394,IF(OR(ISNUMBER($S394),$S394="DNA"),$S394,IF(OR(ISNUMBER($P394),$P394="DNA"),$P394,IF(OR(ISNUMBER($O394),$O394="DNA"),$O394,IF(OR(ISNUMBER($N394),$N394="DNA"),$N394,""))))))))))),IF(OR(ISNUMBER($Y394),$Y394="DNA"),$Y394,IF(OR(ISNUMBER($X394),$X394="DNA"),$X394,IF(OR(ISNUMBER($W394),$W394="DNA"),$W394,IF(OR(ISNUMBER($V394),$V394="DNA"),$V394,IF(OR(ISNUMBER($U394),$U394="DNA"),$U394,IF(OR(ISNUMBER($T394),$T394="DNA"),$T394,IF(OR(ISNUMBER($S394),$S394="DNA"),$S394,IF(OR(ISNUMBER($P394),$P394="DNA"),$P394,IF(OR(ISNUMBER($O394),$O394="DNA"),$O394,IF(OR(ISNUMBER($N394),$N394="DNA"),$N394,""))))))))))&lt;TODAY())),1,0)+ISNUMBER($Q394)*($Q394&lt;TODAY())+ISNUMBER($R394)*($R394&lt;TODAY())+ISNUMBER($AA394)*($AA394&lt;TODAY())+ISNUMBER($AB394)*($AB394&lt;TODAY()))</f>
        <v/>
      </c>
    </row>
    <row r="395">
      <c r="A395" s="25" t="n"/>
      <c r="B395" s="26" t="n"/>
      <c r="C395" s="27" t="n"/>
      <c r="D395" s="25" t="n"/>
      <c r="E395" s="25" t="n"/>
      <c r="F395" s="25" t="n"/>
      <c r="G395" s="25" t="n"/>
      <c r="H395" s="27" t="n"/>
      <c r="I395" s="25" t="n"/>
      <c r="J395" s="28">
        <f>IF(OR(NOT(AND($A395&lt;&gt;"",OR($I395="",$I395="Active"))),$H395=""),"",INT((TODAY()-$H395+280)/7)&amp;"+"&amp;MOD(TODAY()-$H395+280,7))</f>
        <v/>
      </c>
      <c r="K395" s="28">
        <f>IF(NOT(AND($A395&lt;&gt;"",OR($I395="",$I395="Active"))),"",ISNUMBER($N395)*($N395&gt;=TODAY())*($N395&lt;=TODAY()+7)+ISNUMBER($O395)*($O395&gt;=TODAY())*($O395&lt;=TODAY()+7)+ISNUMBER($P395)*($P395&gt;=TODAY())*($P395&lt;=TODAY()+7)+ISNUMBER($S395)*($S395&gt;=TODAY())*($S395&lt;=TODAY()+7)+ISNUMBER($T395)*($T395&gt;=TODAY())*($T395&lt;=TODAY()+7)+ISNUMBER($U395)*($U395&gt;=TODAY())*($U395&lt;=TODAY()+7)+ISNUMBER($V395)*($V395&gt;=TODAY())*($V395&lt;=TODAY()+7)+ISNUMBER($W395)*($W395&gt;=TODAY())*($W395&lt;=TODAY()+7)+ISNUMBER($X395)*($X395&gt;=TODAY())*($X395&lt;=TODAY()+7)+ISNUMBER($Y395)*($Y395&gt;=TODAY())*($Y395&lt;=TODAY()+7)+ISNUMBER($Q395)*($Q395&gt;=TODAY())*($Q395&lt;=TODAY()+7)+ISNUMBER($R395)*($R395&gt;=TODAY())*($R395&lt;=TODAY()+7)+ISNUMBER($AA395)*($AA395&gt;=TODAY())*($AA395&lt;=TODAY()+7)+ISNUMBER($AB395)*($AB395&gt;=TODAY())*($AB395&lt;=TODAY()+7))</f>
        <v/>
      </c>
      <c r="L395" s="28">
        <f>IF(NOT(AND($A395&lt;&gt;"",OR($I395="",$I395="Active"))),"",IF($M395&lt;&gt;"",IF($N395=$M395,"Booking",IF($O395=$M395,"16/40",IF($P395=$M395,"25/40",IF($S395=$M395,"28/40",IF($T395=$M395,"31/40",IF($U395=$M395,"34/40",IF($V395=$M395,"36/40",IF($W395=$M395,"38/40",IF($X395=$M395,"40/40",IF($Y395=$M395,"41/40","")))))))))),IF(IF(OR(ISNUMBER($Y395),$Y395="DNA"),$Y395,IF(OR(ISNUMBER($X395),$X395="DNA"),$X395,IF(OR(ISNUMBER($W395),$W395="DNA"),$W395,IF(OR(ISNUMBER($V395),$V395="DNA"),$V395,IF(OR(ISNUMBER($U395),$U395="DNA"),$U395,IF(OR(ISNUMBER($T395),$T395="DNA"),$T395,IF(OR(ISNUMBER($S395),$S395="DNA"),$S395,IF(OR(ISNUMBER($P395),$P395="DNA"),$P395,IF(OR(ISNUMBER($O395),$O395="DNA"),$O395,IF(OR(ISNUMBER($N395),$N395="DNA"),$N395,""))))))))))="DNA","Rebook DNA",IF(ISNUMBER(IF(OR(ISNUMBER($Y395),$Y395="DNA"),$Y395,IF(OR(ISNUMBER($X395),$X395="DNA"),$X395,IF(OR(ISNUMBER($W395),$W395="DNA"),$W395,IF(OR(ISNUMBER($V395),$V395="DNA"),$V395,IF(OR(ISNUMBER($U395),$U395="DNA"),$U395,IF(OR(ISNUMBER($T395),$T395="DNA"),$T395,IF(OR(ISNUMBER($S395),$S395="DNA"),$S395,IF(OR(ISNUMBER($P395),$P395="DNA"),$P395,IF(OR(ISNUMBER($O395),$O395="DNA"),$O395,IF(OR(ISNUMBER($N395),$N395="DNA"),$N395,""))))))))))),IF(ISNUMBER($Y395),"Update status","Missed/not booked?"),""))))</f>
        <v/>
      </c>
      <c r="M395" s="29">
        <f>IF(NOT(AND($A395&lt;&gt;"",OR($I395="",$I395="Active"))),"",IF(MIN(IF(AND(ISNUMBER($N395),$N395&gt;=TODAY()),$N395,99999),IF(AND(ISNUMBER($O395),$O395&gt;=TODAY()),$O395,99999),IF(AND(ISNUMBER($P395),$P395&gt;=TODAY()),$P395,99999),IF(AND(ISNUMBER($S395),$S395&gt;=TODAY()),$S395,99999),IF(AND(ISNUMBER($T395),$T395&gt;=TODAY()),$T395,99999),IF(AND(ISNUMBER($U395),$U395&gt;=TODAY()),$U395,99999),IF(AND(ISNUMBER($V395),$V395&gt;=TODAY()),$V395,99999),IF(AND(ISNUMBER($W395),$W395&gt;=TODAY()),$W395,99999),IF(AND(ISNUMBER($X395),$X395&gt;=TODAY()),$X395,99999),IF(AND(ISNUMBER($Y395),$Y395&gt;=TODAY()),$Y395,99999))=99999,"",MIN(IF(AND(ISNUMBER($N395),$N395&gt;=TODAY()),$N395,99999),IF(AND(ISNUMBER($O395),$O395&gt;=TODAY()),$O395,99999),IF(AND(ISNUMBER($P395),$P395&gt;=TODAY()),$P395,99999),IF(AND(ISNUMBER($S395),$S395&gt;=TODAY()),$S395,99999),IF(AND(ISNUMBER($T395),$T395&gt;=TODAY()),$T395,99999),IF(AND(ISNUMBER($U395),$U395&gt;=TODAY()),$U395,99999),IF(AND(ISNUMBER($V395),$V395&gt;=TODAY()),$V395,99999),IF(AND(ISNUMBER($W395),$W395&gt;=TODAY()),$W395,99999),IF(AND(ISNUMBER($X395),$X395&gt;=TODAY()),$X395,99999),IF(AND(ISNUMBER($Y395),$Y395&gt;=TODAY()),$Y395,99999))))</f>
        <v/>
      </c>
      <c r="N395" s="27" t="n"/>
      <c r="O395" s="27" t="n"/>
      <c r="P395" s="27" t="n"/>
      <c r="Q395" s="27" t="n"/>
      <c r="R395" s="27" t="n"/>
      <c r="S395" s="27" t="n"/>
      <c r="T395" s="27" t="n"/>
      <c r="U395" s="27" t="n"/>
      <c r="V395" s="27" t="n"/>
      <c r="W395" s="27" t="n"/>
      <c r="X395" s="27" t="n"/>
      <c r="Y395" s="27" t="n"/>
      <c r="Z395" s="27" t="n"/>
      <c r="AA395" s="27" t="n"/>
      <c r="AB395" s="27" t="n"/>
      <c r="AC395" s="30" t="n"/>
      <c r="AD395" s="25" t="n"/>
      <c r="AE395" s="28">
        <f>IF(NOT(AND($A395&lt;&gt;"",OR($I395="",$I395="Active"))),"",IF(OR(IF(OR(ISNUMBER($Y395),$Y395="DNA"),$Y395,IF(OR(ISNUMBER($X395),$X395="DNA"),$X395,IF(OR(ISNUMBER($W395),$W395="DNA"),$W395,IF(OR(ISNUMBER($V395),$V395="DNA"),$V395,IF(OR(ISNUMBER($U395),$U395="DNA"),$U395,IF(OR(ISNUMBER($T395),$T395="DNA"),$T395,IF(OR(ISNUMBER($S395),$S395="DNA"),$S395,IF(OR(ISNUMBER($P395),$P395="DNA"),$P395,IF(OR(ISNUMBER($O395),$O395="DNA"),$O395,IF(OR(ISNUMBER($N395),$N395="DNA"),$N395,""))))))))))="DNA",AND(ISNUMBER(IF(OR(ISNUMBER($Y395),$Y395="DNA"),$Y395,IF(OR(ISNUMBER($X395),$X395="DNA"),$X395,IF(OR(ISNUMBER($W395),$W395="DNA"),$W395,IF(OR(ISNUMBER($V395),$V395="DNA"),$V395,IF(OR(ISNUMBER($U395),$U395="DNA"),$U395,IF(OR(ISNUMBER($T395),$T395="DNA"),$T395,IF(OR(ISNUMBER($S395),$S395="DNA"),$S395,IF(OR(ISNUMBER($P395),$P395="DNA"),$P395,IF(OR(ISNUMBER($O395),$O395="DNA"),$O395,IF(OR(ISNUMBER($N395),$N395="DNA"),$N395,""))))))))))),IF(OR(ISNUMBER($Y395),$Y395="DNA"),$Y395,IF(OR(ISNUMBER($X395),$X395="DNA"),$X395,IF(OR(ISNUMBER($W395),$W395="DNA"),$W395,IF(OR(ISNUMBER($V395),$V395="DNA"),$V395,IF(OR(ISNUMBER($U395),$U395="DNA"),$U395,IF(OR(ISNUMBER($T395),$T395="DNA"),$T395,IF(OR(ISNUMBER($S395),$S395="DNA"),$S395,IF(OR(ISNUMBER($P395),$P395="DNA"),$P395,IF(OR(ISNUMBER($O395),$O395="DNA"),$O395,IF(OR(ISNUMBER($N395),$N395="DNA"),$N395,""))))))))))&lt;TODAY())),1,0)+ISNUMBER($Q395)*($Q395&lt;TODAY())+ISNUMBER($R395)*($R395&lt;TODAY())+ISNUMBER($AA395)*($AA395&lt;TODAY())+ISNUMBER($AB395)*($AB395&lt;TODAY()))</f>
        <v/>
      </c>
    </row>
    <row r="396">
      <c r="A396" s="25" t="n"/>
      <c r="B396" s="26" t="n"/>
      <c r="C396" s="27" t="n"/>
      <c r="D396" s="25" t="n"/>
      <c r="E396" s="25" t="n"/>
      <c r="F396" s="25" t="n"/>
      <c r="G396" s="25" t="n"/>
      <c r="H396" s="27" t="n"/>
      <c r="I396" s="25" t="n"/>
      <c r="J396" s="28">
        <f>IF(OR(NOT(AND($A396&lt;&gt;"",OR($I396="",$I396="Active"))),$H396=""),"",INT((TODAY()-$H396+280)/7)&amp;"+"&amp;MOD(TODAY()-$H396+280,7))</f>
        <v/>
      </c>
      <c r="K396" s="28">
        <f>IF(NOT(AND($A396&lt;&gt;"",OR($I396="",$I396="Active"))),"",ISNUMBER($N396)*($N396&gt;=TODAY())*($N396&lt;=TODAY()+7)+ISNUMBER($O396)*($O396&gt;=TODAY())*($O396&lt;=TODAY()+7)+ISNUMBER($P396)*($P396&gt;=TODAY())*($P396&lt;=TODAY()+7)+ISNUMBER($S396)*($S396&gt;=TODAY())*($S396&lt;=TODAY()+7)+ISNUMBER($T396)*($T396&gt;=TODAY())*($T396&lt;=TODAY()+7)+ISNUMBER($U396)*($U396&gt;=TODAY())*($U396&lt;=TODAY()+7)+ISNUMBER($V396)*($V396&gt;=TODAY())*($V396&lt;=TODAY()+7)+ISNUMBER($W396)*($W396&gt;=TODAY())*($W396&lt;=TODAY()+7)+ISNUMBER($X396)*($X396&gt;=TODAY())*($X396&lt;=TODAY()+7)+ISNUMBER($Y396)*($Y396&gt;=TODAY())*($Y396&lt;=TODAY()+7)+ISNUMBER($Q396)*($Q396&gt;=TODAY())*($Q396&lt;=TODAY()+7)+ISNUMBER($R396)*($R396&gt;=TODAY())*($R396&lt;=TODAY()+7)+ISNUMBER($AA396)*($AA396&gt;=TODAY())*($AA396&lt;=TODAY()+7)+ISNUMBER($AB396)*($AB396&gt;=TODAY())*($AB396&lt;=TODAY()+7))</f>
        <v/>
      </c>
      <c r="L396" s="28">
        <f>IF(NOT(AND($A396&lt;&gt;"",OR($I396="",$I396="Active"))),"",IF($M396&lt;&gt;"",IF($N396=$M396,"Booking",IF($O396=$M396,"16/40",IF($P396=$M396,"25/40",IF($S396=$M396,"28/40",IF($T396=$M396,"31/40",IF($U396=$M396,"34/40",IF($V396=$M396,"36/40",IF($W396=$M396,"38/40",IF($X396=$M396,"40/40",IF($Y396=$M396,"41/40","")))))))))),IF(IF(OR(ISNUMBER($Y396),$Y396="DNA"),$Y396,IF(OR(ISNUMBER($X396),$X396="DNA"),$X396,IF(OR(ISNUMBER($W396),$W396="DNA"),$W396,IF(OR(ISNUMBER($V396),$V396="DNA"),$V396,IF(OR(ISNUMBER($U396),$U396="DNA"),$U396,IF(OR(ISNUMBER($T396),$T396="DNA"),$T396,IF(OR(ISNUMBER($S396),$S396="DNA"),$S396,IF(OR(ISNUMBER($P396),$P396="DNA"),$P396,IF(OR(ISNUMBER($O396),$O396="DNA"),$O396,IF(OR(ISNUMBER($N396),$N396="DNA"),$N396,""))))))))))="DNA","Rebook DNA",IF(ISNUMBER(IF(OR(ISNUMBER($Y396),$Y396="DNA"),$Y396,IF(OR(ISNUMBER($X396),$X396="DNA"),$X396,IF(OR(ISNUMBER($W396),$W396="DNA"),$W396,IF(OR(ISNUMBER($V396),$V396="DNA"),$V396,IF(OR(ISNUMBER($U396),$U396="DNA"),$U396,IF(OR(ISNUMBER($T396),$T396="DNA"),$T396,IF(OR(ISNUMBER($S396),$S396="DNA"),$S396,IF(OR(ISNUMBER($P396),$P396="DNA"),$P396,IF(OR(ISNUMBER($O396),$O396="DNA"),$O396,IF(OR(ISNUMBER($N396),$N396="DNA"),$N396,""))))))))))),IF(ISNUMBER($Y396),"Update status","Missed/not booked?"),""))))</f>
        <v/>
      </c>
      <c r="M396" s="29">
        <f>IF(NOT(AND($A396&lt;&gt;"",OR($I396="",$I396="Active"))),"",IF(MIN(IF(AND(ISNUMBER($N396),$N396&gt;=TODAY()),$N396,99999),IF(AND(ISNUMBER($O396),$O396&gt;=TODAY()),$O396,99999),IF(AND(ISNUMBER($P396),$P396&gt;=TODAY()),$P396,99999),IF(AND(ISNUMBER($S396),$S396&gt;=TODAY()),$S396,99999),IF(AND(ISNUMBER($T396),$T396&gt;=TODAY()),$T396,99999),IF(AND(ISNUMBER($U396),$U396&gt;=TODAY()),$U396,99999),IF(AND(ISNUMBER($V396),$V396&gt;=TODAY()),$V396,99999),IF(AND(ISNUMBER($W396),$W396&gt;=TODAY()),$W396,99999),IF(AND(ISNUMBER($X396),$X396&gt;=TODAY()),$X396,99999),IF(AND(ISNUMBER($Y396),$Y396&gt;=TODAY()),$Y396,99999))=99999,"",MIN(IF(AND(ISNUMBER($N396),$N396&gt;=TODAY()),$N396,99999),IF(AND(ISNUMBER($O396),$O396&gt;=TODAY()),$O396,99999),IF(AND(ISNUMBER($P396),$P396&gt;=TODAY()),$P396,99999),IF(AND(ISNUMBER($S396),$S396&gt;=TODAY()),$S396,99999),IF(AND(ISNUMBER($T396),$T396&gt;=TODAY()),$T396,99999),IF(AND(ISNUMBER($U396),$U396&gt;=TODAY()),$U396,99999),IF(AND(ISNUMBER($V396),$V396&gt;=TODAY()),$V396,99999),IF(AND(ISNUMBER($W396),$W396&gt;=TODAY()),$W396,99999),IF(AND(ISNUMBER($X396),$X396&gt;=TODAY()),$X396,99999),IF(AND(ISNUMBER($Y396),$Y396&gt;=TODAY()),$Y396,99999))))</f>
        <v/>
      </c>
      <c r="N396" s="27" t="n"/>
      <c r="O396" s="27" t="n"/>
      <c r="P396" s="27" t="n"/>
      <c r="Q396" s="27" t="n"/>
      <c r="R396" s="27" t="n"/>
      <c r="S396" s="27" t="n"/>
      <c r="T396" s="27" t="n"/>
      <c r="U396" s="27" t="n"/>
      <c r="V396" s="27" t="n"/>
      <c r="W396" s="27" t="n"/>
      <c r="X396" s="27" t="n"/>
      <c r="Y396" s="27" t="n"/>
      <c r="Z396" s="27" t="n"/>
      <c r="AA396" s="27" t="n"/>
      <c r="AB396" s="27" t="n"/>
      <c r="AC396" s="30" t="n"/>
      <c r="AD396" s="25" t="n"/>
      <c r="AE396" s="28">
        <f>IF(NOT(AND($A396&lt;&gt;"",OR($I396="",$I396="Active"))),"",IF(OR(IF(OR(ISNUMBER($Y396),$Y396="DNA"),$Y396,IF(OR(ISNUMBER($X396),$X396="DNA"),$X396,IF(OR(ISNUMBER($W396),$W396="DNA"),$W396,IF(OR(ISNUMBER($V396),$V396="DNA"),$V396,IF(OR(ISNUMBER($U396),$U396="DNA"),$U396,IF(OR(ISNUMBER($T396),$T396="DNA"),$T396,IF(OR(ISNUMBER($S396),$S396="DNA"),$S396,IF(OR(ISNUMBER($P396),$P396="DNA"),$P396,IF(OR(ISNUMBER($O396),$O396="DNA"),$O396,IF(OR(ISNUMBER($N396),$N396="DNA"),$N396,""))))))))))="DNA",AND(ISNUMBER(IF(OR(ISNUMBER($Y396),$Y396="DNA"),$Y396,IF(OR(ISNUMBER($X396),$X396="DNA"),$X396,IF(OR(ISNUMBER($W396),$W396="DNA"),$W396,IF(OR(ISNUMBER($V396),$V396="DNA"),$V396,IF(OR(ISNUMBER($U396),$U396="DNA"),$U396,IF(OR(ISNUMBER($T396),$T396="DNA"),$T396,IF(OR(ISNUMBER($S396),$S396="DNA"),$S396,IF(OR(ISNUMBER($P396),$P396="DNA"),$P396,IF(OR(ISNUMBER($O396),$O396="DNA"),$O396,IF(OR(ISNUMBER($N396),$N396="DNA"),$N396,""))))))))))),IF(OR(ISNUMBER($Y396),$Y396="DNA"),$Y396,IF(OR(ISNUMBER($X396),$X396="DNA"),$X396,IF(OR(ISNUMBER($W396),$W396="DNA"),$W396,IF(OR(ISNUMBER($V396),$V396="DNA"),$V396,IF(OR(ISNUMBER($U396),$U396="DNA"),$U396,IF(OR(ISNUMBER($T396),$T396="DNA"),$T396,IF(OR(ISNUMBER($S396),$S396="DNA"),$S396,IF(OR(ISNUMBER($P396),$P396="DNA"),$P396,IF(OR(ISNUMBER($O396),$O396="DNA"),$O396,IF(OR(ISNUMBER($N396),$N396="DNA"),$N396,""))))))))))&lt;TODAY())),1,0)+ISNUMBER($Q396)*($Q396&lt;TODAY())+ISNUMBER($R396)*($R396&lt;TODAY())+ISNUMBER($AA396)*($AA396&lt;TODAY())+ISNUMBER($AB396)*($AB396&lt;TODAY()))</f>
        <v/>
      </c>
    </row>
    <row r="397">
      <c r="A397" s="25" t="n"/>
      <c r="B397" s="26" t="n"/>
      <c r="C397" s="27" t="n"/>
      <c r="D397" s="25" t="n"/>
      <c r="E397" s="25" t="n"/>
      <c r="F397" s="25" t="n"/>
      <c r="G397" s="25" t="n"/>
      <c r="H397" s="27" t="n"/>
      <c r="I397" s="25" t="n"/>
      <c r="J397" s="28">
        <f>IF(OR(NOT(AND($A397&lt;&gt;"",OR($I397="",$I397="Active"))),$H397=""),"",INT((TODAY()-$H397+280)/7)&amp;"+"&amp;MOD(TODAY()-$H397+280,7))</f>
        <v/>
      </c>
      <c r="K397" s="28">
        <f>IF(NOT(AND($A397&lt;&gt;"",OR($I397="",$I397="Active"))),"",ISNUMBER($N397)*($N397&gt;=TODAY())*($N397&lt;=TODAY()+7)+ISNUMBER($O397)*($O397&gt;=TODAY())*($O397&lt;=TODAY()+7)+ISNUMBER($P397)*($P397&gt;=TODAY())*($P397&lt;=TODAY()+7)+ISNUMBER($S397)*($S397&gt;=TODAY())*($S397&lt;=TODAY()+7)+ISNUMBER($T397)*($T397&gt;=TODAY())*($T397&lt;=TODAY()+7)+ISNUMBER($U397)*($U397&gt;=TODAY())*($U397&lt;=TODAY()+7)+ISNUMBER($V397)*($V397&gt;=TODAY())*($V397&lt;=TODAY()+7)+ISNUMBER($W397)*($W397&gt;=TODAY())*($W397&lt;=TODAY()+7)+ISNUMBER($X397)*($X397&gt;=TODAY())*($X397&lt;=TODAY()+7)+ISNUMBER($Y397)*($Y397&gt;=TODAY())*($Y397&lt;=TODAY()+7)+ISNUMBER($Q397)*($Q397&gt;=TODAY())*($Q397&lt;=TODAY()+7)+ISNUMBER($R397)*($R397&gt;=TODAY())*($R397&lt;=TODAY()+7)+ISNUMBER($AA397)*($AA397&gt;=TODAY())*($AA397&lt;=TODAY()+7)+ISNUMBER($AB397)*($AB397&gt;=TODAY())*($AB397&lt;=TODAY()+7))</f>
        <v/>
      </c>
      <c r="L397" s="28">
        <f>IF(NOT(AND($A397&lt;&gt;"",OR($I397="",$I397="Active"))),"",IF($M397&lt;&gt;"",IF($N397=$M397,"Booking",IF($O397=$M397,"16/40",IF($P397=$M397,"25/40",IF($S397=$M397,"28/40",IF($T397=$M397,"31/40",IF($U397=$M397,"34/40",IF($V397=$M397,"36/40",IF($W397=$M397,"38/40",IF($X397=$M397,"40/40",IF($Y397=$M397,"41/40","")))))))))),IF(IF(OR(ISNUMBER($Y397),$Y397="DNA"),$Y397,IF(OR(ISNUMBER($X397),$X397="DNA"),$X397,IF(OR(ISNUMBER($W397),$W397="DNA"),$W397,IF(OR(ISNUMBER($V397),$V397="DNA"),$V397,IF(OR(ISNUMBER($U397),$U397="DNA"),$U397,IF(OR(ISNUMBER($T397),$T397="DNA"),$T397,IF(OR(ISNUMBER($S397),$S397="DNA"),$S397,IF(OR(ISNUMBER($P397),$P397="DNA"),$P397,IF(OR(ISNUMBER($O397),$O397="DNA"),$O397,IF(OR(ISNUMBER($N397),$N397="DNA"),$N397,""))))))))))="DNA","Rebook DNA",IF(ISNUMBER(IF(OR(ISNUMBER($Y397),$Y397="DNA"),$Y397,IF(OR(ISNUMBER($X397),$X397="DNA"),$X397,IF(OR(ISNUMBER($W397),$W397="DNA"),$W397,IF(OR(ISNUMBER($V397),$V397="DNA"),$V397,IF(OR(ISNUMBER($U397),$U397="DNA"),$U397,IF(OR(ISNUMBER($T397),$T397="DNA"),$T397,IF(OR(ISNUMBER($S397),$S397="DNA"),$S397,IF(OR(ISNUMBER($P397),$P397="DNA"),$P397,IF(OR(ISNUMBER($O397),$O397="DNA"),$O397,IF(OR(ISNUMBER($N397),$N397="DNA"),$N397,""))))))))))),IF(ISNUMBER($Y397),"Update status","Missed/not booked?"),""))))</f>
        <v/>
      </c>
      <c r="M397" s="29">
        <f>IF(NOT(AND($A397&lt;&gt;"",OR($I397="",$I397="Active"))),"",IF(MIN(IF(AND(ISNUMBER($N397),$N397&gt;=TODAY()),$N397,99999),IF(AND(ISNUMBER($O397),$O397&gt;=TODAY()),$O397,99999),IF(AND(ISNUMBER($P397),$P397&gt;=TODAY()),$P397,99999),IF(AND(ISNUMBER($S397),$S397&gt;=TODAY()),$S397,99999),IF(AND(ISNUMBER($T397),$T397&gt;=TODAY()),$T397,99999),IF(AND(ISNUMBER($U397),$U397&gt;=TODAY()),$U397,99999),IF(AND(ISNUMBER($V397),$V397&gt;=TODAY()),$V397,99999),IF(AND(ISNUMBER($W397),$W397&gt;=TODAY()),$W397,99999),IF(AND(ISNUMBER($X397),$X397&gt;=TODAY()),$X397,99999),IF(AND(ISNUMBER($Y397),$Y397&gt;=TODAY()),$Y397,99999))=99999,"",MIN(IF(AND(ISNUMBER($N397),$N397&gt;=TODAY()),$N397,99999),IF(AND(ISNUMBER($O397),$O397&gt;=TODAY()),$O397,99999),IF(AND(ISNUMBER($P397),$P397&gt;=TODAY()),$P397,99999),IF(AND(ISNUMBER($S397),$S397&gt;=TODAY()),$S397,99999),IF(AND(ISNUMBER($T397),$T397&gt;=TODAY()),$T397,99999),IF(AND(ISNUMBER($U397),$U397&gt;=TODAY()),$U397,99999),IF(AND(ISNUMBER($V397),$V397&gt;=TODAY()),$V397,99999),IF(AND(ISNUMBER($W397),$W397&gt;=TODAY()),$W397,99999),IF(AND(ISNUMBER($X397),$X397&gt;=TODAY()),$X397,99999),IF(AND(ISNUMBER($Y397),$Y397&gt;=TODAY()),$Y397,99999))))</f>
        <v/>
      </c>
      <c r="N397" s="27" t="n"/>
      <c r="O397" s="27" t="n"/>
      <c r="P397" s="27" t="n"/>
      <c r="Q397" s="27" t="n"/>
      <c r="R397" s="27" t="n"/>
      <c r="S397" s="27" t="n"/>
      <c r="T397" s="27" t="n"/>
      <c r="U397" s="27" t="n"/>
      <c r="V397" s="27" t="n"/>
      <c r="W397" s="27" t="n"/>
      <c r="X397" s="27" t="n"/>
      <c r="Y397" s="27" t="n"/>
      <c r="Z397" s="27" t="n"/>
      <c r="AA397" s="27" t="n"/>
      <c r="AB397" s="27" t="n"/>
      <c r="AC397" s="30" t="n"/>
      <c r="AD397" s="25" t="n"/>
      <c r="AE397" s="28">
        <f>IF(NOT(AND($A397&lt;&gt;"",OR($I397="",$I397="Active"))),"",IF(OR(IF(OR(ISNUMBER($Y397),$Y397="DNA"),$Y397,IF(OR(ISNUMBER($X397),$X397="DNA"),$X397,IF(OR(ISNUMBER($W397),$W397="DNA"),$W397,IF(OR(ISNUMBER($V397),$V397="DNA"),$V397,IF(OR(ISNUMBER($U397),$U397="DNA"),$U397,IF(OR(ISNUMBER($T397),$T397="DNA"),$T397,IF(OR(ISNUMBER($S397),$S397="DNA"),$S397,IF(OR(ISNUMBER($P397),$P397="DNA"),$P397,IF(OR(ISNUMBER($O397),$O397="DNA"),$O397,IF(OR(ISNUMBER($N397),$N397="DNA"),$N397,""))))))))))="DNA",AND(ISNUMBER(IF(OR(ISNUMBER($Y397),$Y397="DNA"),$Y397,IF(OR(ISNUMBER($X397),$X397="DNA"),$X397,IF(OR(ISNUMBER($W397),$W397="DNA"),$W397,IF(OR(ISNUMBER($V397),$V397="DNA"),$V397,IF(OR(ISNUMBER($U397),$U397="DNA"),$U397,IF(OR(ISNUMBER($T397),$T397="DNA"),$T397,IF(OR(ISNUMBER($S397),$S397="DNA"),$S397,IF(OR(ISNUMBER($P397),$P397="DNA"),$P397,IF(OR(ISNUMBER($O397),$O397="DNA"),$O397,IF(OR(ISNUMBER($N397),$N397="DNA"),$N397,""))))))))))),IF(OR(ISNUMBER($Y397),$Y397="DNA"),$Y397,IF(OR(ISNUMBER($X397),$X397="DNA"),$X397,IF(OR(ISNUMBER($W397),$W397="DNA"),$W397,IF(OR(ISNUMBER($V397),$V397="DNA"),$V397,IF(OR(ISNUMBER($U397),$U397="DNA"),$U397,IF(OR(ISNUMBER($T397),$T397="DNA"),$T397,IF(OR(ISNUMBER($S397),$S397="DNA"),$S397,IF(OR(ISNUMBER($P397),$P397="DNA"),$P397,IF(OR(ISNUMBER($O397),$O397="DNA"),$O397,IF(OR(ISNUMBER($N397),$N397="DNA"),$N397,""))))))))))&lt;TODAY())),1,0)+ISNUMBER($Q397)*($Q397&lt;TODAY())+ISNUMBER($R397)*($R397&lt;TODAY())+ISNUMBER($AA397)*($AA397&lt;TODAY())+ISNUMBER($AB397)*($AB397&lt;TODAY()))</f>
        <v/>
      </c>
    </row>
    <row r="398">
      <c r="A398" s="25" t="n"/>
      <c r="B398" s="26" t="n"/>
      <c r="C398" s="27" t="n"/>
      <c r="D398" s="25" t="n"/>
      <c r="E398" s="25" t="n"/>
      <c r="F398" s="25" t="n"/>
      <c r="G398" s="25" t="n"/>
      <c r="H398" s="27" t="n"/>
      <c r="I398" s="25" t="n"/>
      <c r="J398" s="28">
        <f>IF(OR(NOT(AND($A398&lt;&gt;"",OR($I398="",$I398="Active"))),$H398=""),"",INT((TODAY()-$H398+280)/7)&amp;"+"&amp;MOD(TODAY()-$H398+280,7))</f>
        <v/>
      </c>
      <c r="K398" s="28">
        <f>IF(NOT(AND($A398&lt;&gt;"",OR($I398="",$I398="Active"))),"",ISNUMBER($N398)*($N398&gt;=TODAY())*($N398&lt;=TODAY()+7)+ISNUMBER($O398)*($O398&gt;=TODAY())*($O398&lt;=TODAY()+7)+ISNUMBER($P398)*($P398&gt;=TODAY())*($P398&lt;=TODAY()+7)+ISNUMBER($S398)*($S398&gt;=TODAY())*($S398&lt;=TODAY()+7)+ISNUMBER($T398)*($T398&gt;=TODAY())*($T398&lt;=TODAY()+7)+ISNUMBER($U398)*($U398&gt;=TODAY())*($U398&lt;=TODAY()+7)+ISNUMBER($V398)*($V398&gt;=TODAY())*($V398&lt;=TODAY()+7)+ISNUMBER($W398)*($W398&gt;=TODAY())*($W398&lt;=TODAY()+7)+ISNUMBER($X398)*($X398&gt;=TODAY())*($X398&lt;=TODAY()+7)+ISNUMBER($Y398)*($Y398&gt;=TODAY())*($Y398&lt;=TODAY()+7)+ISNUMBER($Q398)*($Q398&gt;=TODAY())*($Q398&lt;=TODAY()+7)+ISNUMBER($R398)*($R398&gt;=TODAY())*($R398&lt;=TODAY()+7)+ISNUMBER($AA398)*($AA398&gt;=TODAY())*($AA398&lt;=TODAY()+7)+ISNUMBER($AB398)*($AB398&gt;=TODAY())*($AB398&lt;=TODAY()+7))</f>
        <v/>
      </c>
      <c r="L398" s="28">
        <f>IF(NOT(AND($A398&lt;&gt;"",OR($I398="",$I398="Active"))),"",IF($M398&lt;&gt;"",IF($N398=$M398,"Booking",IF($O398=$M398,"16/40",IF($P398=$M398,"25/40",IF($S398=$M398,"28/40",IF($T398=$M398,"31/40",IF($U398=$M398,"34/40",IF($V398=$M398,"36/40",IF($W398=$M398,"38/40",IF($X398=$M398,"40/40",IF($Y398=$M398,"41/40","")))))))))),IF(IF(OR(ISNUMBER($Y398),$Y398="DNA"),$Y398,IF(OR(ISNUMBER($X398),$X398="DNA"),$X398,IF(OR(ISNUMBER($W398),$W398="DNA"),$W398,IF(OR(ISNUMBER($V398),$V398="DNA"),$V398,IF(OR(ISNUMBER($U398),$U398="DNA"),$U398,IF(OR(ISNUMBER($T398),$T398="DNA"),$T398,IF(OR(ISNUMBER($S398),$S398="DNA"),$S398,IF(OR(ISNUMBER($P398),$P398="DNA"),$P398,IF(OR(ISNUMBER($O398),$O398="DNA"),$O398,IF(OR(ISNUMBER($N398),$N398="DNA"),$N398,""))))))))))="DNA","Rebook DNA",IF(ISNUMBER(IF(OR(ISNUMBER($Y398),$Y398="DNA"),$Y398,IF(OR(ISNUMBER($X398),$X398="DNA"),$X398,IF(OR(ISNUMBER($W398),$W398="DNA"),$W398,IF(OR(ISNUMBER($V398),$V398="DNA"),$V398,IF(OR(ISNUMBER($U398),$U398="DNA"),$U398,IF(OR(ISNUMBER($T398),$T398="DNA"),$T398,IF(OR(ISNUMBER($S398),$S398="DNA"),$S398,IF(OR(ISNUMBER($P398),$P398="DNA"),$P398,IF(OR(ISNUMBER($O398),$O398="DNA"),$O398,IF(OR(ISNUMBER($N398),$N398="DNA"),$N398,""))))))))))),IF(ISNUMBER($Y398),"Update status","Missed/not booked?"),""))))</f>
        <v/>
      </c>
      <c r="M398" s="29">
        <f>IF(NOT(AND($A398&lt;&gt;"",OR($I398="",$I398="Active"))),"",IF(MIN(IF(AND(ISNUMBER($N398),$N398&gt;=TODAY()),$N398,99999),IF(AND(ISNUMBER($O398),$O398&gt;=TODAY()),$O398,99999),IF(AND(ISNUMBER($P398),$P398&gt;=TODAY()),$P398,99999),IF(AND(ISNUMBER($S398),$S398&gt;=TODAY()),$S398,99999),IF(AND(ISNUMBER($T398),$T398&gt;=TODAY()),$T398,99999),IF(AND(ISNUMBER($U398),$U398&gt;=TODAY()),$U398,99999),IF(AND(ISNUMBER($V398),$V398&gt;=TODAY()),$V398,99999),IF(AND(ISNUMBER($W398),$W398&gt;=TODAY()),$W398,99999),IF(AND(ISNUMBER($X398),$X398&gt;=TODAY()),$X398,99999),IF(AND(ISNUMBER($Y398),$Y398&gt;=TODAY()),$Y398,99999))=99999,"",MIN(IF(AND(ISNUMBER($N398),$N398&gt;=TODAY()),$N398,99999),IF(AND(ISNUMBER($O398),$O398&gt;=TODAY()),$O398,99999),IF(AND(ISNUMBER($P398),$P398&gt;=TODAY()),$P398,99999),IF(AND(ISNUMBER($S398),$S398&gt;=TODAY()),$S398,99999),IF(AND(ISNUMBER($T398),$T398&gt;=TODAY()),$T398,99999),IF(AND(ISNUMBER($U398),$U398&gt;=TODAY()),$U398,99999),IF(AND(ISNUMBER($V398),$V398&gt;=TODAY()),$V398,99999),IF(AND(ISNUMBER($W398),$W398&gt;=TODAY()),$W398,99999),IF(AND(ISNUMBER($X398),$X398&gt;=TODAY()),$X398,99999),IF(AND(ISNUMBER($Y398),$Y398&gt;=TODAY()),$Y398,99999))))</f>
        <v/>
      </c>
      <c r="N398" s="27" t="n"/>
      <c r="O398" s="27" t="n"/>
      <c r="P398" s="27" t="n"/>
      <c r="Q398" s="27" t="n"/>
      <c r="R398" s="27" t="n"/>
      <c r="S398" s="27" t="n"/>
      <c r="T398" s="27" t="n"/>
      <c r="U398" s="27" t="n"/>
      <c r="V398" s="27" t="n"/>
      <c r="W398" s="27" t="n"/>
      <c r="X398" s="27" t="n"/>
      <c r="Y398" s="27" t="n"/>
      <c r="Z398" s="27" t="n"/>
      <c r="AA398" s="27" t="n"/>
      <c r="AB398" s="27" t="n"/>
      <c r="AC398" s="30" t="n"/>
      <c r="AD398" s="25" t="n"/>
      <c r="AE398" s="28">
        <f>IF(NOT(AND($A398&lt;&gt;"",OR($I398="",$I398="Active"))),"",IF(OR(IF(OR(ISNUMBER($Y398),$Y398="DNA"),$Y398,IF(OR(ISNUMBER($X398),$X398="DNA"),$X398,IF(OR(ISNUMBER($W398),$W398="DNA"),$W398,IF(OR(ISNUMBER($V398),$V398="DNA"),$V398,IF(OR(ISNUMBER($U398),$U398="DNA"),$U398,IF(OR(ISNUMBER($T398),$T398="DNA"),$T398,IF(OR(ISNUMBER($S398),$S398="DNA"),$S398,IF(OR(ISNUMBER($P398),$P398="DNA"),$P398,IF(OR(ISNUMBER($O398),$O398="DNA"),$O398,IF(OR(ISNUMBER($N398),$N398="DNA"),$N398,""))))))))))="DNA",AND(ISNUMBER(IF(OR(ISNUMBER($Y398),$Y398="DNA"),$Y398,IF(OR(ISNUMBER($X398),$X398="DNA"),$X398,IF(OR(ISNUMBER($W398),$W398="DNA"),$W398,IF(OR(ISNUMBER($V398),$V398="DNA"),$V398,IF(OR(ISNUMBER($U398),$U398="DNA"),$U398,IF(OR(ISNUMBER($T398),$T398="DNA"),$T398,IF(OR(ISNUMBER($S398),$S398="DNA"),$S398,IF(OR(ISNUMBER($P398),$P398="DNA"),$P398,IF(OR(ISNUMBER($O398),$O398="DNA"),$O398,IF(OR(ISNUMBER($N398),$N398="DNA"),$N398,""))))))))))),IF(OR(ISNUMBER($Y398),$Y398="DNA"),$Y398,IF(OR(ISNUMBER($X398),$X398="DNA"),$X398,IF(OR(ISNUMBER($W398),$W398="DNA"),$W398,IF(OR(ISNUMBER($V398),$V398="DNA"),$V398,IF(OR(ISNUMBER($U398),$U398="DNA"),$U398,IF(OR(ISNUMBER($T398),$T398="DNA"),$T398,IF(OR(ISNUMBER($S398),$S398="DNA"),$S398,IF(OR(ISNUMBER($P398),$P398="DNA"),$P398,IF(OR(ISNUMBER($O398),$O398="DNA"),$O398,IF(OR(ISNUMBER($N398),$N398="DNA"),$N398,""))))))))))&lt;TODAY())),1,0)+ISNUMBER($Q398)*($Q398&lt;TODAY())+ISNUMBER($R398)*($R398&lt;TODAY())+ISNUMBER($AA398)*($AA398&lt;TODAY())+ISNUMBER($AB398)*($AB398&lt;TODAY()))</f>
        <v/>
      </c>
    </row>
    <row r="399">
      <c r="A399" s="25" t="n"/>
      <c r="B399" s="26" t="n"/>
      <c r="C399" s="27" t="n"/>
      <c r="D399" s="25" t="n"/>
      <c r="E399" s="25" t="n"/>
      <c r="F399" s="25" t="n"/>
      <c r="G399" s="25" t="n"/>
      <c r="H399" s="27" t="n"/>
      <c r="I399" s="25" t="n"/>
      <c r="J399" s="28">
        <f>IF(OR(NOT(AND($A399&lt;&gt;"",OR($I399="",$I399="Active"))),$H399=""),"",INT((TODAY()-$H399+280)/7)&amp;"+"&amp;MOD(TODAY()-$H399+280,7))</f>
        <v/>
      </c>
      <c r="K399" s="28">
        <f>IF(NOT(AND($A399&lt;&gt;"",OR($I399="",$I399="Active"))),"",ISNUMBER($N399)*($N399&gt;=TODAY())*($N399&lt;=TODAY()+7)+ISNUMBER($O399)*($O399&gt;=TODAY())*($O399&lt;=TODAY()+7)+ISNUMBER($P399)*($P399&gt;=TODAY())*($P399&lt;=TODAY()+7)+ISNUMBER($S399)*($S399&gt;=TODAY())*($S399&lt;=TODAY()+7)+ISNUMBER($T399)*($T399&gt;=TODAY())*($T399&lt;=TODAY()+7)+ISNUMBER($U399)*($U399&gt;=TODAY())*($U399&lt;=TODAY()+7)+ISNUMBER($V399)*($V399&gt;=TODAY())*($V399&lt;=TODAY()+7)+ISNUMBER($W399)*($W399&gt;=TODAY())*($W399&lt;=TODAY()+7)+ISNUMBER($X399)*($X399&gt;=TODAY())*($X399&lt;=TODAY()+7)+ISNUMBER($Y399)*($Y399&gt;=TODAY())*($Y399&lt;=TODAY()+7)+ISNUMBER($Q399)*($Q399&gt;=TODAY())*($Q399&lt;=TODAY()+7)+ISNUMBER($R399)*($R399&gt;=TODAY())*($R399&lt;=TODAY()+7)+ISNUMBER($AA399)*($AA399&gt;=TODAY())*($AA399&lt;=TODAY()+7)+ISNUMBER($AB399)*($AB399&gt;=TODAY())*($AB399&lt;=TODAY()+7))</f>
        <v/>
      </c>
      <c r="L399" s="28">
        <f>IF(NOT(AND($A399&lt;&gt;"",OR($I399="",$I399="Active"))),"",IF($M399&lt;&gt;"",IF($N399=$M399,"Booking",IF($O399=$M399,"16/40",IF($P399=$M399,"25/40",IF($S399=$M399,"28/40",IF($T399=$M399,"31/40",IF($U399=$M399,"34/40",IF($V399=$M399,"36/40",IF($W399=$M399,"38/40",IF($X399=$M399,"40/40",IF($Y399=$M399,"41/40","")))))))))),IF(IF(OR(ISNUMBER($Y399),$Y399="DNA"),$Y399,IF(OR(ISNUMBER($X399),$X399="DNA"),$X399,IF(OR(ISNUMBER($W399),$W399="DNA"),$W399,IF(OR(ISNUMBER($V399),$V399="DNA"),$V399,IF(OR(ISNUMBER($U399),$U399="DNA"),$U399,IF(OR(ISNUMBER($T399),$T399="DNA"),$T399,IF(OR(ISNUMBER($S399),$S399="DNA"),$S399,IF(OR(ISNUMBER($P399),$P399="DNA"),$P399,IF(OR(ISNUMBER($O399),$O399="DNA"),$O399,IF(OR(ISNUMBER($N399),$N399="DNA"),$N399,""))))))))))="DNA","Rebook DNA",IF(ISNUMBER(IF(OR(ISNUMBER($Y399),$Y399="DNA"),$Y399,IF(OR(ISNUMBER($X399),$X399="DNA"),$X399,IF(OR(ISNUMBER($W399),$W399="DNA"),$W399,IF(OR(ISNUMBER($V399),$V399="DNA"),$V399,IF(OR(ISNUMBER($U399),$U399="DNA"),$U399,IF(OR(ISNUMBER($T399),$T399="DNA"),$T399,IF(OR(ISNUMBER($S399),$S399="DNA"),$S399,IF(OR(ISNUMBER($P399),$P399="DNA"),$P399,IF(OR(ISNUMBER($O399),$O399="DNA"),$O399,IF(OR(ISNUMBER($N399),$N399="DNA"),$N399,""))))))))))),IF(ISNUMBER($Y399),"Update status","Missed/not booked?"),""))))</f>
        <v/>
      </c>
      <c r="M399" s="29">
        <f>IF(NOT(AND($A399&lt;&gt;"",OR($I399="",$I399="Active"))),"",IF(MIN(IF(AND(ISNUMBER($N399),$N399&gt;=TODAY()),$N399,99999),IF(AND(ISNUMBER($O399),$O399&gt;=TODAY()),$O399,99999),IF(AND(ISNUMBER($P399),$P399&gt;=TODAY()),$P399,99999),IF(AND(ISNUMBER($S399),$S399&gt;=TODAY()),$S399,99999),IF(AND(ISNUMBER($T399),$T399&gt;=TODAY()),$T399,99999),IF(AND(ISNUMBER($U399),$U399&gt;=TODAY()),$U399,99999),IF(AND(ISNUMBER($V399),$V399&gt;=TODAY()),$V399,99999),IF(AND(ISNUMBER($W399),$W399&gt;=TODAY()),$W399,99999),IF(AND(ISNUMBER($X399),$X399&gt;=TODAY()),$X399,99999),IF(AND(ISNUMBER($Y399),$Y399&gt;=TODAY()),$Y399,99999))=99999,"",MIN(IF(AND(ISNUMBER($N399),$N399&gt;=TODAY()),$N399,99999),IF(AND(ISNUMBER($O399),$O399&gt;=TODAY()),$O399,99999),IF(AND(ISNUMBER($P399),$P399&gt;=TODAY()),$P399,99999),IF(AND(ISNUMBER($S399),$S399&gt;=TODAY()),$S399,99999),IF(AND(ISNUMBER($T399),$T399&gt;=TODAY()),$T399,99999),IF(AND(ISNUMBER($U399),$U399&gt;=TODAY()),$U399,99999),IF(AND(ISNUMBER($V399),$V399&gt;=TODAY()),$V399,99999),IF(AND(ISNUMBER($W399),$W399&gt;=TODAY()),$W399,99999),IF(AND(ISNUMBER($X399),$X399&gt;=TODAY()),$X399,99999),IF(AND(ISNUMBER($Y399),$Y399&gt;=TODAY()),$Y399,99999))))</f>
        <v/>
      </c>
      <c r="N399" s="27" t="n"/>
      <c r="O399" s="27" t="n"/>
      <c r="P399" s="27" t="n"/>
      <c r="Q399" s="27" t="n"/>
      <c r="R399" s="27" t="n"/>
      <c r="S399" s="27" t="n"/>
      <c r="T399" s="27" t="n"/>
      <c r="U399" s="27" t="n"/>
      <c r="V399" s="27" t="n"/>
      <c r="W399" s="27" t="n"/>
      <c r="X399" s="27" t="n"/>
      <c r="Y399" s="27" t="n"/>
      <c r="Z399" s="27" t="n"/>
      <c r="AA399" s="27" t="n"/>
      <c r="AB399" s="27" t="n"/>
      <c r="AC399" s="30" t="n"/>
      <c r="AD399" s="25" t="n"/>
      <c r="AE399" s="28">
        <f>IF(NOT(AND($A399&lt;&gt;"",OR($I399="",$I399="Active"))),"",IF(OR(IF(OR(ISNUMBER($Y399),$Y399="DNA"),$Y399,IF(OR(ISNUMBER($X399),$X399="DNA"),$X399,IF(OR(ISNUMBER($W399),$W399="DNA"),$W399,IF(OR(ISNUMBER($V399),$V399="DNA"),$V399,IF(OR(ISNUMBER($U399),$U399="DNA"),$U399,IF(OR(ISNUMBER($T399),$T399="DNA"),$T399,IF(OR(ISNUMBER($S399),$S399="DNA"),$S399,IF(OR(ISNUMBER($P399),$P399="DNA"),$P399,IF(OR(ISNUMBER($O399),$O399="DNA"),$O399,IF(OR(ISNUMBER($N399),$N399="DNA"),$N399,""))))))))))="DNA",AND(ISNUMBER(IF(OR(ISNUMBER($Y399),$Y399="DNA"),$Y399,IF(OR(ISNUMBER($X399),$X399="DNA"),$X399,IF(OR(ISNUMBER($W399),$W399="DNA"),$W399,IF(OR(ISNUMBER($V399),$V399="DNA"),$V399,IF(OR(ISNUMBER($U399),$U399="DNA"),$U399,IF(OR(ISNUMBER($T399),$T399="DNA"),$T399,IF(OR(ISNUMBER($S399),$S399="DNA"),$S399,IF(OR(ISNUMBER($P399),$P399="DNA"),$P399,IF(OR(ISNUMBER($O399),$O399="DNA"),$O399,IF(OR(ISNUMBER($N399),$N399="DNA"),$N399,""))))))))))),IF(OR(ISNUMBER($Y399),$Y399="DNA"),$Y399,IF(OR(ISNUMBER($X399),$X399="DNA"),$X399,IF(OR(ISNUMBER($W399),$W399="DNA"),$W399,IF(OR(ISNUMBER($V399),$V399="DNA"),$V399,IF(OR(ISNUMBER($U399),$U399="DNA"),$U399,IF(OR(ISNUMBER($T399),$T399="DNA"),$T399,IF(OR(ISNUMBER($S399),$S399="DNA"),$S399,IF(OR(ISNUMBER($P399),$P399="DNA"),$P399,IF(OR(ISNUMBER($O399),$O399="DNA"),$O399,IF(OR(ISNUMBER($N399),$N399="DNA"),$N399,""))))))))))&lt;TODAY())),1,0)+ISNUMBER($Q399)*($Q399&lt;TODAY())+ISNUMBER($R399)*($R399&lt;TODAY())+ISNUMBER($AA399)*($AA399&lt;TODAY())+ISNUMBER($AB399)*($AB399&lt;TODAY()))</f>
        <v/>
      </c>
    </row>
    <row r="400">
      <c r="A400" s="25" t="n"/>
      <c r="B400" s="26" t="n"/>
      <c r="C400" s="27" t="n"/>
      <c r="D400" s="25" t="n"/>
      <c r="E400" s="25" t="n"/>
      <c r="F400" s="25" t="n"/>
      <c r="G400" s="25" t="n"/>
      <c r="H400" s="27" t="n"/>
      <c r="I400" s="25" t="n"/>
      <c r="J400" s="28">
        <f>IF(OR(NOT(AND($A400&lt;&gt;"",OR($I400="",$I400="Active"))),$H400=""),"",INT((TODAY()-$H400+280)/7)&amp;"+"&amp;MOD(TODAY()-$H400+280,7))</f>
        <v/>
      </c>
      <c r="K400" s="28">
        <f>IF(NOT(AND($A400&lt;&gt;"",OR($I400="",$I400="Active"))),"",ISNUMBER($N400)*($N400&gt;=TODAY())*($N400&lt;=TODAY()+7)+ISNUMBER($O400)*($O400&gt;=TODAY())*($O400&lt;=TODAY()+7)+ISNUMBER($P400)*($P400&gt;=TODAY())*($P400&lt;=TODAY()+7)+ISNUMBER($S400)*($S400&gt;=TODAY())*($S400&lt;=TODAY()+7)+ISNUMBER($T400)*($T400&gt;=TODAY())*($T400&lt;=TODAY()+7)+ISNUMBER($U400)*($U400&gt;=TODAY())*($U400&lt;=TODAY()+7)+ISNUMBER($V400)*($V400&gt;=TODAY())*($V400&lt;=TODAY()+7)+ISNUMBER($W400)*($W400&gt;=TODAY())*($W400&lt;=TODAY()+7)+ISNUMBER($X400)*($X400&gt;=TODAY())*($X400&lt;=TODAY()+7)+ISNUMBER($Y400)*($Y400&gt;=TODAY())*($Y400&lt;=TODAY()+7)+ISNUMBER($Q400)*($Q400&gt;=TODAY())*($Q400&lt;=TODAY()+7)+ISNUMBER($R400)*($R400&gt;=TODAY())*($R400&lt;=TODAY()+7)+ISNUMBER($AA400)*($AA400&gt;=TODAY())*($AA400&lt;=TODAY()+7)+ISNUMBER($AB400)*($AB400&gt;=TODAY())*($AB400&lt;=TODAY()+7))</f>
        <v/>
      </c>
      <c r="L400" s="28">
        <f>IF(NOT(AND($A400&lt;&gt;"",OR($I400="",$I400="Active"))),"",IF($M400&lt;&gt;"",IF($N400=$M400,"Booking",IF($O400=$M400,"16/40",IF($P400=$M400,"25/40",IF($S400=$M400,"28/40",IF($T400=$M400,"31/40",IF($U400=$M400,"34/40",IF($V400=$M400,"36/40",IF($W400=$M400,"38/40",IF($X400=$M400,"40/40",IF($Y400=$M400,"41/40","")))))))))),IF(IF(OR(ISNUMBER($Y400),$Y400="DNA"),$Y400,IF(OR(ISNUMBER($X400),$X400="DNA"),$X400,IF(OR(ISNUMBER($W400),$W400="DNA"),$W400,IF(OR(ISNUMBER($V400),$V400="DNA"),$V400,IF(OR(ISNUMBER($U400),$U400="DNA"),$U400,IF(OR(ISNUMBER($T400),$T400="DNA"),$T400,IF(OR(ISNUMBER($S400),$S400="DNA"),$S400,IF(OR(ISNUMBER($P400),$P400="DNA"),$P400,IF(OR(ISNUMBER($O400),$O400="DNA"),$O400,IF(OR(ISNUMBER($N400),$N400="DNA"),$N400,""))))))))))="DNA","Rebook DNA",IF(ISNUMBER(IF(OR(ISNUMBER($Y400),$Y400="DNA"),$Y400,IF(OR(ISNUMBER($X400),$X400="DNA"),$X400,IF(OR(ISNUMBER($W400),$W400="DNA"),$W400,IF(OR(ISNUMBER($V400),$V400="DNA"),$V400,IF(OR(ISNUMBER($U400),$U400="DNA"),$U400,IF(OR(ISNUMBER($T400),$T400="DNA"),$T400,IF(OR(ISNUMBER($S400),$S400="DNA"),$S400,IF(OR(ISNUMBER($P400),$P400="DNA"),$P400,IF(OR(ISNUMBER($O400),$O400="DNA"),$O400,IF(OR(ISNUMBER($N400),$N400="DNA"),$N400,""))))))))))),IF(ISNUMBER($Y400),"Update status","Missed/not booked?"),""))))</f>
        <v/>
      </c>
      <c r="M400" s="29">
        <f>IF(NOT(AND($A400&lt;&gt;"",OR($I400="",$I400="Active"))),"",IF(MIN(IF(AND(ISNUMBER($N400),$N400&gt;=TODAY()),$N400,99999),IF(AND(ISNUMBER($O400),$O400&gt;=TODAY()),$O400,99999),IF(AND(ISNUMBER($P400),$P400&gt;=TODAY()),$P400,99999),IF(AND(ISNUMBER($S400),$S400&gt;=TODAY()),$S400,99999),IF(AND(ISNUMBER($T400),$T400&gt;=TODAY()),$T400,99999),IF(AND(ISNUMBER($U400),$U400&gt;=TODAY()),$U400,99999),IF(AND(ISNUMBER($V400),$V400&gt;=TODAY()),$V400,99999),IF(AND(ISNUMBER($W400),$W400&gt;=TODAY()),$W400,99999),IF(AND(ISNUMBER($X400),$X400&gt;=TODAY()),$X400,99999),IF(AND(ISNUMBER($Y400),$Y400&gt;=TODAY()),$Y400,99999))=99999,"",MIN(IF(AND(ISNUMBER($N400),$N400&gt;=TODAY()),$N400,99999),IF(AND(ISNUMBER($O400),$O400&gt;=TODAY()),$O400,99999),IF(AND(ISNUMBER($P400),$P400&gt;=TODAY()),$P400,99999),IF(AND(ISNUMBER($S400),$S400&gt;=TODAY()),$S400,99999),IF(AND(ISNUMBER($T400),$T400&gt;=TODAY()),$T400,99999),IF(AND(ISNUMBER($U400),$U400&gt;=TODAY()),$U400,99999),IF(AND(ISNUMBER($V400),$V400&gt;=TODAY()),$V400,99999),IF(AND(ISNUMBER($W400),$W400&gt;=TODAY()),$W400,99999),IF(AND(ISNUMBER($X400),$X400&gt;=TODAY()),$X400,99999),IF(AND(ISNUMBER($Y400),$Y400&gt;=TODAY()),$Y400,99999))))</f>
        <v/>
      </c>
      <c r="N400" s="27" t="n"/>
      <c r="O400" s="27" t="n"/>
      <c r="P400" s="27" t="n"/>
      <c r="Q400" s="27" t="n"/>
      <c r="R400" s="27" t="n"/>
      <c r="S400" s="27" t="n"/>
      <c r="T400" s="27" t="n"/>
      <c r="U400" s="27" t="n"/>
      <c r="V400" s="27" t="n"/>
      <c r="W400" s="27" t="n"/>
      <c r="X400" s="27" t="n"/>
      <c r="Y400" s="27" t="n"/>
      <c r="Z400" s="27" t="n"/>
      <c r="AA400" s="27" t="n"/>
      <c r="AB400" s="27" t="n"/>
      <c r="AC400" s="30" t="n"/>
      <c r="AD400" s="25" t="n"/>
      <c r="AE400" s="28">
        <f>IF(NOT(AND($A400&lt;&gt;"",OR($I400="",$I400="Active"))),"",IF(OR(IF(OR(ISNUMBER($Y400),$Y400="DNA"),$Y400,IF(OR(ISNUMBER($X400),$X400="DNA"),$X400,IF(OR(ISNUMBER($W400),$W400="DNA"),$W400,IF(OR(ISNUMBER($V400),$V400="DNA"),$V400,IF(OR(ISNUMBER($U400),$U400="DNA"),$U400,IF(OR(ISNUMBER($T400),$T400="DNA"),$T400,IF(OR(ISNUMBER($S400),$S400="DNA"),$S400,IF(OR(ISNUMBER($P400),$P400="DNA"),$P400,IF(OR(ISNUMBER($O400),$O400="DNA"),$O400,IF(OR(ISNUMBER($N400),$N400="DNA"),$N400,""))))))))))="DNA",AND(ISNUMBER(IF(OR(ISNUMBER($Y400),$Y400="DNA"),$Y400,IF(OR(ISNUMBER($X400),$X400="DNA"),$X400,IF(OR(ISNUMBER($W400),$W400="DNA"),$W400,IF(OR(ISNUMBER($V400),$V400="DNA"),$V400,IF(OR(ISNUMBER($U400),$U400="DNA"),$U400,IF(OR(ISNUMBER($T400),$T400="DNA"),$T400,IF(OR(ISNUMBER($S400),$S400="DNA"),$S400,IF(OR(ISNUMBER($P400),$P400="DNA"),$P400,IF(OR(ISNUMBER($O400),$O400="DNA"),$O400,IF(OR(ISNUMBER($N400),$N400="DNA"),$N400,""))))))))))),IF(OR(ISNUMBER($Y400),$Y400="DNA"),$Y400,IF(OR(ISNUMBER($X400),$X400="DNA"),$X400,IF(OR(ISNUMBER($W400),$W400="DNA"),$W400,IF(OR(ISNUMBER($V400),$V400="DNA"),$V400,IF(OR(ISNUMBER($U400),$U400="DNA"),$U400,IF(OR(ISNUMBER($T400),$T400="DNA"),$T400,IF(OR(ISNUMBER($S400),$S400="DNA"),$S400,IF(OR(ISNUMBER($P400),$P400="DNA"),$P400,IF(OR(ISNUMBER($O400),$O400="DNA"),$O400,IF(OR(ISNUMBER($N400),$N400="DNA"),$N400,""))))))))))&lt;TODAY())),1,0)+ISNUMBER($Q400)*($Q400&lt;TODAY())+ISNUMBER($R400)*($R400&lt;TODAY())+ISNUMBER($AA400)*($AA400&lt;TODAY())+ISNUMBER($AB400)*($AB400&lt;TODAY()))</f>
        <v/>
      </c>
    </row>
    <row r="401">
      <c r="A401" s="25" t="n"/>
      <c r="B401" s="26" t="n"/>
      <c r="C401" s="27" t="n"/>
      <c r="D401" s="25" t="n"/>
      <c r="E401" s="25" t="n"/>
      <c r="F401" s="25" t="n"/>
      <c r="G401" s="25" t="n"/>
      <c r="H401" s="27" t="n"/>
      <c r="I401" s="25" t="n"/>
      <c r="J401" s="28">
        <f>IF(OR(NOT(AND($A401&lt;&gt;"",OR($I401="",$I401="Active"))),$H401=""),"",INT((TODAY()-$H401+280)/7)&amp;"+"&amp;MOD(TODAY()-$H401+280,7))</f>
        <v/>
      </c>
      <c r="K401" s="28">
        <f>IF(NOT(AND($A401&lt;&gt;"",OR($I401="",$I401="Active"))),"",ISNUMBER($N401)*($N401&gt;=TODAY())*($N401&lt;=TODAY()+7)+ISNUMBER($O401)*($O401&gt;=TODAY())*($O401&lt;=TODAY()+7)+ISNUMBER($P401)*($P401&gt;=TODAY())*($P401&lt;=TODAY()+7)+ISNUMBER($S401)*($S401&gt;=TODAY())*($S401&lt;=TODAY()+7)+ISNUMBER($T401)*($T401&gt;=TODAY())*($T401&lt;=TODAY()+7)+ISNUMBER($U401)*($U401&gt;=TODAY())*($U401&lt;=TODAY()+7)+ISNUMBER($V401)*($V401&gt;=TODAY())*($V401&lt;=TODAY()+7)+ISNUMBER($W401)*($W401&gt;=TODAY())*($W401&lt;=TODAY()+7)+ISNUMBER($X401)*($X401&gt;=TODAY())*($X401&lt;=TODAY()+7)+ISNUMBER($Y401)*($Y401&gt;=TODAY())*($Y401&lt;=TODAY()+7)+ISNUMBER($Q401)*($Q401&gt;=TODAY())*($Q401&lt;=TODAY()+7)+ISNUMBER($R401)*($R401&gt;=TODAY())*($R401&lt;=TODAY()+7)+ISNUMBER($AA401)*($AA401&gt;=TODAY())*($AA401&lt;=TODAY()+7)+ISNUMBER($AB401)*($AB401&gt;=TODAY())*($AB401&lt;=TODAY()+7))</f>
        <v/>
      </c>
      <c r="L401" s="28">
        <f>IF(NOT(AND($A401&lt;&gt;"",OR($I401="",$I401="Active"))),"",IF($M401&lt;&gt;"",IF($N401=$M401,"Booking",IF($O401=$M401,"16/40",IF($P401=$M401,"25/40",IF($S401=$M401,"28/40",IF($T401=$M401,"31/40",IF($U401=$M401,"34/40",IF($V401=$M401,"36/40",IF($W401=$M401,"38/40",IF($X401=$M401,"40/40",IF($Y401=$M401,"41/40","")))))))))),IF(IF(OR(ISNUMBER($Y401),$Y401="DNA"),$Y401,IF(OR(ISNUMBER($X401),$X401="DNA"),$X401,IF(OR(ISNUMBER($W401),$W401="DNA"),$W401,IF(OR(ISNUMBER($V401),$V401="DNA"),$V401,IF(OR(ISNUMBER($U401),$U401="DNA"),$U401,IF(OR(ISNUMBER($T401),$T401="DNA"),$T401,IF(OR(ISNUMBER($S401),$S401="DNA"),$S401,IF(OR(ISNUMBER($P401),$P401="DNA"),$P401,IF(OR(ISNUMBER($O401),$O401="DNA"),$O401,IF(OR(ISNUMBER($N401),$N401="DNA"),$N401,""))))))))))="DNA","Rebook DNA",IF(ISNUMBER(IF(OR(ISNUMBER($Y401),$Y401="DNA"),$Y401,IF(OR(ISNUMBER($X401),$X401="DNA"),$X401,IF(OR(ISNUMBER($W401),$W401="DNA"),$W401,IF(OR(ISNUMBER($V401),$V401="DNA"),$V401,IF(OR(ISNUMBER($U401),$U401="DNA"),$U401,IF(OR(ISNUMBER($T401),$T401="DNA"),$T401,IF(OR(ISNUMBER($S401),$S401="DNA"),$S401,IF(OR(ISNUMBER($P401),$P401="DNA"),$P401,IF(OR(ISNUMBER($O401),$O401="DNA"),$O401,IF(OR(ISNUMBER($N401),$N401="DNA"),$N401,""))))))))))),IF(ISNUMBER($Y401),"Update status","Missed/not booked?"),""))))</f>
        <v/>
      </c>
      <c r="M401" s="29">
        <f>IF(NOT(AND($A401&lt;&gt;"",OR($I401="",$I401="Active"))),"",IF(MIN(IF(AND(ISNUMBER($N401),$N401&gt;=TODAY()),$N401,99999),IF(AND(ISNUMBER($O401),$O401&gt;=TODAY()),$O401,99999),IF(AND(ISNUMBER($P401),$P401&gt;=TODAY()),$P401,99999),IF(AND(ISNUMBER($S401),$S401&gt;=TODAY()),$S401,99999),IF(AND(ISNUMBER($T401),$T401&gt;=TODAY()),$T401,99999),IF(AND(ISNUMBER($U401),$U401&gt;=TODAY()),$U401,99999),IF(AND(ISNUMBER($V401),$V401&gt;=TODAY()),$V401,99999),IF(AND(ISNUMBER($W401),$W401&gt;=TODAY()),$W401,99999),IF(AND(ISNUMBER($X401),$X401&gt;=TODAY()),$X401,99999),IF(AND(ISNUMBER($Y401),$Y401&gt;=TODAY()),$Y401,99999))=99999,"",MIN(IF(AND(ISNUMBER($N401),$N401&gt;=TODAY()),$N401,99999),IF(AND(ISNUMBER($O401),$O401&gt;=TODAY()),$O401,99999),IF(AND(ISNUMBER($P401),$P401&gt;=TODAY()),$P401,99999),IF(AND(ISNUMBER($S401),$S401&gt;=TODAY()),$S401,99999),IF(AND(ISNUMBER($T401),$T401&gt;=TODAY()),$T401,99999),IF(AND(ISNUMBER($U401),$U401&gt;=TODAY()),$U401,99999),IF(AND(ISNUMBER($V401),$V401&gt;=TODAY()),$V401,99999),IF(AND(ISNUMBER($W401),$W401&gt;=TODAY()),$W401,99999),IF(AND(ISNUMBER($X401),$X401&gt;=TODAY()),$X401,99999),IF(AND(ISNUMBER($Y401),$Y401&gt;=TODAY()),$Y401,99999))))</f>
        <v/>
      </c>
      <c r="N401" s="27" t="n"/>
      <c r="O401" s="27" t="n"/>
      <c r="P401" s="27" t="n"/>
      <c r="Q401" s="27" t="n"/>
      <c r="R401" s="27" t="n"/>
      <c r="S401" s="27" t="n"/>
      <c r="T401" s="27" t="n"/>
      <c r="U401" s="27" t="n"/>
      <c r="V401" s="27" t="n"/>
      <c r="W401" s="27" t="n"/>
      <c r="X401" s="27" t="n"/>
      <c r="Y401" s="27" t="n"/>
      <c r="Z401" s="27" t="n"/>
      <c r="AA401" s="27" t="n"/>
      <c r="AB401" s="27" t="n"/>
      <c r="AC401" s="30" t="n"/>
      <c r="AD401" s="25" t="n"/>
      <c r="AE401" s="28">
        <f>IF(NOT(AND($A401&lt;&gt;"",OR($I401="",$I401="Active"))),"",IF(OR(IF(OR(ISNUMBER($Y401),$Y401="DNA"),$Y401,IF(OR(ISNUMBER($X401),$X401="DNA"),$X401,IF(OR(ISNUMBER($W401),$W401="DNA"),$W401,IF(OR(ISNUMBER($V401),$V401="DNA"),$V401,IF(OR(ISNUMBER($U401),$U401="DNA"),$U401,IF(OR(ISNUMBER($T401),$T401="DNA"),$T401,IF(OR(ISNUMBER($S401),$S401="DNA"),$S401,IF(OR(ISNUMBER($P401),$P401="DNA"),$P401,IF(OR(ISNUMBER($O401),$O401="DNA"),$O401,IF(OR(ISNUMBER($N401),$N401="DNA"),$N401,""))))))))))="DNA",AND(ISNUMBER(IF(OR(ISNUMBER($Y401),$Y401="DNA"),$Y401,IF(OR(ISNUMBER($X401),$X401="DNA"),$X401,IF(OR(ISNUMBER($W401),$W401="DNA"),$W401,IF(OR(ISNUMBER($V401),$V401="DNA"),$V401,IF(OR(ISNUMBER($U401),$U401="DNA"),$U401,IF(OR(ISNUMBER($T401),$T401="DNA"),$T401,IF(OR(ISNUMBER($S401),$S401="DNA"),$S401,IF(OR(ISNUMBER($P401),$P401="DNA"),$P401,IF(OR(ISNUMBER($O401),$O401="DNA"),$O401,IF(OR(ISNUMBER($N401),$N401="DNA"),$N401,""))))))))))),IF(OR(ISNUMBER($Y401),$Y401="DNA"),$Y401,IF(OR(ISNUMBER($X401),$X401="DNA"),$X401,IF(OR(ISNUMBER($W401),$W401="DNA"),$W401,IF(OR(ISNUMBER($V401),$V401="DNA"),$V401,IF(OR(ISNUMBER($U401),$U401="DNA"),$U401,IF(OR(ISNUMBER($T401),$T401="DNA"),$T401,IF(OR(ISNUMBER($S401),$S401="DNA"),$S401,IF(OR(ISNUMBER($P401),$P401="DNA"),$P401,IF(OR(ISNUMBER($O401),$O401="DNA"),$O401,IF(OR(ISNUMBER($N401),$N401="DNA"),$N401,""))))))))))&lt;TODAY())),1,0)+ISNUMBER($Q401)*($Q401&lt;TODAY())+ISNUMBER($R401)*($R401&lt;TODAY())+ISNUMBER($AA401)*($AA401&lt;TODAY())+ISNUMBER($AB401)*($AB401&lt;TODAY()))</f>
        <v/>
      </c>
    </row>
    <row r="402">
      <c r="A402" s="25" t="n"/>
      <c r="B402" s="26" t="n"/>
      <c r="C402" s="27" t="n"/>
      <c r="D402" s="25" t="n"/>
      <c r="E402" s="25" t="n"/>
      <c r="F402" s="25" t="n"/>
      <c r="G402" s="25" t="n"/>
      <c r="H402" s="27" t="n"/>
      <c r="I402" s="25" t="n"/>
      <c r="J402" s="28">
        <f>IF(OR(NOT(AND($A402&lt;&gt;"",OR($I402="",$I402="Active"))),$H402=""),"",INT((TODAY()-$H402+280)/7)&amp;"+"&amp;MOD(TODAY()-$H402+280,7))</f>
        <v/>
      </c>
      <c r="K402" s="28">
        <f>IF(NOT(AND($A402&lt;&gt;"",OR($I402="",$I402="Active"))),"",ISNUMBER($N402)*($N402&gt;=TODAY())*($N402&lt;=TODAY()+7)+ISNUMBER($O402)*($O402&gt;=TODAY())*($O402&lt;=TODAY()+7)+ISNUMBER($P402)*($P402&gt;=TODAY())*($P402&lt;=TODAY()+7)+ISNUMBER($S402)*($S402&gt;=TODAY())*($S402&lt;=TODAY()+7)+ISNUMBER($T402)*($T402&gt;=TODAY())*($T402&lt;=TODAY()+7)+ISNUMBER($U402)*($U402&gt;=TODAY())*($U402&lt;=TODAY()+7)+ISNUMBER($V402)*($V402&gt;=TODAY())*($V402&lt;=TODAY()+7)+ISNUMBER($W402)*($W402&gt;=TODAY())*($W402&lt;=TODAY()+7)+ISNUMBER($X402)*($X402&gt;=TODAY())*($X402&lt;=TODAY()+7)+ISNUMBER($Y402)*($Y402&gt;=TODAY())*($Y402&lt;=TODAY()+7)+ISNUMBER($Q402)*($Q402&gt;=TODAY())*($Q402&lt;=TODAY()+7)+ISNUMBER($R402)*($R402&gt;=TODAY())*($R402&lt;=TODAY()+7)+ISNUMBER($AA402)*($AA402&gt;=TODAY())*($AA402&lt;=TODAY()+7)+ISNUMBER($AB402)*($AB402&gt;=TODAY())*($AB402&lt;=TODAY()+7))</f>
        <v/>
      </c>
      <c r="L402" s="28">
        <f>IF(NOT(AND($A402&lt;&gt;"",OR($I402="",$I402="Active"))),"",IF($M402&lt;&gt;"",IF($N402=$M402,"Booking",IF($O402=$M402,"16/40",IF($P402=$M402,"25/40",IF($S402=$M402,"28/40",IF($T402=$M402,"31/40",IF($U402=$M402,"34/40",IF($V402=$M402,"36/40",IF($W402=$M402,"38/40",IF($X402=$M402,"40/40",IF($Y402=$M402,"41/40","")))))))))),IF(IF(OR(ISNUMBER($Y402),$Y402="DNA"),$Y402,IF(OR(ISNUMBER($X402),$X402="DNA"),$X402,IF(OR(ISNUMBER($W402),$W402="DNA"),$W402,IF(OR(ISNUMBER($V402),$V402="DNA"),$V402,IF(OR(ISNUMBER($U402),$U402="DNA"),$U402,IF(OR(ISNUMBER($T402),$T402="DNA"),$T402,IF(OR(ISNUMBER($S402),$S402="DNA"),$S402,IF(OR(ISNUMBER($P402),$P402="DNA"),$P402,IF(OR(ISNUMBER($O402),$O402="DNA"),$O402,IF(OR(ISNUMBER($N402),$N402="DNA"),$N402,""))))))))))="DNA","Rebook DNA",IF(ISNUMBER(IF(OR(ISNUMBER($Y402),$Y402="DNA"),$Y402,IF(OR(ISNUMBER($X402),$X402="DNA"),$X402,IF(OR(ISNUMBER($W402),$W402="DNA"),$W402,IF(OR(ISNUMBER($V402),$V402="DNA"),$V402,IF(OR(ISNUMBER($U402),$U402="DNA"),$U402,IF(OR(ISNUMBER($T402),$T402="DNA"),$T402,IF(OR(ISNUMBER($S402),$S402="DNA"),$S402,IF(OR(ISNUMBER($P402),$P402="DNA"),$P402,IF(OR(ISNUMBER($O402),$O402="DNA"),$O402,IF(OR(ISNUMBER($N402),$N402="DNA"),$N402,""))))))))))),IF(ISNUMBER($Y402),"Update status","Missed/not booked?"),""))))</f>
        <v/>
      </c>
      <c r="M402" s="29">
        <f>IF(NOT(AND($A402&lt;&gt;"",OR($I402="",$I402="Active"))),"",IF(MIN(IF(AND(ISNUMBER($N402),$N402&gt;=TODAY()),$N402,99999),IF(AND(ISNUMBER($O402),$O402&gt;=TODAY()),$O402,99999),IF(AND(ISNUMBER($P402),$P402&gt;=TODAY()),$P402,99999),IF(AND(ISNUMBER($S402),$S402&gt;=TODAY()),$S402,99999),IF(AND(ISNUMBER($T402),$T402&gt;=TODAY()),$T402,99999),IF(AND(ISNUMBER($U402),$U402&gt;=TODAY()),$U402,99999),IF(AND(ISNUMBER($V402),$V402&gt;=TODAY()),$V402,99999),IF(AND(ISNUMBER($W402),$W402&gt;=TODAY()),$W402,99999),IF(AND(ISNUMBER($X402),$X402&gt;=TODAY()),$X402,99999),IF(AND(ISNUMBER($Y402),$Y402&gt;=TODAY()),$Y402,99999))=99999,"",MIN(IF(AND(ISNUMBER($N402),$N402&gt;=TODAY()),$N402,99999),IF(AND(ISNUMBER($O402),$O402&gt;=TODAY()),$O402,99999),IF(AND(ISNUMBER($P402),$P402&gt;=TODAY()),$P402,99999),IF(AND(ISNUMBER($S402),$S402&gt;=TODAY()),$S402,99999),IF(AND(ISNUMBER($T402),$T402&gt;=TODAY()),$T402,99999),IF(AND(ISNUMBER($U402),$U402&gt;=TODAY()),$U402,99999),IF(AND(ISNUMBER($V402),$V402&gt;=TODAY()),$V402,99999),IF(AND(ISNUMBER($W402),$W402&gt;=TODAY()),$W402,99999),IF(AND(ISNUMBER($X402),$X402&gt;=TODAY()),$X402,99999),IF(AND(ISNUMBER($Y402),$Y402&gt;=TODAY()),$Y402,99999))))</f>
        <v/>
      </c>
      <c r="N402" s="27" t="n"/>
      <c r="O402" s="27" t="n"/>
      <c r="P402" s="27" t="n"/>
      <c r="Q402" s="27" t="n"/>
      <c r="R402" s="27" t="n"/>
      <c r="S402" s="27" t="n"/>
      <c r="T402" s="27" t="n"/>
      <c r="U402" s="27" t="n"/>
      <c r="V402" s="27" t="n"/>
      <c r="W402" s="27" t="n"/>
      <c r="X402" s="27" t="n"/>
      <c r="Y402" s="27" t="n"/>
      <c r="Z402" s="27" t="n"/>
      <c r="AA402" s="27" t="n"/>
      <c r="AB402" s="27" t="n"/>
      <c r="AC402" s="30" t="n"/>
      <c r="AD402" s="25" t="n"/>
      <c r="AE402" s="28">
        <f>IF(NOT(AND($A402&lt;&gt;"",OR($I402="",$I402="Active"))),"",IF(OR(IF(OR(ISNUMBER($Y402),$Y402="DNA"),$Y402,IF(OR(ISNUMBER($X402),$X402="DNA"),$X402,IF(OR(ISNUMBER($W402),$W402="DNA"),$W402,IF(OR(ISNUMBER($V402),$V402="DNA"),$V402,IF(OR(ISNUMBER($U402),$U402="DNA"),$U402,IF(OR(ISNUMBER($T402),$T402="DNA"),$T402,IF(OR(ISNUMBER($S402),$S402="DNA"),$S402,IF(OR(ISNUMBER($P402),$P402="DNA"),$P402,IF(OR(ISNUMBER($O402),$O402="DNA"),$O402,IF(OR(ISNUMBER($N402),$N402="DNA"),$N402,""))))))))))="DNA",AND(ISNUMBER(IF(OR(ISNUMBER($Y402),$Y402="DNA"),$Y402,IF(OR(ISNUMBER($X402),$X402="DNA"),$X402,IF(OR(ISNUMBER($W402),$W402="DNA"),$W402,IF(OR(ISNUMBER($V402),$V402="DNA"),$V402,IF(OR(ISNUMBER($U402),$U402="DNA"),$U402,IF(OR(ISNUMBER($T402),$T402="DNA"),$T402,IF(OR(ISNUMBER($S402),$S402="DNA"),$S402,IF(OR(ISNUMBER($P402),$P402="DNA"),$P402,IF(OR(ISNUMBER($O402),$O402="DNA"),$O402,IF(OR(ISNUMBER($N402),$N402="DNA"),$N402,""))))))))))),IF(OR(ISNUMBER($Y402),$Y402="DNA"),$Y402,IF(OR(ISNUMBER($X402),$X402="DNA"),$X402,IF(OR(ISNUMBER($W402),$W402="DNA"),$W402,IF(OR(ISNUMBER($V402),$V402="DNA"),$V402,IF(OR(ISNUMBER($U402),$U402="DNA"),$U402,IF(OR(ISNUMBER($T402),$T402="DNA"),$T402,IF(OR(ISNUMBER($S402),$S402="DNA"),$S402,IF(OR(ISNUMBER($P402),$P402="DNA"),$P402,IF(OR(ISNUMBER($O402),$O402="DNA"),$O402,IF(OR(ISNUMBER($N402),$N402="DNA"),$N402,""))))))))))&lt;TODAY())),1,0)+ISNUMBER($Q402)*($Q402&lt;TODAY())+ISNUMBER($R402)*($R402&lt;TODAY())+ISNUMBER($AA402)*($AA402&lt;TODAY())+ISNUMBER($AB402)*($AB402&lt;TODAY()))</f>
        <v/>
      </c>
    </row>
    <row r="403">
      <c r="A403" s="25" t="n"/>
      <c r="B403" s="26" t="n"/>
      <c r="C403" s="27" t="n"/>
      <c r="D403" s="25" t="n"/>
      <c r="E403" s="25" t="n"/>
      <c r="F403" s="25" t="n"/>
      <c r="G403" s="25" t="n"/>
      <c r="H403" s="27" t="n"/>
      <c r="I403" s="25" t="n"/>
      <c r="J403" s="28">
        <f>IF(OR(NOT(AND($A403&lt;&gt;"",OR($I403="",$I403="Active"))),$H403=""),"",INT((TODAY()-$H403+280)/7)&amp;"+"&amp;MOD(TODAY()-$H403+280,7))</f>
        <v/>
      </c>
      <c r="K403" s="28">
        <f>IF(NOT(AND($A403&lt;&gt;"",OR($I403="",$I403="Active"))),"",ISNUMBER($N403)*($N403&gt;=TODAY())*($N403&lt;=TODAY()+7)+ISNUMBER($O403)*($O403&gt;=TODAY())*($O403&lt;=TODAY()+7)+ISNUMBER($P403)*($P403&gt;=TODAY())*($P403&lt;=TODAY()+7)+ISNUMBER($S403)*($S403&gt;=TODAY())*($S403&lt;=TODAY()+7)+ISNUMBER($T403)*($T403&gt;=TODAY())*($T403&lt;=TODAY()+7)+ISNUMBER($U403)*($U403&gt;=TODAY())*($U403&lt;=TODAY()+7)+ISNUMBER($V403)*($V403&gt;=TODAY())*($V403&lt;=TODAY()+7)+ISNUMBER($W403)*($W403&gt;=TODAY())*($W403&lt;=TODAY()+7)+ISNUMBER($X403)*($X403&gt;=TODAY())*($X403&lt;=TODAY()+7)+ISNUMBER($Y403)*($Y403&gt;=TODAY())*($Y403&lt;=TODAY()+7)+ISNUMBER($Q403)*($Q403&gt;=TODAY())*($Q403&lt;=TODAY()+7)+ISNUMBER($R403)*($R403&gt;=TODAY())*($R403&lt;=TODAY()+7)+ISNUMBER($AA403)*($AA403&gt;=TODAY())*($AA403&lt;=TODAY()+7)+ISNUMBER($AB403)*($AB403&gt;=TODAY())*($AB403&lt;=TODAY()+7))</f>
        <v/>
      </c>
      <c r="L403" s="28">
        <f>IF(NOT(AND($A403&lt;&gt;"",OR($I403="",$I403="Active"))),"",IF($M403&lt;&gt;"",IF($N403=$M403,"Booking",IF($O403=$M403,"16/40",IF($P403=$M403,"25/40",IF($S403=$M403,"28/40",IF($T403=$M403,"31/40",IF($U403=$M403,"34/40",IF($V403=$M403,"36/40",IF($W403=$M403,"38/40",IF($X403=$M403,"40/40",IF($Y403=$M403,"41/40","")))))))))),IF(IF(OR(ISNUMBER($Y403),$Y403="DNA"),$Y403,IF(OR(ISNUMBER($X403),$X403="DNA"),$X403,IF(OR(ISNUMBER($W403),$W403="DNA"),$W403,IF(OR(ISNUMBER($V403),$V403="DNA"),$V403,IF(OR(ISNUMBER($U403),$U403="DNA"),$U403,IF(OR(ISNUMBER($T403),$T403="DNA"),$T403,IF(OR(ISNUMBER($S403),$S403="DNA"),$S403,IF(OR(ISNUMBER($P403),$P403="DNA"),$P403,IF(OR(ISNUMBER($O403),$O403="DNA"),$O403,IF(OR(ISNUMBER($N403),$N403="DNA"),$N403,""))))))))))="DNA","Rebook DNA",IF(ISNUMBER(IF(OR(ISNUMBER($Y403),$Y403="DNA"),$Y403,IF(OR(ISNUMBER($X403),$X403="DNA"),$X403,IF(OR(ISNUMBER($W403),$W403="DNA"),$W403,IF(OR(ISNUMBER($V403),$V403="DNA"),$V403,IF(OR(ISNUMBER($U403),$U403="DNA"),$U403,IF(OR(ISNUMBER($T403),$T403="DNA"),$T403,IF(OR(ISNUMBER($S403),$S403="DNA"),$S403,IF(OR(ISNUMBER($P403),$P403="DNA"),$P403,IF(OR(ISNUMBER($O403),$O403="DNA"),$O403,IF(OR(ISNUMBER($N403),$N403="DNA"),$N403,""))))))))))),IF(ISNUMBER($Y403),"Update status","Missed/not booked?"),""))))</f>
        <v/>
      </c>
      <c r="M403" s="29">
        <f>IF(NOT(AND($A403&lt;&gt;"",OR($I403="",$I403="Active"))),"",IF(MIN(IF(AND(ISNUMBER($N403),$N403&gt;=TODAY()),$N403,99999),IF(AND(ISNUMBER($O403),$O403&gt;=TODAY()),$O403,99999),IF(AND(ISNUMBER($P403),$P403&gt;=TODAY()),$P403,99999),IF(AND(ISNUMBER($S403),$S403&gt;=TODAY()),$S403,99999),IF(AND(ISNUMBER($T403),$T403&gt;=TODAY()),$T403,99999),IF(AND(ISNUMBER($U403),$U403&gt;=TODAY()),$U403,99999),IF(AND(ISNUMBER($V403),$V403&gt;=TODAY()),$V403,99999),IF(AND(ISNUMBER($W403),$W403&gt;=TODAY()),$W403,99999),IF(AND(ISNUMBER($X403),$X403&gt;=TODAY()),$X403,99999),IF(AND(ISNUMBER($Y403),$Y403&gt;=TODAY()),$Y403,99999))=99999,"",MIN(IF(AND(ISNUMBER($N403),$N403&gt;=TODAY()),$N403,99999),IF(AND(ISNUMBER($O403),$O403&gt;=TODAY()),$O403,99999),IF(AND(ISNUMBER($P403),$P403&gt;=TODAY()),$P403,99999),IF(AND(ISNUMBER($S403),$S403&gt;=TODAY()),$S403,99999),IF(AND(ISNUMBER($T403),$T403&gt;=TODAY()),$T403,99999),IF(AND(ISNUMBER($U403),$U403&gt;=TODAY()),$U403,99999),IF(AND(ISNUMBER($V403),$V403&gt;=TODAY()),$V403,99999),IF(AND(ISNUMBER($W403),$W403&gt;=TODAY()),$W403,99999),IF(AND(ISNUMBER($X403),$X403&gt;=TODAY()),$X403,99999),IF(AND(ISNUMBER($Y403),$Y403&gt;=TODAY()),$Y403,99999))))</f>
        <v/>
      </c>
      <c r="N403" s="27" t="n"/>
      <c r="O403" s="27" t="n"/>
      <c r="P403" s="27" t="n"/>
      <c r="Q403" s="27" t="n"/>
      <c r="R403" s="27" t="n"/>
      <c r="S403" s="27" t="n"/>
      <c r="T403" s="27" t="n"/>
      <c r="U403" s="27" t="n"/>
      <c r="V403" s="27" t="n"/>
      <c r="W403" s="27" t="n"/>
      <c r="X403" s="27" t="n"/>
      <c r="Y403" s="27" t="n"/>
      <c r="Z403" s="27" t="n"/>
      <c r="AA403" s="27" t="n"/>
      <c r="AB403" s="27" t="n"/>
      <c r="AC403" s="30" t="n"/>
      <c r="AD403" s="25" t="n"/>
      <c r="AE403" s="28">
        <f>IF(NOT(AND($A403&lt;&gt;"",OR($I403="",$I403="Active"))),"",IF(OR(IF(OR(ISNUMBER($Y403),$Y403="DNA"),$Y403,IF(OR(ISNUMBER($X403),$X403="DNA"),$X403,IF(OR(ISNUMBER($W403),$W403="DNA"),$W403,IF(OR(ISNUMBER($V403),$V403="DNA"),$V403,IF(OR(ISNUMBER($U403),$U403="DNA"),$U403,IF(OR(ISNUMBER($T403),$T403="DNA"),$T403,IF(OR(ISNUMBER($S403),$S403="DNA"),$S403,IF(OR(ISNUMBER($P403),$P403="DNA"),$P403,IF(OR(ISNUMBER($O403),$O403="DNA"),$O403,IF(OR(ISNUMBER($N403),$N403="DNA"),$N403,""))))))))))="DNA",AND(ISNUMBER(IF(OR(ISNUMBER($Y403),$Y403="DNA"),$Y403,IF(OR(ISNUMBER($X403),$X403="DNA"),$X403,IF(OR(ISNUMBER($W403),$W403="DNA"),$W403,IF(OR(ISNUMBER($V403),$V403="DNA"),$V403,IF(OR(ISNUMBER($U403),$U403="DNA"),$U403,IF(OR(ISNUMBER($T403),$T403="DNA"),$T403,IF(OR(ISNUMBER($S403),$S403="DNA"),$S403,IF(OR(ISNUMBER($P403),$P403="DNA"),$P403,IF(OR(ISNUMBER($O403),$O403="DNA"),$O403,IF(OR(ISNUMBER($N403),$N403="DNA"),$N403,""))))))))))),IF(OR(ISNUMBER($Y403),$Y403="DNA"),$Y403,IF(OR(ISNUMBER($X403),$X403="DNA"),$X403,IF(OR(ISNUMBER($W403),$W403="DNA"),$W403,IF(OR(ISNUMBER($V403),$V403="DNA"),$V403,IF(OR(ISNUMBER($U403),$U403="DNA"),$U403,IF(OR(ISNUMBER($T403),$T403="DNA"),$T403,IF(OR(ISNUMBER($S403),$S403="DNA"),$S403,IF(OR(ISNUMBER($P403),$P403="DNA"),$P403,IF(OR(ISNUMBER($O403),$O403="DNA"),$O403,IF(OR(ISNUMBER($N403),$N403="DNA"),$N403,""))))))))))&lt;TODAY())),1,0)+ISNUMBER($Q403)*($Q403&lt;TODAY())+ISNUMBER($R403)*($R403&lt;TODAY())+ISNUMBER($AA403)*($AA403&lt;TODAY())+ISNUMBER($AB403)*($AB403&lt;TODAY()))</f>
        <v/>
      </c>
    </row>
    <row r="404">
      <c r="A404" s="25" t="n"/>
      <c r="B404" s="26" t="n"/>
      <c r="C404" s="27" t="n"/>
      <c r="D404" s="25" t="n"/>
      <c r="E404" s="25" t="n"/>
      <c r="F404" s="25" t="n"/>
      <c r="G404" s="25" t="n"/>
      <c r="H404" s="27" t="n"/>
      <c r="I404" s="25" t="n"/>
      <c r="J404" s="28">
        <f>IF(OR(NOT(AND($A404&lt;&gt;"",OR($I404="",$I404="Active"))),$H404=""),"",INT((TODAY()-$H404+280)/7)&amp;"+"&amp;MOD(TODAY()-$H404+280,7))</f>
        <v/>
      </c>
      <c r="K404" s="28">
        <f>IF(NOT(AND($A404&lt;&gt;"",OR($I404="",$I404="Active"))),"",ISNUMBER($N404)*($N404&gt;=TODAY())*($N404&lt;=TODAY()+7)+ISNUMBER($O404)*($O404&gt;=TODAY())*($O404&lt;=TODAY()+7)+ISNUMBER($P404)*($P404&gt;=TODAY())*($P404&lt;=TODAY()+7)+ISNUMBER($S404)*($S404&gt;=TODAY())*($S404&lt;=TODAY()+7)+ISNUMBER($T404)*($T404&gt;=TODAY())*($T404&lt;=TODAY()+7)+ISNUMBER($U404)*($U404&gt;=TODAY())*($U404&lt;=TODAY()+7)+ISNUMBER($V404)*($V404&gt;=TODAY())*($V404&lt;=TODAY()+7)+ISNUMBER($W404)*($W404&gt;=TODAY())*($W404&lt;=TODAY()+7)+ISNUMBER($X404)*($X404&gt;=TODAY())*($X404&lt;=TODAY()+7)+ISNUMBER($Y404)*($Y404&gt;=TODAY())*($Y404&lt;=TODAY()+7)+ISNUMBER($Q404)*($Q404&gt;=TODAY())*($Q404&lt;=TODAY()+7)+ISNUMBER($R404)*($R404&gt;=TODAY())*($R404&lt;=TODAY()+7)+ISNUMBER($AA404)*($AA404&gt;=TODAY())*($AA404&lt;=TODAY()+7)+ISNUMBER($AB404)*($AB404&gt;=TODAY())*($AB404&lt;=TODAY()+7))</f>
        <v/>
      </c>
      <c r="L404" s="28">
        <f>IF(NOT(AND($A404&lt;&gt;"",OR($I404="",$I404="Active"))),"",IF($M404&lt;&gt;"",IF($N404=$M404,"Booking",IF($O404=$M404,"16/40",IF($P404=$M404,"25/40",IF($S404=$M404,"28/40",IF($T404=$M404,"31/40",IF($U404=$M404,"34/40",IF($V404=$M404,"36/40",IF($W404=$M404,"38/40",IF($X404=$M404,"40/40",IF($Y404=$M404,"41/40","")))))))))),IF(IF(OR(ISNUMBER($Y404),$Y404="DNA"),$Y404,IF(OR(ISNUMBER($X404),$X404="DNA"),$X404,IF(OR(ISNUMBER($W404),$W404="DNA"),$W404,IF(OR(ISNUMBER($V404),$V404="DNA"),$V404,IF(OR(ISNUMBER($U404),$U404="DNA"),$U404,IF(OR(ISNUMBER($T404),$T404="DNA"),$T404,IF(OR(ISNUMBER($S404),$S404="DNA"),$S404,IF(OR(ISNUMBER($P404),$P404="DNA"),$P404,IF(OR(ISNUMBER($O404),$O404="DNA"),$O404,IF(OR(ISNUMBER($N404),$N404="DNA"),$N404,""))))))))))="DNA","Rebook DNA",IF(ISNUMBER(IF(OR(ISNUMBER($Y404),$Y404="DNA"),$Y404,IF(OR(ISNUMBER($X404),$X404="DNA"),$X404,IF(OR(ISNUMBER($W404),$W404="DNA"),$W404,IF(OR(ISNUMBER($V404),$V404="DNA"),$V404,IF(OR(ISNUMBER($U404),$U404="DNA"),$U404,IF(OR(ISNUMBER($T404),$T404="DNA"),$T404,IF(OR(ISNUMBER($S404),$S404="DNA"),$S404,IF(OR(ISNUMBER($P404),$P404="DNA"),$P404,IF(OR(ISNUMBER($O404),$O404="DNA"),$O404,IF(OR(ISNUMBER($N404),$N404="DNA"),$N404,""))))))))))),IF(ISNUMBER($Y404),"Update status","Missed/not booked?"),""))))</f>
        <v/>
      </c>
      <c r="M404" s="29">
        <f>IF(NOT(AND($A404&lt;&gt;"",OR($I404="",$I404="Active"))),"",IF(MIN(IF(AND(ISNUMBER($N404),$N404&gt;=TODAY()),$N404,99999),IF(AND(ISNUMBER($O404),$O404&gt;=TODAY()),$O404,99999),IF(AND(ISNUMBER($P404),$P404&gt;=TODAY()),$P404,99999),IF(AND(ISNUMBER($S404),$S404&gt;=TODAY()),$S404,99999),IF(AND(ISNUMBER($T404),$T404&gt;=TODAY()),$T404,99999),IF(AND(ISNUMBER($U404),$U404&gt;=TODAY()),$U404,99999),IF(AND(ISNUMBER($V404),$V404&gt;=TODAY()),$V404,99999),IF(AND(ISNUMBER($W404),$W404&gt;=TODAY()),$W404,99999),IF(AND(ISNUMBER($X404),$X404&gt;=TODAY()),$X404,99999),IF(AND(ISNUMBER($Y404),$Y404&gt;=TODAY()),$Y404,99999))=99999,"",MIN(IF(AND(ISNUMBER($N404),$N404&gt;=TODAY()),$N404,99999),IF(AND(ISNUMBER($O404),$O404&gt;=TODAY()),$O404,99999),IF(AND(ISNUMBER($P404),$P404&gt;=TODAY()),$P404,99999),IF(AND(ISNUMBER($S404),$S404&gt;=TODAY()),$S404,99999),IF(AND(ISNUMBER($T404),$T404&gt;=TODAY()),$T404,99999),IF(AND(ISNUMBER($U404),$U404&gt;=TODAY()),$U404,99999),IF(AND(ISNUMBER($V404),$V404&gt;=TODAY()),$V404,99999),IF(AND(ISNUMBER($W404),$W404&gt;=TODAY()),$W404,99999),IF(AND(ISNUMBER($X404),$X404&gt;=TODAY()),$X404,99999),IF(AND(ISNUMBER($Y404),$Y404&gt;=TODAY()),$Y404,99999))))</f>
        <v/>
      </c>
      <c r="N404" s="27" t="n"/>
      <c r="O404" s="27" t="n"/>
      <c r="P404" s="27" t="n"/>
      <c r="Q404" s="27" t="n"/>
      <c r="R404" s="27" t="n"/>
      <c r="S404" s="27" t="n"/>
      <c r="T404" s="27" t="n"/>
      <c r="U404" s="27" t="n"/>
      <c r="V404" s="27" t="n"/>
      <c r="W404" s="27" t="n"/>
      <c r="X404" s="27" t="n"/>
      <c r="Y404" s="27" t="n"/>
      <c r="Z404" s="27" t="n"/>
      <c r="AA404" s="27" t="n"/>
      <c r="AB404" s="27" t="n"/>
      <c r="AC404" s="30" t="n"/>
      <c r="AD404" s="25" t="n"/>
      <c r="AE404" s="28">
        <f>IF(NOT(AND($A404&lt;&gt;"",OR($I404="",$I404="Active"))),"",IF(OR(IF(OR(ISNUMBER($Y404),$Y404="DNA"),$Y404,IF(OR(ISNUMBER($X404),$X404="DNA"),$X404,IF(OR(ISNUMBER($W404),$W404="DNA"),$W404,IF(OR(ISNUMBER($V404),$V404="DNA"),$V404,IF(OR(ISNUMBER($U404),$U404="DNA"),$U404,IF(OR(ISNUMBER($T404),$T404="DNA"),$T404,IF(OR(ISNUMBER($S404),$S404="DNA"),$S404,IF(OR(ISNUMBER($P404),$P404="DNA"),$P404,IF(OR(ISNUMBER($O404),$O404="DNA"),$O404,IF(OR(ISNUMBER($N404),$N404="DNA"),$N404,""))))))))))="DNA",AND(ISNUMBER(IF(OR(ISNUMBER($Y404),$Y404="DNA"),$Y404,IF(OR(ISNUMBER($X404),$X404="DNA"),$X404,IF(OR(ISNUMBER($W404),$W404="DNA"),$W404,IF(OR(ISNUMBER($V404),$V404="DNA"),$V404,IF(OR(ISNUMBER($U404),$U404="DNA"),$U404,IF(OR(ISNUMBER($T404),$T404="DNA"),$T404,IF(OR(ISNUMBER($S404),$S404="DNA"),$S404,IF(OR(ISNUMBER($P404),$P404="DNA"),$P404,IF(OR(ISNUMBER($O404),$O404="DNA"),$O404,IF(OR(ISNUMBER($N404),$N404="DNA"),$N404,""))))))))))),IF(OR(ISNUMBER($Y404),$Y404="DNA"),$Y404,IF(OR(ISNUMBER($X404),$X404="DNA"),$X404,IF(OR(ISNUMBER($W404),$W404="DNA"),$W404,IF(OR(ISNUMBER($V404),$V404="DNA"),$V404,IF(OR(ISNUMBER($U404),$U404="DNA"),$U404,IF(OR(ISNUMBER($T404),$T404="DNA"),$T404,IF(OR(ISNUMBER($S404),$S404="DNA"),$S404,IF(OR(ISNUMBER($P404),$P404="DNA"),$P404,IF(OR(ISNUMBER($O404),$O404="DNA"),$O404,IF(OR(ISNUMBER($N404),$N404="DNA"),$N404,""))))))))))&lt;TODAY())),1,0)+ISNUMBER($Q404)*($Q404&lt;TODAY())+ISNUMBER($R404)*($R404&lt;TODAY())+ISNUMBER($AA404)*($AA404&lt;TODAY())+ISNUMBER($AB404)*($AB404&lt;TODAY()))</f>
        <v/>
      </c>
    </row>
  </sheetData>
  <conditionalFormatting sqref="A5:AE404">
    <cfRule type="expression" priority="1" dxfId="0" stopIfTrue="1">
      <formula>AND($A5&lt;&gt;"",$I5&lt;&gt;"",$I5&lt;&gt;"Active")</formula>
    </cfRule>
  </conditionalFormatting>
  <conditionalFormatting sqref="N5:N404">
    <cfRule type="expression" priority="2" dxfId="1" stopIfTrue="1">
      <formula>N5="N/A"</formula>
    </cfRule>
    <cfRule type="expression" priority="3" dxfId="2" stopIfTrue="1">
      <formula>AND(N5="DNA",OR(OR(ISNUMBER($O5),$O5="DNA"),OR(ISNUMBER($P5),$P5="DNA"),OR(ISNUMBER($S5),$S5="DNA"),OR(ISNUMBER($T5),$T5="DNA"),OR(ISNUMBER($U5),$U5="DNA"),OR(ISNUMBER($V5),$V5="DNA"),OR(ISNUMBER($W5),$W5="DNA"),OR(ISNUMBER($X5),$X5="DNA"),OR(ISNUMBER($Y5),$Y5="DNA")))</formula>
    </cfRule>
    <cfRule type="expression" priority="4" dxfId="3" stopIfTrue="1">
      <formula>AND(AND($A5&lt;&gt;"",OR($I5="",$I5="Active")),N5="DNA")</formula>
    </cfRule>
    <cfRule type="expression" priority="5" dxfId="3" stopIfTrue="1">
      <formula>AND(AND($A5&lt;&gt;"",OR($I5="",$I5="Active")),ISNUMBER(N5),N5&lt;TODAY(),NOT(OR(OR(ISNUMBER($O5),$O5="DNA"),OR(ISNUMBER($P5),$P5="DNA"),OR(ISNUMBER($S5),$S5="DNA"),OR(ISNUMBER($T5),$T5="DNA"),OR(ISNUMBER($U5),$U5="DNA"),OR(ISNUMBER($V5),$V5="DNA"),OR(ISNUMBER($W5),$W5="DNA"),OR(ISNUMBER($X5),$X5="DNA"),OR(ISNUMBER($Y5),$Y5="DNA"))))</formula>
    </cfRule>
    <cfRule type="expression" priority="6" dxfId="4" stopIfTrue="1">
      <formula>AND(AND($A5&lt;&gt;"",OR($I5="",$I5="Active")),ISNUMBER(N5),N5&gt;=TODAY(),N5&lt;=TODAY()+7)</formula>
    </cfRule>
    <cfRule type="expression" priority="7" dxfId="5" stopIfTrue="1">
      <formula>AND(ISNUMBER(N5),N5&lt;TODAY())</formula>
    </cfRule>
  </conditionalFormatting>
  <conditionalFormatting sqref="O5:O404">
    <cfRule type="expression" priority="8" dxfId="1" stopIfTrue="1">
      <formula>O5="N/A"</formula>
    </cfRule>
    <cfRule type="expression" priority="9" dxfId="2" stopIfTrue="1">
      <formula>AND(O5="DNA",OR(OR(ISNUMBER($P5),$P5="DNA"),OR(ISNUMBER($S5),$S5="DNA"),OR(ISNUMBER($T5),$T5="DNA"),OR(ISNUMBER($U5),$U5="DNA"),OR(ISNUMBER($V5),$V5="DNA"),OR(ISNUMBER($W5),$W5="DNA"),OR(ISNUMBER($X5),$X5="DNA"),OR(ISNUMBER($Y5),$Y5="DNA")))</formula>
    </cfRule>
    <cfRule type="expression" priority="10" dxfId="3" stopIfTrue="1">
      <formula>AND(AND($A5&lt;&gt;"",OR($I5="",$I5="Active")),O5="DNA")</formula>
    </cfRule>
    <cfRule type="expression" priority="11" dxfId="3" stopIfTrue="1">
      <formula>AND(AND($A5&lt;&gt;"",OR($I5="",$I5="Active")),ISNUMBER(O5),O5&lt;TODAY(),NOT(OR(OR(ISNUMBER($P5),$P5="DNA"),OR(ISNUMBER($S5),$S5="DNA"),OR(ISNUMBER($T5),$T5="DNA"),OR(ISNUMBER($U5),$U5="DNA"),OR(ISNUMBER($V5),$V5="DNA"),OR(ISNUMBER($W5),$W5="DNA"),OR(ISNUMBER($X5),$X5="DNA"),OR(ISNUMBER($Y5),$Y5="DNA"))))</formula>
    </cfRule>
    <cfRule type="expression" priority="12" dxfId="4" stopIfTrue="1">
      <formula>AND(AND($A5&lt;&gt;"",OR($I5="",$I5="Active")),ISNUMBER(O5),O5&gt;=TODAY(),O5&lt;=TODAY()+7)</formula>
    </cfRule>
    <cfRule type="expression" priority="13" dxfId="5" stopIfTrue="1">
      <formula>AND(ISNUMBER(O5),O5&lt;TODAY())</formula>
    </cfRule>
  </conditionalFormatting>
  <conditionalFormatting sqref="P5:P404">
    <cfRule type="expression" priority="14" dxfId="1" stopIfTrue="1">
      <formula>P5="N/A"</formula>
    </cfRule>
    <cfRule type="expression" priority="15" dxfId="2" stopIfTrue="1">
      <formula>AND(P5="DNA",OR(OR(ISNUMBER($S5),$S5="DNA"),OR(ISNUMBER($T5),$T5="DNA"),OR(ISNUMBER($U5),$U5="DNA"),OR(ISNUMBER($V5),$V5="DNA"),OR(ISNUMBER($W5),$W5="DNA"),OR(ISNUMBER($X5),$X5="DNA"),OR(ISNUMBER($Y5),$Y5="DNA")))</formula>
    </cfRule>
    <cfRule type="expression" priority="16" dxfId="3" stopIfTrue="1">
      <formula>AND(AND($A5&lt;&gt;"",OR($I5="",$I5="Active")),P5="DNA")</formula>
    </cfRule>
    <cfRule type="expression" priority="17" dxfId="3" stopIfTrue="1">
      <formula>AND(AND($A5&lt;&gt;"",OR($I5="",$I5="Active")),ISNUMBER(P5),P5&lt;TODAY(),NOT(OR(OR(ISNUMBER($S5),$S5="DNA"),OR(ISNUMBER($T5),$T5="DNA"),OR(ISNUMBER($U5),$U5="DNA"),OR(ISNUMBER($V5),$V5="DNA"),OR(ISNUMBER($W5),$W5="DNA"),OR(ISNUMBER($X5),$X5="DNA"),OR(ISNUMBER($Y5),$Y5="DNA"))))</formula>
    </cfRule>
    <cfRule type="expression" priority="18" dxfId="4" stopIfTrue="1">
      <formula>AND(AND($A5&lt;&gt;"",OR($I5="",$I5="Active")),ISNUMBER(P5),P5&gt;=TODAY(),P5&lt;=TODAY()+7)</formula>
    </cfRule>
    <cfRule type="expression" priority="19" dxfId="5" stopIfTrue="1">
      <formula>AND(ISNUMBER(P5),P5&lt;TODAY())</formula>
    </cfRule>
  </conditionalFormatting>
  <conditionalFormatting sqref="S5:S404">
    <cfRule type="expression" priority="20" dxfId="1" stopIfTrue="1">
      <formula>S5="N/A"</formula>
    </cfRule>
    <cfRule type="expression" priority="21" dxfId="2" stopIfTrue="1">
      <formula>AND(S5="DNA",OR(OR(ISNUMBER($T5),$T5="DNA"),OR(ISNUMBER($U5),$U5="DNA"),OR(ISNUMBER($V5),$V5="DNA"),OR(ISNUMBER($W5),$W5="DNA"),OR(ISNUMBER($X5),$X5="DNA"),OR(ISNUMBER($Y5),$Y5="DNA")))</formula>
    </cfRule>
    <cfRule type="expression" priority="22" dxfId="3" stopIfTrue="1">
      <formula>AND(AND($A5&lt;&gt;"",OR($I5="",$I5="Active")),S5="DNA")</formula>
    </cfRule>
    <cfRule type="expression" priority="23" dxfId="3" stopIfTrue="1">
      <formula>AND(AND($A5&lt;&gt;"",OR($I5="",$I5="Active")),ISNUMBER(S5),S5&lt;TODAY(),NOT(OR(OR(ISNUMBER($T5),$T5="DNA"),OR(ISNUMBER($U5),$U5="DNA"),OR(ISNUMBER($V5),$V5="DNA"),OR(ISNUMBER($W5),$W5="DNA"),OR(ISNUMBER($X5),$X5="DNA"),OR(ISNUMBER($Y5),$Y5="DNA"))))</formula>
    </cfRule>
    <cfRule type="expression" priority="24" dxfId="4" stopIfTrue="1">
      <formula>AND(AND($A5&lt;&gt;"",OR($I5="",$I5="Active")),ISNUMBER(S5),S5&gt;=TODAY(),S5&lt;=TODAY()+7)</formula>
    </cfRule>
    <cfRule type="expression" priority="25" dxfId="5" stopIfTrue="1">
      <formula>AND(ISNUMBER(S5),S5&lt;TODAY())</formula>
    </cfRule>
  </conditionalFormatting>
  <conditionalFormatting sqref="T5:T404">
    <cfRule type="expression" priority="26" dxfId="1" stopIfTrue="1">
      <formula>T5="N/A"</formula>
    </cfRule>
    <cfRule type="expression" priority="27" dxfId="2" stopIfTrue="1">
      <formula>AND(T5="DNA",OR(OR(ISNUMBER($U5),$U5="DNA"),OR(ISNUMBER($V5),$V5="DNA"),OR(ISNUMBER($W5),$W5="DNA"),OR(ISNUMBER($X5),$X5="DNA"),OR(ISNUMBER($Y5),$Y5="DNA")))</formula>
    </cfRule>
    <cfRule type="expression" priority="28" dxfId="3" stopIfTrue="1">
      <formula>AND(AND($A5&lt;&gt;"",OR($I5="",$I5="Active")),T5="DNA")</formula>
    </cfRule>
    <cfRule type="expression" priority="29" dxfId="3" stopIfTrue="1">
      <formula>AND(AND($A5&lt;&gt;"",OR($I5="",$I5="Active")),ISNUMBER(T5),T5&lt;TODAY(),NOT(OR(OR(ISNUMBER($U5),$U5="DNA"),OR(ISNUMBER($V5),$V5="DNA"),OR(ISNUMBER($W5),$W5="DNA"),OR(ISNUMBER($X5),$X5="DNA"),OR(ISNUMBER($Y5),$Y5="DNA"))))</formula>
    </cfRule>
    <cfRule type="expression" priority="30" dxfId="4" stopIfTrue="1">
      <formula>AND(AND($A5&lt;&gt;"",OR($I5="",$I5="Active")),ISNUMBER(T5),T5&gt;=TODAY(),T5&lt;=TODAY()+7)</formula>
    </cfRule>
    <cfRule type="expression" priority="31" dxfId="5" stopIfTrue="1">
      <formula>AND(ISNUMBER(T5),T5&lt;TODAY())</formula>
    </cfRule>
  </conditionalFormatting>
  <conditionalFormatting sqref="U5:U404">
    <cfRule type="expression" priority="32" dxfId="1" stopIfTrue="1">
      <formula>U5="N/A"</formula>
    </cfRule>
    <cfRule type="expression" priority="33" dxfId="2" stopIfTrue="1">
      <formula>AND(U5="DNA",OR(OR(ISNUMBER($V5),$V5="DNA"),OR(ISNUMBER($W5),$W5="DNA"),OR(ISNUMBER($X5),$X5="DNA"),OR(ISNUMBER($Y5),$Y5="DNA")))</formula>
    </cfRule>
    <cfRule type="expression" priority="34" dxfId="3" stopIfTrue="1">
      <formula>AND(AND($A5&lt;&gt;"",OR($I5="",$I5="Active")),U5="DNA")</formula>
    </cfRule>
    <cfRule type="expression" priority="35" dxfId="3" stopIfTrue="1">
      <formula>AND(AND($A5&lt;&gt;"",OR($I5="",$I5="Active")),ISNUMBER(U5),U5&lt;TODAY(),NOT(OR(OR(ISNUMBER($V5),$V5="DNA"),OR(ISNUMBER($W5),$W5="DNA"),OR(ISNUMBER($X5),$X5="DNA"),OR(ISNUMBER($Y5),$Y5="DNA"))))</formula>
    </cfRule>
    <cfRule type="expression" priority="36" dxfId="4" stopIfTrue="1">
      <formula>AND(AND($A5&lt;&gt;"",OR($I5="",$I5="Active")),ISNUMBER(U5),U5&gt;=TODAY(),U5&lt;=TODAY()+7)</formula>
    </cfRule>
    <cfRule type="expression" priority="37" dxfId="5" stopIfTrue="1">
      <formula>AND(ISNUMBER(U5),U5&lt;TODAY())</formula>
    </cfRule>
  </conditionalFormatting>
  <conditionalFormatting sqref="V5:V404">
    <cfRule type="expression" priority="38" dxfId="1" stopIfTrue="1">
      <formula>V5="N/A"</formula>
    </cfRule>
    <cfRule type="expression" priority="39" dxfId="2" stopIfTrue="1">
      <formula>AND(V5="DNA",OR(OR(ISNUMBER($W5),$W5="DNA"),OR(ISNUMBER($X5),$X5="DNA"),OR(ISNUMBER($Y5),$Y5="DNA")))</formula>
    </cfRule>
    <cfRule type="expression" priority="40" dxfId="3" stopIfTrue="1">
      <formula>AND(AND($A5&lt;&gt;"",OR($I5="",$I5="Active")),V5="DNA")</formula>
    </cfRule>
    <cfRule type="expression" priority="41" dxfId="3" stopIfTrue="1">
      <formula>AND(AND($A5&lt;&gt;"",OR($I5="",$I5="Active")),ISNUMBER(V5),V5&lt;TODAY(),NOT(OR(OR(ISNUMBER($W5),$W5="DNA"),OR(ISNUMBER($X5),$X5="DNA"),OR(ISNUMBER($Y5),$Y5="DNA"))))</formula>
    </cfRule>
    <cfRule type="expression" priority="42" dxfId="4" stopIfTrue="1">
      <formula>AND(AND($A5&lt;&gt;"",OR($I5="",$I5="Active")),ISNUMBER(V5),V5&gt;=TODAY(),V5&lt;=TODAY()+7)</formula>
    </cfRule>
    <cfRule type="expression" priority="43" dxfId="5" stopIfTrue="1">
      <formula>AND(ISNUMBER(V5),V5&lt;TODAY())</formula>
    </cfRule>
  </conditionalFormatting>
  <conditionalFormatting sqref="W5:W404">
    <cfRule type="expression" priority="44" dxfId="1" stopIfTrue="1">
      <formula>W5="N/A"</formula>
    </cfRule>
    <cfRule type="expression" priority="45" dxfId="2" stopIfTrue="1">
      <formula>AND(W5="DNA",OR(OR(ISNUMBER($X5),$X5="DNA"),OR(ISNUMBER($Y5),$Y5="DNA")))</formula>
    </cfRule>
    <cfRule type="expression" priority="46" dxfId="3" stopIfTrue="1">
      <formula>AND(AND($A5&lt;&gt;"",OR($I5="",$I5="Active")),W5="DNA")</formula>
    </cfRule>
    <cfRule type="expression" priority="47" dxfId="3" stopIfTrue="1">
      <formula>AND(AND($A5&lt;&gt;"",OR($I5="",$I5="Active")),ISNUMBER(W5),W5&lt;TODAY(),NOT(OR(OR(ISNUMBER($X5),$X5="DNA"),OR(ISNUMBER($Y5),$Y5="DNA"))))</formula>
    </cfRule>
    <cfRule type="expression" priority="48" dxfId="4" stopIfTrue="1">
      <formula>AND(AND($A5&lt;&gt;"",OR($I5="",$I5="Active")),ISNUMBER(W5),W5&gt;=TODAY(),W5&lt;=TODAY()+7)</formula>
    </cfRule>
    <cfRule type="expression" priority="49" dxfId="5" stopIfTrue="1">
      <formula>AND(ISNUMBER(W5),W5&lt;TODAY())</formula>
    </cfRule>
  </conditionalFormatting>
  <conditionalFormatting sqref="X5:X404">
    <cfRule type="expression" priority="50" dxfId="1" stopIfTrue="1">
      <formula>X5="N/A"</formula>
    </cfRule>
    <cfRule type="expression" priority="51" dxfId="2" stopIfTrue="1">
      <formula>AND(X5="DNA",OR(OR(ISNUMBER($Y5),$Y5="DNA")))</formula>
    </cfRule>
    <cfRule type="expression" priority="52" dxfId="3" stopIfTrue="1">
      <formula>AND(AND($A5&lt;&gt;"",OR($I5="",$I5="Active")),X5="DNA")</formula>
    </cfRule>
    <cfRule type="expression" priority="53" dxfId="3" stopIfTrue="1">
      <formula>AND(AND($A5&lt;&gt;"",OR($I5="",$I5="Active")),ISNUMBER(X5),X5&lt;TODAY(),NOT(OR(OR(ISNUMBER($Y5),$Y5="DNA"))))</formula>
    </cfRule>
    <cfRule type="expression" priority="54" dxfId="4" stopIfTrue="1">
      <formula>AND(AND($A5&lt;&gt;"",OR($I5="",$I5="Active")),ISNUMBER(X5),X5&gt;=TODAY(),X5&lt;=TODAY()+7)</formula>
    </cfRule>
    <cfRule type="expression" priority="55" dxfId="5" stopIfTrue="1">
      <formula>AND(ISNUMBER(X5),X5&lt;TODAY())</formula>
    </cfRule>
  </conditionalFormatting>
  <conditionalFormatting sqref="Y5:Y404">
    <cfRule type="expression" priority="56" dxfId="1" stopIfTrue="1">
      <formula>Y5="N/A"</formula>
    </cfRule>
    <cfRule type="expression" priority="57" dxfId="2" stopIfTrue="1">
      <formula>AND(Y5="DNA",FALSE)</formula>
    </cfRule>
    <cfRule type="expression" priority="58" dxfId="3" stopIfTrue="1">
      <formula>AND(AND($A5&lt;&gt;"",OR($I5="",$I5="Active")),Y5="DNA")</formula>
    </cfRule>
    <cfRule type="expression" priority="59" dxfId="3" stopIfTrue="1">
      <formula>AND(AND($A5&lt;&gt;"",OR($I5="",$I5="Active")),ISNUMBER(Y5),Y5&lt;TODAY(),NOT(FALSE))</formula>
    </cfRule>
    <cfRule type="expression" priority="60" dxfId="4" stopIfTrue="1">
      <formula>AND(AND($A5&lt;&gt;"",OR($I5="",$I5="Active")),ISNUMBER(Y5),Y5&gt;=TODAY(),Y5&lt;=TODAY()+7)</formula>
    </cfRule>
    <cfRule type="expression" priority="61" dxfId="5" stopIfTrue="1">
      <formula>AND(ISNUMBER(Y5),Y5&lt;TODAY())</formula>
    </cfRule>
  </conditionalFormatting>
  <conditionalFormatting sqref="Q5:Q404">
    <cfRule type="expression" priority="62" dxfId="1" stopIfTrue="1">
      <formula>Q5="N/A"</formula>
    </cfRule>
    <cfRule type="expression" priority="63" dxfId="6" stopIfTrue="1">
      <formula>AND(AND($A5&lt;&gt;"",OR($I5="",$I5="Active")),ISNUMBER(Q5),Q5&lt;TODAY())</formula>
    </cfRule>
    <cfRule type="expression" priority="64" dxfId="7" stopIfTrue="1">
      <formula>AND(AND($A5&lt;&gt;"",OR($I5="",$I5="Active")),ISNUMBER(Q5),Q5&gt;=TODAY(),Q5&lt;=TODAY()+7)</formula>
    </cfRule>
    <cfRule type="expression" priority="65" dxfId="5" stopIfTrue="1">
      <formula>AND(ISTEXT(Q5),Q5&lt;&gt;"")</formula>
    </cfRule>
  </conditionalFormatting>
  <conditionalFormatting sqref="R5:R404">
    <cfRule type="expression" priority="66" dxfId="1" stopIfTrue="1">
      <formula>R5="N/A"</formula>
    </cfRule>
    <cfRule type="expression" priority="67" dxfId="6" stopIfTrue="1">
      <formula>AND(AND($A5&lt;&gt;"",OR($I5="",$I5="Active")),ISNUMBER(R5),R5&lt;TODAY())</formula>
    </cfRule>
    <cfRule type="expression" priority="68" dxfId="7" stopIfTrue="1">
      <formula>AND(AND($A5&lt;&gt;"",OR($I5="",$I5="Active")),ISNUMBER(R5),R5&gt;=TODAY(),R5&lt;=TODAY()+7)</formula>
    </cfRule>
    <cfRule type="expression" priority="69" dxfId="5" stopIfTrue="1">
      <formula>AND(ISTEXT(R5),R5&lt;&gt;"")</formula>
    </cfRule>
  </conditionalFormatting>
  <conditionalFormatting sqref="AA5:AA404">
    <cfRule type="expression" priority="70" dxfId="1" stopIfTrue="1">
      <formula>AA5="N/A"</formula>
    </cfRule>
    <cfRule type="expression" priority="71" dxfId="6" stopIfTrue="1">
      <formula>AND(AND($A5&lt;&gt;"",OR($I5="",$I5="Active")),ISNUMBER(AA5),AA5&lt;TODAY())</formula>
    </cfRule>
    <cfRule type="expression" priority="72" dxfId="7" stopIfTrue="1">
      <formula>AND(AND($A5&lt;&gt;"",OR($I5="",$I5="Active")),ISNUMBER(AA5),AA5&gt;=TODAY(),AA5&lt;=TODAY()+7)</formula>
    </cfRule>
    <cfRule type="expression" priority="73" dxfId="5" stopIfTrue="1">
      <formula>AND(ISTEXT(AA5),AA5&lt;&gt;"")</formula>
    </cfRule>
  </conditionalFormatting>
  <conditionalFormatting sqref="AB5:AB404">
    <cfRule type="expression" priority="74" dxfId="1" stopIfTrue="1">
      <formula>AB5="N/A"</formula>
    </cfRule>
    <cfRule type="expression" priority="75" dxfId="6" stopIfTrue="1">
      <formula>AND(AND($A5&lt;&gt;"",OR($I5="",$I5="Active")),ISNUMBER(AB5),AB5&lt;TODAY())</formula>
    </cfRule>
    <cfRule type="expression" priority="76" dxfId="7" stopIfTrue="1">
      <formula>AND(AND($A5&lt;&gt;"",OR($I5="",$I5="Active")),ISNUMBER(AB5),AB5&gt;=TODAY(),AB5&lt;=TODAY()+7)</formula>
    </cfRule>
    <cfRule type="expression" priority="77" dxfId="5" stopIfTrue="1">
      <formula>AND(ISTEXT(AB5),AB5&lt;&gt;"")</formula>
    </cfRule>
  </conditionalFormatting>
  <conditionalFormatting sqref="Z5:Z404">
    <cfRule type="expression" priority="78" dxfId="5" stopIfTrue="1">
      <formula>Z5="Yes"</formula>
    </cfRule>
  </conditionalFormatting>
  <conditionalFormatting sqref="AE5:AE404">
    <cfRule type="expression" priority="79" dxfId="3" stopIfTrue="1">
      <formula>AND(ISNUMBER(AE5),AE5&gt;0)</formula>
    </cfRule>
  </conditionalFormatting>
  <conditionalFormatting sqref="K5:K404">
    <cfRule type="expression" priority="80" dxfId="4" stopIfTrue="1">
      <formula>AND(ISNUMBER(K5),K5&gt;0)</formula>
    </cfRule>
  </conditionalFormatting>
  <conditionalFormatting sqref="L5:L404">
    <cfRule type="expression" priority="81" dxfId="3" stopIfTrue="1">
      <formula>OR(L5="Missed/not booked?",L5="Rebook DNA",L5="Update status")</formula>
    </cfRule>
  </conditionalFormatting>
  <conditionalFormatting sqref="M5:M404">
    <cfRule type="expression" priority="82" dxfId="4" stopIfTrue="1">
      <formula>AND(ISNUMBER(M5),M5&lt;=TODAY()+7)</formula>
    </cfRule>
  </conditionalFormatting>
  <conditionalFormatting sqref="H5:H404">
    <cfRule type="expression" priority="83" dxfId="4" stopIfTrue="1">
      <formula>AND(AND($A5&lt;&gt;"",OR($I5="",$I5="Active")),ISNUMBER(H5),H5&lt;TODAY())</formula>
    </cfRule>
  </conditionalFormatting>
  <conditionalFormatting sqref="B5:B404">
    <cfRule type="expression" priority="84" dxfId="8" stopIfTrue="1">
      <formula>AND(B5&lt;&gt;"",COUNTIF($B$5:$B$404,B5)&gt;1)</formula>
    </cfRule>
  </conditionalFormatting>
  <dataValidations count="20">
    <dataValidation sqref="E5:E404" showDropDown="0" showInputMessage="0" showErrorMessage="0" allowBlank="1" type="list">
      <formula1>"MLC,CLC"</formula1>
    </dataValidation>
    <dataValidation sqref="Z5:Z404" showDropDown="0" showInputMessage="0" showErrorMessage="0" allowBlank="1" type="list">
      <formula1>"Yes,No"</formula1>
    </dataValidation>
    <dataValidation sqref="I5:I404" showDropDown="0" showInputMessage="1" showErrorMessage="0" allowBlank="1" promptTitle="Status" prompt="Blank counts as Active. Anything else stops the flags for this patient." type="list">
      <formula1>StatusList</formula1>
    </dataValidation>
    <dataValidation sqref="AD5:AD404" showDropDown="0" showInputMessage="1" showErrorMessage="0" allowBlank="1" promptTitle="Who updated this row?" prompt="Pick your name (names live on the Staff tab)." type="list">
      <formula1>StaffList</formula1>
    </dataValidation>
    <dataValidation sqref="C5:C404" showDropDown="0" showInputMessage="0" showErrorMessage="1" allowBlank="1" errorTitle="Not a date" error="Enter a date like 14/03/2026." type="date" errorStyle="warning" operator="between">
      <formula1>DATE(1900,1,1)</formula1>
      <formula2>DATE(2100,12,31)</formula2>
    </dataValidation>
    <dataValidation sqref="H5:H404" showDropDown="0" showInputMessage="0" showErrorMessage="1" allowBlank="1" errorTitle="Not a date" error="Enter a date like 14/03/2026." type="date" errorStyle="warning" operator="between">
      <formula1>DATE(1900,1,1)</formula1>
      <formula2>DATE(2100,12,31)</formula2>
    </dataValidation>
    <dataValidation sqref="N5:N404" showDropDown="0" showInputMessage="0" showErrorMessage="1" allowBlank="1" errorTitle="Not a date" error="Enter a date like 14/03/2026." type="date" errorStyle="warning" operator="between">
      <formula1>DATE(1900,1,1)</formula1>
      <formula2>DATE(2100,12,31)</formula2>
    </dataValidation>
    <dataValidation sqref="O5:O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OR(O5="",ISNUMBER(O5),O5="DNA",O5="N/A")</formula1>
    </dataValidation>
    <dataValidation sqref="P5:P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OR(P5="",ISNUMBER(P5),P5="DNA",P5="N/A")</formula1>
    </dataValidation>
    <dataValidation sqref="S5:S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OR(S5="",ISNUMBER(S5),S5="DNA",S5="N/A")</formula1>
    </dataValidation>
    <dataValidation sqref="T5:T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OR(T5="",ISNUMBER(T5),T5="DNA",T5="N/A")</formula1>
    </dataValidation>
    <dataValidation sqref="U5:U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OR(U5="",ISNUMBER(U5),U5="DNA",U5="N/A")</formula1>
    </dataValidation>
    <dataValidation sqref="V5:V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OR(V5="",ISNUMBER(V5),V5="DNA",V5="N/A")</formula1>
    </dataValidation>
    <dataValidation sqref="W5:W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OR(W5="",ISNUMBER(W5),W5="DNA",W5="N/A")</formula1>
    </dataValidation>
    <dataValidation sqref="X5:X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OR(X5="",ISNUMBER(X5),X5="DNA",X5="N/A")</formula1>
    </dataValidation>
    <dataValidation sqref="Y5:Y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OR(Y5="",ISNUMBER(Y5),Y5="DNA",Y5="N/A")</formula1>
    </dataValidation>
    <dataValidation sqref="Q5:Q404" showDropDown="0" showInputMessage="1" showErrorMessage="0" allowBlank="1" promptTitle="Action" prompt="Enter the date booked/due. Once complete, type Done (or e.g. 'Done 12/3 SW'). N/A if not needed." type="custom">
      <formula1>TRUE</formula1>
    </dataValidation>
    <dataValidation sqref="R5:R404" showDropDown="0" showInputMessage="1" showErrorMessage="0" allowBlank="1" promptTitle="Action" prompt="Enter the date booked/due. Once complete, type Done (or e.g. 'Done 12/3 SW'). N/A if not needed." type="custom">
      <formula1>TRUE</formula1>
    </dataValidation>
    <dataValidation sqref="AA5:AA404" showDropDown="0" showInputMessage="1" showErrorMessage="0" allowBlank="1" promptTitle="Action" prompt="Enter the date booked/due. Once complete, type Done (or e.g. 'Done 12/3 SW'). N/A if not needed." type="custom">
      <formula1>TRUE</formula1>
    </dataValidation>
    <dataValidation sqref="AB5:AB404" showDropDown="0" showInputMessage="1" showErrorMessage="0" allowBlank="1" promptTitle="Action" prompt="Enter the date booked/due. Once complete, type Done (or e.g. 'Done 12/3 SW'). N/A if not needed." type="custom">
      <formula1>TRUE</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03"/>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2" customWidth="1" min="3" max="3"/>
    <col width="14" customWidth="1" min="4" max="4"/>
    <col width="70" customWidth="1" min="5" max="5"/>
  </cols>
  <sheetData>
    <row r="1">
      <c r="A1" s="31" t="inlineStr">
        <is>
          <t>Update log: one line per action taken, newest at the bottom</t>
        </is>
      </c>
    </row>
    <row r="3">
      <c r="A3" s="32" t="inlineStr">
        <is>
          <t>Date</t>
        </is>
      </c>
      <c r="B3" s="32" t="inlineStr">
        <is>
          <t>Staff</t>
        </is>
      </c>
      <c r="C3" s="32" t="inlineStr">
        <is>
          <t>Patient name</t>
        </is>
      </c>
      <c r="D3" s="32" t="inlineStr">
        <is>
          <t>NHS number</t>
        </is>
      </c>
      <c r="E3" s="32" t="inlineStr">
        <is>
          <t>What was done / changed</t>
        </is>
      </c>
    </row>
    <row r="4">
      <c r="A4" s="33" t="n"/>
      <c r="B4" s="25" t="n"/>
      <c r="C4" s="25" t="n"/>
      <c r="D4" s="26" t="n"/>
      <c r="E4" s="34" t="n"/>
    </row>
    <row r="5">
      <c r="A5" s="33" t="n"/>
      <c r="B5" s="25" t="n"/>
      <c r="C5" s="25" t="n"/>
      <c r="D5" s="26" t="n"/>
      <c r="E5" s="34" t="n"/>
    </row>
    <row r="6">
      <c r="A6" s="33" t="n"/>
      <c r="B6" s="25" t="n"/>
      <c r="C6" s="25" t="n"/>
      <c r="D6" s="26" t="n"/>
      <c r="E6" s="34" t="n"/>
    </row>
    <row r="7">
      <c r="A7" s="33" t="n"/>
      <c r="B7" s="25" t="n"/>
      <c r="C7" s="25" t="n"/>
      <c r="D7" s="26" t="n"/>
      <c r="E7" s="34" t="n"/>
    </row>
    <row r="8">
      <c r="A8" s="33" t="n"/>
      <c r="B8" s="25" t="n"/>
      <c r="C8" s="25" t="n"/>
      <c r="D8" s="26" t="n"/>
      <c r="E8" s="34" t="n"/>
    </row>
    <row r="9">
      <c r="A9" s="33" t="n"/>
      <c r="B9" s="25" t="n"/>
      <c r="C9" s="25" t="n"/>
      <c r="D9" s="26" t="n"/>
      <c r="E9" s="34" t="n"/>
    </row>
    <row r="10">
      <c r="A10" s="33" t="n"/>
      <c r="B10" s="25" t="n"/>
      <c r="C10" s="25" t="n"/>
      <c r="D10" s="26" t="n"/>
      <c r="E10" s="34" t="n"/>
    </row>
    <row r="11">
      <c r="A11" s="33" t="n"/>
      <c r="B11" s="25" t="n"/>
      <c r="C11" s="25" t="n"/>
      <c r="D11" s="26" t="n"/>
      <c r="E11" s="34" t="n"/>
    </row>
    <row r="12">
      <c r="A12" s="33" t="n"/>
      <c r="B12" s="25" t="n"/>
      <c r="C12" s="25" t="n"/>
      <c r="D12" s="26" t="n"/>
      <c r="E12" s="34" t="n"/>
    </row>
    <row r="13">
      <c r="A13" s="33" t="n"/>
      <c r="B13" s="25" t="n"/>
      <c r="C13" s="25" t="n"/>
      <c r="D13" s="26" t="n"/>
      <c r="E13" s="34" t="n"/>
    </row>
    <row r="14">
      <c r="A14" s="33" t="n"/>
      <c r="B14" s="25" t="n"/>
      <c r="C14" s="25" t="n"/>
      <c r="D14" s="26" t="n"/>
      <c r="E14" s="34" t="n"/>
    </row>
    <row r="15">
      <c r="A15" s="33" t="n"/>
      <c r="B15" s="25" t="n"/>
      <c r="C15" s="25" t="n"/>
      <c r="D15" s="26" t="n"/>
      <c r="E15" s="34" t="n"/>
    </row>
    <row r="16">
      <c r="A16" s="33" t="n"/>
      <c r="B16" s="25" t="n"/>
      <c r="C16" s="25" t="n"/>
      <c r="D16" s="26" t="n"/>
      <c r="E16" s="34" t="n"/>
    </row>
    <row r="17">
      <c r="A17" s="33" t="n"/>
      <c r="B17" s="25" t="n"/>
      <c r="C17" s="25" t="n"/>
      <c r="D17" s="26" t="n"/>
      <c r="E17" s="34" t="n"/>
    </row>
    <row r="18">
      <c r="A18" s="33" t="n"/>
      <c r="B18" s="25" t="n"/>
      <c r="C18" s="25" t="n"/>
      <c r="D18" s="26" t="n"/>
      <c r="E18" s="34" t="n"/>
    </row>
    <row r="19">
      <c r="A19" s="33" t="n"/>
      <c r="B19" s="25" t="n"/>
      <c r="C19" s="25" t="n"/>
      <c r="D19" s="26" t="n"/>
      <c r="E19" s="34" t="n"/>
    </row>
    <row r="20">
      <c r="A20" s="33" t="n"/>
      <c r="B20" s="25" t="n"/>
      <c r="C20" s="25" t="n"/>
      <c r="D20" s="26" t="n"/>
      <c r="E20" s="34" t="n"/>
    </row>
    <row r="21">
      <c r="A21" s="33" t="n"/>
      <c r="B21" s="25" t="n"/>
      <c r="C21" s="25" t="n"/>
      <c r="D21" s="26" t="n"/>
      <c r="E21" s="34" t="n"/>
    </row>
    <row r="22">
      <c r="A22" s="33" t="n"/>
      <c r="B22" s="25" t="n"/>
      <c r="C22" s="25" t="n"/>
      <c r="D22" s="26" t="n"/>
      <c r="E22" s="34" t="n"/>
    </row>
    <row r="23">
      <c r="A23" s="33" t="n"/>
      <c r="B23" s="25" t="n"/>
      <c r="C23" s="25" t="n"/>
      <c r="D23" s="26" t="n"/>
      <c r="E23" s="34" t="n"/>
    </row>
    <row r="24">
      <c r="A24" s="33" t="n"/>
      <c r="B24" s="25" t="n"/>
      <c r="C24" s="25" t="n"/>
      <c r="D24" s="26" t="n"/>
      <c r="E24" s="34" t="n"/>
    </row>
    <row r="25">
      <c r="A25" s="33" t="n"/>
      <c r="B25" s="25" t="n"/>
      <c r="C25" s="25" t="n"/>
      <c r="D25" s="26" t="n"/>
      <c r="E25" s="34" t="n"/>
    </row>
    <row r="26">
      <c r="A26" s="33" t="n"/>
      <c r="B26" s="25" t="n"/>
      <c r="C26" s="25" t="n"/>
      <c r="D26" s="26" t="n"/>
      <c r="E26" s="34" t="n"/>
    </row>
    <row r="27">
      <c r="A27" s="33" t="n"/>
      <c r="B27" s="25" t="n"/>
      <c r="C27" s="25" t="n"/>
      <c r="D27" s="26" t="n"/>
      <c r="E27" s="34" t="n"/>
    </row>
    <row r="28">
      <c r="A28" s="33" t="n"/>
      <c r="B28" s="25" t="n"/>
      <c r="C28" s="25" t="n"/>
      <c r="D28" s="26" t="n"/>
      <c r="E28" s="34" t="n"/>
    </row>
    <row r="29">
      <c r="A29" s="33" t="n"/>
      <c r="B29" s="25" t="n"/>
      <c r="C29" s="25" t="n"/>
      <c r="D29" s="26" t="n"/>
      <c r="E29" s="34" t="n"/>
    </row>
    <row r="30">
      <c r="A30" s="33" t="n"/>
      <c r="B30" s="25" t="n"/>
      <c r="C30" s="25" t="n"/>
      <c r="D30" s="26" t="n"/>
      <c r="E30" s="34" t="n"/>
    </row>
    <row r="31">
      <c r="A31" s="33" t="n"/>
      <c r="B31" s="25" t="n"/>
      <c r="C31" s="25" t="n"/>
      <c r="D31" s="26" t="n"/>
      <c r="E31" s="34" t="n"/>
    </row>
    <row r="32">
      <c r="A32" s="33" t="n"/>
      <c r="B32" s="25" t="n"/>
      <c r="C32" s="25" t="n"/>
      <c r="D32" s="26" t="n"/>
      <c r="E32" s="34" t="n"/>
    </row>
    <row r="33">
      <c r="A33" s="33" t="n"/>
      <c r="B33" s="25" t="n"/>
      <c r="C33" s="25" t="n"/>
      <c r="D33" s="26" t="n"/>
      <c r="E33" s="34" t="n"/>
    </row>
    <row r="34">
      <c r="A34" s="33" t="n"/>
      <c r="B34" s="25" t="n"/>
      <c r="C34" s="25" t="n"/>
      <c r="D34" s="26" t="n"/>
      <c r="E34" s="34" t="n"/>
    </row>
    <row r="35">
      <c r="A35" s="33" t="n"/>
      <c r="B35" s="25" t="n"/>
      <c r="C35" s="25" t="n"/>
      <c r="D35" s="26" t="n"/>
      <c r="E35" s="34" t="n"/>
    </row>
    <row r="36">
      <c r="A36" s="33" t="n"/>
      <c r="B36" s="25" t="n"/>
      <c r="C36" s="25" t="n"/>
      <c r="D36" s="26" t="n"/>
      <c r="E36" s="34" t="n"/>
    </row>
    <row r="37">
      <c r="A37" s="33" t="n"/>
      <c r="B37" s="25" t="n"/>
      <c r="C37" s="25" t="n"/>
      <c r="D37" s="26" t="n"/>
      <c r="E37" s="34" t="n"/>
    </row>
    <row r="38">
      <c r="A38" s="33" t="n"/>
      <c r="B38" s="25" t="n"/>
      <c r="C38" s="25" t="n"/>
      <c r="D38" s="26" t="n"/>
      <c r="E38" s="34" t="n"/>
    </row>
    <row r="39">
      <c r="A39" s="33" t="n"/>
      <c r="B39" s="25" t="n"/>
      <c r="C39" s="25" t="n"/>
      <c r="D39" s="26" t="n"/>
      <c r="E39" s="34" t="n"/>
    </row>
    <row r="40">
      <c r="A40" s="33" t="n"/>
      <c r="B40" s="25" t="n"/>
      <c r="C40" s="25" t="n"/>
      <c r="D40" s="26" t="n"/>
      <c r="E40" s="34" t="n"/>
    </row>
    <row r="41">
      <c r="A41" s="33" t="n"/>
      <c r="B41" s="25" t="n"/>
      <c r="C41" s="25" t="n"/>
      <c r="D41" s="26" t="n"/>
      <c r="E41" s="34" t="n"/>
    </row>
    <row r="42">
      <c r="A42" s="33" t="n"/>
      <c r="B42" s="25" t="n"/>
      <c r="C42" s="25" t="n"/>
      <c r="D42" s="26" t="n"/>
      <c r="E42" s="34" t="n"/>
    </row>
    <row r="43">
      <c r="A43" s="33" t="n"/>
      <c r="B43" s="25" t="n"/>
      <c r="C43" s="25" t="n"/>
      <c r="D43" s="26" t="n"/>
      <c r="E43" s="34" t="n"/>
    </row>
    <row r="44">
      <c r="A44" s="33" t="n"/>
      <c r="B44" s="25" t="n"/>
      <c r="C44" s="25" t="n"/>
      <c r="D44" s="26" t="n"/>
      <c r="E44" s="34" t="n"/>
    </row>
    <row r="45">
      <c r="A45" s="33" t="n"/>
      <c r="B45" s="25" t="n"/>
      <c r="C45" s="25" t="n"/>
      <c r="D45" s="26" t="n"/>
      <c r="E45" s="34" t="n"/>
    </row>
    <row r="46">
      <c r="A46" s="33" t="n"/>
      <c r="B46" s="25" t="n"/>
      <c r="C46" s="25" t="n"/>
      <c r="D46" s="26" t="n"/>
      <c r="E46" s="34" t="n"/>
    </row>
    <row r="47">
      <c r="A47" s="33" t="n"/>
      <c r="B47" s="25" t="n"/>
      <c r="C47" s="25" t="n"/>
      <c r="D47" s="26" t="n"/>
      <c r="E47" s="34" t="n"/>
    </row>
    <row r="48">
      <c r="A48" s="33" t="n"/>
      <c r="B48" s="25" t="n"/>
      <c r="C48" s="25" t="n"/>
      <c r="D48" s="26" t="n"/>
      <c r="E48" s="34" t="n"/>
    </row>
    <row r="49">
      <c r="A49" s="33" t="n"/>
      <c r="B49" s="25" t="n"/>
      <c r="C49" s="25" t="n"/>
      <c r="D49" s="26" t="n"/>
      <c r="E49" s="34" t="n"/>
    </row>
    <row r="50">
      <c r="A50" s="33" t="n"/>
      <c r="B50" s="25" t="n"/>
      <c r="C50" s="25" t="n"/>
      <c r="D50" s="26" t="n"/>
      <c r="E50" s="34" t="n"/>
    </row>
    <row r="51">
      <c r="A51" s="33" t="n"/>
      <c r="B51" s="25" t="n"/>
      <c r="C51" s="25" t="n"/>
      <c r="D51" s="26" t="n"/>
      <c r="E51" s="34" t="n"/>
    </row>
    <row r="52">
      <c r="A52" s="33" t="n"/>
      <c r="B52" s="25" t="n"/>
      <c r="C52" s="25" t="n"/>
      <c r="D52" s="26" t="n"/>
      <c r="E52" s="34" t="n"/>
    </row>
    <row r="53">
      <c r="A53" s="33" t="n"/>
      <c r="B53" s="25" t="n"/>
      <c r="C53" s="25" t="n"/>
      <c r="D53" s="26" t="n"/>
      <c r="E53" s="34" t="n"/>
    </row>
    <row r="54">
      <c r="A54" s="33" t="n"/>
      <c r="B54" s="25" t="n"/>
      <c r="C54" s="25" t="n"/>
      <c r="D54" s="26" t="n"/>
      <c r="E54" s="34" t="n"/>
    </row>
    <row r="55">
      <c r="A55" s="33" t="n"/>
      <c r="B55" s="25" t="n"/>
      <c r="C55" s="25" t="n"/>
      <c r="D55" s="26" t="n"/>
      <c r="E55" s="34" t="n"/>
    </row>
    <row r="56">
      <c r="A56" s="33" t="n"/>
      <c r="B56" s="25" t="n"/>
      <c r="C56" s="25" t="n"/>
      <c r="D56" s="26" t="n"/>
      <c r="E56" s="34" t="n"/>
    </row>
    <row r="57">
      <c r="A57" s="33" t="n"/>
      <c r="B57" s="25" t="n"/>
      <c r="C57" s="25" t="n"/>
      <c r="D57" s="26" t="n"/>
      <c r="E57" s="34" t="n"/>
    </row>
    <row r="58">
      <c r="A58" s="33" t="n"/>
      <c r="B58" s="25" t="n"/>
      <c r="C58" s="25" t="n"/>
      <c r="D58" s="26" t="n"/>
      <c r="E58" s="34" t="n"/>
    </row>
    <row r="59">
      <c r="A59" s="33" t="n"/>
      <c r="B59" s="25" t="n"/>
      <c r="C59" s="25" t="n"/>
      <c r="D59" s="26" t="n"/>
      <c r="E59" s="34" t="n"/>
    </row>
    <row r="60">
      <c r="A60" s="33" t="n"/>
      <c r="B60" s="25" t="n"/>
      <c r="C60" s="25" t="n"/>
      <c r="D60" s="26" t="n"/>
      <c r="E60" s="34" t="n"/>
    </row>
    <row r="61">
      <c r="A61" s="33" t="n"/>
      <c r="B61" s="25" t="n"/>
      <c r="C61" s="25" t="n"/>
      <c r="D61" s="26" t="n"/>
      <c r="E61" s="34" t="n"/>
    </row>
    <row r="62">
      <c r="A62" s="33" t="n"/>
      <c r="B62" s="25" t="n"/>
      <c r="C62" s="25" t="n"/>
      <c r="D62" s="26" t="n"/>
      <c r="E62" s="34" t="n"/>
    </row>
    <row r="63">
      <c r="A63" s="33" t="n"/>
      <c r="B63" s="25" t="n"/>
      <c r="C63" s="25" t="n"/>
      <c r="D63" s="26" t="n"/>
      <c r="E63" s="34" t="n"/>
    </row>
    <row r="64">
      <c r="A64" s="33" t="n"/>
      <c r="B64" s="25" t="n"/>
      <c r="C64" s="25" t="n"/>
      <c r="D64" s="26" t="n"/>
      <c r="E64" s="34" t="n"/>
    </row>
    <row r="65">
      <c r="A65" s="33" t="n"/>
      <c r="B65" s="25" t="n"/>
      <c r="C65" s="25" t="n"/>
      <c r="D65" s="26" t="n"/>
      <c r="E65" s="34" t="n"/>
    </row>
    <row r="66">
      <c r="A66" s="33" t="n"/>
      <c r="B66" s="25" t="n"/>
      <c r="C66" s="25" t="n"/>
      <c r="D66" s="26" t="n"/>
      <c r="E66" s="34" t="n"/>
    </row>
    <row r="67">
      <c r="A67" s="33" t="n"/>
      <c r="B67" s="25" t="n"/>
      <c r="C67" s="25" t="n"/>
      <c r="D67" s="26" t="n"/>
      <c r="E67" s="34" t="n"/>
    </row>
    <row r="68">
      <c r="A68" s="33" t="n"/>
      <c r="B68" s="25" t="n"/>
      <c r="C68" s="25" t="n"/>
      <c r="D68" s="26" t="n"/>
      <c r="E68" s="34" t="n"/>
    </row>
    <row r="69">
      <c r="A69" s="33" t="n"/>
      <c r="B69" s="25" t="n"/>
      <c r="C69" s="25" t="n"/>
      <c r="D69" s="26" t="n"/>
      <c r="E69" s="34" t="n"/>
    </row>
    <row r="70">
      <c r="A70" s="33" t="n"/>
      <c r="B70" s="25" t="n"/>
      <c r="C70" s="25" t="n"/>
      <c r="D70" s="26" t="n"/>
      <c r="E70" s="34" t="n"/>
    </row>
    <row r="71">
      <c r="A71" s="33" t="n"/>
      <c r="B71" s="25" t="n"/>
      <c r="C71" s="25" t="n"/>
      <c r="D71" s="26" t="n"/>
      <c r="E71" s="34" t="n"/>
    </row>
    <row r="72">
      <c r="A72" s="33" t="n"/>
      <c r="B72" s="25" t="n"/>
      <c r="C72" s="25" t="n"/>
      <c r="D72" s="26" t="n"/>
      <c r="E72" s="34" t="n"/>
    </row>
    <row r="73">
      <c r="A73" s="33" t="n"/>
      <c r="B73" s="25" t="n"/>
      <c r="C73" s="25" t="n"/>
      <c r="D73" s="26" t="n"/>
      <c r="E73" s="34" t="n"/>
    </row>
    <row r="74">
      <c r="A74" s="33" t="n"/>
      <c r="B74" s="25" t="n"/>
      <c r="C74" s="25" t="n"/>
      <c r="D74" s="26" t="n"/>
      <c r="E74" s="34" t="n"/>
    </row>
    <row r="75">
      <c r="A75" s="33" t="n"/>
      <c r="B75" s="25" t="n"/>
      <c r="C75" s="25" t="n"/>
      <c r="D75" s="26" t="n"/>
      <c r="E75" s="34" t="n"/>
    </row>
    <row r="76">
      <c r="A76" s="33" t="n"/>
      <c r="B76" s="25" t="n"/>
      <c r="C76" s="25" t="n"/>
      <c r="D76" s="26" t="n"/>
      <c r="E76" s="34" t="n"/>
    </row>
    <row r="77">
      <c r="A77" s="33" t="n"/>
      <c r="B77" s="25" t="n"/>
      <c r="C77" s="25" t="n"/>
      <c r="D77" s="26" t="n"/>
      <c r="E77" s="34" t="n"/>
    </row>
    <row r="78">
      <c r="A78" s="33" t="n"/>
      <c r="B78" s="25" t="n"/>
      <c r="C78" s="25" t="n"/>
      <c r="D78" s="26" t="n"/>
      <c r="E78" s="34" t="n"/>
    </row>
    <row r="79">
      <c r="A79" s="33" t="n"/>
      <c r="B79" s="25" t="n"/>
      <c r="C79" s="25" t="n"/>
      <c r="D79" s="26" t="n"/>
      <c r="E79" s="34" t="n"/>
    </row>
    <row r="80">
      <c r="A80" s="33" t="n"/>
      <c r="B80" s="25" t="n"/>
      <c r="C80" s="25" t="n"/>
      <c r="D80" s="26" t="n"/>
      <c r="E80" s="34" t="n"/>
    </row>
    <row r="81">
      <c r="A81" s="33" t="n"/>
      <c r="B81" s="25" t="n"/>
      <c r="C81" s="25" t="n"/>
      <c r="D81" s="26" t="n"/>
      <c r="E81" s="34" t="n"/>
    </row>
    <row r="82">
      <c r="A82" s="33" t="n"/>
      <c r="B82" s="25" t="n"/>
      <c r="C82" s="25" t="n"/>
      <c r="D82" s="26" t="n"/>
      <c r="E82" s="34" t="n"/>
    </row>
    <row r="83">
      <c r="A83" s="33" t="n"/>
      <c r="B83" s="25" t="n"/>
      <c r="C83" s="25" t="n"/>
      <c r="D83" s="26" t="n"/>
      <c r="E83" s="34" t="n"/>
    </row>
    <row r="84">
      <c r="A84" s="33" t="n"/>
      <c r="B84" s="25" t="n"/>
      <c r="C84" s="25" t="n"/>
      <c r="D84" s="26" t="n"/>
      <c r="E84" s="34" t="n"/>
    </row>
    <row r="85">
      <c r="A85" s="33" t="n"/>
      <c r="B85" s="25" t="n"/>
      <c r="C85" s="25" t="n"/>
      <c r="D85" s="26" t="n"/>
      <c r="E85" s="34" t="n"/>
    </row>
    <row r="86">
      <c r="A86" s="33" t="n"/>
      <c r="B86" s="25" t="n"/>
      <c r="C86" s="25" t="n"/>
      <c r="D86" s="26" t="n"/>
      <c r="E86" s="34" t="n"/>
    </row>
    <row r="87">
      <c r="A87" s="33" t="n"/>
      <c r="B87" s="25" t="n"/>
      <c r="C87" s="25" t="n"/>
      <c r="D87" s="26" t="n"/>
      <c r="E87" s="34" t="n"/>
    </row>
    <row r="88">
      <c r="A88" s="33" t="n"/>
      <c r="B88" s="25" t="n"/>
      <c r="C88" s="25" t="n"/>
      <c r="D88" s="26" t="n"/>
      <c r="E88" s="34" t="n"/>
    </row>
    <row r="89">
      <c r="A89" s="33" t="n"/>
      <c r="B89" s="25" t="n"/>
      <c r="C89" s="25" t="n"/>
      <c r="D89" s="26" t="n"/>
      <c r="E89" s="34" t="n"/>
    </row>
    <row r="90">
      <c r="A90" s="33" t="n"/>
      <c r="B90" s="25" t="n"/>
      <c r="C90" s="25" t="n"/>
      <c r="D90" s="26" t="n"/>
      <c r="E90" s="34" t="n"/>
    </row>
    <row r="91">
      <c r="A91" s="33" t="n"/>
      <c r="B91" s="25" t="n"/>
      <c r="C91" s="25" t="n"/>
      <c r="D91" s="26" t="n"/>
      <c r="E91" s="34" t="n"/>
    </row>
    <row r="92">
      <c r="A92" s="33" t="n"/>
      <c r="B92" s="25" t="n"/>
      <c r="C92" s="25" t="n"/>
      <c r="D92" s="26" t="n"/>
      <c r="E92" s="34" t="n"/>
    </row>
    <row r="93">
      <c r="A93" s="33" t="n"/>
      <c r="B93" s="25" t="n"/>
      <c r="C93" s="25" t="n"/>
      <c r="D93" s="26" t="n"/>
      <c r="E93" s="34" t="n"/>
    </row>
    <row r="94">
      <c r="A94" s="33" t="n"/>
      <c r="B94" s="25" t="n"/>
      <c r="C94" s="25" t="n"/>
      <c r="D94" s="26" t="n"/>
      <c r="E94" s="34" t="n"/>
    </row>
    <row r="95">
      <c r="A95" s="33" t="n"/>
      <c r="B95" s="25" t="n"/>
      <c r="C95" s="25" t="n"/>
      <c r="D95" s="26" t="n"/>
      <c r="E95" s="34" t="n"/>
    </row>
    <row r="96">
      <c r="A96" s="33" t="n"/>
      <c r="B96" s="25" t="n"/>
      <c r="C96" s="25" t="n"/>
      <c r="D96" s="26" t="n"/>
      <c r="E96" s="34" t="n"/>
    </row>
    <row r="97">
      <c r="A97" s="33" t="n"/>
      <c r="B97" s="25" t="n"/>
      <c r="C97" s="25" t="n"/>
      <c r="D97" s="26" t="n"/>
      <c r="E97" s="34" t="n"/>
    </row>
    <row r="98">
      <c r="A98" s="33" t="n"/>
      <c r="B98" s="25" t="n"/>
      <c r="C98" s="25" t="n"/>
      <c r="D98" s="26" t="n"/>
      <c r="E98" s="34" t="n"/>
    </row>
    <row r="99">
      <c r="A99" s="33" t="n"/>
      <c r="B99" s="25" t="n"/>
      <c r="C99" s="25" t="n"/>
      <c r="D99" s="26" t="n"/>
      <c r="E99" s="34" t="n"/>
    </row>
    <row r="100">
      <c r="A100" s="33" t="n"/>
      <c r="B100" s="25" t="n"/>
      <c r="C100" s="25" t="n"/>
      <c r="D100" s="26" t="n"/>
      <c r="E100" s="34" t="n"/>
    </row>
    <row r="101">
      <c r="A101" s="33" t="n"/>
      <c r="B101" s="25" t="n"/>
      <c r="C101" s="25" t="n"/>
      <c r="D101" s="26" t="n"/>
      <c r="E101" s="34" t="n"/>
    </row>
    <row r="102">
      <c r="A102" s="33" t="n"/>
      <c r="B102" s="25" t="n"/>
      <c r="C102" s="25" t="n"/>
      <c r="D102" s="26" t="n"/>
      <c r="E102" s="34" t="n"/>
    </row>
    <row r="103">
      <c r="A103" s="33" t="n"/>
      <c r="B103" s="25" t="n"/>
      <c r="C103" s="25" t="n"/>
      <c r="D103" s="26" t="n"/>
      <c r="E103" s="34" t="n"/>
    </row>
    <row r="104">
      <c r="A104" s="33" t="n"/>
      <c r="B104" s="25" t="n"/>
      <c r="C104" s="25" t="n"/>
      <c r="D104" s="26" t="n"/>
      <c r="E104" s="34" t="n"/>
    </row>
    <row r="105">
      <c r="A105" s="33" t="n"/>
      <c r="B105" s="25" t="n"/>
      <c r="C105" s="25" t="n"/>
      <c r="D105" s="26" t="n"/>
      <c r="E105" s="34" t="n"/>
    </row>
    <row r="106">
      <c r="A106" s="33" t="n"/>
      <c r="B106" s="25" t="n"/>
      <c r="C106" s="25" t="n"/>
      <c r="D106" s="26" t="n"/>
      <c r="E106" s="34" t="n"/>
    </row>
    <row r="107">
      <c r="A107" s="33" t="n"/>
      <c r="B107" s="25" t="n"/>
      <c r="C107" s="25" t="n"/>
      <c r="D107" s="26" t="n"/>
      <c r="E107" s="34" t="n"/>
    </row>
    <row r="108">
      <c r="A108" s="33" t="n"/>
      <c r="B108" s="25" t="n"/>
      <c r="C108" s="25" t="n"/>
      <c r="D108" s="26" t="n"/>
      <c r="E108" s="34" t="n"/>
    </row>
    <row r="109">
      <c r="A109" s="33" t="n"/>
      <c r="B109" s="25" t="n"/>
      <c r="C109" s="25" t="n"/>
      <c r="D109" s="26" t="n"/>
      <c r="E109" s="34" t="n"/>
    </row>
    <row r="110">
      <c r="A110" s="33" t="n"/>
      <c r="B110" s="25" t="n"/>
      <c r="C110" s="25" t="n"/>
      <c r="D110" s="26" t="n"/>
      <c r="E110" s="34" t="n"/>
    </row>
    <row r="111">
      <c r="A111" s="33" t="n"/>
      <c r="B111" s="25" t="n"/>
      <c r="C111" s="25" t="n"/>
      <c r="D111" s="26" t="n"/>
      <c r="E111" s="34" t="n"/>
    </row>
    <row r="112">
      <c r="A112" s="33" t="n"/>
      <c r="B112" s="25" t="n"/>
      <c r="C112" s="25" t="n"/>
      <c r="D112" s="26" t="n"/>
      <c r="E112" s="34" t="n"/>
    </row>
    <row r="113">
      <c r="A113" s="33" t="n"/>
      <c r="B113" s="25" t="n"/>
      <c r="C113" s="25" t="n"/>
      <c r="D113" s="26" t="n"/>
      <c r="E113" s="34" t="n"/>
    </row>
    <row r="114">
      <c r="A114" s="33" t="n"/>
      <c r="B114" s="25" t="n"/>
      <c r="C114" s="25" t="n"/>
      <c r="D114" s="26" t="n"/>
      <c r="E114" s="34" t="n"/>
    </row>
    <row r="115">
      <c r="A115" s="33" t="n"/>
      <c r="B115" s="25" t="n"/>
      <c r="C115" s="25" t="n"/>
      <c r="D115" s="26" t="n"/>
      <c r="E115" s="34" t="n"/>
    </row>
    <row r="116">
      <c r="A116" s="33" t="n"/>
      <c r="B116" s="25" t="n"/>
      <c r="C116" s="25" t="n"/>
      <c r="D116" s="26" t="n"/>
      <c r="E116" s="34" t="n"/>
    </row>
    <row r="117">
      <c r="A117" s="33" t="n"/>
      <c r="B117" s="25" t="n"/>
      <c r="C117" s="25" t="n"/>
      <c r="D117" s="26" t="n"/>
      <c r="E117" s="34" t="n"/>
    </row>
    <row r="118">
      <c r="A118" s="33" t="n"/>
      <c r="B118" s="25" t="n"/>
      <c r="C118" s="25" t="n"/>
      <c r="D118" s="26" t="n"/>
      <c r="E118" s="34" t="n"/>
    </row>
    <row r="119">
      <c r="A119" s="33" t="n"/>
      <c r="B119" s="25" t="n"/>
      <c r="C119" s="25" t="n"/>
      <c r="D119" s="26" t="n"/>
      <c r="E119" s="34" t="n"/>
    </row>
    <row r="120">
      <c r="A120" s="33" t="n"/>
      <c r="B120" s="25" t="n"/>
      <c r="C120" s="25" t="n"/>
      <c r="D120" s="26" t="n"/>
      <c r="E120" s="34" t="n"/>
    </row>
    <row r="121">
      <c r="A121" s="33" t="n"/>
      <c r="B121" s="25" t="n"/>
      <c r="C121" s="25" t="n"/>
      <c r="D121" s="26" t="n"/>
      <c r="E121" s="34" t="n"/>
    </row>
    <row r="122">
      <c r="A122" s="33" t="n"/>
      <c r="B122" s="25" t="n"/>
      <c r="C122" s="25" t="n"/>
      <c r="D122" s="26" t="n"/>
      <c r="E122" s="34" t="n"/>
    </row>
    <row r="123">
      <c r="A123" s="33" t="n"/>
      <c r="B123" s="25" t="n"/>
      <c r="C123" s="25" t="n"/>
      <c r="D123" s="26" t="n"/>
      <c r="E123" s="34" t="n"/>
    </row>
    <row r="124">
      <c r="A124" s="33" t="n"/>
      <c r="B124" s="25" t="n"/>
      <c r="C124" s="25" t="n"/>
      <c r="D124" s="26" t="n"/>
      <c r="E124" s="34" t="n"/>
    </row>
    <row r="125">
      <c r="A125" s="33" t="n"/>
      <c r="B125" s="25" t="n"/>
      <c r="C125" s="25" t="n"/>
      <c r="D125" s="26" t="n"/>
      <c r="E125" s="34" t="n"/>
    </row>
    <row r="126">
      <c r="A126" s="33" t="n"/>
      <c r="B126" s="25" t="n"/>
      <c r="C126" s="25" t="n"/>
      <c r="D126" s="26" t="n"/>
      <c r="E126" s="34" t="n"/>
    </row>
    <row r="127">
      <c r="A127" s="33" t="n"/>
      <c r="B127" s="25" t="n"/>
      <c r="C127" s="25" t="n"/>
      <c r="D127" s="26" t="n"/>
      <c r="E127" s="34" t="n"/>
    </row>
    <row r="128">
      <c r="A128" s="33" t="n"/>
      <c r="B128" s="25" t="n"/>
      <c r="C128" s="25" t="n"/>
      <c r="D128" s="26" t="n"/>
      <c r="E128" s="34" t="n"/>
    </row>
    <row r="129">
      <c r="A129" s="33" t="n"/>
      <c r="B129" s="25" t="n"/>
      <c r="C129" s="25" t="n"/>
      <c r="D129" s="26" t="n"/>
      <c r="E129" s="34" t="n"/>
    </row>
    <row r="130">
      <c r="A130" s="33" t="n"/>
      <c r="B130" s="25" t="n"/>
      <c r="C130" s="25" t="n"/>
      <c r="D130" s="26" t="n"/>
      <c r="E130" s="34" t="n"/>
    </row>
    <row r="131">
      <c r="A131" s="33" t="n"/>
      <c r="B131" s="25" t="n"/>
      <c r="C131" s="25" t="n"/>
      <c r="D131" s="26" t="n"/>
      <c r="E131" s="34" t="n"/>
    </row>
    <row r="132">
      <c r="A132" s="33" t="n"/>
      <c r="B132" s="25" t="n"/>
      <c r="C132" s="25" t="n"/>
      <c r="D132" s="26" t="n"/>
      <c r="E132" s="34" t="n"/>
    </row>
    <row r="133">
      <c r="A133" s="33" t="n"/>
      <c r="B133" s="25" t="n"/>
      <c r="C133" s="25" t="n"/>
      <c r="D133" s="26" t="n"/>
      <c r="E133" s="34" t="n"/>
    </row>
    <row r="134">
      <c r="A134" s="33" t="n"/>
      <c r="B134" s="25" t="n"/>
      <c r="C134" s="25" t="n"/>
      <c r="D134" s="26" t="n"/>
      <c r="E134" s="34" t="n"/>
    </row>
    <row r="135">
      <c r="A135" s="33" t="n"/>
      <c r="B135" s="25" t="n"/>
      <c r="C135" s="25" t="n"/>
      <c r="D135" s="26" t="n"/>
      <c r="E135" s="34" t="n"/>
    </row>
    <row r="136">
      <c r="A136" s="33" t="n"/>
      <c r="B136" s="25" t="n"/>
      <c r="C136" s="25" t="n"/>
      <c r="D136" s="26" t="n"/>
      <c r="E136" s="34" t="n"/>
    </row>
    <row r="137">
      <c r="A137" s="33" t="n"/>
      <c r="B137" s="25" t="n"/>
      <c r="C137" s="25" t="n"/>
      <c r="D137" s="26" t="n"/>
      <c r="E137" s="34" t="n"/>
    </row>
    <row r="138">
      <c r="A138" s="33" t="n"/>
      <c r="B138" s="25" t="n"/>
      <c r="C138" s="25" t="n"/>
      <c r="D138" s="26" t="n"/>
      <c r="E138" s="34" t="n"/>
    </row>
    <row r="139">
      <c r="A139" s="33" t="n"/>
      <c r="B139" s="25" t="n"/>
      <c r="C139" s="25" t="n"/>
      <c r="D139" s="26" t="n"/>
      <c r="E139" s="34" t="n"/>
    </row>
    <row r="140">
      <c r="A140" s="33" t="n"/>
      <c r="B140" s="25" t="n"/>
      <c r="C140" s="25" t="n"/>
      <c r="D140" s="26" t="n"/>
      <c r="E140" s="34" t="n"/>
    </row>
    <row r="141">
      <c r="A141" s="33" t="n"/>
      <c r="B141" s="25" t="n"/>
      <c r="C141" s="25" t="n"/>
      <c r="D141" s="26" t="n"/>
      <c r="E141" s="34" t="n"/>
    </row>
    <row r="142">
      <c r="A142" s="33" t="n"/>
      <c r="B142" s="25" t="n"/>
      <c r="C142" s="25" t="n"/>
      <c r="D142" s="26" t="n"/>
      <c r="E142" s="34" t="n"/>
    </row>
    <row r="143">
      <c r="A143" s="33" t="n"/>
      <c r="B143" s="25" t="n"/>
      <c r="C143" s="25" t="n"/>
      <c r="D143" s="26" t="n"/>
      <c r="E143" s="34" t="n"/>
    </row>
    <row r="144">
      <c r="A144" s="33" t="n"/>
      <c r="B144" s="25" t="n"/>
      <c r="C144" s="25" t="n"/>
      <c r="D144" s="26" t="n"/>
      <c r="E144" s="34" t="n"/>
    </row>
    <row r="145">
      <c r="A145" s="33" t="n"/>
      <c r="B145" s="25" t="n"/>
      <c r="C145" s="25" t="n"/>
      <c r="D145" s="26" t="n"/>
      <c r="E145" s="34" t="n"/>
    </row>
    <row r="146">
      <c r="A146" s="33" t="n"/>
      <c r="B146" s="25" t="n"/>
      <c r="C146" s="25" t="n"/>
      <c r="D146" s="26" t="n"/>
      <c r="E146" s="34" t="n"/>
    </row>
    <row r="147">
      <c r="A147" s="33" t="n"/>
      <c r="B147" s="25" t="n"/>
      <c r="C147" s="25" t="n"/>
      <c r="D147" s="26" t="n"/>
      <c r="E147" s="34" t="n"/>
    </row>
    <row r="148">
      <c r="A148" s="33" t="n"/>
      <c r="B148" s="25" t="n"/>
      <c r="C148" s="25" t="n"/>
      <c r="D148" s="26" t="n"/>
      <c r="E148" s="34" t="n"/>
    </row>
    <row r="149">
      <c r="A149" s="33" t="n"/>
      <c r="B149" s="25" t="n"/>
      <c r="C149" s="25" t="n"/>
      <c r="D149" s="26" t="n"/>
      <c r="E149" s="34" t="n"/>
    </row>
    <row r="150">
      <c r="A150" s="33" t="n"/>
      <c r="B150" s="25" t="n"/>
      <c r="C150" s="25" t="n"/>
      <c r="D150" s="26" t="n"/>
      <c r="E150" s="34" t="n"/>
    </row>
    <row r="151">
      <c r="A151" s="33" t="n"/>
      <c r="B151" s="25" t="n"/>
      <c r="C151" s="25" t="n"/>
      <c r="D151" s="26" t="n"/>
      <c r="E151" s="34" t="n"/>
    </row>
    <row r="152">
      <c r="A152" s="33" t="n"/>
      <c r="B152" s="25" t="n"/>
      <c r="C152" s="25" t="n"/>
      <c r="D152" s="26" t="n"/>
      <c r="E152" s="34" t="n"/>
    </row>
    <row r="153">
      <c r="A153" s="33" t="n"/>
      <c r="B153" s="25" t="n"/>
      <c r="C153" s="25" t="n"/>
      <c r="D153" s="26" t="n"/>
      <c r="E153" s="34" t="n"/>
    </row>
    <row r="154">
      <c r="A154" s="33" t="n"/>
      <c r="B154" s="25" t="n"/>
      <c r="C154" s="25" t="n"/>
      <c r="D154" s="26" t="n"/>
      <c r="E154" s="34" t="n"/>
    </row>
    <row r="155">
      <c r="A155" s="33" t="n"/>
      <c r="B155" s="25" t="n"/>
      <c r="C155" s="25" t="n"/>
      <c r="D155" s="26" t="n"/>
      <c r="E155" s="34" t="n"/>
    </row>
    <row r="156">
      <c r="A156" s="33" t="n"/>
      <c r="B156" s="25" t="n"/>
      <c r="C156" s="25" t="n"/>
      <c r="D156" s="26" t="n"/>
      <c r="E156" s="34" t="n"/>
    </row>
    <row r="157">
      <c r="A157" s="33" t="n"/>
      <c r="B157" s="25" t="n"/>
      <c r="C157" s="25" t="n"/>
      <c r="D157" s="26" t="n"/>
      <c r="E157" s="34" t="n"/>
    </row>
    <row r="158">
      <c r="A158" s="33" t="n"/>
      <c r="B158" s="25" t="n"/>
      <c r="C158" s="25" t="n"/>
      <c r="D158" s="26" t="n"/>
      <c r="E158" s="34" t="n"/>
    </row>
    <row r="159">
      <c r="A159" s="33" t="n"/>
      <c r="B159" s="25" t="n"/>
      <c r="C159" s="25" t="n"/>
      <c r="D159" s="26" t="n"/>
      <c r="E159" s="34" t="n"/>
    </row>
    <row r="160">
      <c r="A160" s="33" t="n"/>
      <c r="B160" s="25" t="n"/>
      <c r="C160" s="25" t="n"/>
      <c r="D160" s="26" t="n"/>
      <c r="E160" s="34" t="n"/>
    </row>
    <row r="161">
      <c r="A161" s="33" t="n"/>
      <c r="B161" s="25" t="n"/>
      <c r="C161" s="25" t="n"/>
      <c r="D161" s="26" t="n"/>
      <c r="E161" s="34" t="n"/>
    </row>
    <row r="162">
      <c r="A162" s="33" t="n"/>
      <c r="B162" s="25" t="n"/>
      <c r="C162" s="25" t="n"/>
      <c r="D162" s="26" t="n"/>
      <c r="E162" s="34" t="n"/>
    </row>
    <row r="163">
      <c r="A163" s="33" t="n"/>
      <c r="B163" s="25" t="n"/>
      <c r="C163" s="25" t="n"/>
      <c r="D163" s="26" t="n"/>
      <c r="E163" s="34" t="n"/>
    </row>
    <row r="164">
      <c r="A164" s="33" t="n"/>
      <c r="B164" s="25" t="n"/>
      <c r="C164" s="25" t="n"/>
      <c r="D164" s="26" t="n"/>
      <c r="E164" s="34" t="n"/>
    </row>
    <row r="165">
      <c r="A165" s="33" t="n"/>
      <c r="B165" s="25" t="n"/>
      <c r="C165" s="25" t="n"/>
      <c r="D165" s="26" t="n"/>
      <c r="E165" s="34" t="n"/>
    </row>
    <row r="166">
      <c r="A166" s="33" t="n"/>
      <c r="B166" s="25" t="n"/>
      <c r="C166" s="25" t="n"/>
      <c r="D166" s="26" t="n"/>
      <c r="E166" s="34" t="n"/>
    </row>
    <row r="167">
      <c r="A167" s="33" t="n"/>
      <c r="B167" s="25" t="n"/>
      <c r="C167" s="25" t="n"/>
      <c r="D167" s="26" t="n"/>
      <c r="E167" s="34" t="n"/>
    </row>
    <row r="168">
      <c r="A168" s="33" t="n"/>
      <c r="B168" s="25" t="n"/>
      <c r="C168" s="25" t="n"/>
      <c r="D168" s="26" t="n"/>
      <c r="E168" s="34" t="n"/>
    </row>
    <row r="169">
      <c r="A169" s="33" t="n"/>
      <c r="B169" s="25" t="n"/>
      <c r="C169" s="25" t="n"/>
      <c r="D169" s="26" t="n"/>
      <c r="E169" s="34" t="n"/>
    </row>
    <row r="170">
      <c r="A170" s="33" t="n"/>
      <c r="B170" s="25" t="n"/>
      <c r="C170" s="25" t="n"/>
      <c r="D170" s="26" t="n"/>
      <c r="E170" s="34" t="n"/>
    </row>
    <row r="171">
      <c r="A171" s="33" t="n"/>
      <c r="B171" s="25" t="n"/>
      <c r="C171" s="25" t="n"/>
      <c r="D171" s="26" t="n"/>
      <c r="E171" s="34" t="n"/>
    </row>
    <row r="172">
      <c r="A172" s="33" t="n"/>
      <c r="B172" s="25" t="n"/>
      <c r="C172" s="25" t="n"/>
      <c r="D172" s="26" t="n"/>
      <c r="E172" s="34" t="n"/>
    </row>
    <row r="173">
      <c r="A173" s="33" t="n"/>
      <c r="B173" s="25" t="n"/>
      <c r="C173" s="25" t="n"/>
      <c r="D173" s="26" t="n"/>
      <c r="E173" s="34" t="n"/>
    </row>
    <row r="174">
      <c r="A174" s="33" t="n"/>
      <c r="B174" s="25" t="n"/>
      <c r="C174" s="25" t="n"/>
      <c r="D174" s="26" t="n"/>
      <c r="E174" s="34" t="n"/>
    </row>
    <row r="175">
      <c r="A175" s="33" t="n"/>
      <c r="B175" s="25" t="n"/>
      <c r="C175" s="25" t="n"/>
      <c r="D175" s="26" t="n"/>
      <c r="E175" s="34" t="n"/>
    </row>
    <row r="176">
      <c r="A176" s="33" t="n"/>
      <c r="B176" s="25" t="n"/>
      <c r="C176" s="25" t="n"/>
      <c r="D176" s="26" t="n"/>
      <c r="E176" s="34" t="n"/>
    </row>
    <row r="177">
      <c r="A177" s="33" t="n"/>
      <c r="B177" s="25" t="n"/>
      <c r="C177" s="25" t="n"/>
      <c r="D177" s="26" t="n"/>
      <c r="E177" s="34" t="n"/>
    </row>
    <row r="178">
      <c r="A178" s="33" t="n"/>
      <c r="B178" s="25" t="n"/>
      <c r="C178" s="25" t="n"/>
      <c r="D178" s="26" t="n"/>
      <c r="E178" s="34" t="n"/>
    </row>
    <row r="179">
      <c r="A179" s="33" t="n"/>
      <c r="B179" s="25" t="n"/>
      <c r="C179" s="25" t="n"/>
      <c r="D179" s="26" t="n"/>
      <c r="E179" s="34" t="n"/>
    </row>
    <row r="180">
      <c r="A180" s="33" t="n"/>
      <c r="B180" s="25" t="n"/>
      <c r="C180" s="25" t="n"/>
      <c r="D180" s="26" t="n"/>
      <c r="E180" s="34" t="n"/>
    </row>
    <row r="181">
      <c r="A181" s="33" t="n"/>
      <c r="B181" s="25" t="n"/>
      <c r="C181" s="25" t="n"/>
      <c r="D181" s="26" t="n"/>
      <c r="E181" s="34" t="n"/>
    </row>
    <row r="182">
      <c r="A182" s="33" t="n"/>
      <c r="B182" s="25" t="n"/>
      <c r="C182" s="25" t="n"/>
      <c r="D182" s="26" t="n"/>
      <c r="E182" s="34" t="n"/>
    </row>
    <row r="183">
      <c r="A183" s="33" t="n"/>
      <c r="B183" s="25" t="n"/>
      <c r="C183" s="25" t="n"/>
      <c r="D183" s="26" t="n"/>
      <c r="E183" s="34" t="n"/>
    </row>
    <row r="184">
      <c r="A184" s="33" t="n"/>
      <c r="B184" s="25" t="n"/>
      <c r="C184" s="25" t="n"/>
      <c r="D184" s="26" t="n"/>
      <c r="E184" s="34" t="n"/>
    </row>
    <row r="185">
      <c r="A185" s="33" t="n"/>
      <c r="B185" s="25" t="n"/>
      <c r="C185" s="25" t="n"/>
      <c r="D185" s="26" t="n"/>
      <c r="E185" s="34" t="n"/>
    </row>
    <row r="186">
      <c r="A186" s="33" t="n"/>
      <c r="B186" s="25" t="n"/>
      <c r="C186" s="25" t="n"/>
      <c r="D186" s="26" t="n"/>
      <c r="E186" s="34" t="n"/>
    </row>
    <row r="187">
      <c r="A187" s="33" t="n"/>
      <c r="B187" s="25" t="n"/>
      <c r="C187" s="25" t="n"/>
      <c r="D187" s="26" t="n"/>
      <c r="E187" s="34" t="n"/>
    </row>
    <row r="188">
      <c r="A188" s="33" t="n"/>
      <c r="B188" s="25" t="n"/>
      <c r="C188" s="25" t="n"/>
      <c r="D188" s="26" t="n"/>
      <c r="E188" s="34" t="n"/>
    </row>
    <row r="189">
      <c r="A189" s="33" t="n"/>
      <c r="B189" s="25" t="n"/>
      <c r="C189" s="25" t="n"/>
      <c r="D189" s="26" t="n"/>
      <c r="E189" s="34" t="n"/>
    </row>
    <row r="190">
      <c r="A190" s="33" t="n"/>
      <c r="B190" s="25" t="n"/>
      <c r="C190" s="25" t="n"/>
      <c r="D190" s="26" t="n"/>
      <c r="E190" s="34" t="n"/>
    </row>
    <row r="191">
      <c r="A191" s="33" t="n"/>
      <c r="B191" s="25" t="n"/>
      <c r="C191" s="25" t="n"/>
      <c r="D191" s="26" t="n"/>
      <c r="E191" s="34" t="n"/>
    </row>
    <row r="192">
      <c r="A192" s="33" t="n"/>
      <c r="B192" s="25" t="n"/>
      <c r="C192" s="25" t="n"/>
      <c r="D192" s="26" t="n"/>
      <c r="E192" s="34" t="n"/>
    </row>
    <row r="193">
      <c r="A193" s="33" t="n"/>
      <c r="B193" s="25" t="n"/>
      <c r="C193" s="25" t="n"/>
      <c r="D193" s="26" t="n"/>
      <c r="E193" s="34" t="n"/>
    </row>
    <row r="194">
      <c r="A194" s="33" t="n"/>
      <c r="B194" s="25" t="n"/>
      <c r="C194" s="25" t="n"/>
      <c r="D194" s="26" t="n"/>
      <c r="E194" s="34" t="n"/>
    </row>
    <row r="195">
      <c r="A195" s="33" t="n"/>
      <c r="B195" s="25" t="n"/>
      <c r="C195" s="25" t="n"/>
      <c r="D195" s="26" t="n"/>
      <c r="E195" s="34" t="n"/>
    </row>
    <row r="196">
      <c r="A196" s="33" t="n"/>
      <c r="B196" s="25" t="n"/>
      <c r="C196" s="25" t="n"/>
      <c r="D196" s="26" t="n"/>
      <c r="E196" s="34" t="n"/>
    </row>
    <row r="197">
      <c r="A197" s="33" t="n"/>
      <c r="B197" s="25" t="n"/>
      <c r="C197" s="25" t="n"/>
      <c r="D197" s="26" t="n"/>
      <c r="E197" s="34" t="n"/>
    </row>
    <row r="198">
      <c r="A198" s="33" t="n"/>
      <c r="B198" s="25" t="n"/>
      <c r="C198" s="25" t="n"/>
      <c r="D198" s="26" t="n"/>
      <c r="E198" s="34" t="n"/>
    </row>
    <row r="199">
      <c r="A199" s="33" t="n"/>
      <c r="B199" s="25" t="n"/>
      <c r="C199" s="25" t="n"/>
      <c r="D199" s="26" t="n"/>
      <c r="E199" s="34" t="n"/>
    </row>
    <row r="200">
      <c r="A200" s="33" t="n"/>
      <c r="B200" s="25" t="n"/>
      <c r="C200" s="25" t="n"/>
      <c r="D200" s="26" t="n"/>
      <c r="E200" s="34" t="n"/>
    </row>
    <row r="201">
      <c r="A201" s="33" t="n"/>
      <c r="B201" s="25" t="n"/>
      <c r="C201" s="25" t="n"/>
      <c r="D201" s="26" t="n"/>
      <c r="E201" s="34" t="n"/>
    </row>
    <row r="202">
      <c r="A202" s="33" t="n"/>
      <c r="B202" s="25" t="n"/>
      <c r="C202" s="25" t="n"/>
      <c r="D202" s="26" t="n"/>
      <c r="E202" s="34" t="n"/>
    </row>
    <row r="203">
      <c r="A203" s="33" t="n"/>
      <c r="B203" s="25" t="n"/>
      <c r="C203" s="25" t="n"/>
      <c r="D203" s="26" t="n"/>
      <c r="E203" s="34" t="n"/>
    </row>
    <row r="204">
      <c r="A204" s="33" t="n"/>
      <c r="B204" s="25" t="n"/>
      <c r="C204" s="25" t="n"/>
      <c r="D204" s="26" t="n"/>
      <c r="E204" s="34" t="n"/>
    </row>
    <row r="205">
      <c r="A205" s="33" t="n"/>
      <c r="B205" s="25" t="n"/>
      <c r="C205" s="25" t="n"/>
      <c r="D205" s="26" t="n"/>
      <c r="E205" s="34" t="n"/>
    </row>
    <row r="206">
      <c r="A206" s="33" t="n"/>
      <c r="B206" s="25" t="n"/>
      <c r="C206" s="25" t="n"/>
      <c r="D206" s="26" t="n"/>
      <c r="E206" s="34" t="n"/>
    </row>
    <row r="207">
      <c r="A207" s="33" t="n"/>
      <c r="B207" s="25" t="n"/>
      <c r="C207" s="25" t="n"/>
      <c r="D207" s="26" t="n"/>
      <c r="E207" s="34" t="n"/>
    </row>
    <row r="208">
      <c r="A208" s="33" t="n"/>
      <c r="B208" s="25" t="n"/>
      <c r="C208" s="25" t="n"/>
      <c r="D208" s="26" t="n"/>
      <c r="E208" s="34" t="n"/>
    </row>
    <row r="209">
      <c r="A209" s="33" t="n"/>
      <c r="B209" s="25" t="n"/>
      <c r="C209" s="25" t="n"/>
      <c r="D209" s="26" t="n"/>
      <c r="E209" s="34" t="n"/>
    </row>
    <row r="210">
      <c r="A210" s="33" t="n"/>
      <c r="B210" s="25" t="n"/>
      <c r="C210" s="25" t="n"/>
      <c r="D210" s="26" t="n"/>
      <c r="E210" s="34" t="n"/>
    </row>
    <row r="211">
      <c r="A211" s="33" t="n"/>
      <c r="B211" s="25" t="n"/>
      <c r="C211" s="25" t="n"/>
      <c r="D211" s="26" t="n"/>
      <c r="E211" s="34" t="n"/>
    </row>
    <row r="212">
      <c r="A212" s="33" t="n"/>
      <c r="B212" s="25" t="n"/>
      <c r="C212" s="25" t="n"/>
      <c r="D212" s="26" t="n"/>
      <c r="E212" s="34" t="n"/>
    </row>
    <row r="213">
      <c r="A213" s="33" t="n"/>
      <c r="B213" s="25" t="n"/>
      <c r="C213" s="25" t="n"/>
      <c r="D213" s="26" t="n"/>
      <c r="E213" s="34" t="n"/>
    </row>
    <row r="214">
      <c r="A214" s="33" t="n"/>
      <c r="B214" s="25" t="n"/>
      <c r="C214" s="25" t="n"/>
      <c r="D214" s="26" t="n"/>
      <c r="E214" s="34" t="n"/>
    </row>
    <row r="215">
      <c r="A215" s="33" t="n"/>
      <c r="B215" s="25" t="n"/>
      <c r="C215" s="25" t="n"/>
      <c r="D215" s="26" t="n"/>
      <c r="E215" s="34" t="n"/>
    </row>
    <row r="216">
      <c r="A216" s="33" t="n"/>
      <c r="B216" s="25" t="n"/>
      <c r="C216" s="25" t="n"/>
      <c r="D216" s="26" t="n"/>
      <c r="E216" s="34" t="n"/>
    </row>
    <row r="217">
      <c r="A217" s="33" t="n"/>
      <c r="B217" s="25" t="n"/>
      <c r="C217" s="25" t="n"/>
      <c r="D217" s="26" t="n"/>
      <c r="E217" s="34" t="n"/>
    </row>
    <row r="218">
      <c r="A218" s="33" t="n"/>
      <c r="B218" s="25" t="n"/>
      <c r="C218" s="25" t="n"/>
      <c r="D218" s="26" t="n"/>
      <c r="E218" s="34" t="n"/>
    </row>
    <row r="219">
      <c r="A219" s="33" t="n"/>
      <c r="B219" s="25" t="n"/>
      <c r="C219" s="25" t="n"/>
      <c r="D219" s="26" t="n"/>
      <c r="E219" s="34" t="n"/>
    </row>
    <row r="220">
      <c r="A220" s="33" t="n"/>
      <c r="B220" s="25" t="n"/>
      <c r="C220" s="25" t="n"/>
      <c r="D220" s="26" t="n"/>
      <c r="E220" s="34" t="n"/>
    </row>
    <row r="221">
      <c r="A221" s="33" t="n"/>
      <c r="B221" s="25" t="n"/>
      <c r="C221" s="25" t="n"/>
      <c r="D221" s="26" t="n"/>
      <c r="E221" s="34" t="n"/>
    </row>
    <row r="222">
      <c r="A222" s="33" t="n"/>
      <c r="B222" s="25" t="n"/>
      <c r="C222" s="25" t="n"/>
      <c r="D222" s="26" t="n"/>
      <c r="E222" s="34" t="n"/>
    </row>
    <row r="223">
      <c r="A223" s="33" t="n"/>
      <c r="B223" s="25" t="n"/>
      <c r="C223" s="25" t="n"/>
      <c r="D223" s="26" t="n"/>
      <c r="E223" s="34" t="n"/>
    </row>
    <row r="224">
      <c r="A224" s="33" t="n"/>
      <c r="B224" s="25" t="n"/>
      <c r="C224" s="25" t="n"/>
      <c r="D224" s="26" t="n"/>
      <c r="E224" s="34" t="n"/>
    </row>
    <row r="225">
      <c r="A225" s="33" t="n"/>
      <c r="B225" s="25" t="n"/>
      <c r="C225" s="25" t="n"/>
      <c r="D225" s="26" t="n"/>
      <c r="E225" s="34" t="n"/>
    </row>
    <row r="226">
      <c r="A226" s="33" t="n"/>
      <c r="B226" s="25" t="n"/>
      <c r="C226" s="25" t="n"/>
      <c r="D226" s="26" t="n"/>
      <c r="E226" s="34" t="n"/>
    </row>
    <row r="227">
      <c r="A227" s="33" t="n"/>
      <c r="B227" s="25" t="n"/>
      <c r="C227" s="25" t="n"/>
      <c r="D227" s="26" t="n"/>
      <c r="E227" s="34" t="n"/>
    </row>
    <row r="228">
      <c r="A228" s="33" t="n"/>
      <c r="B228" s="25" t="n"/>
      <c r="C228" s="25" t="n"/>
      <c r="D228" s="26" t="n"/>
      <c r="E228" s="34" t="n"/>
    </row>
    <row r="229">
      <c r="A229" s="33" t="n"/>
      <c r="B229" s="25" t="n"/>
      <c r="C229" s="25" t="n"/>
      <c r="D229" s="26" t="n"/>
      <c r="E229" s="34" t="n"/>
    </row>
    <row r="230">
      <c r="A230" s="33" t="n"/>
      <c r="B230" s="25" t="n"/>
      <c r="C230" s="25" t="n"/>
      <c r="D230" s="26" t="n"/>
      <c r="E230" s="34" t="n"/>
    </row>
    <row r="231">
      <c r="A231" s="33" t="n"/>
      <c r="B231" s="25" t="n"/>
      <c r="C231" s="25" t="n"/>
      <c r="D231" s="26" t="n"/>
      <c r="E231" s="34" t="n"/>
    </row>
    <row r="232">
      <c r="A232" s="33" t="n"/>
      <c r="B232" s="25" t="n"/>
      <c r="C232" s="25" t="n"/>
      <c r="D232" s="26" t="n"/>
      <c r="E232" s="34" t="n"/>
    </row>
    <row r="233">
      <c r="A233" s="33" t="n"/>
      <c r="B233" s="25" t="n"/>
      <c r="C233" s="25" t="n"/>
      <c r="D233" s="26" t="n"/>
      <c r="E233" s="34" t="n"/>
    </row>
    <row r="234">
      <c r="A234" s="33" t="n"/>
      <c r="B234" s="25" t="n"/>
      <c r="C234" s="25" t="n"/>
      <c r="D234" s="26" t="n"/>
      <c r="E234" s="34" t="n"/>
    </row>
    <row r="235">
      <c r="A235" s="33" t="n"/>
      <c r="B235" s="25" t="n"/>
      <c r="C235" s="25" t="n"/>
      <c r="D235" s="26" t="n"/>
      <c r="E235" s="34" t="n"/>
    </row>
    <row r="236">
      <c r="A236" s="33" t="n"/>
      <c r="B236" s="25" t="n"/>
      <c r="C236" s="25" t="n"/>
      <c r="D236" s="26" t="n"/>
      <c r="E236" s="34" t="n"/>
    </row>
    <row r="237">
      <c r="A237" s="33" t="n"/>
      <c r="B237" s="25" t="n"/>
      <c r="C237" s="25" t="n"/>
      <c r="D237" s="26" t="n"/>
      <c r="E237" s="34" t="n"/>
    </row>
    <row r="238">
      <c r="A238" s="33" t="n"/>
      <c r="B238" s="25" t="n"/>
      <c r="C238" s="25" t="n"/>
      <c r="D238" s="26" t="n"/>
      <c r="E238" s="34" t="n"/>
    </row>
    <row r="239">
      <c r="A239" s="33" t="n"/>
      <c r="B239" s="25" t="n"/>
      <c r="C239" s="25" t="n"/>
      <c r="D239" s="26" t="n"/>
      <c r="E239" s="34" t="n"/>
    </row>
    <row r="240">
      <c r="A240" s="33" t="n"/>
      <c r="B240" s="25" t="n"/>
      <c r="C240" s="25" t="n"/>
      <c r="D240" s="26" t="n"/>
      <c r="E240" s="34" t="n"/>
    </row>
    <row r="241">
      <c r="A241" s="33" t="n"/>
      <c r="B241" s="25" t="n"/>
      <c r="C241" s="25" t="n"/>
      <c r="D241" s="26" t="n"/>
      <c r="E241" s="34" t="n"/>
    </row>
    <row r="242">
      <c r="A242" s="33" t="n"/>
      <c r="B242" s="25" t="n"/>
      <c r="C242" s="25" t="n"/>
      <c r="D242" s="26" t="n"/>
      <c r="E242" s="34" t="n"/>
    </row>
    <row r="243">
      <c r="A243" s="33" t="n"/>
      <c r="B243" s="25" t="n"/>
      <c r="C243" s="25" t="n"/>
      <c r="D243" s="26" t="n"/>
      <c r="E243" s="34" t="n"/>
    </row>
    <row r="244">
      <c r="A244" s="33" t="n"/>
      <c r="B244" s="25" t="n"/>
      <c r="C244" s="25" t="n"/>
      <c r="D244" s="26" t="n"/>
      <c r="E244" s="34" t="n"/>
    </row>
    <row r="245">
      <c r="A245" s="33" t="n"/>
      <c r="B245" s="25" t="n"/>
      <c r="C245" s="25" t="n"/>
      <c r="D245" s="26" t="n"/>
      <c r="E245" s="34" t="n"/>
    </row>
    <row r="246">
      <c r="A246" s="33" t="n"/>
      <c r="B246" s="25" t="n"/>
      <c r="C246" s="25" t="n"/>
      <c r="D246" s="26" t="n"/>
      <c r="E246" s="34" t="n"/>
    </row>
    <row r="247">
      <c r="A247" s="33" t="n"/>
      <c r="B247" s="25" t="n"/>
      <c r="C247" s="25" t="n"/>
      <c r="D247" s="26" t="n"/>
      <c r="E247" s="34" t="n"/>
    </row>
    <row r="248">
      <c r="A248" s="33" t="n"/>
      <c r="B248" s="25" t="n"/>
      <c r="C248" s="25" t="n"/>
      <c r="D248" s="26" t="n"/>
      <c r="E248" s="34" t="n"/>
    </row>
    <row r="249">
      <c r="A249" s="33" t="n"/>
      <c r="B249" s="25" t="n"/>
      <c r="C249" s="25" t="n"/>
      <c r="D249" s="26" t="n"/>
      <c r="E249" s="34" t="n"/>
    </row>
    <row r="250">
      <c r="A250" s="33" t="n"/>
      <c r="B250" s="25" t="n"/>
      <c r="C250" s="25" t="n"/>
      <c r="D250" s="26" t="n"/>
      <c r="E250" s="34" t="n"/>
    </row>
    <row r="251">
      <c r="A251" s="33" t="n"/>
      <c r="B251" s="25" t="n"/>
      <c r="C251" s="25" t="n"/>
      <c r="D251" s="26" t="n"/>
      <c r="E251" s="34" t="n"/>
    </row>
    <row r="252">
      <c r="A252" s="33" t="n"/>
      <c r="B252" s="25" t="n"/>
      <c r="C252" s="25" t="n"/>
      <c r="D252" s="26" t="n"/>
      <c r="E252" s="34" t="n"/>
    </row>
    <row r="253">
      <c r="A253" s="33" t="n"/>
      <c r="B253" s="25" t="n"/>
      <c r="C253" s="25" t="n"/>
      <c r="D253" s="26" t="n"/>
      <c r="E253" s="34" t="n"/>
    </row>
    <row r="254">
      <c r="A254" s="33" t="n"/>
      <c r="B254" s="25" t="n"/>
      <c r="C254" s="25" t="n"/>
      <c r="D254" s="26" t="n"/>
      <c r="E254" s="34" t="n"/>
    </row>
    <row r="255">
      <c r="A255" s="33" t="n"/>
      <c r="B255" s="25" t="n"/>
      <c r="C255" s="25" t="n"/>
      <c r="D255" s="26" t="n"/>
      <c r="E255" s="34" t="n"/>
    </row>
    <row r="256">
      <c r="A256" s="33" t="n"/>
      <c r="B256" s="25" t="n"/>
      <c r="C256" s="25" t="n"/>
      <c r="D256" s="26" t="n"/>
      <c r="E256" s="34" t="n"/>
    </row>
    <row r="257">
      <c r="A257" s="33" t="n"/>
      <c r="B257" s="25" t="n"/>
      <c r="C257" s="25" t="n"/>
      <c r="D257" s="26" t="n"/>
      <c r="E257" s="34" t="n"/>
    </row>
    <row r="258">
      <c r="A258" s="33" t="n"/>
      <c r="B258" s="25" t="n"/>
      <c r="C258" s="25" t="n"/>
      <c r="D258" s="26" t="n"/>
      <c r="E258" s="34" t="n"/>
    </row>
    <row r="259">
      <c r="A259" s="33" t="n"/>
      <c r="B259" s="25" t="n"/>
      <c r="C259" s="25" t="n"/>
      <c r="D259" s="26" t="n"/>
      <c r="E259" s="34" t="n"/>
    </row>
    <row r="260">
      <c r="A260" s="33" t="n"/>
      <c r="B260" s="25" t="n"/>
      <c r="C260" s="25" t="n"/>
      <c r="D260" s="26" t="n"/>
      <c r="E260" s="34" t="n"/>
    </row>
    <row r="261">
      <c r="A261" s="33" t="n"/>
      <c r="B261" s="25" t="n"/>
      <c r="C261" s="25" t="n"/>
      <c r="D261" s="26" t="n"/>
      <c r="E261" s="34" t="n"/>
    </row>
    <row r="262">
      <c r="A262" s="33" t="n"/>
      <c r="B262" s="25" t="n"/>
      <c r="C262" s="25" t="n"/>
      <c r="D262" s="26" t="n"/>
      <c r="E262" s="34" t="n"/>
    </row>
    <row r="263">
      <c r="A263" s="33" t="n"/>
      <c r="B263" s="25" t="n"/>
      <c r="C263" s="25" t="n"/>
      <c r="D263" s="26" t="n"/>
      <c r="E263" s="34" t="n"/>
    </row>
    <row r="264">
      <c r="A264" s="33" t="n"/>
      <c r="B264" s="25" t="n"/>
      <c r="C264" s="25" t="n"/>
      <c r="D264" s="26" t="n"/>
      <c r="E264" s="34" t="n"/>
    </row>
    <row r="265">
      <c r="A265" s="33" t="n"/>
      <c r="B265" s="25" t="n"/>
      <c r="C265" s="25" t="n"/>
      <c r="D265" s="26" t="n"/>
      <c r="E265" s="34" t="n"/>
    </row>
    <row r="266">
      <c r="A266" s="33" t="n"/>
      <c r="B266" s="25" t="n"/>
      <c r="C266" s="25" t="n"/>
      <c r="D266" s="26" t="n"/>
      <c r="E266" s="34" t="n"/>
    </row>
    <row r="267">
      <c r="A267" s="33" t="n"/>
      <c r="B267" s="25" t="n"/>
      <c r="C267" s="25" t="n"/>
      <c r="D267" s="26" t="n"/>
      <c r="E267" s="34" t="n"/>
    </row>
    <row r="268">
      <c r="A268" s="33" t="n"/>
      <c r="B268" s="25" t="n"/>
      <c r="C268" s="25" t="n"/>
      <c r="D268" s="26" t="n"/>
      <c r="E268" s="34" t="n"/>
    </row>
    <row r="269">
      <c r="A269" s="33" t="n"/>
      <c r="B269" s="25" t="n"/>
      <c r="C269" s="25" t="n"/>
      <c r="D269" s="26" t="n"/>
      <c r="E269" s="34" t="n"/>
    </row>
    <row r="270">
      <c r="A270" s="33" t="n"/>
      <c r="B270" s="25" t="n"/>
      <c r="C270" s="25" t="n"/>
      <c r="D270" s="26" t="n"/>
      <c r="E270" s="34" t="n"/>
    </row>
    <row r="271">
      <c r="A271" s="33" t="n"/>
      <c r="B271" s="25" t="n"/>
      <c r="C271" s="25" t="n"/>
      <c r="D271" s="26" t="n"/>
      <c r="E271" s="34" t="n"/>
    </row>
    <row r="272">
      <c r="A272" s="33" t="n"/>
      <c r="B272" s="25" t="n"/>
      <c r="C272" s="25" t="n"/>
      <c r="D272" s="26" t="n"/>
      <c r="E272" s="34" t="n"/>
    </row>
    <row r="273">
      <c r="A273" s="33" t="n"/>
      <c r="B273" s="25" t="n"/>
      <c r="C273" s="25" t="n"/>
      <c r="D273" s="26" t="n"/>
      <c r="E273" s="34" t="n"/>
    </row>
    <row r="274">
      <c r="A274" s="33" t="n"/>
      <c r="B274" s="25" t="n"/>
      <c r="C274" s="25" t="n"/>
      <c r="D274" s="26" t="n"/>
      <c r="E274" s="34" t="n"/>
    </row>
    <row r="275">
      <c r="A275" s="33" t="n"/>
      <c r="B275" s="25" t="n"/>
      <c r="C275" s="25" t="n"/>
      <c r="D275" s="26" t="n"/>
      <c r="E275" s="34" t="n"/>
    </row>
    <row r="276">
      <c r="A276" s="33" t="n"/>
      <c r="B276" s="25" t="n"/>
      <c r="C276" s="25" t="n"/>
      <c r="D276" s="26" t="n"/>
      <c r="E276" s="34" t="n"/>
    </row>
    <row r="277">
      <c r="A277" s="33" t="n"/>
      <c r="B277" s="25" t="n"/>
      <c r="C277" s="25" t="n"/>
      <c r="D277" s="26" t="n"/>
      <c r="E277" s="34" t="n"/>
    </row>
    <row r="278">
      <c r="A278" s="33" t="n"/>
      <c r="B278" s="25" t="n"/>
      <c r="C278" s="25" t="n"/>
      <c r="D278" s="26" t="n"/>
      <c r="E278" s="34" t="n"/>
    </row>
    <row r="279">
      <c r="A279" s="33" t="n"/>
      <c r="B279" s="25" t="n"/>
      <c r="C279" s="25" t="n"/>
      <c r="D279" s="26" t="n"/>
      <c r="E279" s="34" t="n"/>
    </row>
    <row r="280">
      <c r="A280" s="33" t="n"/>
      <c r="B280" s="25" t="n"/>
      <c r="C280" s="25" t="n"/>
      <c r="D280" s="26" t="n"/>
      <c r="E280" s="34" t="n"/>
    </row>
    <row r="281">
      <c r="A281" s="33" t="n"/>
      <c r="B281" s="25" t="n"/>
      <c r="C281" s="25" t="n"/>
      <c r="D281" s="26" t="n"/>
      <c r="E281" s="34" t="n"/>
    </row>
    <row r="282">
      <c r="A282" s="33" t="n"/>
      <c r="B282" s="25" t="n"/>
      <c r="C282" s="25" t="n"/>
      <c r="D282" s="26" t="n"/>
      <c r="E282" s="34" t="n"/>
    </row>
    <row r="283">
      <c r="A283" s="33" t="n"/>
      <c r="B283" s="25" t="n"/>
      <c r="C283" s="25" t="n"/>
      <c r="D283" s="26" t="n"/>
      <c r="E283" s="34" t="n"/>
    </row>
    <row r="284">
      <c r="A284" s="33" t="n"/>
      <c r="B284" s="25" t="n"/>
      <c r="C284" s="25" t="n"/>
      <c r="D284" s="26" t="n"/>
      <c r="E284" s="34" t="n"/>
    </row>
    <row r="285">
      <c r="A285" s="33" t="n"/>
      <c r="B285" s="25" t="n"/>
      <c r="C285" s="25" t="n"/>
      <c r="D285" s="26" t="n"/>
      <c r="E285" s="34" t="n"/>
    </row>
    <row r="286">
      <c r="A286" s="33" t="n"/>
      <c r="B286" s="25" t="n"/>
      <c r="C286" s="25" t="n"/>
      <c r="D286" s="26" t="n"/>
      <c r="E286" s="34" t="n"/>
    </row>
    <row r="287">
      <c r="A287" s="33" t="n"/>
      <c r="B287" s="25" t="n"/>
      <c r="C287" s="25" t="n"/>
      <c r="D287" s="26" t="n"/>
      <c r="E287" s="34" t="n"/>
    </row>
    <row r="288">
      <c r="A288" s="33" t="n"/>
      <c r="B288" s="25" t="n"/>
      <c r="C288" s="25" t="n"/>
      <c r="D288" s="26" t="n"/>
      <c r="E288" s="34" t="n"/>
    </row>
    <row r="289">
      <c r="A289" s="33" t="n"/>
      <c r="B289" s="25" t="n"/>
      <c r="C289" s="25" t="n"/>
      <c r="D289" s="26" t="n"/>
      <c r="E289" s="34" t="n"/>
    </row>
    <row r="290">
      <c r="A290" s="33" t="n"/>
      <c r="B290" s="25" t="n"/>
      <c r="C290" s="25" t="n"/>
      <c r="D290" s="26" t="n"/>
      <c r="E290" s="34" t="n"/>
    </row>
    <row r="291">
      <c r="A291" s="33" t="n"/>
      <c r="B291" s="25" t="n"/>
      <c r="C291" s="25" t="n"/>
      <c r="D291" s="26" t="n"/>
      <c r="E291" s="34" t="n"/>
    </row>
    <row r="292">
      <c r="A292" s="33" t="n"/>
      <c r="B292" s="25" t="n"/>
      <c r="C292" s="25" t="n"/>
      <c r="D292" s="26" t="n"/>
      <c r="E292" s="34" t="n"/>
    </row>
    <row r="293">
      <c r="A293" s="33" t="n"/>
      <c r="B293" s="25" t="n"/>
      <c r="C293" s="25" t="n"/>
      <c r="D293" s="26" t="n"/>
      <c r="E293" s="34" t="n"/>
    </row>
    <row r="294">
      <c r="A294" s="33" t="n"/>
      <c r="B294" s="25" t="n"/>
      <c r="C294" s="25" t="n"/>
      <c r="D294" s="26" t="n"/>
      <c r="E294" s="34" t="n"/>
    </row>
    <row r="295">
      <c r="A295" s="33" t="n"/>
      <c r="B295" s="25" t="n"/>
      <c r="C295" s="25" t="n"/>
      <c r="D295" s="26" t="n"/>
      <c r="E295" s="34" t="n"/>
    </row>
    <row r="296">
      <c r="A296" s="33" t="n"/>
      <c r="B296" s="25" t="n"/>
      <c r="C296" s="25" t="n"/>
      <c r="D296" s="26" t="n"/>
      <c r="E296" s="34" t="n"/>
    </row>
    <row r="297">
      <c r="A297" s="33" t="n"/>
      <c r="B297" s="25" t="n"/>
      <c r="C297" s="25" t="n"/>
      <c r="D297" s="26" t="n"/>
      <c r="E297" s="34" t="n"/>
    </row>
    <row r="298">
      <c r="A298" s="33" t="n"/>
      <c r="B298" s="25" t="n"/>
      <c r="C298" s="25" t="n"/>
      <c r="D298" s="26" t="n"/>
      <c r="E298" s="34" t="n"/>
    </row>
    <row r="299">
      <c r="A299" s="33" t="n"/>
      <c r="B299" s="25" t="n"/>
      <c r="C299" s="25" t="n"/>
      <c r="D299" s="26" t="n"/>
      <c r="E299" s="34" t="n"/>
    </row>
    <row r="300">
      <c r="A300" s="33" t="n"/>
      <c r="B300" s="25" t="n"/>
      <c r="C300" s="25" t="n"/>
      <c r="D300" s="26" t="n"/>
      <c r="E300" s="34" t="n"/>
    </row>
    <row r="301">
      <c r="A301" s="33" t="n"/>
      <c r="B301" s="25" t="n"/>
      <c r="C301" s="25" t="n"/>
      <c r="D301" s="26" t="n"/>
      <c r="E301" s="34" t="n"/>
    </row>
    <row r="302">
      <c r="A302" s="33" t="n"/>
      <c r="B302" s="25" t="n"/>
      <c r="C302" s="25" t="n"/>
      <c r="D302" s="26" t="n"/>
      <c r="E302" s="34" t="n"/>
    </row>
    <row r="303">
      <c r="A303" s="33" t="n"/>
      <c r="B303" s="25" t="n"/>
      <c r="C303" s="25" t="n"/>
      <c r="D303" s="26" t="n"/>
      <c r="E303" s="34" t="n"/>
    </row>
    <row r="304">
      <c r="A304" s="33" t="n"/>
      <c r="B304" s="25" t="n"/>
      <c r="C304" s="25" t="n"/>
      <c r="D304" s="26" t="n"/>
      <c r="E304" s="34" t="n"/>
    </row>
    <row r="305">
      <c r="A305" s="33" t="n"/>
      <c r="B305" s="25" t="n"/>
      <c r="C305" s="25" t="n"/>
      <c r="D305" s="26" t="n"/>
      <c r="E305" s="34" t="n"/>
    </row>
    <row r="306">
      <c r="A306" s="33" t="n"/>
      <c r="B306" s="25" t="n"/>
      <c r="C306" s="25" t="n"/>
      <c r="D306" s="26" t="n"/>
      <c r="E306" s="34" t="n"/>
    </row>
    <row r="307">
      <c r="A307" s="33" t="n"/>
      <c r="B307" s="25" t="n"/>
      <c r="C307" s="25" t="n"/>
      <c r="D307" s="26" t="n"/>
      <c r="E307" s="34" t="n"/>
    </row>
    <row r="308">
      <c r="A308" s="33" t="n"/>
      <c r="B308" s="25" t="n"/>
      <c r="C308" s="25" t="n"/>
      <c r="D308" s="26" t="n"/>
      <c r="E308" s="34" t="n"/>
    </row>
    <row r="309">
      <c r="A309" s="33" t="n"/>
      <c r="B309" s="25" t="n"/>
      <c r="C309" s="25" t="n"/>
      <c r="D309" s="26" t="n"/>
      <c r="E309" s="34" t="n"/>
    </row>
    <row r="310">
      <c r="A310" s="33" t="n"/>
      <c r="B310" s="25" t="n"/>
      <c r="C310" s="25" t="n"/>
      <c r="D310" s="26" t="n"/>
      <c r="E310" s="34" t="n"/>
    </row>
    <row r="311">
      <c r="A311" s="33" t="n"/>
      <c r="B311" s="25" t="n"/>
      <c r="C311" s="25" t="n"/>
      <c r="D311" s="26" t="n"/>
      <c r="E311" s="34" t="n"/>
    </row>
    <row r="312">
      <c r="A312" s="33" t="n"/>
      <c r="B312" s="25" t="n"/>
      <c r="C312" s="25" t="n"/>
      <c r="D312" s="26" t="n"/>
      <c r="E312" s="34" t="n"/>
    </row>
    <row r="313">
      <c r="A313" s="33" t="n"/>
      <c r="B313" s="25" t="n"/>
      <c r="C313" s="25" t="n"/>
      <c r="D313" s="26" t="n"/>
      <c r="E313" s="34" t="n"/>
    </row>
    <row r="314">
      <c r="A314" s="33" t="n"/>
      <c r="B314" s="25" t="n"/>
      <c r="C314" s="25" t="n"/>
      <c r="D314" s="26" t="n"/>
      <c r="E314" s="34" t="n"/>
    </row>
    <row r="315">
      <c r="A315" s="33" t="n"/>
      <c r="B315" s="25" t="n"/>
      <c r="C315" s="25" t="n"/>
      <c r="D315" s="26" t="n"/>
      <c r="E315" s="34" t="n"/>
    </row>
    <row r="316">
      <c r="A316" s="33" t="n"/>
      <c r="B316" s="25" t="n"/>
      <c r="C316" s="25" t="n"/>
      <c r="D316" s="26" t="n"/>
      <c r="E316" s="34" t="n"/>
    </row>
    <row r="317">
      <c r="A317" s="33" t="n"/>
      <c r="B317" s="25" t="n"/>
      <c r="C317" s="25" t="n"/>
      <c r="D317" s="26" t="n"/>
      <c r="E317" s="34" t="n"/>
    </row>
    <row r="318">
      <c r="A318" s="33" t="n"/>
      <c r="B318" s="25" t="n"/>
      <c r="C318" s="25" t="n"/>
      <c r="D318" s="26" t="n"/>
      <c r="E318" s="34" t="n"/>
    </row>
    <row r="319">
      <c r="A319" s="33" t="n"/>
      <c r="B319" s="25" t="n"/>
      <c r="C319" s="25" t="n"/>
      <c r="D319" s="26" t="n"/>
      <c r="E319" s="34" t="n"/>
    </row>
    <row r="320">
      <c r="A320" s="33" t="n"/>
      <c r="B320" s="25" t="n"/>
      <c r="C320" s="25" t="n"/>
      <c r="D320" s="26" t="n"/>
      <c r="E320" s="34" t="n"/>
    </row>
    <row r="321">
      <c r="A321" s="33" t="n"/>
      <c r="B321" s="25" t="n"/>
      <c r="C321" s="25" t="n"/>
      <c r="D321" s="26" t="n"/>
      <c r="E321" s="34" t="n"/>
    </row>
    <row r="322">
      <c r="A322" s="33" t="n"/>
      <c r="B322" s="25" t="n"/>
      <c r="C322" s="25" t="n"/>
      <c r="D322" s="26" t="n"/>
      <c r="E322" s="34" t="n"/>
    </row>
    <row r="323">
      <c r="A323" s="33" t="n"/>
      <c r="B323" s="25" t="n"/>
      <c r="C323" s="25" t="n"/>
      <c r="D323" s="26" t="n"/>
      <c r="E323" s="34" t="n"/>
    </row>
    <row r="324">
      <c r="A324" s="33" t="n"/>
      <c r="B324" s="25" t="n"/>
      <c r="C324" s="25" t="n"/>
      <c r="D324" s="26" t="n"/>
      <c r="E324" s="34" t="n"/>
    </row>
    <row r="325">
      <c r="A325" s="33" t="n"/>
      <c r="B325" s="25" t="n"/>
      <c r="C325" s="25" t="n"/>
      <c r="D325" s="26" t="n"/>
      <c r="E325" s="34" t="n"/>
    </row>
    <row r="326">
      <c r="A326" s="33" t="n"/>
      <c r="B326" s="25" t="n"/>
      <c r="C326" s="25" t="n"/>
      <c r="D326" s="26" t="n"/>
      <c r="E326" s="34" t="n"/>
    </row>
    <row r="327">
      <c r="A327" s="33" t="n"/>
      <c r="B327" s="25" t="n"/>
      <c r="C327" s="25" t="n"/>
      <c r="D327" s="26" t="n"/>
      <c r="E327" s="34" t="n"/>
    </row>
    <row r="328">
      <c r="A328" s="33" t="n"/>
      <c r="B328" s="25" t="n"/>
      <c r="C328" s="25" t="n"/>
      <c r="D328" s="26" t="n"/>
      <c r="E328" s="34" t="n"/>
    </row>
    <row r="329">
      <c r="A329" s="33" t="n"/>
      <c r="B329" s="25" t="n"/>
      <c r="C329" s="25" t="n"/>
      <c r="D329" s="26" t="n"/>
      <c r="E329" s="34" t="n"/>
    </row>
    <row r="330">
      <c r="A330" s="33" t="n"/>
      <c r="B330" s="25" t="n"/>
      <c r="C330" s="25" t="n"/>
      <c r="D330" s="26" t="n"/>
      <c r="E330" s="34" t="n"/>
    </row>
    <row r="331">
      <c r="A331" s="33" t="n"/>
      <c r="B331" s="25" t="n"/>
      <c r="C331" s="25" t="n"/>
      <c r="D331" s="26" t="n"/>
      <c r="E331" s="34" t="n"/>
    </row>
    <row r="332">
      <c r="A332" s="33" t="n"/>
      <c r="B332" s="25" t="n"/>
      <c r="C332" s="25" t="n"/>
      <c r="D332" s="26" t="n"/>
      <c r="E332" s="34" t="n"/>
    </row>
    <row r="333">
      <c r="A333" s="33" t="n"/>
      <c r="B333" s="25" t="n"/>
      <c r="C333" s="25" t="n"/>
      <c r="D333" s="26" t="n"/>
      <c r="E333" s="34" t="n"/>
    </row>
    <row r="334">
      <c r="A334" s="33" t="n"/>
      <c r="B334" s="25" t="n"/>
      <c r="C334" s="25" t="n"/>
      <c r="D334" s="26" t="n"/>
      <c r="E334" s="34" t="n"/>
    </row>
    <row r="335">
      <c r="A335" s="33" t="n"/>
      <c r="B335" s="25" t="n"/>
      <c r="C335" s="25" t="n"/>
      <c r="D335" s="26" t="n"/>
      <c r="E335" s="34" t="n"/>
    </row>
    <row r="336">
      <c r="A336" s="33" t="n"/>
      <c r="B336" s="25" t="n"/>
      <c r="C336" s="25" t="n"/>
      <c r="D336" s="26" t="n"/>
      <c r="E336" s="34" t="n"/>
    </row>
    <row r="337">
      <c r="A337" s="33" t="n"/>
      <c r="B337" s="25" t="n"/>
      <c r="C337" s="25" t="n"/>
      <c r="D337" s="26" t="n"/>
      <c r="E337" s="34" t="n"/>
    </row>
    <row r="338">
      <c r="A338" s="33" t="n"/>
      <c r="B338" s="25" t="n"/>
      <c r="C338" s="25" t="n"/>
      <c r="D338" s="26" t="n"/>
      <c r="E338" s="34" t="n"/>
    </row>
    <row r="339">
      <c r="A339" s="33" t="n"/>
      <c r="B339" s="25" t="n"/>
      <c r="C339" s="25" t="n"/>
      <c r="D339" s="26" t="n"/>
      <c r="E339" s="34" t="n"/>
    </row>
    <row r="340">
      <c r="A340" s="33" t="n"/>
      <c r="B340" s="25" t="n"/>
      <c r="C340" s="25" t="n"/>
      <c r="D340" s="26" t="n"/>
      <c r="E340" s="34" t="n"/>
    </row>
    <row r="341">
      <c r="A341" s="33" t="n"/>
      <c r="B341" s="25" t="n"/>
      <c r="C341" s="25" t="n"/>
      <c r="D341" s="26" t="n"/>
      <c r="E341" s="34" t="n"/>
    </row>
    <row r="342">
      <c r="A342" s="33" t="n"/>
      <c r="B342" s="25" t="n"/>
      <c r="C342" s="25" t="n"/>
      <c r="D342" s="26" t="n"/>
      <c r="E342" s="34" t="n"/>
    </row>
    <row r="343">
      <c r="A343" s="33" t="n"/>
      <c r="B343" s="25" t="n"/>
      <c r="C343" s="25" t="n"/>
      <c r="D343" s="26" t="n"/>
      <c r="E343" s="34" t="n"/>
    </row>
    <row r="344">
      <c r="A344" s="33" t="n"/>
      <c r="B344" s="25" t="n"/>
      <c r="C344" s="25" t="n"/>
      <c r="D344" s="26" t="n"/>
      <c r="E344" s="34" t="n"/>
    </row>
    <row r="345">
      <c r="A345" s="33" t="n"/>
      <c r="B345" s="25" t="n"/>
      <c r="C345" s="25" t="n"/>
      <c r="D345" s="26" t="n"/>
      <c r="E345" s="34" t="n"/>
    </row>
    <row r="346">
      <c r="A346" s="33" t="n"/>
      <c r="B346" s="25" t="n"/>
      <c r="C346" s="25" t="n"/>
      <c r="D346" s="26" t="n"/>
      <c r="E346" s="34" t="n"/>
    </row>
    <row r="347">
      <c r="A347" s="33" t="n"/>
      <c r="B347" s="25" t="n"/>
      <c r="C347" s="25" t="n"/>
      <c r="D347" s="26" t="n"/>
      <c r="E347" s="34" t="n"/>
    </row>
    <row r="348">
      <c r="A348" s="33" t="n"/>
      <c r="B348" s="25" t="n"/>
      <c r="C348" s="25" t="n"/>
      <c r="D348" s="26" t="n"/>
      <c r="E348" s="34" t="n"/>
    </row>
    <row r="349">
      <c r="A349" s="33" t="n"/>
      <c r="B349" s="25" t="n"/>
      <c r="C349" s="25" t="n"/>
      <c r="D349" s="26" t="n"/>
      <c r="E349" s="34" t="n"/>
    </row>
    <row r="350">
      <c r="A350" s="33" t="n"/>
      <c r="B350" s="25" t="n"/>
      <c r="C350" s="25" t="n"/>
      <c r="D350" s="26" t="n"/>
      <c r="E350" s="34" t="n"/>
    </row>
    <row r="351">
      <c r="A351" s="33" t="n"/>
      <c r="B351" s="25" t="n"/>
      <c r="C351" s="25" t="n"/>
      <c r="D351" s="26" t="n"/>
      <c r="E351" s="34" t="n"/>
    </row>
    <row r="352">
      <c r="A352" s="33" t="n"/>
      <c r="B352" s="25" t="n"/>
      <c r="C352" s="25" t="n"/>
      <c r="D352" s="26" t="n"/>
      <c r="E352" s="34" t="n"/>
    </row>
    <row r="353">
      <c r="A353" s="33" t="n"/>
      <c r="B353" s="25" t="n"/>
      <c r="C353" s="25" t="n"/>
      <c r="D353" s="26" t="n"/>
      <c r="E353" s="34" t="n"/>
    </row>
    <row r="354">
      <c r="A354" s="33" t="n"/>
      <c r="B354" s="25" t="n"/>
      <c r="C354" s="25" t="n"/>
      <c r="D354" s="26" t="n"/>
      <c r="E354" s="34" t="n"/>
    </row>
    <row r="355">
      <c r="A355" s="33" t="n"/>
      <c r="B355" s="25" t="n"/>
      <c r="C355" s="25" t="n"/>
      <c r="D355" s="26" t="n"/>
      <c r="E355" s="34" t="n"/>
    </row>
    <row r="356">
      <c r="A356" s="33" t="n"/>
      <c r="B356" s="25" t="n"/>
      <c r="C356" s="25" t="n"/>
      <c r="D356" s="26" t="n"/>
      <c r="E356" s="34" t="n"/>
    </row>
    <row r="357">
      <c r="A357" s="33" t="n"/>
      <c r="B357" s="25" t="n"/>
      <c r="C357" s="25" t="n"/>
      <c r="D357" s="26" t="n"/>
      <c r="E357" s="34" t="n"/>
    </row>
    <row r="358">
      <c r="A358" s="33" t="n"/>
      <c r="B358" s="25" t="n"/>
      <c r="C358" s="25" t="n"/>
      <c r="D358" s="26" t="n"/>
      <c r="E358" s="34" t="n"/>
    </row>
    <row r="359">
      <c r="A359" s="33" t="n"/>
      <c r="B359" s="25" t="n"/>
      <c r="C359" s="25" t="n"/>
      <c r="D359" s="26" t="n"/>
      <c r="E359" s="34" t="n"/>
    </row>
    <row r="360">
      <c r="A360" s="33" t="n"/>
      <c r="B360" s="25" t="n"/>
      <c r="C360" s="25" t="n"/>
      <c r="D360" s="26" t="n"/>
      <c r="E360" s="34" t="n"/>
    </row>
    <row r="361">
      <c r="A361" s="33" t="n"/>
      <c r="B361" s="25" t="n"/>
      <c r="C361" s="25" t="n"/>
      <c r="D361" s="26" t="n"/>
      <c r="E361" s="34" t="n"/>
    </row>
    <row r="362">
      <c r="A362" s="33" t="n"/>
      <c r="B362" s="25" t="n"/>
      <c r="C362" s="25" t="n"/>
      <c r="D362" s="26" t="n"/>
      <c r="E362" s="34" t="n"/>
    </row>
    <row r="363">
      <c r="A363" s="33" t="n"/>
      <c r="B363" s="25" t="n"/>
      <c r="C363" s="25" t="n"/>
      <c r="D363" s="26" t="n"/>
      <c r="E363" s="34" t="n"/>
    </row>
    <row r="364">
      <c r="A364" s="33" t="n"/>
      <c r="B364" s="25" t="n"/>
      <c r="C364" s="25" t="n"/>
      <c r="D364" s="26" t="n"/>
      <c r="E364" s="34" t="n"/>
    </row>
    <row r="365">
      <c r="A365" s="33" t="n"/>
      <c r="B365" s="25" t="n"/>
      <c r="C365" s="25" t="n"/>
      <c r="D365" s="26" t="n"/>
      <c r="E365" s="34" t="n"/>
    </row>
    <row r="366">
      <c r="A366" s="33" t="n"/>
      <c r="B366" s="25" t="n"/>
      <c r="C366" s="25" t="n"/>
      <c r="D366" s="26" t="n"/>
      <c r="E366" s="34" t="n"/>
    </row>
    <row r="367">
      <c r="A367" s="33" t="n"/>
      <c r="B367" s="25" t="n"/>
      <c r="C367" s="25" t="n"/>
      <c r="D367" s="26" t="n"/>
      <c r="E367" s="34" t="n"/>
    </row>
    <row r="368">
      <c r="A368" s="33" t="n"/>
      <c r="B368" s="25" t="n"/>
      <c r="C368" s="25" t="n"/>
      <c r="D368" s="26" t="n"/>
      <c r="E368" s="34" t="n"/>
    </row>
    <row r="369">
      <c r="A369" s="33" t="n"/>
      <c r="B369" s="25" t="n"/>
      <c r="C369" s="25" t="n"/>
      <c r="D369" s="26" t="n"/>
      <c r="E369" s="34" t="n"/>
    </row>
    <row r="370">
      <c r="A370" s="33" t="n"/>
      <c r="B370" s="25" t="n"/>
      <c r="C370" s="25" t="n"/>
      <c r="D370" s="26" t="n"/>
      <c r="E370" s="34" t="n"/>
    </row>
    <row r="371">
      <c r="A371" s="33" t="n"/>
      <c r="B371" s="25" t="n"/>
      <c r="C371" s="25" t="n"/>
      <c r="D371" s="26" t="n"/>
      <c r="E371" s="34" t="n"/>
    </row>
    <row r="372">
      <c r="A372" s="33" t="n"/>
      <c r="B372" s="25" t="n"/>
      <c r="C372" s="25" t="n"/>
      <c r="D372" s="26" t="n"/>
      <c r="E372" s="34" t="n"/>
    </row>
    <row r="373">
      <c r="A373" s="33" t="n"/>
      <c r="B373" s="25" t="n"/>
      <c r="C373" s="25" t="n"/>
      <c r="D373" s="26" t="n"/>
      <c r="E373" s="34" t="n"/>
    </row>
    <row r="374">
      <c r="A374" s="33" t="n"/>
      <c r="B374" s="25" t="n"/>
      <c r="C374" s="25" t="n"/>
      <c r="D374" s="26" t="n"/>
      <c r="E374" s="34" t="n"/>
    </row>
    <row r="375">
      <c r="A375" s="33" t="n"/>
      <c r="B375" s="25" t="n"/>
      <c r="C375" s="25" t="n"/>
      <c r="D375" s="26" t="n"/>
      <c r="E375" s="34" t="n"/>
    </row>
    <row r="376">
      <c r="A376" s="33" t="n"/>
      <c r="B376" s="25" t="n"/>
      <c r="C376" s="25" t="n"/>
      <c r="D376" s="26" t="n"/>
      <c r="E376" s="34" t="n"/>
    </row>
    <row r="377">
      <c r="A377" s="33" t="n"/>
      <c r="B377" s="25" t="n"/>
      <c r="C377" s="25" t="n"/>
      <c r="D377" s="26" t="n"/>
      <c r="E377" s="34" t="n"/>
    </row>
    <row r="378">
      <c r="A378" s="33" t="n"/>
      <c r="B378" s="25" t="n"/>
      <c r="C378" s="25" t="n"/>
      <c r="D378" s="26" t="n"/>
      <c r="E378" s="34" t="n"/>
    </row>
    <row r="379">
      <c r="A379" s="33" t="n"/>
      <c r="B379" s="25" t="n"/>
      <c r="C379" s="25" t="n"/>
      <c r="D379" s="26" t="n"/>
      <c r="E379" s="34" t="n"/>
    </row>
    <row r="380">
      <c r="A380" s="33" t="n"/>
      <c r="B380" s="25" t="n"/>
      <c r="C380" s="25" t="n"/>
      <c r="D380" s="26" t="n"/>
      <c r="E380" s="34" t="n"/>
    </row>
    <row r="381">
      <c r="A381" s="33" t="n"/>
      <c r="B381" s="25" t="n"/>
      <c r="C381" s="25" t="n"/>
      <c r="D381" s="26" t="n"/>
      <c r="E381" s="34" t="n"/>
    </row>
    <row r="382">
      <c r="A382" s="33" t="n"/>
      <c r="B382" s="25" t="n"/>
      <c r="C382" s="25" t="n"/>
      <c r="D382" s="26" t="n"/>
      <c r="E382" s="34" t="n"/>
    </row>
    <row r="383">
      <c r="A383" s="33" t="n"/>
      <c r="B383" s="25" t="n"/>
      <c r="C383" s="25" t="n"/>
      <c r="D383" s="26" t="n"/>
      <c r="E383" s="34" t="n"/>
    </row>
    <row r="384">
      <c r="A384" s="33" t="n"/>
      <c r="B384" s="25" t="n"/>
      <c r="C384" s="25" t="n"/>
      <c r="D384" s="26" t="n"/>
      <c r="E384" s="34" t="n"/>
    </row>
    <row r="385">
      <c r="A385" s="33" t="n"/>
      <c r="B385" s="25" t="n"/>
      <c r="C385" s="25" t="n"/>
      <c r="D385" s="26" t="n"/>
      <c r="E385" s="34" t="n"/>
    </row>
    <row r="386">
      <c r="A386" s="33" t="n"/>
      <c r="B386" s="25" t="n"/>
      <c r="C386" s="25" t="n"/>
      <c r="D386" s="26" t="n"/>
      <c r="E386" s="34" t="n"/>
    </row>
    <row r="387">
      <c r="A387" s="33" t="n"/>
      <c r="B387" s="25" t="n"/>
      <c r="C387" s="25" t="n"/>
      <c r="D387" s="26" t="n"/>
      <c r="E387" s="34" t="n"/>
    </row>
    <row r="388">
      <c r="A388" s="33" t="n"/>
      <c r="B388" s="25" t="n"/>
      <c r="C388" s="25" t="n"/>
      <c r="D388" s="26" t="n"/>
      <c r="E388" s="34" t="n"/>
    </row>
    <row r="389">
      <c r="A389" s="33" t="n"/>
      <c r="B389" s="25" t="n"/>
      <c r="C389" s="25" t="n"/>
      <c r="D389" s="26" t="n"/>
      <c r="E389" s="34" t="n"/>
    </row>
    <row r="390">
      <c r="A390" s="33" t="n"/>
      <c r="B390" s="25" t="n"/>
      <c r="C390" s="25" t="n"/>
      <c r="D390" s="26" t="n"/>
      <c r="E390" s="34" t="n"/>
    </row>
    <row r="391">
      <c r="A391" s="33" t="n"/>
      <c r="B391" s="25" t="n"/>
      <c r="C391" s="25" t="n"/>
      <c r="D391" s="26" t="n"/>
      <c r="E391" s="34" t="n"/>
    </row>
    <row r="392">
      <c r="A392" s="33" t="n"/>
      <c r="B392" s="25" t="n"/>
      <c r="C392" s="25" t="n"/>
      <c r="D392" s="26" t="n"/>
      <c r="E392" s="34" t="n"/>
    </row>
    <row r="393">
      <c r="A393" s="33" t="n"/>
      <c r="B393" s="25" t="n"/>
      <c r="C393" s="25" t="n"/>
      <c r="D393" s="26" t="n"/>
      <c r="E393" s="34" t="n"/>
    </row>
    <row r="394">
      <c r="A394" s="33" t="n"/>
      <c r="B394" s="25" t="n"/>
      <c r="C394" s="25" t="n"/>
      <c r="D394" s="26" t="n"/>
      <c r="E394" s="34" t="n"/>
    </row>
    <row r="395">
      <c r="A395" s="33" t="n"/>
      <c r="B395" s="25" t="n"/>
      <c r="C395" s="25" t="n"/>
      <c r="D395" s="26" t="n"/>
      <c r="E395" s="34" t="n"/>
    </row>
    <row r="396">
      <c r="A396" s="33" t="n"/>
      <c r="B396" s="25" t="n"/>
      <c r="C396" s="25" t="n"/>
      <c r="D396" s="26" t="n"/>
      <c r="E396" s="34" t="n"/>
    </row>
    <row r="397">
      <c r="A397" s="33" t="n"/>
      <c r="B397" s="25" t="n"/>
      <c r="C397" s="25" t="n"/>
      <c r="D397" s="26" t="n"/>
      <c r="E397" s="34" t="n"/>
    </row>
    <row r="398">
      <c r="A398" s="33" t="n"/>
      <c r="B398" s="25" t="n"/>
      <c r="C398" s="25" t="n"/>
      <c r="D398" s="26" t="n"/>
      <c r="E398" s="34" t="n"/>
    </row>
    <row r="399">
      <c r="A399" s="33" t="n"/>
      <c r="B399" s="25" t="n"/>
      <c r="C399" s="25" t="n"/>
      <c r="D399" s="26" t="n"/>
      <c r="E399" s="34" t="n"/>
    </row>
    <row r="400">
      <c r="A400" s="33" t="n"/>
      <c r="B400" s="25" t="n"/>
      <c r="C400" s="25" t="n"/>
      <c r="D400" s="26" t="n"/>
      <c r="E400" s="34" t="n"/>
    </row>
    <row r="401">
      <c r="A401" s="33" t="n"/>
      <c r="B401" s="25" t="n"/>
      <c r="C401" s="25" t="n"/>
      <c r="D401" s="26" t="n"/>
      <c r="E401" s="34" t="n"/>
    </row>
    <row r="402">
      <c r="A402" s="33" t="n"/>
      <c r="B402" s="25" t="n"/>
      <c r="C402" s="25" t="n"/>
      <c r="D402" s="26" t="n"/>
      <c r="E402" s="34" t="n"/>
    </row>
    <row r="403">
      <c r="A403" s="33" t="n"/>
      <c r="B403" s="25" t="n"/>
      <c r="C403" s="25" t="n"/>
      <c r="D403" s="26" t="n"/>
      <c r="E403" s="34" t="n"/>
    </row>
    <row r="404">
      <c r="A404" s="33" t="n"/>
      <c r="B404" s="25" t="n"/>
      <c r="C404" s="25" t="n"/>
      <c r="D404" s="26" t="n"/>
      <c r="E404" s="34" t="n"/>
    </row>
    <row r="405">
      <c r="A405" s="33" t="n"/>
      <c r="B405" s="25" t="n"/>
      <c r="C405" s="25" t="n"/>
      <c r="D405" s="26" t="n"/>
      <c r="E405" s="34" t="n"/>
    </row>
    <row r="406">
      <c r="A406" s="33" t="n"/>
      <c r="B406" s="25" t="n"/>
      <c r="C406" s="25" t="n"/>
      <c r="D406" s="26" t="n"/>
      <c r="E406" s="34" t="n"/>
    </row>
    <row r="407">
      <c r="A407" s="33" t="n"/>
      <c r="B407" s="25" t="n"/>
      <c r="C407" s="25" t="n"/>
      <c r="D407" s="26" t="n"/>
      <c r="E407" s="34" t="n"/>
    </row>
    <row r="408">
      <c r="A408" s="33" t="n"/>
      <c r="B408" s="25" t="n"/>
      <c r="C408" s="25" t="n"/>
      <c r="D408" s="26" t="n"/>
      <c r="E408" s="34" t="n"/>
    </row>
    <row r="409">
      <c r="A409" s="33" t="n"/>
      <c r="B409" s="25" t="n"/>
      <c r="C409" s="25" t="n"/>
      <c r="D409" s="26" t="n"/>
      <c r="E409" s="34" t="n"/>
    </row>
    <row r="410">
      <c r="A410" s="33" t="n"/>
      <c r="B410" s="25" t="n"/>
      <c r="C410" s="25" t="n"/>
      <c r="D410" s="26" t="n"/>
      <c r="E410" s="34" t="n"/>
    </row>
    <row r="411">
      <c r="A411" s="33" t="n"/>
      <c r="B411" s="25" t="n"/>
      <c r="C411" s="25" t="n"/>
      <c r="D411" s="26" t="n"/>
      <c r="E411" s="34" t="n"/>
    </row>
    <row r="412">
      <c r="A412" s="33" t="n"/>
      <c r="B412" s="25" t="n"/>
      <c r="C412" s="25" t="n"/>
      <c r="D412" s="26" t="n"/>
      <c r="E412" s="34" t="n"/>
    </row>
    <row r="413">
      <c r="A413" s="33" t="n"/>
      <c r="B413" s="25" t="n"/>
      <c r="C413" s="25" t="n"/>
      <c r="D413" s="26" t="n"/>
      <c r="E413" s="34" t="n"/>
    </row>
    <row r="414">
      <c r="A414" s="33" t="n"/>
      <c r="B414" s="25" t="n"/>
      <c r="C414" s="25" t="n"/>
      <c r="D414" s="26" t="n"/>
      <c r="E414" s="34" t="n"/>
    </row>
    <row r="415">
      <c r="A415" s="33" t="n"/>
      <c r="B415" s="25" t="n"/>
      <c r="C415" s="25" t="n"/>
      <c r="D415" s="26" t="n"/>
      <c r="E415" s="34" t="n"/>
    </row>
    <row r="416">
      <c r="A416" s="33" t="n"/>
      <c r="B416" s="25" t="n"/>
      <c r="C416" s="25" t="n"/>
      <c r="D416" s="26" t="n"/>
      <c r="E416" s="34" t="n"/>
    </row>
    <row r="417">
      <c r="A417" s="33" t="n"/>
      <c r="B417" s="25" t="n"/>
      <c r="C417" s="25" t="n"/>
      <c r="D417" s="26" t="n"/>
      <c r="E417" s="34" t="n"/>
    </row>
    <row r="418">
      <c r="A418" s="33" t="n"/>
      <c r="B418" s="25" t="n"/>
      <c r="C418" s="25" t="n"/>
      <c r="D418" s="26" t="n"/>
      <c r="E418" s="34" t="n"/>
    </row>
    <row r="419">
      <c r="A419" s="33" t="n"/>
      <c r="B419" s="25" t="n"/>
      <c r="C419" s="25" t="n"/>
      <c r="D419" s="26" t="n"/>
      <c r="E419" s="34" t="n"/>
    </row>
    <row r="420">
      <c r="A420" s="33" t="n"/>
      <c r="B420" s="25" t="n"/>
      <c r="C420" s="25" t="n"/>
      <c r="D420" s="26" t="n"/>
      <c r="E420" s="34" t="n"/>
    </row>
    <row r="421">
      <c r="A421" s="33" t="n"/>
      <c r="B421" s="25" t="n"/>
      <c r="C421" s="25" t="n"/>
      <c r="D421" s="26" t="n"/>
      <c r="E421" s="34" t="n"/>
    </row>
    <row r="422">
      <c r="A422" s="33" t="n"/>
      <c r="B422" s="25" t="n"/>
      <c r="C422" s="25" t="n"/>
      <c r="D422" s="26" t="n"/>
      <c r="E422" s="34" t="n"/>
    </row>
    <row r="423">
      <c r="A423" s="33" t="n"/>
      <c r="B423" s="25" t="n"/>
      <c r="C423" s="25" t="n"/>
      <c r="D423" s="26" t="n"/>
      <c r="E423" s="34" t="n"/>
    </row>
    <row r="424">
      <c r="A424" s="33" t="n"/>
      <c r="B424" s="25" t="n"/>
      <c r="C424" s="25" t="n"/>
      <c r="D424" s="26" t="n"/>
      <c r="E424" s="34" t="n"/>
    </row>
    <row r="425">
      <c r="A425" s="33" t="n"/>
      <c r="B425" s="25" t="n"/>
      <c r="C425" s="25" t="n"/>
      <c r="D425" s="26" t="n"/>
      <c r="E425" s="34" t="n"/>
    </row>
    <row r="426">
      <c r="A426" s="33" t="n"/>
      <c r="B426" s="25" t="n"/>
      <c r="C426" s="25" t="n"/>
      <c r="D426" s="26" t="n"/>
      <c r="E426" s="34" t="n"/>
    </row>
    <row r="427">
      <c r="A427" s="33" t="n"/>
      <c r="B427" s="25" t="n"/>
      <c r="C427" s="25" t="n"/>
      <c r="D427" s="26" t="n"/>
      <c r="E427" s="34" t="n"/>
    </row>
    <row r="428">
      <c r="A428" s="33" t="n"/>
      <c r="B428" s="25" t="n"/>
      <c r="C428" s="25" t="n"/>
      <c r="D428" s="26" t="n"/>
      <c r="E428" s="34" t="n"/>
    </row>
    <row r="429">
      <c r="A429" s="33" t="n"/>
      <c r="B429" s="25" t="n"/>
      <c r="C429" s="25" t="n"/>
      <c r="D429" s="26" t="n"/>
      <c r="E429" s="34" t="n"/>
    </row>
    <row r="430">
      <c r="A430" s="33" t="n"/>
      <c r="B430" s="25" t="n"/>
      <c r="C430" s="25" t="n"/>
      <c r="D430" s="26" t="n"/>
      <c r="E430" s="34" t="n"/>
    </row>
    <row r="431">
      <c r="A431" s="33" t="n"/>
      <c r="B431" s="25" t="n"/>
      <c r="C431" s="25" t="n"/>
      <c r="D431" s="26" t="n"/>
      <c r="E431" s="34" t="n"/>
    </row>
    <row r="432">
      <c r="A432" s="33" t="n"/>
      <c r="B432" s="25" t="n"/>
      <c r="C432" s="25" t="n"/>
      <c r="D432" s="26" t="n"/>
      <c r="E432" s="34" t="n"/>
    </row>
    <row r="433">
      <c r="A433" s="33" t="n"/>
      <c r="B433" s="25" t="n"/>
      <c r="C433" s="25" t="n"/>
      <c r="D433" s="26" t="n"/>
      <c r="E433" s="34" t="n"/>
    </row>
    <row r="434">
      <c r="A434" s="33" t="n"/>
      <c r="B434" s="25" t="n"/>
      <c r="C434" s="25" t="n"/>
      <c r="D434" s="26" t="n"/>
      <c r="E434" s="34" t="n"/>
    </row>
    <row r="435">
      <c r="A435" s="33" t="n"/>
      <c r="B435" s="25" t="n"/>
      <c r="C435" s="25" t="n"/>
      <c r="D435" s="26" t="n"/>
      <c r="E435" s="34" t="n"/>
    </row>
    <row r="436">
      <c r="A436" s="33" t="n"/>
      <c r="B436" s="25" t="n"/>
      <c r="C436" s="25" t="n"/>
      <c r="D436" s="26" t="n"/>
      <c r="E436" s="34" t="n"/>
    </row>
    <row r="437">
      <c r="A437" s="33" t="n"/>
      <c r="B437" s="25" t="n"/>
      <c r="C437" s="25" t="n"/>
      <c r="D437" s="26" t="n"/>
      <c r="E437" s="34" t="n"/>
    </row>
    <row r="438">
      <c r="A438" s="33" t="n"/>
      <c r="B438" s="25" t="n"/>
      <c r="C438" s="25" t="n"/>
      <c r="D438" s="26" t="n"/>
      <c r="E438" s="34" t="n"/>
    </row>
    <row r="439">
      <c r="A439" s="33" t="n"/>
      <c r="B439" s="25" t="n"/>
      <c r="C439" s="25" t="n"/>
      <c r="D439" s="26" t="n"/>
      <c r="E439" s="34" t="n"/>
    </row>
    <row r="440">
      <c r="A440" s="33" t="n"/>
      <c r="B440" s="25" t="n"/>
      <c r="C440" s="25" t="n"/>
      <c r="D440" s="26" t="n"/>
      <c r="E440" s="34" t="n"/>
    </row>
    <row r="441">
      <c r="A441" s="33" t="n"/>
      <c r="B441" s="25" t="n"/>
      <c r="C441" s="25" t="n"/>
      <c r="D441" s="26" t="n"/>
      <c r="E441" s="34" t="n"/>
    </row>
    <row r="442">
      <c r="A442" s="33" t="n"/>
      <c r="B442" s="25" t="n"/>
      <c r="C442" s="25" t="n"/>
      <c r="D442" s="26" t="n"/>
      <c r="E442" s="34" t="n"/>
    </row>
    <row r="443">
      <c r="A443" s="33" t="n"/>
      <c r="B443" s="25" t="n"/>
      <c r="C443" s="25" t="n"/>
      <c r="D443" s="26" t="n"/>
      <c r="E443" s="34" t="n"/>
    </row>
    <row r="444">
      <c r="A444" s="33" t="n"/>
      <c r="B444" s="25" t="n"/>
      <c r="C444" s="25" t="n"/>
      <c r="D444" s="26" t="n"/>
      <c r="E444" s="34" t="n"/>
    </row>
    <row r="445">
      <c r="A445" s="33" t="n"/>
      <c r="B445" s="25" t="n"/>
      <c r="C445" s="25" t="n"/>
      <c r="D445" s="26" t="n"/>
      <c r="E445" s="34" t="n"/>
    </row>
    <row r="446">
      <c r="A446" s="33" t="n"/>
      <c r="B446" s="25" t="n"/>
      <c r="C446" s="25" t="n"/>
      <c r="D446" s="26" t="n"/>
      <c r="E446" s="34" t="n"/>
    </row>
    <row r="447">
      <c r="A447" s="33" t="n"/>
      <c r="B447" s="25" t="n"/>
      <c r="C447" s="25" t="n"/>
      <c r="D447" s="26" t="n"/>
      <c r="E447" s="34" t="n"/>
    </row>
    <row r="448">
      <c r="A448" s="33" t="n"/>
      <c r="B448" s="25" t="n"/>
      <c r="C448" s="25" t="n"/>
      <c r="D448" s="26" t="n"/>
      <c r="E448" s="34" t="n"/>
    </row>
    <row r="449">
      <c r="A449" s="33" t="n"/>
      <c r="B449" s="25" t="n"/>
      <c r="C449" s="25" t="n"/>
      <c r="D449" s="26" t="n"/>
      <c r="E449" s="34" t="n"/>
    </row>
    <row r="450">
      <c r="A450" s="33" t="n"/>
      <c r="B450" s="25" t="n"/>
      <c r="C450" s="25" t="n"/>
      <c r="D450" s="26" t="n"/>
      <c r="E450" s="34" t="n"/>
    </row>
    <row r="451">
      <c r="A451" s="33" t="n"/>
      <c r="B451" s="25" t="n"/>
      <c r="C451" s="25" t="n"/>
      <c r="D451" s="26" t="n"/>
      <c r="E451" s="34" t="n"/>
    </row>
    <row r="452">
      <c r="A452" s="33" t="n"/>
      <c r="B452" s="25" t="n"/>
      <c r="C452" s="25" t="n"/>
      <c r="D452" s="26" t="n"/>
      <c r="E452" s="34" t="n"/>
    </row>
    <row r="453">
      <c r="A453" s="33" t="n"/>
      <c r="B453" s="25" t="n"/>
      <c r="C453" s="25" t="n"/>
      <c r="D453" s="26" t="n"/>
      <c r="E453" s="34" t="n"/>
    </row>
    <row r="454">
      <c r="A454" s="33" t="n"/>
      <c r="B454" s="25" t="n"/>
      <c r="C454" s="25" t="n"/>
      <c r="D454" s="26" t="n"/>
      <c r="E454" s="34" t="n"/>
    </row>
    <row r="455">
      <c r="A455" s="33" t="n"/>
      <c r="B455" s="25" t="n"/>
      <c r="C455" s="25" t="n"/>
      <c r="D455" s="26" t="n"/>
      <c r="E455" s="34" t="n"/>
    </row>
    <row r="456">
      <c r="A456" s="33" t="n"/>
      <c r="B456" s="25" t="n"/>
      <c r="C456" s="25" t="n"/>
      <c r="D456" s="26" t="n"/>
      <c r="E456" s="34" t="n"/>
    </row>
    <row r="457">
      <c r="A457" s="33" t="n"/>
      <c r="B457" s="25" t="n"/>
      <c r="C457" s="25" t="n"/>
      <c r="D457" s="26" t="n"/>
      <c r="E457" s="34" t="n"/>
    </row>
    <row r="458">
      <c r="A458" s="33" t="n"/>
      <c r="B458" s="25" t="n"/>
      <c r="C458" s="25" t="n"/>
      <c r="D458" s="26" t="n"/>
      <c r="E458" s="34" t="n"/>
    </row>
    <row r="459">
      <c r="A459" s="33" t="n"/>
      <c r="B459" s="25" t="n"/>
      <c r="C459" s="25" t="n"/>
      <c r="D459" s="26" t="n"/>
      <c r="E459" s="34" t="n"/>
    </row>
    <row r="460">
      <c r="A460" s="33" t="n"/>
      <c r="B460" s="25" t="n"/>
      <c r="C460" s="25" t="n"/>
      <c r="D460" s="26" t="n"/>
      <c r="E460" s="34" t="n"/>
    </row>
    <row r="461">
      <c r="A461" s="33" t="n"/>
      <c r="B461" s="25" t="n"/>
      <c r="C461" s="25" t="n"/>
      <c r="D461" s="26" t="n"/>
      <c r="E461" s="34" t="n"/>
    </row>
    <row r="462">
      <c r="A462" s="33" t="n"/>
      <c r="B462" s="25" t="n"/>
      <c r="C462" s="25" t="n"/>
      <c r="D462" s="26" t="n"/>
      <c r="E462" s="34" t="n"/>
    </row>
    <row r="463">
      <c r="A463" s="33" t="n"/>
      <c r="B463" s="25" t="n"/>
      <c r="C463" s="25" t="n"/>
      <c r="D463" s="26" t="n"/>
      <c r="E463" s="34" t="n"/>
    </row>
    <row r="464">
      <c r="A464" s="33" t="n"/>
      <c r="B464" s="25" t="n"/>
      <c r="C464" s="25" t="n"/>
      <c r="D464" s="26" t="n"/>
      <c r="E464" s="34" t="n"/>
    </row>
    <row r="465">
      <c r="A465" s="33" t="n"/>
      <c r="B465" s="25" t="n"/>
      <c r="C465" s="25" t="n"/>
      <c r="D465" s="26" t="n"/>
      <c r="E465" s="34" t="n"/>
    </row>
    <row r="466">
      <c r="A466" s="33" t="n"/>
      <c r="B466" s="25" t="n"/>
      <c r="C466" s="25" t="n"/>
      <c r="D466" s="26" t="n"/>
      <c r="E466" s="34" t="n"/>
    </row>
    <row r="467">
      <c r="A467" s="33" t="n"/>
      <c r="B467" s="25" t="n"/>
      <c r="C467" s="25" t="n"/>
      <c r="D467" s="26" t="n"/>
      <c r="E467" s="34" t="n"/>
    </row>
    <row r="468">
      <c r="A468" s="33" t="n"/>
      <c r="B468" s="25" t="n"/>
      <c r="C468" s="25" t="n"/>
      <c r="D468" s="26" t="n"/>
      <c r="E468" s="34" t="n"/>
    </row>
    <row r="469">
      <c r="A469" s="33" t="n"/>
      <c r="B469" s="25" t="n"/>
      <c r="C469" s="25" t="n"/>
      <c r="D469" s="26" t="n"/>
      <c r="E469" s="34" t="n"/>
    </row>
    <row r="470">
      <c r="A470" s="33" t="n"/>
      <c r="B470" s="25" t="n"/>
      <c r="C470" s="25" t="n"/>
      <c r="D470" s="26" t="n"/>
      <c r="E470" s="34" t="n"/>
    </row>
    <row r="471">
      <c r="A471" s="33" t="n"/>
      <c r="B471" s="25" t="n"/>
      <c r="C471" s="25" t="n"/>
      <c r="D471" s="26" t="n"/>
      <c r="E471" s="34" t="n"/>
    </row>
    <row r="472">
      <c r="A472" s="33" t="n"/>
      <c r="B472" s="25" t="n"/>
      <c r="C472" s="25" t="n"/>
      <c r="D472" s="26" t="n"/>
      <c r="E472" s="34" t="n"/>
    </row>
    <row r="473">
      <c r="A473" s="33" t="n"/>
      <c r="B473" s="25" t="n"/>
      <c r="C473" s="25" t="n"/>
      <c r="D473" s="26" t="n"/>
      <c r="E473" s="34" t="n"/>
    </row>
    <row r="474">
      <c r="A474" s="33" t="n"/>
      <c r="B474" s="25" t="n"/>
      <c r="C474" s="25" t="n"/>
      <c r="D474" s="26" t="n"/>
      <c r="E474" s="34" t="n"/>
    </row>
    <row r="475">
      <c r="A475" s="33" t="n"/>
      <c r="B475" s="25" t="n"/>
      <c r="C475" s="25" t="n"/>
      <c r="D475" s="26" t="n"/>
      <c r="E475" s="34" t="n"/>
    </row>
    <row r="476">
      <c r="A476" s="33" t="n"/>
      <c r="B476" s="25" t="n"/>
      <c r="C476" s="25" t="n"/>
      <c r="D476" s="26" t="n"/>
      <c r="E476" s="34" t="n"/>
    </row>
    <row r="477">
      <c r="A477" s="33" t="n"/>
      <c r="B477" s="25" t="n"/>
      <c r="C477" s="25" t="n"/>
      <c r="D477" s="26" t="n"/>
      <c r="E477" s="34" t="n"/>
    </row>
    <row r="478">
      <c r="A478" s="33" t="n"/>
      <c r="B478" s="25" t="n"/>
      <c r="C478" s="25" t="n"/>
      <c r="D478" s="26" t="n"/>
      <c r="E478" s="34" t="n"/>
    </row>
    <row r="479">
      <c r="A479" s="33" t="n"/>
      <c r="B479" s="25" t="n"/>
      <c r="C479" s="25" t="n"/>
      <c r="D479" s="26" t="n"/>
      <c r="E479" s="34" t="n"/>
    </row>
    <row r="480">
      <c r="A480" s="33" t="n"/>
      <c r="B480" s="25" t="n"/>
      <c r="C480" s="25" t="n"/>
      <c r="D480" s="26" t="n"/>
      <c r="E480" s="34" t="n"/>
    </row>
    <row r="481">
      <c r="A481" s="33" t="n"/>
      <c r="B481" s="25" t="n"/>
      <c r="C481" s="25" t="n"/>
      <c r="D481" s="26" t="n"/>
      <c r="E481" s="34" t="n"/>
    </row>
    <row r="482">
      <c r="A482" s="33" t="n"/>
      <c r="B482" s="25" t="n"/>
      <c r="C482" s="25" t="n"/>
      <c r="D482" s="26" t="n"/>
      <c r="E482" s="34" t="n"/>
    </row>
    <row r="483">
      <c r="A483" s="33" t="n"/>
      <c r="B483" s="25" t="n"/>
      <c r="C483" s="25" t="n"/>
      <c r="D483" s="26" t="n"/>
      <c r="E483" s="34" t="n"/>
    </row>
    <row r="484">
      <c r="A484" s="33" t="n"/>
      <c r="B484" s="25" t="n"/>
      <c r="C484" s="25" t="n"/>
      <c r="D484" s="26" t="n"/>
      <c r="E484" s="34" t="n"/>
    </row>
    <row r="485">
      <c r="A485" s="33" t="n"/>
      <c r="B485" s="25" t="n"/>
      <c r="C485" s="25" t="n"/>
      <c r="D485" s="26" t="n"/>
      <c r="E485" s="34" t="n"/>
    </row>
    <row r="486">
      <c r="A486" s="33" t="n"/>
      <c r="B486" s="25" t="n"/>
      <c r="C486" s="25" t="n"/>
      <c r="D486" s="26" t="n"/>
      <c r="E486" s="34" t="n"/>
    </row>
    <row r="487">
      <c r="A487" s="33" t="n"/>
      <c r="B487" s="25" t="n"/>
      <c r="C487" s="25" t="n"/>
      <c r="D487" s="26" t="n"/>
      <c r="E487" s="34" t="n"/>
    </row>
    <row r="488">
      <c r="A488" s="33" t="n"/>
      <c r="B488" s="25" t="n"/>
      <c r="C488" s="25" t="n"/>
      <c r="D488" s="26" t="n"/>
      <c r="E488" s="34" t="n"/>
    </row>
    <row r="489">
      <c r="A489" s="33" t="n"/>
      <c r="B489" s="25" t="n"/>
      <c r="C489" s="25" t="n"/>
      <c r="D489" s="26" t="n"/>
      <c r="E489" s="34" t="n"/>
    </row>
    <row r="490">
      <c r="A490" s="33" t="n"/>
      <c r="B490" s="25" t="n"/>
      <c r="C490" s="25" t="n"/>
      <c r="D490" s="26" t="n"/>
      <c r="E490" s="34" t="n"/>
    </row>
    <row r="491">
      <c r="A491" s="33" t="n"/>
      <c r="B491" s="25" t="n"/>
      <c r="C491" s="25" t="n"/>
      <c r="D491" s="26" t="n"/>
      <c r="E491" s="34" t="n"/>
    </row>
    <row r="492">
      <c r="A492" s="33" t="n"/>
      <c r="B492" s="25" t="n"/>
      <c r="C492" s="25" t="n"/>
      <c r="D492" s="26" t="n"/>
      <c r="E492" s="34" t="n"/>
    </row>
    <row r="493">
      <c r="A493" s="33" t="n"/>
      <c r="B493" s="25" t="n"/>
      <c r="C493" s="25" t="n"/>
      <c r="D493" s="26" t="n"/>
      <c r="E493" s="34" t="n"/>
    </row>
    <row r="494">
      <c r="A494" s="33" t="n"/>
      <c r="B494" s="25" t="n"/>
      <c r="C494" s="25" t="n"/>
      <c r="D494" s="26" t="n"/>
      <c r="E494" s="34" t="n"/>
    </row>
    <row r="495">
      <c r="A495" s="33" t="n"/>
      <c r="B495" s="25" t="n"/>
      <c r="C495" s="25" t="n"/>
      <c r="D495" s="26" t="n"/>
      <c r="E495" s="34" t="n"/>
    </row>
    <row r="496">
      <c r="A496" s="33" t="n"/>
      <c r="B496" s="25" t="n"/>
      <c r="C496" s="25" t="n"/>
      <c r="D496" s="26" t="n"/>
      <c r="E496" s="34" t="n"/>
    </row>
    <row r="497">
      <c r="A497" s="33" t="n"/>
      <c r="B497" s="25" t="n"/>
      <c r="C497" s="25" t="n"/>
      <c r="D497" s="26" t="n"/>
      <c r="E497" s="34" t="n"/>
    </row>
    <row r="498">
      <c r="A498" s="33" t="n"/>
      <c r="B498" s="25" t="n"/>
      <c r="C498" s="25" t="n"/>
      <c r="D498" s="26" t="n"/>
      <c r="E498" s="34" t="n"/>
    </row>
    <row r="499">
      <c r="A499" s="33" t="n"/>
      <c r="B499" s="25" t="n"/>
      <c r="C499" s="25" t="n"/>
      <c r="D499" s="26" t="n"/>
      <c r="E499" s="34" t="n"/>
    </row>
    <row r="500">
      <c r="A500" s="33" t="n"/>
      <c r="B500" s="25" t="n"/>
      <c r="C500" s="25" t="n"/>
      <c r="D500" s="26" t="n"/>
      <c r="E500" s="34" t="n"/>
    </row>
    <row r="501">
      <c r="A501" s="33" t="n"/>
      <c r="B501" s="25" t="n"/>
      <c r="C501" s="25" t="n"/>
      <c r="D501" s="26" t="n"/>
      <c r="E501" s="34" t="n"/>
    </row>
    <row r="502">
      <c r="A502" s="33" t="n"/>
      <c r="B502" s="25" t="n"/>
      <c r="C502" s="25" t="n"/>
      <c r="D502" s="26" t="n"/>
      <c r="E502" s="34" t="n"/>
    </row>
    <row r="503">
      <c r="A503" s="33" t="n"/>
      <c r="B503" s="25" t="n"/>
      <c r="C503" s="25" t="n"/>
      <c r="D503" s="26" t="n"/>
      <c r="E503" s="34" t="n"/>
    </row>
  </sheetData>
  <dataValidations count="2">
    <dataValidation sqref="A4:A503" showDropDown="0" showInputMessage="0" showErrorMessage="0" allowBlank="1" type="date" operator="greaterThan">
      <formula1>DATE(2000,1,1)</formula1>
    </dataValidation>
    <dataValidation sqref="B4:B503" showDropDown="0" showInputMessage="0" showErrorMessage="0" allowBlank="1" type="list">
      <formula1>StaffList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24" customWidth="1" min="1" max="1"/>
    <col width="18" customWidth="1" min="3" max="3"/>
  </cols>
  <sheetData>
    <row r="1">
      <c r="A1" s="32" t="inlineStr">
        <is>
          <t>Staff names</t>
        </is>
      </c>
      <c r="C1" s="32" t="inlineStr">
        <is>
          <t>Status options</t>
        </is>
      </c>
      <c r="E1" s="35" t="inlineStr">
        <is>
          <t>Type one name per row in column A with no gaps. They appear in the 'Last updated by' and Log dropdowns automatically.</t>
        </is>
      </c>
    </row>
    <row r="2">
      <c r="A2" s="36" t="n"/>
      <c r="C2" s="25" t="inlineStr">
        <is>
          <t>Active</t>
        </is>
      </c>
    </row>
    <row r="3">
      <c r="A3" s="36" t="n"/>
      <c r="C3" s="25" t="inlineStr">
        <is>
          <t>Delivered</t>
        </is>
      </c>
    </row>
    <row r="4">
      <c r="A4" s="36" t="n"/>
      <c r="C4" s="25" t="inlineStr">
        <is>
          <t>Transferred out</t>
        </is>
      </c>
    </row>
    <row r="5">
      <c r="A5" s="36" t="n"/>
      <c r="C5" s="25" t="inlineStr">
        <is>
          <t>Care ended</t>
        </is>
      </c>
    </row>
    <row r="6">
      <c r="A6" s="36" t="n"/>
    </row>
    <row r="7">
      <c r="A7" s="36" t="n"/>
    </row>
    <row r="8">
      <c r="A8" s="36" t="n"/>
    </row>
    <row r="9">
      <c r="A9" s="36" t="n"/>
    </row>
    <row r="10">
      <c r="A10" s="36" t="n"/>
    </row>
    <row r="11">
      <c r="A11" s="36" t="n"/>
    </row>
    <row r="12">
      <c r="A12" s="36" t="n"/>
    </row>
    <row r="13">
      <c r="A13" s="36" t="n"/>
    </row>
    <row r="14">
      <c r="A14" s="36" t="n"/>
    </row>
    <row r="15">
      <c r="A15" s="36" t="n"/>
    </row>
    <row r="16">
      <c r="A16" s="36" t="n"/>
    </row>
    <row r="17">
      <c r="A17" s="36" t="n"/>
    </row>
    <row r="18">
      <c r="A18" s="36" t="n"/>
    </row>
    <row r="19">
      <c r="A19" s="36" t="n"/>
    </row>
    <row r="20">
      <c r="A20" s="36" t="n"/>
    </row>
    <row r="21">
      <c r="A21" s="36" t="n"/>
    </row>
    <row r="22">
      <c r="A22" s="36" t="n"/>
    </row>
    <row r="23">
      <c r="A23" s="36" t="n"/>
    </row>
    <row r="24">
      <c r="A24" s="36" t="n"/>
    </row>
    <row r="25">
      <c r="A25" s="36" t="n"/>
    </row>
    <row r="26">
      <c r="A26" s="36" t="n"/>
    </row>
    <row r="27">
      <c r="A27" s="36" t="n"/>
    </row>
    <row r="28">
      <c r="A28" s="36" t="n"/>
    </row>
    <row r="29">
      <c r="A29" s="36" t="n"/>
    </row>
    <row r="30">
      <c r="A30" s="36" t="n"/>
    </row>
    <row r="31">
      <c r="A31" s="36" t="n"/>
    </row>
    <row r="32">
      <c r="A32" s="36" t="n"/>
    </row>
    <row r="33">
      <c r="A33" s="36" t="n"/>
    </row>
    <row r="34">
      <c r="A34" s="36" t="n"/>
    </row>
    <row r="35">
      <c r="A35" s="36" t="n"/>
    </row>
    <row r="36">
      <c r="A36" s="36" t="n"/>
    </row>
    <row r="37">
      <c r="A37" s="36" t="n"/>
    </row>
    <row r="38">
      <c r="A38" s="36" t="n"/>
    </row>
    <row r="39">
      <c r="A39" s="36" t="n"/>
    </row>
    <row r="40">
      <c r="A40" s="36" t="n"/>
    </row>
    <row r="41">
      <c r="A41" s="36" t="n"/>
    </row>
    <row r="42">
      <c r="A42" s="36" t="n"/>
    </row>
    <row r="43">
      <c r="A43" s="36" t="n"/>
    </row>
    <row r="44">
      <c r="A44" s="36" t="n"/>
    </row>
    <row r="45">
      <c r="A45" s="36" t="n"/>
    </row>
    <row r="46">
      <c r="A46" s="36" t="n"/>
    </row>
    <row r="47">
      <c r="A47" s="36" t="n"/>
    </row>
    <row r="48">
      <c r="A48" s="36" t="n"/>
    </row>
    <row r="49">
      <c r="A49" s="36" t="n"/>
    </row>
    <row r="50">
      <c r="A50" s="36" t="n"/>
    </row>
    <row r="51">
      <c r="A51" s="36" t="n"/>
    </row>
    <row r="52">
      <c r="A52" s="36" t="n"/>
    </row>
    <row r="53">
      <c r="A53" s="36" t="n"/>
    </row>
    <row r="54">
      <c r="A54" s="36" t="n"/>
    </row>
    <row r="55">
      <c r="A55" s="36" t="n"/>
    </row>
    <row r="56">
      <c r="A56" s="36" t="n"/>
    </row>
    <row r="57">
      <c r="A57" s="36" t="n"/>
    </row>
    <row r="58">
      <c r="A58" s="36" t="n"/>
    </row>
    <row r="59">
      <c r="A59" s="36" t="n"/>
    </row>
    <row r="60">
      <c r="A60" s="36" t="n"/>
    </row>
    <row r="61">
      <c r="A61" s="36" t="n"/>
    </row>
    <row r="62">
      <c r="A62" s="36" t="n"/>
    </row>
    <row r="63">
      <c r="A63" s="36" t="n"/>
    </row>
    <row r="64">
      <c r="A64" s="36" t="n"/>
    </row>
    <row r="65">
      <c r="A65" s="36" t="n"/>
    </row>
    <row r="66">
      <c r="A66" s="36" t="n"/>
    </row>
    <row r="67">
      <c r="A67" s="36" t="n"/>
    </row>
    <row r="68">
      <c r="A68" s="36" t="n"/>
    </row>
    <row r="69">
      <c r="A69" s="36" t="n"/>
    </row>
    <row r="70">
      <c r="A70" s="36" t="n"/>
    </row>
    <row r="71">
      <c r="A71" s="36" t="n"/>
    </row>
    <row r="72">
      <c r="A72" s="36" t="n"/>
    </row>
    <row r="73">
      <c r="A73" s="36" t="n"/>
    </row>
    <row r="74">
      <c r="A74" s="36" t="n"/>
    </row>
    <row r="75">
      <c r="A75" s="36" t="n"/>
    </row>
    <row r="76">
      <c r="A76" s="36" t="n"/>
    </row>
    <row r="77">
      <c r="A77" s="36" t="n"/>
    </row>
    <row r="78">
      <c r="A78" s="36" t="n"/>
    </row>
    <row r="79">
      <c r="A79" s="36" t="n"/>
    </row>
    <row r="80">
      <c r="A80" s="36" t="n"/>
    </row>
    <row r="81">
      <c r="A81" s="36" t="n"/>
    </row>
    <row r="82">
      <c r="A82" s="36" t="n"/>
    </row>
    <row r="83">
      <c r="A83" s="36" t="n"/>
    </row>
    <row r="84">
      <c r="A84" s="36" t="n"/>
    </row>
    <row r="85">
      <c r="A85" s="36" t="n"/>
    </row>
    <row r="86">
      <c r="A86" s="36" t="n"/>
    </row>
    <row r="87">
      <c r="A87" s="36" t="n"/>
    </row>
    <row r="88">
      <c r="A88" s="36" t="n"/>
    </row>
    <row r="89">
      <c r="A89" s="36" t="n"/>
    </row>
    <row r="90">
      <c r="A90" s="36" t="n"/>
    </row>
    <row r="91">
      <c r="A91" s="36" t="n"/>
    </row>
    <row r="92">
      <c r="A92" s="36" t="n"/>
    </row>
    <row r="93">
      <c r="A93" s="36" t="n"/>
    </row>
    <row r="94">
      <c r="A94" s="36" t="n"/>
    </row>
    <row r="95">
      <c r="A95" s="36" t="n"/>
    </row>
    <row r="96">
      <c r="A96" s="36" t="n"/>
    </row>
    <row r="97">
      <c r="A97" s="36" t="n"/>
    </row>
    <row r="98">
      <c r="A98" s="36" t="n"/>
    </row>
    <row r="99">
      <c r="A99" s="36" t="n"/>
    </row>
    <row r="100">
      <c r="A100" s="36" t="n"/>
    </row>
    <row r="101">
      <c r="A101" s="3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40"/>
  <sheetViews>
    <sheetView workbookViewId="0">
      <selection activeCell="A1" sqref="A1"/>
    </sheetView>
  </sheetViews>
  <sheetFormatPr baseColWidth="8" defaultRowHeight="15"/>
  <cols>
    <col width="3" customWidth="1" min="1" max="1"/>
    <col width="110" customWidth="1" min="2" max="2"/>
  </cols>
  <sheetData>
    <row r="2">
      <c r="B2" s="37" t="inlineStr">
        <is>
          <t>How to use the caseload tracker</t>
        </is>
      </c>
    </row>
    <row r="3">
      <c r="B3" s="30" t="inlineStr">
        <is>
          <t>Nothing here uses macros, so it works in Excel desktop, Excel Online and Teams, including with several people editing at once.</t>
        </is>
      </c>
    </row>
    <row r="4" ht="22" customHeight="1">
      <c r="B4" s="38" t="inlineStr">
        <is>
          <t>Daily use</t>
        </is>
      </c>
    </row>
    <row r="5">
      <c r="B5" s="30" t="inlineStr">
        <is>
          <t>1. Sort or filter the 'Overdue' (last column), 'Next appt' or 'Next appt due' column to see who needs something first. The counts along the top show the totals.</t>
        </is>
      </c>
    </row>
    <row r="6">
      <c r="B6" s="30" t="inlineStr">
        <is>
          <t>2. When you change a row, pick your name in 'Last updated by'.</t>
        </is>
      </c>
    </row>
    <row r="7">
      <c r="B7" s="30" t="inlineStr">
        <is>
          <t>3. For anything more than a date, add a line to the Log tab (date, name, patient, what you did).</t>
        </is>
      </c>
    </row>
    <row r="8">
      <c r="B8" s="30" t="inlineStr">
        <is>
          <t>4. To see exactly what changed and when, use Review &gt; Show Changes (see below).</t>
        </is>
      </c>
    </row>
    <row r="9" ht="22" customHeight="1">
      <c r="B9" s="38" t="inlineStr">
        <is>
          <t>What to type where</t>
        </is>
      </c>
    </row>
    <row r="10">
      <c r="B10" s="30" t="inlineStr">
        <is>
          <t>• Patient columns (Name to Status): as now. EDD drives the gestation. Leave Status blank or set Active while pregnant. Setting Delivered, Transferred out or Care ended greys out the whole row to show it's complete, and stops its flags.</t>
        </is>
      </c>
    </row>
    <row r="11">
      <c r="B11" s="30" t="inlineStr">
        <is>
          <t>• Grey columns (Gestation, Due in 7 days, Next appt, Next appt due, Overdue) are calculated, so don't type in them.</t>
        </is>
      </c>
    </row>
    <row r="12">
      <c r="B12" s="30" t="inlineStr">
        <is>
          <t>• Booking date and appointments (16/40 to 41/40): enter each date when it's booked. 16/40 is added at booking, 25/40 at the 16/40 appointment, and so on. Empty future columns are fine.</t>
        </is>
      </c>
    </row>
    <row r="13">
      <c r="B13" s="30" t="inlineStr">
        <is>
          <t xml:space="preserve">  – An appointment only counts as attended once a later date has been entered, because the next date can only be booked at that appointment. So a past date turns green only when something is entered after it.</t>
        </is>
      </c>
    </row>
    <row r="14">
      <c r="B14" s="30" t="inlineStr">
        <is>
          <t xml:space="preserve">  – Red date: the appointment date has passed and nothing later has been entered. Either it was missed (type DNA over it) or the next appointment hasn't been booked yet (add it). 'Next appt' shows 'Missed/not booked?'.</t>
        </is>
      </c>
    </row>
    <row r="15">
      <c r="B15" s="30" t="inlineStr">
        <is>
          <t xml:space="preserve">  – Amber: the appointment is in the next 7 days. Plain: booked, more than a week away. N/A slots are skipped (e.g. 25/40 or 31/40 for multips).</t>
        </is>
      </c>
    </row>
    <row r="16">
      <c r="B16" s="30" t="inlineStr">
        <is>
          <t xml:space="preserve">  – DNA: red until a later date is entered. Either type the rebooked date over the DNA, or leave DNA in place and put the new date in the next column; the DNA then stays visible in grey.</t>
        </is>
      </c>
    </row>
    <row r="17">
      <c r="B17" s="30" t="inlineStr">
        <is>
          <t xml:space="preserve">  – 41/40 has nothing after it, so once it has passed it stays red ('Update status') until Status is changed, e.g. to Delivered.</t>
        </is>
      </c>
    </row>
    <row r="18">
      <c r="B18" s="30" t="inlineStr">
        <is>
          <t>• GTT booked, Anti-D ordered, BP fortnightly, BP weekly: enter the date it's booked or due. It turns amber within 7 days and red once the date has passed. When it's done, overwrite it with 'Done' (or 'Done 12/3 SW'), which turns it green. N/A turns it grey.</t>
        </is>
      </c>
    </row>
    <row r="19">
      <c r="B19" s="30" t="inlineStr">
        <is>
          <t>• IOL booked: Yes or No from the dropdown (Yes shows green).</t>
        </is>
      </c>
    </row>
    <row r="20">
      <c r="B20" s="30" t="inlineStr">
        <is>
          <t>• Risks: free text.</t>
        </is>
      </c>
    </row>
    <row r="21">
      <c r="B21" s="30" t="inlineStr">
        <is>
          <t>• NHS number: purple means the same number appears twice.</t>
        </is>
      </c>
    </row>
    <row r="22">
      <c r="B22" s="30" t="inlineStr">
        <is>
          <t>• EDD turns amber if it has passed and the patient is still Active, as a reminder to update Status.</t>
        </is>
      </c>
    </row>
    <row r="23" ht="22" customHeight="1">
      <c r="B23" s="38" t="inlineStr">
        <is>
          <t>Colour key</t>
        </is>
      </c>
    </row>
    <row r="24">
      <c r="B24" s="39" t="inlineStr">
        <is>
          <t>Red: appointment passed but not confirmed (nothing entered after it), DNA not yet rebooked, or an action date that has passed and isn't marked Done</t>
        </is>
      </c>
    </row>
    <row r="25">
      <c r="B25" s="40" t="inlineStr">
        <is>
          <t>Amber: due in the next 7 days</t>
        </is>
      </c>
    </row>
    <row r="26">
      <c r="B26" s="41" t="inlineStr">
        <is>
          <t>Green: appointment confirmed (a later date has been entered), action Done, or IOL Yes</t>
        </is>
      </c>
    </row>
    <row r="27">
      <c r="B27" s="42" t="inlineStr">
        <is>
          <t>Light grey: N/A</t>
        </is>
      </c>
    </row>
    <row r="28">
      <c r="B28" s="43" t="inlineStr">
        <is>
          <t>Dark grey row: Delivered, Transferred out or Care ended (complete)</t>
        </is>
      </c>
    </row>
    <row r="29" ht="22" customHeight="1">
      <c r="B29" s="38" t="inlineStr">
        <is>
          <t>Example row (format only, fictional)</t>
        </is>
      </c>
    </row>
    <row r="30">
      <c r="B30" s="30" t="inlineStr">
        <is>
          <t>Jane Example | 943 476 5919 | 02/05/1994 | G2P1 | MLC | 10/01/2027 | (Status blank) | Booking date: 18/06/2026 | 16/40: 11/08/2026 | 25/40: N/A | GTT booked: 14/10/2026 | Anti-D ordered: Done 20/09 | 28/40: 01/10/2026 | IOL booked: No | BP fortnightly: N/A | BP weekly: N/A | Risks: Previous PPH | Last updated by: (your name)</t>
        </is>
      </c>
    </row>
    <row r="31" ht="22" customHeight="1">
      <c r="B31" s="38" t="inlineStr">
        <is>
          <t>Seeing exactly who changed what</t>
        </is>
      </c>
    </row>
    <row r="32">
      <c r="B32" s="30" t="inlineStr">
        <is>
          <t>If the file is stored on SharePoint, OneDrive or Teams (not a shared drive), Excel keeps a full audit trail automatically:</t>
        </is>
      </c>
    </row>
    <row r="33">
      <c r="B33" s="30" t="inlineStr">
        <is>
          <t>• Review ▸ Show Changes lists every edit with who made it and when. Right-click a cell and choose Show Changes to see that cell's history.</t>
        </is>
      </c>
    </row>
    <row r="34">
      <c r="B34" s="30" t="inlineStr">
        <is>
          <t>• File ▸ Info ▸ Version History lets you open or restore any earlier version.</t>
        </is>
      </c>
    </row>
    <row r="35">
      <c r="B35" s="30" t="inlineStr">
        <is>
          <t>• @mentioning a colleague in a comment (Review ▸ New Comment) sends them an email.</t>
        </is>
      </c>
    </row>
    <row r="36">
      <c r="B36" s="30" t="inlineStr">
        <is>
          <t>'Last updated by' and the Log are the human-readable layer on top of that.</t>
        </is>
      </c>
    </row>
    <row r="37" ht="22" customHeight="1">
      <c r="B37" s="38" t="inlineStr">
        <is>
          <t>Adding rows</t>
        </is>
      </c>
    </row>
    <row r="38">
      <c r="B38" s="30" t="inlineStr">
        <is>
          <t>The table is pre-formatted for 400 patients. Don't insert, delete or reorder columns: the formulas and colours refer to them by position.</t>
        </is>
      </c>
    </row>
    <row r="39" ht="22" customHeight="1">
      <c r="B39" s="38" t="inlineStr">
        <is>
          <t>Information governance</t>
        </is>
      </c>
    </row>
    <row r="40">
      <c r="B40" s="30" t="inlineStr">
        <is>
          <t>This holds patient-identifiable data. Keep it in the approved team location with access limited to the team, and follow your trust's IG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2026-10-12T19:13:44Z</dcterms:created>
  <dcterms:modified xmlns:dcterms="http://purl.org/dc/terms/" xmlns:xsi="http://www.w3.org/2001/XMLSchema-instance" xsi:type="dcterms:W3CDTF">2026-10-12T19:13:44Z</dcterms:modified>
</cp:coreProperties>
</file>